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ummary" sheetId="2" r:id="rId6"/>
    <sheet state="visible" name="DTC - P&amp;L" sheetId="3" r:id="rId7"/>
    <sheet state="visible" name="AMAZON - P&amp;L" sheetId="4" r:id="rId8"/>
    <sheet state="visible" name="App - P&amp;L" sheetId="5" r:id="rId9"/>
    <sheet state="visible" name="Digital Marketplaces" sheetId="6" r:id="rId10"/>
    <sheet state="visible" name="Data - P&amp;L" sheetId="7" r:id="rId11"/>
    <sheet state="visible" name="Sales OLD" sheetId="8" r:id="rId12"/>
    <sheet state="visible" name="Detailed Report OLD" sheetId="9" r:id="rId13"/>
    <sheet state="visible" name="AMAZON Detailed Report OLD" sheetId="10" r:id="rId14"/>
    <sheet state="visible" name="ASV (Polona)" sheetId="11" r:id="rId15"/>
    <sheet state="visible" name="Post Purchase Survey Results" sheetId="12" r:id="rId16"/>
    <sheet state="visible" name="PPS Formulas" sheetId="13" r:id="rId17"/>
    <sheet state="visible" name="OLD Formulas" sheetId="14" r:id="rId18"/>
    <sheet state="hidden" name="SupermetricsQueries" sheetId="15" r:id="rId19"/>
    <sheet state="hidden" name="Forecast projection" sheetId="16" r:id="rId20"/>
    <sheet state="visible" name="Business Metrics Canada" sheetId="17" r:id="rId21"/>
    <sheet state="visible" name="Business Metrics US" sheetId="18" r:id="rId22"/>
    <sheet state="hidden" name="MTD &amp; YTD CS realization" sheetId="19" r:id="rId23"/>
    <sheet state="hidden" name="Ziga - TEST by prod." sheetId="20" r:id="rId24"/>
  </sheets>
  <definedNames>
    <definedName localSheetId="16" name="rdataslayer_d70e473bcafe40a3aa834ce157fb2ba3">'Business Metrics Canada'!$C$16:$D$17</definedName>
    <definedName localSheetId="17" name="zsupermetrics_xwoIpANxRm908eDp5oKTwQpEI8gvD4">'Business Metrics US'!$A$5</definedName>
    <definedName name="zsupermetrics_ru0GDtbZzDLHQOQtJJ6K08MvUDyyp7">#REF!</definedName>
    <definedName localSheetId="17" name="zsupermetrics_iNpyVy90bWCI0yUaFQpxOtzWMa6sW4">'Business Metrics US'!$A$5:$A$12</definedName>
    <definedName localSheetId="13" name="zsupermetrics_DQl8lUbpTRu3fayaJJi7lVfOGKjNU4">'OLD Formulas'!$A$3:$A$4</definedName>
    <definedName localSheetId="16" name="zsupermetrics_NugLlrQxlKiqhxQae8EFpITBm1pLCj">'Business Metrics Canada'!$B$15:$C$23</definedName>
    <definedName localSheetId="16" name="rdataslayer_4a0f150f4f2f4e4f85c890c75b7a1fa4">'Business Metrics Canada'!$D$5:$E$12</definedName>
    <definedName localSheetId="13" name="zsupermetrics_BioPyGBzcBsy60UCQmPcTuFReEmghI">'OLD Formulas'!$B$2:$B$3</definedName>
    <definedName name="zsupermetrics_refreshAll">SupermetricsQueries!$H$5</definedName>
    <definedName localSheetId="16" name="zsupermetrics_DQl8lUbpTRu3fayaJJi7lVfOGKjNU4">'Business Metrics Canada'!$A$2:$A$13</definedName>
    <definedName name="zsupermetrics_n3GtLgiKpTmd2pYmQNMuq6TPD0qE0b">#REF!</definedName>
    <definedName localSheetId="17" name="zsupermetrics_9i4W4hgd80uRpQLMeX0eRnESN8gjyv">'Business Metrics US'!$C$23</definedName>
    <definedName localSheetId="16" name="zsupermetrics_qWp7V908pNEYMtfv8QZvSTeDnBAHOU">'Business Metrics Canada'!$B$14:$C$23</definedName>
    <definedName name="zsupermetrics_refreshAllSilent">SupermetricsQueries!$H$6</definedName>
    <definedName name="zsupermetrics_Mgms9p0QzysYvrIhnsKACeVBVxfIEO">#REF!</definedName>
    <definedName localSheetId="17" name="rdataslayer_4a0f150f4f2f4e4f85c890c75b7a1fa4">'Business Metrics US'!$D$5:$E$12</definedName>
    <definedName localSheetId="16" name="zsupermetrics_lx4cNai7gT6tH4j08ZRkI21Qlpjioi">'Business Metrics Canada'!$B$13:$C$23</definedName>
    <definedName localSheetId="13" name="zsupermetrics_Mgms9p0QzysYvrIhnsKACeVBVxfIEO">'OLD Formulas'!$A$2:$A$3</definedName>
    <definedName name="zsupermetrics_forceRefresh">SupermetricsQueries!$H$4</definedName>
    <definedName name="zsupermetrics_wbYMmT0YL9bAN0yhimW0ziPFnia9Dx">#REF!</definedName>
    <definedName name="zsupermetrics_iNpyVy90bWCI0yUaFQpxOtzWMa6sW4">#REF!</definedName>
    <definedName localSheetId="16" name="zsupermetrics_xwoIpANxRm908eDp5oKTwQpEI8gvD4">'Business Metrics Canada'!$A$5</definedName>
    <definedName localSheetId="13" name="zsupermetrics_xwoIpANxRm908eDp5oKTwQpEI8gvD4">#REF!</definedName>
    <definedName localSheetId="17" name="rdataslayer_3753ddf3234e496aa261974a0222e193">'Business Metrics US'!$H$5:$I$5</definedName>
    <definedName localSheetId="16" name="zsupermetrics_4VkB7ij7WO0JjKBEgvjB2GHjSy2Egm">'Business Metrics Canada'!$B$13:$C$17</definedName>
    <definedName localSheetId="13" name="zsupermetrics_n3GtLgiKpTmd2pYmQNMuq6TPD0qE0b">'OLD Formulas'!$B$4:$B$5</definedName>
    <definedName localSheetId="13" name="rdataslayer_42b112e4e4be4305bb4c1be75e2dd549">'OLD Formulas'!$B$2:$C$3</definedName>
    <definedName localSheetId="16" name="zsupermetrics_wbYMmT0YL9bAN0yhimW0ziPFnia9Dx">'Business Metrics Canada'!$A$5:$A$12</definedName>
    <definedName name="zsupermetrics_9i4W4hgd80uRpQLMeX0eRnESN8gjyv">#REF!</definedName>
    <definedName localSheetId="17" name="zsupermetrics_YsFuuYtr8vOdNXCCPiFJIO38NP4b2T">'Business Metrics US'!$B$13:$C$23</definedName>
    <definedName name="zsupermetrics_5bmwtOpHUbSYmDMeuCPkrxaojTprPP">#REF!</definedName>
    <definedName localSheetId="16" name="rdataslayer_adf57e64065742daa5b4161161b1c3ca">'Business Metrics Canada'!$B$13:$D$14</definedName>
    <definedName localSheetId="16" name="zsupermetrics_9i4W4hgd80uRpQLMeX0eRnESN8gjyv">'Business Metrics Canada'!$C$23</definedName>
    <definedName localSheetId="13" name="rdataslayer_3753ddf3234e496aa261974a0222e193">'OLD Formulas'!$H$2:$I$2</definedName>
    <definedName localSheetId="17" name="zsupermetrics_4VkB7ij7WO0JjKBEgvjB2GHjSy2Egm">'Business Metrics US'!$B$13:$C$17</definedName>
    <definedName name="zsupermetrics_SGBxROnInO9rFyh3H7j2Lldx0Bdc5v">#REF!</definedName>
    <definedName name="zsupermetrics_pxuhRTEmIU93xSgKclyxajD0fCZ6rF">#REF!</definedName>
    <definedName localSheetId="13" name="zsupermetrics_ru0GDtbZzDLHQOQtJJ6K08MvUDyyp7">'OLD Formulas'!$B$4:$B$5</definedName>
    <definedName localSheetId="13" name="zsupermetrics_qWp7V908pNEYMtfv8QZvSTeDnBAHOU">'OLD Formulas'!$B$5:$C$13</definedName>
    <definedName localSheetId="17" name="zsupermetrics_wbYMmT0YL9bAN0yhimW0ziPFnia9Dx">'Business Metrics US'!$A$5:$A$12</definedName>
    <definedName name="rdataslayer_4a0f150f4f2f4e4f85c890c75b7a1fa4">#REF!</definedName>
    <definedName localSheetId="16" name="zsupermetrics_iNpyVy90bWCI0yUaFQpxOtzWMa6sW4">'Business Metrics Canada'!$A$5:$A$12</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3" name="zsupermetrics_9i4W4hgd80uRpQLMeX0eRnESN8gjyv">'OLD Formulas'!$C$13</definedName>
    <definedName localSheetId="17" name="zsupermetrics_Mgms9p0QzysYvrIhnsKACeVBVxfIEO">'Business Metrics US'!$A$5:$A$12</definedName>
    <definedName name="zsupermetrics_lx4cNai7gT6tH4j08ZRkI21Qlpjioi">#REF!</definedName>
    <definedName localSheetId="17" name="zsupermetrics_BioPyGBzcBsy60UCQmPcTuFReEmghI">'Business Metrics US'!$B$5:$B$12</definedName>
    <definedName localSheetId="17" name="zsupermetrics_qWp7V908pNEYMtfv8QZvSTeDnBAHOU">'Business Metrics US'!$B$14:$C$23</definedName>
    <definedName localSheetId="17" name="rdataslayer_adf57e64065742daa5b4161161b1c3ca">'Business Metrics US'!$B$13:$D$14</definedName>
    <definedName name="rdataslayer_d70e473bcafe40a3aa834ce157fb2ba3">#REF!</definedName>
    <definedName localSheetId="13" name="zsupermetrics_NugLlrQxlKiqhxQae8EFpITBm1pLCj">'OLD Formulas'!$B$6:$C$13</definedName>
    <definedName name="zsupermetrics_8xojRjNDjo2jWHGDWjFEhflhyIq3Hq">'Sales OLD'!$K$8:$K$26</definedName>
    <definedName localSheetId="16" name="rdataslayer_42b112e4e4be4305bb4c1be75e2dd549">'Business Metrics Canada'!$B$5:$C$12</definedName>
    <definedName localSheetId="17" name="rdataslayer_d70e473bcafe40a3aa834ce157fb2ba3">'Business Metrics US'!$C$16:$D$17</definedName>
    <definedName name="rdataslayer_3753ddf3234e496aa261974a0222e193">#REF!</definedName>
    <definedName localSheetId="16" name="zsupermetrics_BioPyGBzcBsy60UCQmPcTuFReEmghI">'Business Metrics Canada'!$B$5:$B$12</definedName>
    <definedName localSheetId="17" name="zsupermetrics_DQl8lUbpTRu3fayaJJi7lVfOGKjNU4">'Business Metrics US'!$A$2:$A$13</definedName>
    <definedName localSheetId="17" name="zsupermetrics_HgZqhorObHOtZHuyJjpmyYaEPoYntx">'Business Metrics US'!$B$13:$B$14</definedName>
    <definedName localSheetId="13" name="zsupermetrics_iNpyVy90bWCI0yUaFQpxOtzWMa6sW4">'OLD Formulas'!$A$2:$A$3</definedName>
    <definedName localSheetId="13" name="rdataslayer_4a0f150f4f2f4e4f85c890c75b7a1fa4">'OLD Formulas'!$D$2:$E$3</definedName>
    <definedName name="zsupermetrics_BioPyGBzcBsy60UCQmPcTuFReEmghI">#REF!</definedName>
    <definedName name="zsupermetrics_qWp7V908pNEYMtfv8QZvSTeDnBAHOU">#REF!</definedName>
    <definedName localSheetId="17" name="zsupermetrics_NugLlrQxlKiqhxQae8EFpITBm1pLCj">'Business Metrics US'!$B$15:$C$23</definedName>
    <definedName localSheetId="11" name="zsupermetrics_8xojRjNDjo2jWHGDWjFEhflhyIq3Hq">#REF!</definedName>
    <definedName localSheetId="16" name="rdataslayer_3753ddf3234e496aa261974a0222e193">'Business Metrics Canada'!$H$5:$I$5</definedName>
    <definedName localSheetId="17" name="zsupermetrics_n3GtLgiKpTmd2pYmQNMuq6TPD0qE0b">'Business Metrics US'!$B$13:$B$14</definedName>
    <definedName localSheetId="17" name="rdataslayer_42b112e4e4be4305bb4c1be75e2dd549">'Business Metrics US'!$B$5:$C$12</definedName>
    <definedName localSheetId="17" name="zsupermetrics_lx4cNai7gT6tH4j08ZRkI21Qlpjioi">'Business Metrics US'!$B$13:$C$23</definedName>
    <definedName localSheetId="13" name="zsupermetrics_wbYMmT0YL9bAN0yhimW0ziPFnia9Dx">'OLD Formulas'!$A$2:$A$3</definedName>
    <definedName localSheetId="13" name="zsupermetrics_4VkB7ij7WO0JjKBEgvjB2GHjSy2Egm">'OLD Formulas'!$B$4:$C$10</definedName>
    <definedName localSheetId="13" name="zsupermetrics_lx4cNai7gT6tH4j08ZRkI21Qlpjioi">'OLD Formulas'!$B$4:$C$13</definedName>
    <definedName name="rdataslayer_42b112e4e4be4305bb4c1be75e2dd549">#REF!</definedName>
    <definedName localSheetId="16" name="zsupermetrics_n3GtLgiKpTmd2pYmQNMuq6TPD0qE0b">'Business Metrics Canada'!$B$13:$B$14</definedName>
    <definedName name="rdataslayer_adf57e64065742daa5b4161161b1c3ca">#REF!</definedName>
    <definedName localSheetId="13" name="rdataslayer_adf57e64065742daa5b4161161b1c3ca">'OLD Formulas'!$B$4:$D$5</definedName>
    <definedName localSheetId="16" name="zsupermetrics_ru0GDtbZzDLHQOQtJJ6K08MvUDyyp7">'Business Metrics Canada'!$B$13:$B$14</definedName>
    <definedName localSheetId="16" name="zsupermetrics_HgZqhorObHOtZHuyJjpmyYaEPoYntx">'Business Metrics Canada'!$B$13:$B$14</definedName>
    <definedName localSheetId="16" name="zsupermetrics_Mgms9p0QzysYvrIhnsKACeVBVxfIEO">'Business Metrics Canada'!$A$5:$A$12</definedName>
    <definedName name="zsupermetrics_NugLlrQxlKiqhxQae8EFpITBm1pLCj">#REF!</definedName>
    <definedName name="zsupermetrics_xwoIpANxRm908eDp5oKTwQpEI8gvD4">#REF!</definedName>
    <definedName localSheetId="13" name="zsupermetrics_YsFuuYtr8vOdNXCCPiFJIO38NP4b2T">'OLD Formulas'!$B$4:$C$13</definedName>
    <definedName localSheetId="13" name="rdataslayer_d70e473bcafe40a3aa834ce157fb2ba3">'OLD Formulas'!$C$8:$D$9</definedName>
    <definedName localSheetId="17" name="zsupermetrics_ru0GDtbZzDLHQOQtJJ6K08MvUDyyp7">'Business Metrics US'!$B$13:$B$14</definedName>
    <definedName localSheetId="13" name="zsupermetrics_HgZqhorObHOtZHuyJjpmyYaEPoYntx">'OLD Formulas'!$B$4:$B$5</definedName>
    <definedName localSheetId="16"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tc={006eec6b-5c87-4f9b-8ed9-4f4b90a80f70}</author>
    <author>tc={219c0eb2-26c2-4d0b-9ebd-5911944d6a2f}</author>
    <author>tc={55df5b9c-1592-4c23-9785-4d71c4dd597f}</author>
    <author>tc={a658c2d8-6b5c-4f20-8677-21d33f053a19}</author>
    <author>tc={de07a395-38fc-41b0-94e9-eb23438324d6}</author>
    <author>tc={e7c8b044-2228-469a-ad9e-91aa2f52adf4}</author>
  </authors>
  <commentList>
    <comment authorId="0" xr:uid="{006eec6b-5c87-4f9b-8ed9-4f4b90a80f70}" ref="A1">
      <text>
        <t xml:space="preserve">[Threaded comment]
 Your version of Excel allows you to read this threaded comment; however, any edits to it will get removed if the file is opened in a newer version of Excel. Learn more: https://go.microsoft.com/fwlink/?linkid=870924
Comment:
	1 EU
</t>
      </text>
    </comment>
    <comment authorId="1" xr:uid="{219c0eb2-26c2-4d0b-9ebd-5911944d6a2f}" ref="A1">
      <text>
        <t xml:space="preserve">[Threaded comment]
 Your version of Excel allows you to read this threaded comment; however, any edits to it will get removed if the file is opened in a newer version of Excel. Learn more: https://go.microsoft.com/fwlink/?linkid=870924
Comment:
	Gift Card
</t>
      </text>
    </comment>
    <comment authorId="2" xr:uid="{55df5b9c-1592-4c23-9785-4d71c4dd597f}" ref="Y95">
      <text>
        <t xml:space="preserve">[Threaded comment]
 Your version of Excel allows you to read this threaded comment; however, any edits to it will get removed if the file is opened in a newer version of Excel. Learn more: https://go.microsoft.com/fwlink/?linkid=870924
Comment:
	Account hacked = 69,532.06$
</t>
      </text>
    </comment>
    <comment authorId="3" xr:uid="{a658c2d8-6b5c-4f20-8677-21d33f053a19}" ref="A81">
      <text>
        <t xml:space="preserve">[Threaded comment]
 Your version of Excel allows you to read this threaded comment; however, any edits to it will get removed if the file is opened in a newer version of Excel. Learn more: https://go.microsoft.com/fwlink/?linkid=870924
Comment:
	preveri hack 24.11.2023 (heckan keš = 250k)
</t>
      </text>
    </comment>
    <comment authorId="4" xr:uid="{de07a395-38fc-41b0-94e9-eb23438324d6}" ref="Y95">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ova brojka je stvarno ogromna za APP spend, jel smo sigurni u ovo?
Assigned to 
Reply:
	@ziga.skrabl@mybirdbuddy.com Da, poslao sam ti sliku na Slack.
</t>
      </text>
    </comment>
    <comment authorId="5" xr:uid="{e7c8b044-2228-469a-ad9e-91aa2f52adf4}" ref="A1">
      <text>
        <t xml:space="preserve">[Threaded comment]
 Your version of Excel allows you to read this threaded comment; however, any edits to it will get removed if the file is opened in a newer version of Excel. Learn more: https://go.microsoft.com/fwlink/?linkid=870924
Comment:
	1 EU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tc={01d2450c-5f95-4934-bb43-72d09d0ef84a}</author>
    <author>tc={9b7eae2f-d20f-4e2a-ab0a-afc97e6efb84}</author>
    <author>tc={d251063b-9088-4929-b02e-303b93bb8c5e}</author>
  </authors>
  <commentList>
    <comment authorId="0" xr:uid="{01d2450c-5f95-4934-bb43-72d09d0ef84a}" ref="V80">
      <text>
        <t xml:space="preserve">[Threaded comment]
 Your version of Excel allows you to read this threaded comment; however, any edits to it will get removed if the file is opened in a newer version of Excel. Learn more: https://go.microsoft.com/fwlink/?linkid=870924
Comment:
	Gift Card
</t>
      </text>
    </comment>
    <comment authorId="1" xr:uid="{9b7eae2f-d20f-4e2a-ab0a-afc97e6efb84}" ref="O69">
      <text>
        <t xml:space="preserve">[Threaded comment]
 Your version of Excel allows you to read this threaded comment; however, any edits to it will get removed if the file is opened in a newer version of Excel. Learn more: https://go.microsoft.com/fwlink/?linkid=870924
Comment:
	1 EU
</t>
      </text>
    </comment>
    <comment authorId="2" xr:uid="{d251063b-9088-4929-b02e-303b93bb8c5e}" ref="O62">
      <text>
        <t xml:space="preserve">[Threaded comment]
 Your version of Excel allows you to read this threaded comment; however, any edits to it will get removed if the file is opened in a newer version of Excel. Learn more: https://go.microsoft.com/fwlink/?linkid=870924
Comment:
	1 EU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tc={51d1ef6d-c546-41aa-9d5c-81d1568cf687}</author>
    <author>tc={73dba248-7dcf-48e3-8673-ed566946e6a6}</author>
    <author>tc={c9de53bf-d93d-4b49-ab29-c653dc651325}</author>
    <author>tc={d246d31e-f975-46de-9110-a4fe2060cab1}</author>
    <author>tc={dfb37a29-543c-4e46-85fb-5e5ef31049dc}</author>
  </authors>
  <commentList>
    <comment authorId="0" xr:uid="{51d1ef6d-c546-41aa-9d5c-81d1568cf687}" ref="M8">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Preveri, če številke držijo glede na to, da so se ob 23.00 začeli Suet Ball nakupi, ki so bili fake.
cc: @peter@mybirdbuddy.com
Assigned to 
Reply:
	@benjamin@mybirdbuddy.com - Sem exportal vsa naročila od včeraj. Prvo fake naročilo je bilo oddano ob 22:16:34, zadnje pa ob 22:59:20.
Skupno število fake naročil je 95.
Skupni znesek fake naročil je 2975.10.
Zdaj bom celoten znesek teh naročil odštel od DTC Revenue in DTC Orders.
Reply:
	Okej, super. Potem pa pazi jutri, ker bodo danes delali refunde na supportu za vsak fake naročila, ki jih je bilo skupno 470.
</t>
      </text>
    </comment>
    <comment authorId="1" xr:uid="{73dba248-7dcf-48e3-8673-ed566946e6a6}" ref="Y60">
      <text>
        <t xml:space="preserve">[Threaded comment]
 Your version of Excel allows you to read this threaded comment; however, any edits to it will get removed if the file is opened in a newer version of Excel. Learn more: https://go.microsoft.com/fwlink/?linkid=870924
Comment:
	Modelled spend
at 19:00: $105.863
We presume the ads ran for two more hours, at average spend of $15,774 per hour, so we added additional $31,548.
Reply:
	@petar.jakovski@mybirdbuddy.com - Please check what was the actual spend here.
Reply:
	@benjamin@mybirdbuddy.com Total Spent for 24 Nov = $288,128.54
Reply:
	Please deduct €120,053.96 - this was hacker spend.
Reply:
	$288,128.54 - $131,460.58 (€120,053.96) = $156,667.96
Reply:
	Confirming this number. Input it and close the comment section.
</t>
      </text>
    </comment>
    <comment authorId="2" xr:uid="{c9de53bf-d93d-4b49-ab29-c653dc651325}" ref="N39">
      <text>
        <t xml:space="preserve">[Threaded comment]
 Your version of Excel allows you to read this threaded comment; however, any edits to it will get removed if the file is opened in a newer version of Excel. Learn more: https://go.microsoft.com/fwlink/?linkid=870924
Comment:
	420 - Fake Orders
</t>
      </text>
    </comment>
    <comment authorId="3" xr:uid="{d246d31e-f975-46de-9110-a4fe2060cab1}" ref="X65">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Mankajo podatko?
</t>
      </text>
    </comment>
    <comment authorId="4" xr:uid="{dfb37a29-543c-4e46-85fb-5e5ef31049dc}" ref="N8">
      <text>
        <t xml:space="preserve">[Threaded comment]
 Your version of Excel allows you to read this threaded comment; however, any edits to it will get removed if the file is opened in a newer version of Excel. Learn more: https://go.microsoft.com/fwlink/?linkid=870924
Comment:
	$7961 - Fake Orders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Average order value</t>
      </text>
    </comment>
    <comment authorId="0" ref="A25">
      <text>
        <t xml:space="preserve">Customer acquisition cost per unit
</t>
      </text>
    </comment>
    <comment authorId="0" ref="A24">
      <text>
        <t xml:space="preserve">Customer acquisition cost per order</t>
      </text>
    </comment>
    <comment authorId="0" ref="A23">
      <text>
        <t xml:space="preserve">E-commerce conversion rate</t>
      </text>
    </comment>
    <comment authorId="0" ref="A20">
      <text>
        <t xml:space="preserve">A session is a period of time during which a user interacts with our website</t>
      </text>
    </comment>
    <comment authorId="0" ref="A18">
      <text>
        <t xml:space="preserve">Returned product, replaced with new one</t>
      </text>
    </comment>
    <comment authorId="0" ref="A16">
      <text>
        <t xml:space="preserve">Refunded orders after receiving the product</t>
      </text>
    </comment>
    <comment authorId="0" ref="A15">
      <text>
        <t xml:space="preserve">cancelled orders during purchase journey / before receiving the product</t>
      </text>
    </comment>
    <comment authorId="0" ref="A14">
      <text>
        <t xml:space="preserve">sum of grouped complaints</t>
      </text>
    </comment>
    <comment authorId="0" ref="A13">
      <text>
        <t xml:space="preserve">taxes from different regions
</t>
      </text>
    </comment>
    <comment authorId="0" ref="A12">
      <text>
        <t xml:space="preserve">cost of goods sold + taxes + duties + other product related fees</t>
      </text>
    </comment>
    <comment authorId="0" ref="A11">
      <text>
        <t xml:space="preserve">e-commerce fees</t>
      </text>
    </comment>
    <comment authorId="0" ref="A10">
      <text>
        <t xml:space="preserve">shipping from supplier to seller + shipping from seller to consumer</t>
      </text>
    </comment>
    <comment authorId="0" ref="A9">
      <text>
        <t xml:space="preserve">advertising costs</t>
      </text>
    </comment>
    <comment authorId="0" ref="A8">
      <text>
        <t xml:space="preserve">sum of grouped costs</t>
      </text>
    </comment>
    <comment authorId="0" ref="A7">
      <text>
        <t xml:space="preserve">The difference between sales revenues, the cost of sold goods and marketing costs. 
Calculated as: Net Order no VAT Value – Purchase Value of Sold Products (COGS) – Marketing Costs</t>
      </text>
    </comment>
    <comment authorId="0" ref="A6">
      <text>
        <t xml:space="preserve">The difference between revenue and cost before accounting other costs, calculated as the selling price of an item, less the cost of goods sold.
Calculated as: Net order no VAT Value – Purchase Value of Sold Products (COGS)</t>
      </text>
    </comment>
    <comment authorId="0" ref="A5">
      <text>
        <t xml:space="preserve">Net Order value = excluding VAT,
 including estimated complaints.</t>
      </text>
    </comment>
    <comment authorId="0" ref="A4">
      <text>
        <t xml:space="preserve">Total Order value including complaints.</t>
      </text>
    </comment>
  </commentList>
</comments>
</file>

<file path=xl/sharedStrings.xml><?xml version="1.0" encoding="utf-8"?>
<sst xmlns="http://schemas.openxmlformats.org/spreadsheetml/2006/main" count="3918" uniqueCount="1584">
  <si>
    <t>Query UUID</t>
  </si>
  <si>
    <t>November</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</si>
  <si>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</si>
  <si>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</si>
  <si>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</si>
  <si>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</si>
  <si>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</si>
  <si>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</si>
  <si>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</si>
  <si>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</si>
  <si>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</si>
  <si>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</si>
  <si>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</si>
  <si>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</si>
  <si>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</si>
  <si>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</si>
  <si>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</si>
  <si>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</si>
  <si>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</si>
  <si>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</si>
  <si>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</si>
  <si>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</si>
  <si>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</si>
  <si>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</si>
  <si>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</si>
  <si>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</si>
  <si>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</si>
  <si>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</si>
  <si>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</si>
  <si>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</si>
  <si>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</si>
  <si>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</si>
  <si>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</si>
  <si>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</si>
  <si>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</si>
  <si>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</si>
  <si>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</si>
  <si>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</si>
  <si>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</si>
  <si>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</si>
  <si>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</si>
  <si>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</si>
  <si>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</si>
  <si>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DAY</t>
  </si>
  <si>
    <t>WED</t>
  </si>
  <si>
    <t>THU</t>
  </si>
  <si>
    <t>FRI</t>
  </si>
  <si>
    <t>SAT</t>
  </si>
  <si>
    <t>SUN</t>
  </si>
  <si>
    <t>MON</t>
  </si>
  <si>
    <t>TUE</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</si>
  <si>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</si>
  <si>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</si>
  <si>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</si>
  <si>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</si>
  <si>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</si>
  <si>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</si>
  <si>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</si>
  <si>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</si>
  <si>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</si>
  <si>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COMMENT</t>
  </si>
  <si>
    <t>User_Kumalic_Benjamin</t>
  </si>
  <si>
    <t>benjamin@mybirdbuddy.com</t>
  </si>
  <si>
    <t>4a0f150f4f2f4e4f85c890c75b7a1fa4</t>
  </si>
  <si>
    <t>Weekend Work</t>
  </si>
  <si>
    <t>Peco</t>
  </si>
  <si>
    <t>Orders</t>
  </si>
  <si>
    <t>[{"account_name":"","advertiser_id":"","id":"act_273249767551281","profile_id":"","name":"si_Bird buddy Inc_US &amp;amp; CA_BirdBuddy"}]</t>
  </si>
  <si>
    <t>Peter</t>
  </si>
  <si>
    <t>adf57e64065742daa5b4161161b1c3ca</t>
  </si>
  <si>
    <t>Amazon (market place)</t>
  </si>
  <si>
    <t>Notes</t>
  </si>
  <si>
    <t>Halloween Sale - MAP</t>
  </si>
  <si>
    <t>[{"name":"si_Bird buddy Inc_US &amp;amp; CA_BirdBuddy","id":"act_273249767551281","profile_id":"","account_name":"","advertiser_id":""}]</t>
  </si>
  <si>
    <t>[{"id":"spend","name":"Total Cost"},{"id":"cpm","name":"CPM"}]</t>
  </si>
  <si>
    <t>Accounts hacked</t>
  </si>
  <si>
    <t>d70e473bcafe40a3aa834ce157fb2ba3</t>
  </si>
  <si>
    <t>3in1 Launch</t>
  </si>
  <si>
    <t>Early Black Friday - MAP</t>
  </si>
  <si>
    <t>Black Friday Lowest Price Ever communication</t>
  </si>
  <si>
    <t>[{"advertiser_id":"","name":"si_Bird buddy Inc_US &amp;amp; CA_BirdBuddy","id":"act_273249767551281","account_name":"","profile_id":""}]</t>
  </si>
  <si>
    <t>Meta</t>
  </si>
  <si>
    <t>BB US Unit Shipping $15</t>
  </si>
  <si>
    <t>Merch Launch</t>
  </si>
  <si>
    <t>3753ddf3234e496aa261974a0222e193</t>
  </si>
  <si>
    <t>Published in WSJ</t>
  </si>
  <si>
    <t>BF Email</t>
  </si>
  <si>
    <t>D-Day</t>
  </si>
  <si>
    <t>Fresh ad account</t>
  </si>
  <si>
    <t>[{"profile_id":"","account_name":"","advertiser_id":"","name":"si_Bird buddy Inc_US &amp;amp; CA_BirdBuddy","id":"act_273249767551281"}]</t>
  </si>
  <si>
    <t>Main ad account restored</t>
  </si>
  <si>
    <t>Amazon out of stock</t>
  </si>
  <si>
    <t>Full Pricing is back at 14.00</t>
  </si>
  <si>
    <t>{"exclude_header_row":true}</t>
  </si>
  <si>
    <t>DTC Revenue</t>
  </si>
  <si>
    <t>Google</t>
  </si>
  <si>
    <t xml:space="preserve">   - Hardware</t>
  </si>
  <si>
    <t>TikTok</t>
  </si>
  <si>
    <t>All</t>
  </si>
  <si>
    <t xml:space="preserve">   - Add-ons</t>
  </si>
  <si>
    <t>Bing</t>
  </si>
  <si>
    <t xml:space="preserve">   - Merch</t>
  </si>
  <si>
    <t>Nextdoor</t>
  </si>
  <si>
    <t xml:space="preserve">   - Seeds</t>
  </si>
  <si>
    <t>Affiliates (Refersion)</t>
  </si>
  <si>
    <t>Revenue</t>
  </si>
  <si>
    <t xml:space="preserve">   - Taxes</t>
  </si>
  <si>
    <t>Email</t>
  </si>
  <si>
    <t xml:space="preserve">   - Shipping</t>
  </si>
  <si>
    <t>Amazon Revenue</t>
  </si>
  <si>
    <t xml:space="preserve">   - Tax</t>
  </si>
  <si>
    <t>Media Cost</t>
  </si>
  <si>
    <t xml:space="preserve">   - Gift Wrap</t>
  </si>
  <si>
    <t>Amazon Spend</t>
  </si>
  <si>
    <t>Digital Marketplaces Revenue</t>
  </si>
  <si>
    <t>Rachio</t>
  </si>
  <si>
    <t>Amazon Platform Fee (15 %)</t>
  </si>
  <si>
    <t>NOVEMBER</t>
  </si>
  <si>
    <t>Gross Revenue</t>
  </si>
  <si>
    <t>Apple Store Sales</t>
  </si>
  <si>
    <t xml:space="preserve">   - Yearly Subscription</t>
  </si>
  <si>
    <t xml:space="preserve">   - Monthly Subscription</t>
  </si>
  <si>
    <t>Weatherflow</t>
  </si>
  <si>
    <t>Amazon Orders</t>
  </si>
  <si>
    <t>Google Store Sales</t>
  </si>
  <si>
    <t>Hardware</t>
  </si>
  <si>
    <t>IndieGoGo</t>
  </si>
  <si>
    <t>SUM</t>
  </si>
  <si>
    <t>Addons</t>
  </si>
  <si>
    <t>Total Revenue</t>
  </si>
  <si>
    <t>Gross Orders</t>
  </si>
  <si>
    <t xml:space="preserve">Tax </t>
  </si>
  <si>
    <t>Apple Store Orders</t>
  </si>
  <si>
    <t>B2B Revenue</t>
  </si>
  <si>
    <t>Best Buy</t>
  </si>
  <si>
    <t xml:space="preserve">Shipping </t>
  </si>
  <si>
    <t>Google Store Orders</t>
  </si>
  <si>
    <t>Gift Wrap Price</t>
  </si>
  <si>
    <t>Target</t>
  </si>
  <si>
    <t>All Amazon</t>
  </si>
  <si>
    <t>Units Sold (Gross)</t>
  </si>
  <si>
    <t>App Revenue</t>
  </si>
  <si>
    <r>
      <rPr>
        <rFont val="Arial"/>
        <color theme="1"/>
        <sz val="12.0"/>
      </rPr>
      <t xml:space="preserve">SKU 1 - </t>
    </r>
    <r>
      <rPr>
        <rFont val="Arial"/>
        <b/>
        <color theme="1"/>
        <sz val="12.0"/>
      </rPr>
      <t>Blue</t>
    </r>
  </si>
  <si>
    <t xml:space="preserve">  - Google Store</t>
  </si>
  <si>
    <t>Refunded Revenue</t>
  </si>
  <si>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</si>
  <si>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</si>
  <si>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</si>
  <si>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</si>
  <si>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t xml:space="preserve">  - Apple Store</t>
  </si>
  <si>
    <t>Wall Mount</t>
  </si>
  <si>
    <t>Suet Ball Holder</t>
  </si>
  <si>
    <t xml:space="preserve">  - Comission</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</si>
  <si>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</si>
  <si>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</si>
  <si>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</si>
  <si>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</si>
  <si>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 xml:space="preserve">  - Tax</t>
  </si>
  <si>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</si>
  <si>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</si>
  <si>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Refunded Orders</t>
  </si>
  <si>
    <t>Affiliate Fee (20%)</t>
  </si>
  <si>
    <t>SUM (Add-ons)</t>
  </si>
  <si>
    <t>Apple Store orders</t>
  </si>
  <si>
    <t>Units Sold by country (Gross) - Only selling in US</t>
  </si>
  <si>
    <t>Bird Buddy - Blue - AMAZON.US</t>
  </si>
  <si>
    <t>Google Store orders</t>
  </si>
  <si>
    <r>
      <rPr>
        <rFont val="Arial"/>
        <color theme="1"/>
        <sz val="13.0"/>
      </rPr>
      <t xml:space="preserve">Bird Buddy - Yellow - </t>
    </r>
    <r>
      <rPr>
        <rFont val="Arial"/>
        <color rgb="FF000000"/>
        <sz val="13.0"/>
      </rPr>
      <t>AMAZON.US</t>
    </r>
  </si>
  <si>
    <t>Bird Buddy with Solar Roof Blue - AMAZON.US</t>
  </si>
  <si>
    <t>DTC Orders</t>
  </si>
  <si>
    <t>Bird Buddy with Solar Roof Yellow - AMAZON.US</t>
  </si>
  <si>
    <t xml:space="preserve">   - Hardware (units sold)</t>
  </si>
  <si>
    <t>Bird Buddy - AMAZON.EU</t>
  </si>
  <si>
    <t>Bird Buddy with Solar Roof - AMAZON.EU</t>
  </si>
  <si>
    <t xml:space="preserve">   - Add-ons (units sold)</t>
  </si>
  <si>
    <t>Bird Buddy - AMAZON (OTHER1)</t>
  </si>
  <si>
    <t xml:space="preserve">   - Merch (units sold)</t>
  </si>
  <si>
    <t>Bird Buddy with Solar Roof - AMAZON (OTHER1)</t>
  </si>
  <si>
    <t xml:space="preserve">   - Seeds (units sold)</t>
  </si>
  <si>
    <t>Net Revenue</t>
  </si>
  <si>
    <t>All Bird Buddy</t>
  </si>
  <si>
    <t>Apple Store</t>
  </si>
  <si>
    <t>- Hardware (units sold)</t>
  </si>
  <si>
    <t>Revenue Woocommerce (Platform)</t>
  </si>
  <si>
    <t>- Add-ons (units sold)</t>
  </si>
  <si>
    <t>All Bird Buddy with Solar Roof</t>
  </si>
  <si>
    <t>Digital Marketplaces Orders</t>
  </si>
  <si>
    <t>Rachio Orders</t>
  </si>
  <si>
    <r>
      <rPr>
        <rFont val="Arial"/>
        <color theme="1"/>
        <sz val="13.0"/>
      </rPr>
      <t xml:space="preserve">Wall Mount - </t>
    </r>
    <r>
      <rPr>
        <rFont val="Arial"/>
        <color rgb="FF000000"/>
        <sz val="13.0"/>
      </rPr>
      <t>AMAZON.US</t>
    </r>
  </si>
  <si>
    <t>Weatherflow Orders</t>
  </si>
  <si>
    <r>
      <rPr>
        <rFont val="Arial"/>
        <color theme="1"/>
        <sz val="13.0"/>
      </rPr>
      <t xml:space="preserve">Fence Mount - </t>
    </r>
    <r>
      <rPr>
        <rFont val="Arial"/>
        <color rgb="FF000000"/>
        <sz val="13.0"/>
      </rPr>
      <t>AMAZON.US</t>
    </r>
  </si>
  <si>
    <t>IndieGoGo Orders</t>
  </si>
  <si>
    <t>Suet Ball Holder - AMAZON.US</t>
  </si>
  <si>
    <r>
      <rPr>
        <rFont val="Arial"/>
        <color theme="1"/>
        <sz val="13.0"/>
      </rPr>
      <t xml:space="preserve">3-in-1 Nutrition Set - </t>
    </r>
    <r>
      <rPr>
        <rFont val="Arial"/>
        <color rgb="FF000000"/>
        <sz val="13.0"/>
      </rPr>
      <t>AMAZON.US</t>
    </r>
  </si>
  <si>
    <t>Google Store</t>
  </si>
  <si>
    <r>
      <rPr>
        <rFont val="Arial"/>
        <color theme="1"/>
        <sz val="13.0"/>
      </rPr>
      <t xml:space="preserve">Solar Roof Single - </t>
    </r>
    <r>
      <rPr>
        <rFont val="Arial"/>
        <color rgb="FF000000"/>
        <sz val="13.0"/>
      </rPr>
      <t>AMAZON.US</t>
    </r>
  </si>
  <si>
    <t>Total Orders</t>
  </si>
  <si>
    <r>
      <rPr>
        <rFont val="Arial"/>
        <color theme="1"/>
        <sz val="13.0"/>
      </rPr>
      <t xml:space="preserve">All </t>
    </r>
    <r>
      <rPr>
        <rFont val="Arial"/>
        <color rgb="FF000000"/>
        <sz val="13.0"/>
      </rPr>
      <t>AMAZON.US</t>
    </r>
  </si>
  <si>
    <t>Wall Mount - AMAZON.EU</t>
  </si>
  <si>
    <t>B2B Orders</t>
  </si>
  <si>
    <t>Orders Woocommerce (Platform)</t>
  </si>
  <si>
    <t>Fence Mount - AMAZON.EU</t>
  </si>
  <si>
    <t>Suet Ball Holder - AMAZON.EU</t>
  </si>
  <si>
    <t>3-in-1 Nutrition Set - AMAZON.EU</t>
  </si>
  <si>
    <t>Solar Roof Single - AMAZON.EU</t>
  </si>
  <si>
    <t>All AMAZON.EU</t>
  </si>
  <si>
    <t>App Orders</t>
  </si>
  <si>
    <t>Wall Mount - AMAZON (OTHER1)</t>
  </si>
  <si>
    <t>Net Orders</t>
  </si>
  <si>
    <t>Fence Mount - AMAZON (OTHER1)</t>
  </si>
  <si>
    <t>Suet Ball Holder - AMAZON (OTHER1)</t>
  </si>
  <si>
    <t>3-in-1 Nutrition Set - AMAZON (OTHER1)</t>
  </si>
  <si>
    <t>Solar Roof Single - AMAZON (OTHER1)</t>
  </si>
  <si>
    <t>Breakdown</t>
  </si>
  <si>
    <t>All AMAZON (OTHER1)</t>
  </si>
  <si>
    <t>Revenue by country (Gross) - Only selling in US</t>
  </si>
  <si>
    <r>
      <rPr>
        <rFont val="Arial"/>
        <color theme="1"/>
        <sz val="12.0"/>
      </rPr>
      <t xml:space="preserve">Bird Buddy - </t>
    </r>
    <r>
      <rPr>
        <rFont val="Arial"/>
        <color rgb="FF000000"/>
        <sz val="12.0"/>
      </rPr>
      <t>AMAZON.US</t>
    </r>
  </si>
  <si>
    <t>Meta Spend EUR</t>
  </si>
  <si>
    <t>Bird Buddy with Solar Roof - AMAZON.US</t>
  </si>
  <si>
    <t>Currency rate</t>
  </si>
  <si>
    <t>Meta Spend</t>
  </si>
  <si>
    <t>Commision Fees &amp; Taxes</t>
  </si>
  <si>
    <t>Google Spend</t>
  </si>
  <si>
    <r>
      <rPr>
        <rFont val="Arial"/>
        <color theme="1"/>
        <sz val="12.0"/>
      </rPr>
      <t xml:space="preserve">Estimated Apple Store Commision Fee (30%) </t>
    </r>
    <r>
      <rPr>
        <rFont val="Arial"/>
        <color theme="1"/>
        <sz val="9.0"/>
      </rPr>
      <t>--&gt; check again after 1. mil.</t>
    </r>
  </si>
  <si>
    <t>Bing Spend</t>
  </si>
  <si>
    <r>
      <rPr>
        <rFont val="Arial"/>
        <color theme="1"/>
        <sz val="12.0"/>
      </rPr>
      <t xml:space="preserve">Wall Mount - </t>
    </r>
    <r>
      <rPr>
        <rFont val="Arial"/>
        <color rgb="FF000000"/>
        <sz val="12.0"/>
      </rPr>
      <t>AMAZON.US</t>
    </r>
  </si>
  <si>
    <t>TikTok Spend</t>
  </si>
  <si>
    <r>
      <rPr>
        <rFont val="Arial"/>
        <color theme="1"/>
        <sz val="12.0"/>
      </rPr>
      <t xml:space="preserve">Fence Mount - </t>
    </r>
    <r>
      <rPr>
        <rFont val="Arial"/>
        <color rgb="FF000000"/>
        <sz val="12.0"/>
      </rPr>
      <t>AMAZON.US</t>
    </r>
  </si>
  <si>
    <t>Nextdoor Spend</t>
  </si>
  <si>
    <t>Estimated Apple Store Taxes</t>
  </si>
  <si>
    <r>
      <rPr>
        <rFont val="Arial"/>
        <color theme="1"/>
        <sz val="12.0"/>
      </rPr>
      <t xml:space="preserve">3-in-1 Nutrition Set - </t>
    </r>
    <r>
      <rPr>
        <rFont val="Arial"/>
        <color rgb="FF000000"/>
        <sz val="12.0"/>
      </rPr>
      <t>AMAZON.US</t>
    </r>
  </si>
  <si>
    <t>IndieGoGo Spend</t>
  </si>
  <si>
    <r>
      <rPr>
        <rFont val="Arial"/>
        <color theme="1"/>
        <sz val="12.0"/>
      </rPr>
      <t xml:space="preserve">Solar Roof Single - </t>
    </r>
    <r>
      <rPr>
        <rFont val="Arial"/>
        <color rgb="FF000000"/>
        <sz val="12.0"/>
      </rPr>
      <t>AMAZON.US</t>
    </r>
  </si>
  <si>
    <r>
      <rPr>
        <rFont val="Arial"/>
        <color theme="1"/>
        <sz val="12.0"/>
      </rPr>
      <t>Estimated Google Store Commision Fee (15%)</t>
    </r>
    <r>
      <rPr>
        <rFont val="Arial"/>
        <color theme="1"/>
        <sz val="9.0"/>
      </rPr>
      <t xml:space="preserve"> --&gt; check again after 1. mil.</t>
    </r>
  </si>
  <si>
    <t>Affiliate Fees</t>
  </si>
  <si>
    <r>
      <rPr>
        <rFont val="Arial"/>
        <color theme="1"/>
        <sz val="12.0"/>
      </rPr>
      <t xml:space="preserve">All </t>
    </r>
    <r>
      <rPr>
        <rFont val="Arial"/>
        <color rgb="FF000000"/>
        <sz val="12.0"/>
      </rPr>
      <t>AMAZON.US</t>
    </r>
  </si>
  <si>
    <t>Rachio Fees</t>
  </si>
  <si>
    <t xml:space="preserve">Estimated Google Store Taxes </t>
  </si>
  <si>
    <t>Weatherflow Fees</t>
  </si>
  <si>
    <t>Estimated SUM Store Commision Fees</t>
  </si>
  <si>
    <t>Total DTC Spend</t>
  </si>
  <si>
    <t>Estimated SUM Store Taxes</t>
  </si>
  <si>
    <t>Total Spend</t>
  </si>
  <si>
    <t>Advertising</t>
  </si>
  <si>
    <t>App Spend</t>
  </si>
  <si>
    <t>Apple Spend</t>
  </si>
  <si>
    <r>
      <rPr>
        <rFont val="Arial"/>
        <color theme="1"/>
        <sz val="12.0"/>
      </rPr>
      <t xml:space="preserve">SKU 1 - </t>
    </r>
    <r>
      <rPr>
        <rFont val="Arial"/>
        <b/>
        <color theme="1"/>
        <sz val="12.0"/>
      </rPr>
      <t>Blue</t>
    </r>
  </si>
  <si>
    <t>Total APP Spend</t>
  </si>
  <si>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</si>
  <si>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</si>
  <si>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t>Units Cancelled by country (Gross)</t>
  </si>
  <si>
    <t>Blended ROAS</t>
  </si>
  <si>
    <r>
      <rPr>
        <rFont val="Arial"/>
        <color theme="1"/>
        <sz val="12.0"/>
      </rPr>
      <t xml:space="preserve">   SKU 1</t>
    </r>
    <r>
      <rPr>
        <rFont val="Arial"/>
        <b/>
        <color theme="1"/>
        <sz val="12.0"/>
      </rPr>
      <t xml:space="preserve"> - Blue</t>
    </r>
  </si>
  <si>
    <r>
      <rPr>
        <rFont val="Arial"/>
        <color theme="1"/>
        <sz val="12.0"/>
      </rPr>
      <t xml:space="preserve">SKU 4 - </t>
    </r>
    <r>
      <rPr>
        <rFont val="Arial"/>
        <b/>
        <color theme="1"/>
        <sz val="12.0"/>
      </rPr>
      <t>Yellow w/ Solar</t>
    </r>
  </si>
  <si>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</si>
  <si>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</si>
  <si>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t>wROAS</t>
  </si>
  <si>
    <r>
      <rPr>
        <rFont val="Arial"/>
        <color theme="1"/>
        <sz val="12.0"/>
      </rPr>
      <t xml:space="preserve">   SKU 4</t>
    </r>
    <r>
      <rPr>
        <rFont val="Arial"/>
        <b/>
        <color theme="1"/>
        <sz val="12.0"/>
      </rPr>
      <t xml:space="preserve"> - Yellow w/ Solar</t>
    </r>
  </si>
  <si>
    <t>SUM (SKU 1 + SKU 2)</t>
  </si>
  <si>
    <t>aROAS</t>
  </si>
  <si>
    <t>SUM (SKU 3 + SKU 4)</t>
  </si>
  <si>
    <t>appROAS</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</si>
  <si>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</si>
  <si>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</si>
  <si>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 xml:space="preserve">   Wall Mount</t>
  </si>
  <si>
    <t>Estimated Subscription Profit</t>
  </si>
  <si>
    <t xml:space="preserve">   - Estimated Apple Store profit</t>
  </si>
  <si>
    <t xml:space="preserve">   Suet Ball Holder</t>
  </si>
  <si>
    <r>
      <rPr>
        <rFont val="Arial"/>
        <color theme="1"/>
        <sz val="12.0"/>
      </rPr>
      <t xml:space="preserve">Solar Roof Single - </t>
    </r>
    <r>
      <rPr>
        <rFont val="Arial"/>
        <b/>
        <color theme="1"/>
        <sz val="12.0"/>
      </rPr>
      <t>Blue</t>
    </r>
  </si>
  <si>
    <t>Blended Spend per Unit</t>
  </si>
  <si>
    <r>
      <rPr>
        <rFont val="Arial"/>
        <color theme="1"/>
        <sz val="12.0"/>
      </rPr>
      <t xml:space="preserve">   3-in-1 Nutrition Set</t>
    </r>
    <r>
      <rPr>
        <rFont val="Arial"/>
        <b/>
        <color theme="1"/>
        <sz val="12.0"/>
      </rPr>
      <t xml:space="preserve"> - Blue</t>
    </r>
  </si>
  <si>
    <r>
      <rPr>
        <rFont val="Arial"/>
        <color theme="1"/>
        <sz val="12.0"/>
      </rPr>
      <t xml:space="preserve">Solar Roof Single - </t>
    </r>
    <r>
      <rPr>
        <rFont val="Arial"/>
        <b/>
        <color theme="1"/>
        <sz val="12.0"/>
      </rPr>
      <t>Yellow</t>
    </r>
  </si>
  <si>
    <r>
      <rPr>
        <rFont val="Arial"/>
        <color theme="1"/>
        <sz val="12.0"/>
      </rPr>
      <t xml:space="preserve">   3-in-1 Nutrition Set</t>
    </r>
    <r>
      <rPr>
        <rFont val="Arial"/>
        <b/>
        <color theme="1"/>
        <sz val="12.0"/>
      </rPr>
      <t xml:space="preserve"> - Yellow</t>
    </r>
  </si>
  <si>
    <r>
      <rPr>
        <rFont val="Arial"/>
        <color theme="1"/>
        <sz val="12.0"/>
      </rPr>
      <t xml:space="preserve">Perch Extender - </t>
    </r>
    <r>
      <rPr>
        <rFont val="Arial"/>
        <b/>
        <color theme="1"/>
        <sz val="12.0"/>
      </rPr>
      <t>Blue</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</si>
  <si>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</si>
  <si>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</si>
  <si>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Perch Extender - </t>
    </r>
    <r>
      <rPr>
        <rFont val="Arial"/>
        <b/>
        <color theme="1"/>
        <sz val="12.0"/>
      </rPr>
      <t>Yellow</t>
    </r>
  </si>
  <si>
    <r>
      <rPr>
        <rFont val="Arial"/>
        <color theme="1"/>
        <sz val="12.0"/>
      </rPr>
      <t xml:space="preserve">   Perch Extender</t>
    </r>
    <r>
      <rPr>
        <rFont val="Arial"/>
        <b/>
        <color theme="1"/>
        <sz val="12.0"/>
      </rPr>
      <t xml:space="preserve"> - Blue</t>
    </r>
  </si>
  <si>
    <r>
      <rPr>
        <rFont val="Arial"/>
        <color theme="1"/>
        <sz val="12.0"/>
      </rPr>
      <t xml:space="preserve">   Perch Extender</t>
    </r>
    <r>
      <rPr>
        <rFont val="Arial"/>
        <b/>
        <color theme="1"/>
        <sz val="12.0"/>
      </rPr>
      <t xml:space="preserve"> - Yellow</t>
    </r>
  </si>
  <si>
    <t>Merch Units Sold (Gross)</t>
  </si>
  <si>
    <t>Units Returned for Refund by country (Gross)</t>
  </si>
  <si>
    <t xml:space="preserve">   - Estimated Google Store profit</t>
  </si>
  <si>
    <t>Merch Units</t>
  </si>
  <si>
    <r>
      <rPr>
        <rFont val="Arial"/>
        <color theme="1"/>
        <sz val="12.0"/>
      </rPr>
      <t xml:space="preserve">   SKU 1</t>
    </r>
    <r>
      <rPr>
        <rFont val="Arial"/>
        <b/>
        <color theme="1"/>
        <sz val="12.0"/>
      </rPr>
      <t xml:space="preserve"> - Blue</t>
    </r>
  </si>
  <si>
    <t>wSPU</t>
  </si>
  <si>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</si>
  <si>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</si>
  <si>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t>First-time Customers</t>
  </si>
  <si>
    <r>
      <rPr>
        <rFont val="Arial"/>
        <color theme="1"/>
        <sz val="12.0"/>
      </rPr>
      <t xml:space="preserve">   SKU 4</t>
    </r>
    <r>
      <rPr>
        <rFont val="Arial"/>
        <b/>
        <color theme="1"/>
        <sz val="12.0"/>
      </rPr>
      <t xml:space="preserve"> - Yellow w/ Solar</t>
    </r>
  </si>
  <si>
    <r>
      <rPr>
        <rFont val="Arial"/>
        <color theme="1"/>
        <sz val="12.0"/>
      </rPr>
      <t xml:space="preserve">SKU 1 - </t>
    </r>
    <r>
      <rPr>
        <rFont val="Arial"/>
        <b/>
        <color theme="1"/>
        <sz val="12.0"/>
      </rPr>
      <t>Blue</t>
    </r>
  </si>
  <si>
    <t>aSPU</t>
  </si>
  <si>
    <r>
      <rPr>
        <rFont val="Arial"/>
        <color theme="1"/>
        <sz val="12.0"/>
      </rPr>
      <t xml:space="preserve">SKU 2 - </t>
    </r>
    <r>
      <rPr>
        <rFont val="Arial"/>
        <b/>
        <color theme="1"/>
        <sz val="12.0"/>
      </rPr>
      <t>Yellow</t>
    </r>
  </si>
  <si>
    <t>Estimated SUM Profit</t>
  </si>
  <si>
    <r>
      <rPr>
        <rFont val="Arial"/>
        <color theme="1"/>
        <sz val="12.0"/>
      </rPr>
      <t xml:space="preserve">SKU 3 - </t>
    </r>
    <r>
      <rPr>
        <rFont val="Arial"/>
        <b/>
        <color theme="1"/>
        <sz val="12.0"/>
      </rPr>
      <t>Blue w/ Solar</t>
    </r>
  </si>
  <si>
    <t>appCAC</t>
  </si>
  <si>
    <r>
      <rPr>
        <rFont val="Arial"/>
        <color theme="1"/>
        <sz val="12.0"/>
      </rPr>
      <t xml:space="preserve">   3-in-1 Nutrition Set</t>
    </r>
    <r>
      <rPr>
        <rFont val="Arial"/>
        <b/>
        <color theme="1"/>
        <sz val="12.0"/>
      </rPr>
      <t xml:space="preserve"> - Blue</t>
    </r>
  </si>
  <si>
    <r>
      <rPr>
        <rFont val="Arial"/>
        <color theme="1"/>
        <sz val="12.0"/>
      </rPr>
      <t xml:space="preserve">SKU 4 - </t>
    </r>
    <r>
      <rPr>
        <rFont val="Arial"/>
        <b/>
        <color theme="1"/>
        <sz val="12.0"/>
      </rPr>
      <t>Yellow w/ Solar</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</si>
  <si>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</si>
  <si>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</si>
  <si>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</si>
  <si>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t>Gross Sales Profit</t>
  </si>
  <si>
    <t>Web CR</t>
  </si>
  <si>
    <r>
      <rPr>
        <rFont val="Arial"/>
        <color theme="1"/>
        <sz val="12.0"/>
      </rPr>
      <t xml:space="preserve">   Perch Extender</t>
    </r>
    <r>
      <rPr>
        <rFont val="Arial"/>
        <b/>
        <color theme="1"/>
        <sz val="12.0"/>
      </rPr>
      <t xml:space="preserve"> - Blue</t>
    </r>
  </si>
  <si>
    <t>Web AOV</t>
  </si>
  <si>
    <t>Gross Sales Margin</t>
  </si>
  <si>
    <r>
      <rPr>
        <rFont val="Arial"/>
        <color theme="1"/>
        <sz val="12.0"/>
      </rPr>
      <t xml:space="preserve">   Perch Extender</t>
    </r>
    <r>
      <rPr>
        <rFont val="Arial"/>
        <b/>
        <color theme="1"/>
        <sz val="12.0"/>
      </rPr>
      <t xml:space="preserve"> - Yellow</t>
    </r>
  </si>
  <si>
    <t>fAOV</t>
  </si>
  <si>
    <t>For summary</t>
  </si>
  <si>
    <t>rAOV</t>
  </si>
  <si>
    <t>Customers</t>
  </si>
  <si>
    <t>Revenue Cancelled by country (Gross)</t>
  </si>
  <si>
    <t>Returning</t>
  </si>
  <si>
    <r>
      <rPr>
        <rFont val="Arial"/>
        <color theme="1"/>
        <sz val="12.0"/>
      </rPr>
      <t xml:space="preserve">3-in-1 Nutrition Set - </t>
    </r>
    <r>
      <rPr>
        <rFont val="Arial"/>
        <b/>
        <color theme="1"/>
        <sz val="12.0"/>
      </rPr>
      <t>Blue</t>
    </r>
  </si>
  <si>
    <t>Hardware - AMAZON.US</t>
  </si>
  <si>
    <t>First-time</t>
  </si>
  <si>
    <t>Apple</t>
  </si>
  <si>
    <r>
      <rPr>
        <rFont val="Arial"/>
        <color theme="1"/>
        <sz val="12.0"/>
      </rPr>
      <t xml:space="preserve">3-in-1 Nutrition Set - </t>
    </r>
    <r>
      <rPr>
        <rFont val="Arial"/>
        <b/>
        <color theme="1"/>
        <sz val="12.0"/>
      </rPr>
      <t>Yellow</t>
    </r>
  </si>
  <si>
    <t>Goal</t>
  </si>
  <si>
    <t>% of Goal</t>
  </si>
  <si>
    <r>
      <rPr>
        <rFont val="Arial"/>
        <color theme="1"/>
        <sz val="12.0"/>
      </rPr>
      <t xml:space="preserve">Solar Roof Single - </t>
    </r>
    <r>
      <rPr>
        <rFont val="Arial"/>
        <b/>
        <color theme="1"/>
        <sz val="12.0"/>
      </rPr>
      <t>Blue</t>
    </r>
  </si>
  <si>
    <t>Spend</t>
  </si>
  <si>
    <r>
      <rPr>
        <rFont val="Arial"/>
        <color theme="1"/>
        <sz val="12.0"/>
      </rPr>
      <t xml:space="preserve">Shipping - </t>
    </r>
    <r>
      <rPr>
        <rFont val="Arial"/>
        <color rgb="FF000000"/>
        <sz val="12.0"/>
      </rPr>
      <t>AMAZON.US</t>
    </r>
  </si>
  <si>
    <r>
      <rPr>
        <rFont val="Arial"/>
        <color theme="1"/>
        <sz val="12.0"/>
      </rPr>
      <t xml:space="preserve">Solar Roof Single - </t>
    </r>
    <r>
      <rPr>
        <rFont val="Arial"/>
        <b/>
        <color theme="1"/>
        <sz val="12.0"/>
      </rPr>
      <t>Yellow</t>
    </r>
  </si>
  <si>
    <t>ROAS</t>
  </si>
  <si>
    <t>Spend per Unit</t>
  </si>
  <si>
    <r>
      <rPr>
        <rFont val="Arial"/>
        <color theme="1"/>
        <sz val="12.0"/>
      </rPr>
      <t xml:space="preserve">Perch Extender - </t>
    </r>
    <r>
      <rPr>
        <rFont val="Arial"/>
        <b/>
        <color theme="1"/>
        <sz val="12.0"/>
      </rPr>
      <t>Blue</t>
    </r>
  </si>
  <si>
    <r>
      <rPr>
        <rFont val="Arial"/>
        <color theme="1"/>
        <sz val="12.0"/>
      </rPr>
      <t xml:space="preserve">Taxes - </t>
    </r>
    <r>
      <rPr>
        <rFont val="Arial"/>
        <color rgb="FF000000"/>
        <sz val="12.0"/>
      </rPr>
      <t>AMAZON.US</t>
    </r>
  </si>
  <si>
    <t xml:space="preserve"> </t>
  </si>
  <si>
    <t>CR</t>
  </si>
  <si>
    <t>AOV</t>
  </si>
  <si>
    <r>
      <rPr>
        <rFont val="Arial"/>
        <color theme="1"/>
        <sz val="12.0"/>
      </rPr>
      <t xml:space="preserve">Perch Extender - </t>
    </r>
    <r>
      <rPr>
        <rFont val="Arial"/>
        <b/>
        <color theme="1"/>
        <sz val="12.0"/>
      </rPr>
      <t>Yellow</t>
    </r>
  </si>
  <si>
    <r>
      <rPr>
        <rFont val="Arial"/>
        <color theme="1"/>
        <sz val="12.0"/>
      </rPr>
      <t xml:space="preserve">Gift Wrap Price - </t>
    </r>
    <r>
      <rPr>
        <rFont val="Arial"/>
        <color rgb="FF000000"/>
        <sz val="12.0"/>
      </rPr>
      <t>AMAZON.US</t>
    </r>
  </si>
  <si>
    <t>Units Sold</t>
  </si>
  <si>
    <r>
      <rPr>
        <rFont val="Arial"/>
        <color theme="1"/>
        <sz val="12.0"/>
      </rPr>
      <t xml:space="preserve">All </t>
    </r>
    <r>
      <rPr>
        <rFont val="Arial"/>
        <color rgb="FF000000"/>
        <sz val="12.0"/>
      </rPr>
      <t>AMAZON.US</t>
    </r>
  </si>
  <si>
    <t>CAC per Unit</t>
  </si>
  <si>
    <t>First-time customers</t>
  </si>
  <si>
    <t>Returning customers</t>
  </si>
  <si>
    <t>Returning Customers</t>
  </si>
  <si>
    <t>Revenue Refunded by country (Net)</t>
  </si>
  <si>
    <r>
      <rPr>
        <rFont val="Arial"/>
        <color theme="1"/>
        <sz val="12.0"/>
      </rPr>
      <t xml:space="preserve">SKU 1 - </t>
    </r>
    <r>
      <rPr>
        <rFont val="Arial"/>
        <b/>
        <color theme="1"/>
        <sz val="12.0"/>
      </rPr>
      <t>Blue</t>
    </r>
  </si>
  <si>
    <r>
      <rPr>
        <rFont val="Arial"/>
        <color theme="1"/>
        <sz val="12.0"/>
      </rPr>
      <t xml:space="preserve">Hardware - </t>
    </r>
    <r>
      <rPr>
        <rFont val="Arial"/>
        <color rgb="FF000000"/>
        <sz val="12.0"/>
      </rPr>
      <t>AMAZON.US</t>
    </r>
  </si>
  <si>
    <r>
      <rPr>
        <rFont val="Arial"/>
        <color theme="1"/>
        <sz val="12.0"/>
      </rPr>
      <t xml:space="preserve">SKU 2 - </t>
    </r>
    <r>
      <rPr>
        <rFont val="Arial"/>
        <b/>
        <color theme="1"/>
        <sz val="12.0"/>
      </rPr>
      <t>Yellow</t>
    </r>
  </si>
  <si>
    <r>
      <rPr>
        <rFont val="Arial"/>
        <color theme="1"/>
        <sz val="12.0"/>
      </rPr>
      <t xml:space="preserve">Shipping - </t>
    </r>
    <r>
      <rPr>
        <rFont val="Arial"/>
        <color rgb="FF000000"/>
        <sz val="12.0"/>
      </rPr>
      <t>AMAZON.US</t>
    </r>
  </si>
  <si>
    <r>
      <rPr>
        <rFont val="Arial"/>
        <color theme="1"/>
        <sz val="12.0"/>
      </rPr>
      <t xml:space="preserve">SKU 3 - </t>
    </r>
    <r>
      <rPr>
        <rFont val="Arial"/>
        <b/>
        <color theme="1"/>
        <sz val="12.0"/>
      </rPr>
      <t>Blue w/ Solar</t>
    </r>
  </si>
  <si>
    <t>Taxes - AMAZON.US</t>
  </si>
  <si>
    <r>
      <rPr>
        <rFont val="Arial"/>
        <color theme="1"/>
        <sz val="12.0"/>
      </rPr>
      <t xml:space="preserve">Gift Wrap Price - </t>
    </r>
    <r>
      <rPr>
        <rFont val="Arial"/>
        <color rgb="FF000000"/>
        <sz val="12.0"/>
      </rPr>
      <t>AMAZON.US</t>
    </r>
  </si>
  <si>
    <r>
      <rPr>
        <rFont val="Arial"/>
        <color theme="1"/>
        <sz val="12.0"/>
      </rPr>
      <t xml:space="preserve">SKU 4 - </t>
    </r>
    <r>
      <rPr>
        <rFont val="Arial"/>
        <b/>
        <color theme="1"/>
        <sz val="12.0"/>
      </rPr>
      <t>Yellow w/ Solar</t>
    </r>
  </si>
  <si>
    <r>
      <rPr>
        <rFont val="Arial"/>
        <color theme="1"/>
        <sz val="12.0"/>
      </rPr>
      <t xml:space="preserve">All </t>
    </r>
    <r>
      <rPr>
        <rFont val="Arial"/>
        <color rgb="FF000000"/>
        <sz val="12.0"/>
      </rPr>
      <t>AMAZON.US</t>
    </r>
  </si>
  <si>
    <t>RETURN (Replacement Units &amp; Claims) Amazon</t>
  </si>
  <si>
    <t>karotenoid</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</si>
  <si>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</si>
  <si>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</si>
  <si>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r>
      <rPr>
        <rFont val="Arial"/>
        <color theme="1"/>
        <sz val="12.0"/>
      </rPr>
      <t xml:space="preserve">3-in-1 Nutrition Set - </t>
    </r>
    <r>
      <rPr>
        <rFont val="Arial"/>
        <b/>
        <color theme="1"/>
        <sz val="12.0"/>
      </rPr>
      <t>Blue</t>
    </r>
  </si>
  <si>
    <r>
      <rPr>
        <rFont val="Arial"/>
        <color theme="1"/>
        <sz val="12.0"/>
      </rPr>
      <t xml:space="preserve">   SKU 3</t>
    </r>
    <r>
      <rPr>
        <rFont val="Arial"/>
        <b/>
        <color theme="1"/>
        <sz val="12.0"/>
      </rPr>
      <t xml:space="preserve"> - Blue w/ Solar</t>
    </r>
  </si>
  <si>
    <r>
      <rPr>
        <rFont val="Arial"/>
        <color theme="1"/>
        <sz val="12.0"/>
      </rPr>
      <t xml:space="preserve">3-in-1 Nutrition Set - </t>
    </r>
    <r>
      <rPr>
        <rFont val="Arial"/>
        <b/>
        <color theme="1"/>
        <sz val="12.0"/>
      </rPr>
      <t>Yellow</t>
    </r>
  </si>
  <si>
    <r>
      <rPr>
        <rFont val="Arial"/>
        <color theme="1"/>
        <sz val="12.0"/>
      </rPr>
      <t xml:space="preserve">   SKU 4</t>
    </r>
    <r>
      <rPr>
        <rFont val="Arial"/>
        <b/>
        <color theme="1"/>
        <sz val="12.0"/>
      </rPr>
      <t xml:space="preserve"> - Yellow w/ Solar</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</si>
  <si>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</si>
  <si>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</si>
  <si>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</si>
  <si>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</si>
  <si>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3-in-1 Nutrition Set</t>
    </r>
    <r>
      <rPr>
        <rFont val="Arial"/>
        <b/>
        <color theme="1"/>
        <sz val="12.0"/>
      </rPr>
      <t xml:space="preserve"> - Blue</t>
    </r>
  </si>
  <si>
    <t>Units Sold (Net)</t>
  </si>
  <si>
    <r>
      <rPr>
        <rFont val="Arial"/>
        <color theme="1"/>
        <sz val="12.0"/>
      </rPr>
      <t xml:space="preserve">   3-in-1 Nutrition Set</t>
    </r>
    <r>
      <rPr>
        <rFont val="Arial"/>
        <b/>
        <color theme="1"/>
        <sz val="12.0"/>
      </rPr>
      <t xml:space="preserve"> - Yellow</t>
    </r>
  </si>
  <si>
    <r>
      <rPr>
        <rFont val="Arial"/>
        <color theme="1"/>
        <sz val="12.0"/>
      </rPr>
      <t xml:space="preserve">SKU 1 - </t>
    </r>
    <r>
      <rPr>
        <rFont val="Arial"/>
        <b/>
        <color theme="1"/>
        <sz val="12.0"/>
      </rPr>
      <t>Blue</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</si>
  <si>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</si>
  <si>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</si>
  <si>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Blue</t>
    </r>
  </si>
  <si>
    <r>
      <rPr>
        <rFont val="Arial"/>
        <color theme="1"/>
        <sz val="12.0"/>
      </rPr>
      <t xml:space="preserve">SKU 2 - </t>
    </r>
    <r>
      <rPr>
        <rFont val="Arial"/>
        <b/>
        <color theme="1"/>
        <sz val="12.0"/>
      </rPr>
      <t>Yellow</t>
    </r>
  </si>
  <si>
    <r>
      <rPr>
        <rFont val="Arial"/>
        <color theme="1"/>
        <sz val="12.0"/>
      </rPr>
      <t xml:space="preserve">   Perch Extender</t>
    </r>
    <r>
      <rPr>
        <rFont val="Arial"/>
        <b/>
        <color theme="1"/>
        <sz val="12.0"/>
      </rPr>
      <t xml:space="preserve"> - Yellow</t>
    </r>
  </si>
  <si>
    <r>
      <rPr>
        <rFont val="Arial"/>
        <color theme="1"/>
        <sz val="12.0"/>
      </rPr>
      <t xml:space="preserve">SKU 3 - </t>
    </r>
    <r>
      <rPr>
        <rFont val="Arial"/>
        <b/>
        <color theme="1"/>
        <sz val="12.0"/>
      </rPr>
      <t>Blue w/ Solar</t>
    </r>
  </si>
  <si>
    <t>Parts</t>
  </si>
  <si>
    <t>Housing - Blue</t>
  </si>
  <si>
    <r>
      <rPr>
        <rFont val="Arial"/>
        <color theme="1"/>
        <sz val="12.0"/>
      </rPr>
      <t xml:space="preserve">SKU 4 - </t>
    </r>
    <r>
      <rPr>
        <rFont val="Arial"/>
        <b/>
        <color theme="1"/>
        <sz val="12.0"/>
      </rPr>
      <t>Yellow w/ Solar</t>
    </r>
  </si>
  <si>
    <t>Housing - Yellow</t>
  </si>
  <si>
    <t>Camera Module</t>
  </si>
  <si>
    <t>Orders Replaced NA</t>
  </si>
  <si>
    <t>Chargebacks</t>
  </si>
  <si>
    <t>Number of chargebacks</t>
  </si>
  <si>
    <t>Gross Cost</t>
  </si>
  <si>
    <t>Media Spend</t>
  </si>
  <si>
    <t>Platform Fees</t>
  </si>
  <si>
    <r>
      <rPr>
        <rFont val="Arial"/>
        <color theme="1"/>
        <sz val="12.0"/>
      </rPr>
      <t xml:space="preserve">3-in-1 Nutrition Set - </t>
    </r>
    <r>
      <rPr>
        <rFont val="Arial"/>
        <b/>
        <color theme="1"/>
        <sz val="12.0"/>
      </rPr>
      <t>Blue</t>
    </r>
  </si>
  <si>
    <t>COGS Bird Buddy ($86.90)</t>
  </si>
  <si>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</si>
  <si>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</si>
  <si>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COGS Bird Buddy with Solar Roof ($97.61)</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</si>
  <si>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</si>
  <si>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</si>
  <si>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COGS Wall Mount ($5.49)</t>
  </si>
  <si>
    <r>
      <rPr>
        <rFont val="Arial"/>
        <color theme="1"/>
        <sz val="12.0"/>
      </rPr>
      <t xml:space="preserve">Perch Extender - </t>
    </r>
    <r>
      <rPr>
        <rFont val="Arial"/>
        <b/>
        <color theme="1"/>
        <sz val="12.0"/>
      </rPr>
      <t>Yellow</t>
    </r>
  </si>
  <si>
    <t>COGS Suet Ball ($1.19)</t>
  </si>
  <si>
    <t>Units Sold by Country (Gross)</t>
  </si>
  <si>
    <t>US &amp; CA - Main</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</si>
  <si>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</si>
  <si>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</si>
  <si>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t>COGS 3-in-1 Nutrition Set ($6.66)</t>
  </si>
  <si>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</si>
  <si>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</si>
  <si>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t>Europe (EU, UK, NOR, SWI) - Main</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</si>
  <si>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</si>
  <si>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</si>
  <si>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t>COGS Solar Roof Single ($13.44)</t>
  </si>
  <si>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</si>
  <si>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</si>
  <si>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t>COGS Perch Extender ($6.00)</t>
  </si>
  <si>
    <t>Inbound Shipping BB units ($11.94)</t>
  </si>
  <si>
    <t>US &amp; CA - Add-ons</t>
  </si>
  <si>
    <t>Outbound Shipping BB units (FBA Fee + Outbound Shipping)</t>
  </si>
  <si>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</si>
  <si>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</si>
  <si>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</si>
  <si>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</si>
  <si>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t>
    </r>
    <r>
      <rPr>
        <rFont val="Arial"/>
        <color theme="1"/>
        <sz val="12.0"/>
      </rPr>
      <t xml:space="preserve">lue </t>
    </r>
  </si>
  <si>
    <r>
      <rPr>
        <rFont val="Arial"/>
        <color theme="1"/>
        <sz val="12.0"/>
      </rPr>
      <t xml:space="preserve">   Perch Extender</t>
    </r>
    <r>
      <rPr>
        <rFont val="Arial"/>
        <b/>
        <color theme="1"/>
        <sz val="12.0"/>
      </rPr>
      <t xml:space="preserve"> - Yellow</t>
    </r>
  </si>
  <si>
    <t>Inbound Shipping Add-ons ($2.27)</t>
  </si>
  <si>
    <r>
      <rPr>
        <rFont val="Arial"/>
        <color theme="1"/>
        <sz val="12.0"/>
      </rPr>
      <t>Europe</t>
    </r>
    <r>
      <rPr>
        <rFont val="Arial"/>
        <color theme="1"/>
        <sz val="12.0"/>
      </rPr>
      <t xml:space="preserve"> - Add-ons</t>
    </r>
  </si>
  <si>
    <t>Outbound Shipping Add-ons (FBA Fee + Outbound Shipping)</t>
  </si>
  <si>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</si>
  <si>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</si>
  <si>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</si>
  <si>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</si>
  <si>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t>
    </r>
    <r>
      <rPr>
        <rFont val="Arial"/>
        <color theme="1"/>
        <sz val="12.0"/>
      </rPr>
      <t xml:space="preserve">lue </t>
    </r>
  </si>
  <si>
    <t>Storage Fee ($0.24)</t>
  </si>
  <si>
    <r>
      <rPr>
        <rFont val="Arial"/>
        <color theme="1"/>
        <sz val="12.0"/>
      </rPr>
      <t xml:space="preserve">   Perch Extender</t>
    </r>
    <r>
      <rPr>
        <rFont val="Arial"/>
        <b/>
        <color theme="1"/>
        <sz val="12.0"/>
      </rPr>
      <t xml:space="preserve"> - Yellow</t>
    </r>
  </si>
  <si>
    <t>Revenue by Country (Gross)</t>
  </si>
  <si>
    <t>(All sales) US VAT (AMZN)</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</si>
  <si>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</si>
  <si>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</si>
  <si>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t>(All sales) Shipping</t>
  </si>
  <si>
    <r>
      <rPr>
        <rFont val="Arial"/>
        <color theme="1"/>
        <sz val="12.0"/>
      </rPr>
      <t xml:space="preserve">   SKU 3</t>
    </r>
    <r>
      <rPr>
        <rFont val="Arial"/>
        <b/>
        <color theme="1"/>
        <sz val="12.0"/>
      </rPr>
      <t xml:space="preserve"> - Blue w/ Solar</t>
    </r>
  </si>
  <si>
    <t>(All sales) Gift Wrap</t>
  </si>
  <si>
    <r>
      <rPr>
        <rFont val="Arial"/>
        <color theme="1"/>
        <sz val="12.0"/>
      </rPr>
      <t xml:space="preserve">   SKU 4</t>
    </r>
    <r>
      <rPr>
        <rFont val="Arial"/>
        <b/>
        <color theme="1"/>
        <sz val="12.0"/>
      </rPr>
      <t xml:space="preserve"> - Yellow w/ Solar</t>
    </r>
  </si>
  <si>
    <r>
      <rPr>
        <rFont val="Arial"/>
        <color theme="1"/>
        <sz val="12.0"/>
      </rPr>
      <t xml:space="preserve">   SKU 1</t>
    </r>
    <r>
      <rPr>
        <rFont val="Arial"/>
        <b/>
        <color theme="1"/>
        <sz val="12.0"/>
      </rPr>
      <t xml:space="preserve"> - Blue</t>
    </r>
  </si>
  <si>
    <t>ALL</t>
  </si>
  <si>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</si>
  <si>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</si>
  <si>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</si>
  <si>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</si>
  <si>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</si>
  <si>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t>Daily ROAS</t>
  </si>
  <si>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</si>
  <si>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</si>
  <si>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t>
    </r>
    <r>
      <rPr>
        <rFont val="Arial"/>
        <color theme="1"/>
        <sz val="12.0"/>
      </rPr>
      <t xml:space="preserve">lue </t>
    </r>
  </si>
  <si>
    <r>
      <rPr>
        <rFont val="Arial"/>
        <color theme="1"/>
        <sz val="12.0"/>
      </rPr>
      <t xml:space="preserve">   Perch Extender</t>
    </r>
    <r>
      <rPr>
        <rFont val="Arial"/>
        <b/>
        <color theme="1"/>
        <sz val="12.0"/>
      </rPr>
      <t xml:space="preserve"> - Yellow</t>
    </r>
  </si>
  <si>
    <t>Total Complaints</t>
  </si>
  <si>
    <t>Cancellations (Ex. "Refunds")</t>
  </si>
  <si>
    <r>
      <rPr>
        <rFont val="Arial"/>
        <color theme="1"/>
        <sz val="12.0"/>
      </rPr>
      <t>Europe</t>
    </r>
    <r>
      <rPr>
        <rFont val="Arial"/>
        <color theme="1"/>
        <sz val="12.0"/>
      </rPr>
      <t xml:space="preserve"> - Add-ons</t>
    </r>
  </si>
  <si>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</si>
  <si>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</si>
  <si>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</si>
  <si>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</si>
  <si>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t>
    </r>
    <r>
      <rPr>
        <rFont val="Arial"/>
        <color theme="1"/>
        <sz val="12.0"/>
      </rPr>
      <t xml:space="preserve">lue </t>
    </r>
  </si>
  <si>
    <r>
      <rPr>
        <rFont val="Arial"/>
        <color theme="1"/>
        <sz val="12.0"/>
      </rPr>
      <t xml:space="preserve">   Perch Extender</t>
    </r>
    <r>
      <rPr>
        <rFont val="Arial"/>
        <b/>
        <color theme="1"/>
        <sz val="12.0"/>
      </rPr>
      <t xml:space="preserve"> - Yellow</t>
    </r>
  </si>
  <si>
    <t>Merch - US &amp; CA</t>
  </si>
  <si>
    <t>Units - Cancelled by country (Gross)</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</si>
  <si>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</si>
  <si>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</si>
  <si>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</si>
  <si>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</si>
  <si>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</si>
  <si>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</si>
  <si>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</si>
  <si>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</si>
  <si>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</si>
  <si>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</si>
  <si>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</si>
  <si>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</si>
  <si>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t>Inbound Shipping Add-ons ($1.44)</t>
  </si>
  <si>
    <r>
      <rPr>
        <rFont val="Arial"/>
        <color theme="1"/>
        <sz val="12.0"/>
      </rPr>
      <t xml:space="preserve">   Perch Extender</t>
    </r>
    <r>
      <rPr>
        <rFont val="Arial"/>
        <b/>
        <color theme="1"/>
        <sz val="12.0"/>
      </rPr>
      <t xml:space="preserve"> - Blue</t>
    </r>
  </si>
  <si>
    <r>
      <rPr>
        <rFont val="Arial"/>
        <color theme="1"/>
        <sz val="12.0"/>
      </rPr>
      <t xml:space="preserve">   Perch Extender</t>
    </r>
    <r>
      <rPr>
        <rFont val="Arial"/>
        <b/>
        <color theme="1"/>
        <sz val="12.0"/>
      </rPr>
      <t xml:space="preserve"> - Yellow</t>
    </r>
  </si>
  <si>
    <t>Europe - Add-ons</t>
  </si>
  <si>
    <t>Cancellations value</t>
  </si>
  <si>
    <t>Returns for Refund (Ex. "Return") (56% adjusted)</t>
  </si>
  <si>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</si>
  <si>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</si>
  <si>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t xml:space="preserve">COGS Bird Buddy ($86.90) </t>
  </si>
  <si>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</si>
  <si>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</si>
  <si>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Blue</t>
    </r>
  </si>
  <si>
    <r>
      <rPr>
        <rFont val="Arial"/>
        <color theme="1"/>
        <sz val="12.0"/>
      </rPr>
      <t xml:space="preserve">   Perch Extender</t>
    </r>
    <r>
      <rPr>
        <rFont val="Arial"/>
        <b/>
        <color theme="1"/>
        <sz val="12.0"/>
      </rPr>
      <t xml:space="preserve"> - Yellow</t>
    </r>
  </si>
  <si>
    <t xml:space="preserve">COGS Bird Buddy with Solar Roof ($97.61) </t>
  </si>
  <si>
    <t>Revenue - Cancelled by country (Gross)</t>
  </si>
  <si>
    <t>Total - US &amp; CA</t>
  </si>
  <si>
    <t>SUM - US &amp; CA</t>
  </si>
  <si>
    <t>Hardware - Europe</t>
  </si>
  <si>
    <t xml:space="preserve">COGS Wall Mount ($5.49) </t>
  </si>
  <si>
    <t>Shipping - Europe</t>
  </si>
  <si>
    <t xml:space="preserve">VAT - Europe </t>
  </si>
  <si>
    <t>SUM - Europe</t>
  </si>
  <si>
    <t xml:space="preserve">COGS Suet Ball ($1.19) </t>
  </si>
  <si>
    <t>Units - Return for Refund by country (Gross)</t>
  </si>
  <si>
    <r>
      <rPr>
        <rFont val="Arial"/>
        <b/>
        <color theme="1"/>
        <sz val="12.0"/>
      </rPr>
      <t xml:space="preserve">   SKU 1 - Blue</t>
    </r>
  </si>
  <si>
    <r>
      <rPr>
        <rFont val="Arial"/>
        <b/>
        <color theme="1"/>
        <sz val="12.0"/>
      </rPr>
      <t xml:space="preserve">   SKU 2 - Yellow</t>
    </r>
  </si>
  <si>
    <r>
      <rPr>
        <rFont val="Arial"/>
        <b/>
        <color theme="1"/>
        <sz val="12.0"/>
      </rPr>
      <t xml:space="preserve">   SKU 3 - Blue w/ Solar</t>
    </r>
  </si>
  <si>
    <r>
      <rPr>
        <rFont val="Arial"/>
        <b/>
        <color theme="1"/>
        <sz val="12.0"/>
      </rPr>
      <t xml:space="preserve">   SKU 4 - Yellow w/ Solar</t>
    </r>
  </si>
  <si>
    <r>
      <rPr>
        <rFont val="Arial"/>
        <b/>
        <color theme="1"/>
        <sz val="12.0"/>
      </rPr>
      <t xml:space="preserve">   SKU 1 - Blue</t>
    </r>
  </si>
  <si>
    <r>
      <rPr>
        <rFont val="Arial"/>
        <b/>
        <color theme="1"/>
        <sz val="12.0"/>
      </rPr>
      <t xml:space="preserve">   SKU 2 - Yellow</t>
    </r>
  </si>
  <si>
    <r>
      <rPr>
        <rFont val="Arial"/>
        <b/>
        <color theme="1"/>
        <sz val="12.0"/>
      </rPr>
      <t xml:space="preserve">   SKU 3 - Blue w/ Solar</t>
    </r>
  </si>
  <si>
    <r>
      <rPr>
        <rFont val="Arial"/>
        <b/>
        <color theme="1"/>
        <sz val="12.0"/>
      </rPr>
      <t xml:space="preserve">   SKU 4 - Yellow w/ Solar</t>
    </r>
  </si>
  <si>
    <r>
      <rPr>
        <rFont val="Arial"/>
        <color theme="1"/>
        <sz val="12.0"/>
      </rPr>
      <t xml:space="preserve">   3-in-1 Nutr</t>
    </r>
    <r>
      <rPr>
        <rFont val="Arial"/>
        <b/>
        <color theme="1"/>
        <sz val="12.0"/>
      </rPr>
      <t>ition Set - Blue</t>
    </r>
  </si>
  <si>
    <r>
      <rPr>
        <rFont val="Arial"/>
        <color theme="1"/>
        <sz val="12.0"/>
      </rPr>
      <t xml:space="preserve">   3-in-1 Nutr</t>
    </r>
    <r>
      <rPr>
        <rFont val="Arial"/>
        <b/>
        <color theme="1"/>
        <sz val="12.0"/>
      </rPr>
      <t>ition Set - Yellow</t>
    </r>
  </si>
  <si>
    <r>
      <rPr>
        <rFont val="Arial"/>
        <color theme="1"/>
        <sz val="12.0"/>
      </rPr>
      <t xml:space="preserve">   Solar Ro</t>
    </r>
    <r>
      <rPr>
        <rFont val="Arial"/>
        <b/>
        <color theme="1"/>
        <sz val="12.0"/>
      </rPr>
      <t>of Single - Blue</t>
    </r>
  </si>
  <si>
    <r>
      <rPr>
        <rFont val="Arial"/>
        <color theme="1"/>
        <sz val="12.0"/>
      </rPr>
      <t xml:space="preserve">   Solar Ro</t>
    </r>
    <r>
      <rPr>
        <rFont val="Arial"/>
        <b/>
        <color theme="1"/>
        <sz val="12.0"/>
      </rPr>
      <t>of Single - Yellow</t>
    </r>
  </si>
  <si>
    <r>
      <rPr>
        <rFont val="Arial"/>
        <color theme="1"/>
        <sz val="12.0"/>
      </rPr>
      <t xml:space="preserve">   Perch</t>
    </r>
    <r>
      <rPr>
        <rFont val="Arial"/>
        <b/>
        <color theme="1"/>
        <sz val="12.0"/>
      </rPr>
      <t xml:space="preserve"> Extender - Blue</t>
    </r>
  </si>
  <si>
    <r>
      <rPr>
        <rFont val="Arial"/>
        <color theme="1"/>
        <sz val="12.0"/>
      </rPr>
      <t xml:space="preserve">   Perch</t>
    </r>
    <r>
      <rPr>
        <rFont val="Arial"/>
        <b/>
        <color theme="1"/>
        <sz val="12.0"/>
      </rPr>
      <t xml:space="preserve"> Extender - Yellow</t>
    </r>
  </si>
  <si>
    <r>
      <rPr>
        <rFont val="Arial"/>
        <color theme="1"/>
        <sz val="12.0"/>
      </rPr>
      <t xml:space="preserve">   3-in-1 Nutr</t>
    </r>
    <r>
      <rPr>
        <rFont val="Arial"/>
        <b/>
        <color theme="1"/>
        <sz val="12.0"/>
      </rPr>
      <t>ition Set - Blue</t>
    </r>
  </si>
  <si>
    <r>
      <rPr>
        <rFont val="Arial"/>
        <color theme="1"/>
        <sz val="12.0"/>
      </rPr>
      <t xml:space="preserve">   3-in-1 Nutr</t>
    </r>
    <r>
      <rPr>
        <rFont val="Arial"/>
        <b/>
        <color theme="1"/>
        <sz val="12.0"/>
      </rPr>
      <t>ition Set - Yellow</t>
    </r>
  </si>
  <si>
    <r>
      <rPr>
        <rFont val="Arial"/>
        <color theme="1"/>
        <sz val="12.0"/>
      </rPr>
      <t xml:space="preserve">   Solar Ro</t>
    </r>
    <r>
      <rPr>
        <rFont val="Arial"/>
        <b/>
        <color theme="1"/>
        <sz val="12.0"/>
      </rPr>
      <t>of Single - Blue</t>
    </r>
  </si>
  <si>
    <r>
      <rPr>
        <rFont val="Arial"/>
        <color theme="1"/>
        <sz val="12.0"/>
      </rPr>
      <t xml:space="preserve">   Solar Ro</t>
    </r>
    <r>
      <rPr>
        <rFont val="Arial"/>
        <b/>
        <color theme="1"/>
        <sz val="12.0"/>
      </rPr>
      <t>of Single - Yellow</t>
    </r>
  </si>
  <si>
    <r>
      <rPr>
        <rFont val="Arial"/>
        <color theme="1"/>
        <sz val="12.0"/>
      </rPr>
      <t xml:space="preserve">   Perch</t>
    </r>
    <r>
      <rPr>
        <rFont val="Arial"/>
        <b/>
        <color theme="1"/>
        <sz val="12.0"/>
      </rPr>
      <t xml:space="preserve"> Extender - Blue</t>
    </r>
  </si>
  <si>
    <t>Removal Fee</t>
  </si>
  <si>
    <r>
      <rPr>
        <rFont val="Arial"/>
        <color theme="1"/>
        <sz val="12.0"/>
      </rPr>
      <t xml:space="preserve">   Perch</t>
    </r>
    <r>
      <rPr>
        <rFont val="Arial"/>
        <b/>
        <color theme="1"/>
        <sz val="12.0"/>
      </rPr>
      <t xml:space="preserve"> Extender - Yellow</t>
    </r>
  </si>
  <si>
    <t>Orders Return for Refund - US &amp; CA</t>
  </si>
  <si>
    <t>Orders Return for Refund - Europe</t>
  </si>
  <si>
    <t>Refunds value</t>
  </si>
  <si>
    <t>Revenue - Returned for Refund by country (Gross)</t>
  </si>
  <si>
    <t>Returns for Replacement and Claims (46% adjusted)</t>
  </si>
  <si>
    <t>Units - Return for Replacement (Replacement Units &amp; Claims) by country</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</si>
  <si>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</si>
  <si>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</si>
  <si>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</si>
  <si>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</si>
  <si>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</si>
  <si>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</si>
  <si>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</si>
  <si>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</si>
  <si>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t>
    </r>
    <r>
      <rPr>
        <rFont val="Arial"/>
        <b/>
        <color theme="1"/>
        <sz val="12.0"/>
      </rPr>
      <t xml:space="preserve"> - Blue</t>
    </r>
  </si>
  <si>
    <r>
      <rPr>
        <rFont val="Arial"/>
        <color theme="1"/>
        <sz val="12.0"/>
      </rPr>
      <t xml:space="preserve">   SKU 2</t>
    </r>
    <r>
      <rPr>
        <rFont val="Arial"/>
        <b/>
        <color theme="1"/>
        <sz val="12.0"/>
      </rPr>
      <t xml:space="preserve"> - Yellow</t>
    </r>
  </si>
  <si>
    <r>
      <rPr>
        <rFont val="Arial"/>
        <color theme="1"/>
        <sz val="12.0"/>
      </rPr>
      <t xml:space="preserve">   SKU 3</t>
    </r>
    <r>
      <rPr>
        <rFont val="Arial"/>
        <b/>
        <color theme="1"/>
        <sz val="12.0"/>
      </rPr>
      <t xml:space="preserve"> - Blue w/ Solar</t>
    </r>
  </si>
  <si>
    <r>
      <rPr>
        <rFont val="Arial"/>
        <color theme="1"/>
        <sz val="12.0"/>
      </rPr>
      <t xml:space="preserve">   SKU 4</t>
    </r>
    <r>
      <rPr>
        <rFont val="Arial"/>
        <b/>
        <color theme="1"/>
        <sz val="12.0"/>
      </rPr>
      <t xml:space="preserve"> - 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</si>
  <si>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</si>
  <si>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</si>
  <si>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</si>
  <si>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t>
    </r>
    <r>
      <rPr>
        <rFont val="Arial"/>
        <b/>
        <color theme="1"/>
        <sz val="12.0"/>
      </rPr>
      <t xml:space="preserve"> - Blue</t>
    </r>
  </si>
  <si>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</si>
  <si>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</si>
  <si>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</si>
  <si>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Blue</t>
    </r>
  </si>
  <si>
    <r>
      <rPr>
        <rFont val="Arial"/>
        <color theme="1"/>
        <sz val="12.0"/>
      </rPr>
      <t xml:space="preserve">   Perch Extender</t>
    </r>
    <r>
      <rPr>
        <rFont val="Arial"/>
        <b/>
        <color theme="1"/>
        <sz val="12.0"/>
      </rPr>
      <t xml:space="preserve"> - Yellow</t>
    </r>
  </si>
  <si>
    <r>
      <rPr>
        <rFont val="Arial"/>
        <color theme="1"/>
        <sz val="12.0"/>
      </rPr>
      <t xml:space="preserve">   3-in-1 Nutrition Set</t>
    </r>
    <r>
      <rPr>
        <rFont val="Arial"/>
        <b/>
        <color theme="1"/>
        <sz val="12.0"/>
      </rPr>
      <t xml:space="preserve"> - Blue</t>
    </r>
  </si>
  <si>
    <t>Returns for Replacement and Claims (New Items, 100%)</t>
  </si>
  <si>
    <r>
      <rPr>
        <rFont val="Arial"/>
        <color theme="1"/>
        <sz val="12.0"/>
      </rPr>
      <t xml:space="preserve">   3-in-1 Nutrition Set</t>
    </r>
    <r>
      <rPr>
        <rFont val="Arial"/>
        <b/>
        <color theme="1"/>
        <sz val="12.0"/>
      </rPr>
      <t xml:space="preserve"> - Yellow</t>
    </r>
  </si>
  <si>
    <r>
      <rPr>
        <rFont val="Arial"/>
        <color theme="1"/>
        <sz val="12.0"/>
      </rPr>
      <t xml:space="preserve">   Solar Roof Single</t>
    </r>
    <r>
      <rPr>
        <rFont val="Arial"/>
        <b/>
        <color theme="1"/>
        <sz val="12.0"/>
      </rPr>
      <t xml:space="preserve"> - Blue</t>
    </r>
  </si>
  <si>
    <r>
      <rPr>
        <rFont val="Arial"/>
        <color theme="1"/>
        <sz val="12.0"/>
      </rPr>
      <t xml:space="preserve">   Solar Roof Single</t>
    </r>
    <r>
      <rPr>
        <rFont val="Arial"/>
        <b/>
        <color theme="1"/>
        <sz val="12.0"/>
      </rPr>
      <t xml:space="preserve"> - Yellow</t>
    </r>
  </si>
  <si>
    <r>
      <rPr>
        <rFont val="Arial"/>
        <color theme="1"/>
        <sz val="12.0"/>
      </rPr>
      <t xml:space="preserve">   Perch Extender</t>
    </r>
    <r>
      <rPr>
        <rFont val="Arial"/>
        <b/>
        <color theme="1"/>
        <sz val="12.0"/>
      </rPr>
      <t xml:space="preserve"> - Blue</t>
    </r>
  </si>
  <si>
    <r>
      <rPr>
        <rFont val="Arial"/>
        <color theme="1"/>
        <sz val="12.0"/>
      </rPr>
      <t xml:space="preserve">   Perch Extender</t>
    </r>
    <r>
      <rPr>
        <rFont val="Arial"/>
        <b/>
        <color theme="1"/>
        <sz val="12.0"/>
      </rPr>
      <t xml:space="preserve"> - Yellow</t>
    </r>
  </si>
  <si>
    <t>Orders Return for Replacement - US &amp; CA</t>
  </si>
  <si>
    <t>Orders Return for Replacement - Europe</t>
  </si>
  <si>
    <t>Undeliverables</t>
  </si>
  <si>
    <t>Orders - Undelivered - US &amp; CA</t>
  </si>
  <si>
    <t>Orders - Undelivered - Europe</t>
  </si>
  <si>
    <t xml:space="preserve">Number of Chargebacks </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</si>
  <si>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</si>
  <si>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</si>
  <si>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</si>
  <si>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Chargebacks Fee</t>
  </si>
  <si>
    <t>Compensations</t>
  </si>
  <si>
    <r>
      <rPr>
        <rFont val="Arial"/>
        <b/>
        <color theme="1"/>
        <sz val="12.0"/>
      </rPr>
      <t xml:space="preserve">COGS Wall Mount </t>
    </r>
    <r>
      <rPr>
        <rFont val="Arial"/>
        <b val="0"/>
        <color theme="1"/>
        <sz val="12.0"/>
      </rPr>
      <t>($5.49)</t>
    </r>
  </si>
  <si>
    <t>Cash Out</t>
  </si>
  <si>
    <t>Total Cost</t>
  </si>
  <si>
    <r>
      <rPr>
        <rFont val="Arial"/>
        <b/>
        <color theme="1"/>
        <sz val="12.0"/>
      </rPr>
      <t xml:space="preserve">COGS Suet Ball </t>
    </r>
    <r>
      <rPr>
        <rFont val="Arial"/>
        <b val="0"/>
        <color theme="1"/>
        <sz val="12.0"/>
      </rPr>
      <t>($1.19)</t>
    </r>
  </si>
  <si>
    <t>NET Sales Profit</t>
  </si>
  <si>
    <r>
      <rPr>
        <rFont val="Arial"/>
        <b/>
        <color theme="1"/>
        <sz val="12.0"/>
      </rPr>
      <t>COGS 3-in-1 Nutrition Set</t>
    </r>
    <r>
      <rPr>
        <rFont val="Arial"/>
        <b val="0"/>
        <color theme="1"/>
        <sz val="12.0"/>
      </rPr>
      <t xml:space="preserve"> ($6.66)</t>
    </r>
  </si>
  <si>
    <t>Net Sales Margin</t>
  </si>
  <si>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</si>
  <si>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</si>
  <si>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</si>
  <si>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</si>
  <si>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t xml:space="preserve">Rachio (Shopify) </t>
  </si>
  <si>
    <r>
      <rPr>
        <rFont val="Arial"/>
        <b/>
        <color theme="1"/>
        <sz val="12.0"/>
      </rPr>
      <t xml:space="preserve">Transaction Fee </t>
    </r>
    <r>
      <rPr>
        <rFont val="Arial"/>
        <b val="0"/>
        <color theme="1"/>
        <sz val="12.0"/>
      </rPr>
      <t xml:space="preserve">($0.30) </t>
    </r>
    <r>
      <rPr>
        <rFont val="Arial"/>
        <b val="0"/>
        <color theme="1"/>
        <sz val="10.0"/>
      </rPr>
      <t>stripe vs. affirm %</t>
    </r>
  </si>
  <si>
    <t xml:space="preserve">  - Shipping</t>
  </si>
  <si>
    <t>Rachio Fees (20%)</t>
  </si>
  <si>
    <r>
      <rPr>
        <rFont val="Arial"/>
        <b/>
        <color theme="1"/>
        <sz val="12.0"/>
      </rPr>
      <t xml:space="preserve">Inbound Shipping BB units </t>
    </r>
    <r>
      <rPr>
        <rFont val="Arial"/>
        <b val="0"/>
        <color theme="1"/>
        <sz val="12.0"/>
      </rPr>
      <t>($11.94)</t>
    </r>
  </si>
  <si>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</si>
  <si>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</si>
  <si>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</si>
  <si>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</si>
  <si>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</si>
  <si>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b/>
        <color theme="1"/>
        <sz val="12.0"/>
      </rPr>
      <t>Outbound Shipping BB units</t>
    </r>
    <r>
      <rPr>
        <rFont val="Arial"/>
        <b val="0"/>
        <color theme="1"/>
        <sz val="12.0"/>
      </rPr>
      <t xml:space="preserve"> ($11.94)</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</si>
  <si>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</si>
  <si>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</si>
  <si>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</si>
  <si>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</si>
  <si>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</si>
  <si>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</si>
  <si>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</si>
  <si>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r>
      <rPr>
        <rFont val="Arial"/>
        <b/>
        <color theme="1"/>
        <sz val="12.0"/>
      </rPr>
      <t>Inbound Shipping Add-ons</t>
    </r>
    <r>
      <rPr>
        <rFont val="Arial"/>
        <b val="0"/>
        <color theme="1"/>
        <sz val="12.0"/>
      </rPr>
      <t xml:space="preserve"> ($1.44)</t>
    </r>
  </si>
  <si>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</si>
  <si>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</si>
  <si>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</si>
  <si>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</si>
  <si>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</si>
  <si>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</si>
  <si>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</si>
  <si>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</si>
  <si>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</si>
  <si>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</si>
  <si>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</si>
  <si>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Outbound Shipping Add-ons </t>
    </r>
    <r>
      <rPr>
        <rFont val="Arial"/>
        <b val="0"/>
        <color theme="1"/>
        <sz val="12.0"/>
      </rPr>
      <t>($6.16)</t>
    </r>
  </si>
  <si>
    <t>Revenue Cancelled (Gross) - Rachio</t>
  </si>
  <si>
    <t xml:space="preserve">Hardware </t>
  </si>
  <si>
    <t xml:space="preserve">Taxes </t>
  </si>
  <si>
    <t>All NA</t>
  </si>
  <si>
    <r>
      <rPr>
        <rFont val="Arial"/>
        <b/>
        <color theme="1"/>
        <sz val="12.0"/>
      </rPr>
      <t>Outbound Shipping - Merch</t>
    </r>
    <r>
      <rPr>
        <rFont val="Arial"/>
        <b val="0"/>
        <color theme="1"/>
        <sz val="12.0"/>
      </rPr>
      <t xml:space="preserve"> (Average)</t>
    </r>
  </si>
  <si>
    <t>All EU</t>
  </si>
  <si>
    <t>Units Refund (Gross) - Rachio</t>
  </si>
  <si>
    <r>
      <rPr>
        <rFont val="Arial"/>
        <color theme="1"/>
        <sz val="12.0"/>
      </rPr>
      <t xml:space="preserve">   SKU 1 - </t>
    </r>
    <r>
      <rPr>
        <rFont val="Arial"/>
        <b/>
        <color theme="1"/>
        <sz val="12.0"/>
      </rPr>
      <t>Blue</t>
    </r>
  </si>
  <si>
    <r>
      <rPr>
        <rFont val="Arial"/>
        <b/>
        <color theme="1"/>
        <sz val="12.0"/>
      </rPr>
      <t>(All sales) US VAT</t>
    </r>
    <r>
      <rPr>
        <rFont val="Arial"/>
        <b val="0"/>
        <color theme="1"/>
        <sz val="12.0"/>
      </rPr>
      <t xml:space="preserve"> (Woo)</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</si>
  <si>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</si>
  <si>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</si>
  <si>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</si>
  <si>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b/>
        <color theme="1"/>
        <sz val="12.0"/>
      </rPr>
      <t xml:space="preserve">(All sales) Europe VAT </t>
    </r>
    <r>
      <rPr>
        <rFont val="Arial"/>
        <b val="0"/>
        <color theme="1"/>
        <sz val="12.0"/>
      </rPr>
      <t>(EU, UK, NOR, SWI) - 22%</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</si>
  <si>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</si>
  <si>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</si>
  <si>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</si>
  <si>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</si>
  <si>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</si>
  <si>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</si>
  <si>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</si>
  <si>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</si>
  <si>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Business Metrics</t>
  </si>
  <si>
    <t>Source</t>
  </si>
  <si>
    <t>COGS</t>
  </si>
  <si>
    <t>Attachment Rates</t>
  </si>
  <si>
    <t>Marketing Averages (per first-time order)</t>
  </si>
  <si>
    <t>Fees</t>
  </si>
  <si>
    <t>VAT Averages</t>
  </si>
  <si>
    <t>30 Day Returns</t>
  </si>
  <si>
    <t>Digital Market Places &amp; B2B</t>
  </si>
  <si>
    <t>Bird Buddy</t>
  </si>
  <si>
    <t>Solar Roof</t>
  </si>
  <si>
    <t>RETURN (Replacement Units &amp; Claims) - Rachio</t>
  </si>
  <si>
    <r>
      <rPr>
        <rFont val="Arial"/>
        <color theme="1"/>
        <sz val="12.0"/>
      </rPr>
      <t xml:space="preserve">   SKU 1 - </t>
    </r>
    <r>
      <rPr>
        <rFont val="Arial"/>
        <b/>
        <color theme="1"/>
        <sz val="12.0"/>
      </rPr>
      <t>Blue</t>
    </r>
  </si>
  <si>
    <t>Stripe Processing Fee</t>
  </si>
  <si>
    <r>
      <rPr>
        <rFont val="Arial"/>
        <color theme="1"/>
        <sz val="12.0"/>
      </rPr>
      <t xml:space="preserve">   SKU 2 - </t>
    </r>
    <r>
      <rPr>
        <rFont val="Arial"/>
        <b/>
        <color theme="1"/>
        <sz val="12.0"/>
      </rPr>
      <t>Yellow</t>
    </r>
  </si>
  <si>
    <t>Europe</t>
  </si>
  <si>
    <t>US Shipping</t>
  </si>
  <si>
    <t>Average % tax</t>
  </si>
  <si>
    <t>Bird Buddy with Solar Roof</t>
  </si>
  <si>
    <r>
      <rPr>
        <rFont val="Arial"/>
        <color theme="1"/>
        <sz val="12.0"/>
      </rPr>
      <t xml:space="preserve">   SKU 3 - </t>
    </r>
    <r>
      <rPr>
        <rFont val="Arial"/>
        <b/>
        <color theme="1"/>
        <sz val="12.0"/>
      </rPr>
      <t>Blue w/ Solar</t>
    </r>
  </si>
  <si>
    <t>Inbound Shipping</t>
  </si>
  <si>
    <t>Duty</t>
  </si>
  <si>
    <t>ROW</t>
  </si>
  <si>
    <t>EU Shipping</t>
  </si>
  <si>
    <r>
      <rPr>
        <rFont val="Arial"/>
        <color theme="1"/>
        <sz val="12.0"/>
      </rPr>
      <t xml:space="preserve">   SKU 4 - </t>
    </r>
    <r>
      <rPr>
        <rFont val="Arial"/>
        <b/>
        <color theme="1"/>
        <sz val="12.0"/>
      </rPr>
      <t>Yellow w/ Solar</t>
    </r>
  </si>
  <si>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</si>
  <si>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</si>
  <si>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</si>
  <si>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</si>
  <si>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</si>
  <si>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</si>
  <si>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</si>
  <si>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</si>
  <si>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</si>
  <si>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</si>
  <si>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</si>
  <si>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</si>
  <si>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</si>
  <si>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</si>
  <si>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</si>
  <si>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</si>
  <si>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</si>
  <si>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</si>
  <si>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</si>
  <si>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</si>
  <si>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</si>
  <si>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</si>
  <si>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</si>
  <si>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</si>
  <si>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</si>
  <si>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</si>
  <si>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</si>
  <si>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</si>
  <si>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</si>
  <si>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</si>
  <si>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</si>
  <si>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</si>
  <si>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</si>
  <si>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Affirm transaction fee</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</si>
  <si>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</si>
  <si>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</si>
  <si>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</si>
  <si>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Outbound shipping</t>
  </si>
  <si>
    <t>Bird buddy</t>
  </si>
  <si>
    <t>Add-ons</t>
  </si>
  <si>
    <t>Merch</t>
  </si>
  <si>
    <r>
      <rPr>
        <rFont val="Arial"/>
        <color theme="1"/>
        <sz val="12.0"/>
      </rPr>
      <t xml:space="preserve">   Solar Roof Single - </t>
    </r>
    <r>
      <rPr>
        <rFont val="Arial"/>
        <b/>
        <color theme="1"/>
        <sz val="12.0"/>
      </rPr>
      <t>Yellow</t>
    </r>
  </si>
  <si>
    <t>*w/o CA weight</t>
  </si>
  <si>
    <t>Outbound (NA)</t>
  </si>
  <si>
    <t>App Advertising</t>
  </si>
  <si>
    <t>Outbound (Europe)</t>
  </si>
  <si>
    <r>
      <rPr>
        <rFont val="Arial"/>
        <color theme="1"/>
        <sz val="12.0"/>
      </rPr>
      <t xml:space="preserve">   Perch Extender - </t>
    </r>
    <r>
      <rPr>
        <rFont val="Arial"/>
        <b/>
        <color theme="1"/>
        <sz val="12.0"/>
      </rPr>
      <t>Blue</t>
    </r>
  </si>
  <si>
    <t>Meta Share to Apple Store</t>
  </si>
  <si>
    <t>Outbound (ROW)</t>
  </si>
  <si>
    <t>Meta Share to Google Store</t>
  </si>
  <si>
    <r>
      <rPr>
        <rFont val="Arial"/>
        <color theme="1"/>
        <sz val="12.0"/>
      </rPr>
      <t xml:space="preserve">   Perch Extender - </t>
    </r>
    <r>
      <rPr>
        <rFont val="Arial"/>
        <b/>
        <color theme="1"/>
        <sz val="12.0"/>
      </rPr>
      <t>Yellow</t>
    </r>
  </si>
  <si>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</si>
  <si>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</si>
  <si>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</si>
  <si>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</si>
  <si>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</si>
  <si>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</si>
  <si>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</si>
  <si>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</si>
  <si>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</si>
  <si>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</si>
  <si>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</si>
  <si>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</si>
  <si>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</si>
  <si>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Gross Complaints</t>
  </si>
  <si>
    <t>Inbound (Europe)</t>
  </si>
  <si>
    <t>Inbound (ROW)</t>
  </si>
  <si>
    <t>AMAZON Logistics</t>
  </si>
  <si>
    <t>https://docs.google.com/spreadsheets/d/1Dn0q7h1bHxXdG0N9KpcqzFo0tWUWYXOrRX7yxv3G1E0/edit#gid=1264242332</t>
  </si>
  <si>
    <t xml:space="preserve">Cancellations </t>
  </si>
  <si>
    <t>Inbound</t>
  </si>
  <si>
    <t xml:space="preserve">Weatherflow (Shopify) </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</si>
  <si>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</si>
  <si>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</si>
  <si>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</si>
  <si>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</si>
  <si>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</si>
  <si>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</si>
  <si>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</si>
  <si>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</si>
  <si>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</si>
  <si>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</si>
  <si>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</si>
  <si>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</si>
  <si>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Weatherflow Fees (15%)</t>
  </si>
  <si>
    <t>Amazon Removal Fee</t>
  </si>
  <si>
    <t>Units Sold (Gross) - Weatherflow</t>
  </si>
  <si>
    <t>Units</t>
  </si>
  <si>
    <r>
      <rPr>
        <rFont val="Arial"/>
        <color theme="1"/>
        <sz val="12.0"/>
      </rPr>
      <t xml:space="preserve">SKU 1 - </t>
    </r>
    <r>
      <rPr>
        <rFont val="Arial"/>
        <b/>
        <color theme="1"/>
        <sz val="12.0"/>
      </rPr>
      <t>Blue</t>
    </r>
  </si>
  <si>
    <t>https://docs.google.com/document/d/1m1D0mcq6_cpIUs4Z2pSMjDX9L4kRSfAwaLu0UKQppIM/edit?usp=sharing</t>
  </si>
  <si>
    <t>Explanation for Returns, Cancellations, Replacements calculation</t>
  </si>
  <si>
    <t>https://docs.google.com/spreadsheets/d/1JFD6SusYZSq5MvMm0PnCaYPmLBVKBKvK09yjZIlSFN4/edit#gid=0</t>
  </si>
  <si>
    <r>
      <rPr>
        <rFont val="Arial"/>
        <color theme="1"/>
        <sz val="12.0"/>
      </rPr>
      <t xml:space="preserve">SKU 2 - </t>
    </r>
    <r>
      <rPr>
        <rFont val="Arial"/>
        <b/>
        <color theme="1"/>
        <sz val="12.0"/>
      </rPr>
      <t>Yellow</t>
    </r>
  </si>
  <si>
    <t>Amazon Modelling for cancelled orders</t>
  </si>
  <si>
    <t>Discount Price Template for cancelled orders</t>
  </si>
  <si>
    <t>item-tax</t>
  </si>
  <si>
    <t>shipping-price</t>
  </si>
  <si>
    <r>
      <rPr>
        <rFont val="Arial"/>
        <color theme="1"/>
        <sz val="12.0"/>
      </rPr>
      <t xml:space="preserve">SKU 3 - </t>
    </r>
    <r>
      <rPr>
        <rFont val="Arial"/>
        <b/>
        <color theme="1"/>
        <sz val="12.0"/>
      </rPr>
      <t>Blue w/ Solar</t>
    </r>
  </si>
  <si>
    <t>shipping-tax</t>
  </si>
  <si>
    <t>gift-wrap-price</t>
  </si>
  <si>
    <t>gift-wrap-tax</t>
  </si>
  <si>
    <t>item-promotion-discount</t>
  </si>
  <si>
    <t>ship-promotion-discount</t>
  </si>
  <si>
    <r>
      <rPr>
        <rFont val="Arial"/>
        <color theme="1"/>
        <sz val="12.0"/>
      </rPr>
      <t xml:space="preserve">SKU 4 - </t>
    </r>
    <r>
      <rPr>
        <rFont val="Arial"/>
        <b/>
        <color theme="1"/>
        <sz val="12.0"/>
      </rPr>
      <t>Yellow w/ Solar</t>
    </r>
  </si>
  <si>
    <t>B2B</t>
  </si>
  <si>
    <t>Agency Fee</t>
  </si>
  <si>
    <t>NET NET</t>
  </si>
  <si>
    <t>Agency transportation best buy</t>
  </si>
  <si>
    <t>*Dejan sporoči</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</si>
  <si>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</si>
  <si>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</si>
  <si>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</si>
  <si>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</si>
  <si>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</si>
  <si>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</si>
  <si>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</si>
  <si>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</si>
  <si>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</si>
  <si>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</si>
  <si>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</si>
  <si>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</si>
  <si>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</si>
  <si>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</si>
  <si>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</si>
  <si>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</si>
  <si>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</si>
  <si>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</si>
  <si>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</si>
  <si>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</si>
  <si>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</si>
  <si>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</si>
  <si>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</si>
  <si>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</si>
  <si>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 xml:space="preserve">Outbound Shipping BB units </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</si>
  <si>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</si>
  <si>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</si>
  <si>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</si>
  <si>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</si>
  <si>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</si>
  <si>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</si>
  <si>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</si>
  <si>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Outbound Shipping Add-ons ($6.16)</t>
  </si>
  <si>
    <r>
      <rPr>
        <rFont val="Arial"/>
        <b/>
        <color theme="1"/>
        <sz val="12.0"/>
      </rPr>
      <t xml:space="preserve">Returns for Refund </t>
    </r>
    <r>
      <rPr>
        <rFont val="Arial"/>
        <b val="0"/>
        <color theme="1"/>
        <sz val="12.0"/>
      </rPr>
      <t>(25% adjusted)</t>
    </r>
  </si>
  <si>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</si>
  <si>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</si>
  <si>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</si>
  <si>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</si>
  <si>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</si>
  <si>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</si>
  <si>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</si>
  <si>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</si>
  <si>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</si>
  <si>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</si>
  <si>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</si>
  <si>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</si>
  <si>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</si>
  <si>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</si>
  <si>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</si>
  <si>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</si>
  <si>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</si>
  <si>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</si>
  <si>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</si>
  <si>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</si>
  <si>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</si>
  <si>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</si>
  <si>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</si>
  <si>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</si>
  <si>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t>30 days return shipping</t>
  </si>
  <si>
    <r>
      <rPr>
        <rFont val="Arial"/>
        <b/>
        <color theme="1"/>
        <sz val="12.0"/>
      </rPr>
      <t xml:space="preserve">COGS Bird Buddy with Solar Roof </t>
    </r>
    <r>
      <rPr>
        <rFont val="Arial"/>
        <b val="0"/>
        <color theme="1"/>
        <sz val="12.0"/>
      </rPr>
      <t>($97.61)</t>
    </r>
  </si>
  <si>
    <r>
      <rPr>
        <rFont val="Arial"/>
        <b/>
        <color theme="1"/>
        <sz val="12.0"/>
      </rPr>
      <t xml:space="preserve">Returns for Replacements and Claims </t>
    </r>
    <r>
      <rPr>
        <rFont val="Arial"/>
        <b val="0"/>
        <color theme="1"/>
        <sz val="12.0"/>
      </rPr>
      <t>(10% adjusted)</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</si>
  <si>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</si>
  <si>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</si>
  <si>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</si>
  <si>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</si>
  <si>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</si>
  <si>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 xml:space="preserve">Inbound Shipping BB units </t>
    </r>
    <r>
      <rPr>
        <rFont val="Arial"/>
        <b val="0"/>
        <color theme="1"/>
        <sz val="12.0"/>
      </rPr>
      <t>($11.94)</t>
    </r>
  </si>
  <si>
    <t>COGS Housing</t>
  </si>
  <si>
    <r>
      <rPr>
        <rFont val="Arial"/>
        <b/>
        <color theme="1"/>
        <sz val="12.0"/>
      </rPr>
      <t>Outbound Shipping BB units</t>
    </r>
    <r>
      <rPr>
        <rFont val="Arial"/>
        <b val="0"/>
        <color theme="1"/>
        <sz val="12.0"/>
      </rPr>
      <t xml:space="preserve"> ($11.94)</t>
    </r>
  </si>
  <si>
    <t>COGS Camera Module</t>
  </si>
  <si>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</si>
  <si>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</si>
  <si>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Inbound Shipping Housing</t>
  </si>
  <si>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</si>
  <si>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</si>
  <si>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Inbound Shipping Camera Module</t>
  </si>
  <si>
    <t>Cancellations</t>
  </si>
  <si>
    <t>Return Shipping</t>
  </si>
  <si>
    <t xml:space="preserve">  COGS Bird Buddy ($86.90)</t>
  </si>
  <si>
    <t xml:space="preserve">   - Returns for Replacement and Claims (New Items, 100%)</t>
  </si>
  <si>
    <t xml:space="preserve">  COGS Bird Buddy with Solar Roof ($97.61)</t>
  </si>
  <si>
    <t xml:space="preserve">   - COGS Bird Buddy ($86.90)</t>
  </si>
  <si>
    <t xml:space="preserve">   - COGS Bird Buddy with Solar Roof ($97.61)</t>
  </si>
  <si>
    <t xml:space="preserve">  COGS Wall Mount ($5.49)</t>
  </si>
  <si>
    <t xml:space="preserve">   - COGS Wall Mount ($5.49)</t>
  </si>
  <si>
    <t xml:space="preserve">  COGS Suet Ball ($1.19)</t>
  </si>
  <si>
    <t xml:space="preserve">   - COGS Suet Ball ($1.19)</t>
  </si>
  <si>
    <t xml:space="preserve">  COGS 3-in-1 Nutrition Set ($6.66)</t>
  </si>
  <si>
    <t xml:space="preserve">   - COGS 3-in-1 Nutrition Set ($6.66)</t>
  </si>
  <si>
    <t xml:space="preserve">  COGS Solar Roof Single ($13.44)</t>
  </si>
  <si>
    <t xml:space="preserve">  COGS Perch Extender ($6.00)</t>
  </si>
  <si>
    <t xml:space="preserve">   - COGS Solar Roof Single ($13.44)</t>
  </si>
  <si>
    <t xml:space="preserve">  Inbound Shipping BB units ($11.94)</t>
  </si>
  <si>
    <t xml:space="preserve">   - COGS Perch Extender ($6.00)</t>
  </si>
  <si>
    <t xml:space="preserve">  Outbound Shipping BB units </t>
  </si>
  <si>
    <t xml:space="preserve">  Cancellations value</t>
  </si>
  <si>
    <t xml:space="preserve">   - COGS Housing</t>
  </si>
  <si>
    <r>
      <rPr>
        <rFont val="Arial"/>
        <b/>
        <color theme="1"/>
        <sz val="12.0"/>
      </rPr>
      <t xml:space="preserve">Returns for Refund </t>
    </r>
    <r>
      <rPr>
        <rFont val="Arial"/>
        <b val="0"/>
        <color theme="1"/>
        <sz val="12.0"/>
      </rPr>
      <t>(25% adjusted)</t>
    </r>
  </si>
  <si>
    <t xml:space="preserve">   - COGS Camera Module</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</si>
  <si>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</si>
  <si>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</si>
  <si>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</si>
  <si>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</si>
  <si>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</si>
  <si>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</si>
  <si>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</si>
  <si>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</si>
  <si>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FB (US &amp; CA)</t>
  </si>
  <si>
    <t>Outbound Shipping Cost</t>
  </si>
  <si>
    <t>MNTN TV</t>
  </si>
  <si>
    <t>FB (Internal Paid)</t>
  </si>
  <si>
    <t>FB (EU &amp; UK)</t>
  </si>
  <si>
    <t>Chargebacks fee</t>
  </si>
  <si>
    <t>FB Spend (US &amp; CA)</t>
  </si>
  <si>
    <r>
      <rPr>
        <rFont val="Arial"/>
        <b/>
        <color theme="1"/>
        <sz val="12.0"/>
      </rPr>
      <t xml:space="preserve">Returns for Replacements and Claims </t>
    </r>
    <r>
      <rPr>
        <rFont val="Arial"/>
        <b val="0"/>
        <color theme="1"/>
        <sz val="12.0"/>
      </rPr>
      <t>(10% adjusted)</t>
    </r>
  </si>
  <si>
    <t>Gross profit per order</t>
  </si>
  <si>
    <t>Fee 15% Purchase (Backerkit)</t>
  </si>
  <si>
    <t>Net profit per order</t>
  </si>
  <si>
    <t>Google Management Fee</t>
  </si>
  <si>
    <t>Affiliates Agency Payment (Grovia)</t>
  </si>
  <si>
    <t>Affiliate Fee 20% (Grovia)</t>
  </si>
  <si>
    <t>FB Spend (Internal Paid)</t>
  </si>
  <si>
    <t>FB Spend (EU &amp; UK)</t>
  </si>
  <si>
    <t>Pinterest Spend</t>
  </si>
  <si>
    <t>Amazon (market place) Spend</t>
  </si>
  <si>
    <t>Amazon (market place) Sales Fee (10-15 %)</t>
  </si>
  <si>
    <t>Platform Fee (6,90%)</t>
  </si>
  <si>
    <t>Cost</t>
  </si>
  <si>
    <t>Average COGS ($92.18)</t>
  </si>
  <si>
    <t>Average Inbound Shipping ($13.06)</t>
  </si>
  <si>
    <t>Average Outbound Shipping ($15.06)</t>
  </si>
  <si>
    <t>Average Taxes ($16.81)</t>
  </si>
  <si>
    <t>Partial Profit</t>
  </si>
  <si>
    <t>Performance Facebook US &amp; CA</t>
  </si>
  <si>
    <t>PROFIT</t>
  </si>
  <si>
    <t>CPO</t>
  </si>
  <si>
    <t>MER</t>
  </si>
  <si>
    <t>September</t>
  </si>
  <si>
    <t>Performance Google</t>
  </si>
  <si>
    <t>Performance TikTok</t>
  </si>
  <si>
    <t xml:space="preserve">Platform Fee </t>
  </si>
  <si>
    <t>Performance Bing</t>
  </si>
  <si>
    <t>Average COGS ($92.26)</t>
  </si>
  <si>
    <t>Average Inbound Shipping ($11.94+KCTC)</t>
  </si>
  <si>
    <t>Average Amazon Inbound</t>
  </si>
  <si>
    <t>Average Amazon Storage fee</t>
  </si>
  <si>
    <t>Affiliates (Grovia)</t>
  </si>
  <si>
    <t>Average FBA fee ($11.94)</t>
  </si>
  <si>
    <t>Performance Internal Paid</t>
  </si>
  <si>
    <t>Average Sales fee</t>
  </si>
  <si>
    <t>Performance EU &amp; UK</t>
  </si>
  <si>
    <t>Performance Email</t>
  </si>
  <si>
    <t>AMAZON (marketplace)</t>
  </si>
  <si>
    <t>Bird Buddy - Blue</t>
  </si>
  <si>
    <t>Bird Buddy - Yellow</t>
  </si>
  <si>
    <t>Bird Buddy with Solar Roof - Blue</t>
  </si>
  <si>
    <t>Revenue - All</t>
  </si>
  <si>
    <t>Bird Buddy with Solar Roof - Yellow</t>
  </si>
  <si>
    <t>Orders - All</t>
  </si>
  <si>
    <t>Total Cash Out</t>
  </si>
  <si>
    <t>3-in-1 Nutrition Set - Blue</t>
  </si>
  <si>
    <t>Woocommerce Platform</t>
  </si>
  <si>
    <t>3-in-1 Nutrition Set - Yellow</t>
  </si>
  <si>
    <t>Revenue Woocommerce (gross)</t>
  </si>
  <si>
    <t>Solar Roof Single - Blue</t>
  </si>
  <si>
    <t>Solar Roof Single - Yellow</t>
  </si>
  <si>
    <t>Discounts</t>
  </si>
  <si>
    <t>Perch Extender - Blue</t>
  </si>
  <si>
    <t>Shipping Woocommerce</t>
  </si>
  <si>
    <t>Perch Extender - Yellow</t>
  </si>
  <si>
    <t>Tax Woocommerce</t>
  </si>
  <si>
    <r>
      <rPr>
        <rFont val="Arial"/>
        <b/>
        <color theme="1"/>
        <sz val="12.0"/>
      </rPr>
      <t xml:space="preserve">Gross Revenue </t>
    </r>
    <r>
      <rPr>
        <rFont val="Arial"/>
        <b/>
        <color theme="1"/>
        <sz val="12.0"/>
      </rPr>
      <t>Total</t>
    </r>
  </si>
  <si>
    <t>All Woocommerce</t>
  </si>
  <si>
    <r>
      <rPr>
        <rFont val="Arial"/>
        <b/>
        <color theme="1"/>
        <sz val="12.0"/>
      </rPr>
      <t xml:space="preserve">Gross Sales Profit </t>
    </r>
    <r>
      <rPr>
        <rFont val="Arial"/>
        <b/>
        <color theme="1"/>
        <sz val="12.0"/>
      </rPr>
      <t>Total</t>
    </r>
  </si>
  <si>
    <t>Revenue &amp; Orders (Platform) - ALL</t>
  </si>
  <si>
    <t>Gross Sales Margin Total</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</si>
  <si>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</si>
  <si>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</si>
  <si>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</si>
  <si>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</si>
  <si>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</si>
  <si>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</si>
  <si>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</si>
  <si>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</si>
  <si>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</si>
  <si>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</si>
  <si>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PRO Subscription</t>
  </si>
  <si>
    <t>Seeds Subscription</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</si>
  <si>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</si>
  <si>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</si>
  <si>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</si>
  <si>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</si>
  <si>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</si>
  <si>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</si>
  <si>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</si>
  <si>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</si>
  <si>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t>Average Sell Value</t>
  </si>
  <si>
    <t>BB Blue</t>
  </si>
  <si>
    <r>
      <rPr>
        <rFont val="Arial"/>
        <color theme="1"/>
        <sz val="12.0"/>
      </rPr>
      <t xml:space="preserve">Perch Extender - </t>
    </r>
    <r>
      <rPr>
        <rFont val="Arial"/>
        <b/>
        <color theme="1"/>
        <sz val="12.0"/>
      </rPr>
      <t>Blue</t>
    </r>
  </si>
  <si>
    <t>BB Yellow</t>
  </si>
  <si>
    <t>BBSR Blue</t>
  </si>
  <si>
    <r>
      <rPr>
        <rFont val="Arial"/>
        <color theme="1"/>
        <sz val="12.0"/>
      </rPr>
      <t xml:space="preserve">Perch Extender - </t>
    </r>
    <r>
      <rPr>
        <rFont val="Arial"/>
        <b/>
        <color theme="1"/>
        <sz val="12.0"/>
      </rPr>
      <t>Yellow</t>
    </r>
  </si>
  <si>
    <t>BBSR Yellow</t>
  </si>
  <si>
    <t>PEX Blue</t>
  </si>
  <si>
    <t>PEX Yellow</t>
  </si>
  <si>
    <t>SR Blue</t>
  </si>
  <si>
    <t>SR Yellow</t>
  </si>
  <si>
    <t>3in1 Blue</t>
  </si>
  <si>
    <t>3in1 Yellow</t>
  </si>
  <si>
    <r>
      <rPr>
        <rFont val="Arial"/>
        <color theme="1"/>
        <sz val="12.0"/>
      </rPr>
      <t xml:space="preserve">Bird Buddy - </t>
    </r>
    <r>
      <rPr>
        <rFont val="Arial"/>
        <b/>
        <color theme="1"/>
        <sz val="12.0"/>
      </rPr>
      <t>Blue</t>
    </r>
  </si>
  <si>
    <t>SBH</t>
  </si>
  <si>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</si>
  <si>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</si>
  <si>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</si>
  <si>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</si>
  <si>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</si>
  <si>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</si>
  <si>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</si>
  <si>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</si>
  <si>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</si>
  <si>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t>
  </si>
  <si>
    <t>Number of participants</t>
  </si>
  <si>
    <r>
      <rPr>
        <rFont val="Arial"/>
        <color theme="1"/>
        <sz val="13.0"/>
      </rPr>
      <t xml:space="preserve">Bird Buddy - Yellow - </t>
    </r>
    <r>
      <rPr>
        <rFont val="Arial"/>
        <color rgb="FF000000"/>
        <sz val="13.0"/>
      </rPr>
      <t>AMAZON.US</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</si>
  <si>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</si>
  <si>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</si>
  <si>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t>Engagement Rate</t>
  </si>
  <si>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</si>
  <si>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</si>
  <si>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Post-purchase Survey</t>
  </si>
  <si>
    <t>Facebook / Instagram</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</si>
  <si>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</si>
  <si>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</si>
  <si>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Where on Facebook/Instagram have you heard about Bird Buddy?</t>
  </si>
  <si>
    <t>I saw an ad</t>
  </si>
  <si>
    <r>
      <rPr>
        <rFont val="Arial"/>
        <color theme="1"/>
        <sz val="13.0"/>
      </rPr>
      <t xml:space="preserve">3-in-1 Nutrition Set - </t>
    </r>
    <r>
      <rPr>
        <rFont val="Arial"/>
        <color rgb="FF000000"/>
        <sz val="13.0"/>
      </rPr>
      <t>AMAZON.US</t>
    </r>
  </si>
  <si>
    <r>
      <rPr>
        <rFont val="Arial"/>
        <color theme="1"/>
        <sz val="12.0"/>
      </rPr>
      <t xml:space="preserve">3-in-1 Nutrition Set - </t>
    </r>
    <r>
      <rPr>
        <rFont val="Arial"/>
        <b/>
        <color theme="1"/>
        <sz val="12.0"/>
      </rPr>
      <t>Blue</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</si>
  <si>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</si>
  <si>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</si>
  <si>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r>
      <rPr>
        <rFont val="Arial"/>
        <color theme="1"/>
        <sz val="12.0"/>
      </rPr>
      <t xml:space="preserve">3-in-1 Nutrition Set - </t>
    </r>
    <r>
      <rPr>
        <rFont val="Arial"/>
        <b/>
        <color theme="1"/>
        <sz val="12.0"/>
      </rPr>
      <t>Yellow</t>
    </r>
  </si>
  <si>
    <t>I saw a post about Bird Buddy on my friend's feed</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</si>
  <si>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</si>
  <si>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</si>
  <si>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</si>
  <si>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I saw an organic post from Bird Buddy</t>
  </si>
  <si>
    <r>
      <rPr>
        <rFont val="Arial"/>
        <color theme="1"/>
        <sz val="12.0"/>
      </rPr>
      <t xml:space="preserve">Perch Extender - </t>
    </r>
    <r>
      <rPr>
        <rFont val="Arial"/>
        <b/>
        <color theme="1"/>
        <sz val="12.0"/>
      </rPr>
      <t>Yellow</t>
    </r>
  </si>
  <si>
    <t>Friends / Family</t>
  </si>
  <si>
    <r>
      <rPr>
        <rFont val="Arial"/>
        <color theme="1"/>
        <sz val="12.0"/>
      </rPr>
      <t xml:space="preserve">BB + BBSF | </t>
    </r>
    <r>
      <rPr>
        <rFont val="Arial"/>
        <b/>
        <color theme="1"/>
        <sz val="12.0"/>
      </rPr>
      <t>NA (United States + Canada)</t>
    </r>
  </si>
  <si>
    <t>TV / Radio</t>
  </si>
  <si>
    <r>
      <rPr>
        <rFont val="Arial"/>
        <color theme="1"/>
        <sz val="12.0"/>
      </rPr>
      <t xml:space="preserve">BB </t>
    </r>
    <r>
      <rPr>
        <rFont val="Arial"/>
        <b/>
        <color theme="1"/>
        <sz val="12.0"/>
      </rPr>
      <t>Blue</t>
    </r>
    <r>
      <rPr>
        <rFont val="Arial"/>
        <color theme="1"/>
        <sz val="12.0"/>
      </rPr>
      <t xml:space="preserve"> - NA (United States + Canada)</t>
    </r>
  </si>
  <si>
    <t>Revenue by country (Gross)</t>
  </si>
  <si>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</si>
  <si>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Bird Buddy - </t>
    </r>
    <r>
      <rPr>
        <rFont val="Arial"/>
        <color rgb="FF000000"/>
        <sz val="12.0"/>
      </rPr>
      <t>AMAZON.US</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</si>
  <si>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</si>
  <si>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</si>
  <si>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BB + BBSF | </t>
    </r>
    <r>
      <rPr>
        <rFont val="Arial"/>
        <b/>
        <color theme="1"/>
        <sz val="12.0"/>
      </rPr>
      <t>Europe (EU, UK, NOR, SWI)</t>
    </r>
  </si>
  <si>
    <t>Blog / Article</t>
  </si>
  <si>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</si>
  <si>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</si>
  <si>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</si>
  <si>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</si>
  <si>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</si>
  <si>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t>Reddit</t>
  </si>
  <si>
    <r>
      <rPr>
        <rFont val="Arial"/>
        <color theme="1"/>
        <sz val="12.0"/>
      </rPr>
      <t xml:space="preserve">BB </t>
    </r>
    <r>
      <rPr>
        <rFont val="Arial"/>
        <b/>
        <color theme="1"/>
        <sz val="12.0"/>
      </rPr>
      <t>Blue</t>
    </r>
    <r>
      <rPr>
        <rFont val="Arial"/>
        <color theme="1"/>
        <sz val="12.0"/>
      </rPr>
      <t xml:space="preserve"> - ROW</t>
    </r>
  </si>
  <si>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</si>
  <si>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BB with SF </t>
    </r>
    <r>
      <rPr>
        <rFont val="Arial"/>
        <b/>
        <color theme="1"/>
        <sz val="12.0"/>
      </rPr>
      <t>Blue</t>
    </r>
    <r>
      <rPr>
        <rFont val="Arial"/>
        <color theme="1"/>
        <sz val="12.0"/>
      </rPr>
      <t xml:space="preserve"> - ROW</t>
    </r>
  </si>
  <si>
    <r>
      <rPr>
        <rFont val="Arial"/>
        <color theme="1"/>
        <sz val="12.0"/>
      </rPr>
      <t xml:space="preserve">BB with SF </t>
    </r>
    <r>
      <rPr>
        <rFont val="Arial"/>
        <b/>
        <color theme="1"/>
        <sz val="12.0"/>
      </rPr>
      <t>Yellow</t>
    </r>
    <r>
      <rPr>
        <rFont val="Arial"/>
        <color theme="1"/>
        <sz val="12.0"/>
      </rPr>
      <t xml:space="preserve"> - ROW</t>
    </r>
  </si>
  <si>
    <t>Google, Youtube</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</si>
  <si>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</si>
  <si>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</si>
  <si>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</si>
  <si>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t>Yahoo, Bing</t>
  </si>
  <si>
    <r>
      <rPr>
        <rFont val="Arial"/>
        <color theme="1"/>
        <sz val="12.0"/>
      </rPr>
      <t xml:space="preserve">Solar Roof Single - </t>
    </r>
    <r>
      <rPr>
        <rFont val="Arial"/>
        <color rgb="FF000000"/>
        <sz val="12.0"/>
      </rPr>
      <t>AMAZON.US</t>
    </r>
  </si>
  <si>
    <r>
      <rPr>
        <rFont val="Arial"/>
        <b/>
        <color theme="1"/>
        <sz val="12.0"/>
      </rPr>
      <t>NA</t>
    </r>
    <r>
      <rPr>
        <rFont val="Arial"/>
        <color theme="1"/>
        <sz val="12.0"/>
      </rPr>
      <t xml:space="preserve"> Countries (Units Sold)</t>
    </r>
  </si>
  <si>
    <r>
      <rPr>
        <rFont val="Arial"/>
        <color theme="1"/>
        <sz val="12.0"/>
      </rPr>
      <t xml:space="preserve">All </t>
    </r>
    <r>
      <rPr>
        <rFont val="Arial"/>
        <color rgb="FF000000"/>
        <sz val="12.0"/>
      </rPr>
      <t>AMAZON.US</t>
    </r>
  </si>
  <si>
    <t>Wall Mount - NA</t>
  </si>
  <si>
    <t>Fence Mount - NA</t>
  </si>
  <si>
    <t>Suet Ball Holder - NA</t>
  </si>
  <si>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</si>
  <si>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</si>
  <si>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</si>
  <si>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</si>
  <si>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</si>
  <si>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</si>
  <si>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r>
      <rPr>
        <rFont val="Arial"/>
        <b/>
        <color theme="1"/>
        <sz val="12.0"/>
      </rPr>
      <t>EUROPE</t>
    </r>
    <r>
      <rPr>
        <rFont val="Arial"/>
        <color theme="1"/>
        <sz val="12.0"/>
      </rPr>
      <t xml:space="preserve"> Countries (Units Sold)</t>
    </r>
  </si>
  <si>
    <t>Wall Mount - Europe</t>
  </si>
  <si>
    <t>Who is this for?</t>
  </si>
  <si>
    <t>Fence Mount - Europe</t>
  </si>
  <si>
    <t>Just me</t>
  </si>
  <si>
    <t>Suet Ball Holder - Europe</t>
  </si>
  <si>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</si>
  <si>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</si>
  <si>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</si>
  <si>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</si>
  <si>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t>Are you familiar with the concept of a pollinator garden?</t>
  </si>
  <si>
    <r>
      <rPr>
        <rFont val="Arial"/>
        <color theme="1"/>
        <sz val="12.0"/>
      </rPr>
      <t xml:space="preserve">Perch Extender </t>
    </r>
    <r>
      <rPr>
        <rFont val="Arial"/>
        <b/>
        <color theme="1"/>
        <sz val="12.0"/>
      </rPr>
      <t>Blue</t>
    </r>
    <r>
      <rPr>
        <rFont val="Arial"/>
        <color theme="1"/>
        <sz val="12.0"/>
      </rPr>
      <t xml:space="preserve"> - Europe</t>
    </r>
  </si>
  <si>
    <t>Bird Buddy - AMAZON.US</t>
  </si>
  <si>
    <r>
      <rPr>
        <rFont val="Arial"/>
        <color theme="1"/>
        <sz val="12.0"/>
      </rPr>
      <t xml:space="preserve">Perch Extender </t>
    </r>
    <r>
      <rPr>
        <rFont val="Arial"/>
        <b/>
        <color theme="1"/>
        <sz val="12.0"/>
      </rPr>
      <t>Yellow</t>
    </r>
    <r>
      <rPr>
        <rFont val="Arial"/>
        <color theme="1"/>
        <sz val="12.0"/>
      </rPr>
      <t xml:space="preserve"> - Europe</t>
    </r>
  </si>
  <si>
    <t>Yes, I am growing one</t>
  </si>
  <si>
    <t>All Europe</t>
  </si>
  <si>
    <r>
      <rPr>
        <rFont val="Arial"/>
        <b/>
        <color theme="1"/>
        <sz val="12.0"/>
      </rPr>
      <t>ROW</t>
    </r>
    <r>
      <rPr>
        <rFont val="Arial"/>
        <color theme="1"/>
        <sz val="12.0"/>
      </rPr>
      <t xml:space="preserve"> Countries (Units Sold)</t>
    </r>
  </si>
  <si>
    <t>Wall Mount - ROW</t>
  </si>
  <si>
    <t>Yes, but haven't tried</t>
  </si>
  <si>
    <t>Fence Mount - ROW</t>
  </si>
  <si>
    <t>Suet Ball Holder - ROW</t>
  </si>
  <si>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</si>
  <si>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</si>
  <si>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</si>
  <si>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t>No, I have no idea what this is</t>
  </si>
  <si>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</si>
  <si>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</si>
  <si>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</si>
  <si>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t>Wall Mount - AMAZON.US</t>
  </si>
  <si>
    <t>All ROW</t>
  </si>
  <si>
    <t>Fence Mount - AMAZON.US</t>
  </si>
  <si>
    <t>3-in-1 Nutrition Set - AMAZON.US</t>
  </si>
  <si>
    <t>Solar Roof Single - AMAZON.US</t>
  </si>
  <si>
    <r>
      <rPr>
        <rFont val="Arial"/>
        <color theme="1"/>
        <sz val="12.0"/>
      </rPr>
      <t xml:space="preserve">BB + BBSF | </t>
    </r>
    <r>
      <rPr>
        <rFont val="Arial"/>
        <b/>
        <color theme="1"/>
        <sz val="12.0"/>
      </rPr>
      <t>NA (United States + Canada)</t>
    </r>
  </si>
  <si>
    <t>I will use with my family</t>
  </si>
  <si>
    <r>
      <rPr>
        <rFont val="Arial"/>
        <color theme="1"/>
        <sz val="12.0"/>
      </rPr>
      <t xml:space="preserve">BB </t>
    </r>
    <r>
      <rPr>
        <rFont val="Arial"/>
        <b/>
        <color theme="1"/>
        <sz val="12.0"/>
      </rPr>
      <t>Blue</t>
    </r>
    <r>
      <rPr>
        <rFont val="Arial"/>
        <color theme="1"/>
        <sz val="12.0"/>
      </rPr>
      <t xml:space="preserve"> - NA (United States + Canada)</t>
    </r>
  </si>
  <si>
    <t>All AMAZON.US</t>
  </si>
  <si>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</si>
  <si>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</si>
  <si>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</si>
  <si>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BB + BBSF | </t>
    </r>
    <r>
      <rPr>
        <rFont val="Arial"/>
        <b/>
        <color theme="1"/>
        <sz val="12.0"/>
      </rPr>
      <t>Europe (EU, UK, NOR, SWI)</t>
    </r>
  </si>
  <si>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</si>
  <si>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</si>
  <si>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</si>
  <si>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</si>
  <si>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</si>
  <si>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r>
      <rPr>
        <rFont val="Arial"/>
        <color theme="1"/>
        <sz val="12.0"/>
      </rPr>
      <t xml:space="preserve">BB </t>
    </r>
    <r>
      <rPr>
        <rFont val="Arial"/>
        <b/>
        <color theme="1"/>
        <sz val="12.0"/>
      </rPr>
      <t>Blue</t>
    </r>
    <r>
      <rPr>
        <rFont val="Arial"/>
        <color theme="1"/>
        <sz val="12.0"/>
      </rPr>
      <t xml:space="preserve"> - ROW</t>
    </r>
  </si>
  <si>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</si>
  <si>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BB with SF </t>
    </r>
    <r>
      <rPr>
        <rFont val="Arial"/>
        <b/>
        <color theme="1"/>
        <sz val="12.0"/>
      </rPr>
      <t>Blue</t>
    </r>
    <r>
      <rPr>
        <rFont val="Arial"/>
        <color theme="1"/>
        <sz val="12.0"/>
      </rPr>
      <t xml:space="preserve"> - ROW</t>
    </r>
  </si>
  <si>
    <r>
      <rPr>
        <rFont val="Arial"/>
        <color theme="1"/>
        <sz val="12.0"/>
      </rPr>
      <t xml:space="preserve">BB with SF </t>
    </r>
    <r>
      <rPr>
        <rFont val="Arial"/>
        <b/>
        <color theme="1"/>
        <sz val="12.0"/>
      </rPr>
      <t>Yellow</t>
    </r>
    <r>
      <rPr>
        <rFont val="Arial"/>
        <color theme="1"/>
        <sz val="12.0"/>
      </rPr>
      <t xml:space="preserve"> - ROW</t>
    </r>
  </si>
  <si>
    <t>All Solar Roof</t>
  </si>
  <si>
    <t>Units Refund by country (Gross)</t>
  </si>
  <si>
    <r>
      <rPr>
        <rFont val="Arial"/>
        <b/>
        <color theme="1"/>
        <sz val="12.0"/>
      </rPr>
      <t>NA</t>
    </r>
    <r>
      <rPr>
        <rFont val="Arial"/>
        <color theme="1"/>
        <sz val="12.0"/>
      </rPr>
      <t xml:space="preserve"> Countries (Revenue)</t>
    </r>
  </si>
  <si>
    <t>My parents</t>
  </si>
  <si>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</si>
  <si>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</si>
  <si>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</si>
  <si>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</si>
  <si>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</si>
  <si>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</si>
  <si>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r>
      <rPr>
        <rFont val="Arial"/>
        <b/>
        <color theme="1"/>
        <sz val="12.0"/>
      </rPr>
      <t>EUROPE</t>
    </r>
    <r>
      <rPr>
        <rFont val="Arial"/>
        <color theme="1"/>
        <sz val="12.0"/>
      </rPr>
      <t xml:space="preserve"> Countries (Revenue)</t>
    </r>
  </si>
  <si>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</si>
  <si>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</si>
  <si>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</si>
  <si>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</si>
  <si>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</si>
  <si>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t>Spouse</t>
  </si>
  <si>
    <r>
      <rPr>
        <rFont val="Arial"/>
        <color theme="1"/>
        <sz val="12.0"/>
      </rPr>
      <t xml:space="preserve">Perch Extender </t>
    </r>
    <r>
      <rPr>
        <rFont val="Arial"/>
        <b/>
        <color theme="1"/>
        <sz val="12.0"/>
      </rPr>
      <t>Yellow</t>
    </r>
    <r>
      <rPr>
        <rFont val="Arial"/>
        <color theme="1"/>
        <sz val="12.0"/>
      </rPr>
      <t xml:space="preserve"> - Europe</t>
    </r>
  </si>
  <si>
    <r>
      <rPr>
        <rFont val="Arial"/>
        <b/>
        <color theme="1"/>
        <sz val="12.0"/>
      </rPr>
      <t>ROW</t>
    </r>
    <r>
      <rPr>
        <rFont val="Arial"/>
        <color theme="1"/>
        <sz val="12.0"/>
      </rPr>
      <t xml:space="preserve"> Countries (Revenue)</t>
    </r>
  </si>
  <si>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</si>
  <si>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</si>
  <si>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</si>
  <si>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</si>
  <si>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</si>
  <si>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</si>
  <si>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r>
      <rPr>
        <rFont val="Arial"/>
        <color theme="1"/>
        <sz val="12.0"/>
      </rPr>
      <t xml:space="preserve">Orders Refund - </t>
    </r>
    <r>
      <rPr>
        <rFont val="Arial"/>
        <color rgb="FF000000"/>
        <sz val="12.0"/>
      </rPr>
      <t>AMAZON.US</t>
    </r>
  </si>
  <si>
    <t>PRO Subscription - WW</t>
  </si>
  <si>
    <t>Orders Refund - AMAZON.EU</t>
  </si>
  <si>
    <t>Seeds Subscription - WW</t>
  </si>
  <si>
    <t>Orders Refund - AMAZON (OTHER1)</t>
  </si>
  <si>
    <t>Merch (Revenue)</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</si>
  <si>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</si>
  <si>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</si>
  <si>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Shipping - </t>
    </r>
    <r>
      <rPr>
        <rFont val="Arial"/>
        <color rgb="FF000000"/>
        <sz val="12.0"/>
      </rPr>
      <t>AMAZON.US</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</si>
  <si>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</si>
  <si>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Taxes - </t>
    </r>
    <r>
      <rPr>
        <rFont val="Arial"/>
        <color rgb="FF000000"/>
        <sz val="12.0"/>
      </rPr>
      <t>AMAZON.US</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</si>
  <si>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</si>
  <si>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All </t>
    </r>
    <r>
      <rPr>
        <rFont val="Arial"/>
        <color rgb="FF000000"/>
        <sz val="12.0"/>
      </rPr>
      <t>AMAZON.US</t>
    </r>
  </si>
  <si>
    <r>
      <rPr>
        <rFont val="Arial"/>
        <color theme="1"/>
        <sz val="12.0"/>
      </rPr>
      <t xml:space="preserve">Bird Buddy - </t>
    </r>
    <r>
      <rPr>
        <rFont val="Arial"/>
        <b/>
        <color theme="1"/>
        <sz val="12.0"/>
      </rPr>
      <t>Blue</t>
    </r>
    <r>
      <rPr>
        <rFont val="Arial"/>
        <color theme="1"/>
        <sz val="12.0"/>
      </rPr>
      <t xml:space="preserve"> - Europe (EU, UK, NOR, SWI)</t>
    </r>
  </si>
  <si>
    <t>Hardware - AMAZON.EU</t>
  </si>
  <si>
    <r>
      <rPr>
        <rFont val="Arial"/>
        <color theme="1"/>
        <sz val="12.0"/>
      </rPr>
      <t xml:space="preserve">Bird Buddy - </t>
    </r>
    <r>
      <rPr>
        <rFont val="Arial"/>
        <b/>
        <color theme="1"/>
        <sz val="12.0"/>
      </rPr>
      <t>Yellow</t>
    </r>
    <r>
      <rPr>
        <rFont val="Arial"/>
        <color theme="1"/>
        <sz val="12.0"/>
      </rPr>
      <t xml:space="preserve"> - Europe (EU, UK, NOR, SWI)</t>
    </r>
  </si>
  <si>
    <t>Have you ever used a bird feeder before this purchase?</t>
  </si>
  <si>
    <t>Shipping - AMAZON.EU</t>
  </si>
  <si>
    <r>
      <rPr>
        <rFont val="Arial"/>
        <color theme="1"/>
        <sz val="12.0"/>
      </rPr>
      <t xml:space="preserve">Bird Buddy with Solar Roof - </t>
    </r>
    <r>
      <rPr>
        <rFont val="Arial"/>
        <b/>
        <color theme="1"/>
        <sz val="12.0"/>
      </rPr>
      <t>Blue</t>
    </r>
    <r>
      <rPr>
        <rFont val="Arial"/>
        <color theme="1"/>
        <sz val="12.0"/>
      </rPr>
      <t xml:space="preserve"> - Europe (EU, UK, NOR, SWI)</t>
    </r>
  </si>
  <si>
    <t>Yes</t>
  </si>
  <si>
    <t>VAT - AMAZON.EU</t>
  </si>
  <si>
    <r>
      <rPr>
        <rFont val="Arial"/>
        <color theme="1"/>
        <sz val="12.0"/>
      </rPr>
      <t xml:space="preserve">Bird Buddy with Solar Roof - </t>
    </r>
    <r>
      <rPr>
        <rFont val="Arial"/>
        <b/>
        <color theme="1"/>
        <sz val="12.0"/>
      </rPr>
      <t>Yellow</t>
    </r>
    <r>
      <rPr>
        <rFont val="Arial"/>
        <color theme="1"/>
        <sz val="12.0"/>
      </rPr>
      <t xml:space="preserve"> - Europe (EU, UK, NOR, SWI)</t>
    </r>
  </si>
  <si>
    <r>
      <rPr>
        <rFont val="Arial"/>
        <color theme="1"/>
        <sz val="12.0"/>
      </rPr>
      <t xml:space="preserve">Bird Buddy -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</si>
  <si>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r>
      <rPr>
        <rFont val="Arial"/>
        <color theme="1"/>
        <sz val="12.0"/>
      </rPr>
      <t xml:space="preserve"> - ROW</t>
    </r>
  </si>
  <si>
    <r>
      <rPr>
        <rFont val="Arial"/>
        <color theme="1"/>
        <sz val="12.0"/>
      </rPr>
      <t xml:space="preserve">Bird Buddy with Solar Roof - </t>
    </r>
    <r>
      <rPr>
        <rFont val="Arial"/>
        <b/>
        <color theme="1"/>
        <sz val="12.0"/>
      </rPr>
      <t>Blue</t>
    </r>
    <r>
      <rPr>
        <rFont val="Arial"/>
        <color theme="1"/>
        <sz val="12.0"/>
      </rPr>
      <t xml:space="preserve"> - ROW</t>
    </r>
  </si>
  <si>
    <t>No, never</t>
  </si>
  <si>
    <r>
      <rPr>
        <rFont val="Arial"/>
        <color theme="1"/>
        <sz val="12.0"/>
      </rPr>
      <t xml:space="preserve">Bird Buddy with Solar Roof - </t>
    </r>
    <r>
      <rPr>
        <rFont val="Arial"/>
        <b/>
        <color theme="1"/>
        <sz val="12.0"/>
      </rPr>
      <t>Yellow</t>
    </r>
    <r>
      <rPr>
        <rFont val="Arial"/>
        <color theme="1"/>
        <sz val="12.0"/>
      </rPr>
      <t xml:space="preserve"> - ROW</t>
    </r>
  </si>
  <si>
    <t>Hardware - AMAZON (OTHER1)</t>
  </si>
  <si>
    <t>Shipping - AMAZON (OTHER1)</t>
  </si>
  <si>
    <t>Taxes - AMAZON (OTHER1)</t>
  </si>
  <si>
    <t>Revenue Refunded by country (Gross)</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</si>
  <si>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</si>
  <si>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</si>
  <si>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</si>
  <si>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All </t>
    </r>
    <r>
      <rPr>
        <rFont val="Arial"/>
        <color rgb="FF000000"/>
        <sz val="12.0"/>
      </rPr>
      <t>AMAZON.US</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</si>
  <si>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</si>
  <si>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</si>
  <si>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</si>
  <si>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</si>
  <si>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</si>
  <si>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</si>
  <si>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</si>
  <si>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</si>
  <si>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</si>
  <si>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</si>
  <si>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</si>
  <si>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RETURN (Replacement Units &amp; Claims) by country</t>
  </si>
  <si>
    <r>
      <rPr>
        <rFont val="Arial"/>
        <color theme="1"/>
        <sz val="12.0"/>
      </rPr>
      <t xml:space="preserve">3-in-1 Nutrition Set - </t>
    </r>
    <r>
      <rPr>
        <rFont val="Arial"/>
        <b/>
        <color theme="1"/>
        <sz val="12.0"/>
      </rPr>
      <t>Blue</t>
    </r>
    <r>
      <rPr>
        <rFont val="Arial"/>
        <color theme="1"/>
        <sz val="12.0"/>
      </rPr>
      <t xml:space="preserve"> - ROW</t>
    </r>
  </si>
  <si>
    <r>
      <rPr>
        <rFont val="Arial"/>
        <color theme="1"/>
        <sz val="12.0"/>
      </rPr>
      <t xml:space="preserve">3-in-1 Nutrition Set - </t>
    </r>
    <r>
      <rPr>
        <rFont val="Arial"/>
        <b/>
        <color theme="1"/>
        <sz val="12.0"/>
      </rPr>
      <t>Yellow</t>
    </r>
    <r>
      <rPr>
        <rFont val="Arial"/>
        <color theme="1"/>
        <sz val="12.0"/>
      </rPr>
      <t xml:space="preserve"> - ROW</t>
    </r>
  </si>
  <si>
    <r>
      <rPr>
        <rFont val="Arial"/>
        <color theme="1"/>
        <sz val="12.0"/>
      </rPr>
      <t xml:space="preserve">Solar Roof Single - </t>
    </r>
    <r>
      <rPr>
        <rFont val="Arial"/>
        <b/>
        <color theme="1"/>
        <sz val="12.0"/>
      </rPr>
      <t>Blue</t>
    </r>
    <r>
      <rPr>
        <rFont val="Arial"/>
        <color theme="1"/>
        <sz val="12.0"/>
      </rPr>
      <t xml:space="preserve"> - ROW</t>
    </r>
  </si>
  <si>
    <r>
      <rPr>
        <rFont val="Arial"/>
        <color theme="1"/>
        <sz val="12.0"/>
      </rPr>
      <t xml:space="preserve">Solar Roof Single - </t>
    </r>
    <r>
      <rPr>
        <rFont val="Arial"/>
        <b/>
        <color theme="1"/>
        <sz val="12.0"/>
      </rPr>
      <t>Yellow</t>
    </r>
    <r>
      <rPr>
        <rFont val="Arial"/>
        <color theme="1"/>
        <sz val="12.0"/>
      </rPr>
      <t xml:space="preserve"> - ROW</t>
    </r>
  </si>
  <si>
    <r>
      <rPr>
        <rFont val="Arial"/>
        <color theme="1"/>
        <sz val="12.0"/>
      </rPr>
      <t xml:space="preserve">Perch Extender - </t>
    </r>
    <r>
      <rPr>
        <rFont val="Arial"/>
        <b/>
        <color theme="1"/>
        <sz val="12.0"/>
      </rPr>
      <t>Blue</t>
    </r>
    <r>
      <rPr>
        <rFont val="Arial"/>
        <color theme="1"/>
        <sz val="12.0"/>
      </rPr>
      <t xml:space="preserve"> - ROW</t>
    </r>
  </si>
  <si>
    <t>Total submissions:</t>
  </si>
  <si>
    <r>
      <rPr>
        <rFont val="Arial"/>
        <color theme="1"/>
        <sz val="12.0"/>
      </rPr>
      <t xml:space="preserve">Perch Extender - </t>
    </r>
    <r>
      <rPr>
        <rFont val="Arial"/>
        <b/>
        <color theme="1"/>
        <sz val="12.0"/>
      </rPr>
      <t>Yellow</t>
    </r>
    <r>
      <rPr>
        <rFont val="Arial"/>
        <color theme="1"/>
        <sz val="12.0"/>
      </rPr>
      <t xml:space="preserve"> - ROW</t>
    </r>
  </si>
  <si>
    <t>Post-purchase Survey Percentage</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</si>
  <si>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</si>
  <si>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</si>
  <si>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</si>
  <si>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</si>
  <si>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Bird Buddy - </t>
    </r>
    <r>
      <rPr>
        <rFont val="Arial"/>
        <b/>
        <color theme="1"/>
        <sz val="12.0"/>
      </rPr>
      <t>Blue</t>
    </r>
    <r>
      <rPr>
        <rFont val="Arial"/>
        <color theme="1"/>
        <sz val="12.0"/>
      </rPr>
      <t xml:space="preserve"> - Europe (EU, UK, NOR, SWI)</t>
    </r>
  </si>
  <si>
    <r>
      <rPr>
        <rFont val="Arial"/>
        <color theme="1"/>
        <sz val="12.0"/>
      </rPr>
      <t xml:space="preserve">Bird Buddy - </t>
    </r>
    <r>
      <rPr>
        <rFont val="Arial"/>
        <b/>
        <color theme="1"/>
        <sz val="12.0"/>
      </rPr>
      <t>Yellow</t>
    </r>
    <r>
      <rPr>
        <rFont val="Arial"/>
        <color theme="1"/>
        <sz val="12.0"/>
      </rPr>
      <t xml:space="preserve"> - Europe (EU, UK, NOR, SWI)</t>
    </r>
  </si>
  <si>
    <r>
      <rPr>
        <rFont val="Arial"/>
        <color theme="1"/>
        <sz val="12.0"/>
      </rPr>
      <t xml:space="preserve">Bird Buddy with Solar Roof - </t>
    </r>
    <r>
      <rPr>
        <rFont val="Arial"/>
        <b/>
        <color theme="1"/>
        <sz val="12.0"/>
      </rPr>
      <t>Blue</t>
    </r>
    <r>
      <rPr>
        <rFont val="Arial"/>
        <color theme="1"/>
        <sz val="12.0"/>
      </rPr>
      <t xml:space="preserve"> - Europe (EU, UK, NOR, SWI)</t>
    </r>
  </si>
  <si>
    <r>
      <rPr>
        <rFont val="Arial"/>
        <color theme="1"/>
        <sz val="12.0"/>
      </rPr>
      <t xml:space="preserve">Bird Buddy with Solar Roof - </t>
    </r>
    <r>
      <rPr>
        <rFont val="Arial"/>
        <b/>
        <color theme="1"/>
        <sz val="12.0"/>
      </rPr>
      <t>Yellow</t>
    </r>
    <r>
      <rPr>
        <rFont val="Arial"/>
        <color theme="1"/>
        <sz val="12.0"/>
      </rPr>
      <t xml:space="preserve"> - Europe (EU, UK, NOR, SWI)</t>
    </r>
  </si>
  <si>
    <r>
      <rPr>
        <rFont val="Arial"/>
        <color theme="1"/>
        <sz val="12.0"/>
      </rPr>
      <t xml:space="preserve">Bird Buddy -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</si>
  <si>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r>
      <rPr>
        <rFont val="Arial"/>
        <color theme="1"/>
        <sz val="12.0"/>
      </rPr>
      <t xml:space="preserve"> - ROW</t>
    </r>
  </si>
  <si>
    <r>
      <rPr>
        <rFont val="Arial"/>
        <color theme="1"/>
        <sz val="12.0"/>
      </rPr>
      <t xml:space="preserve">Bird Buddy with Solar Roof - </t>
    </r>
    <r>
      <rPr>
        <rFont val="Arial"/>
        <b/>
        <color theme="1"/>
        <sz val="12.0"/>
      </rPr>
      <t>Blue</t>
    </r>
    <r>
      <rPr>
        <rFont val="Arial"/>
        <color theme="1"/>
        <sz val="12.0"/>
      </rPr>
      <t xml:space="preserve"> - ROW</t>
    </r>
  </si>
  <si>
    <r>
      <rPr>
        <rFont val="Arial"/>
        <color theme="1"/>
        <sz val="12.0"/>
      </rPr>
      <t xml:space="preserve">Bird Buddy with Solar Roof - </t>
    </r>
    <r>
      <rPr>
        <rFont val="Arial"/>
        <b/>
        <color theme="1"/>
        <sz val="12.0"/>
      </rPr>
      <t>Yellow</t>
    </r>
    <r>
      <rPr>
        <rFont val="Arial"/>
        <color theme="1"/>
        <sz val="12.0"/>
      </rPr>
      <t xml:space="preserve"> - ROW</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</si>
  <si>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</si>
  <si>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</si>
  <si>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t>Where on FB/IG have you heard about Bird Buddy?</t>
  </si>
  <si>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</si>
  <si>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</si>
  <si>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</si>
  <si>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</si>
  <si>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Units Sold by country (Net)</t>
  </si>
  <si>
    <t>% Where on FB/IG have you heard about Bird Buddy?</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</si>
  <si>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</si>
  <si>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</si>
  <si>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</si>
  <si>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</si>
  <si>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</si>
  <si>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</si>
  <si>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3-in-1 Nutrition Set - </t>
    </r>
    <r>
      <rPr>
        <rFont val="Arial"/>
        <b/>
        <color theme="1"/>
        <sz val="12.0"/>
      </rPr>
      <t>Blue</t>
    </r>
    <r>
      <rPr>
        <rFont val="Arial"/>
        <color theme="1"/>
        <sz val="12.0"/>
      </rPr>
      <t xml:space="preserve"> - ROW</t>
    </r>
  </si>
  <si>
    <r>
      <rPr>
        <rFont val="Arial"/>
        <color theme="1"/>
        <sz val="12.0"/>
      </rPr>
      <t xml:space="preserve">3-in-1 Nutrition Set - </t>
    </r>
    <r>
      <rPr>
        <rFont val="Arial"/>
        <b/>
        <color theme="1"/>
        <sz val="12.0"/>
      </rPr>
      <t>Yellow</t>
    </r>
    <r>
      <rPr>
        <rFont val="Arial"/>
        <color theme="1"/>
        <sz val="12.0"/>
      </rPr>
      <t xml:space="preserve"> - ROW</t>
    </r>
  </si>
  <si>
    <r>
      <rPr>
        <rFont val="Arial"/>
        <color theme="1"/>
        <sz val="12.0"/>
      </rPr>
      <t xml:space="preserve">Solar Roof Single - </t>
    </r>
    <r>
      <rPr>
        <rFont val="Arial"/>
        <b/>
        <color theme="1"/>
        <sz val="12.0"/>
      </rPr>
      <t>Blue</t>
    </r>
    <r>
      <rPr>
        <rFont val="Arial"/>
        <color theme="1"/>
        <sz val="12.0"/>
      </rPr>
      <t xml:space="preserve"> - ROW</t>
    </r>
  </si>
  <si>
    <r>
      <rPr>
        <rFont val="Arial"/>
        <color theme="1"/>
        <sz val="12.0"/>
      </rPr>
      <t xml:space="preserve">Solar Roof Single - </t>
    </r>
    <r>
      <rPr>
        <rFont val="Arial"/>
        <b/>
        <color theme="1"/>
        <sz val="12.0"/>
      </rPr>
      <t>Yellow</t>
    </r>
    <r>
      <rPr>
        <rFont val="Arial"/>
        <color theme="1"/>
        <sz val="12.0"/>
      </rPr>
      <t xml:space="preserve"> - ROW</t>
    </r>
  </si>
  <si>
    <r>
      <rPr>
        <rFont val="Arial"/>
        <color theme="1"/>
        <sz val="12.0"/>
      </rPr>
      <t xml:space="preserve">Perch Extender - </t>
    </r>
    <r>
      <rPr>
        <rFont val="Arial"/>
        <b/>
        <color theme="1"/>
        <sz val="12.0"/>
      </rPr>
      <t>Blue</t>
    </r>
    <r>
      <rPr>
        <rFont val="Arial"/>
        <color theme="1"/>
        <sz val="12.0"/>
      </rPr>
      <t xml:space="preserve"> - ROW</t>
    </r>
  </si>
  <si>
    <r>
      <rPr>
        <rFont val="Arial"/>
        <color theme="1"/>
        <sz val="12.0"/>
      </rPr>
      <t xml:space="preserve">Perch Extender - </t>
    </r>
    <r>
      <rPr>
        <rFont val="Arial"/>
        <b/>
        <color theme="1"/>
        <sz val="12.0"/>
      </rPr>
      <t>Yellow</t>
    </r>
    <r>
      <rPr>
        <rFont val="Arial"/>
        <color theme="1"/>
        <sz val="12.0"/>
      </rPr>
      <t xml:space="preserve"> - ROW</t>
    </r>
  </si>
  <si>
    <t>Premium Subscription - WW</t>
  </si>
  <si>
    <r>
      <rPr>
        <rFont val="Arial"/>
        <color theme="1"/>
        <sz val="12.0"/>
      </rPr>
      <t xml:space="preserve">Orders Refund NA </t>
    </r>
    <r>
      <rPr>
        <rFont val="Arial"/>
        <color theme="1"/>
        <sz val="10.0"/>
      </rPr>
      <t>(ex. "return")</t>
    </r>
  </si>
  <si>
    <r>
      <rPr>
        <rFont val="Arial"/>
        <color theme="1"/>
        <sz val="12.0"/>
      </rPr>
      <t xml:space="preserve">Orders Refund EU </t>
    </r>
    <r>
      <rPr>
        <rFont val="Arial"/>
        <color theme="1"/>
        <sz val="10.0"/>
      </rPr>
      <t>(ex. "return")</t>
    </r>
  </si>
  <si>
    <r>
      <rPr>
        <rFont val="Arial"/>
        <color theme="1"/>
        <sz val="12.0"/>
      </rPr>
      <t xml:space="preserve">Orders Refund ROW </t>
    </r>
    <r>
      <rPr>
        <rFont val="Arial"/>
        <color theme="1"/>
        <sz val="10.0"/>
      </rPr>
      <t>(ex. "return")</t>
    </r>
  </si>
  <si>
    <t>Hardware - NA</t>
  </si>
  <si>
    <t>Shipping - NA</t>
  </si>
  <si>
    <t>Taxes - NA</t>
  </si>
  <si>
    <t>Hardware - ROW</t>
  </si>
  <si>
    <t>% Who is this for?</t>
  </si>
  <si>
    <t>Shipping - ROW</t>
  </si>
  <si>
    <t>Taxes - ROW</t>
  </si>
  <si>
    <t>Bird Buddy - NA (United States + Canada)</t>
  </si>
  <si>
    <t>Bird Buddy with Solar Roof- NA (United States + Canada)</t>
  </si>
  <si>
    <t>Bird Buddy - Europe (EU, UK, NOR, SWI)</t>
  </si>
  <si>
    <t>Bird Buddy with Solar Roof - Europe (EU, UK, NOR, SWI)</t>
  </si>
  <si>
    <t>Bird Buddy - ROW</t>
  </si>
  <si>
    <t>Bird Buddy with Solar Roof - ROW</t>
  </si>
  <si>
    <t>COGS Bird Buddy ($81.22)</t>
  </si>
  <si>
    <t>3-in-1 Nutrition Set - NA</t>
  </si>
  <si>
    <t>Solar Roof Single - NA</t>
  </si>
  <si>
    <t>Perch Extender - NA</t>
  </si>
  <si>
    <t>Bird Buddy China Tax (7.5%)</t>
  </si>
  <si>
    <t>3-in-1 Nutrition Set - Europe</t>
  </si>
  <si>
    <t>Solar Roof Single - Europe</t>
  </si>
  <si>
    <t>COGS Bird Buddy with Solar Roof ($91.14)</t>
  </si>
  <si>
    <t>Perch Extender - Europe</t>
  </si>
  <si>
    <t>No, never.</t>
  </si>
  <si>
    <t>Bird Buddy with Solar Roof China Tax (7.5%)</t>
  </si>
  <si>
    <t>3-in-1 Nutrition Set - ROW</t>
  </si>
  <si>
    <t>Solar Roof Single - ROW</t>
  </si>
  <si>
    <t>% Have you ever used a bird feeder before this purchase?</t>
  </si>
  <si>
    <t>Perch Extender - ROW</t>
  </si>
  <si>
    <t>Refunds</t>
  </si>
  <si>
    <t>COGS Fence Mount ($6.37)</t>
  </si>
  <si>
    <t>Sales Margin %</t>
  </si>
  <si>
    <t>Fence Mount China Tax (7.5%)</t>
  </si>
  <si>
    <t>Fence Mount Duty (3.4%)</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</si>
  <si>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</si>
  <si>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</si>
  <si>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</si>
  <si>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</si>
  <si>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</si>
  <si>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</si>
  <si>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</si>
  <si>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</si>
  <si>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</si>
  <si>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</si>
  <si>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</si>
  <si>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</si>
  <si>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Harbor Maintenance Fees (0.125%)</t>
  </si>
  <si>
    <t>Merchandise Processing Fees (0.3464%)*</t>
  </si>
  <si>
    <t>Inbound Shipping BB units</t>
  </si>
  <si>
    <t>Outbound Shipping BB units</t>
  </si>
  <si>
    <t>Inbound Shipping Add-ons</t>
  </si>
  <si>
    <t>Outbound Shipping Add-ons</t>
  </si>
  <si>
    <t>US VAT (Amazon)</t>
  </si>
  <si>
    <t>Total Refunds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</si>
  <si>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</si>
  <si>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</si>
  <si>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</si>
  <si>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COGS Perch Extender ($4.00)</t>
  </si>
  <si>
    <t>3PLSerial Capture addons</t>
  </si>
  <si>
    <t>3PLStorage addons</t>
  </si>
  <si>
    <t>3PLSupplies cost addons</t>
  </si>
  <si>
    <r>
      <rPr>
        <rFont val="Arial"/>
        <color theme="1"/>
        <sz val="12.0"/>
      </rPr>
      <t xml:space="preserve">Processing Fee (2,90%) </t>
    </r>
    <r>
      <rPr>
        <rFont val="Arial"/>
        <color theme="1"/>
        <sz val="10.0"/>
      </rPr>
      <t>stripe vs. affirm %</t>
    </r>
  </si>
  <si>
    <t>3PLPick charge addons</t>
  </si>
  <si>
    <r>
      <rPr>
        <rFont val="Arial"/>
        <color theme="1"/>
        <sz val="12.0"/>
      </rPr>
      <t xml:space="preserve">Transaction Fee ($0.30) </t>
    </r>
    <r>
      <rPr>
        <rFont val="Arial"/>
        <color theme="1"/>
        <sz val="10.0"/>
      </rPr>
      <t>stripe vs. affirm %</t>
    </r>
  </si>
  <si>
    <t>3PLPollybag cost addons</t>
  </si>
  <si>
    <t>3PLCarton cost addons</t>
  </si>
  <si>
    <t>Returns and Replacements</t>
  </si>
  <si>
    <t>(All sales) US VAT (Shopify)</t>
  </si>
  <si>
    <t>(All sales) Europe VAT (EU, UK, NOR, SWI) - 22%</t>
  </si>
  <si>
    <t>(All sales) Rest of World VAT - 13%</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</si>
  <si>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</si>
  <si>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</si>
  <si>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3PLHandling Fee</t>
  </si>
  <si>
    <t>3PL costs BB unit</t>
  </si>
  <si>
    <t>3PLSerial Capture BB unit</t>
  </si>
  <si>
    <t>3PLStorage BB unit</t>
  </si>
  <si>
    <t>3PLSupplies cost BB unit</t>
  </si>
  <si>
    <t>3PLPick charge BB unit</t>
  </si>
  <si>
    <t>3PLPollybag cost BB unit</t>
  </si>
  <si>
    <t>3PLCarton cost BB unit</t>
  </si>
  <si>
    <t>Solar Roof Single China Tax (25%)</t>
  </si>
  <si>
    <t>3PL costs Addons</t>
  </si>
  <si>
    <t>Sales Margin</t>
  </si>
  <si>
    <t>Daily Sales Margin %</t>
  </si>
  <si>
    <t>Daily NET ROAS</t>
  </si>
  <si>
    <t>Fake Orders</t>
  </si>
  <si>
    <t xml:space="preserve">   - Subscription Price</t>
  </si>
  <si>
    <t xml:space="preserve">   - Store Comission Fee</t>
  </si>
  <si>
    <t>Rachio Revenue</t>
  </si>
  <si>
    <t>IndieGoGo Revenue</t>
  </si>
  <si>
    <t xml:space="preserve">   - Best Buy</t>
  </si>
  <si>
    <t>Marketing Averages (per order)</t>
  </si>
  <si>
    <t>Processing Fee</t>
  </si>
  <si>
    <t>- Merch (units sold)</t>
  </si>
  <si>
    <t>US+CA</t>
  </si>
  <si>
    <t>*from july.23</t>
  </si>
  <si>
    <t>EUROPE</t>
  </si>
  <si>
    <t>jan.23-jun.23 AOV</t>
  </si>
  <si>
    <t>NA (cca 6 %)</t>
  </si>
  <si>
    <t>Europe (22 %)</t>
  </si>
  <si>
    <t>KCTC (additionally for first 3.000 items)</t>
  </si>
  <si>
    <t>*KCTC = China -&gt; LA with Air fraight</t>
  </si>
  <si>
    <t>Logistics</t>
  </si>
  <si>
    <t>Label Handling</t>
  </si>
  <si>
    <t>FBA fees</t>
  </si>
  <si>
    <t>*for first milion is 10 % than 15 %</t>
  </si>
  <si>
    <t>Supermetrics Queries</t>
  </si>
  <si>
    <t>Blended CAC</t>
  </si>
  <si>
    <t>wCAC</t>
  </si>
  <si>
    <t>aCAC</t>
  </si>
  <si>
    <t>All the queries created by Supermetrics are stored here, each in its own row.</t>
  </si>
  <si>
    <t>Start date:</t>
  </si>
  <si>
    <t>End date:</t>
  </si>
  <si>
    <t>30/11/2023</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</si>
  <si>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</si>
  <si>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</si>
  <si>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</si>
  <si>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</si>
  <si>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</si>
  <si>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</si>
  <si>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</si>
  <si>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</si>
  <si>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</si>
  <si>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</si>
  <si>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</si>
  <si>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</si>
  <si>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</si>
  <si>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</si>
  <si>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</si>
  <si>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On this sheet you can:</t>
  </si>
  <si>
    <t>% Plan (linear projection)</t>
  </si>
  <si>
    <t>Linear Projection GAP</t>
  </si>
  <si>
    <t>Avg users per month</t>
  </si>
  <si>
    <t>Avg users per day (cca.)</t>
  </si>
  <si>
    <t>AVG ROAS per month</t>
  </si>
  <si>
    <t>CAC</t>
  </si>
  <si>
    <t>AVG CPO per month</t>
  </si>
  <si>
    <t>1. Modify the parameters of a query. Any changes will be visible when you run a refresh.</t>
  </si>
  <si>
    <t>AVG CR per month</t>
  </si>
  <si>
    <t>0,91%</t>
  </si>
  <si>
    <t>AVG AOV per month</t>
  </si>
  <si>
    <t>How can we achieve the plan? (KPI-s perspective) - MTD</t>
  </si>
  <si>
    <t>Planned MTD</t>
  </si>
  <si>
    <t>Actuals MTD</t>
  </si>
  <si>
    <t>Realization %</t>
  </si>
  <si>
    <t>Planned revenue</t>
  </si>
  <si>
    <t>Planned orders</t>
  </si>
  <si>
    <t>2. Remove a query by deleting its row</t>
  </si>
  <si>
    <t>Planned investments (marketing activites)</t>
  </si>
  <si>
    <t>Europe/Paris</t>
  </si>
  <si>
    <t>Planned ROAS</t>
  </si>
  <si>
    <t>Planned CPO</t>
  </si>
  <si>
    <t>Canada</t>
  </si>
  <si>
    <t>Planned CR (DTC)</t>
  </si>
  <si>
    <t>Product</t>
  </si>
  <si>
    <t>DTC orders</t>
  </si>
  <si>
    <t>Hummingbird Feeder</t>
  </si>
  <si>
    <t>Pole System</t>
  </si>
  <si>
    <t>Category</t>
  </si>
  <si>
    <t>Bird Feeder</t>
  </si>
  <si>
    <t>Add-on</t>
  </si>
  <si>
    <t>Planned AOV</t>
  </si>
  <si>
    <t>Owner</t>
  </si>
  <si>
    <t>Nick Koukourakis</t>
  </si>
  <si>
    <t>Planned Website traffic (DTC)</t>
  </si>
  <si>
    <t>Controller #1</t>
  </si>
  <si>
    <t>Diana Spiewak</t>
  </si>
  <si>
    <t>Controller #2</t>
  </si>
  <si>
    <t>3. Add new queries: type a range address and query parameters, leave the query ID empty. The query will be added when you run a refresh. (Of course, it's much easier to use the sidebar to add new queries.)</t>
  </si>
  <si>
    <t>Eric Malkowski</t>
  </si>
  <si>
    <t>Batch</t>
  </si>
  <si>
    <t>Batch Timeline</t>
  </si>
  <si>
    <t>April - November</t>
  </si>
  <si>
    <t>Chip</t>
  </si>
  <si>
    <t>Legend:</t>
  </si>
  <si>
    <t>plan input data</t>
  </si>
  <si>
    <t>formulas</t>
  </si>
  <si>
    <t>Other Component</t>
  </si>
  <si>
    <t>BOM Margin</t>
  </si>
  <si>
    <t>Packaging and Accessories</t>
  </si>
  <si>
    <t>Package Margin</t>
  </si>
  <si>
    <t>Total Product Cost</t>
  </si>
  <si>
    <t>Finance fee</t>
  </si>
  <si>
    <t>PPV cost component</t>
  </si>
  <si>
    <t>BOM Margin (%)</t>
  </si>
  <si>
    <t>Package Margin (%)</t>
  </si>
  <si>
    <t>Duty Rate</t>
  </si>
  <si>
    <t>Tarrif Rate</t>
  </si>
  <si>
    <t>TOTAL</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</si>
  <si>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</si>
  <si>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Total Port Cost</t>
  </si>
  <si>
    <t>INVESTMENTS</t>
  </si>
  <si>
    <t>Duty Rate (%)</t>
  </si>
  <si>
    <t>INVESTMENT PLAN</t>
  </si>
  <si>
    <t>Tarrif Rate (%)</t>
  </si>
  <si>
    <t>HMF (%)</t>
  </si>
  <si>
    <t>MPF (%)</t>
  </si>
  <si>
    <t>Judy Stanis</t>
  </si>
  <si>
    <t>Air Freight</t>
  </si>
  <si>
    <t>Fast Ocean</t>
  </si>
  <si>
    <t>Ocean</t>
  </si>
  <si>
    <t>Total Inbound Cost</t>
  </si>
  <si>
    <t>Don't delete or rename this sheet. If you delete or rename it, your existing queries can no longer be refreshed. Hiding the sheet is OK. Also, don't delete any rows above row 21.</t>
  </si>
  <si>
    <t>Air Freight (%)</t>
  </si>
  <si>
    <t>Fast Ocean (%)</t>
  </si>
  <si>
    <t>Ocean (%)</t>
  </si>
  <si>
    <t>Remzo Hotić</t>
  </si>
  <si>
    <t>Customs and Duty</t>
  </si>
  <si>
    <t>Supplies Cost</t>
  </si>
  <si>
    <t>Pick Charge</t>
  </si>
  <si>
    <t>Pallet Cost</t>
  </si>
  <si>
    <t>PollyBag Cost</t>
  </si>
  <si>
    <t>Carton Cost</t>
  </si>
  <si>
    <t>VAS</t>
  </si>
  <si>
    <t>Storage Cost</t>
  </si>
  <si>
    <t>Query ID</t>
  </si>
  <si>
    <t>Total Outbound Cost</t>
  </si>
  <si>
    <t>Price</t>
  </si>
  <si>
    <t>Shipping</t>
  </si>
  <si>
    <t>Tax</t>
  </si>
  <si>
    <t>Total</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</si>
  <si>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</si>
  <si>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</si>
  <si>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</si>
  <si>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</si>
  <si>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</si>
  <si>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</si>
  <si>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</si>
  <si>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</si>
  <si>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</si>
  <si>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</si>
  <si>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</si>
  <si>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</si>
  <si>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</si>
  <si>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</si>
  <si>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</si>
  <si>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</si>
  <si>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</si>
  <si>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</si>
  <si>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</si>
  <si>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</si>
  <si>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</si>
  <si>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</si>
  <si>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</si>
  <si>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</si>
  <si>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</si>
  <si>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</si>
  <si>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</si>
  <si>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</si>
  <si>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</si>
  <si>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</si>
  <si>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</si>
  <si>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</si>
  <si>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</si>
  <si>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</si>
  <si>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</si>
  <si>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</si>
  <si>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</si>
  <si>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</si>
  <si>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</si>
  <si>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</si>
  <si>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</si>
  <si>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</si>
  <si>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TRAFFIC (Sessions GA4)</t>
  </si>
  <si>
    <t>refreshButtonNumber</t>
  </si>
  <si>
    <t>TRAFFIC PLAN</t>
  </si>
  <si>
    <t>United States</t>
  </si>
  <si>
    <t>FINANCE REPORT July 2023</t>
  </si>
  <si>
    <t>MTD History</t>
  </si>
  <si>
    <t>MTD Actuals</t>
  </si>
  <si>
    <t>MTD Plan</t>
  </si>
  <si>
    <t>Actuals VS Plan</t>
  </si>
  <si>
    <t>GROWTH</t>
  </si>
  <si>
    <t>Jul.22</t>
  </si>
  <si>
    <t>Jul.23</t>
  </si>
  <si>
    <t>Growth YOY (%)</t>
  </si>
  <si>
    <t>Planned Growth (%)</t>
  </si>
  <si>
    <t>Contribution statment</t>
  </si>
  <si>
    <t>MTD EUR</t>
  </si>
  <si>
    <t>MTD EUR % TR</t>
  </si>
  <si>
    <t>Plan realization (%)</t>
  </si>
  <si>
    <t>Plan realization diff.</t>
  </si>
  <si>
    <r>
      <rPr>
        <rFont val="Calibri, sans-serif"/>
        <b/>
        <color rgb="FF000000"/>
        <sz val="11.0"/>
      </rPr>
      <t xml:space="preserve">TOTAL REVENUES </t>
    </r>
    <r>
      <rPr>
        <rFont val="Calibri, sans-serif"/>
        <b/>
        <i/>
        <color rgb="FF000000"/>
        <sz val="9.0"/>
      </rPr>
      <t>(Order value)</t>
    </r>
  </si>
  <si>
    <r>
      <rPr>
        <rFont val="Calibri, sans-serif"/>
        <b/>
        <color rgb="FF134F5C"/>
        <sz val="11.0"/>
      </rPr>
      <t xml:space="preserve">TOTAL REVENUES </t>
    </r>
    <r>
      <rPr>
        <rFont val="Calibri, sans-serif"/>
        <b/>
        <i/>
        <color rgb="FF134F5C"/>
        <sz val="9.0"/>
      </rPr>
      <t>(Net order value)</t>
    </r>
  </si>
  <si>
    <r>
      <rPr>
        <rFont val="Calibri, sans-serif"/>
        <b/>
        <color rgb="FF45818E"/>
        <sz val="11.0"/>
      </rPr>
      <t>GROSS MARGIN</t>
    </r>
    <r>
      <rPr>
        <rFont val="Calibri, sans-serif"/>
        <b/>
        <color rgb="FF45818E"/>
        <sz val="10.0"/>
      </rPr>
      <t xml:space="preserve"> </t>
    </r>
    <r>
      <rPr>
        <rFont val="Calibri, sans-serif"/>
        <b/>
        <i/>
        <color rgb="FF45818E"/>
        <sz val="9.0"/>
      </rPr>
      <t>(Net order value)</t>
    </r>
  </si>
  <si>
    <r>
      <rPr>
        <rFont val="Calibri, sans-serif"/>
        <b/>
        <color rgb="FF45818E"/>
        <sz val="11.0"/>
      </rPr>
      <t xml:space="preserve">MEDIA GROSS PROFIT </t>
    </r>
    <r>
      <rPr>
        <rFont val="Calibri, sans-serif"/>
        <b/>
        <i/>
        <color rgb="FF45818E"/>
        <sz val="9.0"/>
      </rPr>
      <t>(Net order value)</t>
    </r>
  </si>
  <si>
    <t>TOTAL COSTS</t>
  </si>
  <si>
    <t>CPO NONVV % = Marketing costs / Order no vat value * 100</t>
  </si>
  <si>
    <t>Media mix costs</t>
  </si>
  <si>
    <r>
      <rPr>
        <rFont val="Calibri, sans-serif"/>
        <color rgb="FF4C1130"/>
        <sz val="11.0"/>
      </rPr>
      <t xml:space="preserve">Shipping costs </t>
    </r>
    <r>
      <rPr>
        <rFont val="Calibri, sans-serif"/>
        <i/>
        <color rgb="FF4C1130"/>
        <sz val="9.0"/>
      </rPr>
      <t>(inbound &amp; outbound)</t>
    </r>
  </si>
  <si>
    <t>ROI NONVV = (Net order no VAT value - Purchase value of sold products (NONVV)) / Marketing costs</t>
  </si>
  <si>
    <r>
      <rPr>
        <rFont val="Calibri, sans-serif"/>
        <color rgb="FF4C1130"/>
        <sz val="11.0"/>
      </rPr>
      <t xml:space="preserve">Fee costs </t>
    </r>
    <r>
      <rPr>
        <rFont val="Calibri, sans-serif"/>
        <color rgb="FF4C1130"/>
        <sz val="9.0"/>
      </rPr>
      <t>(processing &amp; transaction fees)</t>
    </r>
  </si>
  <si>
    <t>COGS NONVV % = Purchase Value of Sold Products (NONVV) / Net order no VAT value</t>
  </si>
  <si>
    <t>MGP NONVV = Net Order no VAT value - Purchase Value of Sold Products (NONVV) - Marketing costs</t>
  </si>
  <si>
    <t>Taxes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</si>
  <si>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</si>
  <si>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</si>
  <si>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</si>
  <si>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TOTAL REFUNDS (complaints)</t>
  </si>
  <si>
    <t>Net Order no VAT Value – Order value subtracted with estimated complaints and without VAT. IL = item level</t>
  </si>
  <si>
    <t>80 units per pallet</t>
  </si>
  <si>
    <t>720 per pallet</t>
  </si>
  <si>
    <t>450 per pallet</t>
  </si>
  <si>
    <t>2940 per pallet</t>
  </si>
  <si>
    <t>640 per pallet</t>
  </si>
  <si>
    <t>Refunds + Shipping</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</si>
  <si>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</si>
  <si>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</si>
  <si>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</si>
  <si>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</si>
  <si>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</si>
  <si>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</si>
  <si>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</si>
  <si>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</si>
  <si>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</si>
  <si>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</si>
  <si>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</si>
  <si>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</si>
  <si>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</si>
  <si>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</si>
  <si>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</si>
  <si>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</si>
  <si>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</si>
  <si>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</si>
  <si>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</si>
  <si>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</si>
  <si>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</si>
  <si>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</si>
  <si>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</si>
  <si>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Returns &amp; Replacements</t>
  </si>
  <si>
    <t>W19-23</t>
  </si>
  <si>
    <t>W20-23</t>
  </si>
  <si>
    <t>may.23</t>
  </si>
  <si>
    <t>W21-23</t>
  </si>
  <si>
    <t>W22-23</t>
  </si>
  <si>
    <t>W23-23</t>
  </si>
  <si>
    <t>Sales profit</t>
  </si>
  <si>
    <t>W24-23</t>
  </si>
  <si>
    <t>jun.23</t>
  </si>
  <si>
    <t>W25-23</t>
  </si>
  <si>
    <t>W26-23</t>
  </si>
  <si>
    <t>W27-23</t>
  </si>
  <si>
    <t>W28-23</t>
  </si>
  <si>
    <t>jul.23</t>
  </si>
  <si>
    <t>W29-23</t>
  </si>
  <si>
    <t>W30-23</t>
  </si>
  <si>
    <t>W31-23</t>
  </si>
  <si>
    <t>W32-23</t>
  </si>
  <si>
    <t>SKU1 - Bird Buddy</t>
  </si>
  <si>
    <t>CPO NONVV %</t>
  </si>
  <si>
    <t>ROI NONVV</t>
  </si>
  <si>
    <t>Sessions</t>
  </si>
  <si>
    <t>COGS NONVV %</t>
  </si>
  <si>
    <t>Revenue Company by IL NONVV %</t>
  </si>
  <si>
    <t>Cost Company by IL %</t>
  </si>
  <si>
    <t>Units sold</t>
  </si>
  <si>
    <t>MGP Company by IL NONVV %</t>
  </si>
  <si>
    <t>MGP NONVV</t>
  </si>
  <si>
    <t>Net Order no VAT Value</t>
  </si>
  <si>
    <t>Cost no VAT Value</t>
  </si>
  <si>
    <t>?</t>
  </si>
  <si>
    <t>SKU3 - Bird Buddy w Solar Roof</t>
  </si>
  <si>
    <t>CAC per order</t>
  </si>
  <si>
    <t>CAC per unit</t>
  </si>
  <si>
    <t>Revenue Per Session</t>
  </si>
  <si>
    <t>Cost Per Session (media mix costs)</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</si>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</sst>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mmm yyyy"/>
    <numFmt numFmtId="165" formatCode="M/d/yyyy"/>
    <numFmt numFmtId="166" formatCode="yyyy-mm-dd h:mm:ss"/>
    <numFmt numFmtId="167" formatCode="&quot;$&quot;#,##0.00"/>
    <numFmt numFmtId="168" formatCode="_-[$$-409]* #,##0.00_ ;_-[$$-409]* \-#,##0.00\ ;_-[$$-409]* &quot;-&quot;??_ ;_-@_ "/>
    <numFmt numFmtId="169" formatCode="[$€]#,##0.00"/>
    <numFmt numFmtId="170" formatCode="_-[$$-409]* #,##0.00_ ;_-[$$-409]* \-#,##0.00\ ;_-[$$-409]* &quot;-&quot;??.00_ ;_-@_ "/>
    <numFmt numFmtId="171" formatCode="_-[$€-2]\ * #,##0.00_-;\-[$€-2]\ * #,##0.00_-;_-[$€-2]\ * &quot;-&quot;??_-;_-@"/>
    <numFmt numFmtId="172" formatCode="#,##0.0000"/>
    <numFmt numFmtId="173" formatCode="_(&quot;$&quot;* #,##0.00_);_(&quot;$&quot;* \(#,##0.00\);_(&quot;$&quot;* &quot;-&quot;??_);_(@_)"/>
    <numFmt numFmtId="174" formatCode="mmm yyyy"/>
    <numFmt numFmtId="175" formatCode="&quot;$&quot;#,##0"/>
    <numFmt numFmtId="176" formatCode="0.000%"/>
    <numFmt numFmtId="177" formatCode="0.0000%"/>
    <numFmt numFmtId="178" formatCode="0.0%"/>
    <numFmt numFmtId="179" formatCode="yyyy-mm-dd"/>
    <numFmt numFmtId="180" formatCode="#,##0&quot;$&quot;"/>
    <numFmt numFmtId="181" formatCode="0.0"/>
    <numFmt numFmtId="182" formatCode="_-&quot;€&quot;* #,##0.00_-;\-&quot;€&quot;* #,##0.00_-;_-&quot;€&quot;* &quot;-&quot;??_-;_-@"/>
    <numFmt numFmtId="183" formatCode="&quot;$&quot;#,##0.000"/>
    <numFmt numFmtId="184" formatCode="_([$€-2]\ * #,##0.00_);_([$€-2]\ * \(#,##0.00\);_([$€-2]\ * &quot;-&quot;??_);_(@_)"/>
    <numFmt numFmtId="185" formatCode="mm/dd/yyyy"/>
  </numFmts>
  <fonts count="93">
    <font>
      <sz val="10.0"/>
      <color rgb="FF000000"/>
      <name val="Arial"/>
      <scheme val="minor"/>
    </font>
    <font>
      <color theme="1"/>
      <name val="Arial"/>
      <scheme val="minor"/>
    </font>
    <font>
      <sz val="12.0"/>
      <color rgb="FFFFFFFF"/>
      <name val="Arial"/>
    </font>
    <font>
      <color theme="1"/>
      <name val="Arial"/>
    </font>
    <font>
      <sz val="12.0"/>
      <color theme="1"/>
      <name val="Arial"/>
    </font>
    <font>
      <b/>
      <i/>
      <sz val="12.0"/>
      <color theme="1"/>
      <name val="Arial"/>
    </font>
    <font>
      <color rgb="FF202223"/>
      <name val="Arial"/>
    </font>
    <font>
      <b/>
      <sz val="12.0"/>
      <color theme="1"/>
      <name val="Arial"/>
    </font>
    <font>
      <color rgb="FFFFFFFF"/>
      <name val="Arial"/>
    </font>
    <font>
      <sz val="10.0"/>
      <color rgb="FFFFFFFF"/>
      <name val="Arial"/>
    </font>
    <font>
      <sz val="13.0"/>
      <color rgb="FFFFFFFF"/>
      <name val="Arial"/>
    </font>
    <font>
      <sz val="13.0"/>
      <color theme="1"/>
      <name val="Arial"/>
    </font>
    <font>
      <sz val="9.0"/>
      <color rgb="FFEFEFEF"/>
      <name val="Arial"/>
    </font>
    <font>
      <sz val="9.0"/>
      <color rgb="FFFFFFFF"/>
      <name val="Arial"/>
    </font>
    <font>
      <sz val="9.0"/>
      <color rgb="FFB7B7B7"/>
      <name val="Arial"/>
    </font>
    <font>
      <color rgb="FFD9D9D9"/>
      <name val="Arial"/>
    </font>
    <font>
      <b/>
      <sz val="12.0"/>
      <color rgb="FFFFFFFF"/>
      <name val="Arial"/>
    </font>
    <font>
      <b/>
      <sz val="14.0"/>
      <color rgb="FFFFFFFF"/>
      <name val="Unbounded"/>
    </font>
    <font/>
    <font>
      <u/>
      <color rgb="FF1155CC"/>
      <name val="Arial"/>
    </font>
    <font>
      <i/>
      <sz val="8.0"/>
      <color theme="1"/>
      <name val="Arial"/>
    </font>
    <font>
      <b/>
      <color theme="1"/>
      <name val="Arial"/>
    </font>
    <font>
      <u/>
      <color rgb="FF1155CC"/>
      <name val="Arial"/>
    </font>
    <font>
      <u/>
      <color rgb="FF1155CC"/>
      <name val="Arial"/>
    </font>
    <font>
      <u/>
      <color rgb="FF1155CC"/>
      <name val="Arial"/>
    </font>
    <font>
      <sz val="12.0"/>
      <color rgb="FF202223"/>
      <name val="Arial"/>
    </font>
    <font>
      <color rgb="FFF6B26B"/>
      <name val="Arial"/>
    </font>
    <font>
      <sz val="11.0"/>
      <color rgb="FF202223"/>
      <name val="Arial"/>
    </font>
    <font>
      <sz val="12.0"/>
      <color rgb="FFA5A5A5"/>
      <name val="Arial"/>
    </font>
    <font>
      <sz val="12.0"/>
      <color rgb="FF000000"/>
      <name val="Arial"/>
    </font>
    <font>
      <i/>
      <sz val="12.0"/>
      <color theme="1"/>
      <name val="Arial"/>
    </font>
    <font>
      <sz val="12.0"/>
      <color rgb="FF999999"/>
      <name val="Arial"/>
    </font>
    <font>
      <i/>
      <color theme="1"/>
      <name val="Arial"/>
    </font>
    <font>
      <sz val="12.0"/>
      <color theme="1"/>
      <name val="Arial"/>
      <scheme val="minor"/>
    </font>
    <font>
      <sz val="12.0"/>
      <color rgb="FF1F2124"/>
      <name val="Arial"/>
    </font>
    <font>
      <sz val="12.0"/>
      <color rgb="FF202223"/>
      <name val="Arial"/>
      <scheme val="minor"/>
    </font>
    <font>
      <b/>
      <color theme="1"/>
      <name val="Arial"/>
      <scheme val="minor"/>
    </font>
    <font>
      <sz val="13.0"/>
      <color theme="1"/>
      <name val="Arial"/>
      <scheme val="minor"/>
    </font>
    <font>
      <sz val="12.0"/>
      <color rgb="FF000000"/>
      <name val="Inherit"/>
    </font>
    <font>
      <sz val="13.0"/>
      <color rgb="FF000000"/>
      <name val="Inherit"/>
    </font>
    <font>
      <sz val="10.0"/>
      <color rgb="FF212B36"/>
      <name val="-apple-system"/>
    </font>
    <font>
      <b/>
      <color rgb="FFFFFFFF"/>
      <name val="Arial"/>
      <scheme val="minor"/>
    </font>
    <font>
      <b/>
      <color rgb="FFFFFFFF"/>
      <name val="Arial"/>
    </font>
    <font>
      <b/>
      <color rgb="FF000000"/>
      <name val="Arial"/>
      <scheme val="minor"/>
    </font>
    <font>
      <color rgb="FF000000"/>
      <name val="Arial"/>
    </font>
    <font>
      <sz val="13.0"/>
      <color rgb="FF000000"/>
      <name val="Arial"/>
    </font>
    <font>
      <sz val="12.0"/>
      <color rgb="FFAEABAB"/>
      <name val="Arial"/>
    </font>
    <font>
      <sz val="12.0"/>
      <color rgb="FF006100"/>
      <name val="Arial"/>
    </font>
    <font>
      <sz val="10.0"/>
      <color rgb="FF202223"/>
      <name val="Arial"/>
      <scheme val="minor"/>
    </font>
    <font>
      <color rgb="FF002F36"/>
      <name val="&quot;Amazon Ember&quot;"/>
    </font>
    <font>
      <color rgb="FF002F36"/>
      <name val="Arial"/>
    </font>
    <font>
      <u/>
      <color rgb="FF0000FF"/>
    </font>
    <font>
      <color theme="0"/>
      <name val="Arial"/>
      <scheme val="minor"/>
    </font>
    <font>
      <color rgb="FFFFFFFF"/>
      <name val="Arial"/>
      <scheme val="minor"/>
    </font>
    <font>
      <color rgb="FF000000"/>
      <name val="Arial"/>
      <scheme val="minor"/>
    </font>
    <font>
      <i/>
      <sz val="8.0"/>
      <color theme="1"/>
      <name val="Arial"/>
      <scheme val="minor"/>
    </font>
    <font>
      <i/>
      <color theme="1"/>
      <name val="Arial"/>
      <scheme val="minor"/>
    </font>
    <font>
      <u/>
      <color rgb="FF0000FF"/>
    </font>
    <font>
      <i/>
      <sz val="8.0"/>
      <color rgb="FF000000"/>
      <name val="Arial"/>
      <scheme val="minor"/>
    </font>
    <font>
      <b/>
      <sz val="9.0"/>
      <color theme="1"/>
      <name val="Arial"/>
      <scheme val="minor"/>
    </font>
    <font>
      <b/>
      <sz val="20.0"/>
      <color theme="1"/>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color theme="1"/>
      <name val="Google Sans"/>
    </font>
    <font>
      <sz val="8.0"/>
      <color rgb="FFFFFFFF"/>
      <name val="Calibri"/>
    </font>
    <font>
      <b/>
      <sz val="8.0"/>
      <color rgb="FF000000"/>
      <name val="Calibri"/>
    </font>
    <font>
      <b/>
      <sz val="8.0"/>
      <color theme="1"/>
      <name val="Calibri"/>
    </font>
    <font>
      <b/>
      <sz val="9.0"/>
      <color rgb="FF000000"/>
      <name val="Calibri"/>
    </font>
    <font>
      <color rgb="FFEEEEEE"/>
      <name val="Arial"/>
      <scheme val="minor"/>
    </font>
    <font>
      <sz val="9.0"/>
      <color rgb="FF000000"/>
      <name val="Calibri"/>
    </font>
    <font>
      <color rgb="FFD9D9D9"/>
      <name val="Arial"/>
      <scheme val="minor"/>
    </font>
    <font>
      <b/>
      <sz val="9.0"/>
      <color theme="1"/>
      <name val="Calibri"/>
    </font>
    <font>
      <sz val="10.0"/>
      <color rgb="FF000000"/>
      <name val="Arial"/>
    </font>
    <font>
      <sz val="8.0"/>
      <color rgb="FF333333"/>
      <name val="Latoregular"/>
    </font>
    <font>
      <u/>
      <color rgb="FF0000FF"/>
    </font>
    <font>
      <sz val="12.0"/>
      <color theme="1"/>
      <name val="Calibri"/>
    </font>
    <font>
      <b/>
      <i/>
      <sz val="12.0"/>
      <color rgb="FF000000"/>
      <name val="Calibri"/>
    </font>
    <font>
      <b/>
      <sz val="12.0"/>
      <color theme="1"/>
      <name val="Calibri"/>
    </font>
    <font>
      <b/>
      <sz val="11.0"/>
      <color rgb="FF134F5C"/>
      <name val="Calibri"/>
    </font>
    <font>
      <b/>
      <sz val="11.0"/>
      <color rgb="FF45818E"/>
      <name val="Calibri"/>
    </font>
    <font>
      <b/>
      <sz val="11.0"/>
      <color rgb="FF4C1130"/>
      <name val="Calibri"/>
    </font>
    <font>
      <sz val="8.0"/>
      <color theme="1"/>
      <name val="Arial"/>
      <scheme val="minor"/>
    </font>
    <font>
      <sz val="11.0"/>
      <color rgb="FF4C1130"/>
      <name val="Calibri"/>
    </font>
    <font>
      <b/>
      <sz val="11.0"/>
      <color rgb="FF980000"/>
      <name val="Calibri"/>
    </font>
    <font>
      <sz val="11.0"/>
      <color rgb="FF980000"/>
      <name val="Calibri"/>
    </font>
    <font>
      <b/>
      <sz val="12.0"/>
      <color theme="1"/>
      <name val="Arial"/>
      <scheme val="minor"/>
    </font>
    <font>
      <b/>
      <sz val="8.0"/>
      <color theme="1"/>
      <name val="Arial"/>
    </font>
    <font>
      <sz val="8.0"/>
      <color rgb="FF000000"/>
      <name val="Calibri"/>
    </font>
    <font>
      <sz val="11.0"/>
      <color rgb="FF000000"/>
      <name val="Calibri"/>
    </font>
  </fonts>
  <fills count="200">
    <fill>
      <patternFill patternType="none"/>
    </fill>
    <fill>
      <patternFill patternType="lightGray"/>
    </fill>
    <fill>
      <patternFill patternType="solid">
        <fgColor rgb="FF1F3864"/>
        <bgColor rgb="FF1F3864"/>
      </patternFill>
    </fill>
    <fill>
      <patternFill patternType="solid">
        <fgColor rgb="FFD9D9D9"/>
        <bgColor rgb="FFD9D9D9"/>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F3F3F3"/>
        <bgColor rgb="FFF3F3F3"/>
      </patternFill>
    </fill>
    <fill>
      <patternFill patternType="solid">
        <fgColor rgb="FFD8D8D8"/>
        <bgColor rgb="FFD8D8D8"/>
      </patternFill>
    </fill>
    <fill>
      <patternFill patternType="solid">
        <fgColor rgb="FFCCCCCC"/>
        <bgColor rgb="FFCCCCCC"/>
      </patternFill>
    </fill>
    <fill>
      <patternFill patternType="solid">
        <fgColor rgb="FFA8D08D"/>
        <bgColor rgb="FFA8D08D"/>
      </patternFill>
    </fill>
    <fill>
      <patternFill patternType="solid">
        <fgColor rgb="FFFF7E79"/>
        <bgColor rgb="FFFF7E79"/>
      </patternFill>
    </fill>
    <fill>
      <patternFill patternType="solid">
        <fgColor rgb="FF3F3F3F"/>
        <bgColor rgb="FF3F3F3F"/>
      </patternFill>
    </fill>
    <fill>
      <patternFill patternType="solid">
        <fgColor rgb="FFFEF2CB"/>
        <bgColor rgb="FFFEF2CB"/>
      </patternFill>
    </fill>
    <fill>
      <patternFill patternType="solid">
        <fgColor rgb="FFBFBFBF"/>
        <bgColor rgb="FFBFBFBF"/>
      </patternFill>
    </fill>
    <fill>
      <patternFill patternType="solid">
        <fgColor rgb="FFFFF2CC"/>
        <bgColor rgb="FFFFF2CC"/>
      </patternFill>
    </fill>
    <fill>
      <patternFill patternType="solid">
        <fgColor rgb="FFFFFFFF"/>
        <bgColor rgb="FFFFFFFF"/>
      </patternFill>
    </fill>
    <fill>
      <patternFill patternType="solid">
        <fgColor rgb="FFFFE598"/>
        <bgColor rgb="FFFFE598"/>
      </patternFill>
    </fill>
    <fill>
      <patternFill patternType="solid">
        <fgColor rgb="FFB6D7A8"/>
        <bgColor rgb="FFB6D7A8"/>
      </patternFill>
    </fill>
    <fill>
      <patternFill patternType="solid">
        <fgColor rgb="FFFFE599"/>
        <bgColor rgb="FFFFE599"/>
      </patternFill>
    </fill>
    <fill>
      <patternFill patternType="solid">
        <fgColor rgb="FFF4CCCC"/>
        <bgColor rgb="FFF4CCCC"/>
      </patternFill>
    </fill>
    <fill>
      <patternFill patternType="solid">
        <fgColor rgb="FFEA9999"/>
        <bgColor rgb="FFEA9999"/>
      </patternFill>
    </fill>
    <fill>
      <patternFill patternType="solid">
        <fgColor rgb="FFC9DAF8"/>
        <bgColor rgb="FFC9DAF8"/>
      </patternFill>
    </fill>
    <fill>
      <patternFill patternType="solid">
        <fgColor rgb="FFB7B7B7"/>
        <bgColor rgb="FFB7B7B7"/>
      </patternFill>
    </fill>
    <fill>
      <patternFill patternType="solid">
        <fgColor rgb="FF6D9EEB"/>
        <bgColor rgb="FF6D9EEB"/>
      </patternFill>
    </fill>
    <fill>
      <patternFill patternType="solid">
        <fgColor rgb="FFD9EAD3"/>
        <bgColor rgb="FFD9EAD3"/>
      </patternFill>
    </fill>
    <fill>
      <patternFill patternType="solid">
        <fgColor rgb="FFE7E6E6"/>
        <bgColor rgb="FFE7E6E6"/>
      </patternFill>
    </fill>
    <fill>
      <patternFill patternType="solid">
        <fgColor rgb="FF93C47D"/>
        <bgColor rgb="FF93C47D"/>
      </patternFill>
    </fill>
    <fill>
      <patternFill patternType="solid">
        <fgColor rgb="FF999999"/>
        <bgColor rgb="FF999999"/>
      </patternFill>
    </fill>
    <fill>
      <patternFill patternType="solid">
        <fgColor rgb="FFFFFF00"/>
        <bgColor rgb="FFFFFF00"/>
      </patternFill>
    </fill>
    <fill>
      <patternFill patternType="solid">
        <fgColor rgb="FFA4C2F4"/>
        <bgColor rgb="FFA4C2F4"/>
      </patternFill>
    </fill>
    <fill>
      <patternFill patternType="solid">
        <fgColor rgb="FFB4A7D6"/>
        <bgColor rgb="FFB4A7D6"/>
      </patternFill>
    </fill>
    <fill>
      <patternFill patternType="solid">
        <fgColor rgb="FFDADADA"/>
        <bgColor rgb="FFDADADA"/>
      </patternFill>
    </fill>
    <fill>
      <patternFill patternType="solid">
        <fgColor rgb="FFE8867D"/>
        <bgColor rgb="FFE8867D"/>
      </patternFill>
    </fill>
    <fill>
      <patternFill patternType="solid">
        <fgColor rgb="FFE67C73"/>
        <bgColor rgb="FFE67C73"/>
      </patternFill>
    </fill>
    <fill>
      <patternFill patternType="solid">
        <fgColor rgb="FFED9E97"/>
        <bgColor rgb="FFED9E97"/>
      </patternFill>
    </fill>
    <fill>
      <patternFill patternType="solid">
        <fgColor rgb="FFF4C5C1"/>
        <bgColor rgb="FFF4C5C1"/>
      </patternFill>
    </fill>
    <fill>
      <patternFill patternType="solid">
        <fgColor rgb="FFF2B9B4"/>
        <bgColor rgb="FFF2B9B4"/>
      </patternFill>
    </fill>
    <fill>
      <patternFill patternType="solid">
        <fgColor rgb="FFFCEEED"/>
        <bgColor rgb="FFFCEEED"/>
      </patternFill>
    </fill>
    <fill>
      <patternFill patternType="solid">
        <fgColor rgb="FFF7D2CF"/>
        <bgColor rgb="FFF7D2CF"/>
      </patternFill>
    </fill>
    <fill>
      <patternFill patternType="solid">
        <fgColor rgb="FFF7D4D1"/>
        <bgColor rgb="FFF7D4D1"/>
      </patternFill>
    </fill>
    <fill>
      <patternFill patternType="solid">
        <fgColor rgb="FFF6CDCA"/>
        <bgColor rgb="FFF6CDCA"/>
      </patternFill>
    </fill>
    <fill>
      <patternFill patternType="solid">
        <fgColor rgb="FFF4C3BF"/>
        <bgColor rgb="FFF4C3BF"/>
      </patternFill>
    </fill>
    <fill>
      <patternFill patternType="solid">
        <fgColor rgb="FFF7D3D0"/>
        <bgColor rgb="FFF7D3D0"/>
      </patternFill>
    </fill>
    <fill>
      <patternFill patternType="solid">
        <fgColor rgb="FFF5C9C5"/>
        <bgColor rgb="FFF5C9C5"/>
      </patternFill>
    </fill>
    <fill>
      <patternFill patternType="solid">
        <fgColor rgb="FFF6CCC8"/>
        <bgColor rgb="FFF6CCC8"/>
      </patternFill>
    </fill>
    <fill>
      <patternFill patternType="solid">
        <fgColor rgb="FFF6CECA"/>
        <bgColor rgb="FFF6CECA"/>
      </patternFill>
    </fill>
    <fill>
      <patternFill patternType="solid">
        <fgColor rgb="FFFBCBCE"/>
        <bgColor rgb="FFFBCBCE"/>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0AFA9"/>
        <bgColor rgb="FFF0AFA9"/>
      </patternFill>
    </fill>
    <fill>
      <patternFill patternType="solid">
        <fgColor rgb="FFE78178"/>
        <bgColor rgb="FFE78178"/>
      </patternFill>
    </fill>
    <fill>
      <patternFill patternType="solid">
        <fgColor rgb="FFF1B4AE"/>
        <bgColor rgb="FFF1B4AE"/>
      </patternFill>
    </fill>
    <fill>
      <patternFill patternType="solid">
        <fgColor rgb="FFEEA59E"/>
        <bgColor rgb="FFEEA59E"/>
      </patternFill>
    </fill>
    <fill>
      <patternFill patternType="solid">
        <fgColor rgb="FFF6CDC9"/>
        <bgColor rgb="FFF6CDC9"/>
      </patternFill>
    </fill>
    <fill>
      <patternFill patternType="solid">
        <fgColor rgb="FFEDA19A"/>
        <bgColor rgb="FFEDA19A"/>
      </patternFill>
    </fill>
    <fill>
      <patternFill patternType="solid">
        <fgColor rgb="FFF2B8B3"/>
        <bgColor rgb="FFF2B8B3"/>
      </patternFill>
    </fill>
    <fill>
      <patternFill patternType="solid">
        <fgColor rgb="FFF2BBB6"/>
        <bgColor rgb="FFF2BBB6"/>
      </patternFill>
    </fill>
    <fill>
      <patternFill patternType="solid">
        <fgColor rgb="FFF0ACA7"/>
        <bgColor rgb="FFF0ACA7"/>
      </patternFill>
    </fill>
    <fill>
      <patternFill patternType="solid">
        <fgColor rgb="FFF0AFAA"/>
        <bgColor rgb="FFF0AFAA"/>
      </patternFill>
    </fill>
    <fill>
      <patternFill patternType="solid">
        <fgColor rgb="FFF1B4AF"/>
        <bgColor rgb="FFF1B4AF"/>
      </patternFill>
    </fill>
    <fill>
      <patternFill patternType="solid">
        <fgColor rgb="FFF3BDB9"/>
        <bgColor rgb="FFF3BDB9"/>
      </patternFill>
    </fill>
    <fill>
      <patternFill patternType="solid">
        <fgColor rgb="FFA6DBC1"/>
        <bgColor rgb="FFA6DBC1"/>
      </patternFill>
    </fill>
    <fill>
      <patternFill patternType="solid">
        <fgColor rgb="FF93D3B4"/>
        <bgColor rgb="FF93D3B4"/>
      </patternFill>
    </fill>
    <fill>
      <patternFill patternType="solid">
        <fgColor rgb="FF81CCA7"/>
        <bgColor rgb="FF81CCA7"/>
      </patternFill>
    </fill>
    <fill>
      <patternFill patternType="solid">
        <fgColor rgb="FF87CFAC"/>
        <bgColor rgb="FF87CFAC"/>
      </patternFill>
    </fill>
    <fill>
      <patternFill patternType="solid">
        <fgColor rgb="FF7ACAA3"/>
        <bgColor rgb="FF7ACAA3"/>
      </patternFill>
    </fill>
    <fill>
      <patternFill patternType="solid">
        <fgColor rgb="FF74C79E"/>
        <bgColor rgb="FF74C79E"/>
      </patternFill>
    </fill>
    <fill>
      <patternFill patternType="solid">
        <fgColor rgb="FF57BB8A"/>
        <bgColor rgb="FF57BB8A"/>
      </patternFill>
    </fill>
    <fill>
      <patternFill patternType="solid">
        <fgColor rgb="FF80CCA7"/>
        <bgColor rgb="FF80CCA7"/>
      </patternFill>
    </fill>
    <fill>
      <patternFill patternType="solid">
        <fgColor rgb="FF84CDA9"/>
        <bgColor rgb="FF84CDA9"/>
      </patternFill>
    </fill>
    <fill>
      <patternFill patternType="solid">
        <fgColor rgb="FF75C79F"/>
        <bgColor rgb="FF75C79F"/>
      </patternFill>
    </fill>
    <fill>
      <patternFill patternType="solid">
        <fgColor rgb="FF8FD2B1"/>
        <bgColor rgb="FF8FD2B1"/>
      </patternFill>
    </fill>
    <fill>
      <patternFill patternType="solid">
        <fgColor rgb="FF8DD1AF"/>
        <bgColor rgb="FF8DD1AF"/>
      </patternFill>
    </fill>
    <fill>
      <patternFill patternType="solid">
        <fgColor rgb="FF8AD0AE"/>
        <bgColor rgb="FF8AD0AE"/>
      </patternFill>
    </fill>
    <fill>
      <patternFill patternType="solid">
        <fgColor rgb="FF8AD0AD"/>
        <bgColor rgb="FF8AD0AD"/>
      </patternFill>
    </fill>
    <fill>
      <patternFill patternType="solid">
        <fgColor rgb="FF9CD7BA"/>
        <bgColor rgb="FF9CD7BA"/>
      </patternFill>
    </fill>
    <fill>
      <patternFill patternType="solid">
        <fgColor rgb="FFAEDEC7"/>
        <bgColor rgb="FFAEDEC7"/>
      </patternFill>
    </fill>
    <fill>
      <patternFill patternType="solid">
        <fgColor rgb="FF7FCCA6"/>
        <bgColor rgb="FF7FCCA6"/>
      </patternFill>
    </fill>
    <fill>
      <patternFill patternType="solid">
        <fgColor rgb="FF78C9A1"/>
        <bgColor rgb="FF78C9A1"/>
      </patternFill>
    </fill>
    <fill>
      <patternFill patternType="solid">
        <fgColor rgb="FF76C8A0"/>
        <bgColor rgb="FF76C8A0"/>
      </patternFill>
    </fill>
    <fill>
      <patternFill patternType="solid">
        <fgColor rgb="FF5BBD8D"/>
        <bgColor rgb="FF5BBD8D"/>
      </patternFill>
    </fill>
    <fill>
      <patternFill patternType="solid">
        <fgColor rgb="FF6EC49A"/>
        <bgColor rgb="FF6EC49A"/>
      </patternFill>
    </fill>
    <fill>
      <patternFill patternType="solid">
        <fgColor rgb="FF71C69C"/>
        <bgColor rgb="FF71C69C"/>
      </patternFill>
    </fill>
    <fill>
      <patternFill patternType="solid">
        <fgColor rgb="FF68C296"/>
        <bgColor rgb="FF68C296"/>
      </patternFill>
    </fill>
    <fill>
      <patternFill patternType="solid">
        <fgColor rgb="FF74C79F"/>
        <bgColor rgb="FF74C79F"/>
      </patternFill>
    </fill>
    <fill>
      <patternFill patternType="solid">
        <fgColor rgb="FF7CCAA4"/>
        <bgColor rgb="FF7CCAA4"/>
      </patternFill>
    </fill>
    <fill>
      <patternFill patternType="solid">
        <fgColor rgb="FF7AC9A2"/>
        <bgColor rgb="FF7AC9A2"/>
      </patternFill>
    </fill>
    <fill>
      <patternFill patternType="solid">
        <fgColor rgb="FFFFD966"/>
        <bgColor rgb="FFFFD966"/>
      </patternFill>
    </fill>
    <fill>
      <patternFill patternType="solid">
        <fgColor rgb="FFE98A82"/>
        <bgColor rgb="FFE98A82"/>
      </patternFill>
    </fill>
    <fill>
      <patternFill patternType="solid">
        <fgColor rgb="FFEA9189"/>
        <bgColor rgb="FFEA9189"/>
      </patternFill>
    </fill>
    <fill>
      <patternFill patternType="solid">
        <fgColor rgb="FFEB948C"/>
        <bgColor rgb="FFEB948C"/>
      </patternFill>
    </fill>
    <fill>
      <patternFill patternType="solid">
        <fgColor rgb="FFEB968F"/>
        <bgColor rgb="FFEB968F"/>
      </patternFill>
    </fill>
    <fill>
      <patternFill patternType="solid">
        <fgColor rgb="FFEC9992"/>
        <bgColor rgb="FFEC9992"/>
      </patternFill>
    </fill>
    <fill>
      <patternFill patternType="solid">
        <fgColor rgb="FFEB938B"/>
        <bgColor rgb="FFEB938B"/>
      </patternFill>
    </fill>
    <fill>
      <patternFill patternType="solid">
        <fgColor rgb="FFEC9790"/>
        <bgColor rgb="FFEC9790"/>
      </patternFill>
    </fill>
    <fill>
      <patternFill patternType="solid">
        <fgColor rgb="FFEEA39C"/>
        <bgColor rgb="FFEEA39C"/>
      </patternFill>
    </fill>
    <fill>
      <patternFill patternType="solid">
        <fgColor rgb="FFF0B0AB"/>
        <bgColor rgb="FFF0B0AB"/>
      </patternFill>
    </fill>
    <fill>
      <patternFill patternType="solid">
        <fgColor rgb="FFEFAAA4"/>
        <bgColor rgb="FFEFAAA4"/>
      </patternFill>
    </fill>
    <fill>
      <patternFill patternType="solid">
        <fgColor rgb="FFEA9089"/>
        <bgColor rgb="FFEA9089"/>
      </patternFill>
    </fill>
    <fill>
      <patternFill patternType="solid">
        <fgColor rgb="FFEB928B"/>
        <bgColor rgb="FFEB928B"/>
      </patternFill>
    </fill>
    <fill>
      <patternFill patternType="solid">
        <fgColor rgb="FFED9F98"/>
        <bgColor rgb="FFED9F98"/>
      </patternFill>
    </fill>
    <fill>
      <patternFill patternType="solid">
        <fgColor rgb="FFC5E8D7"/>
        <bgColor rgb="FFC5E8D7"/>
      </patternFill>
    </fill>
    <fill>
      <patternFill patternType="solid">
        <fgColor rgb="FFEAF7F1"/>
        <bgColor rgb="FFEAF7F1"/>
      </patternFill>
    </fill>
    <fill>
      <patternFill patternType="solid">
        <fgColor rgb="FFDBF1E6"/>
        <bgColor rgb="FFDBF1E6"/>
      </patternFill>
    </fill>
    <fill>
      <patternFill patternType="solid">
        <fgColor rgb="FFBAE3CF"/>
        <bgColor rgb="FFBAE3CF"/>
      </patternFill>
    </fill>
    <fill>
      <patternFill patternType="solid">
        <fgColor rgb="FFB7E2CD"/>
        <bgColor rgb="FFB7E2CD"/>
      </patternFill>
    </fill>
    <fill>
      <patternFill patternType="solid">
        <fgColor rgb="FFACDEC5"/>
        <bgColor rgb="FFACDEC5"/>
      </patternFill>
    </fill>
    <fill>
      <patternFill patternType="solid">
        <fgColor rgb="FF8BD0AE"/>
        <bgColor rgb="FF8BD0AE"/>
      </patternFill>
    </fill>
    <fill>
      <patternFill patternType="solid">
        <fgColor rgb="FFB9E3CE"/>
        <bgColor rgb="FFB9E3CE"/>
      </patternFill>
    </fill>
    <fill>
      <patternFill patternType="solid">
        <fgColor rgb="FFC4E7D6"/>
        <bgColor rgb="FFC4E7D6"/>
      </patternFill>
    </fill>
    <fill>
      <patternFill patternType="solid">
        <fgColor rgb="FFA2DABF"/>
        <bgColor rgb="FFA2DABF"/>
      </patternFill>
    </fill>
    <fill>
      <patternFill patternType="solid">
        <fgColor rgb="FFBDE5D1"/>
        <bgColor rgb="FFBDE5D1"/>
      </patternFill>
    </fill>
    <fill>
      <patternFill patternType="solid">
        <fgColor rgb="FF9BD7B9"/>
        <bgColor rgb="FF9BD7B9"/>
      </patternFill>
    </fill>
    <fill>
      <patternFill patternType="solid">
        <fgColor rgb="FFBFE6D3"/>
        <bgColor rgb="FFBFE6D3"/>
      </patternFill>
    </fill>
    <fill>
      <patternFill patternType="solid">
        <fgColor rgb="FFA2DABE"/>
        <bgColor rgb="FFA2DABE"/>
      </patternFill>
    </fill>
    <fill>
      <patternFill patternType="solid">
        <fgColor rgb="FFB3E1CA"/>
        <bgColor rgb="FFB3E1CA"/>
      </patternFill>
    </fill>
    <fill>
      <patternFill patternType="solid">
        <fgColor rgb="FFEFF9F4"/>
        <bgColor rgb="FFEFF9F4"/>
      </patternFill>
    </fill>
    <fill>
      <patternFill patternType="solid">
        <fgColor rgb="FFFAFDFB"/>
        <bgColor rgb="FFFAFDFB"/>
      </patternFill>
    </fill>
    <fill>
      <patternFill patternType="solid">
        <fgColor rgb="FFC0E6D3"/>
        <bgColor rgb="FFC0E6D3"/>
      </patternFill>
    </fill>
    <fill>
      <patternFill patternType="solid">
        <fgColor rgb="FFCBEADB"/>
        <bgColor rgb="FFCBEADB"/>
      </patternFill>
    </fill>
    <fill>
      <patternFill patternType="solid">
        <fgColor rgb="FFB1E0C9"/>
        <bgColor rgb="FFB1E0C9"/>
      </patternFill>
    </fill>
    <fill>
      <patternFill patternType="solid">
        <fgColor rgb="FF88CFAC"/>
        <bgColor rgb="FF88CFAC"/>
      </patternFill>
    </fill>
    <fill>
      <patternFill patternType="solid">
        <fgColor rgb="FFDAF0E6"/>
        <bgColor rgb="FFDAF0E6"/>
      </patternFill>
    </fill>
    <fill>
      <patternFill patternType="solid">
        <fgColor rgb="FFA1D9BE"/>
        <bgColor rgb="FFA1D9BE"/>
      </patternFill>
    </fill>
    <fill>
      <patternFill patternType="solid">
        <fgColor rgb="FFCFECDE"/>
        <bgColor rgb="FFCFECDE"/>
      </patternFill>
    </fill>
    <fill>
      <patternFill patternType="solid">
        <fgColor rgb="FF97D5B6"/>
        <bgColor rgb="FF97D5B6"/>
      </patternFill>
    </fill>
    <fill>
      <patternFill patternType="solid">
        <fgColor rgb="FFD8F0E4"/>
        <bgColor rgb="FFD8F0E4"/>
      </patternFill>
    </fill>
    <fill>
      <patternFill patternType="solid">
        <fgColor rgb="FFA3DABF"/>
        <bgColor rgb="FFA3DABF"/>
      </patternFill>
    </fill>
    <fill>
      <patternFill patternType="solid">
        <fgColor rgb="FFF7FCF9"/>
        <bgColor rgb="FFF7FCF9"/>
      </patternFill>
    </fill>
    <fill>
      <patternFill patternType="solid">
        <fgColor rgb="FFEBF7F1"/>
        <bgColor rgb="FFEBF7F1"/>
      </patternFill>
    </fill>
    <fill>
      <patternFill patternType="solid">
        <fgColor rgb="FFE1F3EA"/>
        <bgColor rgb="FFE1F3EA"/>
      </patternFill>
    </fill>
    <fill>
      <patternFill patternType="solid">
        <fgColor rgb="FFE2F3EB"/>
        <bgColor rgb="FFE2F3EB"/>
      </patternFill>
    </fill>
    <fill>
      <patternFill patternType="solid">
        <fgColor rgb="FFDCF1E7"/>
        <bgColor rgb="FFDCF1E7"/>
      </patternFill>
    </fill>
    <fill>
      <patternFill patternType="solid">
        <fgColor rgb="FFEDF8F2"/>
        <bgColor rgb="FFEDF8F2"/>
      </patternFill>
    </fill>
    <fill>
      <patternFill patternType="solid">
        <fgColor rgb="FFDFF2E9"/>
        <bgColor rgb="FFDFF2E9"/>
      </patternFill>
    </fill>
    <fill>
      <patternFill patternType="solid">
        <fgColor rgb="FFEEF8F3"/>
        <bgColor rgb="FFEEF8F3"/>
      </patternFill>
    </fill>
    <fill>
      <patternFill patternType="solid">
        <fgColor rgb="FFE8F6EF"/>
        <bgColor rgb="FFE8F6EF"/>
      </patternFill>
    </fill>
    <fill>
      <patternFill patternType="solid">
        <fgColor rgb="FFF5CBCC"/>
        <bgColor rgb="FFF5CBCC"/>
      </patternFill>
    </fill>
    <fill>
      <patternFill patternType="solid">
        <fgColor rgb="FF9CC2E5"/>
        <bgColor rgb="FF9CC2E5"/>
      </patternFill>
    </fill>
    <fill>
      <patternFill patternType="solid">
        <fgColor rgb="FF4A86E8"/>
        <bgColor rgb="FF4A86E8"/>
      </patternFill>
    </fill>
    <fill>
      <patternFill patternType="solid">
        <fgColor rgb="FFB7E1CD"/>
        <bgColor rgb="FFB7E1CD"/>
      </patternFill>
    </fill>
    <fill>
      <patternFill patternType="solid">
        <fgColor rgb="FF000000"/>
        <bgColor rgb="FF000000"/>
      </patternFill>
    </fill>
    <fill>
      <patternFill patternType="solid">
        <fgColor rgb="FF434343"/>
        <bgColor rgb="FF434343"/>
      </patternFill>
    </fill>
    <fill>
      <patternFill patternType="solid">
        <fgColor rgb="FFFFF3CC"/>
        <bgColor rgb="FFFFF3CC"/>
      </patternFill>
    </fill>
    <fill>
      <patternFill patternType="solid">
        <fgColor rgb="FFA5A5A5"/>
        <bgColor rgb="FFA5A5A5"/>
      </patternFill>
    </fill>
    <fill>
      <patternFill patternType="solid">
        <fgColor rgb="FFFEF9F8"/>
        <bgColor rgb="FFFEF9F8"/>
      </patternFill>
    </fill>
    <fill>
      <patternFill patternType="solid">
        <fgColor rgb="FFFBE6E4"/>
        <bgColor rgb="FFFBE6E4"/>
      </patternFill>
    </fill>
    <fill>
      <patternFill patternType="solid">
        <fgColor rgb="FFF8D8D5"/>
        <bgColor rgb="FFF8D8D5"/>
      </patternFill>
    </fill>
    <fill>
      <patternFill patternType="solid">
        <fgColor rgb="FFFEFAFA"/>
        <bgColor rgb="FFFEFAFA"/>
      </patternFill>
    </fill>
    <fill>
      <patternFill patternType="solid">
        <fgColor rgb="FFFAE2E0"/>
        <bgColor rgb="FFFAE2E0"/>
      </patternFill>
    </fill>
    <fill>
      <patternFill patternType="solid">
        <fgColor rgb="FFF8D6D4"/>
        <bgColor rgb="FFF8D6D4"/>
      </patternFill>
    </fill>
    <fill>
      <patternFill patternType="solid">
        <fgColor rgb="FFE8837A"/>
        <bgColor rgb="FFE8837A"/>
      </patternFill>
    </fill>
    <fill>
      <patternFill patternType="solid">
        <fgColor rgb="FFF9DCDA"/>
        <bgColor rgb="FFF9DCDA"/>
      </patternFill>
    </fill>
    <fill>
      <patternFill patternType="solid">
        <fgColor rgb="FFFFFCFB"/>
        <bgColor rgb="FFFFFCFB"/>
      </patternFill>
    </fill>
    <fill>
      <patternFill patternType="solid">
        <fgColor rgb="FFFEF6F6"/>
        <bgColor rgb="FFFEF6F6"/>
      </patternFill>
    </fill>
    <fill>
      <patternFill patternType="solid">
        <fgColor rgb="FFE77E75"/>
        <bgColor rgb="FFE77E7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A64D79"/>
        <bgColor rgb="FFA64D79"/>
      </patternFill>
    </fill>
    <fill>
      <patternFill patternType="solid">
        <fgColor rgb="FFEAD1DC"/>
        <bgColor rgb="FFEAD1DC"/>
      </patternFill>
    </fill>
    <fill>
      <patternFill patternType="solid">
        <fgColor theme="0"/>
        <bgColor theme="0"/>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6B26B"/>
        <bgColor rgb="FFF6B26B"/>
      </patternFill>
    </fill>
    <fill>
      <patternFill patternType="solid">
        <fgColor rgb="FFF2F2F2"/>
        <bgColor rgb="FFF2F2F2"/>
      </patternFill>
    </fill>
    <fill>
      <patternFill patternType="solid">
        <fgColor rgb="FFC6EFCE"/>
        <bgColor rgb="FFC6EFCE"/>
      </patternFill>
    </fill>
    <fill>
      <patternFill patternType="solid">
        <fgColor rgb="FFD0E0E3"/>
        <bgColor rgb="FFD0E0E3"/>
      </patternFill>
    </fill>
    <fill>
      <patternFill patternType="solid">
        <fgColor rgb="FFE2EFDA"/>
        <bgColor rgb="FFE2EFDA"/>
      </patternFill>
    </fill>
    <fill>
      <patternFill patternType="solid">
        <fgColor rgb="FFB45F06"/>
        <bgColor rgb="FFB45F06"/>
      </patternFill>
    </fill>
    <fill>
      <patternFill patternType="solid">
        <fgColor rgb="FFEDEDED"/>
        <bgColor rgb="FFEDEDED"/>
      </patternFill>
    </fill>
    <fill>
      <patternFill patternType="solid">
        <fgColor rgb="FFDBDBDB"/>
        <bgColor rgb="FFDBDBDB"/>
      </patternFill>
    </fill>
  </fills>
  <borders count="46">
    <border/>
    <border>
      <right style="thin">
        <color rgb="FF000000"/>
      </right>
    </border>
    <border>
      <left style="thin">
        <color rgb="FF000000"/>
      </left>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B7B7B7"/>
      </bottom>
    </border>
    <border>
      <left style="thin">
        <color rgb="FF000000"/>
      </left>
      <right style="thin">
        <color rgb="FF000000"/>
      </right>
    </border>
    <border>
      <right style="medium">
        <color rgb="FF434343"/>
      </right>
    </border>
    <border>
      <right style="thin">
        <color rgb="FF000000"/>
      </right>
      <bottom style="thick">
        <color rgb="FF000000"/>
      </bottom>
    </border>
    <border>
      <bottom style="thick">
        <color rgb="FF000000"/>
      </bottom>
    </border>
    <border>
      <left style="thin">
        <color rgb="FF000000"/>
      </left>
      <bottom style="thick">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ttom style="medium">
        <color rgb="FF434343"/>
      </bottom>
    </border>
    <border>
      <right style="thin">
        <color rgb="FF000000"/>
      </right>
      <bottom style="medium">
        <color rgb="FF434343"/>
      </bottom>
    </border>
    <border>
      <bottom style="medium">
        <color rgb="FF434343"/>
      </bottom>
    </border>
    <border>
      <right style="thin">
        <color rgb="FF000000"/>
      </right>
      <top style="thick">
        <color rgb="FF000000"/>
      </top>
    </border>
    <border>
      <right style="thin">
        <color rgb="FF000000"/>
      </right>
      <top style="thin">
        <color rgb="FF000000"/>
      </top>
    </border>
    <border>
      <left style="thin">
        <color rgb="FF000000"/>
      </left>
      <top style="thin">
        <color rgb="FF000000"/>
      </top>
    </border>
    <border>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A6A6A6"/>
      </left>
      <right style="thin">
        <color rgb="FF000000"/>
      </right>
      <top style="thin">
        <color rgb="FF000000"/>
      </top>
      <bottom style="thin">
        <color rgb="FFA6A6A6"/>
      </bottom>
    </border>
    <border>
      <left style="thin">
        <color rgb="FFA6A6A6"/>
      </left>
      <right style="thin">
        <color rgb="FF000000"/>
      </right>
    </border>
    <border>
      <left style="thin">
        <color rgb="FFA6A6A6"/>
      </left>
      <right style="thin">
        <color rgb="FF000000"/>
      </right>
      <bottom style="thin">
        <color rgb="FF000000"/>
      </bottom>
    </border>
    <border>
      <left style="thin">
        <color rgb="FFA6A6A6"/>
      </left>
      <right style="thin">
        <color rgb="FF000000"/>
      </right>
      <bottom style="thin">
        <color rgb="FFA6A6A6"/>
      </bottom>
    </border>
    <border>
      <left style="thin">
        <color rgb="FFA6A6A6"/>
      </left>
      <bottom style="thin">
        <color rgb="FFA6A6A6"/>
      </bottom>
    </border>
    <border>
      <left style="thin">
        <color rgb="FFA6A6A6"/>
      </left>
      <right style="thin">
        <color rgb="FF000000"/>
      </right>
      <top style="thin">
        <color rgb="FFA6A6A6"/>
      </top>
      <bottom style="thin">
        <color rgb="FF000000"/>
      </bottom>
    </border>
  </borders>
  <cellStyleXfs count="1">
    <xf borderId="0" fillId="0" fontId="0" numFmtId="0" applyAlignment="1" applyFont="1"/>
  </cellStyleXfs>
  <cellXfs count="132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3" fontId="3" numFmtId="164" xfId="0" applyAlignment="1" applyFill="1" applyFont="1" applyNumberFormat="1">
      <alignment readingOrder="0" vertical="bottom"/>
    </xf>
    <xf borderId="0" fillId="2" fontId="2" numFmtId="165" xfId="0" applyAlignment="1" applyFont="1" applyNumberFormat="1">
      <alignment horizontal="center" readingOrder="0" vertical="bottom"/>
    </xf>
    <xf borderId="0" fillId="3" fontId="3" numFmtId="165" xfId="0" applyAlignment="1" applyFont="1" applyNumberFormat="1">
      <alignment readingOrder="0" vertical="bottom"/>
    </xf>
    <xf borderId="2" fillId="4" fontId="3" numFmtId="0" xfId="0" applyAlignment="1" applyBorder="1" applyFill="1" applyFont="1">
      <alignment vertical="bottom"/>
    </xf>
    <xf borderId="1" fillId="5" fontId="2" numFmtId="0" xfId="0" applyAlignment="1" applyBorder="1" applyFill="1" applyFont="1">
      <alignment vertical="bottom"/>
    </xf>
    <xf borderId="0" fillId="5" fontId="2" numFmtId="0" xfId="0" applyAlignment="1" applyFont="1">
      <alignment horizontal="center" readingOrder="0" vertical="bottom"/>
    </xf>
    <xf borderId="0" fillId="0" fontId="3" numFmtId="0" xfId="0" applyAlignment="1" applyFont="1">
      <alignment vertical="bottom"/>
    </xf>
    <xf borderId="2" fillId="3" fontId="3" numFmtId="0" xfId="0" applyAlignment="1" applyBorder="1" applyFont="1">
      <alignment vertical="bottom"/>
    </xf>
    <xf borderId="0" fillId="4" fontId="3" numFmtId="0" xfId="0" applyAlignment="1" applyFont="1">
      <alignment readingOrder="0" vertical="bottom"/>
    </xf>
    <xf borderId="0" fillId="0" fontId="1" numFmtId="166" xfId="0" applyAlignment="1" applyFont="1" applyNumberFormat="1">
      <alignment readingOrder="0"/>
    </xf>
    <xf borderId="0" fillId="0" fontId="1" numFmtId="0" xfId="0" applyAlignment="1" applyFont="1">
      <alignment readingOrder="0"/>
    </xf>
    <xf borderId="1" fillId="6" fontId="2" numFmtId="0" xfId="0" applyAlignment="1" applyBorder="1" applyFill="1" applyFont="1">
      <alignment vertical="bottom"/>
    </xf>
    <xf borderId="0" fillId="0" fontId="3" numFmtId="0" xfId="0" applyAlignment="1" applyFont="1">
      <alignment readingOrder="0" vertical="bottom"/>
    </xf>
    <xf borderId="1" fillId="7" fontId="4" numFmtId="0" xfId="0" applyAlignment="1" applyBorder="1" applyFill="1" applyFont="1">
      <alignment vertical="bottom"/>
    </xf>
    <xf borderId="3" fillId="0" fontId="4" numFmtId="0" xfId="0" applyAlignment="1" applyBorder="1" applyFont="1">
      <alignment vertical="bottom"/>
    </xf>
    <xf borderId="0" fillId="8" fontId="3" numFmtId="0" xfId="0" applyAlignment="1" applyFill="1" applyFont="1">
      <alignment horizontal="center" readingOrder="0" shrinkToFit="0" wrapText="1"/>
    </xf>
    <xf borderId="0" fillId="4" fontId="1" numFmtId="0" xfId="0" applyAlignment="1" applyFont="1">
      <alignment readingOrder="0"/>
    </xf>
    <xf borderId="0" fillId="4" fontId="1" numFmtId="0" xfId="0" applyAlignment="1" applyFont="1">
      <alignment horizontal="center" readingOrder="0" shrinkToFit="0" vertical="center" wrapText="1"/>
    </xf>
    <xf borderId="0" fillId="0" fontId="4" numFmtId="1" xfId="0" applyAlignment="1" applyFont="1" applyNumberFormat="1">
      <alignment horizontal="right" vertical="bottom"/>
    </xf>
    <xf borderId="0" fillId="0" fontId="3" numFmtId="0" xfId="0" applyFont="1"/>
    <xf borderId="0" fillId="4" fontId="3" numFmtId="0" xfId="0" applyAlignment="1" applyFont="1">
      <alignment readingOrder="0"/>
    </xf>
    <xf borderId="0" fillId="0" fontId="3" numFmtId="0" xfId="0" applyAlignment="1" applyFont="1">
      <alignment readingOrder="0"/>
    </xf>
    <xf borderId="1" fillId="0" fontId="4" numFmtId="0" xfId="0" applyAlignment="1" applyBorder="1" applyFont="1">
      <alignment vertical="bottom"/>
    </xf>
    <xf borderId="0" fillId="3" fontId="3" numFmtId="0" xfId="0" applyAlignment="1" applyFont="1">
      <alignment readingOrder="0" shrinkToFit="0" vertical="bottom" wrapText="1"/>
    </xf>
    <xf borderId="0" fillId="9" fontId="4" numFmtId="0" xfId="0" applyAlignment="1" applyFill="1" applyFont="1">
      <alignment horizontal="right" readingOrder="0" vertical="bottom"/>
    </xf>
    <xf borderId="0" fillId="3" fontId="3" numFmtId="0" xfId="0" applyAlignment="1" applyFont="1">
      <alignment readingOrder="0" vertical="bottom"/>
    </xf>
    <xf borderId="0" fillId="3" fontId="3" numFmtId="0" xfId="0" applyAlignment="1" applyFont="1">
      <alignment readingOrder="0"/>
    </xf>
    <xf borderId="0" fillId="3" fontId="3" numFmtId="0" xfId="0" applyAlignment="1" applyFont="1">
      <alignment readingOrder="0" shrinkToFit="0" wrapText="1"/>
    </xf>
    <xf borderId="0" fillId="9" fontId="4" numFmtId="3" xfId="0" applyAlignment="1" applyFont="1" applyNumberFormat="1">
      <alignment horizontal="right" readingOrder="0" vertical="bottom"/>
    </xf>
    <xf borderId="0" fillId="10" fontId="3" numFmtId="0" xfId="0" applyAlignment="1" applyFill="1" applyFont="1">
      <alignment vertical="bottom"/>
    </xf>
    <xf borderId="2" fillId="3" fontId="5" numFmtId="0" xfId="0" applyAlignment="1" applyBorder="1" applyFont="1">
      <alignment horizontal="right" vertical="bottom"/>
    </xf>
    <xf borderId="0" fillId="0" fontId="6" numFmtId="167" xfId="0" applyAlignment="1" applyFont="1" applyNumberFormat="1">
      <alignment horizontal="right" readingOrder="0" vertical="bottom"/>
    </xf>
    <xf borderId="0" fillId="0" fontId="3" numFmtId="167" xfId="0" applyAlignment="1" applyFont="1" applyNumberFormat="1">
      <alignment horizontal="right" readingOrder="0" vertical="bottom"/>
    </xf>
    <xf borderId="0" fillId="9" fontId="4" numFmtId="1" xfId="0" applyAlignment="1" applyFont="1" applyNumberFormat="1">
      <alignment horizontal="right" readingOrder="0" vertical="bottom"/>
    </xf>
    <xf borderId="0" fillId="3" fontId="4" numFmtId="1" xfId="0" applyAlignment="1" applyFont="1" applyNumberFormat="1">
      <alignment horizontal="right" readingOrder="0" vertical="bottom"/>
    </xf>
    <xf borderId="0" fillId="0" fontId="3" numFmtId="167" xfId="0" applyAlignment="1" applyFont="1" applyNumberFormat="1">
      <alignment readingOrder="0" vertical="bottom"/>
    </xf>
    <xf borderId="0" fillId="8" fontId="3" numFmtId="0" xfId="0" applyAlignment="1" applyFont="1">
      <alignment readingOrder="0" vertical="bottom"/>
    </xf>
    <xf borderId="0" fillId="8" fontId="6" numFmtId="167" xfId="0" applyAlignment="1" applyFont="1" applyNumberFormat="1">
      <alignment horizontal="right" readingOrder="0" vertical="bottom"/>
    </xf>
    <xf borderId="2" fillId="3" fontId="5" numFmtId="1" xfId="0" applyAlignment="1" applyBorder="1" applyFont="1" applyNumberFormat="1">
      <alignment horizontal="right" vertical="bottom"/>
    </xf>
    <xf borderId="0" fillId="8" fontId="3" numFmtId="167" xfId="0" applyAlignment="1" applyFont="1" applyNumberFormat="1">
      <alignment readingOrder="0" vertical="bottom"/>
    </xf>
    <xf borderId="1" fillId="0" fontId="7" numFmtId="0" xfId="0" applyAlignment="1" applyBorder="1" applyFont="1">
      <alignment vertical="bottom"/>
    </xf>
    <xf borderId="0" fillId="0" fontId="7" numFmtId="1" xfId="0" applyAlignment="1" applyFont="1" applyNumberFormat="1">
      <alignment horizontal="right" vertical="bottom"/>
    </xf>
    <xf borderId="0" fillId="8" fontId="3" numFmtId="0" xfId="0" applyAlignment="1" applyFont="1">
      <alignment vertical="bottom"/>
    </xf>
    <xf borderId="0" fillId="10" fontId="6" numFmtId="167" xfId="0" applyAlignment="1" applyFont="1" applyNumberFormat="1">
      <alignment horizontal="right" readingOrder="0" vertical="bottom"/>
    </xf>
    <xf borderId="2" fillId="4" fontId="5" numFmtId="1" xfId="0" applyAlignment="1" applyBorder="1" applyFont="1" applyNumberFormat="1">
      <alignment horizontal="right" vertical="bottom"/>
    </xf>
    <xf borderId="0" fillId="10" fontId="3" numFmtId="167" xfId="0" applyAlignment="1" applyFont="1" applyNumberFormat="1">
      <alignment readingOrder="0" vertical="bottom"/>
    </xf>
    <xf borderId="1" fillId="0" fontId="3" numFmtId="0" xfId="0" applyAlignment="1" applyBorder="1" applyFont="1">
      <alignment vertical="bottom"/>
    </xf>
    <xf borderId="1" fillId="11" fontId="4" numFmtId="0" xfId="0" applyAlignment="1" applyBorder="1" applyFill="1" applyFont="1">
      <alignment vertical="bottom"/>
    </xf>
    <xf borderId="4" fillId="0" fontId="4" numFmtId="0" xfId="0" applyAlignment="1" applyBorder="1" applyFont="1">
      <alignment vertical="bottom"/>
    </xf>
    <xf borderId="3" fillId="9" fontId="4" numFmtId="0" xfId="0" applyAlignment="1" applyBorder="1" applyFont="1">
      <alignment horizontal="right" readingOrder="0" vertical="bottom"/>
    </xf>
    <xf borderId="0" fillId="0" fontId="4" numFmtId="0" xfId="0" applyAlignment="1" applyFont="1">
      <alignment vertical="bottom"/>
    </xf>
    <xf borderId="3" fillId="3" fontId="4" numFmtId="0" xfId="0" applyAlignment="1" applyBorder="1" applyFont="1">
      <alignment horizontal="right" readingOrder="0" vertical="bottom"/>
    </xf>
    <xf borderId="0" fillId="0" fontId="4" numFmtId="167" xfId="0" applyAlignment="1" applyFont="1" applyNumberFormat="1">
      <alignment horizontal="right" vertical="bottom"/>
    </xf>
    <xf borderId="5" fillId="3" fontId="5" numFmtId="0" xfId="0" applyAlignment="1" applyBorder="1" applyFont="1">
      <alignment horizontal="right" vertical="bottom"/>
    </xf>
    <xf borderId="0" fillId="4" fontId="3" numFmtId="0" xfId="0" applyAlignment="1" applyFont="1">
      <alignment vertical="bottom"/>
    </xf>
    <xf borderId="0" fillId="4" fontId="6" numFmtId="167" xfId="0" applyAlignment="1" applyFont="1" applyNumberFormat="1">
      <alignment horizontal="right" readingOrder="0" vertical="bottom"/>
    </xf>
    <xf borderId="0" fillId="4" fontId="3" numFmtId="167" xfId="0" applyAlignment="1" applyFont="1" applyNumberFormat="1">
      <alignment readingOrder="0" vertical="bottom"/>
    </xf>
    <xf borderId="0" fillId="0" fontId="7" numFmtId="168" xfId="0" applyAlignment="1" applyFont="1" applyNumberFormat="1">
      <alignment horizontal="right" vertical="bottom"/>
    </xf>
    <xf borderId="0" fillId="0" fontId="8" numFmtId="169" xfId="0" applyAlignment="1" applyFont="1" applyNumberFormat="1">
      <alignment readingOrder="0" vertical="bottom"/>
    </xf>
    <xf borderId="2" fillId="4" fontId="5" numFmtId="168" xfId="0" applyAlignment="1" applyBorder="1" applyFont="1" applyNumberFormat="1">
      <alignment horizontal="right" vertical="bottom"/>
    </xf>
    <xf borderId="2" fillId="3" fontId="3" numFmtId="169" xfId="0" applyAlignment="1" applyBorder="1" applyFont="1" applyNumberFormat="1">
      <alignment vertical="bottom"/>
    </xf>
    <xf borderId="0" fillId="9" fontId="4" numFmtId="167" xfId="0" applyAlignment="1" applyFont="1" applyNumberFormat="1">
      <alignment horizontal="right" readingOrder="0" vertical="bottom"/>
    </xf>
    <xf borderId="1" fillId="12" fontId="4" numFmtId="0" xfId="0" applyAlignment="1" applyBorder="1" applyFill="1" applyFont="1">
      <alignment vertical="bottom"/>
    </xf>
    <xf borderId="0" fillId="0" fontId="4" numFmtId="168" xfId="0" applyAlignment="1" applyFont="1" applyNumberFormat="1">
      <alignment horizontal="right" vertical="bottom"/>
    </xf>
    <xf borderId="0" fillId="0" fontId="6" numFmtId="167" xfId="0" applyAlignment="1" applyFont="1" applyNumberFormat="1">
      <alignment horizontal="right" vertical="bottom"/>
    </xf>
    <xf borderId="1" fillId="2" fontId="9" numFmtId="0" xfId="0" applyAlignment="1" applyBorder="1" applyFont="1">
      <alignment readingOrder="0" vertical="bottom"/>
    </xf>
    <xf borderId="2" fillId="3" fontId="5" numFmtId="167" xfId="0" applyAlignment="1" applyBorder="1" applyFont="1" applyNumberFormat="1">
      <alignment horizontal="right" vertical="bottom"/>
    </xf>
    <xf borderId="0" fillId="9" fontId="4" numFmtId="167" xfId="0" applyAlignment="1" applyFont="1" applyNumberFormat="1">
      <alignment horizontal="right" vertical="bottom"/>
    </xf>
    <xf borderId="0" fillId="3" fontId="4" numFmtId="167" xfId="0" applyAlignment="1" applyFont="1" applyNumberFormat="1">
      <alignment horizontal="right" vertical="bottom"/>
    </xf>
    <xf borderId="1" fillId="5" fontId="2" numFmtId="0" xfId="0" applyAlignment="1" applyBorder="1" applyFont="1">
      <alignment readingOrder="0" vertical="bottom"/>
    </xf>
    <xf borderId="0" fillId="3" fontId="4" numFmtId="167" xfId="0" applyAlignment="1" applyFont="1" applyNumberFormat="1">
      <alignment horizontal="right" readingOrder="0" vertical="bottom"/>
    </xf>
    <xf borderId="0" fillId="0" fontId="3" numFmtId="3" xfId="0" applyAlignment="1" applyFont="1" applyNumberFormat="1">
      <alignment vertical="bottom"/>
    </xf>
    <xf borderId="1" fillId="13" fontId="2" numFmtId="0" xfId="0" applyAlignment="1" applyBorder="1" applyFill="1" applyFont="1">
      <alignment vertical="bottom"/>
    </xf>
    <xf borderId="1" fillId="14" fontId="4" numFmtId="0" xfId="0" applyAlignment="1" applyBorder="1" applyFill="1" applyFont="1">
      <alignment vertical="bottom"/>
    </xf>
    <xf borderId="0" fillId="0" fontId="4" numFmtId="170" xfId="0" applyAlignment="1" applyFont="1" applyNumberFormat="1">
      <alignment horizontal="right" readingOrder="0" vertical="bottom"/>
    </xf>
    <xf borderId="6" fillId="0" fontId="4" numFmtId="0" xfId="0" applyAlignment="1" applyBorder="1" applyFont="1">
      <alignment vertical="bottom"/>
    </xf>
    <xf borderId="3" fillId="9" fontId="4" numFmtId="167" xfId="0" applyAlignment="1" applyBorder="1" applyFont="1" applyNumberFormat="1">
      <alignment horizontal="right" readingOrder="0" vertical="bottom"/>
    </xf>
    <xf borderId="0" fillId="0" fontId="5" numFmtId="167" xfId="0" applyAlignment="1" applyFont="1" applyNumberFormat="1">
      <alignment horizontal="right" vertical="bottom"/>
    </xf>
    <xf borderId="3" fillId="3" fontId="4" numFmtId="167" xfId="0" applyAlignment="1" applyBorder="1" applyFont="1" applyNumberFormat="1">
      <alignment horizontal="right" readingOrder="0" vertical="bottom"/>
    </xf>
    <xf borderId="1" fillId="15" fontId="3" numFmtId="0" xfId="0" applyAlignment="1" applyBorder="1" applyFill="1" applyFont="1">
      <alignment vertical="bottom"/>
    </xf>
    <xf borderId="0" fillId="15" fontId="3" numFmtId="0" xfId="0" applyAlignment="1" applyFont="1">
      <alignment vertical="bottom"/>
    </xf>
    <xf borderId="3" fillId="9" fontId="4" numFmtId="167" xfId="0" applyAlignment="1" applyBorder="1" applyFont="1" applyNumberFormat="1">
      <alignment horizontal="right" readingOrder="0" vertical="bottom"/>
    </xf>
    <xf borderId="0" fillId="3" fontId="3" numFmtId="167" xfId="0" applyAlignment="1" applyFont="1" applyNumberFormat="1">
      <alignment readingOrder="0" vertical="bottom"/>
    </xf>
    <xf borderId="5" fillId="3" fontId="5" numFmtId="167" xfId="0" applyAlignment="1" applyBorder="1" applyFont="1" applyNumberFormat="1">
      <alignment horizontal="right" vertical="bottom"/>
    </xf>
    <xf borderId="1" fillId="16" fontId="4" numFmtId="0" xfId="0" applyAlignment="1" applyBorder="1" applyFill="1" applyFont="1">
      <alignment vertical="bottom"/>
    </xf>
    <xf borderId="0" fillId="0" fontId="4" numFmtId="167" xfId="0" applyAlignment="1" applyFont="1" applyNumberFormat="1">
      <alignment horizontal="right" vertical="bottom"/>
    </xf>
    <xf borderId="2" fillId="3" fontId="5" numFmtId="168" xfId="0" applyAlignment="1" applyBorder="1" applyFont="1" applyNumberFormat="1">
      <alignment horizontal="right" vertical="bottom"/>
    </xf>
    <xf borderId="0" fillId="17" fontId="3" numFmtId="0" xfId="0" applyAlignment="1" applyFill="1" applyFont="1">
      <alignment vertical="bottom"/>
    </xf>
    <xf borderId="0" fillId="17" fontId="3" numFmtId="167" xfId="0" applyAlignment="1" applyFont="1" applyNumberFormat="1">
      <alignment readingOrder="0" vertical="bottom"/>
    </xf>
    <xf borderId="0" fillId="9" fontId="4" numFmtId="168" xfId="0" applyAlignment="1" applyFont="1" applyNumberFormat="1">
      <alignment vertical="bottom"/>
    </xf>
    <xf borderId="1" fillId="18" fontId="7" numFmtId="0" xfId="0" applyAlignment="1" applyBorder="1" applyFill="1" applyFont="1">
      <alignment vertical="bottom"/>
    </xf>
    <xf borderId="0" fillId="18" fontId="7" numFmtId="168" xfId="0" applyAlignment="1" applyFont="1" applyNumberFormat="1">
      <alignment horizontal="right" shrinkToFit="0" vertical="bottom" wrapText="1"/>
    </xf>
    <xf borderId="0" fillId="17" fontId="3" numFmtId="0" xfId="0" applyAlignment="1" applyFont="1">
      <alignment readingOrder="0" vertical="bottom"/>
    </xf>
    <xf borderId="0" fillId="18" fontId="5" numFmtId="167" xfId="0" applyAlignment="1" applyFont="1" applyNumberFormat="1">
      <alignment horizontal="right" vertical="bottom"/>
    </xf>
    <xf borderId="0" fillId="19" fontId="3" numFmtId="0" xfId="0" applyAlignment="1" applyFill="1" applyFont="1">
      <alignment vertical="bottom"/>
    </xf>
    <xf borderId="0" fillId="19" fontId="3" numFmtId="167" xfId="0" applyAlignment="1" applyFont="1" applyNumberFormat="1">
      <alignment horizontal="right" vertical="bottom"/>
    </xf>
    <xf borderId="0" fillId="0" fontId="4" numFmtId="0" xfId="0" applyAlignment="1" applyFont="1">
      <alignment horizontal="right" vertical="bottom"/>
    </xf>
    <xf borderId="0" fillId="0" fontId="5" numFmtId="3" xfId="0" applyAlignment="1" applyFont="1" applyNumberFormat="1">
      <alignment horizontal="right" vertical="bottom"/>
    </xf>
    <xf borderId="0" fillId="4" fontId="3" numFmtId="167" xfId="0" applyAlignment="1" applyFont="1" applyNumberFormat="1">
      <alignment vertical="bottom"/>
    </xf>
    <xf borderId="0" fillId="17" fontId="4" numFmtId="0" xfId="0" applyAlignment="1" applyFont="1">
      <alignment horizontal="right" vertical="bottom"/>
    </xf>
    <xf borderId="0" fillId="17" fontId="3" numFmtId="167" xfId="0" applyAlignment="1" applyFont="1" applyNumberFormat="1">
      <alignment vertical="bottom"/>
    </xf>
    <xf borderId="0" fillId="18" fontId="7" numFmtId="0" xfId="0" applyAlignment="1" applyFont="1">
      <alignment horizontal="right" vertical="bottom"/>
    </xf>
    <xf borderId="1" fillId="18" fontId="7" numFmtId="0" xfId="0" applyAlignment="1" applyBorder="1" applyFont="1">
      <alignment horizontal="right" vertical="bottom"/>
    </xf>
    <xf borderId="1" fillId="8" fontId="4" numFmtId="0" xfId="0" applyAlignment="1" applyBorder="1" applyFont="1">
      <alignment vertical="bottom"/>
    </xf>
    <xf borderId="1" fillId="20" fontId="4" numFmtId="0" xfId="0" applyAlignment="1" applyBorder="1" applyFill="1" applyFont="1">
      <alignment vertical="bottom"/>
    </xf>
    <xf borderId="0" fillId="20" fontId="4" numFmtId="167" xfId="0" applyAlignment="1" applyFont="1" applyNumberFormat="1">
      <alignment horizontal="right" vertical="bottom"/>
    </xf>
    <xf borderId="0" fillId="19" fontId="3" numFmtId="167" xfId="0" applyAlignment="1" applyFont="1" applyNumberFormat="1">
      <alignment vertical="bottom"/>
    </xf>
    <xf borderId="0" fillId="0" fontId="3" numFmtId="1" xfId="0" applyAlignment="1" applyFont="1" applyNumberFormat="1">
      <alignment vertical="bottom"/>
    </xf>
    <xf borderId="0" fillId="17" fontId="3" numFmtId="168" xfId="0" applyAlignment="1" applyFont="1" applyNumberFormat="1">
      <alignment horizontal="right" readingOrder="0" vertical="bottom"/>
    </xf>
    <xf borderId="0" fillId="0" fontId="4" numFmtId="1" xfId="0" applyAlignment="1" applyFont="1" applyNumberFormat="1">
      <alignment horizontal="right" readingOrder="0" vertical="bottom"/>
    </xf>
    <xf borderId="0" fillId="17" fontId="3" numFmtId="168" xfId="0" applyAlignment="1" applyFont="1" applyNumberFormat="1">
      <alignment horizontal="right" vertical="bottom"/>
    </xf>
    <xf borderId="0" fillId="0" fontId="4" numFmtId="1" xfId="0" applyAlignment="1" applyFont="1" applyNumberFormat="1">
      <alignment readingOrder="0" vertical="bottom"/>
    </xf>
    <xf borderId="0" fillId="17" fontId="4" numFmtId="1" xfId="0" applyAlignment="1" applyFont="1" applyNumberFormat="1">
      <alignment readingOrder="0" vertical="bottom"/>
    </xf>
    <xf borderId="2" fillId="4" fontId="5" numFmtId="3" xfId="0" applyAlignment="1" applyBorder="1" applyFont="1" applyNumberFormat="1">
      <alignment horizontal="right" readingOrder="0" vertical="bottom"/>
    </xf>
    <xf borderId="1" fillId="21" fontId="4" numFmtId="0" xfId="0" applyAlignment="1" applyBorder="1" applyFill="1" applyFont="1">
      <alignment vertical="bottom"/>
    </xf>
    <xf borderId="0" fillId="17" fontId="4" numFmtId="167" xfId="0" applyAlignment="1" applyFont="1" applyNumberFormat="1">
      <alignment horizontal="right" vertical="bottom"/>
    </xf>
    <xf borderId="0" fillId="0" fontId="4" numFmtId="0" xfId="0" applyAlignment="1" applyFont="1">
      <alignment horizontal="right" readingOrder="0" vertical="bottom"/>
    </xf>
    <xf borderId="0" fillId="0" fontId="4" numFmtId="0" xfId="0" applyAlignment="1" applyFont="1">
      <alignment readingOrder="0" vertical="bottom"/>
    </xf>
    <xf borderId="0" fillId="0" fontId="4" numFmtId="3" xfId="0" applyAlignment="1" applyFont="1" applyNumberFormat="1">
      <alignment horizontal="right" readingOrder="0" vertical="bottom"/>
    </xf>
    <xf borderId="0" fillId="0" fontId="5" numFmtId="167" xfId="0" applyAlignment="1" applyFont="1" applyNumberFormat="1">
      <alignment horizontal="right" vertical="bottom"/>
    </xf>
    <xf borderId="0" fillId="17" fontId="4" numFmtId="167" xfId="0" applyAlignment="1" applyFont="1" applyNumberFormat="1">
      <alignment horizontal="right" readingOrder="0" vertical="bottom"/>
    </xf>
    <xf borderId="0" fillId="18" fontId="4" numFmtId="1" xfId="0" applyAlignment="1" applyFont="1" applyNumberFormat="1">
      <alignment horizontal="right" vertical="bottom"/>
    </xf>
    <xf borderId="2" fillId="4" fontId="5" numFmtId="3" xfId="0" applyAlignment="1" applyBorder="1" applyFont="1" applyNumberFormat="1">
      <alignment horizontal="right" vertical="bottom"/>
    </xf>
    <xf borderId="0" fillId="3" fontId="3" numFmtId="1" xfId="0" applyAlignment="1" applyFont="1" applyNumberFormat="1">
      <alignment vertical="bottom"/>
    </xf>
    <xf borderId="0" fillId="3" fontId="3" numFmtId="0" xfId="0" applyAlignment="1" applyFont="1">
      <alignment vertical="bottom"/>
    </xf>
    <xf borderId="0" fillId="0" fontId="4" numFmtId="167" xfId="0" applyAlignment="1" applyFont="1" applyNumberFormat="1">
      <alignment horizontal="right" readingOrder="0" vertical="bottom"/>
    </xf>
    <xf borderId="1" fillId="22" fontId="7" numFmtId="1" xfId="0" applyAlignment="1" applyBorder="1" applyFill="1" applyFont="1" applyNumberFormat="1">
      <alignment vertical="bottom"/>
    </xf>
    <xf borderId="0" fillId="22" fontId="7" numFmtId="167" xfId="0" applyAlignment="1" applyFont="1" applyNumberFormat="1">
      <alignment horizontal="right" vertical="bottom"/>
    </xf>
    <xf borderId="0" fillId="22" fontId="5" numFmtId="167" xfId="0" applyAlignment="1" applyFont="1" applyNumberFormat="1">
      <alignment horizontal="right" vertical="bottom"/>
    </xf>
    <xf borderId="6" fillId="17" fontId="4" numFmtId="0" xfId="0" applyAlignment="1" applyBorder="1" applyFont="1">
      <alignment vertical="bottom"/>
    </xf>
    <xf borderId="3" fillId="3" fontId="4" numFmtId="168" xfId="0" applyAlignment="1" applyBorder="1" applyFont="1" applyNumberFormat="1">
      <alignment vertical="bottom"/>
    </xf>
    <xf borderId="0" fillId="19" fontId="1" numFmtId="0" xfId="0" applyAlignment="1" applyFont="1">
      <alignment readingOrder="0"/>
    </xf>
    <xf borderId="0" fillId="17" fontId="4" numFmtId="0" xfId="0" applyAlignment="1" applyFont="1">
      <alignment horizontal="right" readingOrder="0" vertical="bottom"/>
    </xf>
    <xf borderId="0" fillId="19" fontId="3" numFmtId="168" xfId="0" applyAlignment="1" applyFont="1" applyNumberFormat="1">
      <alignment horizontal="right" readingOrder="0" vertical="bottom"/>
    </xf>
    <xf borderId="2" fillId="4" fontId="3" numFmtId="3" xfId="0" applyAlignment="1" applyBorder="1" applyFont="1" applyNumberFormat="1">
      <alignment vertical="bottom"/>
    </xf>
    <xf borderId="1" fillId="13" fontId="10" numFmtId="0" xfId="0" applyAlignment="1" applyBorder="1" applyFont="1">
      <alignment vertical="bottom"/>
    </xf>
    <xf borderId="0" fillId="0" fontId="3" numFmtId="2" xfId="0" applyAlignment="1" applyFont="1" applyNumberFormat="1">
      <alignment vertical="bottom"/>
    </xf>
    <xf borderId="1" fillId="23" fontId="11" numFmtId="0" xfId="0" applyAlignment="1" applyBorder="1" applyFill="1" applyFont="1">
      <alignment vertical="bottom"/>
    </xf>
    <xf borderId="3" fillId="0" fontId="3" numFmtId="0" xfId="0" applyAlignment="1" applyBorder="1" applyFont="1">
      <alignment vertical="bottom"/>
    </xf>
    <xf borderId="3" fillId="17" fontId="3" numFmtId="168" xfId="0" applyAlignment="1" applyBorder="1" applyFont="1" applyNumberFormat="1">
      <alignment horizontal="right" vertical="bottom"/>
    </xf>
    <xf borderId="5" fillId="3" fontId="5" numFmtId="168" xfId="0" applyAlignment="1" applyBorder="1" applyFont="1" applyNumberFormat="1">
      <alignment horizontal="right" vertical="bottom"/>
    </xf>
    <xf borderId="0" fillId="0" fontId="3" numFmtId="3" xfId="0" applyAlignment="1" applyFont="1" applyNumberFormat="1">
      <alignment horizontal="right" readingOrder="0" vertical="bottom"/>
    </xf>
    <xf borderId="0" fillId="0" fontId="3" numFmtId="0" xfId="0" applyAlignment="1" applyFont="1">
      <alignment horizontal="right" readingOrder="0" vertical="bottom"/>
    </xf>
    <xf borderId="0" fillId="0" fontId="3" numFmtId="3" xfId="0" applyAlignment="1" applyFont="1" applyNumberFormat="1">
      <alignment readingOrder="0" vertical="bottom"/>
    </xf>
    <xf borderId="0" fillId="8" fontId="3" numFmtId="0" xfId="0" applyAlignment="1" applyFont="1">
      <alignment horizontal="right" readingOrder="0" vertical="bottom"/>
    </xf>
    <xf borderId="0" fillId="22" fontId="7" numFmtId="0" xfId="0" applyAlignment="1" applyFont="1">
      <alignment horizontal="right" vertical="bottom"/>
    </xf>
    <xf borderId="1" fillId="0" fontId="3" numFmtId="2" xfId="0" applyAlignment="1" applyBorder="1" applyFont="1" applyNumberFormat="1">
      <alignment vertical="bottom"/>
    </xf>
    <xf borderId="0" fillId="9" fontId="3" numFmtId="2" xfId="0" applyAlignment="1" applyFont="1" applyNumberFormat="1">
      <alignment vertical="bottom"/>
    </xf>
    <xf borderId="0" fillId="9" fontId="3" numFmtId="1" xfId="0" applyAlignment="1" applyFont="1" applyNumberFormat="1">
      <alignment vertical="bottom"/>
    </xf>
    <xf borderId="0" fillId="22" fontId="5" numFmtId="3" xfId="0" applyAlignment="1" applyFont="1" applyNumberFormat="1">
      <alignment horizontal="right" vertical="bottom"/>
    </xf>
    <xf borderId="2" fillId="3" fontId="3" numFmtId="168" xfId="0" applyAlignment="1" applyBorder="1" applyFont="1" applyNumberFormat="1">
      <alignment vertical="bottom"/>
    </xf>
    <xf borderId="0" fillId="3" fontId="3" numFmtId="2" xfId="0" applyAlignment="1" applyFont="1" applyNumberFormat="1">
      <alignment vertical="bottom"/>
    </xf>
    <xf borderId="0" fillId="24" fontId="3" numFmtId="0" xfId="0" applyAlignment="1" applyFill="1" applyFont="1">
      <alignment horizontal="right" vertical="bottom"/>
    </xf>
    <xf borderId="0" fillId="24" fontId="3" numFmtId="0" xfId="0" applyAlignment="1" applyFont="1">
      <alignment vertical="bottom"/>
    </xf>
    <xf borderId="0" fillId="24" fontId="3" numFmtId="3" xfId="0" applyAlignment="1" applyFont="1" applyNumberFormat="1">
      <alignment vertical="bottom"/>
    </xf>
    <xf borderId="0" fillId="0" fontId="3" numFmtId="171" xfId="0" applyAlignment="1" applyFont="1" applyNumberFormat="1">
      <alignment vertical="bottom"/>
    </xf>
    <xf borderId="1" fillId="25" fontId="11" numFmtId="0" xfId="0" applyAlignment="1" applyBorder="1" applyFill="1" applyFont="1">
      <alignment vertical="bottom"/>
    </xf>
    <xf borderId="0" fillId="25" fontId="4" numFmtId="1" xfId="0" applyAlignment="1" applyFont="1" applyNumberFormat="1">
      <alignment horizontal="right" vertical="bottom"/>
    </xf>
    <xf borderId="1" fillId="26" fontId="4" numFmtId="0" xfId="0" applyAlignment="1" applyBorder="1" applyFill="1" applyFont="1">
      <alignment vertical="bottom"/>
    </xf>
    <xf borderId="1" fillId="9" fontId="4" numFmtId="0" xfId="0" applyAlignment="1" applyBorder="1" applyFont="1">
      <alignment vertical="bottom"/>
    </xf>
    <xf borderId="0" fillId="8" fontId="6" numFmtId="3" xfId="0" applyAlignment="1" applyFont="1" applyNumberFormat="1">
      <alignment horizontal="right" vertical="bottom"/>
    </xf>
    <xf borderId="0" fillId="17" fontId="4" numFmtId="168" xfId="0" applyAlignment="1" applyFont="1" applyNumberFormat="1">
      <alignment horizontal="right" vertical="bottom"/>
    </xf>
    <xf borderId="0" fillId="10" fontId="3" numFmtId="0" xfId="0" applyAlignment="1" applyFont="1">
      <alignment horizontal="right" vertical="bottom"/>
    </xf>
    <xf borderId="0" fillId="17" fontId="3" numFmtId="0" xfId="0" applyAlignment="1" applyFont="1">
      <alignment horizontal="right" readingOrder="0" vertical="bottom"/>
    </xf>
    <xf borderId="2" fillId="3" fontId="5" numFmtId="3" xfId="0" applyAlignment="1" applyBorder="1" applyFont="1" applyNumberFormat="1">
      <alignment horizontal="right" vertical="bottom"/>
    </xf>
    <xf borderId="1" fillId="9" fontId="7" numFmtId="0" xfId="0" applyAlignment="1" applyBorder="1" applyFont="1">
      <alignment vertical="bottom"/>
    </xf>
    <xf borderId="0" fillId="27" fontId="7" numFmtId="168" xfId="0" applyAlignment="1" applyFill="1" applyFont="1" applyNumberFormat="1">
      <alignment horizontal="right" shrinkToFit="0" vertical="bottom" wrapText="1"/>
    </xf>
    <xf borderId="0" fillId="19" fontId="3" numFmtId="3" xfId="0" applyAlignment="1" applyFont="1" applyNumberFormat="1">
      <alignment horizontal="right" vertical="bottom"/>
    </xf>
    <xf borderId="1" fillId="27" fontId="4" numFmtId="0" xfId="0" applyAlignment="1" applyBorder="1" applyFont="1">
      <alignment vertical="bottom"/>
    </xf>
    <xf borderId="0" fillId="0" fontId="4" numFmtId="3" xfId="0" applyAlignment="1" applyFont="1" applyNumberFormat="1">
      <alignment horizontal="right" vertical="bottom"/>
    </xf>
    <xf borderId="0" fillId="10" fontId="3" numFmtId="3" xfId="0" applyAlignment="1" applyFont="1" applyNumberFormat="1">
      <alignment vertical="bottom"/>
    </xf>
    <xf borderId="0" fillId="19" fontId="3" numFmtId="3" xfId="0" applyAlignment="1" applyFont="1" applyNumberFormat="1">
      <alignment vertical="bottom"/>
    </xf>
    <xf borderId="1" fillId="28" fontId="7" numFmtId="0" xfId="0" applyAlignment="1" applyBorder="1" applyFill="1" applyFont="1">
      <alignment vertical="bottom"/>
    </xf>
    <xf borderId="0" fillId="28" fontId="7" numFmtId="168" xfId="0" applyAlignment="1" applyFont="1" applyNumberFormat="1">
      <alignment horizontal="right" vertical="bottom"/>
    </xf>
    <xf borderId="0" fillId="25" fontId="11" numFmtId="1" xfId="0" applyAlignment="1" applyFont="1" applyNumberFormat="1">
      <alignment vertical="bottom"/>
    </xf>
    <xf borderId="0" fillId="0" fontId="3" numFmtId="0" xfId="0" applyAlignment="1" applyFont="1">
      <alignment horizontal="right" vertical="bottom"/>
    </xf>
    <xf borderId="0" fillId="17" fontId="3" numFmtId="0" xfId="0" applyAlignment="1" applyFont="1">
      <alignment horizontal="right" vertical="bottom"/>
    </xf>
    <xf borderId="0" fillId="28" fontId="5" numFmtId="167" xfId="0" applyAlignment="1" applyFont="1" applyNumberFormat="1">
      <alignment horizontal="right" vertical="bottom"/>
    </xf>
    <xf borderId="1" fillId="27" fontId="7" numFmtId="0" xfId="0" applyAlignment="1" applyBorder="1" applyFont="1">
      <alignment vertical="bottom"/>
    </xf>
    <xf borderId="0" fillId="27" fontId="7" numFmtId="3" xfId="0" applyAlignment="1" applyFont="1" applyNumberFormat="1">
      <alignment horizontal="right" vertical="bottom"/>
    </xf>
    <xf borderId="0" fillId="0" fontId="3" numFmtId="167" xfId="0" applyAlignment="1" applyFont="1" applyNumberFormat="1">
      <alignment vertical="bottom"/>
    </xf>
    <xf borderId="1" fillId="23" fontId="4" numFmtId="0" xfId="0" applyAlignment="1" applyBorder="1" applyFont="1">
      <alignment vertical="bottom"/>
    </xf>
    <xf borderId="0" fillId="3" fontId="3" numFmtId="167" xfId="0" applyAlignment="1" applyFont="1" applyNumberFormat="1">
      <alignment vertical="bottom"/>
    </xf>
    <xf borderId="0" fillId="0" fontId="12" numFmtId="0" xfId="0" applyAlignment="1" applyFont="1">
      <alignment readingOrder="0" vertical="bottom"/>
    </xf>
    <xf borderId="0" fillId="0" fontId="13" numFmtId="169" xfId="0" applyAlignment="1" applyFont="1" applyNumberFormat="1">
      <alignment readingOrder="0" vertical="bottom"/>
    </xf>
    <xf borderId="2" fillId="4" fontId="5" numFmtId="167" xfId="0" applyAlignment="1" applyBorder="1" applyFont="1" applyNumberFormat="1">
      <alignment horizontal="right" vertical="bottom"/>
    </xf>
    <xf borderId="0" fillId="9" fontId="3" numFmtId="167" xfId="0" applyAlignment="1" applyFont="1" applyNumberFormat="1">
      <alignment vertical="bottom"/>
    </xf>
    <xf borderId="0" fillId="28" fontId="7" numFmtId="0" xfId="0" applyAlignment="1" applyFont="1">
      <alignment horizontal="right" vertical="bottom"/>
    </xf>
    <xf borderId="7" fillId="0" fontId="14" numFmtId="0" xfId="0" applyAlignment="1" applyBorder="1" applyFont="1">
      <alignment vertical="bottom"/>
    </xf>
    <xf borderId="1" fillId="25" fontId="4" numFmtId="0" xfId="0" applyAlignment="1" applyBorder="1" applyFont="1">
      <alignment vertical="bottom"/>
    </xf>
    <xf borderId="7" fillId="0" fontId="14" numFmtId="172" xfId="0" applyAlignment="1" applyBorder="1" applyFont="1" applyNumberFormat="1">
      <alignment horizontal="right" readingOrder="0" vertical="bottom"/>
    </xf>
    <xf borderId="0" fillId="25" fontId="4" numFmtId="167" xfId="0" applyAlignment="1" applyFont="1" applyNumberFormat="1">
      <alignment horizontal="right" vertical="bottom"/>
    </xf>
    <xf borderId="0" fillId="28" fontId="5" numFmtId="3" xfId="0" applyAlignment="1" applyFont="1" applyNumberFormat="1">
      <alignment horizontal="right" vertical="bottom"/>
    </xf>
    <xf borderId="7" fillId="0" fontId="14" numFmtId="172" xfId="0" applyAlignment="1" applyBorder="1" applyFont="1" applyNumberFormat="1">
      <alignment readingOrder="0" vertical="bottom"/>
    </xf>
    <xf borderId="1" fillId="29" fontId="3" numFmtId="0" xfId="0" applyAlignment="1" applyBorder="1" applyFill="1" applyFont="1">
      <alignment vertical="bottom"/>
    </xf>
    <xf borderId="0" fillId="29" fontId="3" numFmtId="0" xfId="0" applyAlignment="1" applyFont="1">
      <alignment vertical="bottom"/>
    </xf>
    <xf borderId="0" fillId="30" fontId="3" numFmtId="167" xfId="0" applyAlignment="1" applyFill="1" applyFont="1" applyNumberFormat="1">
      <alignment horizontal="right" readingOrder="0" vertical="bottom"/>
    </xf>
    <xf borderId="2" fillId="4" fontId="3" numFmtId="167" xfId="0" applyAlignment="1" applyBorder="1" applyFont="1" applyNumberFormat="1">
      <alignment vertical="bottom"/>
    </xf>
    <xf borderId="0" fillId="0" fontId="5" numFmtId="168" xfId="0" applyAlignment="1" applyFont="1" applyNumberFormat="1">
      <alignment horizontal="right" vertical="bottom"/>
    </xf>
    <xf borderId="0" fillId="0" fontId="3" numFmtId="167" xfId="0" applyAlignment="1" applyFont="1" applyNumberFormat="1">
      <alignment readingOrder="0" vertical="bottom"/>
    </xf>
    <xf borderId="0" fillId="3" fontId="3" numFmtId="167" xfId="0" applyAlignment="1" applyFont="1" applyNumberFormat="1">
      <alignment horizontal="right" vertical="bottom"/>
    </xf>
    <xf borderId="1" fillId="22" fontId="7" numFmtId="0" xfId="0" applyAlignment="1" applyBorder="1" applyFont="1">
      <alignment vertical="bottom"/>
    </xf>
    <xf borderId="0" fillId="22" fontId="7" numFmtId="167" xfId="0" applyAlignment="1" applyFont="1" applyNumberFormat="1">
      <alignment horizontal="right" vertical="bottom"/>
    </xf>
    <xf borderId="0" fillId="21" fontId="3" numFmtId="0" xfId="0" applyAlignment="1" applyFont="1">
      <alignment vertical="bottom"/>
    </xf>
    <xf borderId="0" fillId="21" fontId="3" numFmtId="167" xfId="0" applyAlignment="1" applyFont="1" applyNumberFormat="1">
      <alignment horizontal="right" vertical="bottom"/>
    </xf>
    <xf borderId="0" fillId="22" fontId="5" numFmtId="168" xfId="0" applyAlignment="1" applyFont="1" applyNumberFormat="1">
      <alignment horizontal="right" vertical="bottom"/>
    </xf>
    <xf borderId="0" fillId="25" fontId="4" numFmtId="1" xfId="0" applyAlignment="1" applyFont="1" applyNumberFormat="1">
      <alignment vertical="bottom"/>
    </xf>
    <xf borderId="0" fillId="22" fontId="3" numFmtId="0" xfId="0" applyAlignment="1" applyFont="1">
      <alignment vertical="bottom"/>
    </xf>
    <xf borderId="1" fillId="20" fontId="7" numFmtId="0" xfId="0" applyAlignment="1" applyBorder="1" applyFont="1">
      <alignment vertical="bottom"/>
    </xf>
    <xf borderId="0" fillId="22" fontId="3" numFmtId="167" xfId="0" applyAlignment="1" applyFont="1" applyNumberFormat="1">
      <alignment horizontal="right" vertical="bottom"/>
    </xf>
    <xf borderId="0" fillId="20" fontId="7" numFmtId="167" xfId="0" applyAlignment="1" applyFont="1" applyNumberFormat="1">
      <alignment horizontal="right" vertical="bottom"/>
    </xf>
    <xf borderId="0" fillId="0" fontId="4" numFmtId="173" xfId="0" applyAlignment="1" applyFont="1" applyNumberFormat="1">
      <alignment horizontal="right" vertical="bottom"/>
    </xf>
    <xf borderId="2" fillId="3" fontId="3" numFmtId="3" xfId="0" applyAlignment="1" applyBorder="1" applyFont="1" applyNumberFormat="1">
      <alignment vertical="bottom"/>
    </xf>
    <xf borderId="0" fillId="31" fontId="3" numFmtId="0" xfId="0" applyAlignment="1" applyFill="1" applyFont="1">
      <alignment vertical="bottom"/>
    </xf>
    <xf borderId="0" fillId="0" fontId="3" numFmtId="2" xfId="0" applyAlignment="1" applyFont="1" applyNumberFormat="1">
      <alignment horizontal="right" vertical="bottom"/>
    </xf>
    <xf borderId="0" fillId="18" fontId="7" numFmtId="1" xfId="0" applyAlignment="1" applyFont="1" applyNumberFormat="1">
      <alignment horizontal="right" vertical="bottom"/>
    </xf>
    <xf borderId="0" fillId="22" fontId="4" numFmtId="1" xfId="0" applyAlignment="1" applyFont="1" applyNumberFormat="1">
      <alignment horizontal="right" vertical="bottom"/>
    </xf>
    <xf borderId="0" fillId="8" fontId="1" numFmtId="0" xfId="0" applyAlignment="1" applyFont="1">
      <alignment readingOrder="0"/>
    </xf>
    <xf borderId="0" fillId="0" fontId="3" numFmtId="4" xfId="0" applyAlignment="1" applyFont="1" applyNumberFormat="1">
      <alignment vertical="bottom"/>
    </xf>
    <xf borderId="0" fillId="4" fontId="4" numFmtId="1" xfId="0" applyAlignment="1" applyFont="1" applyNumberFormat="1">
      <alignment horizontal="right" readingOrder="0" vertical="bottom"/>
    </xf>
    <xf borderId="0" fillId="4" fontId="4" numFmtId="1" xfId="0" applyAlignment="1" applyFont="1" applyNumberFormat="1">
      <alignment horizontal="right" vertical="bottom"/>
    </xf>
    <xf borderId="0" fillId="31" fontId="3" numFmtId="0" xfId="0" applyAlignment="1" applyFont="1">
      <alignment readingOrder="0" vertical="bottom"/>
    </xf>
    <xf borderId="0" fillId="4" fontId="3" numFmtId="1" xfId="0" applyAlignment="1" applyFont="1" applyNumberFormat="1">
      <alignment vertical="bottom"/>
    </xf>
    <xf borderId="0" fillId="0" fontId="3" numFmtId="167" xfId="0" applyAlignment="1" applyFont="1" applyNumberFormat="1">
      <alignment horizontal="right" vertical="bottom"/>
    </xf>
    <xf borderId="1" fillId="32" fontId="7" numFmtId="0" xfId="0" applyAlignment="1" applyBorder="1" applyFill="1" applyFont="1">
      <alignment vertical="bottom"/>
    </xf>
    <xf borderId="0" fillId="0" fontId="11" numFmtId="1" xfId="0" applyAlignment="1" applyFont="1" applyNumberFormat="1">
      <alignment horizontal="right" readingOrder="0" vertical="bottom"/>
    </xf>
    <xf borderId="0" fillId="32" fontId="4" numFmtId="0" xfId="0" applyAlignment="1" applyFont="1">
      <alignment horizontal="right" readingOrder="0" vertical="bottom"/>
    </xf>
    <xf borderId="1" fillId="19" fontId="7" numFmtId="0" xfId="0" applyAlignment="1" applyBorder="1" applyFont="1">
      <alignment vertical="bottom"/>
    </xf>
    <xf borderId="0" fillId="19" fontId="7" numFmtId="167" xfId="0" applyAlignment="1" applyFont="1" applyNumberFormat="1">
      <alignment horizontal="right" vertical="bottom"/>
    </xf>
    <xf borderId="0" fillId="0" fontId="3" numFmtId="1" xfId="0" applyAlignment="1" applyFont="1" applyNumberFormat="1">
      <alignment readingOrder="0" vertical="bottom"/>
    </xf>
    <xf borderId="1" fillId="33" fontId="4" numFmtId="0" xfId="0" applyAlignment="1" applyBorder="1" applyFill="1" applyFont="1">
      <alignment vertical="bottom"/>
    </xf>
    <xf borderId="1" fillId="0" fontId="4" numFmtId="167" xfId="0" applyAlignment="1" applyBorder="1" applyFont="1" applyNumberFormat="1">
      <alignment horizontal="right" vertical="bottom"/>
    </xf>
    <xf borderId="0" fillId="0" fontId="3" numFmtId="10" xfId="0" applyAlignment="1" applyFont="1" applyNumberFormat="1">
      <alignment vertical="bottom"/>
    </xf>
    <xf borderId="0" fillId="0" fontId="3" numFmtId="10" xfId="0" applyAlignment="1" applyFont="1" applyNumberFormat="1">
      <alignment horizontal="right" readingOrder="0" vertical="bottom"/>
    </xf>
    <xf borderId="0" fillId="17" fontId="3" numFmtId="167" xfId="0" applyAlignment="1" applyFont="1" applyNumberFormat="1">
      <alignment horizontal="right" vertical="bottom"/>
    </xf>
    <xf borderId="1" fillId="0" fontId="4" numFmtId="10" xfId="0" applyAlignment="1" applyBorder="1" applyFont="1" applyNumberFormat="1">
      <alignment horizontal="right" vertical="bottom"/>
    </xf>
    <xf borderId="0" fillId="17" fontId="3" numFmtId="167" xfId="0" applyAlignment="1" applyFont="1" applyNumberFormat="1">
      <alignment horizontal="right" readingOrder="0" vertical="bottom"/>
    </xf>
    <xf borderId="0" fillId="0" fontId="3" numFmtId="167" xfId="0" applyAlignment="1" applyFont="1" applyNumberFormat="1">
      <alignment horizontal="right" readingOrder="0" vertical="bottom"/>
    </xf>
    <xf borderId="0" fillId="0" fontId="3" numFmtId="10" xfId="0" applyAlignment="1" applyFont="1" applyNumberFormat="1">
      <alignment readingOrder="0" vertical="bottom"/>
    </xf>
    <xf borderId="0" fillId="0" fontId="3" numFmtId="10" xfId="0" applyAlignment="1" applyFont="1" applyNumberFormat="1">
      <alignment horizontal="right" vertical="bottom"/>
    </xf>
    <xf borderId="0" fillId="0" fontId="4" numFmtId="167" xfId="0" applyAlignment="1" applyFont="1" applyNumberFormat="1">
      <alignment vertical="bottom"/>
    </xf>
    <xf borderId="0" fillId="3" fontId="3" numFmtId="174" xfId="0" applyAlignment="1" applyFont="1" applyNumberFormat="1">
      <alignment horizontal="right" readingOrder="0" vertical="bottom"/>
    </xf>
    <xf borderId="0" fillId="3" fontId="3" numFmtId="0" xfId="0" applyAlignment="1" applyFont="1">
      <alignment horizontal="right" vertical="bottom"/>
    </xf>
    <xf borderId="0" fillId="0" fontId="15" numFmtId="175" xfId="0" applyAlignment="1" applyFont="1" applyNumberFormat="1">
      <alignment horizontal="right" vertical="bottom"/>
    </xf>
    <xf borderId="0" fillId="0" fontId="15" numFmtId="10" xfId="0" applyAlignment="1" applyFont="1" applyNumberFormat="1">
      <alignment horizontal="right" vertical="bottom"/>
    </xf>
    <xf borderId="0" fillId="0" fontId="4" numFmtId="167" xfId="0" applyAlignment="1" applyFont="1" applyNumberFormat="1">
      <alignment readingOrder="0" vertical="bottom"/>
    </xf>
    <xf borderId="0" fillId="0" fontId="15" numFmtId="2" xfId="0" applyAlignment="1" applyFont="1" applyNumberFormat="1">
      <alignment horizontal="right" vertical="bottom"/>
    </xf>
    <xf borderId="0" fillId="0" fontId="3" numFmtId="3" xfId="0" applyAlignment="1" applyFont="1" applyNumberFormat="1">
      <alignment horizontal="right" vertical="bottom"/>
    </xf>
    <xf borderId="1" fillId="22" fontId="4" numFmtId="1" xfId="0" applyAlignment="1" applyBorder="1" applyFont="1" applyNumberFormat="1">
      <alignment vertical="bottom"/>
    </xf>
    <xf borderId="0" fillId="17" fontId="3" numFmtId="3" xfId="0" applyAlignment="1" applyFont="1" applyNumberFormat="1">
      <alignment horizontal="right" vertical="bottom"/>
    </xf>
    <xf borderId="0" fillId="0" fontId="15" numFmtId="3" xfId="0" applyAlignment="1" applyFont="1" applyNumberFormat="1">
      <alignment horizontal="right" vertical="bottom"/>
    </xf>
    <xf borderId="0" fillId="22" fontId="4" numFmtId="167" xfId="0" applyAlignment="1" applyFont="1" applyNumberFormat="1">
      <alignment horizontal="right" vertical="bottom"/>
    </xf>
    <xf borderId="0" fillId="0" fontId="3" numFmtId="167" xfId="0" applyAlignment="1" applyFont="1" applyNumberFormat="1">
      <alignment vertical="bottom"/>
    </xf>
    <xf borderId="0" fillId="0" fontId="8" numFmtId="0" xfId="0" applyAlignment="1" applyFont="1">
      <alignment vertical="bottom"/>
    </xf>
    <xf borderId="0" fillId="22" fontId="3" numFmtId="1" xfId="0" applyAlignment="1" applyFont="1" applyNumberFormat="1">
      <alignment vertical="bottom"/>
    </xf>
    <xf borderId="0" fillId="22" fontId="4" numFmtId="1" xfId="0" applyAlignment="1" applyFont="1" applyNumberFormat="1">
      <alignment horizontal="right" readingOrder="0" vertical="bottom"/>
    </xf>
    <xf borderId="0" fillId="34" fontId="4" numFmtId="168" xfId="0" applyAlignment="1" applyFill="1" applyFont="1" applyNumberFormat="1">
      <alignment horizontal="right" vertical="bottom"/>
    </xf>
    <xf borderId="0" fillId="35" fontId="4" numFmtId="168" xfId="0" applyAlignment="1" applyFill="1" applyFont="1" applyNumberFormat="1">
      <alignment horizontal="right" vertical="bottom"/>
    </xf>
    <xf borderId="0" fillId="36" fontId="4" numFmtId="168" xfId="0" applyAlignment="1" applyFill="1" applyFont="1" applyNumberFormat="1">
      <alignment horizontal="right" vertical="bottom"/>
    </xf>
    <xf borderId="0" fillId="37" fontId="4" numFmtId="168" xfId="0" applyAlignment="1" applyFill="1" applyFont="1" applyNumberFormat="1">
      <alignment horizontal="right" vertical="bottom"/>
    </xf>
    <xf borderId="0" fillId="38" fontId="4" numFmtId="168" xfId="0" applyAlignment="1" applyFill="1" applyFont="1" applyNumberFormat="1">
      <alignment horizontal="right" vertical="bottom"/>
    </xf>
    <xf borderId="0" fillId="39" fontId="4" numFmtId="168" xfId="0" applyAlignment="1" applyFill="1" applyFont="1" applyNumberFormat="1">
      <alignment horizontal="right" vertical="bottom"/>
    </xf>
    <xf borderId="0" fillId="40" fontId="4" numFmtId="168" xfId="0" applyAlignment="1" applyFill="1" applyFont="1" applyNumberFormat="1">
      <alignment horizontal="right" vertical="bottom"/>
    </xf>
    <xf borderId="0" fillId="41" fontId="4" numFmtId="168" xfId="0" applyAlignment="1" applyFill="1" applyFont="1" applyNumberFormat="1">
      <alignment horizontal="right" vertical="bottom"/>
    </xf>
    <xf borderId="0" fillId="42" fontId="4" numFmtId="168" xfId="0" applyAlignment="1" applyFill="1" applyFont="1" applyNumberFormat="1">
      <alignment horizontal="right" vertical="bottom"/>
    </xf>
    <xf borderId="0" fillId="43" fontId="4" numFmtId="168" xfId="0" applyAlignment="1" applyFill="1" applyFont="1" applyNumberFormat="1">
      <alignment horizontal="right" vertical="bottom"/>
    </xf>
    <xf borderId="0" fillId="44" fontId="4" numFmtId="168" xfId="0" applyAlignment="1" applyFill="1" applyFont="1" applyNumberFormat="1">
      <alignment horizontal="right" vertical="bottom"/>
    </xf>
    <xf borderId="0" fillId="45" fontId="4" numFmtId="168" xfId="0" applyAlignment="1" applyFill="1" applyFont="1" applyNumberFormat="1">
      <alignment horizontal="right" vertical="bottom"/>
    </xf>
    <xf borderId="0" fillId="46" fontId="4" numFmtId="168" xfId="0" applyAlignment="1" applyFill="1" applyFont="1" applyNumberFormat="1">
      <alignment horizontal="right" vertical="bottom"/>
    </xf>
    <xf borderId="0" fillId="47" fontId="4" numFmtId="168" xfId="0" applyAlignment="1" applyFill="1" applyFont="1" applyNumberFormat="1">
      <alignment horizontal="right" vertical="bottom"/>
    </xf>
    <xf borderId="0" fillId="48" fontId="4" numFmtId="168" xfId="0" applyAlignment="1" applyFill="1" applyFont="1" applyNumberFormat="1">
      <alignment vertical="bottom"/>
    </xf>
    <xf borderId="1" fillId="49" fontId="7" numFmtId="0" xfId="0" applyAlignment="1" applyBorder="1" applyFill="1" applyFont="1">
      <alignment vertical="bottom"/>
    </xf>
    <xf borderId="0" fillId="23" fontId="3" numFmtId="1" xfId="0" applyAlignment="1" applyFont="1" applyNumberFormat="1">
      <alignment vertical="bottom"/>
    </xf>
    <xf borderId="1" fillId="25" fontId="16" numFmtId="0" xfId="0" applyAlignment="1" applyBorder="1" applyFont="1">
      <alignment vertical="bottom"/>
    </xf>
    <xf borderId="1" fillId="50" fontId="4" numFmtId="0" xfId="0" applyAlignment="1" applyBorder="1" applyFill="1" applyFont="1">
      <alignment vertical="bottom"/>
    </xf>
    <xf borderId="0" fillId="25" fontId="7" numFmtId="1" xfId="0" applyAlignment="1" applyFont="1" applyNumberFormat="1">
      <alignment horizontal="right" vertical="bottom"/>
    </xf>
    <xf borderId="2" fillId="3" fontId="3" numFmtId="167" xfId="0" applyAlignment="1" applyBorder="1" applyFont="1" applyNumberFormat="1">
      <alignment vertical="bottom"/>
    </xf>
    <xf borderId="1" fillId="51" fontId="4" numFmtId="0" xfId="0" applyAlignment="1" applyBorder="1" applyFill="1" applyFont="1">
      <alignment vertical="bottom"/>
    </xf>
    <xf borderId="0" fillId="0" fontId="3" numFmtId="168" xfId="0" applyAlignment="1" applyFont="1" applyNumberFormat="1">
      <alignment vertical="bottom"/>
    </xf>
    <xf borderId="2" fillId="4" fontId="3" numFmtId="168" xfId="0" applyAlignment="1" applyBorder="1" applyFont="1" applyNumberFormat="1">
      <alignment vertical="bottom"/>
    </xf>
    <xf borderId="0" fillId="52" fontId="4" numFmtId="168" xfId="0" applyAlignment="1" applyFill="1" applyFont="1" applyNumberFormat="1">
      <alignment horizontal="right" vertical="bottom"/>
    </xf>
    <xf borderId="0" fillId="53" fontId="4" numFmtId="168" xfId="0" applyAlignment="1" applyFill="1" applyFont="1" applyNumberFormat="1">
      <alignment horizontal="right" vertical="bottom"/>
    </xf>
    <xf borderId="0" fillId="54" fontId="4" numFmtId="168" xfId="0" applyAlignment="1" applyFill="1" applyFont="1" applyNumberFormat="1">
      <alignment horizontal="right" vertical="bottom"/>
    </xf>
    <xf borderId="0" fillId="55" fontId="4" numFmtId="168" xfId="0" applyAlignment="1" applyFill="1" applyFont="1" applyNumberFormat="1">
      <alignment horizontal="right" vertical="bottom"/>
    </xf>
    <xf borderId="0" fillId="56" fontId="4" numFmtId="168" xfId="0" applyAlignment="1" applyFill="1" applyFont="1" applyNumberFormat="1">
      <alignment horizontal="right" vertical="bottom"/>
    </xf>
    <xf borderId="0" fillId="57" fontId="4" numFmtId="168" xfId="0" applyAlignment="1" applyFill="1" applyFont="1" applyNumberFormat="1">
      <alignment horizontal="right" vertical="bottom"/>
    </xf>
    <xf borderId="0" fillId="58" fontId="4" numFmtId="168" xfId="0" applyAlignment="1" applyFill="1" applyFont="1" applyNumberFormat="1">
      <alignment horizontal="right" vertical="bottom"/>
    </xf>
    <xf borderId="0" fillId="59" fontId="4" numFmtId="168" xfId="0" applyAlignment="1" applyFill="1" applyFont="1" applyNumberFormat="1">
      <alignment horizontal="right" vertical="bottom"/>
    </xf>
    <xf borderId="0" fillId="60" fontId="4" numFmtId="168" xfId="0" applyAlignment="1" applyFill="1" applyFont="1" applyNumberFormat="1">
      <alignment horizontal="right" vertical="bottom"/>
    </xf>
    <xf borderId="0" fillId="61" fontId="4" numFmtId="168" xfId="0" applyAlignment="1" applyFill="1" applyFont="1" applyNumberFormat="1">
      <alignment horizontal="right" vertical="bottom"/>
    </xf>
    <xf borderId="0" fillId="62" fontId="4" numFmtId="168" xfId="0" applyAlignment="1" applyFill="1" applyFont="1" applyNumberFormat="1">
      <alignment horizontal="right" vertical="bottom"/>
    </xf>
    <xf borderId="0" fillId="63" fontId="4" numFmtId="168" xfId="0" applyAlignment="1" applyFill="1" applyFont="1" applyNumberFormat="1">
      <alignment horizontal="right" vertical="bottom"/>
    </xf>
    <xf borderId="0" fillId="25" fontId="7" numFmtId="167" xfId="0" applyAlignment="1" applyFont="1" applyNumberFormat="1">
      <alignment horizontal="right" vertical="bottom"/>
    </xf>
    <xf borderId="1" fillId="0" fontId="4" numFmtId="168" xfId="0" applyAlignment="1" applyBorder="1" applyFont="1" applyNumberFormat="1">
      <alignment horizontal="right" vertical="bottom"/>
    </xf>
    <xf borderId="0" fillId="64" fontId="4" numFmtId="168" xfId="0" applyAlignment="1" applyFill="1" applyFont="1" applyNumberFormat="1">
      <alignment horizontal="right" vertical="bottom"/>
    </xf>
    <xf borderId="0" fillId="65" fontId="4" numFmtId="168" xfId="0" applyAlignment="1" applyFill="1" applyFont="1" applyNumberFormat="1">
      <alignment horizontal="right" vertical="bottom"/>
    </xf>
    <xf borderId="0" fillId="66" fontId="4" numFmtId="168" xfId="0" applyAlignment="1" applyFill="1" applyFont="1" applyNumberFormat="1">
      <alignment horizontal="right" vertical="bottom"/>
    </xf>
    <xf borderId="0" fillId="67" fontId="4" numFmtId="168" xfId="0" applyAlignment="1" applyFill="1" applyFont="1" applyNumberFormat="1">
      <alignment horizontal="right" vertical="bottom"/>
    </xf>
    <xf borderId="0" fillId="68" fontId="4" numFmtId="168" xfId="0" applyAlignment="1" applyFill="1" applyFont="1" applyNumberFormat="1">
      <alignment horizontal="right" vertical="bottom"/>
    </xf>
    <xf borderId="0" fillId="69" fontId="4" numFmtId="168" xfId="0" applyAlignment="1" applyFill="1" applyFont="1" applyNumberFormat="1">
      <alignment horizontal="right" vertical="bottom"/>
    </xf>
    <xf borderId="0" fillId="70" fontId="4" numFmtId="168" xfId="0" applyAlignment="1" applyFill="1" applyFont="1" applyNumberFormat="1">
      <alignment horizontal="right" vertical="bottom"/>
    </xf>
    <xf borderId="0" fillId="71" fontId="4" numFmtId="168" xfId="0" applyAlignment="1" applyFill="1" applyFont="1" applyNumberFormat="1">
      <alignment horizontal="right" vertical="bottom"/>
    </xf>
    <xf borderId="0" fillId="72" fontId="4" numFmtId="168" xfId="0" applyAlignment="1" applyFill="1" applyFont="1" applyNumberFormat="1">
      <alignment horizontal="right" vertical="bottom"/>
    </xf>
    <xf borderId="0" fillId="73" fontId="4" numFmtId="168" xfId="0" applyAlignment="1" applyFill="1" applyFont="1" applyNumberFormat="1">
      <alignment horizontal="right" vertical="bottom"/>
    </xf>
    <xf borderId="0" fillId="74" fontId="4" numFmtId="168" xfId="0" applyAlignment="1" applyFill="1" applyFont="1" applyNumberFormat="1">
      <alignment horizontal="right" vertical="bottom"/>
    </xf>
    <xf borderId="0" fillId="75" fontId="4" numFmtId="168" xfId="0" applyAlignment="1" applyFill="1" applyFont="1" applyNumberFormat="1">
      <alignment horizontal="right" vertical="bottom"/>
    </xf>
    <xf borderId="0" fillId="76" fontId="4" numFmtId="168" xfId="0" applyAlignment="1" applyFill="1" applyFont="1" applyNumberFormat="1">
      <alignment horizontal="right" vertical="bottom"/>
    </xf>
    <xf borderId="0" fillId="77" fontId="4" numFmtId="168" xfId="0" applyAlignment="1" applyFill="1" applyFont="1" applyNumberFormat="1">
      <alignment horizontal="right" vertical="bottom"/>
    </xf>
    <xf borderId="0" fillId="78" fontId="4" numFmtId="168" xfId="0" applyAlignment="1" applyFill="1" applyFont="1" applyNumberFormat="1">
      <alignment horizontal="right" vertical="bottom"/>
    </xf>
    <xf borderId="0" fillId="79" fontId="4" numFmtId="10" xfId="0" applyAlignment="1" applyFill="1" applyFont="1" applyNumberFormat="1">
      <alignment horizontal="right" vertical="bottom"/>
    </xf>
    <xf borderId="0" fillId="74" fontId="4" numFmtId="10" xfId="0" applyAlignment="1" applyFont="1" applyNumberFormat="1">
      <alignment horizontal="right" vertical="bottom"/>
    </xf>
    <xf borderId="0" fillId="80" fontId="4" numFmtId="10" xfId="0" applyAlignment="1" applyFill="1" applyFont="1" applyNumberFormat="1">
      <alignment horizontal="right" vertical="bottom"/>
    </xf>
    <xf borderId="0" fillId="81" fontId="4" numFmtId="10" xfId="0" applyAlignment="1" applyFill="1" applyFont="1" applyNumberFormat="1">
      <alignment horizontal="right" vertical="bottom"/>
    </xf>
    <xf borderId="0" fillId="82" fontId="4" numFmtId="10" xfId="0" applyAlignment="1" applyFill="1" applyFont="1" applyNumberFormat="1">
      <alignment horizontal="right" vertical="bottom"/>
    </xf>
    <xf borderId="0" fillId="83" fontId="4" numFmtId="10" xfId="0" applyAlignment="1" applyFill="1" applyFont="1" applyNumberFormat="1">
      <alignment horizontal="right" vertical="bottom"/>
    </xf>
    <xf borderId="0" fillId="70" fontId="4" numFmtId="10" xfId="0" applyAlignment="1" applyFont="1" applyNumberFormat="1">
      <alignment horizontal="right" vertical="bottom"/>
    </xf>
    <xf borderId="0" fillId="84" fontId="4" numFmtId="10" xfId="0" applyAlignment="1" applyFill="1" applyFont="1" applyNumberFormat="1">
      <alignment horizontal="right" vertical="bottom"/>
    </xf>
    <xf borderId="0" fillId="85" fontId="4" numFmtId="10" xfId="0" applyAlignment="1" applyFill="1" applyFont="1" applyNumberFormat="1">
      <alignment horizontal="right" vertical="bottom"/>
    </xf>
    <xf borderId="0" fillId="86" fontId="4" numFmtId="10" xfId="0" applyAlignment="1" applyFill="1" applyFont="1" applyNumberFormat="1">
      <alignment horizontal="right" vertical="bottom"/>
    </xf>
    <xf borderId="0" fillId="72" fontId="4" numFmtId="10" xfId="0" applyAlignment="1" applyFont="1" applyNumberFormat="1">
      <alignment horizontal="right" vertical="bottom"/>
    </xf>
    <xf borderId="0" fillId="87" fontId="4" numFmtId="10" xfId="0" applyAlignment="1" applyFill="1" applyFont="1" applyNumberFormat="1">
      <alignment horizontal="right" vertical="bottom"/>
    </xf>
    <xf borderId="0" fillId="88" fontId="4" numFmtId="10" xfId="0" applyAlignment="1" applyFill="1" applyFont="1" applyNumberFormat="1">
      <alignment horizontal="right" vertical="bottom"/>
    </xf>
    <xf borderId="0" fillId="89" fontId="4" numFmtId="10" xfId="0" applyAlignment="1" applyFill="1" applyFont="1" applyNumberFormat="1">
      <alignment horizontal="right" vertical="bottom"/>
    </xf>
    <xf borderId="0" fillId="0" fontId="4" numFmtId="10" xfId="0" applyAlignment="1" applyFont="1" applyNumberFormat="1">
      <alignment horizontal="right" vertical="bottom"/>
    </xf>
    <xf borderId="0" fillId="17" fontId="4" numFmtId="2" xfId="0" applyAlignment="1" applyFont="1" applyNumberFormat="1">
      <alignment horizontal="right" vertical="bottom"/>
    </xf>
    <xf borderId="6" fillId="21" fontId="4" numFmtId="0" xfId="0" applyAlignment="1" applyBorder="1" applyFont="1">
      <alignment vertical="bottom"/>
    </xf>
    <xf borderId="3" fillId="0" fontId="4" numFmtId="168" xfId="0" applyAlignment="1" applyBorder="1" applyFont="1" applyNumberFormat="1">
      <alignment horizontal="right" vertical="bottom"/>
    </xf>
    <xf borderId="1" fillId="21" fontId="7" numFmtId="0" xfId="0" applyAlignment="1" applyBorder="1" applyFont="1">
      <alignment vertical="bottom"/>
    </xf>
    <xf borderId="0" fillId="3" fontId="4" numFmtId="168" xfId="0" applyAlignment="1" applyFont="1" applyNumberFormat="1">
      <alignment horizontal="right" vertical="bottom"/>
    </xf>
    <xf borderId="0" fillId="50" fontId="3" numFmtId="1" xfId="0" applyAlignment="1" applyFont="1" applyNumberFormat="1">
      <alignment vertical="bottom"/>
    </xf>
    <xf borderId="1" fillId="32" fontId="16" numFmtId="167" xfId="0" applyAlignment="1" applyBorder="1" applyFont="1" applyNumberFormat="1">
      <alignment vertical="bottom"/>
    </xf>
    <xf borderId="0" fillId="32" fontId="7" numFmtId="167" xfId="0" applyAlignment="1" applyFont="1" applyNumberFormat="1">
      <alignment horizontal="right" readingOrder="0" vertical="bottom"/>
    </xf>
    <xf borderId="1" fillId="13" fontId="16" numFmtId="0" xfId="0" applyAlignment="1" applyBorder="1" applyFont="1">
      <alignment vertical="bottom"/>
    </xf>
    <xf borderId="0" fillId="13" fontId="3" numFmtId="2" xfId="0" applyAlignment="1" applyFont="1" applyNumberFormat="1">
      <alignment vertical="bottom"/>
    </xf>
    <xf borderId="0" fillId="13" fontId="3" numFmtId="0" xfId="0" applyAlignment="1" applyFont="1">
      <alignment vertical="bottom"/>
    </xf>
    <xf borderId="0" fillId="22" fontId="7" numFmtId="1" xfId="0" applyAlignment="1" applyFont="1" applyNumberFormat="1">
      <alignment horizontal="right" vertical="bottom"/>
    </xf>
    <xf borderId="1" fillId="13" fontId="16" numFmtId="0" xfId="0" applyAlignment="1" applyBorder="1" applyFont="1">
      <alignment vertical="bottom"/>
    </xf>
    <xf borderId="1" fillId="21" fontId="4" numFmtId="0" xfId="0" applyAlignment="1" applyBorder="1" applyFont="1">
      <alignment vertical="bottom"/>
    </xf>
    <xf borderId="0" fillId="3" fontId="4" numFmtId="1" xfId="0" applyAlignment="1" applyFont="1" applyNumberFormat="1">
      <alignment horizontal="right" vertical="bottom"/>
    </xf>
    <xf borderId="0" fillId="3" fontId="4" numFmtId="1" xfId="0" applyAlignment="1" applyFont="1" applyNumberFormat="1">
      <alignment readingOrder="0" vertical="bottom"/>
    </xf>
    <xf borderId="1" fillId="22" fontId="7" numFmtId="0" xfId="0" applyAlignment="1" applyBorder="1" applyFont="1">
      <alignment vertical="bottom"/>
    </xf>
    <xf borderId="1" fillId="21" fontId="4" numFmtId="1" xfId="0" applyAlignment="1" applyBorder="1" applyFont="1" applyNumberFormat="1">
      <alignment vertical="bottom"/>
    </xf>
    <xf borderId="0" fillId="21" fontId="3" numFmtId="1" xfId="0" applyAlignment="1" applyFont="1" applyNumberFormat="1">
      <alignment vertical="bottom"/>
    </xf>
    <xf borderId="1" fillId="21" fontId="4" numFmtId="3" xfId="0" applyAlignment="1" applyBorder="1" applyFont="1" applyNumberFormat="1">
      <alignment vertical="bottom"/>
    </xf>
    <xf borderId="1" fillId="0" fontId="3" numFmtId="1" xfId="0" applyAlignment="1" applyBorder="1" applyFont="1" applyNumberFormat="1">
      <alignment vertical="bottom"/>
    </xf>
    <xf borderId="1" fillId="13" fontId="2" numFmtId="0" xfId="0" applyAlignment="1" applyBorder="1" applyFont="1">
      <alignment vertical="bottom"/>
    </xf>
    <xf borderId="1" fillId="13" fontId="2" numFmtId="0" xfId="0" applyAlignment="1" applyBorder="1" applyFont="1">
      <alignment readingOrder="0" vertical="bottom"/>
    </xf>
    <xf borderId="0" fillId="21" fontId="3" numFmtId="168" xfId="0" applyAlignment="1" applyFont="1" applyNumberFormat="1">
      <alignment vertical="bottom"/>
    </xf>
    <xf borderId="0" fillId="17" fontId="4" numFmtId="1" xfId="0" applyAlignment="1" applyFont="1" applyNumberFormat="1">
      <alignment horizontal="right" readingOrder="0" vertical="bottom"/>
    </xf>
    <xf borderId="1" fillId="21" fontId="4" numFmtId="0" xfId="0" applyAlignment="1" applyBorder="1" applyFont="1">
      <alignment readingOrder="0" vertical="bottom"/>
    </xf>
    <xf borderId="0" fillId="21" fontId="3" numFmtId="173" xfId="0" applyAlignment="1" applyFont="1" applyNumberFormat="1">
      <alignment vertical="bottom"/>
    </xf>
    <xf borderId="2" fillId="22" fontId="7" numFmtId="1" xfId="0" applyAlignment="1" applyBorder="1" applyFont="1" applyNumberFormat="1">
      <alignment horizontal="right" readingOrder="0" vertical="bottom"/>
    </xf>
    <xf borderId="0" fillId="22" fontId="7" numFmtId="1" xfId="0" applyAlignment="1" applyFont="1" applyNumberFormat="1">
      <alignment horizontal="right" readingOrder="0" vertical="bottom"/>
    </xf>
    <xf borderId="1" fillId="22" fontId="7" numFmtId="0" xfId="0" applyAlignment="1" applyBorder="1" applyFont="1">
      <alignment horizontal="left" readingOrder="0" vertical="bottom"/>
    </xf>
    <xf borderId="0" fillId="22" fontId="7" numFmtId="1" xfId="0" applyAlignment="1" applyFont="1" applyNumberFormat="1">
      <alignment readingOrder="0" vertical="bottom"/>
    </xf>
    <xf borderId="1" fillId="17" fontId="7" numFmtId="0" xfId="0" applyAlignment="1" applyBorder="1" applyFont="1">
      <alignment vertical="bottom"/>
    </xf>
    <xf borderId="0" fillId="17" fontId="7" numFmtId="168" xfId="0" applyAlignment="1" applyFont="1" applyNumberFormat="1">
      <alignment horizontal="right" vertical="bottom"/>
    </xf>
    <xf borderId="0" fillId="17" fontId="3" numFmtId="168" xfId="0" applyAlignment="1" applyFont="1" applyNumberFormat="1">
      <alignment vertical="bottom"/>
    </xf>
    <xf borderId="0" fillId="17" fontId="7" numFmtId="168" xfId="0" applyAlignment="1" applyFont="1" applyNumberFormat="1">
      <alignment vertical="bottom"/>
    </xf>
    <xf borderId="6" fillId="90" fontId="4" numFmtId="0" xfId="0" applyAlignment="1" applyBorder="1" applyFill="1" applyFont="1">
      <alignment vertical="bottom"/>
    </xf>
    <xf borderId="5" fillId="3" fontId="3" numFmtId="168" xfId="0" applyAlignment="1" applyBorder="1" applyFont="1" applyNumberFormat="1">
      <alignment vertical="bottom"/>
    </xf>
    <xf borderId="1" fillId="16" fontId="7" numFmtId="0" xfId="0" applyAlignment="1" applyBorder="1" applyFont="1">
      <alignment vertical="bottom"/>
    </xf>
    <xf borderId="0" fillId="91" fontId="4" numFmtId="168" xfId="0" applyAlignment="1" applyFill="1" applyFont="1" applyNumberFormat="1">
      <alignment horizontal="right" vertical="bottom"/>
    </xf>
    <xf borderId="0" fillId="92" fontId="4" numFmtId="168" xfId="0" applyAlignment="1" applyFill="1" applyFont="1" applyNumberFormat="1">
      <alignment horizontal="right" vertical="bottom"/>
    </xf>
    <xf borderId="0" fillId="93" fontId="4" numFmtId="168" xfId="0" applyAlignment="1" applyFill="1" applyFont="1" applyNumberFormat="1">
      <alignment horizontal="right" vertical="bottom"/>
    </xf>
    <xf borderId="0" fillId="94" fontId="4" numFmtId="168" xfId="0" applyAlignment="1" applyFill="1" applyFont="1" applyNumberFormat="1">
      <alignment horizontal="right" vertical="bottom"/>
    </xf>
    <xf borderId="0" fillId="95" fontId="4" numFmtId="168" xfId="0" applyAlignment="1" applyFill="1" applyFont="1" applyNumberFormat="1">
      <alignment horizontal="right" vertical="bottom"/>
    </xf>
    <xf borderId="0" fillId="96" fontId="4" numFmtId="168" xfId="0" applyAlignment="1" applyFill="1" applyFont="1" applyNumberFormat="1">
      <alignment horizontal="right" vertical="bottom"/>
    </xf>
    <xf borderId="0" fillId="97" fontId="4" numFmtId="168" xfId="0" applyAlignment="1" applyFill="1" applyFont="1" applyNumberFormat="1">
      <alignment horizontal="right" vertical="bottom"/>
    </xf>
    <xf borderId="0" fillId="98" fontId="4" numFmtId="168" xfId="0" applyAlignment="1" applyFill="1" applyFont="1" applyNumberFormat="1">
      <alignment horizontal="right" vertical="bottom"/>
    </xf>
    <xf borderId="0" fillId="99" fontId="4" numFmtId="168" xfId="0" applyAlignment="1" applyFill="1" applyFont="1" applyNumberFormat="1">
      <alignment horizontal="right" vertical="bottom"/>
    </xf>
    <xf borderId="0" fillId="100" fontId="4" numFmtId="168" xfId="0" applyAlignment="1" applyFill="1" applyFont="1" applyNumberFormat="1">
      <alignment horizontal="right" vertical="bottom"/>
    </xf>
    <xf borderId="0" fillId="101" fontId="4" numFmtId="168" xfId="0" applyAlignment="1" applyFill="1" applyFont="1" applyNumberFormat="1">
      <alignment horizontal="right" vertical="bottom"/>
    </xf>
    <xf borderId="0" fillId="102" fontId="4" numFmtId="168" xfId="0" applyAlignment="1" applyFill="1" applyFont="1" applyNumberFormat="1">
      <alignment horizontal="right" vertical="bottom"/>
    </xf>
    <xf borderId="0" fillId="103" fontId="4" numFmtId="168" xfId="0" applyAlignment="1" applyFill="1" applyFont="1" applyNumberFormat="1">
      <alignment horizontal="right" vertical="bottom"/>
    </xf>
    <xf borderId="6" fillId="16" fontId="7" numFmtId="0" xfId="0" applyAlignment="1" applyBorder="1" applyFont="1">
      <alignment vertical="bottom"/>
    </xf>
    <xf borderId="0" fillId="0" fontId="3" numFmtId="173" xfId="0" applyAlignment="1" applyFont="1" applyNumberFormat="1">
      <alignment vertical="bottom"/>
    </xf>
    <xf borderId="1" fillId="3" fontId="4" numFmtId="0" xfId="0" applyAlignment="1" applyBorder="1" applyFont="1">
      <alignment vertical="bottom"/>
    </xf>
    <xf borderId="0" fillId="104" fontId="4" numFmtId="168" xfId="0" applyAlignment="1" applyFill="1" applyFont="1" applyNumberFormat="1">
      <alignment horizontal="right" vertical="bottom"/>
    </xf>
    <xf borderId="0" fillId="105" fontId="4" numFmtId="168" xfId="0" applyAlignment="1" applyFill="1" applyFont="1" applyNumberFormat="1">
      <alignment horizontal="right" vertical="bottom"/>
    </xf>
    <xf borderId="0" fillId="106" fontId="4" numFmtId="168" xfId="0" applyAlignment="1" applyFill="1" applyFont="1" applyNumberFormat="1">
      <alignment horizontal="right" vertical="bottom"/>
    </xf>
    <xf borderId="0" fillId="107" fontId="4" numFmtId="168" xfId="0" applyAlignment="1" applyFill="1" applyFont="1" applyNumberFormat="1">
      <alignment horizontal="right" vertical="bottom"/>
    </xf>
    <xf borderId="0" fillId="108" fontId="4" numFmtId="168" xfId="0" applyAlignment="1" applyFill="1" applyFont="1" applyNumberFormat="1">
      <alignment horizontal="right" vertical="bottom"/>
    </xf>
    <xf borderId="0" fillId="109" fontId="4" numFmtId="168" xfId="0" applyAlignment="1" applyFill="1" applyFont="1" applyNumberFormat="1">
      <alignment horizontal="right" vertical="bottom"/>
    </xf>
    <xf borderId="0" fillId="110" fontId="4" numFmtId="168" xfId="0" applyAlignment="1" applyFill="1" applyFont="1" applyNumberFormat="1">
      <alignment horizontal="right" vertical="bottom"/>
    </xf>
    <xf borderId="0" fillId="111" fontId="4" numFmtId="168" xfId="0" applyAlignment="1" applyFill="1" applyFont="1" applyNumberFormat="1">
      <alignment horizontal="right" vertical="bottom"/>
    </xf>
    <xf borderId="0" fillId="112" fontId="4" numFmtId="168" xfId="0" applyAlignment="1" applyFill="1" applyFont="1" applyNumberFormat="1">
      <alignment horizontal="right" vertical="bottom"/>
    </xf>
    <xf borderId="0" fillId="113" fontId="4" numFmtId="168" xfId="0" applyAlignment="1" applyFill="1" applyFont="1" applyNumberFormat="1">
      <alignment horizontal="right" vertical="bottom"/>
    </xf>
    <xf borderId="0" fillId="114" fontId="4" numFmtId="168" xfId="0" applyAlignment="1" applyFill="1" applyFont="1" applyNumberFormat="1">
      <alignment horizontal="right" vertical="bottom"/>
    </xf>
    <xf borderId="0" fillId="115" fontId="4" numFmtId="168" xfId="0" applyAlignment="1" applyFill="1" applyFont="1" applyNumberFormat="1">
      <alignment horizontal="right" vertical="bottom"/>
    </xf>
    <xf borderId="0" fillId="116" fontId="4" numFmtId="168" xfId="0" applyAlignment="1" applyFill="1" applyFont="1" applyNumberFormat="1">
      <alignment horizontal="right" vertical="bottom"/>
    </xf>
    <xf borderId="0" fillId="117" fontId="4" numFmtId="168" xfId="0" applyAlignment="1" applyFill="1" applyFont="1" applyNumberFormat="1">
      <alignment horizontal="right" vertical="bottom"/>
    </xf>
    <xf borderId="0" fillId="118" fontId="4" numFmtId="168" xfId="0" applyAlignment="1" applyFill="1" applyFont="1" applyNumberFormat="1">
      <alignment horizontal="right" vertical="bottom"/>
    </xf>
    <xf borderId="0" fillId="119" fontId="4" numFmtId="10" xfId="0" applyAlignment="1" applyFill="1" applyFont="1" applyNumberFormat="1">
      <alignment horizontal="right" vertical="bottom"/>
    </xf>
    <xf borderId="0" fillId="120" fontId="4" numFmtId="10" xfId="0" applyAlignment="1" applyFill="1" applyFont="1" applyNumberFormat="1">
      <alignment horizontal="right" vertical="bottom"/>
    </xf>
    <xf borderId="0" fillId="17" fontId="4" numFmtId="10" xfId="0" applyAlignment="1" applyFont="1" applyNumberFormat="1">
      <alignment horizontal="right" vertical="bottom"/>
    </xf>
    <xf borderId="0" fillId="121" fontId="4" numFmtId="10" xfId="0" applyAlignment="1" applyFill="1" applyFont="1" applyNumberFormat="1">
      <alignment horizontal="right" vertical="bottom"/>
    </xf>
    <xf borderId="0" fillId="122" fontId="4" numFmtId="10" xfId="0" applyAlignment="1" applyFill="1" applyFont="1" applyNumberFormat="1">
      <alignment horizontal="right" vertical="bottom"/>
    </xf>
    <xf borderId="0" fillId="123" fontId="4" numFmtId="10" xfId="0" applyAlignment="1" applyFill="1" applyFont="1" applyNumberFormat="1">
      <alignment horizontal="right" vertical="bottom"/>
    </xf>
    <xf borderId="0" fillId="124" fontId="4" numFmtId="10" xfId="0" applyAlignment="1" applyFill="1" applyFont="1" applyNumberFormat="1">
      <alignment horizontal="right" vertical="bottom"/>
    </xf>
    <xf borderId="0" fillId="104" fontId="4" numFmtId="10" xfId="0" applyAlignment="1" applyFont="1" applyNumberFormat="1">
      <alignment horizontal="right" vertical="bottom"/>
    </xf>
    <xf borderId="0" fillId="125" fontId="4" numFmtId="10" xfId="0" applyAlignment="1" applyFill="1" applyFont="1" applyNumberFormat="1">
      <alignment horizontal="right" vertical="bottom"/>
    </xf>
    <xf borderId="0" fillId="126" fontId="4" numFmtId="10" xfId="0" applyAlignment="1" applyFill="1" applyFont="1" applyNumberFormat="1">
      <alignment horizontal="right" vertical="bottom"/>
    </xf>
    <xf borderId="0" fillId="127" fontId="4" numFmtId="10" xfId="0" applyAlignment="1" applyFill="1" applyFont="1" applyNumberFormat="1">
      <alignment horizontal="right" vertical="bottom"/>
    </xf>
    <xf borderId="0" fillId="128" fontId="4" numFmtId="10" xfId="0" applyAlignment="1" applyFill="1" applyFont="1" applyNumberFormat="1">
      <alignment horizontal="right" vertical="bottom"/>
    </xf>
    <xf borderId="0" fillId="109" fontId="4" numFmtId="10" xfId="0" applyAlignment="1" applyFont="1" applyNumberFormat="1">
      <alignment horizontal="right" vertical="bottom"/>
    </xf>
    <xf borderId="0" fillId="129" fontId="4" numFmtId="10" xfId="0" applyAlignment="1" applyFill="1" applyFont="1" applyNumberFormat="1">
      <alignment horizontal="right" vertical="bottom"/>
    </xf>
    <xf borderId="0" fillId="130" fontId="4" numFmtId="10" xfId="0" applyAlignment="1" applyFill="1" applyFont="1" applyNumberFormat="1">
      <alignment horizontal="right" vertical="bottom"/>
    </xf>
    <xf borderId="0" fillId="131" fontId="4" numFmtId="2" xfId="0" applyAlignment="1" applyFill="1" applyFont="1" applyNumberFormat="1">
      <alignment horizontal="right" vertical="bottom"/>
    </xf>
    <xf borderId="0" fillId="132" fontId="4" numFmtId="2" xfId="0" applyAlignment="1" applyFill="1" applyFont="1" applyNumberFormat="1">
      <alignment horizontal="right" vertical="bottom"/>
    </xf>
    <xf borderId="0" fillId="0" fontId="4" numFmtId="2" xfId="0" applyAlignment="1" applyFont="1" applyNumberFormat="1">
      <alignment horizontal="right" vertical="bottom"/>
    </xf>
    <xf borderId="0" fillId="70" fontId="4" numFmtId="2" xfId="0" applyAlignment="1" applyFont="1" applyNumberFormat="1">
      <alignment horizontal="right" vertical="bottom"/>
    </xf>
    <xf borderId="0" fillId="133" fontId="4" numFmtId="2" xfId="0" applyAlignment="1" applyFill="1" applyFont="1" applyNumberFormat="1">
      <alignment horizontal="right" vertical="bottom"/>
    </xf>
    <xf borderId="0" fillId="134" fontId="4" numFmtId="2" xfId="0" applyAlignment="1" applyFill="1" applyFont="1" applyNumberFormat="1">
      <alignment horizontal="right" vertical="bottom"/>
    </xf>
    <xf borderId="0" fillId="135" fontId="4" numFmtId="2" xfId="0" applyAlignment="1" applyFill="1" applyFont="1" applyNumberFormat="1">
      <alignment horizontal="right" vertical="bottom"/>
    </xf>
    <xf borderId="0" fillId="136" fontId="4" numFmtId="2" xfId="0" applyAlignment="1" applyFill="1" applyFont="1" applyNumberFormat="1">
      <alignment horizontal="right" vertical="bottom"/>
    </xf>
    <xf borderId="0" fillId="137" fontId="4" numFmtId="2" xfId="0" applyAlignment="1" applyFill="1" applyFont="1" applyNumberFormat="1">
      <alignment horizontal="right" vertical="bottom"/>
    </xf>
    <xf borderId="0" fillId="138" fontId="4" numFmtId="2" xfId="0" applyAlignment="1" applyFill="1" applyFont="1" applyNumberFormat="1">
      <alignment horizontal="right" vertical="bottom"/>
    </xf>
    <xf borderId="0" fillId="105" fontId="4" numFmtId="2" xfId="0" applyAlignment="1" applyFont="1" applyNumberFormat="1">
      <alignment horizontal="right" vertical="bottom"/>
    </xf>
    <xf borderId="0" fillId="139" fontId="4" numFmtId="2" xfId="0" applyAlignment="1" applyFill="1" applyFont="1" applyNumberFormat="1">
      <alignment horizontal="right" vertical="bottom"/>
    </xf>
    <xf borderId="3" fillId="0" fontId="4" numFmtId="173" xfId="0" applyAlignment="1" applyBorder="1" applyFont="1" applyNumberFormat="1">
      <alignment horizontal="right" vertical="bottom"/>
    </xf>
    <xf borderId="1" fillId="2" fontId="8" numFmtId="0" xfId="0" applyAlignment="1" applyBorder="1" applyFont="1">
      <alignment readingOrder="0" vertical="bottom"/>
    </xf>
    <xf borderId="0" fillId="2" fontId="2" numFmtId="165" xfId="0" applyAlignment="1" applyFont="1" applyNumberFormat="1">
      <alignment horizontal="center" vertical="bottom"/>
    </xf>
    <xf borderId="0" fillId="5" fontId="2" numFmtId="0" xfId="0" applyAlignment="1" applyFont="1">
      <alignment horizontal="center" vertical="bottom"/>
    </xf>
    <xf borderId="1" fillId="13" fontId="17" numFmtId="0" xfId="0" applyAlignment="1" applyBorder="1" applyFont="1">
      <alignment horizontal="center"/>
    </xf>
    <xf borderId="0" fillId="13" fontId="3" numFmtId="3" xfId="0" applyAlignment="1" applyFont="1" applyNumberFormat="1">
      <alignment vertical="bottom"/>
    </xf>
    <xf borderId="0" fillId="3" fontId="3" numFmtId="168" xfId="0" applyAlignment="1" applyFont="1" applyNumberFormat="1">
      <alignment vertical="bottom"/>
    </xf>
    <xf borderId="0" fillId="18" fontId="7" numFmtId="0" xfId="0" applyAlignment="1" applyFont="1">
      <alignment vertical="bottom"/>
    </xf>
    <xf borderId="2" fillId="18" fontId="4" numFmtId="1" xfId="0" applyAlignment="1" applyBorder="1" applyFont="1" applyNumberFormat="1">
      <alignment horizontal="right" vertical="bottom"/>
    </xf>
    <xf borderId="1" fillId="18" fontId="4" numFmtId="1" xfId="0" applyAlignment="1" applyBorder="1" applyFont="1" applyNumberFormat="1">
      <alignment horizontal="right" vertical="bottom"/>
    </xf>
    <xf borderId="0" fillId="4" fontId="5" numFmtId="3" xfId="0" applyAlignment="1" applyFont="1" applyNumberFormat="1">
      <alignment horizontal="right" vertical="bottom"/>
    </xf>
    <xf borderId="1" fillId="140" fontId="7" numFmtId="0" xfId="0" applyAlignment="1" applyBorder="1" applyFill="1" applyFont="1">
      <alignment vertical="bottom"/>
    </xf>
    <xf borderId="0" fillId="140" fontId="3" numFmtId="0" xfId="0" applyAlignment="1" applyFont="1">
      <alignment vertical="bottom"/>
    </xf>
    <xf borderId="0" fillId="3" fontId="3" numFmtId="3" xfId="0" applyAlignment="1" applyFont="1" applyNumberFormat="1">
      <alignment vertical="bottom"/>
    </xf>
    <xf borderId="6" fillId="0" fontId="3" numFmtId="0" xfId="0" applyAlignment="1" applyBorder="1" applyFont="1">
      <alignment vertical="bottom"/>
    </xf>
    <xf borderId="3" fillId="0" fontId="3" numFmtId="2" xfId="0" applyAlignment="1" applyBorder="1" applyFont="1" applyNumberFormat="1">
      <alignment vertical="bottom"/>
    </xf>
    <xf borderId="3" fillId="0" fontId="3" numFmtId="3" xfId="0" applyAlignment="1" applyBorder="1" applyFont="1" applyNumberFormat="1">
      <alignment vertical="bottom"/>
    </xf>
    <xf borderId="8" fillId="21" fontId="4" numFmtId="0" xfId="0" applyAlignment="1" applyBorder="1" applyFont="1">
      <alignment vertical="bottom"/>
    </xf>
    <xf borderId="6" fillId="22" fontId="4" numFmtId="1" xfId="0" applyAlignment="1" applyBorder="1" applyFont="1" applyNumberFormat="1">
      <alignment vertical="bottom"/>
    </xf>
    <xf borderId="3" fillId="22" fontId="4" numFmtId="167" xfId="0" applyAlignment="1" applyBorder="1" applyFont="1" applyNumberFormat="1">
      <alignment horizontal="right" vertical="bottom"/>
    </xf>
    <xf borderId="9" fillId="13" fontId="3" numFmtId="0" xfId="0" applyAlignment="1" applyBorder="1" applyFont="1">
      <alignment vertical="bottom"/>
    </xf>
    <xf borderId="0" fillId="3" fontId="4" numFmtId="1" xfId="0" applyAlignment="1" applyFont="1" applyNumberFormat="1">
      <alignment vertical="bottom"/>
    </xf>
    <xf borderId="0" fillId="22" fontId="7" numFmtId="168" xfId="0" applyAlignment="1" applyFont="1" applyNumberFormat="1">
      <alignment horizontal="right" vertical="bottom"/>
    </xf>
    <xf borderId="0" fillId="21" fontId="3" numFmtId="3" xfId="0" applyAlignment="1" applyFont="1" applyNumberFormat="1">
      <alignment vertical="bottom"/>
    </xf>
    <xf borderId="2" fillId="3" fontId="7" numFmtId="168" xfId="0" applyAlignment="1" applyBorder="1" applyFont="1" applyNumberFormat="1">
      <alignment horizontal="right" vertical="bottom"/>
    </xf>
    <xf borderId="0" fillId="9" fontId="4" numFmtId="1" xfId="0" applyAlignment="1" applyFont="1" applyNumberFormat="1">
      <alignment vertical="bottom"/>
    </xf>
    <xf borderId="10" fillId="0" fontId="3" numFmtId="0" xfId="0" applyAlignment="1" applyBorder="1" applyFont="1">
      <alignment vertical="bottom"/>
    </xf>
    <xf borderId="11" fillId="0" fontId="3" numFmtId="168" xfId="0" applyAlignment="1" applyBorder="1" applyFont="1" applyNumberFormat="1">
      <alignment vertical="bottom"/>
    </xf>
    <xf borderId="12" fillId="3" fontId="3" numFmtId="168" xfId="0" applyAlignment="1" applyBorder="1" applyFont="1" applyNumberFormat="1">
      <alignment vertical="bottom"/>
    </xf>
    <xf borderId="0" fillId="3" fontId="4" numFmtId="167" xfId="0" applyAlignment="1" applyFont="1" applyNumberFormat="1">
      <alignment vertical="bottom"/>
    </xf>
    <xf borderId="2" fillId="0" fontId="3" numFmtId="0" xfId="0" applyAlignment="1" applyBorder="1" applyFont="1">
      <alignment vertical="bottom"/>
    </xf>
    <xf borderId="3" fillId="141" fontId="3" numFmtId="0" xfId="0" applyAlignment="1" applyBorder="1" applyFill="1" applyFont="1">
      <alignment horizontal="center" vertical="bottom"/>
    </xf>
    <xf borderId="8" fillId="21" fontId="4" numFmtId="0" xfId="0" applyAlignment="1" applyBorder="1" applyFont="1">
      <alignment vertical="bottom"/>
    </xf>
    <xf borderId="3" fillId="0" fontId="18" numFmtId="0" xfId="0" applyBorder="1" applyFont="1"/>
    <xf borderId="1" fillId="22" fontId="4" numFmtId="1" xfId="0" applyAlignment="1" applyBorder="1" applyFont="1" applyNumberFormat="1">
      <alignment readingOrder="0" vertical="bottom"/>
    </xf>
    <xf borderId="1" fillId="17" fontId="19" numFmtId="0" xfId="0" applyAlignment="1" applyBorder="1" applyFont="1">
      <alignment vertical="bottom"/>
    </xf>
    <xf borderId="3" fillId="142" fontId="8" numFmtId="0" xfId="0" applyAlignment="1" applyBorder="1" applyFill="1" applyFont="1">
      <alignment horizontal="center" vertical="bottom"/>
    </xf>
    <xf borderId="6" fillId="0" fontId="18" numFmtId="0" xfId="0" applyBorder="1" applyFont="1"/>
    <xf borderId="1" fillId="17" fontId="3" numFmtId="0" xfId="0" applyAlignment="1" applyBorder="1" applyFont="1">
      <alignment vertical="bottom"/>
    </xf>
    <xf borderId="13" fillId="142" fontId="8" numFmtId="0" xfId="0" applyAlignment="1" applyBorder="1" applyFont="1">
      <alignment horizontal="center" vertical="bottom"/>
    </xf>
    <xf borderId="14" fillId="0" fontId="18" numFmtId="0" xfId="0" applyBorder="1" applyFont="1"/>
    <xf borderId="1" fillId="17" fontId="3" numFmtId="167" xfId="0" applyAlignment="1" applyBorder="1" applyFont="1" applyNumberFormat="1">
      <alignment vertical="bottom"/>
    </xf>
    <xf borderId="6" fillId="17" fontId="3" numFmtId="0" xfId="0" applyAlignment="1" applyBorder="1" applyFont="1">
      <alignment vertical="bottom"/>
    </xf>
    <xf borderId="6" fillId="26" fontId="3" numFmtId="167" xfId="0" applyAlignment="1" applyBorder="1" applyFont="1" applyNumberFormat="1">
      <alignment horizontal="center" vertical="bottom"/>
    </xf>
    <xf borderId="1" fillId="0" fontId="20" numFmtId="167" xfId="0" applyAlignment="1" applyBorder="1" applyFont="1" applyNumberFormat="1">
      <alignment horizontal="center" vertical="bottom"/>
    </xf>
    <xf borderId="0" fillId="143" fontId="4" numFmtId="168" xfId="0" applyAlignment="1" applyFill="1" applyFont="1" applyNumberFormat="1">
      <alignment horizontal="right" vertical="bottom"/>
    </xf>
    <xf borderId="0" fillId="140" fontId="3" numFmtId="1" xfId="0" applyAlignment="1" applyFont="1" applyNumberFormat="1">
      <alignment vertical="bottom"/>
    </xf>
    <xf borderId="6" fillId="26" fontId="3" numFmtId="10" xfId="0" applyAlignment="1" applyBorder="1" applyFont="1" applyNumberFormat="1">
      <alignment horizontal="center" vertical="bottom"/>
    </xf>
    <xf borderId="0" fillId="140" fontId="3" numFmtId="167" xfId="0" applyAlignment="1" applyFont="1" applyNumberFormat="1">
      <alignment vertical="bottom"/>
    </xf>
    <xf borderId="1" fillId="17" fontId="20" numFmtId="167" xfId="0" applyAlignment="1" applyBorder="1" applyFont="1" applyNumberFormat="1">
      <alignment horizontal="center" vertical="bottom"/>
    </xf>
    <xf borderId="6" fillId="30" fontId="3" numFmtId="10" xfId="0" applyAlignment="1" applyBorder="1" applyFont="1" applyNumberFormat="1">
      <alignment horizontal="center" vertical="bottom"/>
    </xf>
    <xf borderId="6" fillId="26" fontId="3" numFmtId="175" xfId="0" applyAlignment="1" applyBorder="1" applyFont="1" applyNumberFormat="1">
      <alignment horizontal="center" vertical="bottom"/>
    </xf>
    <xf borderId="4" fillId="0" fontId="3" numFmtId="0" xfId="0" applyAlignment="1" applyBorder="1" applyFont="1">
      <alignment vertical="bottom"/>
    </xf>
    <xf borderId="6" fillId="24" fontId="3" numFmtId="0" xfId="0" applyAlignment="1" applyBorder="1" applyFont="1">
      <alignment vertical="bottom"/>
    </xf>
    <xf borderId="6" fillId="24" fontId="3" numFmtId="10" xfId="0" applyAlignment="1" applyBorder="1" applyFont="1" applyNumberFormat="1">
      <alignment horizontal="center" vertical="bottom"/>
    </xf>
    <xf borderId="6" fillId="4" fontId="3" numFmtId="167" xfId="0" applyAlignment="1" applyBorder="1" applyFont="1" applyNumberFormat="1">
      <alignment vertical="bottom"/>
    </xf>
    <xf borderId="6" fillId="26" fontId="3" numFmtId="176" xfId="0" applyAlignment="1" applyBorder="1" applyFont="1" applyNumberFormat="1">
      <alignment horizontal="center" vertical="bottom"/>
    </xf>
    <xf borderId="6" fillId="26" fontId="3" numFmtId="9" xfId="0" applyAlignment="1" applyBorder="1" applyFont="1" applyNumberFormat="1">
      <alignment horizontal="center" vertical="bottom"/>
    </xf>
    <xf borderId="6" fillId="24" fontId="3" numFmtId="167" xfId="0" applyAlignment="1" applyBorder="1" applyFont="1" applyNumberFormat="1">
      <alignment horizontal="center" vertical="bottom"/>
    </xf>
    <xf borderId="0" fillId="143" fontId="4" numFmtId="10" xfId="0" applyAlignment="1" applyFont="1" applyNumberFormat="1">
      <alignment horizontal="right" vertical="bottom"/>
    </xf>
    <xf borderId="6" fillId="26" fontId="3" numFmtId="177" xfId="0" applyAlignment="1" applyBorder="1" applyFont="1" applyNumberFormat="1">
      <alignment horizontal="center" vertical="bottom"/>
    </xf>
    <xf borderId="0" fillId="0" fontId="3" numFmtId="178" xfId="0" applyAlignment="1" applyFont="1" applyNumberFormat="1">
      <alignment vertical="bottom"/>
    </xf>
    <xf borderId="1" fillId="17" fontId="3" numFmtId="179" xfId="0" applyAlignment="1" applyBorder="1" applyFont="1" applyNumberFormat="1">
      <alignment vertical="bottom"/>
    </xf>
    <xf borderId="6" fillId="30" fontId="3" numFmtId="0" xfId="0" applyAlignment="1" applyBorder="1" applyFont="1">
      <alignment vertical="bottom"/>
    </xf>
    <xf borderId="6" fillId="30" fontId="3" numFmtId="167" xfId="0" applyAlignment="1" applyBorder="1" applyFont="1" applyNumberFormat="1">
      <alignment horizontal="center" vertical="bottom"/>
    </xf>
    <xf borderId="0" fillId="17" fontId="3" numFmtId="167" xfId="0" applyFont="1" applyNumberFormat="1"/>
    <xf borderId="6" fillId="4" fontId="3" numFmtId="167" xfId="0" applyAlignment="1" applyBorder="1" applyFont="1" applyNumberFormat="1">
      <alignment horizontal="center" vertical="bottom"/>
    </xf>
    <xf borderId="0" fillId="0" fontId="3" numFmtId="180" xfId="0" applyAlignment="1" applyFont="1" applyNumberFormat="1">
      <alignment vertical="bottom"/>
    </xf>
    <xf borderId="10" fillId="33" fontId="4" numFmtId="0" xfId="0" applyAlignment="1" applyBorder="1" applyFont="1">
      <alignment vertical="bottom"/>
    </xf>
    <xf borderId="11" fillId="108" fontId="4" numFmtId="2" xfId="0" applyAlignment="1" applyBorder="1" applyFont="1" applyNumberFormat="1">
      <alignment horizontal="right" vertical="bottom"/>
    </xf>
    <xf borderId="6" fillId="0" fontId="3" numFmtId="167" xfId="0" applyAlignment="1" applyBorder="1" applyFont="1" applyNumberFormat="1">
      <alignment horizontal="center" vertical="bottom"/>
    </xf>
    <xf borderId="3" fillId="17" fontId="3" numFmtId="0" xfId="0" applyAlignment="1" applyBorder="1" applyFont="1">
      <alignment vertical="bottom"/>
    </xf>
    <xf borderId="3" fillId="17" fontId="3" numFmtId="167" xfId="0" applyAlignment="1" applyBorder="1" applyFont="1" applyNumberFormat="1">
      <alignment vertical="bottom"/>
    </xf>
    <xf borderId="6" fillId="142" fontId="8" numFmtId="0" xfId="0" applyAlignment="1" applyBorder="1" applyFont="1">
      <alignment vertical="bottom"/>
    </xf>
    <xf borderId="6" fillId="142" fontId="8" numFmtId="167" xfId="0" applyAlignment="1" applyBorder="1" applyFont="1" applyNumberFormat="1">
      <alignment horizontal="center" vertical="bottom"/>
    </xf>
    <xf borderId="6" fillId="142" fontId="8" numFmtId="0" xfId="0" applyAlignment="1" applyBorder="1" applyFont="1">
      <alignment horizontal="center" vertical="bottom"/>
    </xf>
    <xf borderId="6" fillId="26" fontId="3" numFmtId="167" xfId="0" applyAlignment="1" applyBorder="1" applyFont="1" applyNumberFormat="1">
      <alignment horizontal="center" readingOrder="0" vertical="bottom"/>
    </xf>
    <xf borderId="6" fillId="17" fontId="3" numFmtId="10" xfId="0" applyAlignment="1" applyBorder="1" applyFont="1" applyNumberFormat="1">
      <alignment horizontal="right" vertical="bottom"/>
    </xf>
    <xf borderId="0" fillId="0" fontId="3" numFmtId="181" xfId="0" applyAlignment="1" applyFont="1" applyNumberFormat="1">
      <alignment vertical="bottom"/>
    </xf>
    <xf borderId="6" fillId="30" fontId="3" numFmtId="167" xfId="0" applyAlignment="1" applyBorder="1" applyFont="1" applyNumberFormat="1">
      <alignment vertical="bottom"/>
    </xf>
    <xf borderId="6" fillId="0" fontId="21" numFmtId="0" xfId="0" applyAlignment="1" applyBorder="1" applyFont="1">
      <alignment vertical="bottom"/>
    </xf>
    <xf borderId="6" fillId="26" fontId="21" numFmtId="167" xfId="0" applyAlignment="1" applyBorder="1" applyFont="1" applyNumberFormat="1">
      <alignment horizontal="center" vertical="bottom"/>
    </xf>
    <xf borderId="0" fillId="0" fontId="3" numFmtId="175" xfId="0" applyAlignment="1" applyFont="1" applyNumberFormat="1">
      <alignment vertical="bottom"/>
    </xf>
    <xf borderId="6" fillId="24" fontId="21" numFmtId="0" xfId="0" applyAlignment="1" applyBorder="1" applyFont="1">
      <alignment vertical="bottom"/>
    </xf>
    <xf borderId="6" fillId="24" fontId="3" numFmtId="167" xfId="0" applyAlignment="1" applyBorder="1" applyFont="1" applyNumberFormat="1">
      <alignment vertical="bottom"/>
    </xf>
    <xf borderId="1" fillId="0" fontId="22" numFmtId="167" xfId="0" applyAlignment="1" applyBorder="1" applyFont="1" applyNumberFormat="1">
      <alignment vertical="bottom"/>
    </xf>
    <xf borderId="6" fillId="142" fontId="8" numFmtId="167" xfId="0" applyAlignment="1" applyBorder="1" applyFont="1" applyNumberFormat="1">
      <alignment horizontal="center" vertical="bottom"/>
    </xf>
    <xf borderId="1" fillId="0" fontId="3" numFmtId="167" xfId="0" applyAlignment="1" applyBorder="1" applyFont="1" applyNumberFormat="1">
      <alignment vertical="bottom"/>
    </xf>
    <xf borderId="1" fillId="90" fontId="4" numFmtId="0" xfId="0" applyAlignment="1" applyBorder="1" applyFont="1">
      <alignment vertical="bottom"/>
    </xf>
    <xf borderId="1" fillId="0" fontId="3" numFmtId="167" xfId="0" applyAlignment="1" applyBorder="1" applyFont="1" applyNumberFormat="1">
      <alignment vertical="bottom"/>
    </xf>
    <xf borderId="0" fillId="17" fontId="3" numFmtId="167" xfId="0" applyAlignment="1" applyFont="1" applyNumberFormat="1">
      <alignment vertical="bottom"/>
    </xf>
    <xf borderId="0" fillId="17" fontId="3" numFmtId="175" xfId="0" applyAlignment="1" applyFont="1" applyNumberFormat="1">
      <alignment vertical="bottom"/>
    </xf>
    <xf borderId="3" fillId="17" fontId="3" numFmtId="10" xfId="0" applyAlignment="1" applyBorder="1" applyFont="1" applyNumberFormat="1">
      <alignment vertical="bottom"/>
    </xf>
    <xf borderId="6" fillId="142" fontId="8" numFmtId="10" xfId="0" applyAlignment="1" applyBorder="1" applyFont="1" applyNumberFormat="1">
      <alignment horizontal="center" vertical="bottom"/>
    </xf>
    <xf borderId="0" fillId="0" fontId="4" numFmtId="1" xfId="0" applyAlignment="1" applyFont="1" applyNumberFormat="1">
      <alignment shrinkToFit="0" vertical="bottom" wrapText="0"/>
    </xf>
    <xf borderId="1" fillId="0" fontId="23" numFmtId="0" xfId="0" applyAlignment="1" applyBorder="1" applyFont="1">
      <alignment vertical="bottom"/>
    </xf>
    <xf borderId="6" fillId="17" fontId="3" numFmtId="167" xfId="0" applyAlignment="1" applyBorder="1" applyFont="1" applyNumberFormat="1">
      <alignment horizontal="center" vertical="bottom"/>
    </xf>
    <xf borderId="3" fillId="0" fontId="3" numFmtId="167" xfId="0" applyAlignment="1" applyBorder="1" applyFont="1" applyNumberFormat="1">
      <alignment horizontal="center" vertical="bottom"/>
    </xf>
    <xf borderId="1" fillId="13" fontId="17" numFmtId="0" xfId="0" applyAlignment="1" applyBorder="1" applyFont="1">
      <alignment horizontal="center" vertical="center"/>
    </xf>
    <xf borderId="0" fillId="13" fontId="3" numFmtId="1" xfId="0" applyAlignment="1" applyFont="1" applyNumberFormat="1">
      <alignment vertical="bottom"/>
    </xf>
    <xf borderId="3" fillId="17" fontId="3" numFmtId="167" xfId="0" applyAlignment="1" applyBorder="1" applyFont="1" applyNumberFormat="1">
      <alignment horizontal="center" vertical="bottom"/>
    </xf>
    <xf borderId="0" fillId="13" fontId="3" numFmtId="167" xfId="0" applyAlignment="1" applyFont="1" applyNumberFormat="1">
      <alignment vertical="bottom"/>
    </xf>
    <xf borderId="1" fillId="17" fontId="20" numFmtId="167" xfId="0" applyAlignment="1" applyBorder="1" applyFont="1" applyNumberFormat="1">
      <alignment horizontal="center" vertical="bottom"/>
    </xf>
    <xf borderId="6" fillId="142" fontId="8" numFmtId="175" xfId="0" applyAlignment="1" applyBorder="1" applyFont="1" applyNumberFormat="1">
      <alignment horizontal="center" vertical="bottom"/>
    </xf>
    <xf borderId="6" fillId="17" fontId="3" numFmtId="167" xfId="0" applyAlignment="1" applyBorder="1" applyFont="1" applyNumberFormat="1">
      <alignment horizontal="center" vertical="bottom"/>
    </xf>
    <xf borderId="0" fillId="17" fontId="3" numFmtId="0" xfId="0" applyFont="1"/>
    <xf borderId="1" fillId="0" fontId="20" numFmtId="167" xfId="0" applyAlignment="1" applyBorder="1" applyFont="1" applyNumberFormat="1">
      <alignment horizontal="center" vertical="bottom"/>
    </xf>
    <xf borderId="6" fillId="17" fontId="3" numFmtId="10" xfId="0" applyAlignment="1" applyBorder="1" applyFont="1" applyNumberFormat="1">
      <alignment horizontal="center" vertical="bottom"/>
    </xf>
    <xf borderId="1" fillId="0" fontId="20" numFmtId="0" xfId="0" applyAlignment="1" applyBorder="1" applyFont="1">
      <alignment horizontal="center" vertical="bottom"/>
    </xf>
    <xf borderId="6" fillId="0" fontId="3" numFmtId="167" xfId="0" applyAlignment="1" applyBorder="1" applyFont="1" applyNumberFormat="1">
      <alignment horizontal="right" vertical="bottom"/>
    </xf>
    <xf borderId="6" fillId="0" fontId="3" numFmtId="167" xfId="0" applyAlignment="1" applyBorder="1" applyFont="1" applyNumberFormat="1">
      <alignment horizontal="right" vertical="bottom"/>
    </xf>
    <xf borderId="1" fillId="9" fontId="4" numFmtId="1" xfId="0" applyAlignment="1" applyBorder="1" applyFont="1" applyNumberFormat="1">
      <alignment vertical="bottom"/>
    </xf>
    <xf borderId="6" fillId="0" fontId="3" numFmtId="10" xfId="0" applyAlignment="1" applyBorder="1" applyFont="1" applyNumberFormat="1">
      <alignment horizontal="right" vertical="bottom"/>
    </xf>
    <xf borderId="0" fillId="0" fontId="24" numFmtId="0" xfId="0" applyAlignment="1" applyFont="1">
      <alignment vertical="bottom"/>
    </xf>
    <xf borderId="0" fillId="0" fontId="3" numFmtId="0" xfId="0" applyAlignment="1" applyFont="1">
      <alignment shrinkToFit="0" vertical="bottom" wrapText="0"/>
    </xf>
    <xf borderId="0" fillId="3" fontId="25" numFmtId="1" xfId="0" applyAlignment="1" applyFont="1" applyNumberFormat="1">
      <alignment horizontal="right" vertical="bottom"/>
    </xf>
    <xf borderId="0" fillId="3" fontId="25" numFmtId="3" xfId="0" applyAlignment="1" applyFont="1" applyNumberFormat="1">
      <alignment horizontal="right" vertical="bottom"/>
    </xf>
    <xf borderId="0" fillId="144" fontId="26" numFmtId="0" xfId="0" applyAlignment="1" applyFill="1" applyFont="1">
      <alignment shrinkToFit="0" vertical="bottom" wrapText="1"/>
    </xf>
    <xf borderId="0" fillId="0" fontId="3" numFmtId="0" xfId="0" applyAlignment="1" applyFont="1">
      <alignment readingOrder="0" shrinkToFit="0" vertical="bottom" wrapText="0"/>
    </xf>
    <xf borderId="0" fillId="3" fontId="27" numFmtId="1" xfId="0" applyAlignment="1" applyFont="1" applyNumberFormat="1">
      <alignment horizontal="right" vertical="bottom"/>
    </xf>
    <xf borderId="0" fillId="3" fontId="4" numFmtId="3" xfId="0" applyAlignment="1" applyFont="1" applyNumberFormat="1">
      <alignment horizontal="right" vertical="bottom"/>
    </xf>
    <xf borderId="0" fillId="0" fontId="3" numFmtId="9" xfId="0" applyAlignment="1" applyFont="1" applyNumberFormat="1">
      <alignment horizontal="right" vertical="bottom"/>
    </xf>
    <xf borderId="0" fillId="3" fontId="4" numFmtId="0" xfId="0" applyAlignment="1" applyFont="1">
      <alignment horizontal="right" vertical="bottom"/>
    </xf>
    <xf borderId="0" fillId="3" fontId="25" numFmtId="0" xfId="0" applyAlignment="1" applyFont="1">
      <alignment horizontal="right" vertical="bottom"/>
    </xf>
    <xf borderId="0" fillId="140" fontId="3" numFmtId="3" xfId="0" applyAlignment="1" applyFont="1" applyNumberFormat="1">
      <alignment vertical="bottom"/>
    </xf>
    <xf borderId="3" fillId="0" fontId="3" numFmtId="1" xfId="0" applyAlignment="1" applyBorder="1" applyFont="1" applyNumberFormat="1">
      <alignment vertical="bottom"/>
    </xf>
    <xf borderId="15" fillId="21" fontId="4" numFmtId="0" xfId="0" applyAlignment="1" applyBorder="1" applyFont="1">
      <alignment vertical="bottom"/>
    </xf>
    <xf borderId="16" fillId="9" fontId="3" numFmtId="167" xfId="0" applyAlignment="1" applyBorder="1" applyFont="1" applyNumberFormat="1">
      <alignment vertical="bottom"/>
    </xf>
    <xf borderId="0" fillId="10" fontId="3" numFmtId="1" xfId="0" applyAlignment="1" applyFont="1" applyNumberFormat="1">
      <alignment vertical="bottom"/>
    </xf>
    <xf borderId="0" fillId="4" fontId="5" numFmtId="167" xfId="0" applyAlignment="1" applyFont="1" applyNumberFormat="1">
      <alignment horizontal="right" vertical="bottom"/>
    </xf>
    <xf borderId="8" fillId="22" fontId="4" numFmtId="1" xfId="0" applyAlignment="1" applyBorder="1" applyFont="1" applyNumberFormat="1">
      <alignment vertical="bottom"/>
    </xf>
    <xf borderId="1" fillId="22" fontId="4" numFmtId="167" xfId="0" applyAlignment="1" applyBorder="1" applyFont="1" applyNumberFormat="1">
      <alignment horizontal="right" vertical="bottom"/>
    </xf>
    <xf borderId="2" fillId="0" fontId="1" numFmtId="0" xfId="0" applyBorder="1" applyFont="1"/>
    <xf borderId="0" fillId="0" fontId="4" numFmtId="3" xfId="0" applyAlignment="1" applyFont="1" applyNumberFormat="1">
      <alignment readingOrder="0" vertical="bottom"/>
    </xf>
    <xf borderId="1" fillId="3" fontId="3" numFmtId="0" xfId="0" applyAlignment="1" applyBorder="1" applyFont="1">
      <alignment vertical="bottom"/>
    </xf>
    <xf borderId="4" fillId="145" fontId="3" numFmtId="0" xfId="0" applyAlignment="1" applyBorder="1" applyFill="1" applyFont="1">
      <alignment vertical="bottom"/>
    </xf>
    <xf borderId="3" fillId="145" fontId="3" numFmtId="0" xfId="0" applyAlignment="1" applyBorder="1" applyFont="1">
      <alignment vertical="bottom"/>
    </xf>
    <xf borderId="3" fillId="145" fontId="3" numFmtId="1" xfId="0" applyAlignment="1" applyBorder="1" applyFont="1" applyNumberFormat="1">
      <alignment vertical="bottom"/>
    </xf>
    <xf borderId="3" fillId="145" fontId="3" numFmtId="3" xfId="0" applyAlignment="1" applyBorder="1" applyFont="1" applyNumberFormat="1">
      <alignment vertical="bottom"/>
    </xf>
    <xf borderId="1" fillId="19" fontId="4" numFmtId="0" xfId="0" applyAlignment="1" applyBorder="1" applyFont="1">
      <alignment vertical="bottom"/>
    </xf>
    <xf borderId="0" fillId="19" fontId="4" numFmtId="1" xfId="0" applyAlignment="1" applyFont="1" applyNumberFormat="1">
      <alignment horizontal="right" vertical="bottom"/>
    </xf>
    <xf borderId="1" fillId="26" fontId="4" numFmtId="1" xfId="0" applyAlignment="1" applyBorder="1" applyFont="1" applyNumberFormat="1">
      <alignment vertical="bottom"/>
    </xf>
    <xf borderId="5" fillId="4" fontId="3" numFmtId="3" xfId="0" applyAlignment="1" applyBorder="1" applyFont="1" applyNumberFormat="1">
      <alignment vertical="bottom"/>
    </xf>
    <xf borderId="17" fillId="90" fontId="7" numFmtId="0" xfId="0" applyAlignment="1" applyBorder="1" applyFont="1">
      <alignment vertical="bottom"/>
    </xf>
    <xf borderId="16" fillId="0" fontId="3" numFmtId="0" xfId="0" applyAlignment="1" applyBorder="1" applyFont="1">
      <alignment vertical="bottom"/>
    </xf>
    <xf borderId="16" fillId="0" fontId="3" numFmtId="3" xfId="0" applyAlignment="1" applyBorder="1" applyFont="1" applyNumberFormat="1">
      <alignment vertical="bottom"/>
    </xf>
    <xf borderId="1" fillId="146" fontId="4" numFmtId="0" xfId="0" applyAlignment="1" applyBorder="1" applyFill="1" applyFont="1">
      <alignment vertical="bottom"/>
    </xf>
    <xf borderId="6" fillId="146" fontId="4" numFmtId="0" xfId="0" applyAlignment="1" applyBorder="1" applyFont="1">
      <alignment vertical="bottom"/>
    </xf>
    <xf borderId="5" fillId="4" fontId="5" numFmtId="168" xfId="0" applyAlignment="1" applyBorder="1" applyFont="1" applyNumberFormat="1">
      <alignment horizontal="right" vertical="bottom"/>
    </xf>
    <xf borderId="3" fillId="0" fontId="3" numFmtId="168" xfId="0" applyAlignment="1" applyBorder="1" applyFont="1" applyNumberFormat="1">
      <alignment vertical="bottom"/>
    </xf>
    <xf borderId="5" fillId="4" fontId="3" numFmtId="168" xfId="0" applyAlignment="1" applyBorder="1" applyFont="1" applyNumberFormat="1">
      <alignment vertical="bottom"/>
    </xf>
    <xf borderId="4" fillId="90" fontId="7" numFmtId="0" xfId="0" applyAlignment="1" applyBorder="1" applyFont="1">
      <alignment vertical="bottom"/>
    </xf>
    <xf borderId="6" fillId="16" fontId="4" numFmtId="0" xfId="0" applyAlignment="1" applyBorder="1" applyFont="1">
      <alignment vertical="bottom"/>
    </xf>
    <xf borderId="2" fillId="0" fontId="4" numFmtId="0" xfId="0" applyAlignment="1" applyBorder="1" applyFont="1">
      <alignment vertical="bottom"/>
    </xf>
    <xf borderId="1" fillId="6" fontId="2" numFmtId="0" xfId="0" applyAlignment="1" applyBorder="1" applyFont="1">
      <alignment readingOrder="0" vertical="bottom"/>
    </xf>
    <xf borderId="1" fillId="7" fontId="4" numFmtId="0" xfId="0" applyAlignment="1" applyBorder="1" applyFont="1">
      <alignment readingOrder="0" vertical="bottom"/>
    </xf>
    <xf borderId="2" fillId="9" fontId="4" numFmtId="0" xfId="0" applyAlignment="1" applyBorder="1" applyFont="1">
      <alignment horizontal="right" readingOrder="0" vertical="bottom"/>
    </xf>
    <xf borderId="0" fillId="9" fontId="4" numFmtId="0" xfId="0" applyAlignment="1" applyFont="1">
      <alignment readingOrder="0" vertical="bottom"/>
    </xf>
    <xf borderId="0" fillId="3" fontId="4" numFmtId="0" xfId="0" applyAlignment="1" applyFont="1">
      <alignment readingOrder="0" vertical="bottom"/>
    </xf>
    <xf borderId="2" fillId="0" fontId="5" numFmtId="0" xfId="0" applyAlignment="1" applyBorder="1" applyFont="1">
      <alignment horizontal="right" vertical="bottom"/>
    </xf>
    <xf borderId="1" fillId="0" fontId="4" numFmtId="0" xfId="0" applyAlignment="1" applyBorder="1" applyFont="1">
      <alignment readingOrder="0" vertical="bottom"/>
    </xf>
    <xf borderId="0" fillId="3" fontId="4" numFmtId="0" xfId="0" applyAlignment="1" applyFont="1">
      <alignment horizontal="right" readingOrder="0" vertical="bottom"/>
    </xf>
    <xf borderId="0" fillId="147" fontId="4" numFmtId="0" xfId="0" applyAlignment="1" applyFill="1" applyFont="1">
      <alignment horizontal="right" readingOrder="0" vertical="bottom"/>
    </xf>
    <xf borderId="0" fillId="147" fontId="4" numFmtId="1" xfId="0" applyAlignment="1" applyFont="1" applyNumberFormat="1">
      <alignment readingOrder="0" vertical="bottom"/>
    </xf>
    <xf borderId="0" fillId="147" fontId="4" numFmtId="1" xfId="0" applyAlignment="1" applyFont="1" applyNumberFormat="1">
      <alignment vertical="bottom"/>
    </xf>
    <xf borderId="2" fillId="0" fontId="5" numFmtId="1" xfId="0" applyAlignment="1" applyBorder="1" applyFont="1" applyNumberFormat="1">
      <alignment horizontal="right" vertical="bottom"/>
    </xf>
    <xf borderId="8" fillId="0" fontId="4" numFmtId="0" xfId="0" applyAlignment="1" applyBorder="1" applyFont="1">
      <alignment readingOrder="0" vertical="bottom"/>
    </xf>
    <xf borderId="0" fillId="0" fontId="4" numFmtId="168" xfId="0" applyAlignment="1" applyFont="1" applyNumberFormat="1">
      <alignment horizontal="right" readingOrder="0" vertical="bottom"/>
    </xf>
    <xf borderId="6" fillId="0" fontId="4" numFmtId="0" xfId="0" applyAlignment="1" applyBorder="1" applyFont="1">
      <alignment readingOrder="0" vertical="bottom"/>
    </xf>
    <xf borderId="3" fillId="147" fontId="4" numFmtId="1" xfId="0" applyAlignment="1" applyBorder="1" applyFont="1" applyNumberFormat="1">
      <alignment readingOrder="0" vertical="bottom"/>
    </xf>
    <xf borderId="3" fillId="147" fontId="4" numFmtId="1" xfId="0" applyAlignment="1" applyBorder="1" applyFont="1" applyNumberFormat="1">
      <alignment vertical="bottom"/>
    </xf>
    <xf borderId="1" fillId="0" fontId="7" numFmtId="0" xfId="0" applyAlignment="1" applyBorder="1" applyFont="1">
      <alignment readingOrder="0" vertical="bottom"/>
    </xf>
    <xf borderId="1" fillId="11" fontId="4" numFmtId="0" xfId="0" applyAlignment="1" applyBorder="1" applyFont="1">
      <alignment readingOrder="0" vertical="bottom"/>
    </xf>
    <xf borderId="2" fillId="9" fontId="4" numFmtId="167" xfId="0" applyAlignment="1" applyBorder="1" applyFont="1" applyNumberFormat="1">
      <alignment horizontal="right" readingOrder="0" vertical="bottom"/>
    </xf>
    <xf borderId="0" fillId="9" fontId="4" numFmtId="167" xfId="0" applyAlignment="1" applyFont="1" applyNumberFormat="1">
      <alignment readingOrder="0" vertical="bottom"/>
    </xf>
    <xf borderId="0" fillId="3" fontId="4" numFmtId="167" xfId="0" applyAlignment="1" applyFont="1" applyNumberFormat="1">
      <alignment readingOrder="0" vertical="bottom"/>
    </xf>
    <xf borderId="0" fillId="148" fontId="4" numFmtId="168" xfId="0" applyAlignment="1" applyFill="1" applyFont="1" applyNumberFormat="1">
      <alignment horizontal="right" vertical="bottom"/>
    </xf>
    <xf borderId="2" fillId="0" fontId="5" numFmtId="167" xfId="0" applyAlignment="1" applyBorder="1" applyFont="1" applyNumberFormat="1">
      <alignment horizontal="right" vertical="bottom"/>
    </xf>
    <xf borderId="0" fillId="149" fontId="4" numFmtId="168" xfId="0" applyAlignment="1" applyFill="1" applyFont="1" applyNumberFormat="1">
      <alignment horizontal="right" vertical="bottom"/>
    </xf>
    <xf borderId="0" fillId="150" fontId="4" numFmtId="168" xfId="0" applyAlignment="1" applyFill="1" applyFont="1" applyNumberFormat="1">
      <alignment horizontal="right" vertical="bottom"/>
    </xf>
    <xf borderId="0" fillId="151" fontId="4" numFmtId="168" xfId="0" applyAlignment="1" applyFill="1" applyFont="1" applyNumberFormat="1">
      <alignment horizontal="right" vertical="bottom"/>
    </xf>
    <xf borderId="0" fillId="152" fontId="4" numFmtId="168" xfId="0" applyAlignment="1" applyFill="1" applyFont="1" applyNumberFormat="1">
      <alignment horizontal="right" vertical="bottom"/>
    </xf>
    <xf borderId="0" fillId="153" fontId="4" numFmtId="168" xfId="0" applyAlignment="1" applyFill="1" applyFont="1" applyNumberFormat="1">
      <alignment horizontal="right" vertical="bottom"/>
    </xf>
    <xf borderId="0" fillId="154" fontId="4" numFmtId="168" xfId="0" applyAlignment="1" applyFill="1" applyFont="1" applyNumberFormat="1">
      <alignment horizontal="right" vertical="bottom"/>
    </xf>
    <xf borderId="0" fillId="155" fontId="4" numFmtId="168" xfId="0" applyAlignment="1" applyFill="1" applyFont="1" applyNumberFormat="1">
      <alignment horizontal="right" vertical="bottom"/>
    </xf>
    <xf borderId="0" fillId="156" fontId="4" numFmtId="168" xfId="0" applyAlignment="1" applyFill="1" applyFont="1" applyNumberFormat="1">
      <alignment horizontal="right" vertical="bottom"/>
    </xf>
    <xf borderId="0" fillId="157" fontId="4" numFmtId="168" xfId="0" applyAlignment="1" applyFill="1" applyFont="1" applyNumberFormat="1">
      <alignment horizontal="right" vertical="bottom"/>
    </xf>
    <xf borderId="0" fillId="158" fontId="4" numFmtId="168" xfId="0" applyAlignment="1" applyFill="1" applyFont="1" applyNumberFormat="1">
      <alignment horizontal="right" vertical="bottom"/>
    </xf>
    <xf borderId="2" fillId="147" fontId="4" numFmtId="167" xfId="0" applyAlignment="1" applyBorder="1" applyFont="1" applyNumberFormat="1">
      <alignment readingOrder="0" vertical="bottom"/>
    </xf>
    <xf borderId="0" fillId="147" fontId="4" numFmtId="167" xfId="0" applyAlignment="1" applyFont="1" applyNumberFormat="1">
      <alignment readingOrder="0" vertical="bottom"/>
    </xf>
    <xf borderId="0" fillId="147" fontId="4" numFmtId="167" xfId="0" applyAlignment="1" applyFont="1" applyNumberFormat="1">
      <alignment horizontal="right" readingOrder="0" vertical="bottom"/>
    </xf>
    <xf borderId="0" fillId="29" fontId="4" numFmtId="167" xfId="0" applyAlignment="1" applyFont="1" applyNumberFormat="1">
      <alignment readingOrder="0" vertical="bottom"/>
    </xf>
    <xf borderId="0" fillId="29" fontId="4" numFmtId="167" xfId="0" applyAlignment="1" applyFont="1" applyNumberFormat="1">
      <alignment vertical="bottom"/>
    </xf>
    <xf borderId="0" fillId="29" fontId="7" numFmtId="168" xfId="0" applyAlignment="1" applyFont="1" applyNumberFormat="1">
      <alignment horizontal="right" readingOrder="0" vertical="bottom"/>
    </xf>
    <xf borderId="0" fillId="29" fontId="7" numFmtId="168" xfId="0" applyAlignment="1" applyFont="1" applyNumberFormat="1">
      <alignment horizontal="right" vertical="bottom"/>
    </xf>
    <xf borderId="0" fillId="9" fontId="4" numFmtId="167" xfId="0" applyAlignment="1" applyFont="1" applyNumberFormat="1">
      <alignment horizontal="right" readingOrder="0" vertical="bottom"/>
    </xf>
    <xf borderId="0" fillId="9" fontId="4" numFmtId="4" xfId="0" applyAlignment="1" applyFont="1" applyNumberFormat="1">
      <alignment horizontal="right" readingOrder="0" vertical="bottom"/>
    </xf>
    <xf borderId="3" fillId="29" fontId="4" numFmtId="167" xfId="0" applyAlignment="1" applyBorder="1" applyFont="1" applyNumberFormat="1">
      <alignment readingOrder="0" vertical="bottom"/>
    </xf>
    <xf borderId="3" fillId="29" fontId="7" numFmtId="168" xfId="0" applyAlignment="1" applyBorder="1" applyFont="1" applyNumberFormat="1">
      <alignment horizontal="right" vertical="bottom"/>
    </xf>
    <xf borderId="11" fillId="0" fontId="3" numFmtId="0" xfId="0" applyAlignment="1" applyBorder="1" applyFont="1">
      <alignment vertical="bottom"/>
    </xf>
    <xf borderId="2" fillId="0" fontId="5" numFmtId="168" xfId="0" applyAlignment="1" applyBorder="1" applyFont="1" applyNumberFormat="1">
      <alignment horizontal="right" vertical="bottom"/>
    </xf>
    <xf borderId="12" fillId="3" fontId="5" numFmtId="168" xfId="0" applyAlignment="1" applyBorder="1" applyFont="1" applyNumberFormat="1">
      <alignment horizontal="right" vertical="bottom"/>
    </xf>
    <xf borderId="1" fillId="12" fontId="4" numFmtId="0" xfId="0" applyAlignment="1" applyBorder="1" applyFont="1">
      <alignment readingOrder="0" vertical="bottom"/>
    </xf>
    <xf borderId="0" fillId="9" fontId="4" numFmtId="168" xfId="0" applyAlignment="1" applyFont="1" applyNumberFormat="1">
      <alignment horizontal="right" readingOrder="0" vertical="bottom"/>
    </xf>
    <xf borderId="0" fillId="21" fontId="4" numFmtId="168" xfId="0" applyAlignment="1" applyFont="1" applyNumberFormat="1">
      <alignment horizontal="right" vertical="bottom"/>
    </xf>
    <xf borderId="0" fillId="21" fontId="4" numFmtId="10" xfId="0" applyAlignment="1" applyFont="1" applyNumberFormat="1">
      <alignment horizontal="right" vertical="bottom"/>
    </xf>
    <xf borderId="0" fillId="147" fontId="4" numFmtId="168" xfId="0" applyAlignment="1" applyFont="1" applyNumberFormat="1">
      <alignment vertical="bottom"/>
    </xf>
    <xf borderId="0" fillId="147" fontId="28" numFmtId="168" xfId="0" applyAlignment="1" applyFont="1" applyNumberFormat="1">
      <alignment vertical="bottom"/>
    </xf>
    <xf borderId="2" fillId="3" fontId="7" numFmtId="167" xfId="0" applyAlignment="1" applyBorder="1" applyFont="1" applyNumberFormat="1">
      <alignment horizontal="right" vertical="bottom"/>
    </xf>
    <xf borderId="2" fillId="3" fontId="21" numFmtId="168" xfId="0" applyAlignment="1" applyBorder="1" applyFont="1" applyNumberFormat="1">
      <alignment vertical="bottom"/>
    </xf>
    <xf borderId="0" fillId="17" fontId="29" numFmtId="0" xfId="0" applyAlignment="1" applyFont="1">
      <alignment horizontal="left" readingOrder="0"/>
    </xf>
    <xf borderId="2" fillId="147" fontId="4" numFmtId="168" xfId="0" applyAlignment="1" applyBorder="1" applyFont="1" applyNumberFormat="1">
      <alignment vertical="bottom"/>
    </xf>
    <xf borderId="2" fillId="3" fontId="4" numFmtId="168" xfId="0" applyAlignment="1" applyBorder="1" applyFont="1" applyNumberFormat="1">
      <alignment vertical="bottom"/>
    </xf>
    <xf borderId="0" fillId="3" fontId="4" numFmtId="168" xfId="0" applyAlignment="1" applyFont="1" applyNumberFormat="1">
      <alignment vertical="bottom"/>
    </xf>
    <xf borderId="3" fillId="147" fontId="4" numFmtId="168" xfId="0" applyAlignment="1" applyBorder="1" applyFont="1" applyNumberFormat="1">
      <alignment vertical="bottom"/>
    </xf>
    <xf borderId="16" fillId="0" fontId="7" numFmtId="168" xfId="0" applyAlignment="1" applyBorder="1" applyFont="1" applyNumberFormat="1">
      <alignment horizontal="right" vertical="bottom"/>
    </xf>
    <xf borderId="2" fillId="0" fontId="4" numFmtId="168" xfId="0" applyAlignment="1" applyBorder="1" applyFont="1" applyNumberFormat="1">
      <alignment horizontal="right" vertical="bottom"/>
    </xf>
    <xf borderId="0" fillId="0" fontId="4" numFmtId="168" xfId="0" applyAlignment="1" applyFont="1" applyNumberFormat="1">
      <alignment vertical="bottom"/>
    </xf>
    <xf borderId="1" fillId="15" fontId="4" numFmtId="0" xfId="0" applyAlignment="1" applyBorder="1" applyFont="1">
      <alignment vertical="bottom"/>
    </xf>
    <xf borderId="0" fillId="15" fontId="4" numFmtId="0" xfId="0" applyAlignment="1" applyFont="1">
      <alignment vertical="bottom"/>
    </xf>
    <xf borderId="2" fillId="15" fontId="4"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30" numFmtId="168" xfId="0" applyAlignment="1" applyBorder="1" applyFont="1" applyNumberFormat="1">
      <alignment horizontal="center" vertical="bottom"/>
    </xf>
    <xf borderId="1" fillId="141" fontId="4" numFmtId="0" xfId="0" applyAlignment="1" applyBorder="1" applyFont="1">
      <alignment readingOrder="0" vertical="bottom"/>
    </xf>
    <xf borderId="0" fillId="159" fontId="4" numFmtId="2" xfId="0" applyAlignment="1" applyFill="1" applyFont="1" applyNumberFormat="1">
      <alignment horizontal="right" vertical="bottom"/>
    </xf>
    <xf borderId="0" fillId="160" fontId="4" numFmtId="168" xfId="0" applyAlignment="1" applyFill="1" applyFont="1" applyNumberFormat="1">
      <alignment horizontal="right" vertical="bottom"/>
    </xf>
    <xf borderId="1" fillId="141" fontId="4" numFmtId="0" xfId="0" applyAlignment="1" applyBorder="1" applyFont="1">
      <alignment vertical="bottom"/>
    </xf>
    <xf borderId="0" fillId="161" fontId="2" numFmtId="2" xfId="0" applyAlignment="1" applyFill="1" applyFont="1" applyNumberFormat="1">
      <alignment horizontal="right" vertical="bottom"/>
    </xf>
    <xf borderId="1" fillId="162" fontId="4" numFmtId="0" xfId="0" applyAlignment="1" applyBorder="1" applyFill="1" applyFont="1">
      <alignment readingOrder="0" vertical="bottom"/>
    </xf>
    <xf borderId="1" fillId="163" fontId="4" numFmtId="0" xfId="0" applyAlignment="1" applyBorder="1" applyFill="1" applyFont="1">
      <alignment readingOrder="0" vertical="bottom"/>
    </xf>
    <xf borderId="3" fillId="0" fontId="4" numFmtId="0" xfId="0" applyAlignment="1" applyBorder="1" applyFont="1">
      <alignment readingOrder="0" vertical="bottom"/>
    </xf>
    <xf borderId="0" fillId="0" fontId="4" numFmtId="3" xfId="0" applyAlignment="1" applyFont="1" applyNumberFormat="1">
      <alignment vertical="bottom"/>
    </xf>
    <xf borderId="0" fillId="0" fontId="5" numFmtId="0" xfId="0" applyAlignment="1" applyFont="1">
      <alignment horizontal="right" vertical="bottom"/>
    </xf>
    <xf borderId="1" fillId="163" fontId="4" numFmtId="0" xfId="0" applyAlignment="1" applyBorder="1" applyFont="1">
      <alignment vertical="bottom"/>
    </xf>
    <xf borderId="0" fillId="4" fontId="3" numFmtId="168" xfId="0" applyAlignment="1" applyFont="1" applyNumberFormat="1">
      <alignment vertical="bottom"/>
    </xf>
    <xf borderId="1" fillId="164" fontId="2" numFmtId="0" xfId="0" applyAlignment="1" applyBorder="1" applyFill="1" applyFont="1">
      <alignment vertical="bottom"/>
    </xf>
    <xf borderId="1" fillId="165" fontId="2" numFmtId="0" xfId="0" applyAlignment="1" applyBorder="1" applyFill="1" applyFont="1">
      <alignment readingOrder="0" vertical="bottom"/>
    </xf>
    <xf borderId="0" fillId="0" fontId="4" numFmtId="2" xfId="0" applyAlignment="1" applyFont="1" applyNumberFormat="1">
      <alignment vertical="bottom"/>
    </xf>
    <xf borderId="1" fillId="166" fontId="4" numFmtId="0" xfId="0" applyAlignment="1" applyBorder="1" applyFill="1" applyFont="1">
      <alignment readingOrder="0" vertical="bottom"/>
    </xf>
    <xf borderId="1" fillId="166" fontId="4" numFmtId="0" xfId="0" applyAlignment="1" applyBorder="1" applyFont="1">
      <alignment vertical="bottom"/>
    </xf>
    <xf borderId="1" fillId="167" fontId="4" numFmtId="0" xfId="0" applyAlignment="1" applyBorder="1" applyFill="1" applyFont="1">
      <alignment readingOrder="0" vertical="bottom"/>
    </xf>
    <xf borderId="1" fillId="167" fontId="4" numFmtId="0" xfId="0" applyAlignment="1" applyBorder="1" applyFont="1">
      <alignment vertical="bottom"/>
    </xf>
    <xf borderId="1" fillId="168" fontId="2" numFmtId="0" xfId="0" applyAlignment="1" applyBorder="1" applyFill="1" applyFont="1">
      <alignment readingOrder="0" vertical="bottom"/>
    </xf>
    <xf borderId="1" fillId="169" fontId="4" numFmtId="0" xfId="0" applyAlignment="1" applyBorder="1" applyFill="1" applyFont="1">
      <alignment readingOrder="0" vertical="bottom"/>
    </xf>
    <xf borderId="0" fillId="29" fontId="31" numFmtId="168" xfId="0" applyAlignment="1" applyFont="1" applyNumberFormat="1">
      <alignment horizontal="right" vertical="bottom"/>
    </xf>
    <xf borderId="1" fillId="169" fontId="4" numFmtId="0" xfId="0" applyAlignment="1" applyBorder="1" applyFont="1">
      <alignment vertical="bottom"/>
    </xf>
    <xf borderId="1" fillId="14" fontId="4" numFmtId="0" xfId="0" applyAlignment="1" applyBorder="1" applyFont="1">
      <alignment readingOrder="0" vertical="bottom"/>
    </xf>
    <xf borderId="0" fillId="29" fontId="31" numFmtId="2" xfId="0" applyAlignment="1" applyFont="1" applyNumberFormat="1">
      <alignment horizontal="center" vertical="bottom"/>
    </xf>
    <xf borderId="0" fillId="29" fontId="31" numFmtId="168" xfId="0" applyAlignment="1" applyFont="1" applyNumberFormat="1">
      <alignment horizontal="center" vertical="bottom"/>
    </xf>
    <xf borderId="0" fillId="0" fontId="4" numFmtId="182" xfId="0" applyAlignment="1" applyFont="1" applyNumberFormat="1">
      <alignment vertical="bottom"/>
    </xf>
    <xf borderId="1" fillId="170" fontId="2" numFmtId="0" xfId="0" applyAlignment="1" applyBorder="1" applyFill="1" applyFont="1">
      <alignment vertical="bottom"/>
    </xf>
    <xf borderId="1" fillId="0" fontId="4" numFmtId="2" xfId="0" applyAlignment="1" applyBorder="1" applyFont="1" applyNumberFormat="1">
      <alignment vertical="bottom"/>
    </xf>
    <xf borderId="1" fillId="171" fontId="2" numFmtId="0" xfId="0" applyAlignment="1" applyBorder="1" applyFill="1" applyFont="1">
      <alignment readingOrder="0" vertical="bottom"/>
    </xf>
    <xf borderId="1" fillId="172" fontId="2" numFmtId="0" xfId="0" applyAlignment="1" applyBorder="1" applyFill="1" applyFont="1">
      <alignment readingOrder="0" vertical="bottom"/>
    </xf>
    <xf borderId="1" fillId="162" fontId="4" numFmtId="0" xfId="0" applyAlignment="1" applyBorder="1" applyFont="1">
      <alignment vertical="bottom"/>
    </xf>
    <xf borderId="0" fillId="0" fontId="4" numFmtId="4" xfId="0" applyAlignment="1" applyFont="1" applyNumberFormat="1">
      <alignment horizontal="right" vertical="bottom"/>
    </xf>
    <xf borderId="2" fillId="0" fontId="4" numFmtId="168" xfId="0" applyAlignment="1" applyBorder="1" applyFont="1" applyNumberFormat="1">
      <alignment vertical="bottom"/>
    </xf>
    <xf borderId="1" fillId="173" fontId="4" numFmtId="0" xfId="0" applyAlignment="1" applyBorder="1" applyFill="1" applyFont="1">
      <alignment readingOrder="0" vertical="bottom"/>
    </xf>
    <xf borderId="1" fillId="30" fontId="4" numFmtId="0" xfId="0" applyAlignment="1" applyBorder="1" applyFont="1">
      <alignment readingOrder="0" vertical="bottom"/>
    </xf>
    <xf borderId="1" fillId="173" fontId="4" numFmtId="0" xfId="0" applyAlignment="1" applyBorder="1" applyFont="1">
      <alignment vertical="bottom"/>
    </xf>
    <xf borderId="1" fillId="30" fontId="4" numFmtId="0" xfId="0" applyAlignment="1" applyBorder="1" applyFont="1">
      <alignment vertical="bottom"/>
    </xf>
    <xf borderId="1" fillId="17" fontId="4" numFmtId="0" xfId="0" applyAlignment="1" applyBorder="1" applyFont="1">
      <alignment readingOrder="0" vertical="bottom"/>
    </xf>
    <xf borderId="0" fillId="17" fontId="4" numFmtId="0" xfId="0" applyAlignment="1" applyFont="1">
      <alignment vertical="bottom"/>
    </xf>
    <xf borderId="2" fillId="17" fontId="4" numFmtId="0" xfId="0" applyAlignment="1" applyBorder="1" applyFont="1">
      <alignment vertical="bottom"/>
    </xf>
    <xf borderId="1" fillId="15" fontId="4" numFmtId="0" xfId="0" applyAlignment="1" applyBorder="1" applyFont="1">
      <alignment readingOrder="0" vertical="bottom"/>
    </xf>
    <xf borderId="0" fillId="0" fontId="4" numFmtId="171" xfId="0" applyAlignment="1" applyFont="1" applyNumberFormat="1">
      <alignment vertical="bottom"/>
    </xf>
    <xf borderId="0" fillId="0" fontId="32" numFmtId="0" xfId="0" applyFont="1"/>
    <xf borderId="2" fillId="0" fontId="32" numFmtId="0" xfId="0" applyBorder="1" applyFont="1"/>
    <xf borderId="1" fillId="9" fontId="4" numFmtId="0" xfId="0" applyAlignment="1" applyBorder="1" applyFont="1">
      <alignment readingOrder="0" vertical="bottom"/>
    </xf>
    <xf borderId="2" fillId="0" fontId="5" numFmtId="3" xfId="0" applyAlignment="1" applyBorder="1" applyFont="1" applyNumberFormat="1">
      <alignment horizontal="right" vertical="bottom"/>
    </xf>
    <xf borderId="0" fillId="27" fontId="4" numFmtId="168" xfId="0" applyAlignment="1" applyFont="1" applyNumberFormat="1">
      <alignment horizontal="right" shrinkToFit="0" vertical="bottom" wrapText="1"/>
    </xf>
    <xf borderId="0" fillId="0" fontId="33" numFmtId="0" xfId="0" applyAlignment="1" applyFont="1">
      <alignment readingOrder="0"/>
    </xf>
    <xf borderId="0" fillId="0" fontId="25" numFmtId="0" xfId="0" applyAlignment="1" applyFont="1">
      <alignment horizontal="right" readingOrder="0" shrinkToFit="0" wrapText="0"/>
    </xf>
    <xf borderId="1" fillId="18" fontId="4" numFmtId="0" xfId="0" applyAlignment="1" applyBorder="1" applyFont="1">
      <alignment readingOrder="0" vertical="bottom"/>
    </xf>
    <xf borderId="1" fillId="27" fontId="4" numFmtId="0" xfId="0" applyAlignment="1" applyBorder="1" applyFont="1">
      <alignment readingOrder="0" vertical="bottom"/>
    </xf>
    <xf borderId="0" fillId="0" fontId="4" numFmtId="1" xfId="0" applyAlignment="1" applyFont="1" applyNumberFormat="1">
      <alignment vertical="bottom"/>
    </xf>
    <xf borderId="2" fillId="0" fontId="4" numFmtId="0" xfId="0" applyAlignment="1" applyBorder="1" applyFont="1">
      <alignment readingOrder="0" vertical="bottom"/>
    </xf>
    <xf borderId="3" fillId="4" fontId="3" numFmtId="168" xfId="0" applyAlignment="1" applyBorder="1" applyFont="1" applyNumberFormat="1">
      <alignment vertical="bottom"/>
    </xf>
    <xf borderId="0" fillId="10" fontId="4" numFmtId="1" xfId="0" applyAlignment="1" applyFont="1" applyNumberFormat="1">
      <alignment horizontal="right" readingOrder="0" vertical="bottom"/>
    </xf>
    <xf borderId="0" fillId="27" fontId="4" numFmtId="3" xfId="0" applyAlignment="1" applyFont="1" applyNumberFormat="1">
      <alignment horizontal="right" vertical="bottom"/>
    </xf>
    <xf borderId="0" fillId="27" fontId="4" numFmtId="0" xfId="0" applyAlignment="1" applyFont="1">
      <alignment horizontal="right" vertical="bottom"/>
    </xf>
    <xf borderId="0" fillId="10" fontId="4" numFmtId="0" xfId="0" applyAlignment="1" applyFont="1">
      <alignment horizontal="right" readingOrder="0" vertical="bottom"/>
    </xf>
    <xf borderId="0" fillId="33" fontId="4" numFmtId="168" xfId="0" applyAlignment="1" applyFont="1" applyNumberFormat="1">
      <alignment vertical="bottom"/>
    </xf>
    <xf borderId="1" fillId="33" fontId="4" numFmtId="168" xfId="0" applyAlignment="1" applyBorder="1" applyFont="1" applyNumberFormat="1">
      <alignment vertical="bottom"/>
    </xf>
    <xf borderId="1" fillId="16" fontId="4" numFmtId="0" xfId="0" applyAlignment="1" applyBorder="1" applyFont="1">
      <alignment readingOrder="0" vertical="bottom"/>
    </xf>
    <xf borderId="0" fillId="0" fontId="4" numFmtId="167" xfId="0" applyAlignment="1" applyFont="1" applyNumberFormat="1">
      <alignment horizontal="right" readingOrder="0" vertical="bottom"/>
    </xf>
    <xf borderId="0" fillId="0" fontId="4" numFmtId="183" xfId="0" applyAlignment="1" applyFont="1" applyNumberFormat="1">
      <alignment horizontal="right" readingOrder="0" vertical="bottom"/>
    </xf>
    <xf borderId="0" fillId="17" fontId="34" numFmtId="167" xfId="0" applyAlignment="1" applyFont="1" applyNumberFormat="1">
      <alignment horizontal="right" readingOrder="0" shrinkToFit="0" wrapText="0"/>
    </xf>
    <xf borderId="0" fillId="17" fontId="25" numFmtId="167" xfId="0" applyAlignment="1" applyFont="1" applyNumberFormat="1">
      <alignment horizontal="right" readingOrder="0" shrinkToFit="0" wrapText="0"/>
    </xf>
    <xf borderId="0" fillId="22" fontId="4" numFmtId="168" xfId="0" applyAlignment="1" applyFont="1" applyNumberFormat="1">
      <alignment vertical="bottom"/>
    </xf>
    <xf borderId="0" fillId="0" fontId="4" numFmtId="167" xfId="0" applyAlignment="1" applyFont="1" applyNumberFormat="1">
      <alignment readingOrder="0"/>
    </xf>
    <xf borderId="1" fillId="22" fontId="4" numFmtId="168" xfId="0" applyAlignment="1" applyBorder="1" applyFont="1" applyNumberFormat="1">
      <alignment vertical="bottom"/>
    </xf>
    <xf borderId="0" fillId="10" fontId="4" numFmtId="0" xfId="0" applyAlignment="1" applyFont="1">
      <alignment readingOrder="0" vertical="bottom"/>
    </xf>
    <xf borderId="0" fillId="10" fontId="25" numFmtId="1" xfId="0" applyAlignment="1" applyFont="1" applyNumberFormat="1">
      <alignment horizontal="right" readingOrder="0" shrinkToFit="0" wrapText="0"/>
    </xf>
    <xf borderId="18" fillId="4" fontId="3" numFmtId="168" xfId="0" applyAlignment="1" applyBorder="1" applyFont="1" applyNumberFormat="1">
      <alignment vertical="bottom"/>
    </xf>
    <xf borderId="1" fillId="33" fontId="7" numFmtId="0" xfId="0" applyAlignment="1" applyBorder="1" applyFont="1">
      <alignment vertical="bottom"/>
    </xf>
    <xf borderId="0" fillId="0" fontId="25" numFmtId="1" xfId="0" applyAlignment="1" applyFont="1" applyNumberFormat="1">
      <alignment horizontal="right" readingOrder="0" shrinkToFit="0" wrapText="0"/>
    </xf>
    <xf borderId="1" fillId="20" fontId="4" numFmtId="0" xfId="0" applyAlignment="1" applyBorder="1" applyFont="1">
      <alignment readingOrder="0" vertical="bottom"/>
    </xf>
    <xf borderId="10" fillId="0" fontId="4" numFmtId="167" xfId="0" applyAlignment="1" applyBorder="1" applyFont="1" applyNumberFormat="1">
      <alignment horizontal="right" vertical="bottom"/>
    </xf>
    <xf borderId="1" fillId="0" fontId="1" numFmtId="0" xfId="0" applyBorder="1" applyFont="1"/>
    <xf borderId="0" fillId="3" fontId="33" numFmtId="1" xfId="0" applyAlignment="1" applyFont="1" applyNumberFormat="1">
      <alignment readingOrder="0"/>
    </xf>
    <xf borderId="0" fillId="20" fontId="4" numFmtId="168" xfId="0" applyAlignment="1" applyFont="1" applyNumberFormat="1">
      <alignment horizontal="right" vertical="bottom"/>
    </xf>
    <xf borderId="19" fillId="0" fontId="4" numFmtId="167" xfId="0" applyAlignment="1" applyBorder="1" applyFont="1" applyNumberFormat="1">
      <alignment horizontal="right" vertical="bottom"/>
    </xf>
    <xf borderId="20" fillId="0" fontId="3" numFmtId="10" xfId="0" applyAlignment="1" applyBorder="1" applyFont="1" applyNumberFormat="1">
      <alignment vertical="bottom"/>
    </xf>
    <xf borderId="0" fillId="3" fontId="33" numFmtId="0" xfId="0" applyAlignment="1" applyFont="1">
      <alignment readingOrder="0"/>
    </xf>
    <xf borderId="10" fillId="0" fontId="4" numFmtId="10" xfId="0" applyAlignment="1" applyBorder="1" applyFont="1" applyNumberFormat="1">
      <alignment horizontal="right" vertical="bottom"/>
    </xf>
    <xf borderId="11" fillId="0" fontId="3" numFmtId="10" xfId="0" applyAlignment="1" applyBorder="1" applyFont="1" applyNumberFormat="1">
      <alignment vertical="bottom"/>
    </xf>
    <xf borderId="0" fillId="18" fontId="4" numFmtId="1" xfId="0" applyAlignment="1" applyFont="1" applyNumberFormat="1">
      <alignment readingOrder="0" vertical="bottom"/>
    </xf>
    <xf borderId="0" fillId="18" fontId="4" numFmtId="3" xfId="0" applyAlignment="1" applyFont="1" applyNumberFormat="1">
      <alignment horizontal="right" readingOrder="0" vertical="bottom"/>
    </xf>
    <xf borderId="0" fillId="18" fontId="4" numFmtId="0" xfId="0" applyAlignment="1" applyFont="1">
      <alignment horizontal="right" readingOrder="0" vertical="bottom"/>
    </xf>
    <xf borderId="21" fillId="8" fontId="7" numFmtId="0" xfId="0" applyAlignment="1" applyBorder="1" applyFont="1">
      <alignment vertical="bottom"/>
    </xf>
    <xf borderId="0" fillId="3" fontId="25" numFmtId="0" xfId="0" applyAlignment="1" applyFont="1">
      <alignment horizontal="right" readingOrder="0" shrinkToFit="0" wrapText="0"/>
    </xf>
    <xf borderId="1" fillId="8" fontId="7" numFmtId="0" xfId="0" applyAlignment="1" applyBorder="1" applyFont="1">
      <alignment vertical="bottom"/>
    </xf>
    <xf borderId="0" fillId="3" fontId="4" numFmtId="3" xfId="0" applyAlignment="1" applyFont="1" applyNumberFormat="1">
      <alignment readingOrder="0" vertical="bottom"/>
    </xf>
    <xf borderId="0" fillId="3" fontId="25" numFmtId="1" xfId="0" applyAlignment="1" applyFont="1" applyNumberFormat="1">
      <alignment horizontal="right" readingOrder="0" shrinkToFit="0" wrapText="0"/>
    </xf>
    <xf borderId="0" fillId="0" fontId="25" numFmtId="3" xfId="0" applyAlignment="1" applyFont="1" applyNumberFormat="1">
      <alignment horizontal="right" readingOrder="0" shrinkToFit="0" wrapText="0"/>
    </xf>
    <xf borderId="1" fillId="4" fontId="7" numFmtId="0" xfId="0" applyAlignment="1" applyBorder="1" applyFont="1">
      <alignment vertical="bottom"/>
    </xf>
    <xf borderId="0" fillId="0" fontId="27" numFmtId="0" xfId="0" applyAlignment="1" applyFont="1">
      <alignment horizontal="right" readingOrder="0" shrinkToFit="0" wrapText="0"/>
    </xf>
    <xf borderId="0" fillId="9" fontId="4" numFmtId="1" xfId="0" applyAlignment="1" applyFont="1" applyNumberFormat="1">
      <alignment horizontal="right" vertical="bottom"/>
    </xf>
    <xf borderId="0" fillId="30" fontId="4" numFmtId="1" xfId="0" applyAlignment="1" applyFont="1" applyNumberFormat="1">
      <alignment horizontal="right" readingOrder="0" vertical="bottom"/>
    </xf>
    <xf borderId="0" fillId="30" fontId="4" numFmtId="0" xfId="0" applyAlignment="1" applyFont="1">
      <alignment horizontal="right" readingOrder="0" vertical="bottom"/>
    </xf>
    <xf borderId="0" fillId="30" fontId="4" numFmtId="0" xfId="0" applyAlignment="1" applyFont="1">
      <alignment readingOrder="0" vertical="bottom"/>
    </xf>
    <xf borderId="0" fillId="0" fontId="33" numFmtId="1" xfId="0" applyAlignment="1" applyFont="1" applyNumberFormat="1">
      <alignment readingOrder="0"/>
    </xf>
    <xf borderId="2" fillId="0" fontId="3" numFmtId="168" xfId="0" applyAlignment="1" applyBorder="1" applyFont="1" applyNumberFormat="1">
      <alignment vertical="bottom"/>
    </xf>
    <xf borderId="0" fillId="0" fontId="35" numFmtId="1" xfId="0" applyAlignment="1" applyFont="1" applyNumberFormat="1">
      <alignment horizontal="right" readingOrder="0" shrinkToFit="0" wrapText="0"/>
    </xf>
    <xf borderId="1" fillId="32" fontId="4" numFmtId="0" xfId="0" applyAlignment="1" applyBorder="1" applyFont="1">
      <alignment readingOrder="0" vertical="bottom"/>
    </xf>
    <xf borderId="0" fillId="32" fontId="1" numFmtId="0" xfId="0" applyFont="1"/>
    <xf borderId="0" fillId="32" fontId="33" numFmtId="0" xfId="0" applyAlignment="1" applyFont="1">
      <alignment readingOrder="0"/>
    </xf>
    <xf borderId="2" fillId="32" fontId="5" numFmtId="3" xfId="0" applyAlignment="1" applyBorder="1" applyFont="1" applyNumberFormat="1">
      <alignment horizontal="right" vertical="bottom"/>
    </xf>
    <xf borderId="0" fillId="9" fontId="4" numFmtId="2" xfId="0" applyAlignment="1" applyFont="1" applyNumberFormat="1">
      <alignment vertical="bottom"/>
    </xf>
    <xf borderId="0" fillId="3" fontId="4" numFmtId="2" xfId="0" applyAlignment="1" applyFont="1" applyNumberFormat="1">
      <alignment vertical="bottom"/>
    </xf>
    <xf borderId="0" fillId="0" fontId="33" numFmtId="3" xfId="0" applyAlignment="1" applyFont="1" applyNumberFormat="1">
      <alignment readingOrder="0"/>
    </xf>
    <xf borderId="0" fillId="0" fontId="33" numFmtId="1" xfId="0" applyFont="1" applyNumberFormat="1"/>
    <xf borderId="0" fillId="0" fontId="33" numFmtId="3" xfId="0" applyFont="1" applyNumberFormat="1"/>
    <xf borderId="0" fillId="0" fontId="33" numFmtId="0" xfId="0" applyFont="1"/>
    <xf borderId="17" fillId="0" fontId="36" numFmtId="0" xfId="0" applyAlignment="1" applyBorder="1" applyFont="1">
      <alignment readingOrder="0"/>
    </xf>
    <xf borderId="0" fillId="0" fontId="36" numFmtId="0" xfId="0" applyAlignment="1" applyFont="1">
      <alignment readingOrder="0"/>
    </xf>
    <xf borderId="8" fillId="0" fontId="1" numFmtId="167" xfId="0" applyBorder="1" applyFont="1" applyNumberFormat="1"/>
    <xf borderId="8" fillId="0" fontId="1" numFmtId="3" xfId="0" applyBorder="1" applyFont="1" applyNumberFormat="1"/>
    <xf borderId="0" fillId="0" fontId="36" numFmtId="0" xfId="0" applyFont="1"/>
    <xf borderId="8" fillId="0" fontId="1" numFmtId="0" xfId="0" applyBorder="1" applyFont="1"/>
    <xf borderId="4" fillId="0" fontId="1" numFmtId="167" xfId="0" applyBorder="1" applyFont="1" applyNumberFormat="1"/>
    <xf borderId="4" fillId="0" fontId="1" numFmtId="3" xfId="0" applyBorder="1" applyFont="1" applyNumberFormat="1"/>
    <xf borderId="0" fillId="3" fontId="3" numFmtId="164" xfId="0" applyAlignment="1" applyFont="1" applyNumberFormat="1">
      <alignment horizontal="left" readingOrder="0" vertical="bottom"/>
    </xf>
    <xf borderId="0" fillId="3" fontId="3" numFmtId="165" xfId="0" applyAlignment="1" applyFont="1" applyNumberFormat="1">
      <alignment horizontal="left" readingOrder="0" vertical="bottom"/>
    </xf>
    <xf borderId="1" fillId="13" fontId="10" numFmtId="0" xfId="0" applyAlignment="1" applyBorder="1" applyFont="1">
      <alignment readingOrder="0" vertical="bottom"/>
    </xf>
    <xf borderId="1" fillId="23" fontId="11" numFmtId="0" xfId="0" applyAlignment="1" applyBorder="1" applyFont="1">
      <alignment readingOrder="0" vertical="bottom"/>
    </xf>
    <xf borderId="0" fillId="3" fontId="11" numFmtId="1" xfId="0" applyAlignment="1" applyFont="1" applyNumberFormat="1">
      <alignment readingOrder="0" vertical="bottom"/>
    </xf>
    <xf borderId="16" fillId="8" fontId="36" numFmtId="0" xfId="0" applyAlignment="1" applyBorder="1" applyFont="1">
      <alignment readingOrder="0"/>
    </xf>
    <xf borderId="16" fillId="4" fontId="1" numFmtId="3" xfId="0" applyBorder="1" applyFont="1" applyNumberFormat="1"/>
    <xf borderId="1" fillId="23" fontId="11" numFmtId="0" xfId="0" applyAlignment="1" applyBorder="1" applyFont="1">
      <alignment readingOrder="0" vertical="bottom"/>
    </xf>
    <xf borderId="0" fillId="8" fontId="36" numFmtId="0" xfId="0" applyAlignment="1" applyFont="1">
      <alignment readingOrder="0"/>
    </xf>
    <xf borderId="0" fillId="4" fontId="1" numFmtId="10" xfId="0" applyFont="1" applyNumberFormat="1"/>
    <xf borderId="0" fillId="9" fontId="4" numFmtId="1" xfId="0" applyAlignment="1" applyFont="1" applyNumberFormat="1">
      <alignment readingOrder="0" vertical="bottom"/>
    </xf>
    <xf borderId="0" fillId="9" fontId="11" numFmtId="1" xfId="0" applyAlignment="1" applyFont="1" applyNumberFormat="1">
      <alignment readingOrder="0" vertical="bottom"/>
    </xf>
    <xf borderId="1" fillId="25" fontId="11" numFmtId="0" xfId="0" applyAlignment="1" applyBorder="1" applyFont="1">
      <alignment readingOrder="0" vertical="bottom"/>
    </xf>
    <xf borderId="0" fillId="4" fontId="1" numFmtId="0" xfId="0" applyFont="1"/>
    <xf borderId="0" fillId="4" fontId="1" numFmtId="10" xfId="0" applyAlignment="1" applyFont="1" applyNumberFormat="1">
      <alignment readingOrder="0"/>
    </xf>
    <xf borderId="0" fillId="0" fontId="1" numFmtId="10" xfId="0" applyFont="1" applyNumberFormat="1"/>
    <xf borderId="1" fillId="0" fontId="11" numFmtId="0" xfId="0" applyAlignment="1" applyBorder="1" applyFont="1">
      <alignment vertical="bottom"/>
    </xf>
    <xf borderId="0" fillId="4" fontId="36" numFmtId="0" xfId="0" applyAlignment="1" applyFont="1">
      <alignment readingOrder="0" shrinkToFit="0" wrapText="1"/>
    </xf>
    <xf borderId="0" fillId="49" fontId="1" numFmtId="0" xfId="0" applyAlignment="1" applyFont="1">
      <alignment readingOrder="0"/>
    </xf>
    <xf borderId="0" fillId="49" fontId="1" numFmtId="10" xfId="0" applyFont="1" applyNumberFormat="1"/>
    <xf borderId="1" fillId="25" fontId="11" numFmtId="0" xfId="0" applyAlignment="1" applyBorder="1" applyFont="1">
      <alignment readingOrder="0" vertical="bottom"/>
    </xf>
    <xf borderId="0" fillId="49" fontId="1" numFmtId="0" xfId="0" applyAlignment="1" applyFont="1">
      <alignment readingOrder="0" shrinkToFit="0" wrapText="1"/>
    </xf>
    <xf borderId="0" fillId="25" fontId="11" numFmtId="1" xfId="0" applyAlignment="1" applyFont="1" applyNumberFormat="1">
      <alignment horizontal="left" readingOrder="0" vertical="bottom"/>
    </xf>
    <xf borderId="1" fillId="23" fontId="4" numFmtId="0" xfId="0" applyAlignment="1" applyBorder="1" applyFont="1">
      <alignment readingOrder="0" vertical="bottom"/>
    </xf>
    <xf borderId="0" fillId="23" fontId="4" numFmtId="1" xfId="0" applyAlignment="1" applyFont="1" applyNumberFormat="1">
      <alignment readingOrder="0" vertical="bottom"/>
    </xf>
    <xf borderId="0" fillId="23" fontId="11" numFmtId="1" xfId="0" applyAlignment="1" applyFont="1" applyNumberFormat="1">
      <alignment readingOrder="0" vertical="bottom"/>
    </xf>
    <xf borderId="0" fillId="0" fontId="37" numFmtId="1" xfId="0" applyAlignment="1" applyFont="1" applyNumberFormat="1">
      <alignment readingOrder="0"/>
    </xf>
    <xf borderId="1" fillId="23" fontId="4" numFmtId="0" xfId="0" applyAlignment="1" applyBorder="1" applyFont="1">
      <alignment readingOrder="0" vertical="bottom"/>
    </xf>
    <xf borderId="0" fillId="3" fontId="11" numFmtId="167" xfId="0" applyAlignment="1" applyFont="1" applyNumberFormat="1">
      <alignment readingOrder="0" vertical="bottom"/>
    </xf>
    <xf borderId="0" fillId="0" fontId="11" numFmtId="1" xfId="0" applyAlignment="1" applyFont="1" applyNumberFormat="1">
      <alignment readingOrder="0" vertical="bottom"/>
    </xf>
    <xf borderId="0" fillId="3" fontId="38" numFmtId="167" xfId="0" applyAlignment="1" applyFont="1" applyNumberFormat="1">
      <alignment horizontal="right" readingOrder="0"/>
    </xf>
    <xf borderId="0" fillId="3" fontId="39" numFmtId="167" xfId="0" applyAlignment="1" applyFont="1" applyNumberFormat="1">
      <alignment horizontal="right" readingOrder="0"/>
    </xf>
    <xf borderId="0" fillId="9" fontId="4" numFmtId="167" xfId="0" applyAlignment="1" applyFont="1" applyNumberFormat="1">
      <alignment vertical="bottom"/>
    </xf>
    <xf borderId="1" fillId="25" fontId="4" numFmtId="0" xfId="0" applyAlignment="1" applyBorder="1" applyFont="1">
      <alignment readingOrder="0" vertical="bottom"/>
    </xf>
    <xf borderId="0" fillId="3" fontId="37" numFmtId="167" xfId="0" applyAlignment="1" applyFont="1" applyNumberFormat="1">
      <alignment readingOrder="0"/>
    </xf>
    <xf borderId="0" fillId="3" fontId="37" numFmtId="167" xfId="0" applyAlignment="1" applyFont="1" applyNumberFormat="1">
      <alignment readingOrder="0" vertical="bottom"/>
    </xf>
    <xf borderId="0" fillId="3" fontId="33" numFmtId="167" xfId="0" applyAlignment="1" applyFont="1" applyNumberFormat="1">
      <alignment readingOrder="0"/>
    </xf>
    <xf borderId="0" fillId="3" fontId="33" numFmtId="167" xfId="0" applyAlignment="1" applyFont="1" applyNumberFormat="1">
      <alignment readingOrder="0" vertical="bottom"/>
    </xf>
    <xf borderId="0" fillId="3" fontId="33" numFmtId="167" xfId="0" applyFont="1" applyNumberFormat="1"/>
    <xf borderId="3" fillId="0" fontId="1" numFmtId="0" xfId="0" applyAlignment="1" applyBorder="1" applyFont="1">
      <alignment readingOrder="0"/>
    </xf>
    <xf borderId="3" fillId="0" fontId="1" numFmtId="10" xfId="0" applyBorder="1" applyFont="1" applyNumberFormat="1"/>
    <xf borderId="1" fillId="25" fontId="4" numFmtId="0" xfId="0" applyAlignment="1" applyBorder="1" applyFont="1">
      <alignment readingOrder="0" vertical="bottom"/>
    </xf>
    <xf borderId="0" fillId="30" fontId="4" numFmtId="1" xfId="0" applyAlignment="1" applyFont="1" applyNumberFormat="1">
      <alignment readingOrder="0" vertical="bottom"/>
    </xf>
    <xf borderId="0" fillId="17" fontId="40" numFmtId="0" xfId="0" applyFont="1"/>
    <xf borderId="0" fillId="25" fontId="4" numFmtId="1" xfId="0" applyAlignment="1" applyFont="1" applyNumberFormat="1">
      <alignment horizontal="left" readingOrder="0" vertical="bottom"/>
    </xf>
    <xf borderId="0" fillId="8" fontId="36" numFmtId="0" xfId="0" applyAlignment="1" applyFont="1">
      <alignment readingOrder="0" shrinkToFit="0" wrapText="1"/>
    </xf>
    <xf borderId="0" fillId="8" fontId="1" numFmtId="0" xfId="0" applyFont="1"/>
    <xf borderId="0" fillId="8" fontId="40" numFmtId="0" xfId="0" applyFont="1"/>
    <xf borderId="0" fillId="8" fontId="1" numFmtId="10" xfId="0" applyFont="1" applyNumberFormat="1"/>
    <xf borderId="16" fillId="8" fontId="36" numFmtId="0" xfId="0" applyAlignment="1" applyBorder="1" applyFont="1">
      <alignment readingOrder="0" shrinkToFit="0" wrapText="1"/>
    </xf>
    <xf borderId="16" fillId="8" fontId="1" numFmtId="0" xfId="0" applyBorder="1" applyFont="1"/>
    <xf borderId="1" fillId="22" fontId="4" numFmtId="0" xfId="0" applyAlignment="1" applyBorder="1" applyFont="1">
      <alignment readingOrder="0" vertical="bottom"/>
    </xf>
    <xf borderId="0" fillId="23" fontId="4" numFmtId="0" xfId="0" applyAlignment="1" applyFont="1">
      <alignment readingOrder="0" vertical="bottom"/>
    </xf>
    <xf borderId="3" fillId="8" fontId="1" numFmtId="0" xfId="0" applyAlignment="1" applyBorder="1" applyFont="1">
      <alignment readingOrder="0"/>
    </xf>
    <xf borderId="3" fillId="8" fontId="1" numFmtId="0" xfId="0" applyBorder="1" applyFont="1"/>
    <xf borderId="1" fillId="22" fontId="4" numFmtId="0" xfId="0" applyAlignment="1" applyBorder="1" applyFont="1">
      <alignment horizontal="left" readingOrder="0" vertical="bottom"/>
    </xf>
    <xf borderId="0" fillId="0" fontId="11" numFmtId="167" xfId="0" applyAlignment="1" applyFont="1" applyNumberFormat="1">
      <alignment readingOrder="0" vertical="bottom"/>
    </xf>
    <xf borderId="0" fillId="0" fontId="11" numFmtId="167" xfId="0" applyAlignment="1" applyFont="1" applyNumberFormat="1">
      <alignment horizontal="right" readingOrder="0" vertical="bottom"/>
    </xf>
    <xf borderId="0" fillId="0" fontId="38" numFmtId="167" xfId="0" applyAlignment="1" applyFont="1" applyNumberFormat="1">
      <alignment horizontal="right" readingOrder="0"/>
    </xf>
    <xf borderId="1" fillId="22" fontId="4" numFmtId="1" xfId="0" applyAlignment="1" applyBorder="1" applyFont="1" applyNumberFormat="1">
      <alignment horizontal="left" readingOrder="0" vertical="bottom"/>
    </xf>
    <xf borderId="1" fillId="21" fontId="4" numFmtId="1" xfId="0" applyAlignment="1" applyBorder="1" applyFont="1" applyNumberFormat="1">
      <alignment readingOrder="0" vertical="bottom"/>
    </xf>
    <xf borderId="0" fillId="0" fontId="37" numFmtId="167" xfId="0" applyAlignment="1" applyFont="1" applyNumberFormat="1">
      <alignment readingOrder="0"/>
    </xf>
    <xf borderId="0" fillId="0" fontId="37" numFmtId="167" xfId="0" applyAlignment="1" applyFont="1" applyNumberFormat="1">
      <alignment readingOrder="0" vertical="bottom"/>
    </xf>
    <xf borderId="0" fillId="0" fontId="33" numFmtId="167" xfId="0" applyAlignment="1" applyFont="1" applyNumberFormat="1">
      <alignment readingOrder="0"/>
    </xf>
    <xf borderId="0" fillId="0" fontId="5" numFmtId="1" xfId="0" applyAlignment="1" applyFont="1" applyNumberFormat="1">
      <alignment horizontal="right" vertical="bottom"/>
    </xf>
    <xf borderId="1" fillId="25" fontId="4" numFmtId="167" xfId="0" applyAlignment="1" applyBorder="1" applyFont="1" applyNumberFormat="1">
      <alignment horizontal="left" vertical="bottom"/>
    </xf>
    <xf borderId="0" fillId="0" fontId="33" numFmtId="175" xfId="0" applyAlignment="1" applyFont="1" applyNumberFormat="1">
      <alignment readingOrder="0"/>
    </xf>
    <xf borderId="3" fillId="8" fontId="1" numFmtId="10" xfId="0" applyBorder="1" applyFont="1" applyNumberFormat="1"/>
    <xf borderId="1" fillId="21" fontId="4" numFmtId="0" xfId="0" applyAlignment="1" applyBorder="1" applyFont="1">
      <alignment readingOrder="0" vertical="bottom"/>
    </xf>
    <xf borderId="1" fillId="22" fontId="4" numFmtId="1" xfId="0" applyAlignment="1" applyBorder="1" applyFont="1" applyNumberFormat="1">
      <alignment horizontal="left" vertical="bottom"/>
    </xf>
    <xf borderId="1" fillId="50" fontId="4" numFmtId="0" xfId="0" applyAlignment="1" applyBorder="1" applyFont="1">
      <alignment readingOrder="0" vertical="bottom"/>
    </xf>
    <xf borderId="0" fillId="50" fontId="4" numFmtId="1" xfId="0" applyAlignment="1" applyFont="1" applyNumberFormat="1">
      <alignment readingOrder="0" vertical="bottom"/>
    </xf>
    <xf borderId="0" fillId="50" fontId="11" numFmtId="1" xfId="0" applyAlignment="1" applyFont="1" applyNumberFormat="1">
      <alignment readingOrder="0" vertical="bottom"/>
    </xf>
    <xf borderId="2" fillId="50" fontId="3" numFmtId="0" xfId="0" applyAlignment="1" applyBorder="1" applyFont="1">
      <alignment vertical="bottom"/>
    </xf>
    <xf borderId="1" fillId="32" fontId="4" numFmtId="167" xfId="0" applyAlignment="1" applyBorder="1" applyFont="1" applyNumberFormat="1">
      <alignment horizontal="left" vertical="bottom"/>
    </xf>
    <xf borderId="0" fillId="32" fontId="33" numFmtId="167" xfId="0" applyFont="1" applyNumberFormat="1"/>
    <xf borderId="0" fillId="32" fontId="33" numFmtId="167" xfId="0" applyAlignment="1" applyFont="1" applyNumberFormat="1">
      <alignment readingOrder="0"/>
    </xf>
    <xf borderId="2" fillId="32" fontId="5" numFmtId="167" xfId="0" applyAlignment="1" applyBorder="1" applyFont="1" applyNumberFormat="1">
      <alignment vertical="bottom"/>
    </xf>
    <xf borderId="1" fillId="22" fontId="4" numFmtId="1" xfId="0" applyAlignment="1" applyBorder="1" applyFont="1" applyNumberFormat="1">
      <alignment horizontal="left" readingOrder="0" vertical="bottom"/>
    </xf>
    <xf borderId="22" fillId="21" fontId="4" numFmtId="0" xfId="0" applyAlignment="1" applyBorder="1" applyFont="1">
      <alignment readingOrder="0" vertical="bottom"/>
    </xf>
    <xf borderId="16" fillId="0" fontId="4" numFmtId="1" xfId="0" applyAlignment="1" applyBorder="1" applyFont="1" applyNumberFormat="1">
      <alignment readingOrder="0" vertical="bottom"/>
    </xf>
    <xf borderId="23" fillId="0" fontId="5" numFmtId="3" xfId="0" applyAlignment="1" applyBorder="1" applyFont="1" applyNumberFormat="1">
      <alignment horizontal="right" vertical="bottom"/>
    </xf>
    <xf borderId="16" fillId="9" fontId="4" numFmtId="1" xfId="0" applyAlignment="1" applyBorder="1" applyFont="1" applyNumberFormat="1">
      <alignment readingOrder="0" vertical="bottom"/>
    </xf>
    <xf borderId="16" fillId="9" fontId="4" numFmtId="1" xfId="0" applyAlignment="1" applyBorder="1" applyFont="1" applyNumberFormat="1">
      <alignment vertical="bottom"/>
    </xf>
    <xf borderId="0" fillId="9" fontId="11" numFmtId="167" xfId="0" applyAlignment="1" applyFont="1" applyNumberFormat="1">
      <alignment readingOrder="0" vertical="bottom"/>
    </xf>
    <xf borderId="0" fillId="0" fontId="33" numFmtId="167" xfId="0" applyAlignment="1" applyFont="1" applyNumberFormat="1">
      <alignment horizontal="right" readingOrder="0"/>
    </xf>
    <xf borderId="0" fillId="10" fontId="1" numFmtId="0" xfId="0" applyAlignment="1" applyFont="1">
      <alignment readingOrder="0"/>
    </xf>
    <xf borderId="0" fillId="10" fontId="1" numFmtId="0" xfId="0" applyFont="1"/>
    <xf borderId="0" fillId="22" fontId="4" numFmtId="167" xfId="0" applyAlignment="1" applyFont="1" applyNumberFormat="1">
      <alignment horizontal="right" readingOrder="0" vertical="bottom"/>
    </xf>
    <xf borderId="0" fillId="0" fontId="1" numFmtId="0" xfId="0" applyAlignment="1" applyFont="1">
      <alignment horizontal="right"/>
    </xf>
    <xf borderId="0" fillId="3" fontId="33" numFmtId="167" xfId="0" applyAlignment="1" applyFont="1" applyNumberFormat="1">
      <alignment horizontal="right" readingOrder="0"/>
    </xf>
    <xf borderId="0" fillId="3" fontId="37" numFmtId="167" xfId="0" applyAlignment="1" applyFont="1" applyNumberFormat="1">
      <alignment horizontal="right" readingOrder="0"/>
    </xf>
    <xf borderId="0" fillId="10" fontId="1" numFmtId="0" xfId="0" applyAlignment="1" applyFont="1">
      <alignment horizontal="right" readingOrder="0"/>
    </xf>
    <xf borderId="0" fillId="10" fontId="1" numFmtId="0" xfId="0" applyAlignment="1" applyFont="1">
      <alignment horizontal="right"/>
    </xf>
    <xf borderId="0" fillId="142" fontId="41" numFmtId="0" xfId="0" applyAlignment="1" applyFont="1">
      <alignment horizontal="center" readingOrder="0"/>
    </xf>
    <xf borderId="3" fillId="142" fontId="42" numFmtId="165" xfId="0" applyAlignment="1" applyBorder="1" applyFont="1" applyNumberFormat="1">
      <alignment horizontal="right" readingOrder="0" vertical="bottom"/>
    </xf>
    <xf borderId="23" fillId="0" fontId="1" numFmtId="0" xfId="0" applyAlignment="1" applyBorder="1" applyFont="1">
      <alignment readingOrder="0"/>
    </xf>
    <xf borderId="0" fillId="0" fontId="3" numFmtId="3" xfId="0" applyAlignment="1" applyFont="1" applyNumberFormat="1">
      <alignment horizontal="center" readingOrder="0" vertical="bottom"/>
    </xf>
    <xf borderId="0" fillId="0" fontId="1" numFmtId="0" xfId="0" applyAlignment="1" applyFont="1">
      <alignment horizontal="center" readingOrder="0"/>
    </xf>
    <xf borderId="0" fillId="0" fontId="1" numFmtId="3" xfId="0" applyAlignment="1" applyFont="1" applyNumberFormat="1">
      <alignment horizontal="center" readingOrder="0"/>
    </xf>
    <xf borderId="16" fillId="0" fontId="3" numFmtId="3" xfId="0" applyAlignment="1" applyBorder="1" applyFont="1" applyNumberFormat="1">
      <alignment horizontal="center" readingOrder="0" vertical="bottom"/>
    </xf>
    <xf borderId="2" fillId="0" fontId="1" numFmtId="0" xfId="0" applyAlignment="1" applyBorder="1" applyFont="1">
      <alignment readingOrder="0"/>
    </xf>
    <xf borderId="2" fillId="0" fontId="1" numFmtId="0" xfId="0" applyAlignment="1" applyBorder="1" applyFont="1">
      <alignment readingOrder="0"/>
    </xf>
    <xf borderId="23" fillId="23" fontId="36" numFmtId="0" xfId="0" applyAlignment="1" applyBorder="1" applyFont="1">
      <alignment horizontal="center" readingOrder="0"/>
    </xf>
    <xf borderId="0" fillId="22" fontId="4" numFmtId="0" xfId="0" applyAlignment="1" applyFont="1">
      <alignment readingOrder="0" vertical="bottom"/>
    </xf>
    <xf borderId="24" fillId="23" fontId="36" numFmtId="3" xfId="0" applyAlignment="1" applyBorder="1" applyFont="1" applyNumberFormat="1">
      <alignment horizontal="center" readingOrder="0"/>
    </xf>
    <xf borderId="2" fillId="22" fontId="4" numFmtId="1" xfId="0" applyAlignment="1" applyBorder="1" applyFont="1" applyNumberFormat="1">
      <alignment readingOrder="0" vertical="bottom"/>
    </xf>
    <xf borderId="0" fillId="22" fontId="4" numFmtId="1" xfId="0" applyAlignment="1" applyFont="1" applyNumberFormat="1">
      <alignment readingOrder="0" vertical="bottom"/>
    </xf>
    <xf borderId="13" fillId="29" fontId="41" numFmtId="0" xfId="0" applyAlignment="1" applyBorder="1" applyFont="1">
      <alignment horizontal="center" readingOrder="0"/>
    </xf>
    <xf borderId="3" fillId="29" fontId="42" numFmtId="165" xfId="0" applyAlignment="1" applyBorder="1" applyFont="1" applyNumberFormat="1">
      <alignment horizontal="right" readingOrder="0" vertical="bottom"/>
    </xf>
    <xf borderId="0" fillId="22" fontId="4" numFmtId="3" xfId="0" applyAlignment="1" applyFont="1" applyNumberFormat="1">
      <alignment readingOrder="0" vertical="bottom"/>
    </xf>
    <xf borderId="2" fillId="49" fontId="1" numFmtId="0" xfId="0" applyAlignment="1" applyBorder="1" applyFont="1">
      <alignment readingOrder="0"/>
    </xf>
    <xf borderId="0" fillId="49" fontId="36" numFmtId="10" xfId="0" applyAlignment="1" applyFont="1" applyNumberFormat="1">
      <alignment horizontal="center"/>
    </xf>
    <xf borderId="0" fillId="3" fontId="33" numFmtId="0" xfId="0" applyFont="1"/>
    <xf borderId="16" fillId="3" fontId="4" numFmtId="1" xfId="0" applyAlignment="1" applyBorder="1" applyFont="1" applyNumberFormat="1">
      <alignment readingOrder="0" vertical="bottom"/>
    </xf>
    <xf borderId="16" fillId="3" fontId="11" numFmtId="1" xfId="0" applyAlignment="1" applyBorder="1" applyFont="1" applyNumberFormat="1">
      <alignment readingOrder="0" vertical="bottom"/>
    </xf>
    <xf borderId="2" fillId="49" fontId="1" numFmtId="0" xfId="0" applyAlignment="1" applyBorder="1" applyFont="1">
      <alignment readingOrder="0"/>
    </xf>
    <xf borderId="5" fillId="49" fontId="1" numFmtId="0" xfId="0" applyAlignment="1" applyBorder="1" applyFont="1">
      <alignment readingOrder="0"/>
    </xf>
    <xf borderId="16" fillId="0" fontId="36" numFmtId="10" xfId="0" applyAlignment="1" applyBorder="1" applyFont="1" applyNumberFormat="1">
      <alignment horizontal="center"/>
    </xf>
    <xf borderId="0" fillId="0" fontId="36" numFmtId="10" xfId="0" applyAlignment="1" applyFont="1" applyNumberFormat="1">
      <alignment horizontal="center"/>
    </xf>
    <xf borderId="2" fillId="142" fontId="41" numFmtId="0" xfId="0" applyAlignment="1" applyBorder="1" applyFont="1">
      <alignment horizontal="center" readingOrder="0"/>
    </xf>
    <xf borderId="0" fillId="142" fontId="42" numFmtId="165" xfId="0" applyAlignment="1" applyFont="1" applyNumberFormat="1">
      <alignment horizontal="right" readingOrder="0" vertical="bottom"/>
    </xf>
    <xf borderId="2" fillId="174" fontId="1" numFmtId="0" xfId="0" applyAlignment="1" applyBorder="1" applyFill="1" applyFont="1">
      <alignment readingOrder="0"/>
    </xf>
    <xf borderId="0" fillId="174" fontId="1" numFmtId="3" xfId="0" applyAlignment="1" applyFont="1" applyNumberFormat="1">
      <alignment horizontal="center" readingOrder="0"/>
    </xf>
    <xf borderId="5" fillId="174" fontId="1" numFmtId="0" xfId="0" applyAlignment="1" applyBorder="1" applyFont="1">
      <alignment readingOrder="0"/>
    </xf>
    <xf borderId="3" fillId="0" fontId="1" numFmtId="3" xfId="0" applyAlignment="1" applyBorder="1" applyFont="1" applyNumberFormat="1">
      <alignment horizontal="center" readingOrder="0"/>
    </xf>
    <xf borderId="3" fillId="174" fontId="1" numFmtId="3" xfId="0" applyAlignment="1" applyBorder="1" applyFont="1" applyNumberFormat="1">
      <alignment horizontal="center" readingOrder="0"/>
    </xf>
    <xf borderId="13" fillId="23" fontId="36" numFmtId="0" xfId="0" applyAlignment="1" applyBorder="1" applyFont="1">
      <alignment horizontal="center" readingOrder="0"/>
    </xf>
    <xf borderId="1" fillId="26" fontId="4" numFmtId="0" xfId="0" applyAlignment="1" applyBorder="1" applyFont="1">
      <alignment readingOrder="0" vertical="bottom"/>
    </xf>
    <xf borderId="23" fillId="49" fontId="1" numFmtId="0" xfId="0" applyAlignment="1" applyBorder="1" applyFont="1">
      <alignment readingOrder="0"/>
    </xf>
    <xf borderId="5" fillId="49" fontId="1" numFmtId="0" xfId="0" applyAlignment="1" applyBorder="1" applyFont="1">
      <alignment readingOrder="0"/>
    </xf>
    <xf borderId="3" fillId="49" fontId="36" numFmtId="10" xfId="0" applyAlignment="1" applyBorder="1" applyFont="1" applyNumberFormat="1">
      <alignment horizontal="center"/>
    </xf>
    <xf borderId="0" fillId="0" fontId="1" numFmtId="0" xfId="0" applyAlignment="1" applyFont="1">
      <alignment horizontal="center"/>
    </xf>
    <xf borderId="23" fillId="19" fontId="43" numFmtId="0" xfId="0" applyAlignment="1" applyBorder="1" applyFont="1">
      <alignment horizontal="center" readingOrder="0"/>
    </xf>
    <xf borderId="24" fillId="19" fontId="44" numFmtId="165" xfId="0" applyAlignment="1" applyBorder="1" applyFont="1" applyNumberFormat="1">
      <alignment horizontal="right" readingOrder="0" vertical="bottom"/>
    </xf>
    <xf borderId="0" fillId="4" fontId="3" numFmtId="3" xfId="0" applyAlignment="1" applyFont="1" applyNumberFormat="1">
      <alignment horizontal="center" readingOrder="0" vertical="bottom"/>
    </xf>
    <xf borderId="0" fillId="4" fontId="1" numFmtId="3" xfId="0" applyAlignment="1" applyFont="1" applyNumberFormat="1">
      <alignment horizontal="center" readingOrder="0"/>
    </xf>
    <xf borderId="2" fillId="8" fontId="36" numFmtId="0" xfId="0" applyAlignment="1" applyBorder="1" applyFont="1">
      <alignment horizontal="center" readingOrder="0"/>
    </xf>
    <xf borderId="1" fillId="28" fontId="4" numFmtId="0" xfId="0" applyAlignment="1" applyBorder="1" applyFont="1">
      <alignment readingOrder="0" vertical="bottom"/>
    </xf>
    <xf borderId="0" fillId="28" fontId="4" numFmtId="1" xfId="0" applyAlignment="1" applyFont="1" applyNumberFormat="1">
      <alignment horizontal="right" vertical="bottom"/>
    </xf>
    <xf borderId="13" fillId="8" fontId="36" numFmtId="0" xfId="0" applyAlignment="1" applyBorder="1" applyFont="1">
      <alignment horizontal="center" readingOrder="0"/>
    </xf>
    <xf borderId="24" fillId="4" fontId="3" numFmtId="3" xfId="0" applyAlignment="1" applyBorder="1" applyFont="1" applyNumberFormat="1">
      <alignment horizontal="center" readingOrder="0" vertical="bottom"/>
    </xf>
    <xf borderId="0" fillId="0" fontId="1" numFmtId="3" xfId="0" applyAlignment="1" applyFont="1" applyNumberFormat="1">
      <alignment horizontal="center"/>
    </xf>
    <xf borderId="24" fillId="4" fontId="1" numFmtId="3" xfId="0" applyAlignment="1" applyBorder="1" applyFont="1" applyNumberFormat="1">
      <alignment horizontal="center" readingOrder="0"/>
    </xf>
    <xf borderId="2" fillId="0" fontId="33" numFmtId="0" xfId="0" applyBorder="1" applyFont="1"/>
    <xf borderId="1" fillId="28" fontId="4" numFmtId="0" xfId="0" applyAlignment="1" applyBorder="1" applyFont="1">
      <alignment horizontal="left" readingOrder="0" vertical="bottom"/>
    </xf>
    <xf borderId="0" fillId="174" fontId="1" numFmtId="0" xfId="0" applyAlignment="1" applyFont="1">
      <alignment readingOrder="0"/>
    </xf>
    <xf borderId="5" fillId="23" fontId="36" numFmtId="0" xfId="0" applyAlignment="1" applyBorder="1" applyFont="1">
      <alignment horizontal="center" readingOrder="0"/>
    </xf>
    <xf borderId="3" fillId="23" fontId="36" numFmtId="3" xfId="0" applyAlignment="1" applyBorder="1" applyFont="1" applyNumberFormat="1">
      <alignment horizontal="center" readingOrder="0"/>
    </xf>
    <xf borderId="13" fillId="19" fontId="43" numFmtId="0" xfId="0" applyAlignment="1" applyBorder="1" applyFont="1">
      <alignment horizontal="center" readingOrder="0"/>
    </xf>
    <xf borderId="3" fillId="19" fontId="44" numFmtId="165" xfId="0" applyAlignment="1" applyBorder="1" applyFont="1" applyNumberFormat="1">
      <alignment horizontal="right" readingOrder="0" vertical="bottom"/>
    </xf>
    <xf borderId="0" fillId="3" fontId="36" numFmtId="10" xfId="0" applyAlignment="1" applyFont="1" applyNumberFormat="1">
      <alignment horizontal="center"/>
    </xf>
    <xf borderId="2" fillId="49" fontId="36" numFmtId="0" xfId="0" applyAlignment="1" applyBorder="1" applyFont="1">
      <alignment horizontal="center" readingOrder="0"/>
    </xf>
    <xf borderId="1" fillId="28" fontId="4" numFmtId="1" xfId="0" applyAlignment="1" applyBorder="1" applyFont="1" applyNumberFormat="1">
      <alignment horizontal="left" readingOrder="0" vertical="bottom"/>
    </xf>
    <xf borderId="2" fillId="28" fontId="4" numFmtId="1" xfId="0" applyAlignment="1" applyBorder="1" applyFont="1" applyNumberFormat="1">
      <alignment horizontal="right" vertical="bottom"/>
    </xf>
    <xf borderId="0" fillId="0" fontId="33" numFmtId="0" xfId="0" applyAlignment="1" applyFont="1">
      <alignment horizontal="right"/>
    </xf>
    <xf borderId="3" fillId="49" fontId="36" numFmtId="0" xfId="0" applyAlignment="1" applyBorder="1" applyFont="1">
      <alignment horizontal="center" readingOrder="0"/>
    </xf>
    <xf borderId="3" fillId="3" fontId="36" numFmtId="10" xfId="0" applyAlignment="1" applyBorder="1" applyFont="1" applyNumberFormat="1">
      <alignment horizontal="center"/>
    </xf>
    <xf borderId="0" fillId="48" fontId="4" numFmtId="168" xfId="0" applyAlignment="1" applyFont="1" applyNumberFormat="1">
      <alignment horizontal="right" vertical="bottom"/>
    </xf>
    <xf borderId="1" fillId="49" fontId="7" numFmtId="0" xfId="0" applyAlignment="1" applyBorder="1" applyFont="1">
      <alignment readingOrder="0" vertical="bottom"/>
    </xf>
    <xf borderId="3" fillId="49" fontId="1" numFmtId="0" xfId="0" applyAlignment="1" applyBorder="1" applyFont="1">
      <alignment readingOrder="0"/>
    </xf>
    <xf borderId="1" fillId="49" fontId="4" numFmtId="0" xfId="0" applyAlignment="1" applyBorder="1" applyFont="1">
      <alignment readingOrder="0" vertical="bottom"/>
    </xf>
    <xf borderId="0" fillId="20" fontId="43" numFmtId="0" xfId="0" applyAlignment="1" applyFont="1">
      <alignment horizontal="center" readingOrder="0"/>
    </xf>
    <xf borderId="3" fillId="20" fontId="44" numFmtId="165" xfId="0" applyAlignment="1" applyBorder="1" applyFont="1" applyNumberFormat="1">
      <alignment horizontal="right" readingOrder="0" vertical="bottom"/>
    </xf>
    <xf borderId="0" fillId="3" fontId="3" numFmtId="3" xfId="0" applyAlignment="1" applyFont="1" applyNumberFormat="1">
      <alignment horizontal="center" readingOrder="0" vertical="bottom"/>
    </xf>
    <xf borderId="0" fillId="3" fontId="1" numFmtId="3" xfId="0" applyAlignment="1" applyFont="1" applyNumberFormat="1">
      <alignment horizontal="center" readingOrder="0"/>
    </xf>
    <xf borderId="16" fillId="3" fontId="3" numFmtId="3" xfId="0" applyAlignment="1" applyBorder="1" applyFont="1" applyNumberFormat="1">
      <alignment horizontal="center" readingOrder="0" vertical="bottom"/>
    </xf>
    <xf borderId="0" fillId="3" fontId="1" numFmtId="0" xfId="0" applyAlignment="1" applyFont="1">
      <alignment horizontal="center" readingOrder="0"/>
    </xf>
    <xf borderId="13" fillId="20" fontId="43" numFmtId="0" xfId="0" applyAlignment="1" applyBorder="1" applyFont="1">
      <alignment horizontal="center" readingOrder="0"/>
    </xf>
    <xf borderId="1" fillId="0" fontId="33" numFmtId="0" xfId="0" applyAlignment="1" applyBorder="1" applyFont="1">
      <alignment readingOrder="0"/>
    </xf>
    <xf borderId="0" fillId="0" fontId="33" numFmtId="173" xfId="0" applyFont="1" applyNumberFormat="1"/>
    <xf borderId="0" fillId="0" fontId="33" numFmtId="168" xfId="0" applyFont="1" applyNumberFormat="1"/>
    <xf borderId="0" fillId="0" fontId="36" numFmtId="0" xfId="0" applyAlignment="1" applyFont="1">
      <alignment horizontal="center" readingOrder="0"/>
    </xf>
    <xf borderId="0" fillId="0" fontId="36" numFmtId="3" xfId="0" applyAlignment="1" applyFont="1" applyNumberFormat="1">
      <alignment horizontal="center" readingOrder="0"/>
    </xf>
    <xf borderId="0" fillId="0" fontId="41" numFmtId="0" xfId="0" applyAlignment="1" applyFont="1">
      <alignment horizontal="center" readingOrder="0"/>
    </xf>
    <xf borderId="0" fillId="0" fontId="42" numFmtId="165" xfId="0" applyAlignment="1" applyFont="1" applyNumberFormat="1">
      <alignment horizontal="right" readingOrder="0" vertical="bottom"/>
    </xf>
    <xf borderId="0" fillId="0" fontId="33" numFmtId="10" xfId="0" applyFont="1" applyNumberFormat="1"/>
    <xf borderId="0" fillId="174" fontId="1" numFmtId="0" xfId="0" applyFont="1"/>
    <xf borderId="0" fillId="174" fontId="1" numFmtId="0" xfId="0" applyAlignment="1" applyFont="1">
      <alignment horizontal="center"/>
    </xf>
    <xf borderId="1" fillId="28" fontId="4" numFmtId="1" xfId="0" applyAlignment="1" applyBorder="1" applyFont="1" applyNumberFormat="1">
      <alignment horizontal="left" vertical="bottom"/>
    </xf>
    <xf borderId="0" fillId="175" fontId="4" numFmtId="168" xfId="0" applyAlignment="1" applyFill="1" applyFont="1" applyNumberFormat="1">
      <alignment horizontal="right" vertical="bottom"/>
    </xf>
    <xf borderId="0" fillId="176" fontId="4" numFmtId="168" xfId="0" applyAlignment="1" applyFill="1" applyFont="1" applyNumberFormat="1">
      <alignment horizontal="right" vertical="bottom"/>
    </xf>
    <xf borderId="0" fillId="177" fontId="4" numFmtId="168" xfId="0" applyAlignment="1" applyFill="1" applyFont="1" applyNumberFormat="1">
      <alignment horizontal="right" vertical="bottom"/>
    </xf>
    <xf borderId="0" fillId="178" fontId="4" numFmtId="168" xfId="0" applyAlignment="1" applyFill="1" applyFont="1" applyNumberFormat="1">
      <alignment horizontal="right" vertical="bottom"/>
    </xf>
    <xf borderId="0" fillId="179" fontId="4" numFmtId="168" xfId="0" applyAlignment="1" applyFill="1" applyFont="1" applyNumberFormat="1">
      <alignment horizontal="right" vertical="bottom"/>
    </xf>
    <xf borderId="0" fillId="180" fontId="4" numFmtId="168" xfId="0" applyAlignment="1" applyFill="1" applyFont="1" applyNumberFormat="1">
      <alignment horizontal="right" vertical="bottom"/>
    </xf>
    <xf borderId="0" fillId="181" fontId="4" numFmtId="168" xfId="0" applyAlignment="1" applyFill="1" applyFont="1" applyNumberFormat="1">
      <alignment horizontal="right" vertical="bottom"/>
    </xf>
    <xf borderId="0" fillId="182" fontId="4" numFmtId="168" xfId="0" applyAlignment="1" applyFill="1" applyFont="1" applyNumberFormat="1">
      <alignment horizontal="right" vertical="bottom"/>
    </xf>
    <xf borderId="0" fillId="183" fontId="4" numFmtId="168" xfId="0" applyAlignment="1" applyFill="1" applyFont="1" applyNumberFormat="1">
      <alignment horizontal="right" vertical="bottom"/>
    </xf>
    <xf borderId="0" fillId="184" fontId="4" numFmtId="168" xfId="0" applyAlignment="1" applyFill="1" applyFont="1" applyNumberFormat="1">
      <alignment horizontal="right" vertical="bottom"/>
    </xf>
    <xf borderId="0" fillId="185" fontId="4" numFmtId="168" xfId="0" applyAlignment="1" applyFill="1" applyFont="1" applyNumberFormat="1">
      <alignment horizontal="right" vertical="bottom"/>
    </xf>
    <xf borderId="0" fillId="186" fontId="4" numFmtId="168" xfId="0" applyAlignment="1" applyFill="1" applyFont="1" applyNumberFormat="1">
      <alignment horizontal="right" vertical="bottom"/>
    </xf>
    <xf borderId="0" fillId="187" fontId="4" numFmtId="168" xfId="0" applyAlignment="1" applyFill="1" applyFont="1" applyNumberFormat="1">
      <alignment horizontal="right" vertical="bottom"/>
    </xf>
    <xf borderId="0" fillId="188" fontId="4" numFmtId="168" xfId="0" applyAlignment="1" applyFill="1" applyFont="1" applyNumberFormat="1">
      <alignment horizontal="right" vertical="bottom"/>
    </xf>
    <xf borderId="0" fillId="189" fontId="4" numFmtId="168" xfId="0" applyAlignment="1" applyFill="1" applyFont="1" applyNumberFormat="1">
      <alignment horizontal="right" vertical="bottom"/>
    </xf>
    <xf borderId="0" fillId="190" fontId="4" numFmtId="168" xfId="0" applyAlignment="1" applyFill="1" applyFont="1" applyNumberFormat="1">
      <alignment horizontal="right" vertical="bottom"/>
    </xf>
    <xf borderId="0" fillId="191" fontId="4" numFmtId="168" xfId="0" applyAlignment="1" applyFill="1" applyFont="1" applyNumberFormat="1">
      <alignment horizontal="right" vertical="bottom"/>
    </xf>
    <xf borderId="0" fillId="0" fontId="4" numFmtId="173" xfId="0" applyAlignment="1" applyFont="1" applyNumberFormat="1">
      <alignment vertical="bottom"/>
    </xf>
    <xf borderId="0" fillId="0" fontId="4" numFmtId="173" xfId="0" applyAlignment="1" applyFont="1" applyNumberFormat="1">
      <alignment readingOrder="0" vertical="bottom"/>
    </xf>
    <xf borderId="2" fillId="0" fontId="5" numFmtId="168" xfId="0" applyAlignment="1" applyBorder="1" applyFont="1" applyNumberFormat="1">
      <alignment horizontal="right" readingOrder="0" vertical="bottom"/>
    </xf>
    <xf borderId="1" fillId="50" fontId="29" numFmtId="0" xfId="0" applyAlignment="1" applyBorder="1" applyFont="1">
      <alignment readingOrder="0" vertical="bottom"/>
    </xf>
    <xf borderId="1" fillId="51" fontId="4" numFmtId="0" xfId="0" applyAlignment="1" applyBorder="1" applyFont="1">
      <alignment readingOrder="0" vertical="bottom"/>
    </xf>
    <xf borderId="6" fillId="21" fontId="4" numFmtId="0" xfId="0" applyAlignment="1" applyBorder="1" applyFont="1">
      <alignment readingOrder="0" vertical="bottom"/>
    </xf>
    <xf borderId="3" fillId="0" fontId="4" numFmtId="168" xfId="0" applyAlignment="1" applyBorder="1" applyFont="1" applyNumberFormat="1">
      <alignment horizontal="right" readingOrder="0" vertical="bottom"/>
    </xf>
    <xf borderId="0" fillId="0" fontId="11" numFmtId="168" xfId="0" applyAlignment="1" applyFont="1" applyNumberFormat="1">
      <alignment horizontal="right" readingOrder="0" vertical="bottom"/>
    </xf>
    <xf borderId="0" fillId="0" fontId="4" numFmtId="168" xfId="0" applyAlignment="1" applyFont="1" applyNumberFormat="1">
      <alignment readingOrder="0" vertical="bottom"/>
    </xf>
    <xf borderId="0" fillId="0" fontId="45" numFmtId="168" xfId="0" applyAlignment="1" applyFont="1" applyNumberFormat="1">
      <alignment readingOrder="0" vertical="bottom"/>
    </xf>
    <xf borderId="0" fillId="0" fontId="11" numFmtId="168" xfId="0" applyAlignment="1" applyFont="1" applyNumberFormat="1">
      <alignment readingOrder="0" vertical="bottom"/>
    </xf>
    <xf borderId="1" fillId="8" fontId="4" numFmtId="0" xfId="0" applyAlignment="1" applyBorder="1" applyFont="1">
      <alignment readingOrder="0" vertical="bottom"/>
    </xf>
    <xf borderId="1" fillId="192" fontId="4" numFmtId="0" xfId="0" applyAlignment="1" applyBorder="1" applyFill="1" applyFont="1">
      <alignment readingOrder="0" vertical="bottom"/>
    </xf>
    <xf borderId="6" fillId="8" fontId="4" numFmtId="0" xfId="0" applyAlignment="1" applyBorder="1" applyFont="1">
      <alignment readingOrder="0" vertical="bottom"/>
    </xf>
    <xf borderId="3" fillId="0" fontId="4" numFmtId="167" xfId="0" applyAlignment="1" applyBorder="1" applyFont="1" applyNumberFormat="1">
      <alignment vertical="bottom"/>
    </xf>
    <xf borderId="5" fillId="0" fontId="5" numFmtId="168" xfId="0" applyAlignment="1" applyBorder="1" applyFont="1" applyNumberFormat="1">
      <alignment horizontal="right" vertical="bottom"/>
    </xf>
    <xf borderId="0" fillId="0" fontId="7" numFmtId="167" xfId="0" applyAlignment="1" applyFont="1" applyNumberFormat="1">
      <alignment horizontal="right" vertical="bottom"/>
    </xf>
    <xf borderId="2" fillId="0" fontId="7" numFmtId="167" xfId="0" applyAlignment="1" applyBorder="1" applyFont="1" applyNumberFormat="1">
      <alignment horizontal="right" vertical="bottom"/>
    </xf>
    <xf borderId="0" fillId="193" fontId="4" numFmtId="173" xfId="0" applyAlignment="1" applyFill="1" applyFont="1" applyNumberFormat="1">
      <alignment vertical="bottom"/>
    </xf>
    <xf borderId="0" fillId="0" fontId="11" numFmtId="173" xfId="0" applyAlignment="1" applyFont="1" applyNumberFormat="1">
      <alignment readingOrder="0" vertical="bottom"/>
    </xf>
    <xf borderId="1" fillId="0" fontId="46" numFmtId="0" xfId="0" applyAlignment="1" applyBorder="1" applyFont="1">
      <alignment readingOrder="0" vertical="bottom"/>
    </xf>
    <xf borderId="0" fillId="0" fontId="46" numFmtId="168" xfId="0" applyAlignment="1" applyFont="1" applyNumberFormat="1">
      <alignment horizontal="right" vertical="bottom"/>
    </xf>
    <xf borderId="1" fillId="194" fontId="47" numFmtId="168" xfId="0" applyAlignment="1" applyBorder="1" applyFill="1" applyFont="1" applyNumberFormat="1">
      <alignment horizontal="right" vertical="bottom"/>
    </xf>
    <xf borderId="2" fillId="0" fontId="3" numFmtId="0" xfId="0" applyBorder="1" applyFont="1"/>
    <xf borderId="1" fillId="33" fontId="4" numFmtId="0" xfId="0" applyAlignment="1" applyBorder="1" applyFont="1">
      <alignment readingOrder="0" vertical="bottom"/>
    </xf>
    <xf borderId="0" fillId="0" fontId="7" numFmtId="10" xfId="0" applyAlignment="1" applyFont="1" applyNumberFormat="1">
      <alignment horizontal="right" vertical="bottom"/>
    </xf>
    <xf borderId="1" fillId="0" fontId="4" numFmtId="168" xfId="0" applyAlignment="1" applyBorder="1" applyFont="1" applyNumberFormat="1">
      <alignment readingOrder="0" vertical="bottom"/>
    </xf>
    <xf borderId="2" fillId="0" fontId="3" numFmtId="168" xfId="0" applyAlignment="1" applyBorder="1" applyFont="1" applyNumberFormat="1">
      <alignment horizontal="right" vertical="bottom"/>
    </xf>
    <xf borderId="0" fillId="0" fontId="3" numFmtId="168" xfId="0" applyAlignment="1" applyFont="1" applyNumberFormat="1">
      <alignment horizontal="right" vertical="bottom"/>
    </xf>
    <xf borderId="0" fillId="0" fontId="4" numFmtId="184" xfId="0" applyAlignment="1" applyFont="1" applyNumberFormat="1">
      <alignment vertical="bottom"/>
    </xf>
    <xf borderId="2" fillId="0" fontId="4" numFmtId="184" xfId="0" applyAlignment="1" applyBorder="1" applyFont="1" applyNumberFormat="1">
      <alignment vertical="bottom"/>
    </xf>
    <xf borderId="0" fillId="8" fontId="1" numFmtId="0" xfId="0" applyAlignment="1" applyFont="1">
      <alignment horizontal="center" readingOrder="0" shrinkToFit="0" vertical="center" wrapText="1"/>
    </xf>
    <xf borderId="0" fillId="4" fontId="1" numFmtId="0" xfId="0" applyAlignment="1" applyFont="1">
      <alignment horizontal="center" readingOrder="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4" fontId="1" numFmtId="0" xfId="0" applyAlignment="1" applyFont="1">
      <alignment horizontal="center" readingOrder="0" shrinkToFit="0" wrapText="1"/>
    </xf>
    <xf borderId="0" fillId="0" fontId="1" numFmtId="0" xfId="0" applyAlignment="1" applyFont="1">
      <alignment readingOrder="0" shrinkToFit="0" wrapText="1"/>
    </xf>
    <xf borderId="0" fillId="0" fontId="1" numFmtId="167" xfId="0" applyAlignment="1" applyFont="1" applyNumberFormat="1">
      <alignment horizontal="center" readingOrder="0" shrinkToFit="0" vertical="center" wrapText="1"/>
    </xf>
    <xf borderId="0" fillId="0" fontId="48" numFmtId="167" xfId="0" applyAlignment="1" applyFont="1" applyNumberFormat="1">
      <alignment horizontal="right" readingOrder="0"/>
    </xf>
    <xf borderId="0" fillId="0" fontId="1" numFmtId="167" xfId="0" applyAlignment="1" applyFont="1" applyNumberFormat="1">
      <alignment readingOrder="0"/>
    </xf>
    <xf borderId="0" fillId="0" fontId="0" numFmtId="167" xfId="0" applyAlignment="1" applyFont="1" applyNumberFormat="1">
      <alignment horizontal="right" readingOrder="0"/>
    </xf>
    <xf borderId="0" fillId="8" fontId="48" numFmtId="167" xfId="0" applyAlignment="1" applyFont="1" applyNumberFormat="1">
      <alignment horizontal="right" readingOrder="0"/>
    </xf>
    <xf borderId="0" fillId="0" fontId="49" numFmtId="167" xfId="0" applyAlignment="1" applyFont="1" applyNumberFormat="1">
      <alignment readingOrder="0"/>
    </xf>
    <xf borderId="0" fillId="4" fontId="48" numFmtId="167" xfId="0" applyAlignment="1" applyFont="1" applyNumberFormat="1">
      <alignment horizontal="right" readingOrder="0"/>
    </xf>
    <xf borderId="0" fillId="8" fontId="50" numFmtId="167" xfId="0" applyAlignment="1" applyFont="1" applyNumberFormat="1">
      <alignment readingOrder="0"/>
    </xf>
    <xf borderId="0" fillId="0" fontId="50" numFmtId="167" xfId="0" applyAlignment="1" applyFont="1" applyNumberFormat="1">
      <alignment readingOrder="0"/>
    </xf>
    <xf borderId="0" fillId="19" fontId="1" numFmtId="167" xfId="0" applyFont="1" applyNumberFormat="1"/>
    <xf borderId="0" fillId="4" fontId="1" numFmtId="167" xfId="0" applyFont="1" applyNumberFormat="1"/>
    <xf borderId="0" fillId="0" fontId="1" numFmtId="167" xfId="0" applyFont="1" applyNumberFormat="1"/>
    <xf borderId="0" fillId="0" fontId="1" numFmtId="167" xfId="0" applyFont="1" applyNumberFormat="1"/>
    <xf borderId="0" fillId="141" fontId="1" numFmtId="0" xfId="0" applyAlignment="1" applyFont="1">
      <alignment horizontal="center" readingOrder="0"/>
    </xf>
    <xf borderId="0" fillId="17" fontId="51" numFmtId="0" xfId="0" applyAlignment="1" applyFont="1">
      <alignment horizontal="left" readingOrder="0"/>
    </xf>
    <xf borderId="13" fillId="142" fontId="52" numFmtId="0" xfId="0" applyAlignment="1" applyBorder="1" applyFont="1">
      <alignment horizontal="center" readingOrder="0"/>
    </xf>
    <xf borderId="13" fillId="142" fontId="53" numFmtId="0" xfId="0" applyAlignment="1" applyBorder="1" applyFont="1">
      <alignment horizontal="center" readingOrder="0"/>
    </xf>
    <xf borderId="0" fillId="174" fontId="53" numFmtId="0" xfId="0" applyAlignment="1" applyFont="1">
      <alignment horizontal="center" readingOrder="0"/>
    </xf>
    <xf borderId="0" fillId="174" fontId="36" numFmtId="0" xfId="0" applyAlignment="1" applyFont="1">
      <alignment horizontal="center" readingOrder="0"/>
    </xf>
    <xf borderId="0" fillId="17" fontId="54" numFmtId="167" xfId="0" applyAlignment="1" applyFont="1" applyNumberFormat="1">
      <alignment readingOrder="0"/>
    </xf>
    <xf borderId="17" fillId="17" fontId="54" numFmtId="0" xfId="0" applyAlignment="1" applyBorder="1" applyFont="1">
      <alignment readingOrder="0"/>
    </xf>
    <xf borderId="17" fillId="26" fontId="54" numFmtId="167" xfId="0" applyAlignment="1" applyBorder="1" applyFont="1" applyNumberFormat="1">
      <alignment horizontal="center" readingOrder="0"/>
    </xf>
    <xf borderId="0" fillId="0" fontId="55" numFmtId="167" xfId="0" applyAlignment="1" applyFont="1" applyNumberFormat="1">
      <alignment horizontal="center" readingOrder="0"/>
    </xf>
    <xf borderId="17" fillId="0" fontId="1" numFmtId="0" xfId="0" applyAlignment="1" applyBorder="1" applyFont="1">
      <alignment readingOrder="0"/>
    </xf>
    <xf borderId="17" fillId="26" fontId="1" numFmtId="10" xfId="0" applyAlignment="1" applyBorder="1" applyFont="1" applyNumberFormat="1">
      <alignment horizontal="center"/>
    </xf>
    <xf borderId="0" fillId="174" fontId="1" numFmtId="167" xfId="0" applyAlignment="1" applyFont="1" applyNumberFormat="1">
      <alignment readingOrder="0"/>
    </xf>
    <xf borderId="17" fillId="0" fontId="54" numFmtId="0" xfId="0" applyAlignment="1" applyBorder="1" applyFont="1">
      <alignment readingOrder="0"/>
    </xf>
    <xf borderId="17" fillId="26" fontId="1" numFmtId="167" xfId="0" applyAlignment="1" applyBorder="1" applyFont="1" applyNumberFormat="1">
      <alignment horizontal="center" readingOrder="0"/>
    </xf>
    <xf borderId="0" fillId="174" fontId="55" numFmtId="167" xfId="0" applyAlignment="1" applyFont="1" applyNumberFormat="1">
      <alignment horizontal="center" readingOrder="0"/>
    </xf>
    <xf borderId="17" fillId="174" fontId="54" numFmtId="0" xfId="0" applyAlignment="1" applyBorder="1" applyFont="1">
      <alignment readingOrder="0"/>
    </xf>
    <xf borderId="17" fillId="26" fontId="1" numFmtId="10" xfId="0" applyAlignment="1" applyBorder="1" applyFont="1" applyNumberFormat="1">
      <alignment horizontal="center" readingOrder="0"/>
    </xf>
    <xf borderId="17" fillId="26" fontId="54" numFmtId="10" xfId="0" applyAlignment="1" applyBorder="1" applyFont="1" applyNumberFormat="1">
      <alignment horizontal="center" readingOrder="0"/>
    </xf>
    <xf borderId="17" fillId="26" fontId="1" numFmtId="175" xfId="0" applyAlignment="1" applyBorder="1" applyFont="1" applyNumberFormat="1">
      <alignment horizontal="center" readingOrder="0"/>
    </xf>
    <xf borderId="0" fillId="0" fontId="1" numFmtId="3" xfId="0" applyAlignment="1" applyFont="1" applyNumberFormat="1">
      <alignment readingOrder="0"/>
    </xf>
    <xf borderId="0" fillId="0" fontId="1" numFmtId="0" xfId="0" applyFont="1"/>
    <xf borderId="0" fillId="174" fontId="36" numFmtId="0" xfId="0" applyAlignment="1" applyFont="1">
      <alignment horizontal="right" readingOrder="0"/>
    </xf>
    <xf borderId="17" fillId="4" fontId="1" numFmtId="167" xfId="0" applyAlignment="1" applyBorder="1" applyFont="1" applyNumberFormat="1">
      <alignment horizontal="center" readingOrder="0"/>
    </xf>
    <xf borderId="17" fillId="26" fontId="1" numFmtId="176" xfId="0" applyAlignment="1" applyBorder="1" applyFont="1" applyNumberFormat="1">
      <alignment horizontal="center" readingOrder="0"/>
    </xf>
    <xf borderId="17" fillId="26" fontId="1" numFmtId="9" xfId="0" applyAlignment="1" applyBorder="1" applyFont="1" applyNumberFormat="1">
      <alignment horizontal="center" readingOrder="0"/>
    </xf>
    <xf borderId="0" fillId="0" fontId="55" numFmtId="0" xfId="0" applyAlignment="1" applyFont="1">
      <alignment horizontal="center"/>
    </xf>
    <xf borderId="0" fillId="8" fontId="1" numFmtId="3" xfId="0" applyAlignment="1" applyFont="1" applyNumberFormat="1">
      <alignment readingOrder="0"/>
    </xf>
    <xf borderId="17" fillId="26" fontId="1" numFmtId="167" xfId="0" applyAlignment="1" applyBorder="1" applyFont="1" applyNumberFormat="1">
      <alignment horizontal="center"/>
    </xf>
    <xf borderId="17" fillId="26" fontId="1" numFmtId="177" xfId="0" applyAlignment="1" applyBorder="1" applyFont="1" applyNumberFormat="1">
      <alignment horizontal="center" readingOrder="0"/>
    </xf>
    <xf borderId="0" fillId="0" fontId="1" numFmtId="178" xfId="0" applyAlignment="1" applyFont="1" applyNumberFormat="1">
      <alignment horizontal="center" readingOrder="0"/>
    </xf>
    <xf borderId="0" fillId="0" fontId="1" numFmtId="1" xfId="0" applyAlignment="1" applyFont="1" applyNumberFormat="1">
      <alignment readingOrder="0"/>
    </xf>
    <xf borderId="0" fillId="0" fontId="56" numFmtId="0" xfId="0" applyAlignment="1" applyFont="1">
      <alignment readingOrder="0"/>
    </xf>
    <xf borderId="17" fillId="17" fontId="1" numFmtId="0" xfId="0" applyAlignment="1" applyBorder="1" applyFont="1">
      <alignment horizontal="left" readingOrder="0"/>
    </xf>
    <xf borderId="17" fillId="174" fontId="1" numFmtId="0" xfId="0" applyAlignment="1" applyBorder="1" applyFont="1">
      <alignment readingOrder="0"/>
    </xf>
    <xf borderId="0" fillId="19" fontId="1" numFmtId="3" xfId="0" applyAlignment="1" applyFont="1" applyNumberFormat="1">
      <alignment readingOrder="0"/>
    </xf>
    <xf borderId="0" fillId="17" fontId="54" numFmtId="179" xfId="0" applyAlignment="1" applyFont="1" applyNumberFormat="1">
      <alignment readingOrder="0"/>
    </xf>
    <xf borderId="0" fillId="0" fontId="1" numFmtId="0" xfId="0" applyAlignment="1" applyFont="1">
      <alignment readingOrder="0"/>
    </xf>
    <xf borderId="17" fillId="4" fontId="1" numFmtId="167" xfId="0" applyAlignment="1" applyBorder="1" applyFont="1" applyNumberFormat="1">
      <alignment readingOrder="0"/>
    </xf>
    <xf borderId="0" fillId="0" fontId="1" numFmtId="0" xfId="0" applyAlignment="1" applyFont="1">
      <alignment horizontal="left" readingOrder="0"/>
    </xf>
    <xf borderId="0" fillId="0" fontId="1" numFmtId="167" xfId="0" applyAlignment="1" applyFont="1" applyNumberFormat="1">
      <alignment horizontal="center" readingOrder="0"/>
    </xf>
    <xf borderId="0" fillId="19" fontId="1" numFmtId="3" xfId="0" applyFont="1" applyNumberFormat="1"/>
    <xf borderId="0" fillId="17" fontId="36" numFmtId="167" xfId="0" applyAlignment="1" applyFont="1" applyNumberFormat="1">
      <alignment horizontal="center" vertical="center"/>
    </xf>
    <xf borderId="0" fillId="174" fontId="1" numFmtId="167" xfId="0" applyAlignment="1" applyFont="1" applyNumberFormat="1">
      <alignment horizontal="center" readingOrder="0"/>
    </xf>
    <xf borderId="0" fillId="17" fontId="36" numFmtId="167" xfId="0" applyAlignment="1" applyFont="1" applyNumberFormat="1">
      <alignment horizontal="center"/>
    </xf>
    <xf borderId="0" fillId="0" fontId="1" numFmtId="180" xfId="0" applyAlignment="1" applyFont="1" applyNumberFormat="1">
      <alignment readingOrder="0"/>
    </xf>
    <xf borderId="17" fillId="30" fontId="1" numFmtId="10" xfId="0" applyAlignment="1" applyBorder="1" applyFont="1" applyNumberFormat="1">
      <alignment horizontal="center" readingOrder="0"/>
    </xf>
    <xf borderId="0" fillId="174" fontId="53" numFmtId="0" xfId="0" applyAlignment="1" applyFont="1">
      <alignment readingOrder="0"/>
    </xf>
    <xf borderId="0" fillId="174" fontId="54" numFmtId="167" xfId="0" applyAlignment="1" applyFont="1" applyNumberFormat="1">
      <alignment readingOrder="0"/>
    </xf>
    <xf borderId="17" fillId="0" fontId="1" numFmtId="167" xfId="0" applyAlignment="1" applyBorder="1" applyFont="1" applyNumberFormat="1">
      <alignment horizontal="center"/>
    </xf>
    <xf borderId="17" fillId="30" fontId="1" numFmtId="167" xfId="0" applyAlignment="1" applyBorder="1" applyFont="1" applyNumberFormat="1">
      <alignment horizontal="center" readingOrder="0"/>
    </xf>
    <xf borderId="17" fillId="142" fontId="53" numFmtId="0" xfId="0" applyAlignment="1" applyBorder="1" applyFont="1">
      <alignment readingOrder="0"/>
    </xf>
    <xf borderId="17" fillId="142" fontId="53" numFmtId="0" xfId="0" applyAlignment="1" applyBorder="1" applyFont="1">
      <alignment horizontal="center" readingOrder="0"/>
    </xf>
    <xf borderId="0" fillId="0" fontId="36" numFmtId="167" xfId="0" applyAlignment="1" applyFont="1" applyNumberFormat="1">
      <alignment horizontal="center" readingOrder="0"/>
    </xf>
    <xf borderId="0" fillId="0" fontId="1" numFmtId="181" xfId="0" applyFont="1" applyNumberFormat="1"/>
    <xf borderId="17" fillId="0" fontId="1" numFmtId="0" xfId="0" applyAlignment="1" applyBorder="1" applyFont="1">
      <alignment readingOrder="0"/>
    </xf>
    <xf borderId="17" fillId="26" fontId="36" numFmtId="167" xfId="0" applyAlignment="1" applyBorder="1" applyFont="1" applyNumberFormat="1">
      <alignment horizontal="center"/>
    </xf>
    <xf borderId="0" fillId="0" fontId="57" numFmtId="0" xfId="0" applyAlignment="1" applyFont="1">
      <alignment readingOrder="0"/>
    </xf>
    <xf borderId="0" fillId="174" fontId="1" numFmtId="175" xfId="0" applyAlignment="1" applyFont="1" applyNumberFormat="1">
      <alignment readingOrder="0"/>
    </xf>
    <xf borderId="0" fillId="174" fontId="54" numFmtId="0" xfId="0" applyFont="1"/>
    <xf borderId="0" fillId="0" fontId="1" numFmtId="167" xfId="0" applyAlignment="1" applyFont="1" applyNumberFormat="1">
      <alignment readingOrder="0"/>
    </xf>
    <xf borderId="0" fillId="174" fontId="54" numFmtId="10" xfId="0" applyAlignment="1" applyFont="1" applyNumberFormat="1">
      <alignment readingOrder="0"/>
    </xf>
    <xf borderId="17" fillId="174" fontId="1" numFmtId="175" xfId="0" applyAlignment="1" applyBorder="1" applyFont="1" applyNumberFormat="1">
      <alignment readingOrder="0"/>
    </xf>
    <xf borderId="0" fillId="0" fontId="55" numFmtId="167" xfId="0" applyAlignment="1" applyFont="1" applyNumberFormat="1">
      <alignment horizontal="center"/>
    </xf>
    <xf borderId="17" fillId="174" fontId="54" numFmtId="167" xfId="0" applyAlignment="1" applyBorder="1" applyFont="1" applyNumberFormat="1">
      <alignment horizontal="center" readingOrder="0"/>
    </xf>
    <xf borderId="17" fillId="174" fontId="1" numFmtId="167" xfId="0" applyAlignment="1" applyBorder="1" applyFont="1" applyNumberFormat="1">
      <alignment horizontal="center" readingOrder="0"/>
    </xf>
    <xf borderId="0" fillId="174" fontId="58" numFmtId="167" xfId="0" applyAlignment="1" applyFont="1" applyNumberFormat="1">
      <alignment horizontal="center" readingOrder="0"/>
    </xf>
    <xf borderId="17" fillId="174" fontId="54" numFmtId="167" xfId="0" applyAlignment="1" applyBorder="1" applyFont="1" applyNumberFormat="1">
      <alignment horizontal="center" readingOrder="0"/>
    </xf>
    <xf borderId="0" fillId="174" fontId="59" numFmtId="0" xfId="0" applyAlignment="1" applyFont="1">
      <alignment horizontal="center" readingOrder="0" vertical="center"/>
    </xf>
    <xf borderId="0" fillId="0" fontId="55" numFmtId="167" xfId="0" applyAlignment="1" applyFont="1" applyNumberFormat="1">
      <alignment horizontal="center"/>
    </xf>
    <xf borderId="17" fillId="174" fontId="54" numFmtId="10" xfId="0" applyAlignment="1" applyBorder="1" applyFont="1" applyNumberFormat="1">
      <alignment horizontal="center" readingOrder="0"/>
    </xf>
    <xf borderId="0" fillId="21" fontId="1" numFmtId="0" xfId="0" applyAlignment="1" applyFont="1">
      <alignment readingOrder="0"/>
    </xf>
    <xf borderId="0" fillId="0" fontId="55" numFmtId="0" xfId="0" applyFont="1"/>
    <xf borderId="0" fillId="21" fontId="1" numFmtId="167" xfId="0" applyFont="1" applyNumberFormat="1"/>
    <xf borderId="0" fillId="22" fontId="1" numFmtId="0" xfId="0" applyAlignment="1" applyFont="1">
      <alignment readingOrder="0"/>
    </xf>
    <xf borderId="0" fillId="22" fontId="1" numFmtId="167" xfId="0" applyFont="1" applyNumberFormat="1"/>
    <xf borderId="0" fillId="31" fontId="1" numFmtId="0" xfId="0" applyAlignment="1" applyFont="1">
      <alignment readingOrder="0"/>
    </xf>
    <xf borderId="0" fillId="0" fontId="1" numFmtId="2" xfId="0" applyFont="1" applyNumberFormat="1"/>
    <xf borderId="25" fillId="0" fontId="60" numFmtId="0" xfId="0" applyAlignment="1" applyBorder="1" applyFont="1">
      <alignment readingOrder="0"/>
    </xf>
    <xf borderId="25" fillId="0" fontId="1" numFmtId="0" xfId="0" applyBorder="1" applyFont="1"/>
    <xf borderId="0" fillId="0" fontId="1" numFmtId="10" xfId="0" applyAlignment="1" applyFont="1" applyNumberFormat="1">
      <alignment readingOrder="0"/>
    </xf>
    <xf borderId="25" fillId="0" fontId="1" numFmtId="0" xfId="0" applyAlignment="1" applyBorder="1" applyFont="1">
      <alignment readingOrder="0" vertical="top"/>
    </xf>
    <xf borderId="0" fillId="174" fontId="61" numFmtId="0" xfId="0" applyAlignment="1" applyFont="1">
      <alignment horizontal="center" readingOrder="0" shrinkToFit="0" vertical="bottom" wrapText="0"/>
    </xf>
    <xf borderId="0" fillId="174" fontId="61" numFmtId="185" xfId="0" applyAlignment="1" applyFont="1" applyNumberFormat="1">
      <alignment horizontal="center" readingOrder="0" shrinkToFit="0" vertical="bottom" wrapText="0"/>
    </xf>
    <xf borderId="0" fillId="174" fontId="61" numFmtId="0" xfId="0" applyAlignment="1" applyFont="1">
      <alignment horizontal="center" shrinkToFit="0" vertical="bottom" wrapText="0"/>
    </xf>
    <xf borderId="0" fillId="174" fontId="62" numFmtId="0" xfId="0" applyAlignment="1" applyFont="1">
      <alignment horizontal="center" readingOrder="0" shrinkToFit="0" vertical="bottom" wrapText="0"/>
    </xf>
    <xf borderId="17" fillId="195" fontId="61" numFmtId="0" xfId="0" applyAlignment="1" applyBorder="1" applyFill="1" applyFont="1">
      <alignment horizontal="center" readingOrder="0" shrinkToFit="0" vertical="bottom" wrapText="0"/>
    </xf>
    <xf borderId="17" fillId="195" fontId="61" numFmtId="185" xfId="0" applyAlignment="1" applyBorder="1" applyFont="1" applyNumberFormat="1">
      <alignment horizontal="center" readingOrder="0" shrinkToFit="0" vertical="bottom" wrapText="0"/>
    </xf>
    <xf borderId="17" fillId="195" fontId="61" numFmtId="0" xfId="0" applyAlignment="1" applyBorder="1" applyFont="1">
      <alignment horizontal="center" shrinkToFit="0" vertical="bottom" wrapText="0"/>
    </xf>
    <xf borderId="13" fillId="159" fontId="62" numFmtId="0" xfId="0" applyAlignment="1" applyBorder="1" applyFont="1">
      <alignment horizontal="center" readingOrder="0" shrinkToFit="0" vertical="bottom" wrapText="0"/>
    </xf>
    <xf borderId="0" fillId="30" fontId="1" numFmtId="167" xfId="0" applyAlignment="1" applyFont="1" applyNumberFormat="1">
      <alignment horizontal="right" readingOrder="0"/>
    </xf>
    <xf borderId="0" fillId="30" fontId="1" numFmtId="167" xfId="0" applyAlignment="1" applyFont="1" applyNumberFormat="1">
      <alignment readingOrder="0"/>
    </xf>
    <xf borderId="24" fillId="193" fontId="62" numFmtId="0" xfId="0" applyAlignment="1" applyBorder="1" applyFont="1">
      <alignment horizontal="center" readingOrder="0" shrinkToFit="0" vertical="bottom" wrapText="0"/>
    </xf>
    <xf borderId="17" fillId="195" fontId="63" numFmtId="0" xfId="0" applyAlignment="1" applyBorder="1" applyFont="1">
      <alignment readingOrder="0" shrinkToFit="0" vertical="bottom" wrapText="0"/>
    </xf>
    <xf borderId="17" fillId="195" fontId="64" numFmtId="0" xfId="0" applyAlignment="1" applyBorder="1" applyFont="1">
      <alignment horizontal="center" readingOrder="0" shrinkToFit="0" vertical="bottom" wrapText="0"/>
    </xf>
    <xf borderId="0" fillId="30" fontId="1" numFmtId="167" xfId="0" applyAlignment="1" applyFont="1" applyNumberFormat="1">
      <alignment readingOrder="0"/>
    </xf>
    <xf borderId="25" fillId="0" fontId="53" numFmtId="0" xfId="0" applyAlignment="1" applyBorder="1" applyFont="1">
      <alignment readingOrder="0"/>
    </xf>
    <xf borderId="23" fillId="195" fontId="65" numFmtId="0" xfId="0" applyAlignment="1" applyBorder="1" applyFont="1">
      <alignment horizontal="center" readingOrder="0" shrinkToFit="0" vertical="bottom" wrapText="0"/>
    </xf>
    <xf borderId="16" fillId="0" fontId="18" numFmtId="0" xfId="0" applyBorder="1" applyFont="1"/>
    <xf borderId="22" fillId="0" fontId="18" numFmtId="0" xfId="0" applyBorder="1" applyFont="1"/>
    <xf borderId="4" fillId="159" fontId="66" numFmtId="0" xfId="0" applyAlignment="1" applyBorder="1" applyFont="1">
      <alignment readingOrder="0" shrinkToFit="0" vertical="bottom" wrapText="0"/>
    </xf>
    <xf borderId="6" fillId="159" fontId="62" numFmtId="175" xfId="0" applyAlignment="1" applyBorder="1" applyFont="1" applyNumberFormat="1">
      <alignment horizontal="center" readingOrder="0" shrinkToFit="0" vertical="bottom" wrapText="0"/>
    </xf>
    <xf borderId="6" fillId="193" fontId="66" numFmtId="0" xfId="0" applyAlignment="1" applyBorder="1" applyFont="1">
      <alignment horizontal="left" readingOrder="0" shrinkToFit="0" vertical="bottom" wrapText="0"/>
    </xf>
    <xf borderId="6" fillId="193" fontId="62" numFmtId="175" xfId="0" applyAlignment="1" applyBorder="1" applyFont="1" applyNumberFormat="1">
      <alignment horizontal="center" readingOrder="0" shrinkToFit="0" vertical="bottom" wrapText="0"/>
    </xf>
    <xf borderId="0" fillId="30" fontId="67" numFmtId="167" xfId="0" applyAlignment="1" applyFont="1" applyNumberFormat="1">
      <alignment horizontal="right" readingOrder="0" vertical="bottom"/>
    </xf>
    <xf borderId="17" fillId="30" fontId="64" numFmtId="0" xfId="0" applyAlignment="1" applyBorder="1" applyFont="1">
      <alignment horizontal="center" readingOrder="0" shrinkToFit="0" vertical="bottom" wrapText="0"/>
    </xf>
    <xf borderId="5" fillId="0" fontId="18" numFmtId="0" xfId="0" applyBorder="1" applyFont="1"/>
    <xf borderId="0" fillId="30" fontId="1" numFmtId="10" xfId="0" applyAlignment="1" applyFont="1" applyNumberFormat="1">
      <alignment readingOrder="0"/>
    </xf>
    <xf borderId="6" fillId="159" fontId="62" numFmtId="0" xfId="0" applyAlignment="1" applyBorder="1" applyFont="1">
      <alignment horizontal="center" readingOrder="0" shrinkToFit="0" vertical="bottom" wrapText="0"/>
    </xf>
    <xf borderId="6" fillId="193" fontId="62" numFmtId="0" xfId="0" applyAlignment="1" applyBorder="1" applyFont="1">
      <alignment horizontal="center" readingOrder="0" shrinkToFit="0" vertical="bottom" wrapText="0"/>
    </xf>
    <xf borderId="17" fillId="26" fontId="68" numFmtId="0" xfId="0" applyAlignment="1" applyBorder="1" applyFont="1">
      <alignment shrinkToFit="0" vertical="bottom" wrapText="0"/>
    </xf>
    <xf borderId="13" fillId="26" fontId="69" numFmtId="0" xfId="0" applyAlignment="1" applyBorder="1" applyFont="1">
      <alignment horizontal="center" readingOrder="0"/>
    </xf>
    <xf borderId="24" fillId="0" fontId="18" numFmtId="0" xfId="0" applyBorder="1" applyFont="1"/>
    <xf borderId="17" fillId="26" fontId="70" numFmtId="0" xfId="0" applyAlignment="1" applyBorder="1" applyFont="1">
      <alignment horizontal="center" readingOrder="0"/>
    </xf>
    <xf borderId="17" fillId="30" fontId="70" numFmtId="0" xfId="0" applyAlignment="1" applyBorder="1" applyFont="1">
      <alignment horizontal="center" readingOrder="0"/>
    </xf>
    <xf borderId="25" fillId="0" fontId="1" numFmtId="0" xfId="0" applyAlignment="1" applyBorder="1" applyFont="1">
      <alignment readingOrder="0"/>
    </xf>
    <xf borderId="6" fillId="159" fontId="62" numFmtId="3" xfId="0" applyAlignment="1" applyBorder="1" applyFont="1" applyNumberFormat="1">
      <alignment horizontal="center" readingOrder="0" shrinkToFit="0" vertical="bottom" wrapText="0"/>
    </xf>
    <xf borderId="6" fillId="193" fontId="62" numFmtId="3" xfId="0" applyAlignment="1" applyBorder="1" applyFont="1" applyNumberFormat="1">
      <alignment horizontal="center" readingOrder="0" shrinkToFit="0" vertical="bottom" wrapText="0"/>
    </xf>
    <xf borderId="26" fillId="17" fontId="71" numFmtId="0" xfId="0" applyAlignment="1" applyBorder="1" applyFont="1">
      <alignment horizontal="center" readingOrder="0" shrinkToFit="0" vertical="bottom" wrapText="0"/>
    </xf>
    <xf borderId="25" fillId="0" fontId="72" numFmtId="0" xfId="0" applyBorder="1" applyFont="1"/>
    <xf borderId="27" fillId="17" fontId="73" numFmtId="175" xfId="0" applyAlignment="1" applyBorder="1" applyFont="1" applyNumberFormat="1">
      <alignment horizontal="center" readingOrder="0" shrinkToFit="0" vertical="bottom" wrapText="0"/>
    </xf>
    <xf borderId="0" fillId="3" fontId="1" numFmtId="174" xfId="0" applyAlignment="1" applyFont="1" applyNumberFormat="1">
      <alignment readingOrder="0"/>
    </xf>
    <xf borderId="27" fillId="17" fontId="73" numFmtId="175" xfId="0" applyAlignment="1" applyBorder="1" applyFont="1" applyNumberFormat="1">
      <alignment horizontal="center" shrinkToFit="0" vertical="bottom" wrapText="0"/>
    </xf>
    <xf borderId="0" fillId="3" fontId="1" numFmtId="0" xfId="0" applyAlignment="1" applyFont="1">
      <alignment horizontal="right" readingOrder="0"/>
    </xf>
    <xf borderId="28" fillId="17" fontId="73" numFmtId="175" xfId="0" applyAlignment="1" applyBorder="1" applyFont="1" applyNumberFormat="1">
      <alignment horizontal="center" readingOrder="0" shrinkToFit="0" vertical="bottom" wrapText="0"/>
    </xf>
    <xf borderId="0" fillId="0" fontId="74" numFmtId="175" xfId="0" applyAlignment="1" applyFont="1" applyNumberFormat="1">
      <alignment readingOrder="0"/>
    </xf>
    <xf borderId="28" fillId="17" fontId="75" numFmtId="9" xfId="0" applyAlignment="1" applyBorder="1" applyFont="1" applyNumberFormat="1">
      <alignment horizontal="center" readingOrder="0" shrinkToFit="0" vertical="bottom" wrapText="0"/>
    </xf>
    <xf borderId="0" fillId="0" fontId="74" numFmtId="10" xfId="0" applyFont="1" applyNumberFormat="1"/>
    <xf borderId="27" fillId="17" fontId="71" numFmtId="175" xfId="0" applyAlignment="1" applyBorder="1" applyFont="1" applyNumberFormat="1">
      <alignment horizontal="center" readingOrder="0" shrinkToFit="0" vertical="bottom" wrapText="0"/>
    </xf>
    <xf borderId="6" fillId="193" fontId="66" numFmtId="0" xfId="0" applyAlignment="1" applyBorder="1" applyFont="1">
      <alignment horizontal="center" shrinkToFit="0" vertical="bottom" wrapText="0"/>
    </xf>
    <xf borderId="0" fillId="0" fontId="1" numFmtId="2" xfId="0" applyAlignment="1" applyFont="1" applyNumberFormat="1">
      <alignment readingOrder="0"/>
    </xf>
    <xf borderId="29" fillId="17" fontId="71" numFmtId="0" xfId="0" applyAlignment="1" applyBorder="1" applyFont="1">
      <alignment horizontal="center" readingOrder="0" shrinkToFit="0" vertical="bottom" wrapText="0"/>
    </xf>
    <xf borderId="0" fillId="0" fontId="74" numFmtId="2" xfId="0" applyAlignment="1" applyFont="1" applyNumberFormat="1">
      <alignment readingOrder="0"/>
    </xf>
    <xf borderId="30" fillId="3" fontId="73" numFmtId="175" xfId="0" applyAlignment="1" applyBorder="1" applyFont="1" applyNumberFormat="1">
      <alignment horizontal="center" readingOrder="0" shrinkToFit="0" vertical="bottom" wrapText="0"/>
    </xf>
    <xf borderId="30" fillId="3" fontId="73" numFmtId="175" xfId="0" applyAlignment="1" applyBorder="1" applyFont="1" applyNumberFormat="1">
      <alignment horizontal="center" shrinkToFit="0" vertical="bottom" wrapText="0"/>
    </xf>
    <xf borderId="0" fillId="0" fontId="74" numFmtId="167" xfId="0" applyAlignment="1" applyFont="1" applyNumberFormat="1">
      <alignment readingOrder="0"/>
    </xf>
    <xf borderId="31" fillId="17" fontId="75" numFmtId="9" xfId="0" applyAlignment="1" applyBorder="1" applyFont="1" applyNumberFormat="1">
      <alignment horizontal="center" readingOrder="0" shrinkToFit="0" vertical="bottom" wrapText="0"/>
    </xf>
    <xf borderId="30" fillId="17" fontId="71" numFmtId="175" xfId="0" applyAlignment="1" applyBorder="1" applyFont="1" applyNumberFormat="1">
      <alignment horizontal="center" readingOrder="0" shrinkToFit="0" vertical="bottom" wrapText="0"/>
    </xf>
    <xf borderId="0" fillId="0" fontId="74" numFmtId="10" xfId="0" applyAlignment="1" applyFont="1" applyNumberFormat="1">
      <alignment readingOrder="0"/>
    </xf>
    <xf borderId="6" fillId="159" fontId="62" numFmtId="9" xfId="0" applyAlignment="1" applyBorder="1" applyFont="1" applyNumberFormat="1">
      <alignment horizontal="center" readingOrder="0" shrinkToFit="0" vertical="bottom" wrapText="0"/>
    </xf>
    <xf borderId="32" fillId="0" fontId="1" numFmtId="0" xfId="0" applyAlignment="1" applyBorder="1" applyFont="1">
      <alignment readingOrder="0" shrinkToFit="0" vertical="top" wrapText="1"/>
    </xf>
    <xf borderId="6" fillId="193" fontId="76" numFmtId="0" xfId="0" applyAlignment="1" applyBorder="1" applyFont="1">
      <alignment horizontal="center" shrinkToFit="0" vertical="bottom" wrapText="0"/>
    </xf>
    <xf borderId="33" fillId="0" fontId="18" numFmtId="0" xfId="0" applyBorder="1" applyFont="1"/>
    <xf borderId="34" fillId="0" fontId="18" numFmtId="0" xfId="0" applyBorder="1" applyFont="1"/>
    <xf borderId="0" fillId="0" fontId="1" numFmtId="167" xfId="0" applyAlignment="1" applyFont="1" applyNumberFormat="1">
      <alignment horizontal="right" readingOrder="0"/>
    </xf>
    <xf borderId="30" fillId="17" fontId="73" numFmtId="175" xfId="0" applyAlignment="1" applyBorder="1" applyFont="1" applyNumberFormat="1">
      <alignment horizontal="center" shrinkToFit="0" vertical="bottom" wrapText="0"/>
    </xf>
    <xf borderId="0" fillId="0" fontId="1" numFmtId="3" xfId="0" applyFont="1" applyNumberFormat="1"/>
    <xf borderId="0" fillId="0" fontId="74" numFmtId="0" xfId="0" applyAlignment="1" applyFont="1">
      <alignment readingOrder="0"/>
    </xf>
    <xf borderId="4" fillId="159" fontId="76" numFmtId="0" xfId="0" applyAlignment="1" applyBorder="1" applyFont="1">
      <alignment readingOrder="0" shrinkToFit="0" vertical="bottom" wrapText="0"/>
    </xf>
    <xf borderId="0" fillId="17" fontId="1" numFmtId="3" xfId="0" applyAlignment="1" applyFont="1" applyNumberFormat="1">
      <alignment horizontal="right"/>
    </xf>
    <xf borderId="6" fillId="159" fontId="62" numFmtId="167" xfId="0" applyAlignment="1" applyBorder="1" applyFont="1" applyNumberFormat="1">
      <alignment horizontal="center" readingOrder="0" shrinkToFit="0" vertical="bottom" wrapText="0"/>
    </xf>
    <xf borderId="0" fillId="0" fontId="77" numFmtId="167" xfId="0" applyAlignment="1" applyFont="1" applyNumberFormat="1">
      <alignment horizontal="left" readingOrder="0"/>
    </xf>
    <xf borderId="17" fillId="195" fontId="62" numFmtId="0" xfId="0" applyAlignment="1" applyBorder="1" applyFont="1">
      <alignment horizontal="left" readingOrder="0" shrinkToFit="0" vertical="bottom" wrapText="0"/>
    </xf>
    <xf borderId="17" fillId="195" fontId="62" numFmtId="0" xfId="0" applyAlignment="1" applyBorder="1" applyFont="1">
      <alignment horizontal="center" readingOrder="0" shrinkToFit="0" vertical="bottom" wrapText="0"/>
    </xf>
    <xf borderId="35" fillId="0" fontId="18" numFmtId="0" xfId="0" applyBorder="1" applyFont="1"/>
    <xf borderId="36" fillId="0" fontId="18" numFmtId="0" xfId="0" applyBorder="1" applyFont="1"/>
    <xf borderId="17" fillId="90" fontId="62" numFmtId="0" xfId="0" applyAlignment="1" applyBorder="1" applyFont="1">
      <alignment horizontal="center" readingOrder="0" shrinkToFit="0" vertical="bottom" wrapText="0"/>
    </xf>
    <xf borderId="37" fillId="0" fontId="18" numFmtId="0" xfId="0" applyBorder="1" applyFont="1"/>
    <xf borderId="4" fillId="0" fontId="66" numFmtId="0" xfId="0" applyAlignment="1" applyBorder="1" applyFont="1">
      <alignment readingOrder="0" shrinkToFit="0" vertical="bottom" wrapText="0"/>
    </xf>
    <xf borderId="6" fillId="196" fontId="66" numFmtId="175" xfId="0" applyAlignment="1" applyBorder="1" applyFill="1" applyFont="1" applyNumberFormat="1">
      <alignment horizontal="center" readingOrder="0" shrinkToFit="0" vertical="bottom" wrapText="0"/>
    </xf>
    <xf borderId="6" fillId="0" fontId="66" numFmtId="167" xfId="0" applyAlignment="1" applyBorder="1" applyFont="1" applyNumberFormat="1">
      <alignment horizontal="center" shrinkToFit="0" vertical="bottom" wrapText="0"/>
    </xf>
    <xf borderId="17" fillId="174" fontId="66" numFmtId="9" xfId="0" applyAlignment="1" applyBorder="1" applyFont="1" applyNumberFormat="1">
      <alignment horizontal="center" readingOrder="0" shrinkToFit="0" vertical="bottom" wrapText="0"/>
    </xf>
    <xf borderId="6" fillId="26" fontId="66" numFmtId="3" xfId="0" applyAlignment="1" applyBorder="1" applyFont="1" applyNumberFormat="1">
      <alignment horizontal="center" readingOrder="0" shrinkToFit="0" vertical="bottom" wrapText="0"/>
    </xf>
    <xf borderId="6" fillId="0" fontId="66" numFmtId="3" xfId="0" applyAlignment="1" applyBorder="1" applyFont="1" applyNumberFormat="1">
      <alignment horizontal="center" shrinkToFit="0" vertical="bottom" wrapText="0"/>
    </xf>
    <xf borderId="25" fillId="0" fontId="53" numFmtId="0" xfId="0" applyAlignment="1" applyBorder="1" applyFont="1">
      <alignment readingOrder="0"/>
    </xf>
    <xf borderId="6" fillId="0" fontId="66" numFmtId="2" xfId="0" applyAlignment="1" applyBorder="1" applyFont="1" applyNumberFormat="1">
      <alignment horizontal="center" readingOrder="0" shrinkToFit="0" vertical="bottom" wrapText="0"/>
    </xf>
    <xf borderId="6" fillId="0" fontId="66" numFmtId="2" xfId="0" applyAlignment="1" applyBorder="1" applyFont="1" applyNumberFormat="1">
      <alignment horizontal="center" shrinkToFit="0" vertical="bottom" wrapText="0"/>
    </xf>
    <xf borderId="6" fillId="0" fontId="66" numFmtId="10" xfId="0" applyAlignment="1" applyBorder="1" applyFont="1" applyNumberFormat="1">
      <alignment horizontal="center" readingOrder="0" shrinkToFit="0" vertical="bottom" wrapText="0"/>
    </xf>
    <xf borderId="6" fillId="0" fontId="66" numFmtId="10" xfId="0" applyAlignment="1" applyBorder="1" applyFont="1" applyNumberFormat="1">
      <alignment horizontal="center" shrinkToFit="0" vertical="bottom" wrapText="0"/>
    </xf>
    <xf borderId="0" fillId="197" fontId="53" numFmtId="0" xfId="0" applyAlignment="1" applyFill="1" applyFont="1">
      <alignment horizontal="center" readingOrder="0"/>
    </xf>
    <xf borderId="6" fillId="26" fontId="66" numFmtId="10" xfId="0" applyAlignment="1" applyBorder="1" applyFont="1" applyNumberFormat="1">
      <alignment horizontal="center" readingOrder="0" shrinkToFit="0" vertical="bottom" wrapText="0"/>
    </xf>
    <xf borderId="0" fillId="31" fontId="54" numFmtId="0" xfId="0" applyAlignment="1" applyFont="1">
      <alignment readingOrder="0"/>
    </xf>
    <xf borderId="0" fillId="23" fontId="54" numFmtId="0" xfId="0" applyAlignment="1" applyFont="1">
      <alignment readingOrder="0"/>
    </xf>
    <xf borderId="30" fillId="17" fontId="73" numFmtId="175" xfId="0" applyAlignment="1" applyBorder="1" applyFont="1" applyNumberFormat="1">
      <alignment horizontal="center" readingOrder="0" shrinkToFit="0" vertical="bottom" wrapText="0"/>
    </xf>
    <xf borderId="0" fillId="142" fontId="53" numFmtId="0" xfId="0" applyAlignment="1" applyFont="1">
      <alignment horizontal="center" readingOrder="0"/>
    </xf>
    <xf borderId="6" fillId="17" fontId="66" numFmtId="167" xfId="0" applyAlignment="1" applyBorder="1" applyFont="1" applyNumberFormat="1">
      <alignment horizontal="center" readingOrder="0" shrinkToFit="0" vertical="bottom" wrapText="0"/>
    </xf>
    <xf borderId="0" fillId="17" fontId="78" numFmtId="0" xfId="0" applyAlignment="1" applyFont="1">
      <alignment horizontal="center" readingOrder="0"/>
    </xf>
    <xf borderId="0" fillId="17" fontId="54" numFmtId="0" xfId="0" applyAlignment="1" applyFont="1">
      <alignment readingOrder="0"/>
    </xf>
    <xf borderId="6" fillId="17" fontId="66" numFmtId="3" xfId="0" applyAlignment="1" applyBorder="1" applyFont="1" applyNumberFormat="1">
      <alignment horizontal="center" readingOrder="0" shrinkToFit="0" vertical="bottom" wrapText="0"/>
    </xf>
    <xf borderId="0" fillId="17" fontId="54" numFmtId="3" xfId="0" applyAlignment="1" applyFont="1" applyNumberFormat="1">
      <alignment horizontal="left" readingOrder="0"/>
    </xf>
    <xf borderId="0" fillId="30" fontId="54" numFmtId="3" xfId="0" applyAlignment="1" applyFont="1" applyNumberFormat="1">
      <alignment horizontal="left" readingOrder="0"/>
    </xf>
    <xf borderId="0" fillId="174" fontId="66" numFmtId="0" xfId="0" applyAlignment="1" applyFont="1">
      <alignment shrinkToFit="0" vertical="bottom" wrapText="0"/>
    </xf>
    <xf borderId="0" fillId="8" fontId="54" numFmtId="0" xfId="0" applyAlignment="1" applyFont="1">
      <alignment readingOrder="0"/>
    </xf>
    <xf borderId="0" fillId="0" fontId="54" numFmtId="167" xfId="0" applyAlignment="1" applyFont="1" applyNumberFormat="1">
      <alignment readingOrder="0"/>
    </xf>
    <xf borderId="0" fillId="174" fontId="66" numFmtId="0" xfId="0" applyAlignment="1" applyFont="1">
      <alignment readingOrder="0" shrinkToFit="0" vertical="bottom" wrapText="0"/>
    </xf>
    <xf borderId="0" fillId="26" fontId="66" numFmtId="175" xfId="0" applyAlignment="1" applyFont="1" applyNumberFormat="1">
      <alignment horizontal="center" readingOrder="0" shrinkToFit="0" vertical="bottom" wrapText="0"/>
    </xf>
    <xf borderId="0" fillId="0" fontId="79" numFmtId="0" xfId="0" applyAlignment="1" applyFont="1">
      <alignment vertical="bottom"/>
    </xf>
    <xf borderId="0" fillId="174" fontId="66" numFmtId="0" xfId="0" applyAlignment="1" applyFont="1">
      <alignment horizontal="center" readingOrder="0" shrinkToFit="0" vertical="bottom" wrapText="0"/>
    </xf>
    <xf borderId="0" fillId="0" fontId="79" numFmtId="167" xfId="0" applyAlignment="1" applyFont="1" applyNumberFormat="1">
      <alignment horizontal="right" vertical="bottom"/>
    </xf>
    <xf borderId="0" fillId="17" fontId="54" numFmtId="167" xfId="0" applyAlignment="1" applyFont="1" applyNumberFormat="1">
      <alignment horizontal="right" readingOrder="0"/>
    </xf>
    <xf borderId="0" fillId="0" fontId="54" numFmtId="167" xfId="0" applyAlignment="1" applyFont="1" applyNumberFormat="1">
      <alignment horizontal="right" readingOrder="0"/>
    </xf>
    <xf borderId="0" fillId="174" fontId="66" numFmtId="3" xfId="0" applyAlignment="1" applyFont="1" applyNumberFormat="1">
      <alignment horizontal="center" readingOrder="0" shrinkToFit="0" vertical="bottom" wrapText="0"/>
    </xf>
    <xf borderId="0" fillId="174" fontId="66" numFmtId="9" xfId="0" applyAlignment="1" applyFont="1" applyNumberFormat="1">
      <alignment horizontal="center" readingOrder="0" shrinkToFit="0" vertical="bottom" wrapText="0"/>
    </xf>
    <xf borderId="0" fillId="174" fontId="66" numFmtId="10" xfId="0" applyAlignment="1" applyFont="1" applyNumberFormat="1">
      <alignment horizontal="center" readingOrder="0" shrinkToFit="0" vertical="bottom" wrapText="0"/>
    </xf>
    <xf borderId="0" fillId="174" fontId="66" numFmtId="2" xfId="0" applyAlignment="1" applyFont="1" applyNumberFormat="1">
      <alignment horizontal="center" readingOrder="0" shrinkToFit="0" vertical="bottom" wrapText="0"/>
    </xf>
    <xf borderId="0" fillId="17" fontId="54" numFmtId="167" xfId="0" applyAlignment="1" applyFont="1" applyNumberFormat="1">
      <alignment readingOrder="0"/>
    </xf>
    <xf borderId="0" fillId="0" fontId="54" numFmtId="167" xfId="0" applyAlignment="1" applyFont="1" applyNumberFormat="1">
      <alignment readingOrder="0"/>
    </xf>
    <xf borderId="0" fillId="0" fontId="79" numFmtId="9" xfId="0" applyAlignment="1" applyFont="1" applyNumberFormat="1">
      <alignment horizontal="right" vertical="bottom"/>
    </xf>
    <xf borderId="0" fillId="174" fontId="76" numFmtId="0" xfId="0" applyAlignment="1" applyFont="1">
      <alignment readingOrder="0" shrinkToFit="0" vertical="bottom" wrapText="0"/>
    </xf>
    <xf borderId="0" fillId="3" fontId="54" numFmtId="0" xfId="0" applyAlignment="1" applyFont="1">
      <alignment readingOrder="0"/>
    </xf>
    <xf borderId="0" fillId="3" fontId="54" numFmtId="167" xfId="0" applyAlignment="1" applyFont="1" applyNumberFormat="1">
      <alignment readingOrder="0"/>
    </xf>
    <xf borderId="0" fillId="174" fontId="66" numFmtId="167" xfId="0" applyAlignment="1" applyFont="1" applyNumberFormat="1">
      <alignment horizontal="center" readingOrder="0" shrinkToFit="0" vertical="bottom" wrapText="0"/>
    </xf>
    <xf borderId="0" fillId="17" fontId="54" numFmtId="10" xfId="0" applyAlignment="1" applyFont="1" applyNumberFormat="1">
      <alignment readingOrder="0"/>
    </xf>
    <xf borderId="0" fillId="0" fontId="54" numFmtId="10" xfId="0" applyAlignment="1" applyFont="1" applyNumberFormat="1">
      <alignment readingOrder="0"/>
    </xf>
    <xf borderId="13" fillId="198" fontId="80" numFmtId="0" xfId="0" applyAlignment="1" applyBorder="1" applyFill="1" applyFont="1">
      <alignment readingOrder="0" shrinkToFit="0" vertical="bottom" wrapText="0"/>
    </xf>
    <xf borderId="0" fillId="0" fontId="79" numFmtId="0" xfId="0" applyAlignment="1" applyFont="1">
      <alignment horizontal="right" vertical="bottom"/>
    </xf>
    <xf borderId="14" fillId="198" fontId="80" numFmtId="167" xfId="0" applyAlignment="1" applyBorder="1" applyFont="1" applyNumberFormat="1">
      <alignment horizontal="center" readingOrder="0" shrinkToFit="0" vertical="bottom" wrapText="0"/>
    </xf>
    <xf borderId="24" fillId="198" fontId="80" numFmtId="167" xfId="0" applyAlignment="1" applyBorder="1" applyFont="1" applyNumberFormat="1">
      <alignment horizontal="center" readingOrder="0" shrinkToFit="0" vertical="bottom" wrapText="0"/>
    </xf>
    <xf borderId="24" fillId="198" fontId="80" numFmtId="10" xfId="0" applyAlignment="1" applyBorder="1" applyFont="1" applyNumberFormat="1">
      <alignment horizontal="center" readingOrder="0" shrinkToFit="0" vertical="bottom" wrapText="0"/>
    </xf>
    <xf borderId="0" fillId="0" fontId="54" numFmtId="0" xfId="0" applyAlignment="1" applyFont="1">
      <alignment readingOrder="0"/>
    </xf>
    <xf borderId="38" fillId="0" fontId="18" numFmtId="0" xfId="0" applyBorder="1" applyFont="1"/>
    <xf borderId="39" fillId="0" fontId="18" numFmtId="0" xfId="0" applyBorder="1" applyFont="1"/>
    <xf borderId="0" fillId="17" fontId="54" numFmtId="176" xfId="0" applyAlignment="1" applyFont="1" applyNumberFormat="1">
      <alignment readingOrder="0"/>
    </xf>
    <xf borderId="0" fillId="17" fontId="54" numFmtId="177" xfId="0" applyAlignment="1" applyFont="1" applyNumberFormat="1">
      <alignment readingOrder="0"/>
    </xf>
    <xf borderId="0" fillId="29" fontId="53" numFmtId="0" xfId="0" applyAlignment="1" applyFont="1">
      <alignment readingOrder="0"/>
    </xf>
    <xf borderId="0" fillId="29" fontId="53" numFmtId="167" xfId="0" applyAlignment="1" applyFont="1" applyNumberFormat="1">
      <alignment readingOrder="0"/>
    </xf>
    <xf borderId="0" fillId="0" fontId="1" numFmtId="175" xfId="0" applyAlignment="1" applyFont="1" applyNumberFormat="1">
      <alignment readingOrder="0"/>
    </xf>
    <xf borderId="0" fillId="174" fontId="54" numFmtId="167" xfId="0" applyAlignment="1" applyFont="1" applyNumberFormat="1">
      <alignment horizontal="right" readingOrder="0"/>
    </xf>
    <xf borderId="3" fillId="0" fontId="54" numFmtId="10" xfId="0" applyAlignment="1" applyBorder="1" applyFont="1" applyNumberFormat="1">
      <alignment readingOrder="0"/>
    </xf>
    <xf borderId="0" fillId="17" fontId="1" numFmtId="0" xfId="0" applyFont="1"/>
    <xf borderId="0" fillId="17" fontId="1" numFmtId="167" xfId="0" applyAlignment="1" applyFont="1" applyNumberFormat="1">
      <alignment readingOrder="0"/>
    </xf>
    <xf borderId="25" fillId="23" fontId="36" numFmtId="0" xfId="0" applyAlignment="1" applyBorder="1" applyFont="1">
      <alignment readingOrder="0"/>
    </xf>
    <xf borderId="25" fillId="23" fontId="36" numFmtId="0" xfId="0" applyBorder="1" applyFont="1"/>
    <xf borderId="24" fillId="4" fontId="81" numFmtId="10" xfId="0" applyAlignment="1" applyBorder="1" applyFont="1" applyNumberFormat="1">
      <alignment horizontal="center"/>
    </xf>
    <xf borderId="14" fillId="4" fontId="81" numFmtId="167" xfId="0" applyAlignment="1" applyBorder="1" applyFont="1" applyNumberFormat="1">
      <alignment horizontal="center"/>
    </xf>
    <xf borderId="0" fillId="17" fontId="53" numFmtId="0" xfId="0" applyFont="1"/>
    <xf borderId="27" fillId="17" fontId="73" numFmtId="3" xfId="0" applyAlignment="1" applyBorder="1" applyFont="1" applyNumberFormat="1">
      <alignment horizontal="center" shrinkToFit="0" vertical="bottom" wrapText="0"/>
    </xf>
    <xf borderId="27" fillId="17" fontId="73" numFmtId="3" xfId="0" applyAlignment="1" applyBorder="1" applyFont="1" applyNumberFormat="1">
      <alignment horizontal="center" readingOrder="0" shrinkToFit="0" vertical="bottom" wrapText="0"/>
    </xf>
    <xf borderId="28" fillId="17" fontId="73" numFmtId="3" xfId="0" applyAlignment="1" applyBorder="1" applyFont="1" applyNumberFormat="1">
      <alignment horizontal="center" readingOrder="0" shrinkToFit="0" vertical="bottom" wrapText="0"/>
    </xf>
    <xf borderId="27" fillId="17" fontId="71" numFmtId="3" xfId="0" applyAlignment="1" applyBorder="1" applyFont="1" applyNumberFormat="1">
      <alignment horizontal="center" readingOrder="0" shrinkToFit="0" vertical="bottom" wrapText="0"/>
    </xf>
    <xf borderId="30" fillId="3" fontId="73" numFmtId="3" xfId="0" applyAlignment="1" applyBorder="1" applyFont="1" applyNumberFormat="1">
      <alignment horizontal="center" shrinkToFit="0" vertical="bottom" wrapText="0"/>
    </xf>
    <xf borderId="30" fillId="17" fontId="71" numFmtId="3" xfId="0" applyAlignment="1" applyBorder="1" applyFont="1" applyNumberFormat="1">
      <alignment horizontal="center" readingOrder="0" shrinkToFit="0" vertical="bottom" wrapText="0"/>
    </xf>
    <xf borderId="0" fillId="17" fontId="54" numFmtId="10" xfId="0" applyFont="1" applyNumberFormat="1"/>
    <xf borderId="0" fillId="17" fontId="53" numFmtId="1" xfId="0" applyFont="1" applyNumberFormat="1"/>
    <xf borderId="1" fillId="8" fontId="80" numFmtId="0" xfId="0" applyAlignment="1" applyBorder="1" applyFont="1">
      <alignment horizontal="center" readingOrder="0" shrinkToFit="0" vertical="center" wrapText="0"/>
    </xf>
    <xf borderId="3" fillId="195" fontId="36" numFmtId="0" xfId="0" applyAlignment="1" applyBorder="1" applyFont="1">
      <alignment horizontal="center" readingOrder="0"/>
    </xf>
    <xf borderId="0" fillId="0" fontId="1" numFmtId="0" xfId="0" applyAlignment="1" applyFont="1">
      <alignment readingOrder="0" vertical="center"/>
    </xf>
    <xf borderId="0" fillId="0" fontId="1" numFmtId="10" xfId="0" applyAlignment="1" applyFont="1" applyNumberFormat="1">
      <alignment horizontal="center" vertical="center"/>
    </xf>
    <xf borderId="3" fillId="30" fontId="36" numFmtId="0" xfId="0" applyAlignment="1" applyBorder="1" applyFont="1">
      <alignment horizontal="center" readingOrder="0"/>
    </xf>
    <xf borderId="1" fillId="26" fontId="36" numFmtId="0" xfId="0" applyAlignment="1" applyBorder="1" applyFont="1">
      <alignment horizontal="center" readingOrder="0" vertical="center"/>
    </xf>
    <xf borderId="0" fillId="0" fontId="1" numFmtId="1" xfId="0" applyFont="1" applyNumberFormat="1"/>
    <xf borderId="1" fillId="26" fontId="64" numFmtId="0" xfId="0" applyAlignment="1" applyBorder="1" applyFont="1">
      <alignment readingOrder="0" shrinkToFit="0" vertical="bottom" wrapText="0"/>
    </xf>
    <xf borderId="3" fillId="26" fontId="36" numFmtId="0" xfId="0" applyAlignment="1" applyBorder="1" applyFont="1">
      <alignment horizontal="center" readingOrder="0"/>
    </xf>
    <xf borderId="6" fillId="26" fontId="36" numFmtId="0" xfId="0" applyAlignment="1" applyBorder="1" applyFont="1">
      <alignment horizontal="center" readingOrder="0"/>
    </xf>
    <xf borderId="40" fillId="8" fontId="64" numFmtId="0" xfId="0" applyAlignment="1" applyBorder="1" applyFont="1">
      <alignment readingOrder="0" shrinkToFit="0" vertical="bottom" wrapText="0"/>
    </xf>
    <xf borderId="0" fillId="8" fontId="1" numFmtId="167" xfId="0" applyAlignment="1" applyFont="1" applyNumberFormat="1">
      <alignment horizontal="center" readingOrder="0"/>
    </xf>
    <xf borderId="1" fillId="195" fontId="1" numFmtId="10" xfId="0" applyAlignment="1" applyBorder="1" applyFont="1" applyNumberFormat="1">
      <alignment horizontal="center" vertical="center"/>
    </xf>
    <xf borderId="14" fillId="198" fontId="80" numFmtId="3" xfId="0" applyAlignment="1" applyBorder="1" applyFont="1" applyNumberFormat="1">
      <alignment horizontal="center" readingOrder="0" shrinkToFit="0" vertical="bottom" wrapText="0"/>
    </xf>
    <xf borderId="0" fillId="0" fontId="3" numFmtId="0" xfId="0" applyAlignment="1" applyFont="1">
      <alignment readingOrder="0" vertical="bottom"/>
    </xf>
    <xf borderId="0" fillId="195" fontId="1" numFmtId="167" xfId="0" applyAlignment="1" applyFont="1" applyNumberFormat="1">
      <alignment horizontal="center" readingOrder="0"/>
    </xf>
    <xf borderId="0" fillId="195" fontId="1" numFmtId="10" xfId="0" applyAlignment="1" applyFont="1" applyNumberFormat="1">
      <alignment horizontal="center"/>
    </xf>
    <xf borderId="1" fillId="195" fontId="1" numFmtId="167" xfId="0" applyAlignment="1" applyBorder="1" applyFont="1" applyNumberFormat="1">
      <alignment horizontal="center"/>
    </xf>
    <xf borderId="1" fillId="195" fontId="1" numFmtId="10" xfId="0" applyAlignment="1" applyBorder="1" applyFont="1" applyNumberFormat="1">
      <alignment horizontal="center"/>
    </xf>
    <xf borderId="41" fillId="8" fontId="82" numFmtId="0" xfId="0" applyAlignment="1" applyBorder="1" applyFont="1">
      <alignment readingOrder="0" shrinkToFit="0" vertical="bottom" wrapText="0"/>
    </xf>
    <xf borderId="0" fillId="8" fontId="1" numFmtId="167" xfId="0" applyAlignment="1" applyFont="1" applyNumberFormat="1">
      <alignment horizontal="center"/>
    </xf>
    <xf borderId="0" fillId="195" fontId="1" numFmtId="167" xfId="0" applyAlignment="1" applyFont="1" applyNumberFormat="1">
      <alignment horizontal="center"/>
    </xf>
    <xf borderId="1" fillId="8" fontId="83" numFmtId="0" xfId="0" applyAlignment="1" applyBorder="1" applyFont="1">
      <alignment readingOrder="0" shrinkToFit="0" vertical="bottom" wrapText="0"/>
    </xf>
    <xf borderId="1" fillId="195" fontId="36" numFmtId="10" xfId="0" applyAlignment="1" applyBorder="1" applyFont="1" applyNumberFormat="1">
      <alignment horizontal="center"/>
    </xf>
    <xf borderId="42" fillId="8" fontId="83" numFmtId="0" xfId="0" applyAlignment="1" applyBorder="1" applyFont="1">
      <alignment readingOrder="0" shrinkToFit="0" vertical="bottom" wrapText="0"/>
    </xf>
    <xf borderId="3" fillId="8" fontId="1" numFmtId="167" xfId="0" applyAlignment="1" applyBorder="1" applyFont="1" applyNumberFormat="1">
      <alignment horizontal="center" readingOrder="0"/>
    </xf>
    <xf borderId="6" fillId="195" fontId="1" numFmtId="10" xfId="0" applyAlignment="1" applyBorder="1" applyFont="1" applyNumberFormat="1">
      <alignment horizontal="center"/>
    </xf>
    <xf borderId="3" fillId="195" fontId="1" numFmtId="167" xfId="0" applyAlignment="1" applyBorder="1" applyFont="1" applyNumberFormat="1">
      <alignment horizontal="center" readingOrder="0"/>
    </xf>
    <xf borderId="3" fillId="195" fontId="1" numFmtId="10" xfId="0" applyAlignment="1" applyBorder="1" applyFont="1" applyNumberFormat="1">
      <alignment horizontal="center"/>
    </xf>
    <xf borderId="6" fillId="195" fontId="1" numFmtId="167" xfId="0" applyAlignment="1" applyBorder="1" applyFont="1" applyNumberFormat="1">
      <alignment horizontal="center"/>
    </xf>
    <xf borderId="41" fillId="8" fontId="84" numFmtId="0" xfId="0" applyAlignment="1" applyBorder="1" applyFont="1">
      <alignment readingOrder="0" shrinkToFit="0" vertical="bottom" wrapText="0"/>
    </xf>
    <xf borderId="0" fillId="0" fontId="85" numFmtId="0" xfId="0" applyAlignment="1" applyFont="1">
      <alignment horizontal="left" readingOrder="0"/>
    </xf>
    <xf borderId="43" fillId="8" fontId="86" numFmtId="0" xfId="0" applyAlignment="1" applyBorder="1" applyFont="1">
      <alignment readingOrder="0" shrinkToFit="0" vertical="bottom" wrapText="0"/>
    </xf>
    <xf borderId="0" fillId="0" fontId="36" numFmtId="0" xfId="0" applyAlignment="1" applyFont="1">
      <alignment horizontal="left" readingOrder="0"/>
    </xf>
    <xf borderId="0" fillId="195" fontId="36" numFmtId="167" xfId="0" applyAlignment="1" applyFont="1" applyNumberFormat="1">
      <alignment horizontal="center" readingOrder="0"/>
    </xf>
    <xf borderId="0" fillId="0" fontId="1" numFmtId="167" xfId="0" applyAlignment="1" applyFont="1" applyNumberFormat="1">
      <alignment horizontal="left" readingOrder="0"/>
    </xf>
    <xf borderId="43" fillId="8" fontId="87" numFmtId="0" xfId="0" applyAlignment="1" applyBorder="1" applyFont="1">
      <alignment readingOrder="0" shrinkToFit="0" vertical="bottom" wrapText="0"/>
    </xf>
    <xf borderId="43" fillId="8" fontId="88" numFmtId="0" xfId="0" applyAlignment="1" applyBorder="1" applyFont="1">
      <alignment readingOrder="0" shrinkToFit="0" vertical="bottom" wrapText="0"/>
    </xf>
    <xf borderId="0" fillId="0" fontId="89" numFmtId="0" xfId="0" applyAlignment="1" applyFont="1">
      <alignment horizontal="center" readingOrder="0"/>
    </xf>
    <xf borderId="16" fillId="0" fontId="89" numFmtId="0" xfId="0" applyAlignment="1" applyBorder="1" applyFont="1">
      <alignment horizontal="center" readingOrder="0"/>
    </xf>
    <xf borderId="16" fillId="0" fontId="1" numFmtId="0" xfId="0" applyAlignment="1" applyBorder="1" applyFont="1">
      <alignment readingOrder="0"/>
    </xf>
    <xf borderId="24" fillId="0" fontId="36" numFmtId="0" xfId="0" applyAlignment="1" applyBorder="1" applyFont="1">
      <alignment horizontal="center" readingOrder="0"/>
    </xf>
    <xf borderId="41" fillId="26" fontId="61" numFmtId="0" xfId="0" applyAlignment="1" applyBorder="1" applyFont="1">
      <alignment readingOrder="0" shrinkToFit="0" vertical="bottom" wrapText="0"/>
    </xf>
    <xf borderId="3" fillId="26" fontId="1" numFmtId="167" xfId="0" applyAlignment="1" applyBorder="1" applyFont="1" applyNumberFormat="1">
      <alignment horizontal="center"/>
    </xf>
    <xf borderId="0" fillId="193" fontId="90" numFmtId="0" xfId="0" applyAlignment="1" applyFont="1">
      <alignment horizontal="center" readingOrder="0" vertical="center"/>
    </xf>
    <xf borderId="17" fillId="0" fontId="91" numFmtId="0" xfId="0" applyAlignment="1" applyBorder="1" applyFont="1">
      <alignment readingOrder="0" shrinkToFit="0" vertical="bottom" wrapText="0"/>
    </xf>
    <xf borderId="6" fillId="26" fontId="1" numFmtId="10" xfId="0" applyAlignment="1" applyBorder="1" applyFont="1" applyNumberFormat="1">
      <alignment horizontal="center"/>
    </xf>
    <xf borderId="4" fillId="0" fontId="91" numFmtId="0" xfId="0" applyAlignment="1" applyBorder="1" applyFont="1">
      <alignment readingOrder="0" shrinkToFit="0" vertical="bottom" wrapText="0"/>
    </xf>
    <xf borderId="3" fillId="26" fontId="1" numFmtId="10" xfId="0" applyAlignment="1" applyBorder="1" applyFont="1" applyNumberFormat="1">
      <alignment horizontal="center"/>
    </xf>
    <xf borderId="6" fillId="26" fontId="1" numFmtId="167" xfId="0" applyAlignment="1" applyBorder="1" applyFont="1" applyNumberFormat="1">
      <alignment horizontal="center"/>
    </xf>
    <xf borderId="40" fillId="8" fontId="92" numFmtId="0" xfId="0" applyAlignment="1" applyBorder="1" applyFont="1">
      <alignment readingOrder="0" shrinkToFit="0" vertical="bottom" wrapText="0"/>
    </xf>
    <xf borderId="0" fillId="0" fontId="1" numFmtId="10" xfId="0" applyAlignment="1" applyFont="1" applyNumberFormat="1">
      <alignment horizontal="center"/>
    </xf>
    <xf borderId="0" fillId="8" fontId="1" numFmtId="3" xfId="0" applyAlignment="1" applyFont="1" applyNumberFormat="1">
      <alignment horizontal="center" readingOrder="0"/>
    </xf>
    <xf borderId="1" fillId="0" fontId="18" numFmtId="0" xfId="0" applyBorder="1" applyFont="1"/>
    <xf borderId="0" fillId="195" fontId="1" numFmtId="3" xfId="0" applyAlignment="1" applyFont="1" applyNumberFormat="1">
      <alignment horizontal="center" readingOrder="0"/>
    </xf>
    <xf borderId="0" fillId="0" fontId="1" numFmtId="10" xfId="0" applyAlignment="1" applyFont="1" applyNumberFormat="1">
      <alignment horizontal="center" readingOrder="0"/>
    </xf>
    <xf borderId="43" fillId="8" fontId="92" numFmtId="0" xfId="0" applyAlignment="1" applyBorder="1" applyFont="1">
      <alignment readingOrder="0" shrinkToFit="0" vertical="bottom" wrapText="0"/>
    </xf>
    <xf borderId="4" fillId="199" fontId="69" numFmtId="0" xfId="0" applyAlignment="1" applyBorder="1" applyFill="1" applyFont="1">
      <alignment readingOrder="0" shrinkToFit="0" vertical="bottom" wrapText="0"/>
    </xf>
    <xf borderId="0" fillId="195" fontId="1" numFmtId="3" xfId="0" applyAlignment="1" applyFont="1" applyNumberFormat="1">
      <alignment horizontal="center"/>
    </xf>
    <xf borderId="1" fillId="195" fontId="1" numFmtId="3" xfId="0" applyAlignment="1" applyBorder="1" applyFont="1" applyNumberFormat="1">
      <alignment horizontal="center"/>
    </xf>
    <xf borderId="0" fillId="0" fontId="1" numFmtId="167" xfId="0" applyAlignment="1" applyFont="1" applyNumberFormat="1">
      <alignment horizontal="center" readingOrder="0"/>
    </xf>
    <xf borderId="3" fillId="0" fontId="1" numFmtId="0" xfId="0" applyAlignment="1" applyBorder="1" applyFont="1">
      <alignment horizontal="center" readingOrder="0"/>
    </xf>
    <xf borderId="3" fillId="0" fontId="1" numFmtId="0" xfId="0" applyAlignment="1" applyBorder="1" applyFont="1">
      <alignment horizontal="center"/>
    </xf>
    <xf borderId="44" fillId="8" fontId="92" numFmtId="0" xfId="0" applyAlignment="1" applyBorder="1" applyFont="1">
      <alignment readingOrder="0" shrinkToFit="0" vertical="bottom" wrapText="0"/>
    </xf>
    <xf borderId="2" fillId="195" fontId="1" numFmtId="167" xfId="0" applyAlignment="1" applyBorder="1" applyFont="1" applyNumberFormat="1">
      <alignment horizontal="center"/>
    </xf>
    <xf borderId="0" fillId="195" fontId="54" numFmtId="167" xfId="0" applyAlignment="1" applyFont="1" applyNumberFormat="1">
      <alignment horizontal="center"/>
    </xf>
    <xf borderId="41" fillId="8" fontId="92" numFmtId="0" xfId="0" applyAlignment="1" applyBorder="1" applyFont="1">
      <alignment readingOrder="0" shrinkToFit="0" vertical="bottom" wrapText="0"/>
    </xf>
    <xf borderId="45" fillId="8" fontId="92" numFmtId="0" xfId="0" applyAlignment="1" applyBorder="1" applyFont="1">
      <alignment readingOrder="0" shrinkToFit="0" vertical="bottom" wrapText="0"/>
    </xf>
    <xf borderId="3" fillId="195" fontId="1" numFmtId="167" xfId="0" applyAlignment="1" applyBorder="1" applyFont="1" applyNumberFormat="1">
      <alignment horizontal="center"/>
    </xf>
    <xf borderId="3" fillId="195" fontId="54" numFmtId="167" xfId="0" applyAlignment="1" applyBorder="1" applyFont="1" applyNumberFormat="1">
      <alignment horizontal="center"/>
    </xf>
    <xf borderId="0" fillId="0" fontId="1" numFmtId="167" xfId="0" applyAlignment="1" applyFont="1" applyNumberFormat="1">
      <alignment horizontal="center"/>
    </xf>
    <xf borderId="3" fillId="0" fontId="1" numFmtId="0" xfId="0" applyBorder="1" applyFont="1"/>
    <xf borderId="0" fillId="193" fontId="90" numFmtId="0" xfId="0" applyAlignment="1" applyFont="1">
      <alignment horizontal="center" vertical="center"/>
    </xf>
  </cellXfs>
  <cellStyles count="1">
    <cellStyle xfId="0" name="Normal" builtinId="0"/>
  </cellStyles>
  <dxfs count="7">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FBBEC1"/>
          <bgColor rgb="FFFBBEC1"/>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 OLD'!$A$26</c:f>
            </c:strRef>
          </c:tx>
          <c:spPr>
            <a:solidFill>
              <a:srgbClr val="4285F4">
                <a:alpha val="30000"/>
              </a:srgbClr>
            </a:solidFill>
            <a:ln cmpd="sng">
              <a:solidFill>
                <a:srgbClr val="4285F4"/>
              </a:solidFill>
            </a:ln>
          </c:spPr>
          <c:cat>
            <c:strRef>
              <c:f>'Sales OLD'!$B$1:$AE$1</c:f>
            </c:strRef>
          </c:cat>
          <c:val>
            <c:numRef>
              <c:f>'Sales OLD'!$B$26:$AE$26</c:f>
              <c:numCache/>
            </c:numRef>
          </c:val>
        </c:ser>
        <c:ser>
          <c:idx val="1"/>
          <c:order val="1"/>
          <c:tx>
            <c:strRef>
              <c:f>'Sales OLD'!$A$69</c:f>
            </c:strRef>
          </c:tx>
          <c:spPr>
            <a:solidFill>
              <a:srgbClr val="EA4335">
                <a:alpha val="30000"/>
              </a:srgbClr>
            </a:solidFill>
            <a:ln cmpd="sng">
              <a:solidFill>
                <a:srgbClr val="EA4335"/>
              </a:solidFill>
            </a:ln>
          </c:spPr>
          <c:cat>
            <c:strRef>
              <c:f>'Sales OLD'!$B$1:$AE$1</c:f>
            </c:strRef>
          </c:cat>
          <c:val>
            <c:numRef>
              <c:f>'Sales OLD'!$B$69:$AE$69</c:f>
              <c:numCache/>
            </c:numRef>
          </c:val>
        </c:ser>
        <c:axId val="2013827228"/>
        <c:axId val="1032947494"/>
      </c:areaChart>
      <c:catAx>
        <c:axId val="2013827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2947494"/>
      </c:catAx>
      <c:valAx>
        <c:axId val="1032947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1382722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'Sales OLD'!$A$86</c:f>
            </c:strRef>
          </c:tx>
          <c:spPr>
            <a:solidFill>
              <a:schemeClr val="accent1"/>
            </a:solidFill>
            <a:ln cmpd="sng">
              <a:noFill/>
            </a:ln>
          </c:spPr>
          <c:cat>
            <c:strRef>
              <c:f>'Sales OLD'!$C$1:$AE$1</c:f>
            </c:strRef>
          </c:cat>
          <c:val>
            <c:numRef>
              <c:f>'Sales OLD'!$B$86:$AE$86</c:f>
              <c:numCache/>
            </c:numRef>
          </c:val>
        </c:ser>
        <c:ser>
          <c:idx val="1"/>
          <c:order val="1"/>
          <c:tx>
            <c:strRef>
              <c:f>'Sales OLD'!$A$87</c:f>
            </c:strRef>
          </c:tx>
          <c:spPr>
            <a:solidFill>
              <a:schemeClr val="accent2"/>
            </a:solidFill>
            <a:ln cmpd="sng">
              <a:noFill/>
            </a:ln>
          </c:spPr>
          <c:dPt>
            <c:idx val="3"/>
          </c:dPt>
          <c:dPt>
            <c:idx val="19"/>
          </c:dPt>
          <c:cat>
            <c:strRef>
              <c:f>'Sales OLD'!$C$1:$AE$1</c:f>
            </c:strRef>
          </c:cat>
          <c:val>
            <c:numRef>
              <c:f>'Sales OLD'!$B$87:$AE$87</c:f>
              <c:numCache/>
            </c:numRef>
          </c:val>
        </c:ser>
        <c:overlap val="100"/>
        <c:axId val="321401242"/>
        <c:axId val="1589765888"/>
      </c:barChart>
      <c:catAx>
        <c:axId val="3214012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89765888"/>
      </c:catAx>
      <c:valAx>
        <c:axId val="15897658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2140124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'Sales OLD'!$C$1:$AE$1</c:f>
            </c:strRef>
          </c:cat>
          <c:val>
            <c:numRef>
              <c:f>'Sales OLD'!$B$14:$AE$14</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'Sales OLD'!$C$1:$AE$1</c:f>
            </c:strRef>
          </c:cat>
          <c:val>
            <c:numRef>
              <c:f>'Sales OLD'!$B$64:$AE$64</c:f>
              <c:numCache/>
            </c:numRef>
          </c:val>
          <c:smooth val="0"/>
        </c:ser>
        <c:axId val="1392094144"/>
        <c:axId val="747851980"/>
      </c:lineChart>
      <c:catAx>
        <c:axId val="1392094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7851980"/>
      </c:catAx>
      <c:valAx>
        <c:axId val="7478519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20941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'Sales OLD'!$C$1:$AE$1</c:f>
            </c:strRef>
          </c:cat>
          <c:val>
            <c:numRef>
              <c:f>'Sales OLD'!$B$8:$AE$8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'Sales OLD'!$C$1:$AE$1</c:f>
            </c:strRef>
          </c:cat>
          <c:val>
            <c:numRef>
              <c:f>'Sales OLD'!$B$69:$AE$69</c:f>
              <c:numCache/>
            </c:numRef>
          </c:val>
          <c:smooth val="0"/>
        </c:ser>
        <c:axId val="2052538885"/>
        <c:axId val="1948454871"/>
      </c:lineChart>
      <c:catAx>
        <c:axId val="2052538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8454871"/>
      </c:catAx>
      <c:valAx>
        <c:axId val="194845487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2538885"/>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d643287e-9b15-4136-b8da-098debee49a3}">
    <Anchor>
      <Comment id="{de07a395-38fc-41b0-94e9-eb23438324d6}"/>
    </Anchor>
    <History>
      <Event time="2024-02-04T22:20:27.00" id="{14e390f2-dfe3-4a0c-9d28-0ffdfea71796}">
        <Attribution userId="placeholder@email.com" userName="Žiga Škrabl" userProvider="google-sheets"/>
        <Anchor>
          <Comment id="{de07a395-38fc-41b0-94e9-eb23438324d6}"/>
        </Anchor>
        <Create/>
      </Event>
      <Event time="2024-02-04T22:20:27.00" id="{a285f9c6-23c5-42a1-9540-98266dab201c}">
        <Attribution userId="placeholder@email.com" userName="Žiga Škrabl" userProvider="google-sheets"/>
        <Anchor>
          <Comment id="{de07a395-38fc-41b0-94e9-eb23438324d6}"/>
        </Anchor>
        <Assign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7b0bc66a-f98e-45b2-9d6b-d4470ad42d39}">
    <Anchor>
      <Comment id="{51d1ef6d-c546-41aa-9d5c-81d1568cf687}"/>
    </Anchor>
    <History>
      <Event time="2023-11-13T12:18:49.00" id="{a849cf36-b4aa-4802-8a24-847f00c68653}">
        <Attribution userId="placeholder@email.com" userName="Benjamin Kumalić" userProvider="google-sheets"/>
        <Anchor>
          <Comment id="{51d1ef6d-c546-41aa-9d5c-81d1568cf687}"/>
        </Anchor>
        <Create/>
      </Event>
      <Event time="2023-11-13T12:18:49.00" id="{489b1d74-ec70-41fa-956f-56980b777e67}">
        <Attribution userId="placeholder@email.com" userName="Benjamin Kumalić" userProvider="google-sheets"/>
        <Anchor>
          <Comment id="{51d1ef6d-c546-41aa-9d5c-81d1568cf687}"/>
        </Anchor>
        <Assign userProvider="google-sheets"/>
      </Event>
    </History>
  </Task>
</Task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 Id="rId7" Type="http://schemas.openxmlformats.org/officeDocument/2006/relationships/image" Target="../media/Chart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6.png"/><Relationship Id="rId4" Type="http://schemas.openxmlformats.org/officeDocument/2006/relationships/image" Target="../media/image4.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121</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103</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103</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142</xdr:row>
      <xdr:rowOff>114300</xdr:rowOff>
    </xdr:from>
    <xdr:ext cx="8496300" cy="5457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162</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131</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466725</xdr:colOff>
      <xdr:row>193</xdr:row>
      <xdr:rowOff>133350</xdr:rowOff>
    </xdr:from>
    <xdr:ext cx="10306050" cy="5648325"/>
    <xdr:pic>
      <xdr:nvPicPr>
        <xdr:cNvPr id="486748237"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952500</xdr:colOff>
      <xdr:row>22</xdr:row>
      <xdr:rowOff>190500</xdr:rowOff>
    </xdr:from>
    <xdr:ext cx="5819775" cy="12858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etar.jakovski@mybirdbuddy.com" id="{f8a23fef-5385-4b30-8c47-edf04979dd8e}" userId="petar.jakovski@mybirdbuddy.com" providerId="google-sheets"/>
  <x18tc:person displayName="Benjamin Kumalić" id="{9d96824a-e060-4258-927c-7100e2ffff3c}" providerId="google-sheets"/>
  <x18tc:person displayName="Deleted user" id="{6c666b0a-51a8-4af7-ae83-479d2efa6252}" providerId="google-sheets"/>
  <x18tc:person displayName="benjamin@mybirdbuddy.com" id="{812f5e6d-82aa-43ed-86e8-bad806b5c166}" userId="benjamin@mybirdbuddy.com" providerId="google-sheets"/>
  <x18tc:person displayName="ziga.skrabl@mybirdbuddy.com" id="{629418a1-5e11-42f0-af8e-8a1eaedf97a6}" userId="ziga.skrabl@mybirdbuddy.com" providerId="google-sheets"/>
  <x18tc:person displayName="Peter Drole" id="{1ab5ef19-652a-4576-91c1-98e458c0e158}" providerId="google-sheets"/>
  <x18tc:person displayName="peter@mybirdbuddy.com" id="{d54e21da-5226-47c2-bbaf-30a9d49fe0da}" userId="peter@mybirdbuddy.com" providerId="google-sheets"/>
  <x18tc:person displayName="Žiga Škrabl" id="{973a0b96-eef4-4d58-b9fd-168ed84be5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2-07T11:41:35.00" personId="{6c666b0a-51a8-4af7-ae83-479d2efa6252}" id="{006eec6b-5c87-4f9b-8ed9-4f4b90a80f70}" done="0">
    <x18tc:text xml:space="preserve">1 EU</x18tc:text>
  </x18tc:threadedComment>
  <x18tc:threadedComment ref="A1" dT="2024-02-07T11:44:22.00" personId="{6c666b0a-51a8-4af7-ae83-479d2efa6252}" id="{219c0eb2-26c2-4d0b-9ebd-5911944d6a2f}" done="0">
    <x18tc:text xml:space="preserve">Gift Card</x18tc:text>
  </x18tc:threadedComment>
  <x18tc:threadedComment ref="Y95" dT="2024-02-05T08:59:28.00" personId="{973a0b96-eef4-4d58-b9fd-168ed84be547}" id="{55df5b9c-1592-4c23-9785-4d71c4dd597f}" done="1">
    <x18tc:text xml:space="preserve">Account hacked = 69,532.06$</x18tc:text>
  </x18tc:threadedComment>
  <x18tc:threadedComment ref="Y95" dT="2024-02-04T22:20:27.00" personId="{973a0b96-eef4-4d58-b9fd-168ed84be547}" id="{de07a395-38fc-41b0-94e9-eb23438324d6}" done="1">
    <x18tc:text xml:space="preserve">@petar.jakovski@mybirdbuddy.com ova brojka je stvarno ogromna za APP spend, jel smo sigurni u ovo?
Assigned to </x18tc:text>
    <x18tc:mentions>
      <x18tc:mention mentionpersonId="{f8a23fef-5385-4b30-8c47-edf04979dd8e}" mentionId="{8d8aea73-95ce-4a4e-bb4b-812910856f65}" startIndex="0" length="31"/>
    </x18tc:mentions>
  </x18tc:threadedComment>
  <x18tc:threadedComment ref="Y95" dT="2024-02-04T23:38:14.00" personId="{6c666b0a-51a8-4af7-ae83-479d2efa6252}" id="{fb672385-a4bd-4ed4-b464-44f45d59ed7b}" parentId="{de07a395-38fc-41b0-94e9-eb23438324d6}">
    <x18tc:text xml:space="preserve">@ziga.skrabl@mybirdbuddy.com Da, poslao sam ti sliku na Slack.</x18tc:text>
    <x18tc:mentions>
      <x18tc:mention mentionpersonId="{629418a1-5e11-42f0-af8e-8a1eaedf97a6}" mentionId="{37c802f5-fbad-4e70-a050-408ff1feb3b8}" startIndex="0" length="28"/>
    </x18tc:mentions>
  </x18tc:threadedComment>
  <x18tc:threadedComment ref="A81" dT="2024-02-05T10:34:06.00" personId="{973a0b96-eef4-4d58-b9fd-168ed84be547}" id="{a658c2d8-6b5c-4f20-8677-21d33f053a19}" done="0">
    <x18tc:text xml:space="preserve">preveri hack 24.11.2023 (heckan keš = 250k)</x18tc:text>
  </x18tc:threadedComment>
  <x18tc:threadedComment ref="A1" dT="2024-02-07T11:41:12.00" personId="{6c666b0a-51a8-4af7-ae83-479d2efa6252}" id="{e7c8b044-2228-469a-ad9e-91aa2f52adf4}" done="0">
    <x18tc:text xml:space="preserve">1 EU</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62" dT="2024-02-07T11:58:26.00" personId="{6c666b0a-51a8-4af7-ae83-479d2efa6252}" id="{d251063b-9088-4929-b02e-303b93bb8c5e}" done="0">
    <x18tc:text xml:space="preserve">1 EU</x18tc:text>
  </x18tc:threadedComment>
  <x18tc:threadedComment ref="O69" dT="2024-02-07T11:58:36.00" personId="{6c666b0a-51a8-4af7-ae83-479d2efa6252}" id="{9b7eae2f-d20f-4e2a-ab0a-afc97e6efb84}" done="0">
    <x18tc:text xml:space="preserve">1 EU</x18tc:text>
  </x18tc:threadedComment>
  <x18tc:threadedComment ref="V80" dT="2024-02-07T11:59:53.00" personId="{6c666b0a-51a8-4af7-ae83-479d2efa6252}" id="{01d2450c-5f95-4934-bb43-72d09d0ef84a}" done="0">
    <x18tc:text xml:space="preserve">Gift Card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8" dT="2023-11-14T00:53:11.00" personId="{6c666b0a-51a8-4af7-ae83-479d2efa6252}" id="{dfb37a29-543c-4e46-85fb-5e5ef31049dc}" done="1">
    <x18tc:text xml:space="preserve">$7961 - Fake Orders</x18tc:text>
  </x18tc:threadedComment>
  <x18tc:threadedComment ref="N39" dT="2023-11-14T00:53:29.00" personId="{6c666b0a-51a8-4af7-ae83-479d2efa6252}" id="{c9de53bf-d93d-4b49-ab29-c653dc651325}" done="1">
    <x18tc:text xml:space="preserve">420 - Fake Orders</x18tc:text>
  </x18tc:threadedComment>
  <x18tc:threadedComment ref="M8" dT="2023-11-13T12:18:49.00" personId="{9d96824a-e060-4258-927c-7100e2ffff3c}" id="{51d1ef6d-c546-41aa-9d5c-81d1568cf687}" done="1">
    <x18tc:text xml:space="preserve">@petar.jakovski@mybirdbuddy.com - Preveri, če številke držijo glede na to, da so se ob 23.00 začeli Suet Ball nakupi, ki so bili fake.
cc: @peter@mybirdbuddy.com
Assigned to </x18tc:text>
    <x18tc:mentions>
      <x18tc:mention mentionpersonId="{f8a23fef-5385-4b30-8c47-edf04979dd8e}" mentionId="{28aacbea-60ec-403c-9344-55b85b189f7c}" startIndex="0" length="31"/>
      <x18tc:mention mentionpersonId="{d54e21da-5226-47c2-bbaf-30a9d49fe0da}" mentionId="{8e5eae52-7863-4466-b47f-903059110cae}" startIndex="140" length="22"/>
    </x18tc:mentions>
  </x18tc:threadedComment>
  <x18tc:threadedComment ref="M8" dT="2023-11-13T13:19:17.00" personId="{6c666b0a-51a8-4af7-ae83-479d2efa6252}" id="{fa7c34d7-6ae1-4fd2-82ae-0850741de805}" parentId="{51d1ef6d-c546-41aa-9d5c-81d1568cf687}">
    <x18tc:text xml:space="preserve">@benjamin@mybirdbuddy.com - Sem exportal vsa naročila od včeraj. Prvo fake naročilo je bilo oddano ob 22:16:34, zadnje pa ob 22:59:20.
Skupno število fake naročil je 95.
Skupni znesek fake naročil je 2975.10.
Zdaj bom celoten znesek teh naročil odštel od DTC Revenue in DTC Orders.</x18tc:text>
    <x18tc:mentions>
      <x18tc:mention mentionpersonId="{812f5e6d-82aa-43ed-86e8-bad806b5c166}" mentionId="{db68984d-0ef4-49db-ab5d-8fbe4c6310ea}" startIndex="0" length="25"/>
    </x18tc:mentions>
  </x18tc:threadedComment>
  <x18tc:threadedComment ref="M8" dT="2023-11-13T14:01:19.00" personId="{9d96824a-e060-4258-927c-7100e2ffff3c}" id="{0c7e5cef-3e4e-4284-a14d-dba285dd159b}" parentId="{51d1ef6d-c546-41aa-9d5c-81d1568cf687}">
    <x18tc:text xml:space="preserve">Okej, super. Potem pa pazi jutri, ker bodo danes delali refunde na supportu za vsak fake naročila, ki jih je bilo skupno 470.</x18tc:text>
  </x18tc:threadedComment>
  <x18tc:threadedComment ref="X65" dT="2023-11-30T13:41:13.00" personId="{9d96824a-e060-4258-927c-7100e2ffff3c}" id="{d246d31e-f975-46de-9110-a4fe2060cab1}" done="1">
    <x18tc:text xml:space="preserve">@petar.jakovski@mybirdbuddy.com - Mankajo podatko?</x18tc:text>
    <x18tc:mentions>
      <x18tc:mention mentionpersonId="{f8a23fef-5385-4b30-8c47-edf04979dd8e}" mentionId="{705de5bf-77e9-42da-8452-7d2c8dcfc3d5}" startIndex="0" length="31"/>
    </x18tc:mentions>
  </x18tc:threadedComment>
  <x18tc:threadedComment ref="Y60" dT="2023-11-25T11:14:41.00" personId="{1ab5ef19-652a-4576-91c1-98e458c0e158}" id="{73dba248-7dcf-48e3-8673-ed566946e6a6}" done="1">
    <x18tc:text xml:space="preserve">Modelled spend
at 19:00: $105.863
We presume the ads ran for two more hours, at average spend of $15,774 per hour, so we added additional $31,548.</x18tc:text>
  </x18tc:threadedComment>
  <x18tc:threadedComment ref="Y60" dT="2023-11-27T19:10:01.00" personId="{9d96824a-e060-4258-927c-7100e2ffff3c}" id="{03a20472-8269-486e-ae82-f4542568baa6}" parentId="{73dba248-7dcf-48e3-8673-ed566946e6a6}">
    <x18tc:text xml:space="preserve">@petar.jakovski@mybirdbuddy.com - Please check what was the actual spend here.</x18tc:text>
    <x18tc:mentions>
      <x18tc:mention mentionpersonId="{f8a23fef-5385-4b30-8c47-edf04979dd8e}" mentionId="{32e9fa75-5de5-400a-a212-eadfff8fb197}" startIndex="0" length="31"/>
    </x18tc:mentions>
  </x18tc:threadedComment>
  <x18tc:threadedComment ref="Y60" dT="2023-11-28T08:21:11.00" personId="{6c666b0a-51a8-4af7-ae83-479d2efa6252}" id="{d0438535-bb7d-4b14-954f-2939aae35871}" parentId="{73dba248-7dcf-48e3-8673-ed566946e6a6}">
    <x18tc:text xml:space="preserve">@benjamin@mybirdbuddy.com Total Spent for 24 Nov = $288,128.54</x18tc:text>
    <x18tc:mentions>
      <x18tc:mention mentionpersonId="{812f5e6d-82aa-43ed-86e8-bad806b5c166}" mentionId="{2a5d144b-89c0-4ebc-b90e-620a8989b63c}" startIndex="0" length="25"/>
    </x18tc:mentions>
  </x18tc:threadedComment>
  <x18tc:threadedComment ref="Y60" dT="2023-11-28T09:20:53.00" personId="{9d96824a-e060-4258-927c-7100e2ffff3c}" id="{21f022b3-97fa-4776-b2bf-fc870aa8bd0b}" parentId="{73dba248-7dcf-48e3-8673-ed566946e6a6}">
    <x18tc:text xml:space="preserve">Please deduct €120,053.96 - this was hacker spend.</x18tc:text>
  </x18tc:threadedComment>
  <x18tc:threadedComment ref="Y60" dT="2023-11-28T09:45:45.00" personId="{6c666b0a-51a8-4af7-ae83-479d2efa6252}" id="{c565a419-7dda-4986-beaa-740e6b668ae4}" parentId="{73dba248-7dcf-48e3-8673-ed566946e6a6}">
    <x18tc:text xml:space="preserve">$288,128.54 - $131,460.58 (€120,053.96) = $156,667.96</x18tc:text>
  </x18tc:threadedComment>
  <x18tc:threadedComment ref="Y60" dT="2023-11-28T09:56:12.00" personId="{9d96824a-e060-4258-927c-7100e2ffff3c}" id="{0b176296-e4b2-4a3c-866e-0b426f29ad92}" parentId="{73dba248-7dcf-48e3-8673-ed566946e6a6}">
    <x18tc:text xml:space="preserve">Confirming this number. Input it and close the comment section.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9" Type="http://schemas.openxmlformats.org/officeDocument/2006/relationships/vmlDrawing" Target="../drawings/vmlDrawing3.vml"/><Relationship Id="rId5" Type="http://schemas.openxmlformats.org/officeDocument/2006/relationships/hyperlink" Target="https://docs.google.com/spreadsheets/d/1Dn0q7h1bHxXdG0N9KpcqzFo0tWUWYXOrRX7yxv3G1E0/edit" TargetMode="External"/><Relationship Id="rId6" Type="http://schemas.openxmlformats.org/officeDocument/2006/relationships/hyperlink" Target="https://docs.google.com/document/d/1m1D0mcq6_cpIUs4Z2pSMjDX9L4kRSfAwaLu0UKQppIM/edit?usp=sharing" TargetMode="External"/><Relationship Id="rId7" Type="http://schemas.openxmlformats.org/officeDocument/2006/relationships/hyperlink" Target="https://docs.google.com/spreadsheets/d/1JFD6SusYZSq5MvMm0PnCaYPmLBVKBKvK09yjZIlSFN4/edit"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5" Type="http://schemas.openxmlformats.org/officeDocument/2006/relationships/drawing" Target="../drawings/drawing14.xml"/><Relationship Id="rId6"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5.xml"/><Relationship Id="rId3"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9.xml"/><Relationship Id="rId3"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IFERROR(__xludf.DUMMYFUNCTION("ARRAY_CONSTRAIN(split(CELL(""ADDRESS"",rdataslayer_42b112e4e4be4305bb4c1be75e2dd549),""!""),1,1)"),"#REF!")</f>
        <v>#REF!</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REF!")</f>
        <v>#REF!</v>
      </c>
      <c r="D2" s="12">
        <v>44518.61325231481</v>
      </c>
      <c r="E2" s="12">
        <v>44520.05126157407</v>
      </c>
      <c r="F2" s="1" t="s">
        <v>51</v>
      </c>
      <c r="I2" s="13">
        <v>7.0</v>
      </c>
      <c r="J2" s="1" t="s">
        <v>52</v>
      </c>
      <c r="L2" s="1" t="s">
        <v>53</v>
      </c>
      <c r="M2" s="1" t="s">
        <v>54</v>
      </c>
      <c r="R2" s="1" t="s">
        <v>55</v>
      </c>
      <c r="S2" s="1" t="s">
        <v>56</v>
      </c>
      <c r="T2" s="1" t="s">
        <v>57</v>
      </c>
      <c r="U2" s="1" t="s">
        <v>58</v>
      </c>
      <c r="V2" s="1" t="s">
        <v>58</v>
      </c>
      <c r="W2" s="1" t="s">
        <v>58</v>
      </c>
      <c r="Y2" s="1" t="s">
        <v>58</v>
      </c>
      <c r="Z2" s="13">
        <v>5.0</v>
      </c>
      <c r="AA2" s="13">
        <v>5.0</v>
      </c>
      <c r="AB2" s="1" t="s">
        <v>59</v>
      </c>
      <c r="AC2" s="1" t="s">
        <v>59</v>
      </c>
      <c r="AL2" s="1" t="s">
        <v>61</v>
      </c>
      <c r="AN2" s="1" t="s">
        <v>58</v>
      </c>
      <c r="AO2" s="1" t="s">
        <v>62</v>
      </c>
    </row>
    <row r="3">
      <c r="A3" s="1" t="s">
        <v>63</v>
      </c>
      <c r="B3" s="1" t="str">
        <f>IFERROR(__xludf.DUMMYFUNCTION("ARRAY_CONSTRAIN(split(CELL(""ADDRESS"",rdataslayer_4a0f150f4f2f4e4f85c890c75b7a1fa4),""!""),1,1)"),"#REF!")</f>
        <v>#REF!</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REF!")</f>
        <v>#REF!</v>
      </c>
      <c r="D3" s="12">
        <v>44518.615324074075</v>
      </c>
      <c r="E3" s="12">
        <v>44520.0512962963</v>
      </c>
      <c r="F3" s="1" t="s">
        <v>51</v>
      </c>
      <c r="I3" s="13">
        <v>7.0</v>
      </c>
      <c r="J3" s="1" t="s">
        <v>52</v>
      </c>
      <c r="L3" s="1" t="s">
        <v>53</v>
      </c>
      <c r="M3" s="1" t="s">
        <v>54</v>
      </c>
      <c r="R3" s="1" t="s">
        <v>67</v>
      </c>
      <c r="S3" s="1" t="s">
        <v>56</v>
      </c>
      <c r="T3" s="1" t="s">
        <v>58</v>
      </c>
      <c r="U3" s="1" t="s">
        <v>57</v>
      </c>
      <c r="V3" s="1" t="s">
        <v>58</v>
      </c>
      <c r="W3" s="1" t="s">
        <v>58</v>
      </c>
      <c r="Y3" s="1" t="s">
        <v>58</v>
      </c>
      <c r="Z3" s="13">
        <v>5.0</v>
      </c>
      <c r="AA3" s="13">
        <v>5.0</v>
      </c>
      <c r="AB3" s="1" t="s">
        <v>59</v>
      </c>
      <c r="AC3" s="1" t="s">
        <v>59</v>
      </c>
      <c r="AL3" s="1" t="s">
        <v>61</v>
      </c>
      <c r="AN3" s="1" t="s">
        <v>58</v>
      </c>
      <c r="AO3" s="1" t="s">
        <v>62</v>
      </c>
    </row>
    <row r="4">
      <c r="A4" s="1" t="s">
        <v>69</v>
      </c>
      <c r="B4" s="1" t="str">
        <f>IFERROR(__xludf.DUMMYFUNCTION("ARRAY_CONSTRAIN(split(CELL(""ADDRESS"",rdataslayer_adf57e64065742daa5b4161161b1c3ca),""!""),1,1)"),"#REF!")</f>
        <v>#REF!</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REF!")</f>
        <v>#REF!</v>
      </c>
      <c r="D4" s="12">
        <v>44518.61782407407</v>
      </c>
      <c r="E4" s="12">
        <v>44520.05138888889</v>
      </c>
      <c r="F4" s="1" t="s">
        <v>51</v>
      </c>
      <c r="I4" s="13">
        <v>18.0</v>
      </c>
      <c r="J4" s="1" t="s">
        <v>52</v>
      </c>
      <c r="L4" s="1" t="s">
        <v>53</v>
      </c>
      <c r="M4" s="1" t="s">
        <v>54</v>
      </c>
      <c r="R4" s="1" t="s">
        <v>73</v>
      </c>
      <c r="S4" s="1" t="s">
        <v>74</v>
      </c>
      <c r="T4" s="1" t="s">
        <v>57</v>
      </c>
      <c r="U4" s="1" t="s">
        <v>58</v>
      </c>
      <c r="V4" s="1" t="s">
        <v>58</v>
      </c>
      <c r="W4" s="1" t="s">
        <v>58</v>
      </c>
      <c r="Y4" s="1" t="s">
        <v>58</v>
      </c>
      <c r="Z4" s="13">
        <v>5.0</v>
      </c>
      <c r="AA4" s="13">
        <v>5.0</v>
      </c>
      <c r="AB4" s="1" t="s">
        <v>59</v>
      </c>
      <c r="AC4" s="1" t="s">
        <v>59</v>
      </c>
      <c r="AL4" s="1" t="s">
        <v>61</v>
      </c>
      <c r="AN4" s="1" t="s">
        <v>58</v>
      </c>
      <c r="AO4" s="1" t="s">
        <v>62</v>
      </c>
    </row>
    <row r="5">
      <c r="A5" s="1" t="s">
        <v>76</v>
      </c>
      <c r="B5" s="1" t="str">
        <f>IFERROR(__xludf.DUMMYFUNCTION("ARRAY_CONSTRAIN(split(CELL(""ADDRESS"",rdataslayer_d70e473bcafe40a3aa834ce157fb2ba3),""!""),1,1)"),"#REF!")</f>
        <v>#REF!</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REF!")</f>
        <v>#REF!</v>
      </c>
      <c r="D5" s="12">
        <v>44518.619479166664</v>
      </c>
      <c r="E5" s="12">
        <v>44520.05134259259</v>
      </c>
      <c r="F5" s="1" t="s">
        <v>51</v>
      </c>
      <c r="I5" s="13">
        <v>7.0</v>
      </c>
      <c r="J5" s="1" t="s">
        <v>52</v>
      </c>
      <c r="L5" s="1" t="s">
        <v>53</v>
      </c>
      <c r="M5" s="1" t="s">
        <v>54</v>
      </c>
      <c r="R5" s="1" t="s">
        <v>80</v>
      </c>
      <c r="S5" s="1" t="s">
        <v>56</v>
      </c>
      <c r="T5" s="1" t="s">
        <v>57</v>
      </c>
      <c r="U5" s="1" t="s">
        <v>58</v>
      </c>
      <c r="V5" s="1" t="s">
        <v>58</v>
      </c>
      <c r="W5" s="1" t="s">
        <v>58</v>
      </c>
      <c r="Y5" s="1" t="s">
        <v>58</v>
      </c>
      <c r="Z5" s="13">
        <v>100.0</v>
      </c>
      <c r="AA5" s="13">
        <v>100.0</v>
      </c>
      <c r="AB5" s="1" t="s">
        <v>59</v>
      </c>
      <c r="AC5" s="1" t="s">
        <v>59</v>
      </c>
      <c r="AL5" s="1" t="s">
        <v>61</v>
      </c>
      <c r="AN5" s="1" t="s">
        <v>58</v>
      </c>
      <c r="AO5" s="1" t="s">
        <v>62</v>
      </c>
    </row>
    <row r="6">
      <c r="A6" s="1" t="s">
        <v>84</v>
      </c>
      <c r="B6" s="1" t="str">
        <f>IFERROR(__xludf.DUMMYFUNCTION("ARRAY_CONSTRAIN(split(CELL(""ADDRESS"",rdataslayer_3753ddf3234e496aa261974a0222e193),""!""),1,1)"),"#REF!")</f>
        <v>#REF!</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REF!")</f>
        <v>#REF!</v>
      </c>
      <c r="D6" s="12">
        <v>44518.620729166665</v>
      </c>
      <c r="E6" s="12">
        <v>44520.05142361111</v>
      </c>
      <c r="F6" s="1" t="s">
        <v>51</v>
      </c>
      <c r="I6" s="13">
        <v>18.0</v>
      </c>
      <c r="J6" s="1" t="s">
        <v>52</v>
      </c>
      <c r="L6" s="1" t="s">
        <v>53</v>
      </c>
      <c r="M6" s="1" t="s">
        <v>54</v>
      </c>
      <c r="R6" s="1" t="s">
        <v>89</v>
      </c>
      <c r="S6" s="1" t="s">
        <v>56</v>
      </c>
      <c r="T6" s="1" t="s">
        <v>58</v>
      </c>
      <c r="U6" s="1" t="s">
        <v>58</v>
      </c>
      <c r="V6" s="1" t="s">
        <v>58</v>
      </c>
      <c r="W6" s="1" t="s">
        <v>58</v>
      </c>
      <c r="Y6" s="1" t="s">
        <v>58</v>
      </c>
      <c r="Z6" s="13">
        <v>100.0</v>
      </c>
      <c r="AA6" s="13">
        <v>100.0</v>
      </c>
      <c r="AB6" s="1" t="s">
        <v>93</v>
      </c>
      <c r="AC6" s="1" t="s">
        <v>59</v>
      </c>
      <c r="AL6" s="1" t="s">
        <v>61</v>
      </c>
      <c r="AN6" s="1" t="s">
        <v>58</v>
      </c>
      <c r="AO6" s="1"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3.13"/>
    <col customWidth="1" min="12" max="12" width="14.0"/>
  </cols>
  <sheetData>
    <row r="1">
      <c r="A1" s="3">
        <v>45231.0</v>
      </c>
      <c r="B1" s="5">
        <v>45231.0</v>
      </c>
      <c r="C1" s="5">
        <v>45232.0</v>
      </c>
      <c r="D1" s="5">
        <v>45233.0</v>
      </c>
      <c r="E1" s="5">
        <v>45234.0</v>
      </c>
      <c r="F1" s="5">
        <v>45235.0</v>
      </c>
      <c r="G1" s="5">
        <v>45236.0</v>
      </c>
      <c r="H1" s="5">
        <v>45237.0</v>
      </c>
      <c r="I1" s="5">
        <v>45238.0</v>
      </c>
      <c r="J1" s="5">
        <v>45239.0</v>
      </c>
      <c r="K1" s="5">
        <v>45240.0</v>
      </c>
      <c r="L1" s="5">
        <v>45241.0</v>
      </c>
      <c r="M1" s="5">
        <v>45242.0</v>
      </c>
      <c r="N1" s="5">
        <v>45243.0</v>
      </c>
      <c r="O1" s="5">
        <v>45244.0</v>
      </c>
      <c r="P1" s="5">
        <v>45245.0</v>
      </c>
      <c r="Q1" s="5">
        <v>45246.0</v>
      </c>
      <c r="R1" s="5">
        <v>45247.0</v>
      </c>
      <c r="S1" s="5">
        <v>45248.0</v>
      </c>
      <c r="T1" s="5">
        <v>45249.0</v>
      </c>
      <c r="U1" s="5">
        <v>45250.0</v>
      </c>
      <c r="V1" s="5">
        <v>45251.0</v>
      </c>
      <c r="W1" s="5">
        <v>45252.0</v>
      </c>
      <c r="X1" s="5">
        <v>45253.0</v>
      </c>
      <c r="Y1" s="5">
        <v>45254.0</v>
      </c>
      <c r="Z1" s="5">
        <v>45255.0</v>
      </c>
      <c r="AA1" s="5">
        <v>45256.0</v>
      </c>
      <c r="AB1" s="5">
        <v>45257.0</v>
      </c>
      <c r="AC1" s="5">
        <v>45258.0</v>
      </c>
      <c r="AD1" s="5">
        <v>45259.0</v>
      </c>
      <c r="AE1" s="5">
        <v>45260.0</v>
      </c>
    </row>
    <row r="2">
      <c r="A2" s="9"/>
      <c r="B2" s="11" t="s">
        <v>44</v>
      </c>
      <c r="C2" s="11" t="s">
        <v>45</v>
      </c>
      <c r="D2" s="11" t="s">
        <v>46</v>
      </c>
      <c r="E2" s="11" t="s">
        <v>47</v>
      </c>
      <c r="F2" s="11" t="s">
        <v>48</v>
      </c>
      <c r="G2" s="11" t="s">
        <v>49</v>
      </c>
      <c r="H2" s="11" t="s">
        <v>50</v>
      </c>
      <c r="I2" s="11" t="s">
        <v>44</v>
      </c>
      <c r="J2" s="11" t="s">
        <v>45</v>
      </c>
      <c r="K2" s="11" t="s">
        <v>46</v>
      </c>
      <c r="L2" s="11" t="s">
        <v>47</v>
      </c>
      <c r="M2" s="11" t="s">
        <v>48</v>
      </c>
      <c r="N2" s="11" t="s">
        <v>49</v>
      </c>
      <c r="O2" s="11" t="s">
        <v>50</v>
      </c>
      <c r="P2" s="11" t="s">
        <v>44</v>
      </c>
      <c r="Q2" s="11" t="s">
        <v>45</v>
      </c>
      <c r="R2" s="11" t="s">
        <v>46</v>
      </c>
      <c r="S2" s="11" t="s">
        <v>47</v>
      </c>
      <c r="T2" s="11" t="s">
        <v>48</v>
      </c>
      <c r="U2" s="11" t="s">
        <v>49</v>
      </c>
      <c r="V2" s="11" t="s">
        <v>50</v>
      </c>
      <c r="W2" s="11" t="s">
        <v>44</v>
      </c>
      <c r="X2" s="11" t="s">
        <v>45</v>
      </c>
      <c r="Y2" s="11" t="s">
        <v>46</v>
      </c>
      <c r="Z2" s="11" t="s">
        <v>47</v>
      </c>
      <c r="AA2" s="11" t="s">
        <v>48</v>
      </c>
      <c r="AB2" s="11" t="s">
        <v>49</v>
      </c>
      <c r="AC2" s="11" t="s">
        <v>50</v>
      </c>
      <c r="AD2" s="11" t="s">
        <v>44</v>
      </c>
      <c r="AE2" s="11" t="s">
        <v>45</v>
      </c>
    </row>
    <row r="3">
      <c r="A3" s="15" t="s">
        <v>64</v>
      </c>
      <c r="B3" s="15" t="s">
        <v>65</v>
      </c>
      <c r="C3" s="9"/>
      <c r="D3" s="15"/>
      <c r="E3" s="15" t="s">
        <v>65</v>
      </c>
      <c r="F3" s="15" t="s">
        <v>65</v>
      </c>
      <c r="G3" s="9"/>
      <c r="H3" s="9"/>
      <c r="I3" s="9"/>
      <c r="J3" s="9"/>
      <c r="K3" s="15"/>
      <c r="L3" s="15" t="s">
        <v>68</v>
      </c>
      <c r="M3" s="15" t="s">
        <v>68</v>
      </c>
      <c r="N3" s="9"/>
      <c r="O3" s="9"/>
      <c r="P3" s="9"/>
      <c r="Q3" s="9"/>
      <c r="R3" s="9"/>
      <c r="S3" s="15" t="s">
        <v>65</v>
      </c>
      <c r="T3" s="15" t="s">
        <v>65</v>
      </c>
      <c r="U3" s="9"/>
      <c r="V3" s="9"/>
      <c r="W3" s="9"/>
      <c r="X3" s="9"/>
      <c r="Y3" s="9"/>
      <c r="Z3" s="15" t="s">
        <v>65</v>
      </c>
      <c r="AA3" s="15" t="s">
        <v>65</v>
      </c>
      <c r="AB3" s="9"/>
      <c r="AC3" s="9"/>
      <c r="AD3" s="9"/>
      <c r="AE3" s="9"/>
    </row>
    <row r="4">
      <c r="A4" s="18" t="s">
        <v>71</v>
      </c>
      <c r="B4" s="19" t="s">
        <v>72</v>
      </c>
      <c r="H4" s="1"/>
      <c r="I4" s="1"/>
      <c r="J4" s="1"/>
      <c r="K4" s="1"/>
      <c r="L4" s="1"/>
      <c r="M4" s="1"/>
      <c r="N4" s="1"/>
      <c r="O4" s="1"/>
      <c r="P4" s="1"/>
      <c r="Q4" s="1"/>
      <c r="R4" s="1"/>
      <c r="S4" s="1"/>
      <c r="T4" s="1"/>
      <c r="U4" s="1"/>
      <c r="V4" s="1"/>
      <c r="W4" s="1"/>
      <c r="X4" s="1"/>
      <c r="Y4" s="20" t="s">
        <v>75</v>
      </c>
      <c r="Z4" s="1"/>
      <c r="AA4" s="1"/>
      <c r="AB4" s="1"/>
      <c r="AC4" s="1"/>
      <c r="AD4" s="1"/>
      <c r="AE4" s="1"/>
    </row>
    <row r="5">
      <c r="B5" s="15"/>
      <c r="C5" s="15" t="s">
        <v>77</v>
      </c>
      <c r="D5" s="15"/>
      <c r="E5" s="15"/>
      <c r="F5" s="22"/>
      <c r="G5" s="15"/>
      <c r="H5" s="23" t="s">
        <v>78</v>
      </c>
      <c r="K5" s="23" t="s">
        <v>79</v>
      </c>
      <c r="AD5" s="15"/>
      <c r="AE5" s="24"/>
    </row>
    <row r="6">
      <c r="B6" s="15"/>
      <c r="C6" s="15"/>
      <c r="D6" s="15"/>
      <c r="E6" s="15"/>
      <c r="F6" s="15"/>
      <c r="G6" s="24"/>
      <c r="H6" s="24"/>
      <c r="I6" s="26" t="s">
        <v>82</v>
      </c>
      <c r="J6" s="28" t="s">
        <v>83</v>
      </c>
      <c r="K6" s="24"/>
      <c r="L6" s="28" t="s">
        <v>85</v>
      </c>
      <c r="M6" s="24"/>
      <c r="N6" s="24"/>
      <c r="O6" s="24"/>
      <c r="P6" s="24"/>
      <c r="Q6" s="24"/>
      <c r="R6" s="15"/>
      <c r="S6" s="15"/>
      <c r="T6" s="15"/>
      <c r="U6" s="15"/>
      <c r="V6" s="15"/>
      <c r="W6" s="29" t="s">
        <v>86</v>
      </c>
      <c r="X6" s="15"/>
      <c r="Y6" s="29" t="s">
        <v>87</v>
      </c>
      <c r="Z6" s="29" t="s">
        <v>88</v>
      </c>
      <c r="AA6" s="30" t="s">
        <v>90</v>
      </c>
      <c r="AB6" s="30" t="s">
        <v>91</v>
      </c>
      <c r="AC6" s="29" t="s">
        <v>92</v>
      </c>
      <c r="AD6" s="24"/>
      <c r="AE6" s="24"/>
    </row>
    <row r="7">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row>
    <row r="8">
      <c r="A8" s="32" t="s">
        <v>94</v>
      </c>
      <c r="B8" s="34">
        <v>105288.85</v>
      </c>
      <c r="C8" s="35">
        <v>114299.05</v>
      </c>
      <c r="D8" s="35">
        <v>112607.15</v>
      </c>
      <c r="E8" s="35">
        <v>122040.63</v>
      </c>
      <c r="F8" s="35">
        <v>137885.87</v>
      </c>
      <c r="G8" s="35">
        <v>130202.04</v>
      </c>
      <c r="H8" s="38">
        <v>119604.06</v>
      </c>
      <c r="I8" s="38">
        <v>123367.12</v>
      </c>
      <c r="J8" s="38">
        <v>132758.96</v>
      </c>
      <c r="K8" s="38">
        <v>129650.69</v>
      </c>
      <c r="L8" s="38">
        <v>170840.54</v>
      </c>
      <c r="M8" s="38">
        <v>167598.98</v>
      </c>
      <c r="N8" s="38">
        <v>144526.94</v>
      </c>
      <c r="O8" s="38">
        <v>150855.82</v>
      </c>
      <c r="P8" s="38">
        <v>138667.14</v>
      </c>
      <c r="Q8" s="38">
        <v>128700.0</v>
      </c>
      <c r="R8" s="38">
        <v>137223.22</v>
      </c>
      <c r="S8" s="38">
        <v>174001.55</v>
      </c>
      <c r="T8" s="38">
        <v>184464.08</v>
      </c>
      <c r="U8" s="38">
        <v>194400.84</v>
      </c>
      <c r="V8" s="38">
        <v>198063.87</v>
      </c>
      <c r="W8" s="38">
        <v>290518.02</v>
      </c>
      <c r="X8" s="38">
        <v>350215.16</v>
      </c>
      <c r="Y8" s="38">
        <v>952032.29</v>
      </c>
      <c r="Z8" s="38">
        <v>589382.83</v>
      </c>
      <c r="AA8" s="38">
        <v>442601.05</v>
      </c>
      <c r="AB8" s="38">
        <v>679709.11</v>
      </c>
      <c r="AC8" s="38">
        <v>479681.85</v>
      </c>
      <c r="AD8" s="38">
        <v>104651.11</v>
      </c>
      <c r="AE8" s="38">
        <v>94859.28</v>
      </c>
    </row>
    <row r="9" outlineLevel="1">
      <c r="A9" s="39" t="s">
        <v>96</v>
      </c>
      <c r="B9" s="40">
        <v>85464.76</v>
      </c>
      <c r="C9" s="40">
        <v>88820.66</v>
      </c>
      <c r="D9" s="40">
        <v>90446.48</v>
      </c>
      <c r="E9" s="40">
        <v>97964.77</v>
      </c>
      <c r="F9" s="40">
        <v>112993.92</v>
      </c>
      <c r="G9" s="40">
        <v>106383.84</v>
      </c>
      <c r="H9" s="42">
        <v>97516.45</v>
      </c>
      <c r="I9" s="42">
        <v>97998.57</v>
      </c>
      <c r="J9" s="42">
        <v>105495.71</v>
      </c>
      <c r="K9" s="42">
        <v>103305.74</v>
      </c>
      <c r="L9" s="42">
        <v>135481.65</v>
      </c>
      <c r="M9" s="42">
        <v>130709.47</v>
      </c>
      <c r="N9" s="42">
        <v>104808.29</v>
      </c>
      <c r="O9" s="42">
        <v>120021.9</v>
      </c>
      <c r="P9" s="42">
        <v>110332.61</v>
      </c>
      <c r="Q9" s="42">
        <v>101442.48</v>
      </c>
      <c r="R9" s="42">
        <v>109297.97</v>
      </c>
      <c r="S9" s="42">
        <v>139757.95</v>
      </c>
      <c r="T9" s="42">
        <v>148816.8</v>
      </c>
      <c r="U9" s="42">
        <v>155473.12</v>
      </c>
      <c r="V9" s="42">
        <v>159649.26</v>
      </c>
      <c r="W9" s="42">
        <v>232257.49</v>
      </c>
      <c r="X9" s="42">
        <v>279269.34</v>
      </c>
      <c r="Y9" s="42">
        <v>768682.68</v>
      </c>
      <c r="Z9" s="42">
        <v>480538.29</v>
      </c>
      <c r="AA9" s="42">
        <v>355864.59</v>
      </c>
      <c r="AB9" s="42">
        <v>554099.5</v>
      </c>
      <c r="AC9" s="42">
        <v>394641.7</v>
      </c>
      <c r="AD9" s="42">
        <v>85839.83</v>
      </c>
      <c r="AE9" s="42">
        <v>76648.21</v>
      </c>
    </row>
    <row r="10" outlineLevel="1">
      <c r="A10" s="45" t="s">
        <v>99</v>
      </c>
      <c r="B10" s="40">
        <v>6707.54</v>
      </c>
      <c r="C10" s="40">
        <v>10578.54</v>
      </c>
      <c r="D10" s="40">
        <v>9279.32</v>
      </c>
      <c r="E10" s="40">
        <v>10715.53</v>
      </c>
      <c r="F10" s="40">
        <v>9847.38</v>
      </c>
      <c r="G10" s="40">
        <v>9498.36</v>
      </c>
      <c r="H10" s="42">
        <v>9096.2</v>
      </c>
      <c r="I10" s="42">
        <v>10900.63</v>
      </c>
      <c r="J10" s="42">
        <v>10081.86</v>
      </c>
      <c r="K10" s="42">
        <v>9833.36</v>
      </c>
      <c r="L10" s="42">
        <v>14204.65</v>
      </c>
      <c r="M10" s="42">
        <v>15202.53</v>
      </c>
      <c r="N10" s="42">
        <v>17902.76</v>
      </c>
      <c r="O10" s="42">
        <v>11276.86</v>
      </c>
      <c r="P10" s="42">
        <v>10034.39</v>
      </c>
      <c r="Q10" s="42">
        <v>10184.52</v>
      </c>
      <c r="R10" s="42">
        <v>9958.2</v>
      </c>
      <c r="S10" s="42">
        <v>11848.7</v>
      </c>
      <c r="T10" s="42">
        <v>12208.7</v>
      </c>
      <c r="U10" s="42">
        <v>14372.88</v>
      </c>
      <c r="V10" s="42">
        <v>13573.49</v>
      </c>
      <c r="W10" s="42">
        <v>22112.66</v>
      </c>
      <c r="X10" s="42">
        <v>26913.89</v>
      </c>
      <c r="Y10" s="42">
        <v>64135.85</v>
      </c>
      <c r="Z10" s="42">
        <v>34635.81</v>
      </c>
      <c r="AA10" s="42">
        <v>31300.7</v>
      </c>
      <c r="AB10" s="42">
        <v>40412.44</v>
      </c>
      <c r="AC10" s="42">
        <v>25503.7</v>
      </c>
      <c r="AD10" s="42">
        <v>7747.32</v>
      </c>
      <c r="AE10" s="42">
        <v>7659.93</v>
      </c>
    </row>
    <row r="11" outlineLevel="1">
      <c r="A11" s="45" t="s">
        <v>101</v>
      </c>
      <c r="B11" s="40">
        <v>0.0</v>
      </c>
      <c r="C11" s="40">
        <v>0.0</v>
      </c>
      <c r="D11" s="40">
        <v>0.0</v>
      </c>
      <c r="E11" s="40">
        <v>0.0</v>
      </c>
      <c r="F11" s="40">
        <v>0.0</v>
      </c>
      <c r="G11" s="40">
        <v>0.0</v>
      </c>
      <c r="H11" s="42">
        <v>0.0</v>
      </c>
      <c r="I11" s="42">
        <v>0.0</v>
      </c>
      <c r="J11" s="42">
        <v>552.01</v>
      </c>
      <c r="K11" s="42">
        <v>356.89</v>
      </c>
      <c r="L11" s="42">
        <v>281.81</v>
      </c>
      <c r="M11" s="42">
        <v>164.95</v>
      </c>
      <c r="N11" s="42">
        <v>0.0</v>
      </c>
      <c r="O11" s="42">
        <v>681.63</v>
      </c>
      <c r="P11" s="42">
        <v>662.92</v>
      </c>
      <c r="Q11" s="42">
        <v>844.78</v>
      </c>
      <c r="R11" s="42">
        <v>636.28</v>
      </c>
      <c r="S11" s="42">
        <v>271.98</v>
      </c>
      <c r="T11" s="42">
        <v>215.97</v>
      </c>
      <c r="U11" s="42">
        <v>185.98</v>
      </c>
      <c r="V11" s="42">
        <v>275.99</v>
      </c>
      <c r="W11" s="42">
        <v>406.99</v>
      </c>
      <c r="X11" s="42">
        <v>415.66</v>
      </c>
      <c r="Y11" s="42">
        <v>911.63</v>
      </c>
      <c r="Z11" s="42">
        <v>605.98</v>
      </c>
      <c r="AA11" s="42">
        <v>275.01</v>
      </c>
      <c r="AB11" s="42">
        <v>776.95</v>
      </c>
      <c r="AC11" s="42">
        <v>788.98</v>
      </c>
      <c r="AD11" s="42">
        <v>172.99</v>
      </c>
      <c r="AE11" s="42">
        <v>114.0</v>
      </c>
    </row>
    <row r="12" outlineLevel="1">
      <c r="A12" s="39" t="s">
        <v>103</v>
      </c>
      <c r="B12" s="46"/>
      <c r="C12" s="46"/>
      <c r="D12" s="46"/>
      <c r="E12" s="46"/>
      <c r="F12" s="46"/>
      <c r="G12" s="46"/>
      <c r="H12" s="48"/>
      <c r="I12" s="48"/>
      <c r="J12" s="48"/>
      <c r="K12" s="48"/>
      <c r="L12" s="48"/>
      <c r="M12" s="48"/>
      <c r="N12" s="48"/>
      <c r="O12" s="48"/>
      <c r="P12" s="48"/>
      <c r="Q12" s="48"/>
      <c r="R12" s="48"/>
      <c r="S12" s="48"/>
      <c r="T12" s="48"/>
      <c r="U12" s="48"/>
      <c r="V12" s="48"/>
      <c r="W12" s="48"/>
      <c r="X12" s="48"/>
      <c r="Y12" s="48"/>
      <c r="Z12" s="48"/>
      <c r="AA12" s="48"/>
      <c r="AB12" s="48"/>
      <c r="AC12" s="48"/>
      <c r="AD12" s="48"/>
      <c r="AE12" s="48"/>
    </row>
    <row r="13" outlineLevel="1">
      <c r="A13" s="45" t="s">
        <v>106</v>
      </c>
      <c r="B13" s="40">
        <v>5816.55</v>
      </c>
      <c r="C13" s="40">
        <v>6484.85</v>
      </c>
      <c r="D13" s="40">
        <v>6121.35</v>
      </c>
      <c r="E13" s="40">
        <v>7055.33</v>
      </c>
      <c r="F13" s="40">
        <v>7974.57</v>
      </c>
      <c r="G13" s="40">
        <v>7404.84</v>
      </c>
      <c r="H13" s="42">
        <v>6681.41</v>
      </c>
      <c r="I13" s="42">
        <v>6882.92</v>
      </c>
      <c r="J13" s="42">
        <v>7181.38</v>
      </c>
      <c r="K13" s="42">
        <v>7019.7</v>
      </c>
      <c r="L13" s="42">
        <v>9404.43</v>
      </c>
      <c r="M13" s="42">
        <v>9065.03</v>
      </c>
      <c r="N13" s="42">
        <v>8205.89</v>
      </c>
      <c r="O13" s="42">
        <v>8084.43</v>
      </c>
      <c r="P13" s="42">
        <v>7629.22</v>
      </c>
      <c r="Q13" s="42">
        <v>6860.22</v>
      </c>
      <c r="R13" s="42">
        <v>7425.77</v>
      </c>
      <c r="S13" s="42">
        <v>9037.92</v>
      </c>
      <c r="T13" s="42">
        <v>9827.61</v>
      </c>
      <c r="U13" s="42">
        <v>10093.86</v>
      </c>
      <c r="V13" s="42">
        <v>10475.13</v>
      </c>
      <c r="W13" s="42">
        <v>14995.88</v>
      </c>
      <c r="X13" s="42">
        <v>18816.27</v>
      </c>
      <c r="Y13" s="42">
        <v>53419.13</v>
      </c>
      <c r="Z13" s="42">
        <v>33357.75</v>
      </c>
      <c r="AA13" s="42">
        <v>23750.75</v>
      </c>
      <c r="AB13" s="42">
        <v>38985.22</v>
      </c>
      <c r="AC13" s="42">
        <v>27392.47</v>
      </c>
      <c r="AD13" s="42">
        <v>5705.97</v>
      </c>
      <c r="AE13" s="42">
        <v>5427.14</v>
      </c>
    </row>
    <row r="14" outlineLevel="1">
      <c r="A14" s="45" t="s">
        <v>108</v>
      </c>
      <c r="B14" s="40">
        <v>7300.0</v>
      </c>
      <c r="C14" s="40">
        <v>8415.0</v>
      </c>
      <c r="D14" s="40">
        <v>6760.0</v>
      </c>
      <c r="E14" s="40">
        <v>6305.0</v>
      </c>
      <c r="F14" s="40">
        <v>7070.0</v>
      </c>
      <c r="G14" s="40">
        <v>6915.0</v>
      </c>
      <c r="H14" s="42">
        <v>6310.0</v>
      </c>
      <c r="I14" s="42">
        <v>7585.0</v>
      </c>
      <c r="J14" s="42">
        <v>9448.0</v>
      </c>
      <c r="K14" s="42">
        <v>9135.0</v>
      </c>
      <c r="L14" s="42">
        <v>11468.0</v>
      </c>
      <c r="M14" s="42">
        <v>12457.0</v>
      </c>
      <c r="N14" s="42">
        <v>13610.0</v>
      </c>
      <c r="O14" s="42">
        <v>10791.0</v>
      </c>
      <c r="P14" s="42">
        <v>10008.0</v>
      </c>
      <c r="Q14" s="42">
        <v>9368.0</v>
      </c>
      <c r="R14" s="42">
        <v>9905.0</v>
      </c>
      <c r="S14" s="42">
        <v>13085.0</v>
      </c>
      <c r="T14" s="42">
        <v>13395.0</v>
      </c>
      <c r="U14" s="42">
        <v>14275.0</v>
      </c>
      <c r="V14" s="42">
        <v>14090.0</v>
      </c>
      <c r="W14" s="42">
        <v>20745.0</v>
      </c>
      <c r="X14" s="42">
        <v>24800.0</v>
      </c>
      <c r="Y14" s="42">
        <v>64883.0</v>
      </c>
      <c r="Z14" s="42">
        <v>40245.0</v>
      </c>
      <c r="AA14" s="42">
        <v>31410.0</v>
      </c>
      <c r="AB14" s="42">
        <v>45435.0</v>
      </c>
      <c r="AC14" s="42">
        <v>31355.0</v>
      </c>
      <c r="AD14" s="42">
        <v>5185.0</v>
      </c>
      <c r="AE14" s="42">
        <v>5010.0</v>
      </c>
    </row>
    <row r="15">
      <c r="A15" s="32" t="s">
        <v>109</v>
      </c>
      <c r="B15" s="34">
        <f t="shared" ref="B15:AE15" si="1">SUM(B16:B20)</f>
        <v>9998.64</v>
      </c>
      <c r="C15" s="34">
        <f t="shared" si="1"/>
        <v>10453.96</v>
      </c>
      <c r="D15" s="34">
        <f t="shared" si="1"/>
        <v>16043.42</v>
      </c>
      <c r="E15" s="34">
        <f t="shared" si="1"/>
        <v>15088.14</v>
      </c>
      <c r="F15" s="34">
        <f t="shared" si="1"/>
        <v>19511.77</v>
      </c>
      <c r="G15" s="34">
        <f t="shared" si="1"/>
        <v>15164.18</v>
      </c>
      <c r="H15" s="34">
        <f t="shared" si="1"/>
        <v>12460.48</v>
      </c>
      <c r="I15" s="34">
        <f t="shared" si="1"/>
        <v>14308.41</v>
      </c>
      <c r="J15" s="34">
        <f t="shared" si="1"/>
        <v>22560.87</v>
      </c>
      <c r="K15" s="34">
        <f t="shared" si="1"/>
        <v>29706.24</v>
      </c>
      <c r="L15" s="34">
        <f t="shared" si="1"/>
        <v>39640</v>
      </c>
      <c r="M15" s="34">
        <f t="shared" si="1"/>
        <v>37418.67</v>
      </c>
      <c r="N15" s="34">
        <f t="shared" si="1"/>
        <v>37136.61</v>
      </c>
      <c r="O15" s="34">
        <f t="shared" si="1"/>
        <v>39260</v>
      </c>
      <c r="P15" s="34">
        <f t="shared" si="1"/>
        <v>39735.12</v>
      </c>
      <c r="Q15" s="34">
        <f t="shared" si="1"/>
        <v>46799.4</v>
      </c>
      <c r="R15" s="34">
        <f t="shared" si="1"/>
        <v>51283.61</v>
      </c>
      <c r="S15" s="34">
        <f t="shared" si="1"/>
        <v>60181.12</v>
      </c>
      <c r="T15" s="34">
        <f t="shared" si="1"/>
        <v>42093.38</v>
      </c>
      <c r="U15" s="34">
        <f t="shared" si="1"/>
        <v>97450.91</v>
      </c>
      <c r="V15" s="34">
        <f t="shared" si="1"/>
        <v>108206.52</v>
      </c>
      <c r="W15" s="34">
        <f t="shared" si="1"/>
        <v>122916.92</v>
      </c>
      <c r="X15" s="34">
        <f t="shared" si="1"/>
        <v>161638.2</v>
      </c>
      <c r="Y15" s="34">
        <f t="shared" si="1"/>
        <v>641651.1</v>
      </c>
      <c r="Z15" s="34">
        <f t="shared" si="1"/>
        <v>393320.17</v>
      </c>
      <c r="AA15" s="34">
        <f t="shared" si="1"/>
        <v>248280.93</v>
      </c>
      <c r="AB15" s="34">
        <f t="shared" si="1"/>
        <v>78977.67</v>
      </c>
      <c r="AC15" s="34">
        <f t="shared" si="1"/>
        <v>0</v>
      </c>
      <c r="AD15" s="34">
        <f t="shared" si="1"/>
        <v>58.71</v>
      </c>
      <c r="AE15" s="34">
        <f t="shared" si="1"/>
        <v>540.1</v>
      </c>
    </row>
    <row r="16" outlineLevel="1">
      <c r="A16" s="57" t="s">
        <v>96</v>
      </c>
      <c r="B16" s="40">
        <v>9193.0</v>
      </c>
      <c r="C16" s="40">
        <v>9677.76</v>
      </c>
      <c r="D16" s="40">
        <v>14877.86</v>
      </c>
      <c r="E16" s="40">
        <v>14028.38</v>
      </c>
      <c r="F16" s="40">
        <v>18099.43</v>
      </c>
      <c r="G16" s="58">
        <v>14185.0</v>
      </c>
      <c r="H16" s="59">
        <v>11584.43</v>
      </c>
      <c r="I16" s="59">
        <v>13067.81</v>
      </c>
      <c r="J16" s="59">
        <v>20859.28</v>
      </c>
      <c r="K16" s="59">
        <v>27638.76</v>
      </c>
      <c r="L16" s="59">
        <v>36779.09</v>
      </c>
      <c r="M16" s="59">
        <v>34737.14</v>
      </c>
      <c r="N16" s="59">
        <v>34577.9</v>
      </c>
      <c r="O16" s="59">
        <v>36524.81</v>
      </c>
      <c r="P16" s="59">
        <v>36879.17</v>
      </c>
      <c r="Q16" s="59">
        <v>43135.38</v>
      </c>
      <c r="R16" s="59">
        <v>47392.32</v>
      </c>
      <c r="S16" s="59">
        <v>55557.25</v>
      </c>
      <c r="T16" s="59">
        <v>38666.59</v>
      </c>
      <c r="U16" s="59">
        <v>90083.38</v>
      </c>
      <c r="V16" s="59">
        <v>99805.68</v>
      </c>
      <c r="W16" s="59">
        <v>114068.3</v>
      </c>
      <c r="X16" s="59">
        <v>149568.42</v>
      </c>
      <c r="Y16" s="59">
        <v>594889.04</v>
      </c>
      <c r="Z16" s="59">
        <v>365780.37</v>
      </c>
      <c r="AA16" s="59">
        <v>231202.98</v>
      </c>
      <c r="AB16" s="59">
        <v>72457.99</v>
      </c>
      <c r="AC16" s="59">
        <v>0.0</v>
      </c>
      <c r="AD16" s="59">
        <v>0.0</v>
      </c>
      <c r="AE16" s="59">
        <v>478.0</v>
      </c>
    </row>
    <row r="17" outlineLevel="1">
      <c r="A17" s="57" t="s">
        <v>99</v>
      </c>
      <c r="B17" s="40">
        <v>144.0</v>
      </c>
      <c r="C17" s="40">
        <v>72.0</v>
      </c>
      <c r="D17" s="40">
        <v>117.6</v>
      </c>
      <c r="E17" s="40">
        <v>96.0</v>
      </c>
      <c r="F17" s="40">
        <v>142.8</v>
      </c>
      <c r="G17" s="58">
        <v>96.0</v>
      </c>
      <c r="H17" s="59">
        <v>94.8</v>
      </c>
      <c r="I17" s="59">
        <v>262.8</v>
      </c>
      <c r="J17" s="59">
        <v>216.0</v>
      </c>
      <c r="K17" s="59">
        <v>120.0</v>
      </c>
      <c r="L17" s="59">
        <v>214.8</v>
      </c>
      <c r="M17" s="59">
        <v>240.0</v>
      </c>
      <c r="N17" s="59">
        <v>120.0</v>
      </c>
      <c r="O17" s="59">
        <v>214.8</v>
      </c>
      <c r="P17" s="59">
        <v>192.0</v>
      </c>
      <c r="Q17" s="59">
        <v>576.0</v>
      </c>
      <c r="R17" s="59">
        <v>502.8</v>
      </c>
      <c r="S17" s="59">
        <v>696.0</v>
      </c>
      <c r="T17" s="59">
        <v>605.9</v>
      </c>
      <c r="U17" s="59">
        <v>863.7</v>
      </c>
      <c r="V17" s="59">
        <v>976.59</v>
      </c>
      <c r="W17" s="59">
        <v>815.5</v>
      </c>
      <c r="X17" s="59">
        <v>1287.9</v>
      </c>
      <c r="Y17" s="59">
        <v>3856.09</v>
      </c>
      <c r="Z17" s="59">
        <v>1296.0</v>
      </c>
      <c r="AA17" s="59">
        <v>192.0</v>
      </c>
      <c r="AB17" s="59">
        <v>48.0</v>
      </c>
      <c r="AC17" s="59">
        <v>0.0</v>
      </c>
      <c r="AD17" s="59">
        <v>40.0</v>
      </c>
      <c r="AE17" s="59">
        <v>29.0</v>
      </c>
    </row>
    <row r="18" outlineLevel="1">
      <c r="A18" s="57" t="s">
        <v>110</v>
      </c>
      <c r="B18" s="58">
        <v>649.85</v>
      </c>
      <c r="C18" s="58">
        <v>696.41</v>
      </c>
      <c r="D18" s="58">
        <v>1038.18</v>
      </c>
      <c r="E18" s="58">
        <v>947.39</v>
      </c>
      <c r="F18" s="58">
        <v>1262.15</v>
      </c>
      <c r="G18" s="58">
        <v>869.71</v>
      </c>
      <c r="H18" s="59">
        <v>771.81</v>
      </c>
      <c r="I18" s="59">
        <v>963.53</v>
      </c>
      <c r="J18" s="59">
        <v>1442.59</v>
      </c>
      <c r="K18" s="59">
        <v>1915.06</v>
      </c>
      <c r="L18" s="59">
        <v>2629.44</v>
      </c>
      <c r="M18" s="59">
        <v>2388.49</v>
      </c>
      <c r="N18" s="59">
        <v>2399.04</v>
      </c>
      <c r="O18" s="59">
        <v>2510.61</v>
      </c>
      <c r="P18" s="59">
        <v>2616.64</v>
      </c>
      <c r="Q18" s="59">
        <v>3063.65</v>
      </c>
      <c r="R18" s="59">
        <v>3338.55</v>
      </c>
      <c r="S18" s="59">
        <v>3872.14</v>
      </c>
      <c r="T18" s="59">
        <v>2750.01</v>
      </c>
      <c r="U18" s="59">
        <v>6355.92</v>
      </c>
      <c r="V18" s="59">
        <v>7181.12</v>
      </c>
      <c r="W18" s="59">
        <v>7881.51</v>
      </c>
      <c r="X18" s="59">
        <v>10502.78</v>
      </c>
      <c r="Y18" s="59">
        <v>42104.68</v>
      </c>
      <c r="Z18" s="59">
        <v>25752.03</v>
      </c>
      <c r="AA18" s="59">
        <v>16557.32</v>
      </c>
      <c r="AB18" s="59">
        <v>5150.32</v>
      </c>
      <c r="AC18" s="59">
        <v>0.0</v>
      </c>
      <c r="AD18" s="59">
        <v>3.71</v>
      </c>
      <c r="AE18" s="59">
        <v>33.1</v>
      </c>
    </row>
    <row r="19" outlineLevel="1">
      <c r="A19" s="57" t="s">
        <v>108</v>
      </c>
      <c r="B19" s="58">
        <v>11.79</v>
      </c>
      <c r="C19" s="58">
        <v>7.49</v>
      </c>
      <c r="D19" s="58">
        <v>0.5</v>
      </c>
      <c r="E19" s="58">
        <v>7.24</v>
      </c>
      <c r="F19" s="58">
        <v>2.75</v>
      </c>
      <c r="G19" s="58">
        <v>0.0</v>
      </c>
      <c r="H19" s="59">
        <v>0.31</v>
      </c>
      <c r="I19" s="59">
        <v>0.5</v>
      </c>
      <c r="J19" s="59">
        <v>24.14</v>
      </c>
      <c r="K19" s="59">
        <v>14.16</v>
      </c>
      <c r="L19" s="59">
        <v>2.0</v>
      </c>
      <c r="M19" s="59">
        <v>21.16</v>
      </c>
      <c r="N19" s="59">
        <v>25.45</v>
      </c>
      <c r="O19" s="59">
        <v>0.5</v>
      </c>
      <c r="P19" s="59">
        <v>37.43</v>
      </c>
      <c r="Q19" s="59">
        <v>5.51</v>
      </c>
      <c r="R19" s="59">
        <v>5.39</v>
      </c>
      <c r="S19" s="59">
        <v>28.49</v>
      </c>
      <c r="T19" s="59">
        <v>61.6</v>
      </c>
      <c r="U19" s="59">
        <v>52.57</v>
      </c>
      <c r="V19" s="59">
        <v>175.38</v>
      </c>
      <c r="W19" s="59">
        <v>87.25</v>
      </c>
      <c r="X19" s="59">
        <v>155.77</v>
      </c>
      <c r="Y19" s="59">
        <v>416.82</v>
      </c>
      <c r="Z19" s="59">
        <v>134.4</v>
      </c>
      <c r="AA19" s="59">
        <v>127.92</v>
      </c>
      <c r="AB19" s="59">
        <v>1301.75</v>
      </c>
      <c r="AC19" s="59">
        <v>0.0</v>
      </c>
      <c r="AD19" s="59">
        <v>15.0</v>
      </c>
      <c r="AE19" s="59">
        <v>0.0</v>
      </c>
    </row>
    <row r="20" outlineLevel="1">
      <c r="A20" s="57" t="s">
        <v>112</v>
      </c>
      <c r="B20" s="58">
        <v>0.0</v>
      </c>
      <c r="C20" s="58">
        <v>0.3</v>
      </c>
      <c r="D20" s="58">
        <v>9.28</v>
      </c>
      <c r="E20" s="58">
        <v>9.13</v>
      </c>
      <c r="F20" s="58">
        <v>4.64</v>
      </c>
      <c r="G20" s="58">
        <v>13.47</v>
      </c>
      <c r="H20" s="59">
        <v>9.13</v>
      </c>
      <c r="I20" s="59">
        <v>13.77</v>
      </c>
      <c r="J20" s="59">
        <v>18.86</v>
      </c>
      <c r="K20" s="59">
        <v>18.26</v>
      </c>
      <c r="L20" s="59">
        <v>14.67</v>
      </c>
      <c r="M20" s="59">
        <v>31.88</v>
      </c>
      <c r="N20" s="59">
        <v>14.22</v>
      </c>
      <c r="O20" s="59">
        <v>9.28</v>
      </c>
      <c r="P20" s="59">
        <v>9.88</v>
      </c>
      <c r="Q20" s="59">
        <v>18.86</v>
      </c>
      <c r="R20" s="59">
        <v>44.55</v>
      </c>
      <c r="S20" s="59">
        <v>27.24</v>
      </c>
      <c r="T20" s="59">
        <v>9.28</v>
      </c>
      <c r="U20" s="59">
        <v>95.34</v>
      </c>
      <c r="V20" s="59">
        <v>67.75</v>
      </c>
      <c r="W20" s="59">
        <v>64.36</v>
      </c>
      <c r="X20" s="59">
        <v>123.33</v>
      </c>
      <c r="Y20" s="59">
        <v>384.47</v>
      </c>
      <c r="Z20" s="59">
        <v>357.37</v>
      </c>
      <c r="AA20" s="59">
        <v>200.71</v>
      </c>
      <c r="AB20" s="59">
        <v>19.61</v>
      </c>
      <c r="AC20" s="59">
        <v>0.0</v>
      </c>
      <c r="AD20" s="59">
        <v>0.0</v>
      </c>
      <c r="AE20" s="59">
        <v>0.0</v>
      </c>
    </row>
    <row r="21">
      <c r="A21" s="32" t="s">
        <v>114</v>
      </c>
      <c r="B21" s="67">
        <f t="shared" ref="B21:AE21" si="2">SUM(B30,B26,B22)</f>
        <v>619.2186</v>
      </c>
      <c r="C21" s="67">
        <f t="shared" si="2"/>
        <v>1017</v>
      </c>
      <c r="D21" s="67">
        <f t="shared" si="2"/>
        <v>566</v>
      </c>
      <c r="E21" s="67">
        <f t="shared" si="2"/>
        <v>22212.50102</v>
      </c>
      <c r="F21" s="67">
        <f t="shared" si="2"/>
        <v>12330.90851</v>
      </c>
      <c r="G21" s="67">
        <f t="shared" si="2"/>
        <v>48255.8839</v>
      </c>
      <c r="H21" s="67">
        <f t="shared" si="2"/>
        <v>6842.229106</v>
      </c>
      <c r="I21" s="67">
        <f t="shared" si="2"/>
        <v>1682.725386</v>
      </c>
      <c r="J21" s="67">
        <f t="shared" si="2"/>
        <v>3121.000474</v>
      </c>
      <c r="K21" s="67">
        <f t="shared" si="2"/>
        <v>955.228158</v>
      </c>
      <c r="L21" s="67">
        <f t="shared" si="2"/>
        <v>2150.228158</v>
      </c>
      <c r="M21" s="67">
        <f t="shared" si="2"/>
        <v>1760.637544</v>
      </c>
      <c r="N21" s="67">
        <f t="shared" si="2"/>
        <v>1556.637544</v>
      </c>
      <c r="O21" s="67">
        <f t="shared" si="2"/>
        <v>805.409386</v>
      </c>
      <c r="P21" s="67">
        <f t="shared" si="2"/>
        <v>2305.497702</v>
      </c>
      <c r="Q21" s="67">
        <f t="shared" si="2"/>
        <v>11363.64451</v>
      </c>
      <c r="R21" s="67">
        <f t="shared" si="2"/>
        <v>1846.772316</v>
      </c>
      <c r="S21" s="67">
        <f t="shared" si="2"/>
        <v>2228.865702</v>
      </c>
      <c r="T21" s="67">
        <f t="shared" si="2"/>
        <v>2646.865702</v>
      </c>
      <c r="U21" s="67">
        <f t="shared" si="2"/>
        <v>3474.591088</v>
      </c>
      <c r="V21" s="67">
        <f t="shared" si="2"/>
        <v>2547.275088</v>
      </c>
      <c r="W21" s="67">
        <f t="shared" si="2"/>
        <v>3626.275088</v>
      </c>
      <c r="X21" s="67">
        <f t="shared" si="2"/>
        <v>4648.77279</v>
      </c>
      <c r="Y21" s="67">
        <f t="shared" si="2"/>
        <v>7416.316948</v>
      </c>
      <c r="Z21" s="67">
        <f t="shared" si="2"/>
        <v>2995.544158</v>
      </c>
      <c r="AA21" s="67">
        <f t="shared" si="2"/>
        <v>17164.50007</v>
      </c>
      <c r="AB21" s="67">
        <f t="shared" si="2"/>
        <v>27821.82858</v>
      </c>
      <c r="AC21" s="67">
        <f t="shared" si="2"/>
        <v>10758.14174</v>
      </c>
      <c r="AD21" s="67">
        <f t="shared" si="2"/>
        <v>1413.953544</v>
      </c>
      <c r="AE21" s="67">
        <f t="shared" si="2"/>
        <v>1378.544158</v>
      </c>
    </row>
    <row r="22" outlineLevel="1">
      <c r="A22" s="45" t="s">
        <v>115</v>
      </c>
      <c r="B22" s="40">
        <f t="shared" ref="B22:AE22" si="3">sum(B23:B24)</f>
        <v>211.2186</v>
      </c>
      <c r="C22" s="40">
        <f t="shared" si="3"/>
        <v>0</v>
      </c>
      <c r="D22" s="40">
        <f t="shared" si="3"/>
        <v>0</v>
      </c>
      <c r="E22" s="40">
        <f t="shared" si="3"/>
        <v>21715.50102</v>
      </c>
      <c r="F22" s="40">
        <f t="shared" si="3"/>
        <v>10825.90851</v>
      </c>
      <c r="G22" s="40">
        <f t="shared" si="3"/>
        <v>47060.8839</v>
      </c>
      <c r="H22" s="40">
        <f t="shared" si="3"/>
        <v>6559.229106</v>
      </c>
      <c r="I22" s="40">
        <f t="shared" si="3"/>
        <v>254.725386</v>
      </c>
      <c r="J22" s="40">
        <f t="shared" si="3"/>
        <v>2802.000474</v>
      </c>
      <c r="K22" s="40">
        <f t="shared" si="3"/>
        <v>955.228158</v>
      </c>
      <c r="L22" s="40">
        <f t="shared" si="3"/>
        <v>955.228158</v>
      </c>
      <c r="M22" s="40">
        <f t="shared" si="3"/>
        <v>1273.637544</v>
      </c>
      <c r="N22" s="40">
        <f t="shared" si="3"/>
        <v>1273.637544</v>
      </c>
      <c r="O22" s="40">
        <f t="shared" si="3"/>
        <v>318.409386</v>
      </c>
      <c r="P22" s="40">
        <f t="shared" si="3"/>
        <v>2101.497702</v>
      </c>
      <c r="Q22" s="40">
        <f t="shared" si="3"/>
        <v>11080.64451</v>
      </c>
      <c r="R22" s="40">
        <f t="shared" si="3"/>
        <v>1846.772316</v>
      </c>
      <c r="S22" s="40">
        <f t="shared" si="3"/>
        <v>2228.865702</v>
      </c>
      <c r="T22" s="40">
        <f t="shared" si="3"/>
        <v>2228.865702</v>
      </c>
      <c r="U22" s="40">
        <f t="shared" si="3"/>
        <v>2483.591088</v>
      </c>
      <c r="V22" s="40">
        <f t="shared" si="3"/>
        <v>2547.275088</v>
      </c>
      <c r="W22" s="40">
        <f t="shared" si="3"/>
        <v>2547.275088</v>
      </c>
      <c r="X22" s="40">
        <f t="shared" si="3"/>
        <v>4648.77279</v>
      </c>
      <c r="Y22" s="40">
        <f t="shared" si="3"/>
        <v>5540.316948</v>
      </c>
      <c r="Z22" s="40">
        <f t="shared" si="3"/>
        <v>891.544158</v>
      </c>
      <c r="AA22" s="40">
        <f t="shared" si="3"/>
        <v>16111.50007</v>
      </c>
      <c r="AB22" s="40">
        <f t="shared" si="3"/>
        <v>27255.82858</v>
      </c>
      <c r="AC22" s="40">
        <f t="shared" si="3"/>
        <v>10380.14174</v>
      </c>
      <c r="AD22" s="40">
        <f t="shared" si="3"/>
        <v>1209.953544</v>
      </c>
      <c r="AE22" s="40">
        <f t="shared" si="3"/>
        <v>891.544158</v>
      </c>
    </row>
    <row r="23" outlineLevel="1">
      <c r="A23" s="39" t="s">
        <v>96</v>
      </c>
      <c r="B23" s="42">
        <v>199.0</v>
      </c>
      <c r="C23" s="42">
        <v>0.0</v>
      </c>
      <c r="D23" s="42">
        <v>0.0</v>
      </c>
      <c r="E23" s="42">
        <v>20459.3</v>
      </c>
      <c r="F23" s="42">
        <v>10199.65</v>
      </c>
      <c r="G23" s="42">
        <v>44338.5</v>
      </c>
      <c r="H23" s="42">
        <v>6179.79</v>
      </c>
      <c r="I23" s="42">
        <v>239.99</v>
      </c>
      <c r="J23" s="42">
        <v>2639.91</v>
      </c>
      <c r="K23" s="42">
        <v>899.97</v>
      </c>
      <c r="L23" s="42">
        <v>899.97</v>
      </c>
      <c r="M23" s="42">
        <v>1199.96</v>
      </c>
      <c r="N23" s="42">
        <v>1199.96</v>
      </c>
      <c r="O23" s="42">
        <v>299.99</v>
      </c>
      <c r="P23" s="42">
        <v>1979.93</v>
      </c>
      <c r="Q23" s="42">
        <v>10439.65</v>
      </c>
      <c r="R23" s="42">
        <v>1739.94</v>
      </c>
      <c r="S23" s="42">
        <v>2099.93</v>
      </c>
      <c r="T23" s="42">
        <v>2099.93</v>
      </c>
      <c r="U23" s="42">
        <v>2339.92</v>
      </c>
      <c r="V23" s="42">
        <v>2399.92</v>
      </c>
      <c r="W23" s="42">
        <v>2399.92</v>
      </c>
      <c r="X23" s="42">
        <v>4379.85</v>
      </c>
      <c r="Y23" s="42">
        <v>5219.82</v>
      </c>
      <c r="Z23" s="42">
        <v>839.97</v>
      </c>
      <c r="AA23" s="42">
        <v>15179.48</v>
      </c>
      <c r="AB23" s="42">
        <v>25679.13</v>
      </c>
      <c r="AC23" s="42">
        <v>9779.67</v>
      </c>
      <c r="AD23" s="42">
        <v>1139.96</v>
      </c>
      <c r="AE23" s="42">
        <v>839.97</v>
      </c>
    </row>
    <row r="24" outlineLevel="1">
      <c r="A24" s="45" t="s">
        <v>110</v>
      </c>
      <c r="B24" s="42">
        <f>B23*'Data - P&amp;L'!$U$3</f>
        <v>12.2186</v>
      </c>
      <c r="C24" s="42">
        <f>C23*'Data - P&amp;L'!$U$3</f>
        <v>0</v>
      </c>
      <c r="D24" s="42">
        <f>D23*'Data - P&amp;L'!$U$3</f>
        <v>0</v>
      </c>
      <c r="E24" s="42">
        <f>E23*'Data - P&amp;L'!$U$3</f>
        <v>1256.20102</v>
      </c>
      <c r="F24" s="42">
        <f>F23*'Data - P&amp;L'!$U$3</f>
        <v>626.25851</v>
      </c>
      <c r="G24" s="42">
        <f>G23*'Data - P&amp;L'!$U$3</f>
        <v>2722.3839</v>
      </c>
      <c r="H24" s="42">
        <f>H23*'Data - P&amp;L'!$U$3</f>
        <v>379.439106</v>
      </c>
      <c r="I24" s="42">
        <f>I23*'Data - P&amp;L'!$U$3</f>
        <v>14.735386</v>
      </c>
      <c r="J24" s="42">
        <f>J23*'Data - P&amp;L'!$U$3</f>
        <v>162.090474</v>
      </c>
      <c r="K24" s="42">
        <f>K23*'Data - P&amp;L'!$U$3</f>
        <v>55.258158</v>
      </c>
      <c r="L24" s="42">
        <f>L23*'Data - P&amp;L'!$U$3</f>
        <v>55.258158</v>
      </c>
      <c r="M24" s="42">
        <f>M23*'Data - P&amp;L'!$U$3</f>
        <v>73.677544</v>
      </c>
      <c r="N24" s="42">
        <f>N23*'Data - P&amp;L'!$U$3</f>
        <v>73.677544</v>
      </c>
      <c r="O24" s="42">
        <f>O23*'Data - P&amp;L'!$U$3</f>
        <v>18.419386</v>
      </c>
      <c r="P24" s="42">
        <f>P23*'Data - P&amp;L'!$U$3</f>
        <v>121.567702</v>
      </c>
      <c r="Q24" s="42">
        <f>Q23*'Data - P&amp;L'!$U$3</f>
        <v>640.99451</v>
      </c>
      <c r="R24" s="42">
        <f>R23*'Data - P&amp;L'!$U$3</f>
        <v>106.832316</v>
      </c>
      <c r="S24" s="42">
        <f>S23*'Data - P&amp;L'!$U$3</f>
        <v>128.935702</v>
      </c>
      <c r="T24" s="42">
        <f>T23*'Data - P&amp;L'!$U$3</f>
        <v>128.935702</v>
      </c>
      <c r="U24" s="42">
        <f>U23*'Data - P&amp;L'!$U$3</f>
        <v>143.671088</v>
      </c>
      <c r="V24" s="42">
        <f>V23*'Data - P&amp;L'!$U$3</f>
        <v>147.355088</v>
      </c>
      <c r="W24" s="42">
        <f>W23*'Data - P&amp;L'!$U$3</f>
        <v>147.355088</v>
      </c>
      <c r="X24" s="42">
        <f>X23*'Data - P&amp;L'!$U$3</f>
        <v>268.92279</v>
      </c>
      <c r="Y24" s="42">
        <f>Y23*'Data - P&amp;L'!$U$3</f>
        <v>320.496948</v>
      </c>
      <c r="Z24" s="42">
        <f>Z23*'Data - P&amp;L'!$U$3</f>
        <v>51.574158</v>
      </c>
      <c r="AA24" s="42">
        <f>AA23*'Data - P&amp;L'!$U$3</f>
        <v>932.020072</v>
      </c>
      <c r="AB24" s="42">
        <f>AB23*'Data - P&amp;L'!$U$3</f>
        <v>1576.698582</v>
      </c>
      <c r="AC24" s="42">
        <f>AC23*'Data - P&amp;L'!$U$3</f>
        <v>600.471738</v>
      </c>
      <c r="AD24" s="42">
        <f>AD23*'Data - P&amp;L'!$U$3</f>
        <v>69.993544</v>
      </c>
      <c r="AE24" s="42">
        <f>AE23*'Data - P&amp;L'!$U$3</f>
        <v>51.574158</v>
      </c>
    </row>
    <row r="25" outlineLevel="1">
      <c r="A25" s="45" t="s">
        <v>108</v>
      </c>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row>
    <row r="26" outlineLevel="1">
      <c r="A26" s="45" t="s">
        <v>122</v>
      </c>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row>
    <row r="27" outlineLevel="1">
      <c r="A27" s="39" t="s">
        <v>96</v>
      </c>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row>
    <row r="28" outlineLevel="1">
      <c r="A28" s="45" t="s">
        <v>110</v>
      </c>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row>
    <row r="29" outlineLevel="1">
      <c r="A29" s="45" t="s">
        <v>108</v>
      </c>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row>
    <row r="30">
      <c r="A30" s="90" t="s">
        <v>126</v>
      </c>
      <c r="B30" s="91">
        <f t="shared" ref="B30:AE30" si="4">sum(B31:B34)</f>
        <v>408</v>
      </c>
      <c r="C30" s="91">
        <f t="shared" si="4"/>
        <v>1017</v>
      </c>
      <c r="D30" s="91">
        <f t="shared" si="4"/>
        <v>566</v>
      </c>
      <c r="E30" s="91">
        <f t="shared" si="4"/>
        <v>497</v>
      </c>
      <c r="F30" s="91">
        <f t="shared" si="4"/>
        <v>1505</v>
      </c>
      <c r="G30" s="91">
        <f t="shared" si="4"/>
        <v>1195</v>
      </c>
      <c r="H30" s="91">
        <f t="shared" si="4"/>
        <v>283</v>
      </c>
      <c r="I30" s="91">
        <f t="shared" si="4"/>
        <v>1428</v>
      </c>
      <c r="J30" s="91">
        <f t="shared" si="4"/>
        <v>319</v>
      </c>
      <c r="K30" s="91">
        <f t="shared" si="4"/>
        <v>0</v>
      </c>
      <c r="L30" s="91">
        <f t="shared" si="4"/>
        <v>1195</v>
      </c>
      <c r="M30" s="91">
        <f t="shared" si="4"/>
        <v>487</v>
      </c>
      <c r="N30" s="91">
        <f t="shared" si="4"/>
        <v>283</v>
      </c>
      <c r="O30" s="91">
        <f t="shared" si="4"/>
        <v>487</v>
      </c>
      <c r="P30" s="91">
        <f t="shared" si="4"/>
        <v>204</v>
      </c>
      <c r="Q30" s="91">
        <f t="shared" si="4"/>
        <v>283</v>
      </c>
      <c r="R30" s="91">
        <f t="shared" si="4"/>
        <v>0</v>
      </c>
      <c r="S30" s="91">
        <f t="shared" si="4"/>
        <v>0</v>
      </c>
      <c r="T30" s="91">
        <f t="shared" si="4"/>
        <v>418</v>
      </c>
      <c r="U30" s="91">
        <f t="shared" si="4"/>
        <v>991</v>
      </c>
      <c r="V30" s="91">
        <f t="shared" si="4"/>
        <v>0</v>
      </c>
      <c r="W30" s="91">
        <f t="shared" si="4"/>
        <v>1079</v>
      </c>
      <c r="X30" s="91">
        <f t="shared" si="4"/>
        <v>0</v>
      </c>
      <c r="Y30" s="91">
        <f t="shared" si="4"/>
        <v>1876</v>
      </c>
      <c r="Z30" s="91">
        <f t="shared" si="4"/>
        <v>2104</v>
      </c>
      <c r="AA30" s="91">
        <f t="shared" si="4"/>
        <v>1053</v>
      </c>
      <c r="AB30" s="91">
        <f t="shared" si="4"/>
        <v>566</v>
      </c>
      <c r="AC30" s="91">
        <f t="shared" si="4"/>
        <v>378</v>
      </c>
      <c r="AD30" s="91">
        <f t="shared" si="4"/>
        <v>204</v>
      </c>
      <c r="AE30" s="91">
        <f t="shared" si="4"/>
        <v>487</v>
      </c>
    </row>
    <row r="31" outlineLevel="1">
      <c r="A31" s="90" t="s">
        <v>96</v>
      </c>
      <c r="B31" s="91">
        <v>378.0</v>
      </c>
      <c r="C31" s="91">
        <v>698.0</v>
      </c>
      <c r="D31" s="91">
        <v>378.0</v>
      </c>
      <c r="E31" s="91">
        <v>0.0</v>
      </c>
      <c r="F31" s="91">
        <v>1187.0</v>
      </c>
      <c r="G31" s="91">
        <v>887.0</v>
      </c>
      <c r="H31" s="91">
        <v>189.0</v>
      </c>
      <c r="I31" s="91">
        <v>1353.0</v>
      </c>
      <c r="J31" s="91">
        <v>199.0</v>
      </c>
      <c r="K31" s="91">
        <v>0.0</v>
      </c>
      <c r="L31" s="91">
        <v>887.0</v>
      </c>
      <c r="M31" s="91">
        <v>378.0</v>
      </c>
      <c r="N31" s="91">
        <v>189.0</v>
      </c>
      <c r="O31" s="91">
        <v>378.0</v>
      </c>
      <c r="P31" s="91">
        <v>189.0</v>
      </c>
      <c r="Q31" s="91">
        <v>189.0</v>
      </c>
      <c r="R31" s="91">
        <v>0.0</v>
      </c>
      <c r="S31" s="91">
        <v>0.0</v>
      </c>
      <c r="T31" s="91">
        <v>388.0</v>
      </c>
      <c r="U31" s="91">
        <v>688.0</v>
      </c>
      <c r="V31" s="91">
        <v>0.0</v>
      </c>
      <c r="W31" s="91">
        <v>766.0</v>
      </c>
      <c r="X31" s="91">
        <v>0.0</v>
      </c>
      <c r="Y31" s="91">
        <v>1444.0</v>
      </c>
      <c r="Z31" s="91">
        <v>1794.0</v>
      </c>
      <c r="AA31" s="91">
        <v>756.0</v>
      </c>
      <c r="AB31" s="91">
        <v>378.0</v>
      </c>
      <c r="AC31" s="91">
        <v>0.0</v>
      </c>
      <c r="AD31" s="91">
        <v>189.0</v>
      </c>
      <c r="AE31" s="91">
        <v>378.0</v>
      </c>
    </row>
    <row r="32" outlineLevel="1">
      <c r="A32" s="90" t="s">
        <v>99</v>
      </c>
      <c r="B32" s="91">
        <v>0.0</v>
      </c>
      <c r="C32" s="91">
        <v>269.0</v>
      </c>
      <c r="D32" s="91">
        <v>158.0</v>
      </c>
      <c r="E32" s="91">
        <v>467.0</v>
      </c>
      <c r="F32" s="91">
        <v>253.0</v>
      </c>
      <c r="G32" s="91">
        <v>253.0</v>
      </c>
      <c r="H32" s="91">
        <v>79.0</v>
      </c>
      <c r="I32" s="91">
        <v>0.0</v>
      </c>
      <c r="J32" s="91">
        <v>95.0</v>
      </c>
      <c r="K32" s="91">
        <v>0.0</v>
      </c>
      <c r="L32" s="91">
        <v>253.0</v>
      </c>
      <c r="M32" s="91">
        <v>79.0</v>
      </c>
      <c r="N32" s="91">
        <v>79.0</v>
      </c>
      <c r="O32" s="91">
        <v>79.0</v>
      </c>
      <c r="P32" s="91">
        <v>0.0</v>
      </c>
      <c r="Q32" s="91">
        <v>79.0</v>
      </c>
      <c r="R32" s="91">
        <v>0.0</v>
      </c>
      <c r="S32" s="91">
        <v>0.0</v>
      </c>
      <c r="T32" s="91">
        <v>0.0</v>
      </c>
      <c r="U32" s="91">
        <v>253.0</v>
      </c>
      <c r="V32" s="91">
        <v>0.0</v>
      </c>
      <c r="W32" s="91">
        <v>253.0</v>
      </c>
      <c r="X32" s="91">
        <v>0.0</v>
      </c>
      <c r="Y32" s="91">
        <v>332.0</v>
      </c>
      <c r="Z32" s="91">
        <v>190.0</v>
      </c>
      <c r="AA32" s="91">
        <v>237.0</v>
      </c>
      <c r="AB32" s="91">
        <v>158.0</v>
      </c>
      <c r="AC32" s="91">
        <v>358.0</v>
      </c>
      <c r="AD32" s="91">
        <v>0.0</v>
      </c>
      <c r="AE32" s="91">
        <v>79.0</v>
      </c>
    </row>
    <row r="33" outlineLevel="1">
      <c r="A33" s="90" t="s">
        <v>106</v>
      </c>
      <c r="B33" s="91">
        <v>0.0</v>
      </c>
      <c r="C33" s="91">
        <v>0.0</v>
      </c>
      <c r="D33" s="91">
        <v>0.0</v>
      </c>
      <c r="E33" s="91">
        <v>0.0</v>
      </c>
      <c r="F33" s="91">
        <v>0.0</v>
      </c>
      <c r="G33" s="91">
        <v>0.0</v>
      </c>
      <c r="H33" s="91">
        <v>0.0</v>
      </c>
      <c r="I33" s="91">
        <v>0.0</v>
      </c>
      <c r="J33" s="91">
        <v>0.0</v>
      </c>
      <c r="K33" s="91">
        <v>0.0</v>
      </c>
      <c r="L33" s="91">
        <v>0.0</v>
      </c>
      <c r="M33" s="91">
        <v>0.0</v>
      </c>
      <c r="N33" s="91">
        <v>0.0</v>
      </c>
      <c r="O33" s="91">
        <v>0.0</v>
      </c>
      <c r="P33" s="91">
        <v>0.0</v>
      </c>
      <c r="Q33" s="91">
        <v>0.0</v>
      </c>
      <c r="R33" s="91">
        <v>0.0</v>
      </c>
      <c r="S33" s="91">
        <v>0.0</v>
      </c>
      <c r="T33" s="91">
        <v>0.0</v>
      </c>
      <c r="U33" s="91">
        <v>0.0</v>
      </c>
      <c r="V33" s="91">
        <v>0.0</v>
      </c>
      <c r="W33" s="91">
        <v>0.0</v>
      </c>
      <c r="X33" s="91">
        <v>0.0</v>
      </c>
      <c r="Y33" s="91">
        <v>0.0</v>
      </c>
      <c r="Z33" s="91">
        <v>0.0</v>
      </c>
      <c r="AA33" s="91">
        <v>0.0</v>
      </c>
      <c r="AB33" s="91">
        <v>0.0</v>
      </c>
      <c r="AC33" s="91">
        <v>0.0</v>
      </c>
      <c r="AD33" s="91">
        <v>0.0</v>
      </c>
      <c r="AE33" s="91">
        <v>0.0</v>
      </c>
    </row>
    <row r="34" outlineLevel="1">
      <c r="A34" s="95" t="s">
        <v>108</v>
      </c>
      <c r="B34" s="91">
        <v>30.0</v>
      </c>
      <c r="C34" s="91">
        <v>50.0</v>
      </c>
      <c r="D34" s="91">
        <v>30.0</v>
      </c>
      <c r="E34" s="91">
        <v>30.0</v>
      </c>
      <c r="F34" s="91">
        <v>65.0</v>
      </c>
      <c r="G34" s="91">
        <v>55.0</v>
      </c>
      <c r="H34" s="91">
        <v>15.0</v>
      </c>
      <c r="I34" s="91">
        <v>75.0</v>
      </c>
      <c r="J34" s="91">
        <v>25.0</v>
      </c>
      <c r="K34" s="91">
        <v>0.0</v>
      </c>
      <c r="L34" s="91">
        <v>55.0</v>
      </c>
      <c r="M34" s="91">
        <v>30.0</v>
      </c>
      <c r="N34" s="91">
        <v>15.0</v>
      </c>
      <c r="O34" s="91">
        <v>30.0</v>
      </c>
      <c r="P34" s="91">
        <v>15.0</v>
      </c>
      <c r="Q34" s="91">
        <v>15.0</v>
      </c>
      <c r="R34" s="91">
        <v>0.0</v>
      </c>
      <c r="S34" s="91">
        <v>0.0</v>
      </c>
      <c r="T34" s="91">
        <v>30.0</v>
      </c>
      <c r="U34" s="91">
        <v>50.0</v>
      </c>
      <c r="V34" s="91">
        <v>0.0</v>
      </c>
      <c r="W34" s="91">
        <v>60.0</v>
      </c>
      <c r="X34" s="91">
        <v>0.0</v>
      </c>
      <c r="Y34" s="91">
        <v>100.0</v>
      </c>
      <c r="Z34" s="91">
        <v>120.0</v>
      </c>
      <c r="AA34" s="91">
        <v>60.0</v>
      </c>
      <c r="AB34" s="91">
        <v>30.0</v>
      </c>
      <c r="AC34" s="91">
        <v>20.0</v>
      </c>
      <c r="AD34" s="91">
        <v>15.0</v>
      </c>
      <c r="AE34" s="91">
        <v>30.0</v>
      </c>
    </row>
    <row r="35">
      <c r="A35" s="97" t="s">
        <v>129</v>
      </c>
      <c r="B35" s="98">
        <f t="shared" ref="B35:AE35" si="5">SUM(B8+B15+B21+B30)</f>
        <v>116314.7086</v>
      </c>
      <c r="C35" s="98">
        <f t="shared" si="5"/>
        <v>126787.01</v>
      </c>
      <c r="D35" s="98">
        <f t="shared" si="5"/>
        <v>129782.57</v>
      </c>
      <c r="E35" s="98">
        <f t="shared" si="5"/>
        <v>159838.271</v>
      </c>
      <c r="F35" s="98">
        <f t="shared" si="5"/>
        <v>171233.5485</v>
      </c>
      <c r="G35" s="98">
        <f t="shared" si="5"/>
        <v>194817.1039</v>
      </c>
      <c r="H35" s="98">
        <f t="shared" si="5"/>
        <v>139189.7691</v>
      </c>
      <c r="I35" s="98">
        <f t="shared" si="5"/>
        <v>140786.2554</v>
      </c>
      <c r="J35" s="98">
        <f t="shared" si="5"/>
        <v>158759.8305</v>
      </c>
      <c r="K35" s="98">
        <f t="shared" si="5"/>
        <v>160312.1582</v>
      </c>
      <c r="L35" s="98">
        <f t="shared" si="5"/>
        <v>213825.7682</v>
      </c>
      <c r="M35" s="98">
        <f t="shared" si="5"/>
        <v>207265.2875</v>
      </c>
      <c r="N35" s="98">
        <f t="shared" si="5"/>
        <v>183503.1875</v>
      </c>
      <c r="O35" s="98">
        <f t="shared" si="5"/>
        <v>191408.2294</v>
      </c>
      <c r="P35" s="98">
        <f t="shared" si="5"/>
        <v>180911.7577</v>
      </c>
      <c r="Q35" s="98">
        <f t="shared" si="5"/>
        <v>187146.0445</v>
      </c>
      <c r="R35" s="98">
        <f t="shared" si="5"/>
        <v>190353.6023</v>
      </c>
      <c r="S35" s="98">
        <f t="shared" si="5"/>
        <v>236411.5357</v>
      </c>
      <c r="T35" s="98">
        <f t="shared" si="5"/>
        <v>229622.3257</v>
      </c>
      <c r="U35" s="98">
        <f t="shared" si="5"/>
        <v>296317.3411</v>
      </c>
      <c r="V35" s="98">
        <f t="shared" si="5"/>
        <v>308817.6651</v>
      </c>
      <c r="W35" s="98">
        <f t="shared" si="5"/>
        <v>418140.2151</v>
      </c>
      <c r="X35" s="98">
        <f t="shared" si="5"/>
        <v>516502.1328</v>
      </c>
      <c r="Y35" s="98">
        <f t="shared" si="5"/>
        <v>1602975.707</v>
      </c>
      <c r="Z35" s="98">
        <f t="shared" si="5"/>
        <v>987802.5442</v>
      </c>
      <c r="AA35" s="98">
        <f t="shared" si="5"/>
        <v>709099.4801</v>
      </c>
      <c r="AB35" s="98">
        <f t="shared" si="5"/>
        <v>787074.6086</v>
      </c>
      <c r="AC35" s="98">
        <f t="shared" si="5"/>
        <v>490817.9917</v>
      </c>
      <c r="AD35" s="98">
        <f t="shared" si="5"/>
        <v>106327.7735</v>
      </c>
      <c r="AE35" s="98">
        <f t="shared" si="5"/>
        <v>97264.92416</v>
      </c>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row>
    <row r="37">
      <c r="A37" s="32" t="s">
        <v>133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row>
    <row r="38" collapsed="1">
      <c r="A38" s="11" t="s">
        <v>134</v>
      </c>
      <c r="B38" s="101"/>
      <c r="C38" s="101"/>
      <c r="D38" s="101"/>
      <c r="E38" s="101"/>
      <c r="F38" s="101"/>
      <c r="G38" s="38">
        <f t="shared" ref="G38:AE38" si="6">SUM(G39:G40)</f>
        <v>509.472</v>
      </c>
      <c r="H38" s="38">
        <f t="shared" si="6"/>
        <v>445.788</v>
      </c>
      <c r="I38" s="38">
        <f t="shared" si="6"/>
        <v>222.894</v>
      </c>
      <c r="J38" s="38">
        <f t="shared" si="6"/>
        <v>1337.364</v>
      </c>
      <c r="K38" s="38">
        <f t="shared" si="6"/>
        <v>7578.396</v>
      </c>
      <c r="L38" s="38">
        <f t="shared" si="6"/>
        <v>5572.35</v>
      </c>
      <c r="M38" s="38">
        <f t="shared" si="6"/>
        <v>7348.0722</v>
      </c>
      <c r="N38" s="38">
        <f t="shared" si="6"/>
        <v>4457.88</v>
      </c>
      <c r="O38" s="38">
        <f t="shared" si="6"/>
        <v>5784.63</v>
      </c>
      <c r="P38" s="38">
        <f t="shared" si="6"/>
        <v>3343.41</v>
      </c>
      <c r="Q38" s="38">
        <f t="shared" si="6"/>
        <v>1560.258</v>
      </c>
      <c r="R38" s="38">
        <f t="shared" si="6"/>
        <v>4680.774</v>
      </c>
      <c r="S38" s="38">
        <f t="shared" si="6"/>
        <v>2674.728</v>
      </c>
      <c r="T38" s="38">
        <f t="shared" si="6"/>
        <v>7132.608</v>
      </c>
      <c r="U38" s="38">
        <f t="shared" si="6"/>
        <v>5126.562</v>
      </c>
      <c r="V38" s="38">
        <f t="shared" si="6"/>
        <v>3566.304</v>
      </c>
      <c r="W38" s="38">
        <f t="shared" si="6"/>
        <v>8469.972</v>
      </c>
      <c r="X38" s="38">
        <f t="shared" si="6"/>
        <v>12035.2146</v>
      </c>
      <c r="Y38" s="38">
        <f t="shared" si="6"/>
        <v>34769.3412</v>
      </c>
      <c r="Z38" s="38">
        <f t="shared" si="6"/>
        <v>11144.7</v>
      </c>
      <c r="AA38" s="38">
        <f t="shared" si="6"/>
        <v>11144.7</v>
      </c>
      <c r="AB38" s="38">
        <f t="shared" si="6"/>
        <v>64190.2878</v>
      </c>
      <c r="AC38" s="38">
        <f t="shared" si="6"/>
        <v>44799.5712</v>
      </c>
      <c r="AD38" s="38">
        <f t="shared" si="6"/>
        <v>45914.0412</v>
      </c>
      <c r="AE38" s="38">
        <f t="shared" si="6"/>
        <v>57949.2558</v>
      </c>
    </row>
    <row r="39" hidden="1" outlineLevel="1">
      <c r="A39" s="45" t="s">
        <v>96</v>
      </c>
      <c r="B39" s="101"/>
      <c r="C39" s="101"/>
      <c r="D39" s="101"/>
      <c r="E39" s="101"/>
      <c r="F39" s="101"/>
      <c r="G39" s="38">
        <v>480.0</v>
      </c>
      <c r="H39" s="38">
        <v>420.0</v>
      </c>
      <c r="I39" s="38">
        <v>210.0</v>
      </c>
      <c r="J39" s="38">
        <v>1260.0</v>
      </c>
      <c r="K39" s="38">
        <v>7140.0</v>
      </c>
      <c r="L39" s="38">
        <v>5250.0</v>
      </c>
      <c r="M39" s="38">
        <v>6923.0</v>
      </c>
      <c r="N39" s="38">
        <v>4200.0</v>
      </c>
      <c r="O39" s="38">
        <v>5450.0</v>
      </c>
      <c r="P39" s="38">
        <v>3150.0</v>
      </c>
      <c r="Q39" s="38">
        <v>1470.0</v>
      </c>
      <c r="R39" s="38">
        <v>4410.0</v>
      </c>
      <c r="S39" s="38">
        <v>2520.0</v>
      </c>
      <c r="T39" s="38">
        <v>6720.0</v>
      </c>
      <c r="U39" s="38">
        <v>4830.0</v>
      </c>
      <c r="V39" s="38">
        <v>3360.0</v>
      </c>
      <c r="W39" s="38">
        <v>7980.0</v>
      </c>
      <c r="X39" s="38">
        <v>11339.0</v>
      </c>
      <c r="Y39" s="38">
        <v>32758.0</v>
      </c>
      <c r="Z39" s="38">
        <v>10500.0</v>
      </c>
      <c r="AA39" s="38">
        <v>10500.0</v>
      </c>
      <c r="AB39" s="38">
        <v>60477.0</v>
      </c>
      <c r="AC39" s="38">
        <v>42208.0</v>
      </c>
      <c r="AD39" s="38">
        <v>43258.0</v>
      </c>
      <c r="AE39" s="38">
        <v>54597.0</v>
      </c>
    </row>
    <row r="40" hidden="1" outlineLevel="1">
      <c r="A40" s="45" t="s">
        <v>110</v>
      </c>
      <c r="B40" s="101"/>
      <c r="C40" s="101"/>
      <c r="D40" s="101"/>
      <c r="E40" s="101"/>
      <c r="F40" s="101"/>
      <c r="G40" s="103">
        <f>G39*'Data - P&amp;L'!$U$3</f>
        <v>29.472</v>
      </c>
      <c r="H40" s="103">
        <f>H39*'Data - P&amp;L'!$U$3</f>
        <v>25.788</v>
      </c>
      <c r="I40" s="103">
        <f>I39*'Data - P&amp;L'!$U$3</f>
        <v>12.894</v>
      </c>
      <c r="J40" s="103">
        <f>J39*'Data - P&amp;L'!$U$3</f>
        <v>77.364</v>
      </c>
      <c r="K40" s="103">
        <f>K39*'Data - P&amp;L'!$U$3</f>
        <v>438.396</v>
      </c>
      <c r="L40" s="103">
        <f>L39*'Data - P&amp;L'!$U$3</f>
        <v>322.35</v>
      </c>
      <c r="M40" s="103">
        <f>M39*'Data - P&amp;L'!$U$3</f>
        <v>425.0722</v>
      </c>
      <c r="N40" s="103">
        <f>N39*'Data - P&amp;L'!$U$3</f>
        <v>257.88</v>
      </c>
      <c r="O40" s="103">
        <f>O39*'Data - P&amp;L'!$U$3</f>
        <v>334.63</v>
      </c>
      <c r="P40" s="103">
        <f>P39*'Data - P&amp;L'!$U$3</f>
        <v>193.41</v>
      </c>
      <c r="Q40" s="103">
        <f>Q39*'Data - P&amp;L'!$U$3</f>
        <v>90.258</v>
      </c>
      <c r="R40" s="103">
        <f>R39*'Data - P&amp;L'!$U$3</f>
        <v>270.774</v>
      </c>
      <c r="S40" s="103">
        <f>S39*'Data - P&amp;L'!$U$3</f>
        <v>154.728</v>
      </c>
      <c r="T40" s="103">
        <f>T39*'Data - P&amp;L'!$U$3</f>
        <v>412.608</v>
      </c>
      <c r="U40" s="103">
        <f>U39*'Data - P&amp;L'!$U$3</f>
        <v>296.562</v>
      </c>
      <c r="V40" s="103">
        <f>V39*'Data - P&amp;L'!$U$3</f>
        <v>206.304</v>
      </c>
      <c r="W40" s="103">
        <f>W39*'Data - P&amp;L'!$U$3</f>
        <v>489.972</v>
      </c>
      <c r="X40" s="103">
        <f>X39*'Data - P&amp;L'!$U$3</f>
        <v>696.2146</v>
      </c>
      <c r="Y40" s="103">
        <f>Y39*'Data - P&amp;L'!$U$3</f>
        <v>2011.3412</v>
      </c>
      <c r="Z40" s="103">
        <f>Z39*'Data - P&amp;L'!$U$3</f>
        <v>644.7</v>
      </c>
      <c r="AA40" s="103">
        <f>AA39*'Data - P&amp;L'!$U$3</f>
        <v>644.7</v>
      </c>
      <c r="AB40" s="103">
        <f>AB39*'Data - P&amp;L'!$U$3</f>
        <v>3713.2878</v>
      </c>
      <c r="AC40" s="103">
        <f>AC39*'Data - P&amp;L'!$U$3</f>
        <v>2591.5712</v>
      </c>
      <c r="AD40" s="103">
        <f>AD39*'Data - P&amp;L'!$U$3</f>
        <v>2656.0412</v>
      </c>
      <c r="AE40" s="103">
        <f>AE39*'Data - P&amp;L'!$U$3</f>
        <v>3352.2558</v>
      </c>
    </row>
    <row r="41" collapsed="1">
      <c r="A41" s="39" t="s">
        <v>138</v>
      </c>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row>
    <row r="42" hidden="1" outlineLevel="1">
      <c r="A42" s="45" t="s">
        <v>96</v>
      </c>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row>
    <row r="43" hidden="1" outlineLevel="1">
      <c r="A43" s="45" t="s">
        <v>110</v>
      </c>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row>
    <row r="44">
      <c r="A44" s="97" t="s">
        <v>129</v>
      </c>
      <c r="B44" s="109" t="str">
        <f t="shared" ref="B44:AE44" si="7">B38</f>
        <v/>
      </c>
      <c r="C44" s="109" t="str">
        <f t="shared" si="7"/>
        <v/>
      </c>
      <c r="D44" s="109" t="str">
        <f t="shared" si="7"/>
        <v/>
      </c>
      <c r="E44" s="109" t="str">
        <f t="shared" si="7"/>
        <v/>
      </c>
      <c r="F44" s="109" t="str">
        <f t="shared" si="7"/>
        <v/>
      </c>
      <c r="G44" s="109">
        <f t="shared" si="7"/>
        <v>509.472</v>
      </c>
      <c r="H44" s="109">
        <f t="shared" si="7"/>
        <v>445.788</v>
      </c>
      <c r="I44" s="109">
        <f t="shared" si="7"/>
        <v>222.894</v>
      </c>
      <c r="J44" s="109">
        <f t="shared" si="7"/>
        <v>1337.364</v>
      </c>
      <c r="K44" s="109">
        <f t="shared" si="7"/>
        <v>7578.396</v>
      </c>
      <c r="L44" s="109">
        <f t="shared" si="7"/>
        <v>5572.35</v>
      </c>
      <c r="M44" s="109">
        <f t="shared" si="7"/>
        <v>7348.0722</v>
      </c>
      <c r="N44" s="109">
        <f t="shared" si="7"/>
        <v>4457.88</v>
      </c>
      <c r="O44" s="109">
        <f t="shared" si="7"/>
        <v>5784.63</v>
      </c>
      <c r="P44" s="109">
        <f t="shared" si="7"/>
        <v>3343.41</v>
      </c>
      <c r="Q44" s="109">
        <f t="shared" si="7"/>
        <v>1560.258</v>
      </c>
      <c r="R44" s="109">
        <f t="shared" si="7"/>
        <v>4680.774</v>
      </c>
      <c r="S44" s="109">
        <f t="shared" si="7"/>
        <v>2674.728</v>
      </c>
      <c r="T44" s="109">
        <f t="shared" si="7"/>
        <v>7132.608</v>
      </c>
      <c r="U44" s="109">
        <f t="shared" si="7"/>
        <v>5126.562</v>
      </c>
      <c r="V44" s="109">
        <f t="shared" si="7"/>
        <v>3566.304</v>
      </c>
      <c r="W44" s="109">
        <f t="shared" si="7"/>
        <v>8469.972</v>
      </c>
      <c r="X44" s="109">
        <f t="shared" si="7"/>
        <v>12035.2146</v>
      </c>
      <c r="Y44" s="109">
        <f t="shared" si="7"/>
        <v>34769.3412</v>
      </c>
      <c r="Z44" s="109">
        <f t="shared" si="7"/>
        <v>11144.7</v>
      </c>
      <c r="AA44" s="109">
        <f t="shared" si="7"/>
        <v>11144.7</v>
      </c>
      <c r="AB44" s="109">
        <f t="shared" si="7"/>
        <v>64190.2878</v>
      </c>
      <c r="AC44" s="109">
        <f t="shared" si="7"/>
        <v>44799.5712</v>
      </c>
      <c r="AD44" s="109">
        <f t="shared" si="7"/>
        <v>45914.0412</v>
      </c>
      <c r="AE44" s="109">
        <f t="shared" si="7"/>
        <v>57949.2558</v>
      </c>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c r="A46" s="32" t="s">
        <v>141</v>
      </c>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c r="AD46" s="111"/>
      <c r="AE46" s="111"/>
    </row>
    <row r="47" outlineLevel="1">
      <c r="A47" s="57" t="s">
        <v>143</v>
      </c>
      <c r="B47" s="113">
        <f>'App - P&amp;L'!B90</f>
        <v>84.677</v>
      </c>
      <c r="C47" s="113">
        <f>'App - P&amp;L'!C90</f>
        <v>140.998</v>
      </c>
      <c r="D47" s="113">
        <f>'App - P&amp;L'!D90</f>
        <v>60.469</v>
      </c>
      <c r="E47" s="113">
        <f>'App - P&amp;L'!E90</f>
        <v>349.6205</v>
      </c>
      <c r="F47" s="113">
        <f>'App - P&amp;L'!F90</f>
        <v>241.919</v>
      </c>
      <c r="G47" s="113">
        <f>'App - P&amp;L'!G90</f>
        <v>57.6675</v>
      </c>
      <c r="H47" s="113">
        <f>'App - P&amp;L'!H90</f>
        <v>152.232</v>
      </c>
      <c r="I47" s="113">
        <f>'App - P&amp;L'!I90</f>
        <v>254.7435</v>
      </c>
      <c r="J47" s="113">
        <f>'App - P&amp;L'!J90</f>
        <v>269.949</v>
      </c>
      <c r="K47" s="113">
        <f>'App - P&amp;L'!K90</f>
        <v>229.166</v>
      </c>
      <c r="L47" s="113">
        <f>'App - P&amp;L'!L90</f>
        <v>352.5375</v>
      </c>
      <c r="M47" s="113">
        <f>'App - P&amp;L'!M90</f>
        <v>327.3315</v>
      </c>
      <c r="N47" s="113">
        <f>'App - P&amp;L'!N90</f>
        <v>291.0805</v>
      </c>
      <c r="O47" s="113">
        <f>'App - P&amp;L'!O90</f>
        <v>292.367</v>
      </c>
      <c r="P47" s="113">
        <f>'App - P&amp;L'!P90</f>
        <v>216.5385</v>
      </c>
      <c r="Q47" s="113">
        <f>'App - P&amp;L'!Q90</f>
        <v>133.258</v>
      </c>
      <c r="R47" s="113">
        <f>'App - P&amp;L'!R90</f>
        <v>243.0455</v>
      </c>
      <c r="S47" s="113">
        <f>'App - P&amp;L'!S90</f>
        <v>322.1325</v>
      </c>
      <c r="T47" s="113">
        <f>'App - P&amp;L'!T90</f>
        <v>461.412</v>
      </c>
      <c r="U47" s="113">
        <f>'App - P&amp;L'!U90</f>
        <v>196.1465</v>
      </c>
      <c r="V47" s="113">
        <f>'App - P&amp;L'!V90</f>
        <v>283.161</v>
      </c>
      <c r="W47" s="113">
        <f>'App - P&amp;L'!W90</f>
        <v>135.495</v>
      </c>
      <c r="X47" s="113">
        <f>'App - P&amp;L'!X90</f>
        <v>136.6635</v>
      </c>
      <c r="Y47" s="113">
        <f>'App - P&amp;L'!Y90</f>
        <v>272.838</v>
      </c>
      <c r="Z47" s="113">
        <f>'App - P&amp;L'!Z90</f>
        <v>413.1975</v>
      </c>
      <c r="AA47" s="113">
        <f>'App - P&amp;L'!AA90</f>
        <v>629.359</v>
      </c>
      <c r="AB47" s="113">
        <f>'App - P&amp;L'!AB90</f>
        <v>326.826</v>
      </c>
      <c r="AC47" s="113">
        <f>'App - P&amp;L'!AC90</f>
        <v>171.634</v>
      </c>
      <c r="AD47" s="113">
        <f>'App - P&amp;L'!AD90</f>
        <v>295.1415</v>
      </c>
      <c r="AE47" s="113">
        <f>'App - P&amp;L'!AE90</f>
        <v>158.926</v>
      </c>
    </row>
    <row r="48" outlineLevel="1">
      <c r="A48" s="57" t="s">
        <v>149</v>
      </c>
      <c r="B48" s="113">
        <f>'App - P&amp;L'!B91</f>
        <v>339.7382059</v>
      </c>
      <c r="C48" s="113">
        <f>'App - P&amp;L'!C91</f>
        <v>558.3012557</v>
      </c>
      <c r="D48" s="113">
        <f>'App - P&amp;L'!D91</f>
        <v>504.6811045</v>
      </c>
      <c r="E48" s="113">
        <f>'App - P&amp;L'!E91</f>
        <v>1171.756405</v>
      </c>
      <c r="F48" s="113">
        <f>'App - P&amp;L'!F91</f>
        <v>1080.935312</v>
      </c>
      <c r="G48" s="113">
        <f>'App - P&amp;L'!G91</f>
        <v>715.339538</v>
      </c>
      <c r="H48" s="113">
        <f>'App - P&amp;L'!H91</f>
        <v>540.2165514</v>
      </c>
      <c r="I48" s="113">
        <f>'App - P&amp;L'!I91</f>
        <v>688.2393969</v>
      </c>
      <c r="J48" s="113">
        <f>'App - P&amp;L'!J91</f>
        <v>743.6833889</v>
      </c>
      <c r="K48" s="113">
        <f>'App - P&amp;L'!K91</f>
        <v>855.6526541</v>
      </c>
      <c r="L48" s="113">
        <f>'App - P&amp;L'!L91</f>
        <v>1128.82615</v>
      </c>
      <c r="M48" s="113">
        <f>'App - P&amp;L'!M91</f>
        <v>1502.735551</v>
      </c>
      <c r="N48" s="113">
        <f>'App - P&amp;L'!N91</f>
        <v>581.3684127</v>
      </c>
      <c r="O48" s="113">
        <f>'App - P&amp;L'!O91</f>
        <v>623.1038333</v>
      </c>
      <c r="P48" s="113">
        <f>'App - P&amp;L'!P91</f>
        <v>724.6304912</v>
      </c>
      <c r="Q48" s="113">
        <f>'App - P&amp;L'!Q91</f>
        <v>701.8698158</v>
      </c>
      <c r="R48" s="113">
        <f>'App - P&amp;L'!R91</f>
        <v>880.2661757</v>
      </c>
      <c r="S48" s="113">
        <f>'App - P&amp;L'!S91</f>
        <v>1006.083632</v>
      </c>
      <c r="T48" s="113">
        <f>'App - P&amp;L'!T91</f>
        <v>1208.967071</v>
      </c>
      <c r="U48" s="113">
        <f>'App - P&amp;L'!U91</f>
        <v>684.6731685</v>
      </c>
      <c r="V48" s="113">
        <f>'App - P&amp;L'!V91</f>
        <v>640.395493</v>
      </c>
      <c r="W48" s="113">
        <f>'App - P&amp;L'!W91</f>
        <v>400.8583878</v>
      </c>
      <c r="X48" s="113">
        <f>'App - P&amp;L'!X91</f>
        <v>640.213215</v>
      </c>
      <c r="Y48" s="113">
        <f>'App - P&amp;L'!Y91</f>
        <v>825.5590724</v>
      </c>
      <c r="Z48" s="113">
        <f>'App - P&amp;L'!Z91</f>
        <v>1067.636103</v>
      </c>
      <c r="AA48" s="113">
        <f>'App - P&amp;L'!AA91</f>
        <v>1269.466306</v>
      </c>
      <c r="AB48" s="113">
        <f>'App - P&amp;L'!AB91</f>
        <v>639.4500922</v>
      </c>
      <c r="AC48" s="113">
        <f>'App - P&amp;L'!AC91</f>
        <v>715.9623341</v>
      </c>
      <c r="AD48" s="113">
        <f>'App - P&amp;L'!AD91</f>
        <v>757.491189</v>
      </c>
      <c r="AE48" s="113">
        <f>'App - P&amp;L'!AE91</f>
        <v>1058.678625</v>
      </c>
    </row>
    <row r="49" outlineLevel="1">
      <c r="A49" s="57" t="s">
        <v>152</v>
      </c>
      <c r="B49" s="113">
        <f>'App - P&amp;L'!B67</f>
        <v>161.0122311</v>
      </c>
      <c r="C49" s="113">
        <f>'App - P&amp;L'!C67</f>
        <v>269.0953953</v>
      </c>
      <c r="D49" s="113">
        <f>'App - P&amp;L'!D67</f>
        <v>232.5943305</v>
      </c>
      <c r="E49" s="113">
        <f>'App - P&amp;L'!E67</f>
        <v>576.4636737</v>
      </c>
      <c r="F49" s="113">
        <f>'App - P&amp;L'!F67</f>
        <v>512.6032764</v>
      </c>
      <c r="G49" s="113">
        <f>'App - P&amp;L'!G67</f>
        <v>328.732302</v>
      </c>
      <c r="H49" s="113">
        <f>'App - P&amp;L'!H67</f>
        <v>263.4379506</v>
      </c>
      <c r="I49" s="113">
        <f>'App - P&amp;L'!I67</f>
        <v>349.7176701</v>
      </c>
      <c r="J49" s="113">
        <f>'App - P&amp;L'!J67</f>
        <v>374.0367381</v>
      </c>
      <c r="K49" s="113">
        <f>'App - P&amp;L'!K67</f>
        <v>419.6137089</v>
      </c>
      <c r="L49" s="113">
        <f>'App - P&amp;L'!L67</f>
        <v>556.6194213</v>
      </c>
      <c r="M49" s="113">
        <f>'App - P&amp;L'!M67</f>
        <v>712.7280219</v>
      </c>
      <c r="N49" s="113">
        <f>'App - P&amp;L'!N67</f>
        <v>307.8702483</v>
      </c>
      <c r="O49" s="113">
        <f>'App - P&amp;L'!O67</f>
        <v>322.5217857</v>
      </c>
      <c r="P49" s="113">
        <f>'App - P&amp;L'!P67</f>
        <v>359.8474248</v>
      </c>
      <c r="Q49" s="113">
        <f>'App - P&amp;L'!Q67</f>
        <v>335.8147782</v>
      </c>
      <c r="R49" s="113">
        <f>'App - P&amp;L'!R67</f>
        <v>421.8585753</v>
      </c>
      <c r="S49" s="113">
        <f>'App - P&amp;L'!S67</f>
        <v>495.3047709</v>
      </c>
      <c r="T49" s="113">
        <f>'App - P&amp;L'!T67</f>
        <v>610.4310303</v>
      </c>
      <c r="U49" s="113">
        <f>'App - P&amp;L'!U67</f>
        <v>331.6862865</v>
      </c>
      <c r="V49" s="113">
        <f>'App - P&amp;L'!V67</f>
        <v>329.428497</v>
      </c>
      <c r="W49" s="113">
        <f>'App - P&amp;L'!W67</f>
        <v>201.8671662</v>
      </c>
      <c r="X49" s="113">
        <f>'App - P&amp;L'!X67</f>
        <v>302.580735</v>
      </c>
      <c r="Y49" s="113">
        <f>'App - P&amp;L'!Y67</f>
        <v>408.5344596</v>
      </c>
      <c r="Z49" s="113">
        <f>'App - P&amp;L'!Z67</f>
        <v>545.9222583</v>
      </c>
      <c r="AA49" s="113">
        <f>'App - P&amp;L'!AA67</f>
        <v>670.4508456</v>
      </c>
      <c r="AB49" s="113">
        <f>'App - P&amp;L'!AB67</f>
        <v>335.9297538</v>
      </c>
      <c r="AC49" s="113">
        <f>'App - P&amp;L'!AC67</f>
        <v>339.3584289</v>
      </c>
      <c r="AD49" s="113">
        <f>'App - P&amp;L'!AD67</f>
        <v>388.207581</v>
      </c>
      <c r="AE49" s="113">
        <f>'App - P&amp;L'!AE67</f>
        <v>483.2976966</v>
      </c>
    </row>
    <row r="50" outlineLevel="1">
      <c r="A50" s="57" t="s">
        <v>157</v>
      </c>
      <c r="B50" s="113">
        <f>'App - P&amp;L'!B68</f>
        <v>1.09</v>
      </c>
      <c r="C50" s="113">
        <f>'App - P&amp;L'!C68</f>
        <v>11.53</v>
      </c>
      <c r="D50" s="113">
        <f>'App - P&amp;L'!D68</f>
        <v>13.14</v>
      </c>
      <c r="E50" s="113">
        <f>'App - P&amp;L'!E68</f>
        <v>30.07</v>
      </c>
      <c r="F50" s="113">
        <f>'App - P&amp;L'!F68</f>
        <v>22.19</v>
      </c>
      <c r="G50" s="113">
        <f>'App - P&amp;L'!G68</f>
        <v>34.61</v>
      </c>
      <c r="H50" s="113">
        <f>'App - P&amp;L'!H68</f>
        <v>12.1</v>
      </c>
      <c r="I50" s="113">
        <f>'App - P&amp;L'!I68</f>
        <v>34.28</v>
      </c>
      <c r="J50" s="113">
        <f>'App - P&amp;L'!J68</f>
        <v>29.89</v>
      </c>
      <c r="K50" s="113">
        <f>'App - P&amp;L'!K68</f>
        <v>39.26</v>
      </c>
      <c r="L50" s="113">
        <f>'App - P&amp;L'!L68</f>
        <v>25.09</v>
      </c>
      <c r="M50" s="113">
        <f>'App - P&amp;L'!M68</f>
        <v>26.26</v>
      </c>
      <c r="N50" s="113">
        <f>'App - P&amp;L'!N68</f>
        <v>23.98</v>
      </c>
      <c r="O50" s="113">
        <f>'App - P&amp;L'!O68</f>
        <v>19.69</v>
      </c>
      <c r="P50" s="113">
        <f>'App - P&amp;L'!P68</f>
        <v>30.08</v>
      </c>
      <c r="Q50" s="113">
        <f>'App - P&amp;L'!Q68</f>
        <v>30.48</v>
      </c>
      <c r="R50" s="113">
        <f>'App - P&amp;L'!R68</f>
        <v>8.44</v>
      </c>
      <c r="S50" s="113">
        <f>'App - P&amp;L'!S68</f>
        <v>25.62</v>
      </c>
      <c r="T50" s="113">
        <f>'App - P&amp;L'!T68</f>
        <v>28.72</v>
      </c>
      <c r="U50" s="113">
        <f>'App - P&amp;L'!U68</f>
        <v>12.76</v>
      </c>
      <c r="V50" s="113">
        <f>'App - P&amp;L'!V68</f>
        <v>12.34</v>
      </c>
      <c r="W50" s="113">
        <f>'App - P&amp;L'!W68</f>
        <v>18.62</v>
      </c>
      <c r="X50" s="113">
        <f>'App - P&amp;L'!X68</f>
        <v>13.6</v>
      </c>
      <c r="Y50" s="113">
        <f>'App - P&amp;L'!Y68</f>
        <v>18.99</v>
      </c>
      <c r="Z50" s="113">
        <f>'App - P&amp;L'!Z68</f>
        <v>36.66</v>
      </c>
      <c r="AA50" s="113">
        <f>'App - P&amp;L'!AA68</f>
        <v>58.93</v>
      </c>
      <c r="AB50" s="113">
        <f>'App - P&amp;L'!AB68</f>
        <v>16.24</v>
      </c>
      <c r="AC50" s="113">
        <f>'App - P&amp;L'!AC68</f>
        <v>8.76</v>
      </c>
      <c r="AD50" s="113">
        <f>'App - P&amp;L'!AD68</f>
        <v>37.28</v>
      </c>
      <c r="AE50" s="113">
        <f>'App - P&amp;L'!AE68</f>
        <v>6.67</v>
      </c>
    </row>
    <row r="51">
      <c r="A51" s="134" t="s">
        <v>129</v>
      </c>
      <c r="B51" s="136">
        <f t="shared" ref="B51:AE51" si="8">sum(B47:B50)</f>
        <v>586.517437</v>
      </c>
      <c r="C51" s="136">
        <f t="shared" si="8"/>
        <v>979.924651</v>
      </c>
      <c r="D51" s="136">
        <f t="shared" si="8"/>
        <v>810.884435</v>
      </c>
      <c r="E51" s="136">
        <f t="shared" si="8"/>
        <v>2127.910579</v>
      </c>
      <c r="F51" s="136">
        <f t="shared" si="8"/>
        <v>1857.647588</v>
      </c>
      <c r="G51" s="136">
        <f t="shared" si="8"/>
        <v>1136.34934</v>
      </c>
      <c r="H51" s="136">
        <f t="shared" si="8"/>
        <v>967.986502</v>
      </c>
      <c r="I51" s="136">
        <f t="shared" si="8"/>
        <v>1326.980567</v>
      </c>
      <c r="J51" s="136">
        <f t="shared" si="8"/>
        <v>1417.559127</v>
      </c>
      <c r="K51" s="136">
        <f t="shared" si="8"/>
        <v>1543.692363</v>
      </c>
      <c r="L51" s="136">
        <f t="shared" si="8"/>
        <v>2063.073071</v>
      </c>
      <c r="M51" s="136">
        <f t="shared" si="8"/>
        <v>2569.055073</v>
      </c>
      <c r="N51" s="136">
        <f t="shared" si="8"/>
        <v>1204.299161</v>
      </c>
      <c r="O51" s="136">
        <f t="shared" si="8"/>
        <v>1257.682619</v>
      </c>
      <c r="P51" s="136">
        <f t="shared" si="8"/>
        <v>1331.096416</v>
      </c>
      <c r="Q51" s="136">
        <f t="shared" si="8"/>
        <v>1201.422594</v>
      </c>
      <c r="R51" s="136">
        <f t="shared" si="8"/>
        <v>1553.610251</v>
      </c>
      <c r="S51" s="136">
        <f t="shared" si="8"/>
        <v>1849.140903</v>
      </c>
      <c r="T51" s="136">
        <f t="shared" si="8"/>
        <v>2309.530101</v>
      </c>
      <c r="U51" s="136">
        <f t="shared" si="8"/>
        <v>1225.265955</v>
      </c>
      <c r="V51" s="136">
        <f t="shared" si="8"/>
        <v>1265.32499</v>
      </c>
      <c r="W51" s="136">
        <f t="shared" si="8"/>
        <v>756.840554</v>
      </c>
      <c r="X51" s="136">
        <f t="shared" si="8"/>
        <v>1093.05745</v>
      </c>
      <c r="Y51" s="136">
        <f t="shared" si="8"/>
        <v>1525.921532</v>
      </c>
      <c r="Z51" s="136">
        <f t="shared" si="8"/>
        <v>2063.415861</v>
      </c>
      <c r="AA51" s="136">
        <f t="shared" si="8"/>
        <v>2628.206152</v>
      </c>
      <c r="AB51" s="136">
        <f t="shared" si="8"/>
        <v>1318.445846</v>
      </c>
      <c r="AC51" s="136">
        <f t="shared" si="8"/>
        <v>1235.714763</v>
      </c>
      <c r="AD51" s="136">
        <f t="shared" si="8"/>
        <v>1478.12027</v>
      </c>
      <c r="AE51" s="136">
        <f t="shared" si="8"/>
        <v>1707.572322</v>
      </c>
    </row>
    <row r="52">
      <c r="A52" s="141"/>
      <c r="B52" s="142"/>
      <c r="C52" s="142"/>
      <c r="D52" s="142"/>
      <c r="E52" s="142"/>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row>
    <row r="53">
      <c r="A53" s="9"/>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row>
    <row r="54">
      <c r="A54" s="32" t="s">
        <v>169</v>
      </c>
      <c r="B54" s="144">
        <v>456.0</v>
      </c>
      <c r="C54" s="145">
        <v>542.0</v>
      </c>
      <c r="D54" s="145">
        <v>522.0</v>
      </c>
      <c r="E54" s="145">
        <v>542.0</v>
      </c>
      <c r="F54" s="145">
        <v>614.0</v>
      </c>
      <c r="G54" s="144">
        <v>588.0</v>
      </c>
      <c r="H54" s="146">
        <v>526.0</v>
      </c>
      <c r="I54" s="146">
        <v>538.0</v>
      </c>
      <c r="J54" s="146">
        <v>580.0</v>
      </c>
      <c r="K54" s="146">
        <v>567.0</v>
      </c>
      <c r="L54" s="146">
        <v>702.0</v>
      </c>
      <c r="M54" s="146">
        <v>777.0</v>
      </c>
      <c r="N54" s="146">
        <v>980.0</v>
      </c>
      <c r="O54" s="15">
        <v>641.0</v>
      </c>
      <c r="P54" s="15">
        <v>595.0</v>
      </c>
      <c r="Q54" s="15">
        <v>558.0</v>
      </c>
      <c r="R54" s="15">
        <v>600.0</v>
      </c>
      <c r="S54" s="15">
        <v>739.0</v>
      </c>
      <c r="T54" s="15">
        <v>773.0</v>
      </c>
      <c r="U54" s="15">
        <v>804.0</v>
      </c>
      <c r="V54" s="15">
        <v>841.0</v>
      </c>
      <c r="W54" s="146">
        <v>1244.0</v>
      </c>
      <c r="X54" s="146">
        <v>1456.0</v>
      </c>
      <c r="Y54" s="146">
        <v>4000.0</v>
      </c>
      <c r="Z54" s="146">
        <v>2499.0</v>
      </c>
      <c r="AA54" s="146">
        <v>1858.0</v>
      </c>
      <c r="AB54" s="146">
        <v>2844.0</v>
      </c>
      <c r="AC54" s="146">
        <v>1980.0</v>
      </c>
      <c r="AD54" s="15">
        <v>342.0</v>
      </c>
      <c r="AE54" s="15">
        <v>320.0</v>
      </c>
    </row>
    <row r="55" outlineLevel="1">
      <c r="A55" s="45" t="s">
        <v>171</v>
      </c>
      <c r="B55" s="147">
        <v>445.0</v>
      </c>
      <c r="C55" s="147">
        <v>463.0</v>
      </c>
      <c r="D55" s="147">
        <v>467.0</v>
      </c>
      <c r="E55" s="147">
        <v>510.0</v>
      </c>
      <c r="F55" s="147">
        <v>590.0</v>
      </c>
      <c r="G55" s="147">
        <v>554.0</v>
      </c>
      <c r="H55" s="39">
        <v>505.0</v>
      </c>
      <c r="I55" s="39">
        <v>504.0</v>
      </c>
      <c r="J55" s="39">
        <v>546.0</v>
      </c>
      <c r="K55" s="39">
        <v>537.0</v>
      </c>
      <c r="L55" s="39">
        <v>687.0</v>
      </c>
      <c r="M55" s="39">
        <v>670.0</v>
      </c>
      <c r="N55" s="39">
        <v>539.0</v>
      </c>
      <c r="O55" s="39">
        <v>612.0</v>
      </c>
      <c r="P55" s="39">
        <v>566.0</v>
      </c>
      <c r="Q55" s="39">
        <v>522.0</v>
      </c>
      <c r="R55" s="39">
        <v>568.0</v>
      </c>
      <c r="S55" s="39">
        <v>721.0</v>
      </c>
      <c r="T55" s="39">
        <v>765.0</v>
      </c>
      <c r="U55" s="39">
        <v>799.0</v>
      </c>
      <c r="V55" s="39">
        <v>832.0</v>
      </c>
      <c r="W55" s="39">
        <v>1213.0</v>
      </c>
      <c r="X55" s="39">
        <v>1437.0</v>
      </c>
      <c r="Y55" s="39">
        <v>3986.0</v>
      </c>
      <c r="Z55" s="39">
        <v>2510.0</v>
      </c>
      <c r="AA55" s="39">
        <v>1846.0</v>
      </c>
      <c r="AB55" s="39">
        <v>2857.0</v>
      </c>
      <c r="AC55" s="39">
        <v>1967.0</v>
      </c>
      <c r="AD55" s="39">
        <v>310.0</v>
      </c>
      <c r="AE55" s="39">
        <v>279.0</v>
      </c>
    </row>
    <row r="56" outlineLevel="1">
      <c r="A56" s="45" t="s">
        <v>174</v>
      </c>
      <c r="B56" s="147">
        <v>588.0</v>
      </c>
      <c r="C56" s="147">
        <v>741.0</v>
      </c>
      <c r="D56" s="147">
        <v>708.0</v>
      </c>
      <c r="E56" s="147">
        <v>750.0</v>
      </c>
      <c r="F56" s="147">
        <v>769.0</v>
      </c>
      <c r="G56" s="147">
        <v>721.0</v>
      </c>
      <c r="H56" s="39">
        <v>710.0</v>
      </c>
      <c r="I56" s="39">
        <v>742.0</v>
      </c>
      <c r="J56" s="39">
        <v>761.0</v>
      </c>
      <c r="K56" s="39">
        <v>743.0</v>
      </c>
      <c r="L56" s="39">
        <v>1020.0</v>
      </c>
      <c r="M56" s="39">
        <v>1061.0</v>
      </c>
      <c r="N56" s="39">
        <v>1164.0</v>
      </c>
      <c r="O56" s="39">
        <v>848.0</v>
      </c>
      <c r="P56" s="39">
        <v>752.0</v>
      </c>
      <c r="Q56" s="39">
        <v>724.0</v>
      </c>
      <c r="R56" s="39">
        <v>747.0</v>
      </c>
      <c r="S56" s="39">
        <v>940.0</v>
      </c>
      <c r="T56" s="39">
        <v>745.0</v>
      </c>
      <c r="U56" s="39">
        <v>989.0</v>
      </c>
      <c r="V56" s="39">
        <v>1031.0</v>
      </c>
      <c r="W56" s="39">
        <v>1604.0</v>
      </c>
      <c r="X56" s="39">
        <v>1998.0</v>
      </c>
      <c r="Y56" s="39">
        <v>4899.0</v>
      </c>
      <c r="Z56" s="39">
        <v>2845.0</v>
      </c>
      <c r="AA56" s="39">
        <v>2336.0</v>
      </c>
      <c r="AB56" s="39">
        <v>3202.0</v>
      </c>
      <c r="AC56" s="39">
        <v>1931.0</v>
      </c>
      <c r="AD56" s="39">
        <v>239.0</v>
      </c>
      <c r="AE56" s="39">
        <v>234.0</v>
      </c>
    </row>
    <row r="57" outlineLevel="1">
      <c r="A57" s="45" t="s">
        <v>176</v>
      </c>
      <c r="B57" s="147">
        <v>0.0</v>
      </c>
      <c r="C57" s="147">
        <v>0.0</v>
      </c>
      <c r="D57" s="147">
        <v>0.0</v>
      </c>
      <c r="E57" s="147">
        <v>0.0</v>
      </c>
      <c r="F57" s="147">
        <v>0.0</v>
      </c>
      <c r="G57" s="147">
        <v>0.0</v>
      </c>
      <c r="H57" s="39">
        <v>0.0</v>
      </c>
      <c r="I57" s="39">
        <v>0.0</v>
      </c>
      <c r="J57" s="39">
        <v>20.0</v>
      </c>
      <c r="K57" s="39">
        <v>13.0</v>
      </c>
      <c r="L57" s="39">
        <v>12.0</v>
      </c>
      <c r="M57" s="39">
        <v>5.0</v>
      </c>
      <c r="N57" s="39">
        <v>0.0</v>
      </c>
      <c r="O57" s="39">
        <v>25.0</v>
      </c>
      <c r="P57" s="39">
        <v>24.0</v>
      </c>
      <c r="Q57" s="39">
        <v>29.0</v>
      </c>
      <c r="R57" s="39">
        <v>22.0</v>
      </c>
      <c r="S57" s="39">
        <v>10.0</v>
      </c>
      <c r="T57" s="39">
        <v>7.0</v>
      </c>
      <c r="U57" s="39">
        <v>6.0</v>
      </c>
      <c r="V57" s="39">
        <v>10.0</v>
      </c>
      <c r="W57" s="39">
        <v>14.0</v>
      </c>
      <c r="X57" s="39">
        <v>17.0</v>
      </c>
      <c r="Y57" s="39">
        <v>50.0</v>
      </c>
      <c r="Z57" s="39">
        <v>31.0</v>
      </c>
      <c r="AA57" s="39">
        <v>15.0</v>
      </c>
      <c r="AB57" s="39">
        <v>39.0</v>
      </c>
      <c r="AC57" s="39">
        <v>41.0</v>
      </c>
      <c r="AD57" s="39">
        <v>8.0</v>
      </c>
      <c r="AE57" s="39">
        <v>6.0</v>
      </c>
    </row>
    <row r="58" outlineLevel="1">
      <c r="A58" s="45" t="s">
        <v>178</v>
      </c>
      <c r="B58" s="155"/>
      <c r="C58" s="155"/>
      <c r="D58" s="155"/>
      <c r="E58" s="155"/>
      <c r="F58" s="155"/>
      <c r="G58" s="155"/>
      <c r="H58" s="156"/>
      <c r="I58" s="156"/>
      <c r="J58" s="156"/>
      <c r="K58" s="156"/>
      <c r="L58" s="156"/>
      <c r="M58" s="156"/>
      <c r="N58" s="156"/>
      <c r="O58" s="156"/>
      <c r="P58" s="156"/>
      <c r="Q58" s="156"/>
      <c r="R58" s="156"/>
      <c r="S58" s="156"/>
      <c r="T58" s="156"/>
      <c r="U58" s="156"/>
      <c r="V58" s="156"/>
      <c r="W58" s="156"/>
      <c r="X58" s="156"/>
      <c r="Y58" s="157"/>
      <c r="Z58" s="157"/>
      <c r="AA58" s="157"/>
      <c r="AB58" s="156"/>
      <c r="AC58" s="156"/>
      <c r="AD58" s="156"/>
      <c r="AE58" s="156"/>
    </row>
    <row r="59">
      <c r="A59" s="32" t="s">
        <v>123</v>
      </c>
      <c r="B59" s="147">
        <v>42.0</v>
      </c>
      <c r="C59" s="147">
        <v>40.0</v>
      </c>
      <c r="D59" s="147">
        <v>61.0</v>
      </c>
      <c r="E59" s="147">
        <v>58.0</v>
      </c>
      <c r="F59" s="147">
        <v>74.0</v>
      </c>
      <c r="G59" s="147">
        <v>56.0</v>
      </c>
      <c r="H59" s="147">
        <v>50.0</v>
      </c>
      <c r="I59" s="147">
        <v>65.0</v>
      </c>
      <c r="J59" s="147">
        <v>105.0</v>
      </c>
      <c r="K59" s="147">
        <v>132.0</v>
      </c>
      <c r="L59" s="147">
        <v>171.0</v>
      </c>
      <c r="M59" s="147">
        <v>171.0</v>
      </c>
      <c r="N59" s="147">
        <v>157.0</v>
      </c>
      <c r="O59" s="147">
        <v>172.0</v>
      </c>
      <c r="P59" s="147">
        <v>182.0</v>
      </c>
      <c r="Q59" s="147">
        <v>224.0</v>
      </c>
      <c r="R59" s="147">
        <v>232.0</v>
      </c>
      <c r="S59" s="147">
        <v>287.0</v>
      </c>
      <c r="T59" s="147">
        <v>202.0</v>
      </c>
      <c r="U59" s="147">
        <v>444.0</v>
      </c>
      <c r="V59" s="147">
        <v>502.0</v>
      </c>
      <c r="W59" s="147">
        <v>576.0</v>
      </c>
      <c r="X59" s="147">
        <v>752.0</v>
      </c>
      <c r="Y59" s="147">
        <v>2906.0</v>
      </c>
      <c r="Z59" s="147">
        <v>1756.0</v>
      </c>
      <c r="AA59" s="147">
        <v>1087.0</v>
      </c>
      <c r="AB59" s="147">
        <v>332.0</v>
      </c>
      <c r="AC59" s="147">
        <v>0.0</v>
      </c>
      <c r="AD59" s="147">
        <v>1.0</v>
      </c>
      <c r="AE59" s="147">
        <v>3.0</v>
      </c>
    </row>
    <row r="60" outlineLevel="1">
      <c r="A60" s="45" t="s">
        <v>182</v>
      </c>
      <c r="B60" s="147">
        <v>37.0</v>
      </c>
      <c r="C60" s="147">
        <v>37.0</v>
      </c>
      <c r="D60" s="147">
        <v>57.0</v>
      </c>
      <c r="E60" s="147">
        <v>54.0</v>
      </c>
      <c r="F60" s="147">
        <v>68.0</v>
      </c>
      <c r="G60" s="147">
        <v>55.0</v>
      </c>
      <c r="H60" s="147">
        <v>46.0</v>
      </c>
      <c r="I60" s="147">
        <v>58.0</v>
      </c>
      <c r="J60" s="147">
        <v>96.0</v>
      </c>
      <c r="K60" s="147">
        <v>126.0</v>
      </c>
      <c r="L60" s="147">
        <v>165.0</v>
      </c>
      <c r="M60" s="147">
        <v>160.0</v>
      </c>
      <c r="N60" s="147">
        <v>155.0</v>
      </c>
      <c r="O60" s="147">
        <v>165.0</v>
      </c>
      <c r="P60" s="147">
        <v>177.0</v>
      </c>
      <c r="Q60" s="147">
        <v>207.0</v>
      </c>
      <c r="R60" s="147">
        <v>229.0</v>
      </c>
      <c r="S60" s="147">
        <v>267.0</v>
      </c>
      <c r="T60" s="147">
        <v>180.0</v>
      </c>
      <c r="U60" s="147">
        <v>432.0</v>
      </c>
      <c r="V60" s="147">
        <v>477.0</v>
      </c>
      <c r="W60" s="147">
        <v>548.0</v>
      </c>
      <c r="X60" s="147">
        <v>716.0</v>
      </c>
      <c r="Y60" s="147">
        <v>2848.0</v>
      </c>
      <c r="Z60" s="147">
        <v>1752.0</v>
      </c>
      <c r="AA60" s="147">
        <v>1107.0</v>
      </c>
      <c r="AB60" s="147">
        <v>347.0</v>
      </c>
      <c r="AC60" s="147">
        <v>0.0</v>
      </c>
      <c r="AD60" s="147">
        <v>0.0</v>
      </c>
      <c r="AE60" s="147">
        <v>2.0</v>
      </c>
    </row>
    <row r="61" outlineLevel="1">
      <c r="A61" s="45" t="s">
        <v>184</v>
      </c>
      <c r="B61" s="147">
        <v>6.0</v>
      </c>
      <c r="C61" s="147">
        <v>3.0</v>
      </c>
      <c r="D61" s="147">
        <v>5.0</v>
      </c>
      <c r="E61" s="147">
        <v>4.0</v>
      </c>
      <c r="F61" s="147">
        <v>6.0</v>
      </c>
      <c r="G61" s="147">
        <v>4.0</v>
      </c>
      <c r="H61" s="147">
        <v>4.0</v>
      </c>
      <c r="I61" s="147">
        <v>11.0</v>
      </c>
      <c r="J61" s="147">
        <v>9.0</v>
      </c>
      <c r="K61" s="147">
        <v>6.0</v>
      </c>
      <c r="L61" s="147">
        <v>9.0</v>
      </c>
      <c r="M61" s="147">
        <v>11.0</v>
      </c>
      <c r="N61" s="147">
        <v>6.0</v>
      </c>
      <c r="O61" s="147">
        <v>9.0</v>
      </c>
      <c r="P61" s="147">
        <v>8.0</v>
      </c>
      <c r="Q61" s="147">
        <v>24.0</v>
      </c>
      <c r="R61" s="147">
        <v>21.0</v>
      </c>
      <c r="S61" s="147">
        <v>29.0</v>
      </c>
      <c r="T61" s="147">
        <v>29.0</v>
      </c>
      <c r="U61" s="147">
        <v>36.0</v>
      </c>
      <c r="V61" s="147">
        <v>41.0</v>
      </c>
      <c r="W61" s="147">
        <v>35.0</v>
      </c>
      <c r="X61" s="147">
        <v>53.0</v>
      </c>
      <c r="Y61" s="147">
        <v>161.0</v>
      </c>
      <c r="Z61" s="147">
        <v>54.0</v>
      </c>
      <c r="AA61" s="147">
        <v>8.0</v>
      </c>
      <c r="AB61" s="147">
        <v>2.0</v>
      </c>
      <c r="AC61" s="147">
        <v>0.0</v>
      </c>
      <c r="AD61" s="147">
        <v>1.0</v>
      </c>
      <c r="AE61" s="147">
        <v>1.0</v>
      </c>
    </row>
    <row r="62">
      <c r="A62" s="32" t="s">
        <v>186</v>
      </c>
      <c r="B62" s="163">
        <f t="shared" ref="B62:AE62" si="9">SUM(B63:B64)</f>
        <v>1</v>
      </c>
      <c r="C62" s="163">
        <f t="shared" si="9"/>
        <v>0</v>
      </c>
      <c r="D62" s="163">
        <f t="shared" si="9"/>
        <v>0</v>
      </c>
      <c r="E62" s="163">
        <f t="shared" si="9"/>
        <v>71</v>
      </c>
      <c r="F62" s="163">
        <f t="shared" si="9"/>
        <v>36</v>
      </c>
      <c r="G62" s="163">
        <f t="shared" si="9"/>
        <v>150</v>
      </c>
      <c r="H62" s="163">
        <f t="shared" si="9"/>
        <v>21</v>
      </c>
      <c r="I62" s="163">
        <f t="shared" si="9"/>
        <v>1</v>
      </c>
      <c r="J62" s="163">
        <f t="shared" si="9"/>
        <v>11</v>
      </c>
      <c r="K62" s="163">
        <f t="shared" si="9"/>
        <v>3</v>
      </c>
      <c r="L62" s="163">
        <f t="shared" si="9"/>
        <v>3</v>
      </c>
      <c r="M62" s="163">
        <f t="shared" si="9"/>
        <v>4</v>
      </c>
      <c r="N62" s="163">
        <f t="shared" si="9"/>
        <v>4</v>
      </c>
      <c r="O62" s="163">
        <f t="shared" si="9"/>
        <v>1</v>
      </c>
      <c r="P62" s="163">
        <f t="shared" si="9"/>
        <v>7</v>
      </c>
      <c r="Q62" s="163">
        <f t="shared" si="9"/>
        <v>35</v>
      </c>
      <c r="R62" s="163">
        <f t="shared" si="9"/>
        <v>6</v>
      </c>
      <c r="S62" s="163">
        <f t="shared" si="9"/>
        <v>7</v>
      </c>
      <c r="T62" s="163">
        <f t="shared" si="9"/>
        <v>7</v>
      </c>
      <c r="U62" s="163">
        <f t="shared" si="9"/>
        <v>8</v>
      </c>
      <c r="V62" s="163">
        <f t="shared" si="9"/>
        <v>8</v>
      </c>
      <c r="W62" s="163">
        <f t="shared" si="9"/>
        <v>8</v>
      </c>
      <c r="X62" s="163">
        <f t="shared" si="9"/>
        <v>17</v>
      </c>
      <c r="Y62" s="163">
        <f t="shared" si="9"/>
        <v>19</v>
      </c>
      <c r="Z62" s="163">
        <f t="shared" si="9"/>
        <v>3</v>
      </c>
      <c r="AA62" s="163">
        <f t="shared" si="9"/>
        <v>53</v>
      </c>
      <c r="AB62" s="163">
        <f t="shared" si="9"/>
        <v>87</v>
      </c>
      <c r="AC62" s="163">
        <f t="shared" si="9"/>
        <v>33</v>
      </c>
      <c r="AD62" s="163">
        <f t="shared" si="9"/>
        <v>4</v>
      </c>
      <c r="AE62" s="163">
        <f t="shared" si="9"/>
        <v>3</v>
      </c>
    </row>
    <row r="63" outlineLevel="1">
      <c r="A63" s="45" t="s">
        <v>187</v>
      </c>
      <c r="B63" s="147">
        <v>1.0</v>
      </c>
      <c r="C63" s="147">
        <v>0.0</v>
      </c>
      <c r="D63" s="147">
        <v>0.0</v>
      </c>
      <c r="E63" s="147">
        <v>71.0</v>
      </c>
      <c r="F63" s="147">
        <v>36.0</v>
      </c>
      <c r="G63" s="147">
        <v>150.0</v>
      </c>
      <c r="H63" s="39">
        <v>21.0</v>
      </c>
      <c r="I63" s="39">
        <v>1.0</v>
      </c>
      <c r="J63" s="39">
        <v>11.0</v>
      </c>
      <c r="K63" s="39">
        <v>3.0</v>
      </c>
      <c r="L63" s="39">
        <v>3.0</v>
      </c>
      <c r="M63" s="39">
        <v>4.0</v>
      </c>
      <c r="N63" s="39">
        <v>4.0</v>
      </c>
      <c r="O63" s="39">
        <v>1.0</v>
      </c>
      <c r="P63" s="39">
        <v>7.0</v>
      </c>
      <c r="Q63" s="39">
        <v>35.0</v>
      </c>
      <c r="R63" s="39">
        <v>6.0</v>
      </c>
      <c r="S63" s="39">
        <v>7.0</v>
      </c>
      <c r="T63" s="39">
        <v>7.0</v>
      </c>
      <c r="U63" s="39">
        <v>8.0</v>
      </c>
      <c r="V63" s="39">
        <v>8.0</v>
      </c>
      <c r="W63" s="39">
        <v>8.0</v>
      </c>
      <c r="X63" s="39">
        <v>17.0</v>
      </c>
      <c r="Y63" s="39">
        <v>19.0</v>
      </c>
      <c r="Z63" s="39">
        <v>3.0</v>
      </c>
      <c r="AA63" s="39">
        <v>53.0</v>
      </c>
      <c r="AB63" s="39">
        <v>87.0</v>
      </c>
      <c r="AC63" s="39">
        <v>33.0</v>
      </c>
      <c r="AD63" s="39">
        <v>4.0</v>
      </c>
      <c r="AE63" s="39">
        <v>3.0</v>
      </c>
    </row>
    <row r="64" outlineLevel="1">
      <c r="A64" s="45" t="s">
        <v>189</v>
      </c>
      <c r="B64" s="165"/>
      <c r="C64" s="165"/>
      <c r="D64" s="165"/>
      <c r="E64" s="165"/>
      <c r="F64" s="165"/>
      <c r="G64" s="165"/>
      <c r="H64" s="32"/>
      <c r="I64" s="32"/>
      <c r="J64" s="32"/>
      <c r="K64" s="32"/>
      <c r="L64" s="32"/>
      <c r="M64" s="32"/>
      <c r="N64" s="32"/>
      <c r="O64" s="32"/>
      <c r="P64" s="32"/>
      <c r="Q64" s="32"/>
      <c r="R64" s="32"/>
      <c r="S64" s="32"/>
      <c r="T64" s="32"/>
      <c r="U64" s="32"/>
      <c r="V64" s="32"/>
      <c r="W64" s="32"/>
      <c r="X64" s="32"/>
      <c r="Y64" s="32"/>
      <c r="Z64" s="32"/>
      <c r="AA64" s="32"/>
      <c r="AB64" s="32"/>
      <c r="AC64" s="32"/>
      <c r="AD64" s="32"/>
      <c r="AE64" s="32"/>
    </row>
    <row r="65">
      <c r="A65" s="39" t="s">
        <v>191</v>
      </c>
      <c r="B65" s="166">
        <v>2.0</v>
      </c>
      <c r="C65" s="166">
        <v>2.0</v>
      </c>
      <c r="D65" s="166">
        <v>2.0</v>
      </c>
      <c r="E65" s="166">
        <v>1.0</v>
      </c>
      <c r="F65" s="166">
        <v>3.0</v>
      </c>
      <c r="G65" s="166">
        <v>3.0</v>
      </c>
      <c r="H65" s="95">
        <v>1.0</v>
      </c>
      <c r="I65" s="95">
        <v>5.0</v>
      </c>
      <c r="J65" s="95">
        <v>1.0</v>
      </c>
      <c r="K65" s="95">
        <v>0.0</v>
      </c>
      <c r="L65" s="95">
        <v>3.0</v>
      </c>
      <c r="M65" s="95">
        <v>2.0</v>
      </c>
      <c r="N65" s="95">
        <v>1.0</v>
      </c>
      <c r="O65" s="95">
        <v>2.0</v>
      </c>
      <c r="P65" s="95">
        <v>1.0</v>
      </c>
      <c r="Q65" s="95">
        <v>1.0</v>
      </c>
      <c r="R65" s="95">
        <v>0.0</v>
      </c>
      <c r="S65" s="95">
        <v>0.0</v>
      </c>
      <c r="T65" s="95">
        <v>2.0</v>
      </c>
      <c r="U65" s="95">
        <v>2.0</v>
      </c>
      <c r="V65" s="95">
        <v>0.0</v>
      </c>
      <c r="W65" s="95">
        <v>4.0</v>
      </c>
      <c r="X65" s="95">
        <v>0.0</v>
      </c>
      <c r="Y65" s="95">
        <v>6.0</v>
      </c>
      <c r="Z65" s="95">
        <v>6.0</v>
      </c>
      <c r="AA65" s="95">
        <v>4.0</v>
      </c>
      <c r="AB65" s="95">
        <v>2.0</v>
      </c>
      <c r="AC65" s="95">
        <v>1.0</v>
      </c>
      <c r="AD65" s="95">
        <v>1.0</v>
      </c>
      <c r="AE65" s="95">
        <v>2.0</v>
      </c>
    </row>
    <row r="66" outlineLevel="1">
      <c r="A66" s="45" t="s">
        <v>171</v>
      </c>
      <c r="B66" s="166">
        <v>2.0</v>
      </c>
      <c r="C66" s="166">
        <v>3.0</v>
      </c>
      <c r="D66" s="166">
        <v>2.0</v>
      </c>
      <c r="E66" s="166">
        <v>2.0</v>
      </c>
      <c r="F66" s="166">
        <v>5.0</v>
      </c>
      <c r="G66" s="166">
        <v>4.0</v>
      </c>
      <c r="H66" s="95">
        <v>1.0</v>
      </c>
      <c r="I66" s="95">
        <v>7.0</v>
      </c>
      <c r="J66" s="95">
        <v>1.0</v>
      </c>
      <c r="K66" s="95">
        <v>0.0</v>
      </c>
      <c r="L66" s="95">
        <v>4.0</v>
      </c>
      <c r="M66" s="95">
        <v>2.0</v>
      </c>
      <c r="N66" s="95">
        <v>1.0</v>
      </c>
      <c r="O66" s="95">
        <v>2.0</v>
      </c>
      <c r="P66" s="95">
        <v>1.0</v>
      </c>
      <c r="Q66" s="95">
        <v>1.0</v>
      </c>
      <c r="R66" s="95">
        <v>0.0</v>
      </c>
      <c r="S66" s="95">
        <v>0.0</v>
      </c>
      <c r="T66" s="95">
        <v>2.0</v>
      </c>
      <c r="U66" s="95">
        <v>3.0</v>
      </c>
      <c r="V66" s="95">
        <v>0.0</v>
      </c>
      <c r="W66" s="95">
        <v>4.0</v>
      </c>
      <c r="X66" s="95">
        <v>0.0</v>
      </c>
      <c r="Y66" s="95">
        <v>7.0</v>
      </c>
      <c r="Z66" s="95">
        <v>8.0</v>
      </c>
      <c r="AA66" s="95">
        <v>4.0</v>
      </c>
      <c r="AB66" s="95">
        <v>2.0</v>
      </c>
      <c r="AC66" s="95">
        <v>1.0</v>
      </c>
      <c r="AD66" s="95">
        <v>1.0</v>
      </c>
      <c r="AE66" s="95">
        <v>2.0</v>
      </c>
    </row>
    <row r="67" outlineLevel="1">
      <c r="A67" s="45" t="s">
        <v>174</v>
      </c>
      <c r="B67" s="166">
        <v>0.0</v>
      </c>
      <c r="C67" s="166">
        <v>3.0</v>
      </c>
      <c r="D67" s="166">
        <v>2.0</v>
      </c>
      <c r="E67" s="166">
        <v>1.0</v>
      </c>
      <c r="F67" s="166">
        <v>3.0</v>
      </c>
      <c r="G67" s="166">
        <v>3.0</v>
      </c>
      <c r="H67" s="95">
        <v>1.0</v>
      </c>
      <c r="I67" s="95">
        <v>0.0</v>
      </c>
      <c r="J67" s="95">
        <v>1.0</v>
      </c>
      <c r="K67" s="95">
        <v>0.0</v>
      </c>
      <c r="L67" s="95">
        <v>3.0</v>
      </c>
      <c r="M67" s="95">
        <v>1.0</v>
      </c>
      <c r="N67" s="95">
        <v>1.0</v>
      </c>
      <c r="O67" s="95">
        <v>1.0</v>
      </c>
      <c r="P67" s="95">
        <v>0.0</v>
      </c>
      <c r="Q67" s="95">
        <v>1.0</v>
      </c>
      <c r="R67" s="95">
        <v>0.0</v>
      </c>
      <c r="S67" s="95">
        <v>0.0</v>
      </c>
      <c r="T67" s="95">
        <v>0.0</v>
      </c>
      <c r="U67" s="95">
        <v>3.0</v>
      </c>
      <c r="V67" s="95">
        <v>0.0</v>
      </c>
      <c r="W67" s="95">
        <v>3.0</v>
      </c>
      <c r="X67" s="95">
        <v>0.0</v>
      </c>
      <c r="Y67" s="95">
        <v>4.0</v>
      </c>
      <c r="Z67" s="95">
        <v>2.0</v>
      </c>
      <c r="AA67" s="95">
        <v>3.0</v>
      </c>
      <c r="AB67" s="95">
        <v>2.0</v>
      </c>
      <c r="AC67" s="95">
        <v>1.0</v>
      </c>
      <c r="AD67" s="95">
        <v>0.0</v>
      </c>
      <c r="AE67" s="95">
        <v>1.0</v>
      </c>
    </row>
    <row r="68">
      <c r="A68" s="97" t="s">
        <v>196</v>
      </c>
      <c r="B68" s="170">
        <f t="shared" ref="B68:AE68" si="10">SUM(B54+B59+B62+B65)</f>
        <v>501</v>
      </c>
      <c r="C68" s="170">
        <f t="shared" si="10"/>
        <v>584</v>
      </c>
      <c r="D68" s="170">
        <f t="shared" si="10"/>
        <v>585</v>
      </c>
      <c r="E68" s="170">
        <f t="shared" si="10"/>
        <v>672</v>
      </c>
      <c r="F68" s="170">
        <f t="shared" si="10"/>
        <v>727</v>
      </c>
      <c r="G68" s="170">
        <f t="shared" si="10"/>
        <v>797</v>
      </c>
      <c r="H68" s="170">
        <f t="shared" si="10"/>
        <v>598</v>
      </c>
      <c r="I68" s="170">
        <f t="shared" si="10"/>
        <v>609</v>
      </c>
      <c r="J68" s="170">
        <f t="shared" si="10"/>
        <v>697</v>
      </c>
      <c r="K68" s="170">
        <f t="shared" si="10"/>
        <v>702</v>
      </c>
      <c r="L68" s="170">
        <f t="shared" si="10"/>
        <v>879</v>
      </c>
      <c r="M68" s="170">
        <f t="shared" si="10"/>
        <v>954</v>
      </c>
      <c r="N68" s="170">
        <f t="shared" si="10"/>
        <v>1142</v>
      </c>
      <c r="O68" s="170">
        <f t="shared" si="10"/>
        <v>816</v>
      </c>
      <c r="P68" s="170">
        <f t="shared" si="10"/>
        <v>785</v>
      </c>
      <c r="Q68" s="170">
        <f t="shared" si="10"/>
        <v>818</v>
      </c>
      <c r="R68" s="170">
        <f t="shared" si="10"/>
        <v>838</v>
      </c>
      <c r="S68" s="170">
        <f t="shared" si="10"/>
        <v>1033</v>
      </c>
      <c r="T68" s="170">
        <f t="shared" si="10"/>
        <v>984</v>
      </c>
      <c r="U68" s="170">
        <f t="shared" si="10"/>
        <v>1258</v>
      </c>
      <c r="V68" s="170">
        <f t="shared" si="10"/>
        <v>1351</v>
      </c>
      <c r="W68" s="170">
        <f t="shared" si="10"/>
        <v>1832</v>
      </c>
      <c r="X68" s="170">
        <f t="shared" si="10"/>
        <v>2225</v>
      </c>
      <c r="Y68" s="170">
        <f t="shared" si="10"/>
        <v>6931</v>
      </c>
      <c r="Z68" s="170">
        <f t="shared" si="10"/>
        <v>4264</v>
      </c>
      <c r="AA68" s="170">
        <f t="shared" si="10"/>
        <v>3002</v>
      </c>
      <c r="AB68" s="170">
        <f t="shared" si="10"/>
        <v>3265</v>
      </c>
      <c r="AC68" s="170">
        <f t="shared" si="10"/>
        <v>2014</v>
      </c>
      <c r="AD68" s="170">
        <f t="shared" si="10"/>
        <v>348</v>
      </c>
      <c r="AE68" s="170">
        <f t="shared" si="10"/>
        <v>328</v>
      </c>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c r="A70" s="32" t="s">
        <v>199</v>
      </c>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c r="A71" s="11" t="s">
        <v>134</v>
      </c>
      <c r="B71" s="32"/>
      <c r="C71" s="32"/>
      <c r="D71" s="32"/>
      <c r="E71" s="32"/>
      <c r="F71" s="32"/>
      <c r="G71" s="15">
        <v>2.0</v>
      </c>
      <c r="H71" s="15">
        <v>2.0</v>
      </c>
      <c r="I71" s="15">
        <v>1.0</v>
      </c>
      <c r="J71" s="15">
        <v>6.0</v>
      </c>
      <c r="K71" s="15">
        <v>34.0</v>
      </c>
      <c r="L71" s="15">
        <v>25.0</v>
      </c>
      <c r="M71" s="15">
        <v>33.0</v>
      </c>
      <c r="N71" s="15">
        <v>20.0</v>
      </c>
      <c r="O71" s="15">
        <v>26.0</v>
      </c>
      <c r="P71" s="15">
        <v>15.0</v>
      </c>
      <c r="Q71" s="15">
        <v>7.0</v>
      </c>
      <c r="R71" s="15">
        <v>21.0</v>
      </c>
      <c r="S71" s="15">
        <v>12.0</v>
      </c>
      <c r="T71" s="15">
        <v>32.0</v>
      </c>
      <c r="U71" s="15">
        <v>23.0</v>
      </c>
      <c r="V71" s="15">
        <v>16.0</v>
      </c>
      <c r="W71" s="15">
        <v>38.0</v>
      </c>
      <c r="X71" s="15">
        <v>54.0</v>
      </c>
      <c r="Y71" s="15">
        <v>155.0</v>
      </c>
      <c r="Z71" s="15">
        <v>50.0</v>
      </c>
      <c r="AA71" s="15">
        <v>50.0</v>
      </c>
      <c r="AB71" s="15">
        <v>288.0</v>
      </c>
      <c r="AC71" s="15">
        <v>201.0</v>
      </c>
      <c r="AD71" s="15">
        <v>206.0</v>
      </c>
      <c r="AE71" s="15">
        <v>260.0</v>
      </c>
    </row>
    <row r="72">
      <c r="A72" s="11" t="s">
        <v>138</v>
      </c>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c r="AA72" s="173"/>
      <c r="AB72" s="173"/>
      <c r="AC72" s="173"/>
      <c r="AD72" s="173"/>
      <c r="AE72" s="173"/>
    </row>
    <row r="73">
      <c r="A73" s="97" t="s">
        <v>196</v>
      </c>
      <c r="B73" s="174" t="str">
        <f t="shared" ref="B73:AE73" si="11">B71</f>
        <v/>
      </c>
      <c r="C73" s="174" t="str">
        <f t="shared" si="11"/>
        <v/>
      </c>
      <c r="D73" s="174" t="str">
        <f t="shared" si="11"/>
        <v/>
      </c>
      <c r="E73" s="174" t="str">
        <f t="shared" si="11"/>
        <v/>
      </c>
      <c r="F73" s="174" t="str">
        <f t="shared" si="11"/>
        <v/>
      </c>
      <c r="G73" s="174">
        <f t="shared" si="11"/>
        <v>2</v>
      </c>
      <c r="H73" s="174">
        <f t="shared" si="11"/>
        <v>2</v>
      </c>
      <c r="I73" s="174">
        <f t="shared" si="11"/>
        <v>1</v>
      </c>
      <c r="J73" s="174">
        <f t="shared" si="11"/>
        <v>6</v>
      </c>
      <c r="K73" s="174">
        <f t="shared" si="11"/>
        <v>34</v>
      </c>
      <c r="L73" s="174">
        <f t="shared" si="11"/>
        <v>25</v>
      </c>
      <c r="M73" s="174">
        <f t="shared" si="11"/>
        <v>33</v>
      </c>
      <c r="N73" s="174">
        <f t="shared" si="11"/>
        <v>20</v>
      </c>
      <c r="O73" s="174">
        <f t="shared" si="11"/>
        <v>26</v>
      </c>
      <c r="P73" s="174">
        <f t="shared" si="11"/>
        <v>15</v>
      </c>
      <c r="Q73" s="174">
        <f t="shared" si="11"/>
        <v>7</v>
      </c>
      <c r="R73" s="174">
        <f t="shared" si="11"/>
        <v>21</v>
      </c>
      <c r="S73" s="174">
        <f t="shared" si="11"/>
        <v>12</v>
      </c>
      <c r="T73" s="174">
        <f t="shared" si="11"/>
        <v>32</v>
      </c>
      <c r="U73" s="174">
        <f t="shared" si="11"/>
        <v>23</v>
      </c>
      <c r="V73" s="174">
        <f t="shared" si="11"/>
        <v>16</v>
      </c>
      <c r="W73" s="174">
        <f t="shared" si="11"/>
        <v>38</v>
      </c>
      <c r="X73" s="174">
        <f t="shared" si="11"/>
        <v>54</v>
      </c>
      <c r="Y73" s="174">
        <f t="shared" si="11"/>
        <v>155</v>
      </c>
      <c r="Z73" s="174">
        <f t="shared" si="11"/>
        <v>50</v>
      </c>
      <c r="AA73" s="174">
        <f t="shared" si="11"/>
        <v>50</v>
      </c>
      <c r="AB73" s="174">
        <f t="shared" si="11"/>
        <v>288</v>
      </c>
      <c r="AC73" s="174">
        <f t="shared" si="11"/>
        <v>201</v>
      </c>
      <c r="AD73" s="174">
        <f t="shared" si="11"/>
        <v>206</v>
      </c>
      <c r="AE73" s="174">
        <f t="shared" si="11"/>
        <v>260</v>
      </c>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collapsed="1">
      <c r="A75" s="32" t="s">
        <v>206</v>
      </c>
      <c r="B75" s="178"/>
      <c r="C75" s="178"/>
      <c r="D75" s="178"/>
      <c r="E75" s="178"/>
      <c r="F75" s="179"/>
      <c r="G75" s="179"/>
      <c r="H75" s="179"/>
      <c r="I75" s="179"/>
      <c r="J75" s="179"/>
      <c r="K75" s="179"/>
      <c r="L75" s="179"/>
      <c r="M75" s="179"/>
      <c r="N75" s="179"/>
      <c r="O75" s="179"/>
      <c r="P75" s="179"/>
      <c r="Q75" s="179"/>
      <c r="R75" s="179"/>
      <c r="S75" s="179"/>
      <c r="T75" s="179"/>
      <c r="U75" s="179"/>
      <c r="V75" s="179"/>
      <c r="W75" s="179"/>
      <c r="X75" s="179"/>
      <c r="Y75" s="179"/>
      <c r="Z75" s="179"/>
      <c r="AA75" s="179"/>
      <c r="AB75" s="179"/>
      <c r="AC75" s="179"/>
      <c r="AD75" s="179"/>
      <c r="AE75" s="179"/>
    </row>
    <row r="76" hidden="1" outlineLevel="1">
      <c r="A76" s="57" t="s">
        <v>143</v>
      </c>
      <c r="B76" s="178">
        <f>'App - P&amp;L'!B17</f>
        <v>5</v>
      </c>
      <c r="C76" s="178">
        <f>'App - P&amp;L'!C17</f>
        <v>7</v>
      </c>
      <c r="D76" s="178">
        <f>'App - P&amp;L'!D17</f>
        <v>4</v>
      </c>
      <c r="E76" s="178">
        <f>'App - P&amp;L'!E17</f>
        <v>19</v>
      </c>
      <c r="F76" s="178">
        <f>'App - P&amp;L'!F17</f>
        <v>11</v>
      </c>
      <c r="G76" s="178">
        <f>'App - P&amp;L'!G17</f>
        <v>8</v>
      </c>
      <c r="H76" s="178">
        <f>'App - P&amp;L'!H17</f>
        <v>11</v>
      </c>
      <c r="I76" s="178">
        <f>'App - P&amp;L'!I17</f>
        <v>17</v>
      </c>
      <c r="J76" s="178">
        <f>'App - P&amp;L'!J17</f>
        <v>14</v>
      </c>
      <c r="K76" s="178">
        <f>'App - P&amp;L'!K17</f>
        <v>10</v>
      </c>
      <c r="L76" s="178">
        <f>'App - P&amp;L'!L17</f>
        <v>15</v>
      </c>
      <c r="M76" s="178">
        <f>'App - P&amp;L'!M17</f>
        <v>15</v>
      </c>
      <c r="N76" s="178">
        <f>'App - P&amp;L'!N17</f>
        <v>14</v>
      </c>
      <c r="O76" s="178">
        <f>'App - P&amp;L'!O17</f>
        <v>13</v>
      </c>
      <c r="P76" s="178">
        <f>'App - P&amp;L'!P17</f>
        <v>12</v>
      </c>
      <c r="Q76" s="178">
        <f>'App - P&amp;L'!Q17</f>
        <v>8</v>
      </c>
      <c r="R76" s="178">
        <f>'App - P&amp;L'!R17</f>
        <v>10</v>
      </c>
      <c r="S76" s="178">
        <f>'App - P&amp;L'!S17</f>
        <v>17</v>
      </c>
      <c r="T76" s="178">
        <f>'App - P&amp;L'!T17</f>
        <v>21</v>
      </c>
      <c r="U76" s="178">
        <f>'App - P&amp;L'!U17</f>
        <v>12</v>
      </c>
      <c r="V76" s="178">
        <f>'App - P&amp;L'!V17</f>
        <v>15</v>
      </c>
      <c r="W76" s="178">
        <f>'App - P&amp;L'!W17</f>
        <v>8</v>
      </c>
      <c r="X76" s="178">
        <f>'App - P&amp;L'!X17</f>
        <v>8</v>
      </c>
      <c r="Y76" s="178">
        <f>'App - P&amp;L'!Y17</f>
        <v>13</v>
      </c>
      <c r="Z76" s="178">
        <f>'App - P&amp;L'!Z17</f>
        <v>19</v>
      </c>
      <c r="AA76" s="178">
        <f>'App - P&amp;L'!AA17</f>
        <v>29</v>
      </c>
      <c r="AB76" s="178">
        <f>'App - P&amp;L'!AB17</f>
        <v>15</v>
      </c>
      <c r="AC76" s="178">
        <f>'App - P&amp;L'!AC17</f>
        <v>12</v>
      </c>
      <c r="AD76" s="178">
        <f>'App - P&amp;L'!AD17</f>
        <v>18</v>
      </c>
      <c r="AE76" s="178">
        <f>'App - P&amp;L'!AE17</f>
        <v>9</v>
      </c>
    </row>
    <row r="77" hidden="1" outlineLevel="1">
      <c r="A77" s="57" t="s">
        <v>149</v>
      </c>
      <c r="B77" s="178">
        <f>'App - P&amp;L'!B14</f>
        <v>25</v>
      </c>
      <c r="C77" s="178">
        <f>'App - P&amp;L'!C14</f>
        <v>35</v>
      </c>
      <c r="D77" s="178">
        <f>'App - P&amp;L'!D14</f>
        <v>36</v>
      </c>
      <c r="E77" s="178">
        <f>'App - P&amp;L'!E14</f>
        <v>70</v>
      </c>
      <c r="F77" s="178">
        <f>'App - P&amp;L'!F14</f>
        <v>70</v>
      </c>
      <c r="G77" s="178">
        <f>'App - P&amp;L'!G14</f>
        <v>49</v>
      </c>
      <c r="H77" s="178">
        <f>'App - P&amp;L'!H14</f>
        <v>43</v>
      </c>
      <c r="I77" s="178">
        <f>'App - P&amp;L'!I14</f>
        <v>52</v>
      </c>
      <c r="J77" s="178">
        <f>'App - P&amp;L'!J14</f>
        <v>51</v>
      </c>
      <c r="K77" s="178">
        <f>'App - P&amp;L'!K14</f>
        <v>53</v>
      </c>
      <c r="L77" s="178">
        <f>'App - P&amp;L'!L14</f>
        <v>65</v>
      </c>
      <c r="M77" s="178">
        <f>'App - P&amp;L'!M14</f>
        <v>87</v>
      </c>
      <c r="N77" s="178">
        <f>'App - P&amp;L'!N14</f>
        <v>38</v>
      </c>
      <c r="O77" s="178">
        <f>'App - P&amp;L'!O14</f>
        <v>43</v>
      </c>
      <c r="P77" s="178">
        <f>'App - P&amp;L'!P14</f>
        <v>44</v>
      </c>
      <c r="Q77" s="178">
        <f>'App - P&amp;L'!Q14</f>
        <v>47</v>
      </c>
      <c r="R77" s="178">
        <f>'App - P&amp;L'!R14</f>
        <v>50</v>
      </c>
      <c r="S77" s="178">
        <f>'App - P&amp;L'!S14</f>
        <v>59</v>
      </c>
      <c r="T77" s="178">
        <f>'App - P&amp;L'!T14</f>
        <v>68</v>
      </c>
      <c r="U77" s="178">
        <f>'App - P&amp;L'!U14</f>
        <v>37</v>
      </c>
      <c r="V77" s="178">
        <f>'App - P&amp;L'!V14</f>
        <v>38</v>
      </c>
      <c r="W77" s="178">
        <f>'App - P&amp;L'!W14</f>
        <v>32</v>
      </c>
      <c r="X77" s="178">
        <f>'App - P&amp;L'!X14</f>
        <v>39</v>
      </c>
      <c r="Y77" s="178">
        <f>'App - P&amp;L'!Y14</f>
        <v>54</v>
      </c>
      <c r="Z77" s="178">
        <f>'App - P&amp;L'!Z14</f>
        <v>76</v>
      </c>
      <c r="AA77" s="178">
        <f>'App - P&amp;L'!AA14</f>
        <v>91</v>
      </c>
      <c r="AB77" s="178">
        <f>'App - P&amp;L'!AB14</f>
        <v>45</v>
      </c>
      <c r="AC77" s="178">
        <f>'App - P&amp;L'!AC14</f>
        <v>53</v>
      </c>
      <c r="AD77" s="178">
        <f>'App - P&amp;L'!AD14</f>
        <v>50</v>
      </c>
      <c r="AE77" s="178">
        <f>'App - P&amp;L'!AE14</f>
        <v>74</v>
      </c>
    </row>
    <row r="78">
      <c r="A78" s="134" t="s">
        <v>196</v>
      </c>
      <c r="B78" s="97">
        <f t="shared" ref="B78:AE78" si="12">sum(B76:B77)</f>
        <v>30</v>
      </c>
      <c r="C78" s="97">
        <f t="shared" si="12"/>
        <v>42</v>
      </c>
      <c r="D78" s="97">
        <f t="shared" si="12"/>
        <v>40</v>
      </c>
      <c r="E78" s="97">
        <f t="shared" si="12"/>
        <v>89</v>
      </c>
      <c r="F78" s="97">
        <f t="shared" si="12"/>
        <v>81</v>
      </c>
      <c r="G78" s="97">
        <f t="shared" si="12"/>
        <v>57</v>
      </c>
      <c r="H78" s="97">
        <f t="shared" si="12"/>
        <v>54</v>
      </c>
      <c r="I78" s="97">
        <f t="shared" si="12"/>
        <v>69</v>
      </c>
      <c r="J78" s="97">
        <f t="shared" si="12"/>
        <v>65</v>
      </c>
      <c r="K78" s="97">
        <f t="shared" si="12"/>
        <v>63</v>
      </c>
      <c r="L78" s="97">
        <f t="shared" si="12"/>
        <v>80</v>
      </c>
      <c r="M78" s="97">
        <f t="shared" si="12"/>
        <v>102</v>
      </c>
      <c r="N78" s="97">
        <f t="shared" si="12"/>
        <v>52</v>
      </c>
      <c r="O78" s="97">
        <f t="shared" si="12"/>
        <v>56</v>
      </c>
      <c r="P78" s="97">
        <f t="shared" si="12"/>
        <v>56</v>
      </c>
      <c r="Q78" s="97">
        <f t="shared" si="12"/>
        <v>55</v>
      </c>
      <c r="R78" s="97">
        <f t="shared" si="12"/>
        <v>60</v>
      </c>
      <c r="S78" s="97">
        <f t="shared" si="12"/>
        <v>76</v>
      </c>
      <c r="T78" s="97">
        <f t="shared" si="12"/>
        <v>89</v>
      </c>
      <c r="U78" s="97">
        <f t="shared" si="12"/>
        <v>49</v>
      </c>
      <c r="V78" s="97">
        <f t="shared" si="12"/>
        <v>53</v>
      </c>
      <c r="W78" s="97">
        <f t="shared" si="12"/>
        <v>40</v>
      </c>
      <c r="X78" s="97">
        <f t="shared" si="12"/>
        <v>47</v>
      </c>
      <c r="Y78" s="97">
        <f t="shared" si="12"/>
        <v>67</v>
      </c>
      <c r="Z78" s="97">
        <f t="shared" si="12"/>
        <v>95</v>
      </c>
      <c r="AA78" s="97">
        <f t="shared" si="12"/>
        <v>120</v>
      </c>
      <c r="AB78" s="97">
        <f t="shared" si="12"/>
        <v>60</v>
      </c>
      <c r="AC78" s="97">
        <f t="shared" si="12"/>
        <v>65</v>
      </c>
      <c r="AD78" s="97">
        <f t="shared" si="12"/>
        <v>68</v>
      </c>
      <c r="AE78" s="97">
        <f t="shared" si="12"/>
        <v>83</v>
      </c>
    </row>
    <row r="79" collapsed="1">
      <c r="A79" s="186" t="s">
        <v>217</v>
      </c>
      <c r="B79" s="187">
        <v>30641.98</v>
      </c>
      <c r="C79" s="187">
        <f>27383.87</f>
        <v>27383.87</v>
      </c>
      <c r="D79" s="187">
        <f>29382.72</f>
        <v>29382.72</v>
      </c>
      <c r="E79" s="187">
        <f>26160.27</f>
        <v>26160.27</v>
      </c>
      <c r="F79" s="187">
        <f>26171.91</f>
        <v>26171.91</v>
      </c>
      <c r="G79" s="187">
        <f>27686.05</f>
        <v>27686.05</v>
      </c>
      <c r="H79" s="187">
        <f>24081.99</f>
        <v>24081.99</v>
      </c>
      <c r="I79" s="187">
        <f>30503</f>
        <v>30503</v>
      </c>
      <c r="J79" s="187">
        <f>35831.33</f>
        <v>35831.33</v>
      </c>
      <c r="K79" s="187">
        <f>32023.8</f>
        <v>32023.8</v>
      </c>
      <c r="L79" s="187">
        <f>24957.94</f>
        <v>24957.94</v>
      </c>
      <c r="M79" s="187">
        <f>27954.32</f>
        <v>27954.32</v>
      </c>
      <c r="N79" s="187">
        <f>25034.41</f>
        <v>25034.41</v>
      </c>
      <c r="O79" s="187">
        <f>25568.69</f>
        <v>25568.69</v>
      </c>
      <c r="P79" s="187">
        <f>28004.97</f>
        <v>28004.97</v>
      </c>
      <c r="Q79" s="187">
        <f>25998.76</f>
        <v>25998.76</v>
      </c>
      <c r="R79" s="187">
        <f>21968.55</f>
        <v>21968.55</v>
      </c>
      <c r="S79" s="187">
        <f>24028.71</f>
        <v>24028.71</v>
      </c>
      <c r="T79" s="187">
        <f>27684.62</f>
        <v>27684.62</v>
      </c>
      <c r="U79" s="187">
        <f>31275.04</f>
        <v>31275.04</v>
      </c>
      <c r="V79" s="187">
        <f>34520.65</f>
        <v>34520.65</v>
      </c>
      <c r="W79" s="187">
        <f>41565.6</f>
        <v>41565.6</v>
      </c>
      <c r="X79" s="187">
        <f>76989.74</f>
        <v>76989.74</v>
      </c>
      <c r="Y79" s="187">
        <f>263335.22+220.38</f>
        <v>263555.6</v>
      </c>
      <c r="Z79" s="187">
        <f>21884.46+64125.35</f>
        <v>86009.81</v>
      </c>
      <c r="AA79" s="187">
        <f>83573.91+863.99</f>
        <v>84437.9</v>
      </c>
      <c r="AB79" s="187">
        <v>103091.38</v>
      </c>
      <c r="AC79" s="187">
        <v>76268.26</v>
      </c>
      <c r="AD79" s="187">
        <v>26961.65</v>
      </c>
      <c r="AE79" s="187">
        <v>12457.27</v>
      </c>
    </row>
    <row r="80" hidden="1" outlineLevel="1">
      <c r="A80" s="191" t="s">
        <v>219</v>
      </c>
      <c r="B80" s="193">
        <v>1.0585</v>
      </c>
      <c r="C80" s="193">
        <v>1.0616</v>
      </c>
      <c r="D80" s="193">
        <v>1.0736</v>
      </c>
      <c r="E80" s="193">
        <v>1.0736</v>
      </c>
      <c r="F80" s="193">
        <v>1.0732</v>
      </c>
      <c r="G80" s="193">
        <v>1.0719</v>
      </c>
      <c r="H80" s="193">
        <v>1.0697</v>
      </c>
      <c r="I80" s="193">
        <v>1.071</v>
      </c>
      <c r="J80" s="193">
        <v>1.0667</v>
      </c>
      <c r="K80" s="193">
        <v>1.0716</v>
      </c>
      <c r="L80" s="193">
        <v>1.0698</v>
      </c>
      <c r="M80" s="193">
        <v>1.069</v>
      </c>
      <c r="N80" s="193">
        <v>1.0701</v>
      </c>
      <c r="O80" s="193">
        <v>1.0879</v>
      </c>
      <c r="P80" s="193">
        <v>1.0853</v>
      </c>
      <c r="Q80" s="193">
        <v>1.0853</v>
      </c>
      <c r="R80" s="193">
        <v>1.0918</v>
      </c>
      <c r="S80" s="193">
        <v>1.0918</v>
      </c>
      <c r="T80" s="193">
        <v>1.0907</v>
      </c>
      <c r="U80" s="193">
        <v>1.0946</v>
      </c>
      <c r="V80" s="196">
        <v>1.0916</v>
      </c>
      <c r="W80" s="196">
        <v>1.0887</v>
      </c>
      <c r="X80" s="196">
        <v>1.0905</v>
      </c>
      <c r="Y80" s="196">
        <v>1.0946</v>
      </c>
      <c r="Z80" s="196">
        <v>1.0946</v>
      </c>
      <c r="AA80" s="196">
        <v>1.094</v>
      </c>
      <c r="AB80" s="196">
        <v>1.0958</v>
      </c>
      <c r="AC80" s="196">
        <v>1.1004</v>
      </c>
      <c r="AD80" s="196">
        <v>1.0973</v>
      </c>
      <c r="AE80" s="196">
        <v>1.0895</v>
      </c>
    </row>
    <row r="81">
      <c r="A81" s="45" t="s">
        <v>220</v>
      </c>
      <c r="B81" s="35">
        <f t="shared" ref="B81:AE81" si="13">B79*B80</f>
        <v>32434.53583</v>
      </c>
      <c r="C81" s="35">
        <f t="shared" si="13"/>
        <v>29070.71639</v>
      </c>
      <c r="D81" s="35">
        <f t="shared" si="13"/>
        <v>31545.28819</v>
      </c>
      <c r="E81" s="35">
        <f t="shared" si="13"/>
        <v>28085.66587</v>
      </c>
      <c r="F81" s="35">
        <f t="shared" si="13"/>
        <v>28087.69381</v>
      </c>
      <c r="G81" s="35">
        <f t="shared" si="13"/>
        <v>29676.677</v>
      </c>
      <c r="H81" s="35">
        <f t="shared" si="13"/>
        <v>25760.5047</v>
      </c>
      <c r="I81" s="35">
        <f t="shared" si="13"/>
        <v>32668.713</v>
      </c>
      <c r="J81" s="35">
        <f t="shared" si="13"/>
        <v>38221.27971</v>
      </c>
      <c r="K81" s="35">
        <f t="shared" si="13"/>
        <v>34316.70408</v>
      </c>
      <c r="L81" s="35">
        <f t="shared" si="13"/>
        <v>26700.00421</v>
      </c>
      <c r="M81" s="35">
        <f t="shared" si="13"/>
        <v>29883.16808</v>
      </c>
      <c r="N81" s="35">
        <f t="shared" si="13"/>
        <v>26789.32214</v>
      </c>
      <c r="O81" s="35">
        <f t="shared" si="13"/>
        <v>27816.17785</v>
      </c>
      <c r="P81" s="35">
        <f t="shared" si="13"/>
        <v>30393.79394</v>
      </c>
      <c r="Q81" s="35">
        <f t="shared" si="13"/>
        <v>28216.45423</v>
      </c>
      <c r="R81" s="35">
        <f t="shared" si="13"/>
        <v>23985.26289</v>
      </c>
      <c r="S81" s="35">
        <f t="shared" si="13"/>
        <v>26234.54558</v>
      </c>
      <c r="T81" s="35">
        <f t="shared" si="13"/>
        <v>30195.61503</v>
      </c>
      <c r="U81" s="35">
        <f t="shared" si="13"/>
        <v>34233.65878</v>
      </c>
      <c r="V81" s="35">
        <f t="shared" si="13"/>
        <v>37682.74154</v>
      </c>
      <c r="W81" s="35">
        <f t="shared" si="13"/>
        <v>45252.46872</v>
      </c>
      <c r="X81" s="35">
        <f t="shared" si="13"/>
        <v>83957.31147</v>
      </c>
      <c r="Y81" s="199">
        <f t="shared" si="13"/>
        <v>288487.9598</v>
      </c>
      <c r="Z81" s="35">
        <f t="shared" si="13"/>
        <v>94146.33803</v>
      </c>
      <c r="AA81" s="35">
        <f t="shared" si="13"/>
        <v>92375.0626</v>
      </c>
      <c r="AB81" s="35">
        <f t="shared" si="13"/>
        <v>112967.5342</v>
      </c>
      <c r="AC81" s="35">
        <f t="shared" si="13"/>
        <v>83925.5933</v>
      </c>
      <c r="AD81" s="35">
        <f t="shared" si="13"/>
        <v>29585.01855</v>
      </c>
      <c r="AE81" s="35">
        <f t="shared" si="13"/>
        <v>13572.19567</v>
      </c>
    </row>
    <row r="82">
      <c r="A82" s="45" t="s">
        <v>222</v>
      </c>
      <c r="B82" s="35">
        <v>4770.48</v>
      </c>
      <c r="C82" s="35">
        <v>5351.07</v>
      </c>
      <c r="D82" s="35">
        <v>6050.06</v>
      </c>
      <c r="E82" s="35">
        <v>7040.29</v>
      </c>
      <c r="F82" s="35">
        <v>8856.02</v>
      </c>
      <c r="G82" s="35">
        <v>8610.7</v>
      </c>
      <c r="H82" s="38">
        <v>7930.14</v>
      </c>
      <c r="I82" s="38">
        <v>8941.43</v>
      </c>
      <c r="J82" s="38">
        <v>10391.03</v>
      </c>
      <c r="K82" s="38">
        <v>10980.77</v>
      </c>
      <c r="L82" s="38">
        <v>9973.07</v>
      </c>
      <c r="M82" s="38">
        <v>7716.96</v>
      </c>
      <c r="N82" s="38">
        <v>8350.01</v>
      </c>
      <c r="O82" s="38">
        <v>7527.11</v>
      </c>
      <c r="P82" s="38">
        <v>7388.62</v>
      </c>
      <c r="Q82" s="38">
        <v>8231.69</v>
      </c>
      <c r="R82" s="38">
        <v>9096.16</v>
      </c>
      <c r="S82" s="38">
        <v>9471.16</v>
      </c>
      <c r="T82" s="38">
        <v>10530.29</v>
      </c>
      <c r="U82" s="38">
        <v>10231.9</v>
      </c>
      <c r="V82" s="38">
        <v>10648.45</v>
      </c>
      <c r="W82" s="38">
        <v>9893.12</v>
      </c>
      <c r="X82" s="38">
        <v>16738.54</v>
      </c>
      <c r="Y82" s="38">
        <v>21372.09</v>
      </c>
      <c r="Z82" s="38">
        <v>19592.41</v>
      </c>
      <c r="AA82" s="38">
        <v>17201.25</v>
      </c>
      <c r="AB82" s="38">
        <v>18167.84</v>
      </c>
      <c r="AC82" s="38">
        <v>16152.17</v>
      </c>
      <c r="AD82" s="38">
        <v>7994.65</v>
      </c>
      <c r="AE82" s="38">
        <v>5438.57</v>
      </c>
    </row>
    <row r="83">
      <c r="A83" s="45" t="s">
        <v>224</v>
      </c>
      <c r="B83" s="35">
        <v>239.79</v>
      </c>
      <c r="C83" s="35">
        <v>254.86</v>
      </c>
      <c r="D83" s="35">
        <v>278.94</v>
      </c>
      <c r="E83" s="35">
        <v>309.46</v>
      </c>
      <c r="F83" s="35">
        <v>254.73</v>
      </c>
      <c r="G83" s="35">
        <v>398.68</v>
      </c>
      <c r="H83" s="38">
        <v>376.76</v>
      </c>
      <c r="I83" s="38">
        <v>415.9</v>
      </c>
      <c r="J83" s="38">
        <v>424.32</v>
      </c>
      <c r="K83" s="38">
        <v>415.8</v>
      </c>
      <c r="L83" s="38">
        <v>349.18</v>
      </c>
      <c r="M83" s="38">
        <v>382.43</v>
      </c>
      <c r="N83" s="38">
        <v>360.89</v>
      </c>
      <c r="O83" s="38">
        <v>422.46</v>
      </c>
      <c r="P83" s="38">
        <v>427.45</v>
      </c>
      <c r="Q83" s="38">
        <v>433.39</v>
      </c>
      <c r="R83" s="38">
        <v>432.25</v>
      </c>
      <c r="S83" s="38">
        <v>360.46</v>
      </c>
      <c r="T83" s="38">
        <v>428.39</v>
      </c>
      <c r="U83" s="38">
        <v>429.17</v>
      </c>
      <c r="V83" s="38">
        <v>430.31</v>
      </c>
      <c r="W83" s="38">
        <v>430.8</v>
      </c>
      <c r="X83" s="38">
        <v>472.05</v>
      </c>
      <c r="Y83" s="38">
        <v>578.08</v>
      </c>
      <c r="Z83" s="38">
        <v>467.09</v>
      </c>
      <c r="AA83" s="38">
        <v>602.67</v>
      </c>
      <c r="AB83" s="38">
        <v>633.77</v>
      </c>
      <c r="AC83" s="38">
        <v>630.56</v>
      </c>
      <c r="AD83" s="38">
        <v>508.16</v>
      </c>
      <c r="AE83" s="38">
        <v>348.29</v>
      </c>
    </row>
    <row r="84">
      <c r="A84" s="45" t="s">
        <v>226</v>
      </c>
      <c r="B84" s="35">
        <v>0.0</v>
      </c>
      <c r="C84" s="35">
        <v>0.0</v>
      </c>
      <c r="D84" s="35">
        <v>0.0</v>
      </c>
      <c r="E84" s="35">
        <v>0.0</v>
      </c>
      <c r="F84" s="35">
        <v>0.0</v>
      </c>
      <c r="G84" s="35">
        <v>0.0</v>
      </c>
      <c r="H84" s="38">
        <v>0.0</v>
      </c>
      <c r="I84" s="38">
        <v>0.0</v>
      </c>
      <c r="J84" s="38">
        <v>0.0</v>
      </c>
      <c r="K84" s="38">
        <v>0.0</v>
      </c>
      <c r="L84" s="38">
        <v>0.0</v>
      </c>
      <c r="M84" s="38">
        <v>0.0</v>
      </c>
      <c r="N84" s="38">
        <v>0.0</v>
      </c>
      <c r="O84" s="38">
        <v>0.0</v>
      </c>
      <c r="P84" s="38">
        <v>159.15</v>
      </c>
      <c r="Q84" s="38">
        <v>400.43</v>
      </c>
      <c r="R84" s="38">
        <v>189.07</v>
      </c>
      <c r="S84" s="38">
        <v>0.0</v>
      </c>
      <c r="T84" s="38">
        <v>0.0</v>
      </c>
      <c r="U84" s="38">
        <v>0.0</v>
      </c>
      <c r="V84" s="38">
        <v>0.0</v>
      </c>
      <c r="W84" s="38">
        <v>0.0</v>
      </c>
      <c r="X84" s="38">
        <v>0.0</v>
      </c>
      <c r="Y84" s="38">
        <v>0.0</v>
      </c>
      <c r="Z84" s="38">
        <v>0.0</v>
      </c>
      <c r="AA84" s="38">
        <v>0.0</v>
      </c>
      <c r="AB84" s="38">
        <v>0.0</v>
      </c>
      <c r="AC84" s="38">
        <v>0.0</v>
      </c>
      <c r="AD84" s="38">
        <v>0.0</v>
      </c>
      <c r="AE84" s="38">
        <v>0.0</v>
      </c>
    </row>
    <row r="85">
      <c r="A85" s="45" t="s">
        <v>113</v>
      </c>
      <c r="B85" s="35">
        <v>3233.72</v>
      </c>
      <c r="C85" s="34">
        <v>3207.21</v>
      </c>
      <c r="D85" s="35">
        <v>3213.69</v>
      </c>
      <c r="E85" s="35">
        <v>4807.14</v>
      </c>
      <c r="F85" s="35">
        <v>5368.78</v>
      </c>
      <c r="G85" s="35">
        <v>3970.36</v>
      </c>
      <c r="H85" s="38">
        <v>3978.92</v>
      </c>
      <c r="I85" s="38">
        <v>2768.25</v>
      </c>
      <c r="J85" s="38">
        <v>4407.86</v>
      </c>
      <c r="K85" s="38">
        <v>4898.09</v>
      </c>
      <c r="L85" s="38">
        <v>6117.76</v>
      </c>
      <c r="M85" s="38">
        <v>7242.64</v>
      </c>
      <c r="N85" s="38">
        <v>5702.9</v>
      </c>
      <c r="O85" s="38">
        <v>6085.6</v>
      </c>
      <c r="P85" s="38">
        <v>6488.79</v>
      </c>
      <c r="Q85" s="38">
        <v>7566.72</v>
      </c>
      <c r="R85" s="38">
        <v>9338.68</v>
      </c>
      <c r="S85" s="38">
        <v>11591.54</v>
      </c>
      <c r="T85" s="38">
        <v>11090.34</v>
      </c>
      <c r="U85" s="38">
        <v>17470.42</v>
      </c>
      <c r="V85" s="38">
        <v>19951.33</v>
      </c>
      <c r="W85" s="38">
        <v>22610.15</v>
      </c>
      <c r="X85" s="38">
        <v>28585.82</v>
      </c>
      <c r="Y85" s="38">
        <v>64437.46</v>
      </c>
      <c r="Z85" s="38">
        <v>37785.34</v>
      </c>
      <c r="AA85" s="38">
        <v>37554.44</v>
      </c>
      <c r="AB85" s="38">
        <v>3641.98</v>
      </c>
      <c r="AC85" s="38">
        <v>0.0</v>
      </c>
      <c r="AD85" s="38">
        <v>0.0</v>
      </c>
      <c r="AE85" s="38">
        <v>433.94</v>
      </c>
    </row>
    <row r="86">
      <c r="A86" s="45" t="s">
        <v>228</v>
      </c>
      <c r="B86" s="35">
        <v>0.0</v>
      </c>
      <c r="C86" s="35">
        <v>0.0</v>
      </c>
      <c r="D86" s="35">
        <v>0.0</v>
      </c>
      <c r="E86" s="35">
        <v>0.0</v>
      </c>
      <c r="F86" s="35">
        <v>0.0</v>
      </c>
      <c r="G86" s="35">
        <v>0.0</v>
      </c>
      <c r="H86" s="38">
        <v>0.0</v>
      </c>
      <c r="I86" s="38">
        <v>0.0</v>
      </c>
      <c r="J86" s="38">
        <v>0.0</v>
      </c>
      <c r="K86" s="38">
        <v>0.0</v>
      </c>
      <c r="L86" s="38">
        <v>0.0</v>
      </c>
      <c r="M86" s="38">
        <v>0.0</v>
      </c>
      <c r="N86" s="38">
        <v>0.0</v>
      </c>
      <c r="O86" s="38">
        <v>0.0</v>
      </c>
      <c r="P86" s="38">
        <v>0.0</v>
      </c>
      <c r="Q86" s="38">
        <v>0.0</v>
      </c>
      <c r="R86" s="38">
        <v>192.23</v>
      </c>
      <c r="S86" s="38">
        <v>303.11</v>
      </c>
      <c r="T86" s="38">
        <v>300.88</v>
      </c>
      <c r="U86" s="202">
        <v>660.39</v>
      </c>
      <c r="V86" s="202">
        <v>481.73</v>
      </c>
      <c r="W86" s="202">
        <v>187.74</v>
      </c>
      <c r="X86" s="202">
        <v>143.11</v>
      </c>
      <c r="Y86" s="202">
        <v>57.99</v>
      </c>
      <c r="Z86" s="38">
        <v>136.47</v>
      </c>
      <c r="AA86" s="202">
        <v>705.4</v>
      </c>
      <c r="AB86" s="202">
        <v>834.58</v>
      </c>
      <c r="AC86" s="202">
        <v>0.0</v>
      </c>
      <c r="AD86" s="38">
        <v>0.0</v>
      </c>
      <c r="AE86" s="38">
        <v>0.0</v>
      </c>
    </row>
    <row r="87">
      <c r="A87" s="45" t="s">
        <v>231</v>
      </c>
      <c r="B87" s="35">
        <v>0.0</v>
      </c>
      <c r="C87" s="35">
        <v>0.0</v>
      </c>
      <c r="D87" s="35">
        <v>0.0</v>
      </c>
      <c r="E87" s="35">
        <v>0.0</v>
      </c>
      <c r="F87" s="35">
        <v>0.0</v>
      </c>
      <c r="G87" s="35">
        <v>0.0</v>
      </c>
      <c r="H87" s="38">
        <v>0.0</v>
      </c>
      <c r="I87" s="38">
        <v>0.0</v>
      </c>
      <c r="J87" s="38">
        <v>0.0</v>
      </c>
      <c r="K87" s="38">
        <v>0.0</v>
      </c>
      <c r="L87" s="38">
        <v>0.0</v>
      </c>
      <c r="M87" s="38">
        <v>0.0</v>
      </c>
      <c r="N87" s="38">
        <v>0.0</v>
      </c>
      <c r="O87" s="38">
        <v>0.0</v>
      </c>
      <c r="P87" s="38">
        <v>0.0</v>
      </c>
      <c r="Q87" s="38">
        <v>0.0</v>
      </c>
      <c r="R87" s="38">
        <v>0.0</v>
      </c>
      <c r="S87" s="38">
        <v>0.0</v>
      </c>
      <c r="T87" s="38">
        <v>0.0</v>
      </c>
      <c r="U87" s="38">
        <v>0.0</v>
      </c>
      <c r="V87" s="38">
        <v>0.0</v>
      </c>
      <c r="W87" s="38">
        <v>0.0</v>
      </c>
      <c r="X87" s="38">
        <v>0.0</v>
      </c>
      <c r="Y87" s="38">
        <v>0.0</v>
      </c>
      <c r="Z87" s="38">
        <v>0.0</v>
      </c>
      <c r="AA87" s="38">
        <v>0.0</v>
      </c>
      <c r="AB87" s="38">
        <v>0.0</v>
      </c>
      <c r="AC87" s="38">
        <v>0.0</v>
      </c>
      <c r="AD87" s="38">
        <v>0.0</v>
      </c>
      <c r="AE87" s="38">
        <v>0.0</v>
      </c>
    </row>
    <row r="88">
      <c r="A88" s="45" t="s">
        <v>234</v>
      </c>
      <c r="B88" s="35">
        <v>162.71</v>
      </c>
      <c r="C88" s="35">
        <v>61.0</v>
      </c>
      <c r="D88" s="35">
        <v>0.0</v>
      </c>
      <c r="E88" s="35">
        <v>4255.588</v>
      </c>
      <c r="F88" s="38">
        <v>2292.9359999999997</v>
      </c>
      <c r="G88" s="38">
        <v>63.09</v>
      </c>
      <c r="H88" s="38">
        <v>86.6</v>
      </c>
      <c r="I88" s="38">
        <v>0.0</v>
      </c>
      <c r="J88" s="38">
        <v>0.0</v>
      </c>
      <c r="K88" s="38">
        <v>99.96</v>
      </c>
      <c r="L88" s="38">
        <v>0.0</v>
      </c>
      <c r="M88" s="38">
        <v>324.88</v>
      </c>
      <c r="N88" s="38">
        <v>97.43</v>
      </c>
      <c r="O88" s="38">
        <v>100.64</v>
      </c>
      <c r="P88" s="38">
        <v>55.28</v>
      </c>
      <c r="Q88" s="38">
        <v>0.0</v>
      </c>
      <c r="R88" s="38">
        <v>105.32</v>
      </c>
      <c r="S88" s="38">
        <v>0.0</v>
      </c>
      <c r="T88" s="38">
        <v>0.0</v>
      </c>
      <c r="U88" s="38">
        <v>0.0</v>
      </c>
      <c r="V88" s="38">
        <v>32.38</v>
      </c>
      <c r="W88" s="38">
        <v>105.6</v>
      </c>
      <c r="X88" s="38">
        <v>266.9</v>
      </c>
      <c r="Y88" s="38">
        <v>94.59</v>
      </c>
      <c r="Z88" s="38">
        <v>123.15</v>
      </c>
      <c r="AA88" s="38">
        <v>106.16</v>
      </c>
      <c r="AB88" s="38">
        <v>497.95</v>
      </c>
      <c r="AC88" s="38">
        <v>377.37</v>
      </c>
      <c r="AD88" s="38">
        <v>68.6</v>
      </c>
      <c r="AE88" s="38">
        <v>13.6</v>
      </c>
    </row>
    <row r="89">
      <c r="A89" s="45" t="s">
        <v>236</v>
      </c>
      <c r="B89" s="35">
        <f t="shared" ref="B89:AE89" si="14">B22*0.2</f>
        <v>42.24372</v>
      </c>
      <c r="C89" s="35">
        <f t="shared" si="14"/>
        <v>0</v>
      </c>
      <c r="D89" s="35">
        <f t="shared" si="14"/>
        <v>0</v>
      </c>
      <c r="E89" s="35">
        <f t="shared" si="14"/>
        <v>4343.100204</v>
      </c>
      <c r="F89" s="35">
        <f t="shared" si="14"/>
        <v>2165.181702</v>
      </c>
      <c r="G89" s="35">
        <f t="shared" si="14"/>
        <v>9412.17678</v>
      </c>
      <c r="H89" s="35">
        <f t="shared" si="14"/>
        <v>1311.845821</v>
      </c>
      <c r="I89" s="35">
        <f t="shared" si="14"/>
        <v>50.9450772</v>
      </c>
      <c r="J89" s="35">
        <f t="shared" si="14"/>
        <v>560.4000948</v>
      </c>
      <c r="K89" s="35">
        <f t="shared" si="14"/>
        <v>191.0456316</v>
      </c>
      <c r="L89" s="35">
        <f t="shared" si="14"/>
        <v>191.0456316</v>
      </c>
      <c r="M89" s="35">
        <f t="shared" si="14"/>
        <v>254.7275088</v>
      </c>
      <c r="N89" s="35">
        <f t="shared" si="14"/>
        <v>254.7275088</v>
      </c>
      <c r="O89" s="35">
        <f t="shared" si="14"/>
        <v>63.6818772</v>
      </c>
      <c r="P89" s="35">
        <f t="shared" si="14"/>
        <v>420.2995404</v>
      </c>
      <c r="Q89" s="35">
        <f t="shared" si="14"/>
        <v>2216.128902</v>
      </c>
      <c r="R89" s="35">
        <f t="shared" si="14"/>
        <v>369.3544632</v>
      </c>
      <c r="S89" s="35">
        <f t="shared" si="14"/>
        <v>445.7731404</v>
      </c>
      <c r="T89" s="35">
        <f t="shared" si="14"/>
        <v>445.7731404</v>
      </c>
      <c r="U89" s="35">
        <f t="shared" si="14"/>
        <v>496.7182176</v>
      </c>
      <c r="V89" s="35">
        <f t="shared" si="14"/>
        <v>509.4550176</v>
      </c>
      <c r="W89" s="35">
        <f t="shared" si="14"/>
        <v>509.4550176</v>
      </c>
      <c r="X89" s="35">
        <f t="shared" si="14"/>
        <v>929.754558</v>
      </c>
      <c r="Y89" s="35">
        <f t="shared" si="14"/>
        <v>1108.06339</v>
      </c>
      <c r="Z89" s="35">
        <f t="shared" si="14"/>
        <v>178.3088316</v>
      </c>
      <c r="AA89" s="35">
        <f t="shared" si="14"/>
        <v>3222.300014</v>
      </c>
      <c r="AB89" s="35">
        <f t="shared" si="14"/>
        <v>5451.165716</v>
      </c>
      <c r="AC89" s="35">
        <f t="shared" si="14"/>
        <v>2076.028348</v>
      </c>
      <c r="AD89" s="35">
        <f t="shared" si="14"/>
        <v>241.9907088</v>
      </c>
      <c r="AE89" s="35">
        <f t="shared" si="14"/>
        <v>178.3088316</v>
      </c>
    </row>
    <row r="90">
      <c r="A90" s="45" t="s">
        <v>238</v>
      </c>
      <c r="B90" s="203">
        <f t="shared" ref="B90:AE90" si="15">B26*0.15</f>
        <v>0</v>
      </c>
      <c r="C90" s="203">
        <f t="shared" si="15"/>
        <v>0</v>
      </c>
      <c r="D90" s="203">
        <f t="shared" si="15"/>
        <v>0</v>
      </c>
      <c r="E90" s="203">
        <f t="shared" si="15"/>
        <v>0</v>
      </c>
      <c r="F90" s="203">
        <f t="shared" si="15"/>
        <v>0</v>
      </c>
      <c r="G90" s="203">
        <f t="shared" si="15"/>
        <v>0</v>
      </c>
      <c r="H90" s="203">
        <f t="shared" si="15"/>
        <v>0</v>
      </c>
      <c r="I90" s="203">
        <f t="shared" si="15"/>
        <v>0</v>
      </c>
      <c r="J90" s="203">
        <f t="shared" si="15"/>
        <v>0</v>
      </c>
      <c r="K90" s="203">
        <f t="shared" si="15"/>
        <v>0</v>
      </c>
      <c r="L90" s="203">
        <f t="shared" si="15"/>
        <v>0</v>
      </c>
      <c r="M90" s="203">
        <f t="shared" si="15"/>
        <v>0</v>
      </c>
      <c r="N90" s="203">
        <f t="shared" si="15"/>
        <v>0</v>
      </c>
      <c r="O90" s="203">
        <f t="shared" si="15"/>
        <v>0</v>
      </c>
      <c r="P90" s="203">
        <f t="shared" si="15"/>
        <v>0</v>
      </c>
      <c r="Q90" s="203">
        <f t="shared" si="15"/>
        <v>0</v>
      </c>
      <c r="R90" s="203">
        <f t="shared" si="15"/>
        <v>0</v>
      </c>
      <c r="S90" s="203">
        <f t="shared" si="15"/>
        <v>0</v>
      </c>
      <c r="T90" s="203">
        <f t="shared" si="15"/>
        <v>0</v>
      </c>
      <c r="U90" s="203">
        <f t="shared" si="15"/>
        <v>0</v>
      </c>
      <c r="V90" s="203">
        <f t="shared" si="15"/>
        <v>0</v>
      </c>
      <c r="W90" s="203">
        <f t="shared" si="15"/>
        <v>0</v>
      </c>
      <c r="X90" s="203">
        <f t="shared" si="15"/>
        <v>0</v>
      </c>
      <c r="Y90" s="203">
        <f t="shared" si="15"/>
        <v>0</v>
      </c>
      <c r="Z90" s="203">
        <f t="shared" si="15"/>
        <v>0</v>
      </c>
      <c r="AA90" s="203">
        <f t="shared" si="15"/>
        <v>0</v>
      </c>
      <c r="AB90" s="203">
        <f t="shared" si="15"/>
        <v>0</v>
      </c>
      <c r="AC90" s="203">
        <f t="shared" si="15"/>
        <v>0</v>
      </c>
      <c r="AD90" s="203">
        <f t="shared" si="15"/>
        <v>0</v>
      </c>
      <c r="AE90" s="203">
        <f t="shared" si="15"/>
        <v>0</v>
      </c>
    </row>
    <row r="91">
      <c r="A91" s="206" t="s">
        <v>240</v>
      </c>
      <c r="B91" s="207">
        <f t="shared" ref="B91:AE91" si="16">B81+B82+B83+B84+B86+B88</f>
        <v>37607.51583</v>
      </c>
      <c r="C91" s="207">
        <f t="shared" si="16"/>
        <v>34737.64639</v>
      </c>
      <c r="D91" s="207">
        <f t="shared" si="16"/>
        <v>37874.28819</v>
      </c>
      <c r="E91" s="207">
        <f t="shared" si="16"/>
        <v>39691.00387</v>
      </c>
      <c r="F91" s="207">
        <f t="shared" si="16"/>
        <v>39491.37981</v>
      </c>
      <c r="G91" s="207">
        <f t="shared" si="16"/>
        <v>38749.147</v>
      </c>
      <c r="H91" s="207">
        <f t="shared" si="16"/>
        <v>34154.0047</v>
      </c>
      <c r="I91" s="207">
        <f t="shared" si="16"/>
        <v>42026.043</v>
      </c>
      <c r="J91" s="207">
        <f t="shared" si="16"/>
        <v>49036.62971</v>
      </c>
      <c r="K91" s="207">
        <f t="shared" si="16"/>
        <v>45813.23408</v>
      </c>
      <c r="L91" s="207">
        <f t="shared" si="16"/>
        <v>37022.25421</v>
      </c>
      <c r="M91" s="207">
        <f t="shared" si="16"/>
        <v>38307.43808</v>
      </c>
      <c r="N91" s="207">
        <f t="shared" si="16"/>
        <v>35597.65214</v>
      </c>
      <c r="O91" s="207">
        <f t="shared" si="16"/>
        <v>35866.38785</v>
      </c>
      <c r="P91" s="207">
        <f t="shared" si="16"/>
        <v>38424.29394</v>
      </c>
      <c r="Q91" s="207">
        <f t="shared" si="16"/>
        <v>37281.96423</v>
      </c>
      <c r="R91" s="207">
        <f t="shared" si="16"/>
        <v>34000.29289</v>
      </c>
      <c r="S91" s="207">
        <f t="shared" si="16"/>
        <v>36369.27558</v>
      </c>
      <c r="T91" s="207">
        <f t="shared" si="16"/>
        <v>41455.17503</v>
      </c>
      <c r="U91" s="207">
        <f t="shared" si="16"/>
        <v>45555.11878</v>
      </c>
      <c r="V91" s="207">
        <f t="shared" si="16"/>
        <v>49275.61154</v>
      </c>
      <c r="W91" s="207">
        <f t="shared" si="16"/>
        <v>55869.72872</v>
      </c>
      <c r="X91" s="207">
        <f t="shared" si="16"/>
        <v>101577.9115</v>
      </c>
      <c r="Y91" s="207">
        <f t="shared" si="16"/>
        <v>310590.7098</v>
      </c>
      <c r="Z91" s="207">
        <f t="shared" si="16"/>
        <v>114465.458</v>
      </c>
      <c r="AA91" s="207">
        <f t="shared" si="16"/>
        <v>110990.5426</v>
      </c>
      <c r="AB91" s="207">
        <f t="shared" si="16"/>
        <v>133101.6742</v>
      </c>
      <c r="AC91" s="207">
        <f t="shared" si="16"/>
        <v>101085.6933</v>
      </c>
      <c r="AD91" s="207">
        <f t="shared" si="16"/>
        <v>38156.42855</v>
      </c>
      <c r="AE91" s="207">
        <f t="shared" si="16"/>
        <v>19372.65567</v>
      </c>
    </row>
    <row r="92">
      <c r="A92" s="210" t="s">
        <v>242</v>
      </c>
      <c r="B92" s="212">
        <f t="shared" ref="B92:AE92" si="17">SUM(B81:B90)</f>
        <v>40883.47955</v>
      </c>
      <c r="C92" s="212">
        <f t="shared" si="17"/>
        <v>37944.85639</v>
      </c>
      <c r="D92" s="212">
        <f t="shared" si="17"/>
        <v>41087.97819</v>
      </c>
      <c r="E92" s="212">
        <f t="shared" si="17"/>
        <v>48841.24408</v>
      </c>
      <c r="F92" s="212">
        <f t="shared" si="17"/>
        <v>47025.34151</v>
      </c>
      <c r="G92" s="212">
        <f t="shared" si="17"/>
        <v>52131.68378</v>
      </c>
      <c r="H92" s="212">
        <f t="shared" si="17"/>
        <v>39444.77052</v>
      </c>
      <c r="I92" s="212">
        <f t="shared" si="17"/>
        <v>44845.23808</v>
      </c>
      <c r="J92" s="212">
        <f t="shared" si="17"/>
        <v>54004.88981</v>
      </c>
      <c r="K92" s="212">
        <f t="shared" si="17"/>
        <v>50902.36971</v>
      </c>
      <c r="L92" s="212">
        <f t="shared" si="17"/>
        <v>43331.05984</v>
      </c>
      <c r="M92" s="212">
        <f t="shared" si="17"/>
        <v>45804.80559</v>
      </c>
      <c r="N92" s="212">
        <f t="shared" si="17"/>
        <v>41555.27965</v>
      </c>
      <c r="O92" s="212">
        <f t="shared" si="17"/>
        <v>42015.66973</v>
      </c>
      <c r="P92" s="212">
        <f t="shared" si="17"/>
        <v>45333.38348</v>
      </c>
      <c r="Q92" s="212">
        <f t="shared" si="17"/>
        <v>47064.81313</v>
      </c>
      <c r="R92" s="212">
        <f t="shared" si="17"/>
        <v>43708.32735</v>
      </c>
      <c r="S92" s="212">
        <f t="shared" si="17"/>
        <v>48406.58872</v>
      </c>
      <c r="T92" s="212">
        <f t="shared" si="17"/>
        <v>52991.28817</v>
      </c>
      <c r="U92" s="212">
        <f t="shared" si="17"/>
        <v>63522.257</v>
      </c>
      <c r="V92" s="212">
        <f t="shared" si="17"/>
        <v>69736.39656</v>
      </c>
      <c r="W92" s="212">
        <f t="shared" si="17"/>
        <v>78989.33374</v>
      </c>
      <c r="X92" s="212">
        <f t="shared" si="17"/>
        <v>131093.486</v>
      </c>
      <c r="Y92" s="212">
        <f t="shared" si="17"/>
        <v>376136.2331</v>
      </c>
      <c r="Z92" s="212">
        <f t="shared" si="17"/>
        <v>152429.1069</v>
      </c>
      <c r="AA92" s="212">
        <f t="shared" si="17"/>
        <v>151767.2826</v>
      </c>
      <c r="AB92" s="212">
        <f t="shared" si="17"/>
        <v>142194.8199</v>
      </c>
      <c r="AC92" s="212">
        <f t="shared" si="17"/>
        <v>103161.7217</v>
      </c>
      <c r="AD92" s="212">
        <f t="shared" si="17"/>
        <v>38398.41925</v>
      </c>
      <c r="AE92" s="212">
        <f t="shared" si="17"/>
        <v>19984.9045</v>
      </c>
    </row>
    <row r="93">
      <c r="A93" s="9"/>
      <c r="B93" s="9"/>
      <c r="C93" s="9"/>
      <c r="D93" s="9"/>
      <c r="E93" s="9"/>
      <c r="F93" s="9"/>
      <c r="G93" s="9"/>
      <c r="H93" s="9"/>
      <c r="I93" s="9"/>
      <c r="J93" s="9"/>
      <c r="K93" s="9"/>
      <c r="L93" s="9"/>
      <c r="M93" s="9"/>
      <c r="N93" s="9"/>
      <c r="O93" s="9"/>
      <c r="P93" s="9"/>
      <c r="Q93" s="9"/>
      <c r="R93" s="9"/>
      <c r="S93" s="9"/>
      <c r="T93" s="9"/>
      <c r="U93" s="9"/>
      <c r="V93" s="9"/>
      <c r="W93" s="9"/>
      <c r="X93" s="9"/>
      <c r="Y93" s="38"/>
      <c r="Z93" s="9"/>
      <c r="AA93" s="9"/>
      <c r="AB93" s="9"/>
      <c r="AC93" s="9"/>
      <c r="AD93" s="9"/>
      <c r="AE93" s="9"/>
    </row>
    <row r="94">
      <c r="A94" s="32" t="s">
        <v>244</v>
      </c>
      <c r="B94" s="9"/>
      <c r="C94" s="9"/>
      <c r="D94" s="9"/>
      <c r="E94" s="9"/>
      <c r="F94" s="9"/>
      <c r="G94" s="9"/>
      <c r="H94" s="9"/>
      <c r="I94" s="9"/>
      <c r="J94" s="9"/>
      <c r="K94" s="9"/>
      <c r="L94" s="9"/>
      <c r="M94" s="9"/>
      <c r="N94" s="9"/>
      <c r="O94" s="9"/>
      <c r="P94" s="9"/>
      <c r="Q94" s="9"/>
      <c r="R94" s="9"/>
      <c r="S94" s="9"/>
      <c r="T94" s="9"/>
      <c r="U94" s="9"/>
      <c r="V94" s="9"/>
      <c r="W94" s="9"/>
      <c r="X94" s="9"/>
      <c r="Y94" s="187">
        <v>64591.16</v>
      </c>
      <c r="Z94" s="9"/>
      <c r="AA94" s="187">
        <v>4.05</v>
      </c>
      <c r="AB94" s="9"/>
      <c r="AC94" s="9"/>
      <c r="AD94" s="9"/>
      <c r="AE94" s="9"/>
    </row>
    <row r="95">
      <c r="A95" s="9" t="s">
        <v>220</v>
      </c>
      <c r="B95" s="38">
        <v>0.0</v>
      </c>
      <c r="C95" s="38">
        <v>0.0</v>
      </c>
      <c r="D95" s="38">
        <v>0.0</v>
      </c>
      <c r="E95" s="38">
        <v>0.0</v>
      </c>
      <c r="F95" s="38">
        <v>0.0</v>
      </c>
      <c r="G95" s="38">
        <v>0.0</v>
      </c>
      <c r="H95" s="38">
        <v>0.0</v>
      </c>
      <c r="I95" s="38">
        <v>0.0</v>
      </c>
      <c r="J95" s="38">
        <v>0.0</v>
      </c>
      <c r="K95" s="38">
        <v>0.0</v>
      </c>
      <c r="L95" s="38">
        <v>0.0</v>
      </c>
      <c r="M95" s="38">
        <v>0.0</v>
      </c>
      <c r="N95" s="38">
        <v>0.0</v>
      </c>
      <c r="O95" s="38">
        <v>0.0</v>
      </c>
      <c r="P95" s="38">
        <v>0.0</v>
      </c>
      <c r="Q95" s="38">
        <v>0.0</v>
      </c>
      <c r="R95" s="38">
        <v>0.0</v>
      </c>
      <c r="S95" s="38">
        <v>0.0</v>
      </c>
      <c r="T95" s="38">
        <v>0.0</v>
      </c>
      <c r="U95" s="38">
        <v>0.0</v>
      </c>
      <c r="V95" s="38">
        <v>0.0</v>
      </c>
      <c r="W95" s="38">
        <v>0.0</v>
      </c>
      <c r="X95" s="38">
        <v>0.0</v>
      </c>
      <c r="Y95" s="91">
        <v>0.0</v>
      </c>
      <c r="Z95" s="38">
        <f>IFERROR(__xludf.DUMMYFUNCTION("GOOGLEFINANCE(""CURRENCY:EURUSD"")*Z94"),0.0)</f>
        <v>0</v>
      </c>
      <c r="AA95" s="38">
        <f>IFERROR(__xludf.DUMMYFUNCTION("GOOGLEFINANCE(""CURRENCY:EURUSD"")*AA94"),4.64350725)</f>
        <v>4.64350725</v>
      </c>
      <c r="AB95" s="38">
        <v>0.0</v>
      </c>
      <c r="AC95" s="38">
        <v>0.0</v>
      </c>
      <c r="AD95" s="38">
        <v>0.0</v>
      </c>
      <c r="AE95" s="38">
        <v>0.0</v>
      </c>
    </row>
    <row r="96">
      <c r="A96" s="9" t="s">
        <v>245</v>
      </c>
      <c r="B96" s="38">
        <v>20.37</v>
      </c>
      <c r="C96" s="38">
        <v>12.66</v>
      </c>
      <c r="D96" s="38">
        <v>20.86</v>
      </c>
      <c r="E96" s="38">
        <v>20.81</v>
      </c>
      <c r="F96" s="38">
        <v>46.99</v>
      </c>
      <c r="G96" s="38">
        <v>26.18</v>
      </c>
      <c r="H96" s="38">
        <v>21.19</v>
      </c>
      <c r="I96" s="38">
        <v>17.85</v>
      </c>
      <c r="J96" s="38">
        <v>20.89</v>
      </c>
      <c r="K96" s="38">
        <v>39.74</v>
      </c>
      <c r="L96" s="38">
        <v>39.82</v>
      </c>
      <c r="M96" s="38">
        <v>42.55</v>
      </c>
      <c r="N96" s="38">
        <v>30.45</v>
      </c>
      <c r="O96" s="38">
        <v>15.83</v>
      </c>
      <c r="P96" s="38">
        <v>18.87</v>
      </c>
      <c r="Q96" s="38">
        <v>14.94</v>
      </c>
      <c r="R96" s="38">
        <v>12.41</v>
      </c>
      <c r="S96" s="38">
        <v>16.43</v>
      </c>
      <c r="T96" s="38">
        <v>18.21</v>
      </c>
      <c r="U96" s="38">
        <v>18.92</v>
      </c>
      <c r="V96" s="38">
        <v>20.58</v>
      </c>
      <c r="W96" s="38">
        <v>14.6</v>
      </c>
      <c r="X96" s="38">
        <v>14.29</v>
      </c>
      <c r="Y96" s="38">
        <v>21.29</v>
      </c>
      <c r="Z96" s="38">
        <v>26.01</v>
      </c>
      <c r="AA96" s="38">
        <v>18.16</v>
      </c>
      <c r="AB96" s="38">
        <v>1.8</v>
      </c>
      <c r="AC96" s="38">
        <v>1.6</v>
      </c>
      <c r="AD96" s="38">
        <v>10.38</v>
      </c>
      <c r="AE96" s="38">
        <v>13.09</v>
      </c>
    </row>
    <row r="97">
      <c r="A97" s="9" t="s">
        <v>222</v>
      </c>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row>
    <row r="98">
      <c r="A98" s="210" t="s">
        <v>247</v>
      </c>
      <c r="B98" s="183">
        <f t="shared" ref="B98:AE98" si="18">SUM(B95:B97)</f>
        <v>20.37</v>
      </c>
      <c r="C98" s="183">
        <f t="shared" si="18"/>
        <v>12.66</v>
      </c>
      <c r="D98" s="183">
        <f t="shared" si="18"/>
        <v>20.86</v>
      </c>
      <c r="E98" s="183">
        <f t="shared" si="18"/>
        <v>20.81</v>
      </c>
      <c r="F98" s="183">
        <f t="shared" si="18"/>
        <v>46.99</v>
      </c>
      <c r="G98" s="183">
        <f t="shared" si="18"/>
        <v>26.18</v>
      </c>
      <c r="H98" s="183">
        <f t="shared" si="18"/>
        <v>21.19</v>
      </c>
      <c r="I98" s="183">
        <f t="shared" si="18"/>
        <v>17.85</v>
      </c>
      <c r="J98" s="183">
        <f t="shared" si="18"/>
        <v>20.89</v>
      </c>
      <c r="K98" s="183">
        <f t="shared" si="18"/>
        <v>39.74</v>
      </c>
      <c r="L98" s="183">
        <f t="shared" si="18"/>
        <v>39.82</v>
      </c>
      <c r="M98" s="183">
        <f t="shared" si="18"/>
        <v>42.55</v>
      </c>
      <c r="N98" s="183">
        <f t="shared" si="18"/>
        <v>30.45</v>
      </c>
      <c r="O98" s="183">
        <f t="shared" si="18"/>
        <v>15.83</v>
      </c>
      <c r="P98" s="183">
        <f t="shared" si="18"/>
        <v>18.87</v>
      </c>
      <c r="Q98" s="183">
        <f t="shared" si="18"/>
        <v>14.94</v>
      </c>
      <c r="R98" s="183">
        <f t="shared" si="18"/>
        <v>12.41</v>
      </c>
      <c r="S98" s="183">
        <f t="shared" si="18"/>
        <v>16.43</v>
      </c>
      <c r="T98" s="183">
        <f t="shared" si="18"/>
        <v>18.21</v>
      </c>
      <c r="U98" s="183">
        <f t="shared" si="18"/>
        <v>18.92</v>
      </c>
      <c r="V98" s="183">
        <f t="shared" si="18"/>
        <v>20.58</v>
      </c>
      <c r="W98" s="183">
        <f t="shared" si="18"/>
        <v>14.6</v>
      </c>
      <c r="X98" s="183">
        <f t="shared" si="18"/>
        <v>14.29</v>
      </c>
      <c r="Y98" s="183">
        <f t="shared" si="18"/>
        <v>21.29</v>
      </c>
      <c r="Z98" s="183">
        <f t="shared" si="18"/>
        <v>26.01</v>
      </c>
      <c r="AA98" s="183">
        <f t="shared" si="18"/>
        <v>22.80350725</v>
      </c>
      <c r="AB98" s="183">
        <f t="shared" si="18"/>
        <v>1.8</v>
      </c>
      <c r="AC98" s="183">
        <f t="shared" si="18"/>
        <v>1.6</v>
      </c>
      <c r="AD98" s="183">
        <f t="shared" si="18"/>
        <v>10.38</v>
      </c>
      <c r="AE98" s="183">
        <f t="shared" si="18"/>
        <v>13.09</v>
      </c>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c r="A100" s="216" t="s">
        <v>251</v>
      </c>
      <c r="B100" s="217">
        <f t="shared" ref="B100:AE100" si="19">B35/B92</f>
        <v>2.845029579</v>
      </c>
      <c r="C100" s="217">
        <f t="shared" si="19"/>
        <v>3.341349054</v>
      </c>
      <c r="D100" s="217">
        <f t="shared" si="19"/>
        <v>3.158650674</v>
      </c>
      <c r="E100" s="217">
        <f t="shared" si="19"/>
        <v>3.27260851</v>
      </c>
      <c r="F100" s="217">
        <f t="shared" si="19"/>
        <v>3.641303667</v>
      </c>
      <c r="G100" s="217">
        <f t="shared" si="19"/>
        <v>3.737019214</v>
      </c>
      <c r="H100" s="217">
        <f t="shared" si="19"/>
        <v>3.528725538</v>
      </c>
      <c r="I100" s="217">
        <f t="shared" si="19"/>
        <v>3.139380265</v>
      </c>
      <c r="J100" s="217">
        <f t="shared" si="19"/>
        <v>2.939730662</v>
      </c>
      <c r="K100" s="217">
        <f t="shared" si="19"/>
        <v>3.149404616</v>
      </c>
      <c r="L100" s="217">
        <f t="shared" si="19"/>
        <v>4.934699703</v>
      </c>
      <c r="M100" s="217">
        <f t="shared" si="19"/>
        <v>4.524968175</v>
      </c>
      <c r="N100" s="217">
        <f t="shared" si="19"/>
        <v>4.415881426</v>
      </c>
      <c r="O100" s="217">
        <f t="shared" si="19"/>
        <v>4.555639137</v>
      </c>
      <c r="P100" s="217">
        <f t="shared" si="19"/>
        <v>3.990696123</v>
      </c>
      <c r="Q100" s="217">
        <f t="shared" si="19"/>
        <v>3.97634734</v>
      </c>
      <c r="R100" s="217">
        <f t="shared" si="19"/>
        <v>4.355087779</v>
      </c>
      <c r="S100" s="217">
        <f t="shared" si="19"/>
        <v>4.883871018</v>
      </c>
      <c r="T100" s="217">
        <f t="shared" si="19"/>
        <v>4.333208979</v>
      </c>
      <c r="U100" s="217">
        <f t="shared" si="19"/>
        <v>4.664779796</v>
      </c>
      <c r="V100" s="217">
        <f t="shared" si="19"/>
        <v>4.428357075</v>
      </c>
      <c r="W100" s="217">
        <f t="shared" si="19"/>
        <v>5.29362884</v>
      </c>
      <c r="X100" s="217">
        <f t="shared" si="19"/>
        <v>3.939952689</v>
      </c>
      <c r="Y100" s="217">
        <f t="shared" si="19"/>
        <v>4.261689159</v>
      </c>
      <c r="Z100" s="217">
        <f t="shared" si="19"/>
        <v>6.480406299</v>
      </c>
      <c r="AA100" s="217">
        <f t="shared" si="19"/>
        <v>4.672281587</v>
      </c>
      <c r="AB100" s="217">
        <f t="shared" si="19"/>
        <v>5.535184819</v>
      </c>
      <c r="AC100" s="217">
        <f t="shared" si="19"/>
        <v>4.75775301</v>
      </c>
      <c r="AD100" s="217">
        <f t="shared" si="19"/>
        <v>2.769066425</v>
      </c>
      <c r="AE100" s="217">
        <f t="shared" si="19"/>
        <v>4.866919638</v>
      </c>
    </row>
    <row r="101">
      <c r="A101" s="45" t="s">
        <v>256</v>
      </c>
      <c r="B101" s="217">
        <f t="shared" ref="B101:AE101" si="20">B8/B91</f>
        <v>2.799675748</v>
      </c>
      <c r="C101" s="217">
        <f t="shared" si="20"/>
        <v>3.290351013</v>
      </c>
      <c r="D101" s="217">
        <f t="shared" si="20"/>
        <v>2.973181949</v>
      </c>
      <c r="E101" s="217">
        <f t="shared" si="20"/>
        <v>3.074768035</v>
      </c>
      <c r="F101" s="217">
        <f t="shared" si="20"/>
        <v>3.491543488</v>
      </c>
      <c r="G101" s="217">
        <f t="shared" si="20"/>
        <v>3.360126612</v>
      </c>
      <c r="H101" s="217">
        <f t="shared" si="20"/>
        <v>3.501904419</v>
      </c>
      <c r="I101" s="217">
        <f t="shared" si="20"/>
        <v>2.935492166</v>
      </c>
      <c r="J101" s="217">
        <f t="shared" si="20"/>
        <v>2.70734267</v>
      </c>
      <c r="K101" s="217">
        <f t="shared" si="20"/>
        <v>2.829983358</v>
      </c>
      <c r="L101" s="217">
        <f t="shared" si="20"/>
        <v>4.614536409</v>
      </c>
      <c r="M101" s="217">
        <f t="shared" si="20"/>
        <v>4.37510281</v>
      </c>
      <c r="N101" s="217">
        <f t="shared" si="20"/>
        <v>4.060013268</v>
      </c>
      <c r="O101" s="217">
        <f t="shared" si="20"/>
        <v>4.206049983</v>
      </c>
      <c r="P101" s="217">
        <f t="shared" si="20"/>
        <v>3.608840288</v>
      </c>
      <c r="Q101" s="217">
        <f t="shared" si="20"/>
        <v>3.452071334</v>
      </c>
      <c r="R101" s="217">
        <f t="shared" si="20"/>
        <v>4.035942292</v>
      </c>
      <c r="S101" s="217">
        <f t="shared" si="20"/>
        <v>4.784300683</v>
      </c>
      <c r="T101" s="217">
        <f t="shared" si="20"/>
        <v>4.449723825</v>
      </c>
      <c r="U101" s="217">
        <f t="shared" si="20"/>
        <v>4.267376426</v>
      </c>
      <c r="V101" s="217">
        <f t="shared" si="20"/>
        <v>4.01951115</v>
      </c>
      <c r="W101" s="217">
        <f t="shared" si="20"/>
        <v>5.199918214</v>
      </c>
      <c r="X101" s="217">
        <f t="shared" si="20"/>
        <v>3.44774917</v>
      </c>
      <c r="Y101" s="217">
        <f t="shared" si="20"/>
        <v>3.065231058</v>
      </c>
      <c r="Z101" s="217">
        <f t="shared" si="20"/>
        <v>5.14900163</v>
      </c>
      <c r="AA101" s="217">
        <f t="shared" si="20"/>
        <v>3.987736609</v>
      </c>
      <c r="AB101" s="217">
        <f t="shared" si="20"/>
        <v>5.106690912</v>
      </c>
      <c r="AC101" s="217">
        <f t="shared" si="20"/>
        <v>4.745299105</v>
      </c>
      <c r="AD101" s="217">
        <f t="shared" si="20"/>
        <v>2.7426862</v>
      </c>
      <c r="AE101" s="217">
        <f t="shared" si="20"/>
        <v>4.896555312</v>
      </c>
    </row>
    <row r="102">
      <c r="A102" s="45" t="s">
        <v>259</v>
      </c>
      <c r="B102" s="217">
        <f t="shared" ref="B102:AE102" si="21">B15/B85</f>
        <v>3.091993122</v>
      </c>
      <c r="C102" s="217">
        <f t="shared" si="21"/>
        <v>3.259518398</v>
      </c>
      <c r="D102" s="217">
        <f t="shared" si="21"/>
        <v>4.992211445</v>
      </c>
      <c r="E102" s="217">
        <f t="shared" si="21"/>
        <v>3.138693693</v>
      </c>
      <c r="F102" s="217">
        <f t="shared" si="21"/>
        <v>3.634302393</v>
      </c>
      <c r="G102" s="217">
        <f t="shared" si="21"/>
        <v>3.819346357</v>
      </c>
      <c r="H102" s="217">
        <f t="shared" si="21"/>
        <v>3.131623657</v>
      </c>
      <c r="I102" s="217">
        <f t="shared" si="21"/>
        <v>5.168756435</v>
      </c>
      <c r="J102" s="217">
        <f t="shared" si="21"/>
        <v>5.118327261</v>
      </c>
      <c r="K102" s="217">
        <f t="shared" si="21"/>
        <v>6.064862018</v>
      </c>
      <c r="L102" s="217">
        <f t="shared" si="21"/>
        <v>6.479495763</v>
      </c>
      <c r="M102" s="217">
        <f t="shared" si="21"/>
        <v>5.16644069</v>
      </c>
      <c r="N102" s="217">
        <f t="shared" si="21"/>
        <v>6.511881674</v>
      </c>
      <c r="O102" s="217">
        <f t="shared" si="21"/>
        <v>6.45129486</v>
      </c>
      <c r="P102" s="217">
        <f t="shared" si="21"/>
        <v>6.123656337</v>
      </c>
      <c r="Q102" s="217">
        <f t="shared" si="21"/>
        <v>6.184899137</v>
      </c>
      <c r="R102" s="217">
        <f t="shared" si="21"/>
        <v>5.49152664</v>
      </c>
      <c r="S102" s="217">
        <f t="shared" si="21"/>
        <v>5.19181403</v>
      </c>
      <c r="T102" s="217">
        <f t="shared" si="21"/>
        <v>3.795499507</v>
      </c>
      <c r="U102" s="217">
        <f t="shared" si="21"/>
        <v>5.57805193</v>
      </c>
      <c r="V102" s="217">
        <f t="shared" si="21"/>
        <v>5.423524146</v>
      </c>
      <c r="W102" s="217">
        <f t="shared" si="21"/>
        <v>5.436360219</v>
      </c>
      <c r="X102" s="217">
        <f t="shared" si="21"/>
        <v>5.654488834</v>
      </c>
      <c r="Y102" s="217">
        <f t="shared" si="21"/>
        <v>9.957734212</v>
      </c>
      <c r="Z102" s="217">
        <f t="shared" si="21"/>
        <v>10.40933256</v>
      </c>
      <c r="AA102" s="217">
        <f t="shared" si="21"/>
        <v>6.611227061</v>
      </c>
      <c r="AB102" s="217">
        <f t="shared" si="21"/>
        <v>21.6853662</v>
      </c>
      <c r="AC102" s="217" t="str">
        <f t="shared" si="21"/>
        <v>#DIV/0!</v>
      </c>
      <c r="AD102" s="217" t="str">
        <f t="shared" si="21"/>
        <v>#DIV/0!</v>
      </c>
      <c r="AE102" s="217">
        <f t="shared" si="21"/>
        <v>1.244642116</v>
      </c>
    </row>
    <row r="103">
      <c r="A103" s="220" t="s">
        <v>261</v>
      </c>
      <c r="B103" s="221">
        <f t="shared" ref="B103:AE103" si="22">B51/B98</f>
        <v>28.79319769</v>
      </c>
      <c r="C103" s="221">
        <f t="shared" si="22"/>
        <v>77.40321098</v>
      </c>
      <c r="D103" s="221">
        <f t="shared" si="22"/>
        <v>38.87269583</v>
      </c>
      <c r="E103" s="221">
        <f t="shared" si="22"/>
        <v>102.2542325</v>
      </c>
      <c r="F103" s="221">
        <f t="shared" si="22"/>
        <v>39.53282801</v>
      </c>
      <c r="G103" s="221">
        <f t="shared" si="22"/>
        <v>43.40524599</v>
      </c>
      <c r="H103" s="221">
        <f t="shared" si="22"/>
        <v>45.68128844</v>
      </c>
      <c r="I103" s="221">
        <f t="shared" si="22"/>
        <v>74.34064801</v>
      </c>
      <c r="J103" s="221">
        <f t="shared" si="22"/>
        <v>67.85826362</v>
      </c>
      <c r="K103" s="221">
        <f t="shared" si="22"/>
        <v>38.84480028</v>
      </c>
      <c r="L103" s="221">
        <f t="shared" si="22"/>
        <v>51.80997165</v>
      </c>
      <c r="M103" s="221">
        <f t="shared" si="22"/>
        <v>60.37732251</v>
      </c>
      <c r="N103" s="221">
        <f t="shared" si="22"/>
        <v>39.55005455</v>
      </c>
      <c r="O103" s="221">
        <f t="shared" si="22"/>
        <v>79.44931263</v>
      </c>
      <c r="P103" s="221">
        <f t="shared" si="22"/>
        <v>70.54035061</v>
      </c>
      <c r="Q103" s="221">
        <f t="shared" si="22"/>
        <v>80.41650562</v>
      </c>
      <c r="R103" s="221">
        <f t="shared" si="22"/>
        <v>125.1901894</v>
      </c>
      <c r="S103" s="221">
        <f t="shared" si="22"/>
        <v>112.5466161</v>
      </c>
      <c r="T103" s="221">
        <f t="shared" si="22"/>
        <v>126.8275728</v>
      </c>
      <c r="U103" s="221">
        <f t="shared" si="22"/>
        <v>64.76035703</v>
      </c>
      <c r="V103" s="221">
        <f t="shared" si="22"/>
        <v>61.48323567</v>
      </c>
      <c r="W103" s="221">
        <f t="shared" si="22"/>
        <v>51.83839411</v>
      </c>
      <c r="X103" s="221">
        <f t="shared" si="22"/>
        <v>76.49107418</v>
      </c>
      <c r="Y103" s="221">
        <f t="shared" si="22"/>
        <v>71.67315791</v>
      </c>
      <c r="Z103" s="221">
        <f t="shared" si="22"/>
        <v>79.33163633</v>
      </c>
      <c r="AA103" s="221">
        <f t="shared" si="22"/>
        <v>115.2544704</v>
      </c>
      <c r="AB103" s="221">
        <f t="shared" si="22"/>
        <v>732.4699144</v>
      </c>
      <c r="AC103" s="221">
        <f t="shared" si="22"/>
        <v>772.3217269</v>
      </c>
      <c r="AD103" s="221">
        <f t="shared" si="22"/>
        <v>142.4007967</v>
      </c>
      <c r="AE103" s="221">
        <f t="shared" si="22"/>
        <v>130.4486113</v>
      </c>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c r="A105" s="224" t="s">
        <v>269</v>
      </c>
      <c r="B105" s="226">
        <f>B92/SUM('DTC - P&amp;L'!B57,'AMAZON - P&amp;L'!B32,'Digital Marketplaces'!B17,'Digital Marketplaces'!B129,B66)</f>
        <v>84.29583412</v>
      </c>
      <c r="C105" s="226">
        <f>C92/SUM('DTC - P&amp;L'!C57,'AMAZON - P&amp;L'!C32,'Digital Marketplaces'!C17,'Digital Marketplaces'!C129,C66)</f>
        <v>75.43709024</v>
      </c>
      <c r="D105" s="226">
        <f>D92/SUM('DTC - P&amp;L'!D57,'AMAZON - P&amp;L'!D32,'Digital Marketplaces'!D17,'Digital Marketplaces'!D129,D66)</f>
        <v>78.11402698</v>
      </c>
      <c r="E105" s="226">
        <f>E92/SUM('DTC - P&amp;L'!E57,'AMAZON - P&amp;L'!E32,'Digital Marketplaces'!E17,'Digital Marketplaces'!E129,E66)</f>
        <v>76.67385255</v>
      </c>
      <c r="F105" s="226">
        <f>F92/SUM('DTC - P&amp;L'!F57,'AMAZON - P&amp;L'!F32,'Digital Marketplaces'!F17,'Digital Marketplaces'!F129,F66)</f>
        <v>67.27516669</v>
      </c>
      <c r="G105" s="226">
        <f>G92/SUM('DTC - P&amp;L'!G57,'AMAZON - P&amp;L'!G32,'Digital Marketplaces'!G17,'Digital Marketplaces'!G129,G66)</f>
        <v>68.32461832</v>
      </c>
      <c r="H105" s="226">
        <f>H92/SUM('DTC - P&amp;L'!H57,'AMAZON - P&amp;L'!H32,'Digital Marketplaces'!H17,'Digital Marketplaces'!H129,H66)</f>
        <v>68.83904105</v>
      </c>
      <c r="I105" s="226">
        <f>I92/SUM('DTC - P&amp;L'!I57,'AMAZON - P&amp;L'!I32,'Digital Marketplaces'!I17,'Digital Marketplaces'!I129,I66)</f>
        <v>78.67585628</v>
      </c>
      <c r="J105" s="226">
        <f>J92/SUM('DTC - P&amp;L'!J57,'AMAZON - P&amp;L'!J32,'Digital Marketplaces'!J17,'Digital Marketplaces'!J129,J66)</f>
        <v>82.57628411</v>
      </c>
      <c r="K105" s="226">
        <f>K92/SUM('DTC - P&amp;L'!K57,'AMAZON - P&amp;L'!K32,'Digital Marketplaces'!K17,'Digital Marketplaces'!K129,K66)</f>
        <v>76.42998455</v>
      </c>
      <c r="L105" s="226">
        <f>L92/SUM('DTC - P&amp;L'!L57,'AMAZON - P&amp;L'!L32,'Digital Marketplaces'!L17,'Digital Marketplaces'!L129,L66)</f>
        <v>50.44360867</v>
      </c>
      <c r="M105" s="226">
        <f>M92/SUM('DTC - P&amp;L'!M57,'AMAZON - P&amp;L'!M32,'Digital Marketplaces'!M17,'Digital Marketplaces'!M129,M66)</f>
        <v>54.79043731</v>
      </c>
      <c r="N105" s="226">
        <f>N92/SUM('DTC - P&amp;L'!N57,'AMAZON - P&amp;L'!N32,'Digital Marketplaces'!N17,'Digital Marketplaces'!N129,N66)</f>
        <v>59.44961323</v>
      </c>
      <c r="O105" s="226">
        <f>O92/SUM('DTC - P&amp;L'!O57,'AMAZON - P&amp;L'!O32,'Digital Marketplaces'!O17,'Digital Marketplaces'!O129,O66)</f>
        <v>53.86624324</v>
      </c>
      <c r="P105" s="226">
        <f>P92/SUM('DTC - P&amp;L'!P57,'AMAZON - P&amp;L'!P32,'Digital Marketplaces'!P17,'Digital Marketplaces'!P129,P66)</f>
        <v>60.36402594</v>
      </c>
      <c r="Q105" s="226">
        <f>Q92/SUM('DTC - P&amp;L'!Q57,'AMAZON - P&amp;L'!Q32,'Digital Marketplaces'!Q17,'Digital Marketplaces'!Q129,Q66)</f>
        <v>61.52263154</v>
      </c>
      <c r="R105" s="226">
        <f>R92/SUM('DTC - P&amp;L'!R57,'AMAZON - P&amp;L'!R32,'Digital Marketplaces'!R17,'Digital Marketplaces'!R129,R66)</f>
        <v>54.49916129</v>
      </c>
      <c r="S105" s="226">
        <f>S92/SUM('DTC - P&amp;L'!S57,'AMAZON - P&amp;L'!S32,'Digital Marketplaces'!S17,'Digital Marketplaces'!S129,S66)</f>
        <v>48.69878141</v>
      </c>
      <c r="T105" s="226">
        <f>T92/SUM('DTC - P&amp;L'!T57,'AMAZON - P&amp;L'!T32,'Digital Marketplaces'!T17,'Digital Marketplaces'!T129,T66)</f>
        <v>55.54642366</v>
      </c>
      <c r="U105" s="226">
        <f>U92/SUM('DTC - P&amp;L'!U57,'AMAZON - P&amp;L'!U32,'Digital Marketplaces'!U17,'Digital Marketplaces'!U129,U66)</f>
        <v>51.1863473</v>
      </c>
      <c r="V105" s="226">
        <f>V92/SUM('DTC - P&amp;L'!V57,'AMAZON - P&amp;L'!V32,'Digital Marketplaces'!V17,'Digital Marketplaces'!V129,V66)</f>
        <v>52.95094651</v>
      </c>
      <c r="W105" s="226">
        <f>W92/SUM('DTC - P&amp;L'!W57,'AMAZON - P&amp;L'!W32,'Digital Marketplaces'!W17,'Digital Marketplaces'!W129,W66)</f>
        <v>44.60154361</v>
      </c>
      <c r="X105" s="226">
        <f>X92/SUM('DTC - P&amp;L'!X57,'AMAZON - P&amp;L'!X32,'Digital Marketplaces'!X17,'Digital Marketplaces'!X129,X66)</f>
        <v>60.38391802</v>
      </c>
      <c r="Y105" s="226">
        <f>Y92/SUM('DTC - P&amp;L'!Y57,'AMAZON - P&amp;L'!Y32,'Digital Marketplaces'!Y17,'Digital Marketplaces'!Y129,Y66)</f>
        <v>54.83035469</v>
      </c>
      <c r="Z105" s="226">
        <f>Z92/SUM('DTC - P&amp;L'!Z57,'AMAZON - P&amp;L'!Z32,'Digital Marketplaces'!Z17,'Digital Marketplaces'!Z129,Z66)</f>
        <v>35.67262037</v>
      </c>
      <c r="AA105" s="226">
        <f>AA92/SUM('DTC - P&amp;L'!AA57,'AMAZON - P&amp;L'!AA32,'Digital Marketplaces'!AA17,'Digital Marketplaces'!AA129,AA66)</f>
        <v>50.42102412</v>
      </c>
      <c r="AB105" s="226">
        <f>AB92/SUM('DTC - P&amp;L'!AB57,'AMAZON - P&amp;L'!AB32,'Digital Marketplaces'!AB17,'Digital Marketplaces'!AB129,AB66)</f>
        <v>43.18093529</v>
      </c>
      <c r="AC105" s="226">
        <f>AC92/SUM('DTC - P&amp;L'!AC57,'AMAZON - P&amp;L'!AC32,'Digital Marketplaces'!AC17,'Digital Marketplaces'!AC129,AC66)</f>
        <v>51.55508328</v>
      </c>
      <c r="AD105" s="226">
        <f>AD92/SUM('DTC - P&amp;L'!AD57,'AMAZON - P&amp;L'!AD32,'Digital Marketplaces'!AD17,'Digital Marketplaces'!AD129,AD66)</f>
        <v>121.8997437</v>
      </c>
      <c r="AE105" s="226">
        <f>AE92/SUM('DTC - P&amp;L'!AE57,'AMAZON - P&amp;L'!AE32,'Digital Marketplaces'!AE17,'Digital Marketplaces'!AE129,AE66)</f>
        <v>69.87728845</v>
      </c>
    </row>
    <row r="106">
      <c r="A106" s="39" t="s">
        <v>284</v>
      </c>
      <c r="B106" s="226">
        <f>B91/'DTC - P&amp;L'!B57</f>
        <v>84.51127153</v>
      </c>
      <c r="C106" s="226">
        <f>C91/'DTC - P&amp;L'!C57</f>
        <v>75.02731402</v>
      </c>
      <c r="D106" s="226">
        <f>D91/'DTC - P&amp;L'!D57</f>
        <v>81.10125951</v>
      </c>
      <c r="E106" s="226">
        <f>E91/'DTC - P&amp;L'!E57</f>
        <v>77.82549779</v>
      </c>
      <c r="F106" s="226">
        <f>F91/'DTC - P&amp;L'!F57</f>
        <v>66.93454205</v>
      </c>
      <c r="G106" s="226">
        <f>G91/'DTC - P&amp;L'!G57</f>
        <v>69.94430866</v>
      </c>
      <c r="H106" s="226">
        <f>H91/'DTC - P&amp;L'!H57</f>
        <v>67.63169248</v>
      </c>
      <c r="I106" s="226">
        <f>I91/'DTC - P&amp;L'!I57</f>
        <v>83.38500595</v>
      </c>
      <c r="J106" s="226">
        <f>J91/'DTC - P&amp;L'!J57</f>
        <v>89.81067713</v>
      </c>
      <c r="K106" s="226">
        <f>K91/'DTC - P&amp;L'!K57</f>
        <v>85.31328507</v>
      </c>
      <c r="L106" s="226">
        <f>L91/'DTC - P&amp;L'!L57</f>
        <v>53.88974412</v>
      </c>
      <c r="M106" s="226">
        <f>M91/'DTC - P&amp;L'!M57</f>
        <v>57.17528072</v>
      </c>
      <c r="N106" s="226">
        <f>N91/'DTC - P&amp;L'!N57</f>
        <v>66.04388152</v>
      </c>
      <c r="O106" s="226">
        <f>O91/'DTC - P&amp;L'!O57</f>
        <v>58.60520891</v>
      </c>
      <c r="P106" s="226">
        <f>P91/'DTC - P&amp;L'!P57</f>
        <v>67.88744513</v>
      </c>
      <c r="Q106" s="226">
        <f>Q91/'DTC - P&amp;L'!Q57</f>
        <v>71.42138741</v>
      </c>
      <c r="R106" s="226">
        <f>R91/'DTC - P&amp;L'!R57</f>
        <v>59.85967058</v>
      </c>
      <c r="S106" s="226">
        <f>S91/'DTC - P&amp;L'!S57</f>
        <v>50.44282327</v>
      </c>
      <c r="T106" s="226">
        <f>T91/'DTC - P&amp;L'!T57</f>
        <v>54.18977129</v>
      </c>
      <c r="U106" s="226">
        <f>U91/'DTC - P&amp;L'!U57</f>
        <v>57.01516744</v>
      </c>
      <c r="V106" s="226">
        <f>V91/'DTC - P&amp;L'!V57</f>
        <v>59.22549464</v>
      </c>
      <c r="W106" s="226">
        <f>W91/'DTC - P&amp;L'!W57</f>
        <v>46.05913332</v>
      </c>
      <c r="X106" s="226">
        <f>X91/'DTC - P&amp;L'!X57</f>
        <v>70.68748189</v>
      </c>
      <c r="Y106" s="226">
        <f>Y91/'DTC - P&amp;L'!Y57</f>
        <v>77.92039884</v>
      </c>
      <c r="Z106" s="226">
        <f>Z91/'DTC - P&amp;L'!Z57</f>
        <v>45.60376814</v>
      </c>
      <c r="AA106" s="226">
        <f>AA91/'DTC - P&amp;L'!AA57</f>
        <v>60.12488765</v>
      </c>
      <c r="AB106" s="226">
        <f>AB91/'DTC - P&amp;L'!AB57</f>
        <v>46.58791537</v>
      </c>
      <c r="AC106" s="226">
        <f>AC91/'DTC - P&amp;L'!AC57</f>
        <v>51.39079477</v>
      </c>
      <c r="AD106" s="226">
        <f>AD91/'DTC - P&amp;L'!AD57</f>
        <v>123.0852534</v>
      </c>
      <c r="AE106" s="226">
        <f>AE91/'DTC - P&amp;L'!AE57</f>
        <v>69.43604181</v>
      </c>
    </row>
    <row r="107">
      <c r="A107" s="39" t="s">
        <v>290</v>
      </c>
      <c r="B107" s="226">
        <f>B85/'AMAZON - P&amp;L'!B32</f>
        <v>87.39783784</v>
      </c>
      <c r="C107" s="226">
        <f>C85/'AMAZON - P&amp;L'!C32</f>
        <v>86.68135135</v>
      </c>
      <c r="D107" s="226">
        <f>D85/'AMAZON - P&amp;L'!D32</f>
        <v>56.38052632</v>
      </c>
      <c r="E107" s="226">
        <f>E85/'AMAZON - P&amp;L'!E32</f>
        <v>89.02111111</v>
      </c>
      <c r="F107" s="226">
        <f>F85/'AMAZON - P&amp;L'!F32</f>
        <v>78.95264706</v>
      </c>
      <c r="G107" s="226">
        <f>G85/'AMAZON - P&amp;L'!G32</f>
        <v>72.18836364</v>
      </c>
      <c r="H107" s="226">
        <f>H85/'AMAZON - P&amp;L'!H32</f>
        <v>86.49826087</v>
      </c>
      <c r="I107" s="226">
        <f>I85/'AMAZON - P&amp;L'!I32</f>
        <v>47.72844828</v>
      </c>
      <c r="J107" s="226">
        <f>J85/'AMAZON - P&amp;L'!J32</f>
        <v>45.91520833</v>
      </c>
      <c r="K107" s="226">
        <f>K85/'AMAZON - P&amp;L'!K32</f>
        <v>38.87373016</v>
      </c>
      <c r="L107" s="226">
        <f>L85/'AMAZON - P&amp;L'!L32</f>
        <v>37.07733333</v>
      </c>
      <c r="M107" s="226">
        <f>M85/'AMAZON - P&amp;L'!M32</f>
        <v>45.2665</v>
      </c>
      <c r="N107" s="226">
        <f>N85/'AMAZON - P&amp;L'!N32</f>
        <v>36.79290323</v>
      </c>
      <c r="O107" s="226">
        <f>O85/'AMAZON - P&amp;L'!O32</f>
        <v>36.88242424</v>
      </c>
      <c r="P107" s="226">
        <f>P85/'AMAZON - P&amp;L'!P32</f>
        <v>36.65983051</v>
      </c>
      <c r="Q107" s="226">
        <f>Q85/'AMAZON - P&amp;L'!Q32</f>
        <v>36.5542029</v>
      </c>
      <c r="R107" s="226">
        <f>R85/'AMAZON - P&amp;L'!R32</f>
        <v>40.95912281</v>
      </c>
      <c r="S107" s="226">
        <f>S85/'AMAZON - P&amp;L'!S32</f>
        <v>43.57721805</v>
      </c>
      <c r="T107" s="226">
        <f>T85/'AMAZON - P&amp;L'!T32</f>
        <v>61.613</v>
      </c>
      <c r="U107" s="226">
        <f>U85/'AMAZON - P&amp;L'!U32</f>
        <v>40.53461717</v>
      </c>
      <c r="V107" s="226">
        <f>V85/'AMAZON - P&amp;L'!V32</f>
        <v>41.82668763</v>
      </c>
      <c r="W107" s="226">
        <f>W85/'AMAZON - P&amp;L'!W32</f>
        <v>41.41053114</v>
      </c>
      <c r="X107" s="226">
        <f>X85/'AMAZON - P&amp;L'!X32</f>
        <v>39.86864714</v>
      </c>
      <c r="Y107" s="226">
        <f>Y85/'AMAZON - P&amp;L'!Y32</f>
        <v>22.62551264</v>
      </c>
      <c r="Z107" s="226">
        <f>Z85/'AMAZON - P&amp;L'!Z32</f>
        <v>21.56697489</v>
      </c>
      <c r="AA107" s="226">
        <f>AA85/'AMAZON - P&amp;L'!AA32</f>
        <v>33.92451671</v>
      </c>
      <c r="AB107" s="226">
        <f>AB85/'AMAZON - P&amp;L'!AB32</f>
        <v>10.4956196</v>
      </c>
      <c r="AC107" s="226" t="str">
        <f>AC85/'AMAZON - P&amp;L'!AC32</f>
        <v>#DIV/0!</v>
      </c>
      <c r="AD107" s="226" t="str">
        <f>AD85/'AMAZON - P&amp;L'!AD32</f>
        <v>#DIV/0!</v>
      </c>
      <c r="AE107" s="226">
        <f>AE85/'AMAZON - P&amp;L'!AE32</f>
        <v>216.97</v>
      </c>
    </row>
    <row r="108">
      <c r="A108" s="220" t="s">
        <v>294</v>
      </c>
      <c r="B108" s="226">
        <f t="shared" ref="B108:AE108" si="23">B98/B78</f>
        <v>0.679</v>
      </c>
      <c r="C108" s="226">
        <f t="shared" si="23"/>
        <v>0.3014285714</v>
      </c>
      <c r="D108" s="226">
        <f t="shared" si="23"/>
        <v>0.5215</v>
      </c>
      <c r="E108" s="226">
        <f t="shared" si="23"/>
        <v>0.2338202247</v>
      </c>
      <c r="F108" s="226">
        <f t="shared" si="23"/>
        <v>0.5801234568</v>
      </c>
      <c r="G108" s="226">
        <f t="shared" si="23"/>
        <v>0.4592982456</v>
      </c>
      <c r="H108" s="226">
        <f t="shared" si="23"/>
        <v>0.3924074074</v>
      </c>
      <c r="I108" s="226">
        <f t="shared" si="23"/>
        <v>0.2586956522</v>
      </c>
      <c r="J108" s="226">
        <f t="shared" si="23"/>
        <v>0.3213846154</v>
      </c>
      <c r="K108" s="226">
        <f t="shared" si="23"/>
        <v>0.6307936508</v>
      </c>
      <c r="L108" s="226">
        <f t="shared" si="23"/>
        <v>0.49775</v>
      </c>
      <c r="M108" s="226">
        <f t="shared" si="23"/>
        <v>0.4171568627</v>
      </c>
      <c r="N108" s="226">
        <f t="shared" si="23"/>
        <v>0.5855769231</v>
      </c>
      <c r="O108" s="226">
        <f t="shared" si="23"/>
        <v>0.2826785714</v>
      </c>
      <c r="P108" s="226">
        <f t="shared" si="23"/>
        <v>0.3369642857</v>
      </c>
      <c r="Q108" s="226">
        <f t="shared" si="23"/>
        <v>0.2716363636</v>
      </c>
      <c r="R108" s="226">
        <f t="shared" si="23"/>
        <v>0.2068333333</v>
      </c>
      <c r="S108" s="226">
        <f t="shared" si="23"/>
        <v>0.2161842105</v>
      </c>
      <c r="T108" s="226">
        <f t="shared" si="23"/>
        <v>0.2046067416</v>
      </c>
      <c r="U108" s="226">
        <f t="shared" si="23"/>
        <v>0.386122449</v>
      </c>
      <c r="V108" s="226">
        <f t="shared" si="23"/>
        <v>0.3883018868</v>
      </c>
      <c r="W108" s="226">
        <f t="shared" si="23"/>
        <v>0.365</v>
      </c>
      <c r="X108" s="226">
        <f t="shared" si="23"/>
        <v>0.3040425532</v>
      </c>
      <c r="Y108" s="226">
        <f t="shared" si="23"/>
        <v>0.317761194</v>
      </c>
      <c r="Z108" s="226">
        <f t="shared" si="23"/>
        <v>0.2737894737</v>
      </c>
      <c r="AA108" s="226">
        <f t="shared" si="23"/>
        <v>0.1900292271</v>
      </c>
      <c r="AB108" s="226">
        <f t="shared" si="23"/>
        <v>0.03</v>
      </c>
      <c r="AC108" s="226">
        <f t="shared" si="23"/>
        <v>0.02461538462</v>
      </c>
      <c r="AD108" s="226">
        <f t="shared" si="23"/>
        <v>0.1526470588</v>
      </c>
      <c r="AE108" s="226">
        <f t="shared" si="23"/>
        <v>0.1577108434</v>
      </c>
    </row>
    <row r="109">
      <c r="A109" s="9"/>
      <c r="B109" s="9"/>
      <c r="C109" s="235"/>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c r="A110" s="45" t="s">
        <v>301</v>
      </c>
      <c r="B110" s="236">
        <v>0.0303</v>
      </c>
      <c r="C110" s="236">
        <v>0.0343</v>
      </c>
      <c r="D110" s="236">
        <v>0.0304</v>
      </c>
      <c r="E110" s="236">
        <v>0.0303</v>
      </c>
      <c r="F110" s="236">
        <v>0.0272</v>
      </c>
      <c r="G110" s="236">
        <v>0.0252</v>
      </c>
      <c r="H110" s="236">
        <v>0.0263</v>
      </c>
      <c r="I110" s="236">
        <v>0.0217</v>
      </c>
      <c r="J110" s="236">
        <v>0.0228</v>
      </c>
      <c r="K110" s="236">
        <v>0.0241</v>
      </c>
      <c r="L110" s="236">
        <v>0.0336</v>
      </c>
      <c r="M110" s="236">
        <v>0.0359</v>
      </c>
      <c r="N110" s="236">
        <v>0.05</v>
      </c>
      <c r="O110" s="236">
        <v>0.0299</v>
      </c>
      <c r="P110" s="236">
        <v>0.0303</v>
      </c>
      <c r="Q110" s="236">
        <v>0.0285</v>
      </c>
      <c r="R110" s="236">
        <v>0.0347</v>
      </c>
      <c r="S110" s="236">
        <v>0.0363</v>
      </c>
      <c r="T110" s="236">
        <v>0.0338</v>
      </c>
      <c r="U110" s="236">
        <v>0.0356</v>
      </c>
      <c r="V110" s="236">
        <v>0.033</v>
      </c>
      <c r="W110" s="236">
        <v>0.0369</v>
      </c>
      <c r="X110" s="236">
        <v>0.0316</v>
      </c>
      <c r="Y110" s="236">
        <v>0.052</v>
      </c>
      <c r="Z110" s="236">
        <v>0.0648</v>
      </c>
      <c r="AA110" s="236">
        <v>0.0392</v>
      </c>
      <c r="AB110" s="236">
        <v>0.0514</v>
      </c>
      <c r="AC110" s="236">
        <v>0.0433</v>
      </c>
      <c r="AD110" s="236">
        <v>0.0132</v>
      </c>
      <c r="AE110" s="236">
        <v>0.0191</v>
      </c>
    </row>
    <row r="111">
      <c r="A111" s="45" t="s">
        <v>303</v>
      </c>
      <c r="B111" s="237">
        <f t="shared" ref="B111:AE111" si="24">B8/B54</f>
        <v>230.8966009</v>
      </c>
      <c r="C111" s="237">
        <f t="shared" si="24"/>
        <v>210.8838561</v>
      </c>
      <c r="D111" s="237">
        <f t="shared" si="24"/>
        <v>215.7225096</v>
      </c>
      <c r="E111" s="237">
        <f t="shared" si="24"/>
        <v>225.167214</v>
      </c>
      <c r="F111" s="237">
        <f t="shared" si="24"/>
        <v>224.5698208</v>
      </c>
      <c r="G111" s="237">
        <f t="shared" si="24"/>
        <v>221.4320408</v>
      </c>
      <c r="H111" s="237">
        <f t="shared" si="24"/>
        <v>227.3841445</v>
      </c>
      <c r="I111" s="237">
        <f t="shared" si="24"/>
        <v>229.3069145</v>
      </c>
      <c r="J111" s="237">
        <f t="shared" si="24"/>
        <v>228.8947586</v>
      </c>
      <c r="K111" s="237">
        <f t="shared" si="24"/>
        <v>228.6608289</v>
      </c>
      <c r="L111" s="237">
        <f t="shared" si="24"/>
        <v>243.3625926</v>
      </c>
      <c r="M111" s="237">
        <f t="shared" si="24"/>
        <v>215.700103</v>
      </c>
      <c r="N111" s="237">
        <f t="shared" si="24"/>
        <v>147.4764694</v>
      </c>
      <c r="O111" s="237">
        <f t="shared" si="24"/>
        <v>235.344493</v>
      </c>
      <c r="P111" s="237">
        <f t="shared" si="24"/>
        <v>233.0540168</v>
      </c>
      <c r="Q111" s="237">
        <f t="shared" si="24"/>
        <v>230.6451613</v>
      </c>
      <c r="R111" s="237">
        <f t="shared" si="24"/>
        <v>228.7053667</v>
      </c>
      <c r="S111" s="237">
        <f t="shared" si="24"/>
        <v>235.4554127</v>
      </c>
      <c r="T111" s="237">
        <f t="shared" si="24"/>
        <v>238.6339974</v>
      </c>
      <c r="U111" s="237">
        <f t="shared" si="24"/>
        <v>241.7920896</v>
      </c>
      <c r="V111" s="237">
        <f t="shared" si="24"/>
        <v>235.5099524</v>
      </c>
      <c r="W111" s="237">
        <f t="shared" si="24"/>
        <v>233.5353859</v>
      </c>
      <c r="X111" s="237">
        <f t="shared" si="24"/>
        <v>240.5323901</v>
      </c>
      <c r="Y111" s="237">
        <f t="shared" si="24"/>
        <v>238.0080725</v>
      </c>
      <c r="Z111" s="237">
        <f t="shared" si="24"/>
        <v>235.847471</v>
      </c>
      <c r="AA111" s="237">
        <f t="shared" si="24"/>
        <v>238.2136975</v>
      </c>
      <c r="AB111" s="237">
        <f t="shared" si="24"/>
        <v>238.9975774</v>
      </c>
      <c r="AC111" s="237">
        <f t="shared" si="24"/>
        <v>242.2635606</v>
      </c>
      <c r="AD111" s="237">
        <f t="shared" si="24"/>
        <v>305.9973977</v>
      </c>
      <c r="AE111" s="226">
        <f t="shared" si="24"/>
        <v>296.43525</v>
      </c>
    </row>
    <row r="112">
      <c r="A112" s="45" t="s">
        <v>306</v>
      </c>
      <c r="B112" s="35">
        <v>234.96</v>
      </c>
      <c r="C112" s="35">
        <v>217.31</v>
      </c>
      <c r="D112" s="239">
        <v>218.28</v>
      </c>
      <c r="E112" s="239">
        <v>227.2</v>
      </c>
      <c r="F112" s="35">
        <v>227.7</v>
      </c>
      <c r="G112" s="35">
        <v>224.91</v>
      </c>
      <c r="H112" s="35">
        <v>227.47</v>
      </c>
      <c r="I112" s="35">
        <v>231.82</v>
      </c>
      <c r="J112" s="35">
        <v>231.21</v>
      </c>
      <c r="K112" s="35">
        <v>233.17</v>
      </c>
      <c r="L112" s="35">
        <v>246.61</v>
      </c>
      <c r="M112" s="35">
        <v>217.55</v>
      </c>
      <c r="N112" s="35">
        <v>145.33</v>
      </c>
      <c r="O112" s="35">
        <v>237.05</v>
      </c>
      <c r="P112" s="35">
        <v>236.24</v>
      </c>
      <c r="Q112" s="35">
        <v>233.58</v>
      </c>
      <c r="R112" s="240">
        <v>232.6</v>
      </c>
      <c r="S112" s="35">
        <v>235.49</v>
      </c>
      <c r="T112" s="35">
        <v>240.47</v>
      </c>
      <c r="U112" s="35">
        <v>242.71</v>
      </c>
      <c r="V112" s="35">
        <v>238.46</v>
      </c>
      <c r="W112" s="35">
        <v>236.52</v>
      </c>
      <c r="X112" s="35">
        <v>241.57</v>
      </c>
      <c r="Y112" s="35">
        <v>238.93</v>
      </c>
      <c r="Z112" s="35">
        <v>237.27</v>
      </c>
      <c r="AA112" s="35">
        <v>238.32</v>
      </c>
      <c r="AB112" s="35">
        <v>240.17</v>
      </c>
      <c r="AC112" s="35">
        <v>243.51</v>
      </c>
      <c r="AD112" s="35">
        <v>307.24</v>
      </c>
      <c r="AE112" s="35">
        <v>301.51</v>
      </c>
    </row>
    <row r="113">
      <c r="A113" s="45" t="s">
        <v>308</v>
      </c>
      <c r="B113" s="35">
        <v>150.46</v>
      </c>
      <c r="C113" s="35">
        <v>104.66</v>
      </c>
      <c r="D113" s="239">
        <v>177.38</v>
      </c>
      <c r="E113" s="239">
        <v>161.94</v>
      </c>
      <c r="F113" s="35">
        <v>107.44</v>
      </c>
      <c r="G113" s="35">
        <v>104.77</v>
      </c>
      <c r="H113" s="35">
        <v>223.88</v>
      </c>
      <c r="I113" s="35">
        <v>191.4</v>
      </c>
      <c r="J113" s="35">
        <v>203.0</v>
      </c>
      <c r="K113" s="35">
        <v>110.74</v>
      </c>
      <c r="L113" s="35">
        <v>169.02</v>
      </c>
      <c r="M113" s="35">
        <v>154.9</v>
      </c>
      <c r="N113" s="35">
        <v>256.69</v>
      </c>
      <c r="O113" s="35">
        <v>158.87</v>
      </c>
      <c r="P113" s="35">
        <v>117.57</v>
      </c>
      <c r="Q113" s="35">
        <v>161.64</v>
      </c>
      <c r="R113" s="35">
        <v>127.49</v>
      </c>
      <c r="S113" s="35">
        <v>248.02</v>
      </c>
      <c r="T113" s="35">
        <v>184.2</v>
      </c>
      <c r="U113" s="35">
        <v>218.08</v>
      </c>
      <c r="V113" s="35">
        <v>183.4</v>
      </c>
      <c r="W113" s="35">
        <v>191.74</v>
      </c>
      <c r="X113" s="35">
        <v>239.89</v>
      </c>
      <c r="Y113" s="35">
        <v>218.03</v>
      </c>
      <c r="Z113" s="35">
        <v>201.68</v>
      </c>
      <c r="AA113" s="35">
        <v>239.8</v>
      </c>
      <c r="AB113" s="35">
        <v>209.14</v>
      </c>
      <c r="AC113" s="35">
        <v>182.78</v>
      </c>
      <c r="AD113" s="35">
        <v>271.78</v>
      </c>
      <c r="AE113" s="35">
        <v>193.22</v>
      </c>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c r="A115" s="45" t="s">
        <v>309</v>
      </c>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c r="A116" s="235" t="s">
        <v>311</v>
      </c>
      <c r="B116" s="236">
        <v>0.018</v>
      </c>
      <c r="C116" s="236">
        <v>0.054</v>
      </c>
      <c r="D116" s="236">
        <v>0.039</v>
      </c>
      <c r="E116" s="236">
        <v>0.032</v>
      </c>
      <c r="F116" s="236">
        <v>0.026</v>
      </c>
      <c r="G116" s="236">
        <v>0.029</v>
      </c>
      <c r="H116" s="241">
        <v>0.025</v>
      </c>
      <c r="I116" s="241">
        <v>0.042</v>
      </c>
      <c r="J116" s="241">
        <v>0.037</v>
      </c>
      <c r="K116" s="241">
        <v>0.034</v>
      </c>
      <c r="L116" s="241">
        <v>0.032</v>
      </c>
      <c r="M116" s="241">
        <v>0.021</v>
      </c>
      <c r="N116" s="241">
        <v>0.021</v>
      </c>
      <c r="O116" s="241">
        <v>0.022</v>
      </c>
      <c r="P116" s="241">
        <v>0.024</v>
      </c>
      <c r="Q116" s="241">
        <v>0.024</v>
      </c>
      <c r="R116" s="241">
        <v>0.034</v>
      </c>
      <c r="S116" s="241">
        <v>0.023</v>
      </c>
      <c r="T116" s="241">
        <v>0.026</v>
      </c>
      <c r="U116" s="241">
        <v>0.035</v>
      </c>
      <c r="V116" s="241">
        <v>0.023</v>
      </c>
      <c r="W116" s="241">
        <v>0.053</v>
      </c>
      <c r="X116" s="241">
        <v>0.027</v>
      </c>
      <c r="Y116" s="241">
        <v>0.026</v>
      </c>
      <c r="Z116" s="241">
        <v>0.029</v>
      </c>
      <c r="AA116" s="241">
        <v>0.029</v>
      </c>
      <c r="AB116" s="241">
        <v>0.024</v>
      </c>
      <c r="AC116" s="241">
        <v>0.021</v>
      </c>
      <c r="AD116" s="241">
        <v>0.036</v>
      </c>
      <c r="AE116" s="241">
        <v>0.047</v>
      </c>
    </row>
    <row r="117">
      <c r="A117" s="9" t="s">
        <v>314</v>
      </c>
      <c r="B117" s="242">
        <f t="shared" ref="B117:AE117" si="25">1-B116</f>
        <v>0.982</v>
      </c>
      <c r="C117" s="242">
        <f t="shared" si="25"/>
        <v>0.946</v>
      </c>
      <c r="D117" s="242">
        <f t="shared" si="25"/>
        <v>0.961</v>
      </c>
      <c r="E117" s="242">
        <f t="shared" si="25"/>
        <v>0.968</v>
      </c>
      <c r="F117" s="242">
        <f t="shared" si="25"/>
        <v>0.974</v>
      </c>
      <c r="G117" s="242">
        <f t="shared" si="25"/>
        <v>0.971</v>
      </c>
      <c r="H117" s="242">
        <f t="shared" si="25"/>
        <v>0.975</v>
      </c>
      <c r="I117" s="242">
        <f t="shared" si="25"/>
        <v>0.958</v>
      </c>
      <c r="J117" s="242">
        <f t="shared" si="25"/>
        <v>0.963</v>
      </c>
      <c r="K117" s="242">
        <f t="shared" si="25"/>
        <v>0.966</v>
      </c>
      <c r="L117" s="242">
        <f t="shared" si="25"/>
        <v>0.968</v>
      </c>
      <c r="M117" s="242">
        <f t="shared" si="25"/>
        <v>0.979</v>
      </c>
      <c r="N117" s="242">
        <f t="shared" si="25"/>
        <v>0.979</v>
      </c>
      <c r="O117" s="242">
        <f t="shared" si="25"/>
        <v>0.978</v>
      </c>
      <c r="P117" s="242">
        <f t="shared" si="25"/>
        <v>0.976</v>
      </c>
      <c r="Q117" s="242">
        <f t="shared" si="25"/>
        <v>0.976</v>
      </c>
      <c r="R117" s="242">
        <f t="shared" si="25"/>
        <v>0.966</v>
      </c>
      <c r="S117" s="242">
        <f t="shared" si="25"/>
        <v>0.977</v>
      </c>
      <c r="T117" s="242">
        <f t="shared" si="25"/>
        <v>0.974</v>
      </c>
      <c r="U117" s="242">
        <f t="shared" si="25"/>
        <v>0.965</v>
      </c>
      <c r="V117" s="242">
        <f t="shared" si="25"/>
        <v>0.977</v>
      </c>
      <c r="W117" s="242">
        <f t="shared" si="25"/>
        <v>0.947</v>
      </c>
      <c r="X117" s="242">
        <f t="shared" si="25"/>
        <v>0.973</v>
      </c>
      <c r="Y117" s="242">
        <f t="shared" si="25"/>
        <v>0.974</v>
      </c>
      <c r="Z117" s="242">
        <f t="shared" si="25"/>
        <v>0.971</v>
      </c>
      <c r="AA117" s="242">
        <f t="shared" si="25"/>
        <v>0.971</v>
      </c>
      <c r="AB117" s="242">
        <f t="shared" si="25"/>
        <v>0.976</v>
      </c>
      <c r="AC117" s="242">
        <f t="shared" si="25"/>
        <v>0.979</v>
      </c>
      <c r="AD117" s="242">
        <f t="shared" si="25"/>
        <v>0.964</v>
      </c>
      <c r="AE117" s="242">
        <f t="shared" si="25"/>
        <v>0.953</v>
      </c>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c r="A119" s="9"/>
      <c r="B119" s="244">
        <v>45231.0</v>
      </c>
      <c r="C119" s="245" t="s">
        <v>317</v>
      </c>
      <c r="D119" s="245" t="s">
        <v>318</v>
      </c>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c r="A120" s="9" t="s">
        <v>105</v>
      </c>
      <c r="B120" s="226">
        <f>SUM(B35:AE35)+SUM(B51:AE51)</f>
        <v>9683801.595</v>
      </c>
      <c r="C120" s="246">
        <v>1200000.0</v>
      </c>
      <c r="D120" s="247">
        <f t="shared" ref="D120:D122" si="26">B120/C120</f>
        <v>8.069834663</v>
      </c>
      <c r="E120" s="9"/>
      <c r="F120" s="9"/>
      <c r="G120" s="9"/>
      <c r="H120" s="9"/>
      <c r="I120" s="9"/>
      <c r="J120" s="9"/>
      <c r="K120" s="9"/>
      <c r="L120" s="9"/>
      <c r="M120" s="9"/>
      <c r="N120" s="9"/>
      <c r="O120" s="9"/>
      <c r="P120" s="9"/>
      <c r="Q120" s="9"/>
      <c r="R120" s="9"/>
      <c r="S120" s="9"/>
      <c r="T120" s="9"/>
      <c r="U120" s="9"/>
      <c r="V120" s="9"/>
      <c r="W120" s="9"/>
      <c r="X120" s="235"/>
      <c r="Y120" s="9"/>
      <c r="Z120" s="9"/>
      <c r="AA120" s="139"/>
      <c r="AB120" s="9"/>
      <c r="AC120" s="9"/>
      <c r="AD120" s="9"/>
      <c r="AE120" s="9"/>
    </row>
    <row r="121">
      <c r="A121" s="9" t="s">
        <v>320</v>
      </c>
      <c r="B121" s="226">
        <f>SUM(B92:AE92)+SUM(B98:AE98)</f>
        <v>2195359.442</v>
      </c>
      <c r="C121" s="246">
        <f>C120/C122</f>
        <v>300000</v>
      </c>
      <c r="D121" s="247">
        <f t="shared" si="26"/>
        <v>7.317864807</v>
      </c>
      <c r="E121" s="9"/>
      <c r="F121" s="9"/>
      <c r="G121" s="9"/>
      <c r="H121" s="9"/>
      <c r="I121" s="9"/>
      <c r="J121" s="9"/>
      <c r="K121" s="9"/>
      <c r="L121" s="9"/>
      <c r="M121" s="9"/>
      <c r="N121" s="9"/>
      <c r="O121" s="9"/>
      <c r="P121" s="9"/>
      <c r="Q121" s="9"/>
      <c r="R121" s="9"/>
      <c r="S121" s="9"/>
      <c r="T121" s="9"/>
      <c r="U121" s="9"/>
      <c r="V121" s="9"/>
      <c r="W121" s="9"/>
      <c r="X121" s="235"/>
      <c r="Y121" s="9"/>
      <c r="Z121" s="9"/>
      <c r="AA121" s="139"/>
      <c r="AB121" s="9"/>
      <c r="AC121" s="9"/>
      <c r="AD121" s="9"/>
      <c r="AE121" s="9"/>
    </row>
    <row r="122">
      <c r="A122" s="9" t="s">
        <v>323</v>
      </c>
      <c r="B122" s="217">
        <f>B120/B121</f>
        <v>4.411032385</v>
      </c>
      <c r="C122" s="249">
        <v>4.0</v>
      </c>
      <c r="D122" s="247">
        <f t="shared" si="26"/>
        <v>1.102758096</v>
      </c>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c r="A123" s="15" t="s">
        <v>324</v>
      </c>
      <c r="B123" s="226">
        <f>SUM(B92:AE92)/SUM('DTC - P&amp;L'!B57:AE57,'AMAZON - P&amp;L'!B32:AE32,'Digital Marketplaces'!B17:AE17,'Digital Marketplaces'!B129:AE129,B66:AE66)</f>
        <v>54.7944532</v>
      </c>
      <c r="C123" s="183"/>
      <c r="D123" s="235"/>
      <c r="E123" s="9"/>
      <c r="F123" s="9"/>
      <c r="G123" s="9"/>
      <c r="H123" s="9"/>
      <c r="I123" s="9"/>
      <c r="J123" s="9"/>
      <c r="K123" s="9"/>
      <c r="L123" s="9"/>
      <c r="M123" s="9"/>
      <c r="N123" s="9"/>
      <c r="O123" s="9"/>
      <c r="P123" s="9"/>
      <c r="Q123" s="9"/>
      <c r="R123" s="9"/>
      <c r="S123" s="9"/>
      <c r="T123" s="9"/>
      <c r="U123" s="9"/>
      <c r="V123" s="9"/>
      <c r="W123" s="9" t="s">
        <v>327</v>
      </c>
      <c r="X123" s="9"/>
      <c r="Y123" s="9"/>
      <c r="Z123" s="9"/>
      <c r="AA123" s="9"/>
      <c r="AB123" s="9"/>
      <c r="AC123" s="9"/>
      <c r="AD123" s="9"/>
      <c r="AE123" s="9"/>
    </row>
    <row r="124">
      <c r="A124" s="9" t="s">
        <v>328</v>
      </c>
      <c r="B124" s="242">
        <f>IFERROR(__xludf.DUMMYFUNCTION("AVERAGE.WEIGHTED(B110:AE110,B68:AE68)"),0.041280382291340664)</f>
        <v>0.04128038229</v>
      </c>
      <c r="C124" s="235"/>
      <c r="D124" s="235"/>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c r="A125" s="9" t="s">
        <v>329</v>
      </c>
      <c r="B125" s="226">
        <f>B120/B128</f>
        <v>233.1255349</v>
      </c>
      <c r="C125" s="183"/>
      <c r="D125" s="235"/>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c r="A126" s="9" t="s">
        <v>306</v>
      </c>
      <c r="B126" s="226">
        <f t="shared" ref="B126:B127" si="27">AVERAGE(B112:AE112)</f>
        <v>235.5053333</v>
      </c>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c r="A127" s="9" t="s">
        <v>308</v>
      </c>
      <c r="B127" s="226">
        <f t="shared" si="27"/>
        <v>182.1203333</v>
      </c>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c r="A128" s="9" t="s">
        <v>66</v>
      </c>
      <c r="B128" s="250">
        <f>SUM(B68:AE68)</f>
        <v>41539</v>
      </c>
      <c r="C128" s="9"/>
      <c r="D128" s="235"/>
      <c r="E128" s="9"/>
      <c r="F128" s="9"/>
      <c r="G128" s="9"/>
      <c r="H128" s="9"/>
      <c r="I128" s="9"/>
      <c r="J128" s="9"/>
      <c r="K128" s="9"/>
      <c r="L128" s="9" t="s">
        <v>327</v>
      </c>
      <c r="M128" s="9"/>
      <c r="N128" s="9"/>
      <c r="O128" s="9"/>
      <c r="P128" s="9"/>
      <c r="Q128" s="9"/>
      <c r="R128" s="9"/>
      <c r="S128" s="9"/>
      <c r="T128" s="9"/>
      <c r="U128" s="9"/>
      <c r="V128" s="9"/>
      <c r="W128" s="9"/>
      <c r="X128" s="9"/>
      <c r="Y128" s="9"/>
      <c r="Z128" s="9"/>
      <c r="AA128" s="9"/>
      <c r="AB128" s="9"/>
      <c r="AC128" s="9"/>
      <c r="AD128" s="9"/>
      <c r="AE128" s="9"/>
    </row>
    <row r="129">
      <c r="A129" s="9" t="s">
        <v>332</v>
      </c>
      <c r="B129" s="252">
        <f>'DTC - P&amp;L'!AF178 +'AMAZON - P&amp;L'!AF82</f>
        <v>42332.34</v>
      </c>
      <c r="C129" s="253">
        <v>4000.0</v>
      </c>
      <c r="D129" s="247">
        <f>B129/C129</f>
        <v>10.583085</v>
      </c>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c r="A130" s="9" t="s">
        <v>334</v>
      </c>
      <c r="B130" s="226">
        <f>B121/B129</f>
        <v>51.86010133</v>
      </c>
      <c r="C130" s="183"/>
      <c r="D130" s="235"/>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c r="A131" s="9" t="s">
        <v>335</v>
      </c>
      <c r="B131" s="242">
        <f>IFERROR(__xludf.DUMMYFUNCTION("AVERAGE.WEIGHTED(B117:AE117,B54:AE54)"),0.971240975089916)</f>
        <v>0.9712409751</v>
      </c>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c r="A132" s="9" t="s">
        <v>336</v>
      </c>
      <c r="B132" s="242">
        <f>IFERROR(__xludf.DUMMYFUNCTION("AVERAGE.WEIGHTED(B116:AE116,B68:AE68)"),0.028774597366330437)</f>
        <v>0.02877459737</v>
      </c>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235"/>
      <c r="Z142" s="235"/>
      <c r="AA142" s="235"/>
      <c r="AB142" s="235"/>
      <c r="AC142" s="235"/>
      <c r="AD142" s="235"/>
      <c r="AE142" s="235"/>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235"/>
      <c r="Z143" s="235"/>
      <c r="AA143" s="235"/>
      <c r="AB143" s="235"/>
      <c r="AC143" s="235"/>
      <c r="AD143" s="235"/>
      <c r="AE143" s="235"/>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235"/>
      <c r="Z144" s="235"/>
      <c r="AA144" s="235"/>
      <c r="AB144" s="235"/>
      <c r="AC144" s="235"/>
      <c r="AD144" s="235"/>
      <c r="AE144" s="235"/>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255"/>
      <c r="Z145" s="9"/>
      <c r="AA145" s="9"/>
      <c r="AB145" s="9"/>
      <c r="AC145" s="235"/>
      <c r="AD145" s="235"/>
      <c r="AE145" s="235"/>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t="s">
        <v>327</v>
      </c>
      <c r="Z150" s="9"/>
      <c r="AA150" s="9"/>
      <c r="AB150" s="9"/>
      <c r="AC150" s="9"/>
      <c r="AD150" s="9"/>
      <c r="AE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c r="A238" s="9"/>
      <c r="B238" s="9"/>
      <c r="C238" s="9"/>
      <c r="D238" s="9"/>
      <c r="E238" s="9"/>
      <c r="F238" s="9"/>
      <c r="G238" s="90"/>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c r="A239" s="9"/>
      <c r="B239" s="9"/>
      <c r="C239" s="9"/>
      <c r="D239" s="9"/>
      <c r="E239" s="9"/>
      <c r="F239" s="9"/>
      <c r="G239" s="90"/>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row>
  </sheetData>
  <mergeCells count="4">
    <mergeCell ref="A4:A6"/>
    <mergeCell ref="B4:G4"/>
    <mergeCell ref="H5:J5"/>
    <mergeCell ref="K5:AC5"/>
  </mergeCells>
  <conditionalFormatting sqref="B100:AE100">
    <cfRule type="colorScale" priority="1">
      <colorScale>
        <cfvo type="min"/>
        <cfvo type="max"/>
        <color rgb="FFFFFFFF"/>
        <color rgb="FF57BB8A"/>
      </colorScale>
    </cfRule>
  </conditionalFormatting>
  <conditionalFormatting sqref="B105:AE105">
    <cfRule type="colorScale" priority="2">
      <colorScale>
        <cfvo type="min"/>
        <cfvo type="max"/>
        <color rgb="FF57BB8A"/>
        <color rgb="FFFFFFFF"/>
      </colorScale>
    </cfRule>
  </conditionalFormatting>
  <conditionalFormatting sqref="B110:AE110">
    <cfRule type="colorScale" priority="3">
      <colorScale>
        <cfvo type="min"/>
        <cfvo type="max"/>
        <color rgb="FFFFFFFF"/>
        <color rgb="FF57BB8A"/>
      </colorScale>
    </cfRule>
  </conditionalFormatting>
  <conditionalFormatting sqref="B111:AE111">
    <cfRule type="colorScale" priority="4">
      <colorScale>
        <cfvo type="min"/>
        <cfvo type="max"/>
        <color rgb="FFFFFFFF"/>
        <color rgb="FF57BB8A"/>
      </colorScale>
    </cfRule>
  </conditionalFormatting>
  <conditionalFormatting sqref="B116:AE116">
    <cfRule type="colorScale" priority="5">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7.13"/>
    <col customWidth="1" min="32" max="32" width="14.38"/>
  </cols>
  <sheetData>
    <row r="1">
      <c r="A1" s="2" t="s">
        <v>1</v>
      </c>
      <c r="B1" s="4">
        <v>45231.0</v>
      </c>
      <c r="C1" s="4">
        <v>45232.0</v>
      </c>
      <c r="D1" s="4">
        <v>45233.0</v>
      </c>
      <c r="E1" s="4">
        <v>45234.0</v>
      </c>
      <c r="F1" s="4">
        <v>45235.0</v>
      </c>
      <c r="G1" s="4">
        <v>45236.0</v>
      </c>
      <c r="H1" s="4">
        <v>45237.0</v>
      </c>
      <c r="I1" s="4">
        <v>45238.0</v>
      </c>
      <c r="J1" s="4">
        <v>45239.0</v>
      </c>
      <c r="K1" s="4">
        <v>45240.0</v>
      </c>
      <c r="L1" s="4">
        <v>45241.0</v>
      </c>
      <c r="M1" s="4">
        <v>45242.0</v>
      </c>
      <c r="N1" s="4">
        <v>45243.0</v>
      </c>
      <c r="O1" s="4">
        <v>45244.0</v>
      </c>
      <c r="P1" s="4">
        <v>45245.0</v>
      </c>
      <c r="Q1" s="4">
        <v>45246.0</v>
      </c>
      <c r="R1" s="4">
        <v>45247.0</v>
      </c>
      <c r="S1" s="4">
        <v>45248.0</v>
      </c>
      <c r="T1" s="4">
        <v>45249.0</v>
      </c>
      <c r="U1" s="4">
        <v>45250.0</v>
      </c>
      <c r="V1" s="4">
        <v>45251.0</v>
      </c>
      <c r="W1" s="4">
        <v>45252.0</v>
      </c>
      <c r="X1" s="4">
        <v>45253.0</v>
      </c>
      <c r="Y1" s="4">
        <v>45254.0</v>
      </c>
      <c r="Z1" s="4">
        <v>45255.0</v>
      </c>
      <c r="AA1" s="4">
        <v>45256.0</v>
      </c>
      <c r="AB1" s="4">
        <v>45257.0</v>
      </c>
      <c r="AC1" s="4">
        <v>45258.0</v>
      </c>
      <c r="AD1" s="4">
        <v>45259.0</v>
      </c>
      <c r="AE1" s="4">
        <v>45260.0</v>
      </c>
      <c r="AF1" s="10"/>
    </row>
    <row r="2">
      <c r="A2" s="7" t="s">
        <v>43</v>
      </c>
      <c r="B2" s="8" t="s">
        <v>44</v>
      </c>
      <c r="C2" s="8" t="s">
        <v>45</v>
      </c>
      <c r="D2" s="8" t="s">
        <v>46</v>
      </c>
      <c r="E2" s="8" t="s">
        <v>47</v>
      </c>
      <c r="F2" s="8" t="s">
        <v>48</v>
      </c>
      <c r="G2" s="8" t="s">
        <v>49</v>
      </c>
      <c r="H2" s="8" t="s">
        <v>50</v>
      </c>
      <c r="I2" s="8" t="s">
        <v>44</v>
      </c>
      <c r="J2" s="8" t="s">
        <v>45</v>
      </c>
      <c r="K2" s="8" t="s">
        <v>46</v>
      </c>
      <c r="L2" s="8" t="s">
        <v>47</v>
      </c>
      <c r="M2" s="8" t="s">
        <v>48</v>
      </c>
      <c r="N2" s="8" t="s">
        <v>49</v>
      </c>
      <c r="O2" s="8" t="s">
        <v>50</v>
      </c>
      <c r="P2" s="8" t="s">
        <v>44</v>
      </c>
      <c r="Q2" s="8" t="s">
        <v>45</v>
      </c>
      <c r="R2" s="8" t="s">
        <v>46</v>
      </c>
      <c r="S2" s="8" t="s">
        <v>47</v>
      </c>
      <c r="T2" s="8" t="s">
        <v>48</v>
      </c>
      <c r="U2" s="8" t="s">
        <v>49</v>
      </c>
      <c r="V2" s="8" t="s">
        <v>50</v>
      </c>
      <c r="W2" s="8" t="s">
        <v>44</v>
      </c>
      <c r="X2" s="8" t="s">
        <v>45</v>
      </c>
      <c r="Y2" s="8" t="s">
        <v>46</v>
      </c>
      <c r="Z2" s="8" t="s">
        <v>47</v>
      </c>
      <c r="AA2" s="8" t="s">
        <v>48</v>
      </c>
      <c r="AB2" s="8" t="s">
        <v>49</v>
      </c>
      <c r="AC2" s="8" t="s">
        <v>50</v>
      </c>
      <c r="AD2" s="8" t="s">
        <v>44</v>
      </c>
      <c r="AE2" s="8" t="s">
        <v>45</v>
      </c>
      <c r="AF2" s="10"/>
    </row>
    <row r="3">
      <c r="A3" s="14" t="s">
        <v>60</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10"/>
    </row>
    <row r="4">
      <c r="A4" s="16" t="s">
        <v>66</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10"/>
    </row>
    <row r="5">
      <c r="A5" s="25" t="s">
        <v>81</v>
      </c>
      <c r="B5" s="27">
        <v>305.0</v>
      </c>
      <c r="C5" s="27">
        <v>329.0</v>
      </c>
      <c r="D5" s="27">
        <v>325.0</v>
      </c>
      <c r="E5" s="27">
        <v>321.0</v>
      </c>
      <c r="F5" s="27">
        <v>377.0</v>
      </c>
      <c r="G5" s="27">
        <v>353.0</v>
      </c>
      <c r="H5" s="27">
        <v>314.0</v>
      </c>
      <c r="I5" s="27">
        <v>292.0</v>
      </c>
      <c r="J5" s="27">
        <v>329.0</v>
      </c>
      <c r="K5" s="27">
        <v>340.0</v>
      </c>
      <c r="L5" s="27">
        <v>315.0</v>
      </c>
      <c r="M5" s="27">
        <v>344.0</v>
      </c>
      <c r="N5" s="27">
        <v>250.0</v>
      </c>
      <c r="O5" s="27">
        <v>324.0</v>
      </c>
      <c r="P5" s="27">
        <v>313.0</v>
      </c>
      <c r="Q5" s="27">
        <v>316.0</v>
      </c>
      <c r="R5" s="27">
        <v>314.0</v>
      </c>
      <c r="S5" s="27">
        <v>407.0</v>
      </c>
      <c r="T5" s="27">
        <v>403.0</v>
      </c>
      <c r="U5" s="27">
        <v>472.0</v>
      </c>
      <c r="V5" s="27">
        <v>447.0</v>
      </c>
      <c r="W5" s="27">
        <v>591.0</v>
      </c>
      <c r="X5" s="27">
        <v>825.0</v>
      </c>
      <c r="Y5" s="27">
        <v>2373.0</v>
      </c>
      <c r="Z5" s="31">
        <v>1476.0</v>
      </c>
      <c r="AA5" s="27">
        <v>1134.0</v>
      </c>
      <c r="AB5" s="27">
        <v>1693.0</v>
      </c>
      <c r="AC5" s="27">
        <v>1202.0</v>
      </c>
      <c r="AD5" s="27">
        <v>190.0</v>
      </c>
      <c r="AE5" s="27">
        <v>116.0</v>
      </c>
      <c r="AF5" s="33">
        <f t="shared" ref="AF5:AF12" si="1">SUM(B5:AE5)</f>
        <v>16790</v>
      </c>
    </row>
    <row r="6">
      <c r="A6" s="25" t="s">
        <v>95</v>
      </c>
      <c r="B6" s="36">
        <v>129.23</v>
      </c>
      <c r="C6" s="36">
        <v>136.54</v>
      </c>
      <c r="D6" s="37">
        <v>142.32</v>
      </c>
      <c r="E6" s="37">
        <v>169.04</v>
      </c>
      <c r="F6" s="37">
        <v>192.21</v>
      </c>
      <c r="G6" s="36">
        <v>213.75</v>
      </c>
      <c r="H6" s="36">
        <v>212.27</v>
      </c>
      <c r="I6" s="36">
        <v>193.51</v>
      </c>
      <c r="J6" s="36">
        <v>199.67</v>
      </c>
      <c r="K6" s="36">
        <v>227.59</v>
      </c>
      <c r="L6" s="37">
        <v>228.33</v>
      </c>
      <c r="M6" s="36">
        <v>229.89</v>
      </c>
      <c r="N6" s="36">
        <v>226.72</v>
      </c>
      <c r="O6" s="36">
        <v>237.61</v>
      </c>
      <c r="P6" s="36">
        <v>222.03</v>
      </c>
      <c r="Q6" s="36">
        <v>228.18</v>
      </c>
      <c r="R6" s="36">
        <v>260.86</v>
      </c>
      <c r="S6" s="36">
        <v>289.41</v>
      </c>
      <c r="T6" s="36">
        <v>366.37</v>
      </c>
      <c r="U6" s="36">
        <v>364.71</v>
      </c>
      <c r="V6" s="36">
        <v>362.56</v>
      </c>
      <c r="W6" s="36">
        <v>339.91</v>
      </c>
      <c r="X6" s="36">
        <v>579.91</v>
      </c>
      <c r="Y6" s="36">
        <v>1249.0</v>
      </c>
      <c r="Z6" s="36">
        <v>914.0</v>
      </c>
      <c r="AA6" s="36">
        <v>686.99</v>
      </c>
      <c r="AB6" s="36">
        <v>1015.0</v>
      </c>
      <c r="AC6" s="36">
        <v>747.0</v>
      </c>
      <c r="AD6" s="36">
        <v>137.75</v>
      </c>
      <c r="AE6" s="36">
        <v>133.61</v>
      </c>
      <c r="AF6" s="41">
        <f t="shared" si="1"/>
        <v>10635.97</v>
      </c>
    </row>
    <row r="7">
      <c r="A7" s="25" t="s">
        <v>97</v>
      </c>
      <c r="B7" s="27">
        <v>0.0</v>
      </c>
      <c r="C7" s="27">
        <v>0.0</v>
      </c>
      <c r="D7" s="27">
        <v>0.0</v>
      </c>
      <c r="E7" s="27">
        <v>0.0</v>
      </c>
      <c r="F7" s="27">
        <v>0.0</v>
      </c>
      <c r="G7" s="27">
        <v>0.0</v>
      </c>
      <c r="H7" s="27">
        <v>0.0</v>
      </c>
      <c r="I7" s="27">
        <v>0.0</v>
      </c>
      <c r="J7" s="27">
        <v>0.0</v>
      </c>
      <c r="K7" s="27">
        <v>0.0</v>
      </c>
      <c r="L7" s="27">
        <v>0.0</v>
      </c>
      <c r="M7" s="27">
        <v>0.0</v>
      </c>
      <c r="N7" s="27">
        <v>0.0</v>
      </c>
      <c r="O7" s="27">
        <v>0.0</v>
      </c>
      <c r="P7" s="27">
        <v>0.0</v>
      </c>
      <c r="Q7" s="27">
        <v>2.0</v>
      </c>
      <c r="R7" s="27">
        <v>0.0</v>
      </c>
      <c r="S7" s="27">
        <v>0.0</v>
      </c>
      <c r="T7" s="27">
        <v>0.0</v>
      </c>
      <c r="U7" s="27">
        <v>0.0</v>
      </c>
      <c r="V7" s="27">
        <v>0.0</v>
      </c>
      <c r="W7" s="27">
        <v>0.0</v>
      </c>
      <c r="X7" s="27">
        <v>0.0</v>
      </c>
      <c r="Y7" s="27">
        <v>0.0</v>
      </c>
      <c r="Z7" s="27">
        <v>0.0</v>
      </c>
      <c r="AA7" s="27">
        <v>0.0</v>
      </c>
      <c r="AB7" s="27">
        <v>0.0</v>
      </c>
      <c r="AC7" s="27">
        <v>0.0</v>
      </c>
      <c r="AD7" s="27">
        <v>0.0</v>
      </c>
      <c r="AE7" s="27">
        <v>0.0</v>
      </c>
      <c r="AF7" s="33">
        <f t="shared" si="1"/>
        <v>2</v>
      </c>
    </row>
    <row r="8">
      <c r="A8" s="25" t="s">
        <v>100</v>
      </c>
      <c r="B8" s="27">
        <v>24.0</v>
      </c>
      <c r="C8" s="27">
        <v>30.0</v>
      </c>
      <c r="D8" s="27">
        <v>24.0</v>
      </c>
      <c r="E8" s="27">
        <v>22.0</v>
      </c>
      <c r="F8" s="27">
        <v>20.0</v>
      </c>
      <c r="G8" s="27">
        <v>34.0</v>
      </c>
      <c r="H8" s="27">
        <v>26.0</v>
      </c>
      <c r="I8" s="27">
        <v>38.0</v>
      </c>
      <c r="J8" s="27">
        <v>20.0</v>
      </c>
      <c r="K8" s="27">
        <v>24.0</v>
      </c>
      <c r="L8" s="27">
        <v>40.0</v>
      </c>
      <c r="M8" s="27">
        <v>44.0</v>
      </c>
      <c r="N8" s="27">
        <v>26.0</v>
      </c>
      <c r="O8" s="27">
        <v>44.0</v>
      </c>
      <c r="P8" s="27">
        <v>28.0</v>
      </c>
      <c r="Q8" s="27">
        <v>30.0</v>
      </c>
      <c r="R8" s="27">
        <v>36.0</v>
      </c>
      <c r="S8" s="27">
        <v>22.0</v>
      </c>
      <c r="T8" s="27">
        <v>44.0</v>
      </c>
      <c r="U8" s="27">
        <v>34.0</v>
      </c>
      <c r="V8" s="27">
        <v>40.0</v>
      </c>
      <c r="W8" s="27">
        <v>46.0</v>
      </c>
      <c r="X8" s="27">
        <v>48.0</v>
      </c>
      <c r="Y8" s="27">
        <v>74.0</v>
      </c>
      <c r="Z8" s="27">
        <v>42.0</v>
      </c>
      <c r="AA8" s="27">
        <v>36.0</v>
      </c>
      <c r="AB8" s="27">
        <v>50.0</v>
      </c>
      <c r="AC8" s="27">
        <v>100.0</v>
      </c>
      <c r="AD8" s="27">
        <v>16.0</v>
      </c>
      <c r="AE8" s="27">
        <v>16.0</v>
      </c>
      <c r="AF8" s="33">
        <f t="shared" si="1"/>
        <v>1078</v>
      </c>
    </row>
    <row r="9">
      <c r="A9" s="25" t="s">
        <v>102</v>
      </c>
      <c r="B9" s="27">
        <v>0.0</v>
      </c>
      <c r="C9" s="27">
        <v>0.0</v>
      </c>
      <c r="D9" s="27">
        <v>0.0</v>
      </c>
      <c r="E9" s="27">
        <v>0.0</v>
      </c>
      <c r="F9" s="27">
        <v>0.0</v>
      </c>
      <c r="G9" s="27">
        <v>0.0</v>
      </c>
      <c r="H9" s="27">
        <v>0.0</v>
      </c>
      <c r="I9" s="27">
        <v>0.0</v>
      </c>
      <c r="J9" s="27">
        <v>0.0</v>
      </c>
      <c r="K9" s="27">
        <v>0.0</v>
      </c>
      <c r="L9" s="27">
        <v>0.0</v>
      </c>
      <c r="M9" s="27">
        <v>0.0</v>
      </c>
      <c r="N9" s="27">
        <v>0.0</v>
      </c>
      <c r="O9" s="27">
        <v>0.0</v>
      </c>
      <c r="P9" s="27">
        <v>0.0</v>
      </c>
      <c r="Q9" s="27">
        <v>0.0</v>
      </c>
      <c r="R9" s="27">
        <v>0.0</v>
      </c>
      <c r="S9" s="27">
        <v>1.0</v>
      </c>
      <c r="T9" s="27">
        <v>1.0</v>
      </c>
      <c r="U9" s="27">
        <v>1.0</v>
      </c>
      <c r="V9" s="27">
        <v>1.0</v>
      </c>
      <c r="W9" s="27">
        <v>0.0</v>
      </c>
      <c r="X9" s="27">
        <v>0.0</v>
      </c>
      <c r="Y9" s="27">
        <v>0.0</v>
      </c>
      <c r="Z9" s="27">
        <v>0.0</v>
      </c>
      <c r="AA9" s="27">
        <v>1.0</v>
      </c>
      <c r="AB9" s="27">
        <v>4.0</v>
      </c>
      <c r="AC9" s="27">
        <v>0.0</v>
      </c>
      <c r="AD9" s="27">
        <v>0.0</v>
      </c>
      <c r="AE9" s="27">
        <v>0.0</v>
      </c>
      <c r="AF9" s="33">
        <f t="shared" si="1"/>
        <v>9</v>
      </c>
    </row>
    <row r="10">
      <c r="A10" s="25" t="s">
        <v>104</v>
      </c>
      <c r="B10" s="27">
        <v>3.0</v>
      </c>
      <c r="C10" s="27">
        <v>1.0</v>
      </c>
      <c r="D10" s="27">
        <v>0.0</v>
      </c>
      <c r="E10" s="27">
        <v>2.0</v>
      </c>
      <c r="F10" s="27">
        <v>3.0</v>
      </c>
      <c r="G10" s="27">
        <v>1.0</v>
      </c>
      <c r="H10" s="27">
        <v>1.0</v>
      </c>
      <c r="I10" s="27">
        <v>0.0</v>
      </c>
      <c r="J10" s="27">
        <v>0.0</v>
      </c>
      <c r="K10" s="27">
        <v>2.0</v>
      </c>
      <c r="L10" s="27">
        <v>0.0</v>
      </c>
      <c r="M10" s="27">
        <v>5.0</v>
      </c>
      <c r="N10" s="27">
        <v>2.0</v>
      </c>
      <c r="O10" s="27">
        <v>2.0</v>
      </c>
      <c r="P10" s="27">
        <v>2.0</v>
      </c>
      <c r="Q10" s="27">
        <v>0.0</v>
      </c>
      <c r="R10" s="27">
        <v>2.0</v>
      </c>
      <c r="S10" s="27">
        <v>0.0</v>
      </c>
      <c r="T10" s="27">
        <v>0.0</v>
      </c>
      <c r="U10" s="27">
        <v>0.0</v>
      </c>
      <c r="V10" s="27">
        <v>1.0</v>
      </c>
      <c r="W10" s="27">
        <v>2.0</v>
      </c>
      <c r="X10" s="27">
        <v>4.0</v>
      </c>
      <c r="Y10" s="27">
        <v>3.0</v>
      </c>
      <c r="Z10" s="27">
        <v>3.0</v>
      </c>
      <c r="AA10" s="27">
        <v>2.0</v>
      </c>
      <c r="AB10" s="27">
        <v>9.0</v>
      </c>
      <c r="AC10" s="27">
        <v>8.0</v>
      </c>
      <c r="AD10" s="27">
        <v>1.0</v>
      </c>
      <c r="AE10" s="27">
        <v>1.0</v>
      </c>
      <c r="AF10" s="33">
        <f t="shared" si="1"/>
        <v>60</v>
      </c>
    </row>
    <row r="11">
      <c r="A11" s="51" t="s">
        <v>107</v>
      </c>
      <c r="B11" s="52">
        <v>5.0</v>
      </c>
      <c r="C11" s="52">
        <v>57.0</v>
      </c>
      <c r="D11" s="52">
        <v>23.0</v>
      </c>
      <c r="E11" s="52">
        <v>6.0</v>
      </c>
      <c r="F11" s="54">
        <v>7.0</v>
      </c>
      <c r="G11" s="52">
        <v>5.0</v>
      </c>
      <c r="H11" s="52">
        <v>11.0</v>
      </c>
      <c r="I11" s="52">
        <v>11.0</v>
      </c>
      <c r="J11" s="52">
        <v>23.0</v>
      </c>
      <c r="K11" s="52">
        <v>14.0</v>
      </c>
      <c r="L11" s="54">
        <v>5.0</v>
      </c>
      <c r="M11" s="52">
        <v>9.0</v>
      </c>
      <c r="N11" s="52">
        <v>8.0</v>
      </c>
      <c r="O11" s="52">
        <v>19.0</v>
      </c>
      <c r="P11" s="52">
        <v>18.0</v>
      </c>
      <c r="Q11" s="52">
        <v>19.0</v>
      </c>
      <c r="R11" s="52">
        <v>8.0</v>
      </c>
      <c r="S11" s="52">
        <v>7.0</v>
      </c>
      <c r="T11" s="52">
        <v>7.0</v>
      </c>
      <c r="U11" s="52">
        <v>4.0</v>
      </c>
      <c r="V11" s="52">
        <v>2.0</v>
      </c>
      <c r="W11" s="52">
        <v>191.0</v>
      </c>
      <c r="X11" s="52">
        <v>122.0</v>
      </c>
      <c r="Y11" s="52">
        <v>169.0</v>
      </c>
      <c r="Z11" s="52">
        <v>71.0</v>
      </c>
      <c r="AA11" s="52">
        <v>38.0</v>
      </c>
      <c r="AB11" s="52">
        <v>50.0</v>
      </c>
      <c r="AC11" s="52">
        <v>23.0</v>
      </c>
      <c r="AD11" s="52">
        <v>4.0</v>
      </c>
      <c r="AE11" s="52">
        <v>5.0</v>
      </c>
      <c r="AF11" s="56">
        <f t="shared" si="1"/>
        <v>941</v>
      </c>
    </row>
    <row r="12">
      <c r="A12" s="43" t="s">
        <v>98</v>
      </c>
      <c r="B12" s="44">
        <f t="shared" ref="B12:AE12" si="2">SUM(B5:B11)</f>
        <v>466.23</v>
      </c>
      <c r="C12" s="44">
        <f t="shared" si="2"/>
        <v>553.54</v>
      </c>
      <c r="D12" s="44">
        <f t="shared" si="2"/>
        <v>514.32</v>
      </c>
      <c r="E12" s="44">
        <f t="shared" si="2"/>
        <v>520.04</v>
      </c>
      <c r="F12" s="44">
        <f t="shared" si="2"/>
        <v>599.21</v>
      </c>
      <c r="G12" s="44">
        <f t="shared" si="2"/>
        <v>606.75</v>
      </c>
      <c r="H12" s="44">
        <f t="shared" si="2"/>
        <v>564.27</v>
      </c>
      <c r="I12" s="44">
        <f t="shared" si="2"/>
        <v>534.51</v>
      </c>
      <c r="J12" s="44">
        <f t="shared" si="2"/>
        <v>571.67</v>
      </c>
      <c r="K12" s="44">
        <f t="shared" si="2"/>
        <v>607.59</v>
      </c>
      <c r="L12" s="44">
        <f t="shared" si="2"/>
        <v>588.33</v>
      </c>
      <c r="M12" s="44">
        <f t="shared" si="2"/>
        <v>631.89</v>
      </c>
      <c r="N12" s="44">
        <f t="shared" si="2"/>
        <v>512.72</v>
      </c>
      <c r="O12" s="44">
        <f t="shared" si="2"/>
        <v>626.61</v>
      </c>
      <c r="P12" s="44">
        <f t="shared" si="2"/>
        <v>583.03</v>
      </c>
      <c r="Q12" s="44">
        <f t="shared" si="2"/>
        <v>595.18</v>
      </c>
      <c r="R12" s="44">
        <f t="shared" si="2"/>
        <v>620.86</v>
      </c>
      <c r="S12" s="44">
        <f t="shared" si="2"/>
        <v>726.41</v>
      </c>
      <c r="T12" s="44">
        <f t="shared" si="2"/>
        <v>821.37</v>
      </c>
      <c r="U12" s="44">
        <f t="shared" si="2"/>
        <v>875.71</v>
      </c>
      <c r="V12" s="44">
        <f t="shared" si="2"/>
        <v>853.56</v>
      </c>
      <c r="W12" s="44">
        <f t="shared" si="2"/>
        <v>1169.91</v>
      </c>
      <c r="X12" s="44">
        <f t="shared" si="2"/>
        <v>1578.91</v>
      </c>
      <c r="Y12" s="44">
        <f t="shared" si="2"/>
        <v>3868</v>
      </c>
      <c r="Z12" s="44">
        <f t="shared" si="2"/>
        <v>2506</v>
      </c>
      <c r="AA12" s="44">
        <f t="shared" si="2"/>
        <v>1897.99</v>
      </c>
      <c r="AB12" s="44">
        <f t="shared" si="2"/>
        <v>2821</v>
      </c>
      <c r="AC12" s="44">
        <f t="shared" si="2"/>
        <v>2080</v>
      </c>
      <c r="AD12" s="44">
        <f t="shared" si="2"/>
        <v>348.75</v>
      </c>
      <c r="AE12" s="44">
        <f t="shared" si="2"/>
        <v>271.61</v>
      </c>
      <c r="AF12" s="41">
        <f t="shared" si="1"/>
        <v>29515.97</v>
      </c>
    </row>
    <row r="13">
      <c r="A13" s="4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row>
    <row r="14">
      <c r="A14" s="50" t="s">
        <v>105</v>
      </c>
      <c r="B14" s="61">
        <v>68732.42</v>
      </c>
      <c r="C14" s="61">
        <v>72150.16</v>
      </c>
      <c r="D14" s="61">
        <v>67654.24</v>
      </c>
      <c r="E14" s="61">
        <v>69524.68</v>
      </c>
      <c r="F14" s="61">
        <v>81040.74</v>
      </c>
      <c r="G14" s="61">
        <v>75727.42</v>
      </c>
      <c r="H14" s="61">
        <v>68450.74</v>
      </c>
      <c r="I14" s="61">
        <v>64261.29</v>
      </c>
      <c r="J14" s="61">
        <v>73757.33</v>
      </c>
      <c r="K14" s="61">
        <v>75181.43</v>
      </c>
      <c r="L14" s="61">
        <v>70884.65</v>
      </c>
      <c r="M14" s="61">
        <v>75544.9</v>
      </c>
      <c r="N14" s="61">
        <v>56206.3</v>
      </c>
      <c r="O14" s="61">
        <v>72316.09</v>
      </c>
      <c r="P14" s="61">
        <v>68561.95</v>
      </c>
      <c r="Q14" s="61">
        <v>68209.11</v>
      </c>
      <c r="R14" s="61">
        <v>67866.49</v>
      </c>
      <c r="S14" s="61">
        <v>89177.45</v>
      </c>
      <c r="T14" s="61">
        <v>89930.01</v>
      </c>
      <c r="U14" s="61">
        <v>106844.96</v>
      </c>
      <c r="V14" s="61">
        <v>99421.9</v>
      </c>
      <c r="W14" s="61">
        <v>130742.44</v>
      </c>
      <c r="X14" s="61">
        <v>183129.98</v>
      </c>
      <c r="Y14" s="61">
        <v>523574.65</v>
      </c>
      <c r="Z14" s="61">
        <v>320375.62</v>
      </c>
      <c r="AA14" s="61">
        <v>248293.09</v>
      </c>
      <c r="AB14" s="61">
        <v>373074.03</v>
      </c>
      <c r="AC14" s="61">
        <v>269078.11</v>
      </c>
      <c r="AD14" s="61">
        <v>52640.01</v>
      </c>
      <c r="AE14" s="61">
        <v>31699.42</v>
      </c>
      <c r="AF14" s="63"/>
    </row>
    <row r="15">
      <c r="A15" s="25" t="s">
        <v>81</v>
      </c>
      <c r="B15" s="64">
        <f>B14*Summary!B80</f>
        <v>72753.26657</v>
      </c>
      <c r="C15" s="64">
        <f>C14*Summary!C80</f>
        <v>76594.60986</v>
      </c>
      <c r="D15" s="64">
        <f>D14*Summary!D80</f>
        <v>72633.59206</v>
      </c>
      <c r="E15" s="64">
        <f>E14*Summary!E80</f>
        <v>74641.69645</v>
      </c>
      <c r="F15" s="64">
        <f>F14*Summary!F80</f>
        <v>86972.92217</v>
      </c>
      <c r="G15" s="64">
        <f>G14*Summary!G80</f>
        <v>81172.2215</v>
      </c>
      <c r="H15" s="64">
        <f>H14*Summary!H80</f>
        <v>73221.75658</v>
      </c>
      <c r="I15" s="64">
        <f>I14*Summary!I80</f>
        <v>68823.84159</v>
      </c>
      <c r="J15" s="64">
        <f>J14*Summary!J80</f>
        <v>78676.94391</v>
      </c>
      <c r="K15" s="64">
        <f>K14*Summary!K80</f>
        <v>80564.42039</v>
      </c>
      <c r="L15" s="64">
        <f>L14*Summary!L80</f>
        <v>75832.39857</v>
      </c>
      <c r="M15" s="64">
        <f>M14*Summary!M80</f>
        <v>80757.4981</v>
      </c>
      <c r="N15" s="64">
        <f>N14*Summary!N80</f>
        <v>60146.36163</v>
      </c>
      <c r="O15" s="64">
        <f>O14*Summary!O80</f>
        <v>78672.67431</v>
      </c>
      <c r="P15" s="64">
        <f>P14*Summary!P80</f>
        <v>74410.28434</v>
      </c>
      <c r="Q15" s="64">
        <f>Q14*Summary!Q80</f>
        <v>74027.34708</v>
      </c>
      <c r="R15" s="64">
        <f>R14*Summary!R80</f>
        <v>74096.63378</v>
      </c>
      <c r="S15" s="64">
        <f>S14*Summary!S80</f>
        <v>97363.93991</v>
      </c>
      <c r="T15" s="64">
        <f>T14*Summary!T80</f>
        <v>98086.66191</v>
      </c>
      <c r="U15" s="64">
        <f>U14*Summary!U80</f>
        <v>116952.4932</v>
      </c>
      <c r="V15" s="64">
        <f>V14*Summary!V80</f>
        <v>108528.946</v>
      </c>
      <c r="W15" s="64">
        <f>W14*Summary!W80</f>
        <v>142339.2944</v>
      </c>
      <c r="X15" s="64">
        <f>X14*Summary!X80</f>
        <v>199703.2432</v>
      </c>
      <c r="Y15" s="64">
        <f>Y14*Summary!Y80</f>
        <v>573104.8119</v>
      </c>
      <c r="Z15" s="64">
        <f>Z14*Summary!Z80</f>
        <v>350683.1537</v>
      </c>
      <c r="AA15" s="64">
        <f>AA14*Summary!AA80</f>
        <v>271632.6405</v>
      </c>
      <c r="AB15" s="64">
        <f>AB14*Summary!AB80</f>
        <v>408814.5221</v>
      </c>
      <c r="AC15" s="64">
        <f>AC14*Summary!AC80</f>
        <v>296093.5522</v>
      </c>
      <c r="AD15" s="64">
        <f>AD14*Summary!AD80</f>
        <v>57761.88297</v>
      </c>
      <c r="AE15" s="64">
        <f>AE14*Summary!AE80</f>
        <v>34536.51809</v>
      </c>
      <c r="AF15" s="69">
        <f t="shared" ref="AF15:AF22" si="3">SUM(B15:AE15)</f>
        <v>4039600.129</v>
      </c>
    </row>
    <row r="16">
      <c r="A16" s="25" t="s">
        <v>95</v>
      </c>
      <c r="B16" s="70">
        <v>30567.62</v>
      </c>
      <c r="C16" s="70">
        <v>32350.72</v>
      </c>
      <c r="D16" s="70">
        <v>33008.87</v>
      </c>
      <c r="E16" s="71">
        <v>39166.38</v>
      </c>
      <c r="F16" s="71">
        <v>42455.97</v>
      </c>
      <c r="G16" s="70">
        <v>48146.77</v>
      </c>
      <c r="H16" s="70">
        <v>49995.64</v>
      </c>
      <c r="I16" s="70">
        <v>46378.54</v>
      </c>
      <c r="J16" s="70">
        <v>46596.26</v>
      </c>
      <c r="K16" s="70">
        <v>50876.02</v>
      </c>
      <c r="L16" s="71">
        <v>55535.62</v>
      </c>
      <c r="M16" s="70">
        <v>54435.13</v>
      </c>
      <c r="N16" s="70">
        <v>50517.39</v>
      </c>
      <c r="O16" s="70">
        <v>55244.61</v>
      </c>
      <c r="P16" s="70">
        <v>51370.39</v>
      </c>
      <c r="Q16" s="70">
        <v>54607.17</v>
      </c>
      <c r="R16" s="70">
        <v>61927.38</v>
      </c>
      <c r="S16" s="70">
        <v>68490.91</v>
      </c>
      <c r="T16" s="70">
        <v>88024.45</v>
      </c>
      <c r="U16" s="70">
        <v>86295.03</v>
      </c>
      <c r="V16" s="70">
        <v>87700.65</v>
      </c>
      <c r="W16" s="70">
        <v>78603.95</v>
      </c>
      <c r="X16" s="64">
        <v>139593.46</v>
      </c>
      <c r="Y16" s="64">
        <v>299835.52</v>
      </c>
      <c r="Z16" s="64">
        <v>212440.76</v>
      </c>
      <c r="AA16" s="64">
        <v>164154.9</v>
      </c>
      <c r="AB16" s="64">
        <v>249887.71</v>
      </c>
      <c r="AC16" s="64">
        <v>185591.19</v>
      </c>
      <c r="AD16" s="64">
        <v>40320.29</v>
      </c>
      <c r="AE16" s="64">
        <v>40781.03</v>
      </c>
      <c r="AF16" s="69">
        <f t="shared" si="3"/>
        <v>2544900.33</v>
      </c>
    </row>
    <row r="17">
      <c r="A17" s="25" t="s">
        <v>97</v>
      </c>
      <c r="B17" s="64">
        <v>0.0</v>
      </c>
      <c r="C17" s="64">
        <v>0.0</v>
      </c>
      <c r="D17" s="64">
        <v>0.0</v>
      </c>
      <c r="E17" s="64">
        <v>0.0</v>
      </c>
      <c r="F17" s="64">
        <v>0.0</v>
      </c>
      <c r="G17" s="64">
        <v>0.0</v>
      </c>
      <c r="H17" s="64">
        <v>0.0</v>
      </c>
      <c r="I17" s="64">
        <v>0.0</v>
      </c>
      <c r="J17" s="64">
        <v>0.0</v>
      </c>
      <c r="K17" s="64">
        <v>0.0</v>
      </c>
      <c r="L17" s="64">
        <v>0.0</v>
      </c>
      <c r="M17" s="64">
        <v>0.0</v>
      </c>
      <c r="N17" s="64">
        <v>0.0</v>
      </c>
      <c r="O17" s="64">
        <v>0.0</v>
      </c>
      <c r="P17" s="64">
        <v>0.0</v>
      </c>
      <c r="Q17" s="64">
        <v>244.0</v>
      </c>
      <c r="R17" s="64">
        <v>0.0</v>
      </c>
      <c r="S17" s="64">
        <v>0.0</v>
      </c>
      <c r="T17" s="64">
        <v>0.0</v>
      </c>
      <c r="U17" s="64">
        <v>0.0</v>
      </c>
      <c r="V17" s="64">
        <v>0.0</v>
      </c>
      <c r="W17" s="64">
        <v>0.0</v>
      </c>
      <c r="X17" s="64">
        <v>0.0</v>
      </c>
      <c r="Y17" s="64">
        <v>0.0</v>
      </c>
      <c r="Z17" s="64">
        <v>0.0</v>
      </c>
      <c r="AA17" s="64">
        <v>0.0</v>
      </c>
      <c r="AB17" s="64">
        <v>0.0</v>
      </c>
      <c r="AC17" s="64">
        <v>0.0</v>
      </c>
      <c r="AD17" s="64">
        <v>0.0</v>
      </c>
      <c r="AE17" s="64">
        <v>0.0</v>
      </c>
      <c r="AF17" s="69">
        <f t="shared" si="3"/>
        <v>244</v>
      </c>
    </row>
    <row r="18">
      <c r="A18" s="25" t="s">
        <v>100</v>
      </c>
      <c r="B18" s="64">
        <v>3012.0</v>
      </c>
      <c r="C18" s="64">
        <v>3765.0</v>
      </c>
      <c r="D18" s="64">
        <v>3012.0</v>
      </c>
      <c r="E18" s="64">
        <v>2761.0</v>
      </c>
      <c r="F18" s="64">
        <v>2510.0</v>
      </c>
      <c r="G18" s="64">
        <v>4267.0</v>
      </c>
      <c r="H18" s="64">
        <v>3263.0</v>
      </c>
      <c r="I18" s="64">
        <v>4769.0</v>
      </c>
      <c r="J18" s="64">
        <v>2510.0</v>
      </c>
      <c r="K18" s="64">
        <v>3012.0</v>
      </c>
      <c r="L18" s="64">
        <v>5020.0</v>
      </c>
      <c r="M18" s="64">
        <v>5522.0</v>
      </c>
      <c r="N18" s="64">
        <v>3263.0</v>
      </c>
      <c r="O18" s="64">
        <v>5522.0</v>
      </c>
      <c r="P18" s="64">
        <v>3514.0</v>
      </c>
      <c r="Q18" s="64">
        <v>3765.0</v>
      </c>
      <c r="R18" s="64">
        <v>4518.0</v>
      </c>
      <c r="S18" s="64">
        <v>2761.0</v>
      </c>
      <c r="T18" s="64">
        <v>5522.0</v>
      </c>
      <c r="U18" s="64">
        <v>4267.0</v>
      </c>
      <c r="V18" s="64">
        <v>5020.0</v>
      </c>
      <c r="W18" s="64">
        <v>5773.0</v>
      </c>
      <c r="X18" s="64">
        <v>6024.0</v>
      </c>
      <c r="Y18" s="64">
        <v>9287.0</v>
      </c>
      <c r="Z18" s="64">
        <v>5271.0</v>
      </c>
      <c r="AA18" s="64">
        <v>4518.0</v>
      </c>
      <c r="AB18" s="64">
        <v>6275.0</v>
      </c>
      <c r="AC18" s="64">
        <v>12550.0</v>
      </c>
      <c r="AD18" s="64">
        <v>2008.0</v>
      </c>
      <c r="AE18" s="64">
        <v>2008.0</v>
      </c>
      <c r="AF18" s="69">
        <f t="shared" si="3"/>
        <v>135289</v>
      </c>
    </row>
    <row r="19">
      <c r="A19" s="25" t="s">
        <v>102</v>
      </c>
      <c r="B19" s="73">
        <v>0.0</v>
      </c>
      <c r="C19" s="73">
        <v>0.0</v>
      </c>
      <c r="D19" s="73">
        <v>0.0</v>
      </c>
      <c r="E19" s="73">
        <v>0.0</v>
      </c>
      <c r="F19" s="73">
        <v>0.0</v>
      </c>
      <c r="G19" s="73">
        <v>0.0</v>
      </c>
      <c r="H19" s="73">
        <v>0.0</v>
      </c>
      <c r="I19" s="73">
        <v>0.0</v>
      </c>
      <c r="J19" s="73">
        <v>0.0</v>
      </c>
      <c r="K19" s="73">
        <v>0.0</v>
      </c>
      <c r="L19" s="73">
        <v>0.0</v>
      </c>
      <c r="M19" s="73">
        <v>0.0</v>
      </c>
      <c r="N19" s="73">
        <v>0.0</v>
      </c>
      <c r="O19" s="73">
        <v>0.0</v>
      </c>
      <c r="P19" s="73">
        <v>0.0</v>
      </c>
      <c r="Q19" s="73">
        <v>0.0</v>
      </c>
      <c r="R19" s="64">
        <v>0.0</v>
      </c>
      <c r="S19" s="64">
        <v>324.0</v>
      </c>
      <c r="T19" s="64">
        <v>184.0</v>
      </c>
      <c r="U19" s="64">
        <v>261.98</v>
      </c>
      <c r="V19" s="64">
        <v>202.59</v>
      </c>
      <c r="W19" s="64">
        <v>0.0</v>
      </c>
      <c r="X19" s="64">
        <v>0.0</v>
      </c>
      <c r="Y19" s="64">
        <v>0.0</v>
      </c>
      <c r="Z19" s="64">
        <v>0.0</v>
      </c>
      <c r="AA19" s="64">
        <v>468.73</v>
      </c>
      <c r="AB19" s="64">
        <v>1161.06</v>
      </c>
      <c r="AC19" s="64">
        <v>0.0</v>
      </c>
      <c r="AD19" s="64">
        <v>0.0</v>
      </c>
      <c r="AE19" s="64">
        <v>0.0</v>
      </c>
      <c r="AF19" s="69">
        <f t="shared" si="3"/>
        <v>2602.36</v>
      </c>
    </row>
    <row r="20">
      <c r="A20" s="25" t="s">
        <v>104</v>
      </c>
      <c r="B20" s="73">
        <v>813.55</v>
      </c>
      <c r="C20" s="73">
        <v>244.0</v>
      </c>
      <c r="D20" s="73">
        <v>0.0</v>
      </c>
      <c r="E20" s="73">
        <v>578.65</v>
      </c>
      <c r="F20" s="73">
        <v>606.54</v>
      </c>
      <c r="G20" s="73">
        <v>315.46</v>
      </c>
      <c r="H20" s="73">
        <v>433.0</v>
      </c>
      <c r="I20" s="73">
        <v>0.0</v>
      </c>
      <c r="J20" s="73">
        <v>0.0</v>
      </c>
      <c r="K20" s="73">
        <v>445.76</v>
      </c>
      <c r="L20" s="73">
        <v>0.0</v>
      </c>
      <c r="M20" s="73">
        <v>1624.44</v>
      </c>
      <c r="N20" s="73">
        <v>438.73</v>
      </c>
      <c r="O20" s="73">
        <v>503.23</v>
      </c>
      <c r="P20" s="73">
        <v>276.37</v>
      </c>
      <c r="Q20" s="73">
        <v>0.0</v>
      </c>
      <c r="R20" s="73">
        <v>526.56</v>
      </c>
      <c r="S20" s="73">
        <v>0.0</v>
      </c>
      <c r="T20" s="73">
        <v>0.0</v>
      </c>
      <c r="U20" s="73">
        <v>0.0</v>
      </c>
      <c r="V20" s="73">
        <v>161.91</v>
      </c>
      <c r="W20" s="73">
        <v>476.0</v>
      </c>
      <c r="X20" s="73">
        <v>1214.94</v>
      </c>
      <c r="Y20" s="73">
        <v>472.95</v>
      </c>
      <c r="Z20" s="73">
        <v>615.78</v>
      </c>
      <c r="AA20" s="73">
        <v>469.78</v>
      </c>
      <c r="AB20" s="73">
        <v>2370.19</v>
      </c>
      <c r="AC20" s="73">
        <v>1830.85</v>
      </c>
      <c r="AD20" s="73">
        <v>343.0</v>
      </c>
      <c r="AE20" s="73">
        <v>68.0</v>
      </c>
      <c r="AF20" s="69">
        <f t="shared" si="3"/>
        <v>14829.69</v>
      </c>
    </row>
    <row r="21">
      <c r="A21" s="78" t="s">
        <v>107</v>
      </c>
      <c r="B21" s="79">
        <v>559.03</v>
      </c>
      <c r="C21" s="79">
        <v>3667.35</v>
      </c>
      <c r="D21" s="81">
        <v>1510.38</v>
      </c>
      <c r="E21" s="79">
        <v>559.68</v>
      </c>
      <c r="F21" s="81">
        <v>337.61</v>
      </c>
      <c r="G21" s="79">
        <v>590.49</v>
      </c>
      <c r="H21" s="79">
        <v>1434.31</v>
      </c>
      <c r="I21" s="79">
        <v>2811.6</v>
      </c>
      <c r="J21" s="79">
        <v>3069.32</v>
      </c>
      <c r="K21" s="79">
        <v>1285.84</v>
      </c>
      <c r="L21" s="81">
        <v>1164.2</v>
      </c>
      <c r="M21" s="79">
        <v>1089.11</v>
      </c>
      <c r="N21" s="79">
        <v>1259.65</v>
      </c>
      <c r="O21" s="81">
        <v>2842.65</v>
      </c>
      <c r="P21" s="84">
        <v>1750.29</v>
      </c>
      <c r="Q21" s="84">
        <v>1606.27</v>
      </c>
      <c r="R21" s="84">
        <v>312.69</v>
      </c>
      <c r="S21" s="84">
        <v>531.27</v>
      </c>
      <c r="T21" s="84">
        <v>1296.07</v>
      </c>
      <c r="U21" s="84">
        <v>368.47</v>
      </c>
      <c r="V21" s="84">
        <v>347.32</v>
      </c>
      <c r="W21" s="84">
        <v>43912.02</v>
      </c>
      <c r="X21" s="84">
        <v>28303.35</v>
      </c>
      <c r="Y21" s="84">
        <v>40391.88</v>
      </c>
      <c r="Z21" s="84">
        <v>15727.28</v>
      </c>
      <c r="AA21" s="84">
        <v>8244.38</v>
      </c>
      <c r="AB21" s="84">
        <v>9907.34</v>
      </c>
      <c r="AC21" s="84">
        <v>4302.47</v>
      </c>
      <c r="AD21" s="84">
        <v>793.51</v>
      </c>
      <c r="AE21" s="84">
        <v>284.09</v>
      </c>
      <c r="AF21" s="86">
        <f t="shared" si="3"/>
        <v>180259.92</v>
      </c>
    </row>
    <row r="22">
      <c r="A22" s="43" t="s">
        <v>98</v>
      </c>
      <c r="B22" s="60">
        <f t="shared" ref="B22:AE22" si="4">SUM(B15:B21)</f>
        <v>107705.4666</v>
      </c>
      <c r="C22" s="60">
        <f t="shared" si="4"/>
        <v>116621.6799</v>
      </c>
      <c r="D22" s="60">
        <f t="shared" si="4"/>
        <v>110164.8421</v>
      </c>
      <c r="E22" s="60">
        <f t="shared" si="4"/>
        <v>117707.4064</v>
      </c>
      <c r="F22" s="60">
        <f t="shared" si="4"/>
        <v>132883.0422</v>
      </c>
      <c r="G22" s="60">
        <f t="shared" si="4"/>
        <v>134491.9415</v>
      </c>
      <c r="H22" s="60">
        <f t="shared" si="4"/>
        <v>128347.7066</v>
      </c>
      <c r="I22" s="60">
        <f t="shared" si="4"/>
        <v>122782.9816</v>
      </c>
      <c r="J22" s="60">
        <f t="shared" si="4"/>
        <v>130852.5239</v>
      </c>
      <c r="K22" s="60">
        <f t="shared" si="4"/>
        <v>136184.0404</v>
      </c>
      <c r="L22" s="60">
        <f t="shared" si="4"/>
        <v>137552.2186</v>
      </c>
      <c r="M22" s="60">
        <f t="shared" si="4"/>
        <v>143428.1781</v>
      </c>
      <c r="N22" s="60">
        <f t="shared" si="4"/>
        <v>115625.1316</v>
      </c>
      <c r="O22" s="60">
        <f t="shared" si="4"/>
        <v>142785.1643</v>
      </c>
      <c r="P22" s="60">
        <f t="shared" si="4"/>
        <v>131321.3343</v>
      </c>
      <c r="Q22" s="60">
        <f t="shared" si="4"/>
        <v>134249.7871</v>
      </c>
      <c r="R22" s="60">
        <f t="shared" si="4"/>
        <v>141381.2638</v>
      </c>
      <c r="S22" s="60">
        <f t="shared" si="4"/>
        <v>169471.1199</v>
      </c>
      <c r="T22" s="60">
        <f t="shared" si="4"/>
        <v>193113.1819</v>
      </c>
      <c r="U22" s="60">
        <f t="shared" si="4"/>
        <v>208144.9732</v>
      </c>
      <c r="V22" s="60">
        <f t="shared" si="4"/>
        <v>201961.416</v>
      </c>
      <c r="W22" s="60">
        <f t="shared" si="4"/>
        <v>271104.2644</v>
      </c>
      <c r="X22" s="60">
        <f t="shared" si="4"/>
        <v>374838.9932</v>
      </c>
      <c r="Y22" s="60">
        <f t="shared" si="4"/>
        <v>923092.1619</v>
      </c>
      <c r="Z22" s="60">
        <f t="shared" si="4"/>
        <v>584737.9737</v>
      </c>
      <c r="AA22" s="60">
        <f t="shared" si="4"/>
        <v>449488.4305</v>
      </c>
      <c r="AB22" s="60">
        <f t="shared" si="4"/>
        <v>678415.8221</v>
      </c>
      <c r="AC22" s="60">
        <f t="shared" si="4"/>
        <v>500368.0622</v>
      </c>
      <c r="AD22" s="60">
        <f t="shared" si="4"/>
        <v>101226.683</v>
      </c>
      <c r="AE22" s="60">
        <f t="shared" si="4"/>
        <v>77677.63809</v>
      </c>
      <c r="AF22" s="89">
        <f t="shared" si="3"/>
        <v>6917725.429</v>
      </c>
    </row>
    <row r="23">
      <c r="A23" s="4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row>
    <row r="24">
      <c r="A24" s="65" t="s">
        <v>111</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row>
    <row r="25">
      <c r="A25" s="25" t="s">
        <v>81</v>
      </c>
      <c r="B25" s="92">
        <f>Summary!B81</f>
        <v>32434.53583</v>
      </c>
      <c r="C25" s="92">
        <f>Summary!C81</f>
        <v>29070.71639</v>
      </c>
      <c r="D25" s="92">
        <f>Summary!D81</f>
        <v>31545.28819</v>
      </c>
      <c r="E25" s="92">
        <f>Summary!E81</f>
        <v>28085.66587</v>
      </c>
      <c r="F25" s="92">
        <f>Summary!F81</f>
        <v>28087.69381</v>
      </c>
      <c r="G25" s="92">
        <f>Summary!G81</f>
        <v>29676.677</v>
      </c>
      <c r="H25" s="92">
        <f>Summary!H81</f>
        <v>25760.5047</v>
      </c>
      <c r="I25" s="92">
        <f>Summary!I81</f>
        <v>32668.713</v>
      </c>
      <c r="J25" s="92">
        <f>Summary!J81</f>
        <v>38221.27971</v>
      </c>
      <c r="K25" s="92">
        <f>Summary!K81</f>
        <v>34316.70408</v>
      </c>
      <c r="L25" s="92">
        <f>Summary!L81</f>
        <v>26700.00421</v>
      </c>
      <c r="M25" s="92">
        <f>Summary!M81</f>
        <v>29883.16808</v>
      </c>
      <c r="N25" s="92">
        <f>Summary!N81</f>
        <v>26789.32214</v>
      </c>
      <c r="O25" s="92">
        <f>Summary!O81</f>
        <v>27816.17785</v>
      </c>
      <c r="P25" s="92">
        <f>Summary!P81</f>
        <v>30393.79394</v>
      </c>
      <c r="Q25" s="92">
        <f>Summary!Q81</f>
        <v>28216.45423</v>
      </c>
      <c r="R25" s="92">
        <f>Summary!R81</f>
        <v>23985.26289</v>
      </c>
      <c r="S25" s="92">
        <f>Summary!S81</f>
        <v>26234.54558</v>
      </c>
      <c r="T25" s="92">
        <f>Summary!T81</f>
        <v>30195.61503</v>
      </c>
      <c r="U25" s="92">
        <f>Summary!U81</f>
        <v>34233.65878</v>
      </c>
      <c r="V25" s="92">
        <f>Summary!V81</f>
        <v>37682.74154</v>
      </c>
      <c r="W25" s="92">
        <f>Summary!W81</f>
        <v>45252.46872</v>
      </c>
      <c r="X25" s="92">
        <f>Summary!X81</f>
        <v>83957.31147</v>
      </c>
      <c r="Y25" s="92">
        <f>Summary!Y81</f>
        <v>288487.9598</v>
      </c>
      <c r="Z25" s="92">
        <f>Summary!Z81</f>
        <v>94146.33803</v>
      </c>
      <c r="AA25" s="92">
        <f>Summary!AA81</f>
        <v>92375.0626</v>
      </c>
      <c r="AB25" s="92">
        <f>Summary!AB81</f>
        <v>112967.5342</v>
      </c>
      <c r="AC25" s="92">
        <f>Summary!AC81</f>
        <v>83925.5933</v>
      </c>
      <c r="AD25" s="92">
        <f>Summary!AD81</f>
        <v>29585.01855</v>
      </c>
      <c r="AE25" s="92">
        <f>Summary!AE81</f>
        <v>13572.19567</v>
      </c>
      <c r="AF25" s="89">
        <f t="shared" ref="AF25:AF31" si="5">SUM(B25:AE25)</f>
        <v>1476268.005</v>
      </c>
    </row>
    <row r="26">
      <c r="A26" s="25" t="s">
        <v>95</v>
      </c>
      <c r="B26" s="92">
        <f>Summary!B82</f>
        <v>4770.48</v>
      </c>
      <c r="C26" s="92">
        <f>Summary!C82</f>
        <v>5351.07</v>
      </c>
      <c r="D26" s="92">
        <f>Summary!D82</f>
        <v>6050.06</v>
      </c>
      <c r="E26" s="92">
        <f>Summary!E82</f>
        <v>7040.29</v>
      </c>
      <c r="F26" s="92">
        <f>Summary!F82</f>
        <v>8856.02</v>
      </c>
      <c r="G26" s="92">
        <f>Summary!G82</f>
        <v>8610.7</v>
      </c>
      <c r="H26" s="92">
        <f>Summary!H82</f>
        <v>7930.14</v>
      </c>
      <c r="I26" s="92">
        <f>Summary!I82</f>
        <v>8941.43</v>
      </c>
      <c r="J26" s="92">
        <f>Summary!J82</f>
        <v>10391.03</v>
      </c>
      <c r="K26" s="92">
        <f>Summary!K82</f>
        <v>10980.77</v>
      </c>
      <c r="L26" s="92">
        <f>Summary!L82</f>
        <v>9973.07</v>
      </c>
      <c r="M26" s="92">
        <f>Summary!M82</f>
        <v>7716.96</v>
      </c>
      <c r="N26" s="92">
        <f>Summary!N82</f>
        <v>8350.01</v>
      </c>
      <c r="O26" s="92">
        <f>Summary!O82</f>
        <v>7527.11</v>
      </c>
      <c r="P26" s="92">
        <f>Summary!P82</f>
        <v>7388.62</v>
      </c>
      <c r="Q26" s="92">
        <f>Summary!Q82</f>
        <v>8231.69</v>
      </c>
      <c r="R26" s="92">
        <f>Summary!R82</f>
        <v>9096.16</v>
      </c>
      <c r="S26" s="92">
        <f>Summary!S82</f>
        <v>9471.16</v>
      </c>
      <c r="T26" s="92">
        <f>Summary!T82</f>
        <v>10530.29</v>
      </c>
      <c r="U26" s="92">
        <f>Summary!U82</f>
        <v>10231.9</v>
      </c>
      <c r="V26" s="92">
        <f>Summary!V82</f>
        <v>10648.45</v>
      </c>
      <c r="W26" s="92">
        <f>Summary!W82</f>
        <v>9893.12</v>
      </c>
      <c r="X26" s="92">
        <f>Summary!X82</f>
        <v>16738.54</v>
      </c>
      <c r="Y26" s="92">
        <f>Summary!Y82</f>
        <v>21372.09</v>
      </c>
      <c r="Z26" s="92">
        <f>Summary!Z82</f>
        <v>19592.41</v>
      </c>
      <c r="AA26" s="92">
        <f>Summary!AA82</f>
        <v>17201.25</v>
      </c>
      <c r="AB26" s="92">
        <f>Summary!AB82</f>
        <v>18167.84</v>
      </c>
      <c r="AC26" s="92">
        <f>Summary!AC82</f>
        <v>16152.17</v>
      </c>
      <c r="AD26" s="92">
        <f>Summary!AD82</f>
        <v>7994.65</v>
      </c>
      <c r="AE26" s="92">
        <f>Summary!AE82</f>
        <v>5438.57</v>
      </c>
      <c r="AF26" s="89">
        <f t="shared" si="5"/>
        <v>310638.05</v>
      </c>
    </row>
    <row r="27">
      <c r="A27" s="25" t="s">
        <v>97</v>
      </c>
      <c r="B27" s="92">
        <f>Summary!B84</f>
        <v>0</v>
      </c>
      <c r="C27" s="92">
        <f>Summary!C84</f>
        <v>0</v>
      </c>
      <c r="D27" s="92">
        <f>Summary!D84</f>
        <v>0</v>
      </c>
      <c r="E27" s="92">
        <f>Summary!E84</f>
        <v>0</v>
      </c>
      <c r="F27" s="92">
        <f>Summary!F84</f>
        <v>0</v>
      </c>
      <c r="G27" s="92">
        <f>Summary!G84</f>
        <v>0</v>
      </c>
      <c r="H27" s="92">
        <f>Summary!H84</f>
        <v>0</v>
      </c>
      <c r="I27" s="92">
        <f>Summary!I84</f>
        <v>0</v>
      </c>
      <c r="J27" s="92">
        <f>Summary!J84</f>
        <v>0</v>
      </c>
      <c r="K27" s="92">
        <f>Summary!K84</f>
        <v>0</v>
      </c>
      <c r="L27" s="92">
        <f>Summary!L84</f>
        <v>0</v>
      </c>
      <c r="M27" s="92">
        <f>Summary!M84</f>
        <v>0</v>
      </c>
      <c r="N27" s="92">
        <f>Summary!N84</f>
        <v>0</v>
      </c>
      <c r="O27" s="92">
        <f>Summary!O84</f>
        <v>0</v>
      </c>
      <c r="P27" s="92">
        <f>Summary!P84</f>
        <v>159.15</v>
      </c>
      <c r="Q27" s="92">
        <f>Summary!Q84</f>
        <v>400.43</v>
      </c>
      <c r="R27" s="92">
        <f>Summary!R84</f>
        <v>189.07</v>
      </c>
      <c r="S27" s="92">
        <f>Summary!S84</f>
        <v>0</v>
      </c>
      <c r="T27" s="92">
        <f>Summary!T84</f>
        <v>0</v>
      </c>
      <c r="U27" s="92">
        <f>Summary!U84</f>
        <v>0</v>
      </c>
      <c r="V27" s="92">
        <f>Summary!V84</f>
        <v>0</v>
      </c>
      <c r="W27" s="92">
        <f>Summary!W84</f>
        <v>0</v>
      </c>
      <c r="X27" s="92">
        <f>Summary!X84</f>
        <v>0</v>
      </c>
      <c r="Y27" s="92">
        <f>Summary!Y84</f>
        <v>0</v>
      </c>
      <c r="Z27" s="92">
        <f>Summary!Z84</f>
        <v>0</v>
      </c>
      <c r="AA27" s="92">
        <f>Summary!AA84</f>
        <v>0</v>
      </c>
      <c r="AB27" s="92">
        <f>Summary!AB84</f>
        <v>0</v>
      </c>
      <c r="AC27" s="92">
        <f>Summary!AC84</f>
        <v>0</v>
      </c>
      <c r="AD27" s="92">
        <f>Summary!AD84</f>
        <v>0</v>
      </c>
      <c r="AE27" s="92">
        <f>Summary!AE84</f>
        <v>0</v>
      </c>
      <c r="AF27" s="89">
        <f t="shared" si="5"/>
        <v>748.65</v>
      </c>
    </row>
    <row r="28">
      <c r="A28" s="25" t="s">
        <v>100</v>
      </c>
      <c r="B28" s="92">
        <f>Summary!B83</f>
        <v>239.79</v>
      </c>
      <c r="C28" s="92">
        <f>Summary!C83</f>
        <v>254.86</v>
      </c>
      <c r="D28" s="92">
        <f>Summary!D83</f>
        <v>278.94</v>
      </c>
      <c r="E28" s="92">
        <f>Summary!E83</f>
        <v>309.46</v>
      </c>
      <c r="F28" s="92">
        <f>Summary!F83</f>
        <v>254.73</v>
      </c>
      <c r="G28" s="92">
        <f>Summary!G83</f>
        <v>398.68</v>
      </c>
      <c r="H28" s="92">
        <f>Summary!H83</f>
        <v>376.76</v>
      </c>
      <c r="I28" s="92">
        <f>Summary!I83</f>
        <v>415.9</v>
      </c>
      <c r="J28" s="92">
        <f>Summary!J83</f>
        <v>424.32</v>
      </c>
      <c r="K28" s="92">
        <f>Summary!K83</f>
        <v>415.8</v>
      </c>
      <c r="L28" s="92">
        <f>Summary!L83</f>
        <v>349.18</v>
      </c>
      <c r="M28" s="92">
        <f>Summary!M83</f>
        <v>382.43</v>
      </c>
      <c r="N28" s="92">
        <f>Summary!N83</f>
        <v>360.89</v>
      </c>
      <c r="O28" s="92">
        <f>Summary!O83</f>
        <v>422.46</v>
      </c>
      <c r="P28" s="92">
        <f>Summary!P83</f>
        <v>427.45</v>
      </c>
      <c r="Q28" s="92">
        <f>Summary!Q83</f>
        <v>433.39</v>
      </c>
      <c r="R28" s="92">
        <f>Summary!R83</f>
        <v>432.25</v>
      </c>
      <c r="S28" s="92">
        <f>Summary!S83</f>
        <v>360.46</v>
      </c>
      <c r="T28" s="92">
        <f>Summary!T83</f>
        <v>428.39</v>
      </c>
      <c r="U28" s="92">
        <f>Summary!U83</f>
        <v>429.17</v>
      </c>
      <c r="V28" s="92">
        <f>Summary!V83</f>
        <v>430.31</v>
      </c>
      <c r="W28" s="92">
        <f>Summary!W83</f>
        <v>430.8</v>
      </c>
      <c r="X28" s="92">
        <f>Summary!X83</f>
        <v>472.05</v>
      </c>
      <c r="Y28" s="92">
        <f>Summary!Y83</f>
        <v>578.08</v>
      </c>
      <c r="Z28" s="92">
        <f>Summary!Z83</f>
        <v>467.09</v>
      </c>
      <c r="AA28" s="92">
        <f>Summary!AA83</f>
        <v>602.67</v>
      </c>
      <c r="AB28" s="92">
        <f>Summary!AB83</f>
        <v>633.77</v>
      </c>
      <c r="AC28" s="92">
        <f>Summary!AC83</f>
        <v>630.56</v>
      </c>
      <c r="AD28" s="92">
        <f>Summary!AD83</f>
        <v>508.16</v>
      </c>
      <c r="AE28" s="92">
        <f>Summary!AE83</f>
        <v>348.29</v>
      </c>
      <c r="AF28" s="89">
        <f t="shared" si="5"/>
        <v>12497.09</v>
      </c>
    </row>
    <row r="29">
      <c r="A29" s="25" t="s">
        <v>102</v>
      </c>
      <c r="B29" s="92">
        <f>Summary!B86</f>
        <v>0</v>
      </c>
      <c r="C29" s="92">
        <f>Summary!C86</f>
        <v>0</v>
      </c>
      <c r="D29" s="92">
        <f>Summary!D86</f>
        <v>0</v>
      </c>
      <c r="E29" s="92">
        <f>Summary!E86</f>
        <v>0</v>
      </c>
      <c r="F29" s="92">
        <f>Summary!F86</f>
        <v>0</v>
      </c>
      <c r="G29" s="92">
        <f>Summary!G86</f>
        <v>0</v>
      </c>
      <c r="H29" s="92">
        <f>Summary!H86</f>
        <v>0</v>
      </c>
      <c r="I29" s="92">
        <f>Summary!I86</f>
        <v>0</v>
      </c>
      <c r="J29" s="92">
        <f>Summary!J86</f>
        <v>0</v>
      </c>
      <c r="K29" s="92">
        <f>Summary!K86</f>
        <v>0</v>
      </c>
      <c r="L29" s="92">
        <f>Summary!L86</f>
        <v>0</v>
      </c>
      <c r="M29" s="92">
        <f>Summary!M86</f>
        <v>0</v>
      </c>
      <c r="N29" s="92">
        <f>Summary!N86</f>
        <v>0</v>
      </c>
      <c r="O29" s="92">
        <f>Summary!O86</f>
        <v>0</v>
      </c>
      <c r="P29" s="92">
        <f>Summary!P86</f>
        <v>0</v>
      </c>
      <c r="Q29" s="92">
        <f>Summary!Q86</f>
        <v>0</v>
      </c>
      <c r="R29" s="92">
        <f>Summary!R86</f>
        <v>192.23</v>
      </c>
      <c r="S29" s="92">
        <f>Summary!S86</f>
        <v>303.11</v>
      </c>
      <c r="T29" s="92">
        <f>Summary!T86</f>
        <v>300.88</v>
      </c>
      <c r="U29" s="92">
        <f>Summary!U86</f>
        <v>660.39</v>
      </c>
      <c r="V29" s="92">
        <f>Summary!V86</f>
        <v>481.73</v>
      </c>
      <c r="W29" s="92">
        <f>Summary!W86</f>
        <v>187.74</v>
      </c>
      <c r="X29" s="92">
        <f>Summary!X86</f>
        <v>143.11</v>
      </c>
      <c r="Y29" s="92">
        <f>Summary!Y86</f>
        <v>57.99</v>
      </c>
      <c r="Z29" s="92">
        <f>Summary!Z86</f>
        <v>136.47</v>
      </c>
      <c r="AA29" s="92">
        <f>Summary!AA86</f>
        <v>705.4</v>
      </c>
      <c r="AB29" s="92">
        <f>Summary!AB86</f>
        <v>834.58</v>
      </c>
      <c r="AC29" s="92">
        <f>Summary!AC86</f>
        <v>0</v>
      </c>
      <c r="AD29" s="92">
        <f>Summary!AD86</f>
        <v>0</v>
      </c>
      <c r="AE29" s="92">
        <f>Summary!AE86</f>
        <v>0</v>
      </c>
      <c r="AF29" s="89">
        <f t="shared" si="5"/>
        <v>4003.63</v>
      </c>
    </row>
    <row r="30">
      <c r="A30" s="132" t="s">
        <v>161</v>
      </c>
      <c r="B30" s="133">
        <f>Summary!B88</f>
        <v>162.71</v>
      </c>
      <c r="C30" s="133">
        <f>Summary!C88</f>
        <v>61</v>
      </c>
      <c r="D30" s="133">
        <f>Summary!D88</f>
        <v>0</v>
      </c>
      <c r="E30" s="133">
        <f>Summary!E88</f>
        <v>4255.588</v>
      </c>
      <c r="F30" s="133">
        <f>Summary!F88</f>
        <v>2292.936</v>
      </c>
      <c r="G30" s="133">
        <f>Summary!G88</f>
        <v>63.09</v>
      </c>
      <c r="H30" s="133">
        <f>Summary!H88</f>
        <v>86.6</v>
      </c>
      <c r="I30" s="133">
        <f>Summary!I88</f>
        <v>0</v>
      </c>
      <c r="J30" s="133">
        <f>Summary!J88</f>
        <v>0</v>
      </c>
      <c r="K30" s="133">
        <f>Summary!K88</f>
        <v>99.96</v>
      </c>
      <c r="L30" s="133">
        <f>Summary!L88</f>
        <v>0</v>
      </c>
      <c r="M30" s="133">
        <f>Summary!M88</f>
        <v>324.88</v>
      </c>
      <c r="N30" s="133">
        <f>Summary!N88</f>
        <v>97.43</v>
      </c>
      <c r="O30" s="133">
        <f>Summary!O88</f>
        <v>100.64</v>
      </c>
      <c r="P30" s="133">
        <f>Summary!P88</f>
        <v>55.28</v>
      </c>
      <c r="Q30" s="133">
        <f>Summary!Q88</f>
        <v>0</v>
      </c>
      <c r="R30" s="133">
        <f>Summary!R88</f>
        <v>105.32</v>
      </c>
      <c r="S30" s="133">
        <f>Summary!S88</f>
        <v>0</v>
      </c>
      <c r="T30" s="133">
        <f>Summary!T88</f>
        <v>0</v>
      </c>
      <c r="U30" s="133">
        <f>Summary!U88</f>
        <v>0</v>
      </c>
      <c r="V30" s="133">
        <f>Summary!V88</f>
        <v>32.38</v>
      </c>
      <c r="W30" s="133">
        <f>Summary!W88</f>
        <v>105.6</v>
      </c>
      <c r="X30" s="133">
        <f>Summary!X88</f>
        <v>266.9</v>
      </c>
      <c r="Y30" s="133">
        <f>Summary!Y88</f>
        <v>94.59</v>
      </c>
      <c r="Z30" s="133">
        <f>Summary!Z88</f>
        <v>123.15</v>
      </c>
      <c r="AA30" s="133">
        <f>Summary!AA88</f>
        <v>106.16</v>
      </c>
      <c r="AB30" s="133">
        <f>Summary!AB88</f>
        <v>497.95</v>
      </c>
      <c r="AC30" s="133">
        <f>Summary!AC88</f>
        <v>377.37</v>
      </c>
      <c r="AD30" s="133">
        <f>Summary!AD88</f>
        <v>68.6</v>
      </c>
      <c r="AE30" s="133">
        <f>Summary!AE88</f>
        <v>13.6</v>
      </c>
      <c r="AF30" s="143">
        <f t="shared" si="5"/>
        <v>9391.734</v>
      </c>
    </row>
    <row r="31">
      <c r="A31" s="43" t="s">
        <v>98</v>
      </c>
      <c r="B31" s="60">
        <f t="shared" ref="B31:AE31" si="6">SUM(B25:B30)</f>
        <v>37607.51583</v>
      </c>
      <c r="C31" s="60">
        <f t="shared" si="6"/>
        <v>34737.64639</v>
      </c>
      <c r="D31" s="60">
        <f t="shared" si="6"/>
        <v>37874.28819</v>
      </c>
      <c r="E31" s="60">
        <f t="shared" si="6"/>
        <v>39691.00387</v>
      </c>
      <c r="F31" s="60">
        <f t="shared" si="6"/>
        <v>39491.37981</v>
      </c>
      <c r="G31" s="60">
        <f t="shared" si="6"/>
        <v>38749.147</v>
      </c>
      <c r="H31" s="60">
        <f t="shared" si="6"/>
        <v>34154.0047</v>
      </c>
      <c r="I31" s="60">
        <f t="shared" si="6"/>
        <v>42026.043</v>
      </c>
      <c r="J31" s="60">
        <f t="shared" si="6"/>
        <v>49036.62971</v>
      </c>
      <c r="K31" s="60">
        <f t="shared" si="6"/>
        <v>45813.23408</v>
      </c>
      <c r="L31" s="60">
        <f t="shared" si="6"/>
        <v>37022.25421</v>
      </c>
      <c r="M31" s="60">
        <f t="shared" si="6"/>
        <v>38307.43808</v>
      </c>
      <c r="N31" s="60">
        <f t="shared" si="6"/>
        <v>35597.65214</v>
      </c>
      <c r="O31" s="60">
        <f t="shared" si="6"/>
        <v>35866.38785</v>
      </c>
      <c r="P31" s="60">
        <f t="shared" si="6"/>
        <v>38424.29394</v>
      </c>
      <c r="Q31" s="60">
        <f t="shared" si="6"/>
        <v>37281.96423</v>
      </c>
      <c r="R31" s="60">
        <f t="shared" si="6"/>
        <v>34000.29289</v>
      </c>
      <c r="S31" s="60">
        <f t="shared" si="6"/>
        <v>36369.27558</v>
      </c>
      <c r="T31" s="60">
        <f t="shared" si="6"/>
        <v>41455.17503</v>
      </c>
      <c r="U31" s="60">
        <f t="shared" si="6"/>
        <v>45555.11878</v>
      </c>
      <c r="V31" s="60">
        <f t="shared" si="6"/>
        <v>49275.61154</v>
      </c>
      <c r="W31" s="60">
        <f t="shared" si="6"/>
        <v>55869.72872</v>
      </c>
      <c r="X31" s="60">
        <f t="shared" si="6"/>
        <v>101577.9115</v>
      </c>
      <c r="Y31" s="60">
        <f t="shared" si="6"/>
        <v>310590.7098</v>
      </c>
      <c r="Z31" s="60">
        <f t="shared" si="6"/>
        <v>114465.458</v>
      </c>
      <c r="AA31" s="60">
        <f t="shared" si="6"/>
        <v>110990.5426</v>
      </c>
      <c r="AB31" s="60">
        <f t="shared" si="6"/>
        <v>133101.6742</v>
      </c>
      <c r="AC31" s="60">
        <f t="shared" si="6"/>
        <v>101085.6933</v>
      </c>
      <c r="AD31" s="60">
        <f t="shared" si="6"/>
        <v>38156.42855</v>
      </c>
      <c r="AE31" s="60">
        <f t="shared" si="6"/>
        <v>19372.65567</v>
      </c>
      <c r="AF31" s="89">
        <f t="shared" si="5"/>
        <v>1813547.159</v>
      </c>
    </row>
    <row r="32">
      <c r="A32" s="4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row>
    <row r="33">
      <c r="A33" s="149"/>
      <c r="B33" s="139"/>
      <c r="C33" s="139"/>
      <c r="D33" s="139"/>
      <c r="E33" s="139"/>
      <c r="F33" s="139"/>
      <c r="G33" s="139"/>
      <c r="H33" s="139"/>
      <c r="I33" s="139"/>
      <c r="J33" s="139"/>
      <c r="K33" s="139"/>
      <c r="L33" s="139"/>
      <c r="M33" s="139"/>
      <c r="N33" s="139"/>
      <c r="O33" s="139"/>
      <c r="P33" s="139"/>
      <c r="Q33" s="139"/>
      <c r="R33" s="139"/>
      <c r="S33" s="139"/>
      <c r="T33" s="139"/>
      <c r="U33" s="139"/>
      <c r="V33" s="139"/>
      <c r="W33" s="139"/>
      <c r="X33" s="139"/>
      <c r="Y33" s="139"/>
      <c r="Z33" s="139"/>
      <c r="AA33" s="139"/>
      <c r="AB33" s="139"/>
      <c r="AC33" s="139"/>
      <c r="AD33" s="139"/>
      <c r="AE33" s="139"/>
      <c r="AF33" s="153"/>
    </row>
    <row r="34">
      <c r="A34" s="82"/>
      <c r="B34" s="83"/>
      <c r="C34" s="83"/>
      <c r="D34" s="83"/>
      <c r="E34" s="83"/>
      <c r="F34" s="83"/>
      <c r="G34" s="83"/>
      <c r="H34" s="83"/>
      <c r="I34" s="83"/>
      <c r="J34" s="83"/>
      <c r="K34" s="83"/>
      <c r="L34" s="83"/>
      <c r="M34" s="83"/>
      <c r="N34" s="83"/>
      <c r="O34" s="83"/>
      <c r="P34" s="83"/>
      <c r="Q34" s="83"/>
      <c r="R34" s="83"/>
      <c r="S34" s="83"/>
      <c r="T34" s="83"/>
      <c r="U34" s="83"/>
      <c r="V34" s="83"/>
      <c r="W34" s="83"/>
      <c r="X34" s="83"/>
      <c r="Y34" s="83"/>
      <c r="Z34" s="83"/>
      <c r="AA34" s="83"/>
      <c r="AB34" s="83"/>
      <c r="AC34" s="83"/>
      <c r="AD34" s="83"/>
      <c r="AE34" s="83"/>
      <c r="AF34" s="10"/>
    </row>
    <row r="35">
      <c r="A35" s="49"/>
      <c r="B35" s="158"/>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0"/>
    </row>
    <row r="36">
      <c r="A36" s="75" t="s">
        <v>105</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row>
    <row r="37">
      <c r="A37" s="162" t="s">
        <v>183</v>
      </c>
      <c r="B37" s="66">
        <f>Summary!B8</f>
        <v>105288.85</v>
      </c>
      <c r="C37" s="66">
        <f>Summary!C8</f>
        <v>114299.05</v>
      </c>
      <c r="D37" s="66">
        <f>Summary!D8</f>
        <v>112607.15</v>
      </c>
      <c r="E37" s="66">
        <f>Summary!E8</f>
        <v>122040.63</v>
      </c>
      <c r="F37" s="66">
        <f>Summary!F8</f>
        <v>137885.87</v>
      </c>
      <c r="G37" s="66">
        <f>Summary!G8</f>
        <v>130202.04</v>
      </c>
      <c r="H37" s="66">
        <f>Summary!H8</f>
        <v>119604.06</v>
      </c>
      <c r="I37" s="66">
        <f>Summary!I8</f>
        <v>123367.12</v>
      </c>
      <c r="J37" s="66">
        <f>Summary!J8</f>
        <v>132758.96</v>
      </c>
      <c r="K37" s="66">
        <f>Summary!K8</f>
        <v>129650.69</v>
      </c>
      <c r="L37" s="66">
        <f>Summary!L8</f>
        <v>170840.54</v>
      </c>
      <c r="M37" s="66">
        <f>Summary!M8</f>
        <v>167598.98</v>
      </c>
      <c r="N37" s="66">
        <f>Summary!N8</f>
        <v>144526.94</v>
      </c>
      <c r="O37" s="66">
        <f>Summary!O8</f>
        <v>150855.82</v>
      </c>
      <c r="P37" s="66">
        <f>Summary!P8</f>
        <v>138667.14</v>
      </c>
      <c r="Q37" s="66">
        <f>Summary!Q8</f>
        <v>128700</v>
      </c>
      <c r="R37" s="66">
        <f>Summary!R8</f>
        <v>137223.22</v>
      </c>
      <c r="S37" s="66">
        <f>Summary!S8</f>
        <v>174001.55</v>
      </c>
      <c r="T37" s="66">
        <f>Summary!T8</f>
        <v>184464.08</v>
      </c>
      <c r="U37" s="66">
        <f>Summary!U8</f>
        <v>194400.84</v>
      </c>
      <c r="V37" s="66">
        <f>Summary!V8</f>
        <v>198063.87</v>
      </c>
      <c r="W37" s="66">
        <f>Summary!W8</f>
        <v>290518.02</v>
      </c>
      <c r="X37" s="66">
        <f>Summary!X8</f>
        <v>350215.16</v>
      </c>
      <c r="Y37" s="66">
        <f>Summary!Y8</f>
        <v>952032.29</v>
      </c>
      <c r="Z37" s="66">
        <f>Summary!Z8</f>
        <v>589382.83</v>
      </c>
      <c r="AA37" s="66">
        <f>Summary!AA8</f>
        <v>442601.05</v>
      </c>
      <c r="AB37" s="66">
        <f>Summary!AB8</f>
        <v>679709.11</v>
      </c>
      <c r="AC37" s="66">
        <f>Summary!AC8</f>
        <v>479681.85</v>
      </c>
      <c r="AD37" s="66">
        <f>Summary!AD8</f>
        <v>104651.11</v>
      </c>
      <c r="AE37" s="66">
        <f>Summary!AE8</f>
        <v>94859.28</v>
      </c>
      <c r="AF37" s="167">
        <f t="shared" ref="AF37:AF38" si="8">sum(B37:AE37)</f>
        <v>7000698.1</v>
      </c>
    </row>
    <row r="38">
      <c r="A38" s="168" t="s">
        <v>127</v>
      </c>
      <c r="B38" s="169">
        <f t="shared" ref="B38:AE38" si="7">SUM(B37)</f>
        <v>105288.85</v>
      </c>
      <c r="C38" s="169">
        <f t="shared" si="7"/>
        <v>114299.05</v>
      </c>
      <c r="D38" s="169">
        <f t="shared" si="7"/>
        <v>112607.15</v>
      </c>
      <c r="E38" s="169">
        <f t="shared" si="7"/>
        <v>122040.63</v>
      </c>
      <c r="F38" s="169">
        <f t="shared" si="7"/>
        <v>137885.87</v>
      </c>
      <c r="G38" s="169">
        <f t="shared" si="7"/>
        <v>130202.04</v>
      </c>
      <c r="H38" s="169">
        <f t="shared" si="7"/>
        <v>119604.06</v>
      </c>
      <c r="I38" s="169">
        <f t="shared" si="7"/>
        <v>123367.12</v>
      </c>
      <c r="J38" s="169">
        <f t="shared" si="7"/>
        <v>132758.96</v>
      </c>
      <c r="K38" s="169">
        <f t="shared" si="7"/>
        <v>129650.69</v>
      </c>
      <c r="L38" s="169">
        <f t="shared" si="7"/>
        <v>170840.54</v>
      </c>
      <c r="M38" s="169">
        <f t="shared" si="7"/>
        <v>167598.98</v>
      </c>
      <c r="N38" s="169">
        <f t="shared" si="7"/>
        <v>144526.94</v>
      </c>
      <c r="O38" s="169">
        <f t="shared" si="7"/>
        <v>150855.82</v>
      </c>
      <c r="P38" s="169">
        <f t="shared" si="7"/>
        <v>138667.14</v>
      </c>
      <c r="Q38" s="169">
        <f t="shared" si="7"/>
        <v>128700</v>
      </c>
      <c r="R38" s="169">
        <f t="shared" si="7"/>
        <v>137223.22</v>
      </c>
      <c r="S38" s="169">
        <f t="shared" si="7"/>
        <v>174001.55</v>
      </c>
      <c r="T38" s="169">
        <f t="shared" si="7"/>
        <v>184464.08</v>
      </c>
      <c r="U38" s="169">
        <f t="shared" si="7"/>
        <v>194400.84</v>
      </c>
      <c r="V38" s="169">
        <f t="shared" si="7"/>
        <v>198063.87</v>
      </c>
      <c r="W38" s="169">
        <f t="shared" si="7"/>
        <v>290518.02</v>
      </c>
      <c r="X38" s="169">
        <f t="shared" si="7"/>
        <v>350215.16</v>
      </c>
      <c r="Y38" s="169">
        <f t="shared" si="7"/>
        <v>952032.29</v>
      </c>
      <c r="Z38" s="169">
        <f t="shared" si="7"/>
        <v>589382.83</v>
      </c>
      <c r="AA38" s="169">
        <f t="shared" si="7"/>
        <v>442601.05</v>
      </c>
      <c r="AB38" s="169">
        <f t="shared" si="7"/>
        <v>679709.11</v>
      </c>
      <c r="AC38" s="169">
        <f t="shared" si="7"/>
        <v>479681.85</v>
      </c>
      <c r="AD38" s="169">
        <f t="shared" si="7"/>
        <v>104651.11</v>
      </c>
      <c r="AE38" s="169">
        <f t="shared" si="7"/>
        <v>94859.28</v>
      </c>
      <c r="AF38" s="167">
        <f t="shared" si="8"/>
        <v>7000698.1</v>
      </c>
    </row>
    <row r="39">
      <c r="A39" s="4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row>
    <row r="40">
      <c r="A40" s="75" t="s">
        <v>66</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row>
    <row r="41">
      <c r="A41" s="171" t="s">
        <v>200</v>
      </c>
      <c r="B41" s="172">
        <f>Summary!B54</f>
        <v>456</v>
      </c>
      <c r="C41" s="172">
        <f>Summary!C54</f>
        <v>542</v>
      </c>
      <c r="D41" s="172">
        <f>Summary!D54</f>
        <v>522</v>
      </c>
      <c r="E41" s="172">
        <f>Summary!E54</f>
        <v>542</v>
      </c>
      <c r="F41" s="172">
        <f>Summary!F54</f>
        <v>614</v>
      </c>
      <c r="G41" s="172">
        <f>Summary!G54</f>
        <v>588</v>
      </c>
      <c r="H41" s="172">
        <f>Summary!H54</f>
        <v>526</v>
      </c>
      <c r="I41" s="172">
        <f>Summary!I54</f>
        <v>538</v>
      </c>
      <c r="J41" s="172">
        <f>Summary!J54</f>
        <v>580</v>
      </c>
      <c r="K41" s="172">
        <f>Summary!K54</f>
        <v>567</v>
      </c>
      <c r="L41" s="172">
        <f>Summary!L54</f>
        <v>702</v>
      </c>
      <c r="M41" s="172">
        <f>Summary!M54</f>
        <v>777</v>
      </c>
      <c r="N41" s="172">
        <f>Summary!N54</f>
        <v>980</v>
      </c>
      <c r="O41" s="172">
        <f>Summary!O54</f>
        <v>641</v>
      </c>
      <c r="P41" s="172">
        <f>Summary!P54</f>
        <v>595</v>
      </c>
      <c r="Q41" s="172">
        <f>Summary!Q54</f>
        <v>558</v>
      </c>
      <c r="R41" s="172">
        <f>Summary!R54</f>
        <v>600</v>
      </c>
      <c r="S41" s="172">
        <f>Summary!S54</f>
        <v>739</v>
      </c>
      <c r="T41" s="172">
        <f>Summary!T54</f>
        <v>773</v>
      </c>
      <c r="U41" s="172">
        <f>Summary!U54</f>
        <v>804</v>
      </c>
      <c r="V41" s="172">
        <f>Summary!V54</f>
        <v>841</v>
      </c>
      <c r="W41" s="172">
        <f>Summary!W54</f>
        <v>1244</v>
      </c>
      <c r="X41" s="172">
        <f>Summary!X54</f>
        <v>1456</v>
      </c>
      <c r="Y41" s="172">
        <f>Summary!Y54</f>
        <v>4000</v>
      </c>
      <c r="Z41" s="172">
        <f>Summary!Z54</f>
        <v>2499</v>
      </c>
      <c r="AA41" s="172">
        <f>Summary!AA54</f>
        <v>1858</v>
      </c>
      <c r="AB41" s="172">
        <f>Summary!AB54</f>
        <v>2844</v>
      </c>
      <c r="AC41" s="172">
        <f>Summary!AC54</f>
        <v>1980</v>
      </c>
      <c r="AD41" s="172">
        <f>Summary!AD54</f>
        <v>342</v>
      </c>
      <c r="AE41" s="172">
        <f>Summary!AE54</f>
        <v>320</v>
      </c>
      <c r="AF41" s="167">
        <f t="shared" ref="AF41:AF42" si="10">sum(B41:AE41)</f>
        <v>30028</v>
      </c>
    </row>
    <row r="42">
      <c r="A42" s="181" t="s">
        <v>127</v>
      </c>
      <c r="B42" s="182">
        <f t="shared" ref="B42:AE42" si="9">SUM(B41)</f>
        <v>456</v>
      </c>
      <c r="C42" s="182">
        <f t="shared" si="9"/>
        <v>542</v>
      </c>
      <c r="D42" s="182">
        <f t="shared" si="9"/>
        <v>522</v>
      </c>
      <c r="E42" s="182">
        <f t="shared" si="9"/>
        <v>542</v>
      </c>
      <c r="F42" s="182">
        <f t="shared" si="9"/>
        <v>614</v>
      </c>
      <c r="G42" s="182">
        <f t="shared" si="9"/>
        <v>588</v>
      </c>
      <c r="H42" s="182">
        <f t="shared" si="9"/>
        <v>526</v>
      </c>
      <c r="I42" s="182">
        <f t="shared" si="9"/>
        <v>538</v>
      </c>
      <c r="J42" s="182">
        <f t="shared" si="9"/>
        <v>580</v>
      </c>
      <c r="K42" s="182">
        <f t="shared" si="9"/>
        <v>567</v>
      </c>
      <c r="L42" s="182">
        <f t="shared" si="9"/>
        <v>702</v>
      </c>
      <c r="M42" s="182">
        <f t="shared" si="9"/>
        <v>777</v>
      </c>
      <c r="N42" s="182">
        <f t="shared" si="9"/>
        <v>980</v>
      </c>
      <c r="O42" s="182">
        <f t="shared" si="9"/>
        <v>641</v>
      </c>
      <c r="P42" s="182">
        <f t="shared" si="9"/>
        <v>595</v>
      </c>
      <c r="Q42" s="182">
        <f t="shared" si="9"/>
        <v>558</v>
      </c>
      <c r="R42" s="182">
        <f t="shared" si="9"/>
        <v>600</v>
      </c>
      <c r="S42" s="182">
        <f t="shared" si="9"/>
        <v>739</v>
      </c>
      <c r="T42" s="182">
        <f t="shared" si="9"/>
        <v>773</v>
      </c>
      <c r="U42" s="182">
        <f t="shared" si="9"/>
        <v>804</v>
      </c>
      <c r="V42" s="182">
        <f t="shared" si="9"/>
        <v>841</v>
      </c>
      <c r="W42" s="182">
        <f t="shared" si="9"/>
        <v>1244</v>
      </c>
      <c r="X42" s="182">
        <f t="shared" si="9"/>
        <v>1456</v>
      </c>
      <c r="Y42" s="182">
        <f t="shared" si="9"/>
        <v>4000</v>
      </c>
      <c r="Z42" s="182">
        <f t="shared" si="9"/>
        <v>2499</v>
      </c>
      <c r="AA42" s="182">
        <f t="shared" si="9"/>
        <v>1858</v>
      </c>
      <c r="AB42" s="182">
        <f t="shared" si="9"/>
        <v>2844</v>
      </c>
      <c r="AC42" s="182">
        <f t="shared" si="9"/>
        <v>1980</v>
      </c>
      <c r="AD42" s="182">
        <f t="shared" si="9"/>
        <v>342</v>
      </c>
      <c r="AE42" s="182">
        <f t="shared" si="9"/>
        <v>320</v>
      </c>
      <c r="AF42" s="167">
        <f t="shared" si="10"/>
        <v>30028</v>
      </c>
    </row>
    <row r="43">
      <c r="A43" s="4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row>
    <row r="44">
      <c r="A44" s="75" t="s">
        <v>213</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row>
    <row r="45">
      <c r="A45" s="87" t="s">
        <v>96</v>
      </c>
      <c r="B45" s="88">
        <f>Summary!B9</f>
        <v>85464.76</v>
      </c>
      <c r="C45" s="88">
        <f>Summary!C9</f>
        <v>88820.66</v>
      </c>
      <c r="D45" s="88">
        <f>Summary!D9</f>
        <v>90446.48</v>
      </c>
      <c r="E45" s="88">
        <f>Summary!E9</f>
        <v>97964.77</v>
      </c>
      <c r="F45" s="88">
        <f>Summary!F9</f>
        <v>112993.92</v>
      </c>
      <c r="G45" s="88">
        <f>Summary!G9</f>
        <v>106383.84</v>
      </c>
      <c r="H45" s="88">
        <f>Summary!H9</f>
        <v>97516.45</v>
      </c>
      <c r="I45" s="88">
        <f>Summary!I9</f>
        <v>97998.57</v>
      </c>
      <c r="J45" s="88">
        <f>Summary!J9</f>
        <v>105495.71</v>
      </c>
      <c r="K45" s="88">
        <f>Summary!K9</f>
        <v>103305.74</v>
      </c>
      <c r="L45" s="88">
        <f>Summary!L9</f>
        <v>135481.65</v>
      </c>
      <c r="M45" s="88">
        <f>Summary!M9</f>
        <v>130709.47</v>
      </c>
      <c r="N45" s="88">
        <f>Summary!N9</f>
        <v>104808.29</v>
      </c>
      <c r="O45" s="88">
        <f>Summary!O9</f>
        <v>120021.9</v>
      </c>
      <c r="P45" s="88">
        <f>Summary!P9</f>
        <v>110332.61</v>
      </c>
      <c r="Q45" s="88">
        <f>Summary!Q9</f>
        <v>101442.48</v>
      </c>
      <c r="R45" s="88">
        <f>Summary!R9</f>
        <v>109297.97</v>
      </c>
      <c r="S45" s="88">
        <f>Summary!S9</f>
        <v>139757.95</v>
      </c>
      <c r="T45" s="88">
        <f>Summary!T9</f>
        <v>148816.8</v>
      </c>
      <c r="U45" s="88">
        <f>Summary!U9</f>
        <v>155473.12</v>
      </c>
      <c r="V45" s="88">
        <f>Summary!V9</f>
        <v>159649.26</v>
      </c>
      <c r="W45" s="88">
        <f>Summary!W9</f>
        <v>232257.49</v>
      </c>
      <c r="X45" s="88">
        <f>Summary!X9</f>
        <v>279269.34</v>
      </c>
      <c r="Y45" s="88">
        <f>Summary!Y9</f>
        <v>768682.68</v>
      </c>
      <c r="Z45" s="88">
        <f>Summary!Z9</f>
        <v>480538.29</v>
      </c>
      <c r="AA45" s="88">
        <f>Summary!AA9</f>
        <v>355864.59</v>
      </c>
      <c r="AB45" s="88">
        <f>Summary!AB9</f>
        <v>554099.5</v>
      </c>
      <c r="AC45" s="88">
        <f>Summary!AC9</f>
        <v>394641.7</v>
      </c>
      <c r="AD45" s="88">
        <f>Summary!AD9</f>
        <v>85839.83</v>
      </c>
      <c r="AE45" s="88">
        <f>Summary!AE9</f>
        <v>76648.21</v>
      </c>
      <c r="AF45" s="89">
        <f t="shared" ref="AF45:AF50" si="11">SUM(B45:AE45)</f>
        <v>5630024.03</v>
      </c>
    </row>
    <row r="46">
      <c r="A46" s="87" t="s">
        <v>99</v>
      </c>
      <c r="B46" s="88">
        <f>Summary!B10</f>
        <v>6707.54</v>
      </c>
      <c r="C46" s="88">
        <f>Summary!C10</f>
        <v>10578.54</v>
      </c>
      <c r="D46" s="88">
        <f>Summary!D10</f>
        <v>9279.32</v>
      </c>
      <c r="E46" s="88">
        <f>Summary!E10</f>
        <v>10715.53</v>
      </c>
      <c r="F46" s="88">
        <f>Summary!F10</f>
        <v>9847.38</v>
      </c>
      <c r="G46" s="88">
        <f>Summary!G10</f>
        <v>9498.36</v>
      </c>
      <c r="H46" s="88">
        <f>Summary!H10</f>
        <v>9096.2</v>
      </c>
      <c r="I46" s="88">
        <f>Summary!I10</f>
        <v>10900.63</v>
      </c>
      <c r="J46" s="88">
        <f>Summary!J10</f>
        <v>10081.86</v>
      </c>
      <c r="K46" s="88">
        <f>Summary!K10</f>
        <v>9833.36</v>
      </c>
      <c r="L46" s="88">
        <f>Summary!L10</f>
        <v>14204.65</v>
      </c>
      <c r="M46" s="88">
        <f>Summary!M10</f>
        <v>15202.53</v>
      </c>
      <c r="N46" s="88">
        <f>Summary!N10</f>
        <v>17902.76</v>
      </c>
      <c r="O46" s="88">
        <f>Summary!O10</f>
        <v>11276.86</v>
      </c>
      <c r="P46" s="88">
        <f>Summary!P10</f>
        <v>10034.39</v>
      </c>
      <c r="Q46" s="88">
        <f>Summary!Q10</f>
        <v>10184.52</v>
      </c>
      <c r="R46" s="88">
        <f>Summary!R10</f>
        <v>9958.2</v>
      </c>
      <c r="S46" s="88">
        <f>Summary!S10</f>
        <v>11848.7</v>
      </c>
      <c r="T46" s="88">
        <f>Summary!T10</f>
        <v>12208.7</v>
      </c>
      <c r="U46" s="88">
        <f>Summary!U10</f>
        <v>14372.88</v>
      </c>
      <c r="V46" s="88">
        <f>Summary!V10</f>
        <v>13573.49</v>
      </c>
      <c r="W46" s="88">
        <f>Summary!W10</f>
        <v>22112.66</v>
      </c>
      <c r="X46" s="88">
        <f>Summary!X10</f>
        <v>26913.89</v>
      </c>
      <c r="Y46" s="88">
        <f>Summary!Y10</f>
        <v>64135.85</v>
      </c>
      <c r="Z46" s="88">
        <f>Summary!Z10</f>
        <v>34635.81</v>
      </c>
      <c r="AA46" s="88">
        <f>Summary!AA10</f>
        <v>31300.7</v>
      </c>
      <c r="AB46" s="88">
        <f>Summary!AB10</f>
        <v>40412.44</v>
      </c>
      <c r="AC46" s="88">
        <f>Summary!AC10</f>
        <v>25503.7</v>
      </c>
      <c r="AD46" s="88">
        <f>Summary!AD10</f>
        <v>7747.32</v>
      </c>
      <c r="AE46" s="88">
        <f>Summary!AE10</f>
        <v>7659.93</v>
      </c>
      <c r="AF46" s="89">
        <f t="shared" si="11"/>
        <v>497728.7</v>
      </c>
    </row>
    <row r="47">
      <c r="A47" s="87" t="s">
        <v>101</v>
      </c>
      <c r="B47" s="88">
        <f>Summary!B11</f>
        <v>0</v>
      </c>
      <c r="C47" s="88">
        <f>Summary!C11</f>
        <v>0</v>
      </c>
      <c r="D47" s="88">
        <f>Summary!D11</f>
        <v>0</v>
      </c>
      <c r="E47" s="88">
        <f>Summary!E11</f>
        <v>0</v>
      </c>
      <c r="F47" s="88">
        <f>Summary!F11</f>
        <v>0</v>
      </c>
      <c r="G47" s="88">
        <f>Summary!G11</f>
        <v>0</v>
      </c>
      <c r="H47" s="88">
        <f>Summary!H11</f>
        <v>0</v>
      </c>
      <c r="I47" s="88">
        <f>Summary!I11</f>
        <v>0</v>
      </c>
      <c r="J47" s="88">
        <f>Summary!J11</f>
        <v>552.01</v>
      </c>
      <c r="K47" s="88">
        <f>Summary!K11</f>
        <v>356.89</v>
      </c>
      <c r="L47" s="88">
        <f>Summary!L11</f>
        <v>281.81</v>
      </c>
      <c r="M47" s="88">
        <f>Summary!M11</f>
        <v>164.95</v>
      </c>
      <c r="N47" s="88">
        <f>Summary!N11</f>
        <v>0</v>
      </c>
      <c r="O47" s="88">
        <f>Summary!O11</f>
        <v>681.63</v>
      </c>
      <c r="P47" s="88">
        <f>Summary!P11</f>
        <v>662.92</v>
      </c>
      <c r="Q47" s="88">
        <f>Summary!Q11</f>
        <v>844.78</v>
      </c>
      <c r="R47" s="88">
        <f>Summary!R11</f>
        <v>636.28</v>
      </c>
      <c r="S47" s="88">
        <f>Summary!S11</f>
        <v>271.98</v>
      </c>
      <c r="T47" s="88">
        <f>Summary!T11</f>
        <v>215.97</v>
      </c>
      <c r="U47" s="88">
        <f>Summary!U11</f>
        <v>185.98</v>
      </c>
      <c r="V47" s="88">
        <f>Summary!V11</f>
        <v>275.99</v>
      </c>
      <c r="W47" s="88">
        <f>Summary!W11</f>
        <v>406.99</v>
      </c>
      <c r="X47" s="88">
        <f>Summary!X11</f>
        <v>415.66</v>
      </c>
      <c r="Y47" s="88">
        <f>Summary!Y11</f>
        <v>911.63</v>
      </c>
      <c r="Z47" s="88">
        <f>Summary!Z11</f>
        <v>605.98</v>
      </c>
      <c r="AA47" s="88">
        <f>Summary!AA11</f>
        <v>275.01</v>
      </c>
      <c r="AB47" s="88">
        <f>Summary!AB11</f>
        <v>776.95</v>
      </c>
      <c r="AC47" s="88">
        <f>Summary!AC11</f>
        <v>788.98</v>
      </c>
      <c r="AD47" s="88">
        <f>Summary!AD11</f>
        <v>172.99</v>
      </c>
      <c r="AE47" s="88">
        <f>Summary!AE11</f>
        <v>114</v>
      </c>
      <c r="AF47" s="89">
        <f t="shared" si="11"/>
        <v>9599.38</v>
      </c>
    </row>
    <row r="48">
      <c r="A48" s="87" t="s">
        <v>106</v>
      </c>
      <c r="B48" s="88">
        <f>Summary!B13</f>
        <v>5816.55</v>
      </c>
      <c r="C48" s="88">
        <f>Summary!C13</f>
        <v>6484.85</v>
      </c>
      <c r="D48" s="88">
        <f>Summary!D13</f>
        <v>6121.35</v>
      </c>
      <c r="E48" s="88">
        <f>Summary!E13</f>
        <v>7055.33</v>
      </c>
      <c r="F48" s="88">
        <f>Summary!F13</f>
        <v>7974.57</v>
      </c>
      <c r="G48" s="88">
        <f>Summary!G13</f>
        <v>7404.84</v>
      </c>
      <c r="H48" s="88">
        <f>Summary!H13</f>
        <v>6681.41</v>
      </c>
      <c r="I48" s="88">
        <f>Summary!I13</f>
        <v>6882.92</v>
      </c>
      <c r="J48" s="88">
        <f>Summary!J13</f>
        <v>7181.38</v>
      </c>
      <c r="K48" s="88">
        <f>Summary!K13</f>
        <v>7019.7</v>
      </c>
      <c r="L48" s="88">
        <f>Summary!L13</f>
        <v>9404.43</v>
      </c>
      <c r="M48" s="88">
        <f>Summary!M13</f>
        <v>9065.03</v>
      </c>
      <c r="N48" s="88">
        <f>Summary!N13</f>
        <v>8205.89</v>
      </c>
      <c r="O48" s="88">
        <f>Summary!O13</f>
        <v>8084.43</v>
      </c>
      <c r="P48" s="88">
        <f>Summary!P13</f>
        <v>7629.22</v>
      </c>
      <c r="Q48" s="88">
        <f>Summary!Q13</f>
        <v>6860.22</v>
      </c>
      <c r="R48" s="88">
        <f>Summary!R13</f>
        <v>7425.77</v>
      </c>
      <c r="S48" s="88">
        <f>Summary!S13</f>
        <v>9037.92</v>
      </c>
      <c r="T48" s="88">
        <f>Summary!T13</f>
        <v>9827.61</v>
      </c>
      <c r="U48" s="88">
        <f>Summary!U13</f>
        <v>10093.86</v>
      </c>
      <c r="V48" s="88">
        <f>Summary!V13</f>
        <v>10475.13</v>
      </c>
      <c r="W48" s="88">
        <f>Summary!W13</f>
        <v>14995.88</v>
      </c>
      <c r="X48" s="88">
        <f>Summary!X13</f>
        <v>18816.27</v>
      </c>
      <c r="Y48" s="88">
        <f>Summary!Y13</f>
        <v>53419.13</v>
      </c>
      <c r="Z48" s="88">
        <f>Summary!Z13</f>
        <v>33357.75</v>
      </c>
      <c r="AA48" s="88">
        <f>Summary!AA13</f>
        <v>23750.75</v>
      </c>
      <c r="AB48" s="88">
        <f>Summary!AB13</f>
        <v>38985.22</v>
      </c>
      <c r="AC48" s="88">
        <f>Summary!AC13</f>
        <v>27392.47</v>
      </c>
      <c r="AD48" s="88">
        <f>Summary!AD13</f>
        <v>5705.97</v>
      </c>
      <c r="AE48" s="88">
        <f>Summary!AE13</f>
        <v>5427.14</v>
      </c>
      <c r="AF48" s="89">
        <f t="shared" si="11"/>
        <v>386582.99</v>
      </c>
    </row>
    <row r="49">
      <c r="A49" s="87" t="s">
        <v>108</v>
      </c>
      <c r="B49" s="88">
        <f>Summary!B14</f>
        <v>7300</v>
      </c>
      <c r="C49" s="88">
        <f>Summary!C14</f>
        <v>8415</v>
      </c>
      <c r="D49" s="88">
        <f>Summary!D14</f>
        <v>6760</v>
      </c>
      <c r="E49" s="88">
        <f>Summary!E14</f>
        <v>6305</v>
      </c>
      <c r="F49" s="88">
        <f>Summary!F14</f>
        <v>7070</v>
      </c>
      <c r="G49" s="88">
        <f>Summary!G14</f>
        <v>6915</v>
      </c>
      <c r="H49" s="88">
        <f>Summary!H14</f>
        <v>6310</v>
      </c>
      <c r="I49" s="88">
        <f>Summary!I14</f>
        <v>7585</v>
      </c>
      <c r="J49" s="88">
        <f>Summary!J14</f>
        <v>9448</v>
      </c>
      <c r="K49" s="88">
        <f>Summary!K14</f>
        <v>9135</v>
      </c>
      <c r="L49" s="88">
        <f>Summary!L14</f>
        <v>11468</v>
      </c>
      <c r="M49" s="88">
        <f>Summary!M14</f>
        <v>12457</v>
      </c>
      <c r="N49" s="88">
        <f>Summary!N14</f>
        <v>13610</v>
      </c>
      <c r="O49" s="88">
        <f>Summary!O14</f>
        <v>10791</v>
      </c>
      <c r="P49" s="88">
        <f>Summary!P14</f>
        <v>10008</v>
      </c>
      <c r="Q49" s="88">
        <f>Summary!Q14</f>
        <v>9368</v>
      </c>
      <c r="R49" s="88">
        <f>Summary!R14</f>
        <v>9905</v>
      </c>
      <c r="S49" s="88">
        <f>Summary!S14</f>
        <v>13085</v>
      </c>
      <c r="T49" s="88">
        <f>Summary!T14</f>
        <v>13395</v>
      </c>
      <c r="U49" s="88">
        <f>Summary!U14</f>
        <v>14275</v>
      </c>
      <c r="V49" s="88">
        <f>Summary!V14</f>
        <v>14090</v>
      </c>
      <c r="W49" s="88">
        <f>Summary!W14</f>
        <v>20745</v>
      </c>
      <c r="X49" s="88">
        <f>Summary!X14</f>
        <v>24800</v>
      </c>
      <c r="Y49" s="88">
        <f>Summary!Y14</f>
        <v>64883</v>
      </c>
      <c r="Z49" s="88">
        <f>Summary!Z14</f>
        <v>40245</v>
      </c>
      <c r="AA49" s="88">
        <f>Summary!AA14</f>
        <v>31410</v>
      </c>
      <c r="AB49" s="88">
        <f>Summary!AB14</f>
        <v>45435</v>
      </c>
      <c r="AC49" s="88">
        <f>Summary!AC14</f>
        <v>31355</v>
      </c>
      <c r="AD49" s="88">
        <f>Summary!AD14</f>
        <v>5185</v>
      </c>
      <c r="AE49" s="88">
        <f>Summary!AE14</f>
        <v>5010</v>
      </c>
      <c r="AF49" s="89">
        <f t="shared" si="11"/>
        <v>476763</v>
      </c>
    </row>
    <row r="50">
      <c r="A50" s="211" t="s">
        <v>127</v>
      </c>
      <c r="B50" s="213">
        <f t="shared" ref="B50:AE50" si="12">SUM(B45:B49)</f>
        <v>105288.85</v>
      </c>
      <c r="C50" s="213">
        <f t="shared" si="12"/>
        <v>114299.05</v>
      </c>
      <c r="D50" s="213">
        <f t="shared" si="12"/>
        <v>112607.15</v>
      </c>
      <c r="E50" s="213">
        <f t="shared" si="12"/>
        <v>122040.63</v>
      </c>
      <c r="F50" s="213">
        <f t="shared" si="12"/>
        <v>137885.87</v>
      </c>
      <c r="G50" s="213">
        <f t="shared" si="12"/>
        <v>130202.04</v>
      </c>
      <c r="H50" s="213">
        <f t="shared" si="12"/>
        <v>119604.06</v>
      </c>
      <c r="I50" s="213">
        <f t="shared" si="12"/>
        <v>123367.12</v>
      </c>
      <c r="J50" s="213">
        <f t="shared" si="12"/>
        <v>132758.96</v>
      </c>
      <c r="K50" s="213">
        <f t="shared" si="12"/>
        <v>129650.69</v>
      </c>
      <c r="L50" s="213">
        <f t="shared" si="12"/>
        <v>170840.54</v>
      </c>
      <c r="M50" s="213">
        <f t="shared" si="12"/>
        <v>167598.98</v>
      </c>
      <c r="N50" s="213">
        <f t="shared" si="12"/>
        <v>144526.94</v>
      </c>
      <c r="O50" s="213">
        <f t="shared" si="12"/>
        <v>150855.82</v>
      </c>
      <c r="P50" s="213">
        <f t="shared" si="12"/>
        <v>138667.14</v>
      </c>
      <c r="Q50" s="213">
        <f t="shared" si="12"/>
        <v>128700</v>
      </c>
      <c r="R50" s="213">
        <f t="shared" si="12"/>
        <v>137223.22</v>
      </c>
      <c r="S50" s="213">
        <f t="shared" si="12"/>
        <v>174001.55</v>
      </c>
      <c r="T50" s="213">
        <f t="shared" si="12"/>
        <v>184464.08</v>
      </c>
      <c r="U50" s="213">
        <f t="shared" si="12"/>
        <v>194400.84</v>
      </c>
      <c r="V50" s="213">
        <f t="shared" si="12"/>
        <v>198063.87</v>
      </c>
      <c r="W50" s="213">
        <f t="shared" si="12"/>
        <v>290518.02</v>
      </c>
      <c r="X50" s="213">
        <f t="shared" si="12"/>
        <v>350215.16</v>
      </c>
      <c r="Y50" s="213">
        <f t="shared" si="12"/>
        <v>952032.29</v>
      </c>
      <c r="Z50" s="213">
        <f t="shared" si="12"/>
        <v>589382.83</v>
      </c>
      <c r="AA50" s="213">
        <f t="shared" si="12"/>
        <v>442601.05</v>
      </c>
      <c r="AB50" s="213">
        <f t="shared" si="12"/>
        <v>679709.11</v>
      </c>
      <c r="AC50" s="213">
        <f t="shared" si="12"/>
        <v>479681.85</v>
      </c>
      <c r="AD50" s="213">
        <f t="shared" si="12"/>
        <v>104651.11</v>
      </c>
      <c r="AE50" s="213">
        <f t="shared" si="12"/>
        <v>94859.28</v>
      </c>
      <c r="AF50" s="89">
        <f t="shared" si="11"/>
        <v>7000698.1</v>
      </c>
    </row>
    <row r="51">
      <c r="A51" s="4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row>
    <row r="52">
      <c r="A52" s="75" t="s">
        <v>140</v>
      </c>
      <c r="B52" s="110"/>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215"/>
    </row>
    <row r="53">
      <c r="A53" s="76" t="s">
        <v>246</v>
      </c>
      <c r="B53" s="119">
        <v>148.0</v>
      </c>
      <c r="C53" s="112">
        <v>151.0</v>
      </c>
      <c r="D53" s="112">
        <v>153.0</v>
      </c>
      <c r="E53" s="119">
        <v>184.0</v>
      </c>
      <c r="F53" s="112">
        <v>216.0</v>
      </c>
      <c r="G53" s="112">
        <v>183.0</v>
      </c>
      <c r="H53" s="119">
        <v>159.0</v>
      </c>
      <c r="I53" s="112">
        <v>147.0</v>
      </c>
      <c r="J53" s="112">
        <v>172.0</v>
      </c>
      <c r="K53" s="119">
        <v>178.0</v>
      </c>
      <c r="L53" s="112">
        <v>160.0</v>
      </c>
      <c r="M53" s="112">
        <v>175.0</v>
      </c>
      <c r="N53" s="119">
        <v>154.0</v>
      </c>
      <c r="O53" s="112">
        <v>152.0</v>
      </c>
      <c r="P53" s="112">
        <v>155.0</v>
      </c>
      <c r="Q53" s="119">
        <v>142.0</v>
      </c>
      <c r="R53" s="112">
        <v>179.0</v>
      </c>
      <c r="S53" s="112">
        <v>210.0</v>
      </c>
      <c r="T53" s="119">
        <v>206.0</v>
      </c>
      <c r="U53" s="112">
        <v>211.0</v>
      </c>
      <c r="V53" s="112">
        <v>256.0</v>
      </c>
      <c r="W53" s="119">
        <v>358.0</v>
      </c>
      <c r="X53" s="112">
        <v>400.0</v>
      </c>
      <c r="Y53" s="112">
        <v>1235.0</v>
      </c>
      <c r="Z53" s="119">
        <v>833.0</v>
      </c>
      <c r="AA53" s="112">
        <v>572.0</v>
      </c>
      <c r="AB53" s="112">
        <v>792.0</v>
      </c>
      <c r="AC53" s="119">
        <v>595.0</v>
      </c>
      <c r="AD53" s="112">
        <v>37.0</v>
      </c>
      <c r="AE53" s="112">
        <v>49.0</v>
      </c>
      <c r="AF53" s="167">
        <f t="shared" ref="AF53:AF57" si="13">sum(B53:AE53)</f>
        <v>8562</v>
      </c>
    </row>
    <row r="54">
      <c r="A54" s="76" t="s">
        <v>248</v>
      </c>
      <c r="B54" s="119">
        <v>6.0</v>
      </c>
      <c r="C54" s="112">
        <v>11.0</v>
      </c>
      <c r="D54" s="112">
        <v>4.0</v>
      </c>
      <c r="E54" s="119">
        <v>8.0</v>
      </c>
      <c r="F54" s="112">
        <v>8.0</v>
      </c>
      <c r="G54" s="112">
        <v>11.0</v>
      </c>
      <c r="H54" s="119">
        <v>11.0</v>
      </c>
      <c r="I54" s="112">
        <v>6.0</v>
      </c>
      <c r="J54" s="112">
        <v>8.0</v>
      </c>
      <c r="K54" s="119">
        <v>11.0</v>
      </c>
      <c r="L54" s="112">
        <v>9.0</v>
      </c>
      <c r="M54" s="112">
        <v>17.0</v>
      </c>
      <c r="N54" s="119">
        <v>10.0</v>
      </c>
      <c r="O54" s="112">
        <v>10.0</v>
      </c>
      <c r="P54" s="112">
        <v>7.0</v>
      </c>
      <c r="Q54" s="119">
        <v>9.0</v>
      </c>
      <c r="R54" s="112">
        <v>17.0</v>
      </c>
      <c r="S54" s="112">
        <v>21.0</v>
      </c>
      <c r="T54" s="119">
        <v>20.0</v>
      </c>
      <c r="U54" s="112">
        <v>26.0</v>
      </c>
      <c r="V54" s="112">
        <v>28.0</v>
      </c>
      <c r="W54" s="119">
        <v>61.0</v>
      </c>
      <c r="X54" s="112">
        <v>57.0</v>
      </c>
      <c r="Y54" s="112">
        <v>176.0</v>
      </c>
      <c r="Z54" s="119">
        <v>111.0</v>
      </c>
      <c r="AA54" s="112">
        <v>73.0</v>
      </c>
      <c r="AB54" s="112">
        <v>95.0</v>
      </c>
      <c r="AC54" s="119">
        <v>108.0</v>
      </c>
      <c r="AD54" s="112">
        <v>46.0</v>
      </c>
      <c r="AE54" s="112">
        <v>43.0</v>
      </c>
      <c r="AF54" s="167">
        <f t="shared" si="13"/>
        <v>1028</v>
      </c>
    </row>
    <row r="55">
      <c r="A55" s="76" t="s">
        <v>249</v>
      </c>
      <c r="B55" s="119">
        <v>266.0</v>
      </c>
      <c r="C55" s="112">
        <v>276.0</v>
      </c>
      <c r="D55" s="112">
        <v>277.0</v>
      </c>
      <c r="E55" s="119">
        <v>291.0</v>
      </c>
      <c r="F55" s="112">
        <v>333.0</v>
      </c>
      <c r="G55" s="112">
        <v>335.0</v>
      </c>
      <c r="H55" s="119">
        <v>312.0</v>
      </c>
      <c r="I55" s="112">
        <v>318.0</v>
      </c>
      <c r="J55" s="112">
        <v>337.0</v>
      </c>
      <c r="K55" s="119">
        <v>324.0</v>
      </c>
      <c r="L55" s="112">
        <v>489.0</v>
      </c>
      <c r="M55" s="112">
        <v>444.0</v>
      </c>
      <c r="N55" s="119">
        <v>349.0</v>
      </c>
      <c r="O55" s="112">
        <v>415.0</v>
      </c>
      <c r="P55" s="112">
        <v>370.0</v>
      </c>
      <c r="Q55" s="119">
        <v>356.0</v>
      </c>
      <c r="R55" s="112">
        <v>352.0</v>
      </c>
      <c r="S55" s="112">
        <v>462.0</v>
      </c>
      <c r="T55" s="119">
        <v>492.0</v>
      </c>
      <c r="U55" s="112">
        <v>508.0</v>
      </c>
      <c r="V55" s="112">
        <v>476.0</v>
      </c>
      <c r="W55" s="119">
        <v>696.0</v>
      </c>
      <c r="X55" s="112">
        <v>842.0</v>
      </c>
      <c r="Y55" s="112">
        <v>2274.0</v>
      </c>
      <c r="Z55" s="119">
        <v>1350.0</v>
      </c>
      <c r="AA55" s="112">
        <v>1042.0</v>
      </c>
      <c r="AB55" s="112">
        <v>1760.0</v>
      </c>
      <c r="AC55" s="119">
        <v>1062.0</v>
      </c>
      <c r="AD55" s="112">
        <v>112.0</v>
      </c>
      <c r="AE55" s="112">
        <v>97.0</v>
      </c>
      <c r="AF55" s="167">
        <f t="shared" si="13"/>
        <v>17017</v>
      </c>
    </row>
    <row r="56">
      <c r="A56" s="76" t="s">
        <v>253</v>
      </c>
      <c r="B56" s="119">
        <v>25.0</v>
      </c>
      <c r="C56" s="112">
        <v>25.0</v>
      </c>
      <c r="D56" s="112">
        <v>33.0</v>
      </c>
      <c r="E56" s="112">
        <v>27.0</v>
      </c>
      <c r="F56" s="112">
        <v>33.0</v>
      </c>
      <c r="G56" s="119">
        <v>25.0</v>
      </c>
      <c r="H56" s="112">
        <v>23.0</v>
      </c>
      <c r="I56" s="112">
        <v>33.0</v>
      </c>
      <c r="J56" s="112">
        <v>29.0</v>
      </c>
      <c r="K56" s="112">
        <v>24.0</v>
      </c>
      <c r="L56" s="119">
        <v>29.0</v>
      </c>
      <c r="M56" s="112">
        <v>34.0</v>
      </c>
      <c r="N56" s="112">
        <v>26.0</v>
      </c>
      <c r="O56" s="112">
        <v>35.0</v>
      </c>
      <c r="P56" s="112">
        <v>34.0</v>
      </c>
      <c r="Q56" s="119">
        <v>15.0</v>
      </c>
      <c r="R56" s="112">
        <v>20.0</v>
      </c>
      <c r="S56" s="112">
        <v>28.0</v>
      </c>
      <c r="T56" s="112">
        <v>47.0</v>
      </c>
      <c r="U56" s="112">
        <v>54.0</v>
      </c>
      <c r="V56" s="119">
        <v>72.0</v>
      </c>
      <c r="W56" s="112">
        <v>98.0</v>
      </c>
      <c r="X56" s="112">
        <v>138.0</v>
      </c>
      <c r="Y56" s="112">
        <v>301.0</v>
      </c>
      <c r="Z56" s="112">
        <v>216.0</v>
      </c>
      <c r="AA56" s="119">
        <v>159.0</v>
      </c>
      <c r="AB56" s="112">
        <v>210.0</v>
      </c>
      <c r="AC56" s="112">
        <v>202.0</v>
      </c>
      <c r="AD56" s="112">
        <v>115.0</v>
      </c>
      <c r="AE56" s="112">
        <v>90.0</v>
      </c>
      <c r="AF56" s="167">
        <f t="shared" si="13"/>
        <v>2200</v>
      </c>
    </row>
    <row r="57">
      <c r="A57" s="93" t="s">
        <v>148</v>
      </c>
      <c r="B57" s="218">
        <f t="shared" ref="B57:AE57" si="14">SUM(B53:B56)</f>
        <v>445</v>
      </c>
      <c r="C57" s="218">
        <f t="shared" si="14"/>
        <v>463</v>
      </c>
      <c r="D57" s="218">
        <f t="shared" si="14"/>
        <v>467</v>
      </c>
      <c r="E57" s="218">
        <f t="shared" si="14"/>
        <v>510</v>
      </c>
      <c r="F57" s="218">
        <f t="shared" si="14"/>
        <v>590</v>
      </c>
      <c r="G57" s="218">
        <f t="shared" si="14"/>
        <v>554</v>
      </c>
      <c r="H57" s="218">
        <f t="shared" si="14"/>
        <v>505</v>
      </c>
      <c r="I57" s="218">
        <f t="shared" si="14"/>
        <v>504</v>
      </c>
      <c r="J57" s="218">
        <f t="shared" si="14"/>
        <v>546</v>
      </c>
      <c r="K57" s="218">
        <f t="shared" si="14"/>
        <v>537</v>
      </c>
      <c r="L57" s="218">
        <f t="shared" si="14"/>
        <v>687</v>
      </c>
      <c r="M57" s="218">
        <f t="shared" si="14"/>
        <v>670</v>
      </c>
      <c r="N57" s="218">
        <f t="shared" si="14"/>
        <v>539</v>
      </c>
      <c r="O57" s="218">
        <f t="shared" si="14"/>
        <v>612</v>
      </c>
      <c r="P57" s="218">
        <f t="shared" si="14"/>
        <v>566</v>
      </c>
      <c r="Q57" s="218">
        <f t="shared" si="14"/>
        <v>522</v>
      </c>
      <c r="R57" s="218">
        <f t="shared" si="14"/>
        <v>568</v>
      </c>
      <c r="S57" s="218">
        <f t="shared" si="14"/>
        <v>721</v>
      </c>
      <c r="T57" s="218">
        <f t="shared" si="14"/>
        <v>765</v>
      </c>
      <c r="U57" s="218">
        <f t="shared" si="14"/>
        <v>799</v>
      </c>
      <c r="V57" s="218">
        <f t="shared" si="14"/>
        <v>832</v>
      </c>
      <c r="W57" s="218">
        <f t="shared" si="14"/>
        <v>1213</v>
      </c>
      <c r="X57" s="218">
        <f t="shared" si="14"/>
        <v>1437</v>
      </c>
      <c r="Y57" s="218">
        <f t="shared" si="14"/>
        <v>3986</v>
      </c>
      <c r="Z57" s="218">
        <f t="shared" si="14"/>
        <v>2510</v>
      </c>
      <c r="AA57" s="218">
        <f t="shared" si="14"/>
        <v>1846</v>
      </c>
      <c r="AB57" s="218">
        <f t="shared" si="14"/>
        <v>2857</v>
      </c>
      <c r="AC57" s="218">
        <f t="shared" si="14"/>
        <v>1967</v>
      </c>
      <c r="AD57" s="218">
        <f t="shared" si="14"/>
        <v>310</v>
      </c>
      <c r="AE57" s="218">
        <f t="shared" si="14"/>
        <v>279</v>
      </c>
      <c r="AF57" s="167">
        <f t="shared" si="13"/>
        <v>28807</v>
      </c>
    </row>
    <row r="58">
      <c r="A58" s="49"/>
      <c r="B58" s="110"/>
      <c r="C58" s="110"/>
      <c r="D58" s="110"/>
      <c r="E58" s="110"/>
      <c r="F58" s="110"/>
      <c r="G58" s="110"/>
      <c r="H58" s="110"/>
      <c r="I58" s="110"/>
      <c r="J58" s="9"/>
      <c r="K58" s="9"/>
      <c r="L58" s="9"/>
      <c r="M58" s="9"/>
      <c r="N58" s="9"/>
      <c r="O58" s="9"/>
      <c r="P58" s="9"/>
      <c r="Q58" s="9"/>
      <c r="R58" s="9"/>
      <c r="S58" s="9"/>
      <c r="T58" s="9"/>
      <c r="U58" s="9"/>
      <c r="V58" s="9"/>
      <c r="W58" s="9"/>
      <c r="X58" s="9"/>
      <c r="Y58" s="9"/>
      <c r="Z58" s="9"/>
      <c r="AA58" s="9"/>
      <c r="AB58" s="9"/>
      <c r="AC58" s="9"/>
      <c r="AD58" s="9"/>
      <c r="AE58" s="9"/>
      <c r="AF58" s="10"/>
    </row>
    <row r="59">
      <c r="A59" s="76" t="s">
        <v>150</v>
      </c>
      <c r="B59" s="119">
        <v>75.0</v>
      </c>
      <c r="C59" s="112">
        <v>104.0</v>
      </c>
      <c r="D59" s="112">
        <v>92.0</v>
      </c>
      <c r="E59" s="119">
        <v>116.0</v>
      </c>
      <c r="F59" s="112">
        <v>131.0</v>
      </c>
      <c r="G59" s="112">
        <v>134.0</v>
      </c>
      <c r="H59" s="119">
        <v>127.0</v>
      </c>
      <c r="I59" s="112">
        <v>121.0</v>
      </c>
      <c r="J59" s="112">
        <v>141.0</v>
      </c>
      <c r="K59" s="119">
        <v>144.0</v>
      </c>
      <c r="L59" s="112">
        <v>209.0</v>
      </c>
      <c r="M59" s="112">
        <v>207.0</v>
      </c>
      <c r="N59" s="119">
        <v>136.0</v>
      </c>
      <c r="O59" s="112">
        <v>157.0</v>
      </c>
      <c r="P59" s="112">
        <v>146.0</v>
      </c>
      <c r="Q59" s="119">
        <v>137.0</v>
      </c>
      <c r="R59" s="112">
        <v>136.0</v>
      </c>
      <c r="S59" s="112">
        <v>164.0</v>
      </c>
      <c r="T59" s="119">
        <v>158.0</v>
      </c>
      <c r="U59" s="112">
        <v>199.0</v>
      </c>
      <c r="V59" s="112">
        <v>186.0</v>
      </c>
      <c r="W59" s="119">
        <v>284.0</v>
      </c>
      <c r="X59" s="112">
        <v>358.0</v>
      </c>
      <c r="Y59" s="112">
        <v>796.0</v>
      </c>
      <c r="Z59" s="119">
        <v>486.0</v>
      </c>
      <c r="AA59" s="112">
        <v>405.0</v>
      </c>
      <c r="AB59" s="112">
        <v>570.0</v>
      </c>
      <c r="AC59" s="119">
        <v>366.0</v>
      </c>
      <c r="AD59" s="112">
        <v>86.0</v>
      </c>
      <c r="AE59" s="112">
        <v>81.0</v>
      </c>
      <c r="AF59" s="167">
        <f t="shared" ref="AF59:AF67" si="15">sum(B59:AE59)</f>
        <v>6452</v>
      </c>
    </row>
    <row r="60">
      <c r="A60" s="76" t="s">
        <v>151</v>
      </c>
      <c r="B60" s="119">
        <v>351.0</v>
      </c>
      <c r="C60" s="112">
        <v>369.0</v>
      </c>
      <c r="D60" s="112">
        <v>393.0</v>
      </c>
      <c r="E60" s="119">
        <v>386.0</v>
      </c>
      <c r="F60" s="112">
        <v>415.0</v>
      </c>
      <c r="G60" s="112">
        <v>373.0</v>
      </c>
      <c r="H60" s="119">
        <v>383.0</v>
      </c>
      <c r="I60" s="112">
        <v>369.0</v>
      </c>
      <c r="J60" s="112">
        <v>410.0</v>
      </c>
      <c r="K60" s="119">
        <v>404.0</v>
      </c>
      <c r="L60" s="112">
        <v>521.0</v>
      </c>
      <c r="M60" s="112">
        <v>572.0</v>
      </c>
      <c r="N60" s="119">
        <v>813.0</v>
      </c>
      <c r="O60" s="112">
        <v>453.0</v>
      </c>
      <c r="P60" s="112">
        <v>394.0</v>
      </c>
      <c r="Q60" s="119">
        <v>374.0</v>
      </c>
      <c r="R60" s="112">
        <v>395.0</v>
      </c>
      <c r="S60" s="112">
        <v>514.0</v>
      </c>
      <c r="T60" s="119">
        <v>313.0</v>
      </c>
      <c r="U60" s="112">
        <v>495.0</v>
      </c>
      <c r="V60" s="112">
        <v>555.0</v>
      </c>
      <c r="W60" s="119">
        <v>849.0</v>
      </c>
      <c r="X60" s="112">
        <v>1077.0</v>
      </c>
      <c r="Y60" s="112">
        <v>2749.0</v>
      </c>
      <c r="Z60" s="119">
        <v>1636.0</v>
      </c>
      <c r="AA60" s="112">
        <v>1284.0</v>
      </c>
      <c r="AB60" s="112">
        <v>1796.0</v>
      </c>
      <c r="AC60" s="119">
        <v>1039.0</v>
      </c>
      <c r="AD60" s="112">
        <v>0.0</v>
      </c>
      <c r="AE60" s="112">
        <v>0.0</v>
      </c>
      <c r="AF60" s="167">
        <f t="shared" si="15"/>
        <v>19682</v>
      </c>
    </row>
    <row r="61">
      <c r="A61" s="76" t="s">
        <v>262</v>
      </c>
      <c r="B61" s="119">
        <v>39.0</v>
      </c>
      <c r="C61" s="112">
        <v>93.0</v>
      </c>
      <c r="D61" s="112">
        <v>75.0</v>
      </c>
      <c r="E61" s="119">
        <v>74.0</v>
      </c>
      <c r="F61" s="112">
        <v>43.0</v>
      </c>
      <c r="G61" s="112">
        <v>56.0</v>
      </c>
      <c r="H61" s="119">
        <v>60.0</v>
      </c>
      <c r="I61" s="112">
        <v>92.0</v>
      </c>
      <c r="J61" s="112">
        <v>59.0</v>
      </c>
      <c r="K61" s="119">
        <v>49.0</v>
      </c>
      <c r="L61" s="112">
        <v>93.0</v>
      </c>
      <c r="M61" s="112">
        <v>85.0</v>
      </c>
      <c r="N61" s="119">
        <v>52.0</v>
      </c>
      <c r="O61" s="112">
        <v>64.0</v>
      </c>
      <c r="P61" s="112">
        <v>59.0</v>
      </c>
      <c r="Q61" s="119">
        <v>63.0</v>
      </c>
      <c r="R61" s="112">
        <v>61.0</v>
      </c>
      <c r="S61" s="112">
        <v>64.0</v>
      </c>
      <c r="T61" s="119">
        <v>86.0</v>
      </c>
      <c r="U61" s="112">
        <v>85.0</v>
      </c>
      <c r="V61" s="112">
        <v>81.0</v>
      </c>
      <c r="W61" s="119">
        <v>104.0</v>
      </c>
      <c r="X61" s="112">
        <v>143.0</v>
      </c>
      <c r="Y61" s="112">
        <v>371.0</v>
      </c>
      <c r="Z61" s="119">
        <v>168.0</v>
      </c>
      <c r="AA61" s="112">
        <v>160.0</v>
      </c>
      <c r="AB61" s="112">
        <v>223.0</v>
      </c>
      <c r="AC61" s="119">
        <v>113.0</v>
      </c>
      <c r="AD61" s="112">
        <v>25.0</v>
      </c>
      <c r="AE61" s="112">
        <v>24.0</v>
      </c>
      <c r="AF61" s="167">
        <f t="shared" si="15"/>
        <v>2764</v>
      </c>
    </row>
    <row r="62">
      <c r="A62" s="76" t="s">
        <v>263</v>
      </c>
      <c r="B62" s="119">
        <v>5.0</v>
      </c>
      <c r="C62" s="112">
        <v>19.0</v>
      </c>
      <c r="D62" s="112">
        <v>9.0</v>
      </c>
      <c r="E62" s="119">
        <v>9.0</v>
      </c>
      <c r="F62" s="112">
        <v>4.0</v>
      </c>
      <c r="G62" s="112">
        <v>5.0</v>
      </c>
      <c r="H62" s="119">
        <v>5.0</v>
      </c>
      <c r="I62" s="112">
        <v>14.0</v>
      </c>
      <c r="J62" s="112">
        <v>8.0</v>
      </c>
      <c r="K62" s="119">
        <v>4.0</v>
      </c>
      <c r="L62" s="112">
        <v>3.0</v>
      </c>
      <c r="M62" s="112">
        <v>7.0</v>
      </c>
      <c r="N62" s="119">
        <v>8.0</v>
      </c>
      <c r="O62" s="112">
        <v>9.0</v>
      </c>
      <c r="P62" s="112">
        <v>2.0</v>
      </c>
      <c r="Q62" s="119">
        <v>4.0</v>
      </c>
      <c r="R62" s="112">
        <v>2.0</v>
      </c>
      <c r="S62" s="112">
        <v>7.0</v>
      </c>
      <c r="T62" s="119">
        <v>7.0</v>
      </c>
      <c r="U62" s="112">
        <v>11.0</v>
      </c>
      <c r="V62" s="112">
        <v>10.0</v>
      </c>
      <c r="W62" s="119">
        <v>20.0</v>
      </c>
      <c r="X62" s="112">
        <v>29.0</v>
      </c>
      <c r="Y62" s="112">
        <v>50.0</v>
      </c>
      <c r="Z62" s="119">
        <v>30.0</v>
      </c>
      <c r="AA62" s="112">
        <v>28.0</v>
      </c>
      <c r="AB62" s="112">
        <v>28.0</v>
      </c>
      <c r="AC62" s="119">
        <v>26.0</v>
      </c>
      <c r="AD62" s="112">
        <v>19.0</v>
      </c>
      <c r="AE62" s="112">
        <v>25.0</v>
      </c>
      <c r="AF62" s="167">
        <f t="shared" si="15"/>
        <v>407</v>
      </c>
    </row>
    <row r="63">
      <c r="A63" s="76" t="s">
        <v>268</v>
      </c>
      <c r="B63" s="119">
        <v>12.0</v>
      </c>
      <c r="C63" s="112">
        <v>12.0</v>
      </c>
      <c r="D63" s="112">
        <v>14.0</v>
      </c>
      <c r="E63" s="119">
        <v>14.0</v>
      </c>
      <c r="F63" s="112">
        <v>20.0</v>
      </c>
      <c r="G63" s="112">
        <v>11.0</v>
      </c>
      <c r="H63" s="119">
        <v>9.0</v>
      </c>
      <c r="I63" s="112">
        <v>13.0</v>
      </c>
      <c r="J63" s="112">
        <v>12.0</v>
      </c>
      <c r="K63" s="119">
        <v>13.0</v>
      </c>
      <c r="L63" s="112">
        <v>10.0</v>
      </c>
      <c r="M63" s="112">
        <v>6.0</v>
      </c>
      <c r="N63" s="119">
        <v>14.0</v>
      </c>
      <c r="O63" s="112">
        <v>10.0</v>
      </c>
      <c r="P63" s="112">
        <v>12.0</v>
      </c>
      <c r="Q63" s="119">
        <v>9.0</v>
      </c>
      <c r="R63" s="112">
        <v>8.0</v>
      </c>
      <c r="S63" s="112">
        <v>14.0</v>
      </c>
      <c r="T63" s="119">
        <v>8.0</v>
      </c>
      <c r="U63" s="112">
        <v>15.0</v>
      </c>
      <c r="V63" s="112">
        <v>17.0</v>
      </c>
      <c r="W63" s="119">
        <v>34.0</v>
      </c>
      <c r="X63" s="112">
        <v>34.0</v>
      </c>
      <c r="Y63" s="112">
        <v>96.0</v>
      </c>
      <c r="Z63" s="119">
        <v>43.0</v>
      </c>
      <c r="AA63" s="112">
        <v>46.0</v>
      </c>
      <c r="AB63" s="112">
        <v>41.0</v>
      </c>
      <c r="AC63" s="119">
        <v>27.0</v>
      </c>
      <c r="AD63" s="112">
        <v>8.0</v>
      </c>
      <c r="AE63" s="112">
        <v>6.0</v>
      </c>
      <c r="AF63" s="167">
        <f t="shared" si="15"/>
        <v>588</v>
      </c>
    </row>
    <row r="64">
      <c r="A64" s="76" t="s">
        <v>271</v>
      </c>
      <c r="B64" s="119">
        <v>4.0</v>
      </c>
      <c r="C64" s="112">
        <v>2.0</v>
      </c>
      <c r="D64" s="112">
        <v>2.0</v>
      </c>
      <c r="E64" s="119">
        <v>3.0</v>
      </c>
      <c r="F64" s="112">
        <v>1.0</v>
      </c>
      <c r="G64" s="112">
        <v>4.0</v>
      </c>
      <c r="H64" s="119">
        <v>2.0</v>
      </c>
      <c r="I64" s="112">
        <v>0.0</v>
      </c>
      <c r="J64" s="112">
        <v>1.0</v>
      </c>
      <c r="K64" s="119">
        <v>3.0</v>
      </c>
      <c r="L64" s="112">
        <v>0.0</v>
      </c>
      <c r="M64" s="112">
        <v>0.0</v>
      </c>
      <c r="N64" s="119">
        <v>0.0</v>
      </c>
      <c r="O64" s="112">
        <v>1.0</v>
      </c>
      <c r="P64" s="112">
        <v>1.0</v>
      </c>
      <c r="Q64" s="119">
        <v>6.0</v>
      </c>
      <c r="R64" s="112">
        <v>2.0</v>
      </c>
      <c r="S64" s="112">
        <v>0.0</v>
      </c>
      <c r="T64" s="119">
        <v>4.0</v>
      </c>
      <c r="U64" s="112">
        <v>3.0</v>
      </c>
      <c r="V64" s="112">
        <v>0.0</v>
      </c>
      <c r="W64" s="119">
        <v>8.0</v>
      </c>
      <c r="X64" s="112">
        <v>6.0</v>
      </c>
      <c r="Y64" s="112">
        <v>16.0</v>
      </c>
      <c r="Z64" s="119">
        <v>7.0</v>
      </c>
      <c r="AA64" s="112">
        <v>11.0</v>
      </c>
      <c r="AB64" s="112">
        <v>12.0</v>
      </c>
      <c r="AC64" s="119">
        <v>6.0</v>
      </c>
      <c r="AD64" s="112">
        <v>4.0</v>
      </c>
      <c r="AE64" s="112">
        <v>4.0</v>
      </c>
      <c r="AF64" s="167">
        <f t="shared" si="15"/>
        <v>113</v>
      </c>
    </row>
    <row r="65">
      <c r="A65" s="76" t="s">
        <v>273</v>
      </c>
      <c r="B65" s="119">
        <v>88.0</v>
      </c>
      <c r="C65" s="112">
        <v>125.0</v>
      </c>
      <c r="D65" s="112">
        <v>110.0</v>
      </c>
      <c r="E65" s="119">
        <v>129.0</v>
      </c>
      <c r="F65" s="112">
        <v>136.0</v>
      </c>
      <c r="G65" s="112">
        <v>125.0</v>
      </c>
      <c r="H65" s="119">
        <v>114.0</v>
      </c>
      <c r="I65" s="112">
        <v>124.0</v>
      </c>
      <c r="J65" s="112">
        <v>115.0</v>
      </c>
      <c r="K65" s="119">
        <v>120.0</v>
      </c>
      <c r="L65" s="112">
        <v>170.0</v>
      </c>
      <c r="M65" s="112">
        <v>170.0</v>
      </c>
      <c r="N65" s="119">
        <v>126.0</v>
      </c>
      <c r="O65" s="112">
        <v>138.0</v>
      </c>
      <c r="P65" s="112">
        <v>124.0</v>
      </c>
      <c r="Q65" s="119">
        <v>124.0</v>
      </c>
      <c r="R65" s="112">
        <v>129.0</v>
      </c>
      <c r="S65" s="112">
        <v>165.0</v>
      </c>
      <c r="T65" s="119">
        <v>149.0</v>
      </c>
      <c r="U65" s="112">
        <v>158.0</v>
      </c>
      <c r="V65" s="112">
        <v>154.0</v>
      </c>
      <c r="W65" s="119">
        <v>247.0</v>
      </c>
      <c r="X65" s="112">
        <v>286.0</v>
      </c>
      <c r="Y65" s="112">
        <v>707.0</v>
      </c>
      <c r="Z65" s="119">
        <v>401.0</v>
      </c>
      <c r="AA65" s="112">
        <v>345.0</v>
      </c>
      <c r="AB65" s="112">
        <v>459.0</v>
      </c>
      <c r="AC65" s="119">
        <v>287.0</v>
      </c>
      <c r="AD65" s="112">
        <v>61.0</v>
      </c>
      <c r="AE65" s="112">
        <v>61.0</v>
      </c>
      <c r="AF65" s="167">
        <f t="shared" si="15"/>
        <v>5647</v>
      </c>
    </row>
    <row r="66">
      <c r="A66" s="76" t="s">
        <v>276</v>
      </c>
      <c r="B66" s="119">
        <v>14.0</v>
      </c>
      <c r="C66" s="112">
        <v>17.0</v>
      </c>
      <c r="D66" s="112">
        <v>13.0</v>
      </c>
      <c r="E66" s="119">
        <v>19.0</v>
      </c>
      <c r="F66" s="112">
        <v>19.0</v>
      </c>
      <c r="G66" s="112">
        <v>13.0</v>
      </c>
      <c r="H66" s="119">
        <v>10.0</v>
      </c>
      <c r="I66" s="112">
        <v>9.0</v>
      </c>
      <c r="J66" s="112">
        <v>15.0</v>
      </c>
      <c r="K66" s="119">
        <v>6.0</v>
      </c>
      <c r="L66" s="112">
        <v>14.0</v>
      </c>
      <c r="M66" s="112">
        <v>14.0</v>
      </c>
      <c r="N66" s="119">
        <v>15.0</v>
      </c>
      <c r="O66" s="112">
        <v>16.0</v>
      </c>
      <c r="P66" s="112">
        <v>14.0</v>
      </c>
      <c r="Q66" s="119">
        <v>7.0</v>
      </c>
      <c r="R66" s="112">
        <v>14.0</v>
      </c>
      <c r="S66" s="112">
        <v>12.0</v>
      </c>
      <c r="T66" s="119">
        <v>20.0</v>
      </c>
      <c r="U66" s="112">
        <v>23.0</v>
      </c>
      <c r="V66" s="112">
        <v>28.0</v>
      </c>
      <c r="W66" s="119">
        <v>58.0</v>
      </c>
      <c r="X66" s="112">
        <v>65.0</v>
      </c>
      <c r="Y66" s="112">
        <v>114.0</v>
      </c>
      <c r="Z66" s="119">
        <v>74.0</v>
      </c>
      <c r="AA66" s="112">
        <v>57.0</v>
      </c>
      <c r="AB66" s="112">
        <v>73.0</v>
      </c>
      <c r="AC66" s="119">
        <v>67.0</v>
      </c>
      <c r="AD66" s="112">
        <v>36.0</v>
      </c>
      <c r="AE66" s="112">
        <v>33.0</v>
      </c>
      <c r="AF66" s="167">
        <f t="shared" si="15"/>
        <v>889</v>
      </c>
    </row>
    <row r="67">
      <c r="A67" s="93" t="s">
        <v>162</v>
      </c>
      <c r="B67" s="218">
        <f t="shared" ref="B67:AE67" si="16">SUM(B59:B66)</f>
        <v>588</v>
      </c>
      <c r="C67" s="218">
        <f t="shared" si="16"/>
        <v>741</v>
      </c>
      <c r="D67" s="218">
        <f t="shared" si="16"/>
        <v>708</v>
      </c>
      <c r="E67" s="218">
        <f t="shared" si="16"/>
        <v>750</v>
      </c>
      <c r="F67" s="218">
        <f t="shared" si="16"/>
        <v>769</v>
      </c>
      <c r="G67" s="218">
        <f t="shared" si="16"/>
        <v>721</v>
      </c>
      <c r="H67" s="218">
        <f t="shared" si="16"/>
        <v>710</v>
      </c>
      <c r="I67" s="218">
        <f t="shared" si="16"/>
        <v>742</v>
      </c>
      <c r="J67" s="218">
        <f t="shared" si="16"/>
        <v>761</v>
      </c>
      <c r="K67" s="218">
        <f t="shared" si="16"/>
        <v>743</v>
      </c>
      <c r="L67" s="218">
        <f t="shared" si="16"/>
        <v>1020</v>
      </c>
      <c r="M67" s="218">
        <f t="shared" si="16"/>
        <v>1061</v>
      </c>
      <c r="N67" s="218">
        <f t="shared" si="16"/>
        <v>1164</v>
      </c>
      <c r="O67" s="218">
        <f t="shared" si="16"/>
        <v>848</v>
      </c>
      <c r="P67" s="218">
        <f t="shared" si="16"/>
        <v>752</v>
      </c>
      <c r="Q67" s="218">
        <f t="shared" si="16"/>
        <v>724</v>
      </c>
      <c r="R67" s="218">
        <f t="shared" si="16"/>
        <v>747</v>
      </c>
      <c r="S67" s="218">
        <f t="shared" si="16"/>
        <v>940</v>
      </c>
      <c r="T67" s="218">
        <f t="shared" si="16"/>
        <v>745</v>
      </c>
      <c r="U67" s="218">
        <f t="shared" si="16"/>
        <v>989</v>
      </c>
      <c r="V67" s="218">
        <f t="shared" si="16"/>
        <v>1031</v>
      </c>
      <c r="W67" s="218">
        <f t="shared" si="16"/>
        <v>1604</v>
      </c>
      <c r="X67" s="218">
        <f t="shared" si="16"/>
        <v>1998</v>
      </c>
      <c r="Y67" s="218">
        <f t="shared" si="16"/>
        <v>4899</v>
      </c>
      <c r="Z67" s="218">
        <f t="shared" si="16"/>
        <v>2845</v>
      </c>
      <c r="AA67" s="218">
        <f t="shared" si="16"/>
        <v>2336</v>
      </c>
      <c r="AB67" s="218">
        <f t="shared" si="16"/>
        <v>3202</v>
      </c>
      <c r="AC67" s="218">
        <f t="shared" si="16"/>
        <v>1931</v>
      </c>
      <c r="AD67" s="218">
        <f t="shared" si="16"/>
        <v>239</v>
      </c>
      <c r="AE67" s="218">
        <f t="shared" si="16"/>
        <v>234</v>
      </c>
      <c r="AF67" s="167">
        <f t="shared" si="15"/>
        <v>36542</v>
      </c>
    </row>
    <row r="68">
      <c r="A68" s="4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167"/>
    </row>
    <row r="69">
      <c r="A69" s="75" t="s">
        <v>279</v>
      </c>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167"/>
    </row>
    <row r="70">
      <c r="A70" s="227" t="s">
        <v>282</v>
      </c>
      <c r="B70" s="229">
        <v>0.0</v>
      </c>
      <c r="C70" s="229">
        <v>0.0</v>
      </c>
      <c r="D70" s="229">
        <v>0.0</v>
      </c>
      <c r="E70" s="229">
        <v>0.0</v>
      </c>
      <c r="F70" s="229">
        <v>0.0</v>
      </c>
      <c r="G70" s="229">
        <v>0.0</v>
      </c>
      <c r="H70" s="229">
        <v>0.0</v>
      </c>
      <c r="I70" s="229">
        <v>0.0</v>
      </c>
      <c r="J70" s="229">
        <v>20.0</v>
      </c>
      <c r="K70" s="229">
        <v>13.0</v>
      </c>
      <c r="L70" s="229">
        <v>12.0</v>
      </c>
      <c r="M70" s="229">
        <v>5.0</v>
      </c>
      <c r="N70" s="229">
        <v>0.0</v>
      </c>
      <c r="O70" s="229">
        <v>25.0</v>
      </c>
      <c r="P70" s="229">
        <v>24.0</v>
      </c>
      <c r="Q70" s="229">
        <v>29.0</v>
      </c>
      <c r="R70" s="229">
        <v>22.0</v>
      </c>
      <c r="S70" s="229">
        <v>10.0</v>
      </c>
      <c r="T70" s="229">
        <v>7.0</v>
      </c>
      <c r="U70" s="229">
        <v>6.0</v>
      </c>
      <c r="V70" s="229">
        <v>10.0</v>
      </c>
      <c r="W70" s="229">
        <v>14.0</v>
      </c>
      <c r="X70" s="229">
        <v>17.0</v>
      </c>
      <c r="Y70" s="229">
        <v>50.0</v>
      </c>
      <c r="Z70" s="229">
        <v>31.0</v>
      </c>
      <c r="AA70" s="229">
        <v>15.0</v>
      </c>
      <c r="AB70" s="229">
        <v>39.0</v>
      </c>
      <c r="AC70" s="229">
        <v>41.0</v>
      </c>
      <c r="AD70" s="229">
        <v>8.0</v>
      </c>
      <c r="AE70" s="229">
        <v>6.0</v>
      </c>
      <c r="AF70" s="167">
        <f>sum(B70:AE70)</f>
        <v>404</v>
      </c>
    </row>
    <row r="71">
      <c r="A71" s="4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215"/>
    </row>
    <row r="72">
      <c r="A72" s="75" t="s">
        <v>287</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215"/>
    </row>
    <row r="73">
      <c r="A73" s="76" t="s">
        <v>289</v>
      </c>
      <c r="B73" s="21">
        <f t="shared" ref="B73:AE73" si="17">B53-B90</f>
        <v>146</v>
      </c>
      <c r="C73" s="21">
        <f t="shared" si="17"/>
        <v>147</v>
      </c>
      <c r="D73" s="21">
        <f t="shared" si="17"/>
        <v>150</v>
      </c>
      <c r="E73" s="21">
        <f t="shared" si="17"/>
        <v>179</v>
      </c>
      <c r="F73" s="21">
        <f t="shared" si="17"/>
        <v>214</v>
      </c>
      <c r="G73" s="21">
        <f t="shared" si="17"/>
        <v>181</v>
      </c>
      <c r="H73" s="21">
        <f t="shared" si="17"/>
        <v>153</v>
      </c>
      <c r="I73" s="21">
        <f t="shared" si="17"/>
        <v>142</v>
      </c>
      <c r="J73" s="21">
        <f t="shared" si="17"/>
        <v>168</v>
      </c>
      <c r="K73" s="21">
        <f t="shared" si="17"/>
        <v>176</v>
      </c>
      <c r="L73" s="21">
        <f t="shared" si="17"/>
        <v>159</v>
      </c>
      <c r="M73" s="21">
        <f t="shared" si="17"/>
        <v>173</v>
      </c>
      <c r="N73" s="21">
        <f t="shared" si="17"/>
        <v>149</v>
      </c>
      <c r="O73" s="21">
        <f t="shared" si="17"/>
        <v>150</v>
      </c>
      <c r="P73" s="21">
        <f t="shared" si="17"/>
        <v>155</v>
      </c>
      <c r="Q73" s="21">
        <f t="shared" si="17"/>
        <v>141</v>
      </c>
      <c r="R73" s="21">
        <f t="shared" si="17"/>
        <v>175</v>
      </c>
      <c r="S73" s="21">
        <f t="shared" si="17"/>
        <v>206</v>
      </c>
      <c r="T73" s="21">
        <f t="shared" si="17"/>
        <v>200</v>
      </c>
      <c r="U73" s="21">
        <f t="shared" si="17"/>
        <v>207</v>
      </c>
      <c r="V73" s="21">
        <f t="shared" si="17"/>
        <v>255</v>
      </c>
      <c r="W73" s="21">
        <f t="shared" si="17"/>
        <v>342</v>
      </c>
      <c r="X73" s="21">
        <f t="shared" si="17"/>
        <v>399</v>
      </c>
      <c r="Y73" s="21">
        <f t="shared" si="17"/>
        <v>1214</v>
      </c>
      <c r="Z73" s="21">
        <f t="shared" si="17"/>
        <v>812</v>
      </c>
      <c r="AA73" s="21">
        <f t="shared" si="17"/>
        <v>552</v>
      </c>
      <c r="AB73" s="21">
        <f t="shared" si="17"/>
        <v>777</v>
      </c>
      <c r="AC73" s="21">
        <f t="shared" si="17"/>
        <v>588</v>
      </c>
      <c r="AD73" s="21">
        <f t="shared" si="17"/>
        <v>36</v>
      </c>
      <c r="AE73" s="21">
        <f t="shared" si="17"/>
        <v>47</v>
      </c>
      <c r="AF73" s="167">
        <f t="shared" ref="AF73:AF77" si="19">sum(B73:AE73)</f>
        <v>8393</v>
      </c>
    </row>
    <row r="74">
      <c r="A74" s="76" t="s">
        <v>291</v>
      </c>
      <c r="B74" s="21">
        <f t="shared" ref="B74:AE74" si="18">B54-B91</f>
        <v>5</v>
      </c>
      <c r="C74" s="21">
        <f t="shared" si="18"/>
        <v>11</v>
      </c>
      <c r="D74" s="21">
        <f t="shared" si="18"/>
        <v>4</v>
      </c>
      <c r="E74" s="21">
        <f t="shared" si="18"/>
        <v>7</v>
      </c>
      <c r="F74" s="21">
        <f t="shared" si="18"/>
        <v>8</v>
      </c>
      <c r="G74" s="21">
        <f t="shared" si="18"/>
        <v>11</v>
      </c>
      <c r="H74" s="21">
        <f t="shared" si="18"/>
        <v>11</v>
      </c>
      <c r="I74" s="21">
        <f t="shared" si="18"/>
        <v>6</v>
      </c>
      <c r="J74" s="21">
        <f t="shared" si="18"/>
        <v>8</v>
      </c>
      <c r="K74" s="21">
        <f t="shared" si="18"/>
        <v>11</v>
      </c>
      <c r="L74" s="21">
        <f t="shared" si="18"/>
        <v>9</v>
      </c>
      <c r="M74" s="21">
        <f t="shared" si="18"/>
        <v>17</v>
      </c>
      <c r="N74" s="21">
        <f t="shared" si="18"/>
        <v>9</v>
      </c>
      <c r="O74" s="21">
        <f t="shared" si="18"/>
        <v>10</v>
      </c>
      <c r="P74" s="21">
        <f t="shared" si="18"/>
        <v>7</v>
      </c>
      <c r="Q74" s="21">
        <f t="shared" si="18"/>
        <v>9</v>
      </c>
      <c r="R74" s="21">
        <f t="shared" si="18"/>
        <v>17</v>
      </c>
      <c r="S74" s="21">
        <f t="shared" si="18"/>
        <v>21</v>
      </c>
      <c r="T74" s="21">
        <f t="shared" si="18"/>
        <v>20</v>
      </c>
      <c r="U74" s="21">
        <f t="shared" si="18"/>
        <v>26</v>
      </c>
      <c r="V74" s="21">
        <f t="shared" si="18"/>
        <v>27</v>
      </c>
      <c r="W74" s="21">
        <f t="shared" si="18"/>
        <v>58</v>
      </c>
      <c r="X74" s="21">
        <f t="shared" si="18"/>
        <v>56</v>
      </c>
      <c r="Y74" s="21">
        <f t="shared" si="18"/>
        <v>169</v>
      </c>
      <c r="Z74" s="21">
        <f t="shared" si="18"/>
        <v>108</v>
      </c>
      <c r="AA74" s="21">
        <f t="shared" si="18"/>
        <v>69</v>
      </c>
      <c r="AB74" s="21">
        <f t="shared" si="18"/>
        <v>93</v>
      </c>
      <c r="AC74" s="21">
        <f t="shared" si="18"/>
        <v>107</v>
      </c>
      <c r="AD74" s="21">
        <f t="shared" si="18"/>
        <v>43</v>
      </c>
      <c r="AE74" s="21">
        <f t="shared" si="18"/>
        <v>42</v>
      </c>
      <c r="AF74" s="167">
        <f t="shared" si="19"/>
        <v>999</v>
      </c>
    </row>
    <row r="75">
      <c r="A75" s="76" t="s">
        <v>293</v>
      </c>
      <c r="B75" s="21">
        <f t="shared" ref="B75:AE75" si="20">B55-B92</f>
        <v>264</v>
      </c>
      <c r="C75" s="21">
        <f t="shared" si="20"/>
        <v>271</v>
      </c>
      <c r="D75" s="21">
        <f t="shared" si="20"/>
        <v>267</v>
      </c>
      <c r="E75" s="21">
        <f t="shared" si="20"/>
        <v>286</v>
      </c>
      <c r="F75" s="21">
        <f t="shared" si="20"/>
        <v>329</v>
      </c>
      <c r="G75" s="21">
        <f t="shared" si="20"/>
        <v>332</v>
      </c>
      <c r="H75" s="21">
        <f t="shared" si="20"/>
        <v>306</v>
      </c>
      <c r="I75" s="21">
        <f t="shared" si="20"/>
        <v>307</v>
      </c>
      <c r="J75" s="21">
        <f t="shared" si="20"/>
        <v>323</v>
      </c>
      <c r="K75" s="21">
        <f t="shared" si="20"/>
        <v>321</v>
      </c>
      <c r="L75" s="21">
        <f t="shared" si="20"/>
        <v>478</v>
      </c>
      <c r="M75" s="21">
        <f t="shared" si="20"/>
        <v>437</v>
      </c>
      <c r="N75" s="21">
        <f t="shared" si="20"/>
        <v>332</v>
      </c>
      <c r="O75" s="21">
        <f t="shared" si="20"/>
        <v>409</v>
      </c>
      <c r="P75" s="21">
        <f t="shared" si="20"/>
        <v>365</v>
      </c>
      <c r="Q75" s="21">
        <f t="shared" si="20"/>
        <v>349</v>
      </c>
      <c r="R75" s="21">
        <f t="shared" si="20"/>
        <v>348</v>
      </c>
      <c r="S75" s="21">
        <f t="shared" si="20"/>
        <v>451</v>
      </c>
      <c r="T75" s="21">
        <f t="shared" si="20"/>
        <v>486</v>
      </c>
      <c r="U75" s="21">
        <f t="shared" si="20"/>
        <v>491</v>
      </c>
      <c r="V75" s="21">
        <f t="shared" si="20"/>
        <v>467</v>
      </c>
      <c r="W75" s="21">
        <f t="shared" si="20"/>
        <v>672</v>
      </c>
      <c r="X75" s="21">
        <f t="shared" si="20"/>
        <v>815</v>
      </c>
      <c r="Y75" s="21">
        <f t="shared" si="20"/>
        <v>2226</v>
      </c>
      <c r="Z75" s="21">
        <f t="shared" si="20"/>
        <v>1320</v>
      </c>
      <c r="AA75" s="21">
        <f t="shared" si="20"/>
        <v>1021</v>
      </c>
      <c r="AB75" s="21">
        <f t="shared" si="20"/>
        <v>1726</v>
      </c>
      <c r="AC75" s="21">
        <f t="shared" si="20"/>
        <v>1052</v>
      </c>
      <c r="AD75" s="21">
        <f t="shared" si="20"/>
        <v>109</v>
      </c>
      <c r="AE75" s="21">
        <f t="shared" si="20"/>
        <v>94</v>
      </c>
      <c r="AF75" s="167">
        <f t="shared" si="19"/>
        <v>16654</v>
      </c>
    </row>
    <row r="76">
      <c r="A76" s="76" t="s">
        <v>296</v>
      </c>
      <c r="B76" s="21">
        <f t="shared" ref="B76:AE76" si="21">B56-B93</f>
        <v>25</v>
      </c>
      <c r="C76" s="21">
        <f t="shared" si="21"/>
        <v>25</v>
      </c>
      <c r="D76" s="21">
        <f t="shared" si="21"/>
        <v>31</v>
      </c>
      <c r="E76" s="21">
        <f t="shared" si="21"/>
        <v>26</v>
      </c>
      <c r="F76" s="21">
        <f t="shared" si="21"/>
        <v>33</v>
      </c>
      <c r="G76" s="21">
        <f t="shared" si="21"/>
        <v>25</v>
      </c>
      <c r="H76" s="21">
        <f t="shared" si="21"/>
        <v>22</v>
      </c>
      <c r="I76" s="21">
        <f t="shared" si="21"/>
        <v>33</v>
      </c>
      <c r="J76" s="21">
        <f t="shared" si="21"/>
        <v>27</v>
      </c>
      <c r="K76" s="21">
        <f t="shared" si="21"/>
        <v>22</v>
      </c>
      <c r="L76" s="21">
        <f t="shared" si="21"/>
        <v>28</v>
      </c>
      <c r="M76" s="21">
        <f t="shared" si="21"/>
        <v>34</v>
      </c>
      <c r="N76" s="21">
        <f t="shared" si="21"/>
        <v>26</v>
      </c>
      <c r="O76" s="21">
        <f t="shared" si="21"/>
        <v>35</v>
      </c>
      <c r="P76" s="21">
        <f t="shared" si="21"/>
        <v>34</v>
      </c>
      <c r="Q76" s="21">
        <f t="shared" si="21"/>
        <v>15</v>
      </c>
      <c r="R76" s="21">
        <f t="shared" si="21"/>
        <v>20</v>
      </c>
      <c r="S76" s="21">
        <f t="shared" si="21"/>
        <v>28</v>
      </c>
      <c r="T76" s="21">
        <f t="shared" si="21"/>
        <v>45</v>
      </c>
      <c r="U76" s="21">
        <f t="shared" si="21"/>
        <v>53</v>
      </c>
      <c r="V76" s="21">
        <f t="shared" si="21"/>
        <v>69</v>
      </c>
      <c r="W76" s="21">
        <f t="shared" si="21"/>
        <v>92</v>
      </c>
      <c r="X76" s="21">
        <f t="shared" si="21"/>
        <v>132</v>
      </c>
      <c r="Y76" s="21">
        <f t="shared" si="21"/>
        <v>287</v>
      </c>
      <c r="Z76" s="21">
        <f t="shared" si="21"/>
        <v>211</v>
      </c>
      <c r="AA76" s="21">
        <f t="shared" si="21"/>
        <v>152</v>
      </c>
      <c r="AB76" s="21">
        <f t="shared" si="21"/>
        <v>204</v>
      </c>
      <c r="AC76" s="21">
        <f t="shared" si="21"/>
        <v>195</v>
      </c>
      <c r="AD76" s="21">
        <f t="shared" si="21"/>
        <v>112</v>
      </c>
      <c r="AE76" s="21">
        <f t="shared" si="21"/>
        <v>88</v>
      </c>
      <c r="AF76" s="167">
        <f t="shared" si="19"/>
        <v>2129</v>
      </c>
    </row>
    <row r="77">
      <c r="A77" s="93" t="s">
        <v>148</v>
      </c>
      <c r="B77" s="218">
        <f t="shared" ref="B77:AE77" si="22">SUM(B73:B76)</f>
        <v>440</v>
      </c>
      <c r="C77" s="218">
        <f t="shared" si="22"/>
        <v>454</v>
      </c>
      <c r="D77" s="218">
        <f t="shared" si="22"/>
        <v>452</v>
      </c>
      <c r="E77" s="218">
        <f t="shared" si="22"/>
        <v>498</v>
      </c>
      <c r="F77" s="218">
        <f t="shared" si="22"/>
        <v>584</v>
      </c>
      <c r="G77" s="218">
        <f t="shared" si="22"/>
        <v>549</v>
      </c>
      <c r="H77" s="218">
        <f t="shared" si="22"/>
        <v>492</v>
      </c>
      <c r="I77" s="218">
        <f t="shared" si="22"/>
        <v>488</v>
      </c>
      <c r="J77" s="218">
        <f t="shared" si="22"/>
        <v>526</v>
      </c>
      <c r="K77" s="218">
        <f t="shared" si="22"/>
        <v>530</v>
      </c>
      <c r="L77" s="218">
        <f t="shared" si="22"/>
        <v>674</v>
      </c>
      <c r="M77" s="218">
        <f t="shared" si="22"/>
        <v>661</v>
      </c>
      <c r="N77" s="218">
        <f t="shared" si="22"/>
        <v>516</v>
      </c>
      <c r="O77" s="218">
        <f t="shared" si="22"/>
        <v>604</v>
      </c>
      <c r="P77" s="218">
        <f t="shared" si="22"/>
        <v>561</v>
      </c>
      <c r="Q77" s="218">
        <f t="shared" si="22"/>
        <v>514</v>
      </c>
      <c r="R77" s="218">
        <f t="shared" si="22"/>
        <v>560</v>
      </c>
      <c r="S77" s="218">
        <f t="shared" si="22"/>
        <v>706</v>
      </c>
      <c r="T77" s="218">
        <f t="shared" si="22"/>
        <v>751</v>
      </c>
      <c r="U77" s="218">
        <f t="shared" si="22"/>
        <v>777</v>
      </c>
      <c r="V77" s="218">
        <f t="shared" si="22"/>
        <v>818</v>
      </c>
      <c r="W77" s="218">
        <f t="shared" si="22"/>
        <v>1164</v>
      </c>
      <c r="X77" s="218">
        <f t="shared" si="22"/>
        <v>1402</v>
      </c>
      <c r="Y77" s="218">
        <f t="shared" si="22"/>
        <v>3896</v>
      </c>
      <c r="Z77" s="218">
        <f t="shared" si="22"/>
        <v>2451</v>
      </c>
      <c r="AA77" s="218">
        <f t="shared" si="22"/>
        <v>1794</v>
      </c>
      <c r="AB77" s="218">
        <f t="shared" si="22"/>
        <v>2800</v>
      </c>
      <c r="AC77" s="218">
        <f t="shared" si="22"/>
        <v>1942</v>
      </c>
      <c r="AD77" s="218">
        <f t="shared" si="22"/>
        <v>300</v>
      </c>
      <c r="AE77" s="218">
        <f t="shared" si="22"/>
        <v>271</v>
      </c>
      <c r="AF77" s="167">
        <f t="shared" si="19"/>
        <v>28175</v>
      </c>
    </row>
    <row r="78">
      <c r="A78" s="4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215"/>
    </row>
    <row r="79">
      <c r="A79" s="76" t="s">
        <v>150</v>
      </c>
      <c r="B79" s="21">
        <f t="shared" ref="B79:AE79" si="23">B59-B96</f>
        <v>74</v>
      </c>
      <c r="C79" s="21">
        <f t="shared" si="23"/>
        <v>102</v>
      </c>
      <c r="D79" s="21">
        <f t="shared" si="23"/>
        <v>88</v>
      </c>
      <c r="E79" s="21">
        <f t="shared" si="23"/>
        <v>115</v>
      </c>
      <c r="F79" s="21">
        <f t="shared" si="23"/>
        <v>130</v>
      </c>
      <c r="G79" s="21">
        <f t="shared" si="23"/>
        <v>132</v>
      </c>
      <c r="H79" s="21">
        <f t="shared" si="23"/>
        <v>127</v>
      </c>
      <c r="I79" s="21">
        <f t="shared" si="23"/>
        <v>119</v>
      </c>
      <c r="J79" s="21">
        <f t="shared" si="23"/>
        <v>131</v>
      </c>
      <c r="K79" s="21">
        <f t="shared" si="23"/>
        <v>139</v>
      </c>
      <c r="L79" s="21">
        <f t="shared" si="23"/>
        <v>204</v>
      </c>
      <c r="M79" s="21">
        <f t="shared" si="23"/>
        <v>204</v>
      </c>
      <c r="N79" s="21">
        <f t="shared" si="23"/>
        <v>132</v>
      </c>
      <c r="O79" s="21">
        <f t="shared" si="23"/>
        <v>154</v>
      </c>
      <c r="P79" s="21">
        <f t="shared" si="23"/>
        <v>142</v>
      </c>
      <c r="Q79" s="21">
        <f t="shared" si="23"/>
        <v>136</v>
      </c>
      <c r="R79" s="21">
        <f t="shared" si="23"/>
        <v>133</v>
      </c>
      <c r="S79" s="21">
        <f t="shared" si="23"/>
        <v>162</v>
      </c>
      <c r="T79" s="21">
        <f t="shared" si="23"/>
        <v>154</v>
      </c>
      <c r="U79" s="21">
        <f t="shared" si="23"/>
        <v>188</v>
      </c>
      <c r="V79" s="21">
        <f t="shared" si="23"/>
        <v>184</v>
      </c>
      <c r="W79" s="21">
        <f t="shared" si="23"/>
        <v>275</v>
      </c>
      <c r="X79" s="21">
        <f t="shared" si="23"/>
        <v>347</v>
      </c>
      <c r="Y79" s="21">
        <f t="shared" si="23"/>
        <v>774</v>
      </c>
      <c r="Z79" s="21">
        <f t="shared" si="23"/>
        <v>471</v>
      </c>
      <c r="AA79" s="21">
        <f t="shared" si="23"/>
        <v>394</v>
      </c>
      <c r="AB79" s="21">
        <f t="shared" si="23"/>
        <v>562</v>
      </c>
      <c r="AC79" s="21">
        <f t="shared" si="23"/>
        <v>354</v>
      </c>
      <c r="AD79" s="21">
        <f t="shared" si="23"/>
        <v>83</v>
      </c>
      <c r="AE79" s="21">
        <f t="shared" si="23"/>
        <v>77</v>
      </c>
      <c r="AF79" s="167">
        <f t="shared" ref="AF79:AF87" si="25">sum(B79:AE79)</f>
        <v>6287</v>
      </c>
    </row>
    <row r="80">
      <c r="A80" s="76" t="s">
        <v>151</v>
      </c>
      <c r="B80" s="21">
        <f t="shared" ref="B80:AE80" si="24">B60-B97</f>
        <v>346</v>
      </c>
      <c r="C80" s="21">
        <f t="shared" si="24"/>
        <v>359</v>
      </c>
      <c r="D80" s="21">
        <f t="shared" si="24"/>
        <v>379</v>
      </c>
      <c r="E80" s="21">
        <f t="shared" si="24"/>
        <v>376</v>
      </c>
      <c r="F80" s="21">
        <f t="shared" si="24"/>
        <v>413</v>
      </c>
      <c r="G80" s="21">
        <f t="shared" si="24"/>
        <v>369</v>
      </c>
      <c r="H80" s="21">
        <f t="shared" si="24"/>
        <v>377</v>
      </c>
      <c r="I80" s="21">
        <f t="shared" si="24"/>
        <v>356</v>
      </c>
      <c r="J80" s="21">
        <f t="shared" si="24"/>
        <v>392</v>
      </c>
      <c r="K80" s="21">
        <f t="shared" si="24"/>
        <v>397</v>
      </c>
      <c r="L80" s="21">
        <f t="shared" si="24"/>
        <v>509</v>
      </c>
      <c r="M80" s="21">
        <f t="shared" si="24"/>
        <v>565</v>
      </c>
      <c r="N80" s="21">
        <f t="shared" si="24"/>
        <v>801</v>
      </c>
      <c r="O80" s="21">
        <f t="shared" si="24"/>
        <v>446</v>
      </c>
      <c r="P80" s="21">
        <f t="shared" si="24"/>
        <v>388</v>
      </c>
      <c r="Q80" s="21">
        <f t="shared" si="24"/>
        <v>370</v>
      </c>
      <c r="R80" s="21">
        <f t="shared" si="24"/>
        <v>389</v>
      </c>
      <c r="S80" s="21">
        <f t="shared" si="24"/>
        <v>506</v>
      </c>
      <c r="T80" s="21">
        <f t="shared" si="24"/>
        <v>298</v>
      </c>
      <c r="U80" s="21">
        <f t="shared" si="24"/>
        <v>476</v>
      </c>
      <c r="V80" s="21">
        <f t="shared" si="24"/>
        <v>541</v>
      </c>
      <c r="W80" s="21">
        <f t="shared" si="24"/>
        <v>801</v>
      </c>
      <c r="X80" s="21">
        <f t="shared" si="24"/>
        <v>1045</v>
      </c>
      <c r="Y80" s="21">
        <f t="shared" si="24"/>
        <v>2680</v>
      </c>
      <c r="Z80" s="21">
        <f t="shared" si="24"/>
        <v>1590</v>
      </c>
      <c r="AA80" s="21">
        <f t="shared" si="24"/>
        <v>1251</v>
      </c>
      <c r="AB80" s="21">
        <f t="shared" si="24"/>
        <v>1749</v>
      </c>
      <c r="AC80" s="21">
        <f t="shared" si="24"/>
        <v>1024</v>
      </c>
      <c r="AD80" s="21">
        <f t="shared" si="24"/>
        <v>0</v>
      </c>
      <c r="AE80" s="21">
        <f t="shared" si="24"/>
        <v>0</v>
      </c>
      <c r="AF80" s="167">
        <f t="shared" si="25"/>
        <v>19193</v>
      </c>
    </row>
    <row r="81">
      <c r="A81" s="76" t="s">
        <v>312</v>
      </c>
      <c r="B81" s="21">
        <f t="shared" ref="B81:AE81" si="26">B61-B98</f>
        <v>39</v>
      </c>
      <c r="C81" s="21">
        <f t="shared" si="26"/>
        <v>80</v>
      </c>
      <c r="D81" s="21">
        <f t="shared" si="26"/>
        <v>67</v>
      </c>
      <c r="E81" s="21">
        <f t="shared" si="26"/>
        <v>73</v>
      </c>
      <c r="F81" s="21">
        <f t="shared" si="26"/>
        <v>42</v>
      </c>
      <c r="G81" s="21">
        <f t="shared" si="26"/>
        <v>52</v>
      </c>
      <c r="H81" s="21">
        <f t="shared" si="26"/>
        <v>57</v>
      </c>
      <c r="I81" s="21">
        <f t="shared" si="26"/>
        <v>87</v>
      </c>
      <c r="J81" s="21">
        <f t="shared" si="26"/>
        <v>55</v>
      </c>
      <c r="K81" s="21">
        <f t="shared" si="26"/>
        <v>47</v>
      </c>
      <c r="L81" s="21">
        <f t="shared" si="26"/>
        <v>87</v>
      </c>
      <c r="M81" s="21">
        <f t="shared" si="26"/>
        <v>82</v>
      </c>
      <c r="N81" s="21">
        <f t="shared" si="26"/>
        <v>50</v>
      </c>
      <c r="O81" s="21">
        <f t="shared" si="26"/>
        <v>63</v>
      </c>
      <c r="P81" s="21">
        <f t="shared" si="26"/>
        <v>59</v>
      </c>
      <c r="Q81" s="21">
        <f t="shared" si="26"/>
        <v>61</v>
      </c>
      <c r="R81" s="21">
        <f t="shared" si="26"/>
        <v>58</v>
      </c>
      <c r="S81" s="21">
        <f t="shared" si="26"/>
        <v>61</v>
      </c>
      <c r="T81" s="21">
        <f t="shared" si="26"/>
        <v>81</v>
      </c>
      <c r="U81" s="21">
        <f t="shared" si="26"/>
        <v>77</v>
      </c>
      <c r="V81" s="21">
        <f t="shared" si="26"/>
        <v>77</v>
      </c>
      <c r="W81" s="21">
        <f t="shared" si="26"/>
        <v>98</v>
      </c>
      <c r="X81" s="21">
        <f t="shared" si="26"/>
        <v>137</v>
      </c>
      <c r="Y81" s="21">
        <f t="shared" si="26"/>
        <v>360</v>
      </c>
      <c r="Z81" s="21">
        <f t="shared" si="26"/>
        <v>161</v>
      </c>
      <c r="AA81" s="21">
        <f t="shared" si="26"/>
        <v>152</v>
      </c>
      <c r="AB81" s="21">
        <f t="shared" si="26"/>
        <v>217</v>
      </c>
      <c r="AC81" s="21">
        <f t="shared" si="26"/>
        <v>109</v>
      </c>
      <c r="AD81" s="21">
        <f t="shared" si="26"/>
        <v>25</v>
      </c>
      <c r="AE81" s="21">
        <f t="shared" si="26"/>
        <v>23</v>
      </c>
      <c r="AF81" s="167">
        <f t="shared" si="25"/>
        <v>2637</v>
      </c>
    </row>
    <row r="82">
      <c r="A82" s="76" t="s">
        <v>316</v>
      </c>
      <c r="B82" s="21">
        <f t="shared" ref="B82:AE82" si="27">B62-B99</f>
        <v>5</v>
      </c>
      <c r="C82" s="21">
        <f t="shared" si="27"/>
        <v>16</v>
      </c>
      <c r="D82" s="21">
        <f t="shared" si="27"/>
        <v>8</v>
      </c>
      <c r="E82" s="21">
        <f t="shared" si="27"/>
        <v>9</v>
      </c>
      <c r="F82" s="21">
        <f t="shared" si="27"/>
        <v>3</v>
      </c>
      <c r="G82" s="21">
        <f t="shared" si="27"/>
        <v>5</v>
      </c>
      <c r="H82" s="21">
        <f t="shared" si="27"/>
        <v>5</v>
      </c>
      <c r="I82" s="21">
        <f t="shared" si="27"/>
        <v>12</v>
      </c>
      <c r="J82" s="21">
        <f t="shared" si="27"/>
        <v>7</v>
      </c>
      <c r="K82" s="21">
        <f t="shared" si="27"/>
        <v>4</v>
      </c>
      <c r="L82" s="21">
        <f t="shared" si="27"/>
        <v>3</v>
      </c>
      <c r="M82" s="21">
        <f t="shared" si="27"/>
        <v>7</v>
      </c>
      <c r="N82" s="21">
        <f t="shared" si="27"/>
        <v>8</v>
      </c>
      <c r="O82" s="21">
        <f t="shared" si="27"/>
        <v>9</v>
      </c>
      <c r="P82" s="21">
        <f t="shared" si="27"/>
        <v>2</v>
      </c>
      <c r="Q82" s="21">
        <f t="shared" si="27"/>
        <v>4</v>
      </c>
      <c r="R82" s="21">
        <f t="shared" si="27"/>
        <v>2</v>
      </c>
      <c r="S82" s="21">
        <f t="shared" si="27"/>
        <v>7</v>
      </c>
      <c r="T82" s="21">
        <f t="shared" si="27"/>
        <v>7</v>
      </c>
      <c r="U82" s="21">
        <f t="shared" si="27"/>
        <v>11</v>
      </c>
      <c r="V82" s="21">
        <f t="shared" si="27"/>
        <v>10</v>
      </c>
      <c r="W82" s="21">
        <f t="shared" si="27"/>
        <v>18</v>
      </c>
      <c r="X82" s="21">
        <f t="shared" si="27"/>
        <v>29</v>
      </c>
      <c r="Y82" s="21">
        <f t="shared" si="27"/>
        <v>46</v>
      </c>
      <c r="Z82" s="21">
        <f t="shared" si="27"/>
        <v>27</v>
      </c>
      <c r="AA82" s="21">
        <f t="shared" si="27"/>
        <v>25</v>
      </c>
      <c r="AB82" s="21">
        <f t="shared" si="27"/>
        <v>27</v>
      </c>
      <c r="AC82" s="21">
        <f t="shared" si="27"/>
        <v>25</v>
      </c>
      <c r="AD82" s="21">
        <f t="shared" si="27"/>
        <v>19</v>
      </c>
      <c r="AE82" s="21">
        <f t="shared" si="27"/>
        <v>25</v>
      </c>
      <c r="AF82" s="167">
        <f t="shared" si="25"/>
        <v>385</v>
      </c>
    </row>
    <row r="83">
      <c r="A83" s="76" t="s">
        <v>319</v>
      </c>
      <c r="B83" s="21">
        <f t="shared" ref="B83:AE83" si="28">B63-B100</f>
        <v>11</v>
      </c>
      <c r="C83" s="21">
        <f t="shared" si="28"/>
        <v>10</v>
      </c>
      <c r="D83" s="21">
        <f t="shared" si="28"/>
        <v>14</v>
      </c>
      <c r="E83" s="21">
        <f t="shared" si="28"/>
        <v>14</v>
      </c>
      <c r="F83" s="21">
        <f t="shared" si="28"/>
        <v>19</v>
      </c>
      <c r="G83" s="21">
        <f t="shared" si="28"/>
        <v>10</v>
      </c>
      <c r="H83" s="21">
        <f t="shared" si="28"/>
        <v>9</v>
      </c>
      <c r="I83" s="21">
        <f t="shared" si="28"/>
        <v>11</v>
      </c>
      <c r="J83" s="21">
        <f t="shared" si="28"/>
        <v>11</v>
      </c>
      <c r="K83" s="21">
        <f t="shared" si="28"/>
        <v>12</v>
      </c>
      <c r="L83" s="21">
        <f t="shared" si="28"/>
        <v>9</v>
      </c>
      <c r="M83" s="21">
        <f t="shared" si="28"/>
        <v>5</v>
      </c>
      <c r="N83" s="21">
        <f t="shared" si="28"/>
        <v>12</v>
      </c>
      <c r="O83" s="21">
        <f t="shared" si="28"/>
        <v>9</v>
      </c>
      <c r="P83" s="21">
        <f t="shared" si="28"/>
        <v>11</v>
      </c>
      <c r="Q83" s="21">
        <f t="shared" si="28"/>
        <v>8</v>
      </c>
      <c r="R83" s="21">
        <f t="shared" si="28"/>
        <v>7</v>
      </c>
      <c r="S83" s="21">
        <f t="shared" si="28"/>
        <v>9</v>
      </c>
      <c r="T83" s="21">
        <f t="shared" si="28"/>
        <v>7</v>
      </c>
      <c r="U83" s="21">
        <f t="shared" si="28"/>
        <v>12</v>
      </c>
      <c r="V83" s="21">
        <f t="shared" si="28"/>
        <v>17</v>
      </c>
      <c r="W83" s="21">
        <f t="shared" si="28"/>
        <v>29</v>
      </c>
      <c r="X83" s="21">
        <f t="shared" si="28"/>
        <v>33</v>
      </c>
      <c r="Y83" s="21">
        <f t="shared" si="28"/>
        <v>87</v>
      </c>
      <c r="Z83" s="21">
        <f t="shared" si="28"/>
        <v>38</v>
      </c>
      <c r="AA83" s="21">
        <f t="shared" si="28"/>
        <v>39</v>
      </c>
      <c r="AB83" s="21">
        <f t="shared" si="28"/>
        <v>35</v>
      </c>
      <c r="AC83" s="21">
        <f t="shared" si="28"/>
        <v>24</v>
      </c>
      <c r="AD83" s="21">
        <f t="shared" si="28"/>
        <v>6</v>
      </c>
      <c r="AE83" s="21">
        <f t="shared" si="28"/>
        <v>5</v>
      </c>
      <c r="AF83" s="167">
        <f t="shared" si="25"/>
        <v>523</v>
      </c>
    </row>
    <row r="84">
      <c r="A84" s="76" t="s">
        <v>322</v>
      </c>
      <c r="B84" s="21">
        <f t="shared" ref="B84:AE84" si="29">B64-B101</f>
        <v>4</v>
      </c>
      <c r="C84" s="21">
        <f t="shared" si="29"/>
        <v>2</v>
      </c>
      <c r="D84" s="21">
        <f t="shared" si="29"/>
        <v>2</v>
      </c>
      <c r="E84" s="21">
        <f t="shared" si="29"/>
        <v>3</v>
      </c>
      <c r="F84" s="21">
        <f t="shared" si="29"/>
        <v>1</v>
      </c>
      <c r="G84" s="21">
        <f t="shared" si="29"/>
        <v>4</v>
      </c>
      <c r="H84" s="21">
        <f t="shared" si="29"/>
        <v>2</v>
      </c>
      <c r="I84" s="21">
        <f t="shared" si="29"/>
        <v>0</v>
      </c>
      <c r="J84" s="21">
        <f t="shared" si="29"/>
        <v>1</v>
      </c>
      <c r="K84" s="21">
        <f t="shared" si="29"/>
        <v>3</v>
      </c>
      <c r="L84" s="21">
        <f t="shared" si="29"/>
        <v>0</v>
      </c>
      <c r="M84" s="21">
        <f t="shared" si="29"/>
        <v>0</v>
      </c>
      <c r="N84" s="21">
        <f t="shared" si="29"/>
        <v>0</v>
      </c>
      <c r="O84" s="21">
        <f t="shared" si="29"/>
        <v>0</v>
      </c>
      <c r="P84" s="21">
        <f t="shared" si="29"/>
        <v>1</v>
      </c>
      <c r="Q84" s="21">
        <f t="shared" si="29"/>
        <v>5</v>
      </c>
      <c r="R84" s="21">
        <f t="shared" si="29"/>
        <v>1</v>
      </c>
      <c r="S84" s="21">
        <f t="shared" si="29"/>
        <v>0</v>
      </c>
      <c r="T84" s="21">
        <f t="shared" si="29"/>
        <v>4</v>
      </c>
      <c r="U84" s="21">
        <f t="shared" si="29"/>
        <v>3</v>
      </c>
      <c r="V84" s="21">
        <f t="shared" si="29"/>
        <v>0</v>
      </c>
      <c r="W84" s="21">
        <f t="shared" si="29"/>
        <v>7</v>
      </c>
      <c r="X84" s="21">
        <f t="shared" si="29"/>
        <v>5</v>
      </c>
      <c r="Y84" s="21">
        <f t="shared" si="29"/>
        <v>14</v>
      </c>
      <c r="Z84" s="21">
        <f t="shared" si="29"/>
        <v>6</v>
      </c>
      <c r="AA84" s="21">
        <f t="shared" si="29"/>
        <v>7</v>
      </c>
      <c r="AB84" s="21">
        <f t="shared" si="29"/>
        <v>11</v>
      </c>
      <c r="AC84" s="21">
        <f t="shared" si="29"/>
        <v>6</v>
      </c>
      <c r="AD84" s="21">
        <f t="shared" si="29"/>
        <v>4</v>
      </c>
      <c r="AE84" s="21">
        <f t="shared" si="29"/>
        <v>3</v>
      </c>
      <c r="AF84" s="167">
        <f t="shared" si="25"/>
        <v>99</v>
      </c>
    </row>
    <row r="85">
      <c r="A85" s="76" t="s">
        <v>325</v>
      </c>
      <c r="B85" s="21">
        <f t="shared" ref="B85:AE85" si="30">B65-B102</f>
        <v>87</v>
      </c>
      <c r="C85" s="21">
        <f t="shared" si="30"/>
        <v>118</v>
      </c>
      <c r="D85" s="21">
        <f t="shared" si="30"/>
        <v>106</v>
      </c>
      <c r="E85" s="21">
        <f t="shared" si="30"/>
        <v>127</v>
      </c>
      <c r="F85" s="21">
        <f t="shared" si="30"/>
        <v>131</v>
      </c>
      <c r="G85" s="21">
        <f t="shared" si="30"/>
        <v>115</v>
      </c>
      <c r="H85" s="21">
        <f t="shared" si="30"/>
        <v>112</v>
      </c>
      <c r="I85" s="21">
        <f t="shared" si="30"/>
        <v>118</v>
      </c>
      <c r="J85" s="21">
        <f t="shared" si="30"/>
        <v>107</v>
      </c>
      <c r="K85" s="21">
        <f t="shared" si="30"/>
        <v>116</v>
      </c>
      <c r="L85" s="21">
        <f t="shared" si="30"/>
        <v>161</v>
      </c>
      <c r="M85" s="21">
        <f t="shared" si="30"/>
        <v>165</v>
      </c>
      <c r="N85" s="21">
        <f t="shared" si="30"/>
        <v>119</v>
      </c>
      <c r="O85" s="21">
        <f t="shared" si="30"/>
        <v>136</v>
      </c>
      <c r="P85" s="21">
        <f t="shared" si="30"/>
        <v>122</v>
      </c>
      <c r="Q85" s="21">
        <f t="shared" si="30"/>
        <v>121</v>
      </c>
      <c r="R85" s="21">
        <f t="shared" si="30"/>
        <v>121</v>
      </c>
      <c r="S85" s="21">
        <f t="shared" si="30"/>
        <v>156</v>
      </c>
      <c r="T85" s="21">
        <f t="shared" si="30"/>
        <v>143</v>
      </c>
      <c r="U85" s="21">
        <f t="shared" si="30"/>
        <v>139</v>
      </c>
      <c r="V85" s="21">
        <f t="shared" si="30"/>
        <v>147</v>
      </c>
      <c r="W85" s="21">
        <f t="shared" si="30"/>
        <v>228</v>
      </c>
      <c r="X85" s="21">
        <f t="shared" si="30"/>
        <v>273</v>
      </c>
      <c r="Y85" s="21">
        <f t="shared" si="30"/>
        <v>675</v>
      </c>
      <c r="Z85" s="21">
        <f t="shared" si="30"/>
        <v>388</v>
      </c>
      <c r="AA85" s="21">
        <f t="shared" si="30"/>
        <v>323</v>
      </c>
      <c r="AB85" s="21">
        <f t="shared" si="30"/>
        <v>442</v>
      </c>
      <c r="AC85" s="21">
        <f t="shared" si="30"/>
        <v>276</v>
      </c>
      <c r="AD85" s="21">
        <f t="shared" si="30"/>
        <v>59</v>
      </c>
      <c r="AE85" s="21">
        <f t="shared" si="30"/>
        <v>57</v>
      </c>
      <c r="AF85" s="167">
        <f t="shared" si="25"/>
        <v>5388</v>
      </c>
    </row>
    <row r="86">
      <c r="A86" s="76" t="s">
        <v>330</v>
      </c>
      <c r="B86" s="21">
        <f t="shared" ref="B86:AE86" si="31">B66-B103</f>
        <v>12</v>
      </c>
      <c r="C86" s="21">
        <f t="shared" si="31"/>
        <v>17</v>
      </c>
      <c r="D86" s="21">
        <f t="shared" si="31"/>
        <v>13</v>
      </c>
      <c r="E86" s="21">
        <f t="shared" si="31"/>
        <v>17</v>
      </c>
      <c r="F86" s="21">
        <f t="shared" si="31"/>
        <v>16</v>
      </c>
      <c r="G86" s="21">
        <f t="shared" si="31"/>
        <v>12</v>
      </c>
      <c r="H86" s="21">
        <f t="shared" si="31"/>
        <v>10</v>
      </c>
      <c r="I86" s="21">
        <f t="shared" si="31"/>
        <v>8</v>
      </c>
      <c r="J86" s="21">
        <f t="shared" si="31"/>
        <v>15</v>
      </c>
      <c r="K86" s="21">
        <f t="shared" si="31"/>
        <v>6</v>
      </c>
      <c r="L86" s="21">
        <f t="shared" si="31"/>
        <v>12</v>
      </c>
      <c r="M86" s="21">
        <f t="shared" si="31"/>
        <v>14</v>
      </c>
      <c r="N86" s="21">
        <f t="shared" si="31"/>
        <v>15</v>
      </c>
      <c r="O86" s="21">
        <f t="shared" si="31"/>
        <v>16</v>
      </c>
      <c r="P86" s="21">
        <f t="shared" si="31"/>
        <v>14</v>
      </c>
      <c r="Q86" s="21">
        <f t="shared" si="31"/>
        <v>7</v>
      </c>
      <c r="R86" s="21">
        <f t="shared" si="31"/>
        <v>13</v>
      </c>
      <c r="S86" s="21">
        <f t="shared" si="31"/>
        <v>12</v>
      </c>
      <c r="T86" s="21">
        <f t="shared" si="31"/>
        <v>17</v>
      </c>
      <c r="U86" s="21">
        <f t="shared" si="31"/>
        <v>23</v>
      </c>
      <c r="V86" s="21">
        <f t="shared" si="31"/>
        <v>27</v>
      </c>
      <c r="W86" s="21">
        <f t="shared" si="31"/>
        <v>53</v>
      </c>
      <c r="X86" s="21">
        <f t="shared" si="31"/>
        <v>61</v>
      </c>
      <c r="Y86" s="21">
        <f t="shared" si="31"/>
        <v>103</v>
      </c>
      <c r="Z86" s="21">
        <f t="shared" si="31"/>
        <v>72</v>
      </c>
      <c r="AA86" s="21">
        <f t="shared" si="31"/>
        <v>53</v>
      </c>
      <c r="AB86" s="21">
        <f t="shared" si="31"/>
        <v>69</v>
      </c>
      <c r="AC86" s="21">
        <f t="shared" si="31"/>
        <v>64</v>
      </c>
      <c r="AD86" s="21">
        <f t="shared" si="31"/>
        <v>35</v>
      </c>
      <c r="AE86" s="21">
        <f t="shared" si="31"/>
        <v>33</v>
      </c>
      <c r="AF86" s="167">
        <f t="shared" si="25"/>
        <v>839</v>
      </c>
    </row>
    <row r="87">
      <c r="A87" s="93" t="s">
        <v>162</v>
      </c>
      <c r="B87" s="218">
        <f t="shared" ref="B87:AE87" si="32">SUM(B79:B86)</f>
        <v>578</v>
      </c>
      <c r="C87" s="218">
        <f t="shared" si="32"/>
        <v>704</v>
      </c>
      <c r="D87" s="218">
        <f t="shared" si="32"/>
        <v>677</v>
      </c>
      <c r="E87" s="218">
        <f t="shared" si="32"/>
        <v>734</v>
      </c>
      <c r="F87" s="218">
        <f t="shared" si="32"/>
        <v>755</v>
      </c>
      <c r="G87" s="218">
        <f t="shared" si="32"/>
        <v>699</v>
      </c>
      <c r="H87" s="218">
        <f t="shared" si="32"/>
        <v>699</v>
      </c>
      <c r="I87" s="218">
        <f t="shared" si="32"/>
        <v>711</v>
      </c>
      <c r="J87" s="218">
        <f t="shared" si="32"/>
        <v>719</v>
      </c>
      <c r="K87" s="218">
        <f t="shared" si="32"/>
        <v>724</v>
      </c>
      <c r="L87" s="218">
        <f t="shared" si="32"/>
        <v>985</v>
      </c>
      <c r="M87" s="218">
        <f t="shared" si="32"/>
        <v>1042</v>
      </c>
      <c r="N87" s="218">
        <f t="shared" si="32"/>
        <v>1137</v>
      </c>
      <c r="O87" s="218">
        <f t="shared" si="32"/>
        <v>833</v>
      </c>
      <c r="P87" s="218">
        <f t="shared" si="32"/>
        <v>739</v>
      </c>
      <c r="Q87" s="218">
        <f t="shared" si="32"/>
        <v>712</v>
      </c>
      <c r="R87" s="218">
        <f t="shared" si="32"/>
        <v>724</v>
      </c>
      <c r="S87" s="218">
        <f t="shared" si="32"/>
        <v>913</v>
      </c>
      <c r="T87" s="218">
        <f t="shared" si="32"/>
        <v>711</v>
      </c>
      <c r="U87" s="218">
        <f t="shared" si="32"/>
        <v>929</v>
      </c>
      <c r="V87" s="218">
        <f t="shared" si="32"/>
        <v>1003</v>
      </c>
      <c r="W87" s="218">
        <f t="shared" si="32"/>
        <v>1509</v>
      </c>
      <c r="X87" s="218">
        <f t="shared" si="32"/>
        <v>1930</v>
      </c>
      <c r="Y87" s="218">
        <f t="shared" si="32"/>
        <v>4739</v>
      </c>
      <c r="Z87" s="218">
        <f t="shared" si="32"/>
        <v>2753</v>
      </c>
      <c r="AA87" s="218">
        <f t="shared" si="32"/>
        <v>2244</v>
      </c>
      <c r="AB87" s="218">
        <f t="shared" si="32"/>
        <v>3112</v>
      </c>
      <c r="AC87" s="218">
        <f t="shared" si="32"/>
        <v>1882</v>
      </c>
      <c r="AD87" s="218">
        <f t="shared" si="32"/>
        <v>231</v>
      </c>
      <c r="AE87" s="218">
        <f t="shared" si="32"/>
        <v>223</v>
      </c>
      <c r="AF87" s="167">
        <f t="shared" si="25"/>
        <v>35351</v>
      </c>
    </row>
    <row r="88">
      <c r="A88" s="4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215"/>
    </row>
    <row r="89">
      <c r="A89" s="75" t="s">
        <v>337</v>
      </c>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215"/>
    </row>
    <row r="90">
      <c r="A90" s="76" t="s">
        <v>339</v>
      </c>
      <c r="B90" s="112">
        <v>2.0</v>
      </c>
      <c r="C90" s="112">
        <v>4.0</v>
      </c>
      <c r="D90" s="112">
        <v>3.0</v>
      </c>
      <c r="E90" s="112">
        <v>5.0</v>
      </c>
      <c r="F90" s="112">
        <v>2.0</v>
      </c>
      <c r="G90" s="112">
        <v>2.0</v>
      </c>
      <c r="H90" s="112">
        <v>6.0</v>
      </c>
      <c r="I90" s="112">
        <v>5.0</v>
      </c>
      <c r="J90" s="112">
        <v>4.0</v>
      </c>
      <c r="K90" s="112">
        <v>2.0</v>
      </c>
      <c r="L90" s="112">
        <v>1.0</v>
      </c>
      <c r="M90" s="112">
        <v>2.0</v>
      </c>
      <c r="N90" s="112">
        <v>5.0</v>
      </c>
      <c r="O90" s="112">
        <v>2.0</v>
      </c>
      <c r="P90" s="112">
        <v>0.0</v>
      </c>
      <c r="Q90" s="112">
        <v>1.0</v>
      </c>
      <c r="R90" s="112">
        <v>4.0</v>
      </c>
      <c r="S90" s="112">
        <v>4.0</v>
      </c>
      <c r="T90" s="112">
        <v>6.0</v>
      </c>
      <c r="U90" s="112">
        <v>4.0</v>
      </c>
      <c r="V90" s="112">
        <v>1.0</v>
      </c>
      <c r="W90" s="112">
        <v>16.0</v>
      </c>
      <c r="X90" s="112">
        <v>1.0</v>
      </c>
      <c r="Y90" s="112">
        <v>21.0</v>
      </c>
      <c r="Z90" s="112">
        <v>21.0</v>
      </c>
      <c r="AA90" s="112">
        <v>20.0</v>
      </c>
      <c r="AB90" s="112">
        <v>15.0</v>
      </c>
      <c r="AC90" s="112">
        <v>7.0</v>
      </c>
      <c r="AD90" s="112">
        <v>1.0</v>
      </c>
      <c r="AE90" s="112">
        <v>2.0</v>
      </c>
      <c r="AF90" s="167">
        <f t="shared" ref="AF90:AF94" si="33">sum(B90:AE90)</f>
        <v>169</v>
      </c>
    </row>
    <row r="91">
      <c r="A91" s="76" t="s">
        <v>341</v>
      </c>
      <c r="B91" s="112">
        <v>1.0</v>
      </c>
      <c r="C91" s="112">
        <v>0.0</v>
      </c>
      <c r="D91" s="112">
        <v>0.0</v>
      </c>
      <c r="E91" s="112">
        <v>1.0</v>
      </c>
      <c r="F91" s="112">
        <v>0.0</v>
      </c>
      <c r="G91" s="112">
        <v>0.0</v>
      </c>
      <c r="H91" s="112">
        <v>0.0</v>
      </c>
      <c r="I91" s="112">
        <v>0.0</v>
      </c>
      <c r="J91" s="112">
        <v>0.0</v>
      </c>
      <c r="K91" s="112">
        <v>0.0</v>
      </c>
      <c r="L91" s="112">
        <v>0.0</v>
      </c>
      <c r="M91" s="112">
        <v>0.0</v>
      </c>
      <c r="N91" s="112">
        <v>1.0</v>
      </c>
      <c r="O91" s="112">
        <v>0.0</v>
      </c>
      <c r="P91" s="112">
        <v>0.0</v>
      </c>
      <c r="Q91" s="112">
        <v>0.0</v>
      </c>
      <c r="R91" s="112">
        <v>0.0</v>
      </c>
      <c r="S91" s="112">
        <v>0.0</v>
      </c>
      <c r="T91" s="112">
        <v>0.0</v>
      </c>
      <c r="U91" s="112">
        <v>0.0</v>
      </c>
      <c r="V91" s="112">
        <v>1.0</v>
      </c>
      <c r="W91" s="112">
        <v>3.0</v>
      </c>
      <c r="X91" s="112">
        <v>1.0</v>
      </c>
      <c r="Y91" s="112">
        <v>7.0</v>
      </c>
      <c r="Z91" s="112">
        <v>3.0</v>
      </c>
      <c r="AA91" s="112">
        <v>4.0</v>
      </c>
      <c r="AB91" s="112">
        <v>2.0</v>
      </c>
      <c r="AC91" s="112">
        <v>1.0</v>
      </c>
      <c r="AD91" s="112">
        <v>3.0</v>
      </c>
      <c r="AE91" s="112">
        <v>1.0</v>
      </c>
      <c r="AF91" s="167">
        <f t="shared" si="33"/>
        <v>29</v>
      </c>
    </row>
    <row r="92">
      <c r="A92" s="76" t="s">
        <v>343</v>
      </c>
      <c r="B92" s="112">
        <v>2.0</v>
      </c>
      <c r="C92" s="112">
        <v>5.0</v>
      </c>
      <c r="D92" s="112">
        <v>10.0</v>
      </c>
      <c r="E92" s="112">
        <v>5.0</v>
      </c>
      <c r="F92" s="112">
        <v>4.0</v>
      </c>
      <c r="G92" s="112">
        <v>3.0</v>
      </c>
      <c r="H92" s="112">
        <v>6.0</v>
      </c>
      <c r="I92" s="112">
        <v>11.0</v>
      </c>
      <c r="J92" s="112">
        <v>14.0</v>
      </c>
      <c r="K92" s="112">
        <v>3.0</v>
      </c>
      <c r="L92" s="112">
        <v>11.0</v>
      </c>
      <c r="M92" s="112">
        <v>7.0</v>
      </c>
      <c r="N92" s="112">
        <v>17.0</v>
      </c>
      <c r="O92" s="112">
        <v>6.0</v>
      </c>
      <c r="P92" s="112">
        <v>5.0</v>
      </c>
      <c r="Q92" s="112">
        <v>7.0</v>
      </c>
      <c r="R92" s="112">
        <v>4.0</v>
      </c>
      <c r="S92" s="112">
        <v>11.0</v>
      </c>
      <c r="T92" s="112">
        <v>6.0</v>
      </c>
      <c r="U92" s="112">
        <v>17.0</v>
      </c>
      <c r="V92" s="112">
        <v>9.0</v>
      </c>
      <c r="W92" s="112">
        <v>24.0</v>
      </c>
      <c r="X92" s="112">
        <v>27.0</v>
      </c>
      <c r="Y92" s="112">
        <v>48.0</v>
      </c>
      <c r="Z92" s="112">
        <v>30.0</v>
      </c>
      <c r="AA92" s="112">
        <v>21.0</v>
      </c>
      <c r="AB92" s="112">
        <v>34.0</v>
      </c>
      <c r="AC92" s="112">
        <v>10.0</v>
      </c>
      <c r="AD92" s="112">
        <v>3.0</v>
      </c>
      <c r="AE92" s="112">
        <v>3.0</v>
      </c>
      <c r="AF92" s="167">
        <f t="shared" si="33"/>
        <v>363</v>
      </c>
    </row>
    <row r="93">
      <c r="A93" s="76" t="s">
        <v>346</v>
      </c>
      <c r="B93" s="112">
        <v>0.0</v>
      </c>
      <c r="C93" s="112">
        <v>0.0</v>
      </c>
      <c r="D93" s="112">
        <v>2.0</v>
      </c>
      <c r="E93" s="112">
        <v>1.0</v>
      </c>
      <c r="F93" s="112">
        <v>0.0</v>
      </c>
      <c r="G93" s="112">
        <v>0.0</v>
      </c>
      <c r="H93" s="112">
        <v>1.0</v>
      </c>
      <c r="I93" s="112">
        <v>0.0</v>
      </c>
      <c r="J93" s="112">
        <v>2.0</v>
      </c>
      <c r="K93" s="112">
        <v>2.0</v>
      </c>
      <c r="L93" s="112">
        <v>1.0</v>
      </c>
      <c r="M93" s="112">
        <v>0.0</v>
      </c>
      <c r="N93" s="112">
        <v>0.0</v>
      </c>
      <c r="O93" s="112">
        <v>0.0</v>
      </c>
      <c r="P93" s="112">
        <v>0.0</v>
      </c>
      <c r="Q93" s="112">
        <v>0.0</v>
      </c>
      <c r="R93" s="112">
        <v>0.0</v>
      </c>
      <c r="S93" s="112">
        <v>0.0</v>
      </c>
      <c r="T93" s="112">
        <v>2.0</v>
      </c>
      <c r="U93" s="112">
        <v>1.0</v>
      </c>
      <c r="V93" s="112">
        <v>3.0</v>
      </c>
      <c r="W93" s="112">
        <v>6.0</v>
      </c>
      <c r="X93" s="112">
        <v>6.0</v>
      </c>
      <c r="Y93" s="112">
        <v>14.0</v>
      </c>
      <c r="Z93" s="112">
        <v>5.0</v>
      </c>
      <c r="AA93" s="112">
        <v>7.0</v>
      </c>
      <c r="AB93" s="112">
        <v>6.0</v>
      </c>
      <c r="AC93" s="112">
        <v>7.0</v>
      </c>
      <c r="AD93" s="112">
        <v>3.0</v>
      </c>
      <c r="AE93" s="112">
        <v>2.0</v>
      </c>
      <c r="AF93" s="167">
        <f t="shared" si="33"/>
        <v>71</v>
      </c>
    </row>
    <row r="94">
      <c r="A94" s="93" t="s">
        <v>148</v>
      </c>
      <c r="B94" s="218">
        <f t="shared" ref="B94:AE94" si="34">SUM(B90:B93)</f>
        <v>5</v>
      </c>
      <c r="C94" s="218">
        <f t="shared" si="34"/>
        <v>9</v>
      </c>
      <c r="D94" s="218">
        <f t="shared" si="34"/>
        <v>15</v>
      </c>
      <c r="E94" s="218">
        <f t="shared" si="34"/>
        <v>12</v>
      </c>
      <c r="F94" s="218">
        <f t="shared" si="34"/>
        <v>6</v>
      </c>
      <c r="G94" s="218">
        <f t="shared" si="34"/>
        <v>5</v>
      </c>
      <c r="H94" s="218">
        <f t="shared" si="34"/>
        <v>13</v>
      </c>
      <c r="I94" s="218">
        <f t="shared" si="34"/>
        <v>16</v>
      </c>
      <c r="J94" s="218">
        <f t="shared" si="34"/>
        <v>20</v>
      </c>
      <c r="K94" s="218">
        <f t="shared" si="34"/>
        <v>7</v>
      </c>
      <c r="L94" s="218">
        <f t="shared" si="34"/>
        <v>13</v>
      </c>
      <c r="M94" s="218">
        <f t="shared" si="34"/>
        <v>9</v>
      </c>
      <c r="N94" s="218">
        <f t="shared" si="34"/>
        <v>23</v>
      </c>
      <c r="O94" s="218">
        <f t="shared" si="34"/>
        <v>8</v>
      </c>
      <c r="P94" s="218">
        <f t="shared" si="34"/>
        <v>5</v>
      </c>
      <c r="Q94" s="218">
        <f t="shared" si="34"/>
        <v>8</v>
      </c>
      <c r="R94" s="218">
        <f t="shared" si="34"/>
        <v>8</v>
      </c>
      <c r="S94" s="218">
        <f t="shared" si="34"/>
        <v>15</v>
      </c>
      <c r="T94" s="218">
        <f t="shared" si="34"/>
        <v>14</v>
      </c>
      <c r="U94" s="218">
        <f t="shared" si="34"/>
        <v>22</v>
      </c>
      <c r="V94" s="218">
        <f t="shared" si="34"/>
        <v>14</v>
      </c>
      <c r="W94" s="218">
        <f t="shared" si="34"/>
        <v>49</v>
      </c>
      <c r="X94" s="218">
        <f t="shared" si="34"/>
        <v>35</v>
      </c>
      <c r="Y94" s="218">
        <f t="shared" si="34"/>
        <v>90</v>
      </c>
      <c r="Z94" s="218">
        <f t="shared" si="34"/>
        <v>59</v>
      </c>
      <c r="AA94" s="218">
        <f t="shared" si="34"/>
        <v>52</v>
      </c>
      <c r="AB94" s="218">
        <f t="shared" si="34"/>
        <v>57</v>
      </c>
      <c r="AC94" s="218">
        <f t="shared" si="34"/>
        <v>25</v>
      </c>
      <c r="AD94" s="218">
        <f t="shared" si="34"/>
        <v>10</v>
      </c>
      <c r="AE94" s="218">
        <f t="shared" si="34"/>
        <v>8</v>
      </c>
      <c r="AF94" s="167">
        <f t="shared" si="33"/>
        <v>632</v>
      </c>
    </row>
    <row r="95">
      <c r="A95" s="4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215"/>
    </row>
    <row r="96">
      <c r="A96" s="76" t="s">
        <v>150</v>
      </c>
      <c r="B96" s="112">
        <v>1.0</v>
      </c>
      <c r="C96" s="112">
        <v>2.0</v>
      </c>
      <c r="D96" s="112">
        <v>4.0</v>
      </c>
      <c r="E96" s="112">
        <v>1.0</v>
      </c>
      <c r="F96" s="112">
        <v>1.0</v>
      </c>
      <c r="G96" s="112">
        <v>2.0</v>
      </c>
      <c r="H96" s="112">
        <v>0.0</v>
      </c>
      <c r="I96" s="112">
        <v>2.0</v>
      </c>
      <c r="J96" s="112">
        <v>10.0</v>
      </c>
      <c r="K96" s="112">
        <v>5.0</v>
      </c>
      <c r="L96" s="112">
        <v>5.0</v>
      </c>
      <c r="M96" s="112">
        <v>3.0</v>
      </c>
      <c r="N96" s="112">
        <v>4.0</v>
      </c>
      <c r="O96" s="112">
        <v>3.0</v>
      </c>
      <c r="P96" s="112">
        <v>4.0</v>
      </c>
      <c r="Q96" s="112">
        <v>1.0</v>
      </c>
      <c r="R96" s="112">
        <v>3.0</v>
      </c>
      <c r="S96" s="112">
        <v>2.0</v>
      </c>
      <c r="T96" s="112">
        <v>4.0</v>
      </c>
      <c r="U96" s="112">
        <v>11.0</v>
      </c>
      <c r="V96" s="112">
        <v>2.0</v>
      </c>
      <c r="W96" s="112">
        <v>9.0</v>
      </c>
      <c r="X96" s="112">
        <v>11.0</v>
      </c>
      <c r="Y96" s="112">
        <v>22.0</v>
      </c>
      <c r="Z96" s="112">
        <v>15.0</v>
      </c>
      <c r="AA96" s="112">
        <v>11.0</v>
      </c>
      <c r="AB96" s="112">
        <v>8.0</v>
      </c>
      <c r="AC96" s="112">
        <v>12.0</v>
      </c>
      <c r="AD96" s="112">
        <v>3.0</v>
      </c>
      <c r="AE96" s="112">
        <v>4.0</v>
      </c>
      <c r="AF96" s="167">
        <f t="shared" ref="AF96:AF104" si="35">sum(B96:AE96)</f>
        <v>165</v>
      </c>
    </row>
    <row r="97">
      <c r="A97" s="76" t="s">
        <v>151</v>
      </c>
      <c r="B97" s="112">
        <v>5.0</v>
      </c>
      <c r="C97" s="112">
        <v>10.0</v>
      </c>
      <c r="D97" s="112">
        <v>14.0</v>
      </c>
      <c r="E97" s="112">
        <v>10.0</v>
      </c>
      <c r="F97" s="112">
        <v>2.0</v>
      </c>
      <c r="G97" s="112">
        <v>4.0</v>
      </c>
      <c r="H97" s="112">
        <v>6.0</v>
      </c>
      <c r="I97" s="112">
        <v>13.0</v>
      </c>
      <c r="J97" s="112">
        <v>18.0</v>
      </c>
      <c r="K97" s="112">
        <v>7.0</v>
      </c>
      <c r="L97" s="112">
        <v>12.0</v>
      </c>
      <c r="M97" s="112">
        <v>7.0</v>
      </c>
      <c r="N97" s="112">
        <v>12.0</v>
      </c>
      <c r="O97" s="112">
        <v>7.0</v>
      </c>
      <c r="P97" s="112">
        <v>6.0</v>
      </c>
      <c r="Q97" s="112">
        <v>4.0</v>
      </c>
      <c r="R97" s="112">
        <v>6.0</v>
      </c>
      <c r="S97" s="112">
        <v>8.0</v>
      </c>
      <c r="T97" s="112">
        <v>15.0</v>
      </c>
      <c r="U97" s="112">
        <v>19.0</v>
      </c>
      <c r="V97" s="112">
        <v>14.0</v>
      </c>
      <c r="W97" s="112">
        <v>48.0</v>
      </c>
      <c r="X97" s="112">
        <v>32.0</v>
      </c>
      <c r="Y97" s="112">
        <v>69.0</v>
      </c>
      <c r="Z97" s="112">
        <v>46.0</v>
      </c>
      <c r="AA97" s="112">
        <v>33.0</v>
      </c>
      <c r="AB97" s="112">
        <v>47.0</v>
      </c>
      <c r="AC97" s="112">
        <v>15.0</v>
      </c>
      <c r="AD97" s="112">
        <v>0.0</v>
      </c>
      <c r="AE97" s="112">
        <v>0.0</v>
      </c>
      <c r="AF97" s="167">
        <f t="shared" si="35"/>
        <v>489</v>
      </c>
    </row>
    <row r="98">
      <c r="A98" s="76" t="s">
        <v>352</v>
      </c>
      <c r="B98" s="112">
        <v>0.0</v>
      </c>
      <c r="C98" s="112">
        <v>13.0</v>
      </c>
      <c r="D98" s="112">
        <v>8.0</v>
      </c>
      <c r="E98" s="112">
        <v>1.0</v>
      </c>
      <c r="F98" s="112">
        <v>1.0</v>
      </c>
      <c r="G98" s="112">
        <v>4.0</v>
      </c>
      <c r="H98" s="112">
        <v>3.0</v>
      </c>
      <c r="I98" s="112">
        <v>5.0</v>
      </c>
      <c r="J98" s="112">
        <v>4.0</v>
      </c>
      <c r="K98" s="112">
        <v>2.0</v>
      </c>
      <c r="L98" s="112">
        <v>6.0</v>
      </c>
      <c r="M98" s="112">
        <v>3.0</v>
      </c>
      <c r="N98" s="112">
        <v>2.0</v>
      </c>
      <c r="O98" s="112">
        <v>1.0</v>
      </c>
      <c r="P98" s="112">
        <v>0.0</v>
      </c>
      <c r="Q98" s="112">
        <v>2.0</v>
      </c>
      <c r="R98" s="112">
        <v>3.0</v>
      </c>
      <c r="S98" s="112">
        <v>3.0</v>
      </c>
      <c r="T98" s="112">
        <v>5.0</v>
      </c>
      <c r="U98" s="112">
        <v>8.0</v>
      </c>
      <c r="V98" s="112">
        <v>4.0</v>
      </c>
      <c r="W98" s="112">
        <v>6.0</v>
      </c>
      <c r="X98" s="112">
        <v>6.0</v>
      </c>
      <c r="Y98" s="112">
        <v>11.0</v>
      </c>
      <c r="Z98" s="112">
        <v>7.0</v>
      </c>
      <c r="AA98" s="112">
        <v>8.0</v>
      </c>
      <c r="AB98" s="112">
        <v>6.0</v>
      </c>
      <c r="AC98" s="112">
        <v>4.0</v>
      </c>
      <c r="AD98" s="112">
        <v>0.0</v>
      </c>
      <c r="AE98" s="112">
        <v>1.0</v>
      </c>
      <c r="AF98" s="167">
        <f t="shared" si="35"/>
        <v>127</v>
      </c>
    </row>
    <row r="99">
      <c r="A99" s="76" t="s">
        <v>354</v>
      </c>
      <c r="B99" s="112">
        <v>0.0</v>
      </c>
      <c r="C99" s="112">
        <v>3.0</v>
      </c>
      <c r="D99" s="112">
        <v>1.0</v>
      </c>
      <c r="E99" s="112">
        <v>0.0</v>
      </c>
      <c r="F99" s="112">
        <v>1.0</v>
      </c>
      <c r="G99" s="112">
        <v>0.0</v>
      </c>
      <c r="H99" s="112">
        <v>0.0</v>
      </c>
      <c r="I99" s="112">
        <v>2.0</v>
      </c>
      <c r="J99" s="112">
        <v>1.0</v>
      </c>
      <c r="K99" s="112">
        <v>0.0</v>
      </c>
      <c r="L99" s="112">
        <v>0.0</v>
      </c>
      <c r="M99" s="112">
        <v>0.0</v>
      </c>
      <c r="N99" s="112">
        <v>0.0</v>
      </c>
      <c r="O99" s="112">
        <v>0.0</v>
      </c>
      <c r="P99" s="112">
        <v>0.0</v>
      </c>
      <c r="Q99" s="112">
        <v>0.0</v>
      </c>
      <c r="R99" s="112">
        <v>0.0</v>
      </c>
      <c r="S99" s="112">
        <v>0.0</v>
      </c>
      <c r="T99" s="112">
        <v>0.0</v>
      </c>
      <c r="U99" s="112">
        <v>0.0</v>
      </c>
      <c r="V99" s="112">
        <v>0.0</v>
      </c>
      <c r="W99" s="112">
        <v>2.0</v>
      </c>
      <c r="X99" s="112">
        <v>0.0</v>
      </c>
      <c r="Y99" s="112">
        <v>4.0</v>
      </c>
      <c r="Z99" s="112">
        <v>3.0</v>
      </c>
      <c r="AA99" s="112">
        <v>3.0</v>
      </c>
      <c r="AB99" s="112">
        <v>1.0</v>
      </c>
      <c r="AC99" s="112">
        <v>1.0</v>
      </c>
      <c r="AD99" s="112">
        <v>0.0</v>
      </c>
      <c r="AE99" s="112">
        <v>0.0</v>
      </c>
      <c r="AF99" s="167">
        <f t="shared" si="35"/>
        <v>22</v>
      </c>
    </row>
    <row r="100">
      <c r="A100" s="76" t="s">
        <v>356</v>
      </c>
      <c r="B100" s="112">
        <v>1.0</v>
      </c>
      <c r="C100" s="112">
        <v>2.0</v>
      </c>
      <c r="D100" s="112">
        <v>0.0</v>
      </c>
      <c r="E100" s="112">
        <v>0.0</v>
      </c>
      <c r="F100" s="112">
        <v>1.0</v>
      </c>
      <c r="G100" s="112">
        <v>1.0</v>
      </c>
      <c r="H100" s="112">
        <v>0.0</v>
      </c>
      <c r="I100" s="112">
        <v>2.0</v>
      </c>
      <c r="J100" s="112">
        <v>1.0</v>
      </c>
      <c r="K100" s="112">
        <v>1.0</v>
      </c>
      <c r="L100" s="112">
        <v>1.0</v>
      </c>
      <c r="M100" s="112">
        <v>1.0</v>
      </c>
      <c r="N100" s="112">
        <v>2.0</v>
      </c>
      <c r="O100" s="112">
        <v>1.0</v>
      </c>
      <c r="P100" s="112">
        <v>1.0</v>
      </c>
      <c r="Q100" s="112">
        <v>1.0</v>
      </c>
      <c r="R100" s="112">
        <v>1.0</v>
      </c>
      <c r="S100" s="112">
        <v>5.0</v>
      </c>
      <c r="T100" s="112">
        <v>1.0</v>
      </c>
      <c r="U100" s="112">
        <v>3.0</v>
      </c>
      <c r="V100" s="112">
        <v>0.0</v>
      </c>
      <c r="W100" s="112">
        <v>5.0</v>
      </c>
      <c r="X100" s="112">
        <v>1.0</v>
      </c>
      <c r="Y100" s="112">
        <v>9.0</v>
      </c>
      <c r="Z100" s="112">
        <v>5.0</v>
      </c>
      <c r="AA100" s="112">
        <v>7.0</v>
      </c>
      <c r="AB100" s="112">
        <v>6.0</v>
      </c>
      <c r="AC100" s="112">
        <v>3.0</v>
      </c>
      <c r="AD100" s="112">
        <v>2.0</v>
      </c>
      <c r="AE100" s="112">
        <v>1.0</v>
      </c>
      <c r="AF100" s="167">
        <f t="shared" si="35"/>
        <v>65</v>
      </c>
    </row>
    <row r="101">
      <c r="A101" s="76" t="s">
        <v>357</v>
      </c>
      <c r="B101" s="112">
        <v>0.0</v>
      </c>
      <c r="C101" s="112">
        <v>0.0</v>
      </c>
      <c r="D101" s="112">
        <v>0.0</v>
      </c>
      <c r="E101" s="112">
        <v>0.0</v>
      </c>
      <c r="F101" s="112">
        <v>0.0</v>
      </c>
      <c r="G101" s="112">
        <v>0.0</v>
      </c>
      <c r="H101" s="112">
        <v>0.0</v>
      </c>
      <c r="I101" s="112">
        <v>0.0</v>
      </c>
      <c r="J101" s="112">
        <v>0.0</v>
      </c>
      <c r="K101" s="112">
        <v>0.0</v>
      </c>
      <c r="L101" s="112">
        <v>0.0</v>
      </c>
      <c r="M101" s="112">
        <v>0.0</v>
      </c>
      <c r="N101" s="112">
        <v>0.0</v>
      </c>
      <c r="O101" s="112">
        <v>1.0</v>
      </c>
      <c r="P101" s="112">
        <v>0.0</v>
      </c>
      <c r="Q101" s="112">
        <v>1.0</v>
      </c>
      <c r="R101" s="112">
        <v>1.0</v>
      </c>
      <c r="S101" s="112">
        <v>0.0</v>
      </c>
      <c r="T101" s="112">
        <v>0.0</v>
      </c>
      <c r="U101" s="112">
        <v>0.0</v>
      </c>
      <c r="V101" s="112">
        <v>0.0</v>
      </c>
      <c r="W101" s="112">
        <v>1.0</v>
      </c>
      <c r="X101" s="112">
        <v>1.0</v>
      </c>
      <c r="Y101" s="112">
        <v>2.0</v>
      </c>
      <c r="Z101" s="112">
        <v>1.0</v>
      </c>
      <c r="AA101" s="112">
        <v>4.0</v>
      </c>
      <c r="AB101" s="112">
        <v>1.0</v>
      </c>
      <c r="AC101" s="112">
        <v>0.0</v>
      </c>
      <c r="AD101" s="112">
        <v>0.0</v>
      </c>
      <c r="AE101" s="112">
        <v>1.0</v>
      </c>
      <c r="AF101" s="167">
        <f t="shared" si="35"/>
        <v>14</v>
      </c>
    </row>
    <row r="102">
      <c r="A102" s="76" t="s">
        <v>358</v>
      </c>
      <c r="B102" s="112">
        <v>1.0</v>
      </c>
      <c r="C102" s="112">
        <v>7.0</v>
      </c>
      <c r="D102" s="112">
        <v>4.0</v>
      </c>
      <c r="E102" s="112">
        <v>2.0</v>
      </c>
      <c r="F102" s="112">
        <v>5.0</v>
      </c>
      <c r="G102" s="112">
        <v>10.0</v>
      </c>
      <c r="H102" s="112">
        <v>2.0</v>
      </c>
      <c r="I102" s="112">
        <v>6.0</v>
      </c>
      <c r="J102" s="112">
        <v>8.0</v>
      </c>
      <c r="K102" s="112">
        <v>4.0</v>
      </c>
      <c r="L102" s="112">
        <v>9.0</v>
      </c>
      <c r="M102" s="112">
        <v>5.0</v>
      </c>
      <c r="N102" s="112">
        <v>7.0</v>
      </c>
      <c r="O102" s="112">
        <v>2.0</v>
      </c>
      <c r="P102" s="112">
        <v>2.0</v>
      </c>
      <c r="Q102" s="112">
        <v>3.0</v>
      </c>
      <c r="R102" s="112">
        <v>8.0</v>
      </c>
      <c r="S102" s="112">
        <v>9.0</v>
      </c>
      <c r="T102" s="112">
        <v>6.0</v>
      </c>
      <c r="U102" s="112">
        <v>19.0</v>
      </c>
      <c r="V102" s="112">
        <v>7.0</v>
      </c>
      <c r="W102" s="112">
        <v>19.0</v>
      </c>
      <c r="X102" s="112">
        <v>13.0</v>
      </c>
      <c r="Y102" s="112">
        <v>32.0</v>
      </c>
      <c r="Z102" s="112">
        <v>13.0</v>
      </c>
      <c r="AA102" s="112">
        <v>22.0</v>
      </c>
      <c r="AB102" s="112">
        <v>17.0</v>
      </c>
      <c r="AC102" s="112">
        <v>11.0</v>
      </c>
      <c r="AD102" s="112">
        <v>2.0</v>
      </c>
      <c r="AE102" s="112">
        <v>4.0</v>
      </c>
      <c r="AF102" s="167">
        <f t="shared" si="35"/>
        <v>259</v>
      </c>
    </row>
    <row r="103">
      <c r="A103" s="76" t="s">
        <v>359</v>
      </c>
      <c r="B103" s="112">
        <v>2.0</v>
      </c>
      <c r="C103" s="112">
        <v>0.0</v>
      </c>
      <c r="D103" s="112">
        <v>0.0</v>
      </c>
      <c r="E103" s="112">
        <v>2.0</v>
      </c>
      <c r="F103" s="112">
        <v>3.0</v>
      </c>
      <c r="G103" s="112">
        <v>1.0</v>
      </c>
      <c r="H103" s="112">
        <v>0.0</v>
      </c>
      <c r="I103" s="112">
        <v>1.0</v>
      </c>
      <c r="J103" s="112">
        <v>0.0</v>
      </c>
      <c r="K103" s="112">
        <v>0.0</v>
      </c>
      <c r="L103" s="112">
        <v>2.0</v>
      </c>
      <c r="M103" s="112">
        <v>0.0</v>
      </c>
      <c r="N103" s="112">
        <v>0.0</v>
      </c>
      <c r="O103" s="112">
        <v>0.0</v>
      </c>
      <c r="P103" s="112">
        <v>0.0</v>
      </c>
      <c r="Q103" s="112">
        <v>0.0</v>
      </c>
      <c r="R103" s="112">
        <v>1.0</v>
      </c>
      <c r="S103" s="112">
        <v>0.0</v>
      </c>
      <c r="T103" s="112">
        <v>3.0</v>
      </c>
      <c r="U103" s="112">
        <v>0.0</v>
      </c>
      <c r="V103" s="112">
        <v>1.0</v>
      </c>
      <c r="W103" s="112">
        <v>5.0</v>
      </c>
      <c r="X103" s="112">
        <v>4.0</v>
      </c>
      <c r="Y103" s="112">
        <v>11.0</v>
      </c>
      <c r="Z103" s="112">
        <v>2.0</v>
      </c>
      <c r="AA103" s="112">
        <v>4.0</v>
      </c>
      <c r="AB103" s="112">
        <v>4.0</v>
      </c>
      <c r="AC103" s="112">
        <v>3.0</v>
      </c>
      <c r="AD103" s="112">
        <v>1.0</v>
      </c>
      <c r="AE103" s="112">
        <v>0.0</v>
      </c>
      <c r="AF103" s="167">
        <f t="shared" si="35"/>
        <v>50</v>
      </c>
    </row>
    <row r="104">
      <c r="A104" s="93" t="s">
        <v>162</v>
      </c>
      <c r="B104" s="218">
        <f t="shared" ref="B104:AE104" si="36">SUM(B96:B103)</f>
        <v>10</v>
      </c>
      <c r="C104" s="218">
        <f t="shared" si="36"/>
        <v>37</v>
      </c>
      <c r="D104" s="218">
        <f t="shared" si="36"/>
        <v>31</v>
      </c>
      <c r="E104" s="218">
        <f t="shared" si="36"/>
        <v>16</v>
      </c>
      <c r="F104" s="218">
        <f t="shared" si="36"/>
        <v>14</v>
      </c>
      <c r="G104" s="218">
        <f t="shared" si="36"/>
        <v>22</v>
      </c>
      <c r="H104" s="218">
        <f t="shared" si="36"/>
        <v>11</v>
      </c>
      <c r="I104" s="218">
        <f t="shared" si="36"/>
        <v>31</v>
      </c>
      <c r="J104" s="218">
        <f t="shared" si="36"/>
        <v>42</v>
      </c>
      <c r="K104" s="218">
        <f t="shared" si="36"/>
        <v>19</v>
      </c>
      <c r="L104" s="218">
        <f t="shared" si="36"/>
        <v>35</v>
      </c>
      <c r="M104" s="218">
        <f t="shared" si="36"/>
        <v>19</v>
      </c>
      <c r="N104" s="218">
        <f t="shared" si="36"/>
        <v>27</v>
      </c>
      <c r="O104" s="218">
        <f t="shared" si="36"/>
        <v>15</v>
      </c>
      <c r="P104" s="218">
        <f t="shared" si="36"/>
        <v>13</v>
      </c>
      <c r="Q104" s="218">
        <f t="shared" si="36"/>
        <v>12</v>
      </c>
      <c r="R104" s="218">
        <f t="shared" si="36"/>
        <v>23</v>
      </c>
      <c r="S104" s="218">
        <f t="shared" si="36"/>
        <v>27</v>
      </c>
      <c r="T104" s="218">
        <f t="shared" si="36"/>
        <v>34</v>
      </c>
      <c r="U104" s="218">
        <f t="shared" si="36"/>
        <v>60</v>
      </c>
      <c r="V104" s="218">
        <f t="shared" si="36"/>
        <v>28</v>
      </c>
      <c r="W104" s="218">
        <f t="shared" si="36"/>
        <v>95</v>
      </c>
      <c r="X104" s="218">
        <f t="shared" si="36"/>
        <v>68</v>
      </c>
      <c r="Y104" s="218">
        <f t="shared" si="36"/>
        <v>160</v>
      </c>
      <c r="Z104" s="218">
        <f t="shared" si="36"/>
        <v>92</v>
      </c>
      <c r="AA104" s="218">
        <f t="shared" si="36"/>
        <v>92</v>
      </c>
      <c r="AB104" s="218">
        <f t="shared" si="36"/>
        <v>90</v>
      </c>
      <c r="AC104" s="218">
        <f t="shared" si="36"/>
        <v>49</v>
      </c>
      <c r="AD104" s="218">
        <f t="shared" si="36"/>
        <v>8</v>
      </c>
      <c r="AE104" s="218">
        <f t="shared" si="36"/>
        <v>11</v>
      </c>
      <c r="AF104" s="167">
        <f t="shared" si="35"/>
        <v>1191</v>
      </c>
    </row>
    <row r="105">
      <c r="A105" s="4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215"/>
    </row>
    <row r="106">
      <c r="A106" s="75" t="s">
        <v>361</v>
      </c>
      <c r="B106" s="110"/>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215"/>
    </row>
    <row r="107">
      <c r="A107" s="76" t="s">
        <v>363</v>
      </c>
      <c r="B107" s="21">
        <f t="shared" ref="B107:AE107" si="37">B53-(B200+B205+B246+B296+B305)</f>
        <v>147</v>
      </c>
      <c r="C107" s="21">
        <f t="shared" si="37"/>
        <v>148</v>
      </c>
      <c r="D107" s="21">
        <f t="shared" si="37"/>
        <v>148</v>
      </c>
      <c r="E107" s="21">
        <f t="shared" si="37"/>
        <v>184</v>
      </c>
      <c r="F107" s="21">
        <f t="shared" si="37"/>
        <v>216</v>
      </c>
      <c r="G107" s="21">
        <f t="shared" si="37"/>
        <v>182</v>
      </c>
      <c r="H107" s="21">
        <f t="shared" si="37"/>
        <v>159</v>
      </c>
      <c r="I107" s="21">
        <f t="shared" si="37"/>
        <v>143</v>
      </c>
      <c r="J107" s="21">
        <f t="shared" si="37"/>
        <v>168</v>
      </c>
      <c r="K107" s="21">
        <f t="shared" si="37"/>
        <v>174</v>
      </c>
      <c r="L107" s="21">
        <f t="shared" si="37"/>
        <v>160</v>
      </c>
      <c r="M107" s="21">
        <f t="shared" si="37"/>
        <v>175</v>
      </c>
      <c r="N107" s="21">
        <f t="shared" si="37"/>
        <v>154</v>
      </c>
      <c r="O107" s="172">
        <f t="shared" si="37"/>
        <v>152</v>
      </c>
      <c r="P107" s="21">
        <f t="shared" si="37"/>
        <v>155</v>
      </c>
      <c r="Q107" s="21">
        <f t="shared" si="37"/>
        <v>141</v>
      </c>
      <c r="R107" s="21">
        <f t="shared" si="37"/>
        <v>179</v>
      </c>
      <c r="S107" s="21">
        <f t="shared" si="37"/>
        <v>210</v>
      </c>
      <c r="T107" s="21">
        <f t="shared" si="37"/>
        <v>202</v>
      </c>
      <c r="U107" s="21">
        <f t="shared" si="37"/>
        <v>209</v>
      </c>
      <c r="V107" s="21">
        <f t="shared" si="37"/>
        <v>249</v>
      </c>
      <c r="W107" s="21">
        <f t="shared" si="37"/>
        <v>348</v>
      </c>
      <c r="X107" s="21">
        <f t="shared" si="37"/>
        <v>392</v>
      </c>
      <c r="Y107" s="21">
        <f t="shared" si="37"/>
        <v>1225</v>
      </c>
      <c r="Z107" s="172">
        <f t="shared" si="37"/>
        <v>826</v>
      </c>
      <c r="AA107" s="21">
        <f t="shared" si="37"/>
        <v>564</v>
      </c>
      <c r="AB107" s="21">
        <f t="shared" si="37"/>
        <v>786</v>
      </c>
      <c r="AC107" s="172">
        <f t="shared" si="37"/>
        <v>577</v>
      </c>
      <c r="AD107" s="172">
        <f t="shared" si="37"/>
        <v>35</v>
      </c>
      <c r="AE107" s="172">
        <f t="shared" si="37"/>
        <v>39</v>
      </c>
      <c r="AF107" s="167">
        <f t="shared" ref="AF107:AF111" si="39">sum(B107:AE107)</f>
        <v>8447</v>
      </c>
    </row>
    <row r="108">
      <c r="A108" s="76" t="s">
        <v>367</v>
      </c>
      <c r="B108" s="21">
        <f t="shared" ref="B108:AE108" si="38">B54-(B201+B206+B247+B297+B306)</f>
        <v>6</v>
      </c>
      <c r="C108" s="21">
        <f t="shared" si="38"/>
        <v>10</v>
      </c>
      <c r="D108" s="21">
        <f t="shared" si="38"/>
        <v>2</v>
      </c>
      <c r="E108" s="21">
        <f t="shared" si="38"/>
        <v>8</v>
      </c>
      <c r="F108" s="21">
        <f t="shared" si="38"/>
        <v>8</v>
      </c>
      <c r="G108" s="21">
        <f t="shared" si="38"/>
        <v>11</v>
      </c>
      <c r="H108" s="21">
        <f t="shared" si="38"/>
        <v>10</v>
      </c>
      <c r="I108" s="21">
        <f t="shared" si="38"/>
        <v>5</v>
      </c>
      <c r="J108" s="21">
        <f t="shared" si="38"/>
        <v>8</v>
      </c>
      <c r="K108" s="21">
        <f t="shared" si="38"/>
        <v>11</v>
      </c>
      <c r="L108" s="21">
        <f t="shared" si="38"/>
        <v>9</v>
      </c>
      <c r="M108" s="21">
        <f t="shared" si="38"/>
        <v>17</v>
      </c>
      <c r="N108" s="21">
        <f t="shared" si="38"/>
        <v>10</v>
      </c>
      <c r="O108" s="172">
        <f t="shared" si="38"/>
        <v>10</v>
      </c>
      <c r="P108" s="21">
        <f t="shared" si="38"/>
        <v>7</v>
      </c>
      <c r="Q108" s="21">
        <f t="shared" si="38"/>
        <v>9</v>
      </c>
      <c r="R108" s="21">
        <f t="shared" si="38"/>
        <v>17</v>
      </c>
      <c r="S108" s="21">
        <f t="shared" si="38"/>
        <v>21</v>
      </c>
      <c r="T108" s="21">
        <f t="shared" si="38"/>
        <v>20</v>
      </c>
      <c r="U108" s="21">
        <f t="shared" si="38"/>
        <v>25</v>
      </c>
      <c r="V108" s="21">
        <f t="shared" si="38"/>
        <v>27</v>
      </c>
      <c r="W108" s="21">
        <f t="shared" si="38"/>
        <v>61</v>
      </c>
      <c r="X108" s="21">
        <f t="shared" si="38"/>
        <v>54</v>
      </c>
      <c r="Y108" s="21">
        <f t="shared" si="38"/>
        <v>175</v>
      </c>
      <c r="Z108" s="172">
        <f t="shared" si="38"/>
        <v>109</v>
      </c>
      <c r="AA108" s="21">
        <f t="shared" si="38"/>
        <v>71</v>
      </c>
      <c r="AB108" s="21">
        <f t="shared" si="38"/>
        <v>95</v>
      </c>
      <c r="AC108" s="172">
        <f t="shared" si="38"/>
        <v>106</v>
      </c>
      <c r="AD108" s="172">
        <f t="shared" si="38"/>
        <v>45</v>
      </c>
      <c r="AE108" s="172">
        <f t="shared" si="38"/>
        <v>42</v>
      </c>
      <c r="AF108" s="167">
        <f t="shared" si="39"/>
        <v>1009</v>
      </c>
    </row>
    <row r="109">
      <c r="A109" s="76" t="s">
        <v>369</v>
      </c>
      <c r="B109" s="21">
        <f t="shared" ref="B109:AE109" si="40">B55-(B202+B207+B248+B298+B307)</f>
        <v>265</v>
      </c>
      <c r="C109" s="21">
        <f t="shared" si="40"/>
        <v>275</v>
      </c>
      <c r="D109" s="21">
        <f t="shared" si="40"/>
        <v>270</v>
      </c>
      <c r="E109" s="21">
        <f t="shared" si="40"/>
        <v>291</v>
      </c>
      <c r="F109" s="21">
        <f t="shared" si="40"/>
        <v>333</v>
      </c>
      <c r="G109" s="21">
        <f t="shared" si="40"/>
        <v>333</v>
      </c>
      <c r="H109" s="21">
        <f t="shared" si="40"/>
        <v>312</v>
      </c>
      <c r="I109" s="21">
        <f t="shared" si="40"/>
        <v>317</v>
      </c>
      <c r="J109" s="21">
        <f t="shared" si="40"/>
        <v>336</v>
      </c>
      <c r="K109" s="21">
        <f t="shared" si="40"/>
        <v>324</v>
      </c>
      <c r="L109" s="21">
        <f t="shared" si="40"/>
        <v>489</v>
      </c>
      <c r="M109" s="21">
        <f t="shared" si="40"/>
        <v>444</v>
      </c>
      <c r="N109" s="21">
        <f t="shared" si="40"/>
        <v>345</v>
      </c>
      <c r="O109" s="172">
        <f t="shared" si="40"/>
        <v>412</v>
      </c>
      <c r="P109" s="21">
        <f t="shared" si="40"/>
        <v>367</v>
      </c>
      <c r="Q109" s="21">
        <f t="shared" si="40"/>
        <v>354</v>
      </c>
      <c r="R109" s="21">
        <f t="shared" si="40"/>
        <v>351</v>
      </c>
      <c r="S109" s="21">
        <f t="shared" si="40"/>
        <v>462</v>
      </c>
      <c r="T109" s="21">
        <f t="shared" si="40"/>
        <v>480</v>
      </c>
      <c r="U109" s="21">
        <f t="shared" si="40"/>
        <v>498</v>
      </c>
      <c r="V109" s="21">
        <f t="shared" si="40"/>
        <v>465</v>
      </c>
      <c r="W109" s="21">
        <f t="shared" si="40"/>
        <v>688</v>
      </c>
      <c r="X109" s="21">
        <f t="shared" si="40"/>
        <v>830</v>
      </c>
      <c r="Y109" s="21">
        <f t="shared" si="40"/>
        <v>2265</v>
      </c>
      <c r="Z109" s="21">
        <f t="shared" si="40"/>
        <v>1336</v>
      </c>
      <c r="AA109" s="21">
        <f t="shared" si="40"/>
        <v>1030</v>
      </c>
      <c r="AB109" s="21">
        <f t="shared" si="40"/>
        <v>1746</v>
      </c>
      <c r="AC109" s="21">
        <f t="shared" si="40"/>
        <v>1049</v>
      </c>
      <c r="AD109" s="21">
        <f t="shared" si="40"/>
        <v>104</v>
      </c>
      <c r="AE109" s="21">
        <f t="shared" si="40"/>
        <v>92</v>
      </c>
      <c r="AF109" s="167">
        <f t="shared" si="39"/>
        <v>16863</v>
      </c>
    </row>
    <row r="110">
      <c r="A110" s="76" t="s">
        <v>372</v>
      </c>
      <c r="B110" s="21">
        <f t="shared" ref="B110:AE110" si="41">B56-(B203+B208+B249+B299+B308)</f>
        <v>25</v>
      </c>
      <c r="C110" s="21">
        <f t="shared" si="41"/>
        <v>23</v>
      </c>
      <c r="D110" s="21">
        <f t="shared" si="41"/>
        <v>30</v>
      </c>
      <c r="E110" s="21">
        <f t="shared" si="41"/>
        <v>27</v>
      </c>
      <c r="F110" s="21">
        <f t="shared" si="41"/>
        <v>33</v>
      </c>
      <c r="G110" s="21">
        <f t="shared" si="41"/>
        <v>24</v>
      </c>
      <c r="H110" s="21">
        <f t="shared" si="41"/>
        <v>21</v>
      </c>
      <c r="I110" s="21">
        <f t="shared" si="41"/>
        <v>30</v>
      </c>
      <c r="J110" s="21">
        <f t="shared" si="41"/>
        <v>29</v>
      </c>
      <c r="K110" s="21">
        <f t="shared" si="41"/>
        <v>24</v>
      </c>
      <c r="L110" s="21">
        <f t="shared" si="41"/>
        <v>29</v>
      </c>
      <c r="M110" s="172">
        <f t="shared" si="41"/>
        <v>34</v>
      </c>
      <c r="N110" s="21">
        <f t="shared" si="41"/>
        <v>26</v>
      </c>
      <c r="O110" s="172">
        <f t="shared" si="41"/>
        <v>35</v>
      </c>
      <c r="P110" s="21">
        <f t="shared" si="41"/>
        <v>34</v>
      </c>
      <c r="Q110" s="21">
        <f t="shared" si="41"/>
        <v>15</v>
      </c>
      <c r="R110" s="21">
        <f t="shared" si="41"/>
        <v>20</v>
      </c>
      <c r="S110" s="21">
        <f t="shared" si="41"/>
        <v>28</v>
      </c>
      <c r="T110" s="21">
        <f t="shared" si="41"/>
        <v>45</v>
      </c>
      <c r="U110" s="21">
        <f t="shared" si="41"/>
        <v>54</v>
      </c>
      <c r="V110" s="21">
        <f t="shared" si="41"/>
        <v>70</v>
      </c>
      <c r="W110" s="21">
        <f t="shared" si="41"/>
        <v>98</v>
      </c>
      <c r="X110" s="21">
        <f t="shared" si="41"/>
        <v>137</v>
      </c>
      <c r="Y110" s="21">
        <f t="shared" si="41"/>
        <v>300</v>
      </c>
      <c r="Z110" s="21">
        <f t="shared" si="41"/>
        <v>213</v>
      </c>
      <c r="AA110" s="21">
        <f t="shared" si="41"/>
        <v>157</v>
      </c>
      <c r="AB110" s="21">
        <f t="shared" si="41"/>
        <v>207</v>
      </c>
      <c r="AC110" s="21">
        <f t="shared" si="41"/>
        <v>198</v>
      </c>
      <c r="AD110" s="21">
        <f t="shared" si="41"/>
        <v>113</v>
      </c>
      <c r="AE110" s="21">
        <f t="shared" si="41"/>
        <v>89</v>
      </c>
      <c r="AF110" s="167">
        <f t="shared" si="39"/>
        <v>2168</v>
      </c>
    </row>
    <row r="111">
      <c r="A111" s="93" t="s">
        <v>148</v>
      </c>
      <c r="B111" s="218">
        <f t="shared" ref="B111:AE111" si="42">SUM(B107:B110)</f>
        <v>443</v>
      </c>
      <c r="C111" s="218">
        <f t="shared" si="42"/>
        <v>456</v>
      </c>
      <c r="D111" s="218">
        <f t="shared" si="42"/>
        <v>450</v>
      </c>
      <c r="E111" s="218">
        <f t="shared" si="42"/>
        <v>510</v>
      </c>
      <c r="F111" s="218">
        <f t="shared" si="42"/>
        <v>590</v>
      </c>
      <c r="G111" s="218">
        <f t="shared" si="42"/>
        <v>550</v>
      </c>
      <c r="H111" s="218">
        <f t="shared" si="42"/>
        <v>502</v>
      </c>
      <c r="I111" s="218">
        <f t="shared" si="42"/>
        <v>495</v>
      </c>
      <c r="J111" s="218">
        <f t="shared" si="42"/>
        <v>541</v>
      </c>
      <c r="K111" s="218">
        <f t="shared" si="42"/>
        <v>533</v>
      </c>
      <c r="L111" s="218">
        <f t="shared" si="42"/>
        <v>687</v>
      </c>
      <c r="M111" s="218">
        <f t="shared" si="42"/>
        <v>670</v>
      </c>
      <c r="N111" s="218">
        <f t="shared" si="42"/>
        <v>535</v>
      </c>
      <c r="O111" s="218">
        <f t="shared" si="42"/>
        <v>609</v>
      </c>
      <c r="P111" s="218">
        <f t="shared" si="42"/>
        <v>563</v>
      </c>
      <c r="Q111" s="218">
        <f t="shared" si="42"/>
        <v>519</v>
      </c>
      <c r="R111" s="218">
        <f t="shared" si="42"/>
        <v>567</v>
      </c>
      <c r="S111" s="218">
        <f t="shared" si="42"/>
        <v>721</v>
      </c>
      <c r="T111" s="218">
        <f t="shared" si="42"/>
        <v>747</v>
      </c>
      <c r="U111" s="218">
        <f t="shared" si="42"/>
        <v>786</v>
      </c>
      <c r="V111" s="218">
        <f t="shared" si="42"/>
        <v>811</v>
      </c>
      <c r="W111" s="218">
        <f t="shared" si="42"/>
        <v>1195</v>
      </c>
      <c r="X111" s="218">
        <f t="shared" si="42"/>
        <v>1413</v>
      </c>
      <c r="Y111" s="218">
        <f t="shared" si="42"/>
        <v>3965</v>
      </c>
      <c r="Z111" s="218">
        <f t="shared" si="42"/>
        <v>2484</v>
      </c>
      <c r="AA111" s="218">
        <f t="shared" si="42"/>
        <v>1822</v>
      </c>
      <c r="AB111" s="218">
        <f t="shared" si="42"/>
        <v>2834</v>
      </c>
      <c r="AC111" s="218">
        <f t="shared" si="42"/>
        <v>1930</v>
      </c>
      <c r="AD111" s="218">
        <f t="shared" si="42"/>
        <v>297</v>
      </c>
      <c r="AE111" s="218">
        <f t="shared" si="42"/>
        <v>262</v>
      </c>
      <c r="AF111" s="167">
        <f t="shared" si="39"/>
        <v>28487</v>
      </c>
    </row>
    <row r="112">
      <c r="A112" s="49"/>
      <c r="B112" s="110"/>
      <c r="C112" s="110"/>
      <c r="D112" s="110"/>
      <c r="E112" s="110"/>
      <c r="F112" s="110"/>
      <c r="G112" s="110"/>
      <c r="H112" s="110"/>
      <c r="I112" s="110"/>
      <c r="J112" s="9"/>
      <c r="K112" s="9"/>
      <c r="L112" s="9"/>
      <c r="M112" s="9"/>
      <c r="N112" s="9"/>
      <c r="O112" s="9"/>
      <c r="P112" s="9"/>
      <c r="Q112" s="9"/>
      <c r="R112" s="9"/>
      <c r="S112" s="9"/>
      <c r="T112" s="9"/>
      <c r="U112" s="9"/>
      <c r="V112" s="9"/>
      <c r="W112" s="9"/>
      <c r="X112" s="9"/>
      <c r="Y112" s="9"/>
      <c r="Z112" s="9"/>
      <c r="AA112" s="9"/>
      <c r="AB112" s="9"/>
      <c r="AC112" s="9"/>
      <c r="AD112" s="9"/>
      <c r="AE112" s="9"/>
      <c r="AF112" s="215"/>
    </row>
    <row r="113">
      <c r="A113" s="76" t="s">
        <v>150</v>
      </c>
      <c r="B113" s="21">
        <f t="shared" ref="B113:AE113" si="43">B59-(B213+B224+B259+B317+B328)</f>
        <v>75</v>
      </c>
      <c r="C113" s="21">
        <f t="shared" si="43"/>
        <v>103</v>
      </c>
      <c r="D113" s="21">
        <f t="shared" si="43"/>
        <v>88</v>
      </c>
      <c r="E113" s="21">
        <f t="shared" si="43"/>
        <v>116</v>
      </c>
      <c r="F113" s="21">
        <f t="shared" si="43"/>
        <v>131</v>
      </c>
      <c r="G113" s="21">
        <f t="shared" si="43"/>
        <v>130</v>
      </c>
      <c r="H113" s="21">
        <f t="shared" si="43"/>
        <v>126</v>
      </c>
      <c r="I113" s="21">
        <f t="shared" si="43"/>
        <v>117</v>
      </c>
      <c r="J113" s="21">
        <f t="shared" si="43"/>
        <v>137</v>
      </c>
      <c r="K113" s="21">
        <f t="shared" si="43"/>
        <v>144</v>
      </c>
      <c r="L113" s="21">
        <f t="shared" si="43"/>
        <v>209</v>
      </c>
      <c r="M113" s="21">
        <f t="shared" si="43"/>
        <v>207</v>
      </c>
      <c r="N113" s="21">
        <f t="shared" si="43"/>
        <v>134</v>
      </c>
      <c r="O113" s="21">
        <f t="shared" si="43"/>
        <v>156</v>
      </c>
      <c r="P113" s="21">
        <f t="shared" si="43"/>
        <v>145</v>
      </c>
      <c r="Q113" s="21">
        <f t="shared" si="43"/>
        <v>137</v>
      </c>
      <c r="R113" s="21">
        <f t="shared" si="43"/>
        <v>135</v>
      </c>
      <c r="S113" s="21">
        <f t="shared" si="43"/>
        <v>164</v>
      </c>
      <c r="T113" s="21">
        <f t="shared" si="43"/>
        <v>154</v>
      </c>
      <c r="U113" s="21">
        <f t="shared" si="43"/>
        <v>195</v>
      </c>
      <c r="V113" s="21">
        <f t="shared" si="43"/>
        <v>185</v>
      </c>
      <c r="W113" s="21">
        <f t="shared" si="43"/>
        <v>276</v>
      </c>
      <c r="X113" s="21">
        <f t="shared" si="43"/>
        <v>351</v>
      </c>
      <c r="Y113" s="21">
        <f t="shared" si="43"/>
        <v>792</v>
      </c>
      <c r="Z113" s="21">
        <f t="shared" si="43"/>
        <v>480</v>
      </c>
      <c r="AA113" s="21">
        <f t="shared" si="43"/>
        <v>403</v>
      </c>
      <c r="AB113" s="21">
        <f t="shared" si="43"/>
        <v>567</v>
      </c>
      <c r="AC113" s="21">
        <f t="shared" si="43"/>
        <v>356</v>
      </c>
      <c r="AD113" s="21">
        <f t="shared" si="43"/>
        <v>83</v>
      </c>
      <c r="AE113" s="21">
        <f t="shared" si="43"/>
        <v>75</v>
      </c>
      <c r="AF113" s="167">
        <f t="shared" ref="AF113:AF121" si="45">sum(B113:AE113)</f>
        <v>6371</v>
      </c>
    </row>
    <row r="114">
      <c r="A114" s="76" t="s">
        <v>151</v>
      </c>
      <c r="B114" s="21">
        <f t="shared" ref="B114:AE114" si="44">B60-(B214+B225+B260+B318+B329)</f>
        <v>350</v>
      </c>
      <c r="C114" s="21">
        <f t="shared" si="44"/>
        <v>369</v>
      </c>
      <c r="D114" s="21">
        <f t="shared" si="44"/>
        <v>381</v>
      </c>
      <c r="E114" s="21">
        <f t="shared" si="44"/>
        <v>386</v>
      </c>
      <c r="F114" s="21">
        <f t="shared" si="44"/>
        <v>415</v>
      </c>
      <c r="G114" s="21">
        <f t="shared" si="44"/>
        <v>366</v>
      </c>
      <c r="H114" s="21">
        <f t="shared" si="44"/>
        <v>379</v>
      </c>
      <c r="I114" s="21">
        <f t="shared" si="44"/>
        <v>363</v>
      </c>
      <c r="J114" s="21">
        <f t="shared" si="44"/>
        <v>407</v>
      </c>
      <c r="K114" s="21">
        <f t="shared" si="44"/>
        <v>403</v>
      </c>
      <c r="L114" s="21">
        <f t="shared" si="44"/>
        <v>521</v>
      </c>
      <c r="M114" s="21">
        <f t="shared" si="44"/>
        <v>572</v>
      </c>
      <c r="N114" s="21">
        <f t="shared" si="44"/>
        <v>801</v>
      </c>
      <c r="O114" s="21">
        <f t="shared" si="44"/>
        <v>452</v>
      </c>
      <c r="P114" s="21">
        <f t="shared" si="44"/>
        <v>394</v>
      </c>
      <c r="Q114" s="21">
        <f t="shared" si="44"/>
        <v>372</v>
      </c>
      <c r="R114" s="21">
        <f t="shared" si="44"/>
        <v>394</v>
      </c>
      <c r="S114" s="21">
        <f t="shared" si="44"/>
        <v>514</v>
      </c>
      <c r="T114" s="21">
        <f t="shared" si="44"/>
        <v>304</v>
      </c>
      <c r="U114" s="21">
        <f t="shared" si="44"/>
        <v>488</v>
      </c>
      <c r="V114" s="21">
        <f t="shared" si="44"/>
        <v>543</v>
      </c>
      <c r="W114" s="21">
        <f t="shared" si="44"/>
        <v>840</v>
      </c>
      <c r="X114" s="21">
        <f t="shared" si="44"/>
        <v>1066</v>
      </c>
      <c r="Y114" s="21">
        <f t="shared" si="44"/>
        <v>2734</v>
      </c>
      <c r="Z114" s="21">
        <f t="shared" si="44"/>
        <v>1623</v>
      </c>
      <c r="AA114" s="21">
        <f t="shared" si="44"/>
        <v>1270</v>
      </c>
      <c r="AB114" s="21">
        <f t="shared" si="44"/>
        <v>1782</v>
      </c>
      <c r="AC114" s="21">
        <f t="shared" si="44"/>
        <v>1013</v>
      </c>
      <c r="AD114" s="21">
        <f t="shared" si="44"/>
        <v>-10</v>
      </c>
      <c r="AE114" s="21">
        <f t="shared" si="44"/>
        <v>-7</v>
      </c>
      <c r="AF114" s="167">
        <f t="shared" si="45"/>
        <v>19485</v>
      </c>
    </row>
    <row r="115">
      <c r="A115" s="76" t="s">
        <v>381</v>
      </c>
      <c r="B115" s="21">
        <f t="shared" ref="B115:AE115" si="46">B61-(B215+B226+B261+B319+B330)</f>
        <v>39</v>
      </c>
      <c r="C115" s="21">
        <f t="shared" si="46"/>
        <v>93</v>
      </c>
      <c r="D115" s="21">
        <f t="shared" si="46"/>
        <v>72</v>
      </c>
      <c r="E115" s="21">
        <f t="shared" si="46"/>
        <v>74</v>
      </c>
      <c r="F115" s="21">
        <f t="shared" si="46"/>
        <v>43</v>
      </c>
      <c r="G115" s="21">
        <f t="shared" si="46"/>
        <v>52</v>
      </c>
      <c r="H115" s="21">
        <f t="shared" si="46"/>
        <v>57</v>
      </c>
      <c r="I115" s="21">
        <f t="shared" si="46"/>
        <v>90</v>
      </c>
      <c r="J115" s="21">
        <f t="shared" si="46"/>
        <v>59</v>
      </c>
      <c r="K115" s="21">
        <f t="shared" si="46"/>
        <v>49</v>
      </c>
      <c r="L115" s="21">
        <f t="shared" si="46"/>
        <v>93</v>
      </c>
      <c r="M115" s="21">
        <f t="shared" si="46"/>
        <v>85</v>
      </c>
      <c r="N115" s="21">
        <f t="shared" si="46"/>
        <v>52</v>
      </c>
      <c r="O115" s="21">
        <f t="shared" si="46"/>
        <v>64</v>
      </c>
      <c r="P115" s="21">
        <f t="shared" si="46"/>
        <v>59</v>
      </c>
      <c r="Q115" s="21">
        <f t="shared" si="46"/>
        <v>63</v>
      </c>
      <c r="R115" s="21">
        <f t="shared" si="46"/>
        <v>61</v>
      </c>
      <c r="S115" s="21">
        <f t="shared" si="46"/>
        <v>64</v>
      </c>
      <c r="T115" s="21">
        <f t="shared" si="46"/>
        <v>86</v>
      </c>
      <c r="U115" s="21">
        <f t="shared" si="46"/>
        <v>84</v>
      </c>
      <c r="V115" s="21">
        <f t="shared" si="46"/>
        <v>80</v>
      </c>
      <c r="W115" s="21">
        <f t="shared" si="46"/>
        <v>101</v>
      </c>
      <c r="X115" s="21">
        <f t="shared" si="46"/>
        <v>139</v>
      </c>
      <c r="Y115" s="21">
        <f t="shared" si="46"/>
        <v>370</v>
      </c>
      <c r="Z115" s="21">
        <f t="shared" si="46"/>
        <v>167</v>
      </c>
      <c r="AA115" s="21">
        <f t="shared" si="46"/>
        <v>159</v>
      </c>
      <c r="AB115" s="21">
        <f t="shared" si="46"/>
        <v>222</v>
      </c>
      <c r="AC115" s="21">
        <f t="shared" si="46"/>
        <v>111</v>
      </c>
      <c r="AD115" s="21">
        <f t="shared" si="46"/>
        <v>22</v>
      </c>
      <c r="AE115" s="21">
        <f t="shared" si="46"/>
        <v>22</v>
      </c>
      <c r="AF115" s="167">
        <f t="shared" si="45"/>
        <v>2732</v>
      </c>
    </row>
    <row r="116">
      <c r="A116" s="76" t="s">
        <v>383</v>
      </c>
      <c r="B116" s="21">
        <f t="shared" ref="B116:AE116" si="47">B62-(B216+B227+B262+B320+B331)</f>
        <v>5</v>
      </c>
      <c r="C116" s="21">
        <f t="shared" si="47"/>
        <v>19</v>
      </c>
      <c r="D116" s="21">
        <f t="shared" si="47"/>
        <v>8</v>
      </c>
      <c r="E116" s="21">
        <f t="shared" si="47"/>
        <v>9</v>
      </c>
      <c r="F116" s="21">
        <f t="shared" si="47"/>
        <v>4</v>
      </c>
      <c r="G116" s="21">
        <f t="shared" si="47"/>
        <v>4</v>
      </c>
      <c r="H116" s="21">
        <f t="shared" si="47"/>
        <v>5</v>
      </c>
      <c r="I116" s="21">
        <f t="shared" si="47"/>
        <v>12</v>
      </c>
      <c r="J116" s="21">
        <f t="shared" si="47"/>
        <v>7</v>
      </c>
      <c r="K116" s="21">
        <f t="shared" si="47"/>
        <v>4</v>
      </c>
      <c r="L116" s="21">
        <f t="shared" si="47"/>
        <v>3</v>
      </c>
      <c r="M116" s="21">
        <f t="shared" si="47"/>
        <v>7</v>
      </c>
      <c r="N116" s="21">
        <f t="shared" si="47"/>
        <v>8</v>
      </c>
      <c r="O116" s="21">
        <f t="shared" si="47"/>
        <v>9</v>
      </c>
      <c r="P116" s="21">
        <f t="shared" si="47"/>
        <v>2</v>
      </c>
      <c r="Q116" s="21">
        <f t="shared" si="47"/>
        <v>4</v>
      </c>
      <c r="R116" s="21">
        <f t="shared" si="47"/>
        <v>2</v>
      </c>
      <c r="S116" s="21">
        <f t="shared" si="47"/>
        <v>7</v>
      </c>
      <c r="T116" s="21">
        <f t="shared" si="47"/>
        <v>7</v>
      </c>
      <c r="U116" s="21">
        <f t="shared" si="47"/>
        <v>11</v>
      </c>
      <c r="V116" s="21">
        <f t="shared" si="47"/>
        <v>10</v>
      </c>
      <c r="W116" s="21">
        <f t="shared" si="47"/>
        <v>20</v>
      </c>
      <c r="X116" s="21">
        <f t="shared" si="47"/>
        <v>29</v>
      </c>
      <c r="Y116" s="21">
        <f t="shared" si="47"/>
        <v>50</v>
      </c>
      <c r="Z116" s="21">
        <f t="shared" si="47"/>
        <v>30</v>
      </c>
      <c r="AA116" s="21">
        <f t="shared" si="47"/>
        <v>28</v>
      </c>
      <c r="AB116" s="21">
        <f t="shared" si="47"/>
        <v>28</v>
      </c>
      <c r="AC116" s="21">
        <f t="shared" si="47"/>
        <v>25</v>
      </c>
      <c r="AD116" s="21">
        <f t="shared" si="47"/>
        <v>19</v>
      </c>
      <c r="AE116" s="21">
        <f t="shared" si="47"/>
        <v>25</v>
      </c>
      <c r="AF116" s="167">
        <f t="shared" si="45"/>
        <v>401</v>
      </c>
    </row>
    <row r="117">
      <c r="A117" s="76" t="s">
        <v>384</v>
      </c>
      <c r="B117" s="21">
        <f t="shared" ref="B117:AE117" si="48">B63-(B217+B228+B263+B321+B332)</f>
        <v>12</v>
      </c>
      <c r="C117" s="21">
        <f t="shared" si="48"/>
        <v>12</v>
      </c>
      <c r="D117" s="21">
        <f t="shared" si="48"/>
        <v>-3</v>
      </c>
      <c r="E117" s="21">
        <f t="shared" si="48"/>
        <v>14</v>
      </c>
      <c r="F117" s="21">
        <f t="shared" si="48"/>
        <v>20</v>
      </c>
      <c r="G117" s="21">
        <f t="shared" si="48"/>
        <v>9</v>
      </c>
      <c r="H117" s="21">
        <f t="shared" si="48"/>
        <v>9</v>
      </c>
      <c r="I117" s="21">
        <f t="shared" si="48"/>
        <v>12</v>
      </c>
      <c r="J117" s="21">
        <f t="shared" si="48"/>
        <v>6</v>
      </c>
      <c r="K117" s="21">
        <f t="shared" si="48"/>
        <v>13</v>
      </c>
      <c r="L117" s="21">
        <f t="shared" si="48"/>
        <v>10</v>
      </c>
      <c r="M117" s="21">
        <f t="shared" si="48"/>
        <v>5</v>
      </c>
      <c r="N117" s="21">
        <f t="shared" si="48"/>
        <v>12</v>
      </c>
      <c r="O117" s="21">
        <f t="shared" si="48"/>
        <v>10</v>
      </c>
      <c r="P117" s="21">
        <f t="shared" si="48"/>
        <v>12</v>
      </c>
      <c r="Q117" s="21">
        <f t="shared" si="48"/>
        <v>9</v>
      </c>
      <c r="R117" s="21">
        <f t="shared" si="48"/>
        <v>8</v>
      </c>
      <c r="S117" s="21">
        <f t="shared" si="48"/>
        <v>14</v>
      </c>
      <c r="T117" s="21">
        <f t="shared" si="48"/>
        <v>7</v>
      </c>
      <c r="U117" s="21">
        <f t="shared" si="48"/>
        <v>14</v>
      </c>
      <c r="V117" s="21">
        <f t="shared" si="48"/>
        <v>11</v>
      </c>
      <c r="W117" s="21">
        <f t="shared" si="48"/>
        <v>31</v>
      </c>
      <c r="X117" s="21">
        <f t="shared" si="48"/>
        <v>34</v>
      </c>
      <c r="Y117" s="21">
        <f t="shared" si="48"/>
        <v>95</v>
      </c>
      <c r="Z117" s="21">
        <f t="shared" si="48"/>
        <v>43</v>
      </c>
      <c r="AA117" s="21">
        <f t="shared" si="48"/>
        <v>46</v>
      </c>
      <c r="AB117" s="21">
        <f t="shared" si="48"/>
        <v>41</v>
      </c>
      <c r="AC117" s="21">
        <f t="shared" si="48"/>
        <v>27</v>
      </c>
      <c r="AD117" s="21">
        <f t="shared" si="48"/>
        <v>7</v>
      </c>
      <c r="AE117" s="21">
        <f t="shared" si="48"/>
        <v>6</v>
      </c>
      <c r="AF117" s="167">
        <f t="shared" si="45"/>
        <v>546</v>
      </c>
    </row>
    <row r="118">
      <c r="A118" s="76" t="s">
        <v>386</v>
      </c>
      <c r="B118" s="21">
        <f t="shared" ref="B118:AE118" si="49">B64-(B218+B229+B264+B322+B333)</f>
        <v>4</v>
      </c>
      <c r="C118" s="21">
        <f t="shared" si="49"/>
        <v>2</v>
      </c>
      <c r="D118" s="21">
        <f t="shared" si="49"/>
        <v>1</v>
      </c>
      <c r="E118" s="21">
        <f t="shared" si="49"/>
        <v>3</v>
      </c>
      <c r="F118" s="21">
        <f t="shared" si="49"/>
        <v>1</v>
      </c>
      <c r="G118" s="21">
        <f t="shared" si="49"/>
        <v>4</v>
      </c>
      <c r="H118" s="21">
        <f t="shared" si="49"/>
        <v>2</v>
      </c>
      <c r="I118" s="21">
        <f t="shared" si="49"/>
        <v>0</v>
      </c>
      <c r="J118" s="21">
        <f t="shared" si="49"/>
        <v>1</v>
      </c>
      <c r="K118" s="21">
        <f t="shared" si="49"/>
        <v>3</v>
      </c>
      <c r="L118" s="21">
        <f t="shared" si="49"/>
        <v>0</v>
      </c>
      <c r="M118" s="21">
        <f t="shared" si="49"/>
        <v>0</v>
      </c>
      <c r="N118" s="21">
        <f t="shared" si="49"/>
        <v>-1</v>
      </c>
      <c r="O118" s="21">
        <f t="shared" si="49"/>
        <v>1</v>
      </c>
      <c r="P118" s="21">
        <f t="shared" si="49"/>
        <v>1</v>
      </c>
      <c r="Q118" s="21">
        <f t="shared" si="49"/>
        <v>6</v>
      </c>
      <c r="R118" s="21">
        <f t="shared" si="49"/>
        <v>2</v>
      </c>
      <c r="S118" s="21">
        <f t="shared" si="49"/>
        <v>0</v>
      </c>
      <c r="T118" s="21">
        <f t="shared" si="49"/>
        <v>3</v>
      </c>
      <c r="U118" s="21">
        <f t="shared" si="49"/>
        <v>2</v>
      </c>
      <c r="V118" s="21">
        <f t="shared" si="49"/>
        <v>-2</v>
      </c>
      <c r="W118" s="21">
        <f t="shared" si="49"/>
        <v>7</v>
      </c>
      <c r="X118" s="21">
        <f t="shared" si="49"/>
        <v>6</v>
      </c>
      <c r="Y118" s="21">
        <f t="shared" si="49"/>
        <v>16</v>
      </c>
      <c r="Z118" s="21">
        <f t="shared" si="49"/>
        <v>7</v>
      </c>
      <c r="AA118" s="21">
        <f t="shared" si="49"/>
        <v>10</v>
      </c>
      <c r="AB118" s="21">
        <f t="shared" si="49"/>
        <v>11</v>
      </c>
      <c r="AC118" s="21">
        <f t="shared" si="49"/>
        <v>6</v>
      </c>
      <c r="AD118" s="21">
        <f t="shared" si="49"/>
        <v>4</v>
      </c>
      <c r="AE118" s="21">
        <f t="shared" si="49"/>
        <v>4</v>
      </c>
      <c r="AF118" s="167">
        <f t="shared" si="45"/>
        <v>104</v>
      </c>
    </row>
    <row r="119">
      <c r="A119" s="76" t="s">
        <v>387</v>
      </c>
      <c r="B119" s="21">
        <f t="shared" ref="B119:AE119" si="50">B65-(B219+B230+B265+B323+B334)</f>
        <v>88</v>
      </c>
      <c r="C119" s="21">
        <f t="shared" si="50"/>
        <v>124</v>
      </c>
      <c r="D119" s="21">
        <f t="shared" si="50"/>
        <v>109</v>
      </c>
      <c r="E119" s="21">
        <f t="shared" si="50"/>
        <v>129</v>
      </c>
      <c r="F119" s="21">
        <f t="shared" si="50"/>
        <v>136</v>
      </c>
      <c r="G119" s="21">
        <f t="shared" si="50"/>
        <v>123</v>
      </c>
      <c r="H119" s="21">
        <f t="shared" si="50"/>
        <v>113</v>
      </c>
      <c r="I119" s="21">
        <f t="shared" si="50"/>
        <v>122</v>
      </c>
      <c r="J119" s="21">
        <f t="shared" si="50"/>
        <v>115</v>
      </c>
      <c r="K119" s="21">
        <f t="shared" si="50"/>
        <v>118</v>
      </c>
      <c r="L119" s="21">
        <f t="shared" si="50"/>
        <v>170</v>
      </c>
      <c r="M119" s="21">
        <f t="shared" si="50"/>
        <v>170</v>
      </c>
      <c r="N119" s="21">
        <f t="shared" si="50"/>
        <v>126</v>
      </c>
      <c r="O119" s="21">
        <f t="shared" si="50"/>
        <v>138</v>
      </c>
      <c r="P119" s="21">
        <f t="shared" si="50"/>
        <v>124</v>
      </c>
      <c r="Q119" s="21">
        <f t="shared" si="50"/>
        <v>124</v>
      </c>
      <c r="R119" s="21">
        <f t="shared" si="50"/>
        <v>129</v>
      </c>
      <c r="S119" s="21">
        <f t="shared" si="50"/>
        <v>164</v>
      </c>
      <c r="T119" s="21">
        <f t="shared" si="50"/>
        <v>147</v>
      </c>
      <c r="U119" s="21">
        <f t="shared" si="50"/>
        <v>156</v>
      </c>
      <c r="V119" s="21">
        <f t="shared" si="50"/>
        <v>151</v>
      </c>
      <c r="W119" s="21">
        <f t="shared" si="50"/>
        <v>246</v>
      </c>
      <c r="X119" s="21">
        <f t="shared" si="50"/>
        <v>279</v>
      </c>
      <c r="Y119" s="21">
        <f t="shared" si="50"/>
        <v>703</v>
      </c>
      <c r="Z119" s="21">
        <f t="shared" si="50"/>
        <v>396</v>
      </c>
      <c r="AA119" s="21">
        <f t="shared" si="50"/>
        <v>343</v>
      </c>
      <c r="AB119" s="21">
        <f t="shared" si="50"/>
        <v>455</v>
      </c>
      <c r="AC119" s="21">
        <f t="shared" si="50"/>
        <v>282</v>
      </c>
      <c r="AD119" s="21">
        <f t="shared" si="50"/>
        <v>60</v>
      </c>
      <c r="AE119" s="21">
        <f t="shared" si="50"/>
        <v>59</v>
      </c>
      <c r="AF119" s="167">
        <f t="shared" si="45"/>
        <v>5599</v>
      </c>
    </row>
    <row r="120">
      <c r="A120" s="76" t="s">
        <v>389</v>
      </c>
      <c r="B120" s="21">
        <f t="shared" ref="B120:AE120" si="51">B66-(B220+B231+B266+B324+B335)</f>
        <v>14</v>
      </c>
      <c r="C120" s="21">
        <f t="shared" si="51"/>
        <v>15</v>
      </c>
      <c r="D120" s="21">
        <f t="shared" si="51"/>
        <v>13</v>
      </c>
      <c r="E120" s="21">
        <f t="shared" si="51"/>
        <v>19</v>
      </c>
      <c r="F120" s="21">
        <f t="shared" si="51"/>
        <v>19</v>
      </c>
      <c r="G120" s="21">
        <f t="shared" si="51"/>
        <v>13</v>
      </c>
      <c r="H120" s="21">
        <f t="shared" si="51"/>
        <v>10</v>
      </c>
      <c r="I120" s="21">
        <f t="shared" si="51"/>
        <v>7</v>
      </c>
      <c r="J120" s="21">
        <f t="shared" si="51"/>
        <v>15</v>
      </c>
      <c r="K120" s="21">
        <f t="shared" si="51"/>
        <v>6</v>
      </c>
      <c r="L120" s="21">
        <f t="shared" si="51"/>
        <v>14</v>
      </c>
      <c r="M120" s="21">
        <f t="shared" si="51"/>
        <v>14</v>
      </c>
      <c r="N120" s="21">
        <f t="shared" si="51"/>
        <v>15</v>
      </c>
      <c r="O120" s="21">
        <f t="shared" si="51"/>
        <v>16</v>
      </c>
      <c r="P120" s="21">
        <f t="shared" si="51"/>
        <v>14</v>
      </c>
      <c r="Q120" s="21">
        <f t="shared" si="51"/>
        <v>7</v>
      </c>
      <c r="R120" s="21">
        <f t="shared" si="51"/>
        <v>14</v>
      </c>
      <c r="S120" s="21">
        <f t="shared" si="51"/>
        <v>12</v>
      </c>
      <c r="T120" s="21">
        <f t="shared" si="51"/>
        <v>18</v>
      </c>
      <c r="U120" s="21">
        <f t="shared" si="51"/>
        <v>23</v>
      </c>
      <c r="V120" s="21">
        <f t="shared" si="51"/>
        <v>28</v>
      </c>
      <c r="W120" s="21">
        <f t="shared" si="51"/>
        <v>58</v>
      </c>
      <c r="X120" s="21">
        <f t="shared" si="51"/>
        <v>65</v>
      </c>
      <c r="Y120" s="21">
        <f t="shared" si="51"/>
        <v>114</v>
      </c>
      <c r="Z120" s="21">
        <f t="shared" si="51"/>
        <v>74</v>
      </c>
      <c r="AA120" s="21">
        <f t="shared" si="51"/>
        <v>56</v>
      </c>
      <c r="AB120" s="21">
        <f t="shared" si="51"/>
        <v>73</v>
      </c>
      <c r="AC120" s="21">
        <f t="shared" si="51"/>
        <v>64</v>
      </c>
      <c r="AD120" s="21">
        <f t="shared" si="51"/>
        <v>36</v>
      </c>
      <c r="AE120" s="21">
        <f t="shared" si="51"/>
        <v>33</v>
      </c>
      <c r="AF120" s="167">
        <f t="shared" si="45"/>
        <v>879</v>
      </c>
    </row>
    <row r="121">
      <c r="A121" s="93" t="s">
        <v>162</v>
      </c>
      <c r="B121" s="218">
        <f t="shared" ref="B121:AE121" si="52">SUM(B113:B120)</f>
        <v>587</v>
      </c>
      <c r="C121" s="218">
        <f t="shared" si="52"/>
        <v>737</v>
      </c>
      <c r="D121" s="218">
        <f t="shared" si="52"/>
        <v>669</v>
      </c>
      <c r="E121" s="218">
        <f t="shared" si="52"/>
        <v>750</v>
      </c>
      <c r="F121" s="218">
        <f t="shared" si="52"/>
        <v>769</v>
      </c>
      <c r="G121" s="218">
        <f t="shared" si="52"/>
        <v>701</v>
      </c>
      <c r="H121" s="218">
        <f t="shared" si="52"/>
        <v>701</v>
      </c>
      <c r="I121" s="218">
        <f t="shared" si="52"/>
        <v>723</v>
      </c>
      <c r="J121" s="218">
        <f t="shared" si="52"/>
        <v>747</v>
      </c>
      <c r="K121" s="218">
        <f t="shared" si="52"/>
        <v>740</v>
      </c>
      <c r="L121" s="218">
        <f t="shared" si="52"/>
        <v>1020</v>
      </c>
      <c r="M121" s="218">
        <f t="shared" si="52"/>
        <v>1060</v>
      </c>
      <c r="N121" s="218">
        <f t="shared" si="52"/>
        <v>1147</v>
      </c>
      <c r="O121" s="218">
        <f t="shared" si="52"/>
        <v>846</v>
      </c>
      <c r="P121" s="218">
        <f t="shared" si="52"/>
        <v>751</v>
      </c>
      <c r="Q121" s="218">
        <f t="shared" si="52"/>
        <v>722</v>
      </c>
      <c r="R121" s="218">
        <f t="shared" si="52"/>
        <v>745</v>
      </c>
      <c r="S121" s="218">
        <f t="shared" si="52"/>
        <v>939</v>
      </c>
      <c r="T121" s="218">
        <f t="shared" si="52"/>
        <v>726</v>
      </c>
      <c r="U121" s="218">
        <f t="shared" si="52"/>
        <v>973</v>
      </c>
      <c r="V121" s="218">
        <f t="shared" si="52"/>
        <v>1006</v>
      </c>
      <c r="W121" s="218">
        <f t="shared" si="52"/>
        <v>1579</v>
      </c>
      <c r="X121" s="218">
        <f t="shared" si="52"/>
        <v>1969</v>
      </c>
      <c r="Y121" s="218">
        <f t="shared" si="52"/>
        <v>4874</v>
      </c>
      <c r="Z121" s="218">
        <f t="shared" si="52"/>
        <v>2820</v>
      </c>
      <c r="AA121" s="218">
        <f t="shared" si="52"/>
        <v>2315</v>
      </c>
      <c r="AB121" s="218">
        <f t="shared" si="52"/>
        <v>3179</v>
      </c>
      <c r="AC121" s="218">
        <f t="shared" si="52"/>
        <v>1884</v>
      </c>
      <c r="AD121" s="218">
        <f t="shared" si="52"/>
        <v>221</v>
      </c>
      <c r="AE121" s="218">
        <f t="shared" si="52"/>
        <v>217</v>
      </c>
      <c r="AF121" s="167">
        <f t="shared" si="45"/>
        <v>36117</v>
      </c>
    </row>
    <row r="122">
      <c r="A122" s="4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215"/>
    </row>
    <row r="123">
      <c r="A123" s="138" t="s">
        <v>391</v>
      </c>
      <c r="B123" s="139"/>
      <c r="C123" s="139"/>
      <c r="D123" s="139"/>
      <c r="E123" s="139"/>
      <c r="F123" s="139"/>
      <c r="G123" s="139"/>
      <c r="H123" s="139"/>
      <c r="I123" s="9"/>
      <c r="J123" s="9"/>
      <c r="K123" s="9"/>
      <c r="L123" s="9"/>
      <c r="M123" s="9"/>
      <c r="N123" s="9"/>
      <c r="O123" s="9"/>
      <c r="P123" s="9"/>
      <c r="Q123" s="9"/>
      <c r="R123" s="9"/>
      <c r="S123" s="9"/>
      <c r="T123" s="9"/>
      <c r="U123" s="9"/>
      <c r="V123" s="9"/>
      <c r="W123" s="9"/>
      <c r="X123" s="9"/>
      <c r="Y123" s="9"/>
      <c r="Z123" s="9"/>
      <c r="AA123" s="9"/>
      <c r="AB123" s="9"/>
      <c r="AC123" s="9"/>
      <c r="AD123" s="9"/>
      <c r="AE123" s="9"/>
      <c r="AF123" s="215"/>
    </row>
    <row r="124">
      <c r="A124" s="184" t="s">
        <v>392</v>
      </c>
      <c r="B124" s="275"/>
      <c r="C124" s="275"/>
      <c r="D124" s="275"/>
      <c r="E124" s="275"/>
      <c r="F124" s="275"/>
      <c r="G124" s="275"/>
      <c r="H124" s="275"/>
      <c r="I124" s="275"/>
      <c r="J124" s="275"/>
      <c r="K124" s="275"/>
      <c r="L124" s="275"/>
      <c r="M124" s="275"/>
      <c r="N124" s="275"/>
      <c r="O124" s="275"/>
      <c r="P124" s="275"/>
      <c r="Q124" s="275"/>
      <c r="R124" s="275"/>
      <c r="S124" s="275"/>
      <c r="T124" s="275"/>
      <c r="U124" s="275"/>
      <c r="V124" s="275"/>
      <c r="W124" s="275"/>
      <c r="X124" s="275"/>
      <c r="Y124" s="275"/>
      <c r="Z124" s="275"/>
      <c r="AA124" s="275"/>
      <c r="AB124" s="275"/>
      <c r="AC124" s="275"/>
      <c r="AD124" s="275"/>
      <c r="AE124" s="275"/>
      <c r="AF124" s="215"/>
    </row>
    <row r="125" outlineLevel="1">
      <c r="A125" s="184" t="s">
        <v>393</v>
      </c>
      <c r="B125" s="112">
        <v>141.0</v>
      </c>
      <c r="C125" s="112">
        <v>140.0</v>
      </c>
      <c r="D125" s="112">
        <v>146.0</v>
      </c>
      <c r="E125" s="112">
        <v>182.0</v>
      </c>
      <c r="F125" s="112">
        <v>211.0</v>
      </c>
      <c r="G125" s="112">
        <v>176.0</v>
      </c>
      <c r="H125" s="112">
        <v>155.0</v>
      </c>
      <c r="I125" s="112">
        <v>145.0</v>
      </c>
      <c r="J125" s="112">
        <v>167.0</v>
      </c>
      <c r="K125" s="112">
        <v>169.0</v>
      </c>
      <c r="L125" s="112">
        <v>152.0</v>
      </c>
      <c r="M125" s="112">
        <v>167.0</v>
      </c>
      <c r="N125" s="112">
        <v>145.0</v>
      </c>
      <c r="O125" s="112">
        <v>145.0</v>
      </c>
      <c r="P125" s="112">
        <v>146.0</v>
      </c>
      <c r="Q125" s="112">
        <v>137.0</v>
      </c>
      <c r="R125" s="112">
        <v>173.0</v>
      </c>
      <c r="S125" s="112">
        <v>196.0</v>
      </c>
      <c r="T125" s="112">
        <v>192.0</v>
      </c>
      <c r="U125" s="112">
        <v>197.0</v>
      </c>
      <c r="V125" s="112">
        <v>239.0</v>
      </c>
      <c r="W125" s="112">
        <v>320.0</v>
      </c>
      <c r="X125" s="112">
        <v>369.0</v>
      </c>
      <c r="Y125" s="112">
        <v>1193.0</v>
      </c>
      <c r="Z125" s="112">
        <v>805.0</v>
      </c>
      <c r="AA125" s="112">
        <v>544.0</v>
      </c>
      <c r="AB125" s="112">
        <v>761.0</v>
      </c>
      <c r="AC125" s="112">
        <v>589.0</v>
      </c>
      <c r="AD125" s="112">
        <v>36.0</v>
      </c>
      <c r="AE125" s="112">
        <v>46.0</v>
      </c>
      <c r="AF125" s="167">
        <f t="shared" ref="AF125:AF128" si="53">sum(B125:AE125)</f>
        <v>8184</v>
      </c>
    </row>
    <row r="126" outlineLevel="1">
      <c r="A126" s="184" t="s">
        <v>394</v>
      </c>
      <c r="B126" s="112">
        <v>5.0</v>
      </c>
      <c r="C126" s="112">
        <v>11.0</v>
      </c>
      <c r="D126" s="112">
        <v>3.0</v>
      </c>
      <c r="E126" s="112">
        <v>6.0</v>
      </c>
      <c r="F126" s="112">
        <v>7.0</v>
      </c>
      <c r="G126" s="112">
        <v>11.0</v>
      </c>
      <c r="H126" s="112">
        <v>9.0</v>
      </c>
      <c r="I126" s="112">
        <v>6.0</v>
      </c>
      <c r="J126" s="112">
        <v>8.0</v>
      </c>
      <c r="K126" s="112">
        <v>11.0</v>
      </c>
      <c r="L126" s="112">
        <v>9.0</v>
      </c>
      <c r="M126" s="112">
        <v>16.0</v>
      </c>
      <c r="N126" s="112">
        <v>9.0</v>
      </c>
      <c r="O126" s="112">
        <v>10.0</v>
      </c>
      <c r="P126" s="112">
        <v>7.0</v>
      </c>
      <c r="Q126" s="112">
        <v>9.0</v>
      </c>
      <c r="R126" s="112">
        <v>16.0</v>
      </c>
      <c r="S126" s="112">
        <v>20.0</v>
      </c>
      <c r="T126" s="112">
        <v>19.0</v>
      </c>
      <c r="U126" s="112">
        <v>24.0</v>
      </c>
      <c r="V126" s="112">
        <v>24.0</v>
      </c>
      <c r="W126" s="112">
        <v>53.0</v>
      </c>
      <c r="X126" s="112">
        <v>46.0</v>
      </c>
      <c r="Y126" s="112">
        <v>162.0</v>
      </c>
      <c r="Z126" s="112">
        <v>107.0</v>
      </c>
      <c r="AA126" s="112">
        <v>66.0</v>
      </c>
      <c r="AB126" s="112">
        <v>91.0</v>
      </c>
      <c r="AC126" s="112">
        <v>105.0</v>
      </c>
      <c r="AD126" s="112">
        <v>46.0</v>
      </c>
      <c r="AE126" s="112">
        <v>41.0</v>
      </c>
      <c r="AF126" s="167">
        <f t="shared" si="53"/>
        <v>957</v>
      </c>
    </row>
    <row r="127" outlineLevel="1">
      <c r="A127" s="184" t="s">
        <v>396</v>
      </c>
      <c r="B127" s="112">
        <v>245.0</v>
      </c>
      <c r="C127" s="112">
        <v>263.0</v>
      </c>
      <c r="D127" s="112">
        <v>263.0</v>
      </c>
      <c r="E127" s="112">
        <v>276.0</v>
      </c>
      <c r="F127" s="112">
        <v>316.0</v>
      </c>
      <c r="G127" s="112">
        <v>321.0</v>
      </c>
      <c r="H127" s="112">
        <v>299.0</v>
      </c>
      <c r="I127" s="112">
        <v>310.0</v>
      </c>
      <c r="J127" s="112">
        <v>323.0</v>
      </c>
      <c r="K127" s="112">
        <v>315.0</v>
      </c>
      <c r="L127" s="112">
        <v>484.0</v>
      </c>
      <c r="M127" s="112">
        <v>428.0</v>
      </c>
      <c r="N127" s="112">
        <v>331.0</v>
      </c>
      <c r="O127" s="112">
        <v>393.0</v>
      </c>
      <c r="P127" s="112">
        <v>340.0</v>
      </c>
      <c r="Q127" s="112">
        <v>327.0</v>
      </c>
      <c r="R127" s="112">
        <v>331.0</v>
      </c>
      <c r="S127" s="112">
        <v>425.0</v>
      </c>
      <c r="T127" s="112">
        <v>456.0</v>
      </c>
      <c r="U127" s="112">
        <v>458.0</v>
      </c>
      <c r="V127" s="112">
        <v>434.0</v>
      </c>
      <c r="W127" s="112">
        <v>612.0</v>
      </c>
      <c r="X127" s="112">
        <v>785.0</v>
      </c>
      <c r="Y127" s="112">
        <v>2165.0</v>
      </c>
      <c r="Z127" s="112">
        <v>1292.0</v>
      </c>
      <c r="AA127" s="112">
        <v>965.0</v>
      </c>
      <c r="AB127" s="112">
        <v>1702.0</v>
      </c>
      <c r="AC127" s="112">
        <v>1044.0</v>
      </c>
      <c r="AD127" s="112">
        <v>107.0</v>
      </c>
      <c r="AE127" s="112">
        <v>95.0</v>
      </c>
      <c r="AF127" s="167">
        <f t="shared" si="53"/>
        <v>16105</v>
      </c>
    </row>
    <row r="128" outlineLevel="1">
      <c r="A128" s="184" t="s">
        <v>397</v>
      </c>
      <c r="B128" s="112">
        <v>22.0</v>
      </c>
      <c r="C128" s="112">
        <v>24.0</v>
      </c>
      <c r="D128" s="112">
        <v>31.0</v>
      </c>
      <c r="E128" s="112">
        <v>27.0</v>
      </c>
      <c r="F128" s="112">
        <v>30.0</v>
      </c>
      <c r="G128" s="112">
        <v>25.0</v>
      </c>
      <c r="H128" s="112">
        <v>23.0</v>
      </c>
      <c r="I128" s="112">
        <v>31.0</v>
      </c>
      <c r="J128" s="112">
        <v>27.0</v>
      </c>
      <c r="K128" s="112">
        <v>23.0</v>
      </c>
      <c r="L128" s="112">
        <v>28.0</v>
      </c>
      <c r="M128" s="112">
        <v>33.0</v>
      </c>
      <c r="N128" s="112">
        <v>24.0</v>
      </c>
      <c r="O128" s="112">
        <v>32.0</v>
      </c>
      <c r="P128" s="112">
        <v>32.0</v>
      </c>
      <c r="Q128" s="112">
        <v>15.0</v>
      </c>
      <c r="R128" s="112">
        <v>20.0</v>
      </c>
      <c r="S128" s="112">
        <v>27.0</v>
      </c>
      <c r="T128" s="112">
        <v>45.0</v>
      </c>
      <c r="U128" s="112">
        <v>52.0</v>
      </c>
      <c r="V128" s="112">
        <v>67.0</v>
      </c>
      <c r="W128" s="112">
        <v>87.0</v>
      </c>
      <c r="X128" s="112">
        <v>124.0</v>
      </c>
      <c r="Y128" s="112">
        <v>284.0</v>
      </c>
      <c r="Z128" s="112">
        <v>208.0</v>
      </c>
      <c r="AA128" s="112">
        <v>144.0</v>
      </c>
      <c r="AB128" s="112">
        <v>203.0</v>
      </c>
      <c r="AC128" s="112">
        <v>196.0</v>
      </c>
      <c r="AD128" s="112">
        <v>113.0</v>
      </c>
      <c r="AE128" s="112">
        <v>83.0</v>
      </c>
      <c r="AF128" s="167">
        <f t="shared" si="53"/>
        <v>2080</v>
      </c>
    </row>
    <row r="129">
      <c r="A129" s="184" t="s">
        <v>398</v>
      </c>
      <c r="B129" s="275"/>
      <c r="C129" s="275"/>
      <c r="D129" s="275"/>
      <c r="E129" s="275"/>
      <c r="F129" s="275"/>
      <c r="G129" s="275"/>
      <c r="H129" s="275"/>
      <c r="I129" s="275"/>
      <c r="J129" s="275"/>
      <c r="K129" s="275"/>
      <c r="L129" s="275"/>
      <c r="M129" s="275"/>
      <c r="N129" s="275"/>
      <c r="O129" s="275"/>
      <c r="P129" s="275"/>
      <c r="Q129" s="275"/>
      <c r="R129" s="275"/>
      <c r="S129" s="275"/>
      <c r="T129" s="275"/>
      <c r="U129" s="275"/>
      <c r="V129" s="275"/>
      <c r="W129" s="275"/>
      <c r="X129" s="275"/>
      <c r="Y129" s="275"/>
      <c r="Z129" s="275"/>
      <c r="AA129" s="275"/>
      <c r="AB129" s="275"/>
      <c r="AC129" s="275"/>
      <c r="AD129" s="275"/>
      <c r="AE129" s="275"/>
      <c r="AF129" s="215"/>
    </row>
    <row r="130" outlineLevel="1">
      <c r="A130" s="184" t="s">
        <v>399</v>
      </c>
      <c r="B130" s="112">
        <v>7.0</v>
      </c>
      <c r="C130" s="112">
        <v>11.0</v>
      </c>
      <c r="D130" s="112">
        <v>7.0</v>
      </c>
      <c r="E130" s="112">
        <v>2.0</v>
      </c>
      <c r="F130" s="112">
        <v>5.0</v>
      </c>
      <c r="G130" s="112">
        <v>7.0</v>
      </c>
      <c r="H130" s="112">
        <v>4.0</v>
      </c>
      <c r="I130" s="112">
        <v>2.0</v>
      </c>
      <c r="J130" s="112">
        <v>5.0</v>
      </c>
      <c r="K130" s="112">
        <v>9.0</v>
      </c>
      <c r="L130" s="112">
        <v>8.0</v>
      </c>
      <c r="M130" s="112">
        <v>8.0</v>
      </c>
      <c r="N130" s="112">
        <v>9.0</v>
      </c>
      <c r="O130" s="112">
        <v>7.0</v>
      </c>
      <c r="P130" s="112">
        <v>9.0</v>
      </c>
      <c r="Q130" s="112">
        <v>5.0</v>
      </c>
      <c r="R130" s="112">
        <v>6.0</v>
      </c>
      <c r="S130" s="112">
        <v>14.0</v>
      </c>
      <c r="T130" s="112">
        <v>14.0</v>
      </c>
      <c r="U130" s="112">
        <v>14.0</v>
      </c>
      <c r="V130" s="112">
        <v>17.0</v>
      </c>
      <c r="W130" s="112">
        <v>38.0</v>
      </c>
      <c r="X130" s="112">
        <v>31.0</v>
      </c>
      <c r="Y130" s="112">
        <v>42.0</v>
      </c>
      <c r="Z130" s="112">
        <v>28.0</v>
      </c>
      <c r="AA130" s="112">
        <v>28.0</v>
      </c>
      <c r="AB130" s="112">
        <v>31.0</v>
      </c>
      <c r="AC130" s="112">
        <v>6.0</v>
      </c>
      <c r="AD130" s="112">
        <v>1.0</v>
      </c>
      <c r="AE130" s="112">
        <v>3.0</v>
      </c>
      <c r="AF130" s="167">
        <f t="shared" ref="AF130:AF135" si="54">sum(B130:AE130)</f>
        <v>378</v>
      </c>
    </row>
    <row r="131" outlineLevel="1">
      <c r="A131" s="184" t="s">
        <v>400</v>
      </c>
      <c r="B131" s="112">
        <v>1.0</v>
      </c>
      <c r="C131" s="112">
        <v>0.0</v>
      </c>
      <c r="D131" s="112">
        <v>1.0</v>
      </c>
      <c r="E131" s="112">
        <v>2.0</v>
      </c>
      <c r="F131" s="112">
        <v>1.0</v>
      </c>
      <c r="G131" s="112">
        <v>0.0</v>
      </c>
      <c r="H131" s="112">
        <v>2.0</v>
      </c>
      <c r="I131" s="112">
        <v>0.0</v>
      </c>
      <c r="J131" s="112">
        <v>0.0</v>
      </c>
      <c r="K131" s="112">
        <v>0.0</v>
      </c>
      <c r="L131" s="112">
        <v>0.0</v>
      </c>
      <c r="M131" s="112">
        <v>1.0</v>
      </c>
      <c r="N131" s="112">
        <v>1.0</v>
      </c>
      <c r="O131" s="112">
        <v>0.0</v>
      </c>
      <c r="P131" s="112">
        <v>0.0</v>
      </c>
      <c r="Q131" s="112">
        <v>0.0</v>
      </c>
      <c r="R131" s="112">
        <v>1.0</v>
      </c>
      <c r="S131" s="112">
        <v>1.0</v>
      </c>
      <c r="T131" s="112">
        <v>1.0</v>
      </c>
      <c r="U131" s="112">
        <v>2.0</v>
      </c>
      <c r="V131" s="112">
        <v>4.0</v>
      </c>
      <c r="W131" s="112">
        <v>8.0</v>
      </c>
      <c r="X131" s="112">
        <v>11.0</v>
      </c>
      <c r="Y131" s="112">
        <v>14.0</v>
      </c>
      <c r="Z131" s="112">
        <v>4.0</v>
      </c>
      <c r="AA131" s="112">
        <v>7.0</v>
      </c>
      <c r="AB131" s="112">
        <v>4.0</v>
      </c>
      <c r="AC131" s="112">
        <v>3.0</v>
      </c>
      <c r="AD131" s="112">
        <v>0.0</v>
      </c>
      <c r="AE131" s="112">
        <v>2.0</v>
      </c>
      <c r="AF131" s="167">
        <f t="shared" si="54"/>
        <v>71</v>
      </c>
    </row>
    <row r="132" outlineLevel="1">
      <c r="A132" s="184" t="s">
        <v>402</v>
      </c>
      <c r="B132" s="112">
        <v>21.0</v>
      </c>
      <c r="C132" s="112">
        <v>13.0</v>
      </c>
      <c r="D132" s="112">
        <v>14.0</v>
      </c>
      <c r="E132" s="112">
        <v>15.0</v>
      </c>
      <c r="F132" s="112">
        <v>17.0</v>
      </c>
      <c r="G132" s="112">
        <v>14.0</v>
      </c>
      <c r="H132" s="112">
        <v>13.0</v>
      </c>
      <c r="I132" s="112">
        <v>8.0</v>
      </c>
      <c r="J132" s="112">
        <v>14.0</v>
      </c>
      <c r="K132" s="112">
        <v>9.0</v>
      </c>
      <c r="L132" s="112">
        <v>5.0</v>
      </c>
      <c r="M132" s="112">
        <v>16.0</v>
      </c>
      <c r="N132" s="112">
        <v>18.0</v>
      </c>
      <c r="O132" s="112">
        <v>22.0</v>
      </c>
      <c r="P132" s="112">
        <v>30.0</v>
      </c>
      <c r="Q132" s="112">
        <v>29.0</v>
      </c>
      <c r="R132" s="112">
        <v>21.0</v>
      </c>
      <c r="S132" s="112">
        <v>37.0</v>
      </c>
      <c r="T132" s="112">
        <v>36.0</v>
      </c>
      <c r="U132" s="112">
        <v>50.0</v>
      </c>
      <c r="V132" s="112">
        <v>42.0</v>
      </c>
      <c r="W132" s="112">
        <v>84.0</v>
      </c>
      <c r="X132" s="112">
        <v>57.0</v>
      </c>
      <c r="Y132" s="112">
        <v>109.0</v>
      </c>
      <c r="Z132" s="112">
        <v>58.0</v>
      </c>
      <c r="AA132" s="112">
        <v>77.0</v>
      </c>
      <c r="AB132" s="112">
        <v>58.0</v>
      </c>
      <c r="AC132" s="112">
        <v>18.0</v>
      </c>
      <c r="AD132" s="112">
        <v>5.0</v>
      </c>
      <c r="AE132" s="112">
        <v>2.0</v>
      </c>
      <c r="AF132" s="167">
        <f t="shared" si="54"/>
        <v>912</v>
      </c>
    </row>
    <row r="133" outlineLevel="1">
      <c r="A133" s="184" t="s">
        <v>403</v>
      </c>
      <c r="B133" s="112">
        <v>3.0</v>
      </c>
      <c r="C133" s="112">
        <v>1.0</v>
      </c>
      <c r="D133" s="112">
        <v>2.0</v>
      </c>
      <c r="E133" s="112">
        <v>0.0</v>
      </c>
      <c r="F133" s="112">
        <v>3.0</v>
      </c>
      <c r="G133" s="112">
        <v>0.0</v>
      </c>
      <c r="H133" s="112">
        <v>0.0</v>
      </c>
      <c r="I133" s="112">
        <v>2.0</v>
      </c>
      <c r="J133" s="112">
        <v>2.0</v>
      </c>
      <c r="K133" s="112">
        <v>1.0</v>
      </c>
      <c r="L133" s="112">
        <v>1.0</v>
      </c>
      <c r="M133" s="112">
        <v>1.0</v>
      </c>
      <c r="N133" s="112">
        <v>2.0</v>
      </c>
      <c r="O133" s="112">
        <v>3.0</v>
      </c>
      <c r="P133" s="112">
        <v>2.0</v>
      </c>
      <c r="Q133" s="112">
        <v>0.0</v>
      </c>
      <c r="R133" s="112">
        <v>0.0</v>
      </c>
      <c r="S133" s="112">
        <v>1.0</v>
      </c>
      <c r="T133" s="112">
        <v>2.0</v>
      </c>
      <c r="U133" s="112">
        <v>2.0</v>
      </c>
      <c r="V133" s="112">
        <v>5.0</v>
      </c>
      <c r="W133" s="112">
        <v>11.0</v>
      </c>
      <c r="X133" s="112">
        <v>14.0</v>
      </c>
      <c r="Y133" s="112">
        <v>17.0</v>
      </c>
      <c r="Z133" s="112">
        <v>8.0</v>
      </c>
      <c r="AA133" s="112">
        <v>15.0</v>
      </c>
      <c r="AB133" s="112">
        <v>7.0</v>
      </c>
      <c r="AC133" s="112">
        <v>6.0</v>
      </c>
      <c r="AD133" s="112">
        <v>2.0</v>
      </c>
      <c r="AE133" s="112">
        <v>7.0</v>
      </c>
      <c r="AF133" s="167">
        <f t="shared" si="54"/>
        <v>120</v>
      </c>
    </row>
    <row r="134">
      <c r="A134" s="276" t="s">
        <v>258</v>
      </c>
      <c r="B134" s="160">
        <f t="shared" ref="B134:AE134" si="55">B125+B130+B126+B131</f>
        <v>154</v>
      </c>
      <c r="C134" s="160">
        <f t="shared" si="55"/>
        <v>162</v>
      </c>
      <c r="D134" s="160">
        <f t="shared" si="55"/>
        <v>157</v>
      </c>
      <c r="E134" s="160">
        <f t="shared" si="55"/>
        <v>192</v>
      </c>
      <c r="F134" s="160">
        <f t="shared" si="55"/>
        <v>224</v>
      </c>
      <c r="G134" s="160">
        <f t="shared" si="55"/>
        <v>194</v>
      </c>
      <c r="H134" s="160">
        <f t="shared" si="55"/>
        <v>170</v>
      </c>
      <c r="I134" s="160">
        <f t="shared" si="55"/>
        <v>153</v>
      </c>
      <c r="J134" s="160">
        <f t="shared" si="55"/>
        <v>180</v>
      </c>
      <c r="K134" s="160">
        <f t="shared" si="55"/>
        <v>189</v>
      </c>
      <c r="L134" s="160">
        <f t="shared" si="55"/>
        <v>169</v>
      </c>
      <c r="M134" s="160">
        <f t="shared" si="55"/>
        <v>192</v>
      </c>
      <c r="N134" s="160">
        <f t="shared" si="55"/>
        <v>164</v>
      </c>
      <c r="O134" s="160">
        <f t="shared" si="55"/>
        <v>162</v>
      </c>
      <c r="P134" s="160">
        <f t="shared" si="55"/>
        <v>162</v>
      </c>
      <c r="Q134" s="160">
        <f t="shared" si="55"/>
        <v>151</v>
      </c>
      <c r="R134" s="160">
        <f t="shared" si="55"/>
        <v>196</v>
      </c>
      <c r="S134" s="160">
        <f t="shared" si="55"/>
        <v>231</v>
      </c>
      <c r="T134" s="160">
        <f t="shared" si="55"/>
        <v>226</v>
      </c>
      <c r="U134" s="160">
        <f t="shared" si="55"/>
        <v>237</v>
      </c>
      <c r="V134" s="160">
        <f t="shared" si="55"/>
        <v>284</v>
      </c>
      <c r="W134" s="160">
        <f t="shared" si="55"/>
        <v>419</v>
      </c>
      <c r="X134" s="160">
        <f t="shared" si="55"/>
        <v>457</v>
      </c>
      <c r="Y134" s="160">
        <f t="shared" si="55"/>
        <v>1411</v>
      </c>
      <c r="Z134" s="160">
        <f t="shared" si="55"/>
        <v>944</v>
      </c>
      <c r="AA134" s="160">
        <f t="shared" si="55"/>
        <v>645</v>
      </c>
      <c r="AB134" s="160">
        <f t="shared" si="55"/>
        <v>887</v>
      </c>
      <c r="AC134" s="160">
        <f t="shared" si="55"/>
        <v>703</v>
      </c>
      <c r="AD134" s="160">
        <f t="shared" si="55"/>
        <v>83</v>
      </c>
      <c r="AE134" s="160">
        <f t="shared" si="55"/>
        <v>92</v>
      </c>
      <c r="AF134" s="167">
        <f t="shared" si="54"/>
        <v>9590</v>
      </c>
    </row>
    <row r="135">
      <c r="A135" s="276" t="s">
        <v>260</v>
      </c>
      <c r="B135" s="160">
        <f t="shared" ref="B135:AE135" si="56">B127+B132+B128+B133</f>
        <v>291</v>
      </c>
      <c r="C135" s="160">
        <f t="shared" si="56"/>
        <v>301</v>
      </c>
      <c r="D135" s="160">
        <f t="shared" si="56"/>
        <v>310</v>
      </c>
      <c r="E135" s="160">
        <f t="shared" si="56"/>
        <v>318</v>
      </c>
      <c r="F135" s="160">
        <f t="shared" si="56"/>
        <v>366</v>
      </c>
      <c r="G135" s="160">
        <f t="shared" si="56"/>
        <v>360</v>
      </c>
      <c r="H135" s="160">
        <f t="shared" si="56"/>
        <v>335</v>
      </c>
      <c r="I135" s="160">
        <f t="shared" si="56"/>
        <v>351</v>
      </c>
      <c r="J135" s="160">
        <f t="shared" si="56"/>
        <v>366</v>
      </c>
      <c r="K135" s="160">
        <f t="shared" si="56"/>
        <v>348</v>
      </c>
      <c r="L135" s="160">
        <f t="shared" si="56"/>
        <v>518</v>
      </c>
      <c r="M135" s="160">
        <f t="shared" si="56"/>
        <v>478</v>
      </c>
      <c r="N135" s="160">
        <f t="shared" si="56"/>
        <v>375</v>
      </c>
      <c r="O135" s="160">
        <f t="shared" si="56"/>
        <v>450</v>
      </c>
      <c r="P135" s="160">
        <f t="shared" si="56"/>
        <v>404</v>
      </c>
      <c r="Q135" s="160">
        <f t="shared" si="56"/>
        <v>371</v>
      </c>
      <c r="R135" s="160">
        <f t="shared" si="56"/>
        <v>372</v>
      </c>
      <c r="S135" s="160">
        <f t="shared" si="56"/>
        <v>490</v>
      </c>
      <c r="T135" s="160">
        <f t="shared" si="56"/>
        <v>539</v>
      </c>
      <c r="U135" s="160">
        <f t="shared" si="56"/>
        <v>562</v>
      </c>
      <c r="V135" s="160">
        <f t="shared" si="56"/>
        <v>548</v>
      </c>
      <c r="W135" s="160">
        <f t="shared" si="56"/>
        <v>794</v>
      </c>
      <c r="X135" s="160">
        <f t="shared" si="56"/>
        <v>980</v>
      </c>
      <c r="Y135" s="160">
        <f t="shared" si="56"/>
        <v>2575</v>
      </c>
      <c r="Z135" s="160">
        <f t="shared" si="56"/>
        <v>1566</v>
      </c>
      <c r="AA135" s="160">
        <f t="shared" si="56"/>
        <v>1201</v>
      </c>
      <c r="AB135" s="160">
        <f t="shared" si="56"/>
        <v>1970</v>
      </c>
      <c r="AC135" s="160">
        <f t="shared" si="56"/>
        <v>1264</v>
      </c>
      <c r="AD135" s="160">
        <f t="shared" si="56"/>
        <v>227</v>
      </c>
      <c r="AE135" s="160">
        <f t="shared" si="56"/>
        <v>187</v>
      </c>
      <c r="AF135" s="167">
        <f t="shared" si="54"/>
        <v>19217</v>
      </c>
    </row>
    <row r="136">
      <c r="A136" s="49"/>
      <c r="B136" s="139"/>
      <c r="C136" s="139"/>
      <c r="D136" s="139"/>
      <c r="E136" s="139"/>
      <c r="F136" s="139"/>
      <c r="G136" s="139"/>
      <c r="H136" s="139"/>
      <c r="I136" s="9"/>
      <c r="J136" s="9"/>
      <c r="K136" s="9"/>
      <c r="L136" s="9"/>
      <c r="M136" s="9"/>
      <c r="N136" s="9"/>
      <c r="O136" s="9"/>
      <c r="P136" s="9"/>
      <c r="Q136" s="9"/>
      <c r="R136" s="9"/>
      <c r="S136" s="9"/>
      <c r="T136" s="9"/>
      <c r="U136" s="9"/>
      <c r="V136" s="9"/>
      <c r="W136" s="9"/>
      <c r="X136" s="9"/>
      <c r="Y136" s="9"/>
      <c r="Z136" s="9"/>
      <c r="AA136" s="9"/>
      <c r="AB136" s="9"/>
      <c r="AC136" s="9"/>
      <c r="AD136" s="9"/>
      <c r="AE136" s="9"/>
      <c r="AF136" s="215"/>
    </row>
    <row r="137">
      <c r="A137" s="184" t="s">
        <v>406</v>
      </c>
      <c r="B137" s="275"/>
      <c r="C137" s="275"/>
      <c r="D137" s="275"/>
      <c r="E137" s="275"/>
      <c r="F137" s="275"/>
      <c r="G137" s="275"/>
      <c r="H137" s="275"/>
      <c r="I137" s="275"/>
      <c r="J137" s="275"/>
      <c r="K137" s="275"/>
      <c r="L137" s="275"/>
      <c r="M137" s="275"/>
      <c r="N137" s="275"/>
      <c r="O137" s="275"/>
      <c r="P137" s="275"/>
      <c r="Q137" s="275"/>
      <c r="R137" s="275"/>
      <c r="S137" s="275"/>
      <c r="T137" s="275"/>
      <c r="U137" s="275"/>
      <c r="V137" s="275"/>
      <c r="W137" s="275"/>
      <c r="X137" s="275"/>
      <c r="Y137" s="275"/>
      <c r="Z137" s="275"/>
      <c r="AA137" s="275"/>
      <c r="AB137" s="275"/>
      <c r="AC137" s="275"/>
      <c r="AD137" s="275"/>
      <c r="AE137" s="275"/>
      <c r="AF137" s="215"/>
    </row>
    <row r="138" outlineLevel="1">
      <c r="A138" s="184" t="s">
        <v>264</v>
      </c>
      <c r="B138" s="112">
        <v>58.0</v>
      </c>
      <c r="C138" s="112">
        <v>93.0</v>
      </c>
      <c r="D138" s="112">
        <v>83.0</v>
      </c>
      <c r="E138" s="112">
        <v>111.0</v>
      </c>
      <c r="F138" s="112">
        <v>118.0</v>
      </c>
      <c r="G138" s="112">
        <v>126.0</v>
      </c>
      <c r="H138" s="112">
        <v>118.0</v>
      </c>
      <c r="I138" s="112">
        <v>113.0</v>
      </c>
      <c r="J138" s="112">
        <v>135.0</v>
      </c>
      <c r="K138" s="112">
        <v>139.0</v>
      </c>
      <c r="L138" s="112">
        <v>204.0</v>
      </c>
      <c r="M138" s="112">
        <v>199.0</v>
      </c>
      <c r="N138" s="112">
        <v>125.0</v>
      </c>
      <c r="O138" s="112">
        <v>146.0</v>
      </c>
      <c r="P138" s="112">
        <v>128.0</v>
      </c>
      <c r="Q138" s="112">
        <v>121.0</v>
      </c>
      <c r="R138" s="112">
        <v>126.0</v>
      </c>
      <c r="S138" s="112">
        <v>138.0</v>
      </c>
      <c r="T138" s="112">
        <v>138.0</v>
      </c>
      <c r="U138" s="112">
        <v>173.0</v>
      </c>
      <c r="V138" s="112">
        <v>168.0</v>
      </c>
      <c r="W138" s="112">
        <v>253.0</v>
      </c>
      <c r="X138" s="112">
        <v>316.0</v>
      </c>
      <c r="Y138" s="112">
        <v>737.0</v>
      </c>
      <c r="Z138" s="112">
        <v>453.0</v>
      </c>
      <c r="AA138" s="112">
        <v>358.0</v>
      </c>
      <c r="AB138" s="112">
        <v>546.0</v>
      </c>
      <c r="AC138" s="112">
        <v>354.0</v>
      </c>
      <c r="AD138" s="112">
        <v>85.0</v>
      </c>
      <c r="AE138" s="112">
        <v>75.0</v>
      </c>
      <c r="AF138" s="167">
        <f t="shared" ref="AF138:AF146" si="57">sum(B138:AE138)</f>
        <v>5937</v>
      </c>
    </row>
    <row r="139" outlineLevel="1">
      <c r="A139" s="184" t="s">
        <v>267</v>
      </c>
      <c r="B139" s="112">
        <v>323.0</v>
      </c>
      <c r="C139" s="112">
        <v>349.0</v>
      </c>
      <c r="D139" s="112">
        <v>374.0</v>
      </c>
      <c r="E139" s="112">
        <v>373.0</v>
      </c>
      <c r="F139" s="112">
        <v>398.0</v>
      </c>
      <c r="G139" s="112">
        <v>357.0</v>
      </c>
      <c r="H139" s="112">
        <v>369.0</v>
      </c>
      <c r="I139" s="112">
        <v>360.0</v>
      </c>
      <c r="J139" s="112">
        <v>393.0</v>
      </c>
      <c r="K139" s="112">
        <v>387.0</v>
      </c>
      <c r="L139" s="112">
        <v>512.0</v>
      </c>
      <c r="M139" s="112">
        <v>551.0</v>
      </c>
      <c r="N139" s="112">
        <v>790.0</v>
      </c>
      <c r="O139" s="112">
        <v>428.0</v>
      </c>
      <c r="P139" s="112">
        <v>361.0</v>
      </c>
      <c r="Q139" s="112">
        <v>347.0</v>
      </c>
      <c r="R139" s="112">
        <v>374.0</v>
      </c>
      <c r="S139" s="112">
        <v>475.0</v>
      </c>
      <c r="T139" s="112">
        <v>292.0</v>
      </c>
      <c r="U139" s="112">
        <v>444.0</v>
      </c>
      <c r="V139" s="112">
        <v>518.0</v>
      </c>
      <c r="W139" s="112">
        <v>776.0</v>
      </c>
      <c r="X139" s="112">
        <v>1001.0</v>
      </c>
      <c r="Y139" s="112">
        <v>2620.0</v>
      </c>
      <c r="Z139" s="112">
        <v>1575.0</v>
      </c>
      <c r="AA139" s="112">
        <v>1193.0</v>
      </c>
      <c r="AB139" s="112">
        <v>1727.0</v>
      </c>
      <c r="AC139" s="112">
        <v>1020.0</v>
      </c>
      <c r="AD139" s="112">
        <v>0.0</v>
      </c>
      <c r="AE139" s="112">
        <v>0.0</v>
      </c>
      <c r="AF139" s="167">
        <f t="shared" si="57"/>
        <v>18687</v>
      </c>
    </row>
    <row r="140" outlineLevel="1">
      <c r="A140" s="184" t="s">
        <v>408</v>
      </c>
      <c r="B140" s="112">
        <v>32.0</v>
      </c>
      <c r="C140" s="112">
        <v>84.0</v>
      </c>
      <c r="D140" s="112">
        <v>66.0</v>
      </c>
      <c r="E140" s="112">
        <v>69.0</v>
      </c>
      <c r="F140" s="112">
        <v>40.0</v>
      </c>
      <c r="G140" s="112">
        <v>51.0</v>
      </c>
      <c r="H140" s="112">
        <v>56.0</v>
      </c>
      <c r="I140" s="112">
        <v>87.0</v>
      </c>
      <c r="J140" s="112">
        <v>55.0</v>
      </c>
      <c r="K140" s="112">
        <v>47.0</v>
      </c>
      <c r="L140" s="112">
        <v>91.0</v>
      </c>
      <c r="M140" s="112">
        <v>77.0</v>
      </c>
      <c r="N140" s="112">
        <v>47.0</v>
      </c>
      <c r="O140" s="112">
        <v>61.0</v>
      </c>
      <c r="P140" s="112">
        <v>53.0</v>
      </c>
      <c r="Q140" s="112">
        <v>55.0</v>
      </c>
      <c r="R140" s="112">
        <v>53.0</v>
      </c>
      <c r="S140" s="112">
        <v>53.0</v>
      </c>
      <c r="T140" s="112">
        <v>75.0</v>
      </c>
      <c r="U140" s="112">
        <v>78.0</v>
      </c>
      <c r="V140" s="112">
        <v>73.0</v>
      </c>
      <c r="W140" s="112">
        <v>96.0</v>
      </c>
      <c r="X140" s="112">
        <v>133.0</v>
      </c>
      <c r="Y140" s="112">
        <v>352.0</v>
      </c>
      <c r="Z140" s="112">
        <v>155.0</v>
      </c>
      <c r="AA140" s="112">
        <v>139.0</v>
      </c>
      <c r="AB140" s="112">
        <v>211.0</v>
      </c>
      <c r="AC140" s="112">
        <v>110.0</v>
      </c>
      <c r="AD140" s="112">
        <v>24.0</v>
      </c>
      <c r="AE140" s="112">
        <v>22.0</v>
      </c>
      <c r="AF140" s="167">
        <f t="shared" si="57"/>
        <v>2545</v>
      </c>
    </row>
    <row r="141" outlineLevel="1">
      <c r="A141" s="184" t="s">
        <v>409</v>
      </c>
      <c r="B141" s="112">
        <v>4.0</v>
      </c>
      <c r="C141" s="112">
        <v>17.0</v>
      </c>
      <c r="D141" s="112">
        <v>8.0</v>
      </c>
      <c r="E141" s="112">
        <v>8.0</v>
      </c>
      <c r="F141" s="112">
        <v>4.0</v>
      </c>
      <c r="G141" s="112">
        <v>5.0</v>
      </c>
      <c r="H141" s="112">
        <v>5.0</v>
      </c>
      <c r="I141" s="112">
        <v>14.0</v>
      </c>
      <c r="J141" s="112">
        <v>8.0</v>
      </c>
      <c r="K141" s="112">
        <v>3.0</v>
      </c>
      <c r="L141" s="112">
        <v>3.0</v>
      </c>
      <c r="M141" s="112">
        <v>6.0</v>
      </c>
      <c r="N141" s="112">
        <v>6.0</v>
      </c>
      <c r="O141" s="112">
        <v>9.0</v>
      </c>
      <c r="P141" s="112">
        <v>2.0</v>
      </c>
      <c r="Q141" s="112">
        <v>4.0</v>
      </c>
      <c r="R141" s="112">
        <v>2.0</v>
      </c>
      <c r="S141" s="112">
        <v>7.0</v>
      </c>
      <c r="T141" s="112">
        <v>7.0</v>
      </c>
      <c r="U141" s="112">
        <v>11.0</v>
      </c>
      <c r="V141" s="112">
        <v>10.0</v>
      </c>
      <c r="W141" s="112">
        <v>20.0</v>
      </c>
      <c r="X141" s="112">
        <v>26.0</v>
      </c>
      <c r="Y141" s="112">
        <v>44.0</v>
      </c>
      <c r="Z141" s="112">
        <v>28.0</v>
      </c>
      <c r="AA141" s="112">
        <v>24.0</v>
      </c>
      <c r="AB141" s="112">
        <v>28.0</v>
      </c>
      <c r="AC141" s="112">
        <v>25.0</v>
      </c>
      <c r="AD141" s="112">
        <v>19.0</v>
      </c>
      <c r="AE141" s="112">
        <v>21.0</v>
      </c>
      <c r="AF141" s="167">
        <f t="shared" si="57"/>
        <v>378</v>
      </c>
    </row>
    <row r="142" outlineLevel="1">
      <c r="A142" s="184" t="s">
        <v>410</v>
      </c>
      <c r="B142" s="112">
        <v>11.0</v>
      </c>
      <c r="C142" s="112">
        <v>12.0</v>
      </c>
      <c r="D142" s="112">
        <v>13.0</v>
      </c>
      <c r="E142" s="112">
        <v>12.0</v>
      </c>
      <c r="F142" s="112">
        <v>20.0</v>
      </c>
      <c r="G142" s="112">
        <v>10.0</v>
      </c>
      <c r="H142" s="112">
        <v>9.0</v>
      </c>
      <c r="I142" s="112">
        <v>12.0</v>
      </c>
      <c r="J142" s="112">
        <v>10.0</v>
      </c>
      <c r="K142" s="112">
        <v>11.0</v>
      </c>
      <c r="L142" s="112">
        <v>7.0</v>
      </c>
      <c r="M142" s="112">
        <v>6.0</v>
      </c>
      <c r="N142" s="112">
        <v>13.0</v>
      </c>
      <c r="O142" s="112">
        <v>10.0</v>
      </c>
      <c r="P142" s="112">
        <v>9.0</v>
      </c>
      <c r="Q142" s="112">
        <v>7.0</v>
      </c>
      <c r="R142" s="112">
        <v>8.0</v>
      </c>
      <c r="S142" s="112">
        <v>14.0</v>
      </c>
      <c r="T142" s="112">
        <v>8.0</v>
      </c>
      <c r="U142" s="112">
        <v>14.0</v>
      </c>
      <c r="V142" s="112">
        <v>17.0</v>
      </c>
      <c r="W142" s="112">
        <v>28.0</v>
      </c>
      <c r="X142" s="112">
        <v>30.0</v>
      </c>
      <c r="Y142" s="112">
        <v>86.0</v>
      </c>
      <c r="Z142" s="112">
        <v>39.0</v>
      </c>
      <c r="AA142" s="112">
        <v>42.0</v>
      </c>
      <c r="AB142" s="112">
        <v>40.0</v>
      </c>
      <c r="AC142" s="112">
        <v>27.0</v>
      </c>
      <c r="AD142" s="112">
        <v>8.0</v>
      </c>
      <c r="AE142" s="112">
        <v>6.0</v>
      </c>
      <c r="AF142" s="167">
        <f t="shared" si="57"/>
        <v>539</v>
      </c>
    </row>
    <row r="143" outlineLevel="1">
      <c r="A143" s="184" t="s">
        <v>411</v>
      </c>
      <c r="B143" s="112">
        <v>2.0</v>
      </c>
      <c r="C143" s="112">
        <v>2.0</v>
      </c>
      <c r="D143" s="112">
        <v>1.0</v>
      </c>
      <c r="E143" s="112">
        <v>3.0</v>
      </c>
      <c r="F143" s="112">
        <v>1.0</v>
      </c>
      <c r="G143" s="112">
        <v>3.0</v>
      </c>
      <c r="H143" s="112">
        <v>2.0</v>
      </c>
      <c r="I143" s="112">
        <v>0.0</v>
      </c>
      <c r="J143" s="112">
        <v>1.0</v>
      </c>
      <c r="K143" s="112">
        <v>2.0</v>
      </c>
      <c r="L143" s="112">
        <v>0.0</v>
      </c>
      <c r="M143" s="112">
        <v>0.0</v>
      </c>
      <c r="N143" s="112">
        <v>0.0</v>
      </c>
      <c r="O143" s="112">
        <v>1.0</v>
      </c>
      <c r="P143" s="112">
        <v>1.0</v>
      </c>
      <c r="Q143" s="112">
        <v>6.0</v>
      </c>
      <c r="R143" s="112">
        <v>1.0</v>
      </c>
      <c r="S143" s="112">
        <v>0.0</v>
      </c>
      <c r="T143" s="112">
        <v>3.0</v>
      </c>
      <c r="U143" s="112">
        <v>2.0</v>
      </c>
      <c r="V143" s="112">
        <v>0.0</v>
      </c>
      <c r="W143" s="112">
        <v>7.0</v>
      </c>
      <c r="X143" s="112">
        <v>5.0</v>
      </c>
      <c r="Y143" s="112">
        <v>16.0</v>
      </c>
      <c r="Z143" s="112">
        <v>7.0</v>
      </c>
      <c r="AA143" s="112">
        <v>10.0</v>
      </c>
      <c r="AB143" s="112">
        <v>11.0</v>
      </c>
      <c r="AC143" s="112">
        <v>6.0</v>
      </c>
      <c r="AD143" s="112">
        <v>4.0</v>
      </c>
      <c r="AE143" s="112">
        <v>4.0</v>
      </c>
      <c r="AF143" s="167">
        <f t="shared" si="57"/>
        <v>101</v>
      </c>
    </row>
    <row r="144" outlineLevel="1">
      <c r="A144" s="184" t="s">
        <v>412</v>
      </c>
      <c r="B144" s="112">
        <v>75.0</v>
      </c>
      <c r="C144" s="112">
        <v>118.0</v>
      </c>
      <c r="D144" s="112">
        <v>95.0</v>
      </c>
      <c r="E144" s="112">
        <v>120.0</v>
      </c>
      <c r="F144" s="112">
        <v>120.0</v>
      </c>
      <c r="G144" s="112">
        <v>120.0</v>
      </c>
      <c r="H144" s="112">
        <v>104.0</v>
      </c>
      <c r="I144" s="112">
        <v>118.0</v>
      </c>
      <c r="J144" s="112">
        <v>108.0</v>
      </c>
      <c r="K144" s="112">
        <v>115.0</v>
      </c>
      <c r="L144" s="112">
        <v>165.0</v>
      </c>
      <c r="M144" s="112">
        <v>163.0</v>
      </c>
      <c r="N144" s="112">
        <v>111.0</v>
      </c>
      <c r="O144" s="112">
        <v>128.0</v>
      </c>
      <c r="P144" s="112">
        <v>117.0</v>
      </c>
      <c r="Q144" s="112">
        <v>113.0</v>
      </c>
      <c r="R144" s="112">
        <v>116.0</v>
      </c>
      <c r="S144" s="112">
        <v>147.0</v>
      </c>
      <c r="T144" s="112">
        <v>136.0</v>
      </c>
      <c r="U144" s="112">
        <v>139.0</v>
      </c>
      <c r="V144" s="112">
        <v>138.0</v>
      </c>
      <c r="W144" s="112">
        <v>229.0</v>
      </c>
      <c r="X144" s="112">
        <v>260.0</v>
      </c>
      <c r="Y144" s="112">
        <v>672.0</v>
      </c>
      <c r="Z144" s="112">
        <v>378.0</v>
      </c>
      <c r="AA144" s="112">
        <v>319.0</v>
      </c>
      <c r="AB144" s="112">
        <v>437.0</v>
      </c>
      <c r="AC144" s="112">
        <v>281.0</v>
      </c>
      <c r="AD144" s="112">
        <v>55.0</v>
      </c>
      <c r="AE144" s="112">
        <v>56.0</v>
      </c>
      <c r="AF144" s="167">
        <f t="shared" si="57"/>
        <v>5253</v>
      </c>
    </row>
    <row r="145" outlineLevel="1">
      <c r="A145" s="184" t="s">
        <v>413</v>
      </c>
      <c r="B145" s="112">
        <v>12.0</v>
      </c>
      <c r="C145" s="112">
        <v>15.0</v>
      </c>
      <c r="D145" s="112">
        <v>12.0</v>
      </c>
      <c r="E145" s="112">
        <v>18.0</v>
      </c>
      <c r="F145" s="112">
        <v>19.0</v>
      </c>
      <c r="G145" s="112">
        <v>13.0</v>
      </c>
      <c r="H145" s="112">
        <v>10.0</v>
      </c>
      <c r="I145" s="112">
        <v>9.0</v>
      </c>
      <c r="J145" s="112">
        <v>14.0</v>
      </c>
      <c r="K145" s="112">
        <v>5.0</v>
      </c>
      <c r="L145" s="112">
        <v>13.0</v>
      </c>
      <c r="M145" s="112">
        <v>13.0</v>
      </c>
      <c r="N145" s="112">
        <v>13.0</v>
      </c>
      <c r="O145" s="112">
        <v>13.0</v>
      </c>
      <c r="P145" s="112">
        <v>11.0</v>
      </c>
      <c r="Q145" s="112">
        <v>7.0</v>
      </c>
      <c r="R145" s="112">
        <v>13.0</v>
      </c>
      <c r="S145" s="112">
        <v>11.0</v>
      </c>
      <c r="T145" s="112">
        <v>20.0</v>
      </c>
      <c r="U145" s="112">
        <v>22.0</v>
      </c>
      <c r="V145" s="112">
        <v>25.0</v>
      </c>
      <c r="W145" s="112">
        <v>54.0</v>
      </c>
      <c r="X145" s="112">
        <v>57.0</v>
      </c>
      <c r="Y145" s="112">
        <v>106.0</v>
      </c>
      <c r="Z145" s="112">
        <v>70.0</v>
      </c>
      <c r="AA145" s="112">
        <v>49.0</v>
      </c>
      <c r="AB145" s="112">
        <v>71.0</v>
      </c>
      <c r="AC145" s="112">
        <v>65.0</v>
      </c>
      <c r="AD145" s="112">
        <v>36.0</v>
      </c>
      <c r="AE145" s="112">
        <v>28.0</v>
      </c>
      <c r="AF145" s="167">
        <f t="shared" si="57"/>
        <v>824</v>
      </c>
    </row>
    <row r="146">
      <c r="A146" s="276" t="s">
        <v>162</v>
      </c>
      <c r="B146" s="278">
        <f t="shared" ref="B146:AE146" si="58">SUM(B138:B145)</f>
        <v>517</v>
      </c>
      <c r="C146" s="278">
        <f t="shared" si="58"/>
        <v>690</v>
      </c>
      <c r="D146" s="278">
        <f t="shared" si="58"/>
        <v>652</v>
      </c>
      <c r="E146" s="278">
        <f t="shared" si="58"/>
        <v>714</v>
      </c>
      <c r="F146" s="278">
        <f t="shared" si="58"/>
        <v>720</v>
      </c>
      <c r="G146" s="278">
        <f t="shared" si="58"/>
        <v>685</v>
      </c>
      <c r="H146" s="278">
        <f t="shared" si="58"/>
        <v>673</v>
      </c>
      <c r="I146" s="278">
        <f t="shared" si="58"/>
        <v>713</v>
      </c>
      <c r="J146" s="278">
        <f t="shared" si="58"/>
        <v>724</v>
      </c>
      <c r="K146" s="278">
        <f t="shared" si="58"/>
        <v>709</v>
      </c>
      <c r="L146" s="278">
        <f t="shared" si="58"/>
        <v>995</v>
      </c>
      <c r="M146" s="278">
        <f t="shared" si="58"/>
        <v>1015</v>
      </c>
      <c r="N146" s="278">
        <f t="shared" si="58"/>
        <v>1105</v>
      </c>
      <c r="O146" s="278">
        <f t="shared" si="58"/>
        <v>796</v>
      </c>
      <c r="P146" s="278">
        <f t="shared" si="58"/>
        <v>682</v>
      </c>
      <c r="Q146" s="278">
        <f t="shared" si="58"/>
        <v>660</v>
      </c>
      <c r="R146" s="278">
        <f t="shared" si="58"/>
        <v>693</v>
      </c>
      <c r="S146" s="278">
        <f t="shared" si="58"/>
        <v>845</v>
      </c>
      <c r="T146" s="278">
        <f t="shared" si="58"/>
        <v>679</v>
      </c>
      <c r="U146" s="278">
        <f t="shared" si="58"/>
        <v>883</v>
      </c>
      <c r="V146" s="278">
        <f t="shared" si="58"/>
        <v>949</v>
      </c>
      <c r="W146" s="278">
        <f t="shared" si="58"/>
        <v>1463</v>
      </c>
      <c r="X146" s="278">
        <f t="shared" si="58"/>
        <v>1828</v>
      </c>
      <c r="Y146" s="278">
        <f t="shared" si="58"/>
        <v>4633</v>
      </c>
      <c r="Z146" s="278">
        <f t="shared" si="58"/>
        <v>2705</v>
      </c>
      <c r="AA146" s="278">
        <f t="shared" si="58"/>
        <v>2134</v>
      </c>
      <c r="AB146" s="278">
        <f t="shared" si="58"/>
        <v>3071</v>
      </c>
      <c r="AC146" s="278">
        <f t="shared" si="58"/>
        <v>1888</v>
      </c>
      <c r="AD146" s="278">
        <f t="shared" si="58"/>
        <v>231</v>
      </c>
      <c r="AE146" s="278">
        <f t="shared" si="58"/>
        <v>212</v>
      </c>
      <c r="AF146" s="167">
        <f t="shared" si="57"/>
        <v>34264</v>
      </c>
    </row>
    <row r="147">
      <c r="A147" s="49"/>
      <c r="B147" s="139"/>
      <c r="C147" s="139"/>
      <c r="D147" s="139"/>
      <c r="E147" s="139"/>
      <c r="F147" s="139"/>
      <c r="G147" s="139"/>
      <c r="H147" s="139"/>
      <c r="I147" s="9"/>
      <c r="J147" s="9"/>
      <c r="K147" s="9"/>
      <c r="L147" s="9"/>
      <c r="M147" s="9"/>
      <c r="N147" s="9"/>
      <c r="O147" s="9"/>
      <c r="P147" s="9"/>
      <c r="Q147" s="9"/>
      <c r="R147" s="9"/>
      <c r="S147" s="9"/>
      <c r="T147" s="9"/>
      <c r="U147" s="9"/>
      <c r="V147" s="9"/>
      <c r="W147" s="9"/>
      <c r="X147" s="9"/>
      <c r="Y147" s="9"/>
      <c r="Z147" s="9"/>
      <c r="AA147" s="9"/>
      <c r="AB147" s="9"/>
      <c r="AC147" s="9"/>
      <c r="AD147" s="9"/>
      <c r="AE147" s="9"/>
      <c r="AF147" s="215"/>
    </row>
    <row r="148">
      <c r="A148" s="184" t="s">
        <v>415</v>
      </c>
      <c r="B148" s="275"/>
      <c r="C148" s="275"/>
      <c r="D148" s="275"/>
      <c r="E148" s="275"/>
      <c r="F148" s="275"/>
      <c r="G148" s="275"/>
      <c r="H148" s="275"/>
      <c r="I148" s="275"/>
      <c r="J148" s="275"/>
      <c r="K148" s="275"/>
      <c r="L148" s="275"/>
      <c r="M148" s="275"/>
      <c r="N148" s="275"/>
      <c r="O148" s="275"/>
      <c r="P148" s="275"/>
      <c r="Q148" s="275"/>
      <c r="R148" s="275"/>
      <c r="S148" s="275"/>
      <c r="T148" s="275"/>
      <c r="U148" s="275"/>
      <c r="V148" s="275"/>
      <c r="W148" s="275"/>
      <c r="X148" s="275"/>
      <c r="Y148" s="275"/>
      <c r="Z148" s="275"/>
      <c r="AA148" s="275"/>
      <c r="AB148" s="275"/>
      <c r="AC148" s="275"/>
      <c r="AD148" s="275"/>
      <c r="AE148" s="275"/>
      <c r="AF148" s="215"/>
    </row>
    <row r="149" outlineLevel="1">
      <c r="A149" s="184" t="s">
        <v>264</v>
      </c>
      <c r="B149" s="112">
        <v>17.0</v>
      </c>
      <c r="C149" s="112">
        <v>11.0</v>
      </c>
      <c r="D149" s="112">
        <v>9.0</v>
      </c>
      <c r="E149" s="112">
        <v>5.0</v>
      </c>
      <c r="F149" s="112">
        <v>13.0</v>
      </c>
      <c r="G149" s="112">
        <v>8.0</v>
      </c>
      <c r="H149" s="112">
        <v>9.0</v>
      </c>
      <c r="I149" s="112">
        <v>8.0</v>
      </c>
      <c r="J149" s="112">
        <v>6.0</v>
      </c>
      <c r="K149" s="112">
        <v>5.0</v>
      </c>
      <c r="L149" s="112">
        <v>5.0</v>
      </c>
      <c r="M149" s="112">
        <v>8.0</v>
      </c>
      <c r="N149" s="112">
        <v>11.0</v>
      </c>
      <c r="O149" s="112">
        <v>11.0</v>
      </c>
      <c r="P149" s="112">
        <v>18.0</v>
      </c>
      <c r="Q149" s="112">
        <v>16.0</v>
      </c>
      <c r="R149" s="112">
        <v>10.0</v>
      </c>
      <c r="S149" s="112">
        <v>26.0</v>
      </c>
      <c r="T149" s="112">
        <v>20.0</v>
      </c>
      <c r="U149" s="112">
        <v>26.0</v>
      </c>
      <c r="V149" s="112">
        <v>18.0</v>
      </c>
      <c r="W149" s="112">
        <v>31.0</v>
      </c>
      <c r="X149" s="112">
        <v>42.0</v>
      </c>
      <c r="Y149" s="112">
        <v>59.0</v>
      </c>
      <c r="Z149" s="112">
        <v>33.0</v>
      </c>
      <c r="AA149" s="112">
        <v>47.0</v>
      </c>
      <c r="AB149" s="112">
        <v>24.0</v>
      </c>
      <c r="AC149" s="112">
        <v>12.0</v>
      </c>
      <c r="AD149" s="112">
        <v>1.0</v>
      </c>
      <c r="AE149" s="112">
        <v>6.0</v>
      </c>
      <c r="AF149" s="167">
        <f t="shared" ref="AF149:AF157" si="59">sum(B149:AE149)</f>
        <v>515</v>
      </c>
    </row>
    <row r="150" outlineLevel="1">
      <c r="A150" s="184" t="s">
        <v>267</v>
      </c>
      <c r="B150" s="112">
        <v>28.0</v>
      </c>
      <c r="C150" s="112">
        <v>20.0</v>
      </c>
      <c r="D150" s="112">
        <v>19.0</v>
      </c>
      <c r="E150" s="112">
        <v>13.0</v>
      </c>
      <c r="F150" s="112">
        <v>17.0</v>
      </c>
      <c r="G150" s="112">
        <v>16.0</v>
      </c>
      <c r="H150" s="112">
        <v>14.0</v>
      </c>
      <c r="I150" s="112">
        <v>9.0</v>
      </c>
      <c r="J150" s="112">
        <v>17.0</v>
      </c>
      <c r="K150" s="112">
        <v>17.0</v>
      </c>
      <c r="L150" s="112">
        <v>9.0</v>
      </c>
      <c r="M150" s="112">
        <v>21.0</v>
      </c>
      <c r="N150" s="112">
        <v>23.0</v>
      </c>
      <c r="O150" s="112">
        <v>25.0</v>
      </c>
      <c r="P150" s="112">
        <v>33.0</v>
      </c>
      <c r="Q150" s="112">
        <v>27.0</v>
      </c>
      <c r="R150" s="112">
        <v>21.0</v>
      </c>
      <c r="S150" s="112">
        <v>39.0</v>
      </c>
      <c r="T150" s="112">
        <v>21.0</v>
      </c>
      <c r="U150" s="112">
        <v>51.0</v>
      </c>
      <c r="V150" s="112">
        <v>37.0</v>
      </c>
      <c r="W150" s="112">
        <v>73.0</v>
      </c>
      <c r="X150" s="112">
        <v>76.0</v>
      </c>
      <c r="Y150" s="112">
        <v>129.0</v>
      </c>
      <c r="Z150" s="112">
        <v>61.0</v>
      </c>
      <c r="AA150" s="112">
        <v>91.0</v>
      </c>
      <c r="AB150" s="112">
        <v>69.0</v>
      </c>
      <c r="AC150" s="112">
        <v>19.0</v>
      </c>
      <c r="AD150" s="112">
        <v>0.0</v>
      </c>
      <c r="AE150" s="112">
        <v>0.0</v>
      </c>
      <c r="AF150" s="167">
        <f t="shared" si="59"/>
        <v>995</v>
      </c>
    </row>
    <row r="151" outlineLevel="1">
      <c r="A151" s="184" t="s">
        <v>417</v>
      </c>
      <c r="B151" s="112">
        <v>7.0</v>
      </c>
      <c r="C151" s="112">
        <v>9.0</v>
      </c>
      <c r="D151" s="112">
        <v>9.0</v>
      </c>
      <c r="E151" s="112">
        <v>5.0</v>
      </c>
      <c r="F151" s="112">
        <v>3.0</v>
      </c>
      <c r="G151" s="112">
        <v>5.0</v>
      </c>
      <c r="H151" s="112">
        <v>4.0</v>
      </c>
      <c r="I151" s="112">
        <v>5.0</v>
      </c>
      <c r="J151" s="112">
        <v>4.0</v>
      </c>
      <c r="K151" s="112">
        <v>2.0</v>
      </c>
      <c r="L151" s="112">
        <v>2.0</v>
      </c>
      <c r="M151" s="112">
        <v>8.0</v>
      </c>
      <c r="N151" s="112">
        <v>5.0</v>
      </c>
      <c r="O151" s="112">
        <v>3.0</v>
      </c>
      <c r="P151" s="112">
        <v>6.0</v>
      </c>
      <c r="Q151" s="112">
        <v>8.0</v>
      </c>
      <c r="R151" s="112">
        <v>8.0</v>
      </c>
      <c r="S151" s="112">
        <v>11.0</v>
      </c>
      <c r="T151" s="112">
        <v>11.0</v>
      </c>
      <c r="U151" s="112">
        <v>7.0</v>
      </c>
      <c r="V151" s="112">
        <v>8.0</v>
      </c>
      <c r="W151" s="112">
        <v>8.0</v>
      </c>
      <c r="X151" s="112">
        <v>10.0</v>
      </c>
      <c r="Y151" s="112">
        <v>19.0</v>
      </c>
      <c r="Z151" s="112">
        <v>13.0</v>
      </c>
      <c r="AA151" s="112">
        <v>21.0</v>
      </c>
      <c r="AB151" s="112">
        <v>12.0</v>
      </c>
      <c r="AC151" s="112">
        <v>3.0</v>
      </c>
      <c r="AD151" s="112">
        <v>1.0</v>
      </c>
      <c r="AE151" s="112">
        <v>2.0</v>
      </c>
      <c r="AF151" s="167">
        <f t="shared" si="59"/>
        <v>219</v>
      </c>
    </row>
    <row r="152" outlineLevel="1">
      <c r="A152" s="184" t="s">
        <v>418</v>
      </c>
      <c r="B152" s="112">
        <v>1.0</v>
      </c>
      <c r="C152" s="112">
        <v>2.0</v>
      </c>
      <c r="D152" s="112">
        <v>1.0</v>
      </c>
      <c r="E152" s="112">
        <v>1.0</v>
      </c>
      <c r="F152" s="112">
        <v>0.0</v>
      </c>
      <c r="G152" s="112">
        <v>0.0</v>
      </c>
      <c r="H152" s="112">
        <v>0.0</v>
      </c>
      <c r="I152" s="112">
        <v>0.0</v>
      </c>
      <c r="J152" s="112">
        <v>0.0</v>
      </c>
      <c r="K152" s="112">
        <v>1.0</v>
      </c>
      <c r="L152" s="112">
        <v>0.0</v>
      </c>
      <c r="M152" s="112">
        <v>1.0</v>
      </c>
      <c r="N152" s="112">
        <v>2.0</v>
      </c>
      <c r="O152" s="112">
        <v>0.0</v>
      </c>
      <c r="P152" s="112">
        <v>0.0</v>
      </c>
      <c r="Q152" s="112">
        <v>0.0</v>
      </c>
      <c r="R152" s="112">
        <v>0.0</v>
      </c>
      <c r="S152" s="112">
        <v>0.0</v>
      </c>
      <c r="T152" s="112">
        <v>0.0</v>
      </c>
      <c r="U152" s="112">
        <v>0.0</v>
      </c>
      <c r="V152" s="112">
        <v>0.0</v>
      </c>
      <c r="W152" s="112">
        <v>0.0</v>
      </c>
      <c r="X152" s="112">
        <v>3.0</v>
      </c>
      <c r="Y152" s="112">
        <v>6.0</v>
      </c>
      <c r="Z152" s="112">
        <v>2.0</v>
      </c>
      <c r="AA152" s="112">
        <v>4.0</v>
      </c>
      <c r="AB152" s="112">
        <v>0.0</v>
      </c>
      <c r="AC152" s="112">
        <v>1.0</v>
      </c>
      <c r="AD152" s="112">
        <v>0.0</v>
      </c>
      <c r="AE152" s="112">
        <v>4.0</v>
      </c>
      <c r="AF152" s="167">
        <f t="shared" si="59"/>
        <v>29</v>
      </c>
    </row>
    <row r="153" outlineLevel="1">
      <c r="A153" s="184" t="s">
        <v>419</v>
      </c>
      <c r="B153" s="112">
        <v>1.0</v>
      </c>
      <c r="C153" s="112">
        <v>0.0</v>
      </c>
      <c r="D153" s="112">
        <v>1.0</v>
      </c>
      <c r="E153" s="112">
        <v>2.0</v>
      </c>
      <c r="F153" s="112">
        <v>0.0</v>
      </c>
      <c r="G153" s="112">
        <v>1.0</v>
      </c>
      <c r="H153" s="112">
        <v>0.0</v>
      </c>
      <c r="I153" s="112">
        <v>1.0</v>
      </c>
      <c r="J153" s="112">
        <v>2.0</v>
      </c>
      <c r="K153" s="112">
        <v>2.0</v>
      </c>
      <c r="L153" s="112">
        <v>3.0</v>
      </c>
      <c r="M153" s="112">
        <v>0.0</v>
      </c>
      <c r="N153" s="112">
        <v>1.0</v>
      </c>
      <c r="O153" s="112">
        <v>0.0</v>
      </c>
      <c r="P153" s="112">
        <v>3.0</v>
      </c>
      <c r="Q153" s="112">
        <v>2.0</v>
      </c>
      <c r="R153" s="112">
        <v>0.0</v>
      </c>
      <c r="S153" s="112">
        <v>0.0</v>
      </c>
      <c r="T153" s="112">
        <v>0.0</v>
      </c>
      <c r="U153" s="112">
        <v>1.0</v>
      </c>
      <c r="V153" s="112">
        <v>0.0</v>
      </c>
      <c r="W153" s="112">
        <v>6.0</v>
      </c>
      <c r="X153" s="112">
        <v>4.0</v>
      </c>
      <c r="Y153" s="112">
        <v>10.0</v>
      </c>
      <c r="Z153" s="112">
        <v>4.0</v>
      </c>
      <c r="AA153" s="112">
        <v>4.0</v>
      </c>
      <c r="AB153" s="112">
        <v>1.0</v>
      </c>
      <c r="AC153" s="112">
        <v>0.0</v>
      </c>
      <c r="AD153" s="112">
        <v>0.0</v>
      </c>
      <c r="AE153" s="112">
        <v>0.0</v>
      </c>
      <c r="AF153" s="167">
        <f t="shared" si="59"/>
        <v>49</v>
      </c>
    </row>
    <row r="154" outlineLevel="1">
      <c r="A154" s="184" t="s">
        <v>420</v>
      </c>
      <c r="B154" s="112">
        <v>2.0</v>
      </c>
      <c r="C154" s="112">
        <v>0.0</v>
      </c>
      <c r="D154" s="112">
        <v>1.0</v>
      </c>
      <c r="E154" s="112">
        <v>0.0</v>
      </c>
      <c r="F154" s="112">
        <v>0.0</v>
      </c>
      <c r="G154" s="112">
        <v>1.0</v>
      </c>
      <c r="H154" s="112">
        <v>0.0</v>
      </c>
      <c r="I154" s="112">
        <v>0.0</v>
      </c>
      <c r="J154" s="112">
        <v>0.0</v>
      </c>
      <c r="K154" s="112">
        <v>1.0</v>
      </c>
      <c r="L154" s="112">
        <v>0.0</v>
      </c>
      <c r="M154" s="112">
        <v>0.0</v>
      </c>
      <c r="N154" s="112">
        <v>0.0</v>
      </c>
      <c r="O154" s="112">
        <v>0.0</v>
      </c>
      <c r="P154" s="112">
        <v>0.0</v>
      </c>
      <c r="Q154" s="112">
        <v>0.0</v>
      </c>
      <c r="R154" s="112">
        <v>1.0</v>
      </c>
      <c r="S154" s="112">
        <v>0.0</v>
      </c>
      <c r="T154" s="112">
        <v>1.0</v>
      </c>
      <c r="U154" s="112">
        <v>1.0</v>
      </c>
      <c r="V154" s="112">
        <v>0.0</v>
      </c>
      <c r="W154" s="112">
        <v>1.0</v>
      </c>
      <c r="X154" s="112">
        <v>1.0</v>
      </c>
      <c r="Y154" s="112">
        <v>0.0</v>
      </c>
      <c r="Z154" s="112">
        <v>0.0</v>
      </c>
      <c r="AA154" s="112">
        <v>1.0</v>
      </c>
      <c r="AB154" s="112">
        <v>1.0</v>
      </c>
      <c r="AC154" s="112">
        <v>0.0</v>
      </c>
      <c r="AD154" s="112">
        <v>0.0</v>
      </c>
      <c r="AE154" s="112">
        <v>0.0</v>
      </c>
      <c r="AF154" s="167">
        <f t="shared" si="59"/>
        <v>12</v>
      </c>
    </row>
    <row r="155" outlineLevel="1">
      <c r="A155" s="184" t="s">
        <v>421</v>
      </c>
      <c r="B155" s="112">
        <v>13.0</v>
      </c>
      <c r="C155" s="112">
        <v>7.0</v>
      </c>
      <c r="D155" s="112">
        <v>15.0</v>
      </c>
      <c r="E155" s="112">
        <v>9.0</v>
      </c>
      <c r="F155" s="112">
        <v>16.0</v>
      </c>
      <c r="G155" s="112">
        <v>5.0</v>
      </c>
      <c r="H155" s="112">
        <v>10.0</v>
      </c>
      <c r="I155" s="112">
        <v>6.0</v>
      </c>
      <c r="J155" s="112">
        <v>7.0</v>
      </c>
      <c r="K155" s="112">
        <v>5.0</v>
      </c>
      <c r="L155" s="112">
        <v>5.0</v>
      </c>
      <c r="M155" s="112">
        <v>7.0</v>
      </c>
      <c r="N155" s="112">
        <v>15.0</v>
      </c>
      <c r="O155" s="112">
        <v>10.0</v>
      </c>
      <c r="P155" s="112">
        <v>7.0</v>
      </c>
      <c r="Q155" s="112">
        <v>11.0</v>
      </c>
      <c r="R155" s="112">
        <v>13.0</v>
      </c>
      <c r="S155" s="112">
        <v>18.0</v>
      </c>
      <c r="T155" s="112">
        <v>13.0</v>
      </c>
      <c r="U155" s="112">
        <v>19.0</v>
      </c>
      <c r="V155" s="112">
        <v>16.0</v>
      </c>
      <c r="W155" s="112">
        <v>18.0</v>
      </c>
      <c r="X155" s="112">
        <v>26.0</v>
      </c>
      <c r="Y155" s="112">
        <v>35.0</v>
      </c>
      <c r="Z155" s="112">
        <v>23.0</v>
      </c>
      <c r="AA155" s="112">
        <v>26.0</v>
      </c>
      <c r="AB155" s="112">
        <v>22.0</v>
      </c>
      <c r="AC155" s="112">
        <v>6.0</v>
      </c>
      <c r="AD155" s="112">
        <v>6.0</v>
      </c>
      <c r="AE155" s="112">
        <v>5.0</v>
      </c>
      <c r="AF155" s="167">
        <f t="shared" si="59"/>
        <v>394</v>
      </c>
    </row>
    <row r="156" outlineLevel="1">
      <c r="A156" s="184" t="s">
        <v>423</v>
      </c>
      <c r="B156" s="112">
        <v>2.0</v>
      </c>
      <c r="C156" s="112">
        <v>2.0</v>
      </c>
      <c r="D156" s="112">
        <v>1.0</v>
      </c>
      <c r="E156" s="112">
        <v>1.0</v>
      </c>
      <c r="F156" s="112">
        <v>0.0</v>
      </c>
      <c r="G156" s="112">
        <v>0.0</v>
      </c>
      <c r="H156" s="112">
        <v>0.0</v>
      </c>
      <c r="I156" s="112">
        <v>0.0</v>
      </c>
      <c r="J156" s="112">
        <v>1.0</v>
      </c>
      <c r="K156" s="112">
        <v>1.0</v>
      </c>
      <c r="L156" s="112">
        <v>1.0</v>
      </c>
      <c r="M156" s="112">
        <v>1.0</v>
      </c>
      <c r="N156" s="112">
        <v>2.0</v>
      </c>
      <c r="O156" s="112">
        <v>3.0</v>
      </c>
      <c r="P156" s="112">
        <v>3.0</v>
      </c>
      <c r="Q156" s="112">
        <v>0.0</v>
      </c>
      <c r="R156" s="112">
        <v>1.0</v>
      </c>
      <c r="S156" s="112">
        <v>1.0</v>
      </c>
      <c r="T156" s="112">
        <v>0.0</v>
      </c>
      <c r="U156" s="112">
        <v>1.0</v>
      </c>
      <c r="V156" s="112">
        <v>3.0</v>
      </c>
      <c r="W156" s="112">
        <v>4.0</v>
      </c>
      <c r="X156" s="112">
        <v>8.0</v>
      </c>
      <c r="Y156" s="112">
        <v>8.0</v>
      </c>
      <c r="Z156" s="112">
        <v>4.0</v>
      </c>
      <c r="AA156" s="112">
        <v>8.0</v>
      </c>
      <c r="AB156" s="112">
        <v>2.0</v>
      </c>
      <c r="AC156" s="112">
        <v>2.0</v>
      </c>
      <c r="AD156" s="112">
        <v>0.0</v>
      </c>
      <c r="AE156" s="112">
        <v>5.0</v>
      </c>
      <c r="AF156" s="167">
        <f t="shared" si="59"/>
        <v>65</v>
      </c>
    </row>
    <row r="157">
      <c r="A157" s="276" t="s">
        <v>162</v>
      </c>
      <c r="B157" s="278">
        <f t="shared" ref="B157:AE157" si="60">SUM(B149:B156)</f>
        <v>71</v>
      </c>
      <c r="C157" s="278">
        <f t="shared" si="60"/>
        <v>51</v>
      </c>
      <c r="D157" s="278">
        <f t="shared" si="60"/>
        <v>56</v>
      </c>
      <c r="E157" s="278">
        <f t="shared" si="60"/>
        <v>36</v>
      </c>
      <c r="F157" s="278">
        <f t="shared" si="60"/>
        <v>49</v>
      </c>
      <c r="G157" s="278">
        <f t="shared" si="60"/>
        <v>36</v>
      </c>
      <c r="H157" s="278">
        <f t="shared" si="60"/>
        <v>37</v>
      </c>
      <c r="I157" s="278">
        <f t="shared" si="60"/>
        <v>29</v>
      </c>
      <c r="J157" s="278">
        <f t="shared" si="60"/>
        <v>37</v>
      </c>
      <c r="K157" s="278">
        <f t="shared" si="60"/>
        <v>34</v>
      </c>
      <c r="L157" s="278">
        <f t="shared" si="60"/>
        <v>25</v>
      </c>
      <c r="M157" s="278">
        <f t="shared" si="60"/>
        <v>46</v>
      </c>
      <c r="N157" s="278">
        <f t="shared" si="60"/>
        <v>59</v>
      </c>
      <c r="O157" s="278">
        <f t="shared" si="60"/>
        <v>52</v>
      </c>
      <c r="P157" s="278">
        <f t="shared" si="60"/>
        <v>70</v>
      </c>
      <c r="Q157" s="278">
        <f t="shared" si="60"/>
        <v>64</v>
      </c>
      <c r="R157" s="278">
        <f t="shared" si="60"/>
        <v>54</v>
      </c>
      <c r="S157" s="278">
        <f t="shared" si="60"/>
        <v>95</v>
      </c>
      <c r="T157" s="278">
        <f t="shared" si="60"/>
        <v>66</v>
      </c>
      <c r="U157" s="278">
        <f t="shared" si="60"/>
        <v>106</v>
      </c>
      <c r="V157" s="278">
        <f t="shared" si="60"/>
        <v>82</v>
      </c>
      <c r="W157" s="278">
        <f t="shared" si="60"/>
        <v>141</v>
      </c>
      <c r="X157" s="278">
        <f t="shared" si="60"/>
        <v>170</v>
      </c>
      <c r="Y157" s="278">
        <f t="shared" si="60"/>
        <v>266</v>
      </c>
      <c r="Z157" s="278">
        <f t="shared" si="60"/>
        <v>140</v>
      </c>
      <c r="AA157" s="278">
        <f t="shared" si="60"/>
        <v>202</v>
      </c>
      <c r="AB157" s="278">
        <f t="shared" si="60"/>
        <v>131</v>
      </c>
      <c r="AC157" s="278">
        <f t="shared" si="60"/>
        <v>43</v>
      </c>
      <c r="AD157" s="278">
        <f t="shared" si="60"/>
        <v>8</v>
      </c>
      <c r="AE157" s="278">
        <f t="shared" si="60"/>
        <v>22</v>
      </c>
      <c r="AF157" s="167">
        <f t="shared" si="59"/>
        <v>2278</v>
      </c>
    </row>
    <row r="158">
      <c r="A158" s="49"/>
      <c r="B158" s="139"/>
      <c r="C158" s="139"/>
      <c r="D158" s="139"/>
      <c r="E158" s="139"/>
      <c r="F158" s="139"/>
      <c r="G158" s="139"/>
      <c r="H158" s="139"/>
      <c r="I158" s="9"/>
      <c r="J158" s="9"/>
      <c r="K158" s="9"/>
      <c r="L158" s="9"/>
      <c r="M158" s="9"/>
      <c r="N158" s="9"/>
      <c r="O158" s="9"/>
      <c r="P158" s="9"/>
      <c r="Q158" s="9"/>
      <c r="R158" s="9"/>
      <c r="S158" s="9"/>
      <c r="T158" s="9"/>
      <c r="U158" s="9"/>
      <c r="V158" s="9"/>
      <c r="W158" s="9"/>
      <c r="X158" s="9"/>
      <c r="Y158" s="9"/>
      <c r="Z158" s="9"/>
      <c r="AA158" s="9"/>
      <c r="AB158" s="9"/>
      <c r="AC158" s="9"/>
      <c r="AD158" s="9"/>
      <c r="AE158" s="9"/>
      <c r="AF158" s="215"/>
    </row>
    <row r="159">
      <c r="A159" s="138" t="s">
        <v>424</v>
      </c>
      <c r="B159" s="183"/>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215"/>
    </row>
    <row r="160">
      <c r="A160" s="184" t="s">
        <v>392</v>
      </c>
      <c r="B160" s="275"/>
      <c r="C160" s="275"/>
      <c r="D160" s="275"/>
      <c r="E160" s="275"/>
      <c r="F160" s="275"/>
      <c r="G160" s="275"/>
      <c r="H160" s="275"/>
      <c r="I160" s="275"/>
      <c r="J160" s="275"/>
      <c r="K160" s="275"/>
      <c r="L160" s="275"/>
      <c r="M160" s="275"/>
      <c r="N160" s="275"/>
      <c r="O160" s="275"/>
      <c r="P160" s="275"/>
      <c r="Q160" s="275"/>
      <c r="R160" s="275"/>
      <c r="S160" s="275"/>
      <c r="T160" s="275"/>
      <c r="U160" s="275"/>
      <c r="V160" s="275"/>
      <c r="W160" s="275"/>
      <c r="X160" s="275"/>
      <c r="Y160" s="275"/>
      <c r="Z160" s="275"/>
      <c r="AA160" s="275"/>
      <c r="AB160" s="275"/>
      <c r="AC160" s="275"/>
      <c r="AD160" s="275"/>
      <c r="AE160" s="275"/>
      <c r="AF160" s="279"/>
    </row>
    <row r="161" outlineLevel="1">
      <c r="A161" s="184" t="s">
        <v>426</v>
      </c>
      <c r="B161" s="123">
        <v>25002.37</v>
      </c>
      <c r="C161" s="123">
        <v>24902.06</v>
      </c>
      <c r="D161" s="123">
        <v>26041.13</v>
      </c>
      <c r="E161" s="123">
        <v>32434.11</v>
      </c>
      <c r="F161" s="123">
        <v>37643.69</v>
      </c>
      <c r="G161" s="123">
        <v>31121.41</v>
      </c>
      <c r="H161" s="123">
        <v>27435.74</v>
      </c>
      <c r="I161" s="123">
        <v>25728.67</v>
      </c>
      <c r="J161" s="123">
        <v>29688.85</v>
      </c>
      <c r="K161" s="123">
        <v>30071.17</v>
      </c>
      <c r="L161" s="123">
        <v>26691.0</v>
      </c>
      <c r="M161" s="123">
        <v>29554.17</v>
      </c>
      <c r="N161" s="123">
        <v>25560.21</v>
      </c>
      <c r="O161" s="123">
        <v>25601.08</v>
      </c>
      <c r="P161" s="123">
        <v>25863.52</v>
      </c>
      <c r="Q161" s="123">
        <v>24099.1</v>
      </c>
      <c r="R161" s="123">
        <v>30401.51</v>
      </c>
      <c r="S161" s="123">
        <v>34476.2</v>
      </c>
      <c r="T161" s="123">
        <v>33943.57</v>
      </c>
      <c r="U161" s="123">
        <v>34752.25</v>
      </c>
      <c r="V161" s="123">
        <v>42272.98</v>
      </c>
      <c r="W161" s="123">
        <v>56895.74</v>
      </c>
      <c r="X161" s="123">
        <v>65687.22</v>
      </c>
      <c r="Y161" s="123">
        <v>212156.55</v>
      </c>
      <c r="Z161" s="123">
        <v>143131.37</v>
      </c>
      <c r="AA161" s="123">
        <v>96412.23</v>
      </c>
      <c r="AB161" s="123">
        <v>134475.09</v>
      </c>
      <c r="AC161" s="123">
        <v>106610.27</v>
      </c>
      <c r="AD161" s="123">
        <v>8986.2</v>
      </c>
      <c r="AE161" s="123">
        <v>11540.06</v>
      </c>
      <c r="AF161" s="69">
        <f t="shared" ref="AF161:AF164" si="61">SUM(B161:AE161)</f>
        <v>1459179.52</v>
      </c>
    </row>
    <row r="162" outlineLevel="1">
      <c r="A162" s="184" t="s">
        <v>427</v>
      </c>
      <c r="B162" s="123">
        <v>896.8</v>
      </c>
      <c r="C162" s="123">
        <v>1986.57</v>
      </c>
      <c r="D162" s="123">
        <v>530.43</v>
      </c>
      <c r="E162" s="123">
        <v>1045.02</v>
      </c>
      <c r="F162" s="123">
        <v>1243.69</v>
      </c>
      <c r="G162" s="123">
        <v>1913.3</v>
      </c>
      <c r="H162" s="123">
        <v>1625.29</v>
      </c>
      <c r="I162" s="123">
        <v>1055.28</v>
      </c>
      <c r="J162" s="123">
        <v>1453.66</v>
      </c>
      <c r="K162" s="123">
        <v>1931.42</v>
      </c>
      <c r="L162" s="123">
        <v>1595.79</v>
      </c>
      <c r="M162" s="123">
        <v>2837.83</v>
      </c>
      <c r="N162" s="123">
        <v>1620.99</v>
      </c>
      <c r="O162" s="123">
        <v>1801.98</v>
      </c>
      <c r="P162" s="123">
        <v>1214.04</v>
      </c>
      <c r="Q162" s="123">
        <v>1599.84</v>
      </c>
      <c r="R162" s="123">
        <v>2805.26</v>
      </c>
      <c r="S162" s="123">
        <v>3546.9</v>
      </c>
      <c r="T162" s="123">
        <v>3350.44</v>
      </c>
      <c r="U162" s="123">
        <v>4218.12</v>
      </c>
      <c r="V162" s="123">
        <v>4204.5</v>
      </c>
      <c r="W162" s="123">
        <v>9504.84</v>
      </c>
      <c r="X162" s="123">
        <v>8179.63</v>
      </c>
      <c r="Y162" s="123">
        <v>28779.83</v>
      </c>
      <c r="Z162" s="123">
        <v>18982.28</v>
      </c>
      <c r="AA162" s="123">
        <v>11691.49</v>
      </c>
      <c r="AB162" s="123">
        <v>16078.38</v>
      </c>
      <c r="AC162" s="123">
        <v>21693.96</v>
      </c>
      <c r="AD162" s="123">
        <v>11476.93</v>
      </c>
      <c r="AE162" s="123">
        <v>10198.23</v>
      </c>
      <c r="AF162" s="69">
        <f t="shared" si="61"/>
        <v>179062.72</v>
      </c>
    </row>
    <row r="163" outlineLevel="1">
      <c r="A163" s="184" t="s">
        <v>429</v>
      </c>
      <c r="B163" s="123">
        <v>53753.77</v>
      </c>
      <c r="C163" s="123">
        <v>57701.25</v>
      </c>
      <c r="D163" s="123">
        <v>57789.42</v>
      </c>
      <c r="E163" s="123">
        <v>61002.02</v>
      </c>
      <c r="F163" s="123">
        <v>69571.42</v>
      </c>
      <c r="G163" s="123">
        <v>70401.39</v>
      </c>
      <c r="H163" s="123">
        <v>65613.61</v>
      </c>
      <c r="I163" s="123">
        <v>68034.58</v>
      </c>
      <c r="J163" s="123">
        <v>70681.51</v>
      </c>
      <c r="K163" s="123">
        <v>68973.76</v>
      </c>
      <c r="L163" s="123">
        <v>106557.9</v>
      </c>
      <c r="M163" s="123">
        <v>93734.07</v>
      </c>
      <c r="N163" s="123">
        <v>72771.71</v>
      </c>
      <c r="O163" s="123">
        <v>86316.52</v>
      </c>
      <c r="P163" s="123">
        <v>74694.59</v>
      </c>
      <c r="Q163" s="123">
        <v>71585.32</v>
      </c>
      <c r="R163" s="123">
        <v>72698.02</v>
      </c>
      <c r="S163" s="123">
        <v>93439.97</v>
      </c>
      <c r="T163" s="123">
        <v>100018.85</v>
      </c>
      <c r="U163" s="123">
        <v>100454.97</v>
      </c>
      <c r="V163" s="123">
        <v>95460.22</v>
      </c>
      <c r="W163" s="123">
        <v>134777.07</v>
      </c>
      <c r="X163" s="123">
        <v>173150.66</v>
      </c>
      <c r="Y163" s="123">
        <v>477546.79</v>
      </c>
      <c r="Z163" s="123">
        <v>283779.39</v>
      </c>
      <c r="AA163" s="123">
        <v>212695.57</v>
      </c>
      <c r="AB163" s="123">
        <v>374263.34</v>
      </c>
      <c r="AC163" s="123">
        <v>233991.59</v>
      </c>
      <c r="AD163" s="123">
        <v>33156.56</v>
      </c>
      <c r="AE163" s="123">
        <v>29688.88</v>
      </c>
      <c r="AF163" s="69">
        <f t="shared" si="61"/>
        <v>3564304.72</v>
      </c>
    </row>
    <row r="164" outlineLevel="1">
      <c r="A164" s="184" t="s">
        <v>431</v>
      </c>
      <c r="B164" s="123">
        <v>4818.5</v>
      </c>
      <c r="C164" s="123">
        <v>5248.36</v>
      </c>
      <c r="D164" s="123">
        <v>6832.86</v>
      </c>
      <c r="E164" s="123">
        <v>5923.77</v>
      </c>
      <c r="F164" s="123">
        <v>6566.25</v>
      </c>
      <c r="G164" s="123">
        <v>5480.69</v>
      </c>
      <c r="H164" s="123">
        <v>5054.51</v>
      </c>
      <c r="I164" s="123">
        <v>6692.68</v>
      </c>
      <c r="J164" s="123">
        <v>5955.04</v>
      </c>
      <c r="K164" s="123">
        <v>4992.6</v>
      </c>
      <c r="L164" s="123">
        <v>6203.98</v>
      </c>
      <c r="M164" s="123">
        <v>7203.83</v>
      </c>
      <c r="N164" s="123">
        <v>5272.82</v>
      </c>
      <c r="O164" s="123">
        <v>7047.05</v>
      </c>
      <c r="P164" s="123">
        <v>7071.77</v>
      </c>
      <c r="Q164" s="123">
        <v>3263.97</v>
      </c>
      <c r="R164" s="123">
        <v>4379.66</v>
      </c>
      <c r="S164" s="123">
        <v>5892.05</v>
      </c>
      <c r="T164" s="123">
        <v>9876.35</v>
      </c>
      <c r="U164" s="123">
        <v>11448.26</v>
      </c>
      <c r="V164" s="123">
        <v>14705.25</v>
      </c>
      <c r="W164" s="123">
        <v>19216.81</v>
      </c>
      <c r="X164" s="123">
        <v>27395.69</v>
      </c>
      <c r="Y164" s="123">
        <v>62352.54</v>
      </c>
      <c r="Z164" s="123">
        <v>45916.84</v>
      </c>
      <c r="AA164" s="123">
        <v>31669.37</v>
      </c>
      <c r="AB164" s="123">
        <v>44769.57</v>
      </c>
      <c r="AC164" s="123">
        <v>49907.85</v>
      </c>
      <c r="AD164" s="123">
        <v>34958.96</v>
      </c>
      <c r="AE164" s="123">
        <v>26153.06</v>
      </c>
      <c r="AF164" s="69">
        <f t="shared" si="61"/>
        <v>482270.94</v>
      </c>
    </row>
    <row r="165">
      <c r="A165" s="184" t="s">
        <v>398</v>
      </c>
      <c r="B165" s="275"/>
      <c r="C165" s="275"/>
      <c r="D165" s="275"/>
      <c r="E165" s="275"/>
      <c r="F165" s="275"/>
      <c r="G165" s="275"/>
      <c r="H165" s="275"/>
      <c r="I165" s="275"/>
      <c r="J165" s="275"/>
      <c r="K165" s="275"/>
      <c r="L165" s="275"/>
      <c r="M165" s="275"/>
      <c r="N165" s="275"/>
      <c r="O165" s="275"/>
      <c r="P165" s="275"/>
      <c r="Q165" s="275"/>
      <c r="R165" s="275"/>
      <c r="S165" s="275"/>
      <c r="T165" s="275"/>
      <c r="U165" s="275"/>
      <c r="V165" s="275"/>
      <c r="W165" s="275"/>
      <c r="X165" s="275"/>
      <c r="Y165" s="275"/>
      <c r="Z165" s="275"/>
      <c r="AA165" s="275"/>
      <c r="AB165" s="275"/>
      <c r="AC165" s="275"/>
      <c r="AD165" s="275"/>
      <c r="AE165" s="275"/>
      <c r="AF165" s="279"/>
    </row>
    <row r="166" outlineLevel="1">
      <c r="A166" s="184" t="s">
        <v>432</v>
      </c>
      <c r="B166" s="128">
        <v>1178.0</v>
      </c>
      <c r="C166" s="128">
        <v>1588.0</v>
      </c>
      <c r="D166" s="128">
        <v>1133.0</v>
      </c>
      <c r="E166" s="128">
        <v>338.0</v>
      </c>
      <c r="F166" s="128">
        <v>784.3</v>
      </c>
      <c r="G166" s="128">
        <v>1153.0</v>
      </c>
      <c r="H166" s="128">
        <v>656.0</v>
      </c>
      <c r="I166" s="128">
        <v>338.0</v>
      </c>
      <c r="J166" s="128">
        <v>835.0</v>
      </c>
      <c r="K166" s="128">
        <v>1368.9</v>
      </c>
      <c r="L166" s="128">
        <v>1312.0</v>
      </c>
      <c r="M166" s="128">
        <v>1352.0</v>
      </c>
      <c r="N166" s="128">
        <v>1471.0</v>
      </c>
      <c r="O166" s="128">
        <v>1102.3</v>
      </c>
      <c r="P166" s="128">
        <v>1501.0</v>
      </c>
      <c r="Q166" s="128">
        <v>845.0</v>
      </c>
      <c r="R166" s="128">
        <v>994.0</v>
      </c>
      <c r="S166" s="128">
        <v>2366.0</v>
      </c>
      <c r="T166" s="128">
        <v>2316.0</v>
      </c>
      <c r="U166" s="128">
        <v>2312.66</v>
      </c>
      <c r="V166" s="128">
        <v>2524.15</v>
      </c>
      <c r="W166" s="128">
        <v>5672.9</v>
      </c>
      <c r="X166" s="128">
        <v>4941.2</v>
      </c>
      <c r="Y166" s="128">
        <v>6829.23</v>
      </c>
      <c r="Z166" s="128">
        <v>4242.1</v>
      </c>
      <c r="AA166" s="128">
        <v>4469.2</v>
      </c>
      <c r="AB166" s="128">
        <v>5148.3</v>
      </c>
      <c r="AC166" s="128">
        <v>1084.0</v>
      </c>
      <c r="AD166" s="128">
        <v>219.0</v>
      </c>
      <c r="AE166" s="128">
        <v>697.0</v>
      </c>
      <c r="AF166" s="69">
        <f t="shared" ref="AF166:AF171" si="62">SUM(B166:AE166)</f>
        <v>60771.24</v>
      </c>
    </row>
    <row r="167" outlineLevel="1">
      <c r="A167" s="184" t="s">
        <v>434</v>
      </c>
      <c r="B167" s="128">
        <v>169.0</v>
      </c>
      <c r="C167" s="128">
        <v>0.0</v>
      </c>
      <c r="D167" s="128">
        <v>169.0</v>
      </c>
      <c r="E167" s="128">
        <v>338.0</v>
      </c>
      <c r="F167" s="128">
        <v>169.0</v>
      </c>
      <c r="G167" s="128">
        <v>0.0</v>
      </c>
      <c r="H167" s="128">
        <v>338.0</v>
      </c>
      <c r="I167" s="128">
        <v>0.0</v>
      </c>
      <c r="J167" s="128">
        <v>0.0</v>
      </c>
      <c r="K167" s="128">
        <v>0.0</v>
      </c>
      <c r="L167" s="128">
        <v>0.0</v>
      </c>
      <c r="M167" s="128">
        <v>169.0</v>
      </c>
      <c r="N167" s="128">
        <v>159.0</v>
      </c>
      <c r="O167" s="128">
        <v>0.0</v>
      </c>
      <c r="P167" s="128">
        <v>0.0</v>
      </c>
      <c r="Q167" s="128">
        <v>0.0</v>
      </c>
      <c r="R167" s="128">
        <v>118.3</v>
      </c>
      <c r="S167" s="128">
        <v>159.0</v>
      </c>
      <c r="T167" s="128">
        <v>169.0</v>
      </c>
      <c r="U167" s="128">
        <v>338.0</v>
      </c>
      <c r="V167" s="128">
        <v>653.5</v>
      </c>
      <c r="W167" s="128">
        <v>1274.63</v>
      </c>
      <c r="X167" s="128">
        <v>1819.0</v>
      </c>
      <c r="Y167" s="128">
        <v>2316.0</v>
      </c>
      <c r="Z167" s="128">
        <v>615.3</v>
      </c>
      <c r="AA167" s="128">
        <v>1183.0</v>
      </c>
      <c r="AB167" s="128">
        <v>656.0</v>
      </c>
      <c r="AC167" s="128">
        <v>577.0</v>
      </c>
      <c r="AD167" s="128">
        <v>0.0</v>
      </c>
      <c r="AE167" s="128">
        <v>478.0</v>
      </c>
      <c r="AF167" s="69">
        <f t="shared" si="62"/>
        <v>11867.73</v>
      </c>
    </row>
    <row r="168" outlineLevel="1">
      <c r="A168" s="184" t="s">
        <v>435</v>
      </c>
      <c r="B168" s="128">
        <v>4274.56</v>
      </c>
      <c r="C168" s="128">
        <v>2703.66</v>
      </c>
      <c r="D168" s="128">
        <v>2912.66</v>
      </c>
      <c r="E168" s="128">
        <v>3032.3</v>
      </c>
      <c r="F168" s="128">
        <v>3493.0</v>
      </c>
      <c r="G168" s="128">
        <v>2904.33</v>
      </c>
      <c r="H168" s="128">
        <v>2715.0</v>
      </c>
      <c r="I168" s="128">
        <v>1662.0</v>
      </c>
      <c r="J168" s="128">
        <v>2670.56</v>
      </c>
      <c r="K168" s="128">
        <v>1856.0</v>
      </c>
      <c r="L168" s="128">
        <v>1045.0</v>
      </c>
      <c r="M168" s="128">
        <v>3274.0</v>
      </c>
      <c r="N168" s="128">
        <v>3718.5</v>
      </c>
      <c r="O168" s="128">
        <v>4537.0</v>
      </c>
      <c r="P168" s="128">
        <v>6208.0</v>
      </c>
      <c r="Q168" s="128">
        <v>5981.0</v>
      </c>
      <c r="R168" s="128">
        <v>4360.66</v>
      </c>
      <c r="S168" s="128">
        <v>7613.83</v>
      </c>
      <c r="T168" s="128">
        <v>7369.0</v>
      </c>
      <c r="U168" s="128">
        <v>10357.5</v>
      </c>
      <c r="V168" s="128">
        <v>7961.6</v>
      </c>
      <c r="W168" s="128">
        <v>15682.7</v>
      </c>
      <c r="X168" s="128">
        <v>11616.73</v>
      </c>
      <c r="Y168" s="128">
        <v>22270.55</v>
      </c>
      <c r="Z168" s="128">
        <v>11942.6</v>
      </c>
      <c r="AA168" s="128">
        <v>15566.3</v>
      </c>
      <c r="AB168" s="128">
        <v>11850.8</v>
      </c>
      <c r="AC168" s="128">
        <v>3922.0</v>
      </c>
      <c r="AD168" s="128">
        <v>1495.0</v>
      </c>
      <c r="AE168" s="128">
        <v>578.0</v>
      </c>
      <c r="AF168" s="69">
        <f t="shared" si="62"/>
        <v>185574.84</v>
      </c>
    </row>
    <row r="169" outlineLevel="1">
      <c r="A169" s="184" t="s">
        <v>436</v>
      </c>
      <c r="B169" s="128">
        <v>564.3</v>
      </c>
      <c r="C169" s="128">
        <v>205.66</v>
      </c>
      <c r="D169" s="128">
        <v>413.0</v>
      </c>
      <c r="E169" s="128">
        <v>0.0</v>
      </c>
      <c r="F169" s="128">
        <v>617.0</v>
      </c>
      <c r="G169" s="128">
        <v>0.0</v>
      </c>
      <c r="H169" s="128">
        <v>0.0</v>
      </c>
      <c r="I169" s="128">
        <v>418.0</v>
      </c>
      <c r="J169" s="128">
        <v>418.0</v>
      </c>
      <c r="K169" s="128">
        <v>209.0</v>
      </c>
      <c r="L169" s="128">
        <v>209.0</v>
      </c>
      <c r="M169" s="128">
        <v>209.0</v>
      </c>
      <c r="N169" s="128">
        <v>418.0</v>
      </c>
      <c r="O169" s="128">
        <v>617.0</v>
      </c>
      <c r="P169" s="128">
        <v>414.66</v>
      </c>
      <c r="Q169" s="128">
        <v>0.0</v>
      </c>
      <c r="R169" s="128">
        <v>0.0</v>
      </c>
      <c r="S169" s="128">
        <v>209.0</v>
      </c>
      <c r="T169" s="128">
        <v>418.0</v>
      </c>
      <c r="U169" s="128">
        <v>398.0</v>
      </c>
      <c r="V169" s="128">
        <v>1015.0</v>
      </c>
      <c r="W169" s="128">
        <v>2226.3</v>
      </c>
      <c r="X169" s="128">
        <v>2853.3</v>
      </c>
      <c r="Y169" s="128">
        <v>3417.6</v>
      </c>
      <c r="Z169" s="128">
        <v>1579.3</v>
      </c>
      <c r="AA169" s="128">
        <v>3047.3</v>
      </c>
      <c r="AB169" s="128">
        <v>1453.0</v>
      </c>
      <c r="AC169" s="128">
        <v>1337.33</v>
      </c>
      <c r="AD169" s="128">
        <v>578.0</v>
      </c>
      <c r="AE169" s="128">
        <v>2086.33</v>
      </c>
      <c r="AF169" s="69">
        <f t="shared" si="62"/>
        <v>25331.08</v>
      </c>
    </row>
    <row r="170">
      <c r="A170" s="276" t="s">
        <v>258</v>
      </c>
      <c r="B170" s="295">
        <f t="shared" ref="B170:AE170" si="63">B161+B166+B162+B167</f>
        <v>27246.17</v>
      </c>
      <c r="C170" s="295">
        <f t="shared" si="63"/>
        <v>28476.63</v>
      </c>
      <c r="D170" s="295">
        <f t="shared" si="63"/>
        <v>27873.56</v>
      </c>
      <c r="E170" s="295">
        <f t="shared" si="63"/>
        <v>34155.13</v>
      </c>
      <c r="F170" s="295">
        <f t="shared" si="63"/>
        <v>39840.68</v>
      </c>
      <c r="G170" s="295">
        <f t="shared" si="63"/>
        <v>34187.71</v>
      </c>
      <c r="H170" s="295">
        <f t="shared" si="63"/>
        <v>30055.03</v>
      </c>
      <c r="I170" s="295">
        <f t="shared" si="63"/>
        <v>27121.95</v>
      </c>
      <c r="J170" s="295">
        <f t="shared" si="63"/>
        <v>31977.51</v>
      </c>
      <c r="K170" s="295">
        <f t="shared" si="63"/>
        <v>33371.49</v>
      </c>
      <c r="L170" s="295">
        <f t="shared" si="63"/>
        <v>29598.79</v>
      </c>
      <c r="M170" s="295">
        <f t="shared" si="63"/>
        <v>33913</v>
      </c>
      <c r="N170" s="295">
        <f t="shared" si="63"/>
        <v>28811.2</v>
      </c>
      <c r="O170" s="295">
        <f t="shared" si="63"/>
        <v>28505.36</v>
      </c>
      <c r="P170" s="295">
        <f t="shared" si="63"/>
        <v>28578.56</v>
      </c>
      <c r="Q170" s="295">
        <f t="shared" si="63"/>
        <v>26543.94</v>
      </c>
      <c r="R170" s="295">
        <f t="shared" si="63"/>
        <v>34319.07</v>
      </c>
      <c r="S170" s="295">
        <f t="shared" si="63"/>
        <v>40548.1</v>
      </c>
      <c r="T170" s="295">
        <f t="shared" si="63"/>
        <v>39779.01</v>
      </c>
      <c r="U170" s="295">
        <f t="shared" si="63"/>
        <v>41621.03</v>
      </c>
      <c r="V170" s="295">
        <f t="shared" si="63"/>
        <v>49655.13</v>
      </c>
      <c r="W170" s="295">
        <f t="shared" si="63"/>
        <v>73348.11</v>
      </c>
      <c r="X170" s="295">
        <f t="shared" si="63"/>
        <v>80627.05</v>
      </c>
      <c r="Y170" s="295">
        <f t="shared" si="63"/>
        <v>250081.61</v>
      </c>
      <c r="Z170" s="295">
        <f t="shared" si="63"/>
        <v>166971.05</v>
      </c>
      <c r="AA170" s="295">
        <f t="shared" si="63"/>
        <v>113755.92</v>
      </c>
      <c r="AB170" s="295">
        <f t="shared" si="63"/>
        <v>156357.77</v>
      </c>
      <c r="AC170" s="295">
        <f t="shared" si="63"/>
        <v>129965.23</v>
      </c>
      <c r="AD170" s="295">
        <f t="shared" si="63"/>
        <v>20682.13</v>
      </c>
      <c r="AE170" s="295">
        <f t="shared" si="63"/>
        <v>22913.29</v>
      </c>
      <c r="AF170" s="69">
        <f t="shared" si="62"/>
        <v>1710881.21</v>
      </c>
    </row>
    <row r="171">
      <c r="A171" s="276" t="s">
        <v>260</v>
      </c>
      <c r="B171" s="295">
        <f t="shared" ref="B171:AE171" si="64">B163+B168+B164+B169</f>
        <v>63411.13</v>
      </c>
      <c r="C171" s="295">
        <f t="shared" si="64"/>
        <v>65858.93</v>
      </c>
      <c r="D171" s="295">
        <f t="shared" si="64"/>
        <v>67947.94</v>
      </c>
      <c r="E171" s="295">
        <f t="shared" si="64"/>
        <v>69958.09</v>
      </c>
      <c r="F171" s="295">
        <f t="shared" si="64"/>
        <v>80247.67</v>
      </c>
      <c r="G171" s="295">
        <f t="shared" si="64"/>
        <v>78786.41</v>
      </c>
      <c r="H171" s="295">
        <f t="shared" si="64"/>
        <v>73383.12</v>
      </c>
      <c r="I171" s="295">
        <f t="shared" si="64"/>
        <v>76807.26</v>
      </c>
      <c r="J171" s="295">
        <f t="shared" si="64"/>
        <v>79725.11</v>
      </c>
      <c r="K171" s="295">
        <f t="shared" si="64"/>
        <v>76031.36</v>
      </c>
      <c r="L171" s="295">
        <f t="shared" si="64"/>
        <v>114015.88</v>
      </c>
      <c r="M171" s="295">
        <f t="shared" si="64"/>
        <v>104420.9</v>
      </c>
      <c r="N171" s="295">
        <f t="shared" si="64"/>
        <v>82181.03</v>
      </c>
      <c r="O171" s="295">
        <f t="shared" si="64"/>
        <v>98517.57</v>
      </c>
      <c r="P171" s="295">
        <f t="shared" si="64"/>
        <v>88389.02</v>
      </c>
      <c r="Q171" s="295">
        <f t="shared" si="64"/>
        <v>80830.29</v>
      </c>
      <c r="R171" s="295">
        <f t="shared" si="64"/>
        <v>81438.34</v>
      </c>
      <c r="S171" s="295">
        <f t="shared" si="64"/>
        <v>107154.85</v>
      </c>
      <c r="T171" s="295">
        <f t="shared" si="64"/>
        <v>117682.2</v>
      </c>
      <c r="U171" s="295">
        <f t="shared" si="64"/>
        <v>122658.73</v>
      </c>
      <c r="V171" s="295">
        <f t="shared" si="64"/>
        <v>119142.07</v>
      </c>
      <c r="W171" s="295">
        <f t="shared" si="64"/>
        <v>171902.88</v>
      </c>
      <c r="X171" s="295">
        <f t="shared" si="64"/>
        <v>215016.38</v>
      </c>
      <c r="Y171" s="295">
        <f t="shared" si="64"/>
        <v>565587.48</v>
      </c>
      <c r="Z171" s="295">
        <f t="shared" si="64"/>
        <v>343218.13</v>
      </c>
      <c r="AA171" s="295">
        <f t="shared" si="64"/>
        <v>262978.54</v>
      </c>
      <c r="AB171" s="295">
        <f t="shared" si="64"/>
        <v>432336.71</v>
      </c>
      <c r="AC171" s="295">
        <f t="shared" si="64"/>
        <v>289158.77</v>
      </c>
      <c r="AD171" s="295">
        <f t="shared" si="64"/>
        <v>70188.52</v>
      </c>
      <c r="AE171" s="295">
        <f t="shared" si="64"/>
        <v>58506.27</v>
      </c>
      <c r="AF171" s="69">
        <f t="shared" si="62"/>
        <v>4257481.58</v>
      </c>
    </row>
    <row r="172">
      <c r="A172" s="49"/>
      <c r="B172" s="183"/>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c r="Z172" s="183"/>
      <c r="AA172" s="183"/>
      <c r="AB172" s="183"/>
      <c r="AC172" s="183"/>
      <c r="AD172" s="183"/>
      <c r="AE172" s="183"/>
      <c r="AF172" s="279"/>
    </row>
    <row r="173">
      <c r="A173" s="184" t="s">
        <v>406</v>
      </c>
      <c r="B173" s="275"/>
      <c r="C173" s="275"/>
      <c r="D173" s="275"/>
      <c r="E173" s="275"/>
      <c r="F173" s="275"/>
      <c r="G173" s="275"/>
      <c r="H173" s="275"/>
      <c r="I173" s="275"/>
      <c r="J173" s="275"/>
      <c r="K173" s="275"/>
      <c r="L173" s="275"/>
      <c r="M173" s="275"/>
      <c r="N173" s="275"/>
      <c r="O173" s="275"/>
      <c r="P173" s="275"/>
      <c r="Q173" s="275"/>
      <c r="R173" s="275"/>
      <c r="S173" s="275"/>
      <c r="T173" s="275"/>
      <c r="U173" s="275"/>
      <c r="V173" s="275"/>
      <c r="W173" s="275"/>
      <c r="X173" s="275"/>
      <c r="Y173" s="275"/>
      <c r="Z173" s="275"/>
      <c r="AA173" s="275"/>
      <c r="AB173" s="275"/>
      <c r="AC173" s="275"/>
      <c r="AD173" s="275"/>
      <c r="AE173" s="275"/>
      <c r="AF173" s="279"/>
    </row>
    <row r="174" outlineLevel="1">
      <c r="A174" s="184" t="s">
        <v>264</v>
      </c>
      <c r="B174" s="123">
        <v>1392.94</v>
      </c>
      <c r="C174" s="123">
        <v>2266.4</v>
      </c>
      <c r="D174" s="123">
        <v>2049.6</v>
      </c>
      <c r="E174" s="123">
        <v>2700.95</v>
      </c>
      <c r="F174" s="123">
        <v>2893.16</v>
      </c>
      <c r="G174" s="123">
        <v>3012.73</v>
      </c>
      <c r="H174" s="123">
        <v>2893.33</v>
      </c>
      <c r="I174" s="123">
        <v>2794.87</v>
      </c>
      <c r="J174" s="123">
        <v>3303.05</v>
      </c>
      <c r="K174" s="123">
        <v>3406.36</v>
      </c>
      <c r="L174" s="123">
        <v>5033.11</v>
      </c>
      <c r="M174" s="123">
        <v>4823.91</v>
      </c>
      <c r="N174" s="123">
        <v>3063.5</v>
      </c>
      <c r="O174" s="123">
        <v>3597.96</v>
      </c>
      <c r="P174" s="123">
        <v>3142.28</v>
      </c>
      <c r="Q174" s="123">
        <v>2970.56</v>
      </c>
      <c r="R174" s="123">
        <v>3111.09</v>
      </c>
      <c r="S174" s="123">
        <v>3393.71</v>
      </c>
      <c r="T174" s="123">
        <v>3382.27</v>
      </c>
      <c r="U174" s="123">
        <v>4244.86</v>
      </c>
      <c r="V174" s="123">
        <v>4119.39</v>
      </c>
      <c r="W174" s="123">
        <v>6355.81</v>
      </c>
      <c r="X174" s="123">
        <v>7819.56</v>
      </c>
      <c r="Y174" s="123">
        <v>18384.2</v>
      </c>
      <c r="Z174" s="123">
        <v>11236.77</v>
      </c>
      <c r="AA174" s="123">
        <v>8912.06</v>
      </c>
      <c r="AB174" s="123">
        <v>13445.22</v>
      </c>
      <c r="AC174" s="123">
        <v>9025.86</v>
      </c>
      <c r="AD174" s="123">
        <v>2492.39</v>
      </c>
      <c r="AE174" s="123">
        <v>2256.34</v>
      </c>
      <c r="AF174" s="69">
        <f t="shared" ref="AF174:AF182" si="65">SUM(B174:AE174)</f>
        <v>147524.24</v>
      </c>
    </row>
    <row r="175" outlineLevel="1">
      <c r="A175" s="184" t="s">
        <v>267</v>
      </c>
      <c r="B175" s="123">
        <v>174.99</v>
      </c>
      <c r="C175" s="123">
        <v>286.69</v>
      </c>
      <c r="D175" s="123">
        <v>333.53</v>
      </c>
      <c r="E175" s="123">
        <v>677.29</v>
      </c>
      <c r="F175" s="123">
        <v>213.93</v>
      </c>
      <c r="G175" s="123">
        <v>244.08</v>
      </c>
      <c r="H175" s="123">
        <v>468.41</v>
      </c>
      <c r="I175" s="123">
        <v>697.11</v>
      </c>
      <c r="J175" s="123">
        <v>752.01</v>
      </c>
      <c r="K175" s="123">
        <v>700.25</v>
      </c>
      <c r="L175" s="123">
        <v>1240.27</v>
      </c>
      <c r="M175" s="123">
        <v>2932.98</v>
      </c>
      <c r="N175" s="123">
        <v>9097.48</v>
      </c>
      <c r="O175" s="123">
        <v>828.87</v>
      </c>
      <c r="P175" s="123">
        <v>591.2</v>
      </c>
      <c r="Q175" s="123">
        <v>720.32</v>
      </c>
      <c r="R175" s="123">
        <v>677.82</v>
      </c>
      <c r="S175" s="123">
        <v>532.44</v>
      </c>
      <c r="T175" s="123">
        <v>758.52</v>
      </c>
      <c r="U175" s="123">
        <v>1053.95</v>
      </c>
      <c r="V175" s="123">
        <v>929.87</v>
      </c>
      <c r="W175" s="123">
        <v>1293.58</v>
      </c>
      <c r="X175" s="123">
        <v>1617.33</v>
      </c>
      <c r="Y175" s="123">
        <v>4326.48</v>
      </c>
      <c r="Z175" s="123">
        <v>2312.29</v>
      </c>
      <c r="AA175" s="123">
        <v>1817.28</v>
      </c>
      <c r="AB175" s="123">
        <v>2915.5</v>
      </c>
      <c r="AC175" s="123">
        <v>1146.23</v>
      </c>
      <c r="AD175" s="123">
        <v>0.0</v>
      </c>
      <c r="AE175" s="123">
        <v>0.0</v>
      </c>
      <c r="AF175" s="69">
        <f t="shared" si="65"/>
        <v>39340.7</v>
      </c>
    </row>
    <row r="176" outlineLevel="1">
      <c r="A176" s="184" t="s">
        <v>437</v>
      </c>
      <c r="B176" s="123">
        <v>1073.46</v>
      </c>
      <c r="C176" s="123">
        <v>2901.39</v>
      </c>
      <c r="D176" s="123">
        <v>2312.47</v>
      </c>
      <c r="E176" s="123">
        <v>2396.36</v>
      </c>
      <c r="F176" s="123">
        <v>1389.0</v>
      </c>
      <c r="G176" s="123">
        <v>1741.55</v>
      </c>
      <c r="H176" s="123">
        <v>1920.1</v>
      </c>
      <c r="I176" s="123">
        <v>3031.18</v>
      </c>
      <c r="J176" s="123">
        <v>1849.32</v>
      </c>
      <c r="K176" s="123">
        <v>1614.48</v>
      </c>
      <c r="L176" s="123">
        <v>3136.01</v>
      </c>
      <c r="M176" s="123">
        <v>2656.87</v>
      </c>
      <c r="N176" s="123">
        <v>1628.74</v>
      </c>
      <c r="O176" s="123">
        <v>2103.54</v>
      </c>
      <c r="P176" s="123">
        <v>1827.74</v>
      </c>
      <c r="Q176" s="123">
        <v>1892.38</v>
      </c>
      <c r="R176" s="123">
        <v>1843.68</v>
      </c>
      <c r="S176" s="123">
        <v>1821.45</v>
      </c>
      <c r="T176" s="123">
        <v>2549.9</v>
      </c>
      <c r="U176" s="123">
        <v>2701.39</v>
      </c>
      <c r="V176" s="123">
        <v>2507.58</v>
      </c>
      <c r="W176" s="123">
        <v>3317.84</v>
      </c>
      <c r="X176" s="123">
        <v>4596.06</v>
      </c>
      <c r="Y176" s="123">
        <v>12199.08</v>
      </c>
      <c r="Z176" s="123">
        <v>5309.44</v>
      </c>
      <c r="AA176" s="123">
        <v>4808.34</v>
      </c>
      <c r="AB176" s="123">
        <v>7294.41</v>
      </c>
      <c r="AC176" s="123">
        <v>3870.79</v>
      </c>
      <c r="AD176" s="123">
        <v>960.17</v>
      </c>
      <c r="AE176" s="123">
        <v>883.59</v>
      </c>
      <c r="AF176" s="69">
        <f t="shared" si="65"/>
        <v>88138.31</v>
      </c>
    </row>
    <row r="177" outlineLevel="1">
      <c r="A177" s="184" t="s">
        <v>438</v>
      </c>
      <c r="B177" s="123">
        <v>132.15</v>
      </c>
      <c r="C177" s="123">
        <v>576.17</v>
      </c>
      <c r="D177" s="123">
        <v>280.32</v>
      </c>
      <c r="E177" s="123">
        <v>270.82</v>
      </c>
      <c r="F177" s="123">
        <v>132.04</v>
      </c>
      <c r="G177" s="123">
        <v>173.15</v>
      </c>
      <c r="H177" s="123">
        <v>171.44</v>
      </c>
      <c r="I177" s="123">
        <v>486.09</v>
      </c>
      <c r="J177" s="123">
        <v>278.13</v>
      </c>
      <c r="K177" s="123">
        <v>104.94</v>
      </c>
      <c r="L177" s="123">
        <v>97.71</v>
      </c>
      <c r="M177" s="123">
        <v>198.1</v>
      </c>
      <c r="N177" s="123">
        <v>210.9</v>
      </c>
      <c r="O177" s="123">
        <v>319.08</v>
      </c>
      <c r="P177" s="123">
        <v>67.97</v>
      </c>
      <c r="Q177" s="123">
        <v>141.32</v>
      </c>
      <c r="R177" s="123">
        <v>70.04</v>
      </c>
      <c r="S177" s="123">
        <v>249.75</v>
      </c>
      <c r="T177" s="123">
        <v>239.93</v>
      </c>
      <c r="U177" s="123">
        <v>378.17</v>
      </c>
      <c r="V177" s="123">
        <v>343.95</v>
      </c>
      <c r="W177" s="123">
        <v>692.02</v>
      </c>
      <c r="X177" s="123">
        <v>896.75</v>
      </c>
      <c r="Y177" s="123">
        <v>1505.81</v>
      </c>
      <c r="Z177" s="123">
        <v>973.74</v>
      </c>
      <c r="AA177" s="123">
        <v>829.89</v>
      </c>
      <c r="AB177" s="123">
        <v>950.63</v>
      </c>
      <c r="AC177" s="123">
        <v>924.12</v>
      </c>
      <c r="AD177" s="123">
        <v>742.58</v>
      </c>
      <c r="AE177" s="123">
        <v>853.23</v>
      </c>
      <c r="AF177" s="69">
        <f t="shared" si="65"/>
        <v>13290.94</v>
      </c>
    </row>
    <row r="178" outlineLevel="1">
      <c r="A178" s="184" t="s">
        <v>440</v>
      </c>
      <c r="B178" s="123">
        <v>734.85</v>
      </c>
      <c r="C178" s="123">
        <v>858.73</v>
      </c>
      <c r="D178" s="123">
        <v>953.01</v>
      </c>
      <c r="E178" s="123">
        <v>956.47</v>
      </c>
      <c r="F178" s="123">
        <v>1581.86</v>
      </c>
      <c r="G178" s="123">
        <v>787.81</v>
      </c>
      <c r="H178" s="123">
        <v>655.6</v>
      </c>
      <c r="I178" s="123">
        <v>909.5</v>
      </c>
      <c r="J178" s="123">
        <v>796.64</v>
      </c>
      <c r="K178" s="123">
        <v>880.54</v>
      </c>
      <c r="L178" s="123">
        <v>559.44</v>
      </c>
      <c r="M178" s="123">
        <v>477.28</v>
      </c>
      <c r="N178" s="123">
        <v>1008.82</v>
      </c>
      <c r="O178" s="123">
        <v>754.8</v>
      </c>
      <c r="P178" s="123">
        <v>699.0</v>
      </c>
      <c r="Q178" s="123">
        <v>559.51</v>
      </c>
      <c r="R178" s="123">
        <v>613.83</v>
      </c>
      <c r="S178" s="123">
        <v>1108.77</v>
      </c>
      <c r="T178" s="123">
        <v>642.77</v>
      </c>
      <c r="U178" s="123">
        <v>1112.75</v>
      </c>
      <c r="V178" s="123">
        <v>1359.25</v>
      </c>
      <c r="W178" s="123">
        <v>2237.02</v>
      </c>
      <c r="X178" s="123">
        <v>2374.66</v>
      </c>
      <c r="Y178" s="123">
        <v>6745.47</v>
      </c>
      <c r="Z178" s="123">
        <v>3038.7</v>
      </c>
      <c r="AA178" s="123">
        <v>3353.02</v>
      </c>
      <c r="AB178" s="123">
        <v>3082.18</v>
      </c>
      <c r="AC178" s="123">
        <v>2201.38</v>
      </c>
      <c r="AD178" s="123">
        <v>755.41</v>
      </c>
      <c r="AE178" s="123">
        <v>533.27</v>
      </c>
      <c r="AF178" s="69">
        <f t="shared" si="65"/>
        <v>42332.34</v>
      </c>
    </row>
    <row r="179" outlineLevel="1">
      <c r="A179" s="184" t="s">
        <v>441</v>
      </c>
      <c r="B179" s="123">
        <v>159.37</v>
      </c>
      <c r="C179" s="123">
        <v>160.21</v>
      </c>
      <c r="D179" s="123">
        <v>80.25</v>
      </c>
      <c r="E179" s="123">
        <v>226.51</v>
      </c>
      <c r="F179" s="123">
        <v>70.6</v>
      </c>
      <c r="G179" s="123">
        <v>239.43</v>
      </c>
      <c r="H179" s="123">
        <v>152.75</v>
      </c>
      <c r="I179" s="123">
        <v>0.0</v>
      </c>
      <c r="J179" s="123">
        <v>80.07</v>
      </c>
      <c r="K179" s="123">
        <v>146.94</v>
      </c>
      <c r="L179" s="123">
        <v>0.0</v>
      </c>
      <c r="M179" s="123">
        <v>0.0</v>
      </c>
      <c r="N179" s="123">
        <v>0.0</v>
      </c>
      <c r="O179" s="123">
        <v>79.97</v>
      </c>
      <c r="P179" s="123">
        <v>81.28</v>
      </c>
      <c r="Q179" s="123">
        <v>400.51</v>
      </c>
      <c r="R179" s="123">
        <v>63.75</v>
      </c>
      <c r="S179" s="123">
        <v>0.0</v>
      </c>
      <c r="T179" s="123">
        <v>220.03</v>
      </c>
      <c r="U179" s="123">
        <v>139.13</v>
      </c>
      <c r="V179" s="123">
        <v>0.0</v>
      </c>
      <c r="W179" s="123">
        <v>545.51</v>
      </c>
      <c r="X179" s="123">
        <v>398.46</v>
      </c>
      <c r="Y179" s="123">
        <v>1246.64</v>
      </c>
      <c r="Z179" s="123">
        <v>559.65</v>
      </c>
      <c r="AA179" s="123">
        <v>789.71</v>
      </c>
      <c r="AB179" s="123">
        <v>881.17</v>
      </c>
      <c r="AC179" s="123">
        <v>542.0</v>
      </c>
      <c r="AD179" s="123">
        <v>371.14</v>
      </c>
      <c r="AE179" s="123">
        <v>381.25</v>
      </c>
      <c r="AF179" s="69">
        <f t="shared" si="65"/>
        <v>8016.33</v>
      </c>
    </row>
    <row r="180" outlineLevel="1">
      <c r="A180" s="184" t="s">
        <v>442</v>
      </c>
      <c r="B180" s="123">
        <v>1818.55</v>
      </c>
      <c r="C180" s="123">
        <v>2920.73</v>
      </c>
      <c r="D180" s="123">
        <v>2351.25</v>
      </c>
      <c r="E180" s="123">
        <v>2969.99</v>
      </c>
      <c r="F180" s="123">
        <v>2934.57</v>
      </c>
      <c r="G180" s="123">
        <v>2894.13</v>
      </c>
      <c r="H180" s="123">
        <v>2538.86</v>
      </c>
      <c r="I180" s="123">
        <v>2856.89</v>
      </c>
      <c r="J180" s="123">
        <v>2590.84</v>
      </c>
      <c r="K180" s="123">
        <v>2798.76</v>
      </c>
      <c r="L180" s="123">
        <v>4054.74</v>
      </c>
      <c r="M180" s="123">
        <v>3990.73</v>
      </c>
      <c r="N180" s="123">
        <v>2750.11</v>
      </c>
      <c r="O180" s="123">
        <v>3167.2</v>
      </c>
      <c r="P180" s="123">
        <v>2831.83</v>
      </c>
      <c r="Q180" s="123">
        <v>2785.19</v>
      </c>
      <c r="R180" s="123">
        <v>2841.48</v>
      </c>
      <c r="S180" s="123">
        <v>3604.05</v>
      </c>
      <c r="T180" s="123">
        <v>3333.44</v>
      </c>
      <c r="U180" s="123">
        <v>3426.67</v>
      </c>
      <c r="V180" s="123">
        <v>3373.98</v>
      </c>
      <c r="W180" s="123">
        <v>5657.34</v>
      </c>
      <c r="X180" s="123">
        <v>6532.89</v>
      </c>
      <c r="Y180" s="123">
        <v>16678.01</v>
      </c>
      <c r="Z180" s="123">
        <v>9263.32</v>
      </c>
      <c r="AA180" s="123">
        <v>7939.02</v>
      </c>
      <c r="AB180" s="123">
        <v>10754.39</v>
      </c>
      <c r="AC180" s="123">
        <v>7042.06</v>
      </c>
      <c r="AD180" s="123">
        <v>1625.91</v>
      </c>
      <c r="AE180" s="123">
        <v>1664.77</v>
      </c>
      <c r="AF180" s="69">
        <f t="shared" si="65"/>
        <v>129991.7</v>
      </c>
    </row>
    <row r="181" outlineLevel="1">
      <c r="A181" s="184" t="s">
        <v>443</v>
      </c>
      <c r="B181" s="123">
        <v>298.97</v>
      </c>
      <c r="C181" s="123">
        <v>358.44</v>
      </c>
      <c r="D181" s="123">
        <v>306.68</v>
      </c>
      <c r="E181" s="123">
        <v>441.17</v>
      </c>
      <c r="F181" s="123">
        <v>453.57</v>
      </c>
      <c r="G181" s="123">
        <v>299.49</v>
      </c>
      <c r="H181" s="123">
        <v>251.1</v>
      </c>
      <c r="I181" s="123">
        <v>221.44</v>
      </c>
      <c r="J181" s="123">
        <v>357.22</v>
      </c>
      <c r="K181" s="123">
        <v>121.37</v>
      </c>
      <c r="L181" s="123">
        <v>318.58</v>
      </c>
      <c r="M181" s="123">
        <v>302.88</v>
      </c>
      <c r="N181" s="123">
        <v>323.76</v>
      </c>
      <c r="O181" s="123">
        <v>315.89</v>
      </c>
      <c r="P181" s="123">
        <v>264.54</v>
      </c>
      <c r="Q181" s="123">
        <v>164.96</v>
      </c>
      <c r="R181" s="123">
        <v>310.85</v>
      </c>
      <c r="S181" s="123">
        <v>281.71</v>
      </c>
      <c r="T181" s="123">
        <v>488.0</v>
      </c>
      <c r="U181" s="123">
        <v>543.66</v>
      </c>
      <c r="V181" s="123">
        <v>602.91</v>
      </c>
      <c r="W181" s="123">
        <v>1342.07</v>
      </c>
      <c r="X181" s="123">
        <v>1424.77</v>
      </c>
      <c r="Y181" s="123">
        <v>2617.94</v>
      </c>
      <c r="Z181" s="123">
        <v>1768.57</v>
      </c>
      <c r="AA181" s="123">
        <v>1227.61</v>
      </c>
      <c r="AB181" s="123">
        <v>1723.75</v>
      </c>
      <c r="AC181" s="123">
        <v>1683.54</v>
      </c>
      <c r="AD181" s="123">
        <v>1032.64</v>
      </c>
      <c r="AE181" s="123">
        <v>856.87</v>
      </c>
      <c r="AF181" s="69">
        <f t="shared" si="65"/>
        <v>20704.95</v>
      </c>
    </row>
    <row r="182">
      <c r="A182" s="276" t="s">
        <v>162</v>
      </c>
      <c r="B182" s="295">
        <f t="shared" ref="B182:AE182" si="66">SUM(B174:B181)</f>
        <v>5785.28</v>
      </c>
      <c r="C182" s="295">
        <f t="shared" si="66"/>
        <v>10328.76</v>
      </c>
      <c r="D182" s="295">
        <f t="shared" si="66"/>
        <v>8667.11</v>
      </c>
      <c r="E182" s="295">
        <f t="shared" si="66"/>
        <v>10639.56</v>
      </c>
      <c r="F182" s="295">
        <f t="shared" si="66"/>
        <v>9668.73</v>
      </c>
      <c r="G182" s="295">
        <f t="shared" si="66"/>
        <v>9392.37</v>
      </c>
      <c r="H182" s="295">
        <f t="shared" si="66"/>
        <v>9051.59</v>
      </c>
      <c r="I182" s="295">
        <f t="shared" si="66"/>
        <v>10997.08</v>
      </c>
      <c r="J182" s="295">
        <f t="shared" si="66"/>
        <v>10007.28</v>
      </c>
      <c r="K182" s="295">
        <f t="shared" si="66"/>
        <v>9773.64</v>
      </c>
      <c r="L182" s="295">
        <f t="shared" si="66"/>
        <v>14439.86</v>
      </c>
      <c r="M182" s="295">
        <f t="shared" si="66"/>
        <v>15382.75</v>
      </c>
      <c r="N182" s="295">
        <f t="shared" si="66"/>
        <v>18083.31</v>
      </c>
      <c r="O182" s="295">
        <f t="shared" si="66"/>
        <v>11167.31</v>
      </c>
      <c r="P182" s="295">
        <f t="shared" si="66"/>
        <v>9505.84</v>
      </c>
      <c r="Q182" s="295">
        <f t="shared" si="66"/>
        <v>9634.75</v>
      </c>
      <c r="R182" s="295">
        <f t="shared" si="66"/>
        <v>9532.54</v>
      </c>
      <c r="S182" s="295">
        <f t="shared" si="66"/>
        <v>10991.88</v>
      </c>
      <c r="T182" s="295">
        <f t="shared" si="66"/>
        <v>11614.86</v>
      </c>
      <c r="U182" s="295">
        <f t="shared" si="66"/>
        <v>13600.58</v>
      </c>
      <c r="V182" s="295">
        <f t="shared" si="66"/>
        <v>13236.93</v>
      </c>
      <c r="W182" s="295">
        <f t="shared" si="66"/>
        <v>21441.19</v>
      </c>
      <c r="X182" s="295">
        <f t="shared" si="66"/>
        <v>25660.48</v>
      </c>
      <c r="Y182" s="295">
        <f t="shared" si="66"/>
        <v>63703.63</v>
      </c>
      <c r="Z182" s="295">
        <f t="shared" si="66"/>
        <v>34462.48</v>
      </c>
      <c r="AA182" s="295">
        <f t="shared" si="66"/>
        <v>29676.93</v>
      </c>
      <c r="AB182" s="295">
        <f t="shared" si="66"/>
        <v>41047.25</v>
      </c>
      <c r="AC182" s="295">
        <f t="shared" si="66"/>
        <v>26435.98</v>
      </c>
      <c r="AD182" s="295">
        <f t="shared" si="66"/>
        <v>7980.24</v>
      </c>
      <c r="AE182" s="295">
        <f t="shared" si="66"/>
        <v>7429.32</v>
      </c>
      <c r="AF182" s="69">
        <f t="shared" si="65"/>
        <v>489339.51</v>
      </c>
    </row>
    <row r="183">
      <c r="A183" s="49"/>
      <c r="B183" s="183"/>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c r="Z183" s="183"/>
      <c r="AA183" s="183"/>
      <c r="AB183" s="183"/>
      <c r="AC183" s="183"/>
      <c r="AD183" s="183"/>
      <c r="AE183" s="183"/>
      <c r="AF183" s="279"/>
    </row>
    <row r="184">
      <c r="A184" s="184" t="s">
        <v>446</v>
      </c>
      <c r="B184" s="275"/>
      <c r="C184" s="275"/>
      <c r="D184" s="275"/>
      <c r="E184" s="275"/>
      <c r="F184" s="275"/>
      <c r="G184" s="275"/>
      <c r="H184" s="275"/>
      <c r="I184" s="275"/>
      <c r="J184" s="275"/>
      <c r="K184" s="275"/>
      <c r="L184" s="275"/>
      <c r="M184" s="275"/>
      <c r="N184" s="275"/>
      <c r="O184" s="275"/>
      <c r="P184" s="275"/>
      <c r="Q184" s="275"/>
      <c r="R184" s="275"/>
      <c r="S184" s="275"/>
      <c r="T184" s="275"/>
      <c r="U184" s="275"/>
      <c r="V184" s="275"/>
      <c r="W184" s="275"/>
      <c r="X184" s="275"/>
      <c r="Y184" s="275"/>
      <c r="Z184" s="275"/>
      <c r="AA184" s="275"/>
      <c r="AB184" s="275"/>
      <c r="AC184" s="275"/>
      <c r="AD184" s="275"/>
      <c r="AE184" s="275"/>
      <c r="AF184" s="279"/>
    </row>
    <row r="185" outlineLevel="1">
      <c r="A185" s="184" t="s">
        <v>264</v>
      </c>
      <c r="B185" s="128">
        <v>358.17</v>
      </c>
      <c r="C185" s="128">
        <v>253.17</v>
      </c>
      <c r="D185" s="128">
        <v>214.33</v>
      </c>
      <c r="E185" s="128">
        <v>110.0</v>
      </c>
      <c r="F185" s="128">
        <v>297.0</v>
      </c>
      <c r="G185" s="128">
        <v>180.33</v>
      </c>
      <c r="H185" s="128">
        <v>194.0</v>
      </c>
      <c r="I185" s="128">
        <v>192.0</v>
      </c>
      <c r="J185" s="128">
        <v>136.67</v>
      </c>
      <c r="K185" s="128">
        <v>115.0</v>
      </c>
      <c r="L185" s="128">
        <v>120.0</v>
      </c>
      <c r="M185" s="128">
        <v>192.0</v>
      </c>
      <c r="N185" s="128">
        <v>255.5</v>
      </c>
      <c r="O185" s="128">
        <v>253.0</v>
      </c>
      <c r="P185" s="128">
        <v>401.67</v>
      </c>
      <c r="Q185" s="128">
        <v>364.0</v>
      </c>
      <c r="R185" s="128">
        <v>231.67</v>
      </c>
      <c r="S185" s="128">
        <v>604.83</v>
      </c>
      <c r="T185" s="128">
        <v>450.0</v>
      </c>
      <c r="U185" s="128">
        <v>608.17</v>
      </c>
      <c r="V185" s="128">
        <v>398.9</v>
      </c>
      <c r="W185" s="128">
        <v>679.14</v>
      </c>
      <c r="X185" s="128">
        <v>960.43</v>
      </c>
      <c r="Y185" s="128">
        <v>1378.66</v>
      </c>
      <c r="Z185" s="128">
        <v>738.6</v>
      </c>
      <c r="AA185" s="128">
        <v>1078.1</v>
      </c>
      <c r="AB185" s="128">
        <v>537.0</v>
      </c>
      <c r="AC185" s="128">
        <v>298.0</v>
      </c>
      <c r="AD185" s="128">
        <v>29.0</v>
      </c>
      <c r="AE185" s="128">
        <v>157.33</v>
      </c>
      <c r="AF185" s="69">
        <f t="shared" ref="AF185:AF193" si="67">SUM(B185:AE185)</f>
        <v>11786.67</v>
      </c>
    </row>
    <row r="186" outlineLevel="1">
      <c r="A186" s="184" t="s">
        <v>267</v>
      </c>
      <c r="B186" s="128">
        <v>89.3</v>
      </c>
      <c r="C186" s="128">
        <v>54.5</v>
      </c>
      <c r="D186" s="128">
        <v>55.34</v>
      </c>
      <c r="E186" s="128">
        <v>38.0</v>
      </c>
      <c r="F186" s="128">
        <v>19.0</v>
      </c>
      <c r="G186" s="128">
        <v>57.0</v>
      </c>
      <c r="H186" s="128">
        <v>17.0</v>
      </c>
      <c r="I186" s="128">
        <v>0.0</v>
      </c>
      <c r="J186" s="128">
        <v>53.0</v>
      </c>
      <c r="K186" s="128">
        <v>66.34</v>
      </c>
      <c r="L186" s="128">
        <v>38.0</v>
      </c>
      <c r="M186" s="128">
        <v>57.0</v>
      </c>
      <c r="N186" s="128">
        <v>89.0</v>
      </c>
      <c r="O186" s="128">
        <v>108.0</v>
      </c>
      <c r="P186" s="128">
        <v>69.0</v>
      </c>
      <c r="Q186" s="128">
        <v>57.0</v>
      </c>
      <c r="R186" s="128">
        <v>89.17</v>
      </c>
      <c r="S186" s="128">
        <v>95.0</v>
      </c>
      <c r="T186" s="128">
        <v>95.0</v>
      </c>
      <c r="U186" s="128">
        <v>95.0</v>
      </c>
      <c r="V186" s="128">
        <v>62.1</v>
      </c>
      <c r="W186" s="128">
        <v>45.6</v>
      </c>
      <c r="X186" s="128">
        <v>205.0</v>
      </c>
      <c r="Y186" s="128">
        <v>326.34</v>
      </c>
      <c r="Z186" s="128">
        <v>123.3</v>
      </c>
      <c r="AA186" s="128">
        <v>337.3</v>
      </c>
      <c r="AB186" s="128">
        <v>200.0</v>
      </c>
      <c r="AC186" s="128">
        <v>19.0</v>
      </c>
      <c r="AD186" s="128">
        <v>0.0</v>
      </c>
      <c r="AE186" s="128">
        <v>0.0</v>
      </c>
      <c r="AF186" s="69">
        <f t="shared" si="67"/>
        <v>2560.29</v>
      </c>
    </row>
    <row r="187" outlineLevel="1">
      <c r="A187" s="184" t="s">
        <v>447</v>
      </c>
      <c r="B187" s="128">
        <v>228.5</v>
      </c>
      <c r="C187" s="128">
        <v>291.17</v>
      </c>
      <c r="D187" s="128">
        <v>295.33</v>
      </c>
      <c r="E187" s="128">
        <v>165.0</v>
      </c>
      <c r="F187" s="128">
        <v>99.0</v>
      </c>
      <c r="G187" s="128">
        <v>165.0</v>
      </c>
      <c r="H187" s="128">
        <v>130.0</v>
      </c>
      <c r="I187" s="128">
        <v>165.0</v>
      </c>
      <c r="J187" s="128">
        <v>128.0</v>
      </c>
      <c r="K187" s="128">
        <v>61.0</v>
      </c>
      <c r="L187" s="128">
        <v>66.0</v>
      </c>
      <c r="M187" s="128">
        <v>264.0</v>
      </c>
      <c r="N187" s="128">
        <v>156.5</v>
      </c>
      <c r="O187" s="128">
        <v>93.0</v>
      </c>
      <c r="P187" s="128">
        <v>191.0</v>
      </c>
      <c r="Q187" s="128">
        <v>264.0</v>
      </c>
      <c r="R187" s="128">
        <v>259.0</v>
      </c>
      <c r="S187" s="128">
        <v>360.5</v>
      </c>
      <c r="T187" s="128">
        <v>353.0</v>
      </c>
      <c r="U187" s="128">
        <v>228.5</v>
      </c>
      <c r="V187" s="128">
        <v>240.2</v>
      </c>
      <c r="W187" s="128">
        <v>244.2</v>
      </c>
      <c r="X187" s="128">
        <v>323.5</v>
      </c>
      <c r="Y187" s="128">
        <v>621.33</v>
      </c>
      <c r="Z187" s="128">
        <v>410.1</v>
      </c>
      <c r="AA187" s="128">
        <v>652.7</v>
      </c>
      <c r="AB187" s="128">
        <v>392.0</v>
      </c>
      <c r="AC187" s="128">
        <v>99.0</v>
      </c>
      <c r="AD187" s="128">
        <v>39.0</v>
      </c>
      <c r="AE187" s="128">
        <v>78.0</v>
      </c>
      <c r="AF187" s="69">
        <f t="shared" si="67"/>
        <v>7063.53</v>
      </c>
    </row>
    <row r="188" outlineLevel="1">
      <c r="A188" s="184" t="s">
        <v>448</v>
      </c>
      <c r="B188" s="128">
        <v>33.0</v>
      </c>
      <c r="C188" s="128">
        <v>66.0</v>
      </c>
      <c r="D188" s="128">
        <v>33.0</v>
      </c>
      <c r="E188" s="128">
        <v>33.0</v>
      </c>
      <c r="F188" s="128">
        <v>0.0</v>
      </c>
      <c r="G188" s="128">
        <v>0.0</v>
      </c>
      <c r="H188" s="128">
        <v>0.0</v>
      </c>
      <c r="I188" s="128">
        <v>0.0</v>
      </c>
      <c r="J188" s="128">
        <v>0.0</v>
      </c>
      <c r="K188" s="128">
        <v>23.33</v>
      </c>
      <c r="L188" s="128">
        <v>0.0</v>
      </c>
      <c r="M188" s="128">
        <v>33.0</v>
      </c>
      <c r="N188" s="128">
        <v>66.0</v>
      </c>
      <c r="O188" s="128">
        <v>0.0</v>
      </c>
      <c r="P188" s="128">
        <v>0.0</v>
      </c>
      <c r="Q188" s="128">
        <v>0.0</v>
      </c>
      <c r="R188" s="128">
        <v>0.0</v>
      </c>
      <c r="S188" s="128">
        <v>0.0</v>
      </c>
      <c r="T188" s="128">
        <v>0.0</v>
      </c>
      <c r="U188" s="128">
        <v>0.0</v>
      </c>
      <c r="V188" s="128">
        <v>0.0</v>
      </c>
      <c r="W188" s="128">
        <v>0.0</v>
      </c>
      <c r="X188" s="128">
        <v>89.1</v>
      </c>
      <c r="Y188" s="128">
        <v>198.0</v>
      </c>
      <c r="Z188" s="128">
        <v>66.0</v>
      </c>
      <c r="AA188" s="128">
        <v>132.0</v>
      </c>
      <c r="AB188" s="128">
        <v>0.0</v>
      </c>
      <c r="AC188" s="128">
        <v>26.33</v>
      </c>
      <c r="AD188" s="128">
        <v>0.0</v>
      </c>
      <c r="AE188" s="128">
        <v>156.0</v>
      </c>
      <c r="AF188" s="69">
        <f t="shared" si="67"/>
        <v>954.76</v>
      </c>
    </row>
    <row r="189" outlineLevel="1">
      <c r="A189" s="184" t="s">
        <v>449</v>
      </c>
      <c r="B189" s="128">
        <v>75.0</v>
      </c>
      <c r="C189" s="128">
        <v>0.0</v>
      </c>
      <c r="D189" s="128">
        <v>75.0</v>
      </c>
      <c r="E189" s="128">
        <v>150.0</v>
      </c>
      <c r="F189" s="128">
        <v>0.0</v>
      </c>
      <c r="G189" s="128">
        <v>75.0</v>
      </c>
      <c r="H189" s="128">
        <v>0.0</v>
      </c>
      <c r="I189" s="128">
        <v>75.0</v>
      </c>
      <c r="J189" s="128">
        <v>150.0</v>
      </c>
      <c r="K189" s="128">
        <v>150.0</v>
      </c>
      <c r="L189" s="128">
        <v>202.5</v>
      </c>
      <c r="M189" s="128">
        <v>0.0</v>
      </c>
      <c r="N189" s="128">
        <v>75.0</v>
      </c>
      <c r="O189" s="128">
        <v>0.0</v>
      </c>
      <c r="P189" s="128">
        <v>225.0</v>
      </c>
      <c r="Q189" s="128">
        <v>140.0</v>
      </c>
      <c r="R189" s="128">
        <v>0.0</v>
      </c>
      <c r="S189" s="128">
        <v>0.0</v>
      </c>
      <c r="T189" s="128">
        <v>0.0</v>
      </c>
      <c r="U189" s="128">
        <v>75.0</v>
      </c>
      <c r="V189" s="128">
        <v>0.0</v>
      </c>
      <c r="W189" s="128">
        <v>427.5</v>
      </c>
      <c r="X189" s="128">
        <v>300.0</v>
      </c>
      <c r="Y189" s="128">
        <v>750.0</v>
      </c>
      <c r="Z189" s="128">
        <v>290.0</v>
      </c>
      <c r="AA189" s="128">
        <v>295.0</v>
      </c>
      <c r="AB189" s="128">
        <v>75.0</v>
      </c>
      <c r="AC189" s="128">
        <v>0.0</v>
      </c>
      <c r="AD189" s="128">
        <v>0.0</v>
      </c>
      <c r="AE189" s="128">
        <v>0.0</v>
      </c>
      <c r="AF189" s="69">
        <f t="shared" si="67"/>
        <v>3605</v>
      </c>
    </row>
    <row r="190" outlineLevel="1">
      <c r="A190" s="184" t="s">
        <v>450</v>
      </c>
      <c r="B190" s="128">
        <v>150.0</v>
      </c>
      <c r="C190" s="128">
        <v>0.0</v>
      </c>
      <c r="D190" s="128">
        <v>75.0</v>
      </c>
      <c r="E190" s="128">
        <v>0.0</v>
      </c>
      <c r="F190" s="128">
        <v>0.0</v>
      </c>
      <c r="G190" s="128">
        <v>75.0</v>
      </c>
      <c r="H190" s="128">
        <v>0.0</v>
      </c>
      <c r="I190" s="128">
        <v>0.0</v>
      </c>
      <c r="J190" s="128">
        <v>0.0</v>
      </c>
      <c r="K190" s="128">
        <v>75.0</v>
      </c>
      <c r="L190" s="128">
        <v>0.0</v>
      </c>
      <c r="M190" s="128">
        <v>0.0</v>
      </c>
      <c r="N190" s="128">
        <v>0.0</v>
      </c>
      <c r="O190" s="128">
        <v>0.0</v>
      </c>
      <c r="P190" s="128">
        <v>0.0</v>
      </c>
      <c r="Q190" s="128">
        <v>0.0</v>
      </c>
      <c r="R190" s="128">
        <v>75.0</v>
      </c>
      <c r="S190" s="128">
        <v>0.0</v>
      </c>
      <c r="T190" s="128">
        <v>75.0</v>
      </c>
      <c r="U190" s="128">
        <v>75.0</v>
      </c>
      <c r="V190" s="128">
        <v>0.0</v>
      </c>
      <c r="W190" s="128">
        <v>75.0</v>
      </c>
      <c r="X190" s="128">
        <v>75.0</v>
      </c>
      <c r="Y190" s="128">
        <v>0.0</v>
      </c>
      <c r="Z190" s="128">
        <v>0.0</v>
      </c>
      <c r="AA190" s="128">
        <v>75.0</v>
      </c>
      <c r="AB190" s="128">
        <v>75.0</v>
      </c>
      <c r="AC190" s="128">
        <v>0.0</v>
      </c>
      <c r="AD190" s="128">
        <v>0.0</v>
      </c>
      <c r="AE190" s="128">
        <v>0.0</v>
      </c>
      <c r="AF190" s="69">
        <f t="shared" si="67"/>
        <v>900</v>
      </c>
    </row>
    <row r="191" outlineLevel="1">
      <c r="A191" s="184" t="s">
        <v>451</v>
      </c>
      <c r="B191" s="128">
        <v>296.17</v>
      </c>
      <c r="C191" s="128">
        <v>164.67</v>
      </c>
      <c r="D191" s="128">
        <v>353.34</v>
      </c>
      <c r="E191" s="128">
        <v>216.0</v>
      </c>
      <c r="F191" s="128">
        <v>379.0</v>
      </c>
      <c r="G191" s="128">
        <v>113.34</v>
      </c>
      <c r="H191" s="128">
        <v>238.0</v>
      </c>
      <c r="I191" s="128">
        <v>134.0</v>
      </c>
      <c r="J191" s="128">
        <v>160.67</v>
      </c>
      <c r="K191" s="128">
        <v>105.0</v>
      </c>
      <c r="L191" s="128">
        <v>120.0</v>
      </c>
      <c r="M191" s="128">
        <v>168.0</v>
      </c>
      <c r="N191" s="128">
        <v>346.5</v>
      </c>
      <c r="O191" s="128">
        <v>224.0</v>
      </c>
      <c r="P191" s="128">
        <v>151.0</v>
      </c>
      <c r="Q191" s="128">
        <v>264.0</v>
      </c>
      <c r="R191" s="128">
        <v>304.5</v>
      </c>
      <c r="S191" s="128">
        <v>402.84</v>
      </c>
      <c r="T191" s="128">
        <v>297.0</v>
      </c>
      <c r="U191" s="128">
        <v>450.17</v>
      </c>
      <c r="V191" s="128">
        <v>339.4</v>
      </c>
      <c r="W191" s="128">
        <v>403.2</v>
      </c>
      <c r="X191" s="128">
        <v>610.84</v>
      </c>
      <c r="Y191" s="128">
        <v>769.69</v>
      </c>
      <c r="Z191" s="128">
        <v>518.6</v>
      </c>
      <c r="AA191" s="128">
        <v>594.1</v>
      </c>
      <c r="AB191" s="128">
        <v>506.8</v>
      </c>
      <c r="AC191" s="128">
        <v>149.0</v>
      </c>
      <c r="AD191" s="128">
        <v>174.0</v>
      </c>
      <c r="AE191" s="128">
        <v>145.0</v>
      </c>
      <c r="AF191" s="69">
        <f t="shared" si="67"/>
        <v>9098.83</v>
      </c>
    </row>
    <row r="192" outlineLevel="1">
      <c r="A192" s="184" t="s">
        <v>452</v>
      </c>
      <c r="B192" s="128">
        <v>48.0</v>
      </c>
      <c r="C192" s="128">
        <v>44.67</v>
      </c>
      <c r="D192" s="128">
        <v>24.0</v>
      </c>
      <c r="E192" s="128">
        <v>24.0</v>
      </c>
      <c r="F192" s="128">
        <v>0.0</v>
      </c>
      <c r="G192" s="128">
        <v>0.0</v>
      </c>
      <c r="H192" s="128">
        <v>0.0</v>
      </c>
      <c r="I192" s="128">
        <v>0.0</v>
      </c>
      <c r="J192" s="128">
        <v>24.0</v>
      </c>
      <c r="K192" s="128">
        <v>14.33</v>
      </c>
      <c r="L192" s="128">
        <v>24.0</v>
      </c>
      <c r="M192" s="128">
        <v>24.0</v>
      </c>
      <c r="N192" s="128">
        <v>48.0</v>
      </c>
      <c r="O192" s="128">
        <v>62.0</v>
      </c>
      <c r="P192" s="128">
        <v>68.67</v>
      </c>
      <c r="Q192" s="128">
        <v>0.0</v>
      </c>
      <c r="R192" s="128">
        <v>24.0</v>
      </c>
      <c r="S192" s="128">
        <v>24.0</v>
      </c>
      <c r="T192" s="128">
        <v>0.0</v>
      </c>
      <c r="U192" s="128">
        <v>24.0</v>
      </c>
      <c r="V192" s="128">
        <v>69.5</v>
      </c>
      <c r="W192" s="128">
        <v>79.33</v>
      </c>
      <c r="X192" s="128">
        <v>174.8</v>
      </c>
      <c r="Y192" s="128">
        <v>192.0</v>
      </c>
      <c r="Z192" s="128">
        <v>96.0</v>
      </c>
      <c r="AA192" s="128">
        <v>184.8</v>
      </c>
      <c r="AB192" s="128">
        <v>48.0</v>
      </c>
      <c r="AC192" s="128">
        <v>41.34</v>
      </c>
      <c r="AD192" s="128">
        <v>0.0</v>
      </c>
      <c r="AE192" s="128">
        <v>138.34</v>
      </c>
      <c r="AF192" s="69">
        <f t="shared" si="67"/>
        <v>1501.78</v>
      </c>
    </row>
    <row r="193">
      <c r="A193" s="276" t="s">
        <v>162</v>
      </c>
      <c r="B193" s="295">
        <f t="shared" ref="B193:AE193" si="68">SUM(B185:B192)</f>
        <v>1278.14</v>
      </c>
      <c r="C193" s="295">
        <f t="shared" si="68"/>
        <v>874.18</v>
      </c>
      <c r="D193" s="295">
        <f t="shared" si="68"/>
        <v>1125.34</v>
      </c>
      <c r="E193" s="295">
        <f t="shared" si="68"/>
        <v>736</v>
      </c>
      <c r="F193" s="295">
        <f t="shared" si="68"/>
        <v>794</v>
      </c>
      <c r="G193" s="295">
        <f t="shared" si="68"/>
        <v>665.67</v>
      </c>
      <c r="H193" s="295">
        <f t="shared" si="68"/>
        <v>579</v>
      </c>
      <c r="I193" s="295">
        <f t="shared" si="68"/>
        <v>566</v>
      </c>
      <c r="J193" s="295">
        <f t="shared" si="68"/>
        <v>652.34</v>
      </c>
      <c r="K193" s="295">
        <f t="shared" si="68"/>
        <v>610</v>
      </c>
      <c r="L193" s="295">
        <f t="shared" si="68"/>
        <v>570.5</v>
      </c>
      <c r="M193" s="295">
        <f t="shared" si="68"/>
        <v>738</v>
      </c>
      <c r="N193" s="295">
        <f t="shared" si="68"/>
        <v>1036.5</v>
      </c>
      <c r="O193" s="295">
        <f t="shared" si="68"/>
        <v>740</v>
      </c>
      <c r="P193" s="295">
        <f t="shared" si="68"/>
        <v>1106.34</v>
      </c>
      <c r="Q193" s="295">
        <f t="shared" si="68"/>
        <v>1089</v>
      </c>
      <c r="R193" s="295">
        <f t="shared" si="68"/>
        <v>983.34</v>
      </c>
      <c r="S193" s="295">
        <f t="shared" si="68"/>
        <v>1487.17</v>
      </c>
      <c r="T193" s="295">
        <f t="shared" si="68"/>
        <v>1270</v>
      </c>
      <c r="U193" s="295">
        <f t="shared" si="68"/>
        <v>1555.84</v>
      </c>
      <c r="V193" s="295">
        <f t="shared" si="68"/>
        <v>1110.1</v>
      </c>
      <c r="W193" s="295">
        <f t="shared" si="68"/>
        <v>1953.97</v>
      </c>
      <c r="X193" s="295">
        <f t="shared" si="68"/>
        <v>2738.67</v>
      </c>
      <c r="Y193" s="295">
        <f t="shared" si="68"/>
        <v>4236.02</v>
      </c>
      <c r="Z193" s="295">
        <f t="shared" si="68"/>
        <v>2242.6</v>
      </c>
      <c r="AA193" s="295">
        <f t="shared" si="68"/>
        <v>3349</v>
      </c>
      <c r="AB193" s="295">
        <f t="shared" si="68"/>
        <v>1833.8</v>
      </c>
      <c r="AC193" s="295">
        <f t="shared" si="68"/>
        <v>632.67</v>
      </c>
      <c r="AD193" s="295">
        <f t="shared" si="68"/>
        <v>242</v>
      </c>
      <c r="AE193" s="295">
        <f t="shared" si="68"/>
        <v>674.67</v>
      </c>
      <c r="AF193" s="69">
        <f t="shared" si="67"/>
        <v>37470.86</v>
      </c>
    </row>
    <row r="194">
      <c r="A194" s="4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10"/>
    </row>
    <row r="195">
      <c r="A195" s="277" t="s">
        <v>453</v>
      </c>
      <c r="B195" s="332"/>
      <c r="C195" s="332"/>
      <c r="D195" s="332"/>
      <c r="E195" s="332"/>
      <c r="F195" s="332"/>
      <c r="G195" s="332"/>
      <c r="H195" s="332"/>
      <c r="I195" s="332"/>
      <c r="J195" s="332"/>
      <c r="K195" s="332"/>
      <c r="L195" s="332"/>
      <c r="M195" s="332"/>
      <c r="N195" s="332"/>
      <c r="O195" s="332"/>
      <c r="P195" s="332"/>
      <c r="Q195" s="332"/>
      <c r="R195" s="332"/>
      <c r="S195" s="332"/>
      <c r="T195" s="332"/>
      <c r="U195" s="332"/>
      <c r="V195" s="332"/>
      <c r="W195" s="332"/>
      <c r="X195" s="332"/>
      <c r="Y195" s="332"/>
      <c r="Z195" s="332"/>
      <c r="AA195" s="332"/>
      <c r="AB195" s="332"/>
      <c r="AC195" s="332"/>
      <c r="AD195" s="332"/>
      <c r="AE195" s="332"/>
      <c r="AF195" s="10"/>
    </row>
    <row r="196">
      <c r="A196" s="333" t="s">
        <v>127</v>
      </c>
      <c r="B196" s="334">
        <v>0.0</v>
      </c>
      <c r="C196" s="334">
        <v>0.0</v>
      </c>
      <c r="D196" s="334">
        <v>0.0</v>
      </c>
      <c r="E196" s="334">
        <v>0.0</v>
      </c>
      <c r="F196" s="334">
        <v>0.0</v>
      </c>
      <c r="G196" s="334">
        <v>0.0</v>
      </c>
      <c r="H196" s="334">
        <v>0.0</v>
      </c>
      <c r="I196" s="334">
        <v>0.0</v>
      </c>
      <c r="J196" s="334">
        <v>590.3</v>
      </c>
      <c r="K196" s="334">
        <v>377.48</v>
      </c>
      <c r="L196" s="334">
        <v>295.19</v>
      </c>
      <c r="M196" s="334">
        <v>172.67</v>
      </c>
      <c r="N196" s="334">
        <v>0.0</v>
      </c>
      <c r="O196" s="334">
        <v>727.91</v>
      </c>
      <c r="P196" s="334">
        <v>711.82</v>
      </c>
      <c r="Q196" s="334">
        <v>901.6</v>
      </c>
      <c r="R196" s="334">
        <v>678.7</v>
      </c>
      <c r="S196" s="334">
        <v>290.6</v>
      </c>
      <c r="T196" s="334">
        <v>232.38</v>
      </c>
      <c r="U196" s="334">
        <v>193.53</v>
      </c>
      <c r="V196" s="334">
        <v>293.87</v>
      </c>
      <c r="W196" s="334">
        <v>432.49</v>
      </c>
      <c r="X196" s="334">
        <v>436.93</v>
      </c>
      <c r="Y196" s="334">
        <v>973.03</v>
      </c>
      <c r="Z196" s="334">
        <v>644.48</v>
      </c>
      <c r="AA196" s="334">
        <v>294.12</v>
      </c>
      <c r="AB196" s="334">
        <v>831.78</v>
      </c>
      <c r="AC196" s="334">
        <v>824.71</v>
      </c>
      <c r="AD196" s="334">
        <v>184.5</v>
      </c>
      <c r="AE196" s="334">
        <v>123.03</v>
      </c>
      <c r="AF196" s="69">
        <f>SUM(B196:AE196)</f>
        <v>10211.12</v>
      </c>
    </row>
    <row r="197">
      <c r="A197" s="4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10"/>
    </row>
    <row r="198">
      <c r="A198" s="335" t="s">
        <v>454</v>
      </c>
      <c r="B198" s="336"/>
      <c r="C198" s="336"/>
      <c r="D198" s="336"/>
      <c r="E198" s="336"/>
      <c r="F198" s="336"/>
      <c r="G198" s="336"/>
      <c r="H198" s="336"/>
      <c r="I198" s="337"/>
      <c r="J198" s="337"/>
      <c r="K198" s="337"/>
      <c r="L198" s="337"/>
      <c r="M198" s="337"/>
      <c r="N198" s="337"/>
      <c r="O198" s="337"/>
      <c r="P198" s="337"/>
      <c r="Q198" s="337"/>
      <c r="R198" s="337"/>
      <c r="S198" s="337"/>
      <c r="T198" s="337"/>
      <c r="U198" s="337"/>
      <c r="V198" s="337"/>
      <c r="W198" s="337"/>
      <c r="X198" s="337"/>
      <c r="Y198" s="337"/>
      <c r="Z198" s="337"/>
      <c r="AA198" s="337"/>
      <c r="AB198" s="337"/>
      <c r="AC198" s="337"/>
      <c r="AD198" s="337"/>
      <c r="AE198" s="337"/>
      <c r="AF198" s="10"/>
    </row>
    <row r="199">
      <c r="A199" s="117" t="s">
        <v>392</v>
      </c>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c r="AC199" s="206"/>
      <c r="AD199" s="206"/>
      <c r="AE199" s="206"/>
      <c r="AF199" s="215"/>
    </row>
    <row r="200" outlineLevel="1">
      <c r="A200" s="117" t="s">
        <v>455</v>
      </c>
      <c r="B200" s="112">
        <v>1.0</v>
      </c>
      <c r="C200" s="112">
        <v>0.0</v>
      </c>
      <c r="D200" s="112">
        <v>0.0</v>
      </c>
      <c r="E200" s="112">
        <v>0.0</v>
      </c>
      <c r="F200" s="112">
        <v>0.0</v>
      </c>
      <c r="G200" s="112">
        <v>1.0</v>
      </c>
      <c r="H200" s="112">
        <v>0.0</v>
      </c>
      <c r="I200" s="112">
        <v>3.0</v>
      </c>
      <c r="J200" s="112">
        <v>0.0</v>
      </c>
      <c r="K200" s="112">
        <v>4.0</v>
      </c>
      <c r="L200" s="112">
        <v>0.0</v>
      </c>
      <c r="M200" s="112">
        <v>0.0</v>
      </c>
      <c r="N200" s="112">
        <v>0.0</v>
      </c>
      <c r="O200" s="112">
        <v>0.0</v>
      </c>
      <c r="P200" s="112">
        <v>0.0</v>
      </c>
      <c r="Q200" s="112">
        <v>1.0</v>
      </c>
      <c r="R200" s="112">
        <v>0.0</v>
      </c>
      <c r="S200" s="112">
        <v>0.0</v>
      </c>
      <c r="T200" s="112">
        <v>1.0</v>
      </c>
      <c r="U200" s="112">
        <v>0.0</v>
      </c>
      <c r="V200" s="112">
        <v>5.0</v>
      </c>
      <c r="W200" s="112">
        <v>3.0</v>
      </c>
      <c r="X200" s="112">
        <v>5.0</v>
      </c>
      <c r="Y200" s="112">
        <v>10.0</v>
      </c>
      <c r="Z200" s="112">
        <v>7.0</v>
      </c>
      <c r="AA200" s="112">
        <v>8.0</v>
      </c>
      <c r="AB200" s="112">
        <v>6.0</v>
      </c>
      <c r="AC200" s="112">
        <v>16.0</v>
      </c>
      <c r="AD200" s="112">
        <v>1.0</v>
      </c>
      <c r="AE200" s="112">
        <v>7.0</v>
      </c>
      <c r="AF200" s="167">
        <f t="shared" ref="AF200:AF203" si="69">SUM(B200:AE200)</f>
        <v>79</v>
      </c>
    </row>
    <row r="201" outlineLevel="1">
      <c r="A201" s="117" t="s">
        <v>456</v>
      </c>
      <c r="B201" s="112">
        <v>0.0</v>
      </c>
      <c r="C201" s="112">
        <v>0.0</v>
      </c>
      <c r="D201" s="112">
        <v>0.0</v>
      </c>
      <c r="E201" s="112">
        <v>0.0</v>
      </c>
      <c r="F201" s="112">
        <v>0.0</v>
      </c>
      <c r="G201" s="112">
        <v>0.0</v>
      </c>
      <c r="H201" s="112">
        <v>0.0</v>
      </c>
      <c r="I201" s="112">
        <v>0.0</v>
      </c>
      <c r="J201" s="112">
        <v>0.0</v>
      </c>
      <c r="K201" s="112">
        <v>0.0</v>
      </c>
      <c r="L201" s="112">
        <v>0.0</v>
      </c>
      <c r="M201" s="112">
        <v>0.0</v>
      </c>
      <c r="N201" s="112">
        <v>0.0</v>
      </c>
      <c r="O201" s="112">
        <v>0.0</v>
      </c>
      <c r="P201" s="112">
        <v>0.0</v>
      </c>
      <c r="Q201" s="112">
        <v>0.0</v>
      </c>
      <c r="R201" s="112">
        <v>0.0</v>
      </c>
      <c r="S201" s="112">
        <v>0.0</v>
      </c>
      <c r="T201" s="112">
        <v>0.0</v>
      </c>
      <c r="U201" s="112">
        <v>0.0</v>
      </c>
      <c r="V201" s="112">
        <v>0.0</v>
      </c>
      <c r="W201" s="112">
        <v>0.0</v>
      </c>
      <c r="X201" s="112">
        <v>1.0</v>
      </c>
      <c r="Y201" s="112">
        <v>1.0</v>
      </c>
      <c r="Z201" s="112">
        <v>1.0</v>
      </c>
      <c r="AA201" s="112">
        <v>2.0</v>
      </c>
      <c r="AB201" s="112">
        <v>0.0</v>
      </c>
      <c r="AC201" s="112">
        <v>2.0</v>
      </c>
      <c r="AD201" s="112">
        <v>0.0</v>
      </c>
      <c r="AE201" s="112">
        <v>1.0</v>
      </c>
      <c r="AF201" s="167">
        <f t="shared" si="69"/>
        <v>8</v>
      </c>
    </row>
    <row r="202" outlineLevel="1">
      <c r="A202" s="117" t="s">
        <v>457</v>
      </c>
      <c r="B202" s="119">
        <v>1.0</v>
      </c>
      <c r="C202" s="119">
        <v>0.0</v>
      </c>
      <c r="D202" s="119">
        <v>4.0</v>
      </c>
      <c r="E202" s="119">
        <v>0.0</v>
      </c>
      <c r="F202" s="119">
        <v>0.0</v>
      </c>
      <c r="G202" s="119">
        <v>1.0</v>
      </c>
      <c r="H202" s="119">
        <v>0.0</v>
      </c>
      <c r="I202" s="119">
        <v>0.0</v>
      </c>
      <c r="J202" s="119">
        <v>1.0</v>
      </c>
      <c r="K202" s="119">
        <v>0.0</v>
      </c>
      <c r="L202" s="119">
        <v>0.0</v>
      </c>
      <c r="M202" s="119">
        <v>0.0</v>
      </c>
      <c r="N202" s="112">
        <v>3.0</v>
      </c>
      <c r="O202" s="119">
        <v>1.0</v>
      </c>
      <c r="P202" s="119">
        <v>3.0</v>
      </c>
      <c r="Q202" s="119">
        <v>0.0</v>
      </c>
      <c r="R202" s="119">
        <v>0.0</v>
      </c>
      <c r="S202" s="119">
        <v>0.0</v>
      </c>
      <c r="T202" s="119">
        <v>5.0</v>
      </c>
      <c r="U202" s="119">
        <v>6.0</v>
      </c>
      <c r="V202" s="119">
        <v>5.0</v>
      </c>
      <c r="W202" s="119">
        <v>1.0</v>
      </c>
      <c r="X202" s="119">
        <v>7.0</v>
      </c>
      <c r="Y202" s="119">
        <v>9.0</v>
      </c>
      <c r="Z202" s="119">
        <v>14.0</v>
      </c>
      <c r="AA202" s="119">
        <v>12.0</v>
      </c>
      <c r="AB202" s="119">
        <v>12.0</v>
      </c>
      <c r="AC202" s="119">
        <v>12.0</v>
      </c>
      <c r="AD202" s="119">
        <v>8.0</v>
      </c>
      <c r="AE202" s="119">
        <v>4.0</v>
      </c>
      <c r="AF202" s="167">
        <f t="shared" si="69"/>
        <v>109</v>
      </c>
    </row>
    <row r="203" outlineLevel="1">
      <c r="A203" s="117" t="s">
        <v>458</v>
      </c>
      <c r="B203" s="119">
        <v>0.0</v>
      </c>
      <c r="C203" s="119">
        <v>1.0</v>
      </c>
      <c r="D203" s="119">
        <v>0.0</v>
      </c>
      <c r="E203" s="119">
        <v>0.0</v>
      </c>
      <c r="F203" s="119">
        <v>0.0</v>
      </c>
      <c r="G203" s="119">
        <v>0.0</v>
      </c>
      <c r="H203" s="119">
        <v>0.0</v>
      </c>
      <c r="I203" s="119">
        <v>0.0</v>
      </c>
      <c r="J203" s="119">
        <v>0.0</v>
      </c>
      <c r="K203" s="119">
        <v>0.0</v>
      </c>
      <c r="L203" s="119">
        <v>0.0</v>
      </c>
      <c r="M203" s="119">
        <v>0.0</v>
      </c>
      <c r="N203" s="119">
        <v>0.0</v>
      </c>
      <c r="O203" s="119">
        <v>0.0</v>
      </c>
      <c r="P203" s="119">
        <v>0.0</v>
      </c>
      <c r="Q203" s="119">
        <v>0.0</v>
      </c>
      <c r="R203" s="119">
        <v>0.0</v>
      </c>
      <c r="S203" s="119">
        <v>0.0</v>
      </c>
      <c r="T203" s="119">
        <v>0.0</v>
      </c>
      <c r="U203" s="119">
        <v>0.0</v>
      </c>
      <c r="V203" s="119">
        <v>0.0</v>
      </c>
      <c r="W203" s="119">
        <v>0.0</v>
      </c>
      <c r="X203" s="119">
        <v>0.0</v>
      </c>
      <c r="Y203" s="119">
        <v>1.0</v>
      </c>
      <c r="Z203" s="119">
        <v>3.0</v>
      </c>
      <c r="AA203" s="119">
        <v>2.0</v>
      </c>
      <c r="AB203" s="119">
        <v>2.0</v>
      </c>
      <c r="AC203" s="119">
        <v>4.0</v>
      </c>
      <c r="AD203" s="119">
        <v>1.0</v>
      </c>
      <c r="AE203" s="119">
        <v>1.0</v>
      </c>
      <c r="AF203" s="167">
        <f t="shared" si="69"/>
        <v>15</v>
      </c>
    </row>
    <row r="204">
      <c r="A204" s="117" t="s">
        <v>398</v>
      </c>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c r="AA204" s="206"/>
      <c r="AB204" s="206"/>
      <c r="AC204" s="206"/>
      <c r="AD204" s="206"/>
      <c r="AE204" s="206"/>
      <c r="AF204" s="215"/>
    </row>
    <row r="205" outlineLevel="1">
      <c r="A205" s="117" t="s">
        <v>459</v>
      </c>
      <c r="B205" s="112">
        <v>0.0</v>
      </c>
      <c r="C205" s="112">
        <v>0.0</v>
      </c>
      <c r="D205" s="112">
        <v>1.0</v>
      </c>
      <c r="E205" s="112">
        <v>0.0</v>
      </c>
      <c r="F205" s="112">
        <v>0.0</v>
      </c>
      <c r="G205" s="112">
        <v>0.0</v>
      </c>
      <c r="H205" s="112">
        <v>0.0</v>
      </c>
      <c r="I205" s="112">
        <v>0.0</v>
      </c>
      <c r="J205" s="112">
        <v>0.0</v>
      </c>
      <c r="K205" s="112">
        <v>0.0</v>
      </c>
      <c r="L205" s="112">
        <v>0.0</v>
      </c>
      <c r="M205" s="112">
        <v>0.0</v>
      </c>
      <c r="N205" s="112">
        <v>0.0</v>
      </c>
      <c r="O205" s="112">
        <v>0.0</v>
      </c>
      <c r="P205" s="112">
        <v>0.0</v>
      </c>
      <c r="Q205" s="112">
        <v>0.0</v>
      </c>
      <c r="R205" s="112">
        <v>0.0</v>
      </c>
      <c r="S205" s="112">
        <v>0.0</v>
      </c>
      <c r="T205" s="112">
        <v>0.0</v>
      </c>
      <c r="U205" s="112">
        <v>0.0</v>
      </c>
      <c r="V205" s="112">
        <v>0.0</v>
      </c>
      <c r="W205" s="112">
        <v>2.0</v>
      </c>
      <c r="X205" s="112">
        <v>0.0</v>
      </c>
      <c r="Y205" s="112">
        <v>0.0</v>
      </c>
      <c r="Z205" s="112">
        <v>0.0</v>
      </c>
      <c r="AA205" s="112">
        <v>0.0</v>
      </c>
      <c r="AB205" s="112">
        <v>0.0</v>
      </c>
      <c r="AC205" s="112">
        <v>0.0</v>
      </c>
      <c r="AD205" s="112">
        <v>0.0</v>
      </c>
      <c r="AE205" s="112">
        <v>0.0</v>
      </c>
      <c r="AF205" s="167">
        <f t="shared" ref="AF205:AF210" si="70">SUM(B205:AE205)</f>
        <v>3</v>
      </c>
    </row>
    <row r="206" outlineLevel="1">
      <c r="A206" s="117" t="s">
        <v>460</v>
      </c>
      <c r="B206" s="112">
        <v>0.0</v>
      </c>
      <c r="C206" s="112">
        <v>0.0</v>
      </c>
      <c r="D206" s="112">
        <v>0.0</v>
      </c>
      <c r="E206" s="112">
        <v>0.0</v>
      </c>
      <c r="F206" s="112">
        <v>0.0</v>
      </c>
      <c r="G206" s="112">
        <v>0.0</v>
      </c>
      <c r="H206" s="112">
        <v>0.0</v>
      </c>
      <c r="I206" s="112">
        <v>0.0</v>
      </c>
      <c r="J206" s="112">
        <v>0.0</v>
      </c>
      <c r="K206" s="112">
        <v>0.0</v>
      </c>
      <c r="L206" s="112">
        <v>0.0</v>
      </c>
      <c r="M206" s="112">
        <v>0.0</v>
      </c>
      <c r="N206" s="112">
        <v>0.0</v>
      </c>
      <c r="O206" s="112">
        <v>0.0</v>
      </c>
      <c r="P206" s="112">
        <v>0.0</v>
      </c>
      <c r="Q206" s="112">
        <v>0.0</v>
      </c>
      <c r="R206" s="112">
        <v>0.0</v>
      </c>
      <c r="S206" s="112">
        <v>0.0</v>
      </c>
      <c r="T206" s="112">
        <v>0.0</v>
      </c>
      <c r="U206" s="112">
        <v>1.0</v>
      </c>
      <c r="V206" s="112">
        <v>0.0</v>
      </c>
      <c r="W206" s="112">
        <v>0.0</v>
      </c>
      <c r="X206" s="112">
        <v>0.0</v>
      </c>
      <c r="Y206" s="112">
        <v>0.0</v>
      </c>
      <c r="Z206" s="112">
        <v>1.0</v>
      </c>
      <c r="AA206" s="112">
        <v>0.0</v>
      </c>
      <c r="AB206" s="112">
        <v>0.0</v>
      </c>
      <c r="AC206" s="112">
        <v>0.0</v>
      </c>
      <c r="AD206" s="112">
        <v>1.0</v>
      </c>
      <c r="AE206" s="112">
        <v>0.0</v>
      </c>
      <c r="AF206" s="167">
        <f t="shared" si="70"/>
        <v>3</v>
      </c>
    </row>
    <row r="207" outlineLevel="1">
      <c r="A207" s="117" t="s">
        <v>461</v>
      </c>
      <c r="B207" s="112">
        <v>0.0</v>
      </c>
      <c r="C207" s="112">
        <v>0.0</v>
      </c>
      <c r="D207" s="112">
        <v>0.0</v>
      </c>
      <c r="E207" s="112">
        <v>0.0</v>
      </c>
      <c r="F207" s="112">
        <v>0.0</v>
      </c>
      <c r="G207" s="112">
        <v>0.0</v>
      </c>
      <c r="H207" s="112">
        <v>0.0</v>
      </c>
      <c r="I207" s="112">
        <v>0.0</v>
      </c>
      <c r="J207" s="112">
        <v>0.0</v>
      </c>
      <c r="K207" s="112">
        <v>0.0</v>
      </c>
      <c r="L207" s="112">
        <v>0.0</v>
      </c>
      <c r="M207" s="112">
        <v>0.0</v>
      </c>
      <c r="N207" s="112">
        <v>0.0</v>
      </c>
      <c r="O207" s="112">
        <v>0.0</v>
      </c>
      <c r="P207" s="112">
        <v>0.0</v>
      </c>
      <c r="Q207" s="112">
        <v>0.0</v>
      </c>
      <c r="R207" s="112">
        <v>0.0</v>
      </c>
      <c r="S207" s="112">
        <v>0.0</v>
      </c>
      <c r="T207" s="112">
        <v>0.0</v>
      </c>
      <c r="U207" s="112">
        <v>0.0</v>
      </c>
      <c r="V207" s="112">
        <v>1.0</v>
      </c>
      <c r="W207" s="112">
        <v>1.0</v>
      </c>
      <c r="X207" s="112">
        <v>0.0</v>
      </c>
      <c r="Y207" s="112">
        <v>0.0</v>
      </c>
      <c r="Z207" s="112">
        <v>0.0</v>
      </c>
      <c r="AA207" s="112">
        <v>0.0</v>
      </c>
      <c r="AB207" s="112">
        <v>2.0</v>
      </c>
      <c r="AC207" s="112">
        <v>0.0</v>
      </c>
      <c r="AD207" s="112">
        <v>0.0</v>
      </c>
      <c r="AE207" s="112">
        <v>0.0</v>
      </c>
      <c r="AF207" s="167">
        <f t="shared" si="70"/>
        <v>4</v>
      </c>
    </row>
    <row r="208" outlineLevel="1">
      <c r="A208" s="117" t="s">
        <v>462</v>
      </c>
      <c r="B208" s="112">
        <v>0.0</v>
      </c>
      <c r="C208" s="112">
        <v>0.0</v>
      </c>
      <c r="D208" s="112">
        <v>0.0</v>
      </c>
      <c r="E208" s="112">
        <v>0.0</v>
      </c>
      <c r="F208" s="112">
        <v>0.0</v>
      </c>
      <c r="G208" s="112">
        <v>0.0</v>
      </c>
      <c r="H208" s="112">
        <v>0.0</v>
      </c>
      <c r="I208" s="112">
        <v>0.0</v>
      </c>
      <c r="J208" s="112">
        <v>0.0</v>
      </c>
      <c r="K208" s="112">
        <v>0.0</v>
      </c>
      <c r="L208" s="112">
        <v>0.0</v>
      </c>
      <c r="M208" s="112">
        <v>0.0</v>
      </c>
      <c r="N208" s="112">
        <v>0.0</v>
      </c>
      <c r="O208" s="112">
        <v>0.0</v>
      </c>
      <c r="P208" s="112">
        <v>0.0</v>
      </c>
      <c r="Q208" s="112">
        <v>0.0</v>
      </c>
      <c r="R208" s="112">
        <v>0.0</v>
      </c>
      <c r="S208" s="112">
        <v>0.0</v>
      </c>
      <c r="T208" s="112">
        <v>0.0</v>
      </c>
      <c r="U208" s="112">
        <v>0.0</v>
      </c>
      <c r="V208" s="112">
        <v>0.0</v>
      </c>
      <c r="W208" s="112">
        <v>0.0</v>
      </c>
      <c r="X208" s="112">
        <v>0.0</v>
      </c>
      <c r="Y208" s="112">
        <v>0.0</v>
      </c>
      <c r="Z208" s="112">
        <v>0.0</v>
      </c>
      <c r="AA208" s="112">
        <v>0.0</v>
      </c>
      <c r="AB208" s="112">
        <v>0.0</v>
      </c>
      <c r="AC208" s="112">
        <v>0.0</v>
      </c>
      <c r="AD208" s="112">
        <v>1.0</v>
      </c>
      <c r="AE208" s="112">
        <v>0.0</v>
      </c>
      <c r="AF208" s="167">
        <f t="shared" si="70"/>
        <v>1</v>
      </c>
    </row>
    <row r="209">
      <c r="A209" s="204" t="s">
        <v>258</v>
      </c>
      <c r="B209" s="338">
        <f t="shared" ref="B209:AE209" si="71">SUM(B200,B201,B205,B206)</f>
        <v>1</v>
      </c>
      <c r="C209" s="338">
        <f t="shared" si="71"/>
        <v>0</v>
      </c>
      <c r="D209" s="338">
        <f t="shared" si="71"/>
        <v>1</v>
      </c>
      <c r="E209" s="338">
        <f t="shared" si="71"/>
        <v>0</v>
      </c>
      <c r="F209" s="338">
        <f t="shared" si="71"/>
        <v>0</v>
      </c>
      <c r="G209" s="338">
        <f t="shared" si="71"/>
        <v>1</v>
      </c>
      <c r="H209" s="338">
        <f t="shared" si="71"/>
        <v>0</v>
      </c>
      <c r="I209" s="338">
        <f t="shared" si="71"/>
        <v>3</v>
      </c>
      <c r="J209" s="338">
        <f t="shared" si="71"/>
        <v>0</v>
      </c>
      <c r="K209" s="338">
        <f t="shared" si="71"/>
        <v>4</v>
      </c>
      <c r="L209" s="338">
        <f t="shared" si="71"/>
        <v>0</v>
      </c>
      <c r="M209" s="338">
        <f t="shared" si="71"/>
        <v>0</v>
      </c>
      <c r="N209" s="338">
        <f t="shared" si="71"/>
        <v>0</v>
      </c>
      <c r="O209" s="338">
        <f t="shared" si="71"/>
        <v>0</v>
      </c>
      <c r="P209" s="338">
        <f t="shared" si="71"/>
        <v>0</v>
      </c>
      <c r="Q209" s="338">
        <f t="shared" si="71"/>
        <v>1</v>
      </c>
      <c r="R209" s="338">
        <f t="shared" si="71"/>
        <v>0</v>
      </c>
      <c r="S209" s="338">
        <f t="shared" si="71"/>
        <v>0</v>
      </c>
      <c r="T209" s="338">
        <f t="shared" si="71"/>
        <v>1</v>
      </c>
      <c r="U209" s="338">
        <f t="shared" si="71"/>
        <v>1</v>
      </c>
      <c r="V209" s="338">
        <f t="shared" si="71"/>
        <v>5</v>
      </c>
      <c r="W209" s="338">
        <f t="shared" si="71"/>
        <v>5</v>
      </c>
      <c r="X209" s="338">
        <f t="shared" si="71"/>
        <v>6</v>
      </c>
      <c r="Y209" s="338">
        <f t="shared" si="71"/>
        <v>11</v>
      </c>
      <c r="Z209" s="338">
        <f t="shared" si="71"/>
        <v>9</v>
      </c>
      <c r="AA209" s="338">
        <f t="shared" si="71"/>
        <v>10</v>
      </c>
      <c r="AB209" s="338">
        <f t="shared" si="71"/>
        <v>6</v>
      </c>
      <c r="AC209" s="338">
        <f t="shared" si="71"/>
        <v>18</v>
      </c>
      <c r="AD209" s="338">
        <f t="shared" si="71"/>
        <v>2</v>
      </c>
      <c r="AE209" s="338">
        <f t="shared" si="71"/>
        <v>8</v>
      </c>
      <c r="AF209" s="167">
        <f t="shared" si="70"/>
        <v>93</v>
      </c>
    </row>
    <row r="210">
      <c r="A210" s="204" t="s">
        <v>260</v>
      </c>
      <c r="B210" s="338">
        <f t="shared" ref="B210:AE210" si="72">SUM(B202,B203,B207,B208)</f>
        <v>1</v>
      </c>
      <c r="C210" s="338">
        <f t="shared" si="72"/>
        <v>1</v>
      </c>
      <c r="D210" s="338">
        <f t="shared" si="72"/>
        <v>4</v>
      </c>
      <c r="E210" s="338">
        <f t="shared" si="72"/>
        <v>0</v>
      </c>
      <c r="F210" s="338">
        <f t="shared" si="72"/>
        <v>0</v>
      </c>
      <c r="G210" s="338">
        <f t="shared" si="72"/>
        <v>1</v>
      </c>
      <c r="H210" s="338">
        <f t="shared" si="72"/>
        <v>0</v>
      </c>
      <c r="I210" s="338">
        <f t="shared" si="72"/>
        <v>0</v>
      </c>
      <c r="J210" s="338">
        <f t="shared" si="72"/>
        <v>1</v>
      </c>
      <c r="K210" s="338">
        <f t="shared" si="72"/>
        <v>0</v>
      </c>
      <c r="L210" s="338">
        <f t="shared" si="72"/>
        <v>0</v>
      </c>
      <c r="M210" s="338">
        <f t="shared" si="72"/>
        <v>0</v>
      </c>
      <c r="N210" s="338">
        <f t="shared" si="72"/>
        <v>3</v>
      </c>
      <c r="O210" s="338">
        <f t="shared" si="72"/>
        <v>1</v>
      </c>
      <c r="P210" s="338">
        <f t="shared" si="72"/>
        <v>3</v>
      </c>
      <c r="Q210" s="338">
        <f t="shared" si="72"/>
        <v>0</v>
      </c>
      <c r="R210" s="338">
        <f t="shared" si="72"/>
        <v>0</v>
      </c>
      <c r="S210" s="338">
        <f t="shared" si="72"/>
        <v>0</v>
      </c>
      <c r="T210" s="338">
        <f t="shared" si="72"/>
        <v>5</v>
      </c>
      <c r="U210" s="338">
        <f t="shared" si="72"/>
        <v>6</v>
      </c>
      <c r="V210" s="338">
        <f t="shared" si="72"/>
        <v>6</v>
      </c>
      <c r="W210" s="338">
        <f t="shared" si="72"/>
        <v>2</v>
      </c>
      <c r="X210" s="338">
        <f t="shared" si="72"/>
        <v>7</v>
      </c>
      <c r="Y210" s="338">
        <f t="shared" si="72"/>
        <v>10</v>
      </c>
      <c r="Z210" s="338">
        <f t="shared" si="72"/>
        <v>17</v>
      </c>
      <c r="AA210" s="338">
        <f t="shared" si="72"/>
        <v>14</v>
      </c>
      <c r="AB210" s="338">
        <f t="shared" si="72"/>
        <v>16</v>
      </c>
      <c r="AC210" s="338">
        <f t="shared" si="72"/>
        <v>16</v>
      </c>
      <c r="AD210" s="338">
        <f t="shared" si="72"/>
        <v>10</v>
      </c>
      <c r="AE210" s="338">
        <f t="shared" si="72"/>
        <v>5</v>
      </c>
      <c r="AF210" s="167">
        <f t="shared" si="70"/>
        <v>129</v>
      </c>
    </row>
    <row r="211">
      <c r="A211" s="49"/>
      <c r="B211" s="139"/>
      <c r="C211" s="139"/>
      <c r="D211" s="139"/>
      <c r="E211" s="139"/>
      <c r="F211" s="139"/>
      <c r="G211" s="139"/>
      <c r="H211" s="139"/>
      <c r="I211" s="9"/>
      <c r="J211" s="9"/>
      <c r="K211" s="9"/>
      <c r="L211" s="9"/>
      <c r="M211" s="9"/>
      <c r="N211" s="9"/>
      <c r="O211" s="9"/>
      <c r="P211" s="9"/>
      <c r="Q211" s="9"/>
      <c r="R211" s="9"/>
      <c r="S211" s="9"/>
      <c r="T211" s="9"/>
      <c r="U211" s="9"/>
      <c r="V211" s="9"/>
      <c r="W211" s="9"/>
      <c r="X211" s="9"/>
      <c r="Y211" s="9"/>
      <c r="Z211" s="9"/>
      <c r="AA211" s="9"/>
      <c r="AB211" s="9"/>
      <c r="AC211" s="9"/>
      <c r="AD211" s="9"/>
      <c r="AE211" s="9"/>
      <c r="AF211" s="215"/>
    </row>
    <row r="212">
      <c r="A212" s="117" t="s">
        <v>406</v>
      </c>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c r="AA212" s="206"/>
      <c r="AB212" s="206"/>
      <c r="AC212" s="206"/>
      <c r="AD212" s="206"/>
      <c r="AE212" s="206"/>
      <c r="AF212" s="215"/>
    </row>
    <row r="213" outlineLevel="1">
      <c r="A213" s="117" t="s">
        <v>264</v>
      </c>
      <c r="B213" s="112">
        <v>0.0</v>
      </c>
      <c r="C213" s="112">
        <v>1.0</v>
      </c>
      <c r="D213" s="112">
        <v>1.0</v>
      </c>
      <c r="E213" s="112">
        <v>0.0</v>
      </c>
      <c r="F213" s="112">
        <v>0.0</v>
      </c>
      <c r="G213" s="112">
        <v>2.0</v>
      </c>
      <c r="H213" s="112">
        <v>0.0</v>
      </c>
      <c r="I213" s="112">
        <v>1.0</v>
      </c>
      <c r="J213" s="112">
        <v>0.0</v>
      </c>
      <c r="K213" s="112">
        <v>0.0</v>
      </c>
      <c r="L213" s="112">
        <v>0.0</v>
      </c>
      <c r="M213" s="112">
        <v>0.0</v>
      </c>
      <c r="N213" s="112">
        <v>1.0</v>
      </c>
      <c r="O213" s="112">
        <v>0.0</v>
      </c>
      <c r="P213" s="112">
        <v>0.0</v>
      </c>
      <c r="Q213" s="112">
        <v>0.0</v>
      </c>
      <c r="R213" s="112">
        <v>0.0</v>
      </c>
      <c r="S213" s="112">
        <v>0.0</v>
      </c>
      <c r="T213" s="112">
        <v>1.0</v>
      </c>
      <c r="U213" s="112">
        <v>2.0</v>
      </c>
      <c r="V213" s="112">
        <v>1.0</v>
      </c>
      <c r="W213" s="112">
        <v>1.0</v>
      </c>
      <c r="X213" s="112">
        <v>3.0</v>
      </c>
      <c r="Y213" s="112">
        <v>4.0</v>
      </c>
      <c r="Z213" s="112">
        <v>6.0</v>
      </c>
      <c r="AA213" s="112">
        <v>2.0</v>
      </c>
      <c r="AB213" s="112">
        <v>3.0</v>
      </c>
      <c r="AC213" s="112">
        <v>9.0</v>
      </c>
      <c r="AD213" s="112">
        <v>2.0</v>
      </c>
      <c r="AE213" s="112">
        <v>4.0</v>
      </c>
      <c r="AF213" s="167">
        <f t="shared" ref="AF213:AF221" si="73">SUM(B213:AE213)</f>
        <v>44</v>
      </c>
    </row>
    <row r="214" outlineLevel="1">
      <c r="A214" s="117" t="s">
        <v>267</v>
      </c>
      <c r="B214" s="112">
        <v>1.0</v>
      </c>
      <c r="C214" s="112">
        <v>0.0</v>
      </c>
      <c r="D214" s="112">
        <v>3.0</v>
      </c>
      <c r="E214" s="112">
        <v>0.0</v>
      </c>
      <c r="F214" s="112">
        <v>0.0</v>
      </c>
      <c r="G214" s="112">
        <v>1.0</v>
      </c>
      <c r="H214" s="112">
        <v>0.0</v>
      </c>
      <c r="I214" s="112">
        <v>3.0</v>
      </c>
      <c r="J214" s="112">
        <v>1.0</v>
      </c>
      <c r="K214" s="112">
        <v>1.0</v>
      </c>
      <c r="L214" s="112">
        <v>0.0</v>
      </c>
      <c r="M214" s="112">
        <v>0.0</v>
      </c>
      <c r="N214" s="112">
        <v>1.0</v>
      </c>
      <c r="O214" s="112">
        <v>1.0</v>
      </c>
      <c r="P214" s="112">
        <v>0.0</v>
      </c>
      <c r="Q214" s="112">
        <v>1.0</v>
      </c>
      <c r="R214" s="112">
        <v>0.0</v>
      </c>
      <c r="S214" s="112">
        <v>0.0</v>
      </c>
      <c r="T214" s="112">
        <v>4.0</v>
      </c>
      <c r="U214" s="112">
        <v>4.0</v>
      </c>
      <c r="V214" s="112">
        <v>5.0</v>
      </c>
      <c r="W214" s="112">
        <v>2.0</v>
      </c>
      <c r="X214" s="112">
        <v>5.0</v>
      </c>
      <c r="Y214" s="112">
        <v>15.0</v>
      </c>
      <c r="Z214" s="112">
        <v>13.0</v>
      </c>
      <c r="AA214" s="112">
        <v>14.0</v>
      </c>
      <c r="AB214" s="112">
        <v>13.0</v>
      </c>
      <c r="AC214" s="112">
        <v>25.0</v>
      </c>
      <c r="AD214" s="112">
        <v>8.0</v>
      </c>
      <c r="AE214" s="112">
        <v>6.0</v>
      </c>
      <c r="AF214" s="167">
        <f t="shared" si="73"/>
        <v>127</v>
      </c>
    </row>
    <row r="215" outlineLevel="1">
      <c r="A215" s="117" t="s">
        <v>463</v>
      </c>
      <c r="B215" s="112">
        <v>0.0</v>
      </c>
      <c r="C215" s="112">
        <v>0.0</v>
      </c>
      <c r="D215" s="112">
        <v>1.0</v>
      </c>
      <c r="E215" s="112">
        <v>0.0</v>
      </c>
      <c r="F215" s="112">
        <v>0.0</v>
      </c>
      <c r="G215" s="112">
        <v>0.0</v>
      </c>
      <c r="H215" s="112">
        <v>0.0</v>
      </c>
      <c r="I215" s="112">
        <v>2.0</v>
      </c>
      <c r="J215" s="112">
        <v>0.0</v>
      </c>
      <c r="K215" s="112">
        <v>0.0</v>
      </c>
      <c r="L215" s="112">
        <v>0.0</v>
      </c>
      <c r="M215" s="112">
        <v>0.0</v>
      </c>
      <c r="N215" s="112">
        <v>0.0</v>
      </c>
      <c r="O215" s="112">
        <v>0.0</v>
      </c>
      <c r="P215" s="112">
        <v>0.0</v>
      </c>
      <c r="Q215" s="112">
        <v>0.0</v>
      </c>
      <c r="R215" s="112">
        <v>0.0</v>
      </c>
      <c r="S215" s="112">
        <v>0.0</v>
      </c>
      <c r="T215" s="112">
        <v>0.0</v>
      </c>
      <c r="U215" s="112">
        <v>1.0</v>
      </c>
      <c r="V215" s="112">
        <v>1.0</v>
      </c>
      <c r="W215" s="112">
        <v>0.0</v>
      </c>
      <c r="X215" s="112">
        <v>2.0</v>
      </c>
      <c r="Y215" s="112">
        <v>1.0</v>
      </c>
      <c r="Z215" s="112">
        <v>1.0</v>
      </c>
      <c r="AA215" s="112">
        <v>1.0</v>
      </c>
      <c r="AB215" s="112">
        <v>1.0</v>
      </c>
      <c r="AC215" s="112">
        <v>2.0</v>
      </c>
      <c r="AD215" s="112">
        <v>2.0</v>
      </c>
      <c r="AE215" s="112">
        <v>2.0</v>
      </c>
      <c r="AF215" s="167">
        <f t="shared" si="73"/>
        <v>17</v>
      </c>
    </row>
    <row r="216" outlineLevel="1">
      <c r="A216" s="117" t="s">
        <v>464</v>
      </c>
      <c r="B216" s="112">
        <v>0.0</v>
      </c>
      <c r="C216" s="112">
        <v>0.0</v>
      </c>
      <c r="D216" s="112">
        <v>0.0</v>
      </c>
      <c r="E216" s="112">
        <v>0.0</v>
      </c>
      <c r="F216" s="112">
        <v>0.0</v>
      </c>
      <c r="G216" s="112">
        <v>0.0</v>
      </c>
      <c r="H216" s="112">
        <v>0.0</v>
      </c>
      <c r="I216" s="112">
        <v>0.0</v>
      </c>
      <c r="J216" s="112">
        <v>0.0</v>
      </c>
      <c r="K216" s="112">
        <v>0.0</v>
      </c>
      <c r="L216" s="112">
        <v>0.0</v>
      </c>
      <c r="M216" s="112">
        <v>0.0</v>
      </c>
      <c r="N216" s="112">
        <v>0.0</v>
      </c>
      <c r="O216" s="112">
        <v>0.0</v>
      </c>
      <c r="P216" s="112">
        <v>0.0</v>
      </c>
      <c r="Q216" s="112">
        <v>0.0</v>
      </c>
      <c r="R216" s="112">
        <v>0.0</v>
      </c>
      <c r="S216" s="112">
        <v>0.0</v>
      </c>
      <c r="T216" s="112">
        <v>0.0</v>
      </c>
      <c r="U216" s="112">
        <v>0.0</v>
      </c>
      <c r="V216" s="112">
        <v>0.0</v>
      </c>
      <c r="W216" s="112">
        <v>0.0</v>
      </c>
      <c r="X216" s="112">
        <v>0.0</v>
      </c>
      <c r="Y216" s="112">
        <v>0.0</v>
      </c>
      <c r="Z216" s="112">
        <v>0.0</v>
      </c>
      <c r="AA216" s="112">
        <v>0.0</v>
      </c>
      <c r="AB216" s="112">
        <v>0.0</v>
      </c>
      <c r="AC216" s="112">
        <v>1.0</v>
      </c>
      <c r="AD216" s="112">
        <v>0.0</v>
      </c>
      <c r="AE216" s="112">
        <v>0.0</v>
      </c>
      <c r="AF216" s="167">
        <f t="shared" si="73"/>
        <v>1</v>
      </c>
    </row>
    <row r="217" outlineLevel="1">
      <c r="A217" s="117" t="s">
        <v>465</v>
      </c>
      <c r="B217" s="112">
        <v>0.0</v>
      </c>
      <c r="C217" s="112">
        <v>0.0</v>
      </c>
      <c r="D217" s="112">
        <v>0.0</v>
      </c>
      <c r="E217" s="112">
        <v>0.0</v>
      </c>
      <c r="F217" s="112">
        <v>0.0</v>
      </c>
      <c r="G217" s="112">
        <v>0.0</v>
      </c>
      <c r="H217" s="112">
        <v>0.0</v>
      </c>
      <c r="I217" s="112">
        <v>1.0</v>
      </c>
      <c r="J217" s="112">
        <v>0.0</v>
      </c>
      <c r="K217" s="112">
        <v>0.0</v>
      </c>
      <c r="L217" s="112">
        <v>0.0</v>
      </c>
      <c r="M217" s="112">
        <v>0.0</v>
      </c>
      <c r="N217" s="112">
        <v>0.0</v>
      </c>
      <c r="O217" s="112">
        <v>0.0</v>
      </c>
      <c r="P217" s="112">
        <v>0.0</v>
      </c>
      <c r="Q217" s="112">
        <v>0.0</v>
      </c>
      <c r="R217" s="112">
        <v>0.0</v>
      </c>
      <c r="S217" s="112">
        <v>0.0</v>
      </c>
      <c r="T217" s="112">
        <v>1.0</v>
      </c>
      <c r="U217" s="112">
        <v>1.0</v>
      </c>
      <c r="V217" s="112">
        <v>0.0</v>
      </c>
      <c r="W217" s="112">
        <v>1.0</v>
      </c>
      <c r="X217" s="112">
        <v>0.0</v>
      </c>
      <c r="Y217" s="112">
        <v>1.0</v>
      </c>
      <c r="Z217" s="112">
        <v>0.0</v>
      </c>
      <c r="AA217" s="112">
        <v>0.0</v>
      </c>
      <c r="AB217" s="112">
        <v>0.0</v>
      </c>
      <c r="AC217" s="112">
        <v>0.0</v>
      </c>
      <c r="AD217" s="112">
        <v>1.0</v>
      </c>
      <c r="AE217" s="112">
        <v>0.0</v>
      </c>
      <c r="AF217" s="167">
        <f t="shared" si="73"/>
        <v>6</v>
      </c>
    </row>
    <row r="218" outlineLevel="1">
      <c r="A218" s="117" t="s">
        <v>466</v>
      </c>
      <c r="B218" s="112">
        <v>0.0</v>
      </c>
      <c r="C218" s="112">
        <v>0.0</v>
      </c>
      <c r="D218" s="112">
        <v>0.0</v>
      </c>
      <c r="E218" s="112">
        <v>0.0</v>
      </c>
      <c r="F218" s="112">
        <v>0.0</v>
      </c>
      <c r="G218" s="112">
        <v>0.0</v>
      </c>
      <c r="H218" s="112">
        <v>0.0</v>
      </c>
      <c r="I218" s="112">
        <v>0.0</v>
      </c>
      <c r="J218" s="112">
        <v>0.0</v>
      </c>
      <c r="K218" s="112">
        <v>0.0</v>
      </c>
      <c r="L218" s="112">
        <v>0.0</v>
      </c>
      <c r="M218" s="112">
        <v>0.0</v>
      </c>
      <c r="N218" s="112">
        <v>0.0</v>
      </c>
      <c r="O218" s="112">
        <v>0.0</v>
      </c>
      <c r="P218" s="112">
        <v>0.0</v>
      </c>
      <c r="Q218" s="112">
        <v>0.0</v>
      </c>
      <c r="R218" s="112">
        <v>0.0</v>
      </c>
      <c r="S218" s="112">
        <v>0.0</v>
      </c>
      <c r="T218" s="112">
        <v>0.0</v>
      </c>
      <c r="U218" s="112">
        <v>0.0</v>
      </c>
      <c r="V218" s="112">
        <v>0.0</v>
      </c>
      <c r="W218" s="112">
        <v>0.0</v>
      </c>
      <c r="X218" s="112">
        <v>0.0</v>
      </c>
      <c r="Y218" s="112">
        <v>0.0</v>
      </c>
      <c r="Z218" s="112">
        <v>0.0</v>
      </c>
      <c r="AA218" s="112">
        <v>1.0</v>
      </c>
      <c r="AB218" s="112">
        <v>1.0</v>
      </c>
      <c r="AC218" s="112">
        <v>0.0</v>
      </c>
      <c r="AD218" s="112">
        <v>0.0</v>
      </c>
      <c r="AE218" s="112">
        <v>0.0</v>
      </c>
      <c r="AF218" s="167">
        <f t="shared" si="73"/>
        <v>2</v>
      </c>
    </row>
    <row r="219" outlineLevel="1">
      <c r="A219" s="117" t="s">
        <v>468</v>
      </c>
      <c r="B219" s="112">
        <v>0.0</v>
      </c>
      <c r="C219" s="112">
        <v>1.0</v>
      </c>
      <c r="D219" s="112">
        <v>1.0</v>
      </c>
      <c r="E219" s="112">
        <v>0.0</v>
      </c>
      <c r="F219" s="112">
        <v>0.0</v>
      </c>
      <c r="G219" s="112">
        <v>2.0</v>
      </c>
      <c r="H219" s="112">
        <v>0.0</v>
      </c>
      <c r="I219" s="112">
        <v>0.0</v>
      </c>
      <c r="J219" s="112">
        <v>0.0</v>
      </c>
      <c r="K219" s="112">
        <v>1.0</v>
      </c>
      <c r="L219" s="112">
        <v>0.0</v>
      </c>
      <c r="M219" s="112">
        <v>0.0</v>
      </c>
      <c r="N219" s="112">
        <v>0.0</v>
      </c>
      <c r="O219" s="112">
        <v>0.0</v>
      </c>
      <c r="P219" s="112">
        <v>0.0</v>
      </c>
      <c r="Q219" s="112">
        <v>0.0</v>
      </c>
      <c r="R219" s="112">
        <v>0.0</v>
      </c>
      <c r="S219" s="112">
        <v>0.0</v>
      </c>
      <c r="T219" s="112">
        <v>1.0</v>
      </c>
      <c r="U219" s="112">
        <v>1.0</v>
      </c>
      <c r="V219" s="112">
        <v>1.0</v>
      </c>
      <c r="W219" s="112">
        <v>0.0</v>
      </c>
      <c r="X219" s="112">
        <v>4.0</v>
      </c>
      <c r="Y219" s="112">
        <v>4.0</v>
      </c>
      <c r="Z219" s="112">
        <v>5.0</v>
      </c>
      <c r="AA219" s="112">
        <v>2.0</v>
      </c>
      <c r="AB219" s="112">
        <v>3.0</v>
      </c>
      <c r="AC219" s="112">
        <v>5.0</v>
      </c>
      <c r="AD219" s="112">
        <v>1.0</v>
      </c>
      <c r="AE219" s="112">
        <v>2.0</v>
      </c>
      <c r="AF219" s="167">
        <f t="shared" si="73"/>
        <v>34</v>
      </c>
    </row>
    <row r="220" outlineLevel="1">
      <c r="A220" s="117" t="s">
        <v>469</v>
      </c>
      <c r="B220" s="112">
        <v>0.0</v>
      </c>
      <c r="C220" s="112">
        <v>2.0</v>
      </c>
      <c r="D220" s="112">
        <v>0.0</v>
      </c>
      <c r="E220" s="112">
        <v>0.0</v>
      </c>
      <c r="F220" s="112">
        <v>0.0</v>
      </c>
      <c r="G220" s="112">
        <v>0.0</v>
      </c>
      <c r="H220" s="112">
        <v>0.0</v>
      </c>
      <c r="I220" s="112">
        <v>0.0</v>
      </c>
      <c r="J220" s="112">
        <v>0.0</v>
      </c>
      <c r="K220" s="112">
        <v>0.0</v>
      </c>
      <c r="L220" s="112">
        <v>0.0</v>
      </c>
      <c r="M220" s="112">
        <v>0.0</v>
      </c>
      <c r="N220" s="112">
        <v>0.0</v>
      </c>
      <c r="O220" s="112">
        <v>0.0</v>
      </c>
      <c r="P220" s="112">
        <v>0.0</v>
      </c>
      <c r="Q220" s="112">
        <v>0.0</v>
      </c>
      <c r="R220" s="112">
        <v>0.0</v>
      </c>
      <c r="S220" s="112">
        <v>0.0</v>
      </c>
      <c r="T220" s="112">
        <v>1.0</v>
      </c>
      <c r="U220" s="112">
        <v>0.0</v>
      </c>
      <c r="V220" s="112">
        <v>0.0</v>
      </c>
      <c r="W220" s="112">
        <v>0.0</v>
      </c>
      <c r="X220" s="112">
        <v>0.0</v>
      </c>
      <c r="Y220" s="112">
        <v>0.0</v>
      </c>
      <c r="Z220" s="112">
        <v>0.0</v>
      </c>
      <c r="AA220" s="112">
        <v>1.0</v>
      </c>
      <c r="AB220" s="112">
        <v>0.0</v>
      </c>
      <c r="AC220" s="112">
        <v>3.0</v>
      </c>
      <c r="AD220" s="112">
        <v>0.0</v>
      </c>
      <c r="AE220" s="112">
        <v>0.0</v>
      </c>
      <c r="AF220" s="167">
        <f t="shared" si="73"/>
        <v>7</v>
      </c>
    </row>
    <row r="221">
      <c r="A221" s="204" t="s">
        <v>162</v>
      </c>
      <c r="B221" s="338">
        <f t="shared" ref="B221:AE221" si="74">SUM(B213:B220)</f>
        <v>1</v>
      </c>
      <c r="C221" s="338">
        <f t="shared" si="74"/>
        <v>4</v>
      </c>
      <c r="D221" s="338">
        <f t="shared" si="74"/>
        <v>6</v>
      </c>
      <c r="E221" s="338">
        <f t="shared" si="74"/>
        <v>0</v>
      </c>
      <c r="F221" s="338">
        <f t="shared" si="74"/>
        <v>0</v>
      </c>
      <c r="G221" s="338">
        <f t="shared" si="74"/>
        <v>5</v>
      </c>
      <c r="H221" s="338">
        <f t="shared" si="74"/>
        <v>0</v>
      </c>
      <c r="I221" s="338">
        <f t="shared" si="74"/>
        <v>7</v>
      </c>
      <c r="J221" s="338">
        <f t="shared" si="74"/>
        <v>1</v>
      </c>
      <c r="K221" s="338">
        <f t="shared" si="74"/>
        <v>2</v>
      </c>
      <c r="L221" s="338">
        <f t="shared" si="74"/>
        <v>0</v>
      </c>
      <c r="M221" s="338">
        <f t="shared" si="74"/>
        <v>0</v>
      </c>
      <c r="N221" s="338">
        <f t="shared" si="74"/>
        <v>2</v>
      </c>
      <c r="O221" s="338">
        <f t="shared" si="74"/>
        <v>1</v>
      </c>
      <c r="P221" s="338">
        <f t="shared" si="74"/>
        <v>0</v>
      </c>
      <c r="Q221" s="338">
        <f t="shared" si="74"/>
        <v>1</v>
      </c>
      <c r="R221" s="338">
        <f t="shared" si="74"/>
        <v>0</v>
      </c>
      <c r="S221" s="338">
        <f t="shared" si="74"/>
        <v>0</v>
      </c>
      <c r="T221" s="338">
        <f t="shared" si="74"/>
        <v>8</v>
      </c>
      <c r="U221" s="338">
        <f t="shared" si="74"/>
        <v>9</v>
      </c>
      <c r="V221" s="338">
        <f t="shared" si="74"/>
        <v>8</v>
      </c>
      <c r="W221" s="338">
        <f t="shared" si="74"/>
        <v>4</v>
      </c>
      <c r="X221" s="338">
        <f t="shared" si="74"/>
        <v>14</v>
      </c>
      <c r="Y221" s="338">
        <f t="shared" si="74"/>
        <v>25</v>
      </c>
      <c r="Z221" s="338">
        <f t="shared" si="74"/>
        <v>25</v>
      </c>
      <c r="AA221" s="338">
        <f t="shared" si="74"/>
        <v>21</v>
      </c>
      <c r="AB221" s="338">
        <f t="shared" si="74"/>
        <v>21</v>
      </c>
      <c r="AC221" s="338">
        <f t="shared" si="74"/>
        <v>45</v>
      </c>
      <c r="AD221" s="338">
        <f t="shared" si="74"/>
        <v>14</v>
      </c>
      <c r="AE221" s="338">
        <f t="shared" si="74"/>
        <v>14</v>
      </c>
      <c r="AF221" s="167">
        <f t="shared" si="73"/>
        <v>238</v>
      </c>
    </row>
    <row r="222">
      <c r="A222" s="49"/>
      <c r="B222" s="139"/>
      <c r="C222" s="139"/>
      <c r="D222" s="139"/>
      <c r="E222" s="139"/>
      <c r="F222" s="139"/>
      <c r="G222" s="139"/>
      <c r="H222" s="139"/>
      <c r="I222" s="9"/>
      <c r="J222" s="9"/>
      <c r="K222" s="9"/>
      <c r="L222" s="9"/>
      <c r="M222" s="9"/>
      <c r="N222" s="9"/>
      <c r="O222" s="9"/>
      <c r="P222" s="9"/>
      <c r="Q222" s="9"/>
      <c r="R222" s="9"/>
      <c r="S222" s="9"/>
      <c r="T222" s="9"/>
      <c r="U222" s="9"/>
      <c r="V222" s="9"/>
      <c r="W222" s="9"/>
      <c r="X222" s="9"/>
      <c r="Y222" s="9"/>
      <c r="Z222" s="9"/>
      <c r="AA222" s="9"/>
      <c r="AB222" s="9"/>
      <c r="AC222" s="9"/>
      <c r="AD222" s="9"/>
      <c r="AE222" s="9"/>
      <c r="AF222" s="215"/>
    </row>
    <row r="223">
      <c r="A223" s="117" t="s">
        <v>470</v>
      </c>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c r="AA223" s="206"/>
      <c r="AB223" s="206"/>
      <c r="AC223" s="206"/>
      <c r="AD223" s="206"/>
      <c r="AE223" s="206"/>
      <c r="AF223" s="215"/>
    </row>
    <row r="224" outlineLevel="1">
      <c r="A224" s="117" t="s">
        <v>264</v>
      </c>
      <c r="B224" s="112">
        <v>0.0</v>
      </c>
      <c r="C224" s="112">
        <v>0.0</v>
      </c>
      <c r="D224" s="112">
        <v>1.0</v>
      </c>
      <c r="E224" s="112">
        <v>0.0</v>
      </c>
      <c r="F224" s="112">
        <v>0.0</v>
      </c>
      <c r="G224" s="112">
        <v>0.0</v>
      </c>
      <c r="H224" s="112">
        <v>0.0</v>
      </c>
      <c r="I224" s="112">
        <v>0.0</v>
      </c>
      <c r="J224" s="112">
        <v>0.0</v>
      </c>
      <c r="K224" s="112">
        <v>0.0</v>
      </c>
      <c r="L224" s="112">
        <v>0.0</v>
      </c>
      <c r="M224" s="112">
        <v>0.0</v>
      </c>
      <c r="N224" s="112">
        <v>0.0</v>
      </c>
      <c r="O224" s="112">
        <v>0.0</v>
      </c>
      <c r="P224" s="112">
        <v>0.0</v>
      </c>
      <c r="Q224" s="112">
        <v>0.0</v>
      </c>
      <c r="R224" s="112">
        <v>0.0</v>
      </c>
      <c r="S224" s="112">
        <v>0.0</v>
      </c>
      <c r="T224" s="112">
        <v>0.0</v>
      </c>
      <c r="U224" s="112">
        <v>1.0</v>
      </c>
      <c r="V224" s="112">
        <v>0.0</v>
      </c>
      <c r="W224" s="112">
        <v>0.0</v>
      </c>
      <c r="X224" s="112">
        <v>0.0</v>
      </c>
      <c r="Y224" s="112">
        <v>0.0</v>
      </c>
      <c r="Z224" s="112">
        <v>0.0</v>
      </c>
      <c r="AA224" s="112">
        <v>0.0</v>
      </c>
      <c r="AB224" s="112">
        <v>0.0</v>
      </c>
      <c r="AC224" s="112">
        <v>0.0</v>
      </c>
      <c r="AD224" s="112">
        <v>1.0</v>
      </c>
      <c r="AE224" s="112">
        <v>0.0</v>
      </c>
      <c r="AF224" s="167">
        <f t="shared" ref="AF224:AF232" si="75">SUM(B224:AE224)</f>
        <v>3</v>
      </c>
    </row>
    <row r="225" outlineLevel="1">
      <c r="A225" s="117" t="s">
        <v>267</v>
      </c>
      <c r="B225" s="112">
        <v>0.0</v>
      </c>
      <c r="C225" s="112">
        <v>0.0</v>
      </c>
      <c r="D225" s="112">
        <v>1.0</v>
      </c>
      <c r="E225" s="112">
        <v>0.0</v>
      </c>
      <c r="F225" s="112">
        <v>0.0</v>
      </c>
      <c r="G225" s="112">
        <v>0.0</v>
      </c>
      <c r="H225" s="112">
        <v>0.0</v>
      </c>
      <c r="I225" s="112">
        <v>0.0</v>
      </c>
      <c r="J225" s="112">
        <v>0.0</v>
      </c>
      <c r="K225" s="112">
        <v>0.0</v>
      </c>
      <c r="L225" s="112">
        <v>0.0</v>
      </c>
      <c r="M225" s="112">
        <v>0.0</v>
      </c>
      <c r="N225" s="112">
        <v>0.0</v>
      </c>
      <c r="O225" s="112">
        <v>0.0</v>
      </c>
      <c r="P225" s="112">
        <v>0.0</v>
      </c>
      <c r="Q225" s="112">
        <v>0.0</v>
      </c>
      <c r="R225" s="112">
        <v>0.0</v>
      </c>
      <c r="S225" s="112">
        <v>0.0</v>
      </c>
      <c r="T225" s="112">
        <v>0.0</v>
      </c>
      <c r="U225" s="112">
        <v>1.0</v>
      </c>
      <c r="V225" s="112">
        <v>1.0</v>
      </c>
      <c r="W225" s="112">
        <v>1.0</v>
      </c>
      <c r="X225" s="112">
        <v>0.0</v>
      </c>
      <c r="Y225" s="112">
        <v>0.0</v>
      </c>
      <c r="Z225" s="112">
        <v>0.0</v>
      </c>
      <c r="AA225" s="112">
        <v>0.0</v>
      </c>
      <c r="AB225" s="112">
        <v>1.0</v>
      </c>
      <c r="AC225" s="112">
        <v>0.0</v>
      </c>
      <c r="AD225" s="112">
        <v>2.0</v>
      </c>
      <c r="AE225" s="112">
        <v>0.0</v>
      </c>
      <c r="AF225" s="167">
        <f t="shared" si="75"/>
        <v>7</v>
      </c>
    </row>
    <row r="226" outlineLevel="1">
      <c r="A226" s="117" t="s">
        <v>473</v>
      </c>
      <c r="B226" s="112">
        <v>0.0</v>
      </c>
      <c r="C226" s="112">
        <v>0.0</v>
      </c>
      <c r="D226" s="112">
        <v>0.0</v>
      </c>
      <c r="E226" s="112">
        <v>0.0</v>
      </c>
      <c r="F226" s="112">
        <v>0.0</v>
      </c>
      <c r="G226" s="112">
        <v>0.0</v>
      </c>
      <c r="H226" s="112">
        <v>0.0</v>
      </c>
      <c r="I226" s="112">
        <v>0.0</v>
      </c>
      <c r="J226" s="112">
        <v>0.0</v>
      </c>
      <c r="K226" s="112">
        <v>0.0</v>
      </c>
      <c r="L226" s="112">
        <v>0.0</v>
      </c>
      <c r="M226" s="112">
        <v>0.0</v>
      </c>
      <c r="N226" s="112">
        <v>0.0</v>
      </c>
      <c r="O226" s="112">
        <v>0.0</v>
      </c>
      <c r="P226" s="112">
        <v>0.0</v>
      </c>
      <c r="Q226" s="112">
        <v>0.0</v>
      </c>
      <c r="R226" s="112">
        <v>0.0</v>
      </c>
      <c r="S226" s="112">
        <v>0.0</v>
      </c>
      <c r="T226" s="112">
        <v>0.0</v>
      </c>
      <c r="U226" s="112">
        <v>0.0</v>
      </c>
      <c r="V226" s="112">
        <v>0.0</v>
      </c>
      <c r="W226" s="112">
        <v>0.0</v>
      </c>
      <c r="X226" s="112">
        <v>0.0</v>
      </c>
      <c r="Y226" s="112">
        <v>0.0</v>
      </c>
      <c r="Z226" s="112">
        <v>0.0</v>
      </c>
      <c r="AA226" s="112">
        <v>0.0</v>
      </c>
      <c r="AB226" s="112">
        <v>0.0</v>
      </c>
      <c r="AC226" s="112">
        <v>0.0</v>
      </c>
      <c r="AD226" s="112">
        <v>1.0</v>
      </c>
      <c r="AE226" s="112">
        <v>0.0</v>
      </c>
      <c r="AF226" s="167">
        <f t="shared" si="75"/>
        <v>1</v>
      </c>
    </row>
    <row r="227" outlineLevel="1">
      <c r="A227" s="117" t="s">
        <v>474</v>
      </c>
      <c r="B227" s="112">
        <v>0.0</v>
      </c>
      <c r="C227" s="112">
        <v>0.0</v>
      </c>
      <c r="D227" s="112">
        <v>0.0</v>
      </c>
      <c r="E227" s="112">
        <v>0.0</v>
      </c>
      <c r="F227" s="112">
        <v>0.0</v>
      </c>
      <c r="G227" s="112">
        <v>0.0</v>
      </c>
      <c r="H227" s="112">
        <v>0.0</v>
      </c>
      <c r="I227" s="112">
        <v>0.0</v>
      </c>
      <c r="J227" s="112">
        <v>0.0</v>
      </c>
      <c r="K227" s="112">
        <v>0.0</v>
      </c>
      <c r="L227" s="112">
        <v>0.0</v>
      </c>
      <c r="M227" s="112">
        <v>0.0</v>
      </c>
      <c r="N227" s="112">
        <v>0.0</v>
      </c>
      <c r="O227" s="112">
        <v>0.0</v>
      </c>
      <c r="P227" s="112">
        <v>0.0</v>
      </c>
      <c r="Q227" s="112">
        <v>0.0</v>
      </c>
      <c r="R227" s="112">
        <v>0.0</v>
      </c>
      <c r="S227" s="112">
        <v>0.0</v>
      </c>
      <c r="T227" s="112">
        <v>0.0</v>
      </c>
      <c r="U227" s="112">
        <v>0.0</v>
      </c>
      <c r="V227" s="112">
        <v>0.0</v>
      </c>
      <c r="W227" s="112">
        <v>0.0</v>
      </c>
      <c r="X227" s="112">
        <v>0.0</v>
      </c>
      <c r="Y227" s="112">
        <v>0.0</v>
      </c>
      <c r="Z227" s="112">
        <v>0.0</v>
      </c>
      <c r="AA227" s="112">
        <v>0.0</v>
      </c>
      <c r="AB227" s="112">
        <v>0.0</v>
      </c>
      <c r="AC227" s="112">
        <v>0.0</v>
      </c>
      <c r="AD227" s="112">
        <v>0.0</v>
      </c>
      <c r="AE227" s="112">
        <v>0.0</v>
      </c>
      <c r="AF227" s="167">
        <f t="shared" si="75"/>
        <v>0</v>
      </c>
    </row>
    <row r="228" outlineLevel="1">
      <c r="A228" s="117" t="s">
        <v>476</v>
      </c>
      <c r="B228" s="112">
        <v>0.0</v>
      </c>
      <c r="C228" s="112">
        <v>0.0</v>
      </c>
      <c r="D228" s="112">
        <v>0.0</v>
      </c>
      <c r="E228" s="112">
        <v>0.0</v>
      </c>
      <c r="F228" s="112">
        <v>0.0</v>
      </c>
      <c r="G228" s="112">
        <v>0.0</v>
      </c>
      <c r="H228" s="112">
        <v>0.0</v>
      </c>
      <c r="I228" s="112">
        <v>0.0</v>
      </c>
      <c r="J228" s="112">
        <v>0.0</v>
      </c>
      <c r="K228" s="112">
        <v>0.0</v>
      </c>
      <c r="L228" s="112">
        <v>0.0</v>
      </c>
      <c r="M228" s="112">
        <v>0.0</v>
      </c>
      <c r="N228" s="112">
        <v>0.0</v>
      </c>
      <c r="O228" s="112">
        <v>0.0</v>
      </c>
      <c r="P228" s="112">
        <v>0.0</v>
      </c>
      <c r="Q228" s="112">
        <v>0.0</v>
      </c>
      <c r="R228" s="112">
        <v>0.0</v>
      </c>
      <c r="S228" s="112">
        <v>0.0</v>
      </c>
      <c r="T228" s="112">
        <v>0.0</v>
      </c>
      <c r="U228" s="112">
        <v>0.0</v>
      </c>
      <c r="V228" s="112">
        <v>0.0</v>
      </c>
      <c r="W228" s="112">
        <v>0.0</v>
      </c>
      <c r="X228" s="112">
        <v>0.0</v>
      </c>
      <c r="Y228" s="112">
        <v>0.0</v>
      </c>
      <c r="Z228" s="112">
        <v>0.0</v>
      </c>
      <c r="AA228" s="112">
        <v>0.0</v>
      </c>
      <c r="AB228" s="112">
        <v>0.0</v>
      </c>
      <c r="AC228" s="112">
        <v>0.0</v>
      </c>
      <c r="AD228" s="112">
        <v>0.0</v>
      </c>
      <c r="AE228" s="112">
        <v>0.0</v>
      </c>
      <c r="AF228" s="167">
        <f t="shared" si="75"/>
        <v>0</v>
      </c>
    </row>
    <row r="229" outlineLevel="1">
      <c r="A229" s="117" t="s">
        <v>477</v>
      </c>
      <c r="B229" s="112">
        <v>0.0</v>
      </c>
      <c r="C229" s="112">
        <v>0.0</v>
      </c>
      <c r="D229" s="112">
        <v>0.0</v>
      </c>
      <c r="E229" s="112">
        <v>0.0</v>
      </c>
      <c r="F229" s="112">
        <v>0.0</v>
      </c>
      <c r="G229" s="112">
        <v>0.0</v>
      </c>
      <c r="H229" s="112">
        <v>0.0</v>
      </c>
      <c r="I229" s="112">
        <v>0.0</v>
      </c>
      <c r="J229" s="112">
        <v>0.0</v>
      </c>
      <c r="K229" s="112">
        <v>0.0</v>
      </c>
      <c r="L229" s="112">
        <v>0.0</v>
      </c>
      <c r="M229" s="112">
        <v>0.0</v>
      </c>
      <c r="N229" s="112">
        <v>0.0</v>
      </c>
      <c r="O229" s="112">
        <v>0.0</v>
      </c>
      <c r="P229" s="112">
        <v>0.0</v>
      </c>
      <c r="Q229" s="112">
        <v>0.0</v>
      </c>
      <c r="R229" s="112">
        <v>0.0</v>
      </c>
      <c r="S229" s="112">
        <v>0.0</v>
      </c>
      <c r="T229" s="112">
        <v>0.0</v>
      </c>
      <c r="U229" s="112">
        <v>1.0</v>
      </c>
      <c r="V229" s="112">
        <v>0.0</v>
      </c>
      <c r="W229" s="112">
        <v>0.0</v>
      </c>
      <c r="X229" s="112">
        <v>0.0</v>
      </c>
      <c r="Y229" s="112">
        <v>0.0</v>
      </c>
      <c r="Z229" s="112">
        <v>0.0</v>
      </c>
      <c r="AA229" s="112">
        <v>0.0</v>
      </c>
      <c r="AB229" s="112">
        <v>0.0</v>
      </c>
      <c r="AC229" s="112">
        <v>0.0</v>
      </c>
      <c r="AD229" s="112">
        <v>0.0</v>
      </c>
      <c r="AE229" s="112">
        <v>0.0</v>
      </c>
      <c r="AF229" s="167">
        <f t="shared" si="75"/>
        <v>1</v>
      </c>
    </row>
    <row r="230" outlineLevel="1">
      <c r="A230" s="117" t="s">
        <v>478</v>
      </c>
      <c r="B230" s="112">
        <v>0.0</v>
      </c>
      <c r="C230" s="112">
        <v>0.0</v>
      </c>
      <c r="D230" s="112">
        <v>0.0</v>
      </c>
      <c r="E230" s="112">
        <v>0.0</v>
      </c>
      <c r="F230" s="112">
        <v>0.0</v>
      </c>
      <c r="G230" s="112">
        <v>0.0</v>
      </c>
      <c r="H230" s="112">
        <v>0.0</v>
      </c>
      <c r="I230" s="112">
        <v>0.0</v>
      </c>
      <c r="J230" s="112">
        <v>0.0</v>
      </c>
      <c r="K230" s="112">
        <v>1.0</v>
      </c>
      <c r="L230" s="112">
        <v>0.0</v>
      </c>
      <c r="M230" s="112">
        <v>0.0</v>
      </c>
      <c r="N230" s="112">
        <v>0.0</v>
      </c>
      <c r="O230" s="112">
        <v>0.0</v>
      </c>
      <c r="P230" s="112">
        <v>0.0</v>
      </c>
      <c r="Q230" s="112">
        <v>0.0</v>
      </c>
      <c r="R230" s="112">
        <v>0.0</v>
      </c>
      <c r="S230" s="112">
        <v>0.0</v>
      </c>
      <c r="T230" s="112">
        <v>0.0</v>
      </c>
      <c r="U230" s="112">
        <v>0.0</v>
      </c>
      <c r="V230" s="112">
        <v>1.0</v>
      </c>
      <c r="W230" s="112">
        <v>0.0</v>
      </c>
      <c r="X230" s="112">
        <v>0.0</v>
      </c>
      <c r="Y230" s="112">
        <v>0.0</v>
      </c>
      <c r="Z230" s="112">
        <v>0.0</v>
      </c>
      <c r="AA230" s="112">
        <v>0.0</v>
      </c>
      <c r="AB230" s="112">
        <v>0.0</v>
      </c>
      <c r="AC230" s="112">
        <v>0.0</v>
      </c>
      <c r="AD230" s="112">
        <v>0.0</v>
      </c>
      <c r="AE230" s="112">
        <v>0.0</v>
      </c>
      <c r="AF230" s="167">
        <f t="shared" si="75"/>
        <v>2</v>
      </c>
    </row>
    <row r="231" outlineLevel="1">
      <c r="A231" s="117" t="s">
        <v>479</v>
      </c>
      <c r="B231" s="112">
        <v>0.0</v>
      </c>
      <c r="C231" s="112">
        <v>0.0</v>
      </c>
      <c r="D231" s="112">
        <v>0.0</v>
      </c>
      <c r="E231" s="112">
        <v>0.0</v>
      </c>
      <c r="F231" s="112">
        <v>0.0</v>
      </c>
      <c r="G231" s="112">
        <v>0.0</v>
      </c>
      <c r="H231" s="112">
        <v>0.0</v>
      </c>
      <c r="I231" s="112">
        <v>0.0</v>
      </c>
      <c r="J231" s="112">
        <v>0.0</v>
      </c>
      <c r="K231" s="112">
        <v>0.0</v>
      </c>
      <c r="L231" s="112">
        <v>0.0</v>
      </c>
      <c r="M231" s="112">
        <v>0.0</v>
      </c>
      <c r="N231" s="112">
        <v>0.0</v>
      </c>
      <c r="O231" s="112">
        <v>0.0</v>
      </c>
      <c r="P231" s="112">
        <v>0.0</v>
      </c>
      <c r="Q231" s="112">
        <v>0.0</v>
      </c>
      <c r="R231" s="112">
        <v>0.0</v>
      </c>
      <c r="S231" s="112">
        <v>0.0</v>
      </c>
      <c r="T231" s="112">
        <v>0.0</v>
      </c>
      <c r="U231" s="112">
        <v>0.0</v>
      </c>
      <c r="V231" s="112">
        <v>0.0</v>
      </c>
      <c r="W231" s="112">
        <v>0.0</v>
      </c>
      <c r="X231" s="112">
        <v>0.0</v>
      </c>
      <c r="Y231" s="112">
        <v>0.0</v>
      </c>
      <c r="Z231" s="112">
        <v>0.0</v>
      </c>
      <c r="AA231" s="112">
        <v>0.0</v>
      </c>
      <c r="AB231" s="112">
        <v>0.0</v>
      </c>
      <c r="AC231" s="112">
        <v>0.0</v>
      </c>
      <c r="AD231" s="112">
        <v>0.0</v>
      </c>
      <c r="AE231" s="112">
        <v>0.0</v>
      </c>
      <c r="AF231" s="167">
        <f t="shared" si="75"/>
        <v>0</v>
      </c>
    </row>
    <row r="232">
      <c r="A232" s="204" t="s">
        <v>162</v>
      </c>
      <c r="B232" s="338">
        <f t="shared" ref="B232:AE232" si="76">SUM(B224:B231)</f>
        <v>0</v>
      </c>
      <c r="C232" s="338">
        <f t="shared" si="76"/>
        <v>0</v>
      </c>
      <c r="D232" s="338">
        <f t="shared" si="76"/>
        <v>2</v>
      </c>
      <c r="E232" s="338">
        <f t="shared" si="76"/>
        <v>0</v>
      </c>
      <c r="F232" s="338">
        <f t="shared" si="76"/>
        <v>0</v>
      </c>
      <c r="G232" s="338">
        <f t="shared" si="76"/>
        <v>0</v>
      </c>
      <c r="H232" s="338">
        <f t="shared" si="76"/>
        <v>0</v>
      </c>
      <c r="I232" s="338">
        <f t="shared" si="76"/>
        <v>0</v>
      </c>
      <c r="J232" s="338">
        <f t="shared" si="76"/>
        <v>0</v>
      </c>
      <c r="K232" s="338">
        <f t="shared" si="76"/>
        <v>1</v>
      </c>
      <c r="L232" s="338">
        <f t="shared" si="76"/>
        <v>0</v>
      </c>
      <c r="M232" s="338">
        <f t="shared" si="76"/>
        <v>0</v>
      </c>
      <c r="N232" s="338">
        <f t="shared" si="76"/>
        <v>0</v>
      </c>
      <c r="O232" s="338">
        <f t="shared" si="76"/>
        <v>0</v>
      </c>
      <c r="P232" s="338">
        <f t="shared" si="76"/>
        <v>0</v>
      </c>
      <c r="Q232" s="338">
        <f t="shared" si="76"/>
        <v>0</v>
      </c>
      <c r="R232" s="338">
        <f t="shared" si="76"/>
        <v>0</v>
      </c>
      <c r="S232" s="338">
        <f t="shared" si="76"/>
        <v>0</v>
      </c>
      <c r="T232" s="338">
        <f t="shared" si="76"/>
        <v>0</v>
      </c>
      <c r="U232" s="338">
        <f t="shared" si="76"/>
        <v>3</v>
      </c>
      <c r="V232" s="338">
        <f t="shared" si="76"/>
        <v>2</v>
      </c>
      <c r="W232" s="338">
        <f t="shared" si="76"/>
        <v>1</v>
      </c>
      <c r="X232" s="338">
        <f t="shared" si="76"/>
        <v>0</v>
      </c>
      <c r="Y232" s="338">
        <f t="shared" si="76"/>
        <v>0</v>
      </c>
      <c r="Z232" s="338">
        <f t="shared" si="76"/>
        <v>0</v>
      </c>
      <c r="AA232" s="338">
        <f t="shared" si="76"/>
        <v>0</v>
      </c>
      <c r="AB232" s="338">
        <f t="shared" si="76"/>
        <v>1</v>
      </c>
      <c r="AC232" s="338">
        <f t="shared" si="76"/>
        <v>0</v>
      </c>
      <c r="AD232" s="338">
        <f t="shared" si="76"/>
        <v>4</v>
      </c>
      <c r="AE232" s="338">
        <f t="shared" si="76"/>
        <v>0</v>
      </c>
      <c r="AF232" s="167">
        <f t="shared" si="75"/>
        <v>14</v>
      </c>
    </row>
    <row r="233">
      <c r="A233" s="49"/>
      <c r="B233" s="139"/>
      <c r="C233" s="139"/>
      <c r="D233" s="139"/>
      <c r="E233" s="139"/>
      <c r="F233" s="139"/>
      <c r="G233" s="139"/>
      <c r="H233" s="139"/>
      <c r="I233" s="9"/>
      <c r="J233" s="9"/>
      <c r="K233" s="9"/>
      <c r="L233" s="9"/>
      <c r="M233" s="9"/>
      <c r="N233" s="9"/>
      <c r="O233" s="9"/>
      <c r="P233" s="9"/>
      <c r="Q233" s="9"/>
      <c r="R233" s="9"/>
      <c r="S233" s="9"/>
      <c r="T233" s="9"/>
      <c r="U233" s="9"/>
      <c r="V233" s="9"/>
      <c r="W233" s="9"/>
      <c r="X233" s="9"/>
      <c r="Y233" s="9"/>
      <c r="Z233" s="9"/>
      <c r="AA233" s="9"/>
      <c r="AB233" s="9"/>
      <c r="AC233" s="9"/>
      <c r="AD233" s="9"/>
      <c r="AE233" s="9"/>
      <c r="AF233" s="215"/>
    </row>
    <row r="234">
      <c r="A234" s="75" t="s">
        <v>481</v>
      </c>
      <c r="B234" s="139"/>
      <c r="C234" s="139"/>
      <c r="D234" s="139"/>
      <c r="E234" s="139"/>
      <c r="F234" s="139"/>
      <c r="G234" s="183"/>
      <c r="H234" s="139"/>
      <c r="I234" s="9"/>
      <c r="J234" s="9"/>
      <c r="K234" s="9"/>
      <c r="L234" s="9"/>
      <c r="M234" s="9"/>
      <c r="N234" s="9"/>
      <c r="O234" s="9"/>
      <c r="P234" s="9"/>
      <c r="Q234" s="9"/>
      <c r="R234" s="9"/>
      <c r="S234" s="9"/>
      <c r="T234" s="9"/>
      <c r="U234" s="9"/>
      <c r="V234" s="9"/>
      <c r="W234" s="9"/>
      <c r="X234" s="9"/>
      <c r="Y234" s="9"/>
      <c r="Z234" s="9"/>
      <c r="AA234" s="9"/>
      <c r="AB234" s="9"/>
      <c r="AC234" s="9"/>
      <c r="AD234" s="9"/>
      <c r="AE234" s="9"/>
      <c r="AF234" s="10"/>
    </row>
    <row r="235">
      <c r="A235" s="117" t="s">
        <v>482</v>
      </c>
      <c r="B235" s="128">
        <v>420.24</v>
      </c>
      <c r="C235" s="128">
        <v>382.67</v>
      </c>
      <c r="D235" s="128">
        <v>1064.38</v>
      </c>
      <c r="E235" s="128">
        <v>0.0</v>
      </c>
      <c r="F235" s="128">
        <v>0.0</v>
      </c>
      <c r="G235" s="128">
        <v>697.73</v>
      </c>
      <c r="H235" s="128">
        <v>0.0</v>
      </c>
      <c r="I235" s="128">
        <v>762.69</v>
      </c>
      <c r="J235" s="128">
        <v>237.44</v>
      </c>
      <c r="K235" s="128">
        <v>802.68</v>
      </c>
      <c r="L235" s="128">
        <v>0.0</v>
      </c>
      <c r="M235" s="128">
        <v>0.0</v>
      </c>
      <c r="N235" s="128">
        <v>743.9</v>
      </c>
      <c r="O235" s="128">
        <v>238.63</v>
      </c>
      <c r="P235" s="128">
        <v>722.43</v>
      </c>
      <c r="Q235" s="128">
        <v>201.02</v>
      </c>
      <c r="R235" s="128">
        <v>0.0</v>
      </c>
      <c r="S235" s="128">
        <v>1541.25</v>
      </c>
      <c r="T235" s="128">
        <v>0.0</v>
      </c>
      <c r="U235" s="128">
        <v>1799.88</v>
      </c>
      <c r="V235" s="128">
        <v>2208.62</v>
      </c>
      <c r="W235" s="128">
        <v>1083.2</v>
      </c>
      <c r="X235" s="128">
        <v>3103.86</v>
      </c>
      <c r="Y235" s="128">
        <v>4920.3</v>
      </c>
      <c r="Z235" s="128">
        <v>6125.7</v>
      </c>
      <c r="AA235" s="128">
        <v>5470.58</v>
      </c>
      <c r="AB235" s="128">
        <v>4731.07</v>
      </c>
      <c r="AC235" s="128">
        <v>8090.99</v>
      </c>
      <c r="AD235" s="128">
        <v>2916.91</v>
      </c>
      <c r="AE235" s="128">
        <v>3206.04</v>
      </c>
      <c r="AF235" s="69">
        <f t="shared" ref="AF235:AF236" si="78">SUM(B235:AE235)</f>
        <v>51472.21</v>
      </c>
    </row>
    <row r="236">
      <c r="A236" s="129" t="s">
        <v>483</v>
      </c>
      <c r="B236" s="130">
        <f t="shared" ref="B236:AE236" si="77">SUM(B235)</f>
        <v>420.24</v>
      </c>
      <c r="C236" s="130">
        <f t="shared" si="77"/>
        <v>382.67</v>
      </c>
      <c r="D236" s="130">
        <f t="shared" si="77"/>
        <v>1064.38</v>
      </c>
      <c r="E236" s="130">
        <f t="shared" si="77"/>
        <v>0</v>
      </c>
      <c r="F236" s="130">
        <f t="shared" si="77"/>
        <v>0</v>
      </c>
      <c r="G236" s="130">
        <f t="shared" si="77"/>
        <v>697.73</v>
      </c>
      <c r="H236" s="130">
        <f t="shared" si="77"/>
        <v>0</v>
      </c>
      <c r="I236" s="130">
        <f t="shared" si="77"/>
        <v>762.69</v>
      </c>
      <c r="J236" s="130">
        <f t="shared" si="77"/>
        <v>237.44</v>
      </c>
      <c r="K236" s="130">
        <f t="shared" si="77"/>
        <v>802.68</v>
      </c>
      <c r="L236" s="130">
        <f t="shared" si="77"/>
        <v>0</v>
      </c>
      <c r="M236" s="130">
        <f t="shared" si="77"/>
        <v>0</v>
      </c>
      <c r="N236" s="130">
        <f t="shared" si="77"/>
        <v>743.9</v>
      </c>
      <c r="O236" s="130">
        <f t="shared" si="77"/>
        <v>238.63</v>
      </c>
      <c r="P236" s="130">
        <f t="shared" si="77"/>
        <v>722.43</v>
      </c>
      <c r="Q236" s="130">
        <f t="shared" si="77"/>
        <v>201.02</v>
      </c>
      <c r="R236" s="130">
        <f t="shared" si="77"/>
        <v>0</v>
      </c>
      <c r="S236" s="130">
        <f t="shared" si="77"/>
        <v>1541.25</v>
      </c>
      <c r="T236" s="130">
        <f t="shared" si="77"/>
        <v>0</v>
      </c>
      <c r="U236" s="130">
        <f t="shared" si="77"/>
        <v>1799.88</v>
      </c>
      <c r="V236" s="130">
        <f t="shared" si="77"/>
        <v>2208.62</v>
      </c>
      <c r="W236" s="130">
        <f t="shared" si="77"/>
        <v>1083.2</v>
      </c>
      <c r="X236" s="130">
        <f t="shared" si="77"/>
        <v>3103.86</v>
      </c>
      <c r="Y236" s="130">
        <f t="shared" si="77"/>
        <v>4920.3</v>
      </c>
      <c r="Z236" s="130">
        <f t="shared" si="77"/>
        <v>6125.7</v>
      </c>
      <c r="AA236" s="130">
        <f t="shared" si="77"/>
        <v>5470.58</v>
      </c>
      <c r="AB236" s="130">
        <f t="shared" si="77"/>
        <v>4731.07</v>
      </c>
      <c r="AC236" s="130">
        <f t="shared" si="77"/>
        <v>8090.99</v>
      </c>
      <c r="AD236" s="130">
        <f t="shared" si="77"/>
        <v>2916.91</v>
      </c>
      <c r="AE236" s="130">
        <f t="shared" si="77"/>
        <v>3206.04</v>
      </c>
      <c r="AF236" s="69">
        <f t="shared" si="78"/>
        <v>51472.21</v>
      </c>
    </row>
    <row r="237">
      <c r="A237" s="4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279"/>
    </row>
    <row r="238">
      <c r="A238" s="117" t="s">
        <v>484</v>
      </c>
      <c r="B238" s="128">
        <v>0.0</v>
      </c>
      <c r="C238" s="128">
        <v>0.0</v>
      </c>
      <c r="D238" s="128">
        <v>268.0</v>
      </c>
      <c r="E238" s="128">
        <v>0.0</v>
      </c>
      <c r="F238" s="128">
        <v>0.0</v>
      </c>
      <c r="G238" s="128">
        <v>0.0</v>
      </c>
      <c r="H238" s="128">
        <v>0.0</v>
      </c>
      <c r="I238" s="128">
        <v>0.0</v>
      </c>
      <c r="J238" s="128">
        <v>0.0</v>
      </c>
      <c r="K238" s="128">
        <v>24.0</v>
      </c>
      <c r="L238" s="128">
        <v>0.0</v>
      </c>
      <c r="M238" s="128">
        <v>0.0</v>
      </c>
      <c r="N238" s="128">
        <v>0.0</v>
      </c>
      <c r="O238" s="128">
        <v>0.0</v>
      </c>
      <c r="P238" s="128">
        <v>0.0</v>
      </c>
      <c r="Q238" s="128">
        <v>0.0</v>
      </c>
      <c r="R238" s="128">
        <v>0.0</v>
      </c>
      <c r="S238" s="128">
        <v>0.0</v>
      </c>
      <c r="T238" s="128">
        <v>0.0</v>
      </c>
      <c r="U238" s="128">
        <v>303.0</v>
      </c>
      <c r="V238" s="128">
        <v>283.0</v>
      </c>
      <c r="W238" s="128">
        <v>554.3</v>
      </c>
      <c r="X238" s="128">
        <v>0.0</v>
      </c>
      <c r="Y238" s="128">
        <v>0.0</v>
      </c>
      <c r="Z238" s="128">
        <v>204.0</v>
      </c>
      <c r="AA238" s="128">
        <v>0.0</v>
      </c>
      <c r="AB238" s="128">
        <v>390.3</v>
      </c>
      <c r="AC238" s="128">
        <v>0.0</v>
      </c>
      <c r="AD238" s="128">
        <v>204.0</v>
      </c>
      <c r="AE238" s="128">
        <v>0.0</v>
      </c>
      <c r="AF238" s="69">
        <f t="shared" ref="AF238:AF241" si="79">SUM(B238:AE238)</f>
        <v>2230.6</v>
      </c>
    </row>
    <row r="239">
      <c r="A239" s="117" t="s">
        <v>486</v>
      </c>
      <c r="B239" s="128">
        <v>0.0</v>
      </c>
      <c r="C239" s="128">
        <v>0.0</v>
      </c>
      <c r="D239" s="128">
        <v>35.0</v>
      </c>
      <c r="E239" s="128">
        <v>0.0</v>
      </c>
      <c r="F239" s="128">
        <v>0.0</v>
      </c>
      <c r="G239" s="128">
        <v>0.0</v>
      </c>
      <c r="H239" s="128">
        <v>0.0</v>
      </c>
      <c r="I239" s="128">
        <v>0.0</v>
      </c>
      <c r="J239" s="128">
        <v>0.0</v>
      </c>
      <c r="K239" s="128">
        <v>10.0</v>
      </c>
      <c r="L239" s="128">
        <v>0.0</v>
      </c>
      <c r="M239" s="128">
        <v>0.0</v>
      </c>
      <c r="N239" s="128">
        <v>0.0</v>
      </c>
      <c r="O239" s="128">
        <v>0.0</v>
      </c>
      <c r="P239" s="128">
        <v>0.0</v>
      </c>
      <c r="Q239" s="128">
        <v>0.0</v>
      </c>
      <c r="R239" s="128">
        <v>0.0</v>
      </c>
      <c r="S239" s="128">
        <v>0.0</v>
      </c>
      <c r="T239" s="128">
        <v>0.0</v>
      </c>
      <c r="U239" s="128">
        <v>35.0</v>
      </c>
      <c r="V239" s="128">
        <v>45.0</v>
      </c>
      <c r="W239" s="128">
        <v>70.0</v>
      </c>
      <c r="X239" s="128">
        <v>0.0</v>
      </c>
      <c r="Y239" s="128">
        <v>0.0</v>
      </c>
      <c r="Z239" s="128">
        <v>35.0</v>
      </c>
      <c r="AA239" s="128">
        <v>0.0</v>
      </c>
      <c r="AB239" s="128">
        <v>35.0</v>
      </c>
      <c r="AC239" s="128">
        <v>0.0</v>
      </c>
      <c r="AD239" s="128">
        <v>35.0</v>
      </c>
      <c r="AE239" s="128">
        <v>0.0</v>
      </c>
      <c r="AF239" s="69">
        <f t="shared" si="79"/>
        <v>300</v>
      </c>
    </row>
    <row r="240">
      <c r="A240" s="117" t="s">
        <v>487</v>
      </c>
      <c r="B240" s="55">
        <f t="shared" ref="B240:AE240" si="80">B238*0.22</f>
        <v>0</v>
      </c>
      <c r="C240" s="55">
        <f t="shared" si="80"/>
        <v>0</v>
      </c>
      <c r="D240" s="55">
        <f t="shared" si="80"/>
        <v>58.96</v>
      </c>
      <c r="E240" s="55">
        <f t="shared" si="80"/>
        <v>0</v>
      </c>
      <c r="F240" s="55">
        <f t="shared" si="80"/>
        <v>0</v>
      </c>
      <c r="G240" s="55">
        <f t="shared" si="80"/>
        <v>0</v>
      </c>
      <c r="H240" s="55">
        <f t="shared" si="80"/>
        <v>0</v>
      </c>
      <c r="I240" s="55">
        <f t="shared" si="80"/>
        <v>0</v>
      </c>
      <c r="J240" s="55">
        <f t="shared" si="80"/>
        <v>0</v>
      </c>
      <c r="K240" s="55">
        <f t="shared" si="80"/>
        <v>5.28</v>
      </c>
      <c r="L240" s="55">
        <f t="shared" si="80"/>
        <v>0</v>
      </c>
      <c r="M240" s="55">
        <f t="shared" si="80"/>
        <v>0</v>
      </c>
      <c r="N240" s="55">
        <f t="shared" si="80"/>
        <v>0</v>
      </c>
      <c r="O240" s="55">
        <f t="shared" si="80"/>
        <v>0</v>
      </c>
      <c r="P240" s="55">
        <f t="shared" si="80"/>
        <v>0</v>
      </c>
      <c r="Q240" s="55">
        <f t="shared" si="80"/>
        <v>0</v>
      </c>
      <c r="R240" s="55">
        <f t="shared" si="80"/>
        <v>0</v>
      </c>
      <c r="S240" s="55">
        <f t="shared" si="80"/>
        <v>0</v>
      </c>
      <c r="T240" s="55">
        <f t="shared" si="80"/>
        <v>0</v>
      </c>
      <c r="U240" s="55">
        <f t="shared" si="80"/>
        <v>66.66</v>
      </c>
      <c r="V240" s="55">
        <f t="shared" si="80"/>
        <v>62.26</v>
      </c>
      <c r="W240" s="55">
        <f t="shared" si="80"/>
        <v>121.946</v>
      </c>
      <c r="X240" s="55">
        <f t="shared" si="80"/>
        <v>0</v>
      </c>
      <c r="Y240" s="55">
        <f t="shared" si="80"/>
        <v>0</v>
      </c>
      <c r="Z240" s="55">
        <f t="shared" si="80"/>
        <v>44.88</v>
      </c>
      <c r="AA240" s="55">
        <f t="shared" si="80"/>
        <v>0</v>
      </c>
      <c r="AB240" s="55">
        <f t="shared" si="80"/>
        <v>85.866</v>
      </c>
      <c r="AC240" s="55">
        <f t="shared" si="80"/>
        <v>0</v>
      </c>
      <c r="AD240" s="55">
        <f t="shared" si="80"/>
        <v>44.88</v>
      </c>
      <c r="AE240" s="55">
        <f t="shared" si="80"/>
        <v>0</v>
      </c>
      <c r="AF240" s="69">
        <f t="shared" si="79"/>
        <v>490.732</v>
      </c>
    </row>
    <row r="241">
      <c r="A241" s="129" t="s">
        <v>488</v>
      </c>
      <c r="B241" s="130">
        <f t="shared" ref="B241:AE241" si="81">B238+B239</f>
        <v>0</v>
      </c>
      <c r="C241" s="130">
        <f t="shared" si="81"/>
        <v>0</v>
      </c>
      <c r="D241" s="130">
        <f t="shared" si="81"/>
        <v>303</v>
      </c>
      <c r="E241" s="130">
        <f t="shared" si="81"/>
        <v>0</v>
      </c>
      <c r="F241" s="130">
        <f t="shared" si="81"/>
        <v>0</v>
      </c>
      <c r="G241" s="130">
        <f t="shared" si="81"/>
        <v>0</v>
      </c>
      <c r="H241" s="130">
        <f t="shared" si="81"/>
        <v>0</v>
      </c>
      <c r="I241" s="130">
        <f t="shared" si="81"/>
        <v>0</v>
      </c>
      <c r="J241" s="130">
        <f t="shared" si="81"/>
        <v>0</v>
      </c>
      <c r="K241" s="130">
        <f t="shared" si="81"/>
        <v>34</v>
      </c>
      <c r="L241" s="130">
        <f t="shared" si="81"/>
        <v>0</v>
      </c>
      <c r="M241" s="130">
        <f t="shared" si="81"/>
        <v>0</v>
      </c>
      <c r="N241" s="130">
        <f t="shared" si="81"/>
        <v>0</v>
      </c>
      <c r="O241" s="130">
        <f t="shared" si="81"/>
        <v>0</v>
      </c>
      <c r="P241" s="130">
        <f t="shared" si="81"/>
        <v>0</v>
      </c>
      <c r="Q241" s="130">
        <f t="shared" si="81"/>
        <v>0</v>
      </c>
      <c r="R241" s="130">
        <f t="shared" si="81"/>
        <v>0</v>
      </c>
      <c r="S241" s="130">
        <f t="shared" si="81"/>
        <v>0</v>
      </c>
      <c r="T241" s="130">
        <f t="shared" si="81"/>
        <v>0</v>
      </c>
      <c r="U241" s="130">
        <f t="shared" si="81"/>
        <v>338</v>
      </c>
      <c r="V241" s="130">
        <f t="shared" si="81"/>
        <v>328</v>
      </c>
      <c r="W241" s="130">
        <f t="shared" si="81"/>
        <v>624.3</v>
      </c>
      <c r="X241" s="130">
        <f t="shared" si="81"/>
        <v>0</v>
      </c>
      <c r="Y241" s="130">
        <f t="shared" si="81"/>
        <v>0</v>
      </c>
      <c r="Z241" s="130">
        <f t="shared" si="81"/>
        <v>239</v>
      </c>
      <c r="AA241" s="130">
        <f t="shared" si="81"/>
        <v>0</v>
      </c>
      <c r="AB241" s="130">
        <f t="shared" si="81"/>
        <v>425.3</v>
      </c>
      <c r="AC241" s="130">
        <f t="shared" si="81"/>
        <v>0</v>
      </c>
      <c r="AD241" s="130">
        <f t="shared" si="81"/>
        <v>239</v>
      </c>
      <c r="AE241" s="130">
        <f t="shared" si="81"/>
        <v>0</v>
      </c>
      <c r="AF241" s="69">
        <f t="shared" si="79"/>
        <v>2530.6</v>
      </c>
    </row>
    <row r="242">
      <c r="A242" s="4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10"/>
    </row>
    <row r="243">
      <c r="A243" s="4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10"/>
    </row>
    <row r="244">
      <c r="A244" s="339" t="s">
        <v>490</v>
      </c>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c r="Y244" s="337"/>
      <c r="Z244" s="337"/>
      <c r="AA244" s="337"/>
      <c r="AB244" s="337"/>
      <c r="AC244" s="337"/>
      <c r="AD244" s="337"/>
      <c r="AE244" s="337"/>
      <c r="AF244" s="10"/>
    </row>
    <row r="245">
      <c r="A245" s="340" t="s">
        <v>392</v>
      </c>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c r="AA245" s="206"/>
      <c r="AB245" s="206"/>
      <c r="AC245" s="206"/>
      <c r="AD245" s="206"/>
      <c r="AE245" s="206"/>
      <c r="AF245" s="215"/>
    </row>
    <row r="246" outlineLevel="1">
      <c r="A246" s="340" t="s">
        <v>491</v>
      </c>
      <c r="B246" s="112">
        <v>0.0</v>
      </c>
      <c r="C246" s="112">
        <v>3.0</v>
      </c>
      <c r="D246" s="112">
        <v>0.0</v>
      </c>
      <c r="E246" s="112">
        <v>0.0</v>
      </c>
      <c r="F246" s="112">
        <v>0.0</v>
      </c>
      <c r="G246" s="112">
        <v>0.0</v>
      </c>
      <c r="H246" s="112">
        <v>0.0</v>
      </c>
      <c r="I246" s="112">
        <v>1.0</v>
      </c>
      <c r="J246" s="112">
        <v>0.0</v>
      </c>
      <c r="K246" s="112">
        <v>0.0</v>
      </c>
      <c r="L246" s="112">
        <v>0.0</v>
      </c>
      <c r="M246" s="112">
        <v>0.0</v>
      </c>
      <c r="N246" s="112">
        <v>0.0</v>
      </c>
      <c r="O246" s="112">
        <v>0.0</v>
      </c>
      <c r="P246" s="112">
        <v>0.0</v>
      </c>
      <c r="Q246" s="112">
        <v>0.0</v>
      </c>
      <c r="R246" s="112">
        <v>0.0</v>
      </c>
      <c r="S246" s="112">
        <v>0.0</v>
      </c>
      <c r="T246" s="112">
        <v>3.0</v>
      </c>
      <c r="U246" s="112">
        <v>2.0</v>
      </c>
      <c r="V246" s="112">
        <v>0.0</v>
      </c>
      <c r="W246" s="112">
        <v>0.0</v>
      </c>
      <c r="X246" s="112">
        <v>3.0</v>
      </c>
      <c r="Y246" s="112">
        <v>0.0</v>
      </c>
      <c r="Z246" s="112">
        <v>0.0</v>
      </c>
      <c r="AA246" s="112">
        <v>0.0</v>
      </c>
      <c r="AB246" s="112">
        <v>0.0</v>
      </c>
      <c r="AC246" s="112">
        <v>2.0</v>
      </c>
      <c r="AD246" s="112">
        <v>1.0</v>
      </c>
      <c r="AE246" s="112">
        <v>3.0</v>
      </c>
      <c r="AF246" s="167">
        <f t="shared" ref="AF246:AF249" si="82">SUM(B246:AE246)</f>
        <v>18</v>
      </c>
    </row>
    <row r="247" outlineLevel="1">
      <c r="A247" s="340" t="s">
        <v>492</v>
      </c>
      <c r="B247" s="112">
        <v>0.0</v>
      </c>
      <c r="C247" s="112">
        <v>1.0</v>
      </c>
      <c r="D247" s="112">
        <v>0.0</v>
      </c>
      <c r="E247" s="112">
        <v>0.0</v>
      </c>
      <c r="F247" s="112">
        <v>0.0</v>
      </c>
      <c r="G247" s="112">
        <v>0.0</v>
      </c>
      <c r="H247" s="112">
        <v>1.0</v>
      </c>
      <c r="I247" s="112">
        <v>1.0</v>
      </c>
      <c r="J247" s="112">
        <v>0.0</v>
      </c>
      <c r="K247" s="112">
        <v>0.0</v>
      </c>
      <c r="L247" s="112">
        <v>0.0</v>
      </c>
      <c r="M247" s="112">
        <v>0.0</v>
      </c>
      <c r="N247" s="112">
        <v>0.0</v>
      </c>
      <c r="O247" s="112">
        <v>0.0</v>
      </c>
      <c r="P247" s="112">
        <v>0.0</v>
      </c>
      <c r="Q247" s="112">
        <v>0.0</v>
      </c>
      <c r="R247" s="112">
        <v>0.0</v>
      </c>
      <c r="S247" s="112">
        <v>0.0</v>
      </c>
      <c r="T247" s="112">
        <v>0.0</v>
      </c>
      <c r="U247" s="112">
        <v>0.0</v>
      </c>
      <c r="V247" s="112">
        <v>0.0</v>
      </c>
      <c r="W247" s="112">
        <v>0.0</v>
      </c>
      <c r="X247" s="112">
        <v>2.0</v>
      </c>
      <c r="Y247" s="112">
        <v>0.0</v>
      </c>
      <c r="Z247" s="112">
        <v>0.0</v>
      </c>
      <c r="AA247" s="112">
        <v>0.0</v>
      </c>
      <c r="AB247" s="112">
        <v>0.0</v>
      </c>
      <c r="AC247" s="112">
        <v>0.0</v>
      </c>
      <c r="AD247" s="112">
        <v>0.0</v>
      </c>
      <c r="AE247" s="112">
        <v>0.0</v>
      </c>
      <c r="AF247" s="167">
        <f t="shared" si="82"/>
        <v>5</v>
      </c>
    </row>
    <row r="248" outlineLevel="1">
      <c r="A248" s="340" t="s">
        <v>493</v>
      </c>
      <c r="B248" s="112">
        <v>0.0</v>
      </c>
      <c r="C248" s="119">
        <v>1.0</v>
      </c>
      <c r="D248" s="112">
        <v>1.0</v>
      </c>
      <c r="E248" s="112">
        <v>0.0</v>
      </c>
      <c r="F248" s="112">
        <v>0.0</v>
      </c>
      <c r="G248" s="112">
        <v>0.0</v>
      </c>
      <c r="H248" s="112">
        <v>0.0</v>
      </c>
      <c r="I248" s="112">
        <v>1.0</v>
      </c>
      <c r="J248" s="112">
        <v>0.0</v>
      </c>
      <c r="K248" s="112">
        <v>0.0</v>
      </c>
      <c r="L248" s="112">
        <v>0.0</v>
      </c>
      <c r="M248" s="112">
        <v>0.0</v>
      </c>
      <c r="N248" s="112">
        <v>1.0</v>
      </c>
      <c r="O248" s="112">
        <v>1.0</v>
      </c>
      <c r="P248" s="112">
        <v>0.0</v>
      </c>
      <c r="Q248" s="112">
        <v>2.0</v>
      </c>
      <c r="R248" s="112">
        <v>1.0</v>
      </c>
      <c r="S248" s="112">
        <v>0.0</v>
      </c>
      <c r="T248" s="112">
        <v>7.0</v>
      </c>
      <c r="U248" s="112">
        <v>4.0</v>
      </c>
      <c r="V248" s="112">
        <v>0.0</v>
      </c>
      <c r="W248" s="112">
        <v>2.0</v>
      </c>
      <c r="X248" s="112">
        <v>5.0</v>
      </c>
      <c r="Y248" s="112">
        <v>0.0</v>
      </c>
      <c r="Z248" s="112">
        <v>0.0</v>
      </c>
      <c r="AA248" s="112">
        <v>0.0</v>
      </c>
      <c r="AB248" s="112">
        <v>0.0</v>
      </c>
      <c r="AC248" s="112">
        <v>1.0</v>
      </c>
      <c r="AD248" s="112">
        <v>0.0</v>
      </c>
      <c r="AE248" s="112">
        <v>1.0</v>
      </c>
      <c r="AF248" s="167">
        <f t="shared" si="82"/>
        <v>28</v>
      </c>
    </row>
    <row r="249" outlineLevel="1">
      <c r="A249" s="340" t="s">
        <v>494</v>
      </c>
      <c r="B249" s="112">
        <v>0.0</v>
      </c>
      <c r="C249" s="119">
        <v>1.0</v>
      </c>
      <c r="D249" s="112">
        <v>0.0</v>
      </c>
      <c r="E249" s="112">
        <v>0.0</v>
      </c>
      <c r="F249" s="112">
        <v>0.0</v>
      </c>
      <c r="G249" s="112">
        <v>0.0</v>
      </c>
      <c r="H249" s="112">
        <v>0.0</v>
      </c>
      <c r="I249" s="112">
        <v>3.0</v>
      </c>
      <c r="J249" s="112">
        <v>0.0</v>
      </c>
      <c r="K249" s="112">
        <v>0.0</v>
      </c>
      <c r="L249" s="112">
        <v>0.0</v>
      </c>
      <c r="M249" s="112">
        <v>0.0</v>
      </c>
      <c r="N249" s="112">
        <v>0.0</v>
      </c>
      <c r="O249" s="112">
        <v>0.0</v>
      </c>
      <c r="P249" s="112">
        <v>0.0</v>
      </c>
      <c r="Q249" s="112">
        <v>0.0</v>
      </c>
      <c r="R249" s="112">
        <v>0.0</v>
      </c>
      <c r="S249" s="112">
        <v>0.0</v>
      </c>
      <c r="T249" s="112">
        <v>2.0</v>
      </c>
      <c r="U249" s="112">
        <v>0.0</v>
      </c>
      <c r="V249" s="112">
        <v>1.0</v>
      </c>
      <c r="W249" s="112">
        <v>0.0</v>
      </c>
      <c r="X249" s="112">
        <v>1.0</v>
      </c>
      <c r="Y249" s="112">
        <v>0.0</v>
      </c>
      <c r="Z249" s="112">
        <v>0.0</v>
      </c>
      <c r="AA249" s="112">
        <v>0.0</v>
      </c>
      <c r="AB249" s="112">
        <v>1.0</v>
      </c>
      <c r="AC249" s="112">
        <v>0.0</v>
      </c>
      <c r="AD249" s="112">
        <v>0.0</v>
      </c>
      <c r="AE249" s="112">
        <v>0.0</v>
      </c>
      <c r="AF249" s="167">
        <f t="shared" si="82"/>
        <v>9</v>
      </c>
    </row>
    <row r="250">
      <c r="A250" s="340" t="s">
        <v>398</v>
      </c>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c r="AA250" s="206"/>
      <c r="AB250" s="206"/>
      <c r="AC250" s="206"/>
      <c r="AD250" s="206"/>
      <c r="AE250" s="206"/>
      <c r="AF250" s="215"/>
    </row>
    <row r="251" outlineLevel="1">
      <c r="A251" s="340" t="s">
        <v>495</v>
      </c>
      <c r="B251" s="341">
        <v>1.0</v>
      </c>
      <c r="C251" s="37">
        <v>0.0</v>
      </c>
      <c r="D251" s="37">
        <v>0.0</v>
      </c>
      <c r="E251" s="37">
        <v>0.0</v>
      </c>
      <c r="F251" s="37">
        <v>0.0</v>
      </c>
      <c r="G251" s="37">
        <v>0.0</v>
      </c>
      <c r="H251" s="37">
        <v>0.0</v>
      </c>
      <c r="I251" s="342">
        <v>0.0</v>
      </c>
      <c r="J251" s="342">
        <v>0.0</v>
      </c>
      <c r="K251" s="342">
        <v>0.0</v>
      </c>
      <c r="L251" s="342">
        <v>0.0</v>
      </c>
      <c r="M251" s="342">
        <v>0.0</v>
      </c>
      <c r="N251" s="342">
        <v>0.0</v>
      </c>
      <c r="O251" s="342">
        <v>0.0</v>
      </c>
      <c r="P251" s="342">
        <v>0.0</v>
      </c>
      <c r="Q251" s="342">
        <v>0.0</v>
      </c>
      <c r="R251" s="342">
        <v>0.0</v>
      </c>
      <c r="S251" s="342">
        <v>1.0</v>
      </c>
      <c r="T251" s="342">
        <v>0.0</v>
      </c>
      <c r="U251" s="342">
        <v>0.0</v>
      </c>
      <c r="V251" s="342">
        <v>0.0</v>
      </c>
      <c r="W251" s="342">
        <v>0.0</v>
      </c>
      <c r="X251" s="342">
        <v>0.0</v>
      </c>
      <c r="Y251" s="342">
        <v>0.0</v>
      </c>
      <c r="Z251" s="342">
        <v>0.0</v>
      </c>
      <c r="AA251" s="342">
        <v>0.0</v>
      </c>
      <c r="AB251" s="342">
        <v>0.0</v>
      </c>
      <c r="AC251" s="342">
        <v>0.0</v>
      </c>
      <c r="AD251" s="342">
        <v>0.0</v>
      </c>
      <c r="AE251" s="342">
        <v>0.0</v>
      </c>
      <c r="AF251" s="167">
        <f t="shared" ref="AF251:AF256" si="83">SUM(B251:AE251)</f>
        <v>2</v>
      </c>
    </row>
    <row r="252" outlineLevel="1">
      <c r="A252" s="340" t="s">
        <v>496</v>
      </c>
      <c r="B252" s="341">
        <v>0.0</v>
      </c>
      <c r="C252" s="37">
        <v>0.0</v>
      </c>
      <c r="D252" s="37">
        <v>0.0</v>
      </c>
      <c r="E252" s="37">
        <v>0.0</v>
      </c>
      <c r="F252" s="37">
        <v>0.0</v>
      </c>
      <c r="G252" s="37">
        <v>0.0</v>
      </c>
      <c r="H252" s="37">
        <v>0.0</v>
      </c>
      <c r="I252" s="342">
        <v>0.0</v>
      </c>
      <c r="J252" s="342">
        <v>0.0</v>
      </c>
      <c r="K252" s="342">
        <v>0.0</v>
      </c>
      <c r="L252" s="342">
        <v>0.0</v>
      </c>
      <c r="M252" s="342">
        <v>0.0</v>
      </c>
      <c r="N252" s="342">
        <v>0.0</v>
      </c>
      <c r="O252" s="342">
        <v>0.0</v>
      </c>
      <c r="P252" s="342">
        <v>0.0</v>
      </c>
      <c r="Q252" s="342">
        <v>0.0</v>
      </c>
      <c r="R252" s="342">
        <v>0.0</v>
      </c>
      <c r="S252" s="342">
        <v>0.0</v>
      </c>
      <c r="T252" s="342">
        <v>0.0</v>
      </c>
      <c r="U252" s="342">
        <v>0.0</v>
      </c>
      <c r="V252" s="342">
        <v>0.0</v>
      </c>
      <c r="W252" s="342">
        <v>0.0</v>
      </c>
      <c r="X252" s="342">
        <v>0.0</v>
      </c>
      <c r="Y252" s="342">
        <v>0.0</v>
      </c>
      <c r="Z252" s="342">
        <v>0.0</v>
      </c>
      <c r="AA252" s="342">
        <v>0.0</v>
      </c>
      <c r="AB252" s="342">
        <v>0.0</v>
      </c>
      <c r="AC252" s="342">
        <v>0.0</v>
      </c>
      <c r="AD252" s="342">
        <v>0.0</v>
      </c>
      <c r="AE252" s="342">
        <v>0.0</v>
      </c>
      <c r="AF252" s="167">
        <f t="shared" si="83"/>
        <v>0</v>
      </c>
    </row>
    <row r="253" outlineLevel="1">
      <c r="A253" s="340" t="s">
        <v>497</v>
      </c>
      <c r="B253" s="341">
        <v>0.0</v>
      </c>
      <c r="C253" s="37">
        <v>0.0</v>
      </c>
      <c r="D253" s="37">
        <v>0.0</v>
      </c>
      <c r="E253" s="37">
        <v>0.0</v>
      </c>
      <c r="F253" s="37">
        <v>0.0</v>
      </c>
      <c r="G253" s="37">
        <v>0.0</v>
      </c>
      <c r="H253" s="37">
        <v>0.0</v>
      </c>
      <c r="I253" s="342">
        <v>0.0</v>
      </c>
      <c r="J253" s="342">
        <v>1.0</v>
      </c>
      <c r="K253" s="342">
        <v>0.0</v>
      </c>
      <c r="L253" s="342">
        <v>0.0</v>
      </c>
      <c r="M253" s="342">
        <v>0.0</v>
      </c>
      <c r="N253" s="342">
        <v>0.0</v>
      </c>
      <c r="O253" s="342">
        <v>1.0</v>
      </c>
      <c r="P253" s="342">
        <v>0.0</v>
      </c>
      <c r="Q253" s="342">
        <v>0.0</v>
      </c>
      <c r="R253" s="342">
        <v>0.0</v>
      </c>
      <c r="S253" s="342">
        <v>0.0</v>
      </c>
      <c r="T253" s="342">
        <v>0.0</v>
      </c>
      <c r="U253" s="342">
        <v>0.0</v>
      </c>
      <c r="V253" s="342">
        <v>0.0</v>
      </c>
      <c r="W253" s="342">
        <v>0.0</v>
      </c>
      <c r="X253" s="342">
        <v>0.0</v>
      </c>
      <c r="Y253" s="342">
        <v>0.0</v>
      </c>
      <c r="Z253" s="342">
        <v>0.0</v>
      </c>
      <c r="AA253" s="342">
        <v>0.0</v>
      </c>
      <c r="AB253" s="342">
        <v>0.0</v>
      </c>
      <c r="AC253" s="342">
        <v>0.0</v>
      </c>
      <c r="AD253" s="342">
        <v>0.0</v>
      </c>
      <c r="AE253" s="342">
        <v>0.0</v>
      </c>
      <c r="AF253" s="167">
        <f t="shared" si="83"/>
        <v>2</v>
      </c>
    </row>
    <row r="254" outlineLevel="1">
      <c r="A254" s="340" t="s">
        <v>498</v>
      </c>
      <c r="B254" s="341">
        <v>0.0</v>
      </c>
      <c r="C254" s="37">
        <v>0.0</v>
      </c>
      <c r="D254" s="37">
        <v>0.0</v>
      </c>
      <c r="E254" s="37">
        <v>0.0</v>
      </c>
      <c r="F254" s="37">
        <v>0.0</v>
      </c>
      <c r="G254" s="37">
        <v>0.0</v>
      </c>
      <c r="H254" s="37">
        <v>0.0</v>
      </c>
      <c r="I254" s="342">
        <v>0.0</v>
      </c>
      <c r="J254" s="342">
        <v>0.0</v>
      </c>
      <c r="K254" s="342">
        <v>0.0</v>
      </c>
      <c r="L254" s="342">
        <v>0.0</v>
      </c>
      <c r="M254" s="342">
        <v>0.0</v>
      </c>
      <c r="N254" s="342">
        <v>0.0</v>
      </c>
      <c r="O254" s="342">
        <v>0.0</v>
      </c>
      <c r="P254" s="342">
        <v>0.0</v>
      </c>
      <c r="Q254" s="342">
        <v>0.0</v>
      </c>
      <c r="R254" s="342">
        <v>0.0</v>
      </c>
      <c r="S254" s="342">
        <v>0.0</v>
      </c>
      <c r="T254" s="342">
        <v>0.0</v>
      </c>
      <c r="U254" s="342">
        <v>0.0</v>
      </c>
      <c r="V254" s="342">
        <v>0.0</v>
      </c>
      <c r="W254" s="342">
        <v>0.0</v>
      </c>
      <c r="X254" s="342">
        <v>0.0</v>
      </c>
      <c r="Y254" s="342">
        <v>0.0</v>
      </c>
      <c r="Z254" s="342">
        <v>0.0</v>
      </c>
      <c r="AA254" s="342">
        <v>0.0</v>
      </c>
      <c r="AB254" s="342">
        <v>0.0</v>
      </c>
      <c r="AC254" s="342">
        <v>0.0</v>
      </c>
      <c r="AD254" s="342">
        <v>0.0</v>
      </c>
      <c r="AE254" s="342">
        <v>0.0</v>
      </c>
      <c r="AF254" s="167">
        <f t="shared" si="83"/>
        <v>0</v>
      </c>
    </row>
    <row r="255">
      <c r="A255" s="343" t="s">
        <v>258</v>
      </c>
      <c r="B255" s="338">
        <f t="shared" ref="B255:AE255" si="84">SUM(B246,B247,B251,B252,)</f>
        <v>1</v>
      </c>
      <c r="C255" s="338">
        <f t="shared" si="84"/>
        <v>4</v>
      </c>
      <c r="D255" s="338">
        <f t="shared" si="84"/>
        <v>0</v>
      </c>
      <c r="E255" s="338">
        <f t="shared" si="84"/>
        <v>0</v>
      </c>
      <c r="F255" s="338">
        <f t="shared" si="84"/>
        <v>0</v>
      </c>
      <c r="G255" s="338">
        <f t="shared" si="84"/>
        <v>0</v>
      </c>
      <c r="H255" s="338">
        <f t="shared" si="84"/>
        <v>1</v>
      </c>
      <c r="I255" s="338">
        <f t="shared" si="84"/>
        <v>2</v>
      </c>
      <c r="J255" s="338">
        <f t="shared" si="84"/>
        <v>0</v>
      </c>
      <c r="K255" s="338">
        <f t="shared" si="84"/>
        <v>0</v>
      </c>
      <c r="L255" s="338">
        <f t="shared" si="84"/>
        <v>0</v>
      </c>
      <c r="M255" s="338">
        <f t="shared" si="84"/>
        <v>0</v>
      </c>
      <c r="N255" s="338">
        <f t="shared" si="84"/>
        <v>0</v>
      </c>
      <c r="O255" s="338">
        <f t="shared" si="84"/>
        <v>0</v>
      </c>
      <c r="P255" s="338">
        <f t="shared" si="84"/>
        <v>0</v>
      </c>
      <c r="Q255" s="338">
        <f t="shared" si="84"/>
        <v>0</v>
      </c>
      <c r="R255" s="338">
        <f t="shared" si="84"/>
        <v>0</v>
      </c>
      <c r="S255" s="338">
        <f t="shared" si="84"/>
        <v>1</v>
      </c>
      <c r="T255" s="338">
        <f t="shared" si="84"/>
        <v>3</v>
      </c>
      <c r="U255" s="338">
        <f t="shared" si="84"/>
        <v>2</v>
      </c>
      <c r="V255" s="338">
        <f t="shared" si="84"/>
        <v>0</v>
      </c>
      <c r="W255" s="338">
        <f t="shared" si="84"/>
        <v>0</v>
      </c>
      <c r="X255" s="338">
        <f t="shared" si="84"/>
        <v>5</v>
      </c>
      <c r="Y255" s="338">
        <f t="shared" si="84"/>
        <v>0</v>
      </c>
      <c r="Z255" s="338">
        <f t="shared" si="84"/>
        <v>0</v>
      </c>
      <c r="AA255" s="338">
        <f t="shared" si="84"/>
        <v>0</v>
      </c>
      <c r="AB255" s="338">
        <f t="shared" si="84"/>
        <v>0</v>
      </c>
      <c r="AC255" s="338">
        <f t="shared" si="84"/>
        <v>2</v>
      </c>
      <c r="AD255" s="338">
        <f t="shared" si="84"/>
        <v>1</v>
      </c>
      <c r="AE255" s="338">
        <f t="shared" si="84"/>
        <v>3</v>
      </c>
      <c r="AF255" s="167">
        <f t="shared" si="83"/>
        <v>25</v>
      </c>
    </row>
    <row r="256">
      <c r="A256" s="343" t="s">
        <v>260</v>
      </c>
      <c r="B256" s="338">
        <f t="shared" ref="B256:AE256" si="85">SUM(B248,B249,B253,B254,)</f>
        <v>0</v>
      </c>
      <c r="C256" s="338">
        <f t="shared" si="85"/>
        <v>2</v>
      </c>
      <c r="D256" s="338">
        <f t="shared" si="85"/>
        <v>1</v>
      </c>
      <c r="E256" s="338">
        <f t="shared" si="85"/>
        <v>0</v>
      </c>
      <c r="F256" s="338">
        <f t="shared" si="85"/>
        <v>0</v>
      </c>
      <c r="G256" s="338">
        <f t="shared" si="85"/>
        <v>0</v>
      </c>
      <c r="H256" s="338">
        <f t="shared" si="85"/>
        <v>0</v>
      </c>
      <c r="I256" s="338">
        <f t="shared" si="85"/>
        <v>4</v>
      </c>
      <c r="J256" s="338">
        <f t="shared" si="85"/>
        <v>1</v>
      </c>
      <c r="K256" s="338">
        <f t="shared" si="85"/>
        <v>0</v>
      </c>
      <c r="L256" s="338">
        <f t="shared" si="85"/>
        <v>0</v>
      </c>
      <c r="M256" s="338">
        <f t="shared" si="85"/>
        <v>0</v>
      </c>
      <c r="N256" s="338">
        <f t="shared" si="85"/>
        <v>1</v>
      </c>
      <c r="O256" s="338">
        <f t="shared" si="85"/>
        <v>2</v>
      </c>
      <c r="P256" s="338">
        <f t="shared" si="85"/>
        <v>0</v>
      </c>
      <c r="Q256" s="338">
        <f t="shared" si="85"/>
        <v>2</v>
      </c>
      <c r="R256" s="338">
        <f t="shared" si="85"/>
        <v>1</v>
      </c>
      <c r="S256" s="338">
        <f t="shared" si="85"/>
        <v>0</v>
      </c>
      <c r="T256" s="338">
        <f t="shared" si="85"/>
        <v>9</v>
      </c>
      <c r="U256" s="338">
        <f t="shared" si="85"/>
        <v>4</v>
      </c>
      <c r="V256" s="338">
        <f t="shared" si="85"/>
        <v>1</v>
      </c>
      <c r="W256" s="338">
        <f t="shared" si="85"/>
        <v>2</v>
      </c>
      <c r="X256" s="338">
        <f t="shared" si="85"/>
        <v>6</v>
      </c>
      <c r="Y256" s="338">
        <f t="shared" si="85"/>
        <v>0</v>
      </c>
      <c r="Z256" s="338">
        <f t="shared" si="85"/>
        <v>0</v>
      </c>
      <c r="AA256" s="338">
        <f t="shared" si="85"/>
        <v>0</v>
      </c>
      <c r="AB256" s="338">
        <f t="shared" si="85"/>
        <v>1</v>
      </c>
      <c r="AC256" s="338">
        <f t="shared" si="85"/>
        <v>1</v>
      </c>
      <c r="AD256" s="338">
        <f t="shared" si="85"/>
        <v>0</v>
      </c>
      <c r="AE256" s="338">
        <f t="shared" si="85"/>
        <v>1</v>
      </c>
      <c r="AF256" s="167">
        <f t="shared" si="83"/>
        <v>39</v>
      </c>
    </row>
    <row r="257">
      <c r="A257" s="49"/>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215"/>
    </row>
    <row r="258">
      <c r="A258" s="344" t="s">
        <v>406</v>
      </c>
      <c r="B258" s="345"/>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45"/>
      <c r="AA258" s="345"/>
      <c r="AB258" s="345"/>
      <c r="AC258" s="345"/>
      <c r="AD258" s="345"/>
      <c r="AE258" s="345"/>
      <c r="AF258" s="215"/>
    </row>
    <row r="259" outlineLevel="1">
      <c r="A259" s="340" t="s">
        <v>264</v>
      </c>
      <c r="B259" s="112">
        <v>0.0</v>
      </c>
      <c r="C259" s="112">
        <v>0.0</v>
      </c>
      <c r="D259" s="112">
        <v>0.0</v>
      </c>
      <c r="E259" s="112">
        <v>0.0</v>
      </c>
      <c r="F259" s="112">
        <v>0.0</v>
      </c>
      <c r="G259" s="112">
        <v>0.0</v>
      </c>
      <c r="H259" s="21">
        <v>1.0</v>
      </c>
      <c r="I259" s="112">
        <v>3.0</v>
      </c>
      <c r="J259" s="112">
        <v>0.0</v>
      </c>
      <c r="K259" s="112">
        <v>0.0</v>
      </c>
      <c r="L259" s="112">
        <v>0.0</v>
      </c>
      <c r="M259" s="112">
        <v>0.0</v>
      </c>
      <c r="N259" s="112">
        <v>0.0</v>
      </c>
      <c r="O259" s="112">
        <v>1.0</v>
      </c>
      <c r="P259" s="112">
        <v>1.0</v>
      </c>
      <c r="Q259" s="112">
        <v>0.0</v>
      </c>
      <c r="R259" s="112">
        <v>1.0</v>
      </c>
      <c r="S259" s="112">
        <v>0.0</v>
      </c>
      <c r="T259" s="112">
        <v>3.0</v>
      </c>
      <c r="U259" s="112">
        <v>1.0</v>
      </c>
      <c r="V259" s="112">
        <v>0.0</v>
      </c>
      <c r="W259" s="112">
        <v>1.0</v>
      </c>
      <c r="X259" s="112">
        <v>4.0</v>
      </c>
      <c r="Y259" s="112">
        <v>0.0</v>
      </c>
      <c r="Z259" s="112">
        <v>0.0</v>
      </c>
      <c r="AA259" s="112">
        <v>0.0</v>
      </c>
      <c r="AB259" s="112">
        <v>0.0</v>
      </c>
      <c r="AC259" s="112">
        <v>1.0</v>
      </c>
      <c r="AD259" s="112">
        <v>0.0</v>
      </c>
      <c r="AE259" s="112">
        <v>2.0</v>
      </c>
      <c r="AF259" s="167">
        <f t="shared" ref="AF259:AF267" si="86">SUM(B259:AE259)</f>
        <v>19</v>
      </c>
    </row>
    <row r="260" outlineLevel="1">
      <c r="A260" s="340" t="s">
        <v>267</v>
      </c>
      <c r="B260" s="112">
        <v>0.0</v>
      </c>
      <c r="C260" s="112">
        <v>0.0</v>
      </c>
      <c r="D260" s="112">
        <v>0.0</v>
      </c>
      <c r="E260" s="112">
        <v>0.0</v>
      </c>
      <c r="F260" s="112">
        <v>0.0</v>
      </c>
      <c r="G260" s="112">
        <v>0.0</v>
      </c>
      <c r="H260" s="21">
        <v>0.0</v>
      </c>
      <c r="I260" s="112">
        <v>3.0</v>
      </c>
      <c r="J260" s="112">
        <v>0.0</v>
      </c>
      <c r="K260" s="112">
        <v>0.0</v>
      </c>
      <c r="L260" s="112">
        <v>0.0</v>
      </c>
      <c r="M260" s="112">
        <v>0.0</v>
      </c>
      <c r="N260" s="112">
        <v>0.0</v>
      </c>
      <c r="O260" s="112">
        <v>0.0</v>
      </c>
      <c r="P260" s="112">
        <v>0.0</v>
      </c>
      <c r="Q260" s="112">
        <v>1.0</v>
      </c>
      <c r="R260" s="112">
        <v>1.0</v>
      </c>
      <c r="S260" s="112">
        <v>0.0</v>
      </c>
      <c r="T260" s="112">
        <v>5.0</v>
      </c>
      <c r="U260" s="112">
        <v>2.0</v>
      </c>
      <c r="V260" s="112">
        <v>0.0</v>
      </c>
      <c r="W260" s="112">
        <v>1.0</v>
      </c>
      <c r="X260" s="112">
        <v>6.0</v>
      </c>
      <c r="Y260" s="112">
        <v>0.0</v>
      </c>
      <c r="Z260" s="112">
        <v>0.0</v>
      </c>
      <c r="AA260" s="112">
        <v>0.0</v>
      </c>
      <c r="AB260" s="112">
        <v>0.0</v>
      </c>
      <c r="AC260" s="112">
        <v>1.0</v>
      </c>
      <c r="AD260" s="112">
        <v>0.0</v>
      </c>
      <c r="AE260" s="112">
        <v>1.0</v>
      </c>
      <c r="AF260" s="167">
        <f t="shared" si="86"/>
        <v>21</v>
      </c>
    </row>
    <row r="261" outlineLevel="1">
      <c r="A261" s="340" t="s">
        <v>499</v>
      </c>
      <c r="B261" s="112">
        <v>0.0</v>
      </c>
      <c r="C261" s="112">
        <v>0.0</v>
      </c>
      <c r="D261" s="112">
        <v>0.0</v>
      </c>
      <c r="E261" s="112">
        <v>0.0</v>
      </c>
      <c r="F261" s="112">
        <v>0.0</v>
      </c>
      <c r="G261" s="112">
        <v>0.0</v>
      </c>
      <c r="H261" s="21">
        <v>0.0</v>
      </c>
      <c r="I261" s="112">
        <v>0.0</v>
      </c>
      <c r="J261" s="112">
        <v>0.0</v>
      </c>
      <c r="K261" s="112">
        <v>0.0</v>
      </c>
      <c r="L261" s="112">
        <v>0.0</v>
      </c>
      <c r="M261" s="112">
        <v>0.0</v>
      </c>
      <c r="N261" s="112">
        <v>0.0</v>
      </c>
      <c r="O261" s="112">
        <v>0.0</v>
      </c>
      <c r="P261" s="112">
        <v>0.0</v>
      </c>
      <c r="Q261" s="112">
        <v>0.0</v>
      </c>
      <c r="R261" s="112">
        <v>0.0</v>
      </c>
      <c r="S261" s="112">
        <v>0.0</v>
      </c>
      <c r="T261" s="112">
        <v>0.0</v>
      </c>
      <c r="U261" s="112">
        <v>0.0</v>
      </c>
      <c r="V261" s="112">
        <v>0.0</v>
      </c>
      <c r="W261" s="112">
        <v>0.0</v>
      </c>
      <c r="X261" s="112">
        <v>2.0</v>
      </c>
      <c r="Y261" s="112">
        <v>0.0</v>
      </c>
      <c r="Z261" s="112">
        <v>0.0</v>
      </c>
      <c r="AA261" s="112">
        <v>0.0</v>
      </c>
      <c r="AB261" s="112">
        <v>0.0</v>
      </c>
      <c r="AC261" s="112">
        <v>0.0</v>
      </c>
      <c r="AD261" s="112">
        <v>0.0</v>
      </c>
      <c r="AE261" s="112">
        <v>0.0</v>
      </c>
      <c r="AF261" s="167">
        <f t="shared" si="86"/>
        <v>2</v>
      </c>
    </row>
    <row r="262" outlineLevel="1">
      <c r="A262" s="340" t="s">
        <v>500</v>
      </c>
      <c r="B262" s="112">
        <v>0.0</v>
      </c>
      <c r="C262" s="112">
        <v>0.0</v>
      </c>
      <c r="D262" s="112">
        <v>0.0</v>
      </c>
      <c r="E262" s="112">
        <v>0.0</v>
      </c>
      <c r="F262" s="112">
        <v>0.0</v>
      </c>
      <c r="G262" s="112">
        <v>0.0</v>
      </c>
      <c r="H262" s="21">
        <v>0.0</v>
      </c>
      <c r="I262" s="112">
        <v>2.0</v>
      </c>
      <c r="J262" s="112">
        <v>0.0</v>
      </c>
      <c r="K262" s="112">
        <v>0.0</v>
      </c>
      <c r="L262" s="112">
        <v>0.0</v>
      </c>
      <c r="M262" s="112">
        <v>0.0</v>
      </c>
      <c r="N262" s="112">
        <v>0.0</v>
      </c>
      <c r="O262" s="112">
        <v>0.0</v>
      </c>
      <c r="P262" s="112">
        <v>0.0</v>
      </c>
      <c r="Q262" s="112">
        <v>0.0</v>
      </c>
      <c r="R262" s="112">
        <v>0.0</v>
      </c>
      <c r="S262" s="112">
        <v>0.0</v>
      </c>
      <c r="T262" s="112">
        <v>0.0</v>
      </c>
      <c r="U262" s="112">
        <v>0.0</v>
      </c>
      <c r="V262" s="112">
        <v>0.0</v>
      </c>
      <c r="W262" s="112">
        <v>0.0</v>
      </c>
      <c r="X262" s="112">
        <v>0.0</v>
      </c>
      <c r="Y262" s="112">
        <v>0.0</v>
      </c>
      <c r="Z262" s="112">
        <v>0.0</v>
      </c>
      <c r="AA262" s="112">
        <v>0.0</v>
      </c>
      <c r="AB262" s="112">
        <v>0.0</v>
      </c>
      <c r="AC262" s="112">
        <v>0.0</v>
      </c>
      <c r="AD262" s="112">
        <v>0.0</v>
      </c>
      <c r="AE262" s="112">
        <v>0.0</v>
      </c>
      <c r="AF262" s="167">
        <f t="shared" si="86"/>
        <v>2</v>
      </c>
    </row>
    <row r="263" outlineLevel="1">
      <c r="A263" s="340" t="s">
        <v>501</v>
      </c>
      <c r="B263" s="112">
        <v>0.0</v>
      </c>
      <c r="C263" s="112">
        <v>0.0</v>
      </c>
      <c r="D263" s="112">
        <v>0.0</v>
      </c>
      <c r="E263" s="112">
        <v>0.0</v>
      </c>
      <c r="F263" s="112">
        <v>0.0</v>
      </c>
      <c r="G263" s="112">
        <v>0.0</v>
      </c>
      <c r="H263" s="21">
        <v>0.0</v>
      </c>
      <c r="I263" s="112">
        <v>0.0</v>
      </c>
      <c r="J263" s="112">
        <v>0.0</v>
      </c>
      <c r="K263" s="112">
        <v>0.0</v>
      </c>
      <c r="L263" s="112">
        <v>0.0</v>
      </c>
      <c r="M263" s="112">
        <v>1.0</v>
      </c>
      <c r="N263" s="112">
        <v>0.0</v>
      </c>
      <c r="O263" s="112">
        <v>0.0</v>
      </c>
      <c r="P263" s="112">
        <v>0.0</v>
      </c>
      <c r="Q263" s="112">
        <v>0.0</v>
      </c>
      <c r="R263" s="112">
        <v>0.0</v>
      </c>
      <c r="S263" s="112">
        <v>0.0</v>
      </c>
      <c r="T263" s="112">
        <v>0.0</v>
      </c>
      <c r="U263" s="112">
        <v>0.0</v>
      </c>
      <c r="V263" s="112">
        <v>0.0</v>
      </c>
      <c r="W263" s="112">
        <v>0.0</v>
      </c>
      <c r="X263" s="112">
        <v>0.0</v>
      </c>
      <c r="Y263" s="112">
        <v>0.0</v>
      </c>
      <c r="Z263" s="112">
        <v>0.0</v>
      </c>
      <c r="AA263" s="112">
        <v>0.0</v>
      </c>
      <c r="AB263" s="112">
        <v>0.0</v>
      </c>
      <c r="AC263" s="112">
        <v>0.0</v>
      </c>
      <c r="AD263" s="112">
        <v>0.0</v>
      </c>
      <c r="AE263" s="112">
        <v>0.0</v>
      </c>
      <c r="AF263" s="167">
        <f t="shared" si="86"/>
        <v>1</v>
      </c>
    </row>
    <row r="264" outlineLevel="1">
      <c r="A264" s="340" t="s">
        <v>502</v>
      </c>
      <c r="B264" s="112">
        <v>0.0</v>
      </c>
      <c r="C264" s="112">
        <v>0.0</v>
      </c>
      <c r="D264" s="112">
        <v>0.0</v>
      </c>
      <c r="E264" s="112">
        <v>0.0</v>
      </c>
      <c r="F264" s="112">
        <v>0.0</v>
      </c>
      <c r="G264" s="112">
        <v>0.0</v>
      </c>
      <c r="H264" s="21">
        <v>0.0</v>
      </c>
      <c r="I264" s="112">
        <v>0.0</v>
      </c>
      <c r="J264" s="112">
        <v>0.0</v>
      </c>
      <c r="K264" s="112">
        <v>0.0</v>
      </c>
      <c r="L264" s="112">
        <v>0.0</v>
      </c>
      <c r="M264" s="112">
        <v>0.0</v>
      </c>
      <c r="N264" s="112">
        <v>0.0</v>
      </c>
      <c r="O264" s="112">
        <v>0.0</v>
      </c>
      <c r="P264" s="112">
        <v>0.0</v>
      </c>
      <c r="Q264" s="112">
        <v>0.0</v>
      </c>
      <c r="R264" s="112">
        <v>0.0</v>
      </c>
      <c r="S264" s="112">
        <v>0.0</v>
      </c>
      <c r="T264" s="112">
        <v>1.0</v>
      </c>
      <c r="U264" s="112">
        <v>0.0</v>
      </c>
      <c r="V264" s="112">
        <v>0.0</v>
      </c>
      <c r="W264" s="112">
        <v>0.0</v>
      </c>
      <c r="X264" s="112">
        <v>0.0</v>
      </c>
      <c r="Y264" s="112">
        <v>0.0</v>
      </c>
      <c r="Z264" s="112">
        <v>0.0</v>
      </c>
      <c r="AA264" s="112">
        <v>0.0</v>
      </c>
      <c r="AB264" s="112">
        <v>0.0</v>
      </c>
      <c r="AC264" s="112">
        <v>0.0</v>
      </c>
      <c r="AD264" s="112">
        <v>0.0</v>
      </c>
      <c r="AE264" s="112">
        <v>0.0</v>
      </c>
      <c r="AF264" s="167">
        <f t="shared" si="86"/>
        <v>1</v>
      </c>
    </row>
    <row r="265" outlineLevel="1">
      <c r="A265" s="340" t="s">
        <v>503</v>
      </c>
      <c r="B265" s="112">
        <v>0.0</v>
      </c>
      <c r="C265" s="112">
        <v>0.0</v>
      </c>
      <c r="D265" s="112">
        <v>0.0</v>
      </c>
      <c r="E265" s="112">
        <v>0.0</v>
      </c>
      <c r="F265" s="112">
        <v>0.0</v>
      </c>
      <c r="G265" s="112">
        <v>0.0</v>
      </c>
      <c r="H265" s="21">
        <v>0.0</v>
      </c>
      <c r="I265" s="112">
        <v>2.0</v>
      </c>
      <c r="J265" s="112">
        <v>0.0</v>
      </c>
      <c r="K265" s="112">
        <v>0.0</v>
      </c>
      <c r="L265" s="112">
        <v>0.0</v>
      </c>
      <c r="M265" s="112">
        <v>0.0</v>
      </c>
      <c r="N265" s="112">
        <v>0.0</v>
      </c>
      <c r="O265" s="112">
        <v>0.0</v>
      </c>
      <c r="P265" s="112">
        <v>0.0</v>
      </c>
      <c r="Q265" s="112">
        <v>0.0</v>
      </c>
      <c r="R265" s="112">
        <v>0.0</v>
      </c>
      <c r="S265" s="112">
        <v>1.0</v>
      </c>
      <c r="T265" s="112">
        <v>1.0</v>
      </c>
      <c r="U265" s="112">
        <v>1.0</v>
      </c>
      <c r="V265" s="112">
        <v>1.0</v>
      </c>
      <c r="W265" s="112">
        <v>1.0</v>
      </c>
      <c r="X265" s="112">
        <v>3.0</v>
      </c>
      <c r="Y265" s="112">
        <v>0.0</v>
      </c>
      <c r="Z265" s="112">
        <v>0.0</v>
      </c>
      <c r="AA265" s="112">
        <v>0.0</v>
      </c>
      <c r="AB265" s="112">
        <v>1.0</v>
      </c>
      <c r="AC265" s="112">
        <v>0.0</v>
      </c>
      <c r="AD265" s="112">
        <v>0.0</v>
      </c>
      <c r="AE265" s="112">
        <v>0.0</v>
      </c>
      <c r="AF265" s="167">
        <f t="shared" si="86"/>
        <v>11</v>
      </c>
    </row>
    <row r="266" outlineLevel="1">
      <c r="A266" s="340" t="s">
        <v>504</v>
      </c>
      <c r="B266" s="112">
        <v>0.0</v>
      </c>
      <c r="C266" s="112">
        <v>0.0</v>
      </c>
      <c r="D266" s="112">
        <v>0.0</v>
      </c>
      <c r="E266" s="112">
        <v>0.0</v>
      </c>
      <c r="F266" s="112">
        <v>0.0</v>
      </c>
      <c r="G266" s="112">
        <v>0.0</v>
      </c>
      <c r="H266" s="21">
        <v>0.0</v>
      </c>
      <c r="I266" s="112">
        <v>2.0</v>
      </c>
      <c r="J266" s="112">
        <v>0.0</v>
      </c>
      <c r="K266" s="112">
        <v>0.0</v>
      </c>
      <c r="L266" s="112">
        <v>0.0</v>
      </c>
      <c r="M266" s="112">
        <v>0.0</v>
      </c>
      <c r="N266" s="112">
        <v>0.0</v>
      </c>
      <c r="O266" s="112">
        <v>0.0</v>
      </c>
      <c r="P266" s="112">
        <v>0.0</v>
      </c>
      <c r="Q266" s="112">
        <v>0.0</v>
      </c>
      <c r="R266" s="112">
        <v>0.0</v>
      </c>
      <c r="S266" s="112">
        <v>0.0</v>
      </c>
      <c r="T266" s="112">
        <v>1.0</v>
      </c>
      <c r="U266" s="112">
        <v>0.0</v>
      </c>
      <c r="V266" s="112">
        <v>0.0</v>
      </c>
      <c r="W266" s="112">
        <v>0.0</v>
      </c>
      <c r="X266" s="112">
        <v>0.0</v>
      </c>
      <c r="Y266" s="112">
        <v>0.0</v>
      </c>
      <c r="Z266" s="112">
        <v>0.0</v>
      </c>
      <c r="AA266" s="112">
        <v>0.0</v>
      </c>
      <c r="AB266" s="112">
        <v>0.0</v>
      </c>
      <c r="AC266" s="112">
        <v>0.0</v>
      </c>
      <c r="AD266" s="112">
        <v>0.0</v>
      </c>
      <c r="AE266" s="112">
        <v>0.0</v>
      </c>
      <c r="AF266" s="167">
        <f t="shared" si="86"/>
        <v>3</v>
      </c>
    </row>
    <row r="267">
      <c r="A267" s="129" t="s">
        <v>162</v>
      </c>
      <c r="B267" s="338">
        <f t="shared" ref="B267:AE267" si="87">SUM(B259:B266)</f>
        <v>0</v>
      </c>
      <c r="C267" s="338">
        <f t="shared" si="87"/>
        <v>0</v>
      </c>
      <c r="D267" s="338">
        <f t="shared" si="87"/>
        <v>0</v>
      </c>
      <c r="E267" s="338">
        <f t="shared" si="87"/>
        <v>0</v>
      </c>
      <c r="F267" s="338">
        <f t="shared" si="87"/>
        <v>0</v>
      </c>
      <c r="G267" s="338">
        <f t="shared" si="87"/>
        <v>0</v>
      </c>
      <c r="H267" s="338">
        <f t="shared" si="87"/>
        <v>1</v>
      </c>
      <c r="I267" s="338">
        <f t="shared" si="87"/>
        <v>12</v>
      </c>
      <c r="J267" s="338">
        <f t="shared" si="87"/>
        <v>0</v>
      </c>
      <c r="K267" s="338">
        <f t="shared" si="87"/>
        <v>0</v>
      </c>
      <c r="L267" s="338">
        <f t="shared" si="87"/>
        <v>0</v>
      </c>
      <c r="M267" s="338">
        <f t="shared" si="87"/>
        <v>1</v>
      </c>
      <c r="N267" s="338">
        <f t="shared" si="87"/>
        <v>0</v>
      </c>
      <c r="O267" s="338">
        <f t="shared" si="87"/>
        <v>1</v>
      </c>
      <c r="P267" s="338">
        <f t="shared" si="87"/>
        <v>1</v>
      </c>
      <c r="Q267" s="338">
        <f t="shared" si="87"/>
        <v>1</v>
      </c>
      <c r="R267" s="338">
        <f t="shared" si="87"/>
        <v>2</v>
      </c>
      <c r="S267" s="338">
        <f t="shared" si="87"/>
        <v>1</v>
      </c>
      <c r="T267" s="338">
        <f t="shared" si="87"/>
        <v>11</v>
      </c>
      <c r="U267" s="338">
        <f t="shared" si="87"/>
        <v>4</v>
      </c>
      <c r="V267" s="338">
        <f t="shared" si="87"/>
        <v>1</v>
      </c>
      <c r="W267" s="338">
        <f t="shared" si="87"/>
        <v>3</v>
      </c>
      <c r="X267" s="338">
        <f t="shared" si="87"/>
        <v>15</v>
      </c>
      <c r="Y267" s="338">
        <f t="shared" si="87"/>
        <v>0</v>
      </c>
      <c r="Z267" s="338">
        <f t="shared" si="87"/>
        <v>0</v>
      </c>
      <c r="AA267" s="338">
        <f t="shared" si="87"/>
        <v>0</v>
      </c>
      <c r="AB267" s="338">
        <f t="shared" si="87"/>
        <v>1</v>
      </c>
      <c r="AC267" s="338">
        <f t="shared" si="87"/>
        <v>2</v>
      </c>
      <c r="AD267" s="338">
        <f t="shared" si="87"/>
        <v>0</v>
      </c>
      <c r="AE267" s="338">
        <f t="shared" si="87"/>
        <v>3</v>
      </c>
      <c r="AF267" s="167">
        <f t="shared" si="86"/>
        <v>60</v>
      </c>
    </row>
    <row r="268">
      <c r="A268" s="49"/>
      <c r="B268" s="9"/>
      <c r="C268" s="9"/>
      <c r="D268" s="9"/>
      <c r="E268" s="9"/>
      <c r="F268" s="9"/>
      <c r="G268" s="9"/>
      <c r="H268" s="9"/>
      <c r="I268" s="9"/>
      <c r="J268" s="9"/>
      <c r="K268" s="9"/>
      <c r="L268" s="9"/>
      <c r="M268" s="9"/>
      <c r="N268" s="9"/>
      <c r="O268" s="9"/>
      <c r="P268" s="9"/>
      <c r="Q268" s="9"/>
      <c r="R268" s="9"/>
      <c r="S268" s="9"/>
      <c r="T268" s="9"/>
      <c r="U268" s="9"/>
      <c r="V268" s="9"/>
      <c r="W268" s="9"/>
      <c r="X268" s="9"/>
      <c r="Y268" s="9"/>
      <c r="Z268" s="53" t="s">
        <v>327</v>
      </c>
      <c r="AA268" s="9"/>
      <c r="AB268" s="9"/>
      <c r="AC268" s="9"/>
      <c r="AD268" s="9"/>
      <c r="AE268" s="9"/>
      <c r="AF268" s="10"/>
    </row>
    <row r="269">
      <c r="A269" s="340" t="s">
        <v>470</v>
      </c>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c r="AA269" s="206"/>
      <c r="AB269" s="206"/>
      <c r="AC269" s="206"/>
      <c r="AD269" s="206"/>
      <c r="AE269" s="206"/>
      <c r="AF269" s="215"/>
    </row>
    <row r="270" outlineLevel="1">
      <c r="A270" s="340" t="s">
        <v>264</v>
      </c>
      <c r="B270" s="341">
        <v>0.0</v>
      </c>
      <c r="C270" s="37">
        <v>0.0</v>
      </c>
      <c r="D270" s="37">
        <v>0.0</v>
      </c>
      <c r="E270" s="37">
        <v>0.0</v>
      </c>
      <c r="F270" s="37">
        <v>0.0</v>
      </c>
      <c r="G270" s="37">
        <v>0.0</v>
      </c>
      <c r="H270" s="37">
        <v>0.0</v>
      </c>
      <c r="I270" s="37">
        <v>0.0</v>
      </c>
      <c r="J270" s="37">
        <v>0.0</v>
      </c>
      <c r="K270" s="37">
        <v>0.0</v>
      </c>
      <c r="L270" s="37">
        <v>0.0</v>
      </c>
      <c r="M270" s="37">
        <v>0.0</v>
      </c>
      <c r="N270" s="37">
        <v>0.0</v>
      </c>
      <c r="O270" s="37">
        <v>1.0</v>
      </c>
      <c r="P270" s="37">
        <v>0.0</v>
      </c>
      <c r="Q270" s="37">
        <v>0.0</v>
      </c>
      <c r="R270" s="37">
        <v>0.0</v>
      </c>
      <c r="S270" s="37">
        <v>0.0</v>
      </c>
      <c r="T270" s="37">
        <v>0.0</v>
      </c>
      <c r="U270" s="37">
        <v>0.0</v>
      </c>
      <c r="V270" s="37">
        <v>0.0</v>
      </c>
      <c r="W270" s="37">
        <v>0.0</v>
      </c>
      <c r="X270" s="37">
        <v>0.0</v>
      </c>
      <c r="Y270" s="37">
        <v>0.0</v>
      </c>
      <c r="Z270" s="37">
        <v>0.0</v>
      </c>
      <c r="AA270" s="37">
        <v>0.0</v>
      </c>
      <c r="AB270" s="37">
        <v>0.0</v>
      </c>
      <c r="AC270" s="37">
        <v>0.0</v>
      </c>
      <c r="AD270" s="37">
        <v>0.0</v>
      </c>
      <c r="AE270" s="37">
        <v>0.0</v>
      </c>
      <c r="AF270" s="167">
        <f t="shared" ref="AF270:AF278" si="88">SUM(B270:AE270)</f>
        <v>1</v>
      </c>
    </row>
    <row r="271" outlineLevel="1">
      <c r="A271" s="340" t="s">
        <v>267</v>
      </c>
      <c r="B271" s="341">
        <v>0.0</v>
      </c>
      <c r="C271" s="37">
        <v>0.0</v>
      </c>
      <c r="D271" s="37">
        <v>0.0</v>
      </c>
      <c r="E271" s="37">
        <v>0.0</v>
      </c>
      <c r="F271" s="37">
        <v>0.0</v>
      </c>
      <c r="G271" s="37">
        <v>0.0</v>
      </c>
      <c r="H271" s="37">
        <v>0.0</v>
      </c>
      <c r="I271" s="37">
        <v>0.0</v>
      </c>
      <c r="J271" s="37">
        <v>0.0</v>
      </c>
      <c r="K271" s="37">
        <v>0.0</v>
      </c>
      <c r="L271" s="37">
        <v>0.0</v>
      </c>
      <c r="M271" s="37">
        <v>0.0</v>
      </c>
      <c r="N271" s="37">
        <v>0.0</v>
      </c>
      <c r="O271" s="37">
        <v>0.0</v>
      </c>
      <c r="P271" s="37">
        <v>0.0</v>
      </c>
      <c r="Q271" s="37">
        <v>0.0</v>
      </c>
      <c r="R271" s="37">
        <v>0.0</v>
      </c>
      <c r="S271" s="37">
        <v>1.0</v>
      </c>
      <c r="T271" s="37">
        <v>0.0</v>
      </c>
      <c r="U271" s="37">
        <v>0.0</v>
      </c>
      <c r="V271" s="37">
        <v>0.0</v>
      </c>
      <c r="W271" s="37">
        <v>0.0</v>
      </c>
      <c r="X271" s="37">
        <v>0.0</v>
      </c>
      <c r="Y271" s="37">
        <v>0.0</v>
      </c>
      <c r="Z271" s="37">
        <v>0.0</v>
      </c>
      <c r="AA271" s="37">
        <v>0.0</v>
      </c>
      <c r="AB271" s="37">
        <v>0.0</v>
      </c>
      <c r="AC271" s="37">
        <v>0.0</v>
      </c>
      <c r="AD271" s="37">
        <v>0.0</v>
      </c>
      <c r="AE271" s="37">
        <v>0.0</v>
      </c>
      <c r="AF271" s="167">
        <f t="shared" si="88"/>
        <v>1</v>
      </c>
    </row>
    <row r="272" outlineLevel="1">
      <c r="A272" s="340" t="s">
        <v>505</v>
      </c>
      <c r="B272" s="341">
        <v>0.0</v>
      </c>
      <c r="C272" s="37">
        <v>0.0</v>
      </c>
      <c r="D272" s="37">
        <v>0.0</v>
      </c>
      <c r="E272" s="37">
        <v>0.0</v>
      </c>
      <c r="F272" s="37">
        <v>0.0</v>
      </c>
      <c r="G272" s="37">
        <v>0.0</v>
      </c>
      <c r="H272" s="37">
        <v>0.0</v>
      </c>
      <c r="I272" s="37">
        <v>0.0</v>
      </c>
      <c r="J272" s="37">
        <v>0.0</v>
      </c>
      <c r="K272" s="37">
        <v>0.0</v>
      </c>
      <c r="L272" s="37">
        <v>0.0</v>
      </c>
      <c r="M272" s="37">
        <v>0.0</v>
      </c>
      <c r="N272" s="37">
        <v>0.0</v>
      </c>
      <c r="O272" s="37">
        <v>0.0</v>
      </c>
      <c r="P272" s="37">
        <v>0.0</v>
      </c>
      <c r="Q272" s="37">
        <v>0.0</v>
      </c>
      <c r="R272" s="37">
        <v>0.0</v>
      </c>
      <c r="S272" s="37">
        <v>0.0</v>
      </c>
      <c r="T272" s="37">
        <v>0.0</v>
      </c>
      <c r="U272" s="37">
        <v>0.0</v>
      </c>
      <c r="V272" s="37">
        <v>0.0</v>
      </c>
      <c r="W272" s="37">
        <v>0.0</v>
      </c>
      <c r="X272" s="37">
        <v>0.0</v>
      </c>
      <c r="Y272" s="37">
        <v>0.0</v>
      </c>
      <c r="Z272" s="37">
        <v>0.0</v>
      </c>
      <c r="AA272" s="37">
        <v>0.0</v>
      </c>
      <c r="AB272" s="37">
        <v>0.0</v>
      </c>
      <c r="AC272" s="37">
        <v>0.0</v>
      </c>
      <c r="AD272" s="37">
        <v>0.0</v>
      </c>
      <c r="AE272" s="37">
        <v>0.0</v>
      </c>
      <c r="AF272" s="167">
        <f t="shared" si="88"/>
        <v>0</v>
      </c>
    </row>
    <row r="273" outlineLevel="1">
      <c r="A273" s="340" t="s">
        <v>506</v>
      </c>
      <c r="B273" s="341">
        <v>0.0</v>
      </c>
      <c r="C273" s="37">
        <v>0.0</v>
      </c>
      <c r="D273" s="37">
        <v>0.0</v>
      </c>
      <c r="E273" s="37">
        <v>0.0</v>
      </c>
      <c r="F273" s="37">
        <v>0.0</v>
      </c>
      <c r="G273" s="37">
        <v>0.0</v>
      </c>
      <c r="H273" s="37">
        <v>0.0</v>
      </c>
      <c r="I273" s="37">
        <v>0.0</v>
      </c>
      <c r="J273" s="37">
        <v>0.0</v>
      </c>
      <c r="K273" s="37">
        <v>0.0</v>
      </c>
      <c r="L273" s="37">
        <v>0.0</v>
      </c>
      <c r="M273" s="37">
        <v>0.0</v>
      </c>
      <c r="N273" s="37">
        <v>0.0</v>
      </c>
      <c r="O273" s="37">
        <v>0.0</v>
      </c>
      <c r="P273" s="37">
        <v>0.0</v>
      </c>
      <c r="Q273" s="37">
        <v>0.0</v>
      </c>
      <c r="R273" s="37">
        <v>0.0</v>
      </c>
      <c r="S273" s="37">
        <v>0.0</v>
      </c>
      <c r="T273" s="37">
        <v>0.0</v>
      </c>
      <c r="U273" s="37">
        <v>0.0</v>
      </c>
      <c r="V273" s="37">
        <v>0.0</v>
      </c>
      <c r="W273" s="37">
        <v>0.0</v>
      </c>
      <c r="X273" s="37">
        <v>0.0</v>
      </c>
      <c r="Y273" s="37">
        <v>0.0</v>
      </c>
      <c r="Z273" s="37">
        <v>0.0</v>
      </c>
      <c r="AA273" s="37">
        <v>0.0</v>
      </c>
      <c r="AB273" s="37">
        <v>0.0</v>
      </c>
      <c r="AC273" s="37">
        <v>0.0</v>
      </c>
      <c r="AD273" s="37">
        <v>0.0</v>
      </c>
      <c r="AE273" s="37">
        <v>0.0</v>
      </c>
      <c r="AF273" s="167">
        <f t="shared" si="88"/>
        <v>0</v>
      </c>
    </row>
    <row r="274" outlineLevel="1">
      <c r="A274" s="340" t="s">
        <v>507</v>
      </c>
      <c r="B274" s="341">
        <v>0.0</v>
      </c>
      <c r="C274" s="37">
        <v>0.0</v>
      </c>
      <c r="D274" s="37">
        <v>0.0</v>
      </c>
      <c r="E274" s="37">
        <v>0.0</v>
      </c>
      <c r="F274" s="37">
        <v>0.0</v>
      </c>
      <c r="G274" s="37">
        <v>0.0</v>
      </c>
      <c r="H274" s="37">
        <v>0.0</v>
      </c>
      <c r="I274" s="37">
        <v>0.0</v>
      </c>
      <c r="J274" s="37">
        <v>0.0</v>
      </c>
      <c r="K274" s="37">
        <v>0.0</v>
      </c>
      <c r="L274" s="37">
        <v>0.0</v>
      </c>
      <c r="M274" s="37">
        <v>0.0</v>
      </c>
      <c r="N274" s="37">
        <v>0.0</v>
      </c>
      <c r="O274" s="37">
        <v>0.0</v>
      </c>
      <c r="P274" s="37">
        <v>0.0</v>
      </c>
      <c r="Q274" s="37">
        <v>0.0</v>
      </c>
      <c r="R274" s="37">
        <v>0.0</v>
      </c>
      <c r="S274" s="37">
        <v>0.0</v>
      </c>
      <c r="T274" s="37">
        <v>0.0</v>
      </c>
      <c r="U274" s="37">
        <v>0.0</v>
      </c>
      <c r="V274" s="37">
        <v>0.0</v>
      </c>
      <c r="W274" s="37">
        <v>0.0</v>
      </c>
      <c r="X274" s="37">
        <v>0.0</v>
      </c>
      <c r="Y274" s="37">
        <v>0.0</v>
      </c>
      <c r="Z274" s="37">
        <v>0.0</v>
      </c>
      <c r="AA274" s="37">
        <v>0.0</v>
      </c>
      <c r="AB274" s="37">
        <v>0.0</v>
      </c>
      <c r="AC274" s="37">
        <v>0.0</v>
      </c>
      <c r="AD274" s="37">
        <v>0.0</v>
      </c>
      <c r="AE274" s="37">
        <v>0.0</v>
      </c>
      <c r="AF274" s="167">
        <f t="shared" si="88"/>
        <v>0</v>
      </c>
    </row>
    <row r="275" outlineLevel="1">
      <c r="A275" s="340" t="s">
        <v>508</v>
      </c>
      <c r="B275" s="341">
        <v>0.0</v>
      </c>
      <c r="C275" s="37">
        <v>0.0</v>
      </c>
      <c r="D275" s="37">
        <v>0.0</v>
      </c>
      <c r="E275" s="37">
        <v>0.0</v>
      </c>
      <c r="F275" s="37">
        <v>0.0</v>
      </c>
      <c r="G275" s="37">
        <v>0.0</v>
      </c>
      <c r="H275" s="37">
        <v>0.0</v>
      </c>
      <c r="I275" s="37">
        <v>0.0</v>
      </c>
      <c r="J275" s="37">
        <v>0.0</v>
      </c>
      <c r="K275" s="37">
        <v>0.0</v>
      </c>
      <c r="L275" s="37">
        <v>0.0</v>
      </c>
      <c r="M275" s="37">
        <v>0.0</v>
      </c>
      <c r="N275" s="37">
        <v>0.0</v>
      </c>
      <c r="O275" s="37">
        <v>0.0</v>
      </c>
      <c r="P275" s="37">
        <v>0.0</v>
      </c>
      <c r="Q275" s="37">
        <v>0.0</v>
      </c>
      <c r="R275" s="37">
        <v>0.0</v>
      </c>
      <c r="S275" s="37">
        <v>0.0</v>
      </c>
      <c r="T275" s="37">
        <v>0.0</v>
      </c>
      <c r="U275" s="37">
        <v>0.0</v>
      </c>
      <c r="V275" s="37">
        <v>0.0</v>
      </c>
      <c r="W275" s="37">
        <v>0.0</v>
      </c>
      <c r="X275" s="37">
        <v>0.0</v>
      </c>
      <c r="Y275" s="37">
        <v>0.0</v>
      </c>
      <c r="Z275" s="37">
        <v>0.0</v>
      </c>
      <c r="AA275" s="37">
        <v>0.0</v>
      </c>
      <c r="AB275" s="37">
        <v>0.0</v>
      </c>
      <c r="AC275" s="37">
        <v>0.0</v>
      </c>
      <c r="AD275" s="37">
        <v>0.0</v>
      </c>
      <c r="AE275" s="37">
        <v>0.0</v>
      </c>
      <c r="AF275" s="167">
        <f t="shared" si="88"/>
        <v>0</v>
      </c>
    </row>
    <row r="276" outlineLevel="1">
      <c r="A276" s="340" t="s">
        <v>509</v>
      </c>
      <c r="B276" s="341">
        <v>0.0</v>
      </c>
      <c r="C276" s="37">
        <v>0.0</v>
      </c>
      <c r="D276" s="37">
        <v>0.0</v>
      </c>
      <c r="E276" s="37">
        <v>0.0</v>
      </c>
      <c r="F276" s="37">
        <v>0.0</v>
      </c>
      <c r="G276" s="37">
        <v>0.0</v>
      </c>
      <c r="H276" s="37">
        <v>0.0</v>
      </c>
      <c r="I276" s="37">
        <v>0.0</v>
      </c>
      <c r="J276" s="37">
        <v>0.0</v>
      </c>
      <c r="K276" s="37">
        <v>0.0</v>
      </c>
      <c r="L276" s="37">
        <v>0.0</v>
      </c>
      <c r="M276" s="37">
        <v>0.0</v>
      </c>
      <c r="N276" s="37">
        <v>0.0</v>
      </c>
      <c r="O276" s="37">
        <v>0.0</v>
      </c>
      <c r="P276" s="37">
        <v>0.0</v>
      </c>
      <c r="Q276" s="37">
        <v>0.0</v>
      </c>
      <c r="R276" s="37">
        <v>0.0</v>
      </c>
      <c r="S276" s="37">
        <v>0.0</v>
      </c>
      <c r="T276" s="37">
        <v>0.0</v>
      </c>
      <c r="U276" s="37">
        <v>0.0</v>
      </c>
      <c r="V276" s="37">
        <v>0.0</v>
      </c>
      <c r="W276" s="37">
        <v>0.0</v>
      </c>
      <c r="X276" s="37">
        <v>0.0</v>
      </c>
      <c r="Y276" s="37">
        <v>0.0</v>
      </c>
      <c r="Z276" s="37">
        <v>0.0</v>
      </c>
      <c r="AA276" s="37">
        <v>0.0</v>
      </c>
      <c r="AB276" s="37">
        <v>0.0</v>
      </c>
      <c r="AC276" s="37">
        <v>0.0</v>
      </c>
      <c r="AD276" s="37">
        <v>0.0</v>
      </c>
      <c r="AE276" s="37">
        <v>0.0</v>
      </c>
      <c r="AF276" s="167">
        <f t="shared" si="88"/>
        <v>0</v>
      </c>
    </row>
    <row r="277" outlineLevel="1">
      <c r="A277" s="340" t="s">
        <v>511</v>
      </c>
      <c r="B277" s="341">
        <v>0.0</v>
      </c>
      <c r="C277" s="37">
        <v>0.0</v>
      </c>
      <c r="D277" s="37">
        <v>0.0</v>
      </c>
      <c r="E277" s="37">
        <v>0.0</v>
      </c>
      <c r="F277" s="37">
        <v>0.0</v>
      </c>
      <c r="G277" s="37">
        <v>0.0</v>
      </c>
      <c r="H277" s="37">
        <v>0.0</v>
      </c>
      <c r="I277" s="37">
        <v>0.0</v>
      </c>
      <c r="J277" s="37">
        <v>0.0</v>
      </c>
      <c r="K277" s="37">
        <v>0.0</v>
      </c>
      <c r="L277" s="37">
        <v>0.0</v>
      </c>
      <c r="M277" s="37">
        <v>0.0</v>
      </c>
      <c r="N277" s="37">
        <v>0.0</v>
      </c>
      <c r="O277" s="37">
        <v>0.0</v>
      </c>
      <c r="P277" s="37">
        <v>0.0</v>
      </c>
      <c r="Q277" s="37">
        <v>0.0</v>
      </c>
      <c r="R277" s="37">
        <v>0.0</v>
      </c>
      <c r="S277" s="37">
        <v>0.0</v>
      </c>
      <c r="T277" s="37">
        <v>0.0</v>
      </c>
      <c r="U277" s="37">
        <v>0.0</v>
      </c>
      <c r="V277" s="37">
        <v>0.0</v>
      </c>
      <c r="W277" s="37">
        <v>0.0</v>
      </c>
      <c r="X277" s="37">
        <v>0.0</v>
      </c>
      <c r="Y277" s="37">
        <v>0.0</v>
      </c>
      <c r="Z277" s="37">
        <v>0.0</v>
      </c>
      <c r="AA277" s="37">
        <v>0.0</v>
      </c>
      <c r="AB277" s="37">
        <v>0.0</v>
      </c>
      <c r="AC277" s="37">
        <v>0.0</v>
      </c>
      <c r="AD277" s="37">
        <v>0.0</v>
      </c>
      <c r="AE277" s="37">
        <v>0.0</v>
      </c>
      <c r="AF277" s="167">
        <f t="shared" si="88"/>
        <v>0</v>
      </c>
    </row>
    <row r="278">
      <c r="A278" s="343" t="s">
        <v>162</v>
      </c>
      <c r="B278" s="338">
        <f t="shared" ref="B278:AE278" si="89">SUM(B270:B277)</f>
        <v>0</v>
      </c>
      <c r="C278" s="338">
        <f t="shared" si="89"/>
        <v>0</v>
      </c>
      <c r="D278" s="338">
        <f t="shared" si="89"/>
        <v>0</v>
      </c>
      <c r="E278" s="338">
        <f t="shared" si="89"/>
        <v>0</v>
      </c>
      <c r="F278" s="338">
        <f t="shared" si="89"/>
        <v>0</v>
      </c>
      <c r="G278" s="338">
        <f t="shared" si="89"/>
        <v>0</v>
      </c>
      <c r="H278" s="338">
        <f t="shared" si="89"/>
        <v>0</v>
      </c>
      <c r="I278" s="338">
        <f t="shared" si="89"/>
        <v>0</v>
      </c>
      <c r="J278" s="338">
        <f t="shared" si="89"/>
        <v>0</v>
      </c>
      <c r="K278" s="338">
        <f t="shared" si="89"/>
        <v>0</v>
      </c>
      <c r="L278" s="338">
        <f t="shared" si="89"/>
        <v>0</v>
      </c>
      <c r="M278" s="338">
        <f t="shared" si="89"/>
        <v>0</v>
      </c>
      <c r="N278" s="338">
        <f t="shared" si="89"/>
        <v>0</v>
      </c>
      <c r="O278" s="338">
        <f t="shared" si="89"/>
        <v>1</v>
      </c>
      <c r="P278" s="338">
        <f t="shared" si="89"/>
        <v>0</v>
      </c>
      <c r="Q278" s="338">
        <f t="shared" si="89"/>
        <v>0</v>
      </c>
      <c r="R278" s="338">
        <f t="shared" si="89"/>
        <v>0</v>
      </c>
      <c r="S278" s="338">
        <f t="shared" si="89"/>
        <v>1</v>
      </c>
      <c r="T278" s="338">
        <f t="shared" si="89"/>
        <v>0</v>
      </c>
      <c r="U278" s="338">
        <f t="shared" si="89"/>
        <v>0</v>
      </c>
      <c r="V278" s="338">
        <f t="shared" si="89"/>
        <v>0</v>
      </c>
      <c r="W278" s="338">
        <f t="shared" si="89"/>
        <v>0</v>
      </c>
      <c r="X278" s="338">
        <f t="shared" si="89"/>
        <v>0</v>
      </c>
      <c r="Y278" s="338">
        <f t="shared" si="89"/>
        <v>0</v>
      </c>
      <c r="Z278" s="338">
        <f t="shared" si="89"/>
        <v>0</v>
      </c>
      <c r="AA278" s="338">
        <f t="shared" si="89"/>
        <v>0</v>
      </c>
      <c r="AB278" s="338">
        <f t="shared" si="89"/>
        <v>0</v>
      </c>
      <c r="AC278" s="338">
        <f t="shared" si="89"/>
        <v>0</v>
      </c>
      <c r="AD278" s="338">
        <f t="shared" si="89"/>
        <v>0</v>
      </c>
      <c r="AE278" s="338">
        <f t="shared" si="89"/>
        <v>0</v>
      </c>
      <c r="AF278" s="167">
        <f t="shared" si="88"/>
        <v>2</v>
      </c>
    </row>
    <row r="279">
      <c r="A279" s="49"/>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215"/>
    </row>
    <row r="280">
      <c r="A280" s="346" t="s">
        <v>512</v>
      </c>
      <c r="B280" s="121">
        <v>0.0</v>
      </c>
      <c r="C280" s="121">
        <v>6.0</v>
      </c>
      <c r="D280" s="121">
        <v>1.0</v>
      </c>
      <c r="E280" s="121">
        <v>0.0</v>
      </c>
      <c r="F280" s="121">
        <v>0.0</v>
      </c>
      <c r="G280" s="121">
        <v>0.0</v>
      </c>
      <c r="H280" s="121">
        <v>1.0</v>
      </c>
      <c r="I280" s="121">
        <v>6.0</v>
      </c>
      <c r="J280" s="121">
        <v>0.0</v>
      </c>
      <c r="K280" s="121">
        <v>0.0</v>
      </c>
      <c r="L280" s="121">
        <v>0.0</v>
      </c>
      <c r="M280" s="121">
        <v>1.0</v>
      </c>
      <c r="N280" s="121">
        <v>1.0</v>
      </c>
      <c r="O280" s="121">
        <v>2.0</v>
      </c>
      <c r="P280" s="121">
        <v>1.0</v>
      </c>
      <c r="Q280" s="121">
        <v>2.0</v>
      </c>
      <c r="R280" s="121">
        <v>2.0</v>
      </c>
      <c r="S280" s="121">
        <v>1.0</v>
      </c>
      <c r="T280" s="121">
        <v>12.0</v>
      </c>
      <c r="U280" s="121">
        <v>5.0</v>
      </c>
      <c r="V280" s="121">
        <v>2.0</v>
      </c>
      <c r="W280" s="121">
        <v>2.0</v>
      </c>
      <c r="X280" s="121">
        <v>11.0</v>
      </c>
      <c r="Y280" s="121">
        <v>0.0</v>
      </c>
      <c r="Z280" s="121">
        <v>0.0</v>
      </c>
      <c r="AA280" s="121">
        <v>0.0</v>
      </c>
      <c r="AB280" s="121">
        <v>2.0</v>
      </c>
      <c r="AC280" s="121">
        <v>3.0</v>
      </c>
      <c r="AD280" s="121">
        <v>1.0</v>
      </c>
      <c r="AE280" s="121">
        <v>3.0</v>
      </c>
      <c r="AF280" s="167">
        <f t="shared" ref="AF280:AF282" si="90">SUM(B280:AE280)</f>
        <v>65</v>
      </c>
    </row>
    <row r="281">
      <c r="A281" s="340" t="s">
        <v>513</v>
      </c>
      <c r="B281" s="112">
        <v>1.0</v>
      </c>
      <c r="C281" s="112">
        <v>0.0</v>
      </c>
      <c r="D281" s="112">
        <v>0.0</v>
      </c>
      <c r="E281" s="112">
        <v>0.0</v>
      </c>
      <c r="F281" s="112">
        <v>0.0</v>
      </c>
      <c r="G281" s="112">
        <v>0.0</v>
      </c>
      <c r="H281" s="112">
        <v>0.0</v>
      </c>
      <c r="I281" s="112">
        <v>0.0</v>
      </c>
      <c r="J281" s="112">
        <v>1.0</v>
      </c>
      <c r="K281" s="112">
        <v>0.0</v>
      </c>
      <c r="L281" s="112">
        <v>0.0</v>
      </c>
      <c r="M281" s="112">
        <v>0.0</v>
      </c>
      <c r="N281" s="112">
        <v>0.0</v>
      </c>
      <c r="O281" s="112">
        <v>1.0</v>
      </c>
      <c r="P281" s="112">
        <v>0.0</v>
      </c>
      <c r="Q281" s="112">
        <v>0.0</v>
      </c>
      <c r="R281" s="112">
        <v>0.0</v>
      </c>
      <c r="S281" s="112">
        <v>1.0</v>
      </c>
      <c r="T281" s="112">
        <v>0.0</v>
      </c>
      <c r="U281" s="112">
        <v>0.0</v>
      </c>
      <c r="V281" s="112">
        <v>0.0</v>
      </c>
      <c r="W281" s="112">
        <v>0.0</v>
      </c>
      <c r="X281" s="112">
        <v>0.0</v>
      </c>
      <c r="Y281" s="112">
        <v>0.0</v>
      </c>
      <c r="Z281" s="112">
        <v>0.0</v>
      </c>
      <c r="AA281" s="112">
        <v>0.0</v>
      </c>
      <c r="AB281" s="112">
        <v>0.0</v>
      </c>
      <c r="AC281" s="112">
        <v>0.0</v>
      </c>
      <c r="AD281" s="112">
        <v>0.0</v>
      </c>
      <c r="AE281" s="112">
        <v>0.0</v>
      </c>
      <c r="AF281" s="167">
        <f t="shared" si="90"/>
        <v>4</v>
      </c>
    </row>
    <row r="282">
      <c r="A282" s="129" t="s">
        <v>127</v>
      </c>
      <c r="B282" s="338">
        <f t="shared" ref="B282:AE282" si="91">SUM(B280:B281)</f>
        <v>1</v>
      </c>
      <c r="C282" s="338">
        <f t="shared" si="91"/>
        <v>6</v>
      </c>
      <c r="D282" s="338">
        <f t="shared" si="91"/>
        <v>1</v>
      </c>
      <c r="E282" s="338">
        <f t="shared" si="91"/>
        <v>0</v>
      </c>
      <c r="F282" s="338">
        <f t="shared" si="91"/>
        <v>0</v>
      </c>
      <c r="G282" s="338">
        <f t="shared" si="91"/>
        <v>0</v>
      </c>
      <c r="H282" s="338">
        <f t="shared" si="91"/>
        <v>1</v>
      </c>
      <c r="I282" s="338">
        <f t="shared" si="91"/>
        <v>6</v>
      </c>
      <c r="J282" s="338">
        <f t="shared" si="91"/>
        <v>1</v>
      </c>
      <c r="K282" s="338">
        <f t="shared" si="91"/>
        <v>0</v>
      </c>
      <c r="L282" s="338">
        <f t="shared" si="91"/>
        <v>0</v>
      </c>
      <c r="M282" s="338">
        <f t="shared" si="91"/>
        <v>1</v>
      </c>
      <c r="N282" s="338">
        <f t="shared" si="91"/>
        <v>1</v>
      </c>
      <c r="O282" s="338">
        <f t="shared" si="91"/>
        <v>3</v>
      </c>
      <c r="P282" s="338">
        <f t="shared" si="91"/>
        <v>1</v>
      </c>
      <c r="Q282" s="338">
        <f t="shared" si="91"/>
        <v>2</v>
      </c>
      <c r="R282" s="338">
        <f t="shared" si="91"/>
        <v>2</v>
      </c>
      <c r="S282" s="338">
        <f t="shared" si="91"/>
        <v>2</v>
      </c>
      <c r="T282" s="338">
        <f t="shared" si="91"/>
        <v>12</v>
      </c>
      <c r="U282" s="338">
        <f t="shared" si="91"/>
        <v>5</v>
      </c>
      <c r="V282" s="338">
        <f t="shared" si="91"/>
        <v>2</v>
      </c>
      <c r="W282" s="338">
        <f t="shared" si="91"/>
        <v>2</v>
      </c>
      <c r="X282" s="338">
        <f t="shared" si="91"/>
        <v>11</v>
      </c>
      <c r="Y282" s="338">
        <f t="shared" si="91"/>
        <v>0</v>
      </c>
      <c r="Z282" s="338">
        <f t="shared" si="91"/>
        <v>0</v>
      </c>
      <c r="AA282" s="338">
        <f t="shared" si="91"/>
        <v>0</v>
      </c>
      <c r="AB282" s="338">
        <f t="shared" si="91"/>
        <v>2</v>
      </c>
      <c r="AC282" s="338">
        <f t="shared" si="91"/>
        <v>3</v>
      </c>
      <c r="AD282" s="338">
        <f t="shared" si="91"/>
        <v>1</v>
      </c>
      <c r="AE282" s="338">
        <f t="shared" si="91"/>
        <v>3</v>
      </c>
      <c r="AF282" s="167">
        <f t="shared" si="90"/>
        <v>69</v>
      </c>
    </row>
    <row r="283">
      <c r="A283" s="347"/>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215"/>
    </row>
    <row r="284">
      <c r="A284" s="348" t="s">
        <v>515</v>
      </c>
      <c r="B284" s="110"/>
      <c r="C284" s="110"/>
      <c r="D284" s="110"/>
      <c r="E284" s="110"/>
      <c r="F284" s="110"/>
      <c r="G284" s="110"/>
      <c r="H284" s="110"/>
      <c r="I284" s="110"/>
      <c r="J284" s="110"/>
      <c r="K284" s="146"/>
      <c r="L284" s="146"/>
      <c r="M284" s="110"/>
      <c r="N284" s="110"/>
      <c r="O284" s="110"/>
      <c r="P284" s="110"/>
      <c r="Q284" s="110"/>
      <c r="R284" s="110"/>
      <c r="S284" s="110"/>
      <c r="T284" s="110"/>
      <c r="U284" s="110"/>
      <c r="V284" s="110"/>
      <c r="W284" s="110"/>
      <c r="X284" s="110"/>
      <c r="Y284" s="110"/>
      <c r="Z284" s="110"/>
      <c r="AA284" s="110"/>
      <c r="AB284" s="110"/>
      <c r="AC284" s="110"/>
      <c r="AD284" s="110"/>
      <c r="AE284" s="110"/>
      <c r="AF284" s="215"/>
    </row>
    <row r="285">
      <c r="A285" s="340" t="s">
        <v>482</v>
      </c>
      <c r="B285" s="128">
        <v>0.0</v>
      </c>
      <c r="C285" s="128">
        <v>1390.83</v>
      </c>
      <c r="D285" s="128">
        <v>271.07</v>
      </c>
      <c r="E285" s="128">
        <v>0.0</v>
      </c>
      <c r="F285" s="128">
        <v>0.0</v>
      </c>
      <c r="G285" s="128">
        <v>0.0</v>
      </c>
      <c r="H285" s="128">
        <v>230.94</v>
      </c>
      <c r="I285" s="128">
        <v>2121.61</v>
      </c>
      <c r="J285" s="128">
        <v>0.0</v>
      </c>
      <c r="K285" s="128">
        <v>0.0</v>
      </c>
      <c r="L285" s="128">
        <v>0.0</v>
      </c>
      <c r="M285" s="128">
        <v>84.2</v>
      </c>
      <c r="N285" s="128">
        <v>291.34</v>
      </c>
      <c r="O285" s="128">
        <v>332.68</v>
      </c>
      <c r="P285" s="128">
        <v>25.27</v>
      </c>
      <c r="Q285" s="128">
        <v>522.0</v>
      </c>
      <c r="R285" s="128">
        <v>271.11</v>
      </c>
      <c r="S285" s="128">
        <v>35.52</v>
      </c>
      <c r="T285" s="128">
        <v>3238.08</v>
      </c>
      <c r="U285" s="128">
        <v>1534.18</v>
      </c>
      <c r="V285" s="128">
        <v>244.74</v>
      </c>
      <c r="W285" s="128">
        <v>651.16</v>
      </c>
      <c r="X285" s="128">
        <v>2870.5</v>
      </c>
      <c r="Y285" s="128">
        <v>0.0</v>
      </c>
      <c r="Z285" s="128">
        <v>0.0</v>
      </c>
      <c r="AA285" s="128">
        <v>0.0</v>
      </c>
      <c r="AB285" s="128">
        <v>116.7</v>
      </c>
      <c r="AC285" s="128">
        <v>596.44</v>
      </c>
      <c r="AD285" s="128">
        <v>179.0</v>
      </c>
      <c r="AE285" s="128">
        <v>897.58</v>
      </c>
      <c r="AF285" s="69">
        <f t="shared" ref="AF285:AF286" si="93">SUM(B285:AE285)</f>
        <v>15904.95</v>
      </c>
    </row>
    <row r="286">
      <c r="A286" s="129" t="s">
        <v>483</v>
      </c>
      <c r="B286" s="130">
        <f t="shared" ref="B286:AE286" si="92">sum(B285)</f>
        <v>0</v>
      </c>
      <c r="C286" s="130">
        <f t="shared" si="92"/>
        <v>1390.83</v>
      </c>
      <c r="D286" s="130">
        <f t="shared" si="92"/>
        <v>271.07</v>
      </c>
      <c r="E286" s="130">
        <f t="shared" si="92"/>
        <v>0</v>
      </c>
      <c r="F286" s="130">
        <f t="shared" si="92"/>
        <v>0</v>
      </c>
      <c r="G286" s="130">
        <f t="shared" si="92"/>
        <v>0</v>
      </c>
      <c r="H286" s="130">
        <f t="shared" si="92"/>
        <v>230.94</v>
      </c>
      <c r="I286" s="130">
        <f t="shared" si="92"/>
        <v>2121.61</v>
      </c>
      <c r="J286" s="130">
        <f t="shared" si="92"/>
        <v>0</v>
      </c>
      <c r="K286" s="130">
        <f t="shared" si="92"/>
        <v>0</v>
      </c>
      <c r="L286" s="130">
        <f t="shared" si="92"/>
        <v>0</v>
      </c>
      <c r="M286" s="130">
        <f t="shared" si="92"/>
        <v>84.2</v>
      </c>
      <c r="N286" s="130">
        <f t="shared" si="92"/>
        <v>291.34</v>
      </c>
      <c r="O286" s="130">
        <f t="shared" si="92"/>
        <v>332.68</v>
      </c>
      <c r="P286" s="130">
        <f t="shared" si="92"/>
        <v>25.27</v>
      </c>
      <c r="Q286" s="130">
        <f t="shared" si="92"/>
        <v>522</v>
      </c>
      <c r="R286" s="130">
        <f t="shared" si="92"/>
        <v>271.11</v>
      </c>
      <c r="S286" s="130">
        <f t="shared" si="92"/>
        <v>35.52</v>
      </c>
      <c r="T286" s="130">
        <f t="shared" si="92"/>
        <v>3238.08</v>
      </c>
      <c r="U286" s="130">
        <f t="shared" si="92"/>
        <v>1534.18</v>
      </c>
      <c r="V286" s="130">
        <f t="shared" si="92"/>
        <v>244.74</v>
      </c>
      <c r="W286" s="130">
        <f t="shared" si="92"/>
        <v>651.16</v>
      </c>
      <c r="X286" s="130">
        <f t="shared" si="92"/>
        <v>2870.5</v>
      </c>
      <c r="Y286" s="130">
        <f t="shared" si="92"/>
        <v>0</v>
      </c>
      <c r="Z286" s="130">
        <f t="shared" si="92"/>
        <v>0</v>
      </c>
      <c r="AA286" s="130">
        <f t="shared" si="92"/>
        <v>0</v>
      </c>
      <c r="AB286" s="130">
        <f t="shared" si="92"/>
        <v>116.7</v>
      </c>
      <c r="AC286" s="130">
        <f t="shared" si="92"/>
        <v>596.44</v>
      </c>
      <c r="AD286" s="130">
        <f t="shared" si="92"/>
        <v>179</v>
      </c>
      <c r="AE286" s="130">
        <f t="shared" si="92"/>
        <v>897.58</v>
      </c>
      <c r="AF286" s="69">
        <f t="shared" si="93"/>
        <v>15904.95</v>
      </c>
    </row>
    <row r="287">
      <c r="A287" s="4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10"/>
    </row>
    <row r="288">
      <c r="A288" s="344" t="s">
        <v>484</v>
      </c>
      <c r="B288" s="73">
        <v>234.0</v>
      </c>
      <c r="C288" s="73">
        <v>0.0</v>
      </c>
      <c r="D288" s="73">
        <v>0.0</v>
      </c>
      <c r="E288" s="73">
        <v>0.0</v>
      </c>
      <c r="F288" s="73">
        <v>0.0</v>
      </c>
      <c r="G288" s="73">
        <v>0.0</v>
      </c>
      <c r="H288" s="73">
        <v>0.0</v>
      </c>
      <c r="I288" s="73">
        <v>0.0</v>
      </c>
      <c r="J288" s="73">
        <v>334.0</v>
      </c>
      <c r="K288" s="73">
        <v>0.0</v>
      </c>
      <c r="L288" s="73">
        <v>0.0</v>
      </c>
      <c r="M288" s="73">
        <v>0.0</v>
      </c>
      <c r="N288" s="73">
        <v>0.0</v>
      </c>
      <c r="O288" s="73">
        <v>353.0</v>
      </c>
      <c r="P288" s="73">
        <v>0.0</v>
      </c>
      <c r="Q288" s="73">
        <v>0.0</v>
      </c>
      <c r="R288" s="73">
        <v>0.0</v>
      </c>
      <c r="S288" s="73">
        <v>204.0</v>
      </c>
      <c r="T288" s="73">
        <v>0.0</v>
      </c>
      <c r="U288" s="73">
        <v>0.0</v>
      </c>
      <c r="V288" s="73">
        <v>0.0</v>
      </c>
      <c r="W288" s="73">
        <v>0.0</v>
      </c>
      <c r="X288" s="73">
        <v>0.0</v>
      </c>
      <c r="Y288" s="73">
        <v>0.0</v>
      </c>
      <c r="Z288" s="73">
        <v>0.0</v>
      </c>
      <c r="AA288" s="73">
        <v>0.0</v>
      </c>
      <c r="AB288" s="73">
        <v>0.0</v>
      </c>
      <c r="AC288" s="73">
        <v>0.0</v>
      </c>
      <c r="AD288" s="73">
        <v>0.0</v>
      </c>
      <c r="AE288" s="73">
        <v>0.0</v>
      </c>
      <c r="AF288" s="69">
        <f t="shared" ref="AF288:AF292" si="94">SUM(B288:AE288)</f>
        <v>1125</v>
      </c>
    </row>
    <row r="289">
      <c r="A289" s="344" t="s">
        <v>486</v>
      </c>
      <c r="B289" s="73">
        <v>35.0</v>
      </c>
      <c r="C289" s="73">
        <v>0.0</v>
      </c>
      <c r="D289" s="73">
        <v>0.0</v>
      </c>
      <c r="E289" s="73">
        <v>0.0</v>
      </c>
      <c r="F289" s="73">
        <v>0.0</v>
      </c>
      <c r="G289" s="73">
        <v>0.0</v>
      </c>
      <c r="H289" s="73">
        <v>0.0</v>
      </c>
      <c r="I289" s="73">
        <v>0.0</v>
      </c>
      <c r="J289" s="73">
        <v>35.0</v>
      </c>
      <c r="K289" s="73">
        <v>0.0</v>
      </c>
      <c r="L289" s="73">
        <v>0.0</v>
      </c>
      <c r="M289" s="73">
        <v>0.0</v>
      </c>
      <c r="N289" s="73">
        <v>0.0</v>
      </c>
      <c r="O289" s="73">
        <v>35.0</v>
      </c>
      <c r="P289" s="73">
        <v>0.0</v>
      </c>
      <c r="Q289" s="73">
        <v>0.0</v>
      </c>
      <c r="R289" s="73">
        <v>0.0</v>
      </c>
      <c r="S289" s="73">
        <v>35.0</v>
      </c>
      <c r="T289" s="73">
        <v>0.0</v>
      </c>
      <c r="U289" s="73">
        <v>0.0</v>
      </c>
      <c r="V289" s="73">
        <v>0.0</v>
      </c>
      <c r="W289" s="73">
        <v>0.0</v>
      </c>
      <c r="X289" s="73">
        <v>0.0</v>
      </c>
      <c r="Y289" s="73">
        <v>0.0</v>
      </c>
      <c r="Z289" s="73">
        <v>0.0</v>
      </c>
      <c r="AA289" s="73">
        <v>0.0</v>
      </c>
      <c r="AB289" s="73">
        <v>0.0</v>
      </c>
      <c r="AC289" s="73">
        <v>0.0</v>
      </c>
      <c r="AD289" s="73">
        <v>0.0</v>
      </c>
      <c r="AE289" s="73">
        <v>0.0</v>
      </c>
      <c r="AF289" s="69">
        <f t="shared" si="94"/>
        <v>140</v>
      </c>
    </row>
    <row r="290">
      <c r="A290" s="340" t="s">
        <v>487</v>
      </c>
      <c r="B290" s="55">
        <f t="shared" ref="B290:AE290" si="95">B288*0.22</f>
        <v>51.48</v>
      </c>
      <c r="C290" s="55">
        <f t="shared" si="95"/>
        <v>0</v>
      </c>
      <c r="D290" s="55">
        <f t="shared" si="95"/>
        <v>0</v>
      </c>
      <c r="E290" s="55">
        <f t="shared" si="95"/>
        <v>0</v>
      </c>
      <c r="F290" s="55">
        <f t="shared" si="95"/>
        <v>0</v>
      </c>
      <c r="G290" s="55">
        <f t="shared" si="95"/>
        <v>0</v>
      </c>
      <c r="H290" s="55">
        <f t="shared" si="95"/>
        <v>0</v>
      </c>
      <c r="I290" s="55">
        <f t="shared" si="95"/>
        <v>0</v>
      </c>
      <c r="J290" s="55">
        <f t="shared" si="95"/>
        <v>73.48</v>
      </c>
      <c r="K290" s="55">
        <f t="shared" si="95"/>
        <v>0</v>
      </c>
      <c r="L290" s="55">
        <f t="shared" si="95"/>
        <v>0</v>
      </c>
      <c r="M290" s="55">
        <f t="shared" si="95"/>
        <v>0</v>
      </c>
      <c r="N290" s="55">
        <f t="shared" si="95"/>
        <v>0</v>
      </c>
      <c r="O290" s="55">
        <f t="shared" si="95"/>
        <v>77.66</v>
      </c>
      <c r="P290" s="55">
        <f t="shared" si="95"/>
        <v>0</v>
      </c>
      <c r="Q290" s="55">
        <f t="shared" si="95"/>
        <v>0</v>
      </c>
      <c r="R290" s="55">
        <f t="shared" si="95"/>
        <v>0</v>
      </c>
      <c r="S290" s="55">
        <f t="shared" si="95"/>
        <v>44.88</v>
      </c>
      <c r="T290" s="55">
        <f t="shared" si="95"/>
        <v>0</v>
      </c>
      <c r="U290" s="55">
        <f t="shared" si="95"/>
        <v>0</v>
      </c>
      <c r="V290" s="55">
        <f t="shared" si="95"/>
        <v>0</v>
      </c>
      <c r="W290" s="55">
        <f t="shared" si="95"/>
        <v>0</v>
      </c>
      <c r="X290" s="55">
        <f t="shared" si="95"/>
        <v>0</v>
      </c>
      <c r="Y290" s="55">
        <f t="shared" si="95"/>
        <v>0</v>
      </c>
      <c r="Z290" s="55">
        <f t="shared" si="95"/>
        <v>0</v>
      </c>
      <c r="AA290" s="55">
        <f t="shared" si="95"/>
        <v>0</v>
      </c>
      <c r="AB290" s="55">
        <f t="shared" si="95"/>
        <v>0</v>
      </c>
      <c r="AC290" s="55">
        <f t="shared" si="95"/>
        <v>0</v>
      </c>
      <c r="AD290" s="55">
        <f t="shared" si="95"/>
        <v>0</v>
      </c>
      <c r="AE290" s="55">
        <f t="shared" si="95"/>
        <v>0</v>
      </c>
      <c r="AF290" s="69">
        <f t="shared" si="94"/>
        <v>247.5</v>
      </c>
    </row>
    <row r="291">
      <c r="A291" s="129" t="s">
        <v>488</v>
      </c>
      <c r="B291" s="130">
        <f t="shared" ref="B291:AE291" si="96">SUM(B288+B289)</f>
        <v>269</v>
      </c>
      <c r="C291" s="130">
        <f t="shared" si="96"/>
        <v>0</v>
      </c>
      <c r="D291" s="130">
        <f t="shared" si="96"/>
        <v>0</v>
      </c>
      <c r="E291" s="130">
        <f t="shared" si="96"/>
        <v>0</v>
      </c>
      <c r="F291" s="130">
        <f t="shared" si="96"/>
        <v>0</v>
      </c>
      <c r="G291" s="130">
        <f t="shared" si="96"/>
        <v>0</v>
      </c>
      <c r="H291" s="130">
        <f t="shared" si="96"/>
        <v>0</v>
      </c>
      <c r="I291" s="130">
        <f t="shared" si="96"/>
        <v>0</v>
      </c>
      <c r="J291" s="130">
        <f t="shared" si="96"/>
        <v>369</v>
      </c>
      <c r="K291" s="130">
        <f t="shared" si="96"/>
        <v>0</v>
      </c>
      <c r="L291" s="130">
        <f t="shared" si="96"/>
        <v>0</v>
      </c>
      <c r="M291" s="130">
        <f t="shared" si="96"/>
        <v>0</v>
      </c>
      <c r="N291" s="130">
        <f t="shared" si="96"/>
        <v>0</v>
      </c>
      <c r="O291" s="130">
        <f t="shared" si="96"/>
        <v>388</v>
      </c>
      <c r="P291" s="130">
        <f t="shared" si="96"/>
        <v>0</v>
      </c>
      <c r="Q291" s="130">
        <f t="shared" si="96"/>
        <v>0</v>
      </c>
      <c r="R291" s="130">
        <f t="shared" si="96"/>
        <v>0</v>
      </c>
      <c r="S291" s="130">
        <f t="shared" si="96"/>
        <v>239</v>
      </c>
      <c r="T291" s="130">
        <f t="shared" si="96"/>
        <v>0</v>
      </c>
      <c r="U291" s="130">
        <f t="shared" si="96"/>
        <v>0</v>
      </c>
      <c r="V291" s="130">
        <f t="shared" si="96"/>
        <v>0</v>
      </c>
      <c r="W291" s="130">
        <f t="shared" si="96"/>
        <v>0</v>
      </c>
      <c r="X291" s="130">
        <f t="shared" si="96"/>
        <v>0</v>
      </c>
      <c r="Y291" s="130">
        <f t="shared" si="96"/>
        <v>0</v>
      </c>
      <c r="Z291" s="130">
        <f t="shared" si="96"/>
        <v>0</v>
      </c>
      <c r="AA291" s="130">
        <f t="shared" si="96"/>
        <v>0</v>
      </c>
      <c r="AB291" s="130">
        <f t="shared" si="96"/>
        <v>0</v>
      </c>
      <c r="AC291" s="130">
        <f t="shared" si="96"/>
        <v>0</v>
      </c>
      <c r="AD291" s="130">
        <f t="shared" si="96"/>
        <v>0</v>
      </c>
      <c r="AE291" s="130">
        <f t="shared" si="96"/>
        <v>0</v>
      </c>
      <c r="AF291" s="69">
        <f t="shared" si="94"/>
        <v>1265</v>
      </c>
    </row>
    <row r="292">
      <c r="A292" s="49"/>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215">
        <f t="shared" si="94"/>
        <v>0</v>
      </c>
    </row>
    <row r="293">
      <c r="A293" s="4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10"/>
    </row>
    <row r="294">
      <c r="A294" s="349" t="s">
        <v>517</v>
      </c>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c r="Y294" s="337"/>
      <c r="Z294" s="337"/>
      <c r="AA294" s="337"/>
      <c r="AB294" s="337"/>
      <c r="AC294" s="337"/>
      <c r="AD294" s="337"/>
      <c r="AE294" s="337"/>
      <c r="AF294" s="10"/>
    </row>
    <row r="295">
      <c r="A295" s="117" t="s">
        <v>392</v>
      </c>
      <c r="B295" s="345"/>
      <c r="C295" s="345"/>
      <c r="D295" s="345"/>
      <c r="E295" s="345"/>
      <c r="F295" s="345"/>
      <c r="G295" s="345"/>
      <c r="H295" s="345"/>
      <c r="I295" s="345"/>
      <c r="J295" s="345"/>
      <c r="K295" s="345"/>
      <c r="L295" s="345"/>
      <c r="M295" s="350"/>
      <c r="N295" s="350"/>
      <c r="O295" s="350"/>
      <c r="P295" s="350"/>
      <c r="Q295" s="350"/>
      <c r="R295" s="350"/>
      <c r="S295" s="350"/>
      <c r="T295" s="350"/>
      <c r="U295" s="350"/>
      <c r="V295" s="350"/>
      <c r="W295" s="350"/>
      <c r="X295" s="350"/>
      <c r="Y295" s="350"/>
      <c r="Z295" s="350"/>
      <c r="AA295" s="350"/>
      <c r="AB295" s="350"/>
      <c r="AC295" s="350"/>
      <c r="AD295" s="350"/>
      <c r="AE295" s="350"/>
      <c r="AF295" s="215"/>
    </row>
    <row r="296" outlineLevel="1">
      <c r="A296" s="117" t="s">
        <v>518</v>
      </c>
      <c r="B296" s="112">
        <v>0.0</v>
      </c>
      <c r="C296" s="112">
        <v>0.0</v>
      </c>
      <c r="D296" s="112">
        <v>4.0</v>
      </c>
      <c r="E296" s="112">
        <v>0.0</v>
      </c>
      <c r="F296" s="112">
        <v>0.0</v>
      </c>
      <c r="G296" s="112">
        <v>0.0</v>
      </c>
      <c r="H296" s="112">
        <v>0.0</v>
      </c>
      <c r="I296" s="112">
        <v>0.0</v>
      </c>
      <c r="J296" s="112">
        <v>0.0</v>
      </c>
      <c r="K296" s="112">
        <v>0.0</v>
      </c>
      <c r="L296" s="112">
        <v>0.0</v>
      </c>
      <c r="M296" s="112">
        <v>0.0</v>
      </c>
      <c r="N296" s="112">
        <v>0.0</v>
      </c>
      <c r="O296" s="112">
        <v>0.0</v>
      </c>
      <c r="P296" s="112">
        <v>0.0</v>
      </c>
      <c r="Q296" s="112">
        <v>0.0</v>
      </c>
      <c r="R296" s="112">
        <v>0.0</v>
      </c>
      <c r="S296" s="112">
        <v>0.0</v>
      </c>
      <c r="T296" s="112">
        <v>0.0</v>
      </c>
      <c r="U296" s="112">
        <v>0.0</v>
      </c>
      <c r="V296" s="112">
        <v>2.0</v>
      </c>
      <c r="W296" s="112">
        <v>4.0</v>
      </c>
      <c r="X296" s="112">
        <v>0.0</v>
      </c>
      <c r="Y296" s="112">
        <v>0.0</v>
      </c>
      <c r="Z296" s="112">
        <v>0.0</v>
      </c>
      <c r="AA296" s="112">
        <v>0.0</v>
      </c>
      <c r="AB296" s="112">
        <v>0.0</v>
      </c>
      <c r="AC296" s="112">
        <v>0.0</v>
      </c>
      <c r="AD296" s="112">
        <v>0.0</v>
      </c>
      <c r="AE296" s="112">
        <v>0.0</v>
      </c>
      <c r="AF296" s="167">
        <f t="shared" ref="AF296:AF299" si="97">SUM(B296:AE296)</f>
        <v>10</v>
      </c>
    </row>
    <row r="297" outlineLevel="1">
      <c r="A297" s="117" t="s">
        <v>519</v>
      </c>
      <c r="B297" s="112">
        <v>0.0</v>
      </c>
      <c r="C297" s="112">
        <v>0.0</v>
      </c>
      <c r="D297" s="112">
        <v>2.0</v>
      </c>
      <c r="E297" s="112">
        <v>0.0</v>
      </c>
      <c r="F297" s="112">
        <v>0.0</v>
      </c>
      <c r="G297" s="112">
        <v>0.0</v>
      </c>
      <c r="H297" s="112">
        <v>0.0</v>
      </c>
      <c r="I297" s="112">
        <v>0.0</v>
      </c>
      <c r="J297" s="112">
        <v>0.0</v>
      </c>
      <c r="K297" s="112">
        <v>0.0</v>
      </c>
      <c r="L297" s="112">
        <v>0.0</v>
      </c>
      <c r="M297" s="112">
        <v>0.0</v>
      </c>
      <c r="N297" s="112">
        <v>0.0</v>
      </c>
      <c r="O297" s="112">
        <v>0.0</v>
      </c>
      <c r="P297" s="112">
        <v>0.0</v>
      </c>
      <c r="Q297" s="112">
        <v>0.0</v>
      </c>
      <c r="R297" s="112">
        <v>0.0</v>
      </c>
      <c r="S297" s="112">
        <v>0.0</v>
      </c>
      <c r="T297" s="112">
        <v>0.0</v>
      </c>
      <c r="U297" s="112">
        <v>0.0</v>
      </c>
      <c r="V297" s="112">
        <v>1.0</v>
      </c>
      <c r="W297" s="112">
        <v>0.0</v>
      </c>
      <c r="X297" s="112">
        <v>0.0</v>
      </c>
      <c r="Y297" s="112">
        <v>0.0</v>
      </c>
      <c r="Z297" s="112">
        <v>0.0</v>
      </c>
      <c r="AA297" s="112">
        <v>0.0</v>
      </c>
      <c r="AB297" s="112">
        <v>0.0</v>
      </c>
      <c r="AC297" s="112">
        <v>0.0</v>
      </c>
      <c r="AD297" s="112">
        <v>0.0</v>
      </c>
      <c r="AE297" s="112">
        <v>0.0</v>
      </c>
      <c r="AF297" s="167">
        <f t="shared" si="97"/>
        <v>3</v>
      </c>
    </row>
    <row r="298" outlineLevel="1">
      <c r="A298" s="117" t="s">
        <v>520</v>
      </c>
      <c r="B298" s="112">
        <v>0.0</v>
      </c>
      <c r="C298" s="112">
        <v>0.0</v>
      </c>
      <c r="D298" s="112">
        <v>2.0</v>
      </c>
      <c r="E298" s="112">
        <v>0.0</v>
      </c>
      <c r="F298" s="112">
        <v>0.0</v>
      </c>
      <c r="G298" s="112">
        <v>1.0</v>
      </c>
      <c r="H298" s="112">
        <v>0.0</v>
      </c>
      <c r="I298" s="112">
        <v>0.0</v>
      </c>
      <c r="J298" s="112">
        <v>0.0</v>
      </c>
      <c r="K298" s="112">
        <v>0.0</v>
      </c>
      <c r="L298" s="112">
        <v>0.0</v>
      </c>
      <c r="M298" s="112">
        <v>0.0</v>
      </c>
      <c r="N298" s="112">
        <v>0.0</v>
      </c>
      <c r="O298" s="112">
        <v>1.0</v>
      </c>
      <c r="P298" s="112">
        <v>0.0</v>
      </c>
      <c r="Q298" s="112">
        <v>0.0</v>
      </c>
      <c r="R298" s="112">
        <v>0.0</v>
      </c>
      <c r="S298" s="112">
        <v>0.0</v>
      </c>
      <c r="T298" s="112">
        <v>0.0</v>
      </c>
      <c r="U298" s="112">
        <v>0.0</v>
      </c>
      <c r="V298" s="112">
        <v>5.0</v>
      </c>
      <c r="W298" s="112">
        <v>4.0</v>
      </c>
      <c r="X298" s="112">
        <v>0.0</v>
      </c>
      <c r="Y298" s="112">
        <v>0.0</v>
      </c>
      <c r="Z298" s="112">
        <v>0.0</v>
      </c>
      <c r="AA298" s="112">
        <v>0.0</v>
      </c>
      <c r="AB298" s="112">
        <v>0.0</v>
      </c>
      <c r="AC298" s="112">
        <v>0.0</v>
      </c>
      <c r="AD298" s="112">
        <v>0.0</v>
      </c>
      <c r="AE298" s="112">
        <v>0.0</v>
      </c>
      <c r="AF298" s="167">
        <f t="shared" si="97"/>
        <v>13</v>
      </c>
    </row>
    <row r="299" outlineLevel="1">
      <c r="A299" s="117" t="s">
        <v>521</v>
      </c>
      <c r="B299" s="112">
        <v>0.0</v>
      </c>
      <c r="C299" s="112">
        <v>0.0</v>
      </c>
      <c r="D299" s="112">
        <v>2.0</v>
      </c>
      <c r="E299" s="112">
        <v>0.0</v>
      </c>
      <c r="F299" s="112">
        <v>0.0</v>
      </c>
      <c r="G299" s="112">
        <v>1.0</v>
      </c>
      <c r="H299" s="112">
        <v>2.0</v>
      </c>
      <c r="I299" s="112">
        <v>0.0</v>
      </c>
      <c r="J299" s="112">
        <v>0.0</v>
      </c>
      <c r="K299" s="112">
        <v>0.0</v>
      </c>
      <c r="L299" s="112">
        <v>0.0</v>
      </c>
      <c r="M299" s="112">
        <v>0.0</v>
      </c>
      <c r="N299" s="112">
        <v>0.0</v>
      </c>
      <c r="O299" s="112">
        <v>0.0</v>
      </c>
      <c r="P299" s="112">
        <v>0.0</v>
      </c>
      <c r="Q299" s="112">
        <v>0.0</v>
      </c>
      <c r="R299" s="112">
        <v>0.0</v>
      </c>
      <c r="S299" s="112">
        <v>0.0</v>
      </c>
      <c r="T299" s="112">
        <v>0.0</v>
      </c>
      <c r="U299" s="112">
        <v>0.0</v>
      </c>
      <c r="V299" s="112">
        <v>1.0</v>
      </c>
      <c r="W299" s="112">
        <v>0.0</v>
      </c>
      <c r="X299" s="112">
        <v>0.0</v>
      </c>
      <c r="Y299" s="112">
        <v>0.0</v>
      </c>
      <c r="Z299" s="112">
        <v>0.0</v>
      </c>
      <c r="AA299" s="112">
        <v>0.0</v>
      </c>
      <c r="AB299" s="112">
        <v>0.0</v>
      </c>
      <c r="AC299" s="112">
        <v>0.0</v>
      </c>
      <c r="AD299" s="112">
        <v>0.0</v>
      </c>
      <c r="AE299" s="112">
        <v>0.0</v>
      </c>
      <c r="AF299" s="167">
        <f t="shared" si="97"/>
        <v>6</v>
      </c>
    </row>
    <row r="300">
      <c r="A300" s="117" t="s">
        <v>522</v>
      </c>
      <c r="B300" s="345"/>
      <c r="C300" s="345"/>
      <c r="D300" s="345"/>
      <c r="E300" s="345"/>
      <c r="F300" s="345"/>
      <c r="G300" s="345"/>
      <c r="H300" s="345"/>
      <c r="I300" s="345"/>
      <c r="J300" s="345"/>
      <c r="K300" s="345"/>
      <c r="L300" s="345"/>
      <c r="M300" s="350"/>
      <c r="N300" s="350"/>
      <c r="O300" s="350"/>
      <c r="P300" s="350"/>
      <c r="Q300" s="350"/>
      <c r="R300" s="350"/>
      <c r="S300" s="350"/>
      <c r="T300" s="350"/>
      <c r="U300" s="350"/>
      <c r="V300" s="350"/>
      <c r="W300" s="350"/>
      <c r="X300" s="350"/>
      <c r="Y300" s="350"/>
      <c r="Z300" s="350"/>
      <c r="AA300" s="350"/>
      <c r="AB300" s="350"/>
      <c r="AC300" s="350"/>
      <c r="AD300" s="350"/>
      <c r="AE300" s="350"/>
      <c r="AF300" s="215"/>
    </row>
    <row r="301" outlineLevel="1">
      <c r="A301" s="117" t="s">
        <v>523</v>
      </c>
      <c r="B301" s="351">
        <v>0.0</v>
      </c>
      <c r="C301" s="351">
        <v>0.0</v>
      </c>
      <c r="D301" s="351">
        <v>0.0</v>
      </c>
      <c r="E301" s="351">
        <v>0.0</v>
      </c>
      <c r="F301" s="351">
        <v>0.0</v>
      </c>
      <c r="G301" s="351">
        <v>0.0</v>
      </c>
      <c r="H301" s="351">
        <v>0.0</v>
      </c>
      <c r="I301" s="351">
        <v>0.0</v>
      </c>
      <c r="J301" s="351">
        <v>0.0</v>
      </c>
      <c r="K301" s="351">
        <v>0.0</v>
      </c>
      <c r="L301" s="351">
        <v>0.0</v>
      </c>
      <c r="M301" s="351">
        <v>0.0</v>
      </c>
      <c r="N301" s="351">
        <v>0.0</v>
      </c>
      <c r="O301" s="351">
        <v>0.0</v>
      </c>
      <c r="P301" s="351">
        <v>0.0</v>
      </c>
      <c r="Q301" s="351">
        <v>0.0</v>
      </c>
      <c r="R301" s="351">
        <v>0.0</v>
      </c>
      <c r="S301" s="351">
        <v>0.0</v>
      </c>
      <c r="T301" s="351">
        <v>0.0</v>
      </c>
      <c r="U301" s="351">
        <v>0.0</v>
      </c>
      <c r="V301" s="351">
        <v>0.0</v>
      </c>
      <c r="W301" s="351">
        <v>0.0</v>
      </c>
      <c r="X301" s="351">
        <v>0.0</v>
      </c>
      <c r="Y301" s="351">
        <v>0.0</v>
      </c>
      <c r="Z301" s="351">
        <v>0.0</v>
      </c>
      <c r="AA301" s="351">
        <v>0.0</v>
      </c>
      <c r="AB301" s="351">
        <v>0.0</v>
      </c>
      <c r="AC301" s="351">
        <v>0.0</v>
      </c>
      <c r="AD301" s="351">
        <v>0.0</v>
      </c>
      <c r="AE301" s="351">
        <v>0.0</v>
      </c>
      <c r="AF301" s="167">
        <f t="shared" ref="AF301:AF303" si="98">SUM(B301:AE301)</f>
        <v>0</v>
      </c>
    </row>
    <row r="302" outlineLevel="1">
      <c r="A302" s="117" t="s">
        <v>524</v>
      </c>
      <c r="B302" s="351">
        <v>0.0</v>
      </c>
      <c r="C302" s="351">
        <v>0.0</v>
      </c>
      <c r="D302" s="351">
        <v>0.0</v>
      </c>
      <c r="E302" s="351">
        <v>0.0</v>
      </c>
      <c r="F302" s="351">
        <v>0.0</v>
      </c>
      <c r="G302" s="351">
        <v>0.0</v>
      </c>
      <c r="H302" s="351">
        <v>0.0</v>
      </c>
      <c r="I302" s="351">
        <v>0.0</v>
      </c>
      <c r="J302" s="351">
        <v>0.0</v>
      </c>
      <c r="K302" s="351">
        <v>0.0</v>
      </c>
      <c r="L302" s="351">
        <v>0.0</v>
      </c>
      <c r="M302" s="351">
        <v>0.0</v>
      </c>
      <c r="N302" s="351">
        <v>0.0</v>
      </c>
      <c r="O302" s="351">
        <v>0.0</v>
      </c>
      <c r="P302" s="351">
        <v>0.0</v>
      </c>
      <c r="Q302" s="351">
        <v>0.0</v>
      </c>
      <c r="R302" s="351">
        <v>0.0</v>
      </c>
      <c r="S302" s="351">
        <v>0.0</v>
      </c>
      <c r="T302" s="351">
        <v>0.0</v>
      </c>
      <c r="U302" s="351">
        <v>0.0</v>
      </c>
      <c r="V302" s="351">
        <v>0.0</v>
      </c>
      <c r="W302" s="351">
        <v>0.0</v>
      </c>
      <c r="X302" s="351">
        <v>0.0</v>
      </c>
      <c r="Y302" s="351">
        <v>0.0</v>
      </c>
      <c r="Z302" s="351">
        <v>0.0</v>
      </c>
      <c r="AA302" s="351">
        <v>0.0</v>
      </c>
      <c r="AB302" s="351">
        <v>0.0</v>
      </c>
      <c r="AC302" s="351">
        <v>0.0</v>
      </c>
      <c r="AD302" s="351">
        <v>0.0</v>
      </c>
      <c r="AE302" s="351">
        <v>0.0</v>
      </c>
      <c r="AF302" s="167">
        <f t="shared" si="98"/>
        <v>0</v>
      </c>
    </row>
    <row r="303" outlineLevel="1">
      <c r="A303" s="117" t="s">
        <v>525</v>
      </c>
      <c r="B303" s="351">
        <v>0.0</v>
      </c>
      <c r="C303" s="351">
        <v>0.0</v>
      </c>
      <c r="D303" s="351">
        <v>0.0</v>
      </c>
      <c r="E303" s="351">
        <v>0.0</v>
      </c>
      <c r="F303" s="351">
        <v>0.0</v>
      </c>
      <c r="G303" s="351">
        <v>0.0</v>
      </c>
      <c r="H303" s="351">
        <v>0.0</v>
      </c>
      <c r="I303" s="351">
        <v>0.0</v>
      </c>
      <c r="J303" s="351">
        <v>0.0</v>
      </c>
      <c r="K303" s="351">
        <v>0.0</v>
      </c>
      <c r="L303" s="351">
        <v>0.0</v>
      </c>
      <c r="M303" s="351">
        <v>0.0</v>
      </c>
      <c r="N303" s="351">
        <v>0.0</v>
      </c>
      <c r="O303" s="351">
        <v>0.0</v>
      </c>
      <c r="P303" s="351">
        <v>0.0</v>
      </c>
      <c r="Q303" s="351">
        <v>0.0</v>
      </c>
      <c r="R303" s="351">
        <v>0.0</v>
      </c>
      <c r="S303" s="351">
        <v>0.0</v>
      </c>
      <c r="T303" s="351">
        <v>0.0</v>
      </c>
      <c r="U303" s="351">
        <v>0.0</v>
      </c>
      <c r="V303" s="351">
        <v>0.0</v>
      </c>
      <c r="W303" s="351">
        <v>0.0</v>
      </c>
      <c r="X303" s="351">
        <v>0.0</v>
      </c>
      <c r="Y303" s="351">
        <v>0.0</v>
      </c>
      <c r="Z303" s="351">
        <v>0.0</v>
      </c>
      <c r="AA303" s="351">
        <v>0.0</v>
      </c>
      <c r="AB303" s="351">
        <v>0.0</v>
      </c>
      <c r="AC303" s="351">
        <v>0.0</v>
      </c>
      <c r="AD303" s="351">
        <v>0.0</v>
      </c>
      <c r="AE303" s="351">
        <v>0.0</v>
      </c>
      <c r="AF303" s="167">
        <f t="shared" si="98"/>
        <v>0</v>
      </c>
    </row>
    <row r="304">
      <c r="A304" s="352" t="s">
        <v>398</v>
      </c>
      <c r="B304" s="353"/>
      <c r="C304" s="353"/>
      <c r="D304" s="353"/>
      <c r="E304" s="353"/>
      <c r="F304" s="353"/>
      <c r="G304" s="353"/>
      <c r="H304" s="353"/>
      <c r="I304" s="353"/>
      <c r="J304" s="353"/>
      <c r="K304" s="353"/>
      <c r="L304" s="353"/>
      <c r="M304" s="353"/>
      <c r="N304" s="353"/>
      <c r="O304" s="353"/>
      <c r="P304" s="353"/>
      <c r="Q304" s="353"/>
      <c r="R304" s="353"/>
      <c r="S304" s="353"/>
      <c r="T304" s="353"/>
      <c r="U304" s="353"/>
      <c r="V304" s="353"/>
      <c r="W304" s="353"/>
      <c r="X304" s="353"/>
      <c r="Y304" s="353"/>
      <c r="Z304" s="353"/>
      <c r="AA304" s="353"/>
      <c r="AB304" s="353"/>
      <c r="AC304" s="353"/>
      <c r="AD304" s="353"/>
      <c r="AE304" s="353"/>
      <c r="AF304" s="153"/>
    </row>
    <row r="305" outlineLevel="1">
      <c r="A305" s="117" t="s">
        <v>526</v>
      </c>
      <c r="B305" s="112">
        <v>0.0</v>
      </c>
      <c r="C305" s="112">
        <v>0.0</v>
      </c>
      <c r="D305" s="112">
        <v>0.0</v>
      </c>
      <c r="E305" s="112">
        <v>0.0</v>
      </c>
      <c r="F305" s="112">
        <v>0.0</v>
      </c>
      <c r="G305" s="112">
        <v>0.0</v>
      </c>
      <c r="H305" s="112">
        <v>0.0</v>
      </c>
      <c r="I305" s="112">
        <v>0.0</v>
      </c>
      <c r="J305" s="112">
        <v>4.0</v>
      </c>
      <c r="K305" s="112">
        <v>0.0</v>
      </c>
      <c r="L305" s="112">
        <v>0.0</v>
      </c>
      <c r="M305" s="112">
        <v>0.0</v>
      </c>
      <c r="N305" s="112">
        <v>0.0</v>
      </c>
      <c r="O305" s="112">
        <v>0.0</v>
      </c>
      <c r="P305" s="112">
        <v>0.0</v>
      </c>
      <c r="Q305" s="112">
        <v>0.0</v>
      </c>
      <c r="R305" s="112">
        <v>0.0</v>
      </c>
      <c r="S305" s="112">
        <v>0.0</v>
      </c>
      <c r="T305" s="112">
        <v>0.0</v>
      </c>
      <c r="U305" s="112">
        <v>0.0</v>
      </c>
      <c r="V305" s="112">
        <v>0.0</v>
      </c>
      <c r="W305" s="112">
        <v>1.0</v>
      </c>
      <c r="X305" s="112">
        <v>0.0</v>
      </c>
      <c r="Y305" s="112">
        <v>0.0</v>
      </c>
      <c r="Z305" s="112">
        <v>0.0</v>
      </c>
      <c r="AA305" s="112">
        <v>0.0</v>
      </c>
      <c r="AB305" s="112">
        <v>0.0</v>
      </c>
      <c r="AC305" s="112">
        <v>0.0</v>
      </c>
      <c r="AD305" s="112">
        <v>0.0</v>
      </c>
      <c r="AE305" s="112">
        <v>0.0</v>
      </c>
      <c r="AF305" s="167">
        <f t="shared" ref="AF305:AF308" si="99">SUM(B305:AE305)</f>
        <v>5</v>
      </c>
    </row>
    <row r="306" outlineLevel="1">
      <c r="A306" s="117" t="s">
        <v>527</v>
      </c>
      <c r="B306" s="112">
        <v>0.0</v>
      </c>
      <c r="C306" s="112">
        <v>0.0</v>
      </c>
      <c r="D306" s="112">
        <v>0.0</v>
      </c>
      <c r="E306" s="112">
        <v>0.0</v>
      </c>
      <c r="F306" s="112">
        <v>0.0</v>
      </c>
      <c r="G306" s="112">
        <v>0.0</v>
      </c>
      <c r="H306" s="112">
        <v>0.0</v>
      </c>
      <c r="I306" s="112">
        <v>0.0</v>
      </c>
      <c r="J306" s="112">
        <v>0.0</v>
      </c>
      <c r="K306" s="112">
        <v>0.0</v>
      </c>
      <c r="L306" s="112">
        <v>0.0</v>
      </c>
      <c r="M306" s="112">
        <v>0.0</v>
      </c>
      <c r="N306" s="112">
        <v>0.0</v>
      </c>
      <c r="O306" s="112">
        <v>0.0</v>
      </c>
      <c r="P306" s="112">
        <v>0.0</v>
      </c>
      <c r="Q306" s="112">
        <v>0.0</v>
      </c>
      <c r="R306" s="112">
        <v>0.0</v>
      </c>
      <c r="S306" s="112">
        <v>0.0</v>
      </c>
      <c r="T306" s="112">
        <v>0.0</v>
      </c>
      <c r="U306" s="112">
        <v>0.0</v>
      </c>
      <c r="V306" s="112">
        <v>0.0</v>
      </c>
      <c r="W306" s="112">
        <v>0.0</v>
      </c>
      <c r="X306" s="112">
        <v>0.0</v>
      </c>
      <c r="Y306" s="112">
        <v>0.0</v>
      </c>
      <c r="Z306" s="112">
        <v>0.0</v>
      </c>
      <c r="AA306" s="112">
        <v>0.0</v>
      </c>
      <c r="AB306" s="112">
        <v>0.0</v>
      </c>
      <c r="AC306" s="112">
        <v>0.0</v>
      </c>
      <c r="AD306" s="112">
        <v>0.0</v>
      </c>
      <c r="AE306" s="112">
        <v>0.0</v>
      </c>
      <c r="AF306" s="167">
        <f t="shared" si="99"/>
        <v>0</v>
      </c>
    </row>
    <row r="307" outlineLevel="1">
      <c r="A307" s="117" t="s">
        <v>528</v>
      </c>
      <c r="B307" s="112">
        <v>0.0</v>
      </c>
      <c r="C307" s="112">
        <v>0.0</v>
      </c>
      <c r="D307" s="112">
        <v>0.0</v>
      </c>
      <c r="E307" s="112">
        <v>0.0</v>
      </c>
      <c r="F307" s="112">
        <v>0.0</v>
      </c>
      <c r="G307" s="112">
        <v>0.0</v>
      </c>
      <c r="H307" s="112">
        <v>0.0</v>
      </c>
      <c r="I307" s="112">
        <v>0.0</v>
      </c>
      <c r="J307" s="112">
        <v>0.0</v>
      </c>
      <c r="K307" s="112">
        <v>0.0</v>
      </c>
      <c r="L307" s="112">
        <v>0.0</v>
      </c>
      <c r="M307" s="112">
        <v>0.0</v>
      </c>
      <c r="N307" s="112">
        <v>0.0</v>
      </c>
      <c r="O307" s="112">
        <v>0.0</v>
      </c>
      <c r="P307" s="112">
        <v>0.0</v>
      </c>
      <c r="Q307" s="112">
        <v>0.0</v>
      </c>
      <c r="R307" s="112">
        <v>0.0</v>
      </c>
      <c r="S307" s="112">
        <v>0.0</v>
      </c>
      <c r="T307" s="112">
        <v>0.0</v>
      </c>
      <c r="U307" s="112">
        <v>0.0</v>
      </c>
      <c r="V307" s="112">
        <v>0.0</v>
      </c>
      <c r="W307" s="112">
        <v>0.0</v>
      </c>
      <c r="X307" s="112">
        <v>0.0</v>
      </c>
      <c r="Y307" s="112">
        <v>0.0</v>
      </c>
      <c r="Z307" s="112">
        <v>0.0</v>
      </c>
      <c r="AA307" s="112">
        <v>0.0</v>
      </c>
      <c r="AB307" s="112">
        <v>0.0</v>
      </c>
      <c r="AC307" s="112">
        <v>0.0</v>
      </c>
      <c r="AD307" s="112">
        <v>0.0</v>
      </c>
      <c r="AE307" s="112">
        <v>0.0</v>
      </c>
      <c r="AF307" s="167">
        <f t="shared" si="99"/>
        <v>0</v>
      </c>
    </row>
    <row r="308" outlineLevel="1">
      <c r="A308" s="117" t="s">
        <v>529</v>
      </c>
      <c r="B308" s="112">
        <v>0.0</v>
      </c>
      <c r="C308" s="112">
        <v>0.0</v>
      </c>
      <c r="D308" s="112">
        <v>1.0</v>
      </c>
      <c r="E308" s="112">
        <v>0.0</v>
      </c>
      <c r="F308" s="112">
        <v>0.0</v>
      </c>
      <c r="G308" s="112">
        <v>0.0</v>
      </c>
      <c r="H308" s="112">
        <v>0.0</v>
      </c>
      <c r="I308" s="112">
        <v>0.0</v>
      </c>
      <c r="J308" s="112">
        <v>0.0</v>
      </c>
      <c r="K308" s="112">
        <v>0.0</v>
      </c>
      <c r="L308" s="112">
        <v>0.0</v>
      </c>
      <c r="M308" s="112">
        <v>0.0</v>
      </c>
      <c r="N308" s="112">
        <v>0.0</v>
      </c>
      <c r="O308" s="112">
        <v>0.0</v>
      </c>
      <c r="P308" s="112">
        <v>0.0</v>
      </c>
      <c r="Q308" s="112">
        <v>0.0</v>
      </c>
      <c r="R308" s="112">
        <v>0.0</v>
      </c>
      <c r="S308" s="112">
        <v>0.0</v>
      </c>
      <c r="T308" s="112">
        <v>0.0</v>
      </c>
      <c r="U308" s="112">
        <v>0.0</v>
      </c>
      <c r="V308" s="112">
        <v>0.0</v>
      </c>
      <c r="W308" s="112">
        <v>0.0</v>
      </c>
      <c r="X308" s="112">
        <v>0.0</v>
      </c>
      <c r="Y308" s="112">
        <v>0.0</v>
      </c>
      <c r="Z308" s="112">
        <v>0.0</v>
      </c>
      <c r="AA308" s="112">
        <v>0.0</v>
      </c>
      <c r="AB308" s="112">
        <v>0.0</v>
      </c>
      <c r="AC308" s="112">
        <v>0.0</v>
      </c>
      <c r="AD308" s="112">
        <v>0.0</v>
      </c>
      <c r="AE308" s="112">
        <v>0.0</v>
      </c>
      <c r="AF308" s="167">
        <f t="shared" si="99"/>
        <v>1</v>
      </c>
    </row>
    <row r="309">
      <c r="A309" s="352" t="s">
        <v>530</v>
      </c>
      <c r="B309" s="350"/>
      <c r="C309" s="350"/>
      <c r="D309" s="350"/>
      <c r="E309" s="350"/>
      <c r="F309" s="350"/>
      <c r="G309" s="350"/>
      <c r="H309" s="350"/>
      <c r="I309" s="350"/>
      <c r="J309" s="350"/>
      <c r="K309" s="350"/>
      <c r="L309" s="350"/>
      <c r="M309" s="350"/>
      <c r="N309" s="350"/>
      <c r="O309" s="350"/>
      <c r="P309" s="350"/>
      <c r="Q309" s="350"/>
      <c r="R309" s="350"/>
      <c r="S309" s="350"/>
      <c r="T309" s="350"/>
      <c r="U309" s="350"/>
      <c r="V309" s="350"/>
      <c r="W309" s="350"/>
      <c r="X309" s="350"/>
      <c r="Y309" s="350"/>
      <c r="Z309" s="350"/>
      <c r="AA309" s="350"/>
      <c r="AB309" s="350"/>
      <c r="AC309" s="350"/>
      <c r="AD309" s="350"/>
      <c r="AE309" s="350"/>
      <c r="AF309" s="153"/>
    </row>
    <row r="310" outlineLevel="1">
      <c r="A310" s="117" t="s">
        <v>531</v>
      </c>
      <c r="B310" s="135">
        <v>0.0</v>
      </c>
      <c r="C310" s="135">
        <v>0.0</v>
      </c>
      <c r="D310" s="135">
        <v>0.0</v>
      </c>
      <c r="E310" s="135">
        <v>0.0</v>
      </c>
      <c r="F310" s="135">
        <v>0.0</v>
      </c>
      <c r="G310" s="135">
        <v>0.0</v>
      </c>
      <c r="H310" s="135">
        <v>0.0</v>
      </c>
      <c r="I310" s="135">
        <v>0.0</v>
      </c>
      <c r="J310" s="135">
        <v>0.0</v>
      </c>
      <c r="K310" s="135">
        <v>0.0</v>
      </c>
      <c r="L310" s="135">
        <v>0.0</v>
      </c>
      <c r="M310" s="135">
        <v>0.0</v>
      </c>
      <c r="N310" s="135">
        <v>0.0</v>
      </c>
      <c r="O310" s="135">
        <v>0.0</v>
      </c>
      <c r="P310" s="135">
        <v>0.0</v>
      </c>
      <c r="Q310" s="135">
        <v>0.0</v>
      </c>
      <c r="R310" s="135">
        <v>0.0</v>
      </c>
      <c r="S310" s="135">
        <v>0.0</v>
      </c>
      <c r="T310" s="135">
        <v>0.0</v>
      </c>
      <c r="U310" s="135">
        <v>0.0</v>
      </c>
      <c r="V310" s="135">
        <v>0.0</v>
      </c>
      <c r="W310" s="135">
        <v>0.0</v>
      </c>
      <c r="X310" s="135">
        <v>0.0</v>
      </c>
      <c r="Y310" s="135">
        <v>0.0</v>
      </c>
      <c r="Z310" s="135">
        <v>0.0</v>
      </c>
      <c r="AA310" s="135">
        <v>0.0</v>
      </c>
      <c r="AB310" s="135">
        <v>0.0</v>
      </c>
      <c r="AC310" s="135">
        <v>0.0</v>
      </c>
      <c r="AD310" s="135">
        <v>0.0</v>
      </c>
      <c r="AE310" s="135">
        <v>0.0</v>
      </c>
      <c r="AF310" s="167">
        <f t="shared" ref="AF310:AF314" si="100">SUM(B310:AE310)</f>
        <v>0</v>
      </c>
    </row>
    <row r="311" outlineLevel="1">
      <c r="A311" s="117" t="s">
        <v>532</v>
      </c>
      <c r="B311" s="135">
        <v>0.0</v>
      </c>
      <c r="C311" s="135">
        <v>0.0</v>
      </c>
      <c r="D311" s="135">
        <v>0.0</v>
      </c>
      <c r="E311" s="135">
        <v>0.0</v>
      </c>
      <c r="F311" s="135">
        <v>0.0</v>
      </c>
      <c r="G311" s="135">
        <v>0.0</v>
      </c>
      <c r="H311" s="135">
        <v>0.0</v>
      </c>
      <c r="I311" s="135">
        <v>0.0</v>
      </c>
      <c r="J311" s="135">
        <v>0.0</v>
      </c>
      <c r="K311" s="135">
        <v>0.0</v>
      </c>
      <c r="L311" s="135">
        <v>0.0</v>
      </c>
      <c r="M311" s="135">
        <v>0.0</v>
      </c>
      <c r="N311" s="135">
        <v>0.0</v>
      </c>
      <c r="O311" s="135">
        <v>0.0</v>
      </c>
      <c r="P311" s="135">
        <v>0.0</v>
      </c>
      <c r="Q311" s="135">
        <v>0.0</v>
      </c>
      <c r="R311" s="135">
        <v>0.0</v>
      </c>
      <c r="S311" s="135">
        <v>0.0</v>
      </c>
      <c r="T311" s="135">
        <v>0.0</v>
      </c>
      <c r="U311" s="135">
        <v>0.0</v>
      </c>
      <c r="V311" s="135">
        <v>0.0</v>
      </c>
      <c r="W311" s="135">
        <v>0.0</v>
      </c>
      <c r="X311" s="135">
        <v>0.0</v>
      </c>
      <c r="Y311" s="135">
        <v>0.0</v>
      </c>
      <c r="Z311" s="135">
        <v>0.0</v>
      </c>
      <c r="AA311" s="135">
        <v>0.0</v>
      </c>
      <c r="AB311" s="135">
        <v>0.0</v>
      </c>
      <c r="AC311" s="135">
        <v>0.0</v>
      </c>
      <c r="AD311" s="135">
        <v>0.0</v>
      </c>
      <c r="AE311" s="135">
        <v>0.0</v>
      </c>
      <c r="AF311" s="167">
        <f t="shared" si="100"/>
        <v>0</v>
      </c>
    </row>
    <row r="312" outlineLevel="1">
      <c r="A312" s="117" t="s">
        <v>525</v>
      </c>
      <c r="B312" s="351">
        <v>0.0</v>
      </c>
      <c r="C312" s="351">
        <v>0.0</v>
      </c>
      <c r="D312" s="351">
        <v>0.0</v>
      </c>
      <c r="E312" s="351">
        <v>0.0</v>
      </c>
      <c r="F312" s="351">
        <v>0.0</v>
      </c>
      <c r="G312" s="351">
        <v>0.0</v>
      </c>
      <c r="H312" s="351">
        <v>0.0</v>
      </c>
      <c r="I312" s="351">
        <v>0.0</v>
      </c>
      <c r="J312" s="351">
        <v>0.0</v>
      </c>
      <c r="K312" s="351">
        <v>0.0</v>
      </c>
      <c r="L312" s="351">
        <v>0.0</v>
      </c>
      <c r="M312" s="351">
        <v>0.0</v>
      </c>
      <c r="N312" s="351">
        <v>0.0</v>
      </c>
      <c r="O312" s="351">
        <v>0.0</v>
      </c>
      <c r="P312" s="351">
        <v>0.0</v>
      </c>
      <c r="Q312" s="351">
        <v>0.0</v>
      </c>
      <c r="R312" s="351">
        <v>0.0</v>
      </c>
      <c r="S312" s="351">
        <v>0.0</v>
      </c>
      <c r="T312" s="351">
        <v>0.0</v>
      </c>
      <c r="U312" s="351">
        <v>0.0</v>
      </c>
      <c r="V312" s="351">
        <v>0.0</v>
      </c>
      <c r="W312" s="351">
        <v>0.0</v>
      </c>
      <c r="X312" s="351">
        <v>0.0</v>
      </c>
      <c r="Y312" s="351">
        <v>0.0</v>
      </c>
      <c r="Z312" s="351">
        <v>0.0</v>
      </c>
      <c r="AA312" s="351">
        <v>0.0</v>
      </c>
      <c r="AB312" s="351">
        <v>0.0</v>
      </c>
      <c r="AC312" s="351">
        <v>0.0</v>
      </c>
      <c r="AD312" s="351">
        <v>0.0</v>
      </c>
      <c r="AE312" s="351">
        <v>0.0</v>
      </c>
      <c r="AF312" s="167">
        <f t="shared" si="100"/>
        <v>0</v>
      </c>
    </row>
    <row r="313">
      <c r="A313" s="204" t="s">
        <v>258</v>
      </c>
      <c r="B313" s="354">
        <v>0.0</v>
      </c>
      <c r="C313" s="355">
        <v>0.0</v>
      </c>
      <c r="D313" s="355">
        <v>6.0</v>
      </c>
      <c r="E313" s="355">
        <v>0.0</v>
      </c>
      <c r="F313" s="355">
        <v>0.0</v>
      </c>
      <c r="G313" s="355">
        <v>0.0</v>
      </c>
      <c r="H313" s="355">
        <v>0.0</v>
      </c>
      <c r="I313" s="355">
        <v>0.0</v>
      </c>
      <c r="J313" s="355">
        <v>4.0</v>
      </c>
      <c r="K313" s="355">
        <v>0.0</v>
      </c>
      <c r="L313" s="355">
        <v>0.0</v>
      </c>
      <c r="M313" s="355">
        <v>0.0</v>
      </c>
      <c r="N313" s="355">
        <v>0.0</v>
      </c>
      <c r="O313" s="355">
        <v>0.0</v>
      </c>
      <c r="P313" s="355">
        <v>0.0</v>
      </c>
      <c r="Q313" s="355">
        <v>0.0</v>
      </c>
      <c r="R313" s="355">
        <v>0.0</v>
      </c>
      <c r="S313" s="355">
        <v>0.0</v>
      </c>
      <c r="T313" s="355">
        <v>0.0</v>
      </c>
      <c r="U313" s="355">
        <v>0.0</v>
      </c>
      <c r="V313" s="355">
        <v>3.0</v>
      </c>
      <c r="W313" s="355">
        <v>5.0</v>
      </c>
      <c r="X313" s="355">
        <v>0.0</v>
      </c>
      <c r="Y313" s="355">
        <v>0.0</v>
      </c>
      <c r="Z313" s="355">
        <v>0.0</v>
      </c>
      <c r="AA313" s="355">
        <v>0.0</v>
      </c>
      <c r="AB313" s="355">
        <v>0.0</v>
      </c>
      <c r="AC313" s="355">
        <v>0.0</v>
      </c>
      <c r="AD313" s="355">
        <v>0.0</v>
      </c>
      <c r="AE313" s="355">
        <v>0.0</v>
      </c>
      <c r="AF313" s="167">
        <f t="shared" si="100"/>
        <v>18</v>
      </c>
    </row>
    <row r="314">
      <c r="A314" s="343" t="s">
        <v>260</v>
      </c>
      <c r="B314" s="354">
        <v>0.0</v>
      </c>
      <c r="C314" s="355">
        <v>0.0</v>
      </c>
      <c r="D314" s="355">
        <v>5.0</v>
      </c>
      <c r="E314" s="355">
        <v>0.0</v>
      </c>
      <c r="F314" s="355">
        <v>0.0</v>
      </c>
      <c r="G314" s="355">
        <v>2.0</v>
      </c>
      <c r="H314" s="355">
        <v>2.0</v>
      </c>
      <c r="I314" s="355">
        <v>0.0</v>
      </c>
      <c r="J314" s="355">
        <v>0.0</v>
      </c>
      <c r="K314" s="355">
        <v>0.0</v>
      </c>
      <c r="L314" s="355">
        <v>0.0</v>
      </c>
      <c r="M314" s="355">
        <v>0.0</v>
      </c>
      <c r="N314" s="355">
        <v>0.0</v>
      </c>
      <c r="O314" s="355">
        <v>1.0</v>
      </c>
      <c r="P314" s="355">
        <v>0.0</v>
      </c>
      <c r="Q314" s="355">
        <v>0.0</v>
      </c>
      <c r="R314" s="355">
        <v>0.0</v>
      </c>
      <c r="S314" s="355">
        <v>0.0</v>
      </c>
      <c r="T314" s="355">
        <v>0.0</v>
      </c>
      <c r="U314" s="355">
        <v>0.0</v>
      </c>
      <c r="V314" s="355">
        <v>6.0</v>
      </c>
      <c r="W314" s="355">
        <v>4.0</v>
      </c>
      <c r="X314" s="355">
        <v>0.0</v>
      </c>
      <c r="Y314" s="355">
        <v>0.0</v>
      </c>
      <c r="Z314" s="355">
        <v>0.0</v>
      </c>
      <c r="AA314" s="355">
        <v>0.0</v>
      </c>
      <c r="AB314" s="355">
        <v>0.0</v>
      </c>
      <c r="AC314" s="355">
        <v>0.0</v>
      </c>
      <c r="AD314" s="355">
        <v>0.0</v>
      </c>
      <c r="AE314" s="355">
        <v>0.0</v>
      </c>
      <c r="AF314" s="167">
        <f t="shared" si="100"/>
        <v>20</v>
      </c>
    </row>
    <row r="315">
      <c r="A315" s="49"/>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153"/>
    </row>
    <row r="316">
      <c r="A316" s="352" t="s">
        <v>406</v>
      </c>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c r="AA316" s="206"/>
      <c r="AB316" s="206"/>
      <c r="AC316" s="206"/>
      <c r="AD316" s="206"/>
      <c r="AE316" s="206"/>
      <c r="AF316" s="10"/>
    </row>
    <row r="317" outlineLevel="1">
      <c r="A317" s="117" t="s">
        <v>264</v>
      </c>
      <c r="B317" s="135">
        <v>0.0</v>
      </c>
      <c r="C317" s="135">
        <v>0.0</v>
      </c>
      <c r="D317" s="135">
        <v>2.0</v>
      </c>
      <c r="E317" s="135">
        <v>0.0</v>
      </c>
      <c r="F317" s="135">
        <v>0.0</v>
      </c>
      <c r="G317" s="135">
        <v>2.0</v>
      </c>
      <c r="H317" s="135">
        <v>0.0</v>
      </c>
      <c r="I317" s="135">
        <v>0.0</v>
      </c>
      <c r="J317" s="135">
        <v>0.0</v>
      </c>
      <c r="K317" s="135">
        <v>0.0</v>
      </c>
      <c r="L317" s="135">
        <v>0.0</v>
      </c>
      <c r="M317" s="135">
        <v>0.0</v>
      </c>
      <c r="N317" s="135">
        <v>1.0</v>
      </c>
      <c r="O317" s="135">
        <v>0.0</v>
      </c>
      <c r="P317" s="135">
        <v>0.0</v>
      </c>
      <c r="Q317" s="135">
        <v>0.0</v>
      </c>
      <c r="R317" s="135">
        <v>0.0</v>
      </c>
      <c r="S317" s="135">
        <v>0.0</v>
      </c>
      <c r="T317" s="135">
        <v>0.0</v>
      </c>
      <c r="U317" s="135">
        <v>0.0</v>
      </c>
      <c r="V317" s="135">
        <v>0.0</v>
      </c>
      <c r="W317" s="135">
        <v>5.0</v>
      </c>
      <c r="X317" s="135">
        <v>0.0</v>
      </c>
      <c r="Y317" s="135">
        <v>0.0</v>
      </c>
      <c r="Z317" s="135">
        <v>0.0</v>
      </c>
      <c r="AA317" s="135">
        <v>0.0</v>
      </c>
      <c r="AB317" s="135">
        <v>0.0</v>
      </c>
      <c r="AC317" s="135">
        <v>0.0</v>
      </c>
      <c r="AD317" s="135">
        <v>0.0</v>
      </c>
      <c r="AE317" s="135">
        <v>0.0</v>
      </c>
      <c r="AF317" s="167">
        <f t="shared" ref="AF317:AF325" si="101">SUM(B317:AE317)</f>
        <v>10</v>
      </c>
    </row>
    <row r="318" outlineLevel="1">
      <c r="A318" s="117" t="s">
        <v>267</v>
      </c>
      <c r="B318" s="135">
        <v>0.0</v>
      </c>
      <c r="C318" s="135">
        <v>0.0</v>
      </c>
      <c r="D318" s="135">
        <v>8.0</v>
      </c>
      <c r="E318" s="135">
        <v>0.0</v>
      </c>
      <c r="F318" s="135">
        <v>0.0</v>
      </c>
      <c r="G318" s="135">
        <v>6.0</v>
      </c>
      <c r="H318" s="135">
        <v>4.0</v>
      </c>
      <c r="I318" s="135">
        <v>0.0</v>
      </c>
      <c r="J318" s="135">
        <v>0.0</v>
      </c>
      <c r="K318" s="135">
        <v>0.0</v>
      </c>
      <c r="L318" s="135">
        <v>0.0</v>
      </c>
      <c r="M318" s="135">
        <v>0.0</v>
      </c>
      <c r="N318" s="135">
        <v>9.0</v>
      </c>
      <c r="O318" s="135">
        <v>0.0</v>
      </c>
      <c r="P318" s="135">
        <v>0.0</v>
      </c>
      <c r="Q318" s="135">
        <v>0.0</v>
      </c>
      <c r="R318" s="135">
        <v>0.0</v>
      </c>
      <c r="S318" s="135">
        <v>0.0</v>
      </c>
      <c r="T318" s="135">
        <v>0.0</v>
      </c>
      <c r="U318" s="135">
        <v>0.0</v>
      </c>
      <c r="V318" s="135">
        <v>6.0</v>
      </c>
      <c r="W318" s="135">
        <v>5.0</v>
      </c>
      <c r="X318" s="135">
        <v>0.0</v>
      </c>
      <c r="Y318" s="135">
        <v>0.0</v>
      </c>
      <c r="Z318" s="135">
        <v>0.0</v>
      </c>
      <c r="AA318" s="135">
        <v>0.0</v>
      </c>
      <c r="AB318" s="135">
        <v>0.0</v>
      </c>
      <c r="AC318" s="135">
        <v>0.0</v>
      </c>
      <c r="AD318" s="135">
        <v>0.0</v>
      </c>
      <c r="AE318" s="135">
        <v>0.0</v>
      </c>
      <c r="AF318" s="167">
        <f t="shared" si="101"/>
        <v>38</v>
      </c>
    </row>
    <row r="319" outlineLevel="1">
      <c r="A319" s="117" t="s">
        <v>533</v>
      </c>
      <c r="B319" s="135">
        <v>0.0</v>
      </c>
      <c r="C319" s="135">
        <v>0.0</v>
      </c>
      <c r="D319" s="135">
        <v>2.0</v>
      </c>
      <c r="E319" s="135">
        <v>0.0</v>
      </c>
      <c r="F319" s="135">
        <v>0.0</v>
      </c>
      <c r="G319" s="135">
        <v>4.0</v>
      </c>
      <c r="H319" s="135">
        <v>3.0</v>
      </c>
      <c r="I319" s="135">
        <v>0.0</v>
      </c>
      <c r="J319" s="135">
        <v>0.0</v>
      </c>
      <c r="K319" s="135">
        <v>0.0</v>
      </c>
      <c r="L319" s="135">
        <v>0.0</v>
      </c>
      <c r="M319" s="135">
        <v>0.0</v>
      </c>
      <c r="N319" s="135">
        <v>0.0</v>
      </c>
      <c r="O319" s="135">
        <v>0.0</v>
      </c>
      <c r="P319" s="135">
        <v>0.0</v>
      </c>
      <c r="Q319" s="135">
        <v>0.0</v>
      </c>
      <c r="R319" s="135">
        <v>0.0</v>
      </c>
      <c r="S319" s="135">
        <v>0.0</v>
      </c>
      <c r="T319" s="135">
        <v>0.0</v>
      </c>
      <c r="U319" s="135">
        <v>0.0</v>
      </c>
      <c r="V319" s="135">
        <v>0.0</v>
      </c>
      <c r="W319" s="135">
        <v>3.0</v>
      </c>
      <c r="X319" s="135">
        <v>0.0</v>
      </c>
      <c r="Y319" s="135">
        <v>0.0</v>
      </c>
      <c r="Z319" s="135">
        <v>0.0</v>
      </c>
      <c r="AA319" s="135">
        <v>0.0</v>
      </c>
      <c r="AB319" s="135">
        <v>0.0</v>
      </c>
      <c r="AC319" s="135">
        <v>0.0</v>
      </c>
      <c r="AD319" s="135">
        <v>0.0</v>
      </c>
      <c r="AE319" s="135">
        <v>0.0</v>
      </c>
      <c r="AF319" s="167">
        <f t="shared" si="101"/>
        <v>12</v>
      </c>
    </row>
    <row r="320" outlineLevel="1">
      <c r="A320" s="117" t="s">
        <v>534</v>
      </c>
      <c r="B320" s="135">
        <v>0.0</v>
      </c>
      <c r="C320" s="135">
        <v>0.0</v>
      </c>
      <c r="D320" s="135">
        <v>1.0</v>
      </c>
      <c r="E320" s="135">
        <v>0.0</v>
      </c>
      <c r="F320" s="135">
        <v>0.0</v>
      </c>
      <c r="G320" s="135">
        <v>1.0</v>
      </c>
      <c r="H320" s="135">
        <v>0.0</v>
      </c>
      <c r="I320" s="135">
        <v>0.0</v>
      </c>
      <c r="J320" s="135">
        <v>0.0</v>
      </c>
      <c r="K320" s="135">
        <v>0.0</v>
      </c>
      <c r="L320" s="135">
        <v>0.0</v>
      </c>
      <c r="M320" s="135">
        <v>0.0</v>
      </c>
      <c r="N320" s="135">
        <v>0.0</v>
      </c>
      <c r="O320" s="135">
        <v>0.0</v>
      </c>
      <c r="P320" s="135">
        <v>0.0</v>
      </c>
      <c r="Q320" s="135">
        <v>0.0</v>
      </c>
      <c r="R320" s="135">
        <v>0.0</v>
      </c>
      <c r="S320" s="135">
        <v>0.0</v>
      </c>
      <c r="T320" s="135">
        <v>0.0</v>
      </c>
      <c r="U320" s="135">
        <v>0.0</v>
      </c>
      <c r="V320" s="135">
        <v>0.0</v>
      </c>
      <c r="W320" s="135">
        <v>0.0</v>
      </c>
      <c r="X320" s="135">
        <v>0.0</v>
      </c>
      <c r="Y320" s="135">
        <v>0.0</v>
      </c>
      <c r="Z320" s="135">
        <v>0.0</v>
      </c>
      <c r="AA320" s="135">
        <v>0.0</v>
      </c>
      <c r="AB320" s="135">
        <v>0.0</v>
      </c>
      <c r="AC320" s="135">
        <v>0.0</v>
      </c>
      <c r="AD320" s="135">
        <v>0.0</v>
      </c>
      <c r="AE320" s="135">
        <v>0.0</v>
      </c>
      <c r="AF320" s="167">
        <f t="shared" si="101"/>
        <v>2</v>
      </c>
    </row>
    <row r="321" outlineLevel="1">
      <c r="A321" s="117" t="s">
        <v>535</v>
      </c>
      <c r="B321" s="135">
        <v>0.0</v>
      </c>
      <c r="C321" s="135">
        <v>0.0</v>
      </c>
      <c r="D321" s="135">
        <v>14.0</v>
      </c>
      <c r="E321" s="135">
        <v>0.0</v>
      </c>
      <c r="F321" s="135">
        <v>0.0</v>
      </c>
      <c r="G321" s="135">
        <v>2.0</v>
      </c>
      <c r="H321" s="135">
        <v>0.0</v>
      </c>
      <c r="I321" s="135">
        <v>0.0</v>
      </c>
      <c r="J321" s="135">
        <v>0.0</v>
      </c>
      <c r="K321" s="135">
        <v>0.0</v>
      </c>
      <c r="L321" s="135">
        <v>0.0</v>
      </c>
      <c r="M321" s="135">
        <v>0.0</v>
      </c>
      <c r="N321" s="135">
        <v>2.0</v>
      </c>
      <c r="O321" s="135">
        <v>0.0</v>
      </c>
      <c r="P321" s="135">
        <v>0.0</v>
      </c>
      <c r="Q321" s="135">
        <v>0.0</v>
      </c>
      <c r="R321" s="135">
        <v>0.0</v>
      </c>
      <c r="S321" s="135">
        <v>0.0</v>
      </c>
      <c r="T321" s="135">
        <v>0.0</v>
      </c>
      <c r="U321" s="135">
        <v>0.0</v>
      </c>
      <c r="V321" s="135">
        <v>4.0</v>
      </c>
      <c r="W321" s="135">
        <v>2.0</v>
      </c>
      <c r="X321" s="135">
        <v>0.0</v>
      </c>
      <c r="Y321" s="135">
        <v>0.0</v>
      </c>
      <c r="Z321" s="135">
        <v>0.0</v>
      </c>
      <c r="AA321" s="135">
        <v>0.0</v>
      </c>
      <c r="AB321" s="135">
        <v>0.0</v>
      </c>
      <c r="AC321" s="135">
        <v>0.0</v>
      </c>
      <c r="AD321" s="135">
        <v>0.0</v>
      </c>
      <c r="AE321" s="135">
        <v>0.0</v>
      </c>
      <c r="AF321" s="167">
        <f t="shared" si="101"/>
        <v>24</v>
      </c>
    </row>
    <row r="322" outlineLevel="1">
      <c r="A322" s="117" t="s">
        <v>536</v>
      </c>
      <c r="B322" s="135">
        <v>0.0</v>
      </c>
      <c r="C322" s="135">
        <v>0.0</v>
      </c>
      <c r="D322" s="135">
        <v>1.0</v>
      </c>
      <c r="E322" s="135">
        <v>0.0</v>
      </c>
      <c r="F322" s="135">
        <v>0.0</v>
      </c>
      <c r="G322" s="135">
        <v>0.0</v>
      </c>
      <c r="H322" s="135">
        <v>0.0</v>
      </c>
      <c r="I322" s="135">
        <v>0.0</v>
      </c>
      <c r="J322" s="135">
        <v>0.0</v>
      </c>
      <c r="K322" s="135">
        <v>0.0</v>
      </c>
      <c r="L322" s="135">
        <v>0.0</v>
      </c>
      <c r="M322" s="135">
        <v>0.0</v>
      </c>
      <c r="N322" s="135">
        <v>1.0</v>
      </c>
      <c r="O322" s="135">
        <v>0.0</v>
      </c>
      <c r="P322" s="135">
        <v>0.0</v>
      </c>
      <c r="Q322" s="135">
        <v>0.0</v>
      </c>
      <c r="R322" s="135">
        <v>0.0</v>
      </c>
      <c r="S322" s="135">
        <v>0.0</v>
      </c>
      <c r="T322" s="135">
        <v>0.0</v>
      </c>
      <c r="U322" s="135">
        <v>0.0</v>
      </c>
      <c r="V322" s="135">
        <v>2.0</v>
      </c>
      <c r="W322" s="135">
        <v>1.0</v>
      </c>
      <c r="X322" s="135">
        <v>0.0</v>
      </c>
      <c r="Y322" s="135">
        <v>0.0</v>
      </c>
      <c r="Z322" s="135">
        <v>0.0</v>
      </c>
      <c r="AA322" s="135">
        <v>0.0</v>
      </c>
      <c r="AB322" s="135">
        <v>0.0</v>
      </c>
      <c r="AC322" s="135">
        <v>0.0</v>
      </c>
      <c r="AD322" s="135">
        <v>0.0</v>
      </c>
      <c r="AE322" s="135">
        <v>0.0</v>
      </c>
      <c r="AF322" s="167">
        <f t="shared" si="101"/>
        <v>5</v>
      </c>
    </row>
    <row r="323" outlineLevel="1">
      <c r="A323" s="117" t="s">
        <v>537</v>
      </c>
      <c r="B323" s="135">
        <v>0.0</v>
      </c>
      <c r="C323" s="135">
        <v>0.0</v>
      </c>
      <c r="D323" s="135">
        <v>0.0</v>
      </c>
      <c r="E323" s="135">
        <v>0.0</v>
      </c>
      <c r="F323" s="135">
        <v>0.0</v>
      </c>
      <c r="G323" s="135">
        <v>0.0</v>
      </c>
      <c r="H323" s="135">
        <v>1.0</v>
      </c>
      <c r="I323" s="135">
        <v>0.0</v>
      </c>
      <c r="J323" s="135">
        <v>0.0</v>
      </c>
      <c r="K323" s="135">
        <v>0.0</v>
      </c>
      <c r="L323" s="135">
        <v>0.0</v>
      </c>
      <c r="M323" s="135">
        <v>0.0</v>
      </c>
      <c r="N323" s="135">
        <v>0.0</v>
      </c>
      <c r="O323" s="135">
        <v>0.0</v>
      </c>
      <c r="P323" s="135">
        <v>0.0</v>
      </c>
      <c r="Q323" s="135">
        <v>0.0</v>
      </c>
      <c r="R323" s="135">
        <v>0.0</v>
      </c>
      <c r="S323" s="135">
        <v>0.0</v>
      </c>
      <c r="T323" s="135">
        <v>0.0</v>
      </c>
      <c r="U323" s="135">
        <v>0.0</v>
      </c>
      <c r="V323" s="135">
        <v>0.0</v>
      </c>
      <c r="W323" s="135">
        <v>0.0</v>
      </c>
      <c r="X323" s="135">
        <v>0.0</v>
      </c>
      <c r="Y323" s="135">
        <v>0.0</v>
      </c>
      <c r="Z323" s="135">
        <v>0.0</v>
      </c>
      <c r="AA323" s="135">
        <v>0.0</v>
      </c>
      <c r="AB323" s="135">
        <v>0.0</v>
      </c>
      <c r="AC323" s="135">
        <v>0.0</v>
      </c>
      <c r="AD323" s="135">
        <v>0.0</v>
      </c>
      <c r="AE323" s="135">
        <v>0.0</v>
      </c>
      <c r="AF323" s="167">
        <f t="shared" si="101"/>
        <v>1</v>
      </c>
    </row>
    <row r="324" outlineLevel="1">
      <c r="A324" s="117" t="s">
        <v>538</v>
      </c>
      <c r="B324" s="135">
        <v>0.0</v>
      </c>
      <c r="C324" s="135">
        <v>0.0</v>
      </c>
      <c r="D324" s="135">
        <v>0.0</v>
      </c>
      <c r="E324" s="135">
        <v>0.0</v>
      </c>
      <c r="F324" s="135">
        <v>0.0</v>
      </c>
      <c r="G324" s="135">
        <v>0.0</v>
      </c>
      <c r="H324" s="135">
        <v>0.0</v>
      </c>
      <c r="I324" s="135">
        <v>0.0</v>
      </c>
      <c r="J324" s="135">
        <v>0.0</v>
      </c>
      <c r="K324" s="135">
        <v>0.0</v>
      </c>
      <c r="L324" s="135">
        <v>0.0</v>
      </c>
      <c r="M324" s="135">
        <v>0.0</v>
      </c>
      <c r="N324" s="135">
        <v>0.0</v>
      </c>
      <c r="O324" s="135">
        <v>0.0</v>
      </c>
      <c r="P324" s="135">
        <v>0.0</v>
      </c>
      <c r="Q324" s="135">
        <v>0.0</v>
      </c>
      <c r="R324" s="135">
        <v>0.0</v>
      </c>
      <c r="S324" s="135">
        <v>0.0</v>
      </c>
      <c r="T324" s="135">
        <v>0.0</v>
      </c>
      <c r="U324" s="135">
        <v>0.0</v>
      </c>
      <c r="V324" s="135">
        <v>0.0</v>
      </c>
      <c r="W324" s="135">
        <v>0.0</v>
      </c>
      <c r="X324" s="135">
        <v>0.0</v>
      </c>
      <c r="Y324" s="135">
        <v>0.0</v>
      </c>
      <c r="Z324" s="135">
        <v>0.0</v>
      </c>
      <c r="AA324" s="135">
        <v>0.0</v>
      </c>
      <c r="AB324" s="135">
        <v>0.0</v>
      </c>
      <c r="AC324" s="135">
        <v>0.0</v>
      </c>
      <c r="AD324" s="135">
        <v>0.0</v>
      </c>
      <c r="AE324" s="135">
        <v>0.0</v>
      </c>
      <c r="AF324" s="167">
        <f t="shared" si="101"/>
        <v>0</v>
      </c>
    </row>
    <row r="325">
      <c r="A325" s="356" t="s">
        <v>162</v>
      </c>
      <c r="B325" s="357">
        <v>0.0</v>
      </c>
      <c r="C325" s="357">
        <v>0.0</v>
      </c>
      <c r="D325" s="357">
        <v>28.0</v>
      </c>
      <c r="E325" s="357">
        <v>0.0</v>
      </c>
      <c r="F325" s="357">
        <v>0.0</v>
      </c>
      <c r="G325" s="357">
        <v>15.0</v>
      </c>
      <c r="H325" s="357">
        <v>8.0</v>
      </c>
      <c r="I325" s="357">
        <v>0.0</v>
      </c>
      <c r="J325" s="357">
        <v>0.0</v>
      </c>
      <c r="K325" s="357">
        <v>0.0</v>
      </c>
      <c r="L325" s="357">
        <v>0.0</v>
      </c>
      <c r="M325" s="357">
        <v>0.0</v>
      </c>
      <c r="N325" s="357">
        <v>13.0</v>
      </c>
      <c r="O325" s="357">
        <v>0.0</v>
      </c>
      <c r="P325" s="357">
        <v>0.0</v>
      </c>
      <c r="Q325" s="357">
        <v>0.0</v>
      </c>
      <c r="R325" s="357">
        <v>0.0</v>
      </c>
      <c r="S325" s="357">
        <v>0.0</v>
      </c>
      <c r="T325" s="357">
        <v>0.0</v>
      </c>
      <c r="U325" s="357">
        <v>0.0</v>
      </c>
      <c r="V325" s="357">
        <v>12.0</v>
      </c>
      <c r="W325" s="357">
        <v>16.0</v>
      </c>
      <c r="X325" s="357">
        <v>0.0</v>
      </c>
      <c r="Y325" s="357">
        <v>0.0</v>
      </c>
      <c r="Z325" s="357">
        <v>0.0</v>
      </c>
      <c r="AA325" s="357">
        <v>0.0</v>
      </c>
      <c r="AB325" s="357">
        <v>0.0</v>
      </c>
      <c r="AC325" s="357">
        <v>0.0</v>
      </c>
      <c r="AD325" s="357">
        <v>0.0</v>
      </c>
      <c r="AE325" s="357">
        <v>0.0</v>
      </c>
      <c r="AF325" s="167">
        <f t="shared" si="101"/>
        <v>92</v>
      </c>
    </row>
    <row r="326">
      <c r="A326" s="49"/>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153"/>
    </row>
    <row r="327">
      <c r="A327" s="352" t="s">
        <v>470</v>
      </c>
      <c r="B327" s="350"/>
      <c r="C327" s="350"/>
      <c r="D327" s="350"/>
      <c r="E327" s="350"/>
      <c r="F327" s="350"/>
      <c r="G327" s="350"/>
      <c r="H327" s="350"/>
      <c r="I327" s="350"/>
      <c r="J327" s="350"/>
      <c r="K327" s="350"/>
      <c r="L327" s="350"/>
      <c r="M327" s="350"/>
      <c r="N327" s="350"/>
      <c r="O327" s="350"/>
      <c r="P327" s="350"/>
      <c r="Q327" s="350"/>
      <c r="R327" s="350"/>
      <c r="S327" s="350"/>
      <c r="T327" s="350"/>
      <c r="U327" s="350"/>
      <c r="V327" s="350"/>
      <c r="W327" s="350"/>
      <c r="X327" s="350"/>
      <c r="Y327" s="350"/>
      <c r="Z327" s="350"/>
      <c r="AA327" s="350"/>
      <c r="AB327" s="350"/>
      <c r="AC327" s="350"/>
      <c r="AD327" s="350"/>
      <c r="AE327" s="350"/>
      <c r="AF327" s="153"/>
    </row>
    <row r="328" outlineLevel="1">
      <c r="A328" s="117" t="s">
        <v>264</v>
      </c>
      <c r="B328" s="135">
        <v>0.0</v>
      </c>
      <c r="C328" s="135">
        <v>0.0</v>
      </c>
      <c r="D328" s="135">
        <v>0.0</v>
      </c>
      <c r="E328" s="135">
        <v>0.0</v>
      </c>
      <c r="F328" s="135">
        <v>0.0</v>
      </c>
      <c r="G328" s="135">
        <v>0.0</v>
      </c>
      <c r="H328" s="135">
        <v>0.0</v>
      </c>
      <c r="I328" s="135">
        <v>0.0</v>
      </c>
      <c r="J328" s="135">
        <v>4.0</v>
      </c>
      <c r="K328" s="135">
        <v>0.0</v>
      </c>
      <c r="L328" s="135">
        <v>0.0</v>
      </c>
      <c r="M328" s="135">
        <v>0.0</v>
      </c>
      <c r="N328" s="135">
        <v>0.0</v>
      </c>
      <c r="O328" s="135">
        <v>0.0</v>
      </c>
      <c r="P328" s="135">
        <v>0.0</v>
      </c>
      <c r="Q328" s="135">
        <v>0.0</v>
      </c>
      <c r="R328" s="135">
        <v>0.0</v>
      </c>
      <c r="S328" s="135">
        <v>0.0</v>
      </c>
      <c r="T328" s="135">
        <v>0.0</v>
      </c>
      <c r="U328" s="135">
        <v>0.0</v>
      </c>
      <c r="V328" s="135">
        <v>0.0</v>
      </c>
      <c r="W328" s="135">
        <v>1.0</v>
      </c>
      <c r="X328" s="135">
        <v>0.0</v>
      </c>
      <c r="Y328" s="135">
        <v>0.0</v>
      </c>
      <c r="Z328" s="135">
        <v>0.0</v>
      </c>
      <c r="AA328" s="135">
        <v>0.0</v>
      </c>
      <c r="AB328" s="135">
        <v>0.0</v>
      </c>
      <c r="AC328" s="135">
        <v>0.0</v>
      </c>
      <c r="AD328" s="135">
        <v>0.0</v>
      </c>
      <c r="AE328" s="135">
        <v>0.0</v>
      </c>
      <c r="AF328" s="167">
        <f t="shared" ref="AF328:AF336" si="102">SUM(B328:AE328)</f>
        <v>5</v>
      </c>
    </row>
    <row r="329" outlineLevel="1">
      <c r="A329" s="117" t="s">
        <v>267</v>
      </c>
      <c r="B329" s="135">
        <v>0.0</v>
      </c>
      <c r="C329" s="135">
        <v>0.0</v>
      </c>
      <c r="D329" s="135">
        <v>0.0</v>
      </c>
      <c r="E329" s="135">
        <v>0.0</v>
      </c>
      <c r="F329" s="135">
        <v>0.0</v>
      </c>
      <c r="G329" s="135">
        <v>0.0</v>
      </c>
      <c r="H329" s="135">
        <v>0.0</v>
      </c>
      <c r="I329" s="135">
        <v>0.0</v>
      </c>
      <c r="J329" s="135">
        <v>2.0</v>
      </c>
      <c r="K329" s="135">
        <v>0.0</v>
      </c>
      <c r="L329" s="135">
        <v>0.0</v>
      </c>
      <c r="M329" s="135">
        <v>0.0</v>
      </c>
      <c r="N329" s="135">
        <v>2.0</v>
      </c>
      <c r="O329" s="135">
        <v>0.0</v>
      </c>
      <c r="P329" s="135">
        <v>0.0</v>
      </c>
      <c r="Q329" s="135">
        <v>0.0</v>
      </c>
      <c r="R329" s="135">
        <v>0.0</v>
      </c>
      <c r="S329" s="135">
        <v>0.0</v>
      </c>
      <c r="T329" s="135">
        <v>0.0</v>
      </c>
      <c r="U329" s="135">
        <v>0.0</v>
      </c>
      <c r="V329" s="135">
        <v>0.0</v>
      </c>
      <c r="W329" s="135">
        <v>0.0</v>
      </c>
      <c r="X329" s="135">
        <v>0.0</v>
      </c>
      <c r="Y329" s="135">
        <v>0.0</v>
      </c>
      <c r="Z329" s="135">
        <v>0.0</v>
      </c>
      <c r="AA329" s="135">
        <v>0.0</v>
      </c>
      <c r="AB329" s="135">
        <v>0.0</v>
      </c>
      <c r="AC329" s="135">
        <v>0.0</v>
      </c>
      <c r="AD329" s="135">
        <v>0.0</v>
      </c>
      <c r="AE329" s="135">
        <v>0.0</v>
      </c>
      <c r="AF329" s="167">
        <f t="shared" si="102"/>
        <v>4</v>
      </c>
    </row>
    <row r="330" outlineLevel="1">
      <c r="A330" s="117" t="s">
        <v>539</v>
      </c>
      <c r="B330" s="135">
        <v>0.0</v>
      </c>
      <c r="C330" s="135">
        <v>0.0</v>
      </c>
      <c r="D330" s="135">
        <v>0.0</v>
      </c>
      <c r="E330" s="135">
        <v>0.0</v>
      </c>
      <c r="F330" s="135">
        <v>0.0</v>
      </c>
      <c r="G330" s="135">
        <v>0.0</v>
      </c>
      <c r="H330" s="135">
        <v>0.0</v>
      </c>
      <c r="I330" s="135">
        <v>0.0</v>
      </c>
      <c r="J330" s="135">
        <v>0.0</v>
      </c>
      <c r="K330" s="135">
        <v>0.0</v>
      </c>
      <c r="L330" s="135">
        <v>0.0</v>
      </c>
      <c r="M330" s="135">
        <v>0.0</v>
      </c>
      <c r="N330" s="135">
        <v>0.0</v>
      </c>
      <c r="O330" s="135">
        <v>0.0</v>
      </c>
      <c r="P330" s="135">
        <v>0.0</v>
      </c>
      <c r="Q330" s="135">
        <v>0.0</v>
      </c>
      <c r="R330" s="135">
        <v>0.0</v>
      </c>
      <c r="S330" s="135">
        <v>0.0</v>
      </c>
      <c r="T330" s="135">
        <v>0.0</v>
      </c>
      <c r="U330" s="135">
        <v>0.0</v>
      </c>
      <c r="V330" s="135">
        <v>0.0</v>
      </c>
      <c r="W330" s="135">
        <v>0.0</v>
      </c>
      <c r="X330" s="135">
        <v>0.0</v>
      </c>
      <c r="Y330" s="135">
        <v>0.0</v>
      </c>
      <c r="Z330" s="135">
        <v>0.0</v>
      </c>
      <c r="AA330" s="135">
        <v>0.0</v>
      </c>
      <c r="AB330" s="135">
        <v>0.0</v>
      </c>
      <c r="AC330" s="135">
        <v>0.0</v>
      </c>
      <c r="AD330" s="135">
        <v>0.0</v>
      </c>
      <c r="AE330" s="135">
        <v>0.0</v>
      </c>
      <c r="AF330" s="167">
        <f t="shared" si="102"/>
        <v>0</v>
      </c>
    </row>
    <row r="331" outlineLevel="1">
      <c r="A331" s="117" t="s">
        <v>541</v>
      </c>
      <c r="B331" s="135">
        <v>0.0</v>
      </c>
      <c r="C331" s="135">
        <v>0.0</v>
      </c>
      <c r="D331" s="135">
        <v>0.0</v>
      </c>
      <c r="E331" s="135">
        <v>0.0</v>
      </c>
      <c r="F331" s="135">
        <v>0.0</v>
      </c>
      <c r="G331" s="135">
        <v>0.0</v>
      </c>
      <c r="H331" s="135">
        <v>0.0</v>
      </c>
      <c r="I331" s="135">
        <v>0.0</v>
      </c>
      <c r="J331" s="135">
        <v>1.0</v>
      </c>
      <c r="K331" s="135">
        <v>0.0</v>
      </c>
      <c r="L331" s="135">
        <v>0.0</v>
      </c>
      <c r="M331" s="135">
        <v>0.0</v>
      </c>
      <c r="N331" s="135">
        <v>0.0</v>
      </c>
      <c r="O331" s="135">
        <v>0.0</v>
      </c>
      <c r="P331" s="135">
        <v>0.0</v>
      </c>
      <c r="Q331" s="135">
        <v>0.0</v>
      </c>
      <c r="R331" s="135">
        <v>0.0</v>
      </c>
      <c r="S331" s="135">
        <v>0.0</v>
      </c>
      <c r="T331" s="135">
        <v>0.0</v>
      </c>
      <c r="U331" s="135">
        <v>0.0</v>
      </c>
      <c r="V331" s="135">
        <v>0.0</v>
      </c>
      <c r="W331" s="135">
        <v>0.0</v>
      </c>
      <c r="X331" s="135">
        <v>0.0</v>
      </c>
      <c r="Y331" s="135">
        <v>0.0</v>
      </c>
      <c r="Z331" s="135">
        <v>0.0</v>
      </c>
      <c r="AA331" s="135">
        <v>0.0</v>
      </c>
      <c r="AB331" s="135">
        <v>0.0</v>
      </c>
      <c r="AC331" s="135">
        <v>0.0</v>
      </c>
      <c r="AD331" s="135">
        <v>0.0</v>
      </c>
      <c r="AE331" s="135">
        <v>0.0</v>
      </c>
      <c r="AF331" s="167">
        <f t="shared" si="102"/>
        <v>1</v>
      </c>
    </row>
    <row r="332" outlineLevel="1">
      <c r="A332" s="117" t="s">
        <v>542</v>
      </c>
      <c r="B332" s="135">
        <v>0.0</v>
      </c>
      <c r="C332" s="135">
        <v>0.0</v>
      </c>
      <c r="D332" s="135">
        <v>3.0</v>
      </c>
      <c r="E332" s="135">
        <v>0.0</v>
      </c>
      <c r="F332" s="135">
        <v>0.0</v>
      </c>
      <c r="G332" s="135">
        <v>0.0</v>
      </c>
      <c r="H332" s="135">
        <v>0.0</v>
      </c>
      <c r="I332" s="135">
        <v>0.0</v>
      </c>
      <c r="J332" s="135">
        <v>6.0</v>
      </c>
      <c r="K332" s="135">
        <v>0.0</v>
      </c>
      <c r="L332" s="135">
        <v>0.0</v>
      </c>
      <c r="M332" s="135">
        <v>0.0</v>
      </c>
      <c r="N332" s="135">
        <v>0.0</v>
      </c>
      <c r="O332" s="135">
        <v>0.0</v>
      </c>
      <c r="P332" s="135">
        <v>0.0</v>
      </c>
      <c r="Q332" s="135">
        <v>0.0</v>
      </c>
      <c r="R332" s="135">
        <v>0.0</v>
      </c>
      <c r="S332" s="135">
        <v>0.0</v>
      </c>
      <c r="T332" s="135">
        <v>0.0</v>
      </c>
      <c r="U332" s="135">
        <v>0.0</v>
      </c>
      <c r="V332" s="135">
        <v>2.0</v>
      </c>
      <c r="W332" s="135">
        <v>0.0</v>
      </c>
      <c r="X332" s="135">
        <v>0.0</v>
      </c>
      <c r="Y332" s="135">
        <v>0.0</v>
      </c>
      <c r="Z332" s="135">
        <v>0.0</v>
      </c>
      <c r="AA332" s="135">
        <v>0.0</v>
      </c>
      <c r="AB332" s="135">
        <v>0.0</v>
      </c>
      <c r="AC332" s="135">
        <v>0.0</v>
      </c>
      <c r="AD332" s="135">
        <v>0.0</v>
      </c>
      <c r="AE332" s="135">
        <v>0.0</v>
      </c>
      <c r="AF332" s="167">
        <f t="shared" si="102"/>
        <v>11</v>
      </c>
    </row>
    <row r="333" outlineLevel="1">
      <c r="A333" s="117" t="s">
        <v>543</v>
      </c>
      <c r="B333" s="135">
        <v>0.0</v>
      </c>
      <c r="C333" s="135">
        <v>0.0</v>
      </c>
      <c r="D333" s="135">
        <v>0.0</v>
      </c>
      <c r="E333" s="135">
        <v>0.0</v>
      </c>
      <c r="F333" s="135">
        <v>0.0</v>
      </c>
      <c r="G333" s="135">
        <v>0.0</v>
      </c>
      <c r="H333" s="135">
        <v>0.0</v>
      </c>
      <c r="I333" s="135">
        <v>0.0</v>
      </c>
      <c r="J333" s="135">
        <v>0.0</v>
      </c>
      <c r="K333" s="135">
        <v>0.0</v>
      </c>
      <c r="L333" s="135">
        <v>0.0</v>
      </c>
      <c r="M333" s="135">
        <v>0.0</v>
      </c>
      <c r="N333" s="135">
        <v>0.0</v>
      </c>
      <c r="O333" s="135">
        <v>0.0</v>
      </c>
      <c r="P333" s="135">
        <v>0.0</v>
      </c>
      <c r="Q333" s="135">
        <v>0.0</v>
      </c>
      <c r="R333" s="135">
        <v>0.0</v>
      </c>
      <c r="S333" s="135">
        <v>0.0</v>
      </c>
      <c r="T333" s="135">
        <v>0.0</v>
      </c>
      <c r="U333" s="135">
        <v>0.0</v>
      </c>
      <c r="V333" s="135">
        <v>0.0</v>
      </c>
      <c r="W333" s="135">
        <v>0.0</v>
      </c>
      <c r="X333" s="135">
        <v>0.0</v>
      </c>
      <c r="Y333" s="135">
        <v>0.0</v>
      </c>
      <c r="Z333" s="135">
        <v>0.0</v>
      </c>
      <c r="AA333" s="135">
        <v>0.0</v>
      </c>
      <c r="AB333" s="135">
        <v>0.0</v>
      </c>
      <c r="AC333" s="135">
        <v>0.0</v>
      </c>
      <c r="AD333" s="135">
        <v>0.0</v>
      </c>
      <c r="AE333" s="135">
        <v>0.0</v>
      </c>
      <c r="AF333" s="167">
        <f t="shared" si="102"/>
        <v>0</v>
      </c>
    </row>
    <row r="334" outlineLevel="1">
      <c r="A334" s="117" t="s">
        <v>544</v>
      </c>
      <c r="B334" s="135">
        <v>0.0</v>
      </c>
      <c r="C334" s="135">
        <v>0.0</v>
      </c>
      <c r="D334" s="135">
        <v>0.0</v>
      </c>
      <c r="E334" s="135">
        <v>0.0</v>
      </c>
      <c r="F334" s="135">
        <v>0.0</v>
      </c>
      <c r="G334" s="135">
        <v>0.0</v>
      </c>
      <c r="H334" s="135">
        <v>0.0</v>
      </c>
      <c r="I334" s="135">
        <v>0.0</v>
      </c>
      <c r="J334" s="135">
        <v>0.0</v>
      </c>
      <c r="K334" s="135">
        <v>0.0</v>
      </c>
      <c r="L334" s="135">
        <v>0.0</v>
      </c>
      <c r="M334" s="135">
        <v>0.0</v>
      </c>
      <c r="N334" s="135">
        <v>0.0</v>
      </c>
      <c r="O334" s="135">
        <v>0.0</v>
      </c>
      <c r="P334" s="135">
        <v>0.0</v>
      </c>
      <c r="Q334" s="135">
        <v>0.0</v>
      </c>
      <c r="R334" s="135">
        <v>0.0</v>
      </c>
      <c r="S334" s="135">
        <v>0.0</v>
      </c>
      <c r="T334" s="135">
        <v>0.0</v>
      </c>
      <c r="U334" s="135">
        <v>0.0</v>
      </c>
      <c r="V334" s="135">
        <v>0.0</v>
      </c>
      <c r="W334" s="135">
        <v>0.0</v>
      </c>
      <c r="X334" s="135">
        <v>0.0</v>
      </c>
      <c r="Y334" s="135">
        <v>0.0</v>
      </c>
      <c r="Z334" s="135">
        <v>0.0</v>
      </c>
      <c r="AA334" s="135">
        <v>0.0</v>
      </c>
      <c r="AB334" s="135">
        <v>0.0</v>
      </c>
      <c r="AC334" s="135">
        <v>0.0</v>
      </c>
      <c r="AD334" s="135">
        <v>0.0</v>
      </c>
      <c r="AE334" s="135">
        <v>0.0</v>
      </c>
      <c r="AF334" s="167">
        <f t="shared" si="102"/>
        <v>0</v>
      </c>
    </row>
    <row r="335" outlineLevel="1">
      <c r="A335" s="117" t="s">
        <v>545</v>
      </c>
      <c r="B335" s="135">
        <v>0.0</v>
      </c>
      <c r="C335" s="135">
        <v>0.0</v>
      </c>
      <c r="D335" s="135">
        <v>0.0</v>
      </c>
      <c r="E335" s="135">
        <v>0.0</v>
      </c>
      <c r="F335" s="135">
        <v>0.0</v>
      </c>
      <c r="G335" s="135">
        <v>0.0</v>
      </c>
      <c r="H335" s="135">
        <v>0.0</v>
      </c>
      <c r="I335" s="135">
        <v>0.0</v>
      </c>
      <c r="J335" s="135">
        <v>0.0</v>
      </c>
      <c r="K335" s="135">
        <v>0.0</v>
      </c>
      <c r="L335" s="135">
        <v>0.0</v>
      </c>
      <c r="M335" s="135">
        <v>0.0</v>
      </c>
      <c r="N335" s="135">
        <v>0.0</v>
      </c>
      <c r="O335" s="135">
        <v>0.0</v>
      </c>
      <c r="P335" s="135">
        <v>0.0</v>
      </c>
      <c r="Q335" s="135">
        <v>0.0</v>
      </c>
      <c r="R335" s="135">
        <v>0.0</v>
      </c>
      <c r="S335" s="135">
        <v>0.0</v>
      </c>
      <c r="T335" s="135">
        <v>0.0</v>
      </c>
      <c r="U335" s="135">
        <v>0.0</v>
      </c>
      <c r="V335" s="135">
        <v>0.0</v>
      </c>
      <c r="W335" s="135">
        <v>0.0</v>
      </c>
      <c r="X335" s="135">
        <v>0.0</v>
      </c>
      <c r="Y335" s="135">
        <v>0.0</v>
      </c>
      <c r="Z335" s="135">
        <v>0.0</v>
      </c>
      <c r="AA335" s="135">
        <v>0.0</v>
      </c>
      <c r="AB335" s="135">
        <v>0.0</v>
      </c>
      <c r="AC335" s="135">
        <v>0.0</v>
      </c>
      <c r="AD335" s="135">
        <v>0.0</v>
      </c>
      <c r="AE335" s="135">
        <v>0.0</v>
      </c>
      <c r="AF335" s="167">
        <f t="shared" si="102"/>
        <v>0</v>
      </c>
    </row>
    <row r="336">
      <c r="A336" s="356" t="s">
        <v>162</v>
      </c>
      <c r="B336" s="357">
        <v>0.0</v>
      </c>
      <c r="C336" s="357">
        <v>0.0</v>
      </c>
      <c r="D336" s="357">
        <v>3.0</v>
      </c>
      <c r="E336" s="357">
        <v>0.0</v>
      </c>
      <c r="F336" s="357">
        <v>0.0</v>
      </c>
      <c r="G336" s="357">
        <v>0.0</v>
      </c>
      <c r="H336" s="357">
        <v>0.0</v>
      </c>
      <c r="I336" s="357">
        <v>0.0</v>
      </c>
      <c r="J336" s="357">
        <v>13.0</v>
      </c>
      <c r="K336" s="357">
        <v>0.0</v>
      </c>
      <c r="L336" s="357">
        <v>0.0</v>
      </c>
      <c r="M336" s="357">
        <v>0.0</v>
      </c>
      <c r="N336" s="357">
        <v>2.0</v>
      </c>
      <c r="O336" s="357">
        <v>0.0</v>
      </c>
      <c r="P336" s="357">
        <v>0.0</v>
      </c>
      <c r="Q336" s="357">
        <v>0.0</v>
      </c>
      <c r="R336" s="357">
        <v>0.0</v>
      </c>
      <c r="S336" s="357">
        <v>0.0</v>
      </c>
      <c r="T336" s="357">
        <v>0.0</v>
      </c>
      <c r="U336" s="357">
        <v>0.0</v>
      </c>
      <c r="V336" s="357">
        <v>2.0</v>
      </c>
      <c r="W336" s="357">
        <v>1.0</v>
      </c>
      <c r="X336" s="357">
        <v>0.0</v>
      </c>
      <c r="Y336" s="357">
        <v>0.0</v>
      </c>
      <c r="Z336" s="357">
        <v>0.0</v>
      </c>
      <c r="AA336" s="357">
        <v>0.0</v>
      </c>
      <c r="AB336" s="357">
        <v>0.0</v>
      </c>
      <c r="AC336" s="357">
        <v>0.0</v>
      </c>
      <c r="AD336" s="357">
        <v>0.0</v>
      </c>
      <c r="AE336" s="357">
        <v>0.0</v>
      </c>
      <c r="AF336" s="167">
        <f t="shared" si="102"/>
        <v>21</v>
      </c>
    </row>
    <row r="337">
      <c r="A337" s="358"/>
      <c r="B337" s="359"/>
      <c r="C337" s="359"/>
      <c r="D337" s="359"/>
      <c r="E337" s="359"/>
      <c r="F337" s="359"/>
      <c r="G337" s="359"/>
      <c r="H337" s="359"/>
      <c r="I337" s="359"/>
      <c r="J337" s="359"/>
      <c r="K337" s="359"/>
      <c r="L337" s="359"/>
      <c r="M337" s="359"/>
      <c r="N337" s="359"/>
      <c r="O337" s="359"/>
      <c r="P337" s="359"/>
      <c r="Q337" s="359"/>
      <c r="R337" s="359"/>
      <c r="S337" s="359"/>
      <c r="T337" s="359"/>
      <c r="U337" s="359"/>
      <c r="V337" s="359"/>
      <c r="W337" s="359"/>
      <c r="X337" s="359"/>
      <c r="Y337" s="359"/>
      <c r="Z337" s="359"/>
      <c r="AA337" s="359"/>
      <c r="AB337" s="359"/>
      <c r="AC337" s="359"/>
      <c r="AD337" s="359"/>
      <c r="AE337" s="359"/>
      <c r="AF337" s="167"/>
    </row>
    <row r="338">
      <c r="A338" s="330" t="s">
        <v>546</v>
      </c>
      <c r="B338" s="357">
        <v>0.0</v>
      </c>
      <c r="C338" s="357">
        <v>0.0</v>
      </c>
      <c r="D338" s="357">
        <v>33.0</v>
      </c>
      <c r="E338" s="357">
        <v>0.0</v>
      </c>
      <c r="F338" s="357">
        <v>0.0</v>
      </c>
      <c r="G338" s="357">
        <v>14.0</v>
      </c>
      <c r="H338" s="357">
        <v>10.0</v>
      </c>
      <c r="I338" s="357">
        <v>0.0</v>
      </c>
      <c r="J338" s="357">
        <v>0.0</v>
      </c>
      <c r="K338" s="357">
        <v>0.0</v>
      </c>
      <c r="L338" s="357">
        <v>0.0</v>
      </c>
      <c r="M338" s="357">
        <v>0.0</v>
      </c>
      <c r="N338" s="357">
        <v>12.0</v>
      </c>
      <c r="O338" s="357">
        <v>1.0</v>
      </c>
      <c r="P338" s="357">
        <v>0.0</v>
      </c>
      <c r="Q338" s="357">
        <v>0.0</v>
      </c>
      <c r="R338" s="357">
        <v>0.0</v>
      </c>
      <c r="S338" s="357">
        <v>0.0</v>
      </c>
      <c r="T338" s="357">
        <v>0.0</v>
      </c>
      <c r="U338" s="357">
        <v>0.0</v>
      </c>
      <c r="V338" s="357">
        <v>21.0</v>
      </c>
      <c r="W338" s="357">
        <v>15.0</v>
      </c>
      <c r="X338" s="357">
        <v>0.0</v>
      </c>
      <c r="Y338" s="357">
        <v>0.0</v>
      </c>
      <c r="Z338" s="357">
        <v>0.0</v>
      </c>
      <c r="AA338" s="357">
        <v>0.0</v>
      </c>
      <c r="AB338" s="357">
        <v>0.0</v>
      </c>
      <c r="AC338" s="357">
        <v>0.0</v>
      </c>
      <c r="AD338" s="357">
        <v>0.0</v>
      </c>
      <c r="AE338" s="357">
        <v>1.0</v>
      </c>
      <c r="AF338" s="167">
        <f t="shared" ref="AF338:AF339" si="103">SUM(B338:AE338)</f>
        <v>107</v>
      </c>
    </row>
    <row r="339">
      <c r="A339" s="330" t="s">
        <v>547</v>
      </c>
      <c r="B339" s="357">
        <v>0.0</v>
      </c>
      <c r="C339" s="357">
        <v>0.0</v>
      </c>
      <c r="D339" s="357">
        <v>4.0</v>
      </c>
      <c r="E339" s="357">
        <v>0.0</v>
      </c>
      <c r="F339" s="357">
        <v>0.0</v>
      </c>
      <c r="G339" s="357">
        <v>0.0</v>
      </c>
      <c r="H339" s="357">
        <v>0.0</v>
      </c>
      <c r="I339" s="357">
        <v>0.0</v>
      </c>
      <c r="J339" s="357">
        <v>12.0</v>
      </c>
      <c r="K339" s="357">
        <v>0.0</v>
      </c>
      <c r="L339" s="357">
        <v>0.0</v>
      </c>
      <c r="M339" s="357">
        <v>0.0</v>
      </c>
      <c r="N339" s="357">
        <v>2.0</v>
      </c>
      <c r="O339" s="357">
        <v>0.0</v>
      </c>
      <c r="P339" s="357">
        <v>0.0</v>
      </c>
      <c r="Q339" s="357">
        <v>0.0</v>
      </c>
      <c r="R339" s="357">
        <v>0.0</v>
      </c>
      <c r="S339" s="357">
        <v>0.0</v>
      </c>
      <c r="T339" s="357">
        <v>0.0</v>
      </c>
      <c r="U339" s="357">
        <v>0.0</v>
      </c>
      <c r="V339" s="357">
        <v>2.0</v>
      </c>
      <c r="W339" s="357">
        <v>2.0</v>
      </c>
      <c r="X339" s="357">
        <v>0.0</v>
      </c>
      <c r="Y339" s="357">
        <v>0.0</v>
      </c>
      <c r="Z339" s="357">
        <v>0.0</v>
      </c>
      <c r="AA339" s="357">
        <v>0.0</v>
      </c>
      <c r="AB339" s="357">
        <v>0.0</v>
      </c>
      <c r="AC339" s="357">
        <v>0.0</v>
      </c>
      <c r="AD339" s="357">
        <v>0.0</v>
      </c>
      <c r="AE339" s="357">
        <v>0.0</v>
      </c>
      <c r="AF339" s="167">
        <f t="shared" si="103"/>
        <v>22</v>
      </c>
    </row>
    <row r="340">
      <c r="A340" s="358"/>
      <c r="B340" s="359"/>
      <c r="C340" s="359"/>
      <c r="D340" s="359"/>
      <c r="E340" s="359"/>
      <c r="F340" s="359"/>
      <c r="G340" s="359"/>
      <c r="H340" s="359"/>
      <c r="I340" s="359"/>
      <c r="J340" s="359"/>
      <c r="K340" s="359"/>
      <c r="L340" s="359"/>
      <c r="M340" s="360"/>
      <c r="N340" s="360"/>
      <c r="O340" s="360"/>
      <c r="P340" s="360"/>
      <c r="Q340" s="360"/>
      <c r="R340" s="360"/>
      <c r="S340" s="360"/>
      <c r="T340" s="360"/>
      <c r="U340" s="360"/>
      <c r="V340" s="360"/>
      <c r="W340" s="360"/>
      <c r="X340" s="360"/>
      <c r="Y340" s="360"/>
      <c r="Z340" s="360"/>
      <c r="AA340" s="360"/>
      <c r="AB340" s="360"/>
      <c r="AC340" s="360"/>
      <c r="AD340" s="360"/>
      <c r="AE340" s="360"/>
      <c r="AF340" s="167"/>
    </row>
    <row r="341">
      <c r="A341" s="75" t="s">
        <v>548</v>
      </c>
      <c r="B341" s="360"/>
      <c r="C341" s="360"/>
      <c r="D341" s="360"/>
      <c r="E341" s="360"/>
      <c r="F341" s="360"/>
      <c r="G341" s="360"/>
      <c r="H341" s="360"/>
      <c r="I341" s="360"/>
      <c r="J341" s="360"/>
      <c r="K341" s="360"/>
      <c r="L341" s="360"/>
      <c r="M341" s="360"/>
      <c r="N341" s="360"/>
      <c r="O341" s="360"/>
      <c r="P341" s="360"/>
      <c r="Q341" s="360"/>
      <c r="R341" s="360"/>
      <c r="S341" s="360"/>
      <c r="T341" s="360"/>
      <c r="U341" s="360"/>
      <c r="V341" s="360"/>
      <c r="W341" s="360"/>
      <c r="X341" s="360"/>
      <c r="Y341" s="360"/>
      <c r="Z341" s="360"/>
      <c r="AA341" s="360"/>
      <c r="AB341" s="360"/>
      <c r="AC341" s="360"/>
      <c r="AD341" s="360"/>
      <c r="AE341" s="360"/>
      <c r="AF341" s="167"/>
    </row>
    <row r="342">
      <c r="A342" s="129" t="s">
        <v>549</v>
      </c>
      <c r="B342" s="357">
        <v>0.0</v>
      </c>
      <c r="C342" s="357">
        <v>0.0</v>
      </c>
      <c r="D342" s="357">
        <v>0.0</v>
      </c>
      <c r="E342" s="357">
        <v>0.0</v>
      </c>
      <c r="F342" s="357">
        <v>0.0</v>
      </c>
      <c r="G342" s="357">
        <v>0.0</v>
      </c>
      <c r="H342" s="357">
        <v>20.0</v>
      </c>
      <c r="I342" s="357">
        <v>9.0</v>
      </c>
      <c r="J342" s="357">
        <v>0.0</v>
      </c>
      <c r="K342" s="357">
        <v>0.0</v>
      </c>
      <c r="L342" s="357">
        <v>0.0</v>
      </c>
      <c r="M342" s="357">
        <v>0.0</v>
      </c>
      <c r="N342" s="357">
        <v>0.0</v>
      </c>
      <c r="O342" s="357">
        <v>0.0</v>
      </c>
      <c r="P342" s="357">
        <v>0.0</v>
      </c>
      <c r="Q342" s="357">
        <v>0.0</v>
      </c>
      <c r="R342" s="357">
        <v>0.0</v>
      </c>
      <c r="S342" s="357">
        <v>0.0</v>
      </c>
      <c r="T342" s="357">
        <v>0.0</v>
      </c>
      <c r="U342" s="357">
        <v>0.0</v>
      </c>
      <c r="V342" s="357">
        <v>0.0</v>
      </c>
      <c r="W342" s="357">
        <v>6.0</v>
      </c>
      <c r="X342" s="357">
        <v>0.0</v>
      </c>
      <c r="Y342" s="357">
        <v>0.0</v>
      </c>
      <c r="Z342" s="357">
        <v>0.0</v>
      </c>
      <c r="AA342" s="357">
        <v>0.0</v>
      </c>
      <c r="AB342" s="357">
        <v>0.0</v>
      </c>
      <c r="AC342" s="357">
        <v>0.0</v>
      </c>
      <c r="AD342" s="357">
        <v>0.0</v>
      </c>
      <c r="AE342" s="357">
        <v>0.0</v>
      </c>
      <c r="AF342" s="167">
        <f t="shared" ref="AF342:AF343" si="104">SUM(B342:AE342)</f>
        <v>35</v>
      </c>
    </row>
    <row r="343">
      <c r="A343" s="129" t="s">
        <v>550</v>
      </c>
      <c r="B343" s="357">
        <v>0.0</v>
      </c>
      <c r="C343" s="357">
        <v>0.0</v>
      </c>
      <c r="D343" s="357">
        <v>0.0</v>
      </c>
      <c r="E343" s="357">
        <v>0.0</v>
      </c>
      <c r="F343" s="357">
        <v>0.0</v>
      </c>
      <c r="G343" s="357">
        <v>0.0</v>
      </c>
      <c r="H343" s="357">
        <v>0.0</v>
      </c>
      <c r="I343" s="357">
        <v>0.0</v>
      </c>
      <c r="J343" s="357">
        <v>3.0</v>
      </c>
      <c r="K343" s="357">
        <v>0.0</v>
      </c>
      <c r="L343" s="357">
        <v>0.0</v>
      </c>
      <c r="M343" s="357">
        <v>0.0</v>
      </c>
      <c r="N343" s="357">
        <v>0.0</v>
      </c>
      <c r="O343" s="357">
        <v>0.0</v>
      </c>
      <c r="P343" s="357">
        <v>0.0</v>
      </c>
      <c r="Q343" s="357">
        <v>0.0</v>
      </c>
      <c r="R343" s="357">
        <v>0.0</v>
      </c>
      <c r="S343" s="357">
        <v>0.0</v>
      </c>
      <c r="T343" s="357">
        <v>0.0</v>
      </c>
      <c r="U343" s="357">
        <v>0.0</v>
      </c>
      <c r="V343" s="357">
        <v>0.0</v>
      </c>
      <c r="W343" s="357">
        <v>10.0</v>
      </c>
      <c r="X343" s="357">
        <v>0.0</v>
      </c>
      <c r="Y343" s="357">
        <v>0.0</v>
      </c>
      <c r="Z343" s="357">
        <v>0.0</v>
      </c>
      <c r="AA343" s="357">
        <v>0.0</v>
      </c>
      <c r="AB343" s="357">
        <v>1.0</v>
      </c>
      <c r="AC343" s="357">
        <v>0.0</v>
      </c>
      <c r="AD343" s="357">
        <v>0.0</v>
      </c>
      <c r="AE343" s="357">
        <v>0.0</v>
      </c>
      <c r="AF343" s="167">
        <f t="shared" si="104"/>
        <v>14</v>
      </c>
    </row>
    <row r="344">
      <c r="A344" s="358"/>
      <c r="B344" s="359"/>
      <c r="C344" s="359"/>
      <c r="D344" s="359"/>
      <c r="E344" s="359"/>
      <c r="F344" s="359"/>
      <c r="G344" s="359"/>
      <c r="H344" s="359"/>
      <c r="I344" s="359"/>
      <c r="J344" s="359"/>
      <c r="K344" s="359"/>
      <c r="L344" s="359"/>
      <c r="M344" s="360"/>
      <c r="N344" s="360"/>
      <c r="O344" s="360"/>
      <c r="P344" s="360"/>
      <c r="Q344" s="360"/>
      <c r="R344" s="360"/>
      <c r="S344" s="360"/>
      <c r="T344" s="360"/>
      <c r="U344" s="360"/>
      <c r="V344" s="360"/>
      <c r="W344" s="360"/>
      <c r="X344" s="360"/>
      <c r="Y344" s="360"/>
      <c r="Z344" s="360"/>
      <c r="AA344" s="360"/>
      <c r="AB344" s="360"/>
      <c r="AC344" s="360"/>
      <c r="AD344" s="360"/>
      <c r="AE344" s="360"/>
      <c r="AF344" s="167"/>
    </row>
    <row r="345">
      <c r="A345" s="75" t="s">
        <v>376</v>
      </c>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167"/>
    </row>
    <row r="346">
      <c r="A346" s="204" t="s">
        <v>551</v>
      </c>
      <c r="B346" s="357">
        <v>0.0</v>
      </c>
      <c r="C346" s="357">
        <v>0.0</v>
      </c>
      <c r="D346" s="357">
        <v>0.0</v>
      </c>
      <c r="E346" s="357">
        <v>0.0</v>
      </c>
      <c r="F346" s="357">
        <v>0.0</v>
      </c>
      <c r="G346" s="357">
        <v>0.0</v>
      </c>
      <c r="H346" s="357">
        <v>0.0</v>
      </c>
      <c r="I346" s="357">
        <v>0.0</v>
      </c>
      <c r="J346" s="357">
        <v>0.0</v>
      </c>
      <c r="K346" s="357">
        <v>1.0</v>
      </c>
      <c r="L346" s="357">
        <v>0.0</v>
      </c>
      <c r="M346" s="357">
        <v>0.0</v>
      </c>
      <c r="N346" s="357">
        <v>0.0</v>
      </c>
      <c r="O346" s="357">
        <v>0.0</v>
      </c>
      <c r="P346" s="357">
        <v>0.0</v>
      </c>
      <c r="Q346" s="357">
        <v>0.0</v>
      </c>
      <c r="R346" s="357">
        <v>0.0</v>
      </c>
      <c r="S346" s="357">
        <v>0.0</v>
      </c>
      <c r="T346" s="357">
        <v>0.0</v>
      </c>
      <c r="U346" s="357">
        <v>0.0</v>
      </c>
      <c r="V346" s="357">
        <v>0.0</v>
      </c>
      <c r="W346" s="357">
        <v>0.0</v>
      </c>
      <c r="X346" s="357">
        <v>0.0</v>
      </c>
      <c r="Y346" s="357">
        <v>0.0</v>
      </c>
      <c r="Z346" s="357">
        <v>0.0</v>
      </c>
      <c r="AA346" s="357">
        <v>0.0</v>
      </c>
      <c r="AB346" s="357">
        <v>0.0</v>
      </c>
      <c r="AC346" s="357">
        <v>0.0</v>
      </c>
      <c r="AD346" s="357">
        <v>0.0</v>
      </c>
      <c r="AE346" s="357">
        <v>0.0</v>
      </c>
      <c r="AF346" s="167">
        <f>SUM(B346:AE346)</f>
        <v>1</v>
      </c>
    </row>
    <row r="347">
      <c r="A347" s="358"/>
      <c r="B347" s="361"/>
      <c r="C347" s="361"/>
      <c r="D347" s="361"/>
      <c r="E347" s="361"/>
      <c r="F347" s="361"/>
      <c r="G347" s="361"/>
      <c r="H347" s="361"/>
      <c r="I347" s="361"/>
      <c r="J347" s="361"/>
      <c r="K347" s="361"/>
      <c r="L347" s="361"/>
      <c r="M347" s="361"/>
      <c r="N347" s="361"/>
      <c r="O347" s="361"/>
      <c r="P347" s="361"/>
      <c r="Q347" s="360"/>
      <c r="R347" s="360"/>
      <c r="S347" s="360"/>
      <c r="T347" s="360"/>
      <c r="U347" s="360"/>
      <c r="V347" s="360"/>
      <c r="W347" s="360"/>
      <c r="X347" s="360"/>
      <c r="Y347" s="360"/>
      <c r="Z347" s="360"/>
      <c r="AA347" s="360"/>
      <c r="AB347" s="360"/>
      <c r="AC347" s="360"/>
      <c r="AD347" s="360"/>
      <c r="AE347" s="360"/>
      <c r="AF347" s="89"/>
    </row>
    <row r="348">
      <c r="A348" s="362" t="s">
        <v>378</v>
      </c>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c r="AB348" s="141"/>
      <c r="AC348" s="141"/>
      <c r="AD348" s="141"/>
      <c r="AE348" s="141"/>
      <c r="AF348" s="363"/>
    </row>
    <row r="349">
      <c r="A349" s="364" t="s">
        <v>379</v>
      </c>
      <c r="B349" s="365">
        <f t="shared" ref="B349:AE349" si="105">SUM(B25:B29)</f>
        <v>37444.80583</v>
      </c>
      <c r="C349" s="365">
        <f t="shared" si="105"/>
        <v>34676.64639</v>
      </c>
      <c r="D349" s="366">
        <f t="shared" si="105"/>
        <v>37874.28819</v>
      </c>
      <c r="E349" s="367">
        <f t="shared" si="105"/>
        <v>35435.41587</v>
      </c>
      <c r="F349" s="368">
        <f t="shared" si="105"/>
        <v>37198.44381</v>
      </c>
      <c r="G349" s="369">
        <f t="shared" si="105"/>
        <v>38686.057</v>
      </c>
      <c r="H349" s="370">
        <f t="shared" si="105"/>
        <v>34067.4047</v>
      </c>
      <c r="I349" s="371">
        <f t="shared" si="105"/>
        <v>42026.043</v>
      </c>
      <c r="J349" s="372">
        <f t="shared" si="105"/>
        <v>49036.62971</v>
      </c>
      <c r="K349" s="373">
        <f t="shared" si="105"/>
        <v>45713.27408</v>
      </c>
      <c r="L349" s="374">
        <f t="shared" si="105"/>
        <v>37022.25421</v>
      </c>
      <c r="M349" s="375">
        <f t="shared" si="105"/>
        <v>37982.55808</v>
      </c>
      <c r="N349" s="260">
        <f t="shared" si="105"/>
        <v>35500.22214</v>
      </c>
      <c r="O349" s="376">
        <f t="shared" si="105"/>
        <v>35765.74785</v>
      </c>
      <c r="P349" s="377">
        <f t="shared" si="105"/>
        <v>38369.01394</v>
      </c>
      <c r="Q349" s="164">
        <f t="shared" si="105"/>
        <v>37281.96423</v>
      </c>
      <c r="R349" s="164">
        <f t="shared" si="105"/>
        <v>33894.97289</v>
      </c>
      <c r="S349" s="164">
        <f t="shared" si="105"/>
        <v>36369.27558</v>
      </c>
      <c r="T349" s="164">
        <f t="shared" si="105"/>
        <v>41455.17503</v>
      </c>
      <c r="U349" s="164">
        <f t="shared" si="105"/>
        <v>45555.11878</v>
      </c>
      <c r="V349" s="164">
        <f t="shared" si="105"/>
        <v>49243.23154</v>
      </c>
      <c r="W349" s="164">
        <f t="shared" si="105"/>
        <v>55764.12872</v>
      </c>
      <c r="X349" s="164">
        <f t="shared" si="105"/>
        <v>101311.0115</v>
      </c>
      <c r="Y349" s="164">
        <f t="shared" si="105"/>
        <v>310496.1198</v>
      </c>
      <c r="Z349" s="164">
        <f t="shared" si="105"/>
        <v>114342.308</v>
      </c>
      <c r="AA349" s="164">
        <f t="shared" si="105"/>
        <v>110884.3826</v>
      </c>
      <c r="AB349" s="164">
        <f t="shared" si="105"/>
        <v>132603.7242</v>
      </c>
      <c r="AC349" s="164">
        <f t="shared" si="105"/>
        <v>100708.3233</v>
      </c>
      <c r="AD349" s="164">
        <f t="shared" si="105"/>
        <v>38087.82855</v>
      </c>
      <c r="AE349" s="164">
        <f t="shared" si="105"/>
        <v>19359.05567</v>
      </c>
      <c r="AF349" s="89">
        <f t="shared" ref="AF349:AF367" si="107">SUM(B349:AE349)</f>
        <v>1804155.425</v>
      </c>
    </row>
    <row r="350">
      <c r="A350" s="378" t="s">
        <v>552</v>
      </c>
      <c r="B350" s="329">
        <f t="shared" ref="B350:AE350" si="106">B30</f>
        <v>162.71</v>
      </c>
      <c r="C350" s="329">
        <f t="shared" si="106"/>
        <v>61</v>
      </c>
      <c r="D350" s="329">
        <f t="shared" si="106"/>
        <v>0</v>
      </c>
      <c r="E350" s="329">
        <f t="shared" si="106"/>
        <v>4255.588</v>
      </c>
      <c r="F350" s="329">
        <f t="shared" si="106"/>
        <v>2292.936</v>
      </c>
      <c r="G350" s="329">
        <f t="shared" si="106"/>
        <v>63.09</v>
      </c>
      <c r="H350" s="329">
        <f t="shared" si="106"/>
        <v>86.6</v>
      </c>
      <c r="I350" s="329">
        <f t="shared" si="106"/>
        <v>0</v>
      </c>
      <c r="J350" s="329">
        <f t="shared" si="106"/>
        <v>0</v>
      </c>
      <c r="K350" s="329">
        <f t="shared" si="106"/>
        <v>99.96</v>
      </c>
      <c r="L350" s="329">
        <f t="shared" si="106"/>
        <v>0</v>
      </c>
      <c r="M350" s="329">
        <f t="shared" si="106"/>
        <v>324.88</v>
      </c>
      <c r="N350" s="329">
        <f t="shared" si="106"/>
        <v>97.43</v>
      </c>
      <c r="O350" s="329">
        <f t="shared" si="106"/>
        <v>100.64</v>
      </c>
      <c r="P350" s="329">
        <f t="shared" si="106"/>
        <v>55.28</v>
      </c>
      <c r="Q350" s="329">
        <f t="shared" si="106"/>
        <v>0</v>
      </c>
      <c r="R350" s="329">
        <f t="shared" si="106"/>
        <v>105.32</v>
      </c>
      <c r="S350" s="329">
        <f t="shared" si="106"/>
        <v>0</v>
      </c>
      <c r="T350" s="329">
        <f t="shared" si="106"/>
        <v>0</v>
      </c>
      <c r="U350" s="329">
        <f t="shared" si="106"/>
        <v>0</v>
      </c>
      <c r="V350" s="329">
        <f t="shared" si="106"/>
        <v>32.38</v>
      </c>
      <c r="W350" s="329">
        <f t="shared" si="106"/>
        <v>105.6</v>
      </c>
      <c r="X350" s="329">
        <f t="shared" si="106"/>
        <v>266.9</v>
      </c>
      <c r="Y350" s="329">
        <f t="shared" si="106"/>
        <v>94.59</v>
      </c>
      <c r="Z350" s="329">
        <f t="shared" si="106"/>
        <v>123.15</v>
      </c>
      <c r="AA350" s="329">
        <f t="shared" si="106"/>
        <v>106.16</v>
      </c>
      <c r="AB350" s="329">
        <f t="shared" si="106"/>
        <v>497.95</v>
      </c>
      <c r="AC350" s="329">
        <f t="shared" si="106"/>
        <v>377.37</v>
      </c>
      <c r="AD350" s="329">
        <f t="shared" si="106"/>
        <v>68.6</v>
      </c>
      <c r="AE350" s="329">
        <f t="shared" si="106"/>
        <v>13.6</v>
      </c>
      <c r="AF350" s="143">
        <f t="shared" si="107"/>
        <v>9391.734</v>
      </c>
    </row>
    <row r="351">
      <c r="A351" s="364" t="s">
        <v>553</v>
      </c>
      <c r="B351" s="66">
        <f>(B53+B54)*'Data - P&amp;L'!$C$3</f>
        <v>13382.6</v>
      </c>
      <c r="C351" s="66">
        <f>(C53+C54)*'Data - P&amp;L'!$C$3</f>
        <v>14077.8</v>
      </c>
      <c r="D351" s="66">
        <f>(D53+D54)*'Data - P&amp;L'!$C$3</f>
        <v>13643.3</v>
      </c>
      <c r="E351" s="66">
        <f>(E53+E54)*'Data - P&amp;L'!$C$3</f>
        <v>16684.8</v>
      </c>
      <c r="F351" s="66">
        <f>(F53+F54)*'Data - P&amp;L'!$C$3</f>
        <v>19465.6</v>
      </c>
      <c r="G351" s="66">
        <f>(G53+G54)*'Data - P&amp;L'!$C$3</f>
        <v>16858.6</v>
      </c>
      <c r="H351" s="66">
        <f>(H53+H54)*'Data - P&amp;L'!$C$3</f>
        <v>14773</v>
      </c>
      <c r="I351" s="66">
        <f>(I53+I54)*'Data - P&amp;L'!$C$3</f>
        <v>13295.7</v>
      </c>
      <c r="J351" s="66">
        <f>(J53+J54)*'Data - P&amp;L'!$C$3</f>
        <v>15642</v>
      </c>
      <c r="K351" s="66">
        <f>(K53+K54)*'Data - P&amp;L'!$C$3</f>
        <v>16424.1</v>
      </c>
      <c r="L351" s="66">
        <f>(L53+L54)*'Data - P&amp;L'!$C$3</f>
        <v>14686.1</v>
      </c>
      <c r="M351" s="66">
        <f>(M53+M54)*'Data - P&amp;L'!$C$3</f>
        <v>16684.8</v>
      </c>
      <c r="N351" s="66">
        <f>(N53+N54)*'Data - P&amp;L'!$C$3</f>
        <v>14251.6</v>
      </c>
      <c r="O351" s="66">
        <f>(O53+O54)*'Data - P&amp;L'!$C$3</f>
        <v>14077.8</v>
      </c>
      <c r="P351" s="66">
        <f>(P53+P54)*'Data - P&amp;L'!$C$3</f>
        <v>14077.8</v>
      </c>
      <c r="Q351" s="66">
        <f>(Q53+Q54)*'Data - P&amp;L'!$C$3</f>
        <v>13121.9</v>
      </c>
      <c r="R351" s="66">
        <f>(R53+R54)*'Data - P&amp;L'!$C$3</f>
        <v>17032.4</v>
      </c>
      <c r="S351" s="66">
        <f>(S53+S54)*'Data - P&amp;L'!$C$3</f>
        <v>20073.9</v>
      </c>
      <c r="T351" s="66">
        <f>(T53+T54)*'Data - P&amp;L'!$C$3</f>
        <v>19639.4</v>
      </c>
      <c r="U351" s="66">
        <f>(U53+U54)*'Data - P&amp;L'!$C$3</f>
        <v>20595.3</v>
      </c>
      <c r="V351" s="66">
        <f>(V53+V54)*'Data - P&amp;L'!$C$3</f>
        <v>24679.6</v>
      </c>
      <c r="W351" s="66">
        <f>(W53+W54)*'Data - P&amp;L'!$C$3</f>
        <v>36411.1</v>
      </c>
      <c r="X351" s="66">
        <f>(X53+X54)*'Data - P&amp;L'!$C$3</f>
        <v>39713.3</v>
      </c>
      <c r="Y351" s="66">
        <f>(Y53+Y54)*'Data - P&amp;L'!$C$3</f>
        <v>122615.9</v>
      </c>
      <c r="Z351" s="66">
        <f>(Z53+Z54)*'Data - P&amp;L'!$C$3</f>
        <v>82033.6</v>
      </c>
      <c r="AA351" s="66">
        <f>(AA53+AA54)*'Data - P&amp;L'!$C$3</f>
        <v>56050.5</v>
      </c>
      <c r="AB351" s="66">
        <f>(AB53+AB54)*'Data - P&amp;L'!$C$3</f>
        <v>77080.3</v>
      </c>
      <c r="AC351" s="66">
        <f>(AC53+AC54)*'Data - P&amp;L'!$C$3</f>
        <v>61090.7</v>
      </c>
      <c r="AD351" s="66">
        <f>(AD53+AD54)*'Data - P&amp;L'!$C$3</f>
        <v>7212.7</v>
      </c>
      <c r="AE351" s="66">
        <f>(AE53+AE54)*'Data - P&amp;L'!$C$3</f>
        <v>7994.8</v>
      </c>
      <c r="AF351" s="89">
        <f t="shared" si="107"/>
        <v>833371</v>
      </c>
    </row>
    <row r="352">
      <c r="A352" s="364" t="s">
        <v>554</v>
      </c>
      <c r="B352" s="66">
        <f>(B55+B56)*'Data - P&amp;L'!$C$4</f>
        <v>28404.51</v>
      </c>
      <c r="C352" s="66">
        <f>(C55+C56)*'Data - P&amp;L'!$C$4</f>
        <v>29380.61</v>
      </c>
      <c r="D352" s="66">
        <f>(D55+D56)*'Data - P&amp;L'!$C$4</f>
        <v>30259.1</v>
      </c>
      <c r="E352" s="66">
        <f>(E55+E56)*'Data - P&amp;L'!$C$4</f>
        <v>31039.98</v>
      </c>
      <c r="F352" s="66">
        <f>(F55+F56)*'Data - P&amp;L'!$C$4</f>
        <v>35725.26</v>
      </c>
      <c r="G352" s="66">
        <f>(G55+G56)*'Data - P&amp;L'!$C$4</f>
        <v>35139.6</v>
      </c>
      <c r="H352" s="66">
        <f>(H55+H56)*'Data - P&amp;L'!$C$4</f>
        <v>32699.35</v>
      </c>
      <c r="I352" s="66">
        <f>(I55+I56)*'Data - P&amp;L'!$C$4</f>
        <v>34261.11</v>
      </c>
      <c r="J352" s="66">
        <f>(J55+J56)*'Data - P&amp;L'!$C$4</f>
        <v>35725.26</v>
      </c>
      <c r="K352" s="66">
        <f>(K55+K56)*'Data - P&amp;L'!$C$4</f>
        <v>33968.28</v>
      </c>
      <c r="L352" s="66">
        <f>(L55+L56)*'Data - P&amp;L'!$C$4</f>
        <v>50561.98</v>
      </c>
      <c r="M352" s="66">
        <f>(M55+M56)*'Data - P&amp;L'!$C$4</f>
        <v>46657.58</v>
      </c>
      <c r="N352" s="66">
        <f>(N55+N56)*'Data - P&amp;L'!$C$4</f>
        <v>36603.75</v>
      </c>
      <c r="O352" s="66">
        <f>(O55+O56)*'Data - P&amp;L'!$C$4</f>
        <v>43924.5</v>
      </c>
      <c r="P352" s="66">
        <f>(P55+P56)*'Data - P&amp;L'!$C$4</f>
        <v>39434.44</v>
      </c>
      <c r="Q352" s="66">
        <f>(Q55+Q56)*'Data - P&amp;L'!$C$4</f>
        <v>36213.31</v>
      </c>
      <c r="R352" s="66">
        <f>(R55+R56)*'Data - P&amp;L'!$C$4</f>
        <v>36310.92</v>
      </c>
      <c r="S352" s="66">
        <f>(S55+S56)*'Data - P&amp;L'!$C$4</f>
        <v>47828.9</v>
      </c>
      <c r="T352" s="66">
        <f>(T55+T56)*'Data - P&amp;L'!$C$4</f>
        <v>52611.79</v>
      </c>
      <c r="U352" s="66">
        <f>(U55+U56)*'Data - P&amp;L'!$C$4</f>
        <v>54856.82</v>
      </c>
      <c r="V352" s="66">
        <f>(V55+V56)*'Data - P&amp;L'!$C$4</f>
        <v>53490.28</v>
      </c>
      <c r="W352" s="66">
        <f>(W55+W56)*'Data - P&amp;L'!$C$4</f>
        <v>77502.34</v>
      </c>
      <c r="X352" s="66">
        <f>(X55+X56)*'Data - P&amp;L'!$C$4</f>
        <v>95657.8</v>
      </c>
      <c r="Y352" s="66">
        <f>(Y55+Y56)*'Data - P&amp;L'!$C$4</f>
        <v>251345.75</v>
      </c>
      <c r="Z352" s="66">
        <f>(Z55+Z56)*'Data - P&amp;L'!$C$4</f>
        <v>152857.26</v>
      </c>
      <c r="AA352" s="66">
        <f>(AA55+AA56)*'Data - P&amp;L'!$C$4</f>
        <v>117229.61</v>
      </c>
      <c r="AB352" s="66">
        <f>(AB55+AB56)*'Data - P&amp;L'!$C$4</f>
        <v>192291.7</v>
      </c>
      <c r="AC352" s="66">
        <f>(AC55+AC56)*'Data - P&amp;L'!$C$4</f>
        <v>123379.04</v>
      </c>
      <c r="AD352" s="66">
        <f>(AD55+AD56)*'Data - P&amp;L'!$C$4</f>
        <v>22157.47</v>
      </c>
      <c r="AE352" s="66">
        <f>(AE55+AE56)*'Data - P&amp;L'!$C$4</f>
        <v>18253.07</v>
      </c>
      <c r="AF352" s="89">
        <f t="shared" si="107"/>
        <v>1875771.37</v>
      </c>
    </row>
    <row r="353">
      <c r="A353" s="364" t="s">
        <v>557</v>
      </c>
      <c r="B353" s="66">
        <f>B59*'Data - P&amp;L'!$C$6</f>
        <v>411.75</v>
      </c>
      <c r="C353" s="66">
        <f>C59*'Data - P&amp;L'!$C$6</f>
        <v>570.96</v>
      </c>
      <c r="D353" s="66">
        <f>D59*'Data - P&amp;L'!$C$6</f>
        <v>505.08</v>
      </c>
      <c r="E353" s="66">
        <f>E59*'Data - P&amp;L'!$C$6</f>
        <v>636.84</v>
      </c>
      <c r="F353" s="66">
        <f>F59*'Data - P&amp;L'!$C$6</f>
        <v>719.19</v>
      </c>
      <c r="G353" s="66">
        <f>G59*'Data - P&amp;L'!$C$6</f>
        <v>735.66</v>
      </c>
      <c r="H353" s="66">
        <f>H59*'Data - P&amp;L'!$C$6</f>
        <v>697.23</v>
      </c>
      <c r="I353" s="66">
        <f>I59*'Data - P&amp;L'!$C$6</f>
        <v>664.29</v>
      </c>
      <c r="J353" s="66">
        <f>J59*'Data - P&amp;L'!$C$6</f>
        <v>774.09</v>
      </c>
      <c r="K353" s="66">
        <f>K59*'Data - P&amp;L'!$C$6</f>
        <v>790.56</v>
      </c>
      <c r="L353" s="66">
        <f>L59*'Data - P&amp;L'!$C$6</f>
        <v>1147.41</v>
      </c>
      <c r="M353" s="66">
        <f>M59*'Data - P&amp;L'!$C$6</f>
        <v>1136.43</v>
      </c>
      <c r="N353" s="66">
        <f>N59*'Data - P&amp;L'!$C$6</f>
        <v>746.64</v>
      </c>
      <c r="O353" s="66">
        <f>O59*'Data - P&amp;L'!$C$6</f>
        <v>861.93</v>
      </c>
      <c r="P353" s="66">
        <f>P59*'Data - P&amp;L'!$C$6</f>
        <v>801.54</v>
      </c>
      <c r="Q353" s="66">
        <f>Q59*'Data - P&amp;L'!$C$6</f>
        <v>752.13</v>
      </c>
      <c r="R353" s="66">
        <f>R59*'Data - P&amp;L'!$C$6</f>
        <v>746.64</v>
      </c>
      <c r="S353" s="66">
        <f>S59*'Data - P&amp;L'!$C$6</f>
        <v>900.36</v>
      </c>
      <c r="T353" s="66">
        <f>T59*'Data - P&amp;L'!$C$6</f>
        <v>867.42</v>
      </c>
      <c r="U353" s="66">
        <f>U59*'Data - P&amp;L'!$C$6</f>
        <v>1092.51</v>
      </c>
      <c r="V353" s="66">
        <f>V59*'Data - P&amp;L'!$C$6</f>
        <v>1021.14</v>
      </c>
      <c r="W353" s="66">
        <f>W59*'Data - P&amp;L'!$C$6</f>
        <v>1559.16</v>
      </c>
      <c r="X353" s="66">
        <f>X59*'Data - P&amp;L'!$C$6</f>
        <v>1965.42</v>
      </c>
      <c r="Y353" s="66">
        <f>Y59*'Data - P&amp;L'!$C$6</f>
        <v>4370.04</v>
      </c>
      <c r="Z353" s="66">
        <f>Z59*'Data - P&amp;L'!$C$6</f>
        <v>2668.14</v>
      </c>
      <c r="AA353" s="66">
        <f>AA59*'Data - P&amp;L'!$C$6</f>
        <v>2223.45</v>
      </c>
      <c r="AB353" s="66">
        <f>AB59*'Data - P&amp;L'!$C$6</f>
        <v>3129.3</v>
      </c>
      <c r="AC353" s="66">
        <f>AC59*'Data - P&amp;L'!$C$6</f>
        <v>2009.34</v>
      </c>
      <c r="AD353" s="66">
        <f>AD59*'Data - P&amp;L'!$C$6</f>
        <v>472.14</v>
      </c>
      <c r="AE353" s="66">
        <f>AE59*'Data - P&amp;L'!$C$6</f>
        <v>444.69</v>
      </c>
      <c r="AF353" s="89">
        <f t="shared" si="107"/>
        <v>35421.48</v>
      </c>
    </row>
    <row r="354">
      <c r="A354" s="364" t="s">
        <v>560</v>
      </c>
      <c r="B354" s="66">
        <f>B60*'Data - P&amp;L'!$C$8</f>
        <v>417.69</v>
      </c>
      <c r="C354" s="66">
        <f>C60*'Data - P&amp;L'!$C$8</f>
        <v>439.11</v>
      </c>
      <c r="D354" s="66">
        <f>D60*'Data - P&amp;L'!$C$8</f>
        <v>467.67</v>
      </c>
      <c r="E354" s="66">
        <f>E60*'Data - P&amp;L'!$C$8</f>
        <v>459.34</v>
      </c>
      <c r="F354" s="66">
        <f>F60*'Data - P&amp;L'!$C$8</f>
        <v>493.85</v>
      </c>
      <c r="G354" s="66">
        <f>G60*'Data - P&amp;L'!$C$8</f>
        <v>443.87</v>
      </c>
      <c r="H354" s="66">
        <f>H60*'Data - P&amp;L'!$C$8</f>
        <v>455.77</v>
      </c>
      <c r="I354" s="66">
        <f>I60*'Data - P&amp;L'!$C$8</f>
        <v>439.11</v>
      </c>
      <c r="J354" s="66">
        <f>J60*'Data - P&amp;L'!$C$8</f>
        <v>487.9</v>
      </c>
      <c r="K354" s="66">
        <f>K60*'Data - P&amp;L'!$C$8</f>
        <v>480.76</v>
      </c>
      <c r="L354" s="66">
        <f>L60*'Data - P&amp;L'!$C$8</f>
        <v>619.99</v>
      </c>
      <c r="M354" s="66">
        <f>M60*'Data - P&amp;L'!$C$8</f>
        <v>680.68</v>
      </c>
      <c r="N354" s="66">
        <f>N60*'Data - P&amp;L'!$C$8</f>
        <v>967.47</v>
      </c>
      <c r="O354" s="66">
        <f>O60*'Data - P&amp;L'!$C$8</f>
        <v>539.07</v>
      </c>
      <c r="P354" s="66">
        <f>P60*'Data - P&amp;L'!$C$8</f>
        <v>468.86</v>
      </c>
      <c r="Q354" s="66">
        <f>Q60*'Data - P&amp;L'!$C$8</f>
        <v>445.06</v>
      </c>
      <c r="R354" s="66">
        <f>R60*'Data - P&amp;L'!$C$8</f>
        <v>470.05</v>
      </c>
      <c r="S354" s="66">
        <f>S60*'Data - P&amp;L'!$C$8</f>
        <v>611.66</v>
      </c>
      <c r="T354" s="66">
        <f>T60*'Data - P&amp;L'!$C$8</f>
        <v>372.47</v>
      </c>
      <c r="U354" s="66">
        <f>U60*'Data - P&amp;L'!$C$8</f>
        <v>589.05</v>
      </c>
      <c r="V354" s="66">
        <f>V60*'Data - P&amp;L'!$C$8</f>
        <v>660.45</v>
      </c>
      <c r="W354" s="66">
        <f>W60*'Data - P&amp;L'!$C$8</f>
        <v>1010.31</v>
      </c>
      <c r="X354" s="66">
        <f>X60*'Data - P&amp;L'!$C$8</f>
        <v>1281.63</v>
      </c>
      <c r="Y354" s="66">
        <f>Y60*'Data - P&amp;L'!$C$8</f>
        <v>3271.31</v>
      </c>
      <c r="Z354" s="66">
        <f>Z60*'Data - P&amp;L'!$C$8</f>
        <v>1946.84</v>
      </c>
      <c r="AA354" s="66">
        <f>AA60*'Data - P&amp;L'!$C$8</f>
        <v>1527.96</v>
      </c>
      <c r="AB354" s="66">
        <f>AB60*'Data - P&amp;L'!$C$8</f>
        <v>2137.24</v>
      </c>
      <c r="AC354" s="66">
        <f>AC60*'Data - P&amp;L'!$C$8</f>
        <v>1236.41</v>
      </c>
      <c r="AD354" s="66">
        <f>AD60*'Data - P&amp;L'!$C$8</f>
        <v>0</v>
      </c>
      <c r="AE354" s="66">
        <f>AE60*'Data - P&amp;L'!$C$8</f>
        <v>0</v>
      </c>
      <c r="AF354" s="89">
        <f t="shared" si="107"/>
        <v>23421.58</v>
      </c>
    </row>
    <row r="355">
      <c r="A355" s="364" t="s">
        <v>562</v>
      </c>
      <c r="B355" s="66">
        <f>(B61+B62)*'Data - P&amp;L'!$C$9</f>
        <v>293.04</v>
      </c>
      <c r="C355" s="66">
        <f>(C61+C62)*'Data - P&amp;L'!$C$9</f>
        <v>745.92</v>
      </c>
      <c r="D355" s="66">
        <f>(D61+D62)*'Data - P&amp;L'!$C$9</f>
        <v>559.44</v>
      </c>
      <c r="E355" s="66">
        <f>(E61+E62)*'Data - P&amp;L'!$C$9</f>
        <v>552.78</v>
      </c>
      <c r="F355" s="66">
        <f>(F61+F62)*'Data - P&amp;L'!$C$9</f>
        <v>313.02</v>
      </c>
      <c r="G355" s="66">
        <f>(G61+G62)*'Data - P&amp;L'!$C$9</f>
        <v>406.26</v>
      </c>
      <c r="H355" s="66">
        <f>(H61+H62)*'Data - P&amp;L'!$C$9</f>
        <v>432.9</v>
      </c>
      <c r="I355" s="66">
        <f>(I61+I62)*'Data - P&amp;L'!$C$9</f>
        <v>705.96</v>
      </c>
      <c r="J355" s="66">
        <f>(J61+J62)*'Data - P&amp;L'!$C$9</f>
        <v>446.22</v>
      </c>
      <c r="K355" s="66">
        <f>(K61+K62)*'Data - P&amp;L'!$C$9</f>
        <v>352.98</v>
      </c>
      <c r="L355" s="66">
        <f>(L61+L62)*'Data - P&amp;L'!$C$9</f>
        <v>639.36</v>
      </c>
      <c r="M355" s="66">
        <f>(M61+M62)*'Data - P&amp;L'!$C$9</f>
        <v>612.72</v>
      </c>
      <c r="N355" s="66">
        <f>(N61+N62)*'Data - P&amp;L'!$C$9</f>
        <v>399.6</v>
      </c>
      <c r="O355" s="66">
        <f>(O61+O62)*'Data - P&amp;L'!$C$9</f>
        <v>486.18</v>
      </c>
      <c r="P355" s="66">
        <f>(P61+P62)*'Data - P&amp;L'!$C$9</f>
        <v>406.26</v>
      </c>
      <c r="Q355" s="66">
        <f>(Q61+Q62)*'Data - P&amp;L'!$C$9</f>
        <v>446.22</v>
      </c>
      <c r="R355" s="66">
        <f>(R61+R62)*'Data - P&amp;L'!$C$9</f>
        <v>419.58</v>
      </c>
      <c r="S355" s="66">
        <f>(S61+S62)*'Data - P&amp;L'!$C$9</f>
        <v>472.86</v>
      </c>
      <c r="T355" s="66">
        <f>(T61+T62)*'Data - P&amp;L'!$C$9</f>
        <v>619.38</v>
      </c>
      <c r="U355" s="66">
        <f>(U61+U62)*'Data - P&amp;L'!$C$9</f>
        <v>639.36</v>
      </c>
      <c r="V355" s="66">
        <f>(V61+V62)*'Data - P&amp;L'!$C$9</f>
        <v>606.06</v>
      </c>
      <c r="W355" s="66">
        <f>(W61+W62)*'Data - P&amp;L'!$C$9</f>
        <v>825.84</v>
      </c>
      <c r="X355" s="66">
        <f>(X61+X62)*'Data - P&amp;L'!$C$9</f>
        <v>1145.52</v>
      </c>
      <c r="Y355" s="66">
        <f>(Y61+Y62)*'Data - P&amp;L'!$C$9</f>
        <v>2803.86</v>
      </c>
      <c r="Z355" s="66">
        <f>(Z61+Z62)*'Data - P&amp;L'!$C$9</f>
        <v>1318.68</v>
      </c>
      <c r="AA355" s="66">
        <f>(AA61+AA62)*'Data - P&amp;L'!$C$9</f>
        <v>1252.08</v>
      </c>
      <c r="AB355" s="66">
        <f>(AB61+AB62)*'Data - P&amp;L'!$C$9</f>
        <v>1671.66</v>
      </c>
      <c r="AC355" s="66">
        <f>(AC61+AC62)*'Data - P&amp;L'!$C$9</f>
        <v>925.74</v>
      </c>
      <c r="AD355" s="66">
        <f>(AD61+AD62)*'Data - P&amp;L'!$C$9</f>
        <v>293.04</v>
      </c>
      <c r="AE355" s="66">
        <f>(AE61+AE62)*'Data - P&amp;L'!$C$9</f>
        <v>326.34</v>
      </c>
      <c r="AF355" s="89">
        <f t="shared" si="107"/>
        <v>21118.86</v>
      </c>
    </row>
    <row r="356">
      <c r="A356" s="364" t="s">
        <v>564</v>
      </c>
      <c r="B356" s="66">
        <f>(B63+B64)*'Data - P&amp;L'!$C$5</f>
        <v>215.04</v>
      </c>
      <c r="C356" s="66">
        <f>(C63+C64)*'Data - P&amp;L'!$C$5</f>
        <v>188.16</v>
      </c>
      <c r="D356" s="66">
        <f>(D63+D64)*'Data - P&amp;L'!$C$5</f>
        <v>215.04</v>
      </c>
      <c r="E356" s="66">
        <f>(E63+E64)*'Data - P&amp;L'!$C$5</f>
        <v>228.48</v>
      </c>
      <c r="F356" s="66">
        <f>(F63+F64)*'Data - P&amp;L'!$C$5</f>
        <v>282.24</v>
      </c>
      <c r="G356" s="66">
        <f>(G63+G64)*'Data - P&amp;L'!$C$5</f>
        <v>201.6</v>
      </c>
      <c r="H356" s="66">
        <f>(H63+H64)*'Data - P&amp;L'!$C$5</f>
        <v>147.84</v>
      </c>
      <c r="I356" s="66">
        <f>(I63+I64)*'Data - P&amp;L'!$C$5</f>
        <v>174.72</v>
      </c>
      <c r="J356" s="66">
        <f>(J63+J64)*'Data - P&amp;L'!$C$5</f>
        <v>174.72</v>
      </c>
      <c r="K356" s="66">
        <f>(K63+K64)*'Data - P&amp;L'!$C$5</f>
        <v>215.04</v>
      </c>
      <c r="L356" s="66">
        <f>(L63+L64)*'Data - P&amp;L'!$C$5</f>
        <v>134.4</v>
      </c>
      <c r="M356" s="66">
        <f>(M63+M64)*'Data - P&amp;L'!$C$5</f>
        <v>80.64</v>
      </c>
      <c r="N356" s="66">
        <f>(N63+N64)*'Data - P&amp;L'!$C$5</f>
        <v>188.16</v>
      </c>
      <c r="O356" s="66">
        <f>(O63+O64)*'Data - P&amp;L'!$C$5</f>
        <v>147.84</v>
      </c>
      <c r="P356" s="66">
        <f>(P63+P64)*'Data - P&amp;L'!$C$5</f>
        <v>174.72</v>
      </c>
      <c r="Q356" s="66">
        <f>(Q63+Q64)*'Data - P&amp;L'!$C$5</f>
        <v>201.6</v>
      </c>
      <c r="R356" s="66">
        <f>(R63+R64)*'Data - P&amp;L'!$C$5</f>
        <v>134.4</v>
      </c>
      <c r="S356" s="66">
        <f>(S63+S64)*'Data - P&amp;L'!$C$5</f>
        <v>188.16</v>
      </c>
      <c r="T356" s="66">
        <f>(T63+T64)*'Data - P&amp;L'!$C$5</f>
        <v>161.28</v>
      </c>
      <c r="U356" s="66">
        <f>(U63+U64)*'Data - P&amp;L'!$C$5</f>
        <v>241.92</v>
      </c>
      <c r="V356" s="66">
        <f>(V63+V64)*'Data - P&amp;L'!$C$5</f>
        <v>228.48</v>
      </c>
      <c r="W356" s="66">
        <f>(W63+W64)*'Data - P&amp;L'!$C$5</f>
        <v>564.48</v>
      </c>
      <c r="X356" s="66">
        <f>(X63+X64)*'Data - P&amp;L'!$C$5</f>
        <v>537.6</v>
      </c>
      <c r="Y356" s="66">
        <f>(Y63+Y64)*'Data - P&amp;L'!$C$5</f>
        <v>1505.28</v>
      </c>
      <c r="Z356" s="66">
        <f>(Z63+Z64)*'Data - P&amp;L'!$C$5</f>
        <v>672</v>
      </c>
      <c r="AA356" s="66">
        <f>(AA63+AA64)*'Data - P&amp;L'!$C$5</f>
        <v>766.08</v>
      </c>
      <c r="AB356" s="66">
        <f>(AB63+AB64)*'Data - P&amp;L'!$C$5</f>
        <v>712.32</v>
      </c>
      <c r="AC356" s="66">
        <f>(AC63+AC64)*'Data - P&amp;L'!$C$5</f>
        <v>443.52</v>
      </c>
      <c r="AD356" s="66">
        <f>(AD63+AD64)*'Data - P&amp;L'!$C$5</f>
        <v>161.28</v>
      </c>
      <c r="AE356" s="66">
        <f>(AE63+AE64)*'Data - P&amp;L'!$C$5</f>
        <v>134.4</v>
      </c>
      <c r="AF356" s="89">
        <f t="shared" si="107"/>
        <v>9421.44</v>
      </c>
    </row>
    <row r="357">
      <c r="A357" s="364" t="s">
        <v>565</v>
      </c>
      <c r="B357" s="214">
        <f>(B65+B66)*'Data - P&amp;L'!$C$10</f>
        <v>612</v>
      </c>
      <c r="C357" s="214">
        <f>(C65+C66)*'Data - P&amp;L'!$C$10</f>
        <v>852</v>
      </c>
      <c r="D357" s="214">
        <f>(D65+D66)*'Data - P&amp;L'!$C$10</f>
        <v>738</v>
      </c>
      <c r="E357" s="214">
        <f>(E65+E66)*'Data - P&amp;L'!$C$10</f>
        <v>888</v>
      </c>
      <c r="F357" s="214">
        <f>(F65+F66)*'Data - P&amp;L'!$C$10</f>
        <v>930</v>
      </c>
      <c r="G357" s="214">
        <f>(G65+G66)*'Data - P&amp;L'!$C$10</f>
        <v>828</v>
      </c>
      <c r="H357" s="214">
        <f>(H65+H66)*'Data - P&amp;L'!$C$10</f>
        <v>744</v>
      </c>
      <c r="I357" s="214">
        <f>(I65+I66)*'Data - P&amp;L'!$C$10</f>
        <v>798</v>
      </c>
      <c r="J357" s="214">
        <f>(J65+J66)*'Data - P&amp;L'!$C$10</f>
        <v>780</v>
      </c>
      <c r="K357" s="214">
        <f>(K65+K66)*'Data - P&amp;L'!$C$10</f>
        <v>756</v>
      </c>
      <c r="L357" s="214">
        <f>(L65+L66)*'Data - P&amp;L'!$C$10</f>
        <v>1104</v>
      </c>
      <c r="M357" s="214">
        <f>(M65+M66)*'Data - P&amp;L'!$C$10</f>
        <v>1104</v>
      </c>
      <c r="N357" s="214">
        <f>(N65+N66)*'Data - P&amp;L'!$C$10</f>
        <v>846</v>
      </c>
      <c r="O357" s="214">
        <f>(O65+O66)*'Data - P&amp;L'!$C$10</f>
        <v>924</v>
      </c>
      <c r="P357" s="214">
        <f>(P65+P66)*'Data - P&amp;L'!$C$10</f>
        <v>828</v>
      </c>
      <c r="Q357" s="214">
        <f>(Q65+Q66)*'Data - P&amp;L'!$C$10</f>
        <v>786</v>
      </c>
      <c r="R357" s="214">
        <f>(R65+R66)*'Data - P&amp;L'!$C$10</f>
        <v>858</v>
      </c>
      <c r="S357" s="214">
        <f>(S65+S66)*'Data - P&amp;L'!$C$10</f>
        <v>1062</v>
      </c>
      <c r="T357" s="214">
        <f>(T65+T66)*'Data - P&amp;L'!$C$10</f>
        <v>1014</v>
      </c>
      <c r="U357" s="214">
        <f>(U65+U66)*'Data - P&amp;L'!$C$10</f>
        <v>1086</v>
      </c>
      <c r="V357" s="214">
        <f>(V65+V66)*'Data - P&amp;L'!$C$10</f>
        <v>1092</v>
      </c>
      <c r="W357" s="214">
        <f>(W65+W66)*'Data - P&amp;L'!$C$10</f>
        <v>1830</v>
      </c>
      <c r="X357" s="214">
        <f>(X65+X66)*'Data - P&amp;L'!$C$10</f>
        <v>2106</v>
      </c>
      <c r="Y357" s="214">
        <f>(Y65+Y66)*'Data - P&amp;L'!$C$10</f>
        <v>4926</v>
      </c>
      <c r="Z357" s="214">
        <f>(Z65+Z66)*'Data - P&amp;L'!$C$10</f>
        <v>2850</v>
      </c>
      <c r="AA357" s="214">
        <f>(AA65+AA66)*'Data - P&amp;L'!$C$10</f>
        <v>2412</v>
      </c>
      <c r="AB357" s="214">
        <f>(AB65+AB66)*'Data - P&amp;L'!$C$10</f>
        <v>3192</v>
      </c>
      <c r="AC357" s="214">
        <f>(AC65+AC66)*'Data - P&amp;L'!$C$10</f>
        <v>2124</v>
      </c>
      <c r="AD357" s="214">
        <f>(AD65+AD66)*'Data - P&amp;L'!$C$10</f>
        <v>582</v>
      </c>
      <c r="AE357" s="214">
        <f>(AE65+AE66)*'Data - P&amp;L'!$C$10</f>
        <v>564</v>
      </c>
      <c r="AF357" s="89">
        <f t="shared" si="107"/>
        <v>39216</v>
      </c>
    </row>
    <row r="358">
      <c r="A358" s="378" t="s">
        <v>566</v>
      </c>
      <c r="B358" s="423">
        <f>B70*'Data - P&amp;L'!$C$11</f>
        <v>0</v>
      </c>
      <c r="C358" s="423">
        <f>C70*'Data - P&amp;L'!$C$11</f>
        <v>0</v>
      </c>
      <c r="D358" s="423">
        <f>D70*'Data - P&amp;L'!$C$11</f>
        <v>0</v>
      </c>
      <c r="E358" s="423">
        <f>E70*'Data - P&amp;L'!$C$11</f>
        <v>0</v>
      </c>
      <c r="F358" s="423">
        <f>F70*'Data - P&amp;L'!$C$11</f>
        <v>0</v>
      </c>
      <c r="G358" s="423">
        <f>G70*'Data - P&amp;L'!$C$11</f>
        <v>0</v>
      </c>
      <c r="H358" s="423">
        <f>H70*'Data - P&amp;L'!$C$11</f>
        <v>0</v>
      </c>
      <c r="I358" s="423">
        <f>I70*'Data - P&amp;L'!$C$11</f>
        <v>0</v>
      </c>
      <c r="J358" s="423">
        <f>J70*'Data - P&amp;L'!$C$11</f>
        <v>78.8</v>
      </c>
      <c r="K358" s="423">
        <f>K70*'Data - P&amp;L'!$C$11</f>
        <v>51.22</v>
      </c>
      <c r="L358" s="423">
        <f>L70*'Data - P&amp;L'!$C$11</f>
        <v>47.28</v>
      </c>
      <c r="M358" s="423">
        <f>M70*'Data - P&amp;L'!$C$11</f>
        <v>19.7</v>
      </c>
      <c r="N358" s="423">
        <f>N70*'Data - P&amp;L'!$C$11</f>
        <v>0</v>
      </c>
      <c r="O358" s="423">
        <f>O70*'Data - P&amp;L'!$C$11</f>
        <v>98.5</v>
      </c>
      <c r="P358" s="423">
        <f>P70*'Data - P&amp;L'!$C$11</f>
        <v>94.56</v>
      </c>
      <c r="Q358" s="423">
        <f>Q70*'Data - P&amp;L'!$C$11</f>
        <v>114.26</v>
      </c>
      <c r="R358" s="423">
        <f>R70*'Data - P&amp;L'!$C$11</f>
        <v>86.68</v>
      </c>
      <c r="S358" s="423">
        <f>S70*'Data - P&amp;L'!$C$11</f>
        <v>39.4</v>
      </c>
      <c r="T358" s="423">
        <f>T70*'Data - P&amp;L'!$C$11</f>
        <v>27.58</v>
      </c>
      <c r="U358" s="423">
        <f>U70*'Data - P&amp;L'!$C$11</f>
        <v>23.64</v>
      </c>
      <c r="V358" s="423">
        <f>V70*'Data - P&amp;L'!$C$11</f>
        <v>39.4</v>
      </c>
      <c r="W358" s="423">
        <f>W70*'Data - P&amp;L'!$C$11</f>
        <v>55.16</v>
      </c>
      <c r="X358" s="423">
        <f>X70*'Data - P&amp;L'!$C$11</f>
        <v>66.98</v>
      </c>
      <c r="Y358" s="423">
        <f>Y70*'Data - P&amp;L'!$C$11</f>
        <v>197</v>
      </c>
      <c r="Z358" s="423">
        <f>Z70*'Data - P&amp;L'!$C$11</f>
        <v>122.14</v>
      </c>
      <c r="AA358" s="423">
        <f>AA70*'Data - P&amp;L'!$C$11</f>
        <v>59.1</v>
      </c>
      <c r="AB358" s="423">
        <f>AB70*'Data - P&amp;L'!$C$11</f>
        <v>153.66</v>
      </c>
      <c r="AC358" s="423">
        <f>AC70*'Data - P&amp;L'!$C$11</f>
        <v>161.54</v>
      </c>
      <c r="AD358" s="423">
        <f>AD70*'Data - P&amp;L'!$C$11</f>
        <v>31.52</v>
      </c>
      <c r="AE358" s="423">
        <f>AE70*'Data - P&amp;L'!$C$11</f>
        <v>23.64</v>
      </c>
      <c r="AF358" s="143">
        <f t="shared" si="107"/>
        <v>1591.76</v>
      </c>
    </row>
    <row r="359">
      <c r="A359" s="364" t="s">
        <v>567</v>
      </c>
      <c r="B359" s="66">
        <f>(B50*'Data - P&amp;L'!$L$12*'Data - P&amp;L'!$L$3)+(B50*'Data - P&amp;L'!$L$13*'Data - P&amp;L'!$L$14)</f>
        <v>3205.519038</v>
      </c>
      <c r="C359" s="66">
        <f>(C50*'Data - P&amp;L'!$L$12*'Data - P&amp;L'!$L$3)+(C50*'Data - P&amp;L'!$L$13*'Data - P&amp;L'!$L$14)</f>
        <v>3479.834577</v>
      </c>
      <c r="D359" s="66">
        <f>(D50*'Data - P&amp;L'!$L$12*'Data - P&amp;L'!$L$3)+(D50*'Data - P&amp;L'!$L$13*'Data - P&amp;L'!$L$14)</f>
        <v>3428.324682</v>
      </c>
      <c r="E359" s="66">
        <f>(E50*'Data - P&amp;L'!$L$12*'Data - P&amp;L'!$L$3)+(E50*'Data - P&amp;L'!$L$13*'Data - P&amp;L'!$L$14)</f>
        <v>3715.52698</v>
      </c>
      <c r="F359" s="66">
        <f>(F50*'Data - P&amp;L'!$L$12*'Data - P&amp;L'!$L$3)+(F50*'Data - P&amp;L'!$L$13*'Data - P&amp;L'!$L$14)</f>
        <v>4197.935312</v>
      </c>
      <c r="G359" s="66">
        <f>(G50*'Data - P&amp;L'!$L$12*'Data - P&amp;L'!$L$3)+(G50*'Data - P&amp;L'!$L$13*'Data - P&amp;L'!$L$14)</f>
        <v>3964.001108</v>
      </c>
      <c r="H359" s="66">
        <f>(H50*'Data - P&amp;L'!$L$12*'Data - P&amp;L'!$L$3)+(H50*'Data - P&amp;L'!$L$13*'Data - P&amp;L'!$L$14)</f>
        <v>3641.345607</v>
      </c>
      <c r="I359" s="66">
        <f>(I50*'Data - P&amp;L'!$L$12*'Data - P&amp;L'!$L$3)+(I50*'Data - P&amp;L'!$L$13*'Data - P&amp;L'!$L$14)</f>
        <v>3755.911968</v>
      </c>
      <c r="J359" s="66">
        <f>(J50*'Data - P&amp;L'!$L$12*'Data - P&amp;L'!$L$3)+(J50*'Data - P&amp;L'!$L$13*'Data - P&amp;L'!$L$14)</f>
        <v>4041.846537</v>
      </c>
      <c r="K359" s="66">
        <f>(K50*'Data - P&amp;L'!$L$12*'Data - P&amp;L'!$L$3)+(K50*'Data - P&amp;L'!$L$13*'Data - P&amp;L'!$L$14)</f>
        <v>3947.215257</v>
      </c>
      <c r="L359" s="66">
        <f>(L50*'Data - P&amp;L'!$L$12*'Data - P&amp;L'!$L$3)+(L50*'Data - P&amp;L'!$L$13*'Data - P&amp;L'!$L$14)</f>
        <v>5201.24024</v>
      </c>
      <c r="M359" s="66">
        <f>(M50*'Data - P&amp;L'!$L$12*'Data - P&amp;L'!$L$3)+(M50*'Data - P&amp;L'!$L$13*'Data - P&amp;L'!$L$14)</f>
        <v>5102.550946</v>
      </c>
      <c r="N359" s="66">
        <f>(N50*'Data - P&amp;L'!$L$12*'Data - P&amp;L'!$L$3)+(N50*'Data - P&amp;L'!$L$13*'Data - P&amp;L'!$L$14)</f>
        <v>4400.122688</v>
      </c>
      <c r="O359" s="66">
        <f>(O50*'Data - P&amp;L'!$L$12*'Data - P&amp;L'!$L$3)+(O50*'Data - P&amp;L'!$L$13*'Data - P&amp;L'!$L$14)</f>
        <v>4592.80544</v>
      </c>
      <c r="P359" s="66">
        <f>(P50*'Data - P&amp;L'!$L$12*'Data - P&amp;L'!$L$3)+(P50*'Data - P&amp;L'!$L$13*'Data - P&amp;L'!$L$14)</f>
        <v>4221.721077</v>
      </c>
      <c r="Q359" s="66">
        <f>(Q50*'Data - P&amp;L'!$L$12*'Data - P&amp;L'!$L$3)+(Q50*'Data - P&amp;L'!$L$13*'Data - P&amp;L'!$L$14)</f>
        <v>3918.2715</v>
      </c>
      <c r="R359" s="66">
        <f>(R50*'Data - P&amp;L'!$L$12*'Data - P&amp;L'!$L$3)+(R50*'Data - P&amp;L'!$L$13*'Data - P&amp;L'!$L$14)</f>
        <v>4177.760933</v>
      </c>
      <c r="S359" s="66">
        <f>(S50*'Data - P&amp;L'!$L$12*'Data - P&amp;L'!$L$3)+(S50*'Data - P&amp;L'!$L$13*'Data - P&amp;L'!$L$14)</f>
        <v>5297.47719</v>
      </c>
      <c r="T359" s="66">
        <f>(T50*'Data - P&amp;L'!$L$12*'Data - P&amp;L'!$L$3)+(T50*'Data - P&amp;L'!$L$13*'Data - P&amp;L'!$L$14)</f>
        <v>5616.008916</v>
      </c>
      <c r="U359" s="66">
        <f>(U50*'Data - P&amp;L'!$L$12*'Data - P&amp;L'!$L$3)+(U50*'Data - P&amp;L'!$L$13*'Data - P&amp;L'!$L$14)</f>
        <v>5918.533574</v>
      </c>
      <c r="V359" s="66">
        <f>(V50*'Data - P&amp;L'!$L$12*'Data - P&amp;L'!$L$3)+(V50*'Data - P&amp;L'!$L$13*'Data - P&amp;L'!$L$14)</f>
        <v>6030.054522</v>
      </c>
      <c r="W359" s="66">
        <f>(W50*'Data - P&amp;L'!$L$12*'Data - P&amp;L'!$L$3)+(W50*'Data - P&amp;L'!$L$13*'Data - P&amp;L'!$L$14)</f>
        <v>8844.821119</v>
      </c>
      <c r="X359" s="66">
        <f>(X50*'Data - P&amp;L'!$L$12*'Data - P&amp;L'!$L$3)+(X50*'Data - P&amp;L'!$L$13*'Data - P&amp;L'!$L$14)</f>
        <v>10662.30055</v>
      </c>
      <c r="Y359" s="66">
        <f>(Y50*'Data - P&amp;L'!$L$12*'Data - P&amp;L'!$L$3)+(Y50*'Data - P&amp;L'!$L$13*'Data - P&amp;L'!$L$14)</f>
        <v>28984.62307</v>
      </c>
      <c r="Z359" s="66">
        <f>(Z50*'Data - P&amp;L'!$L$12*'Data - P&amp;L'!$L$3)+(Z50*'Data - P&amp;L'!$L$13*'Data - P&amp;L'!$L$14)</f>
        <v>17943.76026</v>
      </c>
      <c r="AA359" s="66">
        <f>(AA50*'Data - P&amp;L'!$L$12*'Data - P&amp;L'!$L$3)+(AA50*'Data - P&amp;L'!$L$13*'Data - P&amp;L'!$L$14)</f>
        <v>13474.98897</v>
      </c>
      <c r="AB359" s="66">
        <f>(AB50*'Data - P&amp;L'!$L$12*'Data - P&amp;L'!$L$3)+(AB50*'Data - P&amp;L'!$L$13*'Data - P&amp;L'!$L$14)</f>
        <v>20693.74385</v>
      </c>
      <c r="AC359" s="66">
        <f>(AC50*'Data - P&amp;L'!$L$12*'Data - P&amp;L'!$L$3)+(AC50*'Data - P&amp;L'!$L$13*'Data - P&amp;L'!$L$14)</f>
        <v>14603.91392</v>
      </c>
      <c r="AD359" s="66">
        <f>(AD50*'Data - P&amp;L'!$L$12*'Data - P&amp;L'!$L$3)+(AD50*'Data - P&amp;L'!$L$13*'Data - P&amp;L'!$L$14)</f>
        <v>3186.103044</v>
      </c>
      <c r="AE359" s="66">
        <f>(AE50*'Data - P&amp;L'!$L$12*'Data - P&amp;L'!$L$3)+(AE50*'Data - P&amp;L'!$L$13*'Data - P&amp;L'!$L$14)</f>
        <v>2887.99078</v>
      </c>
      <c r="AF359" s="89">
        <f t="shared" si="107"/>
        <v>213136.2537</v>
      </c>
    </row>
    <row r="360">
      <c r="A360" s="378" t="s">
        <v>569</v>
      </c>
      <c r="B360" s="329">
        <f>(B42*'Data - P&amp;L'!$L$12*'Data - P&amp;L'!$I$10)+(B42*'Data - P&amp;L'!$L$13*'Data - P&amp;L'!$L$15)</f>
        <v>136.8</v>
      </c>
      <c r="C360" s="329">
        <f>(C42*'Data - P&amp;L'!$L$12*'Data - P&amp;L'!$I$10)+(C42*'Data - P&amp;L'!$L$13*'Data - P&amp;L'!$L$15)</f>
        <v>162.6</v>
      </c>
      <c r="D360" s="329">
        <f>(D42*'Data - P&amp;L'!$L$12*'Data - P&amp;L'!$I$10)+(D42*'Data - P&amp;L'!$L$13*'Data - P&amp;L'!$L$15)</f>
        <v>156.6</v>
      </c>
      <c r="E360" s="329">
        <f>(E42*'Data - P&amp;L'!$L$12*'Data - P&amp;L'!$I$10)+(E42*'Data - P&amp;L'!$L$13*'Data - P&amp;L'!$L$15)</f>
        <v>162.6</v>
      </c>
      <c r="F360" s="329">
        <f>(F42*'Data - P&amp;L'!$L$12*'Data - P&amp;L'!$I$10)+(F42*'Data - P&amp;L'!$L$13*'Data - P&amp;L'!$L$15)</f>
        <v>184.2</v>
      </c>
      <c r="G360" s="329">
        <f>(G42*'Data - P&amp;L'!$L$12*'Data - P&amp;L'!$I$10)+(G42*'Data - P&amp;L'!$L$13*'Data - P&amp;L'!$L$15)</f>
        <v>176.4</v>
      </c>
      <c r="H360" s="329">
        <f>(H42*'Data - P&amp;L'!$L$12*'Data - P&amp;L'!$I$10)+(H42*'Data - P&amp;L'!$L$13*'Data - P&amp;L'!$L$15)</f>
        <v>157.8</v>
      </c>
      <c r="I360" s="329">
        <f>(I42*'Data - P&amp;L'!$L$12*'Data - P&amp;L'!$I$10)+(I42*'Data - P&amp;L'!$L$13*'Data - P&amp;L'!$L$15)</f>
        <v>161.4</v>
      </c>
      <c r="J360" s="329">
        <f>(J42*'Data - P&amp;L'!$L$12*'Data - P&amp;L'!$I$10)+(J42*'Data - P&amp;L'!$L$13*'Data - P&amp;L'!$L$15)</f>
        <v>174</v>
      </c>
      <c r="K360" s="329">
        <f>(K42*'Data - P&amp;L'!$L$12*'Data - P&amp;L'!$I$10)+(K42*'Data - P&amp;L'!$L$13*'Data - P&amp;L'!$L$15)</f>
        <v>170.1</v>
      </c>
      <c r="L360" s="329">
        <f>(L42*'Data - P&amp;L'!$L$12*'Data - P&amp;L'!$I$10)+(L42*'Data - P&amp;L'!$L$13*'Data - P&amp;L'!$L$15)</f>
        <v>210.6</v>
      </c>
      <c r="M360" s="329">
        <f>(M42*'Data - P&amp;L'!$L$12*'Data - P&amp;L'!$I$10)+(M42*'Data - P&amp;L'!$L$13*'Data - P&amp;L'!$L$15)</f>
        <v>233.1</v>
      </c>
      <c r="N360" s="329">
        <f>(N42*'Data - P&amp;L'!$L$12*'Data - P&amp;L'!$I$10)+(N42*'Data - P&amp;L'!$L$13*'Data - P&amp;L'!$L$15)</f>
        <v>294</v>
      </c>
      <c r="O360" s="329">
        <f>(O42*'Data - P&amp;L'!$L$12*'Data - P&amp;L'!$I$10)+(O42*'Data - P&amp;L'!$L$13*'Data - P&amp;L'!$L$15)</f>
        <v>192.3</v>
      </c>
      <c r="P360" s="329">
        <f>(P42*'Data - P&amp;L'!$L$12*'Data - P&amp;L'!$I$10)+(P42*'Data - P&amp;L'!$L$13*'Data - P&amp;L'!$L$15)</f>
        <v>178.5</v>
      </c>
      <c r="Q360" s="329">
        <f>(Q42*'Data - P&amp;L'!$L$12*'Data - P&amp;L'!$I$10)+(Q42*'Data - P&amp;L'!$L$13*'Data - P&amp;L'!$L$15)</f>
        <v>167.4</v>
      </c>
      <c r="R360" s="329">
        <f>(R42*'Data - P&amp;L'!$L$12*'Data - P&amp;L'!$I$10)+(R42*'Data - P&amp;L'!$L$13*'Data - P&amp;L'!$L$15)</f>
        <v>180</v>
      </c>
      <c r="S360" s="329">
        <f>(S42*'Data - P&amp;L'!$L$12*'Data - P&amp;L'!$I$10)+(S42*'Data - P&amp;L'!$L$13*'Data - P&amp;L'!$L$15)</f>
        <v>221.7</v>
      </c>
      <c r="T360" s="329">
        <f>(T42*'Data - P&amp;L'!$L$12*'Data - P&amp;L'!$I$10)+(T42*'Data - P&amp;L'!$L$13*'Data - P&amp;L'!$L$15)</f>
        <v>231.9</v>
      </c>
      <c r="U360" s="329">
        <f>(U42*'Data - P&amp;L'!$L$12*'Data - P&amp;L'!$I$10)+(U42*'Data - P&amp;L'!$L$13*'Data - P&amp;L'!$L$15)</f>
        <v>241.2</v>
      </c>
      <c r="V360" s="329">
        <f>(V42*'Data - P&amp;L'!$L$12*'Data - P&amp;L'!$I$10)+(V42*'Data - P&amp;L'!$L$13*'Data - P&amp;L'!$L$15)</f>
        <v>252.3</v>
      </c>
      <c r="W360" s="329">
        <f>(W42*'Data - P&amp;L'!$L$12*'Data - P&amp;L'!$I$10)+(W42*'Data - P&amp;L'!$L$13*'Data - P&amp;L'!$L$15)</f>
        <v>373.2</v>
      </c>
      <c r="X360" s="329">
        <f>(X42*'Data - P&amp;L'!$L$12*'Data - P&amp;L'!$I$10)+(X42*'Data - P&amp;L'!$L$13*'Data - P&amp;L'!$L$15)</f>
        <v>436.8</v>
      </c>
      <c r="Y360" s="329">
        <f>(Y42*'Data - P&amp;L'!$L$12*'Data - P&amp;L'!$I$10)+(Y42*'Data - P&amp;L'!$L$13*'Data - P&amp;L'!$L$15)</f>
        <v>1200</v>
      </c>
      <c r="Z360" s="329">
        <f>(Z42*'Data - P&amp;L'!$L$12*'Data - P&amp;L'!$I$10)+(Z42*'Data - P&amp;L'!$L$13*'Data - P&amp;L'!$L$15)</f>
        <v>749.7</v>
      </c>
      <c r="AA360" s="329">
        <f>(AA42*'Data - P&amp;L'!$L$12*'Data - P&amp;L'!$I$10)+(AA42*'Data - P&amp;L'!$L$13*'Data - P&amp;L'!$L$15)</f>
        <v>557.4</v>
      </c>
      <c r="AB360" s="329">
        <f>(AB42*'Data - P&amp;L'!$L$12*'Data - P&amp;L'!$I$10)+(AB42*'Data - P&amp;L'!$L$13*'Data - P&amp;L'!$L$15)</f>
        <v>853.2</v>
      </c>
      <c r="AC360" s="329">
        <f>(AC42*'Data - P&amp;L'!$L$12*'Data - P&amp;L'!$I$10)+(AC42*'Data - P&amp;L'!$L$13*'Data - P&amp;L'!$L$15)</f>
        <v>594</v>
      </c>
      <c r="AD360" s="329">
        <f>(AD42*'Data - P&amp;L'!$L$12*'Data - P&amp;L'!$I$10)+(AD42*'Data - P&amp;L'!$L$13*'Data - P&amp;L'!$L$15)</f>
        <v>102.6</v>
      </c>
      <c r="AE360" s="329">
        <f>(AE42*'Data - P&amp;L'!$L$12*'Data - P&amp;L'!$I$10)+(AE42*'Data - P&amp;L'!$L$13*'Data - P&amp;L'!$L$15)</f>
        <v>96</v>
      </c>
      <c r="AF360" s="143">
        <f t="shared" si="107"/>
        <v>9008.4</v>
      </c>
    </row>
    <row r="361">
      <c r="A361" s="364" t="s">
        <v>572</v>
      </c>
      <c r="B361" s="66">
        <f>((SUM(B125:B128))*'Data - P&amp;L'!$C$38)+((SUM(B130:B133))*'Data - P&amp;L'!$C$39)</f>
        <v>5313.3</v>
      </c>
      <c r="C361" s="66">
        <f>((SUM(C125:C128))*'Data - P&amp;L'!$C$38)+((SUM(C130:C133))*'Data - P&amp;L'!$C$39)</f>
        <v>5528.22</v>
      </c>
      <c r="D361" s="66">
        <f>((SUM(D125:D128))*'Data - P&amp;L'!$C$38)+((SUM(D130:D133))*'Data - P&amp;L'!$C$39)</f>
        <v>5575.98</v>
      </c>
      <c r="E361" s="66">
        <f>((SUM(E125:E128))*'Data - P&amp;L'!$C$38)+((SUM(E130:E133))*'Data - P&amp;L'!$C$39)</f>
        <v>6089.4</v>
      </c>
      <c r="F361" s="66">
        <f>((SUM(F125:F128))*'Data - P&amp;L'!$C$38)+((SUM(F130:F133))*'Data - P&amp;L'!$C$39)</f>
        <v>7044.6</v>
      </c>
      <c r="G361" s="66">
        <f>((SUM(G125:G128))*'Data - P&amp;L'!$C$38)+((SUM(G130:G133))*'Data - P&amp;L'!$C$39)</f>
        <v>6614.76</v>
      </c>
      <c r="H361" s="66">
        <f>((SUM(H125:H128))*'Data - P&amp;L'!$C$38)+((SUM(H130:H133))*'Data - P&amp;L'!$C$39)</f>
        <v>6029.7</v>
      </c>
      <c r="I361" s="66">
        <f>((SUM(I125:I128))*'Data - P&amp;L'!$C$38)+((SUM(I130:I133))*'Data - P&amp;L'!$C$39)</f>
        <v>6017.76</v>
      </c>
      <c r="J361" s="66">
        <f>((SUM(J125:J128))*'Data - P&amp;L'!$C$38)+((SUM(J130:J133))*'Data - P&amp;L'!$C$39)</f>
        <v>6519.24</v>
      </c>
      <c r="K361" s="66">
        <f>((SUM(K125:K128))*'Data - P&amp;L'!$C$38)+((SUM(K130:K133))*'Data - P&amp;L'!$C$39)</f>
        <v>6411.78</v>
      </c>
      <c r="L361" s="66">
        <f>((SUM(L125:L128))*'Data - P&amp;L'!$C$38)+((SUM(L130:L133))*'Data - P&amp;L'!$C$39)</f>
        <v>8202.78</v>
      </c>
      <c r="M361" s="66">
        <f>((SUM(M125:M128))*'Data - P&amp;L'!$C$38)+((SUM(M130:M133))*'Data - P&amp;L'!$C$39)</f>
        <v>7999.8</v>
      </c>
      <c r="N361" s="66">
        <f>((SUM(N125:N128))*'Data - P&amp;L'!$C$38)+((SUM(N130:N133))*'Data - P&amp;L'!$C$39)</f>
        <v>6435.66</v>
      </c>
      <c r="O361" s="66">
        <f>((SUM(O125:O128))*'Data - P&amp;L'!$C$38)+((SUM(O130:O133))*'Data - P&amp;L'!$C$39)</f>
        <v>7307.28</v>
      </c>
      <c r="P361" s="66">
        <f>((SUM(P125:P128))*'Data - P&amp;L'!$C$38)+((SUM(P130:P133))*'Data - P&amp;L'!$C$39)</f>
        <v>6758.04</v>
      </c>
      <c r="Q361" s="66">
        <f>((SUM(Q125:Q128))*'Data - P&amp;L'!$C$38)+((SUM(Q130:Q133))*'Data - P&amp;L'!$C$39)</f>
        <v>6232.68</v>
      </c>
      <c r="R361" s="66">
        <f>((SUM(R125:R128))*'Data - P&amp;L'!$C$38)+((SUM(R130:R133))*'Data - P&amp;L'!$C$39)</f>
        <v>6781.92</v>
      </c>
      <c r="S361" s="66">
        <f>((SUM(S125:S128))*'Data - P&amp;L'!$C$38)+((SUM(S130:S133))*'Data - P&amp;L'!$C$39)</f>
        <v>8608.74</v>
      </c>
      <c r="T361" s="66">
        <f>((SUM(T125:T128))*'Data - P&amp;L'!$C$38)+((SUM(T130:T133))*'Data - P&amp;L'!$C$39)</f>
        <v>9134.1</v>
      </c>
      <c r="U361" s="66">
        <f>((SUM(U125:U128))*'Data - P&amp;L'!$C$38)+((SUM(U130:U133))*'Data - P&amp;L'!$C$39)</f>
        <v>9540.06</v>
      </c>
      <c r="V361" s="66">
        <f>((SUM(V125:V128))*'Data - P&amp;L'!$C$38)+((SUM(V130:V133))*'Data - P&amp;L'!$C$39)</f>
        <v>9934.08</v>
      </c>
      <c r="W361" s="66">
        <f>((SUM(W125:W128))*'Data - P&amp;L'!$C$38)+((SUM(W130:W133))*'Data - P&amp;L'!$C$39)</f>
        <v>14483.22</v>
      </c>
      <c r="X361" s="66">
        <f>((SUM(X125:X128))*'Data - P&amp;L'!$C$38)+((SUM(X130:X133))*'Data - P&amp;L'!$C$39)</f>
        <v>17157.78</v>
      </c>
      <c r="Y361" s="66">
        <f>((SUM(Y125:Y128))*'Data - P&amp;L'!$C$38)+((SUM(Y130:Y133))*'Data - P&amp;L'!$C$39)</f>
        <v>47592.84</v>
      </c>
      <c r="Z361" s="66">
        <f>((SUM(Z125:Z128))*'Data - P&amp;L'!$C$38)+((SUM(Z130:Z133))*'Data - P&amp;L'!$C$39)</f>
        <v>29969.4</v>
      </c>
      <c r="AA361" s="66">
        <f>((SUM(AA125:AA128))*'Data - P&amp;L'!$C$38)+((SUM(AA130:AA133))*'Data - P&amp;L'!$C$39)</f>
        <v>22041.24</v>
      </c>
      <c r="AB361" s="66">
        <f>((SUM(AB125:AB128))*'Data - P&amp;L'!$C$38)+((SUM(AB130:AB133))*'Data - P&amp;L'!$C$39)</f>
        <v>34112.58</v>
      </c>
      <c r="AC361" s="66">
        <f>((SUM(AC125:AC128))*'Data - P&amp;L'!$C$38)+((SUM(AC130:AC133))*'Data - P&amp;L'!$C$39)</f>
        <v>23485.98</v>
      </c>
      <c r="AD361" s="66">
        <f>((SUM(AD125:AD128))*'Data - P&amp;L'!$C$38)+((SUM(AD130:AD133))*'Data - P&amp;L'!$C$39)</f>
        <v>3701.4</v>
      </c>
      <c r="AE361" s="66">
        <f>((SUM(AE125:AE128))*'Data - P&amp;L'!$C$38)+((SUM(AE130:AE133))*'Data - P&amp;L'!$C$39)</f>
        <v>3331.26</v>
      </c>
      <c r="AF361" s="89">
        <f t="shared" si="107"/>
        <v>343955.58</v>
      </c>
    </row>
    <row r="362">
      <c r="A362" s="364" t="s">
        <v>578</v>
      </c>
      <c r="B362" s="214">
        <f>((SUM(B125:B128))*'Data - P&amp;L'!$C$34)+((SUM(B130:B133))*'Data - P&amp;L'!$C$35)</f>
        <v>8188.5</v>
      </c>
      <c r="C362" s="214">
        <f>((SUM(C125:C128))*'Data - P&amp;L'!$C$34)+((SUM(C130:C133))*'Data - P&amp;L'!$C$35)</f>
        <v>8549.58</v>
      </c>
      <c r="D362" s="214">
        <f>((SUM(D125:D128))*'Data - P&amp;L'!$C$34)+((SUM(D130:D133))*'Data - P&amp;L'!$C$35)</f>
        <v>8627.82</v>
      </c>
      <c r="E362" s="214">
        <f>((SUM(E125:E128))*'Data - P&amp;L'!$C$34)+((SUM(E130:E133))*'Data - P&amp;L'!$C$35)</f>
        <v>9448.2</v>
      </c>
      <c r="F362" s="214">
        <f>((SUM(F125:F128))*'Data - P&amp;L'!$C$34)+((SUM(F130:F133))*'Data - P&amp;L'!$C$35)</f>
        <v>10915.8</v>
      </c>
      <c r="G362" s="214">
        <f>((SUM(G125:G128))*'Data - P&amp;L'!$C$34)+((SUM(G130:G133))*'Data - P&amp;L'!$C$35)</f>
        <v>10262.04</v>
      </c>
      <c r="H362" s="214">
        <f>((SUM(H125:H128))*'Data - P&amp;L'!$C$34)+((SUM(H130:H133))*'Data - P&amp;L'!$C$35)</f>
        <v>9354.9</v>
      </c>
      <c r="I362" s="214">
        <f>((SUM(I125:I128))*'Data - P&amp;L'!$C$34)+((SUM(I130:I133))*'Data - P&amp;L'!$C$35)</f>
        <v>9361.44</v>
      </c>
      <c r="J362" s="214">
        <f>((SUM(J125:J128))*'Data - P&amp;L'!$C$34)+((SUM(J130:J133))*'Data - P&amp;L'!$C$35)</f>
        <v>10112.76</v>
      </c>
      <c r="K362" s="214">
        <f>((SUM(K125:K128))*'Data - P&amp;L'!$C$34)+((SUM(K130:K133))*'Data - P&amp;L'!$C$35)</f>
        <v>9952.02</v>
      </c>
      <c r="L362" s="214">
        <f>((SUM(L125:L128))*'Data - P&amp;L'!$C$34)+((SUM(L130:L133))*'Data - P&amp;L'!$C$35)</f>
        <v>12769.02</v>
      </c>
      <c r="M362" s="214">
        <f>((SUM(M125:M128))*'Data - P&amp;L'!$C$34)+((SUM(M130:M133))*'Data - P&amp;L'!$C$35)</f>
        <v>12408.6</v>
      </c>
      <c r="N362" s="214">
        <f>((SUM(N125:N128))*'Data - P&amp;L'!$C$34)+((SUM(N130:N133))*'Data - P&amp;L'!$C$35)</f>
        <v>9949.74</v>
      </c>
      <c r="O362" s="214">
        <f>((SUM(O125:O128))*'Data - P&amp;L'!$C$34)+((SUM(O130:O133))*'Data - P&amp;L'!$C$35)</f>
        <v>11304.72</v>
      </c>
      <c r="P362" s="214">
        <f>((SUM(P125:P128))*'Data - P&amp;L'!$C$34)+((SUM(P130:P133))*'Data - P&amp;L'!$C$35)</f>
        <v>10413.96</v>
      </c>
      <c r="Q362" s="214">
        <f>((SUM(Q125:Q128))*'Data - P&amp;L'!$C$34)+((SUM(Q130:Q133))*'Data - P&amp;L'!$C$35)</f>
        <v>9618.12</v>
      </c>
      <c r="R362" s="214">
        <f>((SUM(R125:R128))*'Data - P&amp;L'!$C$34)+((SUM(R130:R133))*'Data - P&amp;L'!$C$35)</f>
        <v>10498.08</v>
      </c>
      <c r="S362" s="214">
        <f>((SUM(S125:S128))*'Data - P&amp;L'!$C$34)+((SUM(S130:S133))*'Data - P&amp;L'!$C$35)</f>
        <v>13263.06</v>
      </c>
      <c r="T362" s="214">
        <f>((SUM(T125:T128))*'Data - P&amp;L'!$C$34)+((SUM(T130:T133))*'Data - P&amp;L'!$C$35)</f>
        <v>14084.1</v>
      </c>
      <c r="U362" s="214">
        <f>((SUM(U125:U128))*'Data - P&amp;L'!$C$34)+((SUM(U130:U133))*'Data - P&amp;L'!$C$35)</f>
        <v>14664.54</v>
      </c>
      <c r="V362" s="214">
        <f>((SUM(V125:V128))*'Data - P&amp;L'!$C$34)+((SUM(V130:V133))*'Data - P&amp;L'!$C$35)</f>
        <v>15280.32</v>
      </c>
      <c r="W362" s="214">
        <f>((SUM(W125:W128))*'Data - P&amp;L'!$C$34)+((SUM(W130:W133))*'Data - P&amp;L'!$C$35)</f>
        <v>22126.98</v>
      </c>
      <c r="X362" s="214">
        <f>((SUM(X125:X128))*'Data - P&amp;L'!$C$34)+((SUM(X130:X133))*'Data - P&amp;L'!$C$35)</f>
        <v>26407.62</v>
      </c>
      <c r="Y362" s="214">
        <f>((SUM(Y125:Y128))*'Data - P&amp;L'!$C$34)+((SUM(Y130:Y133))*'Data - P&amp;L'!$C$35)</f>
        <v>73723.56</v>
      </c>
      <c r="Z362" s="214">
        <f>((SUM(Z125:Z128))*'Data - P&amp;L'!$C$34)+((SUM(Z130:Z133))*'Data - P&amp;L'!$C$35)</f>
        <v>46483.8</v>
      </c>
      <c r="AA362" s="214">
        <f>((SUM(AA125:AA128))*'Data - P&amp;L'!$C$34)+((SUM(AA130:AA133))*'Data - P&amp;L'!$C$35)</f>
        <v>33989.16</v>
      </c>
      <c r="AB362" s="214">
        <f>((SUM(AB125:AB128))*'Data - P&amp;L'!$C$34)+((SUM(AB130:AB133))*'Data - P&amp;L'!$C$35)</f>
        <v>52951.62</v>
      </c>
      <c r="AC362" s="214">
        <f>((SUM(AC125:AC128))*'Data - P&amp;L'!$C$34)+((SUM(AC130:AC133))*'Data - P&amp;L'!$C$35)</f>
        <v>36585.42</v>
      </c>
      <c r="AD362" s="214">
        <f>((SUM(AD125:AD128))*'Data - P&amp;L'!$C$34)+((SUM(AD130:AD133))*'Data - P&amp;L'!$C$35)</f>
        <v>5755.8</v>
      </c>
      <c r="AE362" s="214">
        <f>((SUM(AE125:AE128))*'Data - P&amp;L'!$C$34)+((SUM(AE130:AE133))*'Data - P&amp;L'!$C$35)</f>
        <v>5155.74</v>
      </c>
      <c r="AF362" s="89">
        <f t="shared" si="107"/>
        <v>532207.02</v>
      </c>
    </row>
    <row r="363">
      <c r="A363" s="364" t="s">
        <v>586</v>
      </c>
      <c r="B363" s="66">
        <f>((SUM(B138:B145))*'Data - P&amp;L'!$D$38)+((SUM(B149:B156))*'Data - P&amp;L'!$D$39)</f>
        <v>844.135</v>
      </c>
      <c r="C363" s="66">
        <f>((SUM(C138:C145))*'Data - P&amp;L'!$D$38)+((SUM(C149:C156))*'Data - P&amp;L'!$D$39)</f>
        <v>1063.59</v>
      </c>
      <c r="D363" s="66">
        <f>((SUM(D138:D145))*'Data - P&amp;L'!$D$38)+((SUM(D149:D156))*'Data - P&amp;L'!$D$39)</f>
        <v>1016.26</v>
      </c>
      <c r="E363" s="66">
        <f>((SUM(E138:E145))*'Data - P&amp;L'!$D$38)+((SUM(E149:E156))*'Data - P&amp;L'!$D$39)</f>
        <v>1076.43</v>
      </c>
      <c r="F363" s="66">
        <f>((SUM(F138:F145))*'Data - P&amp;L'!$D$38)+((SUM(F149:F156))*'Data - P&amp;L'!$D$39)</f>
        <v>1103.76</v>
      </c>
      <c r="G363" s="66">
        <f>((SUM(G138:G145))*'Data - P&amp;L'!$D$38)+((SUM(G149:G156))*'Data - P&amp;L'!$D$39)</f>
        <v>1034.815</v>
      </c>
      <c r="H363" s="66">
        <f>((SUM(H138:H145))*'Data - P&amp;L'!$D$38)+((SUM(H149:H156))*'Data - P&amp;L'!$D$39)</f>
        <v>1019.035</v>
      </c>
      <c r="I363" s="66">
        <f>((SUM(I138:I145))*'Data - P&amp;L'!$D$38)+((SUM(I149:I156))*'Data - P&amp;L'!$D$39)</f>
        <v>1064.915</v>
      </c>
      <c r="J363" s="66">
        <f>((SUM(J138:J145))*'Data - P&amp;L'!$D$38)+((SUM(J149:J156))*'Data - P&amp;L'!$D$39)</f>
        <v>1092.22</v>
      </c>
      <c r="K363" s="66">
        <f>((SUM(K138:K145))*'Data - P&amp;L'!$D$38)+((SUM(K149:K156))*'Data - P&amp;L'!$D$39)</f>
        <v>1066.375</v>
      </c>
      <c r="L363" s="66">
        <f>((SUM(L138:L145))*'Data - P&amp;L'!$D$38)+((SUM(L149:L156))*'Data - P&amp;L'!$D$39)</f>
        <v>1463.825</v>
      </c>
      <c r="M363" s="66">
        <f>((SUM(M138:M145))*'Data - P&amp;L'!$D$38)+((SUM(M149:M156))*'Data - P&amp;L'!$D$39)</f>
        <v>1522.765</v>
      </c>
      <c r="N363" s="66">
        <f>((SUM(N138:N145))*'Data - P&amp;L'!$D$38)+((SUM(N149:N156))*'Data - P&amp;L'!$D$39)</f>
        <v>1670.635</v>
      </c>
      <c r="O363" s="66">
        <f>((SUM(O138:O145))*'Data - P&amp;L'!$D$38)+((SUM(O149:O156))*'Data - P&amp;L'!$D$39)</f>
        <v>1217.14</v>
      </c>
      <c r="P363" s="66">
        <f>((SUM(P138:P145))*'Data - P&amp;L'!$D$38)+((SUM(P149:P156))*'Data - P&amp;L'!$D$39)</f>
        <v>1079.47</v>
      </c>
      <c r="Q363" s="66">
        <f>((SUM(Q138:Q145))*'Data - P&amp;L'!$D$38)+((SUM(Q149:Q156))*'Data - P&amp;L'!$D$39)</f>
        <v>1039.26</v>
      </c>
      <c r="R363" s="66">
        <f>((SUM(R138:R145))*'Data - P&amp;L'!$D$38)+((SUM(R149:R156))*'Data - P&amp;L'!$D$39)</f>
        <v>1072.215</v>
      </c>
      <c r="S363" s="66">
        <f>((SUM(S138:S145))*'Data - P&amp;L'!$D$38)+((SUM(S149:S156))*'Data - P&amp;L'!$D$39)</f>
        <v>1349.375</v>
      </c>
      <c r="T363" s="66">
        <f>((SUM(T138:T145))*'Data - P&amp;L'!$D$38)+((SUM(T149:T156))*'Data - P&amp;L'!$D$39)</f>
        <v>1069.405</v>
      </c>
      <c r="U363" s="66">
        <f>((SUM(U138:U145))*'Data - P&amp;L'!$D$38)+((SUM(U149:U156))*'Data - P&amp;L'!$D$39)</f>
        <v>1419.745</v>
      </c>
      <c r="V363" s="66">
        <f>((SUM(V138:V145))*'Data - P&amp;L'!$D$38)+((SUM(V149:V156))*'Data - P&amp;L'!$D$39)</f>
        <v>1479.895</v>
      </c>
      <c r="W363" s="66">
        <f>((SUM(W138:W145))*'Data - P&amp;L'!$D$38)+((SUM(W149:W156))*'Data - P&amp;L'!$D$39)</f>
        <v>2302.445</v>
      </c>
      <c r="X363" s="66">
        <f>((SUM(X138:X145))*'Data - P&amp;L'!$D$38)+((SUM(X149:X156))*'Data - P&amp;L'!$D$39)</f>
        <v>2867.98</v>
      </c>
      <c r="Y363" s="66">
        <f>((SUM(Y138:Y145))*'Data - P&amp;L'!$D$38)+((SUM(Y149:Y156))*'Data - P&amp;L'!$D$39)</f>
        <v>7031.395</v>
      </c>
      <c r="Z363" s="66">
        <f>((SUM(Z138:Z145))*'Data - P&amp;L'!$D$38)+((SUM(Z149:Z156))*'Data - P&amp;L'!$D$39)</f>
        <v>4083.275</v>
      </c>
      <c r="AA363" s="66">
        <f>((SUM(AA138:AA145))*'Data - P&amp;L'!$D$38)+((SUM(AA149:AA156))*'Data - P&amp;L'!$D$39)</f>
        <v>3353.17</v>
      </c>
      <c r="AB363" s="66">
        <f>((SUM(AB138:AB145))*'Data - P&amp;L'!$D$38)+((SUM(AB149:AB156))*'Data - P&amp;L'!$D$39)</f>
        <v>4595.525</v>
      </c>
      <c r="AC363" s="66">
        <f>((SUM(AC138:AC145))*'Data - P&amp;L'!$D$38)+((SUM(AC149:AC156))*'Data - P&amp;L'!$D$39)</f>
        <v>2771.2</v>
      </c>
      <c r="AD363" s="66">
        <f>((SUM(AD138:AD145))*'Data - P&amp;L'!$D$38)+((SUM(AD149:AD156))*'Data - P&amp;L'!$D$39)</f>
        <v>343.005</v>
      </c>
      <c r="AE363" s="66">
        <f>((SUM(AE138:AE145))*'Data - P&amp;L'!$D$38)+((SUM(AE149:AE156))*'Data - P&amp;L'!$D$39)</f>
        <v>335.9</v>
      </c>
      <c r="AF363" s="89">
        <f t="shared" si="107"/>
        <v>52449.16</v>
      </c>
    </row>
    <row r="364">
      <c r="A364" s="364" t="s">
        <v>598</v>
      </c>
      <c r="B364" s="66">
        <f>(B146*'Data - P&amp;L'!$D$34)+(B157*'Data - P&amp;L'!$D$35)</f>
        <v>7091.15</v>
      </c>
      <c r="C364" s="66">
        <f>(C146*'Data - P&amp;L'!$D$34)+(C157*'Data - P&amp;L'!$D$35)</f>
        <v>9194.46</v>
      </c>
      <c r="D364" s="66">
        <f>(D146*'Data - P&amp;L'!$D$34)+(D157*'Data - P&amp;L'!$D$35)</f>
        <v>8736.2</v>
      </c>
      <c r="E364" s="66">
        <f>(E146*'Data - P&amp;L'!$D$34)+(E157*'Data - P&amp;L'!$D$35)</f>
        <v>9410.94</v>
      </c>
      <c r="F364" s="66">
        <f>(F146*'Data - P&amp;L'!$D$34)+(F157*'Data - P&amp;L'!$D$35)</f>
        <v>9568.24</v>
      </c>
      <c r="G364" s="66">
        <f>(G146*'Data - P&amp;L'!$D$34)+(G157*'Data - P&amp;L'!$D$35)</f>
        <v>9037.71</v>
      </c>
      <c r="H364" s="66">
        <f>(H146*'Data - P&amp;L'!$D$34)+(H157*'Data - P&amp;L'!$D$35)</f>
        <v>8889.43</v>
      </c>
      <c r="I364" s="66">
        <f>(I146*'Data - P&amp;L'!$D$34)+(I157*'Data - P&amp;L'!$D$35)</f>
        <v>9354.95</v>
      </c>
      <c r="J364" s="66">
        <f>(J146*'Data - P&amp;L'!$D$34)+(J157*'Data - P&amp;L'!$D$35)</f>
        <v>9545.8</v>
      </c>
      <c r="K364" s="66">
        <f>(K146*'Data - P&amp;L'!$D$34)+(K157*'Data - P&amp;L'!$D$35)</f>
        <v>9334.27</v>
      </c>
      <c r="L364" s="66">
        <f>(L146*'Data - P&amp;L'!$D$34)+(L157*'Data - P&amp;L'!$D$35)</f>
        <v>12959.65</v>
      </c>
      <c r="M364" s="66">
        <f>(M146*'Data - P&amp;L'!$D$34)+(M157*'Data - P&amp;L'!$D$35)</f>
        <v>13346.41</v>
      </c>
      <c r="N364" s="66">
        <f>(N146*'Data - P&amp;L'!$D$34)+(N157*'Data - P&amp;L'!$D$35)</f>
        <v>14584.79</v>
      </c>
      <c r="O364" s="66">
        <f>(O146*'Data - P&amp;L'!$D$34)+(O157*'Data - P&amp;L'!$D$35)</f>
        <v>10564.84</v>
      </c>
      <c r="P364" s="66">
        <f>(P146*'Data - P&amp;L'!$D$34)+(P157*'Data - P&amp;L'!$D$35)</f>
        <v>9208.54</v>
      </c>
      <c r="Q364" s="66">
        <f>(Q146*'Data - P&amp;L'!$D$34)+(Q157*'Data - P&amp;L'!$D$35)</f>
        <v>8888.44</v>
      </c>
      <c r="R364" s="66">
        <f>(R146*'Data - P&amp;L'!$D$34)+(R157*'Data - P&amp;L'!$D$35)</f>
        <v>9251.55</v>
      </c>
      <c r="S364" s="66">
        <f>(S146*'Data - P&amp;L'!$D$34)+(S157*'Data - P&amp;L'!$D$35)</f>
        <v>11460.35</v>
      </c>
      <c r="T364" s="66">
        <f>(T146*'Data - P&amp;L'!$D$34)+(T157*'Data - P&amp;L'!$D$35)</f>
        <v>9145.29</v>
      </c>
      <c r="U364" s="66">
        <f>(U146*'Data - P&amp;L'!$D$34)+(U157*'Data - P&amp;L'!$D$35)</f>
        <v>12017.17</v>
      </c>
      <c r="V364" s="66">
        <f>(V146*'Data - P&amp;L'!$D$34)+(V157*'Data - P&amp;L'!$D$35)</f>
        <v>12718.75</v>
      </c>
      <c r="W364" s="66">
        <f>(W146*'Data - P&amp;L'!$D$34)+(W157*'Data - P&amp;L'!$D$35)</f>
        <v>19697.37</v>
      </c>
      <c r="X364" s="66">
        <f>(X146*'Data - P&amp;L'!$D$34)+(X157*'Data - P&amp;L'!$D$35)</f>
        <v>24573.56</v>
      </c>
      <c r="Y364" s="66">
        <f>(Y146*'Data - P&amp;L'!$D$34)+(Y157*'Data - P&amp;L'!$D$35)</f>
        <v>61265.27</v>
      </c>
      <c r="Z364" s="66">
        <f>(Z146*'Data - P&amp;L'!$D$34)+(Z157*'Data - P&amp;L'!$D$35)</f>
        <v>35675.75</v>
      </c>
      <c r="AA364" s="66">
        <f>(AA146*'Data - P&amp;L'!$D$34)+(AA157*'Data - P&amp;L'!$D$35)</f>
        <v>28708.9</v>
      </c>
      <c r="AB364" s="66">
        <f>(AB146*'Data - P&amp;L'!$D$34)+(AB157*'Data - P&amp;L'!$D$35)</f>
        <v>40330.73</v>
      </c>
      <c r="AC364" s="66">
        <f>(AC146*'Data - P&amp;L'!$D$34)+(AC157*'Data - P&amp;L'!$D$35)</f>
        <v>24563.44</v>
      </c>
      <c r="AD364" s="66">
        <f>(AD146*'Data - P&amp;L'!$D$34)+(AD157*'Data - P&amp;L'!$D$35)</f>
        <v>3022.25</v>
      </c>
      <c r="AE364" s="66">
        <f>(AE146*'Data - P&amp;L'!$D$34)+(AE157*'Data - P&amp;L'!$D$35)</f>
        <v>2863.96</v>
      </c>
      <c r="AF364" s="89">
        <f t="shared" si="107"/>
        <v>455010.16</v>
      </c>
    </row>
    <row r="365">
      <c r="A365" s="378" t="s">
        <v>603</v>
      </c>
      <c r="B365" s="329">
        <f>B70*'Data - P&amp;L'!$E$23</f>
        <v>0</v>
      </c>
      <c r="C365" s="329">
        <f>C70*'Data - P&amp;L'!$E$23</f>
        <v>0</v>
      </c>
      <c r="D365" s="329">
        <f>D70*'Data - P&amp;L'!$E$23</f>
        <v>0</v>
      </c>
      <c r="E365" s="329">
        <f>E70*'Data - P&amp;L'!$E$23</f>
        <v>0</v>
      </c>
      <c r="F365" s="329">
        <f>F70*'Data - P&amp;L'!$E$23</f>
        <v>0</v>
      </c>
      <c r="G365" s="329">
        <f>G70*'Data - P&amp;L'!$E$23</f>
        <v>0</v>
      </c>
      <c r="H365" s="329">
        <f>H70*'Data - P&amp;L'!$E$23</f>
        <v>0</v>
      </c>
      <c r="I365" s="329">
        <f>I70*'Data - P&amp;L'!$E$23</f>
        <v>0</v>
      </c>
      <c r="J365" s="329">
        <f>J70*'Data - P&amp;L'!$E$23</f>
        <v>108</v>
      </c>
      <c r="K365" s="329">
        <f>K70*'Data - P&amp;L'!$E$23</f>
        <v>70.2</v>
      </c>
      <c r="L365" s="329">
        <f>L70*'Data - P&amp;L'!$E$23</f>
        <v>64.8</v>
      </c>
      <c r="M365" s="329">
        <f>M70*'Data - P&amp;L'!$E$23</f>
        <v>27</v>
      </c>
      <c r="N365" s="329">
        <f>N70*'Data - P&amp;L'!$E$23</f>
        <v>0</v>
      </c>
      <c r="O365" s="329">
        <f>O70*'Data - P&amp;L'!$E$23</f>
        <v>135</v>
      </c>
      <c r="P365" s="329">
        <f>P70*'Data - P&amp;L'!$E$23</f>
        <v>129.6</v>
      </c>
      <c r="Q365" s="329">
        <f>Q70*'Data - P&amp;L'!$E$23</f>
        <v>156.6</v>
      </c>
      <c r="R365" s="329">
        <f>R70*'Data - P&amp;L'!$E$23</f>
        <v>118.8</v>
      </c>
      <c r="S365" s="329">
        <f>S70*'Data - P&amp;L'!$E$23</f>
        <v>54</v>
      </c>
      <c r="T365" s="329">
        <f>T70*'Data - P&amp;L'!$E$23</f>
        <v>37.8</v>
      </c>
      <c r="U365" s="329">
        <f>U70*'Data - P&amp;L'!$E$23</f>
        <v>32.4</v>
      </c>
      <c r="V365" s="329">
        <f>V70*'Data - P&amp;L'!$E$23</f>
        <v>54</v>
      </c>
      <c r="W365" s="329">
        <f>W70*'Data - P&amp;L'!$E$23</f>
        <v>75.6</v>
      </c>
      <c r="X365" s="329">
        <f>X70*'Data - P&amp;L'!$E$23</f>
        <v>91.8</v>
      </c>
      <c r="Y365" s="329">
        <f>Y70*'Data - P&amp;L'!$E$23</f>
        <v>270</v>
      </c>
      <c r="Z365" s="329">
        <f>Z70*'Data - P&amp;L'!$E$23</f>
        <v>167.4</v>
      </c>
      <c r="AA365" s="329">
        <f>AA70*'Data - P&amp;L'!$E$23</f>
        <v>81</v>
      </c>
      <c r="AB365" s="329">
        <f>AB70*'Data - P&amp;L'!$E$23</f>
        <v>210.6</v>
      </c>
      <c r="AC365" s="329">
        <f>AC70*'Data - P&amp;L'!$E$23</f>
        <v>221.4</v>
      </c>
      <c r="AD365" s="329">
        <f>AD70*'Data - P&amp;L'!$E$23</f>
        <v>43.2</v>
      </c>
      <c r="AE365" s="329">
        <f>AE70*'Data - P&amp;L'!$E$23</f>
        <v>32.4</v>
      </c>
      <c r="AF365" s="143">
        <f t="shared" si="107"/>
        <v>2181.6</v>
      </c>
    </row>
    <row r="366">
      <c r="A366" s="364" t="s">
        <v>607</v>
      </c>
      <c r="B366" s="66">
        <f t="shared" ref="B366:AE366" si="108">B48</f>
        <v>5816.55</v>
      </c>
      <c r="C366" s="66">
        <f t="shared" si="108"/>
        <v>6484.85</v>
      </c>
      <c r="D366" s="66">
        <f t="shared" si="108"/>
        <v>6121.35</v>
      </c>
      <c r="E366" s="66">
        <f t="shared" si="108"/>
        <v>7055.33</v>
      </c>
      <c r="F366" s="66">
        <f t="shared" si="108"/>
        <v>7974.57</v>
      </c>
      <c r="G366" s="66">
        <f t="shared" si="108"/>
        <v>7404.84</v>
      </c>
      <c r="H366" s="66">
        <f t="shared" si="108"/>
        <v>6681.41</v>
      </c>
      <c r="I366" s="66">
        <f t="shared" si="108"/>
        <v>6882.92</v>
      </c>
      <c r="J366" s="66">
        <f t="shared" si="108"/>
        <v>7181.38</v>
      </c>
      <c r="K366" s="66">
        <f t="shared" si="108"/>
        <v>7019.7</v>
      </c>
      <c r="L366" s="66">
        <f t="shared" si="108"/>
        <v>9404.43</v>
      </c>
      <c r="M366" s="66">
        <f t="shared" si="108"/>
        <v>9065.03</v>
      </c>
      <c r="N366" s="66">
        <f t="shared" si="108"/>
        <v>8205.89</v>
      </c>
      <c r="O366" s="66">
        <f t="shared" si="108"/>
        <v>8084.43</v>
      </c>
      <c r="P366" s="66">
        <f t="shared" si="108"/>
        <v>7629.22</v>
      </c>
      <c r="Q366" s="66">
        <f t="shared" si="108"/>
        <v>6860.22</v>
      </c>
      <c r="R366" s="66">
        <f t="shared" si="108"/>
        <v>7425.77</v>
      </c>
      <c r="S366" s="66">
        <f t="shared" si="108"/>
        <v>9037.92</v>
      </c>
      <c r="T366" s="66">
        <f t="shared" si="108"/>
        <v>9827.61</v>
      </c>
      <c r="U366" s="66">
        <f t="shared" si="108"/>
        <v>10093.86</v>
      </c>
      <c r="V366" s="66">
        <f t="shared" si="108"/>
        <v>10475.13</v>
      </c>
      <c r="W366" s="66">
        <f t="shared" si="108"/>
        <v>14995.88</v>
      </c>
      <c r="X366" s="66">
        <f t="shared" si="108"/>
        <v>18816.27</v>
      </c>
      <c r="Y366" s="66">
        <f t="shared" si="108"/>
        <v>53419.13</v>
      </c>
      <c r="Z366" s="66">
        <f t="shared" si="108"/>
        <v>33357.75</v>
      </c>
      <c r="AA366" s="66">
        <f t="shared" si="108"/>
        <v>23750.75</v>
      </c>
      <c r="AB366" s="66">
        <f t="shared" si="108"/>
        <v>38985.22</v>
      </c>
      <c r="AC366" s="66">
        <f t="shared" si="108"/>
        <v>27392.47</v>
      </c>
      <c r="AD366" s="66">
        <f t="shared" si="108"/>
        <v>5705.97</v>
      </c>
      <c r="AE366" s="66">
        <f t="shared" si="108"/>
        <v>5427.14</v>
      </c>
      <c r="AF366" s="89">
        <f t="shared" si="107"/>
        <v>386582.99</v>
      </c>
    </row>
    <row r="367">
      <c r="A367" s="378" t="s">
        <v>611</v>
      </c>
      <c r="B367" s="329">
        <f>((SUM(B166:B169))+B193)*'Data - P&amp;L'!$O$3</f>
        <v>1642.08</v>
      </c>
      <c r="C367" s="329">
        <f>((SUM(C166:C169))+C193)*'Data - P&amp;L'!$O$3</f>
        <v>1181.73</v>
      </c>
      <c r="D367" s="329">
        <f>((SUM(D166:D169))+D193)*'Data - P&amp;L'!$O$3</f>
        <v>1265.66</v>
      </c>
      <c r="E367" s="329">
        <f>((SUM(E166:E169))+E193)*'Data - P&amp;L'!$O$3</f>
        <v>977.746</v>
      </c>
      <c r="F367" s="329">
        <f>((SUM(F166:F169))+F193)*'Data - P&amp;L'!$O$3</f>
        <v>1288.606</v>
      </c>
      <c r="G367" s="329">
        <f>((SUM(G166:G169))+G193)*'Data - P&amp;L'!$O$3</f>
        <v>1039.06</v>
      </c>
      <c r="H367" s="329">
        <f>((SUM(H166:H169))+H193)*'Data - P&amp;L'!$O$3</f>
        <v>943.36</v>
      </c>
      <c r="I367" s="329">
        <f>((SUM(I166:I169))+I193)*'Data - P&amp;L'!$O$3</f>
        <v>656.48</v>
      </c>
      <c r="J367" s="329">
        <f>((SUM(J166:J169))+J193)*'Data - P&amp;L'!$O$3</f>
        <v>1006.698</v>
      </c>
      <c r="K367" s="329">
        <f>((SUM(K166:K169))+K193)*'Data - P&amp;L'!$O$3</f>
        <v>889.658</v>
      </c>
      <c r="L367" s="329">
        <f>((SUM(L166:L169))+L193)*'Data - P&amp;L'!$O$3</f>
        <v>690.03</v>
      </c>
      <c r="M367" s="329">
        <f>((SUM(M166:M169))+M193)*'Data - P&amp;L'!$O$3</f>
        <v>1263.24</v>
      </c>
      <c r="N367" s="329">
        <f>((SUM(N166:N169))+N193)*'Data - P&amp;L'!$O$3</f>
        <v>1496.66</v>
      </c>
      <c r="O367" s="329">
        <f>((SUM(O166:O169))+O193)*'Data - P&amp;L'!$O$3</f>
        <v>1539.186</v>
      </c>
      <c r="P367" s="329">
        <f>((SUM(P166:P169))+P193)*'Data - P&amp;L'!$O$3</f>
        <v>2030.6</v>
      </c>
      <c r="Q367" s="329">
        <f>((SUM(Q166:Q169))+Q193)*'Data - P&amp;L'!$O$3</f>
        <v>1741.3</v>
      </c>
      <c r="R367" s="329">
        <f>((SUM(R166:R169))+R193)*'Data - P&amp;L'!$O$3</f>
        <v>1420.386</v>
      </c>
      <c r="S367" s="329">
        <f>((SUM(S166:S169))+S193)*'Data - P&amp;L'!$O$3</f>
        <v>2603.7</v>
      </c>
      <c r="T367" s="329">
        <f>((SUM(T166:T169))+T193)*'Data - P&amp;L'!$O$3</f>
        <v>2539.24</v>
      </c>
      <c r="U367" s="329">
        <f>((SUM(U166:U169))+U193)*'Data - P&amp;L'!$O$3</f>
        <v>3291.64</v>
      </c>
      <c r="V367" s="329">
        <f>((SUM(V166:V169))+V193)*'Data - P&amp;L'!$O$3</f>
        <v>2918.157</v>
      </c>
      <c r="W367" s="329">
        <f>((SUM(W166:W169))+W193)*'Data - P&amp;L'!$O$3</f>
        <v>5898.31</v>
      </c>
      <c r="X367" s="329">
        <f>((SUM(X166:X169))+X193)*'Data - P&amp;L'!$O$3</f>
        <v>5273.158</v>
      </c>
      <c r="Y367" s="329">
        <f>((SUM(Y166:Y169))+Y193)*'Data - P&amp;L'!$O$3</f>
        <v>8595.268</v>
      </c>
      <c r="Z367" s="329">
        <f>((SUM(Z166:Z169))+Z193)*'Data - P&amp;L'!$O$3</f>
        <v>4536.818</v>
      </c>
      <c r="AA367" s="329">
        <f>((SUM(AA166:AA169))+AA193)*'Data - P&amp;L'!$O$3</f>
        <v>6075.256</v>
      </c>
      <c r="AB367" s="329">
        <f>((SUM(AB166:AB169))+AB193)*'Data - P&amp;L'!$O$3</f>
        <v>4607.218</v>
      </c>
      <c r="AC367" s="329">
        <f>((SUM(AC166:AC169))+AC193)*'Data - P&amp;L'!$O$3</f>
        <v>1661.66</v>
      </c>
      <c r="AD367" s="329">
        <f>((SUM(AD166:AD169))+AD193)*'Data - P&amp;L'!$O$3</f>
        <v>557.48</v>
      </c>
      <c r="AE367" s="329">
        <f>((SUM(AE166:AE169))+AE193)*'Data - P&amp;L'!$O$3</f>
        <v>993.08</v>
      </c>
      <c r="AF367" s="143">
        <f t="shared" si="107"/>
        <v>70623.465</v>
      </c>
    </row>
    <row r="368">
      <c r="A368" s="49"/>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153"/>
    </row>
    <row r="369">
      <c r="A369" s="204" t="s">
        <v>559</v>
      </c>
      <c r="B369" s="445">
        <f t="shared" ref="B369:AE369" si="109">SUM(B349:B367)</f>
        <v>113582.1799</v>
      </c>
      <c r="C369" s="445">
        <f t="shared" si="109"/>
        <v>116637.071</v>
      </c>
      <c r="D369" s="445">
        <f t="shared" si="109"/>
        <v>119190.1129</v>
      </c>
      <c r="E369" s="445">
        <f t="shared" si="109"/>
        <v>128117.3969</v>
      </c>
      <c r="F369" s="445">
        <f t="shared" si="109"/>
        <v>139698.2511</v>
      </c>
      <c r="G369" s="445">
        <f t="shared" si="109"/>
        <v>132896.3631</v>
      </c>
      <c r="H369" s="445">
        <f t="shared" si="109"/>
        <v>120821.0753</v>
      </c>
      <c r="I369" s="445">
        <f t="shared" si="109"/>
        <v>129620.71</v>
      </c>
      <c r="J369" s="445">
        <f t="shared" si="109"/>
        <v>142927.5642</v>
      </c>
      <c r="K369" s="445">
        <f t="shared" si="109"/>
        <v>137713.4923</v>
      </c>
      <c r="L369" s="445">
        <f t="shared" si="109"/>
        <v>156929.1495</v>
      </c>
      <c r="M369" s="445">
        <f t="shared" si="109"/>
        <v>156252.484</v>
      </c>
      <c r="N369" s="445">
        <f t="shared" si="109"/>
        <v>136638.3698</v>
      </c>
      <c r="O369" s="445">
        <f t="shared" si="109"/>
        <v>141863.9093</v>
      </c>
      <c r="P369" s="445">
        <f t="shared" si="109"/>
        <v>136360.125</v>
      </c>
      <c r="Q369" s="445">
        <f t="shared" si="109"/>
        <v>127984.7357</v>
      </c>
      <c r="R369" s="445">
        <f t="shared" si="109"/>
        <v>130985.4448</v>
      </c>
      <c r="S369" s="445">
        <f t="shared" si="109"/>
        <v>159442.8378</v>
      </c>
      <c r="T369" s="445">
        <f t="shared" si="109"/>
        <v>168453.9489</v>
      </c>
      <c r="U369" s="445">
        <f t="shared" si="109"/>
        <v>181898.8674</v>
      </c>
      <c r="V369" s="445">
        <f t="shared" si="109"/>
        <v>190235.7081</v>
      </c>
      <c r="W369" s="445">
        <f t="shared" si="109"/>
        <v>264425.9448</v>
      </c>
      <c r="X369" s="445">
        <f t="shared" si="109"/>
        <v>350339.43</v>
      </c>
      <c r="Y369" s="445">
        <f t="shared" si="109"/>
        <v>983707.9358</v>
      </c>
      <c r="Z369" s="445">
        <f t="shared" si="109"/>
        <v>531901.7713</v>
      </c>
      <c r="AA369" s="445">
        <f t="shared" si="109"/>
        <v>424543.1876</v>
      </c>
      <c r="AB369" s="445">
        <f t="shared" si="109"/>
        <v>610810.2911</v>
      </c>
      <c r="AC369" s="445">
        <f t="shared" si="109"/>
        <v>424335.4672</v>
      </c>
      <c r="AD369" s="445">
        <f t="shared" si="109"/>
        <v>91484.38659</v>
      </c>
      <c r="AE369" s="445">
        <f t="shared" si="109"/>
        <v>68237.06644</v>
      </c>
      <c r="AF369" s="447">
        <f>SUM(B369:AE369)</f>
        <v>6718035.278</v>
      </c>
    </row>
    <row r="370">
      <c r="A370" s="4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10"/>
    </row>
    <row r="371">
      <c r="A371" s="4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10"/>
    </row>
    <row r="372">
      <c r="A372" s="449"/>
      <c r="B372" s="450"/>
      <c r="C372" s="450"/>
      <c r="D372" s="450"/>
      <c r="E372" s="450"/>
      <c r="F372" s="450"/>
      <c r="G372" s="450"/>
      <c r="H372" s="450"/>
      <c r="I372" s="450"/>
      <c r="J372" s="450"/>
      <c r="K372" s="450"/>
      <c r="L372" s="450"/>
      <c r="M372" s="450"/>
      <c r="N372" s="450"/>
      <c r="O372" s="450"/>
      <c r="P372" s="450"/>
      <c r="Q372" s="450"/>
      <c r="R372" s="450"/>
      <c r="S372" s="450"/>
      <c r="T372" s="450"/>
      <c r="U372" s="450"/>
      <c r="V372" s="450"/>
      <c r="W372" s="450"/>
      <c r="X372" s="450"/>
      <c r="Y372" s="450"/>
      <c r="Z372" s="450"/>
      <c r="AA372" s="450"/>
      <c r="AB372" s="450"/>
      <c r="AC372" s="450"/>
      <c r="AD372" s="450"/>
      <c r="AE372" s="450"/>
      <c r="AF372" s="451"/>
    </row>
    <row r="373">
      <c r="A373" s="233" t="s">
        <v>118</v>
      </c>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153"/>
    </row>
    <row r="374">
      <c r="A374" s="234">
        <f>SUM(B50:AE50)</f>
        <v>7000698.1</v>
      </c>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153"/>
    </row>
    <row r="375">
      <c r="A375" s="233" t="s">
        <v>300</v>
      </c>
      <c r="B375" s="468">
        <f t="shared" ref="B375:AE375" si="110">B50-B369</f>
        <v>-8293.329868</v>
      </c>
      <c r="C375" s="468">
        <f t="shared" si="110"/>
        <v>-2338.020969</v>
      </c>
      <c r="D375" s="468">
        <f t="shared" si="110"/>
        <v>-6582.962874</v>
      </c>
      <c r="E375" s="468">
        <f t="shared" si="110"/>
        <v>-6076.766852</v>
      </c>
      <c r="F375" s="468">
        <f t="shared" si="110"/>
        <v>-1812.381124</v>
      </c>
      <c r="G375" s="468">
        <f t="shared" si="110"/>
        <v>-2694.323103</v>
      </c>
      <c r="H375" s="468">
        <f t="shared" si="110"/>
        <v>-1217.01531</v>
      </c>
      <c r="I375" s="468">
        <f t="shared" si="110"/>
        <v>-6253.589968</v>
      </c>
      <c r="J375" s="468">
        <f t="shared" si="110"/>
        <v>-10168.60425</v>
      </c>
      <c r="K375" s="468">
        <f t="shared" si="110"/>
        <v>-8062.802337</v>
      </c>
      <c r="L375" s="468">
        <f t="shared" si="110"/>
        <v>13911.39055</v>
      </c>
      <c r="M375" s="468">
        <f t="shared" si="110"/>
        <v>11346.49597</v>
      </c>
      <c r="N375" s="468">
        <f t="shared" si="110"/>
        <v>7888.570171</v>
      </c>
      <c r="O375" s="468">
        <f t="shared" si="110"/>
        <v>8991.910709</v>
      </c>
      <c r="P375" s="468">
        <f t="shared" si="110"/>
        <v>2307.014982</v>
      </c>
      <c r="Q375" s="66">
        <f t="shared" si="110"/>
        <v>715.264272</v>
      </c>
      <c r="R375" s="66">
        <f t="shared" si="110"/>
        <v>6237.775177</v>
      </c>
      <c r="S375" s="66">
        <f t="shared" si="110"/>
        <v>14558.71223</v>
      </c>
      <c r="T375" s="66">
        <f t="shared" si="110"/>
        <v>16010.13105</v>
      </c>
      <c r="U375" s="66">
        <f t="shared" si="110"/>
        <v>12501.97264</v>
      </c>
      <c r="V375" s="66">
        <f t="shared" si="110"/>
        <v>7828.161938</v>
      </c>
      <c r="W375" s="66">
        <f t="shared" si="110"/>
        <v>26092.07516</v>
      </c>
      <c r="X375" s="66">
        <f t="shared" si="110"/>
        <v>-124.2700162</v>
      </c>
      <c r="Y375" s="66">
        <f t="shared" si="110"/>
        <v>-31675.64583</v>
      </c>
      <c r="Z375" s="66">
        <f t="shared" si="110"/>
        <v>57481.05871</v>
      </c>
      <c r="AA375" s="66">
        <f t="shared" si="110"/>
        <v>18057.86243</v>
      </c>
      <c r="AB375" s="66">
        <f t="shared" si="110"/>
        <v>68898.81894</v>
      </c>
      <c r="AC375" s="66">
        <f t="shared" si="110"/>
        <v>55346.38277</v>
      </c>
      <c r="AD375" s="66">
        <f t="shared" si="110"/>
        <v>13166.72341</v>
      </c>
      <c r="AE375" s="66">
        <f t="shared" si="110"/>
        <v>26622.21356</v>
      </c>
      <c r="AF375" s="89">
        <f>SUM(B375:AE375)</f>
        <v>282662.8222</v>
      </c>
    </row>
    <row r="376">
      <c r="A376" s="234">
        <f>SUM(B375:AE375)</f>
        <v>282662.8222</v>
      </c>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c r="AA376" s="235"/>
      <c r="AB376" s="235"/>
      <c r="AC376" s="235"/>
      <c r="AD376" s="235"/>
      <c r="AE376" s="235"/>
      <c r="AF376" s="153"/>
    </row>
    <row r="377">
      <c r="A377" s="233" t="s">
        <v>304</v>
      </c>
      <c r="B377" s="482">
        <f t="shared" ref="B377:AE377" si="111">B375/B50</f>
        <v>-0.07876740859</v>
      </c>
      <c r="C377" s="482">
        <f t="shared" si="111"/>
        <v>-0.0204552966</v>
      </c>
      <c r="D377" s="482">
        <f t="shared" si="111"/>
        <v>-0.05845954607</v>
      </c>
      <c r="E377" s="482">
        <f t="shared" si="111"/>
        <v>-0.04979298167</v>
      </c>
      <c r="F377" s="482">
        <f t="shared" si="111"/>
        <v>-0.01314406708</v>
      </c>
      <c r="G377" s="482">
        <f t="shared" si="111"/>
        <v>-0.0206934016</v>
      </c>
      <c r="H377" s="482">
        <f t="shared" si="111"/>
        <v>-0.01017536787</v>
      </c>
      <c r="I377" s="482">
        <f t="shared" si="111"/>
        <v>-0.05069089696</v>
      </c>
      <c r="J377" s="482">
        <f t="shared" si="111"/>
        <v>-0.07659448559</v>
      </c>
      <c r="K377" s="482">
        <f t="shared" si="111"/>
        <v>-0.06218865736</v>
      </c>
      <c r="L377" s="482">
        <f t="shared" si="111"/>
        <v>0.08142909492</v>
      </c>
      <c r="M377" s="482">
        <f t="shared" si="111"/>
        <v>0.06770026866</v>
      </c>
      <c r="N377" s="482">
        <f t="shared" si="111"/>
        <v>0.05458200506</v>
      </c>
      <c r="O377" s="482">
        <f t="shared" si="111"/>
        <v>0.0596059914</v>
      </c>
      <c r="P377" s="482">
        <f t="shared" si="111"/>
        <v>0.01663707048</v>
      </c>
      <c r="Q377" s="326">
        <f t="shared" si="111"/>
        <v>0.005557608951</v>
      </c>
      <c r="R377" s="326">
        <f t="shared" si="111"/>
        <v>0.0454571404</v>
      </c>
      <c r="S377" s="326">
        <f t="shared" si="111"/>
        <v>0.08367001462</v>
      </c>
      <c r="T377" s="326">
        <f t="shared" si="111"/>
        <v>0.08679267557</v>
      </c>
      <c r="U377" s="326">
        <f t="shared" si="111"/>
        <v>0.06431028098</v>
      </c>
      <c r="V377" s="326">
        <f t="shared" si="111"/>
        <v>0.03952342211</v>
      </c>
      <c r="W377" s="326">
        <f t="shared" si="111"/>
        <v>0.08981224353</v>
      </c>
      <c r="X377" s="326">
        <f t="shared" si="111"/>
        <v>-0.0003548390544</v>
      </c>
      <c r="Y377" s="326">
        <f t="shared" si="111"/>
        <v>-0.03327160871</v>
      </c>
      <c r="Z377" s="326">
        <f t="shared" si="111"/>
        <v>0.09752754201</v>
      </c>
      <c r="AA377" s="326">
        <f t="shared" si="111"/>
        <v>0.04079941164</v>
      </c>
      <c r="AB377" s="326">
        <f t="shared" si="111"/>
        <v>0.1013651545</v>
      </c>
      <c r="AC377" s="326">
        <f t="shared" si="111"/>
        <v>0.1153814404</v>
      </c>
      <c r="AD377" s="326">
        <f t="shared" si="111"/>
        <v>0.1258154205</v>
      </c>
      <c r="AE377" s="326">
        <f t="shared" si="111"/>
        <v>0.2806495427</v>
      </c>
      <c r="AF377" s="153"/>
    </row>
    <row r="378">
      <c r="A378" s="238">
        <f>A376/A374</f>
        <v>0.04037637649</v>
      </c>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153"/>
    </row>
    <row r="379">
      <c r="A379" s="491" t="s">
        <v>439</v>
      </c>
      <c r="B379" s="492">
        <f>Summary!B101</f>
        <v>2.799675748</v>
      </c>
      <c r="C379" s="492">
        <f>Summary!C101</f>
        <v>3.290351013</v>
      </c>
      <c r="D379" s="492">
        <f>Summary!D101</f>
        <v>2.973181949</v>
      </c>
      <c r="E379" s="492">
        <f>Summary!E101</f>
        <v>3.074768035</v>
      </c>
      <c r="F379" s="492">
        <f>Summary!F101</f>
        <v>3.491543488</v>
      </c>
      <c r="G379" s="492">
        <f>Summary!G101</f>
        <v>3.360126612</v>
      </c>
      <c r="H379" s="492">
        <f>Summary!H101</f>
        <v>3.501904419</v>
      </c>
      <c r="I379" s="492">
        <f>Summary!I101</f>
        <v>2.935492166</v>
      </c>
      <c r="J379" s="492">
        <f>Summary!J101</f>
        <v>2.70734267</v>
      </c>
      <c r="K379" s="492">
        <f>Summary!K101</f>
        <v>2.829983358</v>
      </c>
      <c r="L379" s="492">
        <f>Summary!L101</f>
        <v>4.614536409</v>
      </c>
      <c r="M379" s="492">
        <f>Summary!M101</f>
        <v>4.37510281</v>
      </c>
      <c r="N379" s="492">
        <f>Summary!N101</f>
        <v>4.060013268</v>
      </c>
      <c r="O379" s="492">
        <f>Summary!O101</f>
        <v>4.206049983</v>
      </c>
      <c r="P379" s="492">
        <f>Summary!P101</f>
        <v>3.608840288</v>
      </c>
      <c r="Q379" s="492">
        <f>Summary!Q101</f>
        <v>3.452071334</v>
      </c>
      <c r="R379" s="492">
        <f>Summary!R101</f>
        <v>4.035942292</v>
      </c>
      <c r="S379" s="492">
        <f>Summary!S101</f>
        <v>4.784300683</v>
      </c>
      <c r="T379" s="492">
        <f>Summary!T101</f>
        <v>4.449723825</v>
      </c>
      <c r="U379" s="492">
        <f>Summary!U101</f>
        <v>4.267376426</v>
      </c>
      <c r="V379" s="492">
        <f>Summary!V101</f>
        <v>4.01951115</v>
      </c>
      <c r="W379" s="492">
        <f>Summary!W101</f>
        <v>5.199918214</v>
      </c>
      <c r="X379" s="492">
        <f>Summary!X101</f>
        <v>3.44774917</v>
      </c>
      <c r="Y379" s="492">
        <f>Summary!Y101</f>
        <v>3.065231058</v>
      </c>
      <c r="Z379" s="492">
        <f>Summary!Z101</f>
        <v>5.14900163</v>
      </c>
      <c r="AA379" s="492">
        <f>Summary!AA101</f>
        <v>3.987736609</v>
      </c>
      <c r="AB379" s="492">
        <f>Summary!AB101</f>
        <v>5.106690912</v>
      </c>
      <c r="AC379" s="492">
        <f>Summary!AC101</f>
        <v>4.745299105</v>
      </c>
      <c r="AD379" s="492">
        <f>Summary!AD101</f>
        <v>2.7426862</v>
      </c>
      <c r="AE379" s="492">
        <f>Summary!AE101</f>
        <v>4.896555312</v>
      </c>
      <c r="AF379" s="451"/>
    </row>
    <row r="380">
      <c r="A380" s="49"/>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153"/>
    </row>
    <row r="381">
      <c r="A381" s="49"/>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153"/>
    </row>
    <row r="382">
      <c r="A382" s="511" t="s">
        <v>709</v>
      </c>
      <c r="B382" s="329" t="str">
        <f t="shared" ref="B382:AE382" si="112">iferror(#REF!+#REF!+#REF!+#REF!+#REF!,"")</f>
        <v/>
      </c>
      <c r="C382" s="329" t="str">
        <f t="shared" si="112"/>
        <v/>
      </c>
      <c r="D382" s="329" t="str">
        <f t="shared" si="112"/>
        <v/>
      </c>
      <c r="E382" s="329" t="str">
        <f t="shared" si="112"/>
        <v/>
      </c>
      <c r="F382" s="329" t="str">
        <f t="shared" si="112"/>
        <v/>
      </c>
      <c r="G382" s="329" t="str">
        <f t="shared" si="112"/>
        <v/>
      </c>
      <c r="H382" s="329" t="str">
        <f t="shared" si="112"/>
        <v/>
      </c>
      <c r="I382" s="329" t="str">
        <f t="shared" si="112"/>
        <v/>
      </c>
      <c r="J382" s="329" t="str">
        <f t="shared" si="112"/>
        <v/>
      </c>
      <c r="K382" s="329" t="str">
        <f t="shared" si="112"/>
        <v/>
      </c>
      <c r="L382" s="329" t="str">
        <f t="shared" si="112"/>
        <v/>
      </c>
      <c r="M382" s="329" t="str">
        <f t="shared" si="112"/>
        <v/>
      </c>
      <c r="N382" s="329" t="str">
        <f t="shared" si="112"/>
        <v/>
      </c>
      <c r="O382" s="329" t="str">
        <f t="shared" si="112"/>
        <v/>
      </c>
      <c r="P382" s="329" t="str">
        <f t="shared" si="112"/>
        <v/>
      </c>
      <c r="Q382" s="329" t="str">
        <f t="shared" si="112"/>
        <v/>
      </c>
      <c r="R382" s="329" t="str">
        <f t="shared" si="112"/>
        <v/>
      </c>
      <c r="S382" s="329" t="str">
        <f t="shared" si="112"/>
        <v/>
      </c>
      <c r="T382" s="329" t="str">
        <f t="shared" si="112"/>
        <v/>
      </c>
      <c r="U382" s="329" t="str">
        <f t="shared" si="112"/>
        <v/>
      </c>
      <c r="V382" s="329" t="str">
        <f t="shared" si="112"/>
        <v/>
      </c>
      <c r="W382" s="329" t="str">
        <f t="shared" si="112"/>
        <v/>
      </c>
      <c r="X382" s="329" t="str">
        <f t="shared" si="112"/>
        <v/>
      </c>
      <c r="Y382" s="329" t="str">
        <f t="shared" si="112"/>
        <v/>
      </c>
      <c r="Z382" s="329" t="str">
        <f t="shared" si="112"/>
        <v/>
      </c>
      <c r="AA382" s="329" t="str">
        <f t="shared" si="112"/>
        <v/>
      </c>
      <c r="AB382" s="329" t="str">
        <f t="shared" si="112"/>
        <v/>
      </c>
      <c r="AC382" s="329" t="str">
        <f t="shared" si="112"/>
        <v/>
      </c>
      <c r="AD382" s="329" t="str">
        <f t="shared" si="112"/>
        <v/>
      </c>
      <c r="AE382" s="329" t="str">
        <f t="shared" si="112"/>
        <v/>
      </c>
      <c r="AF382" s="89">
        <f t="shared" ref="AF382:AF436" si="114">SUM(B382:AE382)</f>
        <v>0</v>
      </c>
    </row>
    <row r="383">
      <c r="A383" s="364" t="s">
        <v>714</v>
      </c>
      <c r="B383" s="331">
        <f t="shared" ref="B383:AE383" si="113">SUM(B384:B394)-B395</f>
        <v>-159.035</v>
      </c>
      <c r="C383" s="331">
        <f t="shared" si="113"/>
        <v>-173.75</v>
      </c>
      <c r="D383" s="331">
        <f t="shared" si="113"/>
        <v>-611.21</v>
      </c>
      <c r="E383" s="331">
        <f t="shared" si="113"/>
        <v>0</v>
      </c>
      <c r="F383" s="331">
        <f t="shared" si="113"/>
        <v>0</v>
      </c>
      <c r="G383" s="331">
        <f t="shared" si="113"/>
        <v>-356.325</v>
      </c>
      <c r="H383" s="331">
        <f t="shared" si="113"/>
        <v>0</v>
      </c>
      <c r="I383" s="331">
        <f t="shared" si="113"/>
        <v>-274.235</v>
      </c>
      <c r="J383" s="331">
        <f t="shared" si="113"/>
        <v>-93.735</v>
      </c>
      <c r="K383" s="331">
        <f t="shared" si="113"/>
        <v>-317.28</v>
      </c>
      <c r="L383" s="331">
        <f t="shared" si="113"/>
        <v>0</v>
      </c>
      <c r="M383" s="331">
        <f t="shared" si="113"/>
        <v>0</v>
      </c>
      <c r="N383" s="331">
        <f t="shared" si="113"/>
        <v>-323.98</v>
      </c>
      <c r="O383" s="331">
        <f t="shared" si="113"/>
        <v>-94.925</v>
      </c>
      <c r="P383" s="331">
        <f t="shared" si="113"/>
        <v>-337.8</v>
      </c>
      <c r="Q383" s="331">
        <f t="shared" si="113"/>
        <v>-68.025</v>
      </c>
      <c r="R383" s="331">
        <f t="shared" si="113"/>
        <v>0</v>
      </c>
      <c r="S383" s="331">
        <f t="shared" si="113"/>
        <v>-1541.25</v>
      </c>
      <c r="T383" s="331">
        <f t="shared" si="113"/>
        <v>908.68</v>
      </c>
      <c r="U383" s="331">
        <f t="shared" si="113"/>
        <v>-1041.215</v>
      </c>
      <c r="V383" s="331">
        <f t="shared" si="113"/>
        <v>-1022.53</v>
      </c>
      <c r="W383" s="331">
        <f t="shared" si="113"/>
        <v>-787.06</v>
      </c>
      <c r="X383" s="331">
        <f t="shared" si="113"/>
        <v>-1241.38</v>
      </c>
      <c r="Y383" s="331">
        <f t="shared" si="113"/>
        <v>-1904.165</v>
      </c>
      <c r="Z383" s="331">
        <f t="shared" si="113"/>
        <v>-2688.535</v>
      </c>
      <c r="AA383" s="331">
        <f t="shared" si="113"/>
        <v>-2134.495</v>
      </c>
      <c r="AB383" s="331">
        <f t="shared" si="113"/>
        <v>-2027.975</v>
      </c>
      <c r="AC383" s="331">
        <f t="shared" si="113"/>
        <v>-3133.765</v>
      </c>
      <c r="AD383" s="331">
        <f t="shared" si="113"/>
        <v>-1347.55</v>
      </c>
      <c r="AE383" s="331">
        <f t="shared" si="113"/>
        <v>-1370.3</v>
      </c>
      <c r="AF383" s="89">
        <f t="shared" si="114"/>
        <v>-22141.84</v>
      </c>
    </row>
    <row r="384" outlineLevel="1">
      <c r="A384" s="87" t="s">
        <v>382</v>
      </c>
      <c r="B384" s="66">
        <f>(B200+B201+B205+B206)*'Data - P&amp;L'!$C$3</f>
        <v>86.9</v>
      </c>
      <c r="C384" s="66">
        <f>(C200+C201+C205+C206)*'Data - P&amp;L'!$C$3</f>
        <v>0</v>
      </c>
      <c r="D384" s="66">
        <f>(D200+D201+D205+D206)*'Data - P&amp;L'!$C$3</f>
        <v>86.9</v>
      </c>
      <c r="E384" s="66">
        <f>(E200+E201+E205+E206)*'Data - P&amp;L'!$C$3</f>
        <v>0</v>
      </c>
      <c r="F384" s="66">
        <f>(F200+F201+F205+F206)*'Data - P&amp;L'!$C$3</f>
        <v>0</v>
      </c>
      <c r="G384" s="66">
        <f>(G200+G201+G205+G206)*'Data - P&amp;L'!$C$3</f>
        <v>86.9</v>
      </c>
      <c r="H384" s="66">
        <f>(H200+H201+H205+H206)*'Data - P&amp;L'!$C$3</f>
        <v>0</v>
      </c>
      <c r="I384" s="66">
        <f>(I200+I201+I205+I206)*'Data - P&amp;L'!$C$3</f>
        <v>260.7</v>
      </c>
      <c r="J384" s="66">
        <f>(J200+J201+J205+J206)*'Data - P&amp;L'!$C$3</f>
        <v>0</v>
      </c>
      <c r="K384" s="66">
        <f>(K200+K201+K205+K206)*'Data - P&amp;L'!$C$3</f>
        <v>347.6</v>
      </c>
      <c r="L384" s="66">
        <f>(L200+L201+L205+L206)*'Data - P&amp;L'!$C$3</f>
        <v>0</v>
      </c>
      <c r="M384" s="66">
        <f>(M200+M201+M205+M206)*'Data - P&amp;L'!$C$3</f>
        <v>0</v>
      </c>
      <c r="N384" s="66">
        <f>(N200+N201+N205+N206)*'Data - P&amp;L'!$C$3</f>
        <v>0</v>
      </c>
      <c r="O384" s="66">
        <f>(O200+O201+O205+O206)*'Data - P&amp;L'!$C$3</f>
        <v>0</v>
      </c>
      <c r="P384" s="66">
        <f>(P200+P201+P205+P206)*'Data - P&amp;L'!$C$3</f>
        <v>0</v>
      </c>
      <c r="Q384" s="66">
        <f>(Q200+Q201+Q205+Q206)*'Data - P&amp;L'!$C$3</f>
        <v>86.9</v>
      </c>
      <c r="R384" s="66">
        <f>(R200+R201+R205+R206)*'Data - P&amp;L'!$C$3</f>
        <v>0</v>
      </c>
      <c r="S384" s="66">
        <f>(S200+S201+S205+S206)*'Data - P&amp;L'!$C$3</f>
        <v>0</v>
      </c>
      <c r="T384" s="66">
        <f>(T200+T201+T205+T206)*'Data - P&amp;L'!$C$3</f>
        <v>86.9</v>
      </c>
      <c r="U384" s="66">
        <f>(U200+U201+U205+U206)*'Data - P&amp;L'!$C$3</f>
        <v>86.9</v>
      </c>
      <c r="V384" s="66">
        <f>(V200+V201+V205+V206)*'Data - P&amp;L'!$C$3</f>
        <v>434.5</v>
      </c>
      <c r="W384" s="66">
        <f>(W200+W201+W205+W206)*'Data - P&amp;L'!$C$3</f>
        <v>434.5</v>
      </c>
      <c r="X384" s="66">
        <f>(X200+X201+X205+X206)*'Data - P&amp;L'!$C$3</f>
        <v>521.4</v>
      </c>
      <c r="Y384" s="66">
        <f>(Y200+Y201+Y205+Y206)*'Data - P&amp;L'!$C$3</f>
        <v>955.9</v>
      </c>
      <c r="Z384" s="66">
        <f>(Z200+Z201+Z205+Z206)*'Data - P&amp;L'!$C$3</f>
        <v>782.1</v>
      </c>
      <c r="AA384" s="66">
        <f>(AA200+AA201+AA205+AA206)*'Data - P&amp;L'!$C$3</f>
        <v>869</v>
      </c>
      <c r="AB384" s="66">
        <f>(AB200+AB201+AB205+AB206)*'Data - P&amp;L'!$C$3</f>
        <v>521.4</v>
      </c>
      <c r="AC384" s="66">
        <f>(AC200+AC201+AC205+AC206)*'Data - P&amp;L'!$C$3</f>
        <v>1564.2</v>
      </c>
      <c r="AD384" s="66">
        <f>(AD200+AD201+AD205+AD206)*'Data - P&amp;L'!$C$3</f>
        <v>173.8</v>
      </c>
      <c r="AE384" s="66">
        <f>(AE200+AE201+AE205+AE206)*'Data - P&amp;L'!$C$3</f>
        <v>695.2</v>
      </c>
      <c r="AF384" s="89">
        <f t="shared" si="114"/>
        <v>8081.7</v>
      </c>
    </row>
    <row r="385" outlineLevel="1">
      <c r="A385" s="87" t="s">
        <v>385</v>
      </c>
      <c r="B385" s="66">
        <f>(B202+B203+B207+B208)*'Data - P&amp;L'!$C$4</f>
        <v>97.61</v>
      </c>
      <c r="C385" s="66">
        <f>(C202+C203+C207+C208)*'Data - P&amp;L'!$C$4</f>
        <v>97.61</v>
      </c>
      <c r="D385" s="66">
        <f>(D202+D203+D207+D208)*'Data - P&amp;L'!$C$4</f>
        <v>390.44</v>
      </c>
      <c r="E385" s="66">
        <f>(E202+E203+E207+E208)*'Data - P&amp;L'!$C$4</f>
        <v>0</v>
      </c>
      <c r="F385" s="66">
        <f>(F202+F203+F207+F208)*'Data - P&amp;L'!$C$4</f>
        <v>0</v>
      </c>
      <c r="G385" s="66">
        <f>(G202+G203+G207+G208)*'Data - P&amp;L'!$C$4</f>
        <v>97.61</v>
      </c>
      <c r="H385" s="66">
        <f>(H202+H203+H207+H208)*'Data - P&amp;L'!$C$4</f>
        <v>0</v>
      </c>
      <c r="I385" s="66">
        <f>(I202+I203+I207+I208)*'Data - P&amp;L'!$C$4</f>
        <v>0</v>
      </c>
      <c r="J385" s="66">
        <f>(J202+J203+J207+J208)*'Data - P&amp;L'!$C$4</f>
        <v>97.61</v>
      </c>
      <c r="K385" s="66">
        <f>(K202+K203+K207+K208)*'Data - P&amp;L'!$C$4</f>
        <v>0</v>
      </c>
      <c r="L385" s="66">
        <f>(L202+L203+L207+L208)*'Data - P&amp;L'!$C$4</f>
        <v>0</v>
      </c>
      <c r="M385" s="66">
        <f>(M202+M203+M207+M208)*'Data - P&amp;L'!$C$4</f>
        <v>0</v>
      </c>
      <c r="N385" s="66">
        <f>(N202+N203+N207+N208)*'Data - P&amp;L'!$C$4</f>
        <v>292.83</v>
      </c>
      <c r="O385" s="66">
        <f>(O202+O203+O207+O208)*'Data - P&amp;L'!$C$4</f>
        <v>97.61</v>
      </c>
      <c r="P385" s="66">
        <f>(P202+P203+P207+P208)*'Data - P&amp;L'!$C$4</f>
        <v>292.83</v>
      </c>
      <c r="Q385" s="66">
        <f>(Q202+Q203+Q207+Q208)*'Data - P&amp;L'!$C$4</f>
        <v>0</v>
      </c>
      <c r="R385" s="66">
        <f>(R202+R203+R207+R208)*'Data - P&amp;L'!$C$4</f>
        <v>0</v>
      </c>
      <c r="S385" s="66">
        <f>(S202+S203+S207+S208)*'Data - P&amp;L'!$C$4</f>
        <v>0</v>
      </c>
      <c r="T385" s="66">
        <f>(T202+T203+T207+T208)*'Data - P&amp;L'!$C$4</f>
        <v>488.05</v>
      </c>
      <c r="U385" s="66">
        <f>(U202+U203+U207+U208)*'Data - P&amp;L'!$C$4</f>
        <v>585.66</v>
      </c>
      <c r="V385" s="66">
        <f>(V202+V203+V207+V208)*'Data - P&amp;L'!$C$4</f>
        <v>585.66</v>
      </c>
      <c r="W385" s="66">
        <f>(W202+W203+W207+W208)*'Data - P&amp;L'!$C$4</f>
        <v>195.22</v>
      </c>
      <c r="X385" s="66">
        <f>(X202+X203+X207+X208)*'Data - P&amp;L'!$C$4</f>
        <v>683.27</v>
      </c>
      <c r="Y385" s="66">
        <f>(Y202+Y203+Y207+Y208)*'Data - P&amp;L'!$C$4</f>
        <v>976.1</v>
      </c>
      <c r="Z385" s="66">
        <f>(Z202+Z203+Z207+Z208)*'Data - P&amp;L'!$C$4</f>
        <v>1659.37</v>
      </c>
      <c r="AA385" s="66">
        <f>(AA202+AA203+AA207+AA208)*'Data - P&amp;L'!$C$4</f>
        <v>1366.54</v>
      </c>
      <c r="AB385" s="66">
        <f>(AB202+AB203+AB207+AB208)*'Data - P&amp;L'!$C$4</f>
        <v>1561.76</v>
      </c>
      <c r="AC385" s="66">
        <f>(AC202+AC203+AC207+AC208)*'Data - P&amp;L'!$C$4</f>
        <v>1561.76</v>
      </c>
      <c r="AD385" s="66">
        <f>(AD202+AD203+AD207+AD208)*'Data - P&amp;L'!$C$4</f>
        <v>976.1</v>
      </c>
      <c r="AE385" s="66">
        <f>(AE202+AE203+AE207+AE208)*'Data - P&amp;L'!$C$4</f>
        <v>488.05</v>
      </c>
      <c r="AF385" s="89">
        <f t="shared" si="114"/>
        <v>12591.69</v>
      </c>
    </row>
    <row r="386" outlineLevel="1">
      <c r="A386" s="87" t="s">
        <v>388</v>
      </c>
      <c r="B386" s="66">
        <f>(B213+B224)*'Data - P&amp;L'!$C$6</f>
        <v>0</v>
      </c>
      <c r="C386" s="66">
        <f>(C213+C224)*'Data - P&amp;L'!$C$6</f>
        <v>5.49</v>
      </c>
      <c r="D386" s="66">
        <f>(D213+D224)*'Data - P&amp;L'!$C$6</f>
        <v>10.98</v>
      </c>
      <c r="E386" s="66">
        <f>(E213+E224)*'Data - P&amp;L'!$C$6</f>
        <v>0</v>
      </c>
      <c r="F386" s="66">
        <f>(F213+F224)*'Data - P&amp;L'!$C$6</f>
        <v>0</v>
      </c>
      <c r="G386" s="66">
        <f>(G213+G224)*'Data - P&amp;L'!$C$6</f>
        <v>10.98</v>
      </c>
      <c r="H386" s="66">
        <f>(H213+H224)*'Data - P&amp;L'!$C$6</f>
        <v>0</v>
      </c>
      <c r="I386" s="66">
        <f>(I213+I224)*'Data - P&amp;L'!$C$6</f>
        <v>5.49</v>
      </c>
      <c r="J386" s="66">
        <f>(J213+J224)*'Data - P&amp;L'!$C$6</f>
        <v>0</v>
      </c>
      <c r="K386" s="66">
        <f>(K213+K224)*'Data - P&amp;L'!$C$6</f>
        <v>0</v>
      </c>
      <c r="L386" s="66">
        <f>(L213+L224)*'Data - P&amp;L'!$C$6</f>
        <v>0</v>
      </c>
      <c r="M386" s="66">
        <f>(M213+M224)*'Data - P&amp;L'!$C$6</f>
        <v>0</v>
      </c>
      <c r="N386" s="66">
        <f>(N213+N224)*'Data - P&amp;L'!$C$6</f>
        <v>5.49</v>
      </c>
      <c r="O386" s="66">
        <f>(O213+O224)*'Data - P&amp;L'!$C$6</f>
        <v>0</v>
      </c>
      <c r="P386" s="66">
        <f>(P213+P224)*'Data - P&amp;L'!$C$6</f>
        <v>0</v>
      </c>
      <c r="Q386" s="66">
        <f>(Q213+Q224)*'Data - P&amp;L'!$C$6</f>
        <v>0</v>
      </c>
      <c r="R386" s="66">
        <f>(R213+R224)*'Data - P&amp;L'!$C$6</f>
        <v>0</v>
      </c>
      <c r="S386" s="66">
        <f>(S213+S224)*'Data - P&amp;L'!$C$6</f>
        <v>0</v>
      </c>
      <c r="T386" s="66">
        <f>(T213+T224)*'Data - P&amp;L'!$C$6</f>
        <v>5.49</v>
      </c>
      <c r="U386" s="66">
        <f>(U213+U224)*'Data - P&amp;L'!$C$6</f>
        <v>16.47</v>
      </c>
      <c r="V386" s="66">
        <f>(V213+V224)*'Data - P&amp;L'!$C$6</f>
        <v>5.49</v>
      </c>
      <c r="W386" s="66">
        <f>(W213+W224)*'Data - P&amp;L'!$C$6</f>
        <v>5.49</v>
      </c>
      <c r="X386" s="66">
        <f>(X213+X224)*'Data - P&amp;L'!$C$6</f>
        <v>16.47</v>
      </c>
      <c r="Y386" s="66">
        <f>(Y213+Y224)*'Data - P&amp;L'!$C$6</f>
        <v>21.96</v>
      </c>
      <c r="Z386" s="66">
        <f>(Z213+Z224)*'Data - P&amp;L'!$C$6</f>
        <v>32.94</v>
      </c>
      <c r="AA386" s="66">
        <f>(AA213+AA224)*'Data - P&amp;L'!$C$6</f>
        <v>10.98</v>
      </c>
      <c r="AB386" s="66">
        <f>(AB213+AB224)*'Data - P&amp;L'!$C$6</f>
        <v>16.47</v>
      </c>
      <c r="AC386" s="66">
        <f>(AC213+AC224)*'Data - P&amp;L'!$C$6</f>
        <v>49.41</v>
      </c>
      <c r="AD386" s="66">
        <f>(AD213+AD224)*'Data - P&amp;L'!$C$6</f>
        <v>16.47</v>
      </c>
      <c r="AE386" s="66">
        <f>(AE213+AE224)*'Data - P&amp;L'!$C$6</f>
        <v>21.96</v>
      </c>
      <c r="AF386" s="89">
        <f t="shared" si="114"/>
        <v>258.03</v>
      </c>
    </row>
    <row r="387" outlineLevel="1">
      <c r="A387" s="87" t="s">
        <v>390</v>
      </c>
      <c r="B387" s="66">
        <f>(B214+B225)*'Data - P&amp;L'!$C$8</f>
        <v>1.19</v>
      </c>
      <c r="C387" s="66">
        <f>(C214+C225)*'Data - P&amp;L'!$C$8</f>
        <v>0</v>
      </c>
      <c r="D387" s="66">
        <f>(D214+D225)*'Data - P&amp;L'!$C$8</f>
        <v>4.76</v>
      </c>
      <c r="E387" s="66">
        <f>(E214+E225)*'Data - P&amp;L'!$C$8</f>
        <v>0</v>
      </c>
      <c r="F387" s="66">
        <f>(F214+F225)*'Data - P&amp;L'!$C$8</f>
        <v>0</v>
      </c>
      <c r="G387" s="66">
        <f>(G214+G225)*'Data - P&amp;L'!$C$8</f>
        <v>1.19</v>
      </c>
      <c r="H387" s="66">
        <f>(H214+H225)*'Data - P&amp;L'!$C$8</f>
        <v>0</v>
      </c>
      <c r="I387" s="66">
        <f>(I214+I225)*'Data - P&amp;L'!$C$8</f>
        <v>3.57</v>
      </c>
      <c r="J387" s="66">
        <f>(J214+J225)*'Data - P&amp;L'!$C$8</f>
        <v>1.19</v>
      </c>
      <c r="K387" s="66">
        <f>(K214+K225)*'Data - P&amp;L'!$C$8</f>
        <v>1.19</v>
      </c>
      <c r="L387" s="66">
        <f>(L214+L225)*'Data - P&amp;L'!$C$8</f>
        <v>0</v>
      </c>
      <c r="M387" s="66">
        <f>(M214+M225)*'Data - P&amp;L'!$C$8</f>
        <v>0</v>
      </c>
      <c r="N387" s="66">
        <f>(N214+N225)*'Data - P&amp;L'!$C$8</f>
        <v>1.19</v>
      </c>
      <c r="O387" s="66">
        <f>(O214+O225)*'Data - P&amp;L'!$C$8</f>
        <v>1.19</v>
      </c>
      <c r="P387" s="66">
        <f>(P214+P225)*'Data - P&amp;L'!$C$8</f>
        <v>0</v>
      </c>
      <c r="Q387" s="66">
        <f>(Q214+Q225)*'Data - P&amp;L'!$C$8</f>
        <v>1.19</v>
      </c>
      <c r="R387" s="66">
        <f>(R214+R225)*'Data - P&amp;L'!$C$8</f>
        <v>0</v>
      </c>
      <c r="S387" s="66">
        <f>(S214+S225)*'Data - P&amp;L'!$C$8</f>
        <v>0</v>
      </c>
      <c r="T387" s="66">
        <f>(T214+T225)*'Data - P&amp;L'!$C$8</f>
        <v>4.76</v>
      </c>
      <c r="U387" s="66">
        <f>(U214+U225)*'Data - P&amp;L'!$C$8</f>
        <v>5.95</v>
      </c>
      <c r="V387" s="66">
        <f>(V214+V225)*'Data - P&amp;L'!$C$8</f>
        <v>7.14</v>
      </c>
      <c r="W387" s="66">
        <f>(W214+W225)*'Data - P&amp;L'!$C$8</f>
        <v>3.57</v>
      </c>
      <c r="X387" s="66">
        <f>(X214+X225)*'Data - P&amp;L'!$C$8</f>
        <v>5.95</v>
      </c>
      <c r="Y387" s="66">
        <f>(Y214+Y225)*'Data - P&amp;L'!$C$8</f>
        <v>17.85</v>
      </c>
      <c r="Z387" s="66">
        <f>(Z214+Z225)*'Data - P&amp;L'!$C$8</f>
        <v>15.47</v>
      </c>
      <c r="AA387" s="66">
        <f>(AA214+AA225)*'Data - P&amp;L'!$C$8</f>
        <v>16.66</v>
      </c>
      <c r="AB387" s="66">
        <f>(AB214+AB225)*'Data - P&amp;L'!$C$8</f>
        <v>16.66</v>
      </c>
      <c r="AC387" s="66">
        <f>(AC214+AC225)*'Data - P&amp;L'!$C$8</f>
        <v>29.75</v>
      </c>
      <c r="AD387" s="66">
        <f>(AD214+AD225)*'Data - P&amp;L'!$C$8</f>
        <v>11.9</v>
      </c>
      <c r="AE387" s="66">
        <f>(AE214+AE225)*'Data - P&amp;L'!$C$8</f>
        <v>7.14</v>
      </c>
      <c r="AF387" s="89">
        <f t="shared" si="114"/>
        <v>159.46</v>
      </c>
    </row>
    <row r="388" outlineLevel="1">
      <c r="A388" s="87" t="s">
        <v>395</v>
      </c>
      <c r="B388" s="66">
        <f>(B215+B216+B226+B227)*'Data - P&amp;L'!$C$9</f>
        <v>0</v>
      </c>
      <c r="C388" s="66">
        <f>(C215+C216+C226+C227)*'Data - P&amp;L'!$C$9</f>
        <v>0</v>
      </c>
      <c r="D388" s="66">
        <f>(D215+D216+D226+D227)*'Data - P&amp;L'!$C$9</f>
        <v>6.66</v>
      </c>
      <c r="E388" s="66">
        <f>(E215+E216+E226+E227)*'Data - P&amp;L'!$C$9</f>
        <v>0</v>
      </c>
      <c r="F388" s="66">
        <f>(F215+F216+F226+F227)*'Data - P&amp;L'!$C$9</f>
        <v>0</v>
      </c>
      <c r="G388" s="66">
        <f>(G215+G216+G226+G227)*'Data - P&amp;L'!$C$9</f>
        <v>0</v>
      </c>
      <c r="H388" s="66">
        <f>(H215+H216+H226+H227)*'Data - P&amp;L'!$C$9</f>
        <v>0</v>
      </c>
      <c r="I388" s="66">
        <f>(I215+I216+I226+I227)*'Data - P&amp;L'!$C$9</f>
        <v>13.32</v>
      </c>
      <c r="J388" s="66">
        <f>(J215+J216+J226+J227)*'Data - P&amp;L'!$C$9</f>
        <v>0</v>
      </c>
      <c r="K388" s="66">
        <f>(K215+K216+K226+K227)*'Data - P&amp;L'!$C$9</f>
        <v>0</v>
      </c>
      <c r="L388" s="66">
        <f>(L215+L216+L226+L227)*'Data - P&amp;L'!$C$9</f>
        <v>0</v>
      </c>
      <c r="M388" s="66">
        <f>(M215+M216+M226+M227)*'Data - P&amp;L'!$C$9</f>
        <v>0</v>
      </c>
      <c r="N388" s="66">
        <f>(N215+N216+N226+N227)*'Data - P&amp;L'!$C$9</f>
        <v>0</v>
      </c>
      <c r="O388" s="66">
        <f>(O215+O216+O226+O227)*'Data - P&amp;L'!$C$9</f>
        <v>0</v>
      </c>
      <c r="P388" s="66">
        <f>(P215+P216+P226+P227)*'Data - P&amp;L'!$C$9</f>
        <v>0</v>
      </c>
      <c r="Q388" s="66">
        <f>(Q215+Q216+Q226+Q227)*'Data - P&amp;L'!$C$9</f>
        <v>0</v>
      </c>
      <c r="R388" s="66">
        <f>(R215+R216+R226+R227)*'Data - P&amp;L'!$C$9</f>
        <v>0</v>
      </c>
      <c r="S388" s="66">
        <f>(S215+S216+S226+S227)*'Data - P&amp;L'!$C$9</f>
        <v>0</v>
      </c>
      <c r="T388" s="66">
        <f>(T215+T216+T226+T227)*'Data - P&amp;L'!$C$9</f>
        <v>0</v>
      </c>
      <c r="U388" s="66">
        <f>(U215+U216+U226+U227)*'Data - P&amp;L'!$C$9</f>
        <v>6.66</v>
      </c>
      <c r="V388" s="66">
        <f>(V215+V216+V226+V227)*'Data - P&amp;L'!$C$9</f>
        <v>6.66</v>
      </c>
      <c r="W388" s="66">
        <f>(W215+W216+W226+W227)*'Data - P&amp;L'!$C$9</f>
        <v>0</v>
      </c>
      <c r="X388" s="66">
        <f>(X215+X216+X226+X227)*'Data - P&amp;L'!$C$9</f>
        <v>13.32</v>
      </c>
      <c r="Y388" s="66">
        <f>(Y215+Y216+Y226+Y227)*'Data - P&amp;L'!$C$9</f>
        <v>6.66</v>
      </c>
      <c r="Z388" s="66">
        <f>(Z215+Z216+Z226+Z227)*'Data - P&amp;L'!$C$9</f>
        <v>6.66</v>
      </c>
      <c r="AA388" s="66">
        <f>(AA215+AA216+AA226+AA227)*'Data - P&amp;L'!$C$9</f>
        <v>6.66</v>
      </c>
      <c r="AB388" s="66">
        <f>(AB215+AB216+AB226+AB227)*'Data - P&amp;L'!$C$9</f>
        <v>6.66</v>
      </c>
      <c r="AC388" s="66">
        <f>(AC215+AC216+AC226+AC227)*'Data - P&amp;L'!$C$9</f>
        <v>19.98</v>
      </c>
      <c r="AD388" s="66">
        <f>(AD215+AD216+AD226+AD227)*'Data - P&amp;L'!$C$9</f>
        <v>19.98</v>
      </c>
      <c r="AE388" s="66">
        <f>(AE215+AE216+AE226+AE227)*'Data - P&amp;L'!$C$9</f>
        <v>13.32</v>
      </c>
      <c r="AF388" s="89">
        <f t="shared" si="114"/>
        <v>126.54</v>
      </c>
    </row>
    <row r="389" outlineLevel="1">
      <c r="A389" s="87" t="s">
        <v>401</v>
      </c>
      <c r="B389" s="66">
        <f>(B217+B218+B228+B229)*'Data - P&amp;L'!$C$5</f>
        <v>0</v>
      </c>
      <c r="C389" s="66">
        <f>(C217+C218+C228+C229)*'Data - P&amp;L'!$C$5</f>
        <v>0</v>
      </c>
      <c r="D389" s="66">
        <f>(D217+D218+D228+D229)*'Data - P&amp;L'!$C$5</f>
        <v>0</v>
      </c>
      <c r="E389" s="66">
        <f>(E217+E218+E228+E229)*'Data - P&amp;L'!$C$5</f>
        <v>0</v>
      </c>
      <c r="F389" s="66">
        <f>(F217+F218+F228+F229)*'Data - P&amp;L'!$C$5</f>
        <v>0</v>
      </c>
      <c r="G389" s="66">
        <f>(G217+G218+G228+G229)*'Data - P&amp;L'!$C$5</f>
        <v>0</v>
      </c>
      <c r="H389" s="66">
        <f>(H217+H218+H228+H229)*'Data - P&amp;L'!$C$5</f>
        <v>0</v>
      </c>
      <c r="I389" s="66">
        <f>(I217+I218+I228+I229)*'Data - P&amp;L'!$C$5</f>
        <v>13.44</v>
      </c>
      <c r="J389" s="66">
        <f>(J217+J218+J228+J229)*'Data - P&amp;L'!$C$5</f>
        <v>0</v>
      </c>
      <c r="K389" s="66">
        <f>(K217+K218+K228+K229)*'Data - P&amp;L'!$C$5</f>
        <v>0</v>
      </c>
      <c r="L389" s="66">
        <f>(L217+L218+L228+L229)*'Data - P&amp;L'!$C$5</f>
        <v>0</v>
      </c>
      <c r="M389" s="66">
        <f>(M217+M218+M228+M229)*'Data - P&amp;L'!$C$5</f>
        <v>0</v>
      </c>
      <c r="N389" s="66">
        <f>(N217+N218+N228+N229)*'Data - P&amp;L'!$C$5</f>
        <v>0</v>
      </c>
      <c r="O389" s="66">
        <f>(O217+O218+O228+O229)*'Data - P&amp;L'!$C$5</f>
        <v>0</v>
      </c>
      <c r="P389" s="66">
        <f>(P217+P218+P228+P229)*'Data - P&amp;L'!$C$5</f>
        <v>0</v>
      </c>
      <c r="Q389" s="66">
        <f>(Q217+Q218+Q228+Q229)*'Data - P&amp;L'!$C$5</f>
        <v>0</v>
      </c>
      <c r="R389" s="66">
        <f>(R217+R218+R228+R229)*'Data - P&amp;L'!$C$5</f>
        <v>0</v>
      </c>
      <c r="S389" s="66">
        <f>(S217+S218+S228+S229)*'Data - P&amp;L'!$C$5</f>
        <v>0</v>
      </c>
      <c r="T389" s="66">
        <f>(T217+T218+T228+T229)*'Data - P&amp;L'!$C$5</f>
        <v>13.44</v>
      </c>
      <c r="U389" s="66">
        <f>(U217+U218+U228+U229)*'Data - P&amp;L'!$C$5</f>
        <v>26.88</v>
      </c>
      <c r="V389" s="66">
        <f>(V217+V218+V228+V229)*'Data - P&amp;L'!$C$5</f>
        <v>0</v>
      </c>
      <c r="W389" s="66">
        <f>(W217+W218+W228+W229)*'Data - P&amp;L'!$C$5</f>
        <v>13.44</v>
      </c>
      <c r="X389" s="66">
        <f>(X217+X218+X228+X229)*'Data - P&amp;L'!$C$5</f>
        <v>0</v>
      </c>
      <c r="Y389" s="66">
        <f>(Y217+Y218+Y228+Y229)*'Data - P&amp;L'!$C$5</f>
        <v>13.44</v>
      </c>
      <c r="Z389" s="66">
        <f>(Z217+Z218+Z228+Z229)*'Data - P&amp;L'!$C$5</f>
        <v>0</v>
      </c>
      <c r="AA389" s="66">
        <f>(AA217+AA218+AA228+AA229)*'Data - P&amp;L'!$C$5</f>
        <v>13.44</v>
      </c>
      <c r="AB389" s="66">
        <f>(AB217+AB218+AB228+AB229)*'Data - P&amp;L'!$C$5</f>
        <v>13.44</v>
      </c>
      <c r="AC389" s="66">
        <f>(AC217+AC218+AC228+AC229)*'Data - P&amp;L'!$C$5</f>
        <v>0</v>
      </c>
      <c r="AD389" s="66">
        <f>(AD217+AD218+AD228+AD229)*'Data - P&amp;L'!$C$5</f>
        <v>13.44</v>
      </c>
      <c r="AE389" s="66">
        <f>(AE217+AE218+AE228+AE229)*'Data - P&amp;L'!$C$5</f>
        <v>0</v>
      </c>
      <c r="AF389" s="89">
        <f t="shared" si="114"/>
        <v>120.96</v>
      </c>
    </row>
    <row r="390" outlineLevel="1">
      <c r="A390" s="87" t="s">
        <v>404</v>
      </c>
      <c r="B390" s="66">
        <f>(B219+B220+B230+B231)*'Data - P&amp;L'!$C$10</f>
        <v>0</v>
      </c>
      <c r="C390" s="66">
        <f>(C219+C220+C230+C231)*'Data - P&amp;L'!$C$10</f>
        <v>18</v>
      </c>
      <c r="D390" s="66">
        <f>(D219+D220+D230+D231)*'Data - P&amp;L'!$C$10</f>
        <v>6</v>
      </c>
      <c r="E390" s="66">
        <f>(E219+E220+E230+E231)*'Data - P&amp;L'!$C$10</f>
        <v>0</v>
      </c>
      <c r="F390" s="66">
        <f>(F219+F220+F230+F231)*'Data - P&amp;L'!$C$10</f>
        <v>0</v>
      </c>
      <c r="G390" s="66">
        <f>(G219+G220+G230+G231)*'Data - P&amp;L'!$C$10</f>
        <v>12</v>
      </c>
      <c r="H390" s="66">
        <f>(H219+H220+H230+H231)*'Data - P&amp;L'!$C$10</f>
        <v>0</v>
      </c>
      <c r="I390" s="66">
        <f>(I219+I220+I230+I231)*'Data - P&amp;L'!$C$10</f>
        <v>0</v>
      </c>
      <c r="J390" s="66">
        <f>(J219+J220+J230+J231)*'Data - P&amp;L'!$C$10</f>
        <v>0</v>
      </c>
      <c r="K390" s="66">
        <f>(K219+K220+K230+K231)*'Data - P&amp;L'!$C$10</f>
        <v>12</v>
      </c>
      <c r="L390" s="66">
        <f>(L219+L220+L230+L231)*'Data - P&amp;L'!$C$10</f>
        <v>0</v>
      </c>
      <c r="M390" s="66">
        <f>(M219+M220+M230+M231)*'Data - P&amp;L'!$C$10</f>
        <v>0</v>
      </c>
      <c r="N390" s="66">
        <f>(N219+N220+N230+N231)*'Data - P&amp;L'!$C$10</f>
        <v>0</v>
      </c>
      <c r="O390" s="66">
        <f>(O219+O220+O230+O231)*'Data - P&amp;L'!$C$10</f>
        <v>0</v>
      </c>
      <c r="P390" s="66">
        <f>(P219+P220+P230+P231)*'Data - P&amp;L'!$C$10</f>
        <v>0</v>
      </c>
      <c r="Q390" s="66">
        <f>(Q219+Q220+Q230+Q231)*'Data - P&amp;L'!$C$10</f>
        <v>0</v>
      </c>
      <c r="R390" s="66">
        <f>(R219+R220+R230+R231)*'Data - P&amp;L'!$C$10</f>
        <v>0</v>
      </c>
      <c r="S390" s="66">
        <f>(S219+S220+S230+S231)*'Data - P&amp;L'!$C$10</f>
        <v>0</v>
      </c>
      <c r="T390" s="66">
        <f>(T219+T220+T230+T231)*'Data - P&amp;L'!$C$10</f>
        <v>12</v>
      </c>
      <c r="U390" s="66">
        <f>(U219+U220+U230+U231)*'Data - P&amp;L'!$C$10</f>
        <v>6</v>
      </c>
      <c r="V390" s="66">
        <f>(V219+V220+V230+V231)*'Data - P&amp;L'!$C$10</f>
        <v>12</v>
      </c>
      <c r="W390" s="66">
        <f>(W219+W220+W230+W231)*'Data - P&amp;L'!$C$10</f>
        <v>0</v>
      </c>
      <c r="X390" s="66">
        <f>(X219+X220+X230+X231)*'Data - P&amp;L'!$C$10</f>
        <v>24</v>
      </c>
      <c r="Y390" s="66">
        <f>(Y219+Y220+Y230+Y231)*'Data - P&amp;L'!$C$10</f>
        <v>24</v>
      </c>
      <c r="Z390" s="66">
        <f>(Z219+Z220+Z230+Z231)*'Data - P&amp;L'!$C$10</f>
        <v>30</v>
      </c>
      <c r="AA390" s="66">
        <f>(AA219+AA220+AA230+AA231)*'Data - P&amp;L'!$C$10</f>
        <v>18</v>
      </c>
      <c r="AB390" s="66">
        <f>(AB219+AB220+AB230+AB231)*'Data - P&amp;L'!$C$10</f>
        <v>18</v>
      </c>
      <c r="AC390" s="66">
        <f>(AC219+AC220+AC230+AC231)*'Data - P&amp;L'!$C$10</f>
        <v>48</v>
      </c>
      <c r="AD390" s="66">
        <f>(AD219+AD220+AD230+AD231)*'Data - P&amp;L'!$C$10</f>
        <v>6</v>
      </c>
      <c r="AE390" s="66">
        <f>(AE219+AE220+AE230+AE231)*'Data - P&amp;L'!$C$10</f>
        <v>12</v>
      </c>
      <c r="AF390" s="89">
        <f t="shared" si="114"/>
        <v>258</v>
      </c>
    </row>
    <row r="391" outlineLevel="1">
      <c r="A391" s="87" t="s">
        <v>405</v>
      </c>
      <c r="B391" s="66">
        <f>((SUM(B200:B203))*'Data - P&amp;L'!$C$38)+((SUM(B205:B208))*'Data - P&amp;L'!$C$39)</f>
        <v>23.88</v>
      </c>
      <c r="C391" s="66">
        <f>((SUM(C200:C203))*'Data - P&amp;L'!$C$38)+((SUM(C205:C208))*'Data - P&amp;L'!$C$39)</f>
        <v>11.94</v>
      </c>
      <c r="D391" s="66">
        <f>((SUM(D200:D203))*'Data - P&amp;L'!$C$38)+((SUM(D205:D208))*'Data - P&amp;L'!$C$39)</f>
        <v>59.7</v>
      </c>
      <c r="E391" s="66">
        <f>((SUM(E200:E203))*'Data - P&amp;L'!$C$38)+((SUM(E205:E208))*'Data - P&amp;L'!$C$39)</f>
        <v>0</v>
      </c>
      <c r="F391" s="66">
        <f>((SUM(F200:F203))*'Data - P&amp;L'!$C$38)+((SUM(F205:F208))*'Data - P&amp;L'!$C$39)</f>
        <v>0</v>
      </c>
      <c r="G391" s="66">
        <f>((SUM(G200:G203))*'Data - P&amp;L'!$C$38)+((SUM(G205:G208))*'Data - P&amp;L'!$C$39)</f>
        <v>23.88</v>
      </c>
      <c r="H391" s="66">
        <f>((SUM(H200:H203))*'Data - P&amp;L'!$C$38)+((SUM(H205:H208))*'Data - P&amp;L'!$C$39)</f>
        <v>0</v>
      </c>
      <c r="I391" s="66">
        <f>((SUM(I200:I203))*'Data - P&amp;L'!$C$38)+((SUM(I205:I208))*'Data - P&amp;L'!$C$39)</f>
        <v>35.82</v>
      </c>
      <c r="J391" s="66">
        <f>((SUM(J200:J203))*'Data - P&amp;L'!$C$38)+((SUM(J205:J208))*'Data - P&amp;L'!$C$39)</f>
        <v>11.94</v>
      </c>
      <c r="K391" s="66">
        <f>((SUM(K200:K203))*'Data - P&amp;L'!$C$38)+((SUM(K205:K208))*'Data - P&amp;L'!$C$39)</f>
        <v>47.76</v>
      </c>
      <c r="L391" s="66">
        <f>((SUM(L200:L203))*'Data - P&amp;L'!$C$38)+((SUM(L205:L208))*'Data - P&amp;L'!$C$39)</f>
        <v>0</v>
      </c>
      <c r="M391" s="66">
        <f>((SUM(M200:M203))*'Data - P&amp;L'!$C$38)+((SUM(M205:M208))*'Data - P&amp;L'!$C$39)</f>
        <v>0</v>
      </c>
      <c r="N391" s="66">
        <f>((SUM(N200:N203))*'Data - P&amp;L'!$C$38)+((SUM(N205:N208))*'Data - P&amp;L'!$C$39)</f>
        <v>35.82</v>
      </c>
      <c r="O391" s="66">
        <f>((SUM(O200:O203))*'Data - P&amp;L'!$C$38)+((SUM(O205:O208))*'Data - P&amp;L'!$C$39)</f>
        <v>11.94</v>
      </c>
      <c r="P391" s="66">
        <f>((SUM(P200:P203))*'Data - P&amp;L'!$C$38)+((SUM(P205:P208))*'Data - P&amp;L'!$C$39)</f>
        <v>35.82</v>
      </c>
      <c r="Q391" s="66">
        <f>((SUM(Q200:Q203))*'Data - P&amp;L'!$C$38)+((SUM(Q205:Q208))*'Data - P&amp;L'!$C$39)</f>
        <v>11.94</v>
      </c>
      <c r="R391" s="66">
        <f>((SUM(R200:R203))*'Data - P&amp;L'!$C$38)+((SUM(R205:R208))*'Data - P&amp;L'!$C$39)</f>
        <v>0</v>
      </c>
      <c r="S391" s="66">
        <f>((SUM(S200:S203))*'Data - P&amp;L'!$C$38)+((SUM(S205:S208))*'Data - P&amp;L'!$C$39)</f>
        <v>0</v>
      </c>
      <c r="T391" s="66">
        <f>((SUM(T200:T203))*'Data - P&amp;L'!$C$38)+((SUM(T205:T208))*'Data - P&amp;L'!$C$39)</f>
        <v>71.64</v>
      </c>
      <c r="U391" s="66">
        <f>((SUM(U200:U203))*'Data - P&amp;L'!$C$38)+((SUM(U205:U208))*'Data - P&amp;L'!$C$39)</f>
        <v>83.58</v>
      </c>
      <c r="V391" s="66">
        <f>((SUM(V200:V203))*'Data - P&amp;L'!$C$38)+((SUM(V205:V208))*'Data - P&amp;L'!$C$39)</f>
        <v>131.34</v>
      </c>
      <c r="W391" s="66">
        <f>((SUM(W200:W203))*'Data - P&amp;L'!$C$38)+((SUM(W205:W208))*'Data - P&amp;L'!$C$39)</f>
        <v>83.58</v>
      </c>
      <c r="X391" s="66">
        <f>((SUM(X200:X203))*'Data - P&amp;L'!$C$38)+((SUM(X205:X208))*'Data - P&amp;L'!$C$39)</f>
        <v>155.22</v>
      </c>
      <c r="Y391" s="66">
        <f>((SUM(Y200:Y203))*'Data - P&amp;L'!$C$38)+((SUM(Y205:Y208))*'Data - P&amp;L'!$C$39)</f>
        <v>250.74</v>
      </c>
      <c r="Z391" s="66">
        <f>((SUM(Z200:Z203))*'Data - P&amp;L'!$C$38)+((SUM(Z205:Z208))*'Data - P&amp;L'!$C$39)</f>
        <v>310.44</v>
      </c>
      <c r="AA391" s="66">
        <f>((SUM(AA200:AA203))*'Data - P&amp;L'!$C$38)+((SUM(AA205:AA208))*'Data - P&amp;L'!$C$39)</f>
        <v>286.56</v>
      </c>
      <c r="AB391" s="66">
        <f>((SUM(AB200:AB203))*'Data - P&amp;L'!$C$38)+((SUM(AB205:AB208))*'Data - P&amp;L'!$C$39)</f>
        <v>262.68</v>
      </c>
      <c r="AC391" s="66">
        <f>((SUM(AC200:AC203))*'Data - P&amp;L'!$C$38)+((SUM(AC205:AC208))*'Data - P&amp;L'!$C$39)</f>
        <v>405.96</v>
      </c>
      <c r="AD391" s="66">
        <f>((SUM(AD200:AD203))*'Data - P&amp;L'!$C$38)+((SUM(AD205:AD208))*'Data - P&amp;L'!$C$39)</f>
        <v>143.28</v>
      </c>
      <c r="AE391" s="66">
        <f>((SUM(AE200:AE203))*'Data - P&amp;L'!$C$38)+((SUM(AE205:AE208))*'Data - P&amp;L'!$C$39)</f>
        <v>155.22</v>
      </c>
      <c r="AF391" s="89">
        <f t="shared" si="114"/>
        <v>2650.68</v>
      </c>
    </row>
    <row r="392" outlineLevel="1">
      <c r="A392" s="87" t="s">
        <v>778</v>
      </c>
      <c r="B392" s="66">
        <f>((B200+B201+B202+B203)*'Data - P&amp;L'!$C$34)+((B205+B206+B207+B208)*'Data - P&amp;L'!$C$35)</f>
        <v>37.32</v>
      </c>
      <c r="C392" s="66">
        <f>((C200+C201+C202+C203)*'Data - P&amp;L'!$C$34)+((C205+C206+C207+C208)*'Data - P&amp;L'!$C$35)</f>
        <v>18.66</v>
      </c>
      <c r="D392" s="66">
        <f>((D200+D201+D202+D203)*'Data - P&amp;L'!$C$34)+((D205+D206+D207+D208)*'Data - P&amp;L'!$C$35)</f>
        <v>89.7</v>
      </c>
      <c r="E392" s="66">
        <f>((E200+E201+E202+E203)*'Data - P&amp;L'!$C$34)+((E205+E206+E207+E208)*'Data - P&amp;L'!$C$35)</f>
        <v>0</v>
      </c>
      <c r="F392" s="66">
        <f>((F200+F201+F202+F203)*'Data - P&amp;L'!$C$34)+((F205+F206+F207+F208)*'Data - P&amp;L'!$C$35)</f>
        <v>0</v>
      </c>
      <c r="G392" s="66">
        <f>((G200+G201+G202+G203)*'Data - P&amp;L'!$C$34)+((G205+G206+G207+G208)*'Data - P&amp;L'!$C$35)</f>
        <v>37.32</v>
      </c>
      <c r="H392" s="66">
        <f>((H200+H201+H202+H203)*'Data - P&amp;L'!$C$34)+((H205+H206+H207+H208)*'Data - P&amp;L'!$C$35)</f>
        <v>0</v>
      </c>
      <c r="I392" s="66">
        <f>((I200+I201+I202+I203)*'Data - P&amp;L'!$C$34)+((I205+I206+I207+I208)*'Data - P&amp;L'!$C$35)</f>
        <v>55.98</v>
      </c>
      <c r="J392" s="66">
        <f>((J200+J201+J202+J203)*'Data - P&amp;L'!$C$34)+((J205+J206+J207+J208)*'Data - P&amp;L'!$C$35)</f>
        <v>18.66</v>
      </c>
      <c r="K392" s="66">
        <f>((K200+K201+K202+K203)*'Data - P&amp;L'!$C$34)+((K205+K206+K207+K208)*'Data - P&amp;L'!$C$35)</f>
        <v>74.64</v>
      </c>
      <c r="L392" s="66">
        <f>((L200+L201+L202+L203)*'Data - P&amp;L'!$C$34)+((L205+L206+L207+L208)*'Data - P&amp;L'!$C$35)</f>
        <v>0</v>
      </c>
      <c r="M392" s="66">
        <f>((M200+M201+M202+M203)*'Data - P&amp;L'!$C$34)+((M205+M206+M207+M208)*'Data - P&amp;L'!$C$35)</f>
        <v>0</v>
      </c>
      <c r="N392" s="66">
        <f>((N200+N201+N202+N203)*'Data - P&amp;L'!$C$34)+((N205+N206+N207+N208)*'Data - P&amp;L'!$C$35)</f>
        <v>55.98</v>
      </c>
      <c r="O392" s="66">
        <f>((O200+O201+O202+O203)*'Data - P&amp;L'!$C$34)+((O205+O206+O207+O208)*'Data - P&amp;L'!$C$35)</f>
        <v>18.66</v>
      </c>
      <c r="P392" s="66">
        <f>((P200+P201+P202+P203)*'Data - P&amp;L'!$C$34)+((P205+P206+P207+P208)*'Data - P&amp;L'!$C$35)</f>
        <v>55.98</v>
      </c>
      <c r="Q392" s="66">
        <f>((Q200+Q201+Q202+Q203)*'Data - P&amp;L'!$C$34)+((Q205+Q206+Q207+Q208)*'Data - P&amp;L'!$C$35)</f>
        <v>18.66</v>
      </c>
      <c r="R392" s="66">
        <f>((R200+R201+R202+R203)*'Data - P&amp;L'!$C$34)+((R205+R206+R207+R208)*'Data - P&amp;L'!$C$35)</f>
        <v>0</v>
      </c>
      <c r="S392" s="66">
        <f>((S200+S201+S202+S203)*'Data - P&amp;L'!$C$34)+((S205+S206+S207+S208)*'Data - P&amp;L'!$C$35)</f>
        <v>0</v>
      </c>
      <c r="T392" s="66">
        <f>((T200+T201+T202+T203)*'Data - P&amp;L'!$C$34)+((T205+T206+T207+T208)*'Data - P&amp;L'!$C$35)</f>
        <v>111.96</v>
      </c>
      <c r="U392" s="66">
        <f>((U200+U201+U202+U203)*'Data - P&amp;L'!$C$34)+((U205+U206+U207+U208)*'Data - P&amp;L'!$C$35)</f>
        <v>127.02</v>
      </c>
      <c r="V392" s="66">
        <f>((V200+V201+V202+V203)*'Data - P&amp;L'!$C$34)+((V205+V206+V207+V208)*'Data - P&amp;L'!$C$35)</f>
        <v>201.66</v>
      </c>
      <c r="W392" s="66">
        <f>((W200+W201+W202+W203)*'Data - P&amp;L'!$C$34)+((W205+W206+W207+W208)*'Data - P&amp;L'!$C$35)</f>
        <v>119.82</v>
      </c>
      <c r="X392" s="66">
        <f>((X200+X201+X202+X203)*'Data - P&amp;L'!$C$34)+((X205+X206+X207+X208)*'Data - P&amp;L'!$C$35)</f>
        <v>242.58</v>
      </c>
      <c r="Y392" s="66">
        <f>((Y200+Y201+Y202+Y203)*'Data - P&amp;L'!$C$34)+((Y205+Y206+Y207+Y208)*'Data - P&amp;L'!$C$35)</f>
        <v>391.86</v>
      </c>
      <c r="Z392" s="66">
        <f>((Z200+Z201+Z202+Z203)*'Data - P&amp;L'!$C$34)+((Z205+Z206+Z207+Z208)*'Data - P&amp;L'!$C$35)</f>
        <v>481.56</v>
      </c>
      <c r="AA392" s="66">
        <f>((AA200+AA201+AA202+AA203)*'Data - P&amp;L'!$C$34)+((AA205+AA206+AA207+AA208)*'Data - P&amp;L'!$C$35)</f>
        <v>447.84</v>
      </c>
      <c r="AB392" s="66">
        <f>((AB200+AB201+AB202+AB203)*'Data - P&amp;L'!$C$34)+((AB205+AB206+AB207+AB208)*'Data - P&amp;L'!$C$35)</f>
        <v>403.32</v>
      </c>
      <c r="AC392" s="66">
        <f>((AC200+AC201+AC202+AC203)*'Data - P&amp;L'!$C$34)+((AC205+AC206+AC207+AC208)*'Data - P&amp;L'!$C$35)</f>
        <v>634.44</v>
      </c>
      <c r="AD392" s="66">
        <f>((AD200+AD201+AD202+AD203)*'Data - P&amp;L'!$C$34)+((AD205+AD206+AD207+AD208)*'Data - P&amp;L'!$C$35)</f>
        <v>216.72</v>
      </c>
      <c r="AE392" s="66">
        <f>((AE200+AE201+AE202+AE203)*'Data - P&amp;L'!$C$34)+((AE205+AE206+AE207+AE208)*'Data - P&amp;L'!$C$35)</f>
        <v>242.58</v>
      </c>
      <c r="AF392" s="89">
        <f t="shared" si="114"/>
        <v>4102.92</v>
      </c>
    </row>
    <row r="393" outlineLevel="1">
      <c r="A393" s="87" t="s">
        <v>467</v>
      </c>
      <c r="B393" s="66">
        <f>(B221*'Data - P&amp;L'!$D$38)+(B232*'Data - P&amp;L'!$D$39)</f>
        <v>1.435</v>
      </c>
      <c r="C393" s="66">
        <f>(C221*'Data - P&amp;L'!$D$38)+(C232*'Data - P&amp;L'!$D$39)</f>
        <v>5.74</v>
      </c>
      <c r="D393" s="66">
        <f>(D221*'Data - P&amp;L'!$D$38)+(D232*'Data - P&amp;L'!$D$39)</f>
        <v>11.49</v>
      </c>
      <c r="E393" s="66">
        <f>(E221*'Data - P&amp;L'!$D$38)+(E232*'Data - P&amp;L'!$D$39)</f>
        <v>0</v>
      </c>
      <c r="F393" s="66">
        <f>(F221*'Data - P&amp;L'!$D$38)+(F232*'Data - P&amp;L'!$D$39)</f>
        <v>0</v>
      </c>
      <c r="G393" s="66">
        <f>(G221*'Data - P&amp;L'!$D$38)+(G232*'Data - P&amp;L'!$D$39)</f>
        <v>7.175</v>
      </c>
      <c r="H393" s="66">
        <f>(H221*'Data - P&amp;L'!$D$38)+(H232*'Data - P&amp;L'!$D$39)</f>
        <v>0</v>
      </c>
      <c r="I393" s="66">
        <f>(I221*'Data - P&amp;L'!$D$38)+(I232*'Data - P&amp;L'!$D$39)</f>
        <v>10.045</v>
      </c>
      <c r="J393" s="66">
        <f>(J221*'Data - P&amp;L'!$D$38)+(J232*'Data - P&amp;L'!$D$39)</f>
        <v>1.435</v>
      </c>
      <c r="K393" s="66">
        <f>(K221*'Data - P&amp;L'!$D$38)+(K232*'Data - P&amp;L'!$D$39)</f>
        <v>4.31</v>
      </c>
      <c r="L393" s="66">
        <f>(L221*'Data - P&amp;L'!$D$38)+(L232*'Data - P&amp;L'!$D$39)</f>
        <v>0</v>
      </c>
      <c r="M393" s="66">
        <f>(M221*'Data - P&amp;L'!$D$38)+(M232*'Data - P&amp;L'!$D$39)</f>
        <v>0</v>
      </c>
      <c r="N393" s="66">
        <f>(N221*'Data - P&amp;L'!$D$38)+(N232*'Data - P&amp;L'!$D$39)</f>
        <v>2.87</v>
      </c>
      <c r="O393" s="66">
        <f>(O221*'Data - P&amp;L'!$D$38)+(O232*'Data - P&amp;L'!$D$39)</f>
        <v>1.435</v>
      </c>
      <c r="P393" s="66">
        <f>(P221*'Data - P&amp;L'!$D$38)+(P232*'Data - P&amp;L'!$D$39)</f>
        <v>0</v>
      </c>
      <c r="Q393" s="66">
        <f>(Q221*'Data - P&amp;L'!$D$38)+(Q232*'Data - P&amp;L'!$D$39)</f>
        <v>1.435</v>
      </c>
      <c r="R393" s="66">
        <f>(R221*'Data - P&amp;L'!$D$38)+(R232*'Data - P&amp;L'!$D$39)</f>
        <v>0</v>
      </c>
      <c r="S393" s="66">
        <f>(S221*'Data - P&amp;L'!$D$38)+(S232*'Data - P&amp;L'!$D$39)</f>
        <v>0</v>
      </c>
      <c r="T393" s="66">
        <f>(T221*'Data - P&amp;L'!$D$38)+(T232*'Data - P&amp;L'!$D$39)</f>
        <v>11.48</v>
      </c>
      <c r="U393" s="66">
        <f>(U221*'Data - P&amp;L'!$D$38)+(U232*'Data - P&amp;L'!$D$39)</f>
        <v>17.235</v>
      </c>
      <c r="V393" s="66">
        <f>(V221*'Data - P&amp;L'!$D$38)+(V232*'Data - P&amp;L'!$D$39)</f>
        <v>14.36</v>
      </c>
      <c r="W393" s="66">
        <f>(W221*'Data - P&amp;L'!$D$38)+(W232*'Data - P&amp;L'!$D$39)</f>
        <v>7.18</v>
      </c>
      <c r="X393" s="66">
        <f>(X221*'Data - P&amp;L'!$D$38)+(X232*'Data - P&amp;L'!$D$39)</f>
        <v>20.09</v>
      </c>
      <c r="Y393" s="66">
        <f>(Y221*'Data - P&amp;L'!$D$38)+(Y232*'Data - P&amp;L'!$D$39)</f>
        <v>35.875</v>
      </c>
      <c r="Z393" s="66">
        <f>(Z221*'Data - P&amp;L'!$D$38)+(Z232*'Data - P&amp;L'!$D$39)</f>
        <v>35.875</v>
      </c>
      <c r="AA393" s="66">
        <f>(AA221*'Data - P&amp;L'!$D$38)+(AA232*'Data - P&amp;L'!$D$39)</f>
        <v>30.135</v>
      </c>
      <c r="AB393" s="66">
        <f>(AB221*'Data - P&amp;L'!$D$38)+(AB232*'Data - P&amp;L'!$D$39)</f>
        <v>31.575</v>
      </c>
      <c r="AC393" s="66">
        <f>(AC221*'Data - P&amp;L'!$D$38)+(AC232*'Data - P&amp;L'!$D$39)</f>
        <v>64.575</v>
      </c>
      <c r="AD393" s="66">
        <f>(AD221*'Data - P&amp;L'!$D$38)+(AD232*'Data - P&amp;L'!$D$39)</f>
        <v>25.85</v>
      </c>
      <c r="AE393" s="66">
        <f>(AE221*'Data - P&amp;L'!$D$38)+(AE232*'Data - P&amp;L'!$D$39)</f>
        <v>20.09</v>
      </c>
      <c r="AF393" s="89">
        <f t="shared" si="114"/>
        <v>361.69</v>
      </c>
    </row>
    <row r="394" outlineLevel="1">
      <c r="A394" s="87" t="s">
        <v>786</v>
      </c>
      <c r="B394" s="66">
        <f>(B221*'Data - P&amp;L'!$D$34)+(B232*'Data - P&amp;L'!$D$35)</f>
        <v>12.87</v>
      </c>
      <c r="C394" s="66">
        <f>(C221*'Data - P&amp;L'!$D$34)+(C232*'Data - P&amp;L'!$D$35)</f>
        <v>51.48</v>
      </c>
      <c r="D394" s="66">
        <f>(D221*'Data - P&amp;L'!$D$34)+(D232*'Data - P&amp;L'!$D$35)</f>
        <v>89.54</v>
      </c>
      <c r="E394" s="66">
        <f>(E221*'Data - P&amp;L'!$D$34)+(E232*'Data - P&amp;L'!$D$35)</f>
        <v>0</v>
      </c>
      <c r="F394" s="66">
        <f>(F221*'Data - P&amp;L'!$D$34)+(F232*'Data - P&amp;L'!$D$35)</f>
        <v>0</v>
      </c>
      <c r="G394" s="66">
        <f>(G221*'Data - P&amp;L'!$D$34)+(G232*'Data - P&amp;L'!$D$35)</f>
        <v>64.35</v>
      </c>
      <c r="H394" s="66">
        <f>(H221*'Data - P&amp;L'!$D$34)+(H232*'Data - P&amp;L'!$D$35)</f>
        <v>0</v>
      </c>
      <c r="I394" s="66">
        <f>(I221*'Data - P&amp;L'!$D$34)+(I232*'Data - P&amp;L'!$D$35)</f>
        <v>90.09</v>
      </c>
      <c r="J394" s="66">
        <f>(J221*'Data - P&amp;L'!$D$34)+(J232*'Data - P&amp;L'!$D$35)</f>
        <v>12.87</v>
      </c>
      <c r="K394" s="66">
        <f>(K221*'Data - P&amp;L'!$D$34)+(K232*'Data - P&amp;L'!$D$35)</f>
        <v>31.9</v>
      </c>
      <c r="L394" s="66">
        <f>(L221*'Data - P&amp;L'!$D$34)+(L232*'Data - P&amp;L'!$D$35)</f>
        <v>0</v>
      </c>
      <c r="M394" s="66">
        <f>(M221*'Data - P&amp;L'!$D$34)+(M232*'Data - P&amp;L'!$D$35)</f>
        <v>0</v>
      </c>
      <c r="N394" s="66">
        <f>(N221*'Data - P&amp;L'!$D$34)+(N232*'Data - P&amp;L'!$D$35)</f>
        <v>25.74</v>
      </c>
      <c r="O394" s="66">
        <f>(O221*'Data - P&amp;L'!$D$34)+(O232*'Data - P&amp;L'!$D$35)</f>
        <v>12.87</v>
      </c>
      <c r="P394" s="66">
        <f>(P221*'Data - P&amp;L'!$D$34)+(P232*'Data - P&amp;L'!$D$35)</f>
        <v>0</v>
      </c>
      <c r="Q394" s="66">
        <f>(Q221*'Data - P&amp;L'!$D$34)+(Q232*'Data - P&amp;L'!$D$35)</f>
        <v>12.87</v>
      </c>
      <c r="R394" s="66">
        <f>(R221*'Data - P&amp;L'!$D$34)+(R232*'Data - P&amp;L'!$D$35)</f>
        <v>0</v>
      </c>
      <c r="S394" s="66">
        <f>(S221*'Data - P&amp;L'!$D$34)+(S232*'Data - P&amp;L'!$D$35)</f>
        <v>0</v>
      </c>
      <c r="T394" s="66">
        <f>(T221*'Data - P&amp;L'!$D$34)+(T232*'Data - P&amp;L'!$D$35)</f>
        <v>102.96</v>
      </c>
      <c r="U394" s="66">
        <f>(U221*'Data - P&amp;L'!$D$34)+(U232*'Data - P&amp;L'!$D$35)</f>
        <v>134.31</v>
      </c>
      <c r="V394" s="66">
        <f>(V221*'Data - P&amp;L'!$D$34)+(V232*'Data - P&amp;L'!$D$35)</f>
        <v>115.28</v>
      </c>
      <c r="W394" s="66">
        <f>(W221*'Data - P&amp;L'!$D$34)+(W232*'Data - P&amp;L'!$D$35)</f>
        <v>57.64</v>
      </c>
      <c r="X394" s="66">
        <f>(X221*'Data - P&amp;L'!$D$34)+(X232*'Data - P&amp;L'!$D$35)</f>
        <v>180.18</v>
      </c>
      <c r="Y394" s="66">
        <f>(Y221*'Data - P&amp;L'!$D$34)+(Y232*'Data - P&amp;L'!$D$35)</f>
        <v>321.75</v>
      </c>
      <c r="Z394" s="66">
        <f>(Z221*'Data - P&amp;L'!$D$34)+(Z232*'Data - P&amp;L'!$D$35)</f>
        <v>321.75</v>
      </c>
      <c r="AA394" s="66">
        <f>(AA221*'Data - P&amp;L'!$D$34)+(AA232*'Data - P&amp;L'!$D$35)</f>
        <v>270.27</v>
      </c>
      <c r="AB394" s="66">
        <f>(AB221*'Data - P&amp;L'!$D$34)+(AB232*'Data - P&amp;L'!$D$35)</f>
        <v>276.43</v>
      </c>
      <c r="AC394" s="66">
        <f>(AC221*'Data - P&amp;L'!$D$34)+(AC232*'Data - P&amp;L'!$D$35)</f>
        <v>579.15</v>
      </c>
      <c r="AD394" s="66">
        <f>(AD221*'Data - P&amp;L'!$D$34)+(AD232*'Data - P&amp;L'!$D$35)</f>
        <v>204.82</v>
      </c>
      <c r="AE394" s="66">
        <f>(AE221*'Data - P&amp;L'!$D$34)+(AE232*'Data - P&amp;L'!$D$35)</f>
        <v>180.18</v>
      </c>
      <c r="AF394" s="89">
        <f t="shared" si="114"/>
        <v>3149.3</v>
      </c>
    </row>
    <row r="395" outlineLevel="1">
      <c r="A395" s="87" t="s">
        <v>471</v>
      </c>
      <c r="B395" s="66">
        <f t="shared" ref="B395:AE395" si="115">B236+B241</f>
        <v>420.24</v>
      </c>
      <c r="C395" s="66">
        <f t="shared" si="115"/>
        <v>382.67</v>
      </c>
      <c r="D395" s="66">
        <f t="shared" si="115"/>
        <v>1367.38</v>
      </c>
      <c r="E395" s="66">
        <f t="shared" si="115"/>
        <v>0</v>
      </c>
      <c r="F395" s="66">
        <f t="shared" si="115"/>
        <v>0</v>
      </c>
      <c r="G395" s="66">
        <f t="shared" si="115"/>
        <v>697.73</v>
      </c>
      <c r="H395" s="66">
        <f t="shared" si="115"/>
        <v>0</v>
      </c>
      <c r="I395" s="66">
        <f t="shared" si="115"/>
        <v>762.69</v>
      </c>
      <c r="J395" s="66">
        <f t="shared" si="115"/>
        <v>237.44</v>
      </c>
      <c r="K395" s="66">
        <f t="shared" si="115"/>
        <v>836.68</v>
      </c>
      <c r="L395" s="66">
        <f t="shared" si="115"/>
        <v>0</v>
      </c>
      <c r="M395" s="66">
        <f t="shared" si="115"/>
        <v>0</v>
      </c>
      <c r="N395" s="66">
        <f t="shared" si="115"/>
        <v>743.9</v>
      </c>
      <c r="O395" s="66">
        <f t="shared" si="115"/>
        <v>238.63</v>
      </c>
      <c r="P395" s="66">
        <f t="shared" si="115"/>
        <v>722.43</v>
      </c>
      <c r="Q395" s="66">
        <f t="shared" si="115"/>
        <v>201.02</v>
      </c>
      <c r="R395" s="66">
        <f t="shared" si="115"/>
        <v>0</v>
      </c>
      <c r="S395" s="66">
        <f t="shared" si="115"/>
        <v>1541.25</v>
      </c>
      <c r="T395" s="66">
        <f t="shared" si="115"/>
        <v>0</v>
      </c>
      <c r="U395" s="66">
        <f t="shared" si="115"/>
        <v>2137.88</v>
      </c>
      <c r="V395" s="66">
        <f t="shared" si="115"/>
        <v>2536.62</v>
      </c>
      <c r="W395" s="66">
        <f t="shared" si="115"/>
        <v>1707.5</v>
      </c>
      <c r="X395" s="66">
        <f t="shared" si="115"/>
        <v>3103.86</v>
      </c>
      <c r="Y395" s="66">
        <f t="shared" si="115"/>
        <v>4920.3</v>
      </c>
      <c r="Z395" s="66">
        <f t="shared" si="115"/>
        <v>6364.7</v>
      </c>
      <c r="AA395" s="66">
        <f t="shared" si="115"/>
        <v>5470.58</v>
      </c>
      <c r="AB395" s="66">
        <f t="shared" si="115"/>
        <v>5156.37</v>
      </c>
      <c r="AC395" s="66">
        <f t="shared" si="115"/>
        <v>8090.99</v>
      </c>
      <c r="AD395" s="66">
        <f t="shared" si="115"/>
        <v>3155.91</v>
      </c>
      <c r="AE395" s="66">
        <f t="shared" si="115"/>
        <v>3206.04</v>
      </c>
      <c r="AF395" s="89">
        <f t="shared" si="114"/>
        <v>54002.81</v>
      </c>
    </row>
    <row r="396">
      <c r="A396" s="364" t="s">
        <v>787</v>
      </c>
      <c r="B396" s="331">
        <f t="shared" ref="B396:AE396" si="116">SUM(B397:B405)-B406-B407</f>
        <v>-284.29</v>
      </c>
      <c r="C396" s="331">
        <f t="shared" si="116"/>
        <v>-1327.215</v>
      </c>
      <c r="D396" s="331">
        <f t="shared" si="116"/>
        <v>-258.6825</v>
      </c>
      <c r="E396" s="331">
        <f t="shared" si="116"/>
        <v>0</v>
      </c>
      <c r="F396" s="331">
        <f t="shared" si="116"/>
        <v>0</v>
      </c>
      <c r="G396" s="331">
        <f t="shared" si="116"/>
        <v>0</v>
      </c>
      <c r="H396" s="331">
        <f t="shared" si="116"/>
        <v>-219.49875</v>
      </c>
      <c r="I396" s="331">
        <f t="shared" si="116"/>
        <v>-2033.995</v>
      </c>
      <c r="J396" s="331">
        <f t="shared" si="116"/>
        <v>-381.6125</v>
      </c>
      <c r="K396" s="331">
        <f t="shared" si="116"/>
        <v>0</v>
      </c>
      <c r="L396" s="331">
        <f t="shared" si="116"/>
        <v>0</v>
      </c>
      <c r="M396" s="331">
        <f t="shared" si="116"/>
        <v>-95.48125</v>
      </c>
      <c r="N396" s="331">
        <f t="shared" si="116"/>
        <v>-278.9525</v>
      </c>
      <c r="O396" s="331">
        <f t="shared" si="116"/>
        <v>-732.44125</v>
      </c>
      <c r="P396" s="331">
        <f t="shared" si="116"/>
        <v>-38.53875</v>
      </c>
      <c r="Q396" s="331">
        <f t="shared" si="116"/>
        <v>-496.56875</v>
      </c>
      <c r="R396" s="331">
        <f t="shared" si="116"/>
        <v>-271.335</v>
      </c>
      <c r="S396" s="331">
        <f t="shared" si="116"/>
        <v>-302.29375</v>
      </c>
      <c r="T396" s="331">
        <f t="shared" si="116"/>
        <v>-3081.55125</v>
      </c>
      <c r="U396" s="331">
        <f t="shared" si="116"/>
        <v>-1445.3075</v>
      </c>
      <c r="V396" s="331">
        <f t="shared" si="116"/>
        <v>-245.49375</v>
      </c>
      <c r="W396" s="331">
        <f t="shared" si="116"/>
        <v>-622.13875</v>
      </c>
      <c r="X396" s="331">
        <f t="shared" si="116"/>
        <v>-2727.13875</v>
      </c>
      <c r="Y396" s="331">
        <f t="shared" si="116"/>
        <v>0</v>
      </c>
      <c r="Z396" s="331">
        <f t="shared" si="116"/>
        <v>0</v>
      </c>
      <c r="AA396" s="331">
        <f t="shared" si="116"/>
        <v>0</v>
      </c>
      <c r="AB396" s="331">
        <f t="shared" si="116"/>
        <v>-117.45375</v>
      </c>
      <c r="AC396" s="331">
        <f t="shared" si="116"/>
        <v>-562.245</v>
      </c>
      <c r="AD396" s="331">
        <f t="shared" si="116"/>
        <v>-169.29</v>
      </c>
      <c r="AE396" s="331">
        <f t="shared" si="116"/>
        <v>-836.94375</v>
      </c>
      <c r="AF396" s="89">
        <f t="shared" si="114"/>
        <v>-16528.4675</v>
      </c>
    </row>
    <row r="397" outlineLevel="1">
      <c r="A397" s="87" t="s">
        <v>475</v>
      </c>
      <c r="B397" s="66">
        <f>((B246+B247+B251+B252)*'Data - P&amp;L'!$C$3)*'Data - P&amp;L'!$C$54</f>
        <v>21.725</v>
      </c>
      <c r="C397" s="66">
        <f>((C246+C247+C251+C252)*'Data - P&amp;L'!$C$3)*'Data - P&amp;L'!$C$54</f>
        <v>86.9</v>
      </c>
      <c r="D397" s="66">
        <f>((D246+D247+D251+D252)*'Data - P&amp;L'!$C$3)*'Data - P&amp;L'!$C$54</f>
        <v>0</v>
      </c>
      <c r="E397" s="66">
        <f>((E246+E247+E251+E252)*'Data - P&amp;L'!$C$3)*'Data - P&amp;L'!$C$54</f>
        <v>0</v>
      </c>
      <c r="F397" s="66">
        <f>((F246+F247+F251+F252)*'Data - P&amp;L'!$C$3)*'Data - P&amp;L'!$C$54</f>
        <v>0</v>
      </c>
      <c r="G397" s="66">
        <f>((G246+G247+G251+G252)*'Data - P&amp;L'!$C$3)*'Data - P&amp;L'!$C$54</f>
        <v>0</v>
      </c>
      <c r="H397" s="66">
        <f>((H246+H247+H251+H252)*'Data - P&amp;L'!$C$3)*'Data - P&amp;L'!$C$54</f>
        <v>21.725</v>
      </c>
      <c r="I397" s="66">
        <f>((I246+I247+I251+I252)*'Data - P&amp;L'!$C$3)*'Data - P&amp;L'!$C$54</f>
        <v>43.45</v>
      </c>
      <c r="J397" s="66">
        <f>((J246+J247+J251+J252)*'Data - P&amp;L'!$C$3)*'Data - P&amp;L'!$C$54</f>
        <v>0</v>
      </c>
      <c r="K397" s="66">
        <f>((K246+K247+K251+K252)*'Data - P&amp;L'!$C$3)*'Data - P&amp;L'!$C$54</f>
        <v>0</v>
      </c>
      <c r="L397" s="66">
        <f>((L246+L247+L251+L252)*'Data - P&amp;L'!$C$3)*'Data - P&amp;L'!$C$54</f>
        <v>0</v>
      </c>
      <c r="M397" s="66">
        <f>((M246+M247+M251+M252)*'Data - P&amp;L'!$C$3)*'Data - P&amp;L'!$C$54</f>
        <v>0</v>
      </c>
      <c r="N397" s="66">
        <f>((N246+N247+N251+N252)*'Data - P&amp;L'!$C$3)*'Data - P&amp;L'!$C$54</f>
        <v>0</v>
      </c>
      <c r="O397" s="66">
        <f>((O246+O247+O251+O252)*'Data - P&amp;L'!$C$3)*'Data - P&amp;L'!$C$54</f>
        <v>0</v>
      </c>
      <c r="P397" s="66">
        <f>((P246+P247+P251+P252)*'Data - P&amp;L'!$C$3)*'Data - P&amp;L'!$C$54</f>
        <v>0</v>
      </c>
      <c r="Q397" s="66">
        <f>((Q246+Q247+Q251+Q252)*'Data - P&amp;L'!$C$3)*'Data - P&amp;L'!$C$54</f>
        <v>0</v>
      </c>
      <c r="R397" s="66">
        <f>((R246+R247+R251+R252)*'Data - P&amp;L'!$C$3)*'Data - P&amp;L'!$C$54</f>
        <v>0</v>
      </c>
      <c r="S397" s="66">
        <f>((S246+S247+S251+S252)*'Data - P&amp;L'!$C$3)*'Data - P&amp;L'!$C$54</f>
        <v>21.725</v>
      </c>
      <c r="T397" s="66">
        <f>((T246+T247+T251+T252)*'Data - P&amp;L'!$C$3)*'Data - P&amp;L'!$C$54</f>
        <v>65.175</v>
      </c>
      <c r="U397" s="66">
        <f>((U246+U247+U251+U252)*'Data - P&amp;L'!$C$3)*'Data - P&amp;L'!$C$54</f>
        <v>43.45</v>
      </c>
      <c r="V397" s="66">
        <f>((V246+V247+V251+V252)*'Data - P&amp;L'!$C$3)*'Data - P&amp;L'!$C$54</f>
        <v>0</v>
      </c>
      <c r="W397" s="66">
        <f>((W246+W247+W251+W252)*'Data - P&amp;L'!$C$3)*'Data - P&amp;L'!$C$54</f>
        <v>0</v>
      </c>
      <c r="X397" s="66">
        <f>((X246+X247+X251+X252)*'Data - P&amp;L'!$C$3)*'Data - P&amp;L'!$C$54</f>
        <v>108.625</v>
      </c>
      <c r="Y397" s="66">
        <f>((Y246+Y247+Y251+Y252)*'Data - P&amp;L'!$C$3)*'Data - P&amp;L'!$C$54</f>
        <v>0</v>
      </c>
      <c r="Z397" s="66">
        <f>((Z246+Z247+Z251+Z252)*'Data - P&amp;L'!$C$3)*'Data - P&amp;L'!$C$54</f>
        <v>0</v>
      </c>
      <c r="AA397" s="66">
        <f>((AA246+AA247+AA251+AA252)*'Data - P&amp;L'!$C$3)*'Data - P&amp;L'!$C$54</f>
        <v>0</v>
      </c>
      <c r="AB397" s="66">
        <f>((AB246+AB247+AB251+AB252)*'Data - P&amp;L'!$C$3)*'Data - P&amp;L'!$C$54</f>
        <v>0</v>
      </c>
      <c r="AC397" s="66">
        <f>((AC246+AC247+AC251+AC252)*'Data - P&amp;L'!$C$3)*'Data - P&amp;L'!$C$54</f>
        <v>43.45</v>
      </c>
      <c r="AD397" s="66">
        <f>((AD246+AD247+AD251+AD252)*'Data - P&amp;L'!$C$3)*'Data - P&amp;L'!$C$54</f>
        <v>21.725</v>
      </c>
      <c r="AE397" s="66">
        <f>((AE246+AE247+AE251+AE252)*'Data - P&amp;L'!$C$3)*'Data - P&amp;L'!$C$54</f>
        <v>65.175</v>
      </c>
      <c r="AF397" s="89">
        <f t="shared" si="114"/>
        <v>543.125</v>
      </c>
    </row>
    <row r="398" outlineLevel="1">
      <c r="A398" s="87" t="s">
        <v>480</v>
      </c>
      <c r="B398" s="66">
        <f>(B248+B249+B253+B254)*'Data - P&amp;L'!$C$4*'Data - P&amp;L'!$C$54</f>
        <v>0</v>
      </c>
      <c r="C398" s="66">
        <f>(C248+C249+C253+C254)*'Data - P&amp;L'!$C$4*'Data - P&amp;L'!$C$54</f>
        <v>48.805</v>
      </c>
      <c r="D398" s="66">
        <f>(D248+D249+D253+D254)*'Data - P&amp;L'!$C$4*'Data - P&amp;L'!$C$54</f>
        <v>24.4025</v>
      </c>
      <c r="E398" s="66">
        <f>(E248+E249+E253+E254)*'Data - P&amp;L'!$C$4*'Data - P&amp;L'!$C$54</f>
        <v>0</v>
      </c>
      <c r="F398" s="66">
        <f>(F248+F249+F253+F254)*'Data - P&amp;L'!$C$4*'Data - P&amp;L'!$C$54</f>
        <v>0</v>
      </c>
      <c r="G398" s="66">
        <f>(G248+G249+G253+G254)*'Data - P&amp;L'!$C$4*'Data - P&amp;L'!$C$54</f>
        <v>0</v>
      </c>
      <c r="H398" s="66">
        <f>(H248+H249+H253+H254)*'Data - P&amp;L'!$C$4*'Data - P&amp;L'!$C$54</f>
        <v>0</v>
      </c>
      <c r="I398" s="66">
        <f>(I248+I249+I253+I254)*'Data - P&amp;L'!$C$4*'Data - P&amp;L'!$C$54</f>
        <v>97.61</v>
      </c>
      <c r="J398" s="66">
        <f>(J248+J249+J253+J254)*'Data - P&amp;L'!$C$4*'Data - P&amp;L'!$C$54</f>
        <v>24.4025</v>
      </c>
      <c r="K398" s="66">
        <f>(K248+K249+K253+K254)*'Data - P&amp;L'!$C$4*'Data - P&amp;L'!$C$54</f>
        <v>0</v>
      </c>
      <c r="L398" s="66">
        <f>(L248+L249+L253+L254)*'Data - P&amp;L'!$C$4*'Data - P&amp;L'!$C$54</f>
        <v>0</v>
      </c>
      <c r="M398" s="66">
        <f>(M248+M249+M253+M254)*'Data - P&amp;L'!$C$4*'Data - P&amp;L'!$C$54</f>
        <v>0</v>
      </c>
      <c r="N398" s="66">
        <f>(N248+N249+N253+N254)*'Data - P&amp;L'!$C$4*'Data - P&amp;L'!$C$54</f>
        <v>24.4025</v>
      </c>
      <c r="O398" s="66">
        <f>(O248+O249+O253+O254)*'Data - P&amp;L'!$C$4*'Data - P&amp;L'!$C$54</f>
        <v>48.805</v>
      </c>
      <c r="P398" s="66">
        <f>(P248+P249+P253+P254)*'Data - P&amp;L'!$C$4*'Data - P&amp;L'!$C$54</f>
        <v>0</v>
      </c>
      <c r="Q398" s="66">
        <f>(Q248+Q249+Q253+Q254)*'Data - P&amp;L'!$C$4*'Data - P&amp;L'!$C$54</f>
        <v>48.805</v>
      </c>
      <c r="R398" s="66">
        <f>(R248+R249+R253+R254)*'Data - P&amp;L'!$C$4*'Data - P&amp;L'!$C$54</f>
        <v>24.4025</v>
      </c>
      <c r="S398" s="66">
        <f>(S248+S249+S253+S254)*'Data - P&amp;L'!$C$4*'Data - P&amp;L'!$C$54</f>
        <v>0</v>
      </c>
      <c r="T398" s="66">
        <f>(T248+T249+T253+T254)*'Data - P&amp;L'!$C$4*'Data - P&amp;L'!$C$54</f>
        <v>219.6225</v>
      </c>
      <c r="U398" s="66">
        <f>(U248+U249+U253+U254)*'Data - P&amp;L'!$C$4*'Data - P&amp;L'!$C$54</f>
        <v>97.61</v>
      </c>
      <c r="V398" s="66">
        <f>(V248+V249+V253+V254)*'Data - P&amp;L'!$C$4*'Data - P&amp;L'!$C$54</f>
        <v>24.4025</v>
      </c>
      <c r="W398" s="66">
        <f>(W248+W249+W253+W254)*'Data - P&amp;L'!$C$4*'Data - P&amp;L'!$C$54</f>
        <v>48.805</v>
      </c>
      <c r="X398" s="66">
        <f>(X248+X249+X253+X254)*'Data - P&amp;L'!$C$4*'Data - P&amp;L'!$C$54</f>
        <v>146.415</v>
      </c>
      <c r="Y398" s="66">
        <f>(Y248+Y249+Y253+Y254)*'Data - P&amp;L'!$C$4*'Data - P&amp;L'!$C$54</f>
        <v>0</v>
      </c>
      <c r="Z398" s="66">
        <f>(Z248+Z249+Z253+Z254)*'Data - P&amp;L'!$C$4*'Data - P&amp;L'!$C$54</f>
        <v>0</v>
      </c>
      <c r="AA398" s="66">
        <f>(AA248+AA249+AA253+AA254)*'Data - P&amp;L'!$C$4*'Data - P&amp;L'!$C$54</f>
        <v>0</v>
      </c>
      <c r="AB398" s="66">
        <f>(AB248+AB249+AB253+AB254)*'Data - P&amp;L'!$C$4*'Data - P&amp;L'!$C$54</f>
        <v>24.4025</v>
      </c>
      <c r="AC398" s="66">
        <f>(AC248+AC249+AC253+AC254)*'Data - P&amp;L'!$C$4*'Data - P&amp;L'!$C$54</f>
        <v>24.4025</v>
      </c>
      <c r="AD398" s="66">
        <f>(AD248+AD249+AD253+AD254)*'Data - P&amp;L'!$C$4*'Data - P&amp;L'!$C$54</f>
        <v>0</v>
      </c>
      <c r="AE398" s="66">
        <f>(AE248+AE249+AE253+AE254)*'Data - P&amp;L'!$C$4*'Data - P&amp;L'!$C$54</f>
        <v>24.4025</v>
      </c>
      <c r="AF398" s="89">
        <f t="shared" si="114"/>
        <v>951.6975</v>
      </c>
    </row>
    <row r="399" outlineLevel="1">
      <c r="A399" s="87" t="s">
        <v>485</v>
      </c>
      <c r="B399" s="66">
        <f>(B259+B270)*'Data - P&amp;L'!$C$6*'Data - P&amp;L'!$C$54</f>
        <v>0</v>
      </c>
      <c r="C399" s="66">
        <f>(C259+C270)*'Data - P&amp;L'!$C$6*'Data - P&amp;L'!$C$54</f>
        <v>0</v>
      </c>
      <c r="D399" s="66">
        <f>(D259+D270)*'Data - P&amp;L'!$C$6*'Data - P&amp;L'!$C$54</f>
        <v>0</v>
      </c>
      <c r="E399" s="66">
        <f>(E259+E270)*'Data - P&amp;L'!$C$6*'Data - P&amp;L'!$C$54</f>
        <v>0</v>
      </c>
      <c r="F399" s="66">
        <f>(F259+F270)*'Data - P&amp;L'!$C$6*'Data - P&amp;L'!$C$54</f>
        <v>0</v>
      </c>
      <c r="G399" s="66">
        <f>(G259+G270)*'Data - P&amp;L'!$C$6*'Data - P&amp;L'!$C$54</f>
        <v>0</v>
      </c>
      <c r="H399" s="66">
        <f>(H259+H270)*'Data - P&amp;L'!$C$6*'Data - P&amp;L'!$C$54</f>
        <v>1.3725</v>
      </c>
      <c r="I399" s="66">
        <f>(I259+I270)*'Data - P&amp;L'!$C$6*'Data - P&amp;L'!$C$54</f>
        <v>4.1175</v>
      </c>
      <c r="J399" s="66">
        <f>(J259+J270)*'Data - P&amp;L'!$C$6*'Data - P&amp;L'!$C$54</f>
        <v>0</v>
      </c>
      <c r="K399" s="66">
        <f>(K259+K270)*'Data - P&amp;L'!$C$6*'Data - P&amp;L'!$C$54</f>
        <v>0</v>
      </c>
      <c r="L399" s="66">
        <f>(L259+L270)*'Data - P&amp;L'!$C$6*'Data - P&amp;L'!$C$54</f>
        <v>0</v>
      </c>
      <c r="M399" s="66">
        <f>(M259+M270)*'Data - P&amp;L'!$C$6*'Data - P&amp;L'!$C$54</f>
        <v>0</v>
      </c>
      <c r="N399" s="66">
        <f>(N259+N270)*'Data - P&amp;L'!$C$6*'Data - P&amp;L'!$C$54</f>
        <v>0</v>
      </c>
      <c r="O399" s="66">
        <f>(O259+O270)*'Data - P&amp;L'!$C$6*'Data - P&amp;L'!$C$54</f>
        <v>2.745</v>
      </c>
      <c r="P399" s="66">
        <f>(P259+P270)*'Data - P&amp;L'!$C$6*'Data - P&amp;L'!$C$54</f>
        <v>1.3725</v>
      </c>
      <c r="Q399" s="66">
        <f>(Q259+Q270)*'Data - P&amp;L'!$C$6*'Data - P&amp;L'!$C$54</f>
        <v>0</v>
      </c>
      <c r="R399" s="66">
        <f>(R259+R270)*'Data - P&amp;L'!$C$6*'Data - P&amp;L'!$C$54</f>
        <v>1.3725</v>
      </c>
      <c r="S399" s="66">
        <f>(S259+S270)*'Data - P&amp;L'!$C$6*'Data - P&amp;L'!$C$54</f>
        <v>0</v>
      </c>
      <c r="T399" s="66">
        <f>(T259+T270)*'Data - P&amp;L'!$C$6*'Data - P&amp;L'!$C$54</f>
        <v>4.1175</v>
      </c>
      <c r="U399" s="66">
        <f>(U259+U270)*'Data - P&amp;L'!$C$6*'Data - P&amp;L'!$C$54</f>
        <v>1.3725</v>
      </c>
      <c r="V399" s="66">
        <f>(V259+V270)*'Data - P&amp;L'!$C$6*'Data - P&amp;L'!$C$54</f>
        <v>0</v>
      </c>
      <c r="W399" s="66">
        <f>(W259+W270)*'Data - P&amp;L'!$C$6*'Data - P&amp;L'!$C$54</f>
        <v>1.3725</v>
      </c>
      <c r="X399" s="66">
        <f>(X259+X270)*'Data - P&amp;L'!$C$6*'Data - P&amp;L'!$C$54</f>
        <v>5.49</v>
      </c>
      <c r="Y399" s="66">
        <f>(Y259+Y270)*'Data - P&amp;L'!$C$6*'Data - P&amp;L'!$C$54</f>
        <v>0</v>
      </c>
      <c r="Z399" s="66">
        <f>(Z259+Z270)*'Data - P&amp;L'!$C$6*'Data - P&amp;L'!$C$54</f>
        <v>0</v>
      </c>
      <c r="AA399" s="66">
        <f>(AA259+AA270)*'Data - P&amp;L'!$C$6*'Data - P&amp;L'!$C$54</f>
        <v>0</v>
      </c>
      <c r="AB399" s="66">
        <f>(AB259+AB270)*'Data - P&amp;L'!$C$6*'Data - P&amp;L'!$C$54</f>
        <v>0</v>
      </c>
      <c r="AC399" s="66">
        <f>(AC259+AC270)*'Data - P&amp;L'!$C$6*'Data - P&amp;L'!$C$54</f>
        <v>1.3725</v>
      </c>
      <c r="AD399" s="66">
        <f>(AD259+AD270)*'Data - P&amp;L'!$C$6*'Data - P&amp;L'!$C$54</f>
        <v>0</v>
      </c>
      <c r="AE399" s="66">
        <f>(AE259+AE270)*'Data - P&amp;L'!$C$6*'Data - P&amp;L'!$C$54</f>
        <v>2.745</v>
      </c>
      <c r="AF399" s="89">
        <f t="shared" si="114"/>
        <v>27.45</v>
      </c>
    </row>
    <row r="400" outlineLevel="1">
      <c r="A400" s="87" t="s">
        <v>489</v>
      </c>
      <c r="B400" s="66">
        <f>(B260+B271)*'Data - P&amp;L'!$C$8*'Data - P&amp;L'!$C$54</f>
        <v>0</v>
      </c>
      <c r="C400" s="66">
        <f>(C260+C271)*'Data - P&amp;L'!$C$8*'Data - P&amp;L'!$C$54</f>
        <v>0</v>
      </c>
      <c r="D400" s="66">
        <f>(D260+D271)*'Data - P&amp;L'!$C$8*'Data - P&amp;L'!$C$54</f>
        <v>0</v>
      </c>
      <c r="E400" s="66">
        <f>(E260+E271)*'Data - P&amp;L'!$C$8*'Data - P&amp;L'!$C$54</f>
        <v>0</v>
      </c>
      <c r="F400" s="66">
        <f>(F260+F271)*'Data - P&amp;L'!$C$8*'Data - P&amp;L'!$C$54</f>
        <v>0</v>
      </c>
      <c r="G400" s="66">
        <f>(G260+G271)*'Data - P&amp;L'!$C$8*'Data - P&amp;L'!$C$54</f>
        <v>0</v>
      </c>
      <c r="H400" s="66">
        <f>(H260+H271)*'Data - P&amp;L'!$C$8*'Data - P&amp;L'!$C$54</f>
        <v>0</v>
      </c>
      <c r="I400" s="66">
        <f>(I260+I271)*'Data - P&amp;L'!$C$8*'Data - P&amp;L'!$C$54</f>
        <v>0.8925</v>
      </c>
      <c r="J400" s="66">
        <f>(J260+J271)*'Data - P&amp;L'!$C$8*'Data - P&amp;L'!$C$54</f>
        <v>0</v>
      </c>
      <c r="K400" s="66">
        <f>(K260+K271)*'Data - P&amp;L'!$C$8*'Data - P&amp;L'!$C$54</f>
        <v>0</v>
      </c>
      <c r="L400" s="66">
        <f>(L260+L271)*'Data - P&amp;L'!$C$8*'Data - P&amp;L'!$C$54</f>
        <v>0</v>
      </c>
      <c r="M400" s="66">
        <f>(M260+M271)*'Data - P&amp;L'!$C$8*'Data - P&amp;L'!$C$54</f>
        <v>0</v>
      </c>
      <c r="N400" s="66">
        <f>(N260+N271)*'Data - P&amp;L'!$C$8*'Data - P&amp;L'!$C$54</f>
        <v>0</v>
      </c>
      <c r="O400" s="66">
        <f>(O260+O271)*'Data - P&amp;L'!$C$8*'Data - P&amp;L'!$C$54</f>
        <v>0</v>
      </c>
      <c r="P400" s="66">
        <f>(P260+P271)*'Data - P&amp;L'!$C$8*'Data - P&amp;L'!$C$54</f>
        <v>0</v>
      </c>
      <c r="Q400" s="66">
        <f>(Q260+Q271)*'Data - P&amp;L'!$C$8*'Data - P&amp;L'!$C$54</f>
        <v>0.2975</v>
      </c>
      <c r="R400" s="66">
        <f>(R260+R271)*'Data - P&amp;L'!$C$8*'Data - P&amp;L'!$C$54</f>
        <v>0.2975</v>
      </c>
      <c r="S400" s="66">
        <f>(S260+S271)*'Data - P&amp;L'!$C$8*'Data - P&amp;L'!$C$54</f>
        <v>0.2975</v>
      </c>
      <c r="T400" s="66">
        <f>(T260+T271)*'Data - P&amp;L'!$C$8*'Data - P&amp;L'!$C$54</f>
        <v>1.4875</v>
      </c>
      <c r="U400" s="66">
        <f>(U260+U271)*'Data - P&amp;L'!$C$8*'Data - P&amp;L'!$C$54</f>
        <v>0.595</v>
      </c>
      <c r="V400" s="66">
        <f>(V260+V271)*'Data - P&amp;L'!$C$8*'Data - P&amp;L'!$C$54</f>
        <v>0</v>
      </c>
      <c r="W400" s="66">
        <f>(W260+W271)*'Data - P&amp;L'!$C$8*'Data - P&amp;L'!$C$54</f>
        <v>0.2975</v>
      </c>
      <c r="X400" s="66">
        <f>(X260+X271)*'Data - P&amp;L'!$C$8*'Data - P&amp;L'!$C$54</f>
        <v>1.785</v>
      </c>
      <c r="Y400" s="66">
        <f>(Y260+Y271)*'Data - P&amp;L'!$C$8*'Data - P&amp;L'!$C$54</f>
        <v>0</v>
      </c>
      <c r="Z400" s="66">
        <f>(Z260+Z271)*'Data - P&amp;L'!$C$8*'Data - P&amp;L'!$C$54</f>
        <v>0</v>
      </c>
      <c r="AA400" s="66">
        <f>(AA260+AA271)*'Data - P&amp;L'!$C$8*'Data - P&amp;L'!$C$54</f>
        <v>0</v>
      </c>
      <c r="AB400" s="66">
        <f>(AB260+AB271)*'Data - P&amp;L'!$C$8*'Data - P&amp;L'!$C$54</f>
        <v>0</v>
      </c>
      <c r="AC400" s="66">
        <f>(AC260+AC271)*'Data - P&amp;L'!$C$8*'Data - P&amp;L'!$C$54</f>
        <v>0.2975</v>
      </c>
      <c r="AD400" s="66">
        <f>(AD260+AD271)*'Data - P&amp;L'!$C$8*'Data - P&amp;L'!$C$54</f>
        <v>0</v>
      </c>
      <c r="AE400" s="66">
        <f>(AE260+AE271)*'Data - P&amp;L'!$C$8*'Data - P&amp;L'!$C$54</f>
        <v>0.2975</v>
      </c>
      <c r="AF400" s="89">
        <f t="shared" si="114"/>
        <v>6.545</v>
      </c>
    </row>
    <row r="401" outlineLevel="1">
      <c r="A401" s="87" t="s">
        <v>395</v>
      </c>
      <c r="B401" s="66">
        <f>(B261+B262+B272+B273)*'Data - P&amp;L'!$C$9*'Data - P&amp;L'!$C$54</f>
        <v>0</v>
      </c>
      <c r="C401" s="66">
        <f>(C261+C262+C272+C273)*'Data - P&amp;L'!$C$9*'Data - P&amp;L'!$C$54</f>
        <v>0</v>
      </c>
      <c r="D401" s="66">
        <f>(D261+D262+D272+D273)*'Data - P&amp;L'!$C$9*'Data - P&amp;L'!$C$54</f>
        <v>0</v>
      </c>
      <c r="E401" s="66">
        <f>(E261+E262+E272+E273)*'Data - P&amp;L'!$C$9*'Data - P&amp;L'!$C$54</f>
        <v>0</v>
      </c>
      <c r="F401" s="66">
        <f>(F261+F262+F272+F273)*'Data - P&amp;L'!$C$9*'Data - P&amp;L'!$C$54</f>
        <v>0</v>
      </c>
      <c r="G401" s="66">
        <f>(G261+G262+G272+G273)*'Data - P&amp;L'!$C$9*'Data - P&amp;L'!$C$54</f>
        <v>0</v>
      </c>
      <c r="H401" s="66">
        <f>(H261+H262+H272+H273)*'Data - P&amp;L'!$C$9*'Data - P&amp;L'!$C$54</f>
        <v>0</v>
      </c>
      <c r="I401" s="66">
        <f>(I261+I262+I272+I273)*'Data - P&amp;L'!$C$9*'Data - P&amp;L'!$C$54</f>
        <v>3.33</v>
      </c>
      <c r="J401" s="66">
        <f>(J261+J262+J272+J273)*'Data - P&amp;L'!$C$9*'Data - P&amp;L'!$C$54</f>
        <v>0</v>
      </c>
      <c r="K401" s="66">
        <f>(K261+K262+K272+K273)*'Data - P&amp;L'!$C$9*'Data - P&amp;L'!$C$54</f>
        <v>0</v>
      </c>
      <c r="L401" s="66">
        <f>(L261+L262+L272+L273)*'Data - P&amp;L'!$C$9*'Data - P&amp;L'!$C$54</f>
        <v>0</v>
      </c>
      <c r="M401" s="66">
        <f>(M261+M262+M272+M273)*'Data - P&amp;L'!$C$9*'Data - P&amp;L'!$C$54</f>
        <v>0</v>
      </c>
      <c r="N401" s="66">
        <f>(N261+N262+N272+N273)*'Data - P&amp;L'!$C$9*'Data - P&amp;L'!$C$54</f>
        <v>0</v>
      </c>
      <c r="O401" s="66">
        <f>(O261+O262+O272+O273)*'Data - P&amp;L'!$C$9*'Data - P&amp;L'!$C$54</f>
        <v>0</v>
      </c>
      <c r="P401" s="66">
        <f>(P261+P262+P272+P273)*'Data - P&amp;L'!$C$9*'Data - P&amp;L'!$C$54</f>
        <v>0</v>
      </c>
      <c r="Q401" s="66">
        <f>(Q261+Q262+Q272+Q273)*'Data - P&amp;L'!$C$9*'Data - P&amp;L'!$C$54</f>
        <v>0</v>
      </c>
      <c r="R401" s="66">
        <f>(R261+R262+R272+R273)*'Data - P&amp;L'!$C$9*'Data - P&amp;L'!$C$54</f>
        <v>0</v>
      </c>
      <c r="S401" s="66">
        <f>(S261+S262+S272+S273)*'Data - P&amp;L'!$C$9*'Data - P&amp;L'!$C$54</f>
        <v>0</v>
      </c>
      <c r="T401" s="66">
        <f>(T261+T262+T272+T273)*'Data - P&amp;L'!$C$9*'Data - P&amp;L'!$C$54</f>
        <v>0</v>
      </c>
      <c r="U401" s="66">
        <f>(U261+U262+U272+U273)*'Data - P&amp;L'!$C$9*'Data - P&amp;L'!$C$54</f>
        <v>0</v>
      </c>
      <c r="V401" s="66">
        <f>(V261+V262+V272+V273)*'Data - P&amp;L'!$C$9*'Data - P&amp;L'!$C$54</f>
        <v>0</v>
      </c>
      <c r="W401" s="66">
        <f>(W261+W262+W272+W273)*'Data - P&amp;L'!$C$9*'Data - P&amp;L'!$C$54</f>
        <v>0</v>
      </c>
      <c r="X401" s="66">
        <f>(X261+X262+X272+X273)*'Data - P&amp;L'!$C$9*'Data - P&amp;L'!$C$54</f>
        <v>3.33</v>
      </c>
      <c r="Y401" s="66">
        <f>(Y261+Y262+Y272+Y273)*'Data - P&amp;L'!$C$9*'Data - P&amp;L'!$C$54</f>
        <v>0</v>
      </c>
      <c r="Z401" s="66">
        <f>(Z261+Z262+Z272+Z273)*'Data - P&amp;L'!$C$9*'Data - P&amp;L'!$C$54</f>
        <v>0</v>
      </c>
      <c r="AA401" s="66">
        <f>(AA261+AA262+AA272+AA273)*'Data - P&amp;L'!$C$9*'Data - P&amp;L'!$C$54</f>
        <v>0</v>
      </c>
      <c r="AB401" s="66">
        <f>(AB261+AB262+AB272+AB273)*'Data - P&amp;L'!$C$9*'Data - P&amp;L'!$C$54</f>
        <v>0</v>
      </c>
      <c r="AC401" s="66">
        <f>(AC261+AC262+AC272+AC273)*'Data - P&amp;L'!$C$9*'Data - P&amp;L'!$C$54</f>
        <v>0</v>
      </c>
      <c r="AD401" s="66">
        <f>(AD261+AD262+AD272+AD273)*'Data - P&amp;L'!$C$9*'Data - P&amp;L'!$C$54</f>
        <v>0</v>
      </c>
      <c r="AE401" s="66">
        <f>(AE261+AE262+AE272+AE273)*'Data - P&amp;L'!$C$9*'Data - P&amp;L'!$C$54</f>
        <v>0</v>
      </c>
      <c r="AF401" s="89">
        <f t="shared" si="114"/>
        <v>6.66</v>
      </c>
    </row>
    <row r="402" outlineLevel="1">
      <c r="A402" s="87" t="s">
        <v>401</v>
      </c>
      <c r="B402" s="66">
        <f>(B263+B264+B274+B275)*'Data - P&amp;L'!$C$5*'Data - P&amp;L'!$C$54</f>
        <v>0</v>
      </c>
      <c r="C402" s="66">
        <f>(C263+C264+C274+C275)*'Data - P&amp;L'!$C$5*'Data - P&amp;L'!$C$54</f>
        <v>0</v>
      </c>
      <c r="D402" s="66">
        <f>(D263+D264+D274+D275)*'Data - P&amp;L'!$C$5*'Data - P&amp;L'!$C$54</f>
        <v>0</v>
      </c>
      <c r="E402" s="66">
        <f>(E263+E264+E274+E275)*'Data - P&amp;L'!$C$5*'Data - P&amp;L'!$C$54</f>
        <v>0</v>
      </c>
      <c r="F402" s="66">
        <f>(F263+F264+F274+F275)*'Data - P&amp;L'!$C$5*'Data - P&amp;L'!$C$54</f>
        <v>0</v>
      </c>
      <c r="G402" s="66">
        <f>(G263+G264+G274+G275)*'Data - P&amp;L'!$C$5*'Data - P&amp;L'!$C$54</f>
        <v>0</v>
      </c>
      <c r="H402" s="66">
        <f>(H263+H264+H274+H275)*'Data - P&amp;L'!$C$5*'Data - P&amp;L'!$C$54</f>
        <v>0</v>
      </c>
      <c r="I402" s="66">
        <f>(I263+I264+I274+I275)*'Data - P&amp;L'!$C$5*'Data - P&amp;L'!$C$54</f>
        <v>0</v>
      </c>
      <c r="J402" s="66">
        <f>(J263+J264+J274+J275)*'Data - P&amp;L'!$C$5*'Data - P&amp;L'!$C$54</f>
        <v>0</v>
      </c>
      <c r="K402" s="66">
        <f>(K263+K264+K274+K275)*'Data - P&amp;L'!$C$5*'Data - P&amp;L'!$C$54</f>
        <v>0</v>
      </c>
      <c r="L402" s="66">
        <f>(L263+L264+L274+L275)*'Data - P&amp;L'!$C$5*'Data - P&amp;L'!$C$54</f>
        <v>0</v>
      </c>
      <c r="M402" s="66">
        <f>(M263+M264+M274+M275)*'Data - P&amp;L'!$C$5*'Data - P&amp;L'!$C$54</f>
        <v>3.36</v>
      </c>
      <c r="N402" s="66">
        <f>(N263+N264+N274+N275)*'Data - P&amp;L'!$C$5*'Data - P&amp;L'!$C$54</f>
        <v>0</v>
      </c>
      <c r="O402" s="66">
        <f>(O263+O264+O274+O275)*'Data - P&amp;L'!$C$5*'Data - P&amp;L'!$C$54</f>
        <v>0</v>
      </c>
      <c r="P402" s="66">
        <f>(P263+P264+P274+P275)*'Data - P&amp;L'!$C$5*'Data - P&amp;L'!$C$54</f>
        <v>0</v>
      </c>
      <c r="Q402" s="66">
        <f>(Q263+Q264+Q274+Q275)*'Data - P&amp;L'!$C$5*'Data - P&amp;L'!$C$54</f>
        <v>0</v>
      </c>
      <c r="R402" s="66">
        <f>(R263+R264+R274+R275)*'Data - P&amp;L'!$C$5*'Data - P&amp;L'!$C$54</f>
        <v>0</v>
      </c>
      <c r="S402" s="66">
        <f>(S263+S264+S274+S275)*'Data - P&amp;L'!$C$5*'Data - P&amp;L'!$C$54</f>
        <v>0</v>
      </c>
      <c r="T402" s="66">
        <f>(T263+T264+T274+T275)*'Data - P&amp;L'!$C$5*'Data - P&amp;L'!$C$54</f>
        <v>3.36</v>
      </c>
      <c r="U402" s="66">
        <f>(U263+U264+U274+U275)*'Data - P&amp;L'!$C$5*'Data - P&amp;L'!$C$54</f>
        <v>0</v>
      </c>
      <c r="V402" s="66">
        <f>(V263+V264+V274+V275)*'Data - P&amp;L'!$C$5*'Data - P&amp;L'!$C$54</f>
        <v>0</v>
      </c>
      <c r="W402" s="66">
        <f>(W263+W264+W274+W275)*'Data - P&amp;L'!$C$5*'Data - P&amp;L'!$C$54</f>
        <v>0</v>
      </c>
      <c r="X402" s="66">
        <f>(X263+X264+X274+X275)*'Data - P&amp;L'!$C$5*'Data - P&amp;L'!$C$54</f>
        <v>0</v>
      </c>
      <c r="Y402" s="66">
        <f>(Y263+Y264+Y274+Y275)*'Data - P&amp;L'!$C$5*'Data - P&amp;L'!$C$54</f>
        <v>0</v>
      </c>
      <c r="Z402" s="66">
        <f>(Z263+Z264+Z274+Z275)*'Data - P&amp;L'!$C$5*'Data - P&amp;L'!$C$54</f>
        <v>0</v>
      </c>
      <c r="AA402" s="66">
        <f>(AA263+AA264+AA274+AA275)*'Data - P&amp;L'!$C$5*'Data - P&amp;L'!$C$54</f>
        <v>0</v>
      </c>
      <c r="AB402" s="66">
        <f>(AB263+AB264+AB274+AB275)*'Data - P&amp;L'!$C$5*'Data - P&amp;L'!$C$54</f>
        <v>0</v>
      </c>
      <c r="AC402" s="66">
        <f>(AC263+AC264+AC274+AC275)*'Data - P&amp;L'!$C$5*'Data - P&amp;L'!$C$54</f>
        <v>0</v>
      </c>
      <c r="AD402" s="66">
        <f>(AD263+AD264+AD274+AD275)*'Data - P&amp;L'!$C$5*'Data - P&amp;L'!$C$54</f>
        <v>0</v>
      </c>
      <c r="AE402" s="66">
        <f>(AE263+AE264+AE274+AE275)*'Data - P&amp;L'!$C$5*'Data - P&amp;L'!$C$54</f>
        <v>0</v>
      </c>
      <c r="AF402" s="89">
        <f t="shared" si="114"/>
        <v>6.72</v>
      </c>
    </row>
    <row r="403" outlineLevel="1">
      <c r="A403" s="87" t="s">
        <v>404</v>
      </c>
      <c r="B403" s="66">
        <f>(B265+B266+B276+B277)*'Data - P&amp;L'!$C$10*'Data - P&amp;L'!$C$54</f>
        <v>0</v>
      </c>
      <c r="C403" s="66">
        <f>(C265+C266+C276+C277)*'Data - P&amp;L'!$C$10*'Data - P&amp;L'!$C$54</f>
        <v>0</v>
      </c>
      <c r="D403" s="66">
        <f>(D265+D266+D276+D277)*'Data - P&amp;L'!$C$10*'Data - P&amp;L'!$C$54</f>
        <v>0</v>
      </c>
      <c r="E403" s="66">
        <f>(E265+E266+E276+E277)*'Data - P&amp;L'!$C$10*'Data - P&amp;L'!$C$54</f>
        <v>0</v>
      </c>
      <c r="F403" s="66">
        <f>(F265+F266+F276+F277)*'Data - P&amp;L'!$C$10*'Data - P&amp;L'!$C$54</f>
        <v>0</v>
      </c>
      <c r="G403" s="66">
        <f>(G265+G266+G276+G277)*'Data - P&amp;L'!$C$10*'Data - P&amp;L'!$C$54</f>
        <v>0</v>
      </c>
      <c r="H403" s="66">
        <f>(H265+H266+H276+H277)*'Data - P&amp;L'!$C$10*'Data - P&amp;L'!$C$54</f>
        <v>0</v>
      </c>
      <c r="I403" s="66">
        <f>(I265+I266+I276+I277)*'Data - P&amp;L'!$C$10*'Data - P&amp;L'!$C$54</f>
        <v>6</v>
      </c>
      <c r="J403" s="66">
        <f>(J265+J266+J276+J277)*'Data - P&amp;L'!$C$10*'Data - P&amp;L'!$C$54</f>
        <v>0</v>
      </c>
      <c r="K403" s="66">
        <f>(K265+K266+K276+K277)*'Data - P&amp;L'!$C$10*'Data - P&amp;L'!$C$54</f>
        <v>0</v>
      </c>
      <c r="L403" s="66">
        <f>(L265+L266+L276+L277)*'Data - P&amp;L'!$C$10*'Data - P&amp;L'!$C$54</f>
        <v>0</v>
      </c>
      <c r="M403" s="66">
        <f>(M265+M266+M276+M277)*'Data - P&amp;L'!$C$10*'Data - P&amp;L'!$C$54</f>
        <v>0</v>
      </c>
      <c r="N403" s="66">
        <f>(N265+N266+N276+N277)*'Data - P&amp;L'!$C$10*'Data - P&amp;L'!$C$54</f>
        <v>0</v>
      </c>
      <c r="O403" s="66">
        <f>(O265+O266+O276+O277)*'Data - P&amp;L'!$C$10*'Data - P&amp;L'!$C$54</f>
        <v>0</v>
      </c>
      <c r="P403" s="66">
        <f>(P265+P266+P276+P277)*'Data - P&amp;L'!$C$10*'Data - P&amp;L'!$C$54</f>
        <v>0</v>
      </c>
      <c r="Q403" s="66">
        <f>(Q265+Q266+Q276+Q277)*'Data - P&amp;L'!$C$10*'Data - P&amp;L'!$C$54</f>
        <v>0</v>
      </c>
      <c r="R403" s="66">
        <f>(R265+R266+R276+R277)*'Data - P&amp;L'!$C$10*'Data - P&amp;L'!$C$54</f>
        <v>0</v>
      </c>
      <c r="S403" s="66">
        <f>(S265+S266+S276+S277)*'Data - P&amp;L'!$C$10*'Data - P&amp;L'!$C$54</f>
        <v>1.5</v>
      </c>
      <c r="T403" s="66">
        <f>(T265+T266+T276+T277)*'Data - P&amp;L'!$C$10*'Data - P&amp;L'!$C$54</f>
        <v>3</v>
      </c>
      <c r="U403" s="66">
        <f>(U265+U266+U276+U277)*'Data - P&amp;L'!$C$10*'Data - P&amp;L'!$C$54</f>
        <v>1.5</v>
      </c>
      <c r="V403" s="66">
        <f>(V265+V266+V276+V277)*'Data - P&amp;L'!$C$10*'Data - P&amp;L'!$C$54</f>
        <v>1.5</v>
      </c>
      <c r="W403" s="66">
        <f>(W265+W266+W276+W277)*'Data - P&amp;L'!$C$10*'Data - P&amp;L'!$C$54</f>
        <v>1.5</v>
      </c>
      <c r="X403" s="66">
        <f>(X265+X266+X276+X277)*'Data - P&amp;L'!$C$10*'Data - P&amp;L'!$C$54</f>
        <v>4.5</v>
      </c>
      <c r="Y403" s="66">
        <f>(Y265+Y266+Y276+Y277)*'Data - P&amp;L'!$C$10*'Data - P&amp;L'!$C$54</f>
        <v>0</v>
      </c>
      <c r="Z403" s="66">
        <f>(Z265+Z266+Z276+Z277)*'Data - P&amp;L'!$C$10*'Data - P&amp;L'!$C$54</f>
        <v>0</v>
      </c>
      <c r="AA403" s="66">
        <f>(AA265+AA266+AA276+AA277)*'Data - P&amp;L'!$C$10*'Data - P&amp;L'!$C$54</f>
        <v>0</v>
      </c>
      <c r="AB403" s="66">
        <f>(AB265+AB266+AB276+AB277)*'Data - P&amp;L'!$C$10*'Data - P&amp;L'!$C$54</f>
        <v>1.5</v>
      </c>
      <c r="AC403" s="66">
        <f>(AC265+AC266+AC276+AC277)*'Data - P&amp;L'!$C$10*'Data - P&amp;L'!$C$54</f>
        <v>0</v>
      </c>
      <c r="AD403" s="66">
        <f>(AD265+AD266+AD276+AD277)*'Data - P&amp;L'!$C$10*'Data - P&amp;L'!$C$54</f>
        <v>0</v>
      </c>
      <c r="AE403" s="66">
        <f>(AE265+AE266+AE276+AE277)*'Data - P&amp;L'!$C$10*'Data - P&amp;L'!$C$54</f>
        <v>0</v>
      </c>
      <c r="AF403" s="89">
        <f t="shared" si="114"/>
        <v>21</v>
      </c>
    </row>
    <row r="404" outlineLevel="1">
      <c r="A404" s="87" t="s">
        <v>405</v>
      </c>
      <c r="B404" s="66">
        <f>((B255*'Data - P&amp;L'!$C$38)+(B256*'Data - P&amp;L'!$C$39))*'Data - P&amp;L'!$C$54</f>
        <v>2.985</v>
      </c>
      <c r="C404" s="66">
        <f>((C255*'Data - P&amp;L'!$C$38)+(C256*'Data - P&amp;L'!$C$39))*'Data - P&amp;L'!$C$54</f>
        <v>17.91</v>
      </c>
      <c r="D404" s="66">
        <f>((D255*'Data - P&amp;L'!$C$38)+(D256*'Data - P&amp;L'!$C$39))*'Data - P&amp;L'!$C$54</f>
        <v>2.985</v>
      </c>
      <c r="E404" s="66">
        <f>((E255*'Data - P&amp;L'!$C$38)+(E256*'Data - P&amp;L'!$C$39))*'Data - P&amp;L'!$C$54</f>
        <v>0</v>
      </c>
      <c r="F404" s="66">
        <f>((F255*'Data - P&amp;L'!$C$38)+(F256*'Data - P&amp;L'!$C$39))*'Data - P&amp;L'!$C$54</f>
        <v>0</v>
      </c>
      <c r="G404" s="66">
        <f>((G255*'Data - P&amp;L'!$C$38)+(G256*'Data - P&amp;L'!$C$39))*'Data - P&amp;L'!$C$54</f>
        <v>0</v>
      </c>
      <c r="H404" s="66">
        <f>((H255*'Data - P&amp;L'!$C$38)+(H256*'Data - P&amp;L'!$C$39))*'Data - P&amp;L'!$C$54</f>
        <v>2.985</v>
      </c>
      <c r="I404" s="66">
        <f>((I255*'Data - P&amp;L'!$C$38)+(I256*'Data - P&amp;L'!$C$39))*'Data - P&amp;L'!$C$54</f>
        <v>17.91</v>
      </c>
      <c r="J404" s="66">
        <f>((J255*'Data - P&amp;L'!$C$38)+(J256*'Data - P&amp;L'!$C$39))*'Data - P&amp;L'!$C$54</f>
        <v>2.985</v>
      </c>
      <c r="K404" s="66">
        <f>((K255*'Data - P&amp;L'!$C$38)+(K256*'Data - P&amp;L'!$C$39))*'Data - P&amp;L'!$C$54</f>
        <v>0</v>
      </c>
      <c r="L404" s="66">
        <f>((L255*'Data - P&amp;L'!$C$38)+(L256*'Data - P&amp;L'!$C$39))*'Data - P&amp;L'!$C$54</f>
        <v>0</v>
      </c>
      <c r="M404" s="66">
        <f>((M255*'Data - P&amp;L'!$C$38)+(M256*'Data - P&amp;L'!$C$39))*'Data - P&amp;L'!$C$54</f>
        <v>0</v>
      </c>
      <c r="N404" s="66">
        <f>((N255*'Data - P&amp;L'!$C$38)+(N256*'Data - P&amp;L'!$C$39))*'Data - P&amp;L'!$C$54</f>
        <v>2.985</v>
      </c>
      <c r="O404" s="66">
        <f>((O255*'Data - P&amp;L'!$C$38)+(O256*'Data - P&amp;L'!$C$39))*'Data - P&amp;L'!$C$54</f>
        <v>5.97</v>
      </c>
      <c r="P404" s="66">
        <f>((P255*'Data - P&amp;L'!$C$38)+(P256*'Data - P&amp;L'!$C$39))*'Data - P&amp;L'!$C$54</f>
        <v>0</v>
      </c>
      <c r="Q404" s="66">
        <f>((Q255*'Data - P&amp;L'!$C$38)+(Q256*'Data - P&amp;L'!$C$39))*'Data - P&amp;L'!$C$54</f>
        <v>5.97</v>
      </c>
      <c r="R404" s="66">
        <f>((R255*'Data - P&amp;L'!$C$38)+(R256*'Data - P&amp;L'!$C$39))*'Data - P&amp;L'!$C$54</f>
        <v>2.985</v>
      </c>
      <c r="S404" s="66">
        <f>((S255*'Data - P&amp;L'!$C$38)+(S256*'Data - P&amp;L'!$C$39))*'Data - P&amp;L'!$C$54</f>
        <v>2.985</v>
      </c>
      <c r="T404" s="66">
        <f>((T255*'Data - P&amp;L'!$C$38)+(T256*'Data - P&amp;L'!$C$39))*'Data - P&amp;L'!$C$54</f>
        <v>35.82</v>
      </c>
      <c r="U404" s="66">
        <f>((U255*'Data - P&amp;L'!$C$38)+(U256*'Data - P&amp;L'!$C$39))*'Data - P&amp;L'!$C$54</f>
        <v>17.91</v>
      </c>
      <c r="V404" s="66">
        <f>((V255*'Data - P&amp;L'!$C$38)+(V256*'Data - P&amp;L'!$C$39))*'Data - P&amp;L'!$C$54</f>
        <v>2.985</v>
      </c>
      <c r="W404" s="66">
        <f>((W255*'Data - P&amp;L'!$C$38)+(W256*'Data - P&amp;L'!$C$39))*'Data - P&amp;L'!$C$54</f>
        <v>5.97</v>
      </c>
      <c r="X404" s="66">
        <f>((X255*'Data - P&amp;L'!$C$38)+(X256*'Data - P&amp;L'!$C$39))*'Data - P&amp;L'!$C$54</f>
        <v>32.835</v>
      </c>
      <c r="Y404" s="66">
        <f>((Y255*'Data - P&amp;L'!$C$38)+(Y256*'Data - P&amp;L'!$C$39))*'Data - P&amp;L'!$C$54</f>
        <v>0</v>
      </c>
      <c r="Z404" s="66">
        <f>((Z255*'Data - P&amp;L'!$C$38)+(Z256*'Data - P&amp;L'!$C$39))*'Data - P&amp;L'!$C$54</f>
        <v>0</v>
      </c>
      <c r="AA404" s="66">
        <f>((AA255*'Data - P&amp;L'!$C$38)+(AA256*'Data - P&amp;L'!$C$39))*'Data - P&amp;L'!$C$54</f>
        <v>0</v>
      </c>
      <c r="AB404" s="66">
        <f>((AB255*'Data - P&amp;L'!$C$38)+(AB256*'Data - P&amp;L'!$C$39))*'Data - P&amp;L'!$C$54</f>
        <v>2.985</v>
      </c>
      <c r="AC404" s="66">
        <f>((AC255*'Data - P&amp;L'!$C$38)+(AC256*'Data - P&amp;L'!$C$39))*'Data - P&amp;L'!$C$54</f>
        <v>8.955</v>
      </c>
      <c r="AD404" s="66">
        <f>((AD255*'Data - P&amp;L'!$C$38)+(AD256*'Data - P&amp;L'!$C$39))*'Data - P&amp;L'!$C$54</f>
        <v>2.985</v>
      </c>
      <c r="AE404" s="66">
        <f>((AE255*'Data - P&amp;L'!$C$38)+(AE256*'Data - P&amp;L'!$C$39))*'Data - P&amp;L'!$C$54</f>
        <v>11.94</v>
      </c>
      <c r="AF404" s="89">
        <f t="shared" si="114"/>
        <v>191.04</v>
      </c>
    </row>
    <row r="405" outlineLevel="1">
      <c r="A405" s="87" t="s">
        <v>467</v>
      </c>
      <c r="B405" s="66">
        <f>((B267*'Data - P&amp;L'!$D$38)+(B278*'Data - P&amp;L'!$D$39))*'Data - P&amp;L'!$C$54</f>
        <v>0</v>
      </c>
      <c r="C405" s="66">
        <f>((C267*'Data - P&amp;L'!$D$38)+(C278*'Data - P&amp;L'!$D$39))*'Data - P&amp;L'!$C$54</f>
        <v>0</v>
      </c>
      <c r="D405" s="66">
        <f>((D267*'Data - P&amp;L'!$D$38)+(D278*'Data - P&amp;L'!$D$39))*'Data - P&amp;L'!$C$54</f>
        <v>0</v>
      </c>
      <c r="E405" s="66">
        <f>((E267*'Data - P&amp;L'!$D$38)+(E278*'Data - P&amp;L'!$D$39))*'Data - P&amp;L'!$C$54</f>
        <v>0</v>
      </c>
      <c r="F405" s="66">
        <f>((F267*'Data - P&amp;L'!$D$38)+(F278*'Data - P&amp;L'!$D$39))*'Data - P&amp;L'!$C$54</f>
        <v>0</v>
      </c>
      <c r="G405" s="66">
        <f>((G267*'Data - P&amp;L'!$D$38)+(G278*'Data - P&amp;L'!$D$39))*'Data - P&amp;L'!$C$54</f>
        <v>0</v>
      </c>
      <c r="H405" s="66">
        <f>((H267*'Data - P&amp;L'!$D$38)+(H278*'Data - P&amp;L'!$D$39))*'Data - P&amp;L'!$C$54</f>
        <v>0.35875</v>
      </c>
      <c r="I405" s="66">
        <f>((I267*'Data - P&amp;L'!$D$38)+(I278*'Data - P&amp;L'!$D$39))*'Data - P&amp;L'!$C$54</f>
        <v>4.305</v>
      </c>
      <c r="J405" s="66">
        <f>((J267*'Data - P&amp;L'!$D$38)+(J278*'Data - P&amp;L'!$D$39))*'Data - P&amp;L'!$C$54</f>
        <v>0</v>
      </c>
      <c r="K405" s="66">
        <f>((K267*'Data - P&amp;L'!$D$38)+(K278*'Data - P&amp;L'!$D$39))*'Data - P&amp;L'!$C$54</f>
        <v>0</v>
      </c>
      <c r="L405" s="66">
        <f>((L267*'Data - P&amp;L'!$D$38)+(L278*'Data - P&amp;L'!$D$39))*'Data - P&amp;L'!$C$54</f>
        <v>0</v>
      </c>
      <c r="M405" s="66">
        <f>((M267*'Data - P&amp;L'!$D$38)+(M278*'Data - P&amp;L'!$D$39))*'Data - P&amp;L'!$C$54</f>
        <v>0.35875</v>
      </c>
      <c r="N405" s="66">
        <f>((N267*'Data - P&amp;L'!$D$38)+(N278*'Data - P&amp;L'!$D$39))*'Data - P&amp;L'!$C$54</f>
        <v>0</v>
      </c>
      <c r="O405" s="66">
        <f>((O267*'Data - P&amp;L'!$D$38)+(O278*'Data - P&amp;L'!$D$39))*'Data - P&amp;L'!$C$54</f>
        <v>0.71875</v>
      </c>
      <c r="P405" s="66">
        <f>((P267*'Data - P&amp;L'!$D$38)+(P278*'Data - P&amp;L'!$D$39))*'Data - P&amp;L'!$C$54</f>
        <v>0.35875</v>
      </c>
      <c r="Q405" s="66">
        <f>((Q267*'Data - P&amp;L'!$D$38)+(Q278*'Data - P&amp;L'!$D$39))*'Data - P&amp;L'!$C$54</f>
        <v>0.35875</v>
      </c>
      <c r="R405" s="66">
        <f>((R267*'Data - P&amp;L'!$D$38)+(R278*'Data - P&amp;L'!$D$39))*'Data - P&amp;L'!$C$54</f>
        <v>0.7175</v>
      </c>
      <c r="S405" s="66">
        <f>((S267*'Data - P&amp;L'!$D$38)+(S278*'Data - P&amp;L'!$D$39))*'Data - P&amp;L'!$C$54</f>
        <v>0.71875</v>
      </c>
      <c r="T405" s="66">
        <f>((T267*'Data - P&amp;L'!$D$38)+(T278*'Data - P&amp;L'!$D$39))*'Data - P&amp;L'!$C$54</f>
        <v>3.94625</v>
      </c>
      <c r="U405" s="66">
        <f>((U267*'Data - P&amp;L'!$D$38)+(U278*'Data - P&amp;L'!$D$39))*'Data - P&amp;L'!$C$54</f>
        <v>1.435</v>
      </c>
      <c r="V405" s="66">
        <f>((V267*'Data - P&amp;L'!$D$38)+(V278*'Data - P&amp;L'!$D$39))*'Data - P&amp;L'!$C$54</f>
        <v>0.35875</v>
      </c>
      <c r="W405" s="66">
        <f>((W267*'Data - P&amp;L'!$D$38)+(W278*'Data - P&amp;L'!$D$39))*'Data - P&amp;L'!$C$54</f>
        <v>1.07625</v>
      </c>
      <c r="X405" s="66">
        <f>((X267*'Data - P&amp;L'!$D$38)+(X278*'Data - P&amp;L'!$D$39))*'Data - P&amp;L'!$C$54</f>
        <v>5.38125</v>
      </c>
      <c r="Y405" s="66">
        <f>((Y267*'Data - P&amp;L'!$D$38)+(Y278*'Data - P&amp;L'!$D$39))*'Data - P&amp;L'!$C$54</f>
        <v>0</v>
      </c>
      <c r="Z405" s="66">
        <f>((Z267*'Data - P&amp;L'!$D$38)+(Z278*'Data - P&amp;L'!$D$39))*'Data - P&amp;L'!$C$54</f>
        <v>0</v>
      </c>
      <c r="AA405" s="66">
        <f>((AA267*'Data - P&amp;L'!$D$38)+(AA278*'Data - P&amp;L'!$D$39))*'Data - P&amp;L'!$C$54</f>
        <v>0</v>
      </c>
      <c r="AB405" s="66">
        <f>((AB267*'Data - P&amp;L'!$D$38)+(AB278*'Data - P&amp;L'!$D$39))*'Data - P&amp;L'!$C$54</f>
        <v>0.35875</v>
      </c>
      <c r="AC405" s="66">
        <f>((AC267*'Data - P&amp;L'!$D$38)+(AC278*'Data - P&amp;L'!$D$39))*'Data - P&amp;L'!$C$54</f>
        <v>0.7175</v>
      </c>
      <c r="AD405" s="66">
        <f>((AD267*'Data - P&amp;L'!$D$38)+(AD278*'Data - P&amp;L'!$D$39))*'Data - P&amp;L'!$C$54</f>
        <v>0</v>
      </c>
      <c r="AE405" s="66">
        <f>((AE267*'Data - P&amp;L'!$D$38)+(AE278*'Data - P&amp;L'!$D$39))*'Data - P&amp;L'!$C$54</f>
        <v>1.07625</v>
      </c>
      <c r="AF405" s="89">
        <f t="shared" si="114"/>
        <v>22.245</v>
      </c>
    </row>
    <row r="406" outlineLevel="1">
      <c r="A406" s="87" t="s">
        <v>812</v>
      </c>
      <c r="B406" s="66">
        <f>(B280*'Data - P&amp;L'!$R$3)+(B281*'Data - P&amp;L'!$R$4)</f>
        <v>40</v>
      </c>
      <c r="C406" s="66">
        <f>(C280*'Data - P&amp;L'!$R$3)+(C281*'Data - P&amp;L'!$R$4)</f>
        <v>90</v>
      </c>
      <c r="D406" s="66">
        <f>(D280*'Data - P&amp;L'!$R$3)+(D281*'Data - P&amp;L'!$R$4)</f>
        <v>15</v>
      </c>
      <c r="E406" s="66">
        <f>(E280*'Data - P&amp;L'!$R$3)+(E281*'Data - P&amp;L'!$R$4)</f>
        <v>0</v>
      </c>
      <c r="F406" s="66">
        <f>(F280*'Data - P&amp;L'!$R$3)+(F281*'Data - P&amp;L'!$R$4)</f>
        <v>0</v>
      </c>
      <c r="G406" s="66">
        <f>(G280*'Data - P&amp;L'!$R$3)+(G281*'Data - P&amp;L'!$R$4)</f>
        <v>0</v>
      </c>
      <c r="H406" s="66">
        <f>(H280*'Data - P&amp;L'!$R$3)+(H281*'Data - P&amp;L'!$R$4)</f>
        <v>15</v>
      </c>
      <c r="I406" s="66">
        <f>(I280*'Data - P&amp;L'!$R$3)+(I281*'Data - P&amp;L'!$R$4)</f>
        <v>90</v>
      </c>
      <c r="J406" s="66">
        <f>(J280*'Data - P&amp;L'!$R$3)+(J281*'Data - P&amp;L'!$R$4)</f>
        <v>40</v>
      </c>
      <c r="K406" s="66">
        <f>(K280*'Data - P&amp;L'!$R$3)+(K281*'Data - P&amp;L'!$R$4)</f>
        <v>0</v>
      </c>
      <c r="L406" s="66">
        <f>(L280*'Data - P&amp;L'!$R$3)+(L281*'Data - P&amp;L'!$R$4)</f>
        <v>0</v>
      </c>
      <c r="M406" s="66">
        <f>(M280*'Data - P&amp;L'!$R$3)+(M281*'Data - P&amp;L'!$R$4)</f>
        <v>15</v>
      </c>
      <c r="N406" s="66">
        <f>(N280*'Data - P&amp;L'!$R$3)+(N281*'Data - P&amp;L'!$R$4)</f>
        <v>15</v>
      </c>
      <c r="O406" s="66">
        <f>(O280*'Data - P&amp;L'!$R$3)+(O281*'Data - P&amp;L'!$R$4)</f>
        <v>70</v>
      </c>
      <c r="P406" s="66">
        <f>(P280*'Data - P&amp;L'!$R$3)+(P281*'Data - P&amp;L'!$R$4)</f>
        <v>15</v>
      </c>
      <c r="Q406" s="66">
        <f>(Q280*'Data - P&amp;L'!$R$3)+(Q281*'Data - P&amp;L'!$R$4)</f>
        <v>30</v>
      </c>
      <c r="R406" s="66">
        <f>(R280*'Data - P&amp;L'!$R$3)+(R281*'Data - P&amp;L'!$R$4)</f>
        <v>30</v>
      </c>
      <c r="S406" s="66">
        <f>(S280*'Data - P&amp;L'!$R$3)+(S281*'Data - P&amp;L'!$R$4)</f>
        <v>55</v>
      </c>
      <c r="T406" s="66">
        <f>(T280*'Data - P&amp;L'!$R$3)+(T281*'Data - P&amp;L'!$R$4)</f>
        <v>180</v>
      </c>
      <c r="U406" s="66">
        <f>(U280*'Data - P&amp;L'!$R$3)+(U281*'Data - P&amp;L'!$R$4)</f>
        <v>75</v>
      </c>
      <c r="V406" s="66">
        <f>(V280*'Data - P&amp;L'!$R$3)+(V281*'Data - P&amp;L'!$R$4)</f>
        <v>30</v>
      </c>
      <c r="W406" s="66">
        <f>(W280*'Data - P&amp;L'!$R$3)+(W281*'Data - P&amp;L'!$R$4)</f>
        <v>30</v>
      </c>
      <c r="X406" s="66">
        <f>(X280*'Data - P&amp;L'!$R$3)+(X281*'Data - P&amp;L'!$R$4)</f>
        <v>165</v>
      </c>
      <c r="Y406" s="66">
        <f>(Y280*'Data - P&amp;L'!$R$3)+(Y281*'Data - P&amp;L'!$R$4)</f>
        <v>0</v>
      </c>
      <c r="Z406" s="66">
        <f>(Z280*'Data - P&amp;L'!$R$3)+(Z281*'Data - P&amp;L'!$R$4)</f>
        <v>0</v>
      </c>
      <c r="AA406" s="66">
        <f>(AA280*'Data - P&amp;L'!$R$3)+(AA281*'Data - P&amp;L'!$R$4)</f>
        <v>0</v>
      </c>
      <c r="AB406" s="66">
        <f>(AB280*'Data - P&amp;L'!$R$3)+(AB281*'Data - P&amp;L'!$R$4)</f>
        <v>30</v>
      </c>
      <c r="AC406" s="66">
        <f>(AC280*'Data - P&amp;L'!$R$3)+(AC281*'Data - P&amp;L'!$R$4)</f>
        <v>45</v>
      </c>
      <c r="AD406" s="66">
        <f>(AD280*'Data - P&amp;L'!$R$3)+(AD281*'Data - P&amp;L'!$R$4)</f>
        <v>15</v>
      </c>
      <c r="AE406" s="66">
        <f>(AE280*'Data - P&amp;L'!$R$3)+(AE281*'Data - P&amp;L'!$R$4)</f>
        <v>45</v>
      </c>
      <c r="AF406" s="89">
        <f t="shared" si="114"/>
        <v>1135</v>
      </c>
    </row>
    <row r="407" outlineLevel="1">
      <c r="A407" s="87" t="s">
        <v>514</v>
      </c>
      <c r="B407" s="66">
        <f t="shared" ref="B407:AE407" si="117">B286+B291</f>
        <v>269</v>
      </c>
      <c r="C407" s="66">
        <f t="shared" si="117"/>
        <v>1390.83</v>
      </c>
      <c r="D407" s="66">
        <f t="shared" si="117"/>
        <v>271.07</v>
      </c>
      <c r="E407" s="66">
        <f t="shared" si="117"/>
        <v>0</v>
      </c>
      <c r="F407" s="66">
        <f t="shared" si="117"/>
        <v>0</v>
      </c>
      <c r="G407" s="66">
        <f t="shared" si="117"/>
        <v>0</v>
      </c>
      <c r="H407" s="66">
        <f t="shared" si="117"/>
        <v>230.94</v>
      </c>
      <c r="I407" s="66">
        <f t="shared" si="117"/>
        <v>2121.61</v>
      </c>
      <c r="J407" s="66">
        <f t="shared" si="117"/>
        <v>369</v>
      </c>
      <c r="K407" s="66">
        <f t="shared" si="117"/>
        <v>0</v>
      </c>
      <c r="L407" s="66">
        <f t="shared" si="117"/>
        <v>0</v>
      </c>
      <c r="M407" s="66">
        <f t="shared" si="117"/>
        <v>84.2</v>
      </c>
      <c r="N407" s="66">
        <f t="shared" si="117"/>
        <v>291.34</v>
      </c>
      <c r="O407" s="66">
        <f t="shared" si="117"/>
        <v>720.68</v>
      </c>
      <c r="P407" s="66">
        <f t="shared" si="117"/>
        <v>25.27</v>
      </c>
      <c r="Q407" s="66">
        <f t="shared" si="117"/>
        <v>522</v>
      </c>
      <c r="R407" s="66">
        <f t="shared" si="117"/>
        <v>271.11</v>
      </c>
      <c r="S407" s="66">
        <f t="shared" si="117"/>
        <v>274.52</v>
      </c>
      <c r="T407" s="66">
        <f t="shared" si="117"/>
        <v>3238.08</v>
      </c>
      <c r="U407" s="66">
        <f t="shared" si="117"/>
        <v>1534.18</v>
      </c>
      <c r="V407" s="66">
        <f t="shared" si="117"/>
        <v>244.74</v>
      </c>
      <c r="W407" s="66">
        <f t="shared" si="117"/>
        <v>651.16</v>
      </c>
      <c r="X407" s="66">
        <f t="shared" si="117"/>
        <v>2870.5</v>
      </c>
      <c r="Y407" s="66">
        <f t="shared" si="117"/>
        <v>0</v>
      </c>
      <c r="Z407" s="66">
        <f t="shared" si="117"/>
        <v>0</v>
      </c>
      <c r="AA407" s="66">
        <f t="shared" si="117"/>
        <v>0</v>
      </c>
      <c r="AB407" s="66">
        <f t="shared" si="117"/>
        <v>116.7</v>
      </c>
      <c r="AC407" s="66">
        <f t="shared" si="117"/>
        <v>596.44</v>
      </c>
      <c r="AD407" s="66">
        <f t="shared" si="117"/>
        <v>179</v>
      </c>
      <c r="AE407" s="66">
        <f t="shared" si="117"/>
        <v>897.58</v>
      </c>
      <c r="AF407" s="89">
        <f t="shared" si="114"/>
        <v>17169.95</v>
      </c>
    </row>
    <row r="408">
      <c r="A408" s="364" t="s">
        <v>814</v>
      </c>
      <c r="B408" s="331">
        <f t="shared" ref="B408:AE408" si="118">sum(B409:B419)-B422</f>
        <v>0</v>
      </c>
      <c r="C408" s="331">
        <f t="shared" si="118"/>
        <v>0</v>
      </c>
      <c r="D408" s="331">
        <f t="shared" si="118"/>
        <v>-508.231</v>
      </c>
      <c r="E408" s="331">
        <f t="shared" si="118"/>
        <v>0</v>
      </c>
      <c r="F408" s="331">
        <f t="shared" si="118"/>
        <v>0</v>
      </c>
      <c r="G408" s="331">
        <f t="shared" si="118"/>
        <v>-178.1075</v>
      </c>
      <c r="H408" s="331">
        <f t="shared" si="118"/>
        <v>-123.868</v>
      </c>
      <c r="I408" s="331">
        <f t="shared" si="118"/>
        <v>0</v>
      </c>
      <c r="J408" s="331">
        <f t="shared" si="118"/>
        <v>-427.428</v>
      </c>
      <c r="K408" s="331">
        <f t="shared" si="118"/>
        <v>0</v>
      </c>
      <c r="L408" s="331">
        <f t="shared" si="118"/>
        <v>0</v>
      </c>
      <c r="M408" s="331">
        <f t="shared" si="118"/>
        <v>0</v>
      </c>
      <c r="N408" s="331">
        <f t="shared" si="118"/>
        <v>-251.9565</v>
      </c>
      <c r="O408" s="331">
        <f t="shared" si="118"/>
        <v>-4.045</v>
      </c>
      <c r="P408" s="331">
        <f t="shared" si="118"/>
        <v>0</v>
      </c>
      <c r="Q408" s="331">
        <f t="shared" si="118"/>
        <v>0</v>
      </c>
      <c r="R408" s="331">
        <f t="shared" si="118"/>
        <v>0</v>
      </c>
      <c r="S408" s="331">
        <f t="shared" si="118"/>
        <v>0</v>
      </c>
      <c r="T408" s="331">
        <f t="shared" si="118"/>
        <v>0</v>
      </c>
      <c r="U408" s="331">
        <f t="shared" si="118"/>
        <v>0</v>
      </c>
      <c r="V408" s="331">
        <f t="shared" si="118"/>
        <v>-286.142</v>
      </c>
      <c r="W408" s="331">
        <f t="shared" si="118"/>
        <v>-199.401</v>
      </c>
      <c r="X408" s="331">
        <f t="shared" si="118"/>
        <v>0</v>
      </c>
      <c r="Y408" s="331">
        <f t="shared" si="118"/>
        <v>0</v>
      </c>
      <c r="Z408" s="331">
        <f t="shared" si="118"/>
        <v>0</v>
      </c>
      <c r="AA408" s="331">
        <f t="shared" si="118"/>
        <v>0</v>
      </c>
      <c r="AB408" s="331">
        <f t="shared" si="118"/>
        <v>0</v>
      </c>
      <c r="AC408" s="331">
        <f t="shared" si="118"/>
        <v>0</v>
      </c>
      <c r="AD408" s="331">
        <f t="shared" si="118"/>
        <v>0</v>
      </c>
      <c r="AE408" s="331">
        <f t="shared" si="118"/>
        <v>-15</v>
      </c>
      <c r="AF408" s="89">
        <f t="shared" si="114"/>
        <v>-1994.179</v>
      </c>
    </row>
    <row r="409" outlineLevel="1">
      <c r="A409" s="87" t="s">
        <v>382</v>
      </c>
      <c r="B409" s="66">
        <f>B313*'Data - P&amp;L'!$C$3*'Data - P&amp;L'!$C$55</f>
        <v>0</v>
      </c>
      <c r="C409" s="66">
        <f>C313*'Data - P&amp;L'!$C$3*'Data - P&amp;L'!$C$55</f>
        <v>0</v>
      </c>
      <c r="D409" s="66">
        <f>D313*'Data - P&amp;L'!$C$3*'Data - P&amp;L'!$C$55</f>
        <v>52.14</v>
      </c>
      <c r="E409" s="66">
        <f>E313*'Data - P&amp;L'!$C$3*'Data - P&amp;L'!$C$55</f>
        <v>0</v>
      </c>
      <c r="F409" s="66">
        <f>F313*'Data - P&amp;L'!$C$3*'Data - P&amp;L'!$C$55</f>
        <v>0</v>
      </c>
      <c r="G409" s="66">
        <f>G313*'Data - P&amp;L'!$C$3*'Data - P&amp;L'!$C$55</f>
        <v>0</v>
      </c>
      <c r="H409" s="66">
        <f>H313*'Data - P&amp;L'!$C$3*'Data - P&amp;L'!$C$55</f>
        <v>0</v>
      </c>
      <c r="I409" s="66">
        <f>I313*'Data - P&amp;L'!$C$3*'Data - P&amp;L'!$C$55</f>
        <v>0</v>
      </c>
      <c r="J409" s="66">
        <f>J313*'Data - P&amp;L'!$C$3*'Data - P&amp;L'!$C$55</f>
        <v>34.76</v>
      </c>
      <c r="K409" s="66">
        <f>K313*'Data - P&amp;L'!$C$3*'Data - P&amp;L'!$C$55</f>
        <v>0</v>
      </c>
      <c r="L409" s="66">
        <f>L313*'Data - P&amp;L'!$C$3*'Data - P&amp;L'!$C$55</f>
        <v>0</v>
      </c>
      <c r="M409" s="66">
        <f>M313*'Data - P&amp;L'!$C$3*'Data - P&amp;L'!$C$55</f>
        <v>0</v>
      </c>
      <c r="N409" s="66">
        <f>N313*'Data - P&amp;L'!$C$3*'Data - P&amp;L'!$C$55</f>
        <v>0</v>
      </c>
      <c r="O409" s="66">
        <f>O313*'Data - P&amp;L'!$C$3*'Data - P&amp;L'!$C$55</f>
        <v>0</v>
      </c>
      <c r="P409" s="66">
        <f>P313*'Data - P&amp;L'!$C$3*'Data - P&amp;L'!$C$55</f>
        <v>0</v>
      </c>
      <c r="Q409" s="66">
        <f>Q313*'Data - P&amp;L'!$C$3*'Data - P&amp;L'!$C$55</f>
        <v>0</v>
      </c>
      <c r="R409" s="66">
        <f>R313*'Data - P&amp;L'!$C$3*'Data - P&amp;L'!$C$55</f>
        <v>0</v>
      </c>
      <c r="S409" s="66">
        <f>S313*'Data - P&amp;L'!$C$3*'Data - P&amp;L'!$C$55</f>
        <v>0</v>
      </c>
      <c r="T409" s="66">
        <f>T313*'Data - P&amp;L'!$C$3*'Data - P&amp;L'!$C$55</f>
        <v>0</v>
      </c>
      <c r="U409" s="66">
        <f>U313*'Data - P&amp;L'!$C$3*'Data - P&amp;L'!$C$55</f>
        <v>0</v>
      </c>
      <c r="V409" s="66">
        <f>V313*'Data - P&amp;L'!$C$3*'Data - P&amp;L'!$C$55</f>
        <v>26.07</v>
      </c>
      <c r="W409" s="66">
        <f>W313*'Data - P&amp;L'!$C$3*'Data - P&amp;L'!$C$55</f>
        <v>43.45</v>
      </c>
      <c r="X409" s="66">
        <f>X313*'Data - P&amp;L'!$C$3*'Data - P&amp;L'!$C$55</f>
        <v>0</v>
      </c>
      <c r="Y409" s="66">
        <f>Y313*'Data - P&amp;L'!$C$3*'Data - P&amp;L'!$C$55</f>
        <v>0</v>
      </c>
      <c r="Z409" s="66">
        <f>Z313*'Data - P&amp;L'!$C$3*'Data - P&amp;L'!$C$55</f>
        <v>0</v>
      </c>
      <c r="AA409" s="66">
        <f>AA313*'Data - P&amp;L'!$C$3*'Data - P&amp;L'!$C$55</f>
        <v>0</v>
      </c>
      <c r="AB409" s="66">
        <f>AB313*'Data - P&amp;L'!$C$3*'Data - P&amp;L'!$C$55</f>
        <v>0</v>
      </c>
      <c r="AC409" s="66">
        <f>AC313*'Data - P&amp;L'!$C$3*'Data - P&amp;L'!$C$55</f>
        <v>0</v>
      </c>
      <c r="AD409" s="66">
        <f>AD313*'Data - P&amp;L'!$C$3*'Data - P&amp;L'!$C$55</f>
        <v>0</v>
      </c>
      <c r="AE409" s="66">
        <f>AE313*'Data - P&amp;L'!$C$3*'Data - P&amp;L'!$C$55</f>
        <v>0</v>
      </c>
      <c r="AF409" s="89">
        <f t="shared" si="114"/>
        <v>156.42</v>
      </c>
    </row>
    <row r="410" outlineLevel="1">
      <c r="A410" s="87" t="s">
        <v>385</v>
      </c>
      <c r="B410" s="66">
        <f>B314*'Data - P&amp;L'!$C$4*'Data - P&amp;L'!$C$55</f>
        <v>0</v>
      </c>
      <c r="C410" s="66">
        <f>C314*'Data - P&amp;L'!$C$4*'Data - P&amp;L'!$C$55</f>
        <v>0</v>
      </c>
      <c r="D410" s="66">
        <f>D314*'Data - P&amp;L'!$C$4*'Data - P&amp;L'!$C$55</f>
        <v>48.805</v>
      </c>
      <c r="E410" s="66">
        <f>E314*'Data - P&amp;L'!$C$4*'Data - P&amp;L'!$C$55</f>
        <v>0</v>
      </c>
      <c r="F410" s="66">
        <f>F314*'Data - P&amp;L'!$C$4*'Data - P&amp;L'!$C$55</f>
        <v>0</v>
      </c>
      <c r="G410" s="66">
        <f>G314*'Data - P&amp;L'!$C$4*'Data - P&amp;L'!$C$55</f>
        <v>19.522</v>
      </c>
      <c r="H410" s="66">
        <f>H314*'Data - P&amp;L'!$C$4*'Data - P&amp;L'!$C$55</f>
        <v>19.522</v>
      </c>
      <c r="I410" s="66">
        <f>I314*'Data - P&amp;L'!$C$4*'Data - P&amp;L'!$C$55</f>
        <v>0</v>
      </c>
      <c r="J410" s="66">
        <f>J314*'Data - P&amp;L'!$C$4*'Data - P&amp;L'!$C$55</f>
        <v>0</v>
      </c>
      <c r="K410" s="66">
        <f>K314*'Data - P&amp;L'!$C$4*'Data - P&amp;L'!$C$55</f>
        <v>0</v>
      </c>
      <c r="L410" s="66">
        <f>L314*'Data - P&amp;L'!$C$4*'Data - P&amp;L'!$C$55</f>
        <v>0</v>
      </c>
      <c r="M410" s="66">
        <f>M314*'Data - P&amp;L'!$C$4*'Data - P&amp;L'!$C$55</f>
        <v>0</v>
      </c>
      <c r="N410" s="66">
        <f>N314*'Data - P&amp;L'!$C$4*'Data - P&amp;L'!$C$55</f>
        <v>0</v>
      </c>
      <c r="O410" s="66">
        <f>O314*'Data - P&amp;L'!$C$4*'Data - P&amp;L'!$C$55</f>
        <v>9.761</v>
      </c>
      <c r="P410" s="66">
        <f>P314*'Data - P&amp;L'!$C$4*'Data - P&amp;L'!$C$55</f>
        <v>0</v>
      </c>
      <c r="Q410" s="66">
        <f>Q314*'Data - P&amp;L'!$C$4*'Data - P&amp;L'!$C$55</f>
        <v>0</v>
      </c>
      <c r="R410" s="66">
        <f>R314*'Data - P&amp;L'!$C$4*'Data - P&amp;L'!$C$55</f>
        <v>0</v>
      </c>
      <c r="S410" s="66">
        <f>S314*'Data - P&amp;L'!$C$4*'Data - P&amp;L'!$C$55</f>
        <v>0</v>
      </c>
      <c r="T410" s="66">
        <f>T314*'Data - P&amp;L'!$C$4*'Data - P&amp;L'!$C$55</f>
        <v>0</v>
      </c>
      <c r="U410" s="66">
        <f>U314*'Data - P&amp;L'!$C$4*'Data - P&amp;L'!$C$55</f>
        <v>0</v>
      </c>
      <c r="V410" s="66">
        <f>V314*'Data - P&amp;L'!$C$4*'Data - P&amp;L'!$C$55</f>
        <v>58.566</v>
      </c>
      <c r="W410" s="66">
        <f>W314*'Data - P&amp;L'!$C$4*'Data - P&amp;L'!$C$55</f>
        <v>39.044</v>
      </c>
      <c r="X410" s="66">
        <f>X314*'Data - P&amp;L'!$C$4*'Data - P&amp;L'!$C$55</f>
        <v>0</v>
      </c>
      <c r="Y410" s="66">
        <f>Y314*'Data - P&amp;L'!$C$4*'Data - P&amp;L'!$C$55</f>
        <v>0</v>
      </c>
      <c r="Z410" s="66">
        <f>Z314*'Data - P&amp;L'!$C$4*'Data - P&amp;L'!$C$55</f>
        <v>0</v>
      </c>
      <c r="AA410" s="66">
        <f>AA314*'Data - P&amp;L'!$C$4*'Data - P&amp;L'!$C$55</f>
        <v>0</v>
      </c>
      <c r="AB410" s="66">
        <f>AB314*'Data - P&amp;L'!$C$4*'Data - P&amp;L'!$C$55</f>
        <v>0</v>
      </c>
      <c r="AC410" s="66">
        <f>AC314*'Data - P&amp;L'!$C$4*'Data - P&amp;L'!$C$55</f>
        <v>0</v>
      </c>
      <c r="AD410" s="66">
        <f>AD314*'Data - P&amp;L'!$C$4*'Data - P&amp;L'!$C$55</f>
        <v>0</v>
      </c>
      <c r="AE410" s="66">
        <f>AE314*'Data - P&amp;L'!$C$4*'Data - P&amp;L'!$C$55</f>
        <v>0</v>
      </c>
      <c r="AF410" s="89">
        <f t="shared" si="114"/>
        <v>195.22</v>
      </c>
    </row>
    <row r="411" outlineLevel="1">
      <c r="A411" s="87" t="s">
        <v>388</v>
      </c>
      <c r="B411" s="66">
        <f>(B317+B328)*'Data - P&amp;L'!$C$6*'Data - P&amp;L'!$C$55</f>
        <v>0</v>
      </c>
      <c r="C411" s="66">
        <f>(C317+C328)*'Data - P&amp;L'!$C$6*'Data - P&amp;L'!$C$55</f>
        <v>0</v>
      </c>
      <c r="D411" s="66">
        <f>(D317+D328)*'Data - P&amp;L'!$C$6*'Data - P&amp;L'!$C$55</f>
        <v>1.098</v>
      </c>
      <c r="E411" s="66">
        <f>(E317+E328)*'Data - P&amp;L'!$C$6*'Data - P&amp;L'!$C$55</f>
        <v>0</v>
      </c>
      <c r="F411" s="66">
        <f>(F317+F328)*'Data - P&amp;L'!$C$6*'Data - P&amp;L'!$C$55</f>
        <v>0</v>
      </c>
      <c r="G411" s="66">
        <f>(G317+G328)*'Data - P&amp;L'!$C$6*'Data - P&amp;L'!$C$55</f>
        <v>1.098</v>
      </c>
      <c r="H411" s="66">
        <f>(H317+H328)*'Data - P&amp;L'!$C$6*'Data - P&amp;L'!$C$55</f>
        <v>0</v>
      </c>
      <c r="I411" s="66">
        <f>(I317+I328)*'Data - P&amp;L'!$C$6*'Data - P&amp;L'!$C$55</f>
        <v>0</v>
      </c>
      <c r="J411" s="66">
        <f>(J317+J328)*'Data - P&amp;L'!$C$6*'Data - P&amp;L'!$C$55</f>
        <v>2.196</v>
      </c>
      <c r="K411" s="66">
        <f>(K317+K328)*'Data - P&amp;L'!$C$6*'Data - P&amp;L'!$C$55</f>
        <v>0</v>
      </c>
      <c r="L411" s="66">
        <f>(L317+L328)*'Data - P&amp;L'!$C$6*'Data - P&amp;L'!$C$55</f>
        <v>0</v>
      </c>
      <c r="M411" s="66">
        <f>(M317+M328)*'Data - P&amp;L'!$C$6*'Data - P&amp;L'!$C$55</f>
        <v>0</v>
      </c>
      <c r="N411" s="66">
        <f>(N317+N328)*'Data - P&amp;L'!$C$6*'Data - P&amp;L'!$C$55</f>
        <v>0.549</v>
      </c>
      <c r="O411" s="66">
        <f>(O317+O328)*'Data - P&amp;L'!$C$6*'Data - P&amp;L'!$C$55</f>
        <v>0</v>
      </c>
      <c r="P411" s="66">
        <f>(P317+P328)*'Data - P&amp;L'!$C$6*'Data - P&amp;L'!$C$55</f>
        <v>0</v>
      </c>
      <c r="Q411" s="66">
        <f>(Q317+Q328)*'Data - P&amp;L'!$C$6*'Data - P&amp;L'!$C$55</f>
        <v>0</v>
      </c>
      <c r="R411" s="66">
        <f>(R317+R328)*'Data - P&amp;L'!$C$6*'Data - P&amp;L'!$C$55</f>
        <v>0</v>
      </c>
      <c r="S411" s="66">
        <f>(S317+S328)*'Data - P&amp;L'!$C$6*'Data - P&amp;L'!$C$55</f>
        <v>0</v>
      </c>
      <c r="T411" s="66">
        <f>(T317+T328)*'Data - P&amp;L'!$C$6*'Data - P&amp;L'!$C$55</f>
        <v>0</v>
      </c>
      <c r="U411" s="66">
        <f>(U317+U328)*'Data - P&amp;L'!$C$6*'Data - P&amp;L'!$C$55</f>
        <v>0</v>
      </c>
      <c r="V411" s="66">
        <f>(V317+V328)*'Data - P&amp;L'!$C$6*'Data - P&amp;L'!$C$55</f>
        <v>0</v>
      </c>
      <c r="W411" s="66">
        <f>(W317+W328)*'Data - P&amp;L'!$C$6*'Data - P&amp;L'!$C$55</f>
        <v>3.294</v>
      </c>
      <c r="X411" s="66">
        <f>(X317+X328)*'Data - P&amp;L'!$C$6*'Data - P&amp;L'!$C$55</f>
        <v>0</v>
      </c>
      <c r="Y411" s="66">
        <f>(Y317+Y328)*'Data - P&amp;L'!$C$6*'Data - P&amp;L'!$C$55</f>
        <v>0</v>
      </c>
      <c r="Z411" s="66">
        <f>(Z317+Z328)*'Data - P&amp;L'!$C$6*'Data - P&amp;L'!$C$55</f>
        <v>0</v>
      </c>
      <c r="AA411" s="66">
        <f>(AA317+AA328)*'Data - P&amp;L'!$C$6*'Data - P&amp;L'!$C$55</f>
        <v>0</v>
      </c>
      <c r="AB411" s="66">
        <f>(AB317+AB328)*'Data - P&amp;L'!$C$6*'Data - P&amp;L'!$C$55</f>
        <v>0</v>
      </c>
      <c r="AC411" s="66">
        <f>(AC317+AC328)*'Data - P&amp;L'!$C$6*'Data - P&amp;L'!$C$55</f>
        <v>0</v>
      </c>
      <c r="AD411" s="66">
        <f>(AD317+AD328)*'Data - P&amp;L'!$C$6*'Data - P&amp;L'!$C$55</f>
        <v>0</v>
      </c>
      <c r="AE411" s="66">
        <f>(AE317+AE328)*'Data - P&amp;L'!$C$6*'Data - P&amp;L'!$C$55</f>
        <v>0</v>
      </c>
      <c r="AF411" s="89">
        <f t="shared" si="114"/>
        <v>8.235</v>
      </c>
    </row>
    <row r="412" outlineLevel="1">
      <c r="A412" s="87" t="s">
        <v>390</v>
      </c>
      <c r="B412" s="66">
        <f>(B318+B329)*'Data - P&amp;L'!$C$8*'Data - P&amp;L'!$C$55</f>
        <v>0</v>
      </c>
      <c r="C412" s="66">
        <f>(C318+C329)*'Data - P&amp;L'!$C$8*'Data - P&amp;L'!$C$55</f>
        <v>0</v>
      </c>
      <c r="D412" s="66">
        <f>(D318+D329)*'Data - P&amp;L'!$C$8*'Data - P&amp;L'!$C$55</f>
        <v>0.952</v>
      </c>
      <c r="E412" s="66">
        <f>(E318+E329)*'Data - P&amp;L'!$C$8*'Data - P&amp;L'!$C$55</f>
        <v>0</v>
      </c>
      <c r="F412" s="66">
        <f>(F318+F329)*'Data - P&amp;L'!$C$8*'Data - P&amp;L'!$C$55</f>
        <v>0</v>
      </c>
      <c r="G412" s="66">
        <f>(G318+G329)*'Data - P&amp;L'!$C$8*'Data - P&amp;L'!$C$55</f>
        <v>0.714</v>
      </c>
      <c r="H412" s="66">
        <f>(H318+H329)*'Data - P&amp;L'!$C$8*'Data - P&amp;L'!$C$55</f>
        <v>0.476</v>
      </c>
      <c r="I412" s="66">
        <f>(I318+I329)*'Data - P&amp;L'!$C$8*'Data - P&amp;L'!$C$55</f>
        <v>0</v>
      </c>
      <c r="J412" s="66">
        <f>(J318+J329)*'Data - P&amp;L'!$C$8*'Data - P&amp;L'!$C$55</f>
        <v>0.238</v>
      </c>
      <c r="K412" s="66">
        <f>(K318+K329)*'Data - P&amp;L'!$C$8*'Data - P&amp;L'!$C$55</f>
        <v>0</v>
      </c>
      <c r="L412" s="66">
        <f>(L318+L329)*'Data - P&amp;L'!$C$8*'Data - P&amp;L'!$C$55</f>
        <v>0</v>
      </c>
      <c r="M412" s="66">
        <f>(M318+M329)*'Data - P&amp;L'!$C$8*'Data - P&amp;L'!$C$55</f>
        <v>0</v>
      </c>
      <c r="N412" s="66">
        <f>(N318+N329)*'Data - P&amp;L'!$C$8*'Data - P&amp;L'!$C$55</f>
        <v>1.309</v>
      </c>
      <c r="O412" s="66">
        <f>(O318+O329)*'Data - P&amp;L'!$C$8*'Data - P&amp;L'!$C$55</f>
        <v>0</v>
      </c>
      <c r="P412" s="66">
        <f>(P318+P329)*'Data - P&amp;L'!$C$8*'Data - P&amp;L'!$C$55</f>
        <v>0</v>
      </c>
      <c r="Q412" s="66">
        <f>(Q318+Q329)*'Data - P&amp;L'!$C$8*'Data - P&amp;L'!$C$55</f>
        <v>0</v>
      </c>
      <c r="R412" s="66">
        <f>(R318+R329)*'Data - P&amp;L'!$C$8*'Data - P&amp;L'!$C$55</f>
        <v>0</v>
      </c>
      <c r="S412" s="66">
        <f>(S318+S329)*'Data - P&amp;L'!$C$8*'Data - P&amp;L'!$C$55</f>
        <v>0</v>
      </c>
      <c r="T412" s="66">
        <f>(T318+T329)*'Data - P&amp;L'!$C$8*'Data - P&amp;L'!$C$55</f>
        <v>0</v>
      </c>
      <c r="U412" s="66">
        <f>(U318+U329)*'Data - P&amp;L'!$C$8*'Data - P&amp;L'!$C$55</f>
        <v>0</v>
      </c>
      <c r="V412" s="66">
        <f>(V318+V329)*'Data - P&amp;L'!$C$8*'Data - P&amp;L'!$C$55</f>
        <v>0.714</v>
      </c>
      <c r="W412" s="66">
        <f>(W318+W329)*'Data - P&amp;L'!$C$8*'Data - P&amp;L'!$C$55</f>
        <v>0.595</v>
      </c>
      <c r="X412" s="66">
        <f>(X318+X329)*'Data - P&amp;L'!$C$8*'Data - P&amp;L'!$C$55</f>
        <v>0</v>
      </c>
      <c r="Y412" s="66">
        <f>(Y318+Y329)*'Data - P&amp;L'!$C$8*'Data - P&amp;L'!$C$55</f>
        <v>0</v>
      </c>
      <c r="Z412" s="66">
        <f>(Z318+Z329)*'Data - P&amp;L'!$C$8*'Data - P&amp;L'!$C$55</f>
        <v>0</v>
      </c>
      <c r="AA412" s="66">
        <f>(AA318+AA329)*'Data - P&amp;L'!$C$8*'Data - P&amp;L'!$C$55</f>
        <v>0</v>
      </c>
      <c r="AB412" s="66">
        <f>(AB318+AB329)*'Data - P&amp;L'!$C$8*'Data - P&amp;L'!$C$55</f>
        <v>0</v>
      </c>
      <c r="AC412" s="66">
        <f>(AC318+AC329)*'Data - P&amp;L'!$C$8*'Data - P&amp;L'!$C$55</f>
        <v>0</v>
      </c>
      <c r="AD412" s="66">
        <f>(AD318+AD329)*'Data - P&amp;L'!$C$8*'Data - P&amp;L'!$C$55</f>
        <v>0</v>
      </c>
      <c r="AE412" s="66">
        <f>(AE318+AE329)*'Data - P&amp;L'!$C$8*'Data - P&amp;L'!$C$55</f>
        <v>0</v>
      </c>
      <c r="AF412" s="89">
        <f t="shared" si="114"/>
        <v>4.998</v>
      </c>
    </row>
    <row r="413" outlineLevel="1">
      <c r="A413" s="87" t="s">
        <v>395</v>
      </c>
      <c r="B413" s="66">
        <f>(B319+B320+B330+B331)*'Data - P&amp;L'!$C$9*'Data - P&amp;L'!$C$55</f>
        <v>0</v>
      </c>
      <c r="C413" s="66">
        <f>(C319+C320+C330+C331)*'Data - P&amp;L'!$C$9*'Data - P&amp;L'!$C$55</f>
        <v>0</v>
      </c>
      <c r="D413" s="66">
        <f>(D319+D320+D330+D331)*'Data - P&amp;L'!$C$9*'Data - P&amp;L'!$C$55</f>
        <v>1.998</v>
      </c>
      <c r="E413" s="66">
        <f>(E319+E320+E330+E331)*'Data - P&amp;L'!$C$9*'Data - P&amp;L'!$C$55</f>
        <v>0</v>
      </c>
      <c r="F413" s="66">
        <f>(F319+F320+F330+F331)*'Data - P&amp;L'!$C$9*'Data - P&amp;L'!$C$55</f>
        <v>0</v>
      </c>
      <c r="G413" s="66">
        <f>(G319+G320+G330+G331)*'Data - P&amp;L'!$C$9*'Data - P&amp;L'!$C$55</f>
        <v>3.33</v>
      </c>
      <c r="H413" s="66">
        <f>(H319+H320+H330+H331)*'Data - P&amp;L'!$C$9*'Data - P&amp;L'!$C$55</f>
        <v>1.998</v>
      </c>
      <c r="I413" s="66">
        <f>(I319+I320+I330+I331)*'Data - P&amp;L'!$C$9*'Data - P&amp;L'!$C$55</f>
        <v>0</v>
      </c>
      <c r="J413" s="66">
        <f>(J319+J320+J330+J331)*'Data - P&amp;L'!$C$9*'Data - P&amp;L'!$C$55</f>
        <v>0.666</v>
      </c>
      <c r="K413" s="66">
        <f>(K319+K320+K330+K331)*'Data - P&amp;L'!$C$9*'Data - P&amp;L'!$C$55</f>
        <v>0</v>
      </c>
      <c r="L413" s="66">
        <f>(L319+L320+L330+L331)*'Data - P&amp;L'!$C$9*'Data - P&amp;L'!$C$55</f>
        <v>0</v>
      </c>
      <c r="M413" s="66">
        <f>(M319+M320+M330+M331)*'Data - P&amp;L'!$C$9*'Data - P&amp;L'!$C$55</f>
        <v>0</v>
      </c>
      <c r="N413" s="66">
        <f>(N319+N320+N330+N331)*'Data - P&amp;L'!$C$9*'Data - P&amp;L'!$C$55</f>
        <v>0</v>
      </c>
      <c r="O413" s="66">
        <f>(O319+O320+O330+O331)*'Data - P&amp;L'!$C$9*'Data - P&amp;L'!$C$55</f>
        <v>0</v>
      </c>
      <c r="P413" s="66">
        <f>(P319+P320+P330+P331)*'Data - P&amp;L'!$C$9*'Data - P&amp;L'!$C$55</f>
        <v>0</v>
      </c>
      <c r="Q413" s="66">
        <f>(Q319+Q320+Q330+Q331)*'Data - P&amp;L'!$C$9*'Data - P&amp;L'!$C$55</f>
        <v>0</v>
      </c>
      <c r="R413" s="66">
        <f>(R319+R320+R330+R331)*'Data - P&amp;L'!$C$9*'Data - P&amp;L'!$C$55</f>
        <v>0</v>
      </c>
      <c r="S413" s="66">
        <f>(S319+S320+S330+S331)*'Data - P&amp;L'!$C$9*'Data - P&amp;L'!$C$55</f>
        <v>0</v>
      </c>
      <c r="T413" s="66">
        <f>(T319+T320+T330+T331)*'Data - P&amp;L'!$C$9*'Data - P&amp;L'!$C$55</f>
        <v>0</v>
      </c>
      <c r="U413" s="66">
        <f>(U319+U320+U330+U331)*'Data - P&amp;L'!$C$9*'Data - P&amp;L'!$C$55</f>
        <v>0</v>
      </c>
      <c r="V413" s="66">
        <f>(V319+V320+V330+V331)*'Data - P&amp;L'!$C$9*'Data - P&amp;L'!$C$55</f>
        <v>0</v>
      </c>
      <c r="W413" s="66">
        <f>(W319+W320+W330+W331)*'Data - P&amp;L'!$C$9*'Data - P&amp;L'!$C$55</f>
        <v>1.998</v>
      </c>
      <c r="X413" s="66">
        <f>(X319+X320+X330+X331)*'Data - P&amp;L'!$C$9*'Data - P&amp;L'!$C$55</f>
        <v>0</v>
      </c>
      <c r="Y413" s="66">
        <f>(Y319+Y320+Y330+Y331)*'Data - P&amp;L'!$C$9*'Data - P&amp;L'!$C$55</f>
        <v>0</v>
      </c>
      <c r="Z413" s="66">
        <f>(Z319+Z320+Z330+Z331)*'Data - P&amp;L'!$C$9*'Data - P&amp;L'!$C$55</f>
        <v>0</v>
      </c>
      <c r="AA413" s="66">
        <f>(AA319+AA320+AA330+AA331)*'Data - P&amp;L'!$C$9*'Data - P&amp;L'!$C$55</f>
        <v>0</v>
      </c>
      <c r="AB413" s="66">
        <f>(AB319+AB320+AB330+AB331)*'Data - P&amp;L'!$C$9*'Data - P&amp;L'!$C$55</f>
        <v>0</v>
      </c>
      <c r="AC413" s="66">
        <f>(AC319+AC320+AC330+AC331)*'Data - P&amp;L'!$C$9*'Data - P&amp;L'!$C$55</f>
        <v>0</v>
      </c>
      <c r="AD413" s="66">
        <f>(AD319+AD320+AD330+AD331)*'Data - P&amp;L'!$C$9*'Data - P&amp;L'!$C$55</f>
        <v>0</v>
      </c>
      <c r="AE413" s="66">
        <f>(AE319+AE320+AE330+AE331)*'Data - P&amp;L'!$C$9*'Data - P&amp;L'!$C$55</f>
        <v>0</v>
      </c>
      <c r="AF413" s="89">
        <f t="shared" si="114"/>
        <v>9.99</v>
      </c>
    </row>
    <row r="414" outlineLevel="1">
      <c r="A414" s="87" t="s">
        <v>401</v>
      </c>
      <c r="B414" s="66">
        <f>(B321+B322+B332+B333)*'Data - P&amp;L'!$C$5*'Data - P&amp;L'!$C$55</f>
        <v>0</v>
      </c>
      <c r="C414" s="66">
        <f>(C321+C322+C332+C333)*'Data - P&amp;L'!$C$5*'Data - P&amp;L'!$C$55</f>
        <v>0</v>
      </c>
      <c r="D414" s="66">
        <f>(D321+D322+D332+D333)*'Data - P&amp;L'!$C$5*'Data - P&amp;L'!$C$55</f>
        <v>24.192</v>
      </c>
      <c r="E414" s="66">
        <f>(E321+E322+E332+E333)*'Data - P&amp;L'!$C$5*'Data - P&amp;L'!$C$55</f>
        <v>0</v>
      </c>
      <c r="F414" s="66">
        <f>(F321+F322+F332+F333)*'Data - P&amp;L'!$C$5*'Data - P&amp;L'!$C$55</f>
        <v>0</v>
      </c>
      <c r="G414" s="66">
        <f>(G321+G322+G332+G333)*'Data - P&amp;L'!$C$5*'Data - P&amp;L'!$C$55</f>
        <v>2.688</v>
      </c>
      <c r="H414" s="66">
        <f>(H321+H322+H332+H333)*'Data - P&amp;L'!$C$5*'Data - P&amp;L'!$C$55</f>
        <v>0</v>
      </c>
      <c r="I414" s="66">
        <f>(I321+I322+I332+I333)*'Data - P&amp;L'!$C$5*'Data - P&amp;L'!$C$55</f>
        <v>0</v>
      </c>
      <c r="J414" s="66">
        <f>(J321+J322+J332+J333)*'Data - P&amp;L'!$C$5*'Data - P&amp;L'!$C$55</f>
        <v>8.064</v>
      </c>
      <c r="K414" s="66">
        <f>(K321+K322+K332+K333)*'Data - P&amp;L'!$C$5*'Data - P&amp;L'!$C$55</f>
        <v>0</v>
      </c>
      <c r="L414" s="66">
        <f>(L321+L322+L332+L333)*'Data - P&amp;L'!$C$5*'Data - P&amp;L'!$C$55</f>
        <v>0</v>
      </c>
      <c r="M414" s="66">
        <f>(M321+M322+M332+M333)*'Data - P&amp;L'!$C$5*'Data - P&amp;L'!$C$55</f>
        <v>0</v>
      </c>
      <c r="N414" s="66">
        <f>(N321+N322+N332+N333)*'Data - P&amp;L'!$C$5*'Data - P&amp;L'!$C$55</f>
        <v>4.032</v>
      </c>
      <c r="O414" s="66">
        <f>(O321+O322+O332+O333)*'Data - P&amp;L'!$C$5*'Data - P&amp;L'!$C$55</f>
        <v>0</v>
      </c>
      <c r="P414" s="66">
        <f>(P321+P322+P332+P333)*'Data - P&amp;L'!$C$5*'Data - P&amp;L'!$C$55</f>
        <v>0</v>
      </c>
      <c r="Q414" s="66">
        <f>(Q321+Q322+Q332+Q333)*'Data - P&amp;L'!$C$5*'Data - P&amp;L'!$C$55</f>
        <v>0</v>
      </c>
      <c r="R414" s="66">
        <f>(R321+R322+R332+R333)*'Data - P&amp;L'!$C$5*'Data - P&amp;L'!$C$55</f>
        <v>0</v>
      </c>
      <c r="S414" s="66">
        <f>(S321+S322+S332+S333)*'Data - P&amp;L'!$C$5*'Data - P&amp;L'!$C$55</f>
        <v>0</v>
      </c>
      <c r="T414" s="66">
        <f>(T321+T322+T332+T333)*'Data - P&amp;L'!$C$5*'Data - P&amp;L'!$C$55</f>
        <v>0</v>
      </c>
      <c r="U414" s="66">
        <f>(U321+U322+U332+U333)*'Data - P&amp;L'!$C$5*'Data - P&amp;L'!$C$55</f>
        <v>0</v>
      </c>
      <c r="V414" s="66">
        <f>(V321+V322+V332+V333)*'Data - P&amp;L'!$C$5*'Data - P&amp;L'!$C$55</f>
        <v>10.752</v>
      </c>
      <c r="W414" s="66">
        <f>(W321+W322+W332+W333)*'Data - P&amp;L'!$C$5*'Data - P&amp;L'!$C$55</f>
        <v>4.032</v>
      </c>
      <c r="X414" s="66">
        <f>(X321+X322+X332+X333)*'Data - P&amp;L'!$C$5*'Data - P&amp;L'!$C$55</f>
        <v>0</v>
      </c>
      <c r="Y414" s="66">
        <f>(Y321+Y322+Y332+Y333)*'Data - P&amp;L'!$C$5*'Data - P&amp;L'!$C$55</f>
        <v>0</v>
      </c>
      <c r="Z414" s="66">
        <f>(Z321+Z322+Z332+Z333)*'Data - P&amp;L'!$C$5*'Data - P&amp;L'!$C$55</f>
        <v>0</v>
      </c>
      <c r="AA414" s="66">
        <f>(AA321+AA322+AA332+AA333)*'Data - P&amp;L'!$C$5*'Data - P&amp;L'!$C$55</f>
        <v>0</v>
      </c>
      <c r="AB414" s="66">
        <f>(AB321+AB322+AB332+AB333)*'Data - P&amp;L'!$C$5*'Data - P&amp;L'!$C$55</f>
        <v>0</v>
      </c>
      <c r="AC414" s="66">
        <f>(AC321+AC322+AC332+AC333)*'Data - P&amp;L'!$C$5*'Data - P&amp;L'!$C$55</f>
        <v>0</v>
      </c>
      <c r="AD414" s="66">
        <f>(AD321+AD322+AD332+AD333)*'Data - P&amp;L'!$C$5*'Data - P&amp;L'!$C$55</f>
        <v>0</v>
      </c>
      <c r="AE414" s="66">
        <f>(AE321+AE322+AE332+AE333)*'Data - P&amp;L'!$C$5*'Data - P&amp;L'!$C$55</f>
        <v>0</v>
      </c>
      <c r="AF414" s="89">
        <f t="shared" si="114"/>
        <v>53.76</v>
      </c>
    </row>
    <row r="415" outlineLevel="1">
      <c r="A415" s="87" t="s">
        <v>404</v>
      </c>
      <c r="B415" s="66">
        <f>(B323+B324+B334+B335)*'Data - P&amp;L'!$C$10*'Data - P&amp;L'!$C$55</f>
        <v>0</v>
      </c>
      <c r="C415" s="66">
        <f>(C323+C324+C334+C335)*'Data - P&amp;L'!$C$10*'Data - P&amp;L'!$C$55</f>
        <v>0</v>
      </c>
      <c r="D415" s="66">
        <f>(D323+D324+D334+D335)*'Data - P&amp;L'!$C$10*'Data - P&amp;L'!$C$55</f>
        <v>0</v>
      </c>
      <c r="E415" s="66">
        <f>(E323+E324+E334+E335)*'Data - P&amp;L'!$C$10*'Data - P&amp;L'!$C$55</f>
        <v>0</v>
      </c>
      <c r="F415" s="66">
        <f>(F323+F324+F334+F335)*'Data - P&amp;L'!$C$10*'Data - P&amp;L'!$C$55</f>
        <v>0</v>
      </c>
      <c r="G415" s="66">
        <f>(G323+G324+G334+G335)*'Data - P&amp;L'!$C$10*'Data - P&amp;L'!$C$55</f>
        <v>0</v>
      </c>
      <c r="H415" s="66">
        <f>(H323+H324+H334+H335)*'Data - P&amp;L'!$C$10*'Data - P&amp;L'!$C$55</f>
        <v>0.6</v>
      </c>
      <c r="I415" s="66">
        <f>(I323+I324+I334+I335)*'Data - P&amp;L'!$C$10*'Data - P&amp;L'!$C$55</f>
        <v>0</v>
      </c>
      <c r="J415" s="66">
        <f>(J323+J324+J334+J335)*'Data - P&amp;L'!$C$10*'Data - P&amp;L'!$C$55</f>
        <v>0</v>
      </c>
      <c r="K415" s="66">
        <f>(K323+K324+K334+K335)*'Data - P&amp;L'!$C$10*'Data - P&amp;L'!$C$55</f>
        <v>0</v>
      </c>
      <c r="L415" s="66">
        <f>(L323+L324+L334+L335)*'Data - P&amp;L'!$C$10*'Data - P&amp;L'!$C$55</f>
        <v>0</v>
      </c>
      <c r="M415" s="66">
        <f>(M323+M324+M334+M335)*'Data - P&amp;L'!$C$10*'Data - P&amp;L'!$C$55</f>
        <v>0</v>
      </c>
      <c r="N415" s="66">
        <f>(N323+N324+N334+N335)*'Data - P&amp;L'!$C$10*'Data - P&amp;L'!$C$55</f>
        <v>0</v>
      </c>
      <c r="O415" s="66">
        <f>(O323+O324+O334+O335)*'Data - P&amp;L'!$C$10*'Data - P&amp;L'!$C$55</f>
        <v>0</v>
      </c>
      <c r="P415" s="66">
        <f>(P323+P324+P334+P335)*'Data - P&amp;L'!$C$10*'Data - P&amp;L'!$C$55</f>
        <v>0</v>
      </c>
      <c r="Q415" s="66">
        <f>(Q323+Q324+Q334+Q335)*'Data - P&amp;L'!$C$10*'Data - P&amp;L'!$C$55</f>
        <v>0</v>
      </c>
      <c r="R415" s="66">
        <f>(R323+R324+R334+R335)*'Data - P&amp;L'!$C$10*'Data - P&amp;L'!$C$55</f>
        <v>0</v>
      </c>
      <c r="S415" s="66">
        <f>(S323+S324+S334+S335)*'Data - P&amp;L'!$C$10*'Data - P&amp;L'!$C$55</f>
        <v>0</v>
      </c>
      <c r="T415" s="66">
        <f>(T323+T324+T334+T335)*'Data - P&amp;L'!$C$10*'Data - P&amp;L'!$C$55</f>
        <v>0</v>
      </c>
      <c r="U415" s="66">
        <f>(U323+U324+U334+U335)*'Data - P&amp;L'!$C$10*'Data - P&amp;L'!$C$55</f>
        <v>0</v>
      </c>
      <c r="V415" s="66">
        <f>(V323+V324+V334+V335)*'Data - P&amp;L'!$C$10*'Data - P&amp;L'!$C$55</f>
        <v>0</v>
      </c>
      <c r="W415" s="66">
        <f>(W323+W324+W334+W335)*'Data - P&amp;L'!$C$10*'Data - P&amp;L'!$C$55</f>
        <v>0</v>
      </c>
      <c r="X415" s="66">
        <f>(X323+X324+X334+X335)*'Data - P&amp;L'!$C$10*'Data - P&amp;L'!$C$55</f>
        <v>0</v>
      </c>
      <c r="Y415" s="66">
        <f>(Y323+Y324+Y334+Y335)*'Data - P&amp;L'!$C$10*'Data - P&amp;L'!$C$55</f>
        <v>0</v>
      </c>
      <c r="Z415" s="66">
        <f>(Z323+Z324+Z334+Z335)*'Data - P&amp;L'!$C$10*'Data - P&amp;L'!$C$55</f>
        <v>0</v>
      </c>
      <c r="AA415" s="66">
        <f>(AA323+AA324+AA334+AA335)*'Data - P&amp;L'!$C$10*'Data - P&amp;L'!$C$55</f>
        <v>0</v>
      </c>
      <c r="AB415" s="66">
        <f>(AB323+AB324+AB334+AB335)*'Data - P&amp;L'!$C$10*'Data - P&amp;L'!$C$55</f>
        <v>0</v>
      </c>
      <c r="AC415" s="66">
        <f>(AC323+AC324+AC334+AC335)*'Data - P&amp;L'!$C$10*'Data - P&amp;L'!$C$55</f>
        <v>0</v>
      </c>
      <c r="AD415" s="66">
        <f>(AD323+AD324+AD334+AD335)*'Data - P&amp;L'!$C$10*'Data - P&amp;L'!$C$55</f>
        <v>0</v>
      </c>
      <c r="AE415" s="66">
        <f>(AE323+AE324+AE334+AE335)*'Data - P&amp;L'!$C$10*'Data - P&amp;L'!$C$55</f>
        <v>0</v>
      </c>
      <c r="AF415" s="89">
        <f t="shared" si="114"/>
        <v>0.6</v>
      </c>
    </row>
    <row r="416" outlineLevel="1">
      <c r="A416" s="87" t="s">
        <v>821</v>
      </c>
      <c r="B416" s="66">
        <f>((B301+B302+B310+B311)*'Data - P&amp;L'!$C$13)*'Data - P&amp;L'!$C$55</f>
        <v>0</v>
      </c>
      <c r="C416" s="66">
        <f>((C301+C302+C310+C311)*'Data - P&amp;L'!$C$13)*'Data - P&amp;L'!$C$55</f>
        <v>0</v>
      </c>
      <c r="D416" s="66">
        <f>((D301+D302+D310+D311)*'Data - P&amp;L'!$C$13)*'Data - P&amp;L'!$C$55</f>
        <v>0</v>
      </c>
      <c r="E416" s="66">
        <f>((E301+E302+E310+E311)*'Data - P&amp;L'!$C$13)*'Data - P&amp;L'!$C$55</f>
        <v>0</v>
      </c>
      <c r="F416" s="66">
        <f>((F301+F302+F310+F311)*'Data - P&amp;L'!$C$13)*'Data - P&amp;L'!$C$55</f>
        <v>0</v>
      </c>
      <c r="G416" s="66">
        <f>((G301+G302+G310+G311)*'Data - P&amp;L'!$C$13)*'Data - P&amp;L'!$C$55</f>
        <v>0</v>
      </c>
      <c r="H416" s="66">
        <f>((H301+H302+H310+H311)*'Data - P&amp;L'!$C$13)*'Data - P&amp;L'!$C$55</f>
        <v>0</v>
      </c>
      <c r="I416" s="66">
        <f>((I301+I302+I310+I311)*'Data - P&amp;L'!$C$13)*'Data - P&amp;L'!$C$55</f>
        <v>0</v>
      </c>
      <c r="J416" s="66">
        <f>((J301+J302+J310+J311)*'Data - P&amp;L'!$C$13)*'Data - P&amp;L'!$C$55</f>
        <v>0</v>
      </c>
      <c r="K416" s="66">
        <f>((K301+K302+K310+K311)*'Data - P&amp;L'!$C$13)*'Data - P&amp;L'!$C$55</f>
        <v>0</v>
      </c>
      <c r="L416" s="66">
        <f>((L301+L302+L310+L311)*'Data - P&amp;L'!$C$13)*'Data - P&amp;L'!$C$55</f>
        <v>0</v>
      </c>
      <c r="M416" s="66">
        <f>((M301+M302+M310+M311)*'Data - P&amp;L'!$C$13)*'Data - P&amp;L'!$C$55</f>
        <v>0</v>
      </c>
      <c r="N416" s="66">
        <f>((N301+N302+N310+N311)*'Data - P&amp;L'!$C$13)*'Data - P&amp;L'!$C$55</f>
        <v>0</v>
      </c>
      <c r="O416" s="66">
        <f>((O301+O302+O310+O311)*'Data - P&amp;L'!$C$13)*'Data - P&amp;L'!$C$55</f>
        <v>0</v>
      </c>
      <c r="P416" s="66">
        <f>((P301+P302+P310+P311)*'Data - P&amp;L'!$C$13)*'Data - P&amp;L'!$C$55</f>
        <v>0</v>
      </c>
      <c r="Q416" s="66">
        <f>((Q301+Q302+Q310+Q311)*'Data - P&amp;L'!$C$13)*'Data - P&amp;L'!$C$55</f>
        <v>0</v>
      </c>
      <c r="R416" s="66">
        <f>((R301+R302+R310+R311)*'Data - P&amp;L'!$C$13)*'Data - P&amp;L'!$C$55</f>
        <v>0</v>
      </c>
      <c r="S416" s="66">
        <f>((S301+S302+S310+S311)*'Data - P&amp;L'!$C$13)*'Data - P&amp;L'!$C$55</f>
        <v>0</v>
      </c>
      <c r="T416" s="66">
        <f>((T301+T302+T310+T311)*'Data - P&amp;L'!$C$13)*'Data - P&amp;L'!$C$55</f>
        <v>0</v>
      </c>
      <c r="U416" s="66">
        <f>((U301+U302+U310+U311)*'Data - P&amp;L'!$C$13)*'Data - P&amp;L'!$C$55</f>
        <v>0</v>
      </c>
      <c r="V416" s="66">
        <f>((V301+V302+V310+V311)*'Data - P&amp;L'!$C$13)*'Data - P&amp;L'!$C$55</f>
        <v>0</v>
      </c>
      <c r="W416" s="66">
        <f>((W301+W302+W310+W311)*'Data - P&amp;L'!$C$13)*'Data - P&amp;L'!$C$55</f>
        <v>0</v>
      </c>
      <c r="X416" s="66">
        <f>((X301+X302+X310+X311)*'Data - P&amp;L'!$C$13)*'Data - P&amp;L'!$C$55</f>
        <v>0</v>
      </c>
      <c r="Y416" s="66">
        <f>((Y301+Y302+Y310+Y311)*'Data - P&amp;L'!$C$13)*'Data - P&amp;L'!$C$55</f>
        <v>0</v>
      </c>
      <c r="Z416" s="66">
        <f>((Z301+Z302+Z310+Z311)*'Data - P&amp;L'!$C$13)*'Data - P&amp;L'!$C$55</f>
        <v>0</v>
      </c>
      <c r="AA416" s="66">
        <f>((AA301+AA302+AA310+AA311)*'Data - P&amp;L'!$C$13)*'Data - P&amp;L'!$C$55</f>
        <v>0</v>
      </c>
      <c r="AB416" s="66">
        <f>((AB301+AB302+AB310+AB311)*'Data - P&amp;L'!$C$13)*'Data - P&amp;L'!$C$55</f>
        <v>0</v>
      </c>
      <c r="AC416" s="66">
        <f>((AC301+AC302+AC310+AC311)*'Data - P&amp;L'!$C$13)*'Data - P&amp;L'!$C$55</f>
        <v>0</v>
      </c>
      <c r="AD416" s="66">
        <f>((AD301+AD302+AD310+AD311)*'Data - P&amp;L'!$C$13)*'Data - P&amp;L'!$C$55</f>
        <v>0</v>
      </c>
      <c r="AE416" s="66">
        <f>((AE301+AE302+AE310+AE311)*'Data - P&amp;L'!$C$13)*'Data - P&amp;L'!$C$55</f>
        <v>0</v>
      </c>
      <c r="AF416" s="89">
        <f t="shared" si="114"/>
        <v>0</v>
      </c>
    </row>
    <row r="417" outlineLevel="1">
      <c r="A417" s="87" t="s">
        <v>823</v>
      </c>
      <c r="B417" s="66">
        <f>((B303+B312)*'Data - P&amp;L'!$C$14)*'Data - P&amp;L'!$C$55</f>
        <v>0</v>
      </c>
      <c r="C417" s="66">
        <f>((C303+C312)*'Data - P&amp;L'!$C$14)*'Data - P&amp;L'!$C$55</f>
        <v>0</v>
      </c>
      <c r="D417" s="66">
        <f>((D303+D312)*'Data - P&amp;L'!$C$14)*'Data - P&amp;L'!$C$55</f>
        <v>0</v>
      </c>
      <c r="E417" s="66">
        <f>((E303+E312)*'Data - P&amp;L'!$C$14)*'Data - P&amp;L'!$C$55</f>
        <v>0</v>
      </c>
      <c r="F417" s="66">
        <f>((F303+F312)*'Data - P&amp;L'!$C$14)*'Data - P&amp;L'!$C$55</f>
        <v>0</v>
      </c>
      <c r="G417" s="66">
        <f>((G303+G312)*'Data - P&amp;L'!$C$14)*'Data - P&amp;L'!$C$55</f>
        <v>0</v>
      </c>
      <c r="H417" s="66">
        <f>((H303+H312)*'Data - P&amp;L'!$C$14)*'Data - P&amp;L'!$C$55</f>
        <v>0</v>
      </c>
      <c r="I417" s="66">
        <f>((I303+I312)*'Data - P&amp;L'!$C$14)*'Data - P&amp;L'!$C$55</f>
        <v>0</v>
      </c>
      <c r="J417" s="66">
        <f>((J303+J312)*'Data - P&amp;L'!$C$14)*'Data - P&amp;L'!$C$55</f>
        <v>0</v>
      </c>
      <c r="K417" s="66">
        <f>((K303+K312)*'Data - P&amp;L'!$C$14)*'Data - P&amp;L'!$C$55</f>
        <v>0</v>
      </c>
      <c r="L417" s="66">
        <f>((L303+L312)*'Data - P&amp;L'!$C$14)*'Data - P&amp;L'!$C$55</f>
        <v>0</v>
      </c>
      <c r="M417" s="66">
        <f>((M303+M312)*'Data - P&amp;L'!$C$14)*'Data - P&amp;L'!$C$55</f>
        <v>0</v>
      </c>
      <c r="N417" s="66">
        <f>((N303+N312)*'Data - P&amp;L'!$C$14)*'Data - P&amp;L'!$C$55</f>
        <v>0</v>
      </c>
      <c r="O417" s="66">
        <f>((O303+O312)*'Data - P&amp;L'!$C$14)*'Data - P&amp;L'!$C$55</f>
        <v>0</v>
      </c>
      <c r="P417" s="66">
        <f>((P303+P312)*'Data - P&amp;L'!$C$14)*'Data - P&amp;L'!$C$55</f>
        <v>0</v>
      </c>
      <c r="Q417" s="66">
        <f>((Q303+Q312)*'Data - P&amp;L'!$C$14)*'Data - P&amp;L'!$C$55</f>
        <v>0</v>
      </c>
      <c r="R417" s="66">
        <f>((R303+R312)*'Data - P&amp;L'!$C$14)*'Data - P&amp;L'!$C$55</f>
        <v>0</v>
      </c>
      <c r="S417" s="66">
        <f>((S303+S312)*'Data - P&amp;L'!$C$14)*'Data - P&amp;L'!$C$55</f>
        <v>0</v>
      </c>
      <c r="T417" s="66">
        <f>((T303+T312)*'Data - P&amp;L'!$C$14)*'Data - P&amp;L'!$C$55</f>
        <v>0</v>
      </c>
      <c r="U417" s="66">
        <f>((U303+U312)*'Data - P&amp;L'!$C$14)*'Data - P&amp;L'!$C$55</f>
        <v>0</v>
      </c>
      <c r="V417" s="66">
        <f>((V303+V312)*'Data - P&amp;L'!$C$14)*'Data - P&amp;L'!$C$55</f>
        <v>0</v>
      </c>
      <c r="W417" s="66">
        <f>((W303+W312)*'Data - P&amp;L'!$C$14)*'Data - P&amp;L'!$C$55</f>
        <v>0</v>
      </c>
      <c r="X417" s="66">
        <f>((X303+X312)*'Data - P&amp;L'!$C$14)*'Data - P&amp;L'!$C$55</f>
        <v>0</v>
      </c>
      <c r="Y417" s="66">
        <f>((Y303+Y312)*'Data - P&amp;L'!$C$14)*'Data - P&amp;L'!$C$55</f>
        <v>0</v>
      </c>
      <c r="Z417" s="66">
        <f>((Z303+Z312)*'Data - P&amp;L'!$C$14)*'Data - P&amp;L'!$C$55</f>
        <v>0</v>
      </c>
      <c r="AA417" s="66">
        <f>((AA303+AA312)*'Data - P&amp;L'!$C$14)*'Data - P&amp;L'!$C$55</f>
        <v>0</v>
      </c>
      <c r="AB417" s="66">
        <f>((AB303+AB312)*'Data - P&amp;L'!$C$14)*'Data - P&amp;L'!$C$55</f>
        <v>0</v>
      </c>
      <c r="AC417" s="66">
        <f>((AC303+AC312)*'Data - P&amp;L'!$C$14)*'Data - P&amp;L'!$C$55</f>
        <v>0</v>
      </c>
      <c r="AD417" s="66">
        <f>((AD303+AD312)*'Data - P&amp;L'!$C$14)*'Data - P&amp;L'!$C$55</f>
        <v>0</v>
      </c>
      <c r="AE417" s="66">
        <f>((AE303+AE312)*'Data - P&amp;L'!$C$14)*'Data - P&amp;L'!$C$55</f>
        <v>0</v>
      </c>
      <c r="AF417" s="89">
        <f t="shared" si="114"/>
        <v>0</v>
      </c>
    </row>
    <row r="418" outlineLevel="1">
      <c r="A418" s="87" t="s">
        <v>405</v>
      </c>
      <c r="B418" s="66">
        <f>((B313*'Data - P&amp;L'!$C$38)+(B314*'Data - P&amp;L'!$C$39))*'Data - P&amp;L'!$C$55</f>
        <v>0</v>
      </c>
      <c r="C418" s="66">
        <f>((C313*'Data - P&amp;L'!$C$38)+(C314*'Data - P&amp;L'!$C$39))*'Data - P&amp;L'!$C$55</f>
        <v>0</v>
      </c>
      <c r="D418" s="66">
        <f>((D313*'Data - P&amp;L'!$C$38)+(D314*'Data - P&amp;L'!$C$39))*'Data - P&amp;L'!$C$55</f>
        <v>13.134</v>
      </c>
      <c r="E418" s="66">
        <f>((E313*'Data - P&amp;L'!$C$38)+(E314*'Data - P&amp;L'!$C$39))*'Data - P&amp;L'!$C$55</f>
        <v>0</v>
      </c>
      <c r="F418" s="66">
        <f>((F313*'Data - P&amp;L'!$C$38)+(F314*'Data - P&amp;L'!$C$39))*'Data - P&amp;L'!$C$55</f>
        <v>0</v>
      </c>
      <c r="G418" s="66">
        <f>((G313*'Data - P&amp;L'!$C$38)+(G314*'Data - P&amp;L'!$C$39))*'Data - P&amp;L'!$C$55</f>
        <v>2.388</v>
      </c>
      <c r="H418" s="66">
        <f>((H313*'Data - P&amp;L'!$C$38)+(H314*'Data - P&amp;L'!$C$39))*'Data - P&amp;L'!$C$55</f>
        <v>2.388</v>
      </c>
      <c r="I418" s="66">
        <f>((I313*'Data - P&amp;L'!$C$38)+(I314*'Data - P&amp;L'!$C$39))*'Data - P&amp;L'!$C$55</f>
        <v>0</v>
      </c>
      <c r="J418" s="66">
        <f>((J313*'Data - P&amp;L'!$C$38)+(J314*'Data - P&amp;L'!$C$39))*'Data - P&amp;L'!$C$55</f>
        <v>4.776</v>
      </c>
      <c r="K418" s="66">
        <f>((K313*'Data - P&amp;L'!$C$38)+(K314*'Data - P&amp;L'!$C$39))*'Data - P&amp;L'!$C$55</f>
        <v>0</v>
      </c>
      <c r="L418" s="66">
        <f>((L313*'Data - P&amp;L'!$C$38)+(L314*'Data - P&amp;L'!$C$39))*'Data - P&amp;L'!$C$55</f>
        <v>0</v>
      </c>
      <c r="M418" s="66">
        <f>((M313*'Data - P&amp;L'!$C$38)+(M314*'Data - P&amp;L'!$C$39))*'Data - P&amp;L'!$C$55</f>
        <v>0</v>
      </c>
      <c r="N418" s="66">
        <f>((N313*'Data - P&amp;L'!$C$38)+(N314*'Data - P&amp;L'!$C$39))*'Data - P&amp;L'!$C$55</f>
        <v>0</v>
      </c>
      <c r="O418" s="66">
        <f>((O313*'Data - P&amp;L'!$C$38)+(O314*'Data - P&amp;L'!$C$39))*'Data - P&amp;L'!$C$55</f>
        <v>1.194</v>
      </c>
      <c r="P418" s="66">
        <f>((P313*'Data - P&amp;L'!$C$38)+(P314*'Data - P&amp;L'!$C$39))*'Data - P&amp;L'!$C$55</f>
        <v>0</v>
      </c>
      <c r="Q418" s="66">
        <f>((Q313*'Data - P&amp;L'!$C$38)+(Q314*'Data - P&amp;L'!$C$39))*'Data - P&amp;L'!$C$55</f>
        <v>0</v>
      </c>
      <c r="R418" s="66">
        <f>((R313*'Data - P&amp;L'!$C$38)+(R314*'Data - P&amp;L'!$C$39))*'Data - P&amp;L'!$C$55</f>
        <v>0</v>
      </c>
      <c r="S418" s="66">
        <f>((S313*'Data - P&amp;L'!$C$38)+(S314*'Data - P&amp;L'!$C$39))*'Data - P&amp;L'!$C$55</f>
        <v>0</v>
      </c>
      <c r="T418" s="66">
        <f>((T313*'Data - P&amp;L'!$C$38)+(T314*'Data - P&amp;L'!$C$39))*'Data - P&amp;L'!$C$55</f>
        <v>0</v>
      </c>
      <c r="U418" s="66">
        <f>((U313*'Data - P&amp;L'!$C$38)+(U314*'Data - P&amp;L'!$C$39))*'Data - P&amp;L'!$C$55</f>
        <v>0</v>
      </c>
      <c r="V418" s="66">
        <f>((V313*'Data - P&amp;L'!$C$38)+(V314*'Data - P&amp;L'!$C$39))*'Data - P&amp;L'!$C$55</f>
        <v>10.746</v>
      </c>
      <c r="W418" s="66">
        <f>((W313*'Data - P&amp;L'!$C$38)+(W314*'Data - P&amp;L'!$C$39))*'Data - P&amp;L'!$C$55</f>
        <v>10.746</v>
      </c>
      <c r="X418" s="66">
        <f>((X313*'Data - P&amp;L'!$C$38)+(X314*'Data - P&amp;L'!$C$39))*'Data - P&amp;L'!$C$55</f>
        <v>0</v>
      </c>
      <c r="Y418" s="66">
        <f>((Y313*'Data - P&amp;L'!$C$38)+(Y314*'Data - P&amp;L'!$C$39))*'Data - P&amp;L'!$C$55</f>
        <v>0</v>
      </c>
      <c r="Z418" s="66">
        <f>((Z313*'Data - P&amp;L'!$C$38)+(Z314*'Data - P&amp;L'!$C$39))*'Data - P&amp;L'!$C$55</f>
        <v>0</v>
      </c>
      <c r="AA418" s="66">
        <f>((AA313*'Data - P&amp;L'!$C$38)+(AA314*'Data - P&amp;L'!$C$39))*'Data - P&amp;L'!$C$55</f>
        <v>0</v>
      </c>
      <c r="AB418" s="66">
        <f>((AB313*'Data - P&amp;L'!$C$38)+(AB314*'Data - P&amp;L'!$C$39))*'Data - P&amp;L'!$C$55</f>
        <v>0</v>
      </c>
      <c r="AC418" s="66">
        <f>((AC313*'Data - P&amp;L'!$C$38)+(AC314*'Data - P&amp;L'!$C$39))*'Data - P&amp;L'!$C$55</f>
        <v>0</v>
      </c>
      <c r="AD418" s="66">
        <f>((AD313*'Data - P&amp;L'!$C$38)+(AD314*'Data - P&amp;L'!$C$39))*'Data - P&amp;L'!$C$55</f>
        <v>0</v>
      </c>
      <c r="AE418" s="66">
        <f>((AE313*'Data - P&amp;L'!$C$38)+(AE314*'Data - P&amp;L'!$C$39))*'Data - P&amp;L'!$C$55</f>
        <v>0</v>
      </c>
      <c r="AF418" s="89">
        <f t="shared" si="114"/>
        <v>45.372</v>
      </c>
    </row>
    <row r="419" outlineLevel="1">
      <c r="A419" s="87" t="s">
        <v>467</v>
      </c>
      <c r="B419" s="66">
        <f>((B325*'Data - P&amp;L'!$D$38)+(B336*'Data - P&amp;L'!$D$39))*'Data - P&amp;L'!$C$55</f>
        <v>0</v>
      </c>
      <c r="C419" s="66">
        <f>((C325*'Data - P&amp;L'!$D$38)+(C336*'Data - P&amp;L'!$D$39))*'Data - P&amp;L'!$C$55</f>
        <v>0</v>
      </c>
      <c r="D419" s="66">
        <f>((D325*'Data - P&amp;L'!$D$38)+(D336*'Data - P&amp;L'!$D$39))*'Data - P&amp;L'!$C$55</f>
        <v>4.45</v>
      </c>
      <c r="E419" s="66">
        <f>((E325*'Data - P&amp;L'!$D$38)+(E336*'Data - P&amp;L'!$D$39))*'Data - P&amp;L'!$C$55</f>
        <v>0</v>
      </c>
      <c r="F419" s="66">
        <f>((F325*'Data - P&amp;L'!$D$38)+(F336*'Data - P&amp;L'!$D$39))*'Data - P&amp;L'!$C$55</f>
        <v>0</v>
      </c>
      <c r="G419" s="66">
        <f>((G325*'Data - P&amp;L'!$D$38)+(G336*'Data - P&amp;L'!$D$39))*'Data - P&amp;L'!$C$55</f>
        <v>2.1525</v>
      </c>
      <c r="H419" s="66">
        <f>((H325*'Data - P&amp;L'!$D$38)+(H336*'Data - P&amp;L'!$D$39))*'Data - P&amp;L'!$C$55</f>
        <v>1.148</v>
      </c>
      <c r="I419" s="66">
        <f>((I325*'Data - P&amp;L'!$D$38)+(I336*'Data - P&amp;L'!$D$39))*'Data - P&amp;L'!$C$55</f>
        <v>0</v>
      </c>
      <c r="J419" s="66">
        <f>((J325*'Data - P&amp;L'!$D$38)+(J336*'Data - P&amp;L'!$D$39))*'Data - P&amp;L'!$C$55</f>
        <v>1.872</v>
      </c>
      <c r="K419" s="66">
        <f>((K325*'Data - P&amp;L'!$D$38)+(K336*'Data - P&amp;L'!$D$39))*'Data - P&amp;L'!$C$55</f>
        <v>0</v>
      </c>
      <c r="L419" s="66">
        <f>((L325*'Data - P&amp;L'!$D$38)+(L336*'Data - P&amp;L'!$D$39))*'Data - P&amp;L'!$C$55</f>
        <v>0</v>
      </c>
      <c r="M419" s="66">
        <f>((M325*'Data - P&amp;L'!$D$38)+(M336*'Data - P&amp;L'!$D$39))*'Data - P&amp;L'!$C$55</f>
        <v>0</v>
      </c>
      <c r="N419" s="66">
        <f>((N325*'Data - P&amp;L'!$D$38)+(N336*'Data - P&amp;L'!$D$39))*'Data - P&amp;L'!$C$55</f>
        <v>2.1535</v>
      </c>
      <c r="O419" s="66">
        <f>((O325*'Data - P&amp;L'!$D$38)+(O336*'Data - P&amp;L'!$D$39))*'Data - P&amp;L'!$C$55</f>
        <v>0</v>
      </c>
      <c r="P419" s="66">
        <f>((P325*'Data - P&amp;L'!$D$38)+(P336*'Data - P&amp;L'!$D$39))*'Data - P&amp;L'!$C$55</f>
        <v>0</v>
      </c>
      <c r="Q419" s="66">
        <f>((Q325*'Data - P&amp;L'!$D$38)+(Q336*'Data - P&amp;L'!$D$39))*'Data - P&amp;L'!$C$55</f>
        <v>0</v>
      </c>
      <c r="R419" s="66">
        <f>((R325*'Data - P&amp;L'!$D$38)+(R336*'Data - P&amp;L'!$D$39))*'Data - P&amp;L'!$C$55</f>
        <v>0</v>
      </c>
      <c r="S419" s="66">
        <f>((S325*'Data - P&amp;L'!$D$38)+(S336*'Data - P&amp;L'!$D$39))*'Data - P&amp;L'!$C$55</f>
        <v>0</v>
      </c>
      <c r="T419" s="66">
        <f>((T325*'Data - P&amp;L'!$D$38)+(T336*'Data - P&amp;L'!$D$39))*'Data - P&amp;L'!$C$55</f>
        <v>0</v>
      </c>
      <c r="U419" s="66">
        <f>((U325*'Data - P&amp;L'!$D$38)+(U336*'Data - P&amp;L'!$D$39))*'Data - P&amp;L'!$C$55</f>
        <v>0</v>
      </c>
      <c r="V419" s="66">
        <f>((V325*'Data - P&amp;L'!$D$38)+(V336*'Data - P&amp;L'!$D$39))*'Data - P&amp;L'!$C$55</f>
        <v>2.01</v>
      </c>
      <c r="W419" s="66">
        <f>((W325*'Data - P&amp;L'!$D$38)+(W336*'Data - P&amp;L'!$D$39))*'Data - P&amp;L'!$C$55</f>
        <v>2.44</v>
      </c>
      <c r="X419" s="66">
        <f>((X325*'Data - P&amp;L'!$D$38)+(X336*'Data - P&amp;L'!$D$39))*'Data - P&amp;L'!$C$55</f>
        <v>0</v>
      </c>
      <c r="Y419" s="66">
        <f>((Y325*'Data - P&amp;L'!$D$38)+(Y336*'Data - P&amp;L'!$D$39))*'Data - P&amp;L'!$C$55</f>
        <v>0</v>
      </c>
      <c r="Z419" s="66">
        <f>((Z325*'Data - P&amp;L'!$D$38)+(Z336*'Data - P&amp;L'!$D$39))*'Data - P&amp;L'!$C$55</f>
        <v>0</v>
      </c>
      <c r="AA419" s="66">
        <f>((AA325*'Data - P&amp;L'!$D$38)+(AA336*'Data - P&amp;L'!$D$39))*'Data - P&amp;L'!$C$55</f>
        <v>0</v>
      </c>
      <c r="AB419" s="66">
        <f>((AB325*'Data - P&amp;L'!$D$38)+(AB336*'Data - P&amp;L'!$D$39))*'Data - P&amp;L'!$C$55</f>
        <v>0</v>
      </c>
      <c r="AC419" s="66">
        <f>((AC325*'Data - P&amp;L'!$D$38)+(AC336*'Data - P&amp;L'!$D$39))*'Data - P&amp;L'!$C$55</f>
        <v>0</v>
      </c>
      <c r="AD419" s="66">
        <f>((AD325*'Data - P&amp;L'!$D$38)+(AD336*'Data - P&amp;L'!$D$39))*'Data - P&amp;L'!$C$55</f>
        <v>0</v>
      </c>
      <c r="AE419" s="66">
        <f>((AE325*'Data - P&amp;L'!$D$38)+(AE336*'Data - P&amp;L'!$D$39))*'Data - P&amp;L'!$C$55</f>
        <v>0</v>
      </c>
      <c r="AF419" s="89">
        <f t="shared" si="114"/>
        <v>16.226</v>
      </c>
    </row>
    <row r="420" outlineLevel="1">
      <c r="A420" s="87" t="s">
        <v>826</v>
      </c>
      <c r="B420" s="281">
        <f>((B301+B302)*'Data - P&amp;L'!$C$38)+((B310+B311)*'Data - P&amp;L'!$C$39)*'Data - P&amp;L'!$C$55</f>
        <v>0</v>
      </c>
      <c r="C420" s="281">
        <f>((C301+C302)*'Data - P&amp;L'!$C$38)+((C310+C311)*'Data - P&amp;L'!$C$39)*'Data - P&amp;L'!$C$55</f>
        <v>0</v>
      </c>
      <c r="D420" s="281">
        <f>((D301+D302)*'Data - P&amp;L'!$C$38)+((D310+D311)*'Data - P&amp;L'!$C$39)*'Data - P&amp;L'!$C$55</f>
        <v>0</v>
      </c>
      <c r="E420" s="281">
        <f>((E301+E302)*'Data - P&amp;L'!$C$38)+((E310+E311)*'Data - P&amp;L'!$C$39)*'Data - P&amp;L'!$C$55</f>
        <v>0</v>
      </c>
      <c r="F420" s="281">
        <f>((F301+F302)*'Data - P&amp;L'!$C$38)+((F310+F311)*'Data - P&amp;L'!$C$39)*'Data - P&amp;L'!$C$55</f>
        <v>0</v>
      </c>
      <c r="G420" s="281">
        <f>((G301+G302)*'Data - P&amp;L'!$C$38)+((G310+G311)*'Data - P&amp;L'!$C$39)*'Data - P&amp;L'!$C$55</f>
        <v>0</v>
      </c>
      <c r="H420" s="281">
        <f>((H301+H302)*'Data - P&amp;L'!$C$38)+((H310+H311)*'Data - P&amp;L'!$C$39)*'Data - P&amp;L'!$C$55</f>
        <v>0</v>
      </c>
      <c r="I420" s="281">
        <f>((I301+I302)*'Data - P&amp;L'!$C$38)+((I310+I311)*'Data - P&amp;L'!$C$39)*'Data - P&amp;L'!$C$55</f>
        <v>0</v>
      </c>
      <c r="J420" s="281">
        <f>((J301+J302)*'Data - P&amp;L'!$C$38)+((J310+J311)*'Data - P&amp;L'!$C$39)*'Data - P&amp;L'!$C$55</f>
        <v>0</v>
      </c>
      <c r="K420" s="281">
        <f>((K301+K302)*'Data - P&amp;L'!$C$38)+((K310+K311)*'Data - P&amp;L'!$C$39)*'Data - P&amp;L'!$C$55</f>
        <v>0</v>
      </c>
      <c r="L420" s="281">
        <f>((L301+L302)*'Data - P&amp;L'!$C$38)+((L310+L311)*'Data - P&amp;L'!$C$39)*'Data - P&amp;L'!$C$55</f>
        <v>0</v>
      </c>
      <c r="M420" s="281">
        <f>((M301+M302)*'Data - P&amp;L'!$C$38)+((M310+M311)*'Data - P&amp;L'!$C$39)*'Data - P&amp;L'!$C$55</f>
        <v>0</v>
      </c>
      <c r="N420" s="281">
        <f>((N301+N302)*'Data - P&amp;L'!$C$38)+((N310+N311)*'Data - P&amp;L'!$C$39)*'Data - P&amp;L'!$C$55</f>
        <v>0</v>
      </c>
      <c r="O420" s="281">
        <f>((O301+O302)*'Data - P&amp;L'!$C$38)+((O310+O311)*'Data - P&amp;L'!$C$39)*'Data - P&amp;L'!$C$55</f>
        <v>0</v>
      </c>
      <c r="P420" s="281">
        <f>((P301+P302)*'Data - P&amp;L'!$C$38)+((P310+P311)*'Data - P&amp;L'!$C$39)*'Data - P&amp;L'!$C$55</f>
        <v>0</v>
      </c>
      <c r="Q420" s="281">
        <f>((Q301+Q302)*'Data - P&amp;L'!$C$38)+((Q310+Q311)*'Data - P&amp;L'!$C$39)*'Data - P&amp;L'!$C$55</f>
        <v>0</v>
      </c>
      <c r="R420" s="281">
        <f>((R301+R302)*'Data - P&amp;L'!$C$38)+((R310+R311)*'Data - P&amp;L'!$C$39)*'Data - P&amp;L'!$C$55</f>
        <v>0</v>
      </c>
      <c r="S420" s="281">
        <f>((S301+S302)*'Data - P&amp;L'!$C$38)+((S310+S311)*'Data - P&amp;L'!$C$39)*'Data - P&amp;L'!$C$55</f>
        <v>0</v>
      </c>
      <c r="T420" s="281">
        <f>((T301+T302)*'Data - P&amp;L'!$C$38)+((T310+T311)*'Data - P&amp;L'!$C$39)*'Data - P&amp;L'!$C$55</f>
        <v>0</v>
      </c>
      <c r="U420" s="281">
        <f>((U301+U302)*'Data - P&amp;L'!$C$38)+((U310+U311)*'Data - P&amp;L'!$C$39)*'Data - P&amp;L'!$C$55</f>
        <v>0</v>
      </c>
      <c r="V420" s="281">
        <f>((V301+V302)*'Data - P&amp;L'!$C$38)+((V310+V311)*'Data - P&amp;L'!$C$39)*'Data - P&amp;L'!$C$55</f>
        <v>0</v>
      </c>
      <c r="W420" s="281">
        <f>((W301+W302)*'Data - P&amp;L'!$C$38)+((W310+W311)*'Data - P&amp;L'!$C$39)*'Data - P&amp;L'!$C$55</f>
        <v>0</v>
      </c>
      <c r="X420" s="281">
        <f>((X301+X302)*'Data - P&amp;L'!$C$38)+((X310+X311)*'Data - P&amp;L'!$C$39)*'Data - P&amp;L'!$C$55</f>
        <v>0</v>
      </c>
      <c r="Y420" s="281">
        <f>((Y301+Y302)*'Data - P&amp;L'!$C$38)+((Y310+Y311)*'Data - P&amp;L'!$C$39)*'Data - P&amp;L'!$C$55</f>
        <v>0</v>
      </c>
      <c r="Z420" s="281">
        <f>((Z301+Z302)*'Data - P&amp;L'!$C$38)+((Z310+Z311)*'Data - P&amp;L'!$C$39)*'Data - P&amp;L'!$C$55</f>
        <v>0</v>
      </c>
      <c r="AA420" s="281">
        <f>((AA301+AA302)*'Data - P&amp;L'!$C$38)+((AA310+AA311)*'Data - P&amp;L'!$C$39)*'Data - P&amp;L'!$C$55</f>
        <v>0</v>
      </c>
      <c r="AB420" s="281">
        <f>((AB301+AB302)*'Data - P&amp;L'!$C$38)+((AB310+AB311)*'Data - P&amp;L'!$C$39)*'Data - P&amp;L'!$C$55</f>
        <v>0</v>
      </c>
      <c r="AC420" s="281">
        <f>((AC301+AC302)*'Data - P&amp;L'!$C$38)+((AC310+AC311)*'Data - P&amp;L'!$C$39)*'Data - P&amp;L'!$C$55</f>
        <v>0</v>
      </c>
      <c r="AD420" s="281">
        <f>((AD301+AD302)*'Data - P&amp;L'!$C$38)+((AD310+AD311)*'Data - P&amp;L'!$C$39)*'Data - P&amp;L'!$C$55</f>
        <v>0</v>
      </c>
      <c r="AE420" s="281">
        <f>((AE301+AE302)*'Data - P&amp;L'!$C$38)+((AE310+AE311)*'Data - P&amp;L'!$C$39)*'Data - P&amp;L'!$C$55</f>
        <v>0</v>
      </c>
      <c r="AF420" s="89">
        <f t="shared" si="114"/>
        <v>0</v>
      </c>
    </row>
    <row r="421" outlineLevel="1">
      <c r="A421" s="87" t="s">
        <v>829</v>
      </c>
      <c r="B421" s="281">
        <f>(B303*'Data - P&amp;L'!$C$38)+(B312*'Data - P&amp;L'!$C$39)*'Data - P&amp;L'!$C$55</f>
        <v>0</v>
      </c>
      <c r="C421" s="281">
        <f>(C303*'Data - P&amp;L'!$C$38)+(C312*'Data - P&amp;L'!$C$39)*'Data - P&amp;L'!$C$55</f>
        <v>0</v>
      </c>
      <c r="D421" s="281">
        <f>(D303*'Data - P&amp;L'!$C$38)+(D312*'Data - P&amp;L'!$C$39)*'Data - P&amp;L'!$C$55</f>
        <v>0</v>
      </c>
      <c r="E421" s="281">
        <f>(E303*'Data - P&amp;L'!$C$38)+(E312*'Data - P&amp;L'!$C$39)*'Data - P&amp;L'!$C$55</f>
        <v>0</v>
      </c>
      <c r="F421" s="281">
        <f>(F303*'Data - P&amp;L'!$C$38)+(F312*'Data - P&amp;L'!$C$39)*'Data - P&amp;L'!$C$55</f>
        <v>0</v>
      </c>
      <c r="G421" s="281">
        <f>(G303*'Data - P&amp;L'!$C$38)+(G312*'Data - P&amp;L'!$C$39)*'Data - P&amp;L'!$C$55</f>
        <v>0</v>
      </c>
      <c r="H421" s="281">
        <f>(H303*'Data - P&amp;L'!$C$38)+(H312*'Data - P&amp;L'!$C$39)*'Data - P&amp;L'!$C$55</f>
        <v>0</v>
      </c>
      <c r="I421" s="281">
        <f>(I303*'Data - P&amp;L'!$C$38)+(I312*'Data - P&amp;L'!$C$39)*'Data - P&amp;L'!$C$55</f>
        <v>0</v>
      </c>
      <c r="J421" s="281">
        <f>(J303*'Data - P&amp;L'!$C$38)+(J312*'Data - P&amp;L'!$C$39)*'Data - P&amp;L'!$C$55</f>
        <v>0</v>
      </c>
      <c r="K421" s="281">
        <f>(K303*'Data - P&amp;L'!$C$38)+(K312*'Data - P&amp;L'!$C$39)*'Data - P&amp;L'!$C$55</f>
        <v>0</v>
      </c>
      <c r="L421" s="281">
        <f>(L303*'Data - P&amp;L'!$C$38)+(L312*'Data - P&amp;L'!$C$39)*'Data - P&amp;L'!$C$55</f>
        <v>0</v>
      </c>
      <c r="M421" s="281">
        <f>(M303*'Data - P&amp;L'!$C$38)+(M312*'Data - P&amp;L'!$C$39)*'Data - P&amp;L'!$C$55</f>
        <v>0</v>
      </c>
      <c r="N421" s="281">
        <f>(N303*'Data - P&amp;L'!$C$38)+(N312*'Data - P&amp;L'!$C$39)*'Data - P&amp;L'!$C$55</f>
        <v>0</v>
      </c>
      <c r="O421" s="281">
        <f>(O303*'Data - P&amp;L'!$C$38)+(O312*'Data - P&amp;L'!$C$39)*'Data - P&amp;L'!$C$55</f>
        <v>0</v>
      </c>
      <c r="P421" s="281">
        <f>(P303*'Data - P&amp;L'!$C$38)+(P312*'Data - P&amp;L'!$C$39)*'Data - P&amp;L'!$C$55</f>
        <v>0</v>
      </c>
      <c r="Q421" s="281">
        <f>(Q303*'Data - P&amp;L'!$C$38)+(Q312*'Data - P&amp;L'!$C$39)*'Data - P&amp;L'!$C$55</f>
        <v>0</v>
      </c>
      <c r="R421" s="281">
        <f>(R303*'Data - P&amp;L'!$C$38)+(R312*'Data - P&amp;L'!$C$39)*'Data - P&amp;L'!$C$55</f>
        <v>0</v>
      </c>
      <c r="S421" s="281">
        <f>(S303*'Data - P&amp;L'!$C$38)+(S312*'Data - P&amp;L'!$C$39)*'Data - P&amp;L'!$C$55</f>
        <v>0</v>
      </c>
      <c r="T421" s="281">
        <f>(T303*'Data - P&amp;L'!$C$38)+(T312*'Data - P&amp;L'!$C$39)*'Data - P&amp;L'!$C$55</f>
        <v>0</v>
      </c>
      <c r="U421" s="281">
        <f>(U303*'Data - P&amp;L'!$C$38)+(U312*'Data - P&amp;L'!$C$39)*'Data - P&amp;L'!$C$55</f>
        <v>0</v>
      </c>
      <c r="V421" s="281">
        <f>(V303*'Data - P&amp;L'!$C$38)+(V312*'Data - P&amp;L'!$C$39)*'Data - P&amp;L'!$C$55</f>
        <v>0</v>
      </c>
      <c r="W421" s="281">
        <f>(W303*'Data - P&amp;L'!$C$38)+(W312*'Data - P&amp;L'!$C$39)*'Data - P&amp;L'!$C$55</f>
        <v>0</v>
      </c>
      <c r="X421" s="281">
        <f>(X303*'Data - P&amp;L'!$C$38)+(X312*'Data - P&amp;L'!$C$39)*'Data - P&amp;L'!$C$55</f>
        <v>0</v>
      </c>
      <c r="Y421" s="281">
        <f>(Y303*'Data - P&amp;L'!$C$38)+(Y312*'Data - P&amp;L'!$C$39)*'Data - P&amp;L'!$C$55</f>
        <v>0</v>
      </c>
      <c r="Z421" s="281">
        <f>(Z303*'Data - P&amp;L'!$C$38)+(Z312*'Data - P&amp;L'!$C$39)*'Data - P&amp;L'!$C$55</f>
        <v>0</v>
      </c>
      <c r="AA421" s="281">
        <f>(AA303*'Data - P&amp;L'!$C$38)+(AA312*'Data - P&amp;L'!$C$39)*'Data - P&amp;L'!$C$55</f>
        <v>0</v>
      </c>
      <c r="AB421" s="281">
        <f>(AB303*'Data - P&amp;L'!$C$38)+(AB312*'Data - P&amp;L'!$C$39)*'Data - P&amp;L'!$C$55</f>
        <v>0</v>
      </c>
      <c r="AC421" s="281">
        <f>(AC303*'Data - P&amp;L'!$C$38)+(AC312*'Data - P&amp;L'!$C$39)*'Data - P&amp;L'!$C$55</f>
        <v>0</v>
      </c>
      <c r="AD421" s="281">
        <f>(AD303*'Data - P&amp;L'!$C$38)+(AD312*'Data - P&amp;L'!$C$39)*'Data - P&amp;L'!$C$55</f>
        <v>0</v>
      </c>
      <c r="AE421" s="281">
        <f>(AE303*'Data - P&amp;L'!$C$38)+(AE312*'Data - P&amp;L'!$C$39)*'Data - P&amp;L'!$C$55</f>
        <v>0</v>
      </c>
      <c r="AF421" s="89">
        <f t="shared" si="114"/>
        <v>0</v>
      </c>
    </row>
    <row r="422" outlineLevel="1">
      <c r="A422" s="87" t="s">
        <v>831</v>
      </c>
      <c r="B422" s="66">
        <f>(B338*'Data - P&amp;L'!$R$3)+('Data - P&amp;L'!$R$4*B339)</f>
        <v>0</v>
      </c>
      <c r="C422" s="66">
        <f>(C338*'Data - P&amp;L'!$R$3)+('Data - P&amp;L'!$R$4*C339)</f>
        <v>0</v>
      </c>
      <c r="D422" s="66">
        <f>(D338*'Data - P&amp;L'!$R$3)+('Data - P&amp;L'!$R$4*D339)</f>
        <v>655</v>
      </c>
      <c r="E422" s="66">
        <f>(E338*'Data - P&amp;L'!$R$3)+('Data - P&amp;L'!$R$4*E339)</f>
        <v>0</v>
      </c>
      <c r="F422" s="66">
        <f>(F338*'Data - P&amp;L'!$R$3)+('Data - P&amp;L'!$R$4*F339)</f>
        <v>0</v>
      </c>
      <c r="G422" s="66">
        <f>(G338*'Data - P&amp;L'!$R$3)+('Data - P&amp;L'!$R$4*G339)</f>
        <v>210</v>
      </c>
      <c r="H422" s="66">
        <f>(H338*'Data - P&amp;L'!$R$3)+('Data - P&amp;L'!$R$4*H339)</f>
        <v>150</v>
      </c>
      <c r="I422" s="66">
        <f>(I338*'Data - P&amp;L'!$R$3)+('Data - P&amp;L'!$R$4*I339)</f>
        <v>0</v>
      </c>
      <c r="J422" s="66">
        <f>(J338*'Data - P&amp;L'!$R$3)+('Data - P&amp;L'!$R$4*J339)</f>
        <v>480</v>
      </c>
      <c r="K422" s="66">
        <f>(K338*'Data - P&amp;L'!$R$3)+('Data - P&amp;L'!$R$4*K339)</f>
        <v>0</v>
      </c>
      <c r="L422" s="66">
        <f>(L338*'Data - P&amp;L'!$R$3)+('Data - P&amp;L'!$R$4*L339)</f>
        <v>0</v>
      </c>
      <c r="M422" s="66">
        <f>(M338*'Data - P&amp;L'!$R$3)+('Data - P&amp;L'!$R$4*M339)</f>
        <v>0</v>
      </c>
      <c r="N422" s="66">
        <f>(N338*'Data - P&amp;L'!$R$3)+('Data - P&amp;L'!$R$4*N339)</f>
        <v>260</v>
      </c>
      <c r="O422" s="66">
        <f>(O338*'Data - P&amp;L'!$R$3)+('Data - P&amp;L'!$R$4*O339)</f>
        <v>15</v>
      </c>
      <c r="P422" s="66">
        <f>(P338*'Data - P&amp;L'!$R$3)+('Data - P&amp;L'!$R$4*P339)</f>
        <v>0</v>
      </c>
      <c r="Q422" s="66">
        <f>(Q338*'Data - P&amp;L'!$R$3)+('Data - P&amp;L'!$R$4*Q339)</f>
        <v>0</v>
      </c>
      <c r="R422" s="66">
        <f>(R338*'Data - P&amp;L'!$R$3)+('Data - P&amp;L'!$R$4*R339)</f>
        <v>0</v>
      </c>
      <c r="S422" s="66">
        <f>(S338*'Data - P&amp;L'!$R$3)+('Data - P&amp;L'!$R$4*S339)</f>
        <v>0</v>
      </c>
      <c r="T422" s="66">
        <f>(T338*'Data - P&amp;L'!$R$3)+('Data - P&amp;L'!$R$4*T339)</f>
        <v>0</v>
      </c>
      <c r="U422" s="66">
        <f>(U338*'Data - P&amp;L'!$R$3)+('Data - P&amp;L'!$R$4*U339)</f>
        <v>0</v>
      </c>
      <c r="V422" s="66">
        <f>(V338*'Data - P&amp;L'!$R$3)+('Data - P&amp;L'!$R$4*V339)</f>
        <v>395</v>
      </c>
      <c r="W422" s="66">
        <f>(W338*'Data - P&amp;L'!$R$3)+('Data - P&amp;L'!$R$4*W339)</f>
        <v>305</v>
      </c>
      <c r="X422" s="66">
        <f>(X338*'Data - P&amp;L'!$R$3)+('Data - P&amp;L'!$R$4*X339)</f>
        <v>0</v>
      </c>
      <c r="Y422" s="66">
        <f>(Y338*'Data - P&amp;L'!$R$3)+('Data - P&amp;L'!$R$4*Y339)</f>
        <v>0</v>
      </c>
      <c r="Z422" s="66">
        <f>(Z338*'Data - P&amp;L'!$R$3)+('Data - P&amp;L'!$R$4*Z339)</f>
        <v>0</v>
      </c>
      <c r="AA422" s="66">
        <f>(AA338*'Data - P&amp;L'!$R$3)+('Data - P&amp;L'!$R$4*AA339)</f>
        <v>0</v>
      </c>
      <c r="AB422" s="66">
        <f>(AB338*'Data - P&amp;L'!$R$3)+('Data - P&amp;L'!$R$4*AB339)</f>
        <v>0</v>
      </c>
      <c r="AC422" s="66">
        <f>(AC338*'Data - P&amp;L'!$R$3)+('Data - P&amp;L'!$R$4*AC339)</f>
        <v>0</v>
      </c>
      <c r="AD422" s="66">
        <f>(AD338*'Data - P&amp;L'!$R$3)+('Data - P&amp;L'!$R$4*AD339)</f>
        <v>0</v>
      </c>
      <c r="AE422" s="66">
        <f>(AE338*'Data - P&amp;L'!$R$3)+('Data - P&amp;L'!$R$4*AE339)</f>
        <v>15</v>
      </c>
      <c r="AF422" s="89">
        <f t="shared" si="114"/>
        <v>2485</v>
      </c>
    </row>
    <row r="423" outlineLevel="1">
      <c r="A423" s="364" t="s">
        <v>833</v>
      </c>
      <c r="B423" s="331">
        <f t="shared" ref="B423:AE423" si="119">sum(B424:B436)</f>
        <v>0</v>
      </c>
      <c r="C423" s="331">
        <f t="shared" si="119"/>
        <v>0</v>
      </c>
      <c r="D423" s="331">
        <f t="shared" si="119"/>
        <v>1889.934</v>
      </c>
      <c r="E423" s="331">
        <f t="shared" si="119"/>
        <v>0</v>
      </c>
      <c r="F423" s="331">
        <f t="shared" si="119"/>
        <v>0</v>
      </c>
      <c r="G423" s="331">
        <f t="shared" si="119"/>
        <v>508.4305</v>
      </c>
      <c r="H423" s="331">
        <f t="shared" si="119"/>
        <v>369.776</v>
      </c>
      <c r="I423" s="331">
        <f t="shared" si="119"/>
        <v>0</v>
      </c>
      <c r="J423" s="331">
        <f t="shared" si="119"/>
        <v>606.208</v>
      </c>
      <c r="K423" s="331">
        <f t="shared" si="119"/>
        <v>0</v>
      </c>
      <c r="L423" s="331">
        <f t="shared" si="119"/>
        <v>0</v>
      </c>
      <c r="M423" s="331">
        <f t="shared" si="119"/>
        <v>0</v>
      </c>
      <c r="N423" s="331">
        <f t="shared" si="119"/>
        <v>240.6835</v>
      </c>
      <c r="O423" s="331">
        <f t="shared" si="119"/>
        <v>117.464</v>
      </c>
      <c r="P423" s="331">
        <f t="shared" si="119"/>
        <v>0</v>
      </c>
      <c r="Q423" s="331">
        <f t="shared" si="119"/>
        <v>0</v>
      </c>
      <c r="R423" s="331">
        <f t="shared" si="119"/>
        <v>0</v>
      </c>
      <c r="S423" s="331">
        <f t="shared" si="119"/>
        <v>0</v>
      </c>
      <c r="T423" s="331">
        <f t="shared" si="119"/>
        <v>0</v>
      </c>
      <c r="U423" s="331">
        <f t="shared" si="119"/>
        <v>0</v>
      </c>
      <c r="V423" s="331">
        <f t="shared" si="119"/>
        <v>1308.476</v>
      </c>
      <c r="W423" s="331">
        <f t="shared" si="119"/>
        <v>1313.736</v>
      </c>
      <c r="X423" s="331">
        <f t="shared" si="119"/>
        <v>0</v>
      </c>
      <c r="Y423" s="331">
        <f t="shared" si="119"/>
        <v>0</v>
      </c>
      <c r="Z423" s="331">
        <f t="shared" si="119"/>
        <v>0</v>
      </c>
      <c r="AA423" s="331">
        <f t="shared" si="119"/>
        <v>0</v>
      </c>
      <c r="AB423" s="331">
        <f t="shared" si="119"/>
        <v>0</v>
      </c>
      <c r="AC423" s="331">
        <f t="shared" si="119"/>
        <v>0</v>
      </c>
      <c r="AD423" s="331">
        <f t="shared" si="119"/>
        <v>0</v>
      </c>
      <c r="AE423" s="331">
        <f t="shared" si="119"/>
        <v>0</v>
      </c>
      <c r="AF423" s="89">
        <f t="shared" si="114"/>
        <v>6354.708</v>
      </c>
    </row>
    <row r="424" outlineLevel="1">
      <c r="A424" s="87" t="s">
        <v>835</v>
      </c>
      <c r="B424" s="66">
        <f>B313*'Data - P&amp;L'!$C$3</f>
        <v>0</v>
      </c>
      <c r="C424" s="66">
        <f>C313*'Data - P&amp;L'!$C$3</f>
        <v>0</v>
      </c>
      <c r="D424" s="66">
        <f>D313*'Data - P&amp;L'!$C$3</f>
        <v>521.4</v>
      </c>
      <c r="E424" s="66">
        <f>E313*'Data - P&amp;L'!$C$3</f>
        <v>0</v>
      </c>
      <c r="F424" s="66">
        <f>F313*'Data - P&amp;L'!$C$3</f>
        <v>0</v>
      </c>
      <c r="G424" s="66">
        <f>G313*'Data - P&amp;L'!$C$3</f>
        <v>0</v>
      </c>
      <c r="H424" s="66">
        <f>H313*'Data - P&amp;L'!$C$3</f>
        <v>0</v>
      </c>
      <c r="I424" s="66">
        <f>I313*'Data - P&amp;L'!$C$3</f>
        <v>0</v>
      </c>
      <c r="J424" s="66">
        <f>J313*'Data - P&amp;L'!$C$3</f>
        <v>347.6</v>
      </c>
      <c r="K424" s="66">
        <f>K313*'Data - P&amp;L'!$C$3</f>
        <v>0</v>
      </c>
      <c r="L424" s="66">
        <f>L313*'Data - P&amp;L'!$C$3</f>
        <v>0</v>
      </c>
      <c r="M424" s="66">
        <f>M313*'Data - P&amp;L'!$C$3</f>
        <v>0</v>
      </c>
      <c r="N424" s="66">
        <f>N313*'Data - P&amp;L'!$C$3</f>
        <v>0</v>
      </c>
      <c r="O424" s="66">
        <f>O313*'Data - P&amp;L'!$C$3</f>
        <v>0</v>
      </c>
      <c r="P424" s="66">
        <f>P313*'Data - P&amp;L'!$C$3</f>
        <v>0</v>
      </c>
      <c r="Q424" s="66">
        <f>Q313*'Data - P&amp;L'!$C$3</f>
        <v>0</v>
      </c>
      <c r="R424" s="66">
        <f>R313*'Data - P&amp;L'!$C$3</f>
        <v>0</v>
      </c>
      <c r="S424" s="66">
        <f>S313*'Data - P&amp;L'!$C$3</f>
        <v>0</v>
      </c>
      <c r="T424" s="66">
        <f>T313*'Data - P&amp;L'!$C$3</f>
        <v>0</v>
      </c>
      <c r="U424" s="66">
        <f>U313*'Data - P&amp;L'!$C$3</f>
        <v>0</v>
      </c>
      <c r="V424" s="66">
        <f>V313*'Data - P&amp;L'!$C$3</f>
        <v>260.7</v>
      </c>
      <c r="W424" s="66">
        <f>W313*'Data - P&amp;L'!$C$3</f>
        <v>434.5</v>
      </c>
      <c r="X424" s="66">
        <f>X313*'Data - P&amp;L'!$C$3</f>
        <v>0</v>
      </c>
      <c r="Y424" s="66">
        <f>Y313*'Data - P&amp;L'!$C$3</f>
        <v>0</v>
      </c>
      <c r="Z424" s="66">
        <f>Z313*'Data - P&amp;L'!$C$3</f>
        <v>0</v>
      </c>
      <c r="AA424" s="66">
        <f>AA313*'Data - P&amp;L'!$C$3</f>
        <v>0</v>
      </c>
      <c r="AB424" s="66">
        <f>AB313*'Data - P&amp;L'!$C$3</f>
        <v>0</v>
      </c>
      <c r="AC424" s="66">
        <f>AC313*'Data - P&amp;L'!$C$3</f>
        <v>0</v>
      </c>
      <c r="AD424" s="66">
        <f>AD313*'Data - P&amp;L'!$C$3</f>
        <v>0</v>
      </c>
      <c r="AE424" s="66">
        <f>AE313*'Data - P&amp;L'!$C$3</f>
        <v>0</v>
      </c>
      <c r="AF424" s="89">
        <f t="shared" si="114"/>
        <v>1564.2</v>
      </c>
    </row>
    <row r="425" outlineLevel="1">
      <c r="A425" s="87" t="s">
        <v>836</v>
      </c>
      <c r="B425" s="66">
        <f>B314*'Data - P&amp;L'!$C$4</f>
        <v>0</v>
      </c>
      <c r="C425" s="66">
        <f>C314*'Data - P&amp;L'!$C$4</f>
        <v>0</v>
      </c>
      <c r="D425" s="66">
        <f>D314*'Data - P&amp;L'!$C$4</f>
        <v>488.05</v>
      </c>
      <c r="E425" s="66">
        <f>E314*'Data - P&amp;L'!$C$4</f>
        <v>0</v>
      </c>
      <c r="F425" s="66">
        <f>F314*'Data - P&amp;L'!$C$4</f>
        <v>0</v>
      </c>
      <c r="G425" s="66">
        <f>G314*'Data - P&amp;L'!$C$4</f>
        <v>195.22</v>
      </c>
      <c r="H425" s="66">
        <f>H314*'Data - P&amp;L'!$C$4</f>
        <v>195.22</v>
      </c>
      <c r="I425" s="66">
        <f>I314*'Data - P&amp;L'!$C$4</f>
        <v>0</v>
      </c>
      <c r="J425" s="66">
        <f>J314*'Data - P&amp;L'!$C$4</f>
        <v>0</v>
      </c>
      <c r="K425" s="66">
        <f>K314*'Data - P&amp;L'!$C$4</f>
        <v>0</v>
      </c>
      <c r="L425" s="66">
        <f>L314*'Data - P&amp;L'!$C$4</f>
        <v>0</v>
      </c>
      <c r="M425" s="66">
        <f>M314*'Data - P&amp;L'!$C$4</f>
        <v>0</v>
      </c>
      <c r="N425" s="66">
        <f>N314*'Data - P&amp;L'!$C$4</f>
        <v>0</v>
      </c>
      <c r="O425" s="66">
        <f>O314*'Data - P&amp;L'!$C$4</f>
        <v>97.61</v>
      </c>
      <c r="P425" s="66">
        <f>P314*'Data - P&amp;L'!$C$4</f>
        <v>0</v>
      </c>
      <c r="Q425" s="66">
        <f>Q314*'Data - P&amp;L'!$C$4</f>
        <v>0</v>
      </c>
      <c r="R425" s="66">
        <f>R314*'Data - P&amp;L'!$C$4</f>
        <v>0</v>
      </c>
      <c r="S425" s="66">
        <f>S314*'Data - P&amp;L'!$C$4</f>
        <v>0</v>
      </c>
      <c r="T425" s="66">
        <f>T314*'Data - P&amp;L'!$C$4</f>
        <v>0</v>
      </c>
      <c r="U425" s="66">
        <f>U314*'Data - P&amp;L'!$C$4</f>
        <v>0</v>
      </c>
      <c r="V425" s="66">
        <f>V314*'Data - P&amp;L'!$C$4</f>
        <v>585.66</v>
      </c>
      <c r="W425" s="66">
        <f>W314*'Data - P&amp;L'!$C$4</f>
        <v>390.44</v>
      </c>
      <c r="X425" s="66">
        <f>X314*'Data - P&amp;L'!$C$4</f>
        <v>0</v>
      </c>
      <c r="Y425" s="66">
        <f>Y314*'Data - P&amp;L'!$C$4</f>
        <v>0</v>
      </c>
      <c r="Z425" s="66">
        <f>Z314*'Data - P&amp;L'!$C$4</f>
        <v>0</v>
      </c>
      <c r="AA425" s="66">
        <f>AA314*'Data - P&amp;L'!$C$4</f>
        <v>0</v>
      </c>
      <c r="AB425" s="66">
        <f>AB314*'Data - P&amp;L'!$C$4</f>
        <v>0</v>
      </c>
      <c r="AC425" s="66">
        <f>AC314*'Data - P&amp;L'!$C$4</f>
        <v>0</v>
      </c>
      <c r="AD425" s="66">
        <f>AD314*'Data - P&amp;L'!$C$4</f>
        <v>0</v>
      </c>
      <c r="AE425" s="66">
        <f>AE314*'Data - P&amp;L'!$C$4</f>
        <v>0</v>
      </c>
      <c r="AF425" s="89">
        <f t="shared" si="114"/>
        <v>1952.2</v>
      </c>
    </row>
    <row r="426" outlineLevel="1">
      <c r="A426" s="87" t="s">
        <v>838</v>
      </c>
      <c r="B426" s="66">
        <f>(B317+B328)*'Data - P&amp;L'!$C$6</f>
        <v>0</v>
      </c>
      <c r="C426" s="66">
        <f>(C317+C328)*'Data - P&amp;L'!$C$6</f>
        <v>0</v>
      </c>
      <c r="D426" s="66">
        <f>(D317+D328)*'Data - P&amp;L'!$C$6</f>
        <v>10.98</v>
      </c>
      <c r="E426" s="66">
        <f>(E317+E328)*'Data - P&amp;L'!$C$6</f>
        <v>0</v>
      </c>
      <c r="F426" s="66">
        <f>(F317+F328)*'Data - P&amp;L'!$C$6</f>
        <v>0</v>
      </c>
      <c r="G426" s="66">
        <f>(G317+G328)*'Data - P&amp;L'!$C$6</f>
        <v>10.98</v>
      </c>
      <c r="H426" s="66">
        <f>(H317+H328)*'Data - P&amp;L'!$C$6</f>
        <v>0</v>
      </c>
      <c r="I426" s="66">
        <f>(I317+I328)*'Data - P&amp;L'!$C$6</f>
        <v>0</v>
      </c>
      <c r="J426" s="66">
        <f>(J317+J328)*'Data - P&amp;L'!$C$6</f>
        <v>21.96</v>
      </c>
      <c r="K426" s="66">
        <f>(K317+K328)*'Data - P&amp;L'!$C$6</f>
        <v>0</v>
      </c>
      <c r="L426" s="66">
        <f>(L317+L328)*'Data - P&amp;L'!$C$6</f>
        <v>0</v>
      </c>
      <c r="M426" s="66">
        <f>(M317+M328)*'Data - P&amp;L'!$C$6</f>
        <v>0</v>
      </c>
      <c r="N426" s="66">
        <f>(N317+N328)*'Data - P&amp;L'!$C$6</f>
        <v>5.49</v>
      </c>
      <c r="O426" s="66">
        <f>(O317+O328)*'Data - P&amp;L'!$C$6</f>
        <v>0</v>
      </c>
      <c r="P426" s="66">
        <f>(P317+P328)*'Data - P&amp;L'!$C$6</f>
        <v>0</v>
      </c>
      <c r="Q426" s="66">
        <f>(Q317+Q328)*'Data - P&amp;L'!$C$6</f>
        <v>0</v>
      </c>
      <c r="R426" s="66">
        <f>(R317+R328)*'Data - P&amp;L'!$C$6</f>
        <v>0</v>
      </c>
      <c r="S426" s="66">
        <f>(S317+S328)*'Data - P&amp;L'!$C$6</f>
        <v>0</v>
      </c>
      <c r="T426" s="66">
        <f>(T317+T328)*'Data - P&amp;L'!$C$6</f>
        <v>0</v>
      </c>
      <c r="U426" s="66">
        <f>(U317+U328)*'Data - P&amp;L'!$C$6</f>
        <v>0</v>
      </c>
      <c r="V426" s="66">
        <f>(V317+V328)*'Data - P&amp;L'!$C$6</f>
        <v>0</v>
      </c>
      <c r="W426" s="66">
        <f>(W317+W328)*'Data - P&amp;L'!$C$6</f>
        <v>32.94</v>
      </c>
      <c r="X426" s="66">
        <f>(X317+X328)*'Data - P&amp;L'!$C$6</f>
        <v>0</v>
      </c>
      <c r="Y426" s="66">
        <f>(Y317+Y328)*'Data - P&amp;L'!$C$6</f>
        <v>0</v>
      </c>
      <c r="Z426" s="66">
        <f>(Z317+Z328)*'Data - P&amp;L'!$C$6</f>
        <v>0</v>
      </c>
      <c r="AA426" s="66">
        <f>(AA317+AA328)*'Data - P&amp;L'!$C$6</f>
        <v>0</v>
      </c>
      <c r="AB426" s="66">
        <f>(AB317+AB328)*'Data - P&amp;L'!$C$6</f>
        <v>0</v>
      </c>
      <c r="AC426" s="66">
        <f>(AC317+AC328)*'Data - P&amp;L'!$C$6</f>
        <v>0</v>
      </c>
      <c r="AD426" s="66">
        <f>(AD317+AD328)*'Data - P&amp;L'!$C$6</f>
        <v>0</v>
      </c>
      <c r="AE426" s="66">
        <f>(AE317+AE328)*'Data - P&amp;L'!$C$6</f>
        <v>0</v>
      </c>
      <c r="AF426" s="89">
        <f t="shared" si="114"/>
        <v>82.35</v>
      </c>
    </row>
    <row r="427" outlineLevel="1">
      <c r="A427" s="87" t="s">
        <v>840</v>
      </c>
      <c r="B427" s="66">
        <f>(B318+B329)*'Data - P&amp;L'!$C$8</f>
        <v>0</v>
      </c>
      <c r="C427" s="66">
        <f>(C318+C329)*'Data - P&amp;L'!$C$8</f>
        <v>0</v>
      </c>
      <c r="D427" s="66">
        <f>(D318+D329)*'Data - P&amp;L'!$C$8</f>
        <v>9.52</v>
      </c>
      <c r="E427" s="66">
        <f>(E318+E329)*'Data - P&amp;L'!$C$8</f>
        <v>0</v>
      </c>
      <c r="F427" s="66">
        <f>(F318+F329)*'Data - P&amp;L'!$C$8</f>
        <v>0</v>
      </c>
      <c r="G427" s="66">
        <f>(G318+G329)*'Data - P&amp;L'!$C$8</f>
        <v>7.14</v>
      </c>
      <c r="H427" s="66">
        <f>(H318+H329)*'Data - P&amp;L'!$C$8</f>
        <v>4.76</v>
      </c>
      <c r="I427" s="66">
        <f>(I318+I329)*'Data - P&amp;L'!$C$8</f>
        <v>0</v>
      </c>
      <c r="J427" s="66">
        <f>(J318+J329)*'Data - P&amp;L'!$C$8</f>
        <v>2.38</v>
      </c>
      <c r="K427" s="66">
        <f>(K318+K329)*'Data - P&amp;L'!$C$8</f>
        <v>0</v>
      </c>
      <c r="L427" s="66">
        <f>(L318+L329)*'Data - P&amp;L'!$C$8</f>
        <v>0</v>
      </c>
      <c r="M427" s="66">
        <f>(M318+M329)*'Data - P&amp;L'!$C$8</f>
        <v>0</v>
      </c>
      <c r="N427" s="66">
        <f>(N318+N329)*'Data - P&amp;L'!$C$8</f>
        <v>13.09</v>
      </c>
      <c r="O427" s="66">
        <f>(O318+O329)*'Data - P&amp;L'!$C$8</f>
        <v>0</v>
      </c>
      <c r="P427" s="66">
        <f>(P318+P329)*'Data - P&amp;L'!$C$8</f>
        <v>0</v>
      </c>
      <c r="Q427" s="66">
        <f>(Q318+Q329)*'Data - P&amp;L'!$C$8</f>
        <v>0</v>
      </c>
      <c r="R427" s="66">
        <f>(R318+R329)*'Data - P&amp;L'!$C$8</f>
        <v>0</v>
      </c>
      <c r="S427" s="66">
        <f>(S318+S329)*'Data - P&amp;L'!$C$8</f>
        <v>0</v>
      </c>
      <c r="T427" s="66">
        <f>(T318+T329)*'Data - P&amp;L'!$C$8</f>
        <v>0</v>
      </c>
      <c r="U427" s="66">
        <f>(U318+U329)*'Data - P&amp;L'!$C$8</f>
        <v>0</v>
      </c>
      <c r="V427" s="66">
        <f>(V318+V329)*'Data - P&amp;L'!$C$8</f>
        <v>7.14</v>
      </c>
      <c r="W427" s="66">
        <f>(W318+W329)*'Data - P&amp;L'!$C$8</f>
        <v>5.95</v>
      </c>
      <c r="X427" s="66">
        <f>(X318+X329)*'Data - P&amp;L'!$C$8</f>
        <v>0</v>
      </c>
      <c r="Y427" s="66">
        <f>(Y318+Y329)*'Data - P&amp;L'!$C$8</f>
        <v>0</v>
      </c>
      <c r="Z427" s="66">
        <f>(Z318+Z329)*'Data - P&amp;L'!$C$8</f>
        <v>0</v>
      </c>
      <c r="AA427" s="66">
        <f>(AA318+AA329)*'Data - P&amp;L'!$C$8</f>
        <v>0</v>
      </c>
      <c r="AB427" s="66">
        <f>(AB318+AB329)*'Data - P&amp;L'!$C$8</f>
        <v>0</v>
      </c>
      <c r="AC427" s="66">
        <f>(AC318+AC329)*'Data - P&amp;L'!$C$8</f>
        <v>0</v>
      </c>
      <c r="AD427" s="66">
        <f>(AD318+AD329)*'Data - P&amp;L'!$C$8</f>
        <v>0</v>
      </c>
      <c r="AE427" s="66">
        <f>(AE318+AE329)*'Data - P&amp;L'!$C$8</f>
        <v>0</v>
      </c>
      <c r="AF427" s="89">
        <f t="shared" si="114"/>
        <v>49.98</v>
      </c>
    </row>
    <row r="428" outlineLevel="1">
      <c r="A428" s="87" t="s">
        <v>842</v>
      </c>
      <c r="B428" s="66">
        <f>(B319+B320+B330+B331)*'Data - P&amp;L'!$C$9</f>
        <v>0</v>
      </c>
      <c r="C428" s="66">
        <f>(C319+C320+C330+C331)*'Data - P&amp;L'!$C$9</f>
        <v>0</v>
      </c>
      <c r="D428" s="66">
        <f>(D319+D320+D330+D331)*'Data - P&amp;L'!$C$9</f>
        <v>19.98</v>
      </c>
      <c r="E428" s="66">
        <f>(E319+E320+E330+E331)*'Data - P&amp;L'!$C$9</f>
        <v>0</v>
      </c>
      <c r="F428" s="66">
        <f>(F319+F320+F330+F331)*'Data - P&amp;L'!$C$9</f>
        <v>0</v>
      </c>
      <c r="G428" s="66">
        <f>(G319+G320+G330+G331)*'Data - P&amp;L'!$C$9</f>
        <v>33.3</v>
      </c>
      <c r="H428" s="66">
        <f>(H319+H320+H330+H331)*'Data - P&amp;L'!$C$9</f>
        <v>19.98</v>
      </c>
      <c r="I428" s="66">
        <f>(I319+I320+I330+I331)*'Data - P&amp;L'!$C$9</f>
        <v>0</v>
      </c>
      <c r="J428" s="66">
        <f>(J319+J320+J330+J331)*'Data - P&amp;L'!$C$9</f>
        <v>6.66</v>
      </c>
      <c r="K428" s="66">
        <f>(K319+K320+K330+K331)*'Data - P&amp;L'!$C$9</f>
        <v>0</v>
      </c>
      <c r="L428" s="66">
        <f>(L319+L320+L330+L331)*'Data - P&amp;L'!$C$9</f>
        <v>0</v>
      </c>
      <c r="M428" s="66">
        <f>(M319+M320+M330+M331)*'Data - P&amp;L'!$C$9</f>
        <v>0</v>
      </c>
      <c r="N428" s="66">
        <f>(N319+N320+N330+N331)*'Data - P&amp;L'!$C$9</f>
        <v>0</v>
      </c>
      <c r="O428" s="66">
        <f>(O319+O320+O330+O331)*'Data - P&amp;L'!$C$9</f>
        <v>0</v>
      </c>
      <c r="P428" s="66">
        <f>(P319+P320+P330+P331)*'Data - P&amp;L'!$C$9</f>
        <v>0</v>
      </c>
      <c r="Q428" s="66">
        <f>(Q319+Q320+Q330+Q331)*'Data - P&amp;L'!$C$9</f>
        <v>0</v>
      </c>
      <c r="R428" s="66">
        <f>(R319+R320+R330+R331)*'Data - P&amp;L'!$C$9</f>
        <v>0</v>
      </c>
      <c r="S428" s="66">
        <f>(S319+S320+S330+S331)*'Data - P&amp;L'!$C$9</f>
        <v>0</v>
      </c>
      <c r="T428" s="66">
        <f>(T319+T320+T330+T331)*'Data - P&amp;L'!$C$9</f>
        <v>0</v>
      </c>
      <c r="U428" s="66">
        <f>(U319+U320+U330+U331)*'Data - P&amp;L'!$C$9</f>
        <v>0</v>
      </c>
      <c r="V428" s="66">
        <f>(V319+V320+V330+V331)*'Data - P&amp;L'!$C$9</f>
        <v>0</v>
      </c>
      <c r="W428" s="66">
        <f>(W319+W320+W330+W331)*'Data - P&amp;L'!$C$9</f>
        <v>19.98</v>
      </c>
      <c r="X428" s="66">
        <f>(X319+X320+X330+X331)*'Data - P&amp;L'!$C$9</f>
        <v>0</v>
      </c>
      <c r="Y428" s="66">
        <f>(Y319+Y320+Y330+Y331)*'Data - P&amp;L'!$C$9</f>
        <v>0</v>
      </c>
      <c r="Z428" s="66">
        <f>(Z319+Z320+Z330+Z331)*'Data - P&amp;L'!$C$9</f>
        <v>0</v>
      </c>
      <c r="AA428" s="66">
        <f>(AA319+AA320+AA330+AA331)*'Data - P&amp;L'!$C$9</f>
        <v>0</v>
      </c>
      <c r="AB428" s="66">
        <f>(AB319+AB320+AB330+AB331)*'Data - P&amp;L'!$C$9</f>
        <v>0</v>
      </c>
      <c r="AC428" s="66">
        <f>(AC319+AC320+AC330+AC331)*'Data - P&amp;L'!$C$9</f>
        <v>0</v>
      </c>
      <c r="AD428" s="66">
        <f>(AD319+AD320+AD330+AD331)*'Data - P&amp;L'!$C$9</f>
        <v>0</v>
      </c>
      <c r="AE428" s="66">
        <f>(AE319+AE320+AE330+AE331)*'Data - P&amp;L'!$C$9</f>
        <v>0</v>
      </c>
      <c r="AF428" s="89">
        <f t="shared" si="114"/>
        <v>99.9</v>
      </c>
    </row>
    <row r="429" outlineLevel="1">
      <c r="A429" s="87" t="s">
        <v>845</v>
      </c>
      <c r="B429" s="66">
        <f>(B321+B322+B332+B333)*'Data - P&amp;L'!$C$5</f>
        <v>0</v>
      </c>
      <c r="C429" s="66">
        <f>(C321+C322+C332+C333)*'Data - P&amp;L'!$C$5</f>
        <v>0</v>
      </c>
      <c r="D429" s="66">
        <f>(D321+D322+D332+D333)*'Data - P&amp;L'!$C$5</f>
        <v>241.92</v>
      </c>
      <c r="E429" s="66">
        <f>(E321+E322+E332+E333)*'Data - P&amp;L'!$C$5</f>
        <v>0</v>
      </c>
      <c r="F429" s="66">
        <f>(F321+F322+F332+F333)*'Data - P&amp;L'!$C$5</f>
        <v>0</v>
      </c>
      <c r="G429" s="66">
        <f>(G321+G322+G332+G333)*'Data - P&amp;L'!$C$5</f>
        <v>26.88</v>
      </c>
      <c r="H429" s="66">
        <f>(H321+H322+H332+H333)*'Data - P&amp;L'!$C$5</f>
        <v>0</v>
      </c>
      <c r="I429" s="66">
        <f>(I321+I322+I332+I333)*'Data - P&amp;L'!$C$5</f>
        <v>0</v>
      </c>
      <c r="J429" s="66">
        <f>(J321+J322+J332+J333)*'Data - P&amp;L'!$C$5</f>
        <v>80.64</v>
      </c>
      <c r="K429" s="66">
        <f>(K321+K322+K332+K333)*'Data - P&amp;L'!$C$5</f>
        <v>0</v>
      </c>
      <c r="L429" s="66">
        <f>(L321+L322+L332+L333)*'Data - P&amp;L'!$C$5</f>
        <v>0</v>
      </c>
      <c r="M429" s="66">
        <f>(M321+M322+M332+M333)*'Data - P&amp;L'!$C$5</f>
        <v>0</v>
      </c>
      <c r="N429" s="66">
        <f>(N321+N322+N332+N333)*'Data - P&amp;L'!$C$5</f>
        <v>40.32</v>
      </c>
      <c r="O429" s="66">
        <f>(O321+O322+O332+O333)*'Data - P&amp;L'!$C$5</f>
        <v>0</v>
      </c>
      <c r="P429" s="66">
        <f>(P321+P322+P332+P333)*'Data - P&amp;L'!$C$5</f>
        <v>0</v>
      </c>
      <c r="Q429" s="66">
        <f>(Q321+Q322+Q332+Q333)*'Data - P&amp;L'!$C$5</f>
        <v>0</v>
      </c>
      <c r="R429" s="66">
        <f>(R321+R322+R332+R333)*'Data - P&amp;L'!$C$5</f>
        <v>0</v>
      </c>
      <c r="S429" s="66">
        <f>(S321+S322+S332+S333)*'Data - P&amp;L'!$C$5</f>
        <v>0</v>
      </c>
      <c r="T429" s="66">
        <f>(T321+T322+T332+T333)*'Data - P&amp;L'!$C$5</f>
        <v>0</v>
      </c>
      <c r="U429" s="66">
        <f>(U321+U322+U332+U333)*'Data - P&amp;L'!$C$5</f>
        <v>0</v>
      </c>
      <c r="V429" s="66">
        <f>(V321+V322+V332+V333)*'Data - P&amp;L'!$C$5</f>
        <v>107.52</v>
      </c>
      <c r="W429" s="66">
        <f>(W321+W322+W332+W333)*'Data - P&amp;L'!$C$5</f>
        <v>40.32</v>
      </c>
      <c r="X429" s="66">
        <f>(X321+X322+X332+X333)*'Data - P&amp;L'!$C$5</f>
        <v>0</v>
      </c>
      <c r="Y429" s="66">
        <f>(Y321+Y322+Y332+Y333)*'Data - P&amp;L'!$C$5</f>
        <v>0</v>
      </c>
      <c r="Z429" s="66">
        <f>(Z321+Z322+Z332+Z333)*'Data - P&amp;L'!$C$5</f>
        <v>0</v>
      </c>
      <c r="AA429" s="66">
        <f>(AA321+AA322+AA332+AA333)*'Data - P&amp;L'!$C$5</f>
        <v>0</v>
      </c>
      <c r="AB429" s="66">
        <f>(AB321+AB322+AB332+AB333)*'Data - P&amp;L'!$C$5</f>
        <v>0</v>
      </c>
      <c r="AC429" s="66">
        <f>(AC321+AC322+AC332+AC333)*'Data - P&amp;L'!$C$5</f>
        <v>0</v>
      </c>
      <c r="AD429" s="66">
        <f>(AD321+AD322+AD332+AD333)*'Data - P&amp;L'!$C$5</f>
        <v>0</v>
      </c>
      <c r="AE429" s="66">
        <f>(AE321+AE322+AE332+AE333)*'Data - P&amp;L'!$C$5</f>
        <v>0</v>
      </c>
      <c r="AF429" s="89">
        <f t="shared" si="114"/>
        <v>537.6</v>
      </c>
    </row>
    <row r="430" outlineLevel="1">
      <c r="A430" s="87" t="s">
        <v>847</v>
      </c>
      <c r="B430" s="66">
        <f>(B323+B324+B334+B335)*'Data - P&amp;L'!$C$10</f>
        <v>0</v>
      </c>
      <c r="C430" s="66">
        <f>(C323+C324+C334+C335)*'Data - P&amp;L'!$C$10</f>
        <v>0</v>
      </c>
      <c r="D430" s="66">
        <f>(D323+D324+D334+D335)*'Data - P&amp;L'!$C$10</f>
        <v>0</v>
      </c>
      <c r="E430" s="66">
        <f>(E323+E324+E334+E335)*'Data - P&amp;L'!$C$10</f>
        <v>0</v>
      </c>
      <c r="F430" s="66">
        <f>(F323+F324+F334+F335)*'Data - P&amp;L'!$C$10</f>
        <v>0</v>
      </c>
      <c r="G430" s="66">
        <f>(G323+G324+G334+G335)*'Data - P&amp;L'!$C$10</f>
        <v>0</v>
      </c>
      <c r="H430" s="66">
        <f>(H323+H324+H334+H335)*'Data - P&amp;L'!$C$10</f>
        <v>6</v>
      </c>
      <c r="I430" s="66">
        <f>(I323+I324+I334+I335)*'Data - P&amp;L'!$C$10</f>
        <v>0</v>
      </c>
      <c r="J430" s="66">
        <f>(J323+J324+J334+J335)*'Data - P&amp;L'!$C$10</f>
        <v>0</v>
      </c>
      <c r="K430" s="66">
        <f>(K323+K324+K334+K335)*'Data - P&amp;L'!$C$10</f>
        <v>0</v>
      </c>
      <c r="L430" s="66">
        <f>(L323+L324+L334+L335)*'Data - P&amp;L'!$C$10</f>
        <v>0</v>
      </c>
      <c r="M430" s="66">
        <f>(M323+M324+M334+M335)*'Data - P&amp;L'!$C$10</f>
        <v>0</v>
      </c>
      <c r="N430" s="66">
        <f>(N323+N324+N334+N335)*'Data - P&amp;L'!$C$10</f>
        <v>0</v>
      </c>
      <c r="O430" s="66">
        <f>(O323+O324+O334+O335)*'Data - P&amp;L'!$C$10</f>
        <v>0</v>
      </c>
      <c r="P430" s="66">
        <f>(P323+P324+P334+P335)*'Data - P&amp;L'!$C$10</f>
        <v>0</v>
      </c>
      <c r="Q430" s="66">
        <f>(Q323+Q324+Q334+Q335)*'Data - P&amp;L'!$C$10</f>
        <v>0</v>
      </c>
      <c r="R430" s="66">
        <f>(R323+R324+R334+R335)*'Data - P&amp;L'!$C$10</f>
        <v>0</v>
      </c>
      <c r="S430" s="66">
        <f>(S323+S324+S334+S335)*'Data - P&amp;L'!$C$10</f>
        <v>0</v>
      </c>
      <c r="T430" s="66">
        <f>(T323+T324+T334+T335)*'Data - P&amp;L'!$C$10</f>
        <v>0</v>
      </c>
      <c r="U430" s="66">
        <f>(U323+U324+U334+U335)*'Data - P&amp;L'!$C$10</f>
        <v>0</v>
      </c>
      <c r="V430" s="66">
        <f>(V323+V324+V334+V335)*'Data - P&amp;L'!$C$10</f>
        <v>0</v>
      </c>
      <c r="W430" s="66">
        <f>(W323+W324+W334+W335)*'Data - P&amp;L'!$C$10</f>
        <v>0</v>
      </c>
      <c r="X430" s="66">
        <f>(X323+X324+X334+X335)*'Data - P&amp;L'!$C$10</f>
        <v>0</v>
      </c>
      <c r="Y430" s="66">
        <f>(Y323+Y324+Y334+Y335)*'Data - P&amp;L'!$C$10</f>
        <v>0</v>
      </c>
      <c r="Z430" s="66">
        <f>(Z323+Z324+Z334+Z335)*'Data - P&amp;L'!$C$10</f>
        <v>0</v>
      </c>
      <c r="AA430" s="66">
        <f>(AA323+AA324+AA334+AA335)*'Data - P&amp;L'!$C$10</f>
        <v>0</v>
      </c>
      <c r="AB430" s="66">
        <f>(AB323+AB324+AB334+AB335)*'Data - P&amp;L'!$C$10</f>
        <v>0</v>
      </c>
      <c r="AC430" s="66">
        <f>(AC323+AC324+AC334+AC335)*'Data - P&amp;L'!$C$10</f>
        <v>0</v>
      </c>
      <c r="AD430" s="66">
        <f>(AD323+AD324+AD334+AD335)*'Data - P&amp;L'!$C$10</f>
        <v>0</v>
      </c>
      <c r="AE430" s="66">
        <f>(AE323+AE324+AE334+AE335)*'Data - P&amp;L'!$C$10</f>
        <v>0</v>
      </c>
      <c r="AF430" s="89">
        <f t="shared" si="114"/>
        <v>6</v>
      </c>
    </row>
    <row r="431" outlineLevel="1">
      <c r="A431" s="87" t="s">
        <v>850</v>
      </c>
      <c r="B431" s="66">
        <f>(B301+B302+B310+B311)*'Data - P&amp;L'!$C$13</f>
        <v>0</v>
      </c>
      <c r="C431" s="66">
        <f>(C301+C302+C310+C311)*'Data - P&amp;L'!$C$13</f>
        <v>0</v>
      </c>
      <c r="D431" s="66">
        <f>(D301+D302+D310+D311)*'Data - P&amp;L'!$C$13</f>
        <v>0</v>
      </c>
      <c r="E431" s="66">
        <f>(E301+E302+E310+E311)*'Data - P&amp;L'!$C$13</f>
        <v>0</v>
      </c>
      <c r="F431" s="66">
        <f>(F301+F302+F310+F311)*'Data - P&amp;L'!$C$13</f>
        <v>0</v>
      </c>
      <c r="G431" s="66">
        <f>(G301+G302+G310+G311)*'Data - P&amp;L'!$C$13</f>
        <v>0</v>
      </c>
      <c r="H431" s="66">
        <f>(H301+H302+H310+H311)*'Data - P&amp;L'!$C$13</f>
        <v>0</v>
      </c>
      <c r="I431" s="66">
        <f>(I301+I302+I310+I311)*'Data - P&amp;L'!$C$13</f>
        <v>0</v>
      </c>
      <c r="J431" s="66">
        <f>(J301+J302+J310+J311)*'Data - P&amp;L'!$C$13</f>
        <v>0</v>
      </c>
      <c r="K431" s="66">
        <f>(K301+K302+K310+K311)*'Data - P&amp;L'!$C$13</f>
        <v>0</v>
      </c>
      <c r="L431" s="66">
        <f>(L301+L302+L310+L311)*'Data - P&amp;L'!$C$13</f>
        <v>0</v>
      </c>
      <c r="M431" s="66">
        <f>(M301+M302+M310+M311)*'Data - P&amp;L'!$C$13</f>
        <v>0</v>
      </c>
      <c r="N431" s="66">
        <f>(N301+N302+N310+N311)*'Data - P&amp;L'!$C$13</f>
        <v>0</v>
      </c>
      <c r="O431" s="66">
        <f>(O301+O302+O310+O311)*'Data - P&amp;L'!$C$13</f>
        <v>0</v>
      </c>
      <c r="P431" s="66">
        <f>(P301+P302+P310+P311)*'Data - P&amp;L'!$C$13</f>
        <v>0</v>
      </c>
      <c r="Q431" s="66">
        <f>(Q301+Q302+Q310+Q311)*'Data - P&amp;L'!$C$13</f>
        <v>0</v>
      </c>
      <c r="R431" s="66">
        <f>(R301+R302+R310+R311)*'Data - P&amp;L'!$C$13</f>
        <v>0</v>
      </c>
      <c r="S431" s="66">
        <f>(S301+S302+S310+S311)*'Data - P&amp;L'!$C$13</f>
        <v>0</v>
      </c>
      <c r="T431" s="66">
        <f>(T301+T302+T310+T311)*'Data - P&amp;L'!$C$13</f>
        <v>0</v>
      </c>
      <c r="U431" s="66">
        <f>(U301+U302+U310+U311)*'Data - P&amp;L'!$C$13</f>
        <v>0</v>
      </c>
      <c r="V431" s="66">
        <f>(V301+V302+V310+V311)*'Data - P&amp;L'!$C$13</f>
        <v>0</v>
      </c>
      <c r="W431" s="66">
        <f>(W301+W302+W310+W311)*'Data - P&amp;L'!$C$13</f>
        <v>0</v>
      </c>
      <c r="X431" s="66">
        <f>(X301+X302+X310+X311)*'Data - P&amp;L'!$C$13</f>
        <v>0</v>
      </c>
      <c r="Y431" s="66">
        <f>(Y301+Y302+Y310+Y311)*'Data - P&amp;L'!$C$13</f>
        <v>0</v>
      </c>
      <c r="Z431" s="66">
        <f>(Z301+Z302+Z310+Z311)*'Data - P&amp;L'!$C$13</f>
        <v>0</v>
      </c>
      <c r="AA431" s="66">
        <f>(AA301+AA302+AA310+AA311)*'Data - P&amp;L'!$C$13</f>
        <v>0</v>
      </c>
      <c r="AB431" s="66">
        <f>(AB301+AB302+AB310+AB311)*'Data - P&amp;L'!$C$13</f>
        <v>0</v>
      </c>
      <c r="AC431" s="66">
        <f>(AC301+AC302+AC310+AC311)*'Data - P&amp;L'!$C$13</f>
        <v>0</v>
      </c>
      <c r="AD431" s="66">
        <f>(AD301+AD302+AD310+AD311)*'Data - P&amp;L'!$C$13</f>
        <v>0</v>
      </c>
      <c r="AE431" s="66">
        <f>(AE301+AE302+AE310+AE311)*'Data - P&amp;L'!$C$13</f>
        <v>0</v>
      </c>
      <c r="AF431" s="89">
        <f t="shared" si="114"/>
        <v>0</v>
      </c>
    </row>
    <row r="432" outlineLevel="1">
      <c r="A432" s="87" t="s">
        <v>852</v>
      </c>
      <c r="B432" s="66">
        <f>(B303+B312)*'Data - P&amp;L'!$C$14</f>
        <v>0</v>
      </c>
      <c r="C432" s="66">
        <f>(C303+C312)*'Data - P&amp;L'!$C$14</f>
        <v>0</v>
      </c>
      <c r="D432" s="66">
        <f>(D303+D312)*'Data - P&amp;L'!$C$14</f>
        <v>0</v>
      </c>
      <c r="E432" s="66">
        <f>(E303+E312)*'Data - P&amp;L'!$C$14</f>
        <v>0</v>
      </c>
      <c r="F432" s="66">
        <f>(F303+F312)*'Data - P&amp;L'!$C$14</f>
        <v>0</v>
      </c>
      <c r="G432" s="66">
        <f>(G303+G312)*'Data - P&amp;L'!$C$14</f>
        <v>0</v>
      </c>
      <c r="H432" s="66">
        <f>(H303+H312)*'Data - P&amp;L'!$C$14</f>
        <v>0</v>
      </c>
      <c r="I432" s="66">
        <f>(I303+I312)*'Data - P&amp;L'!$C$14</f>
        <v>0</v>
      </c>
      <c r="J432" s="66">
        <f>(J303+J312)*'Data - P&amp;L'!$C$14</f>
        <v>0</v>
      </c>
      <c r="K432" s="66">
        <f>(K303+K312)*'Data - P&amp;L'!$C$14</f>
        <v>0</v>
      </c>
      <c r="L432" s="66">
        <f>(L303+L312)*'Data - P&amp;L'!$C$14</f>
        <v>0</v>
      </c>
      <c r="M432" s="66">
        <f>(M303+M312)*'Data - P&amp;L'!$C$14</f>
        <v>0</v>
      </c>
      <c r="N432" s="66">
        <f>(N303+N312)*'Data - P&amp;L'!$C$14</f>
        <v>0</v>
      </c>
      <c r="O432" s="66">
        <f>(O303+O312)*'Data - P&amp;L'!$C$14</f>
        <v>0</v>
      </c>
      <c r="P432" s="66">
        <f>(P303+P312)*'Data - P&amp;L'!$C$14</f>
        <v>0</v>
      </c>
      <c r="Q432" s="66">
        <f>(Q303+Q312)*'Data - P&amp;L'!$C$14</f>
        <v>0</v>
      </c>
      <c r="R432" s="66">
        <f>(R303+R312)*'Data - P&amp;L'!$C$14</f>
        <v>0</v>
      </c>
      <c r="S432" s="66">
        <f>(S303+S312)*'Data - P&amp;L'!$C$14</f>
        <v>0</v>
      </c>
      <c r="T432" s="66">
        <f>(T303+T312)*'Data - P&amp;L'!$C$14</f>
        <v>0</v>
      </c>
      <c r="U432" s="66">
        <f>(U303+U312)*'Data - P&amp;L'!$C$14</f>
        <v>0</v>
      </c>
      <c r="V432" s="66">
        <f>(V303+V312)*'Data - P&amp;L'!$C$14</f>
        <v>0</v>
      </c>
      <c r="W432" s="66">
        <f>(W303+W312)*'Data - P&amp;L'!$C$14</f>
        <v>0</v>
      </c>
      <c r="X432" s="66">
        <f>(X303+X312)*'Data - P&amp;L'!$C$14</f>
        <v>0</v>
      </c>
      <c r="Y432" s="66">
        <f>(Y303+Y312)*'Data - P&amp;L'!$C$14</f>
        <v>0</v>
      </c>
      <c r="Z432" s="66">
        <f>(Z303+Z312)*'Data - P&amp;L'!$C$14</f>
        <v>0</v>
      </c>
      <c r="AA432" s="66">
        <f>(AA303+AA312)*'Data - P&amp;L'!$C$14</f>
        <v>0</v>
      </c>
      <c r="AB432" s="66">
        <f>(AB303+AB312)*'Data - P&amp;L'!$C$14</f>
        <v>0</v>
      </c>
      <c r="AC432" s="66">
        <f>(AC303+AC312)*'Data - P&amp;L'!$C$14</f>
        <v>0</v>
      </c>
      <c r="AD432" s="66">
        <f>(AD303+AD312)*'Data - P&amp;L'!$C$14</f>
        <v>0</v>
      </c>
      <c r="AE432" s="66">
        <f>(AE303+AE312)*'Data - P&amp;L'!$C$14</f>
        <v>0</v>
      </c>
      <c r="AF432" s="89">
        <f t="shared" si="114"/>
        <v>0</v>
      </c>
    </row>
    <row r="433" outlineLevel="1">
      <c r="A433" s="87" t="s">
        <v>853</v>
      </c>
      <c r="B433" s="66">
        <f>((B313*'Data - P&amp;L'!$C$38)+(B314*'Data - P&amp;L'!$C$39))*'Data - P&amp;L'!$C$55</f>
        <v>0</v>
      </c>
      <c r="C433" s="66">
        <f>((C313*'Data - P&amp;L'!$C$38)+(C314*'Data - P&amp;L'!$C$39))*'Data - P&amp;L'!$C$55</f>
        <v>0</v>
      </c>
      <c r="D433" s="66">
        <f>((D313*'Data - P&amp;L'!$C$38)+(D314*'Data - P&amp;L'!$C$39))*'Data - P&amp;L'!$C$55</f>
        <v>13.134</v>
      </c>
      <c r="E433" s="66">
        <f>((E313*'Data - P&amp;L'!$C$38)+(E314*'Data - P&amp;L'!$C$39))*'Data - P&amp;L'!$C$55</f>
        <v>0</v>
      </c>
      <c r="F433" s="66">
        <f>((F313*'Data - P&amp;L'!$C$38)+(F314*'Data - P&amp;L'!$C$39))*'Data - P&amp;L'!$C$55</f>
        <v>0</v>
      </c>
      <c r="G433" s="66">
        <f>((G313*'Data - P&amp;L'!$C$38)+(G314*'Data - P&amp;L'!$C$39))*'Data - P&amp;L'!$C$55</f>
        <v>2.388</v>
      </c>
      <c r="H433" s="66">
        <f>((H313*'Data - P&amp;L'!$C$38)+(H314*'Data - P&amp;L'!$C$39))*'Data - P&amp;L'!$C$55</f>
        <v>2.388</v>
      </c>
      <c r="I433" s="66">
        <f>((I313*'Data - P&amp;L'!$C$38)+(I314*'Data - P&amp;L'!$C$39))*'Data - P&amp;L'!$C$55</f>
        <v>0</v>
      </c>
      <c r="J433" s="66">
        <f>((J313*'Data - P&amp;L'!$C$38)+(J314*'Data - P&amp;L'!$C$39))*'Data - P&amp;L'!$C$55</f>
        <v>4.776</v>
      </c>
      <c r="K433" s="66">
        <f>((K313*'Data - P&amp;L'!$C$38)+(K314*'Data - P&amp;L'!$C$39))*'Data - P&amp;L'!$C$55</f>
        <v>0</v>
      </c>
      <c r="L433" s="66">
        <f>((L313*'Data - P&amp;L'!$C$38)+(L314*'Data - P&amp;L'!$C$39))*'Data - P&amp;L'!$C$55</f>
        <v>0</v>
      </c>
      <c r="M433" s="66">
        <f>((M313*'Data - P&amp;L'!$C$38)+(M314*'Data - P&amp;L'!$C$39))*'Data - P&amp;L'!$C$55</f>
        <v>0</v>
      </c>
      <c r="N433" s="66">
        <f>((N313*'Data - P&amp;L'!$C$38)+(N314*'Data - P&amp;L'!$C$39))*'Data - P&amp;L'!$C$55</f>
        <v>0</v>
      </c>
      <c r="O433" s="66">
        <f>((O313*'Data - P&amp;L'!$C$38)+(O314*'Data - P&amp;L'!$C$39))*'Data - P&amp;L'!$C$55</f>
        <v>1.194</v>
      </c>
      <c r="P433" s="66">
        <f>((P313*'Data - P&amp;L'!$C$38)+(P314*'Data - P&amp;L'!$C$39))*'Data - P&amp;L'!$C$55</f>
        <v>0</v>
      </c>
      <c r="Q433" s="66">
        <f>((Q313*'Data - P&amp;L'!$C$38)+(Q314*'Data - P&amp;L'!$C$39))*'Data - P&amp;L'!$C$55</f>
        <v>0</v>
      </c>
      <c r="R433" s="66">
        <f>((R313*'Data - P&amp;L'!$C$38)+(R314*'Data - P&amp;L'!$C$39))*'Data - P&amp;L'!$C$55</f>
        <v>0</v>
      </c>
      <c r="S433" s="66">
        <f>((S313*'Data - P&amp;L'!$C$38)+(S314*'Data - P&amp;L'!$C$39))*'Data - P&amp;L'!$C$55</f>
        <v>0</v>
      </c>
      <c r="T433" s="66">
        <f>((T313*'Data - P&amp;L'!$C$38)+(T314*'Data - P&amp;L'!$C$39))*'Data - P&amp;L'!$C$55</f>
        <v>0</v>
      </c>
      <c r="U433" s="66">
        <f>((U313*'Data - P&amp;L'!$C$38)+(U314*'Data - P&amp;L'!$C$39))*'Data - P&amp;L'!$C$55</f>
        <v>0</v>
      </c>
      <c r="V433" s="66">
        <f>((V313*'Data - P&amp;L'!$C$38)+(V314*'Data - P&amp;L'!$C$39))*'Data - P&amp;L'!$C$55</f>
        <v>10.746</v>
      </c>
      <c r="W433" s="66">
        <f>((W313*'Data - P&amp;L'!$C$38)+(W314*'Data - P&amp;L'!$C$39))*'Data - P&amp;L'!$C$55</f>
        <v>10.746</v>
      </c>
      <c r="X433" s="66">
        <f>((X313*'Data - P&amp;L'!$C$38)+(X314*'Data - P&amp;L'!$C$39))*'Data - P&amp;L'!$C$55</f>
        <v>0</v>
      </c>
      <c r="Y433" s="66">
        <f>((Y313*'Data - P&amp;L'!$C$38)+(Y314*'Data - P&amp;L'!$C$39))*'Data - P&amp;L'!$C$55</f>
        <v>0</v>
      </c>
      <c r="Z433" s="66">
        <f>((Z313*'Data - P&amp;L'!$C$38)+(Z314*'Data - P&amp;L'!$C$39))*'Data - P&amp;L'!$C$55</f>
        <v>0</v>
      </c>
      <c r="AA433" s="66">
        <f>((AA313*'Data - P&amp;L'!$C$38)+(AA314*'Data - P&amp;L'!$C$39))*'Data - P&amp;L'!$C$55</f>
        <v>0</v>
      </c>
      <c r="AB433" s="66">
        <f>((AB313*'Data - P&amp;L'!$C$38)+(AB314*'Data - P&amp;L'!$C$39))*'Data - P&amp;L'!$C$55</f>
        <v>0</v>
      </c>
      <c r="AC433" s="66">
        <f>((AC313*'Data - P&amp;L'!$C$38)+(AC314*'Data - P&amp;L'!$C$39))*'Data - P&amp;L'!$C$55</f>
        <v>0</v>
      </c>
      <c r="AD433" s="66">
        <f>((AD313*'Data - P&amp;L'!$C$38)+(AD314*'Data - P&amp;L'!$C$39))*'Data - P&amp;L'!$C$55</f>
        <v>0</v>
      </c>
      <c r="AE433" s="66">
        <f>((AE313*'Data - P&amp;L'!$C$38)+(AE314*'Data - P&amp;L'!$C$39))*'Data - P&amp;L'!$C$55</f>
        <v>0</v>
      </c>
      <c r="AF433" s="89">
        <f t="shared" si="114"/>
        <v>45.372</v>
      </c>
    </row>
    <row r="434" outlineLevel="1">
      <c r="A434" s="87" t="s">
        <v>854</v>
      </c>
      <c r="B434" s="66">
        <f>((B296+B297+B298+B299)*'Data - P&amp;L'!$C$34)+((B305+B306+B307+B308)*'Data - P&amp;L'!$C$35)</f>
        <v>0</v>
      </c>
      <c r="C434" s="66">
        <f>((C296+C297+C298+C299)*'Data - P&amp;L'!$C$34)+((C305+C306+C307+C308)*'Data - P&amp;L'!$C$35)</f>
        <v>0</v>
      </c>
      <c r="D434" s="66">
        <f>((D296+D297+D298+D299)*'Data - P&amp;L'!$C$34)+((D305+D306+D307+D308)*'Data - P&amp;L'!$C$35)</f>
        <v>201.66</v>
      </c>
      <c r="E434" s="66">
        <f>((E296+E297+E298+E299)*'Data - P&amp;L'!$C$34)+((E305+E306+E307+E308)*'Data - P&amp;L'!$C$35)</f>
        <v>0</v>
      </c>
      <c r="F434" s="66">
        <f>((F296+F297+F298+F299)*'Data - P&amp;L'!$C$34)+((F305+F306+F307+F308)*'Data - P&amp;L'!$C$35)</f>
        <v>0</v>
      </c>
      <c r="G434" s="66">
        <f>((G296+G297+G298+G299)*'Data - P&amp;L'!$C$34)+((G305+G306+G307+G308)*'Data - P&amp;L'!$C$35)</f>
        <v>37.32</v>
      </c>
      <c r="H434" s="66">
        <f>((H296+H297+H298+H299)*'Data - P&amp;L'!$C$34)+((H305+H306+H307+H308)*'Data - P&amp;L'!$C$35)</f>
        <v>37.32</v>
      </c>
      <c r="I434" s="66">
        <f>((I296+I297+I298+I299)*'Data - P&amp;L'!$C$34)+((I305+I306+I307+I308)*'Data - P&amp;L'!$C$35)</f>
        <v>0</v>
      </c>
      <c r="J434" s="66">
        <f>((J296+J297+J298+J299)*'Data - P&amp;L'!$C$34)+((J305+J306+J307+J308)*'Data - P&amp;L'!$C$35)</f>
        <v>60.24</v>
      </c>
      <c r="K434" s="66">
        <f>((K296+K297+K298+K299)*'Data - P&amp;L'!$C$34)+((K305+K306+K307+K308)*'Data - P&amp;L'!$C$35)</f>
        <v>0</v>
      </c>
      <c r="L434" s="66">
        <f>((L296+L297+L298+L299)*'Data - P&amp;L'!$C$34)+((L305+L306+L307+L308)*'Data - P&amp;L'!$C$35)</f>
        <v>0</v>
      </c>
      <c r="M434" s="66">
        <f>((M296+M297+M298+M299)*'Data - P&amp;L'!$C$34)+((M305+M306+M307+M308)*'Data - P&amp;L'!$C$35)</f>
        <v>0</v>
      </c>
      <c r="N434" s="66">
        <f>((N296+N297+N298+N299)*'Data - P&amp;L'!$C$34)+((N305+N306+N307+N308)*'Data - P&amp;L'!$C$35)</f>
        <v>0</v>
      </c>
      <c r="O434" s="66">
        <f>((O296+O297+O298+O299)*'Data - P&amp;L'!$C$34)+((O305+O306+O307+O308)*'Data - P&amp;L'!$C$35)</f>
        <v>18.66</v>
      </c>
      <c r="P434" s="66">
        <f>((P296+P297+P298+P299)*'Data - P&amp;L'!$C$34)+((P305+P306+P307+P308)*'Data - P&amp;L'!$C$35)</f>
        <v>0</v>
      </c>
      <c r="Q434" s="66">
        <f>((Q296+Q297+Q298+Q299)*'Data - P&amp;L'!$C$34)+((Q305+Q306+Q307+Q308)*'Data - P&amp;L'!$C$35)</f>
        <v>0</v>
      </c>
      <c r="R434" s="66">
        <f>((R296+R297+R298+R299)*'Data - P&amp;L'!$C$34)+((R305+R306+R307+R308)*'Data - P&amp;L'!$C$35)</f>
        <v>0</v>
      </c>
      <c r="S434" s="66">
        <f>((S296+S297+S298+S299)*'Data - P&amp;L'!$C$34)+((S305+S306+S307+S308)*'Data - P&amp;L'!$C$35)</f>
        <v>0</v>
      </c>
      <c r="T434" s="66">
        <f>((T296+T297+T298+T299)*'Data - P&amp;L'!$C$34)+((T305+T306+T307+T308)*'Data - P&amp;L'!$C$35)</f>
        <v>0</v>
      </c>
      <c r="U434" s="66">
        <f>((U296+U297+U298+U299)*'Data - P&amp;L'!$C$34)+((U305+U306+U307+U308)*'Data - P&amp;L'!$C$35)</f>
        <v>0</v>
      </c>
      <c r="V434" s="66">
        <f>((V296+V297+V298+V299)*'Data - P&amp;L'!$C$34)+((V305+V306+V307+V308)*'Data - P&amp;L'!$C$35)</f>
        <v>167.94</v>
      </c>
      <c r="W434" s="66">
        <f>((W296+W297+W298+W299)*'Data - P&amp;L'!$C$34)+((W305+W306+W307+W308)*'Data - P&amp;L'!$C$35)</f>
        <v>164.34</v>
      </c>
      <c r="X434" s="66">
        <f>((X296+X297+X298+X299)*'Data - P&amp;L'!$C$34)+((X305+X306+X307+X308)*'Data - P&amp;L'!$C$35)</f>
        <v>0</v>
      </c>
      <c r="Y434" s="66">
        <f>((Y296+Y297+Y298+Y299)*'Data - P&amp;L'!$C$34)+((Y305+Y306+Y307+Y308)*'Data - P&amp;L'!$C$35)</f>
        <v>0</v>
      </c>
      <c r="Z434" s="66">
        <f>((Z296+Z297+Z298+Z299)*'Data - P&amp;L'!$C$34)+((Z305+Z306+Z307+Z308)*'Data - P&amp;L'!$C$35)</f>
        <v>0</v>
      </c>
      <c r="AA434" s="66">
        <f>((AA296+AA297+AA298+AA299)*'Data - P&amp;L'!$C$34)+((AA305+AA306+AA307+AA308)*'Data - P&amp;L'!$C$35)</f>
        <v>0</v>
      </c>
      <c r="AB434" s="66">
        <f>((AB296+AB297+AB298+AB299)*'Data - P&amp;L'!$C$34)+((AB305+AB306+AB307+AB308)*'Data - P&amp;L'!$C$35)</f>
        <v>0</v>
      </c>
      <c r="AC434" s="66">
        <f>((AC296+AC297+AC298+AC299)*'Data - P&amp;L'!$C$34)+((AC305+AC306+AC307+AC308)*'Data - P&amp;L'!$C$35)</f>
        <v>0</v>
      </c>
      <c r="AD434" s="66">
        <f>((AD296+AD297+AD298+AD299)*'Data - P&amp;L'!$C$34)+((AD305+AD306+AD307+AD308)*'Data - P&amp;L'!$C$35)</f>
        <v>0</v>
      </c>
      <c r="AE434" s="66">
        <f>((AE296+AE297+AE298+AE299)*'Data - P&amp;L'!$C$34)+((AE305+AE306+AE307+AE308)*'Data - P&amp;L'!$C$35)</f>
        <v>0</v>
      </c>
      <c r="AF434" s="89">
        <f t="shared" si="114"/>
        <v>687.48</v>
      </c>
    </row>
    <row r="435" outlineLevel="1">
      <c r="A435" s="87" t="s">
        <v>855</v>
      </c>
      <c r="B435" s="66">
        <f>((B325*'Data - P&amp;L'!$D$38)+(B336*'Data - P&amp;L'!$D$39))*'Data - P&amp;L'!$C$55</f>
        <v>0</v>
      </c>
      <c r="C435" s="66">
        <f>((C325*'Data - P&amp;L'!$D$38)+(C336*'Data - P&amp;L'!$D$39))*'Data - P&amp;L'!$C$55</f>
        <v>0</v>
      </c>
      <c r="D435" s="66">
        <f>((D325*'Data - P&amp;L'!$D$38)+(D336*'Data - P&amp;L'!$D$39))*'Data - P&amp;L'!$C$55</f>
        <v>4.45</v>
      </c>
      <c r="E435" s="66">
        <f>((E325*'Data - P&amp;L'!$D$38)+(E336*'Data - P&amp;L'!$D$39))*'Data - P&amp;L'!$C$55</f>
        <v>0</v>
      </c>
      <c r="F435" s="66">
        <f>((F325*'Data - P&amp;L'!$D$38)+(F336*'Data - P&amp;L'!$D$39))*'Data - P&amp;L'!$C$55</f>
        <v>0</v>
      </c>
      <c r="G435" s="66">
        <f>((G325*'Data - P&amp;L'!$D$38)+(G336*'Data - P&amp;L'!$D$39))*'Data - P&amp;L'!$C$55</f>
        <v>2.1525</v>
      </c>
      <c r="H435" s="66">
        <f>((H325*'Data - P&amp;L'!$D$38)+(H336*'Data - P&amp;L'!$D$39))*'Data - P&amp;L'!$C$55</f>
        <v>1.148</v>
      </c>
      <c r="I435" s="66">
        <f>((I325*'Data - P&amp;L'!$D$38)+(I336*'Data - P&amp;L'!$D$39))*'Data - P&amp;L'!$C$55</f>
        <v>0</v>
      </c>
      <c r="J435" s="66">
        <f>((J325*'Data - P&amp;L'!$D$38)+(J336*'Data - P&amp;L'!$D$39))*'Data - P&amp;L'!$C$55</f>
        <v>1.872</v>
      </c>
      <c r="K435" s="66">
        <f>((K325*'Data - P&amp;L'!$D$38)+(K336*'Data - P&amp;L'!$D$39))*'Data - P&amp;L'!$C$55</f>
        <v>0</v>
      </c>
      <c r="L435" s="66">
        <f>((L325*'Data - P&amp;L'!$D$38)+(L336*'Data - P&amp;L'!$D$39))*'Data - P&amp;L'!$C$55</f>
        <v>0</v>
      </c>
      <c r="M435" s="66">
        <f>((M325*'Data - P&amp;L'!$D$38)+(M336*'Data - P&amp;L'!$D$39))*'Data - P&amp;L'!$C$55</f>
        <v>0</v>
      </c>
      <c r="N435" s="66">
        <f>((N325*'Data - P&amp;L'!$D$38)+(N336*'Data - P&amp;L'!$D$39))*'Data - P&amp;L'!$C$55</f>
        <v>2.1535</v>
      </c>
      <c r="O435" s="66">
        <f>((O325*'Data - P&amp;L'!$D$38)+(O336*'Data - P&amp;L'!$D$39))*'Data - P&amp;L'!$C$55</f>
        <v>0</v>
      </c>
      <c r="P435" s="66">
        <f>((P325*'Data - P&amp;L'!$D$38)+(P336*'Data - P&amp;L'!$D$39))*'Data - P&amp;L'!$C$55</f>
        <v>0</v>
      </c>
      <c r="Q435" s="66">
        <f>((Q325*'Data - P&amp;L'!$D$38)+(Q336*'Data - P&amp;L'!$D$39))*'Data - P&amp;L'!$C$55</f>
        <v>0</v>
      </c>
      <c r="R435" s="66">
        <f>((R325*'Data - P&amp;L'!$D$38)+(R336*'Data - P&amp;L'!$D$39))*'Data - P&amp;L'!$C$55</f>
        <v>0</v>
      </c>
      <c r="S435" s="66">
        <f>((S325*'Data - P&amp;L'!$D$38)+(S336*'Data - P&amp;L'!$D$39))*'Data - P&amp;L'!$C$55</f>
        <v>0</v>
      </c>
      <c r="T435" s="66">
        <f>((T325*'Data - P&amp;L'!$D$38)+(T336*'Data - P&amp;L'!$D$39))*'Data - P&amp;L'!$C$55</f>
        <v>0</v>
      </c>
      <c r="U435" s="66">
        <f>((U325*'Data - P&amp;L'!$D$38)+(U336*'Data - P&amp;L'!$D$39))*'Data - P&amp;L'!$C$55</f>
        <v>0</v>
      </c>
      <c r="V435" s="66">
        <f>((V325*'Data - P&amp;L'!$D$38)+(V336*'Data - P&amp;L'!$D$39))*'Data - P&amp;L'!$C$55</f>
        <v>2.01</v>
      </c>
      <c r="W435" s="66">
        <f>((W325*'Data - P&amp;L'!$D$38)+(W336*'Data - P&amp;L'!$D$39))*'Data - P&amp;L'!$C$55</f>
        <v>2.44</v>
      </c>
      <c r="X435" s="66">
        <f>((X325*'Data - P&amp;L'!$D$38)+(X336*'Data - P&amp;L'!$D$39))*'Data - P&amp;L'!$C$55</f>
        <v>0</v>
      </c>
      <c r="Y435" s="66">
        <f>((Y325*'Data - P&amp;L'!$D$38)+(Y336*'Data - P&amp;L'!$D$39))*'Data - P&amp;L'!$C$55</f>
        <v>0</v>
      </c>
      <c r="Z435" s="66">
        <f>((Z325*'Data - P&amp;L'!$D$38)+(Z336*'Data - P&amp;L'!$D$39))*'Data - P&amp;L'!$C$55</f>
        <v>0</v>
      </c>
      <c r="AA435" s="66">
        <f>((AA325*'Data - P&amp;L'!$D$38)+(AA336*'Data - P&amp;L'!$D$39))*'Data - P&amp;L'!$C$55</f>
        <v>0</v>
      </c>
      <c r="AB435" s="66">
        <f>((AB325*'Data - P&amp;L'!$D$38)+(AB336*'Data - P&amp;L'!$D$39))*'Data - P&amp;L'!$C$55</f>
        <v>0</v>
      </c>
      <c r="AC435" s="66">
        <f>((AC325*'Data - P&amp;L'!$D$38)+(AC336*'Data - P&amp;L'!$D$39))*'Data - P&amp;L'!$C$55</f>
        <v>0</v>
      </c>
      <c r="AD435" s="66">
        <f>((AD325*'Data - P&amp;L'!$D$38)+(AD336*'Data - P&amp;L'!$D$39))*'Data - P&amp;L'!$C$55</f>
        <v>0</v>
      </c>
      <c r="AE435" s="66">
        <f>((AE325*'Data - P&amp;L'!$D$38)+(AE336*'Data - P&amp;L'!$D$39))*'Data - P&amp;L'!$C$55</f>
        <v>0</v>
      </c>
      <c r="AF435" s="89">
        <f t="shared" si="114"/>
        <v>16.226</v>
      </c>
    </row>
    <row r="436" outlineLevel="1">
      <c r="A436" s="87" t="s">
        <v>856</v>
      </c>
      <c r="B436" s="66">
        <f>(B325*'Data - P&amp;L'!$D$34)+('Data - P&amp;L'!$D$35*B336)</f>
        <v>0</v>
      </c>
      <c r="C436" s="66">
        <f>(C325*'Data - P&amp;L'!$D$34)+('Data - P&amp;L'!$D$35*C336)</f>
        <v>0</v>
      </c>
      <c r="D436" s="66">
        <f>(D325*'Data - P&amp;L'!$D$34)+('Data - P&amp;L'!$D$35*D336)</f>
        <v>378.84</v>
      </c>
      <c r="E436" s="66">
        <f>(E325*'Data - P&amp;L'!$D$34)+('Data - P&amp;L'!$D$35*E336)</f>
        <v>0</v>
      </c>
      <c r="F436" s="66">
        <f>(F325*'Data - P&amp;L'!$D$34)+('Data - P&amp;L'!$D$35*F336)</f>
        <v>0</v>
      </c>
      <c r="G436" s="66">
        <f>(G325*'Data - P&amp;L'!$D$34)+('Data - P&amp;L'!$D$35*G336)</f>
        <v>193.05</v>
      </c>
      <c r="H436" s="66">
        <f>(H325*'Data - P&amp;L'!$D$34)+('Data - P&amp;L'!$D$35*H336)</f>
        <v>102.96</v>
      </c>
      <c r="I436" s="66">
        <f>(I325*'Data - P&amp;L'!$D$34)+('Data - P&amp;L'!$D$35*I336)</f>
        <v>0</v>
      </c>
      <c r="J436" s="66">
        <f>(J325*'Data - P&amp;L'!$D$34)+('Data - P&amp;L'!$D$35*J336)</f>
        <v>80.08</v>
      </c>
      <c r="K436" s="66">
        <f>(K325*'Data - P&amp;L'!$D$34)+('Data - P&amp;L'!$D$35*K336)</f>
        <v>0</v>
      </c>
      <c r="L436" s="66">
        <f>(L325*'Data - P&amp;L'!$D$34)+('Data - P&amp;L'!$D$35*L336)</f>
        <v>0</v>
      </c>
      <c r="M436" s="66">
        <f>(M325*'Data - P&amp;L'!$D$34)+('Data - P&amp;L'!$D$35*M336)</f>
        <v>0</v>
      </c>
      <c r="N436" s="66">
        <f>(N325*'Data - P&amp;L'!$D$34)+('Data - P&amp;L'!$D$35*N336)</f>
        <v>179.63</v>
      </c>
      <c r="O436" s="66">
        <f>(O325*'Data - P&amp;L'!$D$34)+('Data - P&amp;L'!$D$35*O336)</f>
        <v>0</v>
      </c>
      <c r="P436" s="66">
        <f>(P325*'Data - P&amp;L'!$D$34)+('Data - P&amp;L'!$D$35*P336)</f>
        <v>0</v>
      </c>
      <c r="Q436" s="66">
        <f>(Q325*'Data - P&amp;L'!$D$34)+('Data - P&amp;L'!$D$35*Q336)</f>
        <v>0</v>
      </c>
      <c r="R436" s="66">
        <f>(R325*'Data - P&amp;L'!$D$34)+('Data - P&amp;L'!$D$35*R336)</f>
        <v>0</v>
      </c>
      <c r="S436" s="66">
        <f>(S325*'Data - P&amp;L'!$D$34)+('Data - P&amp;L'!$D$35*S336)</f>
        <v>0</v>
      </c>
      <c r="T436" s="66">
        <f>(T325*'Data - P&amp;L'!$D$34)+('Data - P&amp;L'!$D$35*T336)</f>
        <v>0</v>
      </c>
      <c r="U436" s="66">
        <f>(U325*'Data - P&amp;L'!$D$34)+('Data - P&amp;L'!$D$35*U336)</f>
        <v>0</v>
      </c>
      <c r="V436" s="66">
        <f>(V325*'Data - P&amp;L'!$D$34)+('Data - P&amp;L'!$D$35*V336)</f>
        <v>166.76</v>
      </c>
      <c r="W436" s="66">
        <f>(W325*'Data - P&amp;L'!$D$34)+('Data - P&amp;L'!$D$35*W336)</f>
        <v>212.08</v>
      </c>
      <c r="X436" s="66">
        <f>(X325*'Data - P&amp;L'!$D$34)+('Data - P&amp;L'!$D$35*X336)</f>
        <v>0</v>
      </c>
      <c r="Y436" s="66">
        <f>(Y325*'Data - P&amp;L'!$D$34)+('Data - P&amp;L'!$D$35*Y336)</f>
        <v>0</v>
      </c>
      <c r="Z436" s="66">
        <f>(Z325*'Data - P&amp;L'!$D$34)+('Data - P&amp;L'!$D$35*Z336)</f>
        <v>0</v>
      </c>
      <c r="AA436" s="66">
        <f>(AA325*'Data - P&amp;L'!$D$34)+('Data - P&amp;L'!$D$35*AA336)</f>
        <v>0</v>
      </c>
      <c r="AB436" s="66">
        <f>(AB325*'Data - P&amp;L'!$D$34)+('Data - P&amp;L'!$D$35*AB336)</f>
        <v>0</v>
      </c>
      <c r="AC436" s="66">
        <f>(AC325*'Data - P&amp;L'!$D$34)+('Data - P&amp;L'!$D$35*AC336)</f>
        <v>0</v>
      </c>
      <c r="AD436" s="66">
        <f>(AD325*'Data - P&amp;L'!$D$34)+('Data - P&amp;L'!$D$35*AD336)</f>
        <v>0</v>
      </c>
      <c r="AE436" s="66">
        <f>(AE325*'Data - P&amp;L'!$D$34)+('Data - P&amp;L'!$D$35*AE336)</f>
        <v>0</v>
      </c>
      <c r="AF436" s="89">
        <f t="shared" si="114"/>
        <v>1313.4</v>
      </c>
    </row>
    <row r="437" outlineLevel="1">
      <c r="A437" s="87" t="s">
        <v>857</v>
      </c>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89"/>
    </row>
    <row r="438" outlineLevel="1">
      <c r="A438" s="87" t="s">
        <v>858</v>
      </c>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89"/>
    </row>
    <row r="439" outlineLevel="1">
      <c r="A439" s="87" t="s">
        <v>859</v>
      </c>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89"/>
    </row>
    <row r="440" outlineLevel="1">
      <c r="A440" s="87" t="s">
        <v>860</v>
      </c>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89"/>
    </row>
    <row r="441">
      <c r="A441" s="364" t="s">
        <v>548</v>
      </c>
      <c r="B441" s="429"/>
      <c r="C441" s="429"/>
      <c r="D441" s="429"/>
      <c r="E441" s="429"/>
      <c r="F441" s="429"/>
      <c r="G441" s="429"/>
      <c r="H441" s="429"/>
      <c r="I441" s="429"/>
      <c r="J441" s="429"/>
      <c r="K441" s="429"/>
      <c r="L441" s="429"/>
      <c r="M441" s="429"/>
      <c r="N441" s="429"/>
      <c r="O441" s="429"/>
      <c r="P441" s="429"/>
      <c r="Q441" s="429"/>
      <c r="R441" s="429"/>
      <c r="S441" s="429"/>
      <c r="T441" s="429"/>
      <c r="U441" s="429"/>
      <c r="V441" s="429"/>
      <c r="W441" s="429"/>
      <c r="X441" s="429"/>
      <c r="Y441" s="429"/>
      <c r="Z441" s="429"/>
      <c r="AA441" s="429"/>
      <c r="AB441" s="429"/>
      <c r="AC441" s="429"/>
      <c r="AD441" s="429"/>
      <c r="AE441" s="429"/>
      <c r="AF441" s="153"/>
    </row>
    <row r="442">
      <c r="A442" s="364" t="s">
        <v>862</v>
      </c>
      <c r="B442" s="66">
        <f>(B342*'Data - P&amp;L'!$C$34)+('Data - P&amp;L'!$C$35*B343)</f>
        <v>0</v>
      </c>
      <c r="C442" s="66">
        <f>(C342*'Data - P&amp;L'!$C$34)+('Data - P&amp;L'!$C$35*C343)</f>
        <v>0</v>
      </c>
      <c r="D442" s="66">
        <f>(D342*'Data - P&amp;L'!$C$34)+('Data - P&amp;L'!$C$35*D343)</f>
        <v>0</v>
      </c>
      <c r="E442" s="66">
        <f>(E342*'Data - P&amp;L'!$C$34)+('Data - P&amp;L'!$C$35*E343)</f>
        <v>0</v>
      </c>
      <c r="F442" s="66">
        <f>(F342*'Data - P&amp;L'!$C$34)+('Data - P&amp;L'!$C$35*F343)</f>
        <v>0</v>
      </c>
      <c r="G442" s="66">
        <f>(G342*'Data - P&amp;L'!$C$34)+('Data - P&amp;L'!$C$35*G343)</f>
        <v>0</v>
      </c>
      <c r="H442" s="66">
        <f>(H342*'Data - P&amp;L'!$C$34)+('Data - P&amp;L'!$C$35*H343)</f>
        <v>373.2</v>
      </c>
      <c r="I442" s="66">
        <f>(I342*'Data - P&amp;L'!$C$34)+('Data - P&amp;L'!$C$35*I343)</f>
        <v>167.94</v>
      </c>
      <c r="J442" s="66">
        <f>(J342*'Data - P&amp;L'!$C$34)+('Data - P&amp;L'!$C$35*J343)</f>
        <v>45.18</v>
      </c>
      <c r="K442" s="66">
        <f>(K342*'Data - P&amp;L'!$C$34)+('Data - P&amp;L'!$C$35*K343)</f>
        <v>0</v>
      </c>
      <c r="L442" s="66">
        <f>(L342*'Data - P&amp;L'!$C$34)+('Data - P&amp;L'!$C$35*L343)</f>
        <v>0</v>
      </c>
      <c r="M442" s="66">
        <f>(M342*'Data - P&amp;L'!$C$34)+('Data - P&amp;L'!$C$35*M343)</f>
        <v>0</v>
      </c>
      <c r="N442" s="66">
        <f>(N342*'Data - P&amp;L'!$C$34)+('Data - P&amp;L'!$C$35*N343)</f>
        <v>0</v>
      </c>
      <c r="O442" s="66">
        <f>(O342*'Data - P&amp;L'!$C$34)+('Data - P&amp;L'!$C$35*O343)</f>
        <v>0</v>
      </c>
      <c r="P442" s="66">
        <f>(P342*'Data - P&amp;L'!$C$34)+('Data - P&amp;L'!$C$35*P343)</f>
        <v>0</v>
      </c>
      <c r="Q442" s="66">
        <f>(Q342*'Data - P&amp;L'!$C$34)+('Data - P&amp;L'!$C$35*Q343)</f>
        <v>0</v>
      </c>
      <c r="R442" s="66">
        <f>(R342*'Data - P&amp;L'!$C$34)+('Data - P&amp;L'!$C$35*R343)</f>
        <v>0</v>
      </c>
      <c r="S442" s="66">
        <f>(S342*'Data - P&amp;L'!$C$34)+('Data - P&amp;L'!$C$35*S343)</f>
        <v>0</v>
      </c>
      <c r="T442" s="66">
        <f>(T342*'Data - P&amp;L'!$C$34)+('Data - P&amp;L'!$C$35*T343)</f>
        <v>0</v>
      </c>
      <c r="U442" s="66">
        <f>(U342*'Data - P&amp;L'!$C$34)+('Data - P&amp;L'!$C$35*U343)</f>
        <v>0</v>
      </c>
      <c r="V442" s="66">
        <f>(V342*'Data - P&amp;L'!$C$34)+('Data - P&amp;L'!$C$35*V343)</f>
        <v>0</v>
      </c>
      <c r="W442" s="66">
        <f>(W342*'Data - P&amp;L'!$C$34)+('Data - P&amp;L'!$C$35*W343)</f>
        <v>262.56</v>
      </c>
      <c r="X442" s="66">
        <f>(X342*'Data - P&amp;L'!$C$34)+('Data - P&amp;L'!$C$35*X343)</f>
        <v>0</v>
      </c>
      <c r="Y442" s="66">
        <f>(Y342*'Data - P&amp;L'!$C$34)+('Data - P&amp;L'!$C$35*Y343)</f>
        <v>0</v>
      </c>
      <c r="Z442" s="66">
        <f>(Z342*'Data - P&amp;L'!$C$34)+('Data - P&amp;L'!$C$35*Z343)</f>
        <v>0</v>
      </c>
      <c r="AA442" s="66">
        <f>(AA342*'Data - P&amp;L'!$C$34)+('Data - P&amp;L'!$C$35*AA343)</f>
        <v>0</v>
      </c>
      <c r="AB442" s="66">
        <f>(AB342*'Data - P&amp;L'!$C$34)+('Data - P&amp;L'!$C$35*AB343)</f>
        <v>15.06</v>
      </c>
      <c r="AC442" s="66">
        <f>(AC342*'Data - P&amp;L'!$C$34)+('Data - P&amp;L'!$C$35*AC343)</f>
        <v>0</v>
      </c>
      <c r="AD442" s="66">
        <f>(AD342*'Data - P&amp;L'!$C$34)+('Data - P&amp;L'!$C$35*AD343)</f>
        <v>0</v>
      </c>
      <c r="AE442" s="66">
        <f>(AE342*'Data - P&amp;L'!$C$34)+('Data - P&amp;L'!$C$35*AE343)</f>
        <v>0</v>
      </c>
      <c r="AF442" s="89">
        <f t="shared" ref="AF442:AF445" si="120">SUM(B442:AE442)</f>
        <v>863.94</v>
      </c>
    </row>
    <row r="443">
      <c r="A443" s="364" t="s">
        <v>376</v>
      </c>
      <c r="B443" s="66"/>
      <c r="C443" s="66"/>
      <c r="D443" s="66"/>
      <c r="E443" s="66"/>
      <c r="F443" s="66"/>
      <c r="G443" s="66"/>
      <c r="H443" s="66"/>
      <c r="I443" s="66"/>
      <c r="J443" s="590">
        <v>0.0</v>
      </c>
      <c r="K443" s="590">
        <v>331.48</v>
      </c>
      <c r="L443" s="590">
        <v>0.0</v>
      </c>
      <c r="M443" s="590">
        <v>0.0</v>
      </c>
      <c r="N443" s="590">
        <v>0.0</v>
      </c>
      <c r="O443" s="590">
        <v>0.0</v>
      </c>
      <c r="P443" s="590">
        <v>0.0</v>
      </c>
      <c r="Q443" s="590">
        <v>0.0</v>
      </c>
      <c r="R443" s="590">
        <v>0.0</v>
      </c>
      <c r="S443" s="590">
        <v>0.0</v>
      </c>
      <c r="T443" s="590">
        <v>0.0</v>
      </c>
      <c r="U443" s="590">
        <v>0.0</v>
      </c>
      <c r="V443" s="590">
        <v>0.0</v>
      </c>
      <c r="W443" s="590">
        <v>0.0</v>
      </c>
      <c r="X443" s="590">
        <v>0.0</v>
      </c>
      <c r="Y443" s="590">
        <v>0.0</v>
      </c>
      <c r="Z443" s="590">
        <v>0.0</v>
      </c>
      <c r="AA443" s="590">
        <v>0.0</v>
      </c>
      <c r="AB443" s="590">
        <v>0.0</v>
      </c>
      <c r="AC443" s="590">
        <v>0.0</v>
      </c>
      <c r="AD443" s="590">
        <v>0.0</v>
      </c>
      <c r="AE443" s="590">
        <v>0.0</v>
      </c>
      <c r="AF443" s="89">
        <f t="shared" si="120"/>
        <v>331.48</v>
      </c>
    </row>
    <row r="444">
      <c r="A444" s="364" t="s">
        <v>866</v>
      </c>
      <c r="B444" s="66">
        <f t="shared" ref="B444:AE444" si="121">B346*15</f>
        <v>0</v>
      </c>
      <c r="C444" s="66">
        <f t="shared" si="121"/>
        <v>0</v>
      </c>
      <c r="D444" s="66">
        <f t="shared" si="121"/>
        <v>0</v>
      </c>
      <c r="E444" s="66">
        <f t="shared" si="121"/>
        <v>0</v>
      </c>
      <c r="F444" s="66">
        <f t="shared" si="121"/>
        <v>0</v>
      </c>
      <c r="G444" s="66">
        <f t="shared" si="121"/>
        <v>0</v>
      </c>
      <c r="H444" s="66">
        <f t="shared" si="121"/>
        <v>0</v>
      </c>
      <c r="I444" s="66">
        <f t="shared" si="121"/>
        <v>0</v>
      </c>
      <c r="J444" s="66">
        <f t="shared" si="121"/>
        <v>0</v>
      </c>
      <c r="K444" s="66">
        <f t="shared" si="121"/>
        <v>15</v>
      </c>
      <c r="L444" s="66">
        <f t="shared" si="121"/>
        <v>0</v>
      </c>
      <c r="M444" s="66">
        <f t="shared" si="121"/>
        <v>0</v>
      </c>
      <c r="N444" s="66">
        <f t="shared" si="121"/>
        <v>0</v>
      </c>
      <c r="O444" s="66">
        <f t="shared" si="121"/>
        <v>0</v>
      </c>
      <c r="P444" s="66">
        <f t="shared" si="121"/>
        <v>0</v>
      </c>
      <c r="Q444" s="66">
        <f t="shared" si="121"/>
        <v>0</v>
      </c>
      <c r="R444" s="66">
        <f t="shared" si="121"/>
        <v>0</v>
      </c>
      <c r="S444" s="66">
        <f t="shared" si="121"/>
        <v>0</v>
      </c>
      <c r="T444" s="66">
        <f t="shared" si="121"/>
        <v>0</v>
      </c>
      <c r="U444" s="66">
        <f t="shared" si="121"/>
        <v>0</v>
      </c>
      <c r="V444" s="66">
        <f t="shared" si="121"/>
        <v>0</v>
      </c>
      <c r="W444" s="66">
        <f t="shared" si="121"/>
        <v>0</v>
      </c>
      <c r="X444" s="66">
        <f t="shared" si="121"/>
        <v>0</v>
      </c>
      <c r="Y444" s="66">
        <f t="shared" si="121"/>
        <v>0</v>
      </c>
      <c r="Z444" s="66">
        <f t="shared" si="121"/>
        <v>0</v>
      </c>
      <c r="AA444" s="66">
        <f t="shared" si="121"/>
        <v>0</v>
      </c>
      <c r="AB444" s="66">
        <f t="shared" si="121"/>
        <v>0</v>
      </c>
      <c r="AC444" s="66">
        <f t="shared" si="121"/>
        <v>0</v>
      </c>
      <c r="AD444" s="66">
        <f t="shared" si="121"/>
        <v>0</v>
      </c>
      <c r="AE444" s="66">
        <f t="shared" si="121"/>
        <v>0</v>
      </c>
      <c r="AF444" s="89">
        <f t="shared" si="120"/>
        <v>15</v>
      </c>
    </row>
    <row r="445">
      <c r="A445" s="364" t="s">
        <v>556</v>
      </c>
      <c r="B445" s="214"/>
      <c r="C445" s="214"/>
      <c r="D445" s="214"/>
      <c r="E445" s="214"/>
      <c r="F445" s="214"/>
      <c r="G445" s="214"/>
      <c r="H445" s="214"/>
      <c r="I445" s="214"/>
      <c r="J445" s="214"/>
      <c r="K445" s="214"/>
      <c r="L445" s="214"/>
      <c r="M445" s="214"/>
      <c r="N445" s="214"/>
      <c r="O445" s="214"/>
      <c r="P445" s="214"/>
      <c r="Q445" s="379"/>
      <c r="R445" s="379"/>
      <c r="S445" s="379"/>
      <c r="T445" s="379"/>
      <c r="U445" s="379"/>
      <c r="V445" s="379"/>
      <c r="W445" s="379"/>
      <c r="X445" s="379"/>
      <c r="Y445" s="379"/>
      <c r="Z445" s="379"/>
      <c r="AA445" s="379"/>
      <c r="AB445" s="379"/>
      <c r="AC445" s="379"/>
      <c r="AD445" s="379"/>
      <c r="AE445" s="379"/>
      <c r="AF445" s="89">
        <f t="shared" si="120"/>
        <v>0</v>
      </c>
    </row>
    <row r="446">
      <c r="A446" s="4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10"/>
    </row>
    <row r="447">
      <c r="A447" s="233" t="s">
        <v>558</v>
      </c>
      <c r="B447" s="599">
        <f t="shared" ref="B447:AE447" si="122">B395+B407+B443+B444+B445</f>
        <v>689.24</v>
      </c>
      <c r="C447" s="601">
        <f t="shared" si="122"/>
        <v>1773.5</v>
      </c>
      <c r="D447" s="371">
        <f t="shared" si="122"/>
        <v>1638.45</v>
      </c>
      <c r="E447" s="602">
        <f t="shared" si="122"/>
        <v>0</v>
      </c>
      <c r="F447" s="284">
        <f t="shared" si="122"/>
        <v>0</v>
      </c>
      <c r="G447" s="603">
        <f t="shared" si="122"/>
        <v>697.73</v>
      </c>
      <c r="H447" s="164">
        <f t="shared" si="122"/>
        <v>230.94</v>
      </c>
      <c r="I447" s="260">
        <f t="shared" si="122"/>
        <v>2884.3</v>
      </c>
      <c r="J447" s="604">
        <f t="shared" si="122"/>
        <v>606.44</v>
      </c>
      <c r="K447" s="605">
        <f t="shared" si="122"/>
        <v>1183.16</v>
      </c>
      <c r="L447" s="606">
        <f t="shared" si="122"/>
        <v>0</v>
      </c>
      <c r="M447" s="607">
        <f t="shared" si="122"/>
        <v>84.2</v>
      </c>
      <c r="N447" s="608">
        <f t="shared" si="122"/>
        <v>1035.24</v>
      </c>
      <c r="O447" s="609">
        <f t="shared" si="122"/>
        <v>959.31</v>
      </c>
      <c r="P447" s="610">
        <f t="shared" si="122"/>
        <v>747.7</v>
      </c>
      <c r="Q447" s="164">
        <f t="shared" si="122"/>
        <v>723.02</v>
      </c>
      <c r="R447" s="164">
        <f t="shared" si="122"/>
        <v>271.11</v>
      </c>
      <c r="S447" s="164">
        <f t="shared" si="122"/>
        <v>1815.77</v>
      </c>
      <c r="T447" s="164">
        <f t="shared" si="122"/>
        <v>3238.08</v>
      </c>
      <c r="U447" s="164">
        <f t="shared" si="122"/>
        <v>3672.06</v>
      </c>
      <c r="V447" s="164">
        <f t="shared" si="122"/>
        <v>2781.36</v>
      </c>
      <c r="W447" s="164">
        <f t="shared" si="122"/>
        <v>2358.66</v>
      </c>
      <c r="X447" s="164">
        <f t="shared" si="122"/>
        <v>5974.36</v>
      </c>
      <c r="Y447" s="164">
        <f t="shared" si="122"/>
        <v>4920.3</v>
      </c>
      <c r="Z447" s="164">
        <f t="shared" si="122"/>
        <v>6364.7</v>
      </c>
      <c r="AA447" s="164">
        <f t="shared" si="122"/>
        <v>5470.58</v>
      </c>
      <c r="AB447" s="164">
        <f t="shared" si="122"/>
        <v>5273.07</v>
      </c>
      <c r="AC447" s="164">
        <f t="shared" si="122"/>
        <v>8687.43</v>
      </c>
      <c r="AD447" s="164">
        <f t="shared" si="122"/>
        <v>3334.91</v>
      </c>
      <c r="AE447" s="164">
        <f t="shared" si="122"/>
        <v>4103.62</v>
      </c>
      <c r="AF447" s="89">
        <f>SUM(B447:AE447)</f>
        <v>71519.24</v>
      </c>
    </row>
    <row r="448">
      <c r="A448" s="4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10"/>
    </row>
    <row r="449">
      <c r="A449" s="204" t="s">
        <v>559</v>
      </c>
      <c r="B449" s="445">
        <f t="shared" ref="B449:AE449" si="123">B383+B396+B408-B423-B442-B443-B444-B445</f>
        <v>-443.325</v>
      </c>
      <c r="C449" s="445">
        <f t="shared" si="123"/>
        <v>-1500.965</v>
      </c>
      <c r="D449" s="445">
        <f t="shared" si="123"/>
        <v>-3268.0575</v>
      </c>
      <c r="E449" s="445">
        <f t="shared" si="123"/>
        <v>0</v>
      </c>
      <c r="F449" s="445">
        <f t="shared" si="123"/>
        <v>0</v>
      </c>
      <c r="G449" s="445">
        <f t="shared" si="123"/>
        <v>-1042.863</v>
      </c>
      <c r="H449" s="445">
        <f t="shared" si="123"/>
        <v>-1086.34275</v>
      </c>
      <c r="I449" s="445">
        <f t="shared" si="123"/>
        <v>-2476.17</v>
      </c>
      <c r="J449" s="445">
        <f t="shared" si="123"/>
        <v>-1554.1635</v>
      </c>
      <c r="K449" s="445">
        <f t="shared" si="123"/>
        <v>-663.76</v>
      </c>
      <c r="L449" s="445">
        <f t="shared" si="123"/>
        <v>0</v>
      </c>
      <c r="M449" s="445">
        <f t="shared" si="123"/>
        <v>-95.48125</v>
      </c>
      <c r="N449" s="445">
        <f t="shared" si="123"/>
        <v>-1095.5725</v>
      </c>
      <c r="O449" s="445">
        <f t="shared" si="123"/>
        <v>-948.87525</v>
      </c>
      <c r="P449" s="445">
        <f t="shared" si="123"/>
        <v>-376.33875</v>
      </c>
      <c r="Q449" s="445">
        <f t="shared" si="123"/>
        <v>-564.59375</v>
      </c>
      <c r="R449" s="445">
        <f t="shared" si="123"/>
        <v>-271.335</v>
      </c>
      <c r="S449" s="445">
        <f t="shared" si="123"/>
        <v>-1843.54375</v>
      </c>
      <c r="T449" s="445">
        <f t="shared" si="123"/>
        <v>-2172.87125</v>
      </c>
      <c r="U449" s="445">
        <f t="shared" si="123"/>
        <v>-2486.5225</v>
      </c>
      <c r="V449" s="445">
        <f t="shared" si="123"/>
        <v>-2862.64175</v>
      </c>
      <c r="W449" s="445">
        <f t="shared" si="123"/>
        <v>-3184.89575</v>
      </c>
      <c r="X449" s="445">
        <f t="shared" si="123"/>
        <v>-3968.51875</v>
      </c>
      <c r="Y449" s="445">
        <f t="shared" si="123"/>
        <v>-1904.165</v>
      </c>
      <c r="Z449" s="445">
        <f t="shared" si="123"/>
        <v>-2688.535</v>
      </c>
      <c r="AA449" s="445">
        <f t="shared" si="123"/>
        <v>-2134.495</v>
      </c>
      <c r="AB449" s="445">
        <f t="shared" si="123"/>
        <v>-2160.48875</v>
      </c>
      <c r="AC449" s="445">
        <f t="shared" si="123"/>
        <v>-3696.01</v>
      </c>
      <c r="AD449" s="445">
        <f t="shared" si="123"/>
        <v>-1516.84</v>
      </c>
      <c r="AE449" s="445">
        <f t="shared" si="123"/>
        <v>-2222.24375</v>
      </c>
      <c r="AF449" s="89">
        <f>SUM(B449:AE449)</f>
        <v>-48229.6145</v>
      </c>
    </row>
    <row r="450">
      <c r="A450" s="4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10"/>
    </row>
    <row r="451">
      <c r="A451" s="4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10"/>
    </row>
    <row r="452">
      <c r="A452" s="449"/>
      <c r="B452" s="622"/>
      <c r="C452" s="622"/>
      <c r="D452" s="622"/>
      <c r="E452" s="622"/>
      <c r="F452" s="622"/>
      <c r="G452" s="622"/>
      <c r="H452" s="622"/>
      <c r="I452" s="622"/>
      <c r="J452" s="622"/>
      <c r="K452" s="622"/>
      <c r="L452" s="622"/>
      <c r="M452" s="622"/>
      <c r="N452" s="622"/>
      <c r="O452" s="622"/>
      <c r="P452" s="622"/>
      <c r="Q452" s="622"/>
      <c r="R452" s="622"/>
      <c r="S452" s="622"/>
      <c r="T452" s="622"/>
      <c r="U452" s="622"/>
      <c r="V452" s="622"/>
      <c r="W452" s="622"/>
      <c r="X452" s="622"/>
      <c r="Y452" s="622"/>
      <c r="Z452" s="622"/>
      <c r="AA452" s="622"/>
      <c r="AB452" s="622"/>
      <c r="AC452" s="622"/>
      <c r="AD452" s="622"/>
      <c r="AE452" s="622"/>
      <c r="AF452" s="624"/>
    </row>
    <row r="453">
      <c r="A453" s="233" t="s">
        <v>118</v>
      </c>
      <c r="B453" s="281"/>
      <c r="C453" s="281"/>
      <c r="D453" s="281"/>
      <c r="E453" s="281"/>
      <c r="F453" s="281"/>
      <c r="G453" s="281"/>
      <c r="H453" s="281"/>
      <c r="I453" s="281"/>
      <c r="J453" s="281"/>
      <c r="K453" s="281"/>
      <c r="L453" s="281"/>
      <c r="M453" s="281"/>
      <c r="N453" s="281"/>
      <c r="O453" s="281"/>
      <c r="P453" s="281"/>
      <c r="Q453" s="281"/>
      <c r="R453" s="281"/>
      <c r="S453" s="281"/>
      <c r="T453" s="281"/>
      <c r="U453" s="9"/>
      <c r="V453" s="9"/>
      <c r="W453" s="9"/>
      <c r="X453" s="9"/>
      <c r="Y453" s="9"/>
      <c r="Z453" s="9"/>
      <c r="AA453" s="9"/>
      <c r="AB453" s="9"/>
      <c r="AC453" s="9"/>
      <c r="AD453" s="9"/>
      <c r="AE453" s="9"/>
      <c r="AF453" s="10"/>
    </row>
    <row r="454">
      <c r="A454" s="234">
        <f>A374</f>
        <v>7000698.1</v>
      </c>
      <c r="B454" s="281"/>
      <c r="C454" s="281"/>
      <c r="D454" s="281"/>
      <c r="E454" s="281"/>
      <c r="F454" s="281"/>
      <c r="G454" s="281"/>
      <c r="H454" s="281"/>
      <c r="I454" s="281"/>
      <c r="J454" s="281"/>
      <c r="K454" s="281"/>
      <c r="L454" s="281"/>
      <c r="M454" s="281"/>
      <c r="N454" s="281"/>
      <c r="O454" s="281"/>
      <c r="P454" s="281"/>
      <c r="Q454" s="281"/>
      <c r="R454" s="281"/>
      <c r="S454" s="281"/>
      <c r="T454" s="281"/>
      <c r="U454" s="9"/>
      <c r="V454" s="9"/>
      <c r="W454" s="9"/>
      <c r="X454" s="9"/>
      <c r="Y454" s="9"/>
      <c r="Z454" s="9"/>
      <c r="AA454" s="9"/>
      <c r="AB454" s="9"/>
      <c r="AC454" s="9"/>
      <c r="AD454" s="9"/>
      <c r="AE454" s="9"/>
      <c r="AF454" s="10"/>
    </row>
    <row r="455">
      <c r="A455" s="233" t="s">
        <v>561</v>
      </c>
      <c r="B455" s="468">
        <f t="shared" ref="B455:AE455" si="124">B375+B449</f>
        <v>-8736.654868</v>
      </c>
      <c r="C455" s="468">
        <f t="shared" si="124"/>
        <v>-3838.985969</v>
      </c>
      <c r="D455" s="627">
        <f t="shared" si="124"/>
        <v>-9851.020374</v>
      </c>
      <c r="E455" s="468">
        <f t="shared" si="124"/>
        <v>-6076.766852</v>
      </c>
      <c r="F455" s="627">
        <f t="shared" si="124"/>
        <v>-1812.381124</v>
      </c>
      <c r="G455" s="468">
        <f t="shared" si="124"/>
        <v>-3737.186103</v>
      </c>
      <c r="H455" s="468">
        <f t="shared" si="124"/>
        <v>-2303.35806</v>
      </c>
      <c r="I455" s="627">
        <f t="shared" si="124"/>
        <v>-8729.759968</v>
      </c>
      <c r="J455" s="468">
        <f t="shared" si="124"/>
        <v>-11722.76775</v>
      </c>
      <c r="K455" s="468">
        <f t="shared" si="124"/>
        <v>-8726.562337</v>
      </c>
      <c r="L455" s="627">
        <f t="shared" si="124"/>
        <v>13911.39055</v>
      </c>
      <c r="M455" s="468">
        <f t="shared" si="124"/>
        <v>11251.01472</v>
      </c>
      <c r="N455" s="468">
        <f t="shared" si="124"/>
        <v>6792.997671</v>
      </c>
      <c r="O455" s="468">
        <f t="shared" si="124"/>
        <v>8043.035459</v>
      </c>
      <c r="P455" s="627">
        <f t="shared" si="124"/>
        <v>1930.676232</v>
      </c>
      <c r="Q455" s="627">
        <f t="shared" si="124"/>
        <v>150.670522</v>
      </c>
      <c r="R455" s="66">
        <f t="shared" si="124"/>
        <v>5966.440177</v>
      </c>
      <c r="S455" s="66">
        <f t="shared" si="124"/>
        <v>12715.16848</v>
      </c>
      <c r="T455" s="66">
        <f t="shared" si="124"/>
        <v>13837.2598</v>
      </c>
      <c r="U455" s="66">
        <f t="shared" si="124"/>
        <v>10015.45014</v>
      </c>
      <c r="V455" s="66">
        <f t="shared" si="124"/>
        <v>4965.520188</v>
      </c>
      <c r="W455" s="66">
        <f t="shared" si="124"/>
        <v>22907.17941</v>
      </c>
      <c r="X455" s="66">
        <f t="shared" si="124"/>
        <v>-4092.788766</v>
      </c>
      <c r="Y455" s="66">
        <f t="shared" si="124"/>
        <v>-33579.81083</v>
      </c>
      <c r="Z455" s="66">
        <f t="shared" si="124"/>
        <v>54792.52371</v>
      </c>
      <c r="AA455" s="66">
        <f t="shared" si="124"/>
        <v>15923.36743</v>
      </c>
      <c r="AB455" s="66">
        <f t="shared" si="124"/>
        <v>66738.33019</v>
      </c>
      <c r="AC455" s="66">
        <f t="shared" si="124"/>
        <v>51650.37277</v>
      </c>
      <c r="AD455" s="66">
        <f t="shared" si="124"/>
        <v>11649.88341</v>
      </c>
      <c r="AE455" s="66">
        <f t="shared" si="124"/>
        <v>24399.96981</v>
      </c>
      <c r="AF455" s="89">
        <f>SUM(B455:AE455)</f>
        <v>234433.2077</v>
      </c>
    </row>
    <row r="456">
      <c r="A456" s="234">
        <f>SUM(B455:AE455)</f>
        <v>234433.2077</v>
      </c>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89"/>
    </row>
    <row r="457">
      <c r="A457" s="233" t="s">
        <v>563</v>
      </c>
      <c r="B457" s="482">
        <f t="shared" ref="B457:AE457" si="125">B455/B50</f>
        <v>-0.0829779684</v>
      </c>
      <c r="C457" s="482">
        <f t="shared" si="125"/>
        <v>-0.03358720802</v>
      </c>
      <c r="D457" s="628">
        <f t="shared" si="125"/>
        <v>-0.08748130446</v>
      </c>
      <c r="E457" s="482">
        <f t="shared" si="125"/>
        <v>-0.04979298167</v>
      </c>
      <c r="F457" s="628">
        <f t="shared" si="125"/>
        <v>-0.01314406708</v>
      </c>
      <c r="G457" s="482">
        <f t="shared" si="125"/>
        <v>-0.02870297656</v>
      </c>
      <c r="H457" s="482">
        <f t="shared" si="125"/>
        <v>-0.0192581929</v>
      </c>
      <c r="I457" s="628">
        <f t="shared" si="125"/>
        <v>-0.07076245249</v>
      </c>
      <c r="J457" s="482">
        <f t="shared" si="125"/>
        <v>-0.08830114177</v>
      </c>
      <c r="K457" s="482">
        <f t="shared" si="125"/>
        <v>-0.06730825989</v>
      </c>
      <c r="L457" s="628">
        <f t="shared" si="125"/>
        <v>0.08142909492</v>
      </c>
      <c r="M457" s="482">
        <f t="shared" si="125"/>
        <v>0.067130568</v>
      </c>
      <c r="N457" s="482">
        <f t="shared" si="125"/>
        <v>0.04700160171</v>
      </c>
      <c r="O457" s="482">
        <f t="shared" si="125"/>
        <v>0.05331604349</v>
      </c>
      <c r="P457" s="628">
        <f t="shared" si="125"/>
        <v>0.01392309838</v>
      </c>
      <c r="Q457" s="326">
        <f t="shared" si="125"/>
        <v>0.001170711127</v>
      </c>
      <c r="R457" s="326">
        <f t="shared" si="125"/>
        <v>0.04347981469</v>
      </c>
      <c r="S457" s="326">
        <f t="shared" si="125"/>
        <v>0.07307502998</v>
      </c>
      <c r="T457" s="326">
        <f t="shared" si="125"/>
        <v>0.07501330232</v>
      </c>
      <c r="U457" s="326">
        <f t="shared" si="125"/>
        <v>0.05151958264</v>
      </c>
      <c r="V457" s="326">
        <f t="shared" si="125"/>
        <v>0.02507029772</v>
      </c>
      <c r="W457" s="326">
        <f t="shared" si="125"/>
        <v>0.078849427</v>
      </c>
      <c r="X457" s="326">
        <f t="shared" si="125"/>
        <v>-0.011686498</v>
      </c>
      <c r="Y457" s="326">
        <f t="shared" si="125"/>
        <v>-0.03527171419</v>
      </c>
      <c r="Z457" s="326">
        <f t="shared" si="125"/>
        <v>0.09296593135</v>
      </c>
      <c r="AA457" s="326">
        <f t="shared" si="125"/>
        <v>0.03597679543</v>
      </c>
      <c r="AB457" s="326">
        <f t="shared" si="125"/>
        <v>0.09818660543</v>
      </c>
      <c r="AC457" s="326">
        <f t="shared" si="125"/>
        <v>0.1076763125</v>
      </c>
      <c r="AD457" s="326">
        <f t="shared" si="125"/>
        <v>0.1113211643</v>
      </c>
      <c r="AE457" s="326">
        <f t="shared" si="125"/>
        <v>0.2572228021</v>
      </c>
      <c r="AF457" s="153"/>
    </row>
    <row r="458">
      <c r="A458" s="238">
        <f>A456/A374</f>
        <v>0.03348711862</v>
      </c>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153"/>
    </row>
    <row r="459">
      <c r="A459" s="491" t="s">
        <v>439</v>
      </c>
      <c r="B459" s="492">
        <f>Summary!B101</f>
        <v>2.799675748</v>
      </c>
      <c r="C459" s="492">
        <f>Summary!C101</f>
        <v>3.290351013</v>
      </c>
      <c r="D459" s="492">
        <f>Summary!D101</f>
        <v>2.973181949</v>
      </c>
      <c r="E459" s="492">
        <f>Summary!E101</f>
        <v>3.074768035</v>
      </c>
      <c r="F459" s="492">
        <f>Summary!F101</f>
        <v>3.491543488</v>
      </c>
      <c r="G459" s="492">
        <f>Summary!G101</f>
        <v>3.360126612</v>
      </c>
      <c r="H459" s="492">
        <f>Summary!H101</f>
        <v>3.501904419</v>
      </c>
      <c r="I459" s="492">
        <f>Summary!I101</f>
        <v>2.935492166</v>
      </c>
      <c r="J459" s="492">
        <f>Summary!J101</f>
        <v>2.70734267</v>
      </c>
      <c r="K459" s="492">
        <f>Summary!K101</f>
        <v>2.829983358</v>
      </c>
      <c r="L459" s="492">
        <f>Summary!L101</f>
        <v>4.614536409</v>
      </c>
      <c r="M459" s="492">
        <f>Summary!M101</f>
        <v>4.37510281</v>
      </c>
      <c r="N459" s="492">
        <f>Summary!N101</f>
        <v>4.060013268</v>
      </c>
      <c r="O459" s="492">
        <f>Summary!O101</f>
        <v>4.206049983</v>
      </c>
      <c r="P459" s="492">
        <f>Summary!P101</f>
        <v>3.608840288</v>
      </c>
      <c r="Q459" s="492">
        <f>Summary!Q101</f>
        <v>3.452071334</v>
      </c>
      <c r="R459" s="492">
        <f>Summary!R101</f>
        <v>4.035942292</v>
      </c>
      <c r="S459" s="492">
        <f>Summary!S101</f>
        <v>4.784300683</v>
      </c>
      <c r="T459" s="492">
        <f>Summary!T101</f>
        <v>4.449723825</v>
      </c>
      <c r="U459" s="492">
        <f>Summary!U101</f>
        <v>4.267376426</v>
      </c>
      <c r="V459" s="492">
        <f>Summary!V101</f>
        <v>4.01951115</v>
      </c>
      <c r="W459" s="492">
        <f>Summary!W101</f>
        <v>5.199918214</v>
      </c>
      <c r="X459" s="492">
        <f>Summary!X101</f>
        <v>3.44774917</v>
      </c>
      <c r="Y459" s="492">
        <f>Summary!Y101</f>
        <v>3.065231058</v>
      </c>
      <c r="Z459" s="492">
        <f>Summary!Z101</f>
        <v>5.14900163</v>
      </c>
      <c r="AA459" s="492">
        <f>Summary!AA101</f>
        <v>3.987736609</v>
      </c>
      <c r="AB459" s="492">
        <f>Summary!AB101</f>
        <v>5.106690912</v>
      </c>
      <c r="AC459" s="492">
        <f>Summary!AC101</f>
        <v>4.745299105</v>
      </c>
      <c r="AD459" s="492">
        <f>Summary!AD101</f>
        <v>2.7426862</v>
      </c>
      <c r="AE459" s="492">
        <f>Summary!AE101</f>
        <v>4.896555312</v>
      </c>
      <c r="AF459" s="451"/>
    </row>
    <row r="460">
      <c r="A460" s="49"/>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10"/>
    </row>
    <row r="461">
      <c r="A461" s="49"/>
      <c r="B461" s="281"/>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10"/>
    </row>
    <row r="462">
      <c r="A462" s="4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10"/>
    </row>
    <row r="463">
      <c r="A463" s="25" t="s">
        <v>869</v>
      </c>
      <c r="B463" s="55">
        <f t="shared" ref="B463:AE463" si="126">B375/B41</f>
        <v>-18.1871269</v>
      </c>
      <c r="C463" s="55">
        <f t="shared" si="126"/>
        <v>-4.313691825</v>
      </c>
      <c r="D463" s="55">
        <f t="shared" si="126"/>
        <v>-12.61103999</v>
      </c>
      <c r="E463" s="55">
        <f t="shared" si="126"/>
        <v>-11.21174696</v>
      </c>
      <c r="F463" s="55">
        <f t="shared" si="126"/>
        <v>-2.951760789</v>
      </c>
      <c r="G463" s="55">
        <f t="shared" si="126"/>
        <v>-4.582182148</v>
      </c>
      <c r="H463" s="55">
        <f t="shared" si="126"/>
        <v>-2.313717319</v>
      </c>
      <c r="I463" s="55">
        <f t="shared" si="126"/>
        <v>-11.62377318</v>
      </c>
      <c r="J463" s="55">
        <f t="shared" si="126"/>
        <v>-17.53207629</v>
      </c>
      <c r="K463" s="55">
        <f t="shared" si="126"/>
        <v>-14.22010994</v>
      </c>
      <c r="L463" s="55">
        <f t="shared" si="126"/>
        <v>19.81679565</v>
      </c>
      <c r="M463" s="55">
        <f t="shared" si="126"/>
        <v>14.60295492</v>
      </c>
      <c r="N463" s="55">
        <f t="shared" si="126"/>
        <v>8.049561399</v>
      </c>
      <c r="O463" s="55">
        <f t="shared" si="126"/>
        <v>14.02794182</v>
      </c>
      <c r="P463" s="55">
        <f t="shared" si="126"/>
        <v>3.877336104</v>
      </c>
      <c r="Q463" s="55">
        <f t="shared" si="126"/>
        <v>1.281835613</v>
      </c>
      <c r="R463" s="55">
        <f t="shared" si="126"/>
        <v>10.39629196</v>
      </c>
      <c r="S463" s="55">
        <f t="shared" si="126"/>
        <v>19.70055782</v>
      </c>
      <c r="T463" s="55">
        <f t="shared" si="126"/>
        <v>20.71168312</v>
      </c>
      <c r="U463" s="55">
        <f t="shared" si="126"/>
        <v>15.54971722</v>
      </c>
      <c r="V463" s="55">
        <f t="shared" si="126"/>
        <v>9.30815926</v>
      </c>
      <c r="W463" s="55">
        <f t="shared" si="126"/>
        <v>20.97433695</v>
      </c>
      <c r="X463" s="55">
        <f t="shared" si="126"/>
        <v>-0.08535028585</v>
      </c>
      <c r="Y463" s="55">
        <f t="shared" si="126"/>
        <v>-7.918911457</v>
      </c>
      <c r="Z463" s="55">
        <f t="shared" si="126"/>
        <v>23.00162414</v>
      </c>
      <c r="AA463" s="55">
        <f t="shared" si="126"/>
        <v>9.718978704</v>
      </c>
      <c r="AB463" s="55">
        <f t="shared" si="126"/>
        <v>24.22602635</v>
      </c>
      <c r="AC463" s="55">
        <f t="shared" si="126"/>
        <v>27.95271857</v>
      </c>
      <c r="AD463" s="55">
        <f t="shared" si="126"/>
        <v>38.49919126</v>
      </c>
      <c r="AE463" s="55">
        <f t="shared" si="126"/>
        <v>83.19441736</v>
      </c>
      <c r="AF463" s="631">
        <f>AF375/AF42</f>
        <v>9.413308318</v>
      </c>
    </row>
    <row r="464">
      <c r="A464" s="49"/>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632"/>
    </row>
    <row r="465">
      <c r="A465" s="25" t="s">
        <v>871</v>
      </c>
      <c r="B465" s="55">
        <f t="shared" ref="B465:AF465" si="127">B455/B42</f>
        <v>-19.15933085</v>
      </c>
      <c r="C465" s="55">
        <f t="shared" si="127"/>
        <v>-7.082999943</v>
      </c>
      <c r="D465" s="55">
        <f t="shared" si="127"/>
        <v>-18.87168654</v>
      </c>
      <c r="E465" s="55">
        <f t="shared" si="127"/>
        <v>-11.21174696</v>
      </c>
      <c r="F465" s="55">
        <f t="shared" si="127"/>
        <v>-2.951760789</v>
      </c>
      <c r="G465" s="55">
        <f t="shared" si="127"/>
        <v>-6.355758678</v>
      </c>
      <c r="H465" s="55">
        <f t="shared" si="127"/>
        <v>-4.379007718</v>
      </c>
      <c r="I465" s="55">
        <f t="shared" si="127"/>
        <v>-16.22631964</v>
      </c>
      <c r="J465" s="55">
        <f t="shared" si="127"/>
        <v>-20.21166853</v>
      </c>
      <c r="K465" s="55">
        <f t="shared" si="127"/>
        <v>-15.3907625</v>
      </c>
      <c r="L465" s="55">
        <f t="shared" si="127"/>
        <v>19.81679565</v>
      </c>
      <c r="M465" s="55">
        <f t="shared" si="127"/>
        <v>14.48007043</v>
      </c>
      <c r="N465" s="55">
        <f t="shared" si="127"/>
        <v>6.931630276</v>
      </c>
      <c r="O465" s="55">
        <f t="shared" si="127"/>
        <v>12.54763722</v>
      </c>
      <c r="P465" s="55">
        <f t="shared" si="127"/>
        <v>3.244834003</v>
      </c>
      <c r="Q465" s="55">
        <f t="shared" si="127"/>
        <v>0.2700188566</v>
      </c>
      <c r="R465" s="55">
        <f t="shared" si="127"/>
        <v>9.944066962</v>
      </c>
      <c r="S465" s="55">
        <f t="shared" si="127"/>
        <v>17.20591134</v>
      </c>
      <c r="T465" s="55">
        <f t="shared" si="127"/>
        <v>17.90072419</v>
      </c>
      <c r="U465" s="55">
        <f t="shared" si="127"/>
        <v>12.45702754</v>
      </c>
      <c r="V465" s="55">
        <f t="shared" si="127"/>
        <v>5.904304623</v>
      </c>
      <c r="W465" s="55">
        <f t="shared" si="127"/>
        <v>18.41413136</v>
      </c>
      <c r="X465" s="55">
        <f t="shared" si="127"/>
        <v>-2.810981295</v>
      </c>
      <c r="Y465" s="55">
        <f t="shared" si="127"/>
        <v>-8.394952707</v>
      </c>
      <c r="Z465" s="55">
        <f t="shared" si="127"/>
        <v>21.9257798</v>
      </c>
      <c r="AA465" s="55">
        <f t="shared" si="127"/>
        <v>8.570165464</v>
      </c>
      <c r="AB465" s="55">
        <f t="shared" si="127"/>
        <v>23.46636083</v>
      </c>
      <c r="AC465" s="55">
        <f t="shared" si="127"/>
        <v>26.08604685</v>
      </c>
      <c r="AD465" s="55">
        <f t="shared" si="127"/>
        <v>34.06398658</v>
      </c>
      <c r="AE465" s="55">
        <f t="shared" si="127"/>
        <v>76.24990564</v>
      </c>
      <c r="AF465" s="631">
        <f t="shared" si="127"/>
        <v>7.80715358</v>
      </c>
    </row>
    <row r="466">
      <c r="A466" s="4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10"/>
    </row>
    <row r="467">
      <c r="A467" s="4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10"/>
    </row>
    <row r="468">
      <c r="A468" s="4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10"/>
    </row>
    <row r="469">
      <c r="A469" s="4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10"/>
    </row>
    <row r="470">
      <c r="A470" s="4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10"/>
    </row>
    <row r="471">
      <c r="A471" s="4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10"/>
    </row>
    <row r="472">
      <c r="A472" s="4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10"/>
    </row>
    <row r="473">
      <c r="A473" s="4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10"/>
    </row>
    <row r="474">
      <c r="A474" s="4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10"/>
    </row>
    <row r="475">
      <c r="A475" s="4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10"/>
    </row>
    <row r="476">
      <c r="A476" s="4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10"/>
    </row>
    <row r="477">
      <c r="A477" s="4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10"/>
    </row>
    <row r="478">
      <c r="A478" s="4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10"/>
    </row>
    <row r="479">
      <c r="A479" s="4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10"/>
    </row>
    <row r="480">
      <c r="A480" s="4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10"/>
    </row>
    <row r="481">
      <c r="A481" s="4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10"/>
    </row>
    <row r="482">
      <c r="A482" s="4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10"/>
    </row>
    <row r="483">
      <c r="A483" s="4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10"/>
    </row>
    <row r="484">
      <c r="A484" s="4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10"/>
    </row>
    <row r="485">
      <c r="A485" s="4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10"/>
    </row>
    <row r="486">
      <c r="A486" s="4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10"/>
    </row>
    <row r="487">
      <c r="A487" s="4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10"/>
    </row>
    <row r="488">
      <c r="A488" s="4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10"/>
    </row>
    <row r="489">
      <c r="A489" s="4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10"/>
    </row>
    <row r="490">
      <c r="A490" s="4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10"/>
    </row>
    <row r="491">
      <c r="A491" s="4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10"/>
    </row>
    <row r="492">
      <c r="A492" s="4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10"/>
    </row>
    <row r="493">
      <c r="A493" s="4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10"/>
    </row>
    <row r="494">
      <c r="A494" s="4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10"/>
    </row>
    <row r="495">
      <c r="A495" s="4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10"/>
    </row>
    <row r="496">
      <c r="A496" s="4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10"/>
    </row>
    <row r="497">
      <c r="A497" s="4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10"/>
    </row>
    <row r="498">
      <c r="A498" s="4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10"/>
    </row>
    <row r="499">
      <c r="A499" s="4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10"/>
    </row>
    <row r="500">
      <c r="A500" s="4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10"/>
    </row>
    <row r="501">
      <c r="A501" s="4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10"/>
    </row>
    <row r="502">
      <c r="A502" s="4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10"/>
    </row>
    <row r="503">
      <c r="A503" s="4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10"/>
    </row>
    <row r="504">
      <c r="A504" s="4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10"/>
    </row>
    <row r="505">
      <c r="A505" s="4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10"/>
    </row>
    <row r="506">
      <c r="A506" s="4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10"/>
    </row>
    <row r="507">
      <c r="A507" s="4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10"/>
    </row>
    <row r="508">
      <c r="A508" s="4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10"/>
    </row>
    <row r="509">
      <c r="A509" s="4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10"/>
    </row>
    <row r="510">
      <c r="A510" s="4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10"/>
    </row>
    <row r="511">
      <c r="A511" s="4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10"/>
    </row>
    <row r="512">
      <c r="A512" s="4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10"/>
    </row>
    <row r="513">
      <c r="A513" s="4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10"/>
    </row>
    <row r="514">
      <c r="A514" s="4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10"/>
    </row>
    <row r="515">
      <c r="A515" s="4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10"/>
    </row>
    <row r="516">
      <c r="A516" s="4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10"/>
    </row>
    <row r="517">
      <c r="A517" s="4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10"/>
    </row>
    <row r="518">
      <c r="A518" s="4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10"/>
    </row>
    <row r="519">
      <c r="A519" s="4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10"/>
    </row>
    <row r="520">
      <c r="A520" s="4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10"/>
    </row>
    <row r="521">
      <c r="A521" s="4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10"/>
    </row>
    <row r="522">
      <c r="A522" s="4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10"/>
    </row>
    <row r="523">
      <c r="A523" s="4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10"/>
    </row>
    <row r="524">
      <c r="A524" s="4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10"/>
    </row>
    <row r="525">
      <c r="A525" s="4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10"/>
    </row>
    <row r="526">
      <c r="A526" s="4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10"/>
    </row>
    <row r="527">
      <c r="A527" s="4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10"/>
    </row>
    <row r="528">
      <c r="A528" s="4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10"/>
    </row>
    <row r="529">
      <c r="A529" s="4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10"/>
    </row>
    <row r="530">
      <c r="A530" s="4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10"/>
    </row>
    <row r="531">
      <c r="A531" s="4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10"/>
    </row>
    <row r="532">
      <c r="A532" s="4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10"/>
    </row>
    <row r="533">
      <c r="A533" s="4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10"/>
    </row>
    <row r="534">
      <c r="A534" s="4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10"/>
    </row>
    <row r="535">
      <c r="A535" s="4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10"/>
    </row>
    <row r="536">
      <c r="A536" s="4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10"/>
    </row>
    <row r="537">
      <c r="A537" s="4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10"/>
    </row>
    <row r="538">
      <c r="A538" s="4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10"/>
    </row>
    <row r="539">
      <c r="A539" s="4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10"/>
    </row>
    <row r="540">
      <c r="A540" s="4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10"/>
    </row>
    <row r="541">
      <c r="A541" s="4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10"/>
    </row>
    <row r="542">
      <c r="A542" s="4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10"/>
    </row>
    <row r="543">
      <c r="A543" s="4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10"/>
    </row>
    <row r="544">
      <c r="A544" s="4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10"/>
    </row>
    <row r="545">
      <c r="A545" s="4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10"/>
    </row>
    <row r="546">
      <c r="A546" s="4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10"/>
    </row>
    <row r="547">
      <c r="A547" s="4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10"/>
    </row>
    <row r="548">
      <c r="A548" s="4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10"/>
    </row>
    <row r="549">
      <c r="A549" s="4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10"/>
    </row>
    <row r="550">
      <c r="A550" s="4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10"/>
    </row>
    <row r="551">
      <c r="A551" s="4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10"/>
    </row>
    <row r="552">
      <c r="A552" s="4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10"/>
    </row>
    <row r="553">
      <c r="A553" s="4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10"/>
    </row>
    <row r="554">
      <c r="A554" s="4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10"/>
    </row>
    <row r="555">
      <c r="A555" s="4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10"/>
    </row>
    <row r="556">
      <c r="A556" s="4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10"/>
    </row>
    <row r="557">
      <c r="A557" s="4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10"/>
    </row>
  </sheetData>
  <conditionalFormatting sqref="B459:AE459">
    <cfRule type="colorScale" priority="1">
      <colorScale>
        <cfvo type="min"/>
        <cfvo type="max"/>
        <color rgb="FFFFFFFF"/>
        <color rgb="FF57BB8A"/>
      </colorScale>
    </cfRule>
  </conditionalFormatting>
  <conditionalFormatting sqref="B455:AE455">
    <cfRule type="cellIs" dxfId="0" priority="2" operator="greaterThan">
      <formula>0</formula>
    </cfRule>
  </conditionalFormatting>
  <conditionalFormatting sqref="B455:AE455">
    <cfRule type="cellIs" dxfId="1" priority="3" operator="lessThan">
      <formula>0</formula>
    </cfRule>
  </conditionalFormatting>
  <conditionalFormatting sqref="B457:AE457">
    <cfRule type="cellIs" dxfId="0" priority="4" operator="greaterThan">
      <formula>0</formula>
    </cfRule>
  </conditionalFormatting>
  <conditionalFormatting sqref="B457:AE457">
    <cfRule type="cellIs" dxfId="1" priority="5" operator="less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5.38"/>
    <col customWidth="1" min="32" max="32" width="14.38"/>
  </cols>
  <sheetData>
    <row r="1">
      <c r="A1" s="2" t="s">
        <v>1</v>
      </c>
      <c r="B1" s="4">
        <v>45231.0</v>
      </c>
      <c r="C1" s="4">
        <v>45232.0</v>
      </c>
      <c r="D1" s="4">
        <v>45233.0</v>
      </c>
      <c r="E1" s="4">
        <v>45234.0</v>
      </c>
      <c r="F1" s="4">
        <v>45235.0</v>
      </c>
      <c r="G1" s="4">
        <v>45236.0</v>
      </c>
      <c r="H1" s="4">
        <v>45237.0</v>
      </c>
      <c r="I1" s="4">
        <v>45238.0</v>
      </c>
      <c r="J1" s="4">
        <v>45239.0</v>
      </c>
      <c r="K1" s="4">
        <v>45240.0</v>
      </c>
      <c r="L1" s="4">
        <v>45241.0</v>
      </c>
      <c r="M1" s="4">
        <v>45242.0</v>
      </c>
      <c r="N1" s="4">
        <v>45243.0</v>
      </c>
      <c r="O1" s="4">
        <v>45244.0</v>
      </c>
      <c r="P1" s="4">
        <v>45245.0</v>
      </c>
      <c r="Q1" s="4">
        <v>45246.0</v>
      </c>
      <c r="R1" s="4">
        <v>45247.0</v>
      </c>
      <c r="S1" s="4">
        <v>45248.0</v>
      </c>
      <c r="T1" s="4">
        <v>45249.0</v>
      </c>
      <c r="U1" s="4">
        <v>45250.0</v>
      </c>
      <c r="V1" s="4">
        <v>45251.0</v>
      </c>
      <c r="W1" s="4">
        <v>45252.0</v>
      </c>
      <c r="X1" s="4">
        <v>45253.0</v>
      </c>
      <c r="Y1" s="4">
        <v>45254.0</v>
      </c>
      <c r="Z1" s="4">
        <v>45255.0</v>
      </c>
      <c r="AA1" s="4">
        <v>45256.0</v>
      </c>
      <c r="AB1" s="4">
        <v>45257.0</v>
      </c>
      <c r="AC1" s="4">
        <v>45258.0</v>
      </c>
      <c r="AD1" s="4">
        <v>45259.0</v>
      </c>
      <c r="AE1" s="4">
        <v>45260.0</v>
      </c>
      <c r="AF1" s="6"/>
    </row>
    <row r="2">
      <c r="A2" s="7" t="s">
        <v>43</v>
      </c>
      <c r="B2" s="8" t="s">
        <v>44</v>
      </c>
      <c r="C2" s="8" t="s">
        <v>45</v>
      </c>
      <c r="D2" s="8" t="s">
        <v>46</v>
      </c>
      <c r="E2" s="8" t="s">
        <v>47</v>
      </c>
      <c r="F2" s="8" t="s">
        <v>48</v>
      </c>
      <c r="G2" s="8" t="s">
        <v>49</v>
      </c>
      <c r="H2" s="8" t="s">
        <v>50</v>
      </c>
      <c r="I2" s="8" t="s">
        <v>44</v>
      </c>
      <c r="J2" s="8" t="s">
        <v>45</v>
      </c>
      <c r="K2" s="8" t="s">
        <v>46</v>
      </c>
      <c r="L2" s="8" t="s">
        <v>47</v>
      </c>
      <c r="M2" s="8" t="s">
        <v>48</v>
      </c>
      <c r="N2" s="8" t="s">
        <v>49</v>
      </c>
      <c r="O2" s="8" t="s">
        <v>50</v>
      </c>
      <c r="P2" s="8" t="s">
        <v>44</v>
      </c>
      <c r="Q2" s="8" t="s">
        <v>45</v>
      </c>
      <c r="R2" s="8" t="s">
        <v>46</v>
      </c>
      <c r="S2" s="8" t="s">
        <v>47</v>
      </c>
      <c r="T2" s="8" t="s">
        <v>48</v>
      </c>
      <c r="U2" s="8" t="s">
        <v>49</v>
      </c>
      <c r="V2" s="8" t="s">
        <v>50</v>
      </c>
      <c r="W2" s="8" t="s">
        <v>44</v>
      </c>
      <c r="X2" s="8" t="s">
        <v>45</v>
      </c>
      <c r="Y2" s="8" t="s">
        <v>46</v>
      </c>
      <c r="Z2" s="8" t="s">
        <v>47</v>
      </c>
      <c r="AA2" s="8" t="s">
        <v>48</v>
      </c>
      <c r="AB2" s="8" t="s">
        <v>49</v>
      </c>
      <c r="AC2" s="8" t="s">
        <v>50</v>
      </c>
      <c r="AD2" s="8" t="s">
        <v>44</v>
      </c>
      <c r="AE2" s="8" t="s">
        <v>45</v>
      </c>
      <c r="AF2" s="6"/>
    </row>
    <row r="3">
      <c r="A3" s="14" t="s">
        <v>60</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6"/>
    </row>
    <row r="4">
      <c r="A4" s="16" t="s">
        <v>66</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6"/>
    </row>
    <row r="5">
      <c r="A5" s="17" t="s">
        <v>70</v>
      </c>
      <c r="B5" s="21">
        <f>Summary!B59</f>
        <v>42</v>
      </c>
      <c r="C5" s="21">
        <f>Summary!C59</f>
        <v>40</v>
      </c>
      <c r="D5" s="21">
        <f>Summary!D59</f>
        <v>61</v>
      </c>
      <c r="E5" s="21">
        <f>Summary!E59</f>
        <v>58</v>
      </c>
      <c r="F5" s="21">
        <f>Summary!F59</f>
        <v>74</v>
      </c>
      <c r="G5" s="21">
        <f>Summary!G59</f>
        <v>56</v>
      </c>
      <c r="H5" s="21">
        <f>Summary!H59</f>
        <v>50</v>
      </c>
      <c r="I5" s="21">
        <f>Summary!I59</f>
        <v>65</v>
      </c>
      <c r="J5" s="21">
        <f>Summary!J59</f>
        <v>105</v>
      </c>
      <c r="K5" s="21">
        <f>Summary!K59</f>
        <v>132</v>
      </c>
      <c r="L5" s="21">
        <f>Summary!L59</f>
        <v>171</v>
      </c>
      <c r="M5" s="21">
        <f>Summary!M59</f>
        <v>171</v>
      </c>
      <c r="N5" s="21">
        <f>Summary!N59</f>
        <v>157</v>
      </c>
      <c r="O5" s="21">
        <f>Summary!O59</f>
        <v>172</v>
      </c>
      <c r="P5" s="21">
        <f>Summary!P59</f>
        <v>182</v>
      </c>
      <c r="Q5" s="21">
        <f>Summary!Q59</f>
        <v>224</v>
      </c>
      <c r="R5" s="21">
        <f>Summary!R59</f>
        <v>232</v>
      </c>
      <c r="S5" s="21">
        <f>Summary!S59</f>
        <v>287</v>
      </c>
      <c r="T5" s="21">
        <f>Summary!T59</f>
        <v>202</v>
      </c>
      <c r="U5" s="21">
        <f>Summary!U59</f>
        <v>444</v>
      </c>
      <c r="V5" s="21">
        <f>Summary!V59</f>
        <v>502</v>
      </c>
      <c r="W5" s="21">
        <f>Summary!W59</f>
        <v>576</v>
      </c>
      <c r="X5" s="21">
        <f>Summary!X59</f>
        <v>752</v>
      </c>
      <c r="Y5" s="21">
        <f>Summary!Y59</f>
        <v>2906</v>
      </c>
      <c r="Z5" s="21">
        <f>Summary!Z59</f>
        <v>1756</v>
      </c>
      <c r="AA5" s="21">
        <f>Summary!AA59</f>
        <v>1087</v>
      </c>
      <c r="AB5" s="21">
        <f>Summary!AB59</f>
        <v>332</v>
      </c>
      <c r="AC5" s="21">
        <f>Summary!AC59</f>
        <v>0</v>
      </c>
      <c r="AD5" s="21">
        <f>Summary!AD59</f>
        <v>1</v>
      </c>
      <c r="AE5" s="21">
        <f>Summary!AE59</f>
        <v>3</v>
      </c>
      <c r="AF5" s="6"/>
    </row>
    <row r="6">
      <c r="A6" s="43" t="s">
        <v>98</v>
      </c>
      <c r="B6" s="44">
        <f t="shared" ref="B6:AE6" si="1">SUM(B5)</f>
        <v>42</v>
      </c>
      <c r="C6" s="44">
        <f t="shared" si="1"/>
        <v>40</v>
      </c>
      <c r="D6" s="44">
        <f t="shared" si="1"/>
        <v>61</v>
      </c>
      <c r="E6" s="44">
        <f t="shared" si="1"/>
        <v>58</v>
      </c>
      <c r="F6" s="44">
        <f t="shared" si="1"/>
        <v>74</v>
      </c>
      <c r="G6" s="44">
        <f t="shared" si="1"/>
        <v>56</v>
      </c>
      <c r="H6" s="44">
        <f t="shared" si="1"/>
        <v>50</v>
      </c>
      <c r="I6" s="44">
        <f t="shared" si="1"/>
        <v>65</v>
      </c>
      <c r="J6" s="44">
        <f t="shared" si="1"/>
        <v>105</v>
      </c>
      <c r="K6" s="44">
        <f t="shared" si="1"/>
        <v>132</v>
      </c>
      <c r="L6" s="44">
        <f t="shared" si="1"/>
        <v>171</v>
      </c>
      <c r="M6" s="44">
        <f t="shared" si="1"/>
        <v>171</v>
      </c>
      <c r="N6" s="44">
        <f t="shared" si="1"/>
        <v>157</v>
      </c>
      <c r="O6" s="44">
        <f t="shared" si="1"/>
        <v>172</v>
      </c>
      <c r="P6" s="44">
        <f t="shared" si="1"/>
        <v>182</v>
      </c>
      <c r="Q6" s="44">
        <f t="shared" si="1"/>
        <v>224</v>
      </c>
      <c r="R6" s="44">
        <f t="shared" si="1"/>
        <v>232</v>
      </c>
      <c r="S6" s="44">
        <f t="shared" si="1"/>
        <v>287</v>
      </c>
      <c r="T6" s="44">
        <f t="shared" si="1"/>
        <v>202</v>
      </c>
      <c r="U6" s="44">
        <f t="shared" si="1"/>
        <v>444</v>
      </c>
      <c r="V6" s="44">
        <f t="shared" si="1"/>
        <v>502</v>
      </c>
      <c r="W6" s="44">
        <f t="shared" si="1"/>
        <v>576</v>
      </c>
      <c r="X6" s="44">
        <f t="shared" si="1"/>
        <v>752</v>
      </c>
      <c r="Y6" s="44">
        <f t="shared" si="1"/>
        <v>2906</v>
      </c>
      <c r="Z6" s="44">
        <f t="shared" si="1"/>
        <v>1756</v>
      </c>
      <c r="AA6" s="44">
        <f t="shared" si="1"/>
        <v>1087</v>
      </c>
      <c r="AB6" s="44">
        <f t="shared" si="1"/>
        <v>332</v>
      </c>
      <c r="AC6" s="44">
        <f t="shared" si="1"/>
        <v>0</v>
      </c>
      <c r="AD6" s="44">
        <f t="shared" si="1"/>
        <v>1</v>
      </c>
      <c r="AE6" s="44">
        <f t="shared" si="1"/>
        <v>3</v>
      </c>
      <c r="AF6" s="47">
        <f>SUM(B6:AE6)</f>
        <v>10840</v>
      </c>
    </row>
    <row r="7">
      <c r="A7" s="4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6"/>
    </row>
    <row r="8">
      <c r="A8" s="50" t="s">
        <v>105</v>
      </c>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6"/>
    </row>
    <row r="9">
      <c r="A9" s="53" t="s">
        <v>70</v>
      </c>
      <c r="B9" s="55">
        <f>Summary!B15</f>
        <v>9998.64</v>
      </c>
      <c r="C9" s="55">
        <f>Summary!C15</f>
        <v>10453.96</v>
      </c>
      <c r="D9" s="55">
        <f>Summary!D15</f>
        <v>16043.42</v>
      </c>
      <c r="E9" s="55">
        <f>Summary!E15</f>
        <v>15088.14</v>
      </c>
      <c r="F9" s="55">
        <f>Summary!F15</f>
        <v>19511.77</v>
      </c>
      <c r="G9" s="55">
        <f>Summary!G15</f>
        <v>15164.18</v>
      </c>
      <c r="H9" s="55">
        <f>Summary!H15</f>
        <v>12460.48</v>
      </c>
      <c r="I9" s="55">
        <f>Summary!I15</f>
        <v>14308.41</v>
      </c>
      <c r="J9" s="55">
        <f>Summary!J15</f>
        <v>22560.87</v>
      </c>
      <c r="K9" s="55">
        <f>Summary!K15</f>
        <v>29706.24</v>
      </c>
      <c r="L9" s="55">
        <f>Summary!L15</f>
        <v>39640</v>
      </c>
      <c r="M9" s="55">
        <f>Summary!M15</f>
        <v>37418.67</v>
      </c>
      <c r="N9" s="55">
        <f>Summary!N15</f>
        <v>37136.61</v>
      </c>
      <c r="O9" s="55">
        <f>Summary!O15</f>
        <v>39260</v>
      </c>
      <c r="P9" s="55">
        <f>Summary!P15</f>
        <v>39735.12</v>
      </c>
      <c r="Q9" s="55">
        <f>Summary!Q15</f>
        <v>46799.4</v>
      </c>
      <c r="R9" s="55">
        <f>Summary!R15</f>
        <v>51283.61</v>
      </c>
      <c r="S9" s="55">
        <f>Summary!S15</f>
        <v>60181.12</v>
      </c>
      <c r="T9" s="55">
        <f>Summary!T15</f>
        <v>42093.38</v>
      </c>
      <c r="U9" s="55">
        <f>Summary!U15</f>
        <v>97450.91</v>
      </c>
      <c r="V9" s="55">
        <f>Summary!V15</f>
        <v>108206.52</v>
      </c>
      <c r="W9" s="55">
        <f>Summary!W15</f>
        <v>122916.92</v>
      </c>
      <c r="X9" s="55">
        <f>Summary!X15</f>
        <v>161638.2</v>
      </c>
      <c r="Y9" s="55">
        <f>Summary!Y15</f>
        <v>641651.1</v>
      </c>
      <c r="Z9" s="55">
        <f>Summary!Z15</f>
        <v>393320.17</v>
      </c>
      <c r="AA9" s="55">
        <f>Summary!AA15</f>
        <v>248280.93</v>
      </c>
      <c r="AB9" s="55">
        <f>Summary!AB15</f>
        <v>78977.67</v>
      </c>
      <c r="AC9" s="55">
        <f>Summary!AC15</f>
        <v>0</v>
      </c>
      <c r="AD9" s="55">
        <f>Summary!AD15</f>
        <v>58.71</v>
      </c>
      <c r="AE9" s="55">
        <f>Summary!AE15</f>
        <v>540.1</v>
      </c>
      <c r="AF9" s="6"/>
    </row>
    <row r="10">
      <c r="A10" s="43" t="s">
        <v>98</v>
      </c>
      <c r="B10" s="60">
        <f t="shared" ref="B10:AE10" si="2">SUM(B9)</f>
        <v>9998.64</v>
      </c>
      <c r="C10" s="60">
        <f t="shared" si="2"/>
        <v>10453.96</v>
      </c>
      <c r="D10" s="60">
        <f t="shared" si="2"/>
        <v>16043.42</v>
      </c>
      <c r="E10" s="60">
        <f t="shared" si="2"/>
        <v>15088.14</v>
      </c>
      <c r="F10" s="60">
        <f t="shared" si="2"/>
        <v>19511.77</v>
      </c>
      <c r="G10" s="60">
        <f t="shared" si="2"/>
        <v>15164.18</v>
      </c>
      <c r="H10" s="60">
        <f t="shared" si="2"/>
        <v>12460.48</v>
      </c>
      <c r="I10" s="60">
        <f t="shared" si="2"/>
        <v>14308.41</v>
      </c>
      <c r="J10" s="60">
        <f t="shared" si="2"/>
        <v>22560.87</v>
      </c>
      <c r="K10" s="60">
        <f t="shared" si="2"/>
        <v>29706.24</v>
      </c>
      <c r="L10" s="60">
        <f t="shared" si="2"/>
        <v>39640</v>
      </c>
      <c r="M10" s="60">
        <f t="shared" si="2"/>
        <v>37418.67</v>
      </c>
      <c r="N10" s="60">
        <f t="shared" si="2"/>
        <v>37136.61</v>
      </c>
      <c r="O10" s="60">
        <f t="shared" si="2"/>
        <v>39260</v>
      </c>
      <c r="P10" s="60">
        <f t="shared" si="2"/>
        <v>39735.12</v>
      </c>
      <c r="Q10" s="60">
        <f t="shared" si="2"/>
        <v>46799.4</v>
      </c>
      <c r="R10" s="60">
        <f t="shared" si="2"/>
        <v>51283.61</v>
      </c>
      <c r="S10" s="60">
        <f t="shared" si="2"/>
        <v>60181.12</v>
      </c>
      <c r="T10" s="60">
        <f t="shared" si="2"/>
        <v>42093.38</v>
      </c>
      <c r="U10" s="60">
        <f t="shared" si="2"/>
        <v>97450.91</v>
      </c>
      <c r="V10" s="60">
        <f t="shared" si="2"/>
        <v>108206.52</v>
      </c>
      <c r="W10" s="60">
        <f t="shared" si="2"/>
        <v>122916.92</v>
      </c>
      <c r="X10" s="60">
        <f t="shared" si="2"/>
        <v>161638.2</v>
      </c>
      <c r="Y10" s="60">
        <f t="shared" si="2"/>
        <v>641651.1</v>
      </c>
      <c r="Z10" s="60">
        <f t="shared" si="2"/>
        <v>393320.17</v>
      </c>
      <c r="AA10" s="60">
        <f t="shared" si="2"/>
        <v>248280.93</v>
      </c>
      <c r="AB10" s="60">
        <f t="shared" si="2"/>
        <v>78977.67</v>
      </c>
      <c r="AC10" s="60">
        <f t="shared" si="2"/>
        <v>0</v>
      </c>
      <c r="AD10" s="60">
        <f t="shared" si="2"/>
        <v>58.71</v>
      </c>
      <c r="AE10" s="60">
        <f t="shared" si="2"/>
        <v>540.1</v>
      </c>
      <c r="AF10" s="62">
        <f>SUM(B10:AE10)</f>
        <v>2411885.25</v>
      </c>
    </row>
    <row r="11">
      <c r="A11" s="4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6"/>
    </row>
    <row r="12">
      <c r="A12" s="65" t="s">
        <v>111</v>
      </c>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6"/>
    </row>
    <row r="13">
      <c r="A13" s="25" t="s">
        <v>113</v>
      </c>
      <c r="B13" s="66">
        <f>Summary!B85</f>
        <v>3233.72</v>
      </c>
      <c r="C13" s="66">
        <f>Summary!C85</f>
        <v>3207.21</v>
      </c>
      <c r="D13" s="66">
        <f>Summary!D85</f>
        <v>3213.69</v>
      </c>
      <c r="E13" s="66">
        <f>Summary!E85</f>
        <v>4807.14</v>
      </c>
      <c r="F13" s="66">
        <f>Summary!F85</f>
        <v>5368.78</v>
      </c>
      <c r="G13" s="66">
        <f>Summary!G85</f>
        <v>3970.36</v>
      </c>
      <c r="H13" s="66">
        <f>Summary!H85</f>
        <v>3978.92</v>
      </c>
      <c r="I13" s="66">
        <f>Summary!I85</f>
        <v>2768.25</v>
      </c>
      <c r="J13" s="66">
        <f>Summary!J85</f>
        <v>4407.86</v>
      </c>
      <c r="K13" s="66">
        <f>Summary!K85</f>
        <v>4898.09</v>
      </c>
      <c r="L13" s="66">
        <f>Summary!L85</f>
        <v>6117.76</v>
      </c>
      <c r="M13" s="66">
        <f>Summary!M85</f>
        <v>7242.64</v>
      </c>
      <c r="N13" s="66">
        <f>Summary!N85</f>
        <v>5702.9</v>
      </c>
      <c r="O13" s="66">
        <f>Summary!O85</f>
        <v>6085.6</v>
      </c>
      <c r="P13" s="66">
        <f>Summary!P85</f>
        <v>6488.79</v>
      </c>
      <c r="Q13" s="66">
        <f>Summary!Q85</f>
        <v>7566.72</v>
      </c>
      <c r="R13" s="66">
        <f>Summary!R85</f>
        <v>9338.68</v>
      </c>
      <c r="S13" s="66">
        <f>Summary!S85</f>
        <v>11591.54</v>
      </c>
      <c r="T13" s="66">
        <f>Summary!T85</f>
        <v>11090.34</v>
      </c>
      <c r="U13" s="66">
        <f>Summary!U85</f>
        <v>17470.42</v>
      </c>
      <c r="V13" s="66">
        <f>Summary!V85</f>
        <v>19951.33</v>
      </c>
      <c r="W13" s="66">
        <f>Summary!W85</f>
        <v>22610.15</v>
      </c>
      <c r="X13" s="66">
        <f>Summary!X85</f>
        <v>28585.82</v>
      </c>
      <c r="Y13" s="66">
        <f>Summary!Y85</f>
        <v>64437.46</v>
      </c>
      <c r="Z13" s="66">
        <f>Summary!Z85</f>
        <v>37785.34</v>
      </c>
      <c r="AA13" s="66">
        <f>Summary!AA85</f>
        <v>37554.44</v>
      </c>
      <c r="AB13" s="66">
        <f>Summary!AB85</f>
        <v>3641.98</v>
      </c>
      <c r="AC13" s="66">
        <f>Summary!AC85</f>
        <v>0</v>
      </c>
      <c r="AD13" s="66">
        <f>Summary!AD85</f>
        <v>0</v>
      </c>
      <c r="AE13" s="66">
        <f>Summary!AE85</f>
        <v>433.94</v>
      </c>
      <c r="AF13" s="62">
        <f t="shared" ref="AF13:AF15" si="3">SUM(B13:AE13)</f>
        <v>343549.87</v>
      </c>
    </row>
    <row r="14">
      <c r="A14" s="25" t="s">
        <v>116</v>
      </c>
      <c r="B14" s="66">
        <f>B9*'Data - P&amp;L'!$C$48</f>
        <v>1499.796</v>
      </c>
      <c r="C14" s="66">
        <f>C9*'Data - P&amp;L'!$C$48</f>
        <v>1568.094</v>
      </c>
      <c r="D14" s="66">
        <f>D9*'Data - P&amp;L'!$C$48</f>
        <v>2406.513</v>
      </c>
      <c r="E14" s="66">
        <f>E9*'Data - P&amp;L'!$C$48</f>
        <v>2263.221</v>
      </c>
      <c r="F14" s="66">
        <f>F9*'Data - P&amp;L'!$C$48</f>
        <v>2926.7655</v>
      </c>
      <c r="G14" s="66">
        <f>G9*'Data - P&amp;L'!$C$48</f>
        <v>2274.627</v>
      </c>
      <c r="H14" s="66">
        <f>H9*'Data - P&amp;L'!$C$48</f>
        <v>1869.072</v>
      </c>
      <c r="I14" s="66">
        <f>I9*'Data - P&amp;L'!$C$48</f>
        <v>2146.2615</v>
      </c>
      <c r="J14" s="66">
        <f>J9*'Data - P&amp;L'!$C$48</f>
        <v>3384.1305</v>
      </c>
      <c r="K14" s="66">
        <f>K9*'Data - P&amp;L'!$C$48</f>
        <v>4455.936</v>
      </c>
      <c r="L14" s="66">
        <f>L9*'Data - P&amp;L'!$C$48</f>
        <v>5946</v>
      </c>
      <c r="M14" s="66">
        <f>M9*'Data - P&amp;L'!$C$48</f>
        <v>5612.8005</v>
      </c>
      <c r="N14" s="66">
        <f>N9*'Data - P&amp;L'!$C$48</f>
        <v>5570.4915</v>
      </c>
      <c r="O14" s="66">
        <f>O9*'Data - P&amp;L'!$C$48</f>
        <v>5889</v>
      </c>
      <c r="P14" s="66">
        <f>P9*'Data - P&amp;L'!$C$48</f>
        <v>5960.268</v>
      </c>
      <c r="Q14" s="66">
        <f>Q9*'Data - P&amp;L'!$C$48</f>
        <v>7019.91</v>
      </c>
      <c r="R14" s="66">
        <f>R9*'Data - P&amp;L'!$C$48</f>
        <v>7692.5415</v>
      </c>
      <c r="S14" s="66">
        <f>S9*'Data - P&amp;L'!$C$48</f>
        <v>9027.168</v>
      </c>
      <c r="T14" s="66">
        <f>T9*'Data - P&amp;L'!$C$48</f>
        <v>6314.007</v>
      </c>
      <c r="U14" s="66">
        <f>U9*'Data - P&amp;L'!$C$48</f>
        <v>14617.6365</v>
      </c>
      <c r="V14" s="66">
        <f>V9*'Data - P&amp;L'!$C$48</f>
        <v>16230.978</v>
      </c>
      <c r="W14" s="66">
        <f>W9*'Data - P&amp;L'!$C$48</f>
        <v>18437.538</v>
      </c>
      <c r="X14" s="66">
        <f>X9*'Data - P&amp;L'!$C$48</f>
        <v>24245.73</v>
      </c>
      <c r="Y14" s="66">
        <f>Y9*'Data - P&amp;L'!$C$48</f>
        <v>96247.665</v>
      </c>
      <c r="Z14" s="66">
        <f>Z9*'Data - P&amp;L'!$C$48</f>
        <v>58998.0255</v>
      </c>
      <c r="AA14" s="66">
        <f>AA9*'Data - P&amp;L'!$C$48</f>
        <v>37242.1395</v>
      </c>
      <c r="AB14" s="66">
        <f>AB9*'Data - P&amp;L'!$C$48</f>
        <v>11846.6505</v>
      </c>
      <c r="AC14" s="66">
        <f>AC9*'Data - P&amp;L'!$C$48</f>
        <v>0</v>
      </c>
      <c r="AD14" s="66">
        <f>AD9*'Data - P&amp;L'!$C$48</f>
        <v>8.8065</v>
      </c>
      <c r="AE14" s="66">
        <f>AE9*'Data - P&amp;L'!$C$48</f>
        <v>81.015</v>
      </c>
      <c r="AF14" s="62">
        <f t="shared" si="3"/>
        <v>361782.7875</v>
      </c>
    </row>
    <row r="15">
      <c r="A15" s="43" t="s">
        <v>98</v>
      </c>
      <c r="B15" s="60">
        <f t="shared" ref="B15:AE15" si="4">SUM(B13:B14)</f>
        <v>4733.516</v>
      </c>
      <c r="C15" s="60">
        <f t="shared" si="4"/>
        <v>4775.304</v>
      </c>
      <c r="D15" s="60">
        <f t="shared" si="4"/>
        <v>5620.203</v>
      </c>
      <c r="E15" s="60">
        <f t="shared" si="4"/>
        <v>7070.361</v>
      </c>
      <c r="F15" s="60">
        <f t="shared" si="4"/>
        <v>8295.5455</v>
      </c>
      <c r="G15" s="60">
        <f t="shared" si="4"/>
        <v>6244.987</v>
      </c>
      <c r="H15" s="60">
        <f t="shared" si="4"/>
        <v>5847.992</v>
      </c>
      <c r="I15" s="60">
        <f t="shared" si="4"/>
        <v>4914.5115</v>
      </c>
      <c r="J15" s="60">
        <f t="shared" si="4"/>
        <v>7791.9905</v>
      </c>
      <c r="K15" s="60">
        <f t="shared" si="4"/>
        <v>9354.026</v>
      </c>
      <c r="L15" s="60">
        <f t="shared" si="4"/>
        <v>12063.76</v>
      </c>
      <c r="M15" s="60">
        <f t="shared" si="4"/>
        <v>12855.4405</v>
      </c>
      <c r="N15" s="60">
        <f t="shared" si="4"/>
        <v>11273.3915</v>
      </c>
      <c r="O15" s="60">
        <f t="shared" si="4"/>
        <v>11974.6</v>
      </c>
      <c r="P15" s="60">
        <f t="shared" si="4"/>
        <v>12449.058</v>
      </c>
      <c r="Q15" s="60">
        <f t="shared" si="4"/>
        <v>14586.63</v>
      </c>
      <c r="R15" s="60">
        <f t="shared" si="4"/>
        <v>17031.2215</v>
      </c>
      <c r="S15" s="60">
        <f t="shared" si="4"/>
        <v>20618.708</v>
      </c>
      <c r="T15" s="60">
        <f t="shared" si="4"/>
        <v>17404.347</v>
      </c>
      <c r="U15" s="60">
        <f t="shared" si="4"/>
        <v>32088.0565</v>
      </c>
      <c r="V15" s="60">
        <f t="shared" si="4"/>
        <v>36182.308</v>
      </c>
      <c r="W15" s="60">
        <f t="shared" si="4"/>
        <v>41047.688</v>
      </c>
      <c r="X15" s="60">
        <f t="shared" si="4"/>
        <v>52831.55</v>
      </c>
      <c r="Y15" s="60">
        <f t="shared" si="4"/>
        <v>160685.125</v>
      </c>
      <c r="Z15" s="60">
        <f t="shared" si="4"/>
        <v>96783.3655</v>
      </c>
      <c r="AA15" s="60">
        <f t="shared" si="4"/>
        <v>74796.5795</v>
      </c>
      <c r="AB15" s="60">
        <f t="shared" si="4"/>
        <v>15488.6305</v>
      </c>
      <c r="AC15" s="60">
        <f t="shared" si="4"/>
        <v>0</v>
      </c>
      <c r="AD15" s="60">
        <f t="shared" si="4"/>
        <v>8.8065</v>
      </c>
      <c r="AE15" s="60">
        <f t="shared" si="4"/>
        <v>514.955</v>
      </c>
      <c r="AF15" s="62">
        <f t="shared" si="3"/>
        <v>705332.6575</v>
      </c>
    </row>
    <row r="16">
      <c r="A16" s="4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6"/>
    </row>
    <row r="17">
      <c r="A17" s="82"/>
      <c r="B17" s="83"/>
      <c r="C17" s="83"/>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6"/>
    </row>
    <row r="18">
      <c r="A18" s="4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6"/>
    </row>
    <row r="19">
      <c r="A19" s="75" t="s">
        <v>123</v>
      </c>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6"/>
    </row>
    <row r="20">
      <c r="A20" s="87" t="s">
        <v>125</v>
      </c>
      <c r="B20" s="88">
        <f>Summary!B16</f>
        <v>9193</v>
      </c>
      <c r="C20" s="88">
        <f>Summary!C16</f>
        <v>9677.76</v>
      </c>
      <c r="D20" s="88">
        <f>Summary!D16</f>
        <v>14877.86</v>
      </c>
      <c r="E20" s="88">
        <f>Summary!E16</f>
        <v>14028.38</v>
      </c>
      <c r="F20" s="88">
        <f>Summary!F16</f>
        <v>18099.43</v>
      </c>
      <c r="G20" s="88">
        <f>Summary!G16</f>
        <v>14185</v>
      </c>
      <c r="H20" s="88">
        <f>Summary!H16</f>
        <v>11584.43</v>
      </c>
      <c r="I20" s="88">
        <f>Summary!I16</f>
        <v>13067.81</v>
      </c>
      <c r="J20" s="88">
        <f>Summary!J16</f>
        <v>20859.28</v>
      </c>
      <c r="K20" s="88">
        <f>Summary!K16</f>
        <v>27638.76</v>
      </c>
      <c r="L20" s="88">
        <f>Summary!L16</f>
        <v>36779.09</v>
      </c>
      <c r="M20" s="88">
        <f>Summary!M16</f>
        <v>34737.14</v>
      </c>
      <c r="N20" s="88">
        <f>Summary!N16</f>
        <v>34577.9</v>
      </c>
      <c r="O20" s="88">
        <f>Summary!O16</f>
        <v>36524.81</v>
      </c>
      <c r="P20" s="88">
        <f>Summary!P16</f>
        <v>36879.17</v>
      </c>
      <c r="Q20" s="88">
        <f>Summary!Q16</f>
        <v>43135.38</v>
      </c>
      <c r="R20" s="88">
        <f>Summary!R16</f>
        <v>47392.32</v>
      </c>
      <c r="S20" s="88">
        <f>Summary!S16</f>
        <v>55557.25</v>
      </c>
      <c r="T20" s="88">
        <f>Summary!T16</f>
        <v>38666.59</v>
      </c>
      <c r="U20" s="88">
        <f>Summary!U16</f>
        <v>90083.38</v>
      </c>
      <c r="V20" s="88">
        <f>Summary!V16</f>
        <v>99805.68</v>
      </c>
      <c r="W20" s="88">
        <f>Summary!W16</f>
        <v>114068.3</v>
      </c>
      <c r="X20" s="88">
        <f>Summary!X16</f>
        <v>149568.42</v>
      </c>
      <c r="Y20" s="88">
        <f>Summary!Y16</f>
        <v>594889.04</v>
      </c>
      <c r="Z20" s="88">
        <f>Summary!Z16</f>
        <v>365780.37</v>
      </c>
      <c r="AA20" s="88">
        <f>Summary!AA16</f>
        <v>231202.98</v>
      </c>
      <c r="AB20" s="88">
        <f>Summary!AB16</f>
        <v>72457.99</v>
      </c>
      <c r="AC20" s="88">
        <f>Summary!AC16</f>
        <v>0</v>
      </c>
      <c r="AD20" s="88">
        <f>Summary!AD16</f>
        <v>0</v>
      </c>
      <c r="AE20" s="88">
        <f>Summary!AE16</f>
        <v>478</v>
      </c>
      <c r="AF20" s="62">
        <f t="shared" ref="AF20:AF25" si="5">SUM(B20:AE20)</f>
        <v>2235795.52</v>
      </c>
    </row>
    <row r="21">
      <c r="A21" s="87" t="s">
        <v>128</v>
      </c>
      <c r="B21" s="88">
        <f>Summary!B17</f>
        <v>144</v>
      </c>
      <c r="C21" s="88">
        <f>Summary!C17</f>
        <v>72</v>
      </c>
      <c r="D21" s="88">
        <f>Summary!D17</f>
        <v>117.6</v>
      </c>
      <c r="E21" s="88">
        <f>Summary!E17</f>
        <v>96</v>
      </c>
      <c r="F21" s="88">
        <f>Summary!F17</f>
        <v>142.8</v>
      </c>
      <c r="G21" s="88">
        <f>Summary!G17</f>
        <v>96</v>
      </c>
      <c r="H21" s="88">
        <f>Summary!H17</f>
        <v>94.8</v>
      </c>
      <c r="I21" s="88">
        <f>Summary!I17</f>
        <v>262.8</v>
      </c>
      <c r="J21" s="88">
        <f>Summary!J17</f>
        <v>216</v>
      </c>
      <c r="K21" s="88">
        <f>Summary!K17</f>
        <v>120</v>
      </c>
      <c r="L21" s="88">
        <f>Summary!L17</f>
        <v>214.8</v>
      </c>
      <c r="M21" s="88">
        <f>Summary!M17</f>
        <v>240</v>
      </c>
      <c r="N21" s="88">
        <f>Summary!N17</f>
        <v>120</v>
      </c>
      <c r="O21" s="88">
        <f>Summary!O17</f>
        <v>214.8</v>
      </c>
      <c r="P21" s="88">
        <f>Summary!P17</f>
        <v>192</v>
      </c>
      <c r="Q21" s="88">
        <f>Summary!Q17</f>
        <v>576</v>
      </c>
      <c r="R21" s="88">
        <f>Summary!R17</f>
        <v>502.8</v>
      </c>
      <c r="S21" s="88">
        <f>Summary!S17</f>
        <v>696</v>
      </c>
      <c r="T21" s="88">
        <f>Summary!T17</f>
        <v>605.9</v>
      </c>
      <c r="U21" s="88">
        <f>Summary!U17</f>
        <v>863.7</v>
      </c>
      <c r="V21" s="88">
        <f>Summary!V17</f>
        <v>976.59</v>
      </c>
      <c r="W21" s="88">
        <f>Summary!W17</f>
        <v>815.5</v>
      </c>
      <c r="X21" s="88">
        <f>Summary!X17</f>
        <v>1287.9</v>
      </c>
      <c r="Y21" s="88">
        <f>Summary!Y17</f>
        <v>3856.09</v>
      </c>
      <c r="Z21" s="88">
        <f>Summary!Z17</f>
        <v>1296</v>
      </c>
      <c r="AA21" s="88">
        <f>Summary!AA17</f>
        <v>192</v>
      </c>
      <c r="AB21" s="88">
        <f>Summary!AB17</f>
        <v>48</v>
      </c>
      <c r="AC21" s="88">
        <f>Summary!AC17</f>
        <v>0</v>
      </c>
      <c r="AD21" s="88">
        <f>Summary!AD17</f>
        <v>40</v>
      </c>
      <c r="AE21" s="88">
        <f>Summary!AE17</f>
        <v>29</v>
      </c>
      <c r="AF21" s="62">
        <f t="shared" si="5"/>
        <v>14129.08</v>
      </c>
    </row>
    <row r="22">
      <c r="A22" s="87" t="s">
        <v>131</v>
      </c>
      <c r="B22" s="88">
        <f>Summary!B18</f>
        <v>649.85</v>
      </c>
      <c r="C22" s="88">
        <f>Summary!C18</f>
        <v>696.41</v>
      </c>
      <c r="D22" s="88">
        <f>Summary!D18</f>
        <v>1038.18</v>
      </c>
      <c r="E22" s="88">
        <f>Summary!E18</f>
        <v>947.39</v>
      </c>
      <c r="F22" s="88">
        <f>Summary!F18</f>
        <v>1262.15</v>
      </c>
      <c r="G22" s="88">
        <f>Summary!G18</f>
        <v>869.71</v>
      </c>
      <c r="H22" s="88">
        <f>Summary!H18</f>
        <v>771.81</v>
      </c>
      <c r="I22" s="88">
        <f>Summary!I18</f>
        <v>963.53</v>
      </c>
      <c r="J22" s="88">
        <f>Summary!J18</f>
        <v>1442.59</v>
      </c>
      <c r="K22" s="88">
        <f>Summary!K18</f>
        <v>1915.06</v>
      </c>
      <c r="L22" s="88">
        <f>Summary!L18</f>
        <v>2629.44</v>
      </c>
      <c r="M22" s="88">
        <f>Summary!M18</f>
        <v>2388.49</v>
      </c>
      <c r="N22" s="88">
        <f>Summary!N18</f>
        <v>2399.04</v>
      </c>
      <c r="O22" s="88">
        <f>Summary!O18</f>
        <v>2510.61</v>
      </c>
      <c r="P22" s="88">
        <f>Summary!P18</f>
        <v>2616.64</v>
      </c>
      <c r="Q22" s="88">
        <f>Summary!Q18</f>
        <v>3063.65</v>
      </c>
      <c r="R22" s="88">
        <f>Summary!R18</f>
        <v>3338.55</v>
      </c>
      <c r="S22" s="88">
        <f>Summary!S18</f>
        <v>3872.14</v>
      </c>
      <c r="T22" s="88">
        <f>Summary!T18</f>
        <v>2750.01</v>
      </c>
      <c r="U22" s="88">
        <f>Summary!U18</f>
        <v>6355.92</v>
      </c>
      <c r="V22" s="88">
        <f>Summary!V18</f>
        <v>7181.12</v>
      </c>
      <c r="W22" s="88">
        <f>Summary!W18</f>
        <v>7881.51</v>
      </c>
      <c r="X22" s="88">
        <f>Summary!X18</f>
        <v>10502.78</v>
      </c>
      <c r="Y22" s="88">
        <f>Summary!Y18</f>
        <v>42104.68</v>
      </c>
      <c r="Z22" s="88">
        <f>Summary!Z18</f>
        <v>25752.03</v>
      </c>
      <c r="AA22" s="88">
        <f>Summary!AA18</f>
        <v>16557.32</v>
      </c>
      <c r="AB22" s="88">
        <f>Summary!AB18</f>
        <v>5150.32</v>
      </c>
      <c r="AC22" s="88">
        <f>Summary!AC18</f>
        <v>0</v>
      </c>
      <c r="AD22" s="88">
        <f>Summary!AD18</f>
        <v>3.71</v>
      </c>
      <c r="AE22" s="88">
        <f>Summary!AE18</f>
        <v>33.1</v>
      </c>
      <c r="AF22" s="62">
        <f t="shared" si="5"/>
        <v>157647.74</v>
      </c>
    </row>
    <row r="23">
      <c r="A23" s="87" t="s">
        <v>135</v>
      </c>
      <c r="B23" s="88">
        <f>Summary!B19</f>
        <v>11.79</v>
      </c>
      <c r="C23" s="88">
        <f>Summary!C19</f>
        <v>7.49</v>
      </c>
      <c r="D23" s="88">
        <f>Summary!D19</f>
        <v>0.5</v>
      </c>
      <c r="E23" s="88">
        <f>Summary!E19</f>
        <v>7.24</v>
      </c>
      <c r="F23" s="88">
        <f>Summary!F19</f>
        <v>2.75</v>
      </c>
      <c r="G23" s="88">
        <f>Summary!G19</f>
        <v>0</v>
      </c>
      <c r="H23" s="88">
        <f>Summary!H19</f>
        <v>0.31</v>
      </c>
      <c r="I23" s="88">
        <f>Summary!I19</f>
        <v>0.5</v>
      </c>
      <c r="J23" s="88">
        <f>Summary!J19</f>
        <v>24.14</v>
      </c>
      <c r="K23" s="88">
        <f>Summary!K19</f>
        <v>14.16</v>
      </c>
      <c r="L23" s="88">
        <f>Summary!L19</f>
        <v>2</v>
      </c>
      <c r="M23" s="88">
        <f>Summary!M19</f>
        <v>21.16</v>
      </c>
      <c r="N23" s="88">
        <f>Summary!N19</f>
        <v>25.45</v>
      </c>
      <c r="O23" s="88">
        <f>Summary!O19</f>
        <v>0.5</v>
      </c>
      <c r="P23" s="88">
        <f>Summary!P19</f>
        <v>37.43</v>
      </c>
      <c r="Q23" s="88">
        <f>Summary!Q19</f>
        <v>5.51</v>
      </c>
      <c r="R23" s="88">
        <f>Summary!R19</f>
        <v>5.39</v>
      </c>
      <c r="S23" s="88">
        <f>Summary!S19</f>
        <v>28.49</v>
      </c>
      <c r="T23" s="88">
        <f>Summary!T19</f>
        <v>61.6</v>
      </c>
      <c r="U23" s="88">
        <f>Summary!U19</f>
        <v>52.57</v>
      </c>
      <c r="V23" s="88">
        <f>Summary!V19</f>
        <v>175.38</v>
      </c>
      <c r="W23" s="88">
        <f>Summary!W19</f>
        <v>87.25</v>
      </c>
      <c r="X23" s="88">
        <f>Summary!X19</f>
        <v>155.77</v>
      </c>
      <c r="Y23" s="88">
        <f>Summary!Y19</f>
        <v>416.82</v>
      </c>
      <c r="Z23" s="88">
        <f>Summary!Z19</f>
        <v>134.4</v>
      </c>
      <c r="AA23" s="88">
        <f>Summary!AA19</f>
        <v>127.92</v>
      </c>
      <c r="AB23" s="88">
        <f>Summary!AB19</f>
        <v>1301.75</v>
      </c>
      <c r="AC23" s="88">
        <f>Summary!AC19</f>
        <v>0</v>
      </c>
      <c r="AD23" s="88">
        <f>Summary!AD19</f>
        <v>15</v>
      </c>
      <c r="AE23" s="88">
        <f>Summary!AE19</f>
        <v>0</v>
      </c>
      <c r="AF23" s="62">
        <f t="shared" si="5"/>
        <v>2723.27</v>
      </c>
    </row>
    <row r="24">
      <c r="A24" s="87" t="s">
        <v>137</v>
      </c>
      <c r="B24" s="88">
        <f>Summary!B20</f>
        <v>0</v>
      </c>
      <c r="C24" s="88">
        <f>Summary!C20</f>
        <v>0.3</v>
      </c>
      <c r="D24" s="88">
        <f>Summary!D20</f>
        <v>9.28</v>
      </c>
      <c r="E24" s="88">
        <f>Summary!E20</f>
        <v>9.13</v>
      </c>
      <c r="F24" s="88">
        <f>Summary!F20</f>
        <v>4.64</v>
      </c>
      <c r="G24" s="88">
        <f>Summary!G20</f>
        <v>13.47</v>
      </c>
      <c r="H24" s="88">
        <f>Summary!H20</f>
        <v>9.13</v>
      </c>
      <c r="I24" s="88">
        <f>Summary!I20</f>
        <v>13.77</v>
      </c>
      <c r="J24" s="88">
        <f>Summary!J20</f>
        <v>18.86</v>
      </c>
      <c r="K24" s="88">
        <f>Summary!K20</f>
        <v>18.26</v>
      </c>
      <c r="L24" s="88">
        <f>Summary!L20</f>
        <v>14.67</v>
      </c>
      <c r="M24" s="88">
        <f>Summary!M20</f>
        <v>31.88</v>
      </c>
      <c r="N24" s="88">
        <f>Summary!N20</f>
        <v>14.22</v>
      </c>
      <c r="O24" s="88">
        <f>Summary!O20</f>
        <v>9.28</v>
      </c>
      <c r="P24" s="88">
        <f>Summary!P20</f>
        <v>9.88</v>
      </c>
      <c r="Q24" s="88">
        <f>Summary!Q20</f>
        <v>18.86</v>
      </c>
      <c r="R24" s="88">
        <f>Summary!R20</f>
        <v>44.55</v>
      </c>
      <c r="S24" s="88">
        <f>Summary!S20</f>
        <v>27.24</v>
      </c>
      <c r="T24" s="88">
        <f>Summary!T20</f>
        <v>9.28</v>
      </c>
      <c r="U24" s="88">
        <f>Summary!U20</f>
        <v>95.34</v>
      </c>
      <c r="V24" s="88">
        <f>Summary!V20</f>
        <v>67.75</v>
      </c>
      <c r="W24" s="88">
        <f>Summary!W20</f>
        <v>64.36</v>
      </c>
      <c r="X24" s="88">
        <f>Summary!X20</f>
        <v>123.33</v>
      </c>
      <c r="Y24" s="88">
        <f>Summary!Y20</f>
        <v>384.47</v>
      </c>
      <c r="Z24" s="88">
        <f>Summary!Z20</f>
        <v>357.37</v>
      </c>
      <c r="AA24" s="88">
        <f>Summary!AA20</f>
        <v>200.71</v>
      </c>
      <c r="AB24" s="88">
        <f>Summary!AB20</f>
        <v>19.61</v>
      </c>
      <c r="AC24" s="88">
        <f>Summary!AC20</f>
        <v>0</v>
      </c>
      <c r="AD24" s="88">
        <f>Summary!AD20</f>
        <v>0</v>
      </c>
      <c r="AE24" s="88">
        <f>Summary!AE20</f>
        <v>0</v>
      </c>
      <c r="AF24" s="62">
        <f t="shared" si="5"/>
        <v>1589.64</v>
      </c>
    </row>
    <row r="25">
      <c r="A25" s="107" t="s">
        <v>139</v>
      </c>
      <c r="B25" s="108">
        <f t="shared" ref="B25:AE25" si="6">SUM(B20:B24)</f>
        <v>9998.64</v>
      </c>
      <c r="C25" s="108">
        <f t="shared" si="6"/>
        <v>10453.96</v>
      </c>
      <c r="D25" s="108">
        <f t="shared" si="6"/>
        <v>16043.42</v>
      </c>
      <c r="E25" s="108">
        <f t="shared" si="6"/>
        <v>15088.14</v>
      </c>
      <c r="F25" s="108">
        <f t="shared" si="6"/>
        <v>19511.77</v>
      </c>
      <c r="G25" s="108">
        <f t="shared" si="6"/>
        <v>15164.18</v>
      </c>
      <c r="H25" s="108">
        <f t="shared" si="6"/>
        <v>12460.48</v>
      </c>
      <c r="I25" s="108">
        <f t="shared" si="6"/>
        <v>14308.41</v>
      </c>
      <c r="J25" s="108">
        <f t="shared" si="6"/>
        <v>22560.87</v>
      </c>
      <c r="K25" s="108">
        <f t="shared" si="6"/>
        <v>29706.24</v>
      </c>
      <c r="L25" s="108">
        <f t="shared" si="6"/>
        <v>39640</v>
      </c>
      <c r="M25" s="108">
        <f t="shared" si="6"/>
        <v>37418.67</v>
      </c>
      <c r="N25" s="108">
        <f t="shared" si="6"/>
        <v>37136.61</v>
      </c>
      <c r="O25" s="108">
        <f t="shared" si="6"/>
        <v>39260</v>
      </c>
      <c r="P25" s="108">
        <f t="shared" si="6"/>
        <v>39735.12</v>
      </c>
      <c r="Q25" s="108">
        <f t="shared" si="6"/>
        <v>46799.4</v>
      </c>
      <c r="R25" s="108">
        <f t="shared" si="6"/>
        <v>51283.61</v>
      </c>
      <c r="S25" s="108">
        <f t="shared" si="6"/>
        <v>60181.12</v>
      </c>
      <c r="T25" s="108">
        <f t="shared" si="6"/>
        <v>42093.38</v>
      </c>
      <c r="U25" s="108">
        <f t="shared" si="6"/>
        <v>97450.91</v>
      </c>
      <c r="V25" s="108">
        <f t="shared" si="6"/>
        <v>108206.52</v>
      </c>
      <c r="W25" s="108">
        <f t="shared" si="6"/>
        <v>122916.92</v>
      </c>
      <c r="X25" s="108">
        <f t="shared" si="6"/>
        <v>161638.2</v>
      </c>
      <c r="Y25" s="108">
        <f t="shared" si="6"/>
        <v>641651.1</v>
      </c>
      <c r="Z25" s="108">
        <f t="shared" si="6"/>
        <v>393320.17</v>
      </c>
      <c r="AA25" s="108">
        <f t="shared" si="6"/>
        <v>248280.93</v>
      </c>
      <c r="AB25" s="108">
        <f t="shared" si="6"/>
        <v>78977.67</v>
      </c>
      <c r="AC25" s="108">
        <f t="shared" si="6"/>
        <v>0</v>
      </c>
      <c r="AD25" s="108">
        <f t="shared" si="6"/>
        <v>58.71</v>
      </c>
      <c r="AE25" s="108">
        <f t="shared" si="6"/>
        <v>540.1</v>
      </c>
      <c r="AF25" s="62">
        <f t="shared" si="5"/>
        <v>2411885.25</v>
      </c>
    </row>
    <row r="26">
      <c r="A26" s="4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6"/>
    </row>
    <row r="27">
      <c r="A27" s="75" t="s">
        <v>140</v>
      </c>
      <c r="B27" s="110"/>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6"/>
    </row>
    <row r="28">
      <c r="A28" s="76" t="s">
        <v>142</v>
      </c>
      <c r="B28" s="112">
        <v>10.0</v>
      </c>
      <c r="C28" s="112">
        <v>5.0</v>
      </c>
      <c r="D28" s="112">
        <v>7.0</v>
      </c>
      <c r="E28" s="112">
        <v>4.0</v>
      </c>
      <c r="F28" s="112">
        <v>6.0</v>
      </c>
      <c r="G28" s="112">
        <v>8.0</v>
      </c>
      <c r="H28" s="112">
        <v>10.0</v>
      </c>
      <c r="I28" s="112">
        <v>20.0</v>
      </c>
      <c r="J28" s="112">
        <v>24.0</v>
      </c>
      <c r="K28" s="112">
        <v>17.0</v>
      </c>
      <c r="L28" s="112">
        <v>19.0</v>
      </c>
      <c r="M28" s="112">
        <v>11.0</v>
      </c>
      <c r="N28" s="112">
        <v>20.0</v>
      </c>
      <c r="O28" s="112">
        <v>21.0</v>
      </c>
      <c r="P28" s="112">
        <v>24.0</v>
      </c>
      <c r="Q28" s="112">
        <v>17.0</v>
      </c>
      <c r="R28" s="114">
        <v>17.0</v>
      </c>
      <c r="S28" s="114">
        <v>15.0</v>
      </c>
      <c r="T28" s="114">
        <v>39.0</v>
      </c>
      <c r="U28" s="114">
        <v>0.0</v>
      </c>
      <c r="V28" s="114">
        <v>2.0</v>
      </c>
      <c r="W28" s="114">
        <v>1.0</v>
      </c>
      <c r="X28" s="114">
        <v>2.0</v>
      </c>
      <c r="Y28" s="114">
        <v>0.0</v>
      </c>
      <c r="Z28" s="114">
        <v>0.0</v>
      </c>
      <c r="AA28" s="114">
        <v>0.0</v>
      </c>
      <c r="AB28" s="115">
        <v>0.0</v>
      </c>
      <c r="AC28" s="115">
        <v>0.0</v>
      </c>
      <c r="AD28" s="115">
        <v>0.0</v>
      </c>
      <c r="AE28" s="115">
        <v>2.0</v>
      </c>
      <c r="AF28" s="116">
        <f t="shared" ref="AF28:AF32" si="7">sum(B28:AE28)</f>
        <v>301</v>
      </c>
    </row>
    <row r="29">
      <c r="A29" s="76" t="s">
        <v>145</v>
      </c>
      <c r="B29" s="112">
        <v>0.0</v>
      </c>
      <c r="C29" s="112">
        <v>0.0</v>
      </c>
      <c r="D29" s="112">
        <v>0.0</v>
      </c>
      <c r="E29" s="112">
        <v>0.0</v>
      </c>
      <c r="F29" s="112">
        <v>0.0</v>
      </c>
      <c r="G29" s="112">
        <v>3.0</v>
      </c>
      <c r="H29" s="112">
        <v>1.0</v>
      </c>
      <c r="I29" s="112">
        <v>4.0</v>
      </c>
      <c r="J29" s="112">
        <v>3.0</v>
      </c>
      <c r="K29" s="112">
        <v>2.0</v>
      </c>
      <c r="L29" s="112">
        <v>3.0</v>
      </c>
      <c r="M29" s="112">
        <v>2.0</v>
      </c>
      <c r="N29" s="112">
        <v>4.0</v>
      </c>
      <c r="O29" s="112">
        <v>1.0</v>
      </c>
      <c r="P29" s="112">
        <v>0.0</v>
      </c>
      <c r="Q29" s="112">
        <v>0.0</v>
      </c>
      <c r="R29" s="114">
        <v>0.0</v>
      </c>
      <c r="S29" s="114">
        <v>0.0</v>
      </c>
      <c r="T29" s="114">
        <v>0.0</v>
      </c>
      <c r="U29" s="114">
        <v>0.0</v>
      </c>
      <c r="V29" s="114">
        <v>0.0</v>
      </c>
      <c r="W29" s="114">
        <v>0.0</v>
      </c>
      <c r="X29" s="114">
        <v>0.0</v>
      </c>
      <c r="Y29" s="114">
        <v>1.0</v>
      </c>
      <c r="Z29" s="114">
        <v>0.0</v>
      </c>
      <c r="AA29" s="114">
        <v>0.0</v>
      </c>
      <c r="AB29" s="115">
        <v>0.0</v>
      </c>
      <c r="AC29" s="115">
        <v>0.0</v>
      </c>
      <c r="AD29" s="115">
        <v>0.0</v>
      </c>
      <c r="AE29" s="115">
        <v>0.0</v>
      </c>
      <c r="AF29" s="116">
        <f t="shared" si="7"/>
        <v>24</v>
      </c>
    </row>
    <row r="30">
      <c r="A30" s="76" t="s">
        <v>146</v>
      </c>
      <c r="B30" s="112">
        <v>27.0</v>
      </c>
      <c r="C30" s="112">
        <v>31.0</v>
      </c>
      <c r="D30" s="112">
        <v>50.0</v>
      </c>
      <c r="E30" s="112">
        <v>49.0</v>
      </c>
      <c r="F30" s="112">
        <v>58.0</v>
      </c>
      <c r="G30" s="112">
        <v>42.0</v>
      </c>
      <c r="H30" s="112">
        <v>33.0</v>
      </c>
      <c r="I30" s="112">
        <v>25.0</v>
      </c>
      <c r="J30" s="112">
        <v>56.0</v>
      </c>
      <c r="K30" s="112">
        <v>100.0</v>
      </c>
      <c r="L30" s="112">
        <v>137.0</v>
      </c>
      <c r="M30" s="112">
        <v>140.0</v>
      </c>
      <c r="N30" s="119">
        <v>127.0</v>
      </c>
      <c r="O30" s="112">
        <v>136.0</v>
      </c>
      <c r="P30" s="112">
        <v>143.0</v>
      </c>
      <c r="Q30" s="112">
        <v>181.0</v>
      </c>
      <c r="R30" s="120">
        <v>201.0</v>
      </c>
      <c r="S30" s="114">
        <v>232.0</v>
      </c>
      <c r="T30" s="114">
        <v>140.0</v>
      </c>
      <c r="U30" s="114">
        <v>430.0</v>
      </c>
      <c r="V30" s="114">
        <v>473.0</v>
      </c>
      <c r="W30" s="114">
        <v>545.0</v>
      </c>
      <c r="X30" s="114">
        <v>713.0</v>
      </c>
      <c r="Y30" s="114">
        <v>2841.0</v>
      </c>
      <c r="Z30" s="114">
        <v>1752.0</v>
      </c>
      <c r="AA30" s="114">
        <v>1107.0</v>
      </c>
      <c r="AB30" s="114">
        <v>347.0</v>
      </c>
      <c r="AC30" s="114">
        <v>0.0</v>
      </c>
      <c r="AD30" s="114">
        <v>0.0</v>
      </c>
      <c r="AE30" s="114">
        <v>0.0</v>
      </c>
      <c r="AF30" s="116">
        <f t="shared" si="7"/>
        <v>10116</v>
      </c>
    </row>
    <row r="31">
      <c r="A31" s="76" t="s">
        <v>147</v>
      </c>
      <c r="B31" s="112">
        <v>0.0</v>
      </c>
      <c r="C31" s="112">
        <v>1.0</v>
      </c>
      <c r="D31" s="112">
        <v>0.0</v>
      </c>
      <c r="E31" s="112">
        <v>1.0</v>
      </c>
      <c r="F31" s="112">
        <v>4.0</v>
      </c>
      <c r="G31" s="112">
        <v>2.0</v>
      </c>
      <c r="H31" s="112">
        <v>2.0</v>
      </c>
      <c r="I31" s="119">
        <v>9.0</v>
      </c>
      <c r="J31" s="119">
        <v>13.0</v>
      </c>
      <c r="K31" s="119">
        <v>7.0</v>
      </c>
      <c r="L31" s="119">
        <v>6.0</v>
      </c>
      <c r="M31" s="119">
        <v>7.0</v>
      </c>
      <c r="N31" s="119">
        <v>4.0</v>
      </c>
      <c r="O31" s="121">
        <v>7.0</v>
      </c>
      <c r="P31" s="119">
        <v>10.0</v>
      </c>
      <c r="Q31" s="119">
        <v>9.0</v>
      </c>
      <c r="R31" s="120">
        <v>10.0</v>
      </c>
      <c r="S31" s="120">
        <v>19.0</v>
      </c>
      <c r="T31" s="120">
        <v>1.0</v>
      </c>
      <c r="U31" s="120">
        <v>1.0</v>
      </c>
      <c r="V31" s="120">
        <v>2.0</v>
      </c>
      <c r="W31" s="120">
        <v>0.0</v>
      </c>
      <c r="X31" s="120">
        <v>2.0</v>
      </c>
      <c r="Y31" s="120">
        <v>6.0</v>
      </c>
      <c r="Z31" s="120">
        <v>0.0</v>
      </c>
      <c r="AA31" s="120">
        <v>0.0</v>
      </c>
      <c r="AB31" s="120">
        <v>0.0</v>
      </c>
      <c r="AC31" s="120">
        <v>0.0</v>
      </c>
      <c r="AD31" s="120">
        <v>0.0</v>
      </c>
      <c r="AE31" s="120">
        <v>0.0</v>
      </c>
      <c r="AF31" s="116">
        <f t="shared" si="7"/>
        <v>123</v>
      </c>
    </row>
    <row r="32">
      <c r="A32" s="93" t="s">
        <v>148</v>
      </c>
      <c r="B32" s="124">
        <f t="shared" ref="B32:AE32" si="8">SUM(B28:B31)</f>
        <v>37</v>
      </c>
      <c r="C32" s="124">
        <f t="shared" si="8"/>
        <v>37</v>
      </c>
      <c r="D32" s="124">
        <f t="shared" si="8"/>
        <v>57</v>
      </c>
      <c r="E32" s="124">
        <f t="shared" si="8"/>
        <v>54</v>
      </c>
      <c r="F32" s="124">
        <f t="shared" si="8"/>
        <v>68</v>
      </c>
      <c r="G32" s="124">
        <f t="shared" si="8"/>
        <v>55</v>
      </c>
      <c r="H32" s="124">
        <f t="shared" si="8"/>
        <v>46</v>
      </c>
      <c r="I32" s="124">
        <f t="shared" si="8"/>
        <v>58</v>
      </c>
      <c r="J32" s="124">
        <f t="shared" si="8"/>
        <v>96</v>
      </c>
      <c r="K32" s="124">
        <f t="shared" si="8"/>
        <v>126</v>
      </c>
      <c r="L32" s="124">
        <f t="shared" si="8"/>
        <v>165</v>
      </c>
      <c r="M32" s="124">
        <f t="shared" si="8"/>
        <v>160</v>
      </c>
      <c r="N32" s="124">
        <f t="shared" si="8"/>
        <v>155</v>
      </c>
      <c r="O32" s="124">
        <f t="shared" si="8"/>
        <v>165</v>
      </c>
      <c r="P32" s="124">
        <f t="shared" si="8"/>
        <v>177</v>
      </c>
      <c r="Q32" s="124">
        <f t="shared" si="8"/>
        <v>207</v>
      </c>
      <c r="R32" s="124">
        <f t="shared" si="8"/>
        <v>228</v>
      </c>
      <c r="S32" s="124">
        <f t="shared" si="8"/>
        <v>266</v>
      </c>
      <c r="T32" s="124">
        <f t="shared" si="8"/>
        <v>180</v>
      </c>
      <c r="U32" s="124">
        <f t="shared" si="8"/>
        <v>431</v>
      </c>
      <c r="V32" s="124">
        <f t="shared" si="8"/>
        <v>477</v>
      </c>
      <c r="W32" s="124">
        <f t="shared" si="8"/>
        <v>546</v>
      </c>
      <c r="X32" s="124">
        <f t="shared" si="8"/>
        <v>717</v>
      </c>
      <c r="Y32" s="124">
        <f t="shared" si="8"/>
        <v>2848</v>
      </c>
      <c r="Z32" s="124">
        <f t="shared" si="8"/>
        <v>1752</v>
      </c>
      <c r="AA32" s="124">
        <f t="shared" si="8"/>
        <v>1107</v>
      </c>
      <c r="AB32" s="124">
        <f t="shared" si="8"/>
        <v>347</v>
      </c>
      <c r="AC32" s="124">
        <f t="shared" si="8"/>
        <v>0</v>
      </c>
      <c r="AD32" s="124">
        <f t="shared" si="8"/>
        <v>0</v>
      </c>
      <c r="AE32" s="124">
        <f t="shared" si="8"/>
        <v>2</v>
      </c>
      <c r="AF32" s="125">
        <f t="shared" si="7"/>
        <v>10564</v>
      </c>
    </row>
    <row r="33">
      <c r="A33" s="49"/>
      <c r="B33" s="110"/>
      <c r="C33" s="110"/>
      <c r="D33" s="110"/>
      <c r="E33" s="110"/>
      <c r="F33" s="110"/>
      <c r="G33" s="110"/>
      <c r="H33" s="110"/>
      <c r="I33" s="110"/>
      <c r="J33" s="9"/>
      <c r="K33" s="9"/>
      <c r="L33" s="9"/>
      <c r="M33" s="9"/>
      <c r="N33" s="9"/>
      <c r="O33" s="9"/>
      <c r="P33" s="9"/>
      <c r="Q33" s="9"/>
      <c r="R33" s="9"/>
      <c r="S33" s="9"/>
      <c r="T33" s="9"/>
      <c r="U33" s="9"/>
      <c r="V33" s="9"/>
      <c r="W33" s="9"/>
      <c r="X33" s="9"/>
      <c r="Y33" s="9"/>
      <c r="Z33" s="9"/>
      <c r="AA33" s="9"/>
      <c r="AB33" s="9"/>
      <c r="AC33" s="9"/>
      <c r="AD33" s="9"/>
      <c r="AE33" s="9"/>
      <c r="AF33" s="6"/>
    </row>
    <row r="34">
      <c r="A34" s="76" t="s">
        <v>150</v>
      </c>
      <c r="B34" s="112">
        <v>6.0</v>
      </c>
      <c r="C34" s="112">
        <v>3.0</v>
      </c>
      <c r="D34" s="112">
        <v>5.0</v>
      </c>
      <c r="E34" s="112">
        <v>4.0</v>
      </c>
      <c r="F34" s="112">
        <v>6.0</v>
      </c>
      <c r="G34" s="112">
        <v>4.0</v>
      </c>
      <c r="H34" s="112">
        <v>4.0</v>
      </c>
      <c r="I34" s="112">
        <v>11.0</v>
      </c>
      <c r="J34" s="112">
        <v>9.0</v>
      </c>
      <c r="K34" s="112">
        <v>7.0</v>
      </c>
      <c r="L34" s="112">
        <v>9.0</v>
      </c>
      <c r="M34" s="119">
        <v>11.0</v>
      </c>
      <c r="N34" s="119">
        <v>6.0</v>
      </c>
      <c r="O34" s="119">
        <v>9.0</v>
      </c>
      <c r="P34" s="119">
        <v>8.0</v>
      </c>
      <c r="Q34" s="119">
        <v>24.0</v>
      </c>
      <c r="R34" s="120">
        <v>21.0</v>
      </c>
      <c r="S34" s="120">
        <v>29.0</v>
      </c>
      <c r="T34" s="120">
        <v>28.0</v>
      </c>
      <c r="U34" s="120">
        <v>36.0</v>
      </c>
      <c r="V34" s="120">
        <v>41.0</v>
      </c>
      <c r="W34" s="120">
        <v>35.0</v>
      </c>
      <c r="X34" s="120">
        <v>53.0</v>
      </c>
      <c r="Y34" s="120">
        <v>162.0</v>
      </c>
      <c r="Z34" s="120">
        <v>54.0</v>
      </c>
      <c r="AA34" s="120">
        <v>8.0</v>
      </c>
      <c r="AB34" s="120">
        <v>2.0</v>
      </c>
      <c r="AC34" s="120">
        <v>0.0</v>
      </c>
      <c r="AD34" s="120">
        <v>0.0</v>
      </c>
      <c r="AE34" s="120">
        <v>1.0</v>
      </c>
      <c r="AF34" s="116">
        <v>0.0</v>
      </c>
    </row>
    <row r="35">
      <c r="A35" s="76" t="s">
        <v>151</v>
      </c>
      <c r="B35" s="126"/>
      <c r="C35" s="126"/>
      <c r="D35" s="126"/>
      <c r="E35" s="126"/>
      <c r="F35" s="126"/>
      <c r="G35" s="126"/>
      <c r="H35" s="126"/>
      <c r="I35" s="126"/>
      <c r="J35" s="126"/>
      <c r="K35" s="126"/>
      <c r="L35" s="126"/>
      <c r="M35" s="126"/>
      <c r="N35" s="126"/>
      <c r="O35" s="126"/>
      <c r="P35" s="126"/>
      <c r="Q35" s="126"/>
      <c r="R35" s="126"/>
      <c r="S35" s="126"/>
      <c r="T35" s="126"/>
      <c r="U35" s="127"/>
      <c r="V35" s="127"/>
      <c r="W35" s="127"/>
      <c r="X35" s="127"/>
      <c r="Y35" s="127"/>
      <c r="Z35" s="127"/>
      <c r="AA35" s="127"/>
      <c r="AB35" s="127"/>
      <c r="AC35" s="127"/>
      <c r="AD35" s="127"/>
      <c r="AE35" s="127"/>
      <c r="AF35" s="125">
        <f t="shared" ref="AF35:AF40" si="9">sum(B35:AE35)</f>
        <v>0</v>
      </c>
    </row>
    <row r="36">
      <c r="A36" s="76" t="s">
        <v>153</v>
      </c>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5">
        <f t="shared" si="9"/>
        <v>0</v>
      </c>
    </row>
    <row r="37">
      <c r="A37" s="76" t="s">
        <v>154</v>
      </c>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5">
        <f t="shared" si="9"/>
        <v>0</v>
      </c>
    </row>
    <row r="38">
      <c r="A38" s="76" t="s">
        <v>155</v>
      </c>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5">
        <f t="shared" si="9"/>
        <v>0</v>
      </c>
    </row>
    <row r="39">
      <c r="A39" s="76" t="s">
        <v>156</v>
      </c>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5">
        <f t="shared" si="9"/>
        <v>0</v>
      </c>
    </row>
    <row r="40">
      <c r="A40" s="76" t="s">
        <v>158</v>
      </c>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5">
        <f t="shared" si="9"/>
        <v>0</v>
      </c>
    </row>
    <row r="41">
      <c r="A41" s="76" t="s">
        <v>159</v>
      </c>
      <c r="B41" s="115">
        <v>0.0</v>
      </c>
      <c r="C41" s="115">
        <v>0.0</v>
      </c>
      <c r="D41" s="115">
        <v>0.0</v>
      </c>
      <c r="E41" s="115">
        <v>0.0</v>
      </c>
      <c r="F41" s="115">
        <v>0.0</v>
      </c>
      <c r="G41" s="115">
        <v>0.0</v>
      </c>
      <c r="H41" s="115">
        <v>0.0</v>
      </c>
      <c r="I41" s="115">
        <v>0.0</v>
      </c>
      <c r="J41" s="115">
        <v>0.0</v>
      </c>
      <c r="K41" s="115">
        <v>0.0</v>
      </c>
      <c r="L41" s="115">
        <v>0.0</v>
      </c>
      <c r="M41" s="115">
        <v>0.0</v>
      </c>
      <c r="N41" s="115">
        <v>0.0</v>
      </c>
      <c r="O41" s="115">
        <v>0.0</v>
      </c>
      <c r="P41" s="115">
        <v>0.0</v>
      </c>
      <c r="Q41" s="115">
        <v>0.0</v>
      </c>
      <c r="R41" s="115">
        <v>0.0</v>
      </c>
      <c r="S41" s="115">
        <v>0.0</v>
      </c>
      <c r="T41" s="115">
        <v>0.0</v>
      </c>
      <c r="U41" s="115">
        <v>0.0</v>
      </c>
      <c r="V41" s="115">
        <v>0.0</v>
      </c>
      <c r="W41" s="115">
        <v>0.0</v>
      </c>
      <c r="X41" s="115">
        <v>1.0</v>
      </c>
      <c r="Y41" s="115">
        <v>0.0</v>
      </c>
      <c r="Z41" s="115">
        <v>0.0</v>
      </c>
      <c r="AA41" s="115">
        <v>0.0</v>
      </c>
      <c r="AB41" s="115">
        <v>0.0</v>
      </c>
      <c r="AC41" s="115">
        <v>0.0</v>
      </c>
      <c r="AD41" s="115">
        <v>1.0</v>
      </c>
      <c r="AE41" s="115">
        <v>0.0</v>
      </c>
      <c r="AF41" s="116">
        <v>0.0</v>
      </c>
    </row>
    <row r="42">
      <c r="A42" s="93" t="s">
        <v>162</v>
      </c>
      <c r="B42" s="124">
        <f t="shared" ref="B42:AE42" si="10">SUM(B34:B41)</f>
        <v>6</v>
      </c>
      <c r="C42" s="124">
        <f t="shared" si="10"/>
        <v>3</v>
      </c>
      <c r="D42" s="124">
        <f t="shared" si="10"/>
        <v>5</v>
      </c>
      <c r="E42" s="124">
        <f t="shared" si="10"/>
        <v>4</v>
      </c>
      <c r="F42" s="124">
        <f t="shared" si="10"/>
        <v>6</v>
      </c>
      <c r="G42" s="124">
        <f t="shared" si="10"/>
        <v>4</v>
      </c>
      <c r="H42" s="124">
        <f t="shared" si="10"/>
        <v>4</v>
      </c>
      <c r="I42" s="124">
        <f t="shared" si="10"/>
        <v>11</v>
      </c>
      <c r="J42" s="124">
        <f t="shared" si="10"/>
        <v>9</v>
      </c>
      <c r="K42" s="124">
        <f t="shared" si="10"/>
        <v>7</v>
      </c>
      <c r="L42" s="124">
        <f t="shared" si="10"/>
        <v>9</v>
      </c>
      <c r="M42" s="124">
        <f t="shared" si="10"/>
        <v>11</v>
      </c>
      <c r="N42" s="124">
        <f t="shared" si="10"/>
        <v>6</v>
      </c>
      <c r="O42" s="124">
        <f t="shared" si="10"/>
        <v>9</v>
      </c>
      <c r="P42" s="124">
        <f t="shared" si="10"/>
        <v>8</v>
      </c>
      <c r="Q42" s="124">
        <f t="shared" si="10"/>
        <v>24</v>
      </c>
      <c r="R42" s="124">
        <f t="shared" si="10"/>
        <v>21</v>
      </c>
      <c r="S42" s="124">
        <f t="shared" si="10"/>
        <v>29</v>
      </c>
      <c r="T42" s="124">
        <f t="shared" si="10"/>
        <v>28</v>
      </c>
      <c r="U42" s="124">
        <f t="shared" si="10"/>
        <v>36</v>
      </c>
      <c r="V42" s="124">
        <f t="shared" si="10"/>
        <v>41</v>
      </c>
      <c r="W42" s="124">
        <f t="shared" si="10"/>
        <v>35</v>
      </c>
      <c r="X42" s="124">
        <f t="shared" si="10"/>
        <v>54</v>
      </c>
      <c r="Y42" s="124">
        <f t="shared" si="10"/>
        <v>162</v>
      </c>
      <c r="Z42" s="124">
        <f t="shared" si="10"/>
        <v>54</v>
      </c>
      <c r="AA42" s="124">
        <f t="shared" si="10"/>
        <v>8</v>
      </c>
      <c r="AB42" s="124">
        <f t="shared" si="10"/>
        <v>2</v>
      </c>
      <c r="AC42" s="124">
        <f t="shared" si="10"/>
        <v>0</v>
      </c>
      <c r="AD42" s="124">
        <f t="shared" si="10"/>
        <v>1</v>
      </c>
      <c r="AE42" s="124">
        <f t="shared" si="10"/>
        <v>1</v>
      </c>
      <c r="AF42" s="125">
        <f>sum(B42:AE42)</f>
        <v>598</v>
      </c>
    </row>
    <row r="43">
      <c r="A43" s="4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37"/>
    </row>
    <row r="44">
      <c r="A44" s="4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6"/>
    </row>
    <row r="45" collapsed="1">
      <c r="A45" s="138" t="s">
        <v>164</v>
      </c>
      <c r="B45" s="139"/>
      <c r="C45" s="139"/>
      <c r="D45" s="139"/>
      <c r="E45" s="139"/>
      <c r="F45" s="139"/>
      <c r="G45" s="139"/>
      <c r="H45" s="139"/>
      <c r="I45" s="9"/>
      <c r="J45" s="9"/>
      <c r="K45" s="9"/>
      <c r="L45" s="9"/>
      <c r="M45" s="9"/>
      <c r="N45" s="9"/>
      <c r="O45" s="9"/>
      <c r="P45" s="9"/>
      <c r="Q45" s="9"/>
      <c r="R45" s="9"/>
      <c r="S45" s="9"/>
      <c r="T45" s="9"/>
      <c r="U45" s="9"/>
      <c r="V45" s="9"/>
      <c r="W45" s="9"/>
      <c r="X45" s="9"/>
      <c r="Y45" s="9"/>
      <c r="Z45" s="9"/>
      <c r="AA45" s="9"/>
      <c r="AB45" s="9"/>
      <c r="AC45" s="9"/>
      <c r="AD45" s="9"/>
      <c r="AE45" s="9"/>
      <c r="AF45" s="137"/>
    </row>
    <row r="46" hidden="1" outlineLevel="1">
      <c r="A46" s="140" t="s">
        <v>165</v>
      </c>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5">
        <f>sum(B46:AE46)</f>
        <v>0</v>
      </c>
    </row>
    <row r="47" hidden="1" outlineLevel="1">
      <c r="A47" s="140" t="s">
        <v>167</v>
      </c>
      <c r="B47" s="126"/>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37"/>
    </row>
    <row r="48" hidden="1" outlineLevel="1">
      <c r="A48" s="140" t="s">
        <v>168</v>
      </c>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5">
        <f>sum(B48:AE48)</f>
        <v>0</v>
      </c>
    </row>
    <row r="49" hidden="1" outlineLevel="1">
      <c r="A49" s="140" t="s">
        <v>170</v>
      </c>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37"/>
    </row>
    <row r="50" hidden="1" outlineLevel="1">
      <c r="A50" s="140" t="s">
        <v>172</v>
      </c>
      <c r="B50" s="126"/>
      <c r="C50" s="126"/>
      <c r="D50" s="126"/>
      <c r="E50" s="126"/>
      <c r="F50" s="126"/>
      <c r="G50" s="126"/>
      <c r="H50" s="126"/>
      <c r="I50" s="126"/>
      <c r="J50" s="126"/>
      <c r="K50" s="126"/>
      <c r="L50" s="126"/>
      <c r="M50" s="126"/>
      <c r="N50" s="126"/>
      <c r="O50" s="126"/>
      <c r="P50" s="126"/>
      <c r="Q50" s="126"/>
      <c r="R50" s="126"/>
      <c r="S50" s="126"/>
      <c r="T50" s="126"/>
      <c r="U50" s="126"/>
      <c r="V50" s="126"/>
      <c r="W50" s="126"/>
      <c r="X50" s="126"/>
      <c r="Y50" s="126"/>
      <c r="Z50" s="126"/>
      <c r="AA50" s="126"/>
      <c r="AB50" s="126"/>
      <c r="AC50" s="126"/>
      <c r="AD50" s="126"/>
      <c r="AE50" s="126"/>
      <c r="AF50" s="125">
        <f t="shared" ref="AF50:AF55" si="11">sum(B50:AE50)</f>
        <v>0</v>
      </c>
    </row>
    <row r="51" hidden="1" outlineLevel="1">
      <c r="A51" s="140" t="s">
        <v>173</v>
      </c>
      <c r="B51" s="126"/>
      <c r="C51" s="126"/>
      <c r="D51" s="126"/>
      <c r="E51" s="126"/>
      <c r="F51" s="126"/>
      <c r="G51" s="126"/>
      <c r="H51" s="126"/>
      <c r="I51" s="126"/>
      <c r="J51" s="126"/>
      <c r="K51" s="126"/>
      <c r="L51" s="126"/>
      <c r="M51" s="126"/>
      <c r="N51" s="126"/>
      <c r="O51" s="126"/>
      <c r="P51" s="126"/>
      <c r="Q51" s="126"/>
      <c r="R51" s="126"/>
      <c r="S51" s="126"/>
      <c r="T51" s="126"/>
      <c r="U51" s="126"/>
      <c r="V51" s="126"/>
      <c r="W51" s="126"/>
      <c r="X51" s="126"/>
      <c r="Y51" s="126"/>
      <c r="Z51" s="126"/>
      <c r="AA51" s="126"/>
      <c r="AB51" s="126"/>
      <c r="AC51" s="126"/>
      <c r="AD51" s="126"/>
      <c r="AE51" s="126"/>
      <c r="AF51" s="125">
        <f t="shared" si="11"/>
        <v>0</v>
      </c>
    </row>
    <row r="52" hidden="1" outlineLevel="1">
      <c r="A52" s="140" t="s">
        <v>175</v>
      </c>
      <c r="B52" s="150"/>
      <c r="C52" s="150"/>
      <c r="D52" s="151"/>
      <c r="E52" s="151"/>
      <c r="F52" s="151"/>
      <c r="G52" s="151"/>
      <c r="H52" s="151"/>
      <c r="I52" s="151"/>
      <c r="J52" s="151"/>
      <c r="K52" s="151"/>
      <c r="L52" s="151"/>
      <c r="M52" s="151"/>
      <c r="N52" s="151"/>
      <c r="O52" s="151"/>
      <c r="P52" s="151"/>
      <c r="Q52" s="151"/>
      <c r="R52" s="151"/>
      <c r="S52" s="151"/>
      <c r="T52" s="151"/>
      <c r="U52" s="151"/>
      <c r="V52" s="151"/>
      <c r="W52" s="151"/>
      <c r="X52" s="151"/>
      <c r="Y52" s="151"/>
      <c r="Z52" s="151"/>
      <c r="AA52" s="151"/>
      <c r="AB52" s="151"/>
      <c r="AC52" s="151"/>
      <c r="AD52" s="151"/>
      <c r="AE52" s="151"/>
      <c r="AF52" s="125">
        <f t="shared" si="11"/>
        <v>0</v>
      </c>
    </row>
    <row r="53" hidden="1" outlineLevel="1">
      <c r="A53" s="140" t="s">
        <v>177</v>
      </c>
      <c r="B53" s="154"/>
      <c r="C53" s="151"/>
      <c r="D53" s="150"/>
      <c r="E53" s="151"/>
      <c r="F53" s="151"/>
      <c r="G53" s="151"/>
      <c r="H53" s="151"/>
      <c r="I53" s="151"/>
      <c r="J53" s="151"/>
      <c r="K53" s="151"/>
      <c r="L53" s="151"/>
      <c r="M53" s="151"/>
      <c r="N53" s="151"/>
      <c r="O53" s="151"/>
      <c r="P53" s="151"/>
      <c r="Q53" s="151"/>
      <c r="R53" s="151"/>
      <c r="S53" s="151"/>
      <c r="T53" s="151"/>
      <c r="U53" s="151"/>
      <c r="V53" s="151"/>
      <c r="W53" s="151"/>
      <c r="X53" s="151"/>
      <c r="Y53" s="151"/>
      <c r="Z53" s="151"/>
      <c r="AA53" s="151"/>
      <c r="AB53" s="151"/>
      <c r="AC53" s="151"/>
      <c r="AD53" s="151"/>
      <c r="AE53" s="151"/>
      <c r="AF53" s="125">
        <f t="shared" si="11"/>
        <v>0</v>
      </c>
    </row>
    <row r="54" hidden="1" outlineLevel="1">
      <c r="A54" s="159" t="s">
        <v>180</v>
      </c>
      <c r="B54" s="160">
        <f>B46+B50+B52</f>
        <v>0</v>
      </c>
      <c r="C54" s="160">
        <f t="shared" ref="C54:AE54" si="12">SUM(C46:C53)</f>
        <v>0</v>
      </c>
      <c r="D54" s="160">
        <f t="shared" si="12"/>
        <v>0</v>
      </c>
      <c r="E54" s="160">
        <f t="shared" si="12"/>
        <v>0</v>
      </c>
      <c r="F54" s="160">
        <f t="shared" si="12"/>
        <v>0</v>
      </c>
      <c r="G54" s="160">
        <f t="shared" si="12"/>
        <v>0</v>
      </c>
      <c r="H54" s="160">
        <f t="shared" si="12"/>
        <v>0</v>
      </c>
      <c r="I54" s="160">
        <f t="shared" si="12"/>
        <v>0</v>
      </c>
      <c r="J54" s="160">
        <f t="shared" si="12"/>
        <v>0</v>
      </c>
      <c r="K54" s="160">
        <f t="shared" si="12"/>
        <v>0</v>
      </c>
      <c r="L54" s="160">
        <f t="shared" si="12"/>
        <v>0</v>
      </c>
      <c r="M54" s="160">
        <f t="shared" si="12"/>
        <v>0</v>
      </c>
      <c r="N54" s="160">
        <f t="shared" si="12"/>
        <v>0</v>
      </c>
      <c r="O54" s="160">
        <f t="shared" si="12"/>
        <v>0</v>
      </c>
      <c r="P54" s="160">
        <f t="shared" si="12"/>
        <v>0</v>
      </c>
      <c r="Q54" s="160">
        <f t="shared" si="12"/>
        <v>0</v>
      </c>
      <c r="R54" s="160">
        <f t="shared" si="12"/>
        <v>0</v>
      </c>
      <c r="S54" s="160">
        <f t="shared" si="12"/>
        <v>0</v>
      </c>
      <c r="T54" s="160">
        <f t="shared" si="12"/>
        <v>0</v>
      </c>
      <c r="U54" s="160">
        <f t="shared" si="12"/>
        <v>0</v>
      </c>
      <c r="V54" s="160">
        <f t="shared" si="12"/>
        <v>0</v>
      </c>
      <c r="W54" s="160">
        <f t="shared" si="12"/>
        <v>0</v>
      </c>
      <c r="X54" s="160">
        <f t="shared" si="12"/>
        <v>0</v>
      </c>
      <c r="Y54" s="160">
        <f t="shared" si="12"/>
        <v>0</v>
      </c>
      <c r="Z54" s="160">
        <f t="shared" si="12"/>
        <v>0</v>
      </c>
      <c r="AA54" s="160">
        <f t="shared" si="12"/>
        <v>0</v>
      </c>
      <c r="AB54" s="160">
        <f t="shared" si="12"/>
        <v>0</v>
      </c>
      <c r="AC54" s="160">
        <f t="shared" si="12"/>
        <v>0</v>
      </c>
      <c r="AD54" s="160">
        <f t="shared" si="12"/>
        <v>0</v>
      </c>
      <c r="AE54" s="160">
        <f t="shared" si="12"/>
        <v>0</v>
      </c>
      <c r="AF54" s="125">
        <f t="shared" si="11"/>
        <v>0</v>
      </c>
    </row>
    <row r="55" hidden="1" outlineLevel="1">
      <c r="A55" s="159" t="s">
        <v>185</v>
      </c>
      <c r="B55" s="160">
        <f t="shared" ref="B55:AE55" si="13">B48+B51+B53</f>
        <v>0</v>
      </c>
      <c r="C55" s="160">
        <f t="shared" si="13"/>
        <v>0</v>
      </c>
      <c r="D55" s="160">
        <f t="shared" si="13"/>
        <v>0</v>
      </c>
      <c r="E55" s="160">
        <f t="shared" si="13"/>
        <v>0</v>
      </c>
      <c r="F55" s="160">
        <f t="shared" si="13"/>
        <v>0</v>
      </c>
      <c r="G55" s="160">
        <f t="shared" si="13"/>
        <v>0</v>
      </c>
      <c r="H55" s="160">
        <f t="shared" si="13"/>
        <v>0</v>
      </c>
      <c r="I55" s="160">
        <f t="shared" si="13"/>
        <v>0</v>
      </c>
      <c r="J55" s="160">
        <f t="shared" si="13"/>
        <v>0</v>
      </c>
      <c r="K55" s="160">
        <f t="shared" si="13"/>
        <v>0</v>
      </c>
      <c r="L55" s="160">
        <f t="shared" si="13"/>
        <v>0</v>
      </c>
      <c r="M55" s="160">
        <f t="shared" si="13"/>
        <v>0</v>
      </c>
      <c r="N55" s="160">
        <f t="shared" si="13"/>
        <v>0</v>
      </c>
      <c r="O55" s="160">
        <f t="shared" si="13"/>
        <v>0</v>
      </c>
      <c r="P55" s="160">
        <f t="shared" si="13"/>
        <v>0</v>
      </c>
      <c r="Q55" s="160">
        <f t="shared" si="13"/>
        <v>0</v>
      </c>
      <c r="R55" s="160">
        <f t="shared" si="13"/>
        <v>0</v>
      </c>
      <c r="S55" s="160">
        <f t="shared" si="13"/>
        <v>0</v>
      </c>
      <c r="T55" s="160">
        <f t="shared" si="13"/>
        <v>0</v>
      </c>
      <c r="U55" s="160">
        <f t="shared" si="13"/>
        <v>0</v>
      </c>
      <c r="V55" s="160">
        <f t="shared" si="13"/>
        <v>0</v>
      </c>
      <c r="W55" s="160">
        <f t="shared" si="13"/>
        <v>0</v>
      </c>
      <c r="X55" s="160">
        <f t="shared" si="13"/>
        <v>0</v>
      </c>
      <c r="Y55" s="160">
        <f t="shared" si="13"/>
        <v>0</v>
      </c>
      <c r="Z55" s="160">
        <f t="shared" si="13"/>
        <v>0</v>
      </c>
      <c r="AA55" s="160">
        <f t="shared" si="13"/>
        <v>0</v>
      </c>
      <c r="AB55" s="160">
        <f t="shared" si="13"/>
        <v>0</v>
      </c>
      <c r="AC55" s="160">
        <f t="shared" si="13"/>
        <v>0</v>
      </c>
      <c r="AD55" s="160">
        <f t="shared" si="13"/>
        <v>0</v>
      </c>
      <c r="AE55" s="160">
        <f t="shared" si="13"/>
        <v>0</v>
      </c>
      <c r="AF55" s="125">
        <f t="shared" si="11"/>
        <v>0</v>
      </c>
    </row>
    <row r="56" hidden="1" outlineLevel="1">
      <c r="A56" s="49"/>
      <c r="B56" s="139"/>
      <c r="C56" s="139"/>
      <c r="D56" s="139"/>
      <c r="E56" s="139"/>
      <c r="F56" s="139"/>
      <c r="G56" s="139"/>
      <c r="H56" s="139"/>
      <c r="I56" s="9"/>
      <c r="J56" s="9"/>
      <c r="K56" s="9"/>
      <c r="L56" s="9"/>
      <c r="M56" s="9"/>
      <c r="N56" s="9"/>
      <c r="O56" s="9"/>
      <c r="P56" s="9"/>
      <c r="Q56" s="9"/>
      <c r="R56" s="9"/>
      <c r="S56" s="9"/>
      <c r="T56" s="9"/>
      <c r="U56" s="9"/>
      <c r="V56" s="9"/>
      <c r="W56" s="9"/>
      <c r="X56" s="9"/>
      <c r="Y56" s="9"/>
      <c r="Z56" s="9"/>
      <c r="AA56" s="9"/>
      <c r="AB56" s="9"/>
      <c r="AC56" s="9"/>
      <c r="AD56" s="9"/>
      <c r="AE56" s="9"/>
      <c r="AF56" s="137"/>
    </row>
    <row r="57" hidden="1" outlineLevel="1">
      <c r="A57" s="140" t="s">
        <v>188</v>
      </c>
      <c r="B57" s="126"/>
      <c r="C57" s="126"/>
      <c r="D57" s="126"/>
      <c r="E57" s="126"/>
      <c r="F57" s="126"/>
      <c r="G57" s="126"/>
      <c r="H57" s="126"/>
      <c r="I57" s="126"/>
      <c r="J57" s="126"/>
      <c r="K57" s="126"/>
      <c r="L57" s="126"/>
      <c r="M57" s="126"/>
      <c r="N57" s="126"/>
      <c r="O57" s="126"/>
      <c r="P57" s="126"/>
      <c r="Q57" s="126"/>
      <c r="R57" s="126"/>
      <c r="S57" s="126"/>
      <c r="T57" s="126"/>
      <c r="U57" s="127"/>
      <c r="V57" s="127"/>
      <c r="W57" s="126"/>
      <c r="X57" s="126"/>
      <c r="Y57" s="126"/>
      <c r="Z57" s="126"/>
      <c r="AA57" s="126"/>
      <c r="AB57" s="126"/>
      <c r="AC57" s="126"/>
      <c r="AD57" s="126"/>
      <c r="AE57" s="126"/>
      <c r="AF57" s="125">
        <f t="shared" ref="AF57:AF62" si="14">sum(B57:AE57)</f>
        <v>0</v>
      </c>
    </row>
    <row r="58" hidden="1" outlineLevel="1">
      <c r="A58" s="140" t="s">
        <v>190</v>
      </c>
      <c r="B58" s="126"/>
      <c r="C58" s="126"/>
      <c r="D58" s="126"/>
      <c r="E58" s="126"/>
      <c r="F58" s="126"/>
      <c r="G58" s="126"/>
      <c r="H58" s="126"/>
      <c r="I58" s="126"/>
      <c r="J58" s="126"/>
      <c r="K58" s="126"/>
      <c r="L58" s="126"/>
      <c r="M58" s="126"/>
      <c r="N58" s="126"/>
      <c r="O58" s="126"/>
      <c r="P58" s="126"/>
      <c r="Q58" s="126"/>
      <c r="R58" s="126"/>
      <c r="S58" s="126"/>
      <c r="T58" s="126"/>
      <c r="U58" s="126"/>
      <c r="V58" s="127"/>
      <c r="W58" s="127"/>
      <c r="X58" s="127"/>
      <c r="Y58" s="126"/>
      <c r="Z58" s="126"/>
      <c r="AA58" s="126"/>
      <c r="AB58" s="126"/>
      <c r="AC58" s="126"/>
      <c r="AD58" s="126"/>
      <c r="AE58" s="126"/>
      <c r="AF58" s="125">
        <f t="shared" si="14"/>
        <v>0</v>
      </c>
    </row>
    <row r="59" hidden="1" outlineLevel="1">
      <c r="A59" s="140" t="s">
        <v>192</v>
      </c>
      <c r="B59" s="126"/>
      <c r="C59" s="126"/>
      <c r="D59" s="126"/>
      <c r="E59" s="126"/>
      <c r="F59" s="126"/>
      <c r="G59" s="126"/>
      <c r="H59" s="126"/>
      <c r="I59" s="126"/>
      <c r="J59" s="126"/>
      <c r="K59" s="126"/>
      <c r="L59" s="126"/>
      <c r="M59" s="126"/>
      <c r="N59" s="126"/>
      <c r="O59" s="126"/>
      <c r="P59" s="126"/>
      <c r="Q59" s="126"/>
      <c r="R59" s="126"/>
      <c r="S59" s="126"/>
      <c r="T59" s="126"/>
      <c r="U59" s="127"/>
      <c r="V59" s="127"/>
      <c r="W59" s="126"/>
      <c r="X59" s="126"/>
      <c r="Y59" s="126"/>
      <c r="Z59" s="126"/>
      <c r="AA59" s="126"/>
      <c r="AB59" s="126"/>
      <c r="AC59" s="126"/>
      <c r="AD59" s="126"/>
      <c r="AE59" s="126"/>
      <c r="AF59" s="125">
        <f t="shared" si="14"/>
        <v>0</v>
      </c>
    </row>
    <row r="60" hidden="1" outlineLevel="1">
      <c r="A60" s="140" t="s">
        <v>193</v>
      </c>
      <c r="B60" s="126"/>
      <c r="C60" s="126"/>
      <c r="D60" s="126"/>
      <c r="E60" s="126"/>
      <c r="F60" s="126"/>
      <c r="G60" s="126"/>
      <c r="H60" s="126"/>
      <c r="I60" s="126"/>
      <c r="J60" s="126"/>
      <c r="K60" s="126"/>
      <c r="L60" s="126"/>
      <c r="M60" s="126"/>
      <c r="N60" s="126"/>
      <c r="O60" s="126"/>
      <c r="P60" s="126"/>
      <c r="Q60" s="126"/>
      <c r="R60" s="126"/>
      <c r="S60" s="126"/>
      <c r="T60" s="126"/>
      <c r="U60" s="126"/>
      <c r="V60" s="126"/>
      <c r="W60" s="126"/>
      <c r="X60" s="127"/>
      <c r="Y60" s="126"/>
      <c r="Z60" s="126"/>
      <c r="AA60" s="126"/>
      <c r="AB60" s="126"/>
      <c r="AC60" s="126"/>
      <c r="AD60" s="126"/>
      <c r="AE60" s="126"/>
      <c r="AF60" s="125">
        <f t="shared" si="14"/>
        <v>0</v>
      </c>
    </row>
    <row r="61" hidden="1" outlineLevel="1">
      <c r="A61" s="140" t="s">
        <v>195</v>
      </c>
      <c r="B61" s="126"/>
      <c r="C61" s="126"/>
      <c r="D61" s="126"/>
      <c r="E61" s="126"/>
      <c r="F61" s="126"/>
      <c r="G61" s="126"/>
      <c r="H61" s="126"/>
      <c r="I61" s="126"/>
      <c r="J61" s="126"/>
      <c r="K61" s="126"/>
      <c r="L61" s="126"/>
      <c r="M61" s="126"/>
      <c r="N61" s="126"/>
      <c r="O61" s="126"/>
      <c r="P61" s="126"/>
      <c r="Q61" s="126"/>
      <c r="R61" s="126"/>
      <c r="S61" s="126"/>
      <c r="T61" s="126"/>
      <c r="U61" s="126"/>
      <c r="V61" s="126"/>
      <c r="W61" s="126"/>
      <c r="X61" s="126"/>
      <c r="Y61" s="126"/>
      <c r="Z61" s="126"/>
      <c r="AA61" s="126"/>
      <c r="AB61" s="126"/>
      <c r="AC61" s="126"/>
      <c r="AD61" s="126"/>
      <c r="AE61" s="126"/>
      <c r="AF61" s="125">
        <f t="shared" si="14"/>
        <v>0</v>
      </c>
    </row>
    <row r="62" hidden="1" outlineLevel="1">
      <c r="A62" s="159" t="s">
        <v>197</v>
      </c>
      <c r="B62" s="160">
        <f t="shared" ref="B62:AE62" si="15">SUM(B57:B61)</f>
        <v>0</v>
      </c>
      <c r="C62" s="160">
        <f t="shared" si="15"/>
        <v>0</v>
      </c>
      <c r="D62" s="160">
        <f t="shared" si="15"/>
        <v>0</v>
      </c>
      <c r="E62" s="160">
        <f t="shared" si="15"/>
        <v>0</v>
      </c>
      <c r="F62" s="160">
        <f t="shared" si="15"/>
        <v>0</v>
      </c>
      <c r="G62" s="160">
        <f t="shared" si="15"/>
        <v>0</v>
      </c>
      <c r="H62" s="160">
        <f t="shared" si="15"/>
        <v>0</v>
      </c>
      <c r="I62" s="160">
        <f t="shared" si="15"/>
        <v>0</v>
      </c>
      <c r="J62" s="160">
        <f t="shared" si="15"/>
        <v>0</v>
      </c>
      <c r="K62" s="160">
        <f t="shared" si="15"/>
        <v>0</v>
      </c>
      <c r="L62" s="160">
        <f t="shared" si="15"/>
        <v>0</v>
      </c>
      <c r="M62" s="160">
        <f t="shared" si="15"/>
        <v>0</v>
      </c>
      <c r="N62" s="160">
        <f t="shared" si="15"/>
        <v>0</v>
      </c>
      <c r="O62" s="160">
        <f t="shared" si="15"/>
        <v>0</v>
      </c>
      <c r="P62" s="160">
        <f t="shared" si="15"/>
        <v>0</v>
      </c>
      <c r="Q62" s="160">
        <f t="shared" si="15"/>
        <v>0</v>
      </c>
      <c r="R62" s="160">
        <f t="shared" si="15"/>
        <v>0</v>
      </c>
      <c r="S62" s="160">
        <f t="shared" si="15"/>
        <v>0</v>
      </c>
      <c r="T62" s="160">
        <f t="shared" si="15"/>
        <v>0</v>
      </c>
      <c r="U62" s="160">
        <f t="shared" si="15"/>
        <v>0</v>
      </c>
      <c r="V62" s="160">
        <f t="shared" si="15"/>
        <v>0</v>
      </c>
      <c r="W62" s="160">
        <f t="shared" si="15"/>
        <v>0</v>
      </c>
      <c r="X62" s="160">
        <f t="shared" si="15"/>
        <v>0</v>
      </c>
      <c r="Y62" s="160">
        <f t="shared" si="15"/>
        <v>0</v>
      </c>
      <c r="Z62" s="160">
        <f t="shared" si="15"/>
        <v>0</v>
      </c>
      <c r="AA62" s="160">
        <f t="shared" si="15"/>
        <v>0</v>
      </c>
      <c r="AB62" s="160">
        <f t="shared" si="15"/>
        <v>0</v>
      </c>
      <c r="AC62" s="160">
        <f t="shared" si="15"/>
        <v>0</v>
      </c>
      <c r="AD62" s="160">
        <f t="shared" si="15"/>
        <v>0</v>
      </c>
      <c r="AE62" s="160">
        <f t="shared" si="15"/>
        <v>0</v>
      </c>
      <c r="AF62" s="125">
        <f t="shared" si="14"/>
        <v>0</v>
      </c>
    </row>
    <row r="63" hidden="1" outlineLevel="1">
      <c r="A63" s="49"/>
      <c r="B63" s="139"/>
      <c r="C63" s="139"/>
      <c r="D63" s="139"/>
      <c r="E63" s="139"/>
      <c r="F63" s="139"/>
      <c r="G63" s="139"/>
      <c r="H63" s="139"/>
      <c r="I63" s="9"/>
      <c r="J63" s="9"/>
      <c r="K63" s="9"/>
      <c r="L63" s="9"/>
      <c r="M63" s="9"/>
      <c r="N63" s="9"/>
      <c r="O63" s="9"/>
      <c r="P63" s="9"/>
      <c r="Q63" s="9"/>
      <c r="R63" s="9"/>
      <c r="S63" s="9"/>
      <c r="T63" s="9"/>
      <c r="U63" s="9"/>
      <c r="V63" s="9"/>
      <c r="W63" s="9"/>
      <c r="X63" s="9"/>
      <c r="Y63" s="9"/>
      <c r="Z63" s="9"/>
      <c r="AA63" s="9"/>
      <c r="AB63" s="9"/>
      <c r="AC63" s="9"/>
      <c r="AD63" s="9"/>
      <c r="AE63" s="9"/>
      <c r="AF63" s="137"/>
    </row>
    <row r="64" hidden="1" outlineLevel="1">
      <c r="A64" s="140" t="s">
        <v>198</v>
      </c>
      <c r="B64" s="126"/>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c r="AD64" s="126"/>
      <c r="AE64" s="126"/>
      <c r="AF64" s="125">
        <f t="shared" ref="AF64:AF69" si="16">sum(B64:AE64)</f>
        <v>0</v>
      </c>
    </row>
    <row r="65" hidden="1" outlineLevel="1">
      <c r="A65" s="140" t="s">
        <v>201</v>
      </c>
      <c r="B65" s="126"/>
      <c r="C65" s="126"/>
      <c r="D65" s="126"/>
      <c r="E65" s="126"/>
      <c r="F65" s="126"/>
      <c r="G65" s="126"/>
      <c r="H65" s="126"/>
      <c r="I65" s="126"/>
      <c r="J65" s="126"/>
      <c r="K65" s="126"/>
      <c r="L65" s="126"/>
      <c r="M65" s="126"/>
      <c r="N65" s="126"/>
      <c r="O65" s="126"/>
      <c r="P65" s="126"/>
      <c r="Q65" s="126"/>
      <c r="R65" s="126"/>
      <c r="S65" s="126"/>
      <c r="T65" s="126"/>
      <c r="U65" s="126"/>
      <c r="V65" s="126"/>
      <c r="W65" s="126"/>
      <c r="X65" s="126"/>
      <c r="Y65" s="126"/>
      <c r="Z65" s="126"/>
      <c r="AA65" s="126"/>
      <c r="AB65" s="126"/>
      <c r="AC65" s="126"/>
      <c r="AD65" s="126"/>
      <c r="AE65" s="126"/>
      <c r="AF65" s="125">
        <f t="shared" si="16"/>
        <v>0</v>
      </c>
    </row>
    <row r="66" hidden="1" outlineLevel="1">
      <c r="A66" s="140" t="s">
        <v>202</v>
      </c>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c r="AA66" s="126"/>
      <c r="AB66" s="126"/>
      <c r="AC66" s="126"/>
      <c r="AD66" s="126"/>
      <c r="AE66" s="126"/>
      <c r="AF66" s="125">
        <f t="shared" si="16"/>
        <v>0</v>
      </c>
    </row>
    <row r="67" hidden="1" outlineLevel="1">
      <c r="A67" s="140" t="s">
        <v>203</v>
      </c>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c r="AA67" s="126"/>
      <c r="AB67" s="126"/>
      <c r="AC67" s="126"/>
      <c r="AD67" s="126"/>
      <c r="AE67" s="126"/>
      <c r="AF67" s="125">
        <f t="shared" si="16"/>
        <v>0</v>
      </c>
    </row>
    <row r="68" hidden="1" outlineLevel="1">
      <c r="A68" s="140" t="s">
        <v>204</v>
      </c>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c r="AA68" s="126"/>
      <c r="AB68" s="126"/>
      <c r="AC68" s="126"/>
      <c r="AD68" s="126"/>
      <c r="AE68" s="126"/>
      <c r="AF68" s="125">
        <f t="shared" si="16"/>
        <v>0</v>
      </c>
    </row>
    <row r="69" hidden="1" outlineLevel="1">
      <c r="A69" s="177" t="s">
        <v>205</v>
      </c>
      <c r="B69" s="160">
        <f t="shared" ref="B69:AE69" si="17">SUM(B64:B68)</f>
        <v>0</v>
      </c>
      <c r="C69" s="160">
        <f t="shared" si="17"/>
        <v>0</v>
      </c>
      <c r="D69" s="160">
        <f t="shared" si="17"/>
        <v>0</v>
      </c>
      <c r="E69" s="160">
        <f t="shared" si="17"/>
        <v>0</v>
      </c>
      <c r="F69" s="160">
        <f t="shared" si="17"/>
        <v>0</v>
      </c>
      <c r="G69" s="160">
        <f t="shared" si="17"/>
        <v>0</v>
      </c>
      <c r="H69" s="160">
        <f t="shared" si="17"/>
        <v>0</v>
      </c>
      <c r="I69" s="160">
        <f t="shared" si="17"/>
        <v>0</v>
      </c>
      <c r="J69" s="160">
        <f t="shared" si="17"/>
        <v>0</v>
      </c>
      <c r="K69" s="160">
        <f t="shared" si="17"/>
        <v>0</v>
      </c>
      <c r="L69" s="160">
        <f t="shared" si="17"/>
        <v>0</v>
      </c>
      <c r="M69" s="160">
        <f t="shared" si="17"/>
        <v>0</v>
      </c>
      <c r="N69" s="160">
        <f t="shared" si="17"/>
        <v>0</v>
      </c>
      <c r="O69" s="160">
        <f t="shared" si="17"/>
        <v>0</v>
      </c>
      <c r="P69" s="160">
        <f t="shared" si="17"/>
        <v>0</v>
      </c>
      <c r="Q69" s="160">
        <f t="shared" si="17"/>
        <v>0</v>
      </c>
      <c r="R69" s="160">
        <f t="shared" si="17"/>
        <v>0</v>
      </c>
      <c r="S69" s="160">
        <f t="shared" si="17"/>
        <v>0</v>
      </c>
      <c r="T69" s="160">
        <f t="shared" si="17"/>
        <v>0</v>
      </c>
      <c r="U69" s="160">
        <f t="shared" si="17"/>
        <v>0</v>
      </c>
      <c r="V69" s="160">
        <f t="shared" si="17"/>
        <v>0</v>
      </c>
      <c r="W69" s="160">
        <f t="shared" si="17"/>
        <v>0</v>
      </c>
      <c r="X69" s="160">
        <f t="shared" si="17"/>
        <v>0</v>
      </c>
      <c r="Y69" s="160">
        <f t="shared" si="17"/>
        <v>0</v>
      </c>
      <c r="Z69" s="160">
        <f t="shared" si="17"/>
        <v>0</v>
      </c>
      <c r="AA69" s="160">
        <f t="shared" si="17"/>
        <v>0</v>
      </c>
      <c r="AB69" s="160">
        <f t="shared" si="17"/>
        <v>0</v>
      </c>
      <c r="AC69" s="160">
        <f t="shared" si="17"/>
        <v>0</v>
      </c>
      <c r="AD69" s="160">
        <f t="shared" si="17"/>
        <v>0</v>
      </c>
      <c r="AE69" s="160">
        <f t="shared" si="17"/>
        <v>0</v>
      </c>
      <c r="AF69" s="125">
        <f t="shared" si="16"/>
        <v>0</v>
      </c>
    </row>
    <row r="70" hidden="1" outlineLevel="1">
      <c r="A70" s="49"/>
      <c r="B70" s="139"/>
      <c r="C70" s="139"/>
      <c r="D70" s="139"/>
      <c r="E70" s="139"/>
      <c r="F70" s="139"/>
      <c r="G70" s="139"/>
      <c r="H70" s="139"/>
      <c r="I70" s="9"/>
      <c r="J70" s="9"/>
      <c r="K70" s="9"/>
      <c r="L70" s="9"/>
      <c r="M70" s="9"/>
      <c r="N70" s="9"/>
      <c r="O70" s="9"/>
      <c r="P70" s="9"/>
      <c r="Q70" s="9"/>
      <c r="R70" s="9"/>
      <c r="S70" s="9"/>
      <c r="T70" s="9"/>
      <c r="U70" s="9"/>
      <c r="V70" s="9"/>
      <c r="W70" s="9"/>
      <c r="X70" s="9"/>
      <c r="Y70" s="9"/>
      <c r="Z70" s="9"/>
      <c r="AA70" s="9"/>
      <c r="AB70" s="9"/>
      <c r="AC70" s="9"/>
      <c r="AD70" s="9"/>
      <c r="AE70" s="9"/>
      <c r="AF70" s="137"/>
    </row>
    <row r="71" hidden="1" outlineLevel="1">
      <c r="A71" s="140" t="s">
        <v>207</v>
      </c>
      <c r="B71" s="150"/>
      <c r="C71" s="151"/>
      <c r="D71" s="151"/>
      <c r="E71" s="151"/>
      <c r="F71" s="151"/>
      <c r="G71" s="151"/>
      <c r="H71" s="151"/>
      <c r="I71" s="151"/>
      <c r="J71" s="151"/>
      <c r="K71" s="151"/>
      <c r="L71" s="151"/>
      <c r="M71" s="151"/>
      <c r="N71" s="151"/>
      <c r="O71" s="151"/>
      <c r="P71" s="151"/>
      <c r="Q71" s="151"/>
      <c r="R71" s="151"/>
      <c r="S71" s="151"/>
      <c r="T71" s="151"/>
      <c r="U71" s="151"/>
      <c r="V71" s="151"/>
      <c r="W71" s="151"/>
      <c r="X71" s="151"/>
      <c r="Y71" s="151"/>
      <c r="Z71" s="151"/>
      <c r="AA71" s="151"/>
      <c r="AB71" s="151"/>
      <c r="AC71" s="151"/>
      <c r="AD71" s="151"/>
      <c r="AE71" s="151"/>
      <c r="AF71" s="125">
        <f t="shared" ref="AF71:AF76" si="18">sum(B71:AE71)</f>
        <v>0</v>
      </c>
    </row>
    <row r="72" hidden="1" outlineLevel="1">
      <c r="A72" s="140" t="s">
        <v>209</v>
      </c>
      <c r="B72" s="150"/>
      <c r="C72" s="151"/>
      <c r="D72" s="151"/>
      <c r="E72" s="151"/>
      <c r="F72" s="151"/>
      <c r="G72" s="151"/>
      <c r="H72" s="151"/>
      <c r="I72" s="151"/>
      <c r="J72" s="151"/>
      <c r="K72" s="151"/>
      <c r="L72" s="151"/>
      <c r="M72" s="151"/>
      <c r="N72" s="151"/>
      <c r="O72" s="151"/>
      <c r="P72" s="151"/>
      <c r="Q72" s="151"/>
      <c r="R72" s="151"/>
      <c r="S72" s="151"/>
      <c r="T72" s="151"/>
      <c r="U72" s="151"/>
      <c r="V72" s="151"/>
      <c r="W72" s="151"/>
      <c r="X72" s="151"/>
      <c r="Y72" s="151"/>
      <c r="Z72" s="151"/>
      <c r="AA72" s="151"/>
      <c r="AB72" s="151"/>
      <c r="AC72" s="151"/>
      <c r="AD72" s="151"/>
      <c r="AE72" s="151"/>
      <c r="AF72" s="125">
        <f t="shared" si="18"/>
        <v>0</v>
      </c>
    </row>
    <row r="73" hidden="1" outlineLevel="1">
      <c r="A73" s="140" t="s">
        <v>210</v>
      </c>
      <c r="B73" s="150"/>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1"/>
      <c r="AA73" s="151"/>
      <c r="AB73" s="151"/>
      <c r="AC73" s="151"/>
      <c r="AD73" s="151"/>
      <c r="AE73" s="151"/>
      <c r="AF73" s="125">
        <f t="shared" si="18"/>
        <v>0</v>
      </c>
    </row>
    <row r="74" hidden="1" outlineLevel="1">
      <c r="A74" s="140" t="s">
        <v>211</v>
      </c>
      <c r="B74" s="150"/>
      <c r="C74" s="151"/>
      <c r="D74" s="151"/>
      <c r="E74" s="151"/>
      <c r="F74" s="151"/>
      <c r="G74" s="151"/>
      <c r="H74" s="151"/>
      <c r="I74" s="151"/>
      <c r="J74" s="151"/>
      <c r="K74" s="151"/>
      <c r="L74" s="151"/>
      <c r="M74" s="151"/>
      <c r="N74" s="151"/>
      <c r="O74" s="151"/>
      <c r="P74" s="151"/>
      <c r="Q74" s="151"/>
      <c r="R74" s="151"/>
      <c r="S74" s="151"/>
      <c r="T74" s="151"/>
      <c r="U74" s="151"/>
      <c r="V74" s="151"/>
      <c r="W74" s="151"/>
      <c r="X74" s="151"/>
      <c r="Y74" s="151"/>
      <c r="Z74" s="151"/>
      <c r="AA74" s="151"/>
      <c r="AB74" s="151"/>
      <c r="AC74" s="151"/>
      <c r="AD74" s="151"/>
      <c r="AE74" s="151"/>
      <c r="AF74" s="125">
        <f t="shared" si="18"/>
        <v>0</v>
      </c>
    </row>
    <row r="75" hidden="1" outlineLevel="1">
      <c r="A75" s="140" t="s">
        <v>212</v>
      </c>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c r="AA75" s="151"/>
      <c r="AB75" s="151"/>
      <c r="AC75" s="151"/>
      <c r="AD75" s="151"/>
      <c r="AE75" s="151"/>
      <c r="AF75" s="125">
        <f t="shared" si="18"/>
        <v>0</v>
      </c>
    </row>
    <row r="76" hidden="1" outlineLevel="1">
      <c r="A76" s="177" t="s">
        <v>214</v>
      </c>
      <c r="B76" s="160">
        <f>SUM(B71:B75)</f>
        <v>0</v>
      </c>
      <c r="C76" s="160">
        <f>SUM(C71:C74)</f>
        <v>0</v>
      </c>
      <c r="D76" s="160">
        <f t="shared" ref="D76:F76" si="19">SUM(D71:D75)</f>
        <v>0</v>
      </c>
      <c r="E76" s="160">
        <f t="shared" si="19"/>
        <v>0</v>
      </c>
      <c r="F76" s="160">
        <f t="shared" si="19"/>
        <v>0</v>
      </c>
      <c r="G76" s="160">
        <f t="shared" ref="G76:V76" si="20">SUM(G71:G74)</f>
        <v>0</v>
      </c>
      <c r="H76" s="160">
        <f t="shared" si="20"/>
        <v>0</v>
      </c>
      <c r="I76" s="160">
        <f t="shared" si="20"/>
        <v>0</v>
      </c>
      <c r="J76" s="160">
        <f t="shared" si="20"/>
        <v>0</v>
      </c>
      <c r="K76" s="160">
        <f t="shared" si="20"/>
        <v>0</v>
      </c>
      <c r="L76" s="160">
        <f t="shared" si="20"/>
        <v>0</v>
      </c>
      <c r="M76" s="160">
        <f t="shared" si="20"/>
        <v>0</v>
      </c>
      <c r="N76" s="160">
        <f t="shared" si="20"/>
        <v>0</v>
      </c>
      <c r="O76" s="160">
        <f t="shared" si="20"/>
        <v>0</v>
      </c>
      <c r="P76" s="160">
        <f t="shared" si="20"/>
        <v>0</v>
      </c>
      <c r="Q76" s="160">
        <f t="shared" si="20"/>
        <v>0</v>
      </c>
      <c r="R76" s="160">
        <f t="shared" si="20"/>
        <v>0</v>
      </c>
      <c r="S76" s="160">
        <f t="shared" si="20"/>
        <v>0</v>
      </c>
      <c r="T76" s="160">
        <f t="shared" si="20"/>
        <v>0</v>
      </c>
      <c r="U76" s="160">
        <f t="shared" si="20"/>
        <v>0</v>
      </c>
      <c r="V76" s="160">
        <f t="shared" si="20"/>
        <v>0</v>
      </c>
      <c r="W76" s="160">
        <f>SUM(W71:W75)</f>
        <v>0</v>
      </c>
      <c r="X76" s="160">
        <f t="shared" ref="X76:AE76" si="21">SUM(X71:X74)</f>
        <v>0</v>
      </c>
      <c r="Y76" s="160">
        <f t="shared" si="21"/>
        <v>0</v>
      </c>
      <c r="Z76" s="160">
        <f t="shared" si="21"/>
        <v>0</v>
      </c>
      <c r="AA76" s="160">
        <f t="shared" si="21"/>
        <v>0</v>
      </c>
      <c r="AB76" s="160">
        <f t="shared" si="21"/>
        <v>0</v>
      </c>
      <c r="AC76" s="160">
        <f t="shared" si="21"/>
        <v>0</v>
      </c>
      <c r="AD76" s="160">
        <f t="shared" si="21"/>
        <v>0</v>
      </c>
      <c r="AE76" s="160">
        <f t="shared" si="21"/>
        <v>0</v>
      </c>
      <c r="AF76" s="125">
        <f t="shared" si="18"/>
        <v>0</v>
      </c>
    </row>
    <row r="77">
      <c r="A77" s="49"/>
      <c r="B77" s="139"/>
      <c r="C77" s="139"/>
      <c r="D77" s="139"/>
      <c r="E77" s="139"/>
      <c r="F77" s="139"/>
      <c r="G77" s="139"/>
      <c r="H77" s="139"/>
      <c r="I77" s="9"/>
      <c r="J77" s="9"/>
      <c r="K77" s="9"/>
      <c r="L77" s="9"/>
      <c r="M77" s="9"/>
      <c r="N77" s="9"/>
      <c r="O77" s="9"/>
      <c r="P77" s="9"/>
      <c r="Q77" s="9"/>
      <c r="R77" s="9"/>
      <c r="S77" s="9"/>
      <c r="T77" s="9"/>
      <c r="U77" s="9"/>
      <c r="V77" s="9"/>
      <c r="W77" s="9"/>
      <c r="X77" s="9"/>
      <c r="Y77" s="9"/>
      <c r="Z77" s="9"/>
      <c r="AA77" s="9"/>
      <c r="AB77" s="9"/>
      <c r="AC77" s="9"/>
      <c r="AD77" s="9"/>
      <c r="AE77" s="9"/>
      <c r="AF77" s="137"/>
    </row>
    <row r="78" collapsed="1">
      <c r="A78" s="138" t="s">
        <v>215</v>
      </c>
      <c r="B78" s="139"/>
      <c r="C78" s="139"/>
      <c r="D78" s="139"/>
      <c r="E78" s="139"/>
      <c r="F78" s="139"/>
      <c r="G78" s="139"/>
      <c r="H78" s="139"/>
      <c r="I78" s="9"/>
      <c r="J78" s="9"/>
      <c r="K78" s="9"/>
      <c r="L78" s="9"/>
      <c r="M78" s="9"/>
      <c r="N78" s="9"/>
      <c r="O78" s="9"/>
      <c r="P78" s="9"/>
      <c r="Q78" s="9"/>
      <c r="R78" s="9"/>
      <c r="S78" s="9"/>
      <c r="T78" s="9"/>
      <c r="U78" s="9"/>
      <c r="V78" s="9"/>
      <c r="W78" s="9"/>
      <c r="X78" s="9"/>
      <c r="Y78" s="9"/>
      <c r="Z78" s="9"/>
      <c r="AA78" s="9"/>
      <c r="AB78" s="9"/>
      <c r="AC78" s="9"/>
      <c r="AD78" s="9"/>
      <c r="AE78" s="9"/>
      <c r="AF78" s="137"/>
    </row>
    <row r="79" hidden="1" outlineLevel="1">
      <c r="A79" s="184" t="s">
        <v>216</v>
      </c>
      <c r="B79" s="185"/>
      <c r="C79" s="185"/>
      <c r="D79" s="185"/>
      <c r="E79" s="185"/>
      <c r="F79" s="185"/>
      <c r="G79" s="185"/>
      <c r="H79" s="185"/>
      <c r="I79" s="185"/>
      <c r="J79" s="185"/>
      <c r="K79" s="185"/>
      <c r="L79" s="185"/>
      <c r="M79" s="185"/>
      <c r="N79" s="185"/>
      <c r="O79" s="185"/>
      <c r="P79" s="185"/>
      <c r="Q79" s="185"/>
      <c r="R79" s="185"/>
      <c r="S79" s="185"/>
      <c r="T79" s="185"/>
      <c r="U79" s="185"/>
      <c r="V79" s="185"/>
      <c r="W79" s="185"/>
      <c r="X79" s="185"/>
      <c r="Y79" s="185"/>
      <c r="Z79" s="185"/>
      <c r="AA79" s="185"/>
      <c r="AB79" s="185"/>
      <c r="AC79" s="185"/>
      <c r="AD79" s="185"/>
      <c r="AE79" s="185"/>
      <c r="AF79" s="188">
        <f t="shared" ref="AF79:AF86" si="22">SUM(B79:AE79)</f>
        <v>0</v>
      </c>
    </row>
    <row r="80" hidden="1" outlineLevel="1">
      <c r="A80" s="184" t="s">
        <v>218</v>
      </c>
      <c r="B80" s="185"/>
      <c r="C80" s="185"/>
      <c r="D80" s="185"/>
      <c r="E80" s="185"/>
      <c r="F80" s="185"/>
      <c r="G80" s="185"/>
      <c r="H80" s="185"/>
      <c r="I80" s="185"/>
      <c r="J80" s="185"/>
      <c r="K80" s="185"/>
      <c r="L80" s="185"/>
      <c r="M80" s="185"/>
      <c r="N80" s="185"/>
      <c r="O80" s="185"/>
      <c r="P80" s="185"/>
      <c r="Q80" s="185"/>
      <c r="R80" s="185"/>
      <c r="S80" s="185"/>
      <c r="T80" s="185"/>
      <c r="U80" s="185"/>
      <c r="V80" s="185"/>
      <c r="W80" s="185"/>
      <c r="X80" s="185"/>
      <c r="Y80" s="185"/>
      <c r="Z80" s="185"/>
      <c r="AA80" s="185"/>
      <c r="AB80" s="71"/>
      <c r="AC80" s="71"/>
      <c r="AD80" s="71"/>
      <c r="AE80" s="71"/>
      <c r="AF80" s="188">
        <f t="shared" si="22"/>
        <v>0</v>
      </c>
    </row>
    <row r="81" hidden="1" outlineLevel="1">
      <c r="A81" s="184" t="s">
        <v>172</v>
      </c>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c r="AE81" s="185"/>
      <c r="AF81" s="188">
        <f t="shared" si="22"/>
        <v>0</v>
      </c>
    </row>
    <row r="82" hidden="1" outlineLevel="1">
      <c r="A82" s="184" t="s">
        <v>173</v>
      </c>
      <c r="B82" s="185"/>
      <c r="C82" s="185"/>
      <c r="D82" s="185"/>
      <c r="E82" s="185"/>
      <c r="F82" s="185"/>
      <c r="G82" s="185"/>
      <c r="H82" s="185"/>
      <c r="I82" s="185"/>
      <c r="J82" s="185"/>
      <c r="K82" s="185"/>
      <c r="L82" s="185"/>
      <c r="M82" s="185"/>
      <c r="N82" s="185"/>
      <c r="O82" s="185"/>
      <c r="P82" s="185"/>
      <c r="Q82" s="185"/>
      <c r="R82" s="185"/>
      <c r="S82" s="185"/>
      <c r="T82" s="185"/>
      <c r="U82" s="185"/>
      <c r="V82" s="185"/>
      <c r="W82" s="185"/>
      <c r="X82" s="185"/>
      <c r="Y82" s="185"/>
      <c r="Z82" s="185"/>
      <c r="AA82" s="185"/>
      <c r="AB82" s="185"/>
      <c r="AC82" s="185"/>
      <c r="AD82" s="185"/>
      <c r="AE82" s="185"/>
      <c r="AF82" s="188">
        <f t="shared" si="22"/>
        <v>0</v>
      </c>
    </row>
    <row r="83" hidden="1" outlineLevel="1">
      <c r="A83" s="184" t="s">
        <v>175</v>
      </c>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c r="AA83" s="189"/>
      <c r="AB83" s="189"/>
      <c r="AC83" s="189"/>
      <c r="AD83" s="189"/>
      <c r="AE83" s="189"/>
      <c r="AF83" s="188">
        <f t="shared" si="22"/>
        <v>0</v>
      </c>
    </row>
    <row r="84" hidden="1" outlineLevel="1">
      <c r="A84" s="184" t="s">
        <v>177</v>
      </c>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8">
        <f t="shared" si="22"/>
        <v>0</v>
      </c>
    </row>
    <row r="85" hidden="1" outlineLevel="1">
      <c r="A85" s="192" t="s">
        <v>180</v>
      </c>
      <c r="B85" s="194">
        <f t="shared" ref="B85:AE85" si="23">B79+B81+B83</f>
        <v>0</v>
      </c>
      <c r="C85" s="194">
        <f t="shared" si="23"/>
        <v>0</v>
      </c>
      <c r="D85" s="194">
        <f t="shared" si="23"/>
        <v>0</v>
      </c>
      <c r="E85" s="194">
        <f t="shared" si="23"/>
        <v>0</v>
      </c>
      <c r="F85" s="194">
        <f t="shared" si="23"/>
        <v>0</v>
      </c>
      <c r="G85" s="194">
        <f t="shared" si="23"/>
        <v>0</v>
      </c>
      <c r="H85" s="194">
        <f t="shared" si="23"/>
        <v>0</v>
      </c>
      <c r="I85" s="194">
        <f t="shared" si="23"/>
        <v>0</v>
      </c>
      <c r="J85" s="194">
        <f t="shared" si="23"/>
        <v>0</v>
      </c>
      <c r="K85" s="194">
        <f t="shared" si="23"/>
        <v>0</v>
      </c>
      <c r="L85" s="194">
        <f t="shared" si="23"/>
        <v>0</v>
      </c>
      <c r="M85" s="194">
        <f t="shared" si="23"/>
        <v>0</v>
      </c>
      <c r="N85" s="194">
        <f t="shared" si="23"/>
        <v>0</v>
      </c>
      <c r="O85" s="194">
        <f t="shared" si="23"/>
        <v>0</v>
      </c>
      <c r="P85" s="194">
        <f t="shared" si="23"/>
        <v>0</v>
      </c>
      <c r="Q85" s="194">
        <f t="shared" si="23"/>
        <v>0</v>
      </c>
      <c r="R85" s="194">
        <f t="shared" si="23"/>
        <v>0</v>
      </c>
      <c r="S85" s="194">
        <f t="shared" si="23"/>
        <v>0</v>
      </c>
      <c r="T85" s="194">
        <f t="shared" si="23"/>
        <v>0</v>
      </c>
      <c r="U85" s="194">
        <f t="shared" si="23"/>
        <v>0</v>
      </c>
      <c r="V85" s="194">
        <f t="shared" si="23"/>
        <v>0</v>
      </c>
      <c r="W85" s="194">
        <f t="shared" si="23"/>
        <v>0</v>
      </c>
      <c r="X85" s="194">
        <f t="shared" si="23"/>
        <v>0</v>
      </c>
      <c r="Y85" s="194">
        <f t="shared" si="23"/>
        <v>0</v>
      </c>
      <c r="Z85" s="194">
        <f t="shared" si="23"/>
        <v>0</v>
      </c>
      <c r="AA85" s="194">
        <f t="shared" si="23"/>
        <v>0</v>
      </c>
      <c r="AB85" s="194">
        <f t="shared" si="23"/>
        <v>0</v>
      </c>
      <c r="AC85" s="194">
        <f t="shared" si="23"/>
        <v>0</v>
      </c>
      <c r="AD85" s="194">
        <f t="shared" si="23"/>
        <v>0</v>
      </c>
      <c r="AE85" s="194">
        <f t="shared" si="23"/>
        <v>0</v>
      </c>
      <c r="AF85" s="188">
        <f t="shared" si="22"/>
        <v>0</v>
      </c>
    </row>
    <row r="86" hidden="1" outlineLevel="1">
      <c r="A86" s="192" t="s">
        <v>185</v>
      </c>
      <c r="B86" s="194">
        <f t="shared" ref="B86:AE86" si="24">B80+B82+B84</f>
        <v>0</v>
      </c>
      <c r="C86" s="194">
        <f t="shared" si="24"/>
        <v>0</v>
      </c>
      <c r="D86" s="194">
        <f t="shared" si="24"/>
        <v>0</v>
      </c>
      <c r="E86" s="194">
        <f t="shared" si="24"/>
        <v>0</v>
      </c>
      <c r="F86" s="194">
        <f t="shared" si="24"/>
        <v>0</v>
      </c>
      <c r="G86" s="194">
        <f t="shared" si="24"/>
        <v>0</v>
      </c>
      <c r="H86" s="194">
        <f t="shared" si="24"/>
        <v>0</v>
      </c>
      <c r="I86" s="194">
        <f t="shared" si="24"/>
        <v>0</v>
      </c>
      <c r="J86" s="194">
        <f t="shared" si="24"/>
        <v>0</v>
      </c>
      <c r="K86" s="194">
        <f t="shared" si="24"/>
        <v>0</v>
      </c>
      <c r="L86" s="194">
        <f t="shared" si="24"/>
        <v>0</v>
      </c>
      <c r="M86" s="194">
        <f t="shared" si="24"/>
        <v>0</v>
      </c>
      <c r="N86" s="194">
        <f t="shared" si="24"/>
        <v>0</v>
      </c>
      <c r="O86" s="194">
        <f t="shared" si="24"/>
        <v>0</v>
      </c>
      <c r="P86" s="194">
        <f t="shared" si="24"/>
        <v>0</v>
      </c>
      <c r="Q86" s="194">
        <f t="shared" si="24"/>
        <v>0</v>
      </c>
      <c r="R86" s="194">
        <f t="shared" si="24"/>
        <v>0</v>
      </c>
      <c r="S86" s="194">
        <f t="shared" si="24"/>
        <v>0</v>
      </c>
      <c r="T86" s="194">
        <f t="shared" si="24"/>
        <v>0</v>
      </c>
      <c r="U86" s="194">
        <f t="shared" si="24"/>
        <v>0</v>
      </c>
      <c r="V86" s="194">
        <f t="shared" si="24"/>
        <v>0</v>
      </c>
      <c r="W86" s="194">
        <f t="shared" si="24"/>
        <v>0</v>
      </c>
      <c r="X86" s="194">
        <f t="shared" si="24"/>
        <v>0</v>
      </c>
      <c r="Y86" s="194">
        <f t="shared" si="24"/>
        <v>0</v>
      </c>
      <c r="Z86" s="194">
        <f t="shared" si="24"/>
        <v>0</v>
      </c>
      <c r="AA86" s="194">
        <f t="shared" si="24"/>
        <v>0</v>
      </c>
      <c r="AB86" s="194">
        <f t="shared" si="24"/>
        <v>0</v>
      </c>
      <c r="AC86" s="194">
        <f t="shared" si="24"/>
        <v>0</v>
      </c>
      <c r="AD86" s="194">
        <f t="shared" si="24"/>
        <v>0</v>
      </c>
      <c r="AE86" s="194">
        <f t="shared" si="24"/>
        <v>0</v>
      </c>
      <c r="AF86" s="188">
        <f t="shared" si="22"/>
        <v>0</v>
      </c>
    </row>
    <row r="87" hidden="1" outlineLevel="1">
      <c r="A87" s="49"/>
      <c r="B87" s="183"/>
      <c r="C87" s="183"/>
      <c r="D87" s="183"/>
      <c r="E87" s="183"/>
      <c r="F87" s="183"/>
      <c r="G87" s="183"/>
      <c r="H87" s="183"/>
      <c r="I87" s="183"/>
      <c r="J87" s="183"/>
      <c r="K87" s="183"/>
      <c r="L87" s="183"/>
      <c r="M87" s="183"/>
      <c r="N87" s="183"/>
      <c r="O87" s="183"/>
      <c r="P87" s="183"/>
      <c r="Q87" s="183"/>
      <c r="R87" s="183"/>
      <c r="S87" s="183"/>
      <c r="T87" s="183"/>
      <c r="U87" s="183"/>
      <c r="V87" s="183"/>
      <c r="W87" s="183"/>
      <c r="X87" s="183"/>
      <c r="Y87" s="183"/>
      <c r="Z87" s="183"/>
      <c r="AA87" s="183"/>
      <c r="AB87" s="183"/>
      <c r="AC87" s="183"/>
      <c r="AD87" s="183"/>
      <c r="AE87" s="183"/>
      <c r="AF87" s="200"/>
    </row>
    <row r="88" hidden="1" outlineLevel="1">
      <c r="A88" s="184" t="s">
        <v>225</v>
      </c>
      <c r="B88" s="185"/>
      <c r="C88" s="185"/>
      <c r="D88" s="185"/>
      <c r="E88" s="185"/>
      <c r="F88" s="185"/>
      <c r="G88" s="185"/>
      <c r="H88" s="185"/>
      <c r="I88" s="185"/>
      <c r="J88" s="185"/>
      <c r="K88" s="185"/>
      <c r="L88" s="185"/>
      <c r="M88" s="185"/>
      <c r="N88" s="185"/>
      <c r="O88" s="185"/>
      <c r="P88" s="185"/>
      <c r="Q88" s="185"/>
      <c r="R88" s="185"/>
      <c r="S88" s="185"/>
      <c r="T88" s="185"/>
      <c r="U88" s="185"/>
      <c r="V88" s="185"/>
      <c r="W88" s="185"/>
      <c r="X88" s="185"/>
      <c r="Y88" s="185"/>
      <c r="Z88" s="185"/>
      <c r="AA88" s="185"/>
      <c r="AB88" s="185"/>
      <c r="AC88" s="185"/>
      <c r="AD88" s="185"/>
      <c r="AE88" s="185"/>
      <c r="AF88" s="188">
        <f t="shared" ref="AF88:AF93" si="25">SUM(B88:AE88)</f>
        <v>0</v>
      </c>
    </row>
    <row r="89" hidden="1" outlineLevel="1">
      <c r="A89" s="184" t="s">
        <v>227</v>
      </c>
      <c r="B89" s="185"/>
      <c r="C89" s="185"/>
      <c r="D89" s="185"/>
      <c r="E89" s="185"/>
      <c r="F89" s="185"/>
      <c r="G89" s="185"/>
      <c r="H89" s="185"/>
      <c r="I89" s="185"/>
      <c r="J89" s="185"/>
      <c r="K89" s="185"/>
      <c r="L89" s="185"/>
      <c r="M89" s="185"/>
      <c r="N89" s="185"/>
      <c r="O89" s="185"/>
      <c r="P89" s="185"/>
      <c r="Q89" s="185"/>
      <c r="R89" s="185"/>
      <c r="S89" s="185"/>
      <c r="T89" s="185"/>
      <c r="U89" s="185"/>
      <c r="V89" s="185"/>
      <c r="W89" s="185"/>
      <c r="X89" s="185"/>
      <c r="Y89" s="185"/>
      <c r="Z89" s="185"/>
      <c r="AA89" s="185"/>
      <c r="AB89" s="185"/>
      <c r="AC89" s="185"/>
      <c r="AD89" s="185"/>
      <c r="AE89" s="185"/>
      <c r="AF89" s="188">
        <f t="shared" si="25"/>
        <v>0</v>
      </c>
    </row>
    <row r="90" hidden="1" outlineLevel="1">
      <c r="A90" s="184" t="s">
        <v>192</v>
      </c>
      <c r="B90" s="185"/>
      <c r="C90" s="185"/>
      <c r="D90" s="185"/>
      <c r="E90" s="185"/>
      <c r="F90" s="185"/>
      <c r="G90" s="185"/>
      <c r="H90" s="185"/>
      <c r="I90" s="185"/>
      <c r="J90" s="185"/>
      <c r="K90" s="185"/>
      <c r="L90" s="185"/>
      <c r="M90" s="185"/>
      <c r="N90" s="185"/>
      <c r="O90" s="185"/>
      <c r="P90" s="185"/>
      <c r="Q90" s="185"/>
      <c r="R90" s="185"/>
      <c r="S90" s="185"/>
      <c r="T90" s="185"/>
      <c r="U90" s="185"/>
      <c r="V90" s="185"/>
      <c r="W90" s="185"/>
      <c r="X90" s="185"/>
      <c r="Y90" s="185"/>
      <c r="Z90" s="185"/>
      <c r="AA90" s="185"/>
      <c r="AB90" s="185"/>
      <c r="AC90" s="185"/>
      <c r="AD90" s="185"/>
      <c r="AE90" s="185"/>
      <c r="AF90" s="188">
        <f t="shared" si="25"/>
        <v>0</v>
      </c>
    </row>
    <row r="91" hidden="1" outlineLevel="1">
      <c r="A91" s="184" t="s">
        <v>230</v>
      </c>
      <c r="B91" s="185"/>
      <c r="C91" s="185"/>
      <c r="D91" s="185"/>
      <c r="E91" s="185"/>
      <c r="F91" s="185"/>
      <c r="G91" s="185"/>
      <c r="H91" s="185"/>
      <c r="I91" s="185"/>
      <c r="J91" s="185"/>
      <c r="K91" s="185"/>
      <c r="L91" s="185"/>
      <c r="M91" s="185"/>
      <c r="N91" s="185"/>
      <c r="O91" s="185"/>
      <c r="P91" s="185"/>
      <c r="Q91" s="185"/>
      <c r="R91" s="185"/>
      <c r="S91" s="185"/>
      <c r="T91" s="185"/>
      <c r="U91" s="185"/>
      <c r="V91" s="185"/>
      <c r="W91" s="185"/>
      <c r="X91" s="185"/>
      <c r="Y91" s="185"/>
      <c r="Z91" s="185"/>
      <c r="AA91" s="185"/>
      <c r="AB91" s="185"/>
      <c r="AC91" s="185"/>
      <c r="AD91" s="185"/>
      <c r="AE91" s="185"/>
      <c r="AF91" s="188">
        <f t="shared" si="25"/>
        <v>0</v>
      </c>
    </row>
    <row r="92" hidden="1" outlineLevel="1">
      <c r="A92" s="184" t="s">
        <v>232</v>
      </c>
      <c r="B92" s="185"/>
      <c r="C92" s="185"/>
      <c r="D92" s="185"/>
      <c r="E92" s="185"/>
      <c r="F92" s="185"/>
      <c r="G92" s="185"/>
      <c r="H92" s="185"/>
      <c r="I92" s="185"/>
      <c r="J92" s="185"/>
      <c r="K92" s="185"/>
      <c r="L92" s="185"/>
      <c r="M92" s="185"/>
      <c r="N92" s="185"/>
      <c r="O92" s="185"/>
      <c r="P92" s="185"/>
      <c r="Q92" s="185"/>
      <c r="R92" s="185"/>
      <c r="S92" s="185"/>
      <c r="T92" s="185"/>
      <c r="U92" s="185"/>
      <c r="V92" s="185"/>
      <c r="W92" s="185"/>
      <c r="X92" s="185"/>
      <c r="Y92" s="185"/>
      <c r="Z92" s="185"/>
      <c r="AA92" s="185"/>
      <c r="AB92" s="185"/>
      <c r="AC92" s="185"/>
      <c r="AD92" s="185"/>
      <c r="AE92" s="185"/>
      <c r="AF92" s="188">
        <f t="shared" si="25"/>
        <v>0</v>
      </c>
    </row>
    <row r="93" hidden="1" outlineLevel="1">
      <c r="A93" s="192" t="s">
        <v>235</v>
      </c>
      <c r="B93" s="194">
        <f t="shared" ref="B93:AE93" si="26">SUM(B88:B92)</f>
        <v>0</v>
      </c>
      <c r="C93" s="194">
        <f t="shared" si="26"/>
        <v>0</v>
      </c>
      <c r="D93" s="194">
        <f t="shared" si="26"/>
        <v>0</v>
      </c>
      <c r="E93" s="194">
        <f t="shared" si="26"/>
        <v>0</v>
      </c>
      <c r="F93" s="194">
        <f t="shared" si="26"/>
        <v>0</v>
      </c>
      <c r="G93" s="194">
        <f t="shared" si="26"/>
        <v>0</v>
      </c>
      <c r="H93" s="194">
        <f t="shared" si="26"/>
        <v>0</v>
      </c>
      <c r="I93" s="194">
        <f t="shared" si="26"/>
        <v>0</v>
      </c>
      <c r="J93" s="194">
        <f t="shared" si="26"/>
        <v>0</v>
      </c>
      <c r="K93" s="194">
        <f t="shared" si="26"/>
        <v>0</v>
      </c>
      <c r="L93" s="194">
        <f t="shared" si="26"/>
        <v>0</v>
      </c>
      <c r="M93" s="194">
        <f t="shared" si="26"/>
        <v>0</v>
      </c>
      <c r="N93" s="194">
        <f t="shared" si="26"/>
        <v>0</v>
      </c>
      <c r="O93" s="194">
        <f t="shared" si="26"/>
        <v>0</v>
      </c>
      <c r="P93" s="194">
        <f t="shared" si="26"/>
        <v>0</v>
      </c>
      <c r="Q93" s="194">
        <f t="shared" si="26"/>
        <v>0</v>
      </c>
      <c r="R93" s="194">
        <f t="shared" si="26"/>
        <v>0</v>
      </c>
      <c r="S93" s="194">
        <f t="shared" si="26"/>
        <v>0</v>
      </c>
      <c r="T93" s="194">
        <f t="shared" si="26"/>
        <v>0</v>
      </c>
      <c r="U93" s="194">
        <f t="shared" si="26"/>
        <v>0</v>
      </c>
      <c r="V93" s="194">
        <f t="shared" si="26"/>
        <v>0</v>
      </c>
      <c r="W93" s="194">
        <f t="shared" si="26"/>
        <v>0</v>
      </c>
      <c r="X93" s="194">
        <f t="shared" si="26"/>
        <v>0</v>
      </c>
      <c r="Y93" s="194">
        <f t="shared" si="26"/>
        <v>0</v>
      </c>
      <c r="Z93" s="194">
        <f t="shared" si="26"/>
        <v>0</v>
      </c>
      <c r="AA93" s="194">
        <f t="shared" si="26"/>
        <v>0</v>
      </c>
      <c r="AB93" s="194">
        <f t="shared" si="26"/>
        <v>0</v>
      </c>
      <c r="AC93" s="194">
        <f t="shared" si="26"/>
        <v>0</v>
      </c>
      <c r="AD93" s="194">
        <f t="shared" si="26"/>
        <v>0</v>
      </c>
      <c r="AE93" s="194">
        <f t="shared" si="26"/>
        <v>0</v>
      </c>
      <c r="AF93" s="188">
        <f t="shared" si="25"/>
        <v>0</v>
      </c>
    </row>
    <row r="94" hidden="1" outlineLevel="1">
      <c r="A94" s="49"/>
      <c r="B94" s="183"/>
      <c r="C94" s="183"/>
      <c r="D94" s="183"/>
      <c r="E94" s="183"/>
      <c r="F94" s="183"/>
      <c r="G94" s="183"/>
      <c r="H94" s="183"/>
      <c r="I94" s="183"/>
      <c r="J94" s="183"/>
      <c r="K94" s="183"/>
      <c r="L94" s="183"/>
      <c r="M94" s="183"/>
      <c r="N94" s="183"/>
      <c r="O94" s="183"/>
      <c r="P94" s="183"/>
      <c r="Q94" s="183"/>
      <c r="R94" s="183"/>
      <c r="S94" s="183"/>
      <c r="T94" s="183"/>
      <c r="U94" s="183"/>
      <c r="V94" s="183"/>
      <c r="W94" s="183"/>
      <c r="X94" s="183"/>
      <c r="Y94" s="183"/>
      <c r="Z94" s="183"/>
      <c r="AA94" s="183"/>
      <c r="AB94" s="183"/>
      <c r="AC94" s="183"/>
      <c r="AD94" s="183"/>
      <c r="AE94" s="183"/>
      <c r="AF94" s="200"/>
    </row>
    <row r="95" hidden="1" outlineLevel="1">
      <c r="A95" s="184" t="s">
        <v>198</v>
      </c>
      <c r="B95" s="185"/>
      <c r="C95" s="185"/>
      <c r="D95" s="185"/>
      <c r="E95" s="185"/>
      <c r="F95" s="185"/>
      <c r="G95" s="185"/>
      <c r="H95" s="185"/>
      <c r="I95" s="185"/>
      <c r="J95" s="185"/>
      <c r="K95" s="185"/>
      <c r="L95" s="185"/>
      <c r="M95" s="185"/>
      <c r="N95" s="185"/>
      <c r="O95" s="185"/>
      <c r="P95" s="185"/>
      <c r="Q95" s="185"/>
      <c r="R95" s="185"/>
      <c r="S95" s="185"/>
      <c r="T95" s="185"/>
      <c r="U95" s="185"/>
      <c r="V95" s="185"/>
      <c r="W95" s="185"/>
      <c r="X95" s="185"/>
      <c r="Y95" s="185"/>
      <c r="Z95" s="185"/>
      <c r="AA95" s="185"/>
      <c r="AB95" s="185"/>
      <c r="AC95" s="185"/>
      <c r="AD95" s="185"/>
      <c r="AE95" s="185"/>
      <c r="AF95" s="188">
        <f t="shared" ref="AF95:AF100" si="27">SUM(B95:AE95)</f>
        <v>0</v>
      </c>
    </row>
    <row r="96" hidden="1" outlineLevel="1">
      <c r="A96" s="184" t="s">
        <v>201</v>
      </c>
      <c r="B96" s="185"/>
      <c r="C96" s="185"/>
      <c r="D96" s="185"/>
      <c r="E96" s="185"/>
      <c r="F96" s="185"/>
      <c r="G96" s="185"/>
      <c r="H96" s="185"/>
      <c r="I96" s="185"/>
      <c r="J96" s="185"/>
      <c r="K96" s="185"/>
      <c r="L96" s="185"/>
      <c r="M96" s="185"/>
      <c r="N96" s="185"/>
      <c r="O96" s="185"/>
      <c r="P96" s="185"/>
      <c r="Q96" s="185"/>
      <c r="R96" s="185"/>
      <c r="S96" s="185"/>
      <c r="T96" s="185"/>
      <c r="U96" s="185"/>
      <c r="V96" s="185"/>
      <c r="W96" s="185"/>
      <c r="X96" s="185"/>
      <c r="Y96" s="185"/>
      <c r="Z96" s="185"/>
      <c r="AA96" s="185"/>
      <c r="AB96" s="185"/>
      <c r="AC96" s="185"/>
      <c r="AD96" s="185"/>
      <c r="AE96" s="185"/>
      <c r="AF96" s="188">
        <f t="shared" si="27"/>
        <v>0</v>
      </c>
    </row>
    <row r="97" hidden="1" outlineLevel="1">
      <c r="A97" s="184" t="s">
        <v>202</v>
      </c>
      <c r="B97" s="185"/>
      <c r="C97" s="185"/>
      <c r="D97" s="185"/>
      <c r="E97" s="185"/>
      <c r="F97" s="185"/>
      <c r="G97" s="185"/>
      <c r="H97" s="185"/>
      <c r="I97" s="185"/>
      <c r="J97" s="185"/>
      <c r="K97" s="185"/>
      <c r="L97" s="185"/>
      <c r="M97" s="185"/>
      <c r="N97" s="185"/>
      <c r="O97" s="185"/>
      <c r="P97" s="185"/>
      <c r="Q97" s="185"/>
      <c r="R97" s="185"/>
      <c r="S97" s="185"/>
      <c r="T97" s="185"/>
      <c r="U97" s="185"/>
      <c r="V97" s="185"/>
      <c r="W97" s="185"/>
      <c r="X97" s="185"/>
      <c r="Y97" s="185"/>
      <c r="Z97" s="185"/>
      <c r="AA97" s="185"/>
      <c r="AB97" s="185"/>
      <c r="AC97" s="185"/>
      <c r="AD97" s="185"/>
      <c r="AE97" s="185"/>
      <c r="AF97" s="188">
        <f t="shared" si="27"/>
        <v>0</v>
      </c>
    </row>
    <row r="98" hidden="1" outlineLevel="1">
      <c r="A98" s="184" t="s">
        <v>203</v>
      </c>
      <c r="B98" s="185"/>
      <c r="C98" s="185"/>
      <c r="D98" s="185"/>
      <c r="E98" s="185"/>
      <c r="F98" s="185"/>
      <c r="G98" s="185"/>
      <c r="H98" s="185"/>
      <c r="I98" s="185"/>
      <c r="J98" s="185"/>
      <c r="K98" s="185"/>
      <c r="L98" s="185"/>
      <c r="M98" s="185"/>
      <c r="N98" s="185"/>
      <c r="O98" s="185"/>
      <c r="P98" s="185"/>
      <c r="Q98" s="185"/>
      <c r="R98" s="185"/>
      <c r="S98" s="185"/>
      <c r="T98" s="185"/>
      <c r="U98" s="185"/>
      <c r="V98" s="185"/>
      <c r="W98" s="185"/>
      <c r="X98" s="185"/>
      <c r="Y98" s="185"/>
      <c r="Z98" s="185"/>
      <c r="AA98" s="185"/>
      <c r="AB98" s="185"/>
      <c r="AC98" s="185"/>
      <c r="AD98" s="185"/>
      <c r="AE98" s="185"/>
      <c r="AF98" s="188">
        <f t="shared" si="27"/>
        <v>0</v>
      </c>
    </row>
    <row r="99" hidden="1" outlineLevel="1">
      <c r="A99" s="184" t="s">
        <v>204</v>
      </c>
      <c r="B99" s="185"/>
      <c r="C99" s="185"/>
      <c r="D99" s="185"/>
      <c r="E99" s="185"/>
      <c r="F99" s="185"/>
      <c r="G99" s="185"/>
      <c r="H99" s="185"/>
      <c r="I99" s="185"/>
      <c r="J99" s="185"/>
      <c r="K99" s="185"/>
      <c r="L99" s="185"/>
      <c r="M99" s="185"/>
      <c r="N99" s="185"/>
      <c r="O99" s="185"/>
      <c r="P99" s="185"/>
      <c r="Q99" s="185"/>
      <c r="R99" s="185"/>
      <c r="S99" s="185"/>
      <c r="T99" s="185"/>
      <c r="U99" s="185"/>
      <c r="V99" s="185"/>
      <c r="W99" s="185"/>
      <c r="X99" s="185"/>
      <c r="Y99" s="185"/>
      <c r="Z99" s="185"/>
      <c r="AA99" s="185"/>
      <c r="AB99" s="185"/>
      <c r="AC99" s="185"/>
      <c r="AD99" s="185"/>
      <c r="AE99" s="185"/>
      <c r="AF99" s="188">
        <f t="shared" si="27"/>
        <v>0</v>
      </c>
    </row>
    <row r="100" hidden="1" outlineLevel="1">
      <c r="A100" s="209" t="s">
        <v>205</v>
      </c>
      <c r="B100" s="194">
        <f t="shared" ref="B100:AE100" si="28">SUM(B95:B99)</f>
        <v>0</v>
      </c>
      <c r="C100" s="194">
        <f t="shared" si="28"/>
        <v>0</v>
      </c>
      <c r="D100" s="194">
        <f t="shared" si="28"/>
        <v>0</v>
      </c>
      <c r="E100" s="194">
        <f t="shared" si="28"/>
        <v>0</v>
      </c>
      <c r="F100" s="194">
        <f t="shared" si="28"/>
        <v>0</v>
      </c>
      <c r="G100" s="194">
        <f t="shared" si="28"/>
        <v>0</v>
      </c>
      <c r="H100" s="194">
        <f t="shared" si="28"/>
        <v>0</v>
      </c>
      <c r="I100" s="194">
        <f t="shared" si="28"/>
        <v>0</v>
      </c>
      <c r="J100" s="194">
        <f t="shared" si="28"/>
        <v>0</v>
      </c>
      <c r="K100" s="194">
        <f t="shared" si="28"/>
        <v>0</v>
      </c>
      <c r="L100" s="194">
        <f t="shared" si="28"/>
        <v>0</v>
      </c>
      <c r="M100" s="194">
        <f t="shared" si="28"/>
        <v>0</v>
      </c>
      <c r="N100" s="194">
        <f t="shared" si="28"/>
        <v>0</v>
      </c>
      <c r="O100" s="194">
        <f t="shared" si="28"/>
        <v>0</v>
      </c>
      <c r="P100" s="194">
        <f t="shared" si="28"/>
        <v>0</v>
      </c>
      <c r="Q100" s="194">
        <f t="shared" si="28"/>
        <v>0</v>
      </c>
      <c r="R100" s="194">
        <f t="shared" si="28"/>
        <v>0</v>
      </c>
      <c r="S100" s="194">
        <f t="shared" si="28"/>
        <v>0</v>
      </c>
      <c r="T100" s="194">
        <f t="shared" si="28"/>
        <v>0</v>
      </c>
      <c r="U100" s="194">
        <f t="shared" si="28"/>
        <v>0</v>
      </c>
      <c r="V100" s="194">
        <f t="shared" si="28"/>
        <v>0</v>
      </c>
      <c r="W100" s="194">
        <f t="shared" si="28"/>
        <v>0</v>
      </c>
      <c r="X100" s="194">
        <f t="shared" si="28"/>
        <v>0</v>
      </c>
      <c r="Y100" s="194">
        <f t="shared" si="28"/>
        <v>0</v>
      </c>
      <c r="Z100" s="194">
        <f t="shared" si="28"/>
        <v>0</v>
      </c>
      <c r="AA100" s="194">
        <f t="shared" si="28"/>
        <v>0</v>
      </c>
      <c r="AB100" s="194">
        <f t="shared" si="28"/>
        <v>0</v>
      </c>
      <c r="AC100" s="194">
        <f t="shared" si="28"/>
        <v>0</v>
      </c>
      <c r="AD100" s="194">
        <f t="shared" si="28"/>
        <v>0</v>
      </c>
      <c r="AE100" s="194">
        <f t="shared" si="28"/>
        <v>0</v>
      </c>
      <c r="AF100" s="188">
        <f t="shared" si="27"/>
        <v>0</v>
      </c>
    </row>
    <row r="101" hidden="1" outlineLevel="1">
      <c r="A101" s="49"/>
      <c r="B101" s="183"/>
      <c r="C101" s="183"/>
      <c r="D101" s="183"/>
      <c r="E101" s="183"/>
      <c r="F101" s="183"/>
      <c r="G101" s="183"/>
      <c r="H101" s="183"/>
      <c r="I101" s="183"/>
      <c r="J101" s="183"/>
      <c r="K101" s="183"/>
      <c r="L101" s="183"/>
      <c r="M101" s="183"/>
      <c r="N101" s="183"/>
      <c r="O101" s="183"/>
      <c r="P101" s="183"/>
      <c r="Q101" s="183"/>
      <c r="R101" s="183"/>
      <c r="S101" s="183"/>
      <c r="T101" s="183"/>
      <c r="U101" s="183"/>
      <c r="V101" s="183"/>
      <c r="W101" s="183"/>
      <c r="X101" s="183"/>
      <c r="Y101" s="183"/>
      <c r="Z101" s="183"/>
      <c r="AA101" s="183"/>
      <c r="AB101" s="183"/>
      <c r="AC101" s="183"/>
      <c r="AD101" s="183"/>
      <c r="AE101" s="183"/>
      <c r="AF101" s="200"/>
    </row>
    <row r="102" hidden="1" outlineLevel="1">
      <c r="A102" s="184" t="s">
        <v>207</v>
      </c>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8">
        <f t="shared" ref="AF102:AF107" si="29">SUM(B102:AE102)</f>
        <v>0</v>
      </c>
    </row>
    <row r="103" hidden="1" outlineLevel="1">
      <c r="A103" s="184" t="s">
        <v>209</v>
      </c>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c r="AC103" s="189"/>
      <c r="AD103" s="189"/>
      <c r="AE103" s="189"/>
      <c r="AF103" s="188">
        <f t="shared" si="29"/>
        <v>0</v>
      </c>
    </row>
    <row r="104" hidden="1" outlineLevel="1">
      <c r="A104" s="184" t="s">
        <v>210</v>
      </c>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8">
        <f t="shared" si="29"/>
        <v>0</v>
      </c>
    </row>
    <row r="105" hidden="1" outlineLevel="1">
      <c r="A105" s="184" t="s">
        <v>211</v>
      </c>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8">
        <f t="shared" si="29"/>
        <v>0</v>
      </c>
    </row>
    <row r="106" hidden="1" outlineLevel="1">
      <c r="A106" s="184" t="s">
        <v>212</v>
      </c>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8">
        <f t="shared" si="29"/>
        <v>0</v>
      </c>
    </row>
    <row r="107" hidden="1" outlineLevel="1">
      <c r="A107" s="209" t="s">
        <v>214</v>
      </c>
      <c r="B107" s="194">
        <f t="shared" ref="B107:AE107" si="30">SUM(B102:B106)</f>
        <v>0</v>
      </c>
      <c r="C107" s="194">
        <f t="shared" si="30"/>
        <v>0</v>
      </c>
      <c r="D107" s="194">
        <f t="shared" si="30"/>
        <v>0</v>
      </c>
      <c r="E107" s="194">
        <f t="shared" si="30"/>
        <v>0</v>
      </c>
      <c r="F107" s="194">
        <f t="shared" si="30"/>
        <v>0</v>
      </c>
      <c r="G107" s="194">
        <f t="shared" si="30"/>
        <v>0</v>
      </c>
      <c r="H107" s="194">
        <f t="shared" si="30"/>
        <v>0</v>
      </c>
      <c r="I107" s="194">
        <f t="shared" si="30"/>
        <v>0</v>
      </c>
      <c r="J107" s="194">
        <f t="shared" si="30"/>
        <v>0</v>
      </c>
      <c r="K107" s="194">
        <f t="shared" si="30"/>
        <v>0</v>
      </c>
      <c r="L107" s="194">
        <f t="shared" si="30"/>
        <v>0</v>
      </c>
      <c r="M107" s="194">
        <f t="shared" si="30"/>
        <v>0</v>
      </c>
      <c r="N107" s="194">
        <f t="shared" si="30"/>
        <v>0</v>
      </c>
      <c r="O107" s="194">
        <f t="shared" si="30"/>
        <v>0</v>
      </c>
      <c r="P107" s="194">
        <f t="shared" si="30"/>
        <v>0</v>
      </c>
      <c r="Q107" s="194">
        <f t="shared" si="30"/>
        <v>0</v>
      </c>
      <c r="R107" s="194">
        <f t="shared" si="30"/>
        <v>0</v>
      </c>
      <c r="S107" s="194">
        <f t="shared" si="30"/>
        <v>0</v>
      </c>
      <c r="T107" s="194">
        <f t="shared" si="30"/>
        <v>0</v>
      </c>
      <c r="U107" s="194">
        <f t="shared" si="30"/>
        <v>0</v>
      </c>
      <c r="V107" s="194">
        <f t="shared" si="30"/>
        <v>0</v>
      </c>
      <c r="W107" s="194">
        <f t="shared" si="30"/>
        <v>0</v>
      </c>
      <c r="X107" s="194">
        <f t="shared" si="30"/>
        <v>0</v>
      </c>
      <c r="Y107" s="194">
        <f t="shared" si="30"/>
        <v>0</v>
      </c>
      <c r="Z107" s="194">
        <f t="shared" si="30"/>
        <v>0</v>
      </c>
      <c r="AA107" s="194">
        <f t="shared" si="30"/>
        <v>0</v>
      </c>
      <c r="AB107" s="194">
        <f t="shared" si="30"/>
        <v>0</v>
      </c>
      <c r="AC107" s="194">
        <f t="shared" si="30"/>
        <v>0</v>
      </c>
      <c r="AD107" s="194">
        <f t="shared" si="30"/>
        <v>0</v>
      </c>
      <c r="AE107" s="194">
        <f t="shared" si="30"/>
        <v>0</v>
      </c>
      <c r="AF107" s="188">
        <f t="shared" si="29"/>
        <v>0</v>
      </c>
    </row>
    <row r="108">
      <c r="A108" s="4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200"/>
    </row>
    <row r="109">
      <c r="A109" s="4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6"/>
    </row>
    <row r="110">
      <c r="A110" s="75" t="s">
        <v>250</v>
      </c>
      <c r="B110" s="139"/>
      <c r="C110" s="139"/>
      <c r="D110" s="139"/>
      <c r="E110" s="139"/>
      <c r="F110" s="139"/>
      <c r="G110" s="139"/>
      <c r="H110" s="139"/>
      <c r="I110" s="9"/>
      <c r="J110" s="9"/>
      <c r="K110" s="9"/>
      <c r="L110" s="9"/>
      <c r="M110" s="9"/>
      <c r="N110" s="9"/>
      <c r="O110" s="9"/>
      <c r="P110" s="9"/>
      <c r="Q110" s="9"/>
      <c r="R110" s="9"/>
      <c r="S110" s="9"/>
      <c r="T110" s="9"/>
      <c r="U110" s="9"/>
      <c r="V110" s="9"/>
      <c r="W110" s="9"/>
      <c r="X110" s="9"/>
      <c r="Y110" s="9"/>
      <c r="Z110" s="9"/>
      <c r="AA110" s="9"/>
      <c r="AB110" s="9"/>
      <c r="AC110" s="9"/>
      <c r="AD110" s="9"/>
      <c r="AE110" s="9"/>
      <c r="AF110" s="6"/>
    </row>
    <row r="111">
      <c r="A111" s="117" t="s">
        <v>252</v>
      </c>
      <c r="B111" s="112">
        <v>0.0</v>
      </c>
      <c r="C111" s="112">
        <v>0.0</v>
      </c>
      <c r="D111" s="112">
        <v>0.0</v>
      </c>
      <c r="E111" s="112">
        <v>0.0</v>
      </c>
      <c r="F111" s="112">
        <v>0.0</v>
      </c>
      <c r="G111" s="112">
        <v>0.0</v>
      </c>
      <c r="H111" s="112">
        <v>1.0</v>
      </c>
      <c r="I111" s="112">
        <v>1.0</v>
      </c>
      <c r="J111" s="112">
        <v>3.0</v>
      </c>
      <c r="K111" s="112">
        <v>1.0</v>
      </c>
      <c r="L111" s="112">
        <v>1.0</v>
      </c>
      <c r="M111" s="112">
        <v>0.0</v>
      </c>
      <c r="N111" s="112">
        <v>2.0</v>
      </c>
      <c r="O111" s="112">
        <v>0.0</v>
      </c>
      <c r="P111" s="112">
        <v>1.0</v>
      </c>
      <c r="Q111" s="112">
        <v>0.0</v>
      </c>
      <c r="R111" s="114">
        <v>0.0</v>
      </c>
      <c r="S111" s="114">
        <v>0.0</v>
      </c>
      <c r="T111" s="114">
        <v>1.0</v>
      </c>
      <c r="U111" s="114">
        <v>0.0</v>
      </c>
      <c r="V111" s="114">
        <v>0.0</v>
      </c>
      <c r="W111" s="114">
        <v>0.0</v>
      </c>
      <c r="X111" s="114">
        <v>0.0</v>
      </c>
      <c r="Y111" s="114">
        <v>0.0</v>
      </c>
      <c r="Z111" s="114">
        <v>0.0</v>
      </c>
      <c r="AA111" s="114">
        <v>0.0</v>
      </c>
      <c r="AB111" s="114">
        <v>0.0</v>
      </c>
      <c r="AC111" s="114">
        <v>0.0</v>
      </c>
      <c r="AD111" s="114">
        <v>0.0</v>
      </c>
      <c r="AE111" s="114">
        <v>0.0</v>
      </c>
      <c r="AF111" s="125">
        <f t="shared" ref="AF111:AF116" si="31">SUM(B111:AE111)</f>
        <v>11</v>
      </c>
    </row>
    <row r="112">
      <c r="A112" s="117" t="s">
        <v>254</v>
      </c>
      <c r="B112" s="112">
        <v>0.0</v>
      </c>
      <c r="C112" s="112">
        <v>0.0</v>
      </c>
      <c r="D112" s="112">
        <v>0.0</v>
      </c>
      <c r="E112" s="112">
        <v>0.0</v>
      </c>
      <c r="F112" s="112">
        <v>0.0</v>
      </c>
      <c r="G112" s="112">
        <v>0.0</v>
      </c>
      <c r="H112" s="112">
        <v>0.0</v>
      </c>
      <c r="I112" s="112">
        <v>0.0</v>
      </c>
      <c r="J112" s="112">
        <v>0.0</v>
      </c>
      <c r="K112" s="112">
        <v>0.0</v>
      </c>
      <c r="L112" s="112">
        <v>0.0</v>
      </c>
      <c r="M112" s="112">
        <v>0.0</v>
      </c>
      <c r="N112" s="112">
        <v>0.0</v>
      </c>
      <c r="O112" s="112">
        <v>0.0</v>
      </c>
      <c r="P112" s="112">
        <v>0.0</v>
      </c>
      <c r="Q112" s="112">
        <v>0.0</v>
      </c>
      <c r="R112" s="114">
        <v>0.0</v>
      </c>
      <c r="S112" s="114">
        <v>0.0</v>
      </c>
      <c r="T112" s="114">
        <v>0.0</v>
      </c>
      <c r="U112" s="114">
        <v>0.0</v>
      </c>
      <c r="V112" s="114">
        <v>0.0</v>
      </c>
      <c r="W112" s="114">
        <v>0.0</v>
      </c>
      <c r="X112" s="114">
        <v>0.0</v>
      </c>
      <c r="Y112" s="114">
        <v>0.0</v>
      </c>
      <c r="Z112" s="114">
        <v>0.0</v>
      </c>
      <c r="AA112" s="114">
        <v>0.0</v>
      </c>
      <c r="AB112" s="114">
        <v>0.0</v>
      </c>
      <c r="AC112" s="114">
        <v>0.0</v>
      </c>
      <c r="AD112" s="114">
        <v>0.0</v>
      </c>
      <c r="AE112" s="114">
        <v>0.0</v>
      </c>
      <c r="AF112" s="125">
        <f t="shared" si="31"/>
        <v>0</v>
      </c>
    </row>
    <row r="113">
      <c r="A113" s="117" t="s">
        <v>255</v>
      </c>
      <c r="B113" s="112">
        <v>0.0</v>
      </c>
      <c r="C113" s="112">
        <v>2.0</v>
      </c>
      <c r="D113" s="112">
        <v>2.0</v>
      </c>
      <c r="E113" s="112">
        <v>1.0</v>
      </c>
      <c r="F113" s="112">
        <v>1.0</v>
      </c>
      <c r="G113" s="112">
        <v>0.0</v>
      </c>
      <c r="H113" s="112">
        <v>0.0</v>
      </c>
      <c r="I113" s="112">
        <v>1.0</v>
      </c>
      <c r="J113" s="112">
        <v>3.0</v>
      </c>
      <c r="K113" s="112">
        <v>0.0</v>
      </c>
      <c r="L113" s="112">
        <v>6.0</v>
      </c>
      <c r="M113" s="112">
        <v>3.0</v>
      </c>
      <c r="N113" s="112">
        <v>3.0</v>
      </c>
      <c r="O113" s="112">
        <v>2.0</v>
      </c>
      <c r="P113" s="112">
        <v>4.0</v>
      </c>
      <c r="Q113" s="112">
        <v>6.0</v>
      </c>
      <c r="R113" s="114">
        <v>1.0</v>
      </c>
      <c r="S113" s="114">
        <v>2.0</v>
      </c>
      <c r="T113" s="114">
        <v>1.0</v>
      </c>
      <c r="U113" s="114">
        <v>5.0</v>
      </c>
      <c r="V113" s="114">
        <v>6.0</v>
      </c>
      <c r="W113" s="114">
        <v>11.0</v>
      </c>
      <c r="X113" s="114">
        <v>13.0</v>
      </c>
      <c r="Y113" s="114">
        <v>78.0</v>
      </c>
      <c r="Z113" s="114">
        <v>52.0</v>
      </c>
      <c r="AA113" s="114">
        <v>21.0</v>
      </c>
      <c r="AB113" s="114">
        <v>10.0</v>
      </c>
      <c r="AC113" s="114">
        <v>0.0</v>
      </c>
      <c r="AD113" s="114">
        <v>0.0</v>
      </c>
      <c r="AE113" s="114">
        <v>0.0</v>
      </c>
      <c r="AF113" s="125">
        <f t="shared" si="31"/>
        <v>234</v>
      </c>
    </row>
    <row r="114">
      <c r="A114" s="117" t="s">
        <v>257</v>
      </c>
      <c r="B114" s="112">
        <v>0.0</v>
      </c>
      <c r="C114" s="112">
        <v>0.0</v>
      </c>
      <c r="D114" s="112">
        <v>0.0</v>
      </c>
      <c r="E114" s="112">
        <v>0.0</v>
      </c>
      <c r="F114" s="112">
        <v>0.0</v>
      </c>
      <c r="G114" s="112">
        <v>0.0</v>
      </c>
      <c r="H114" s="112">
        <v>0.0</v>
      </c>
      <c r="I114" s="112">
        <v>0.0</v>
      </c>
      <c r="J114" s="112">
        <v>0.0</v>
      </c>
      <c r="K114" s="112">
        <v>1.0</v>
      </c>
      <c r="L114" s="112">
        <v>0.0</v>
      </c>
      <c r="M114" s="112">
        <v>1.0</v>
      </c>
      <c r="N114" s="112">
        <v>0.0</v>
      </c>
      <c r="O114" s="112">
        <v>0.0</v>
      </c>
      <c r="P114" s="112">
        <v>1.0</v>
      </c>
      <c r="Q114" s="112">
        <v>0.0</v>
      </c>
      <c r="R114" s="114">
        <v>0.0</v>
      </c>
      <c r="S114" s="114">
        <v>0.0</v>
      </c>
      <c r="T114" s="114">
        <v>0.0</v>
      </c>
      <c r="U114" s="114">
        <v>1.0</v>
      </c>
      <c r="V114" s="114">
        <v>0.0</v>
      </c>
      <c r="W114" s="114">
        <v>0.0</v>
      </c>
      <c r="X114" s="114">
        <v>0.0</v>
      </c>
      <c r="Y114" s="114">
        <v>0.0</v>
      </c>
      <c r="Z114" s="114">
        <v>0.0</v>
      </c>
      <c r="AA114" s="114">
        <v>0.0</v>
      </c>
      <c r="AB114" s="114">
        <v>0.0</v>
      </c>
      <c r="AC114" s="114">
        <v>0.0</v>
      </c>
      <c r="AD114" s="114">
        <v>0.0</v>
      </c>
      <c r="AE114" s="114">
        <v>0.0</v>
      </c>
      <c r="AF114" s="125">
        <f t="shared" si="31"/>
        <v>4</v>
      </c>
    </row>
    <row r="115">
      <c r="A115" s="204" t="s">
        <v>258</v>
      </c>
      <c r="B115" s="219">
        <f t="shared" ref="B115:AE115" si="32">B111+B112</f>
        <v>0</v>
      </c>
      <c r="C115" s="219">
        <f t="shared" si="32"/>
        <v>0</v>
      </c>
      <c r="D115" s="219">
        <f t="shared" si="32"/>
        <v>0</v>
      </c>
      <c r="E115" s="219">
        <f t="shared" si="32"/>
        <v>0</v>
      </c>
      <c r="F115" s="219">
        <f t="shared" si="32"/>
        <v>0</v>
      </c>
      <c r="G115" s="219">
        <f t="shared" si="32"/>
        <v>0</v>
      </c>
      <c r="H115" s="219">
        <f t="shared" si="32"/>
        <v>1</v>
      </c>
      <c r="I115" s="219">
        <f t="shared" si="32"/>
        <v>1</v>
      </c>
      <c r="J115" s="219">
        <f t="shared" si="32"/>
        <v>3</v>
      </c>
      <c r="K115" s="219">
        <f t="shared" si="32"/>
        <v>1</v>
      </c>
      <c r="L115" s="219">
        <f t="shared" si="32"/>
        <v>1</v>
      </c>
      <c r="M115" s="219">
        <f t="shared" si="32"/>
        <v>0</v>
      </c>
      <c r="N115" s="219">
        <f t="shared" si="32"/>
        <v>2</v>
      </c>
      <c r="O115" s="219">
        <f t="shared" si="32"/>
        <v>0</v>
      </c>
      <c r="P115" s="219">
        <f t="shared" si="32"/>
        <v>1</v>
      </c>
      <c r="Q115" s="219">
        <f t="shared" si="32"/>
        <v>0</v>
      </c>
      <c r="R115" s="219">
        <f t="shared" si="32"/>
        <v>0</v>
      </c>
      <c r="S115" s="219">
        <f t="shared" si="32"/>
        <v>0</v>
      </c>
      <c r="T115" s="219">
        <f t="shared" si="32"/>
        <v>1</v>
      </c>
      <c r="U115" s="219">
        <f t="shared" si="32"/>
        <v>0</v>
      </c>
      <c r="V115" s="219">
        <f t="shared" si="32"/>
        <v>0</v>
      </c>
      <c r="W115" s="219">
        <f t="shared" si="32"/>
        <v>0</v>
      </c>
      <c r="X115" s="219">
        <f t="shared" si="32"/>
        <v>0</v>
      </c>
      <c r="Y115" s="219">
        <f t="shared" si="32"/>
        <v>0</v>
      </c>
      <c r="Z115" s="219">
        <f t="shared" si="32"/>
        <v>0</v>
      </c>
      <c r="AA115" s="219">
        <f t="shared" si="32"/>
        <v>0</v>
      </c>
      <c r="AB115" s="219">
        <f t="shared" si="32"/>
        <v>0</v>
      </c>
      <c r="AC115" s="219">
        <f t="shared" si="32"/>
        <v>0</v>
      </c>
      <c r="AD115" s="219">
        <f t="shared" si="32"/>
        <v>0</v>
      </c>
      <c r="AE115" s="219">
        <f t="shared" si="32"/>
        <v>0</v>
      </c>
      <c r="AF115" s="125">
        <f t="shared" si="31"/>
        <v>11</v>
      </c>
    </row>
    <row r="116">
      <c r="A116" s="204" t="s">
        <v>260</v>
      </c>
      <c r="B116" s="219">
        <f t="shared" ref="B116:AE116" si="33">B113+B114</f>
        <v>0</v>
      </c>
      <c r="C116" s="219">
        <f t="shared" si="33"/>
        <v>2</v>
      </c>
      <c r="D116" s="219">
        <f t="shared" si="33"/>
        <v>2</v>
      </c>
      <c r="E116" s="219">
        <f t="shared" si="33"/>
        <v>1</v>
      </c>
      <c r="F116" s="219">
        <f t="shared" si="33"/>
        <v>1</v>
      </c>
      <c r="G116" s="219">
        <f t="shared" si="33"/>
        <v>0</v>
      </c>
      <c r="H116" s="219">
        <f t="shared" si="33"/>
        <v>0</v>
      </c>
      <c r="I116" s="219">
        <f t="shared" si="33"/>
        <v>1</v>
      </c>
      <c r="J116" s="219">
        <f t="shared" si="33"/>
        <v>3</v>
      </c>
      <c r="K116" s="219">
        <f t="shared" si="33"/>
        <v>1</v>
      </c>
      <c r="L116" s="219">
        <f t="shared" si="33"/>
        <v>6</v>
      </c>
      <c r="M116" s="219">
        <f t="shared" si="33"/>
        <v>4</v>
      </c>
      <c r="N116" s="219">
        <f t="shared" si="33"/>
        <v>3</v>
      </c>
      <c r="O116" s="219">
        <f t="shared" si="33"/>
        <v>2</v>
      </c>
      <c r="P116" s="219">
        <f t="shared" si="33"/>
        <v>5</v>
      </c>
      <c r="Q116" s="219">
        <f t="shared" si="33"/>
        <v>6</v>
      </c>
      <c r="R116" s="219">
        <f t="shared" si="33"/>
        <v>1</v>
      </c>
      <c r="S116" s="219">
        <f t="shared" si="33"/>
        <v>2</v>
      </c>
      <c r="T116" s="219">
        <f t="shared" si="33"/>
        <v>1</v>
      </c>
      <c r="U116" s="219">
        <f t="shared" si="33"/>
        <v>6</v>
      </c>
      <c r="V116" s="219">
        <f t="shared" si="33"/>
        <v>6</v>
      </c>
      <c r="W116" s="219">
        <f t="shared" si="33"/>
        <v>11</v>
      </c>
      <c r="X116" s="219">
        <f t="shared" si="33"/>
        <v>13</v>
      </c>
      <c r="Y116" s="219">
        <f t="shared" si="33"/>
        <v>78</v>
      </c>
      <c r="Z116" s="219">
        <f t="shared" si="33"/>
        <v>52</v>
      </c>
      <c r="AA116" s="219">
        <f t="shared" si="33"/>
        <v>21</v>
      </c>
      <c r="AB116" s="219">
        <f t="shared" si="33"/>
        <v>10</v>
      </c>
      <c r="AC116" s="219">
        <f t="shared" si="33"/>
        <v>0</v>
      </c>
      <c r="AD116" s="219">
        <f t="shared" si="33"/>
        <v>0</v>
      </c>
      <c r="AE116" s="219">
        <f t="shared" si="33"/>
        <v>0</v>
      </c>
      <c r="AF116" s="125">
        <f t="shared" si="31"/>
        <v>238</v>
      </c>
    </row>
    <row r="117">
      <c r="A117" s="49"/>
      <c r="B117" s="139"/>
      <c r="C117" s="139"/>
      <c r="D117" s="139"/>
      <c r="E117" s="139"/>
      <c r="F117" s="139"/>
      <c r="G117" s="139"/>
      <c r="H117" s="139"/>
      <c r="I117" s="9"/>
      <c r="J117" s="9"/>
      <c r="K117" s="9"/>
      <c r="L117" s="9"/>
      <c r="M117" s="9"/>
      <c r="N117" s="9"/>
      <c r="O117" s="15"/>
      <c r="P117" s="9"/>
      <c r="Q117" s="9"/>
      <c r="R117" s="9"/>
      <c r="S117" s="9"/>
      <c r="T117" s="9"/>
      <c r="U117" s="9"/>
      <c r="V117" s="9"/>
      <c r="W117" s="9"/>
      <c r="X117" s="9"/>
      <c r="Y117" s="9"/>
      <c r="Z117" s="9"/>
      <c r="AA117" s="9"/>
      <c r="AB117" s="9"/>
      <c r="AC117" s="9"/>
      <c r="AD117" s="9"/>
      <c r="AE117" s="9"/>
      <c r="AF117" s="137"/>
    </row>
    <row r="118">
      <c r="A118" s="117" t="s">
        <v>264</v>
      </c>
      <c r="B118" s="112">
        <v>0.0</v>
      </c>
      <c r="C118" s="112">
        <v>0.0</v>
      </c>
      <c r="D118" s="112">
        <v>0.0</v>
      </c>
      <c r="E118" s="112">
        <v>0.0</v>
      </c>
      <c r="F118" s="112">
        <v>1.0</v>
      </c>
      <c r="G118" s="112">
        <v>0.0</v>
      </c>
      <c r="H118" s="112">
        <v>0.0</v>
      </c>
      <c r="I118" s="112">
        <v>1.0</v>
      </c>
      <c r="J118" s="112">
        <v>2.0</v>
      </c>
      <c r="K118" s="112">
        <v>0.0</v>
      </c>
      <c r="L118" s="112">
        <v>0.0</v>
      </c>
      <c r="M118" s="112">
        <v>0.0</v>
      </c>
      <c r="N118" s="112">
        <v>1.0</v>
      </c>
      <c r="O118" s="112">
        <v>0.0</v>
      </c>
      <c r="P118" s="112">
        <v>0.0</v>
      </c>
      <c r="Q118" s="112">
        <v>1.0</v>
      </c>
      <c r="R118" s="114">
        <v>1.0</v>
      </c>
      <c r="S118" s="114">
        <v>0.0</v>
      </c>
      <c r="T118" s="114">
        <v>0.0</v>
      </c>
      <c r="U118" s="114">
        <v>2.0</v>
      </c>
      <c r="V118" s="114">
        <v>0.0</v>
      </c>
      <c r="W118" s="114">
        <v>0.0</v>
      </c>
      <c r="X118" s="114">
        <v>0.0</v>
      </c>
      <c r="Y118" s="114">
        <v>1.0</v>
      </c>
      <c r="Z118" s="114">
        <v>3.0</v>
      </c>
      <c r="AA118" s="114">
        <v>0.0</v>
      </c>
      <c r="AB118" s="114">
        <v>0.0</v>
      </c>
      <c r="AC118" s="114">
        <v>0.0</v>
      </c>
      <c r="AD118" s="114">
        <v>0.0</v>
      </c>
      <c r="AE118" s="114">
        <v>0.0</v>
      </c>
      <c r="AF118" s="125">
        <f t="shared" ref="AF118:AF126" si="34">SUM(B118:AE118)</f>
        <v>13</v>
      </c>
    </row>
    <row r="119">
      <c r="A119" s="117" t="s">
        <v>267</v>
      </c>
      <c r="B119" s="222"/>
      <c r="C119" s="222"/>
      <c r="D119" s="223"/>
      <c r="E119" s="223"/>
      <c r="F119" s="223"/>
      <c r="G119" s="223"/>
      <c r="H119" s="223"/>
      <c r="I119" s="223"/>
      <c r="J119" s="223"/>
      <c r="K119" s="223"/>
      <c r="L119" s="223"/>
      <c r="M119" s="223"/>
      <c r="N119" s="223"/>
      <c r="O119" s="223"/>
      <c r="P119" s="223"/>
      <c r="Q119" s="223"/>
      <c r="R119" s="225"/>
      <c r="S119" s="225"/>
      <c r="T119" s="225"/>
      <c r="U119" s="225"/>
      <c r="V119" s="225"/>
      <c r="W119" s="225"/>
      <c r="X119" s="225"/>
      <c r="Y119" s="225"/>
      <c r="Z119" s="225"/>
      <c r="AA119" s="225"/>
      <c r="AB119" s="225"/>
      <c r="AC119" s="225"/>
      <c r="AD119" s="225"/>
      <c r="AE119" s="225"/>
      <c r="AF119" s="125">
        <f t="shared" si="34"/>
        <v>0</v>
      </c>
    </row>
    <row r="120">
      <c r="A120" s="117" t="s">
        <v>270</v>
      </c>
      <c r="B120" s="222"/>
      <c r="C120" s="222"/>
      <c r="D120" s="223"/>
      <c r="E120" s="223"/>
      <c r="F120" s="223"/>
      <c r="G120" s="223"/>
      <c r="H120" s="223"/>
      <c r="I120" s="223"/>
      <c r="J120" s="223"/>
      <c r="K120" s="223"/>
      <c r="L120" s="223"/>
      <c r="M120" s="223"/>
      <c r="N120" s="223"/>
      <c r="O120" s="223"/>
      <c r="P120" s="223"/>
      <c r="Q120" s="223"/>
      <c r="R120" s="225"/>
      <c r="S120" s="225"/>
      <c r="T120" s="225"/>
      <c r="U120" s="225"/>
      <c r="V120" s="225"/>
      <c r="W120" s="225"/>
      <c r="X120" s="225"/>
      <c r="Y120" s="225"/>
      <c r="Z120" s="225"/>
      <c r="AA120" s="225"/>
      <c r="AB120" s="225"/>
      <c r="AC120" s="225"/>
      <c r="AD120" s="225"/>
      <c r="AE120" s="225"/>
      <c r="AF120" s="125">
        <f t="shared" si="34"/>
        <v>0</v>
      </c>
    </row>
    <row r="121">
      <c r="A121" s="117" t="s">
        <v>272</v>
      </c>
      <c r="B121" s="222"/>
      <c r="C121" s="222"/>
      <c r="D121" s="223"/>
      <c r="E121" s="223"/>
      <c r="F121" s="223"/>
      <c r="G121" s="223"/>
      <c r="H121" s="223"/>
      <c r="I121" s="223"/>
      <c r="J121" s="223"/>
      <c r="K121" s="223"/>
      <c r="L121" s="223"/>
      <c r="M121" s="223"/>
      <c r="N121" s="223"/>
      <c r="O121" s="223"/>
      <c r="P121" s="223"/>
      <c r="Q121" s="223"/>
      <c r="R121" s="225"/>
      <c r="S121" s="225"/>
      <c r="T121" s="225"/>
      <c r="U121" s="225"/>
      <c r="V121" s="225"/>
      <c r="W121" s="225"/>
      <c r="X121" s="225"/>
      <c r="Y121" s="225"/>
      <c r="Z121" s="225"/>
      <c r="AA121" s="225"/>
      <c r="AB121" s="225"/>
      <c r="AC121" s="225"/>
      <c r="AD121" s="225"/>
      <c r="AE121" s="225"/>
      <c r="AF121" s="125">
        <f t="shared" si="34"/>
        <v>0</v>
      </c>
    </row>
    <row r="122">
      <c r="A122" s="117" t="s">
        <v>274</v>
      </c>
      <c r="B122" s="222"/>
      <c r="C122" s="222"/>
      <c r="D122" s="223"/>
      <c r="E122" s="223"/>
      <c r="F122" s="223"/>
      <c r="G122" s="223"/>
      <c r="H122" s="223"/>
      <c r="I122" s="223"/>
      <c r="J122" s="223"/>
      <c r="K122" s="223"/>
      <c r="L122" s="223"/>
      <c r="M122" s="223"/>
      <c r="N122" s="223"/>
      <c r="O122" s="223"/>
      <c r="P122" s="223"/>
      <c r="Q122" s="223"/>
      <c r="R122" s="225"/>
      <c r="S122" s="225"/>
      <c r="T122" s="225"/>
      <c r="U122" s="225"/>
      <c r="V122" s="225"/>
      <c r="W122" s="225"/>
      <c r="X122" s="225"/>
      <c r="Y122" s="225"/>
      <c r="Z122" s="225"/>
      <c r="AA122" s="225"/>
      <c r="AB122" s="225"/>
      <c r="AC122" s="225"/>
      <c r="AD122" s="225"/>
      <c r="AE122" s="225"/>
      <c r="AF122" s="125">
        <f t="shared" si="34"/>
        <v>0</v>
      </c>
    </row>
    <row r="123">
      <c r="A123" s="117" t="s">
        <v>275</v>
      </c>
      <c r="B123" s="222"/>
      <c r="C123" s="222"/>
      <c r="D123" s="223"/>
      <c r="E123" s="223"/>
      <c r="F123" s="223"/>
      <c r="G123" s="223"/>
      <c r="H123" s="223"/>
      <c r="I123" s="223"/>
      <c r="J123" s="223"/>
      <c r="K123" s="223"/>
      <c r="L123" s="223"/>
      <c r="M123" s="223"/>
      <c r="N123" s="223"/>
      <c r="O123" s="223"/>
      <c r="P123" s="223"/>
      <c r="Q123" s="223"/>
      <c r="R123" s="225"/>
      <c r="S123" s="225"/>
      <c r="T123" s="225"/>
      <c r="U123" s="225"/>
      <c r="V123" s="225"/>
      <c r="W123" s="225"/>
      <c r="X123" s="225"/>
      <c r="Y123" s="225"/>
      <c r="Z123" s="225"/>
      <c r="AA123" s="225"/>
      <c r="AB123" s="225"/>
      <c r="AC123" s="225"/>
      <c r="AD123" s="225"/>
      <c r="AE123" s="225"/>
      <c r="AF123" s="125">
        <f t="shared" si="34"/>
        <v>0</v>
      </c>
    </row>
    <row r="124">
      <c r="A124" s="117" t="s">
        <v>277</v>
      </c>
      <c r="B124" s="222"/>
      <c r="C124" s="222"/>
      <c r="D124" s="223"/>
      <c r="E124" s="223"/>
      <c r="F124" s="223"/>
      <c r="G124" s="223"/>
      <c r="H124" s="223"/>
      <c r="I124" s="223"/>
      <c r="J124" s="223"/>
      <c r="K124" s="223"/>
      <c r="L124" s="223"/>
      <c r="M124" s="223"/>
      <c r="N124" s="223"/>
      <c r="O124" s="223"/>
      <c r="P124" s="223"/>
      <c r="Q124" s="223"/>
      <c r="R124" s="225"/>
      <c r="S124" s="225"/>
      <c r="T124" s="225"/>
      <c r="U124" s="225"/>
      <c r="V124" s="225"/>
      <c r="W124" s="225"/>
      <c r="X124" s="225"/>
      <c r="Y124" s="225"/>
      <c r="Z124" s="225"/>
      <c r="AA124" s="225"/>
      <c r="AB124" s="225"/>
      <c r="AC124" s="225"/>
      <c r="AD124" s="225"/>
      <c r="AE124" s="225"/>
      <c r="AF124" s="125">
        <f t="shared" si="34"/>
        <v>0</v>
      </c>
    </row>
    <row r="125">
      <c r="A125" s="117" t="s">
        <v>278</v>
      </c>
      <c r="B125" s="222"/>
      <c r="C125" s="222"/>
      <c r="D125" s="223"/>
      <c r="E125" s="223"/>
      <c r="F125" s="223"/>
      <c r="G125" s="223"/>
      <c r="H125" s="223"/>
      <c r="I125" s="223"/>
      <c r="J125" s="223"/>
      <c r="K125" s="223"/>
      <c r="L125" s="223"/>
      <c r="M125" s="223"/>
      <c r="N125" s="223"/>
      <c r="O125" s="223"/>
      <c r="P125" s="223"/>
      <c r="Q125" s="223"/>
      <c r="R125" s="225"/>
      <c r="S125" s="225"/>
      <c r="T125" s="225"/>
      <c r="U125" s="225"/>
      <c r="V125" s="225"/>
      <c r="W125" s="225"/>
      <c r="X125" s="225"/>
      <c r="Y125" s="225"/>
      <c r="Z125" s="225"/>
      <c r="AA125" s="225"/>
      <c r="AB125" s="225"/>
      <c r="AC125" s="225"/>
      <c r="AD125" s="225"/>
      <c r="AE125" s="225"/>
      <c r="AF125" s="125">
        <f t="shared" si="34"/>
        <v>0</v>
      </c>
    </row>
    <row r="126">
      <c r="A126" s="204" t="s">
        <v>162</v>
      </c>
      <c r="B126" s="219">
        <f t="shared" ref="B126:AE126" si="35">SUM(B118:B125)</f>
        <v>0</v>
      </c>
      <c r="C126" s="219">
        <f t="shared" si="35"/>
        <v>0</v>
      </c>
      <c r="D126" s="219">
        <f t="shared" si="35"/>
        <v>0</v>
      </c>
      <c r="E126" s="219">
        <f t="shared" si="35"/>
        <v>0</v>
      </c>
      <c r="F126" s="219">
        <f t="shared" si="35"/>
        <v>1</v>
      </c>
      <c r="G126" s="219">
        <f t="shared" si="35"/>
        <v>0</v>
      </c>
      <c r="H126" s="219">
        <f t="shared" si="35"/>
        <v>0</v>
      </c>
      <c r="I126" s="219">
        <f t="shared" si="35"/>
        <v>1</v>
      </c>
      <c r="J126" s="219">
        <f t="shared" si="35"/>
        <v>2</v>
      </c>
      <c r="K126" s="219">
        <f t="shared" si="35"/>
        <v>0</v>
      </c>
      <c r="L126" s="219">
        <f t="shared" si="35"/>
        <v>0</v>
      </c>
      <c r="M126" s="219">
        <f t="shared" si="35"/>
        <v>0</v>
      </c>
      <c r="N126" s="219">
        <f t="shared" si="35"/>
        <v>1</v>
      </c>
      <c r="O126" s="219">
        <f t="shared" si="35"/>
        <v>0</v>
      </c>
      <c r="P126" s="219">
        <f t="shared" si="35"/>
        <v>0</v>
      </c>
      <c r="Q126" s="219">
        <f t="shared" si="35"/>
        <v>1</v>
      </c>
      <c r="R126" s="219">
        <f t="shared" si="35"/>
        <v>1</v>
      </c>
      <c r="S126" s="219">
        <f t="shared" si="35"/>
        <v>0</v>
      </c>
      <c r="T126" s="219">
        <f t="shared" si="35"/>
        <v>0</v>
      </c>
      <c r="U126" s="219">
        <f t="shared" si="35"/>
        <v>2</v>
      </c>
      <c r="V126" s="219">
        <f t="shared" si="35"/>
        <v>0</v>
      </c>
      <c r="W126" s="219">
        <f t="shared" si="35"/>
        <v>0</v>
      </c>
      <c r="X126" s="219">
        <f t="shared" si="35"/>
        <v>0</v>
      </c>
      <c r="Y126" s="219">
        <f t="shared" si="35"/>
        <v>1</v>
      </c>
      <c r="Z126" s="219">
        <f t="shared" si="35"/>
        <v>3</v>
      </c>
      <c r="AA126" s="219">
        <f t="shared" si="35"/>
        <v>0</v>
      </c>
      <c r="AB126" s="219">
        <f t="shared" si="35"/>
        <v>0</v>
      </c>
      <c r="AC126" s="219">
        <f t="shared" si="35"/>
        <v>0</v>
      </c>
      <c r="AD126" s="219">
        <f t="shared" si="35"/>
        <v>0</v>
      </c>
      <c r="AE126" s="219">
        <f t="shared" si="35"/>
        <v>0</v>
      </c>
      <c r="AF126" s="125">
        <f t="shared" si="34"/>
        <v>13</v>
      </c>
    </row>
    <row r="127">
      <c r="A127" s="4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6"/>
    </row>
    <row r="128">
      <c r="A128" s="75" t="s">
        <v>280</v>
      </c>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6"/>
    </row>
    <row r="129">
      <c r="A129" s="117" t="s">
        <v>283</v>
      </c>
      <c r="B129" s="112">
        <v>0.0</v>
      </c>
      <c r="C129" s="112">
        <v>0.0</v>
      </c>
      <c r="D129" s="112">
        <v>1.0</v>
      </c>
      <c r="E129" s="112">
        <v>0.0</v>
      </c>
      <c r="F129" s="228">
        <v>0.0</v>
      </c>
      <c r="G129" s="228">
        <v>0.0</v>
      </c>
      <c r="H129" s="112">
        <v>1.0</v>
      </c>
      <c r="I129" s="112">
        <v>0.0</v>
      </c>
      <c r="J129" s="112">
        <v>0.0</v>
      </c>
      <c r="K129" s="112">
        <v>0.0</v>
      </c>
      <c r="L129" s="112">
        <v>0.0</v>
      </c>
      <c r="M129" s="112">
        <v>0.0</v>
      </c>
      <c r="N129" s="112">
        <v>0.0</v>
      </c>
      <c r="O129" s="112">
        <v>0.0</v>
      </c>
      <c r="P129" s="228">
        <v>0.0</v>
      </c>
      <c r="Q129" s="228">
        <v>1.0</v>
      </c>
      <c r="R129" s="228">
        <v>1.0</v>
      </c>
      <c r="S129" s="228">
        <v>1.0</v>
      </c>
      <c r="T129" s="228">
        <v>0.0</v>
      </c>
      <c r="U129" s="228">
        <v>1.0</v>
      </c>
      <c r="V129" s="228">
        <v>0.0</v>
      </c>
      <c r="W129" s="228">
        <v>0.0</v>
      </c>
      <c r="X129" s="228">
        <v>0.0</v>
      </c>
      <c r="Y129" s="228">
        <v>0.0</v>
      </c>
      <c r="Z129" s="228">
        <v>0.0</v>
      </c>
      <c r="AA129" s="228">
        <v>0.0</v>
      </c>
      <c r="AB129" s="228">
        <v>0.0</v>
      </c>
      <c r="AC129" s="228">
        <v>0.0</v>
      </c>
      <c r="AD129" s="228">
        <v>1.0</v>
      </c>
      <c r="AE129" s="228">
        <v>2.0</v>
      </c>
      <c r="AF129" s="125">
        <f t="shared" ref="AF129:AF134" si="36">SUM(B129:AE129)</f>
        <v>9</v>
      </c>
    </row>
    <row r="130">
      <c r="A130" s="117" t="s">
        <v>285</v>
      </c>
      <c r="B130" s="112">
        <v>0.0</v>
      </c>
      <c r="C130" s="112">
        <v>0.0</v>
      </c>
      <c r="D130" s="112">
        <v>0.0</v>
      </c>
      <c r="E130" s="112">
        <v>0.0</v>
      </c>
      <c r="F130" s="112">
        <v>0.0</v>
      </c>
      <c r="G130" s="112">
        <v>0.0</v>
      </c>
      <c r="H130" s="112">
        <v>0.0</v>
      </c>
      <c r="I130" s="112">
        <v>0.0</v>
      </c>
      <c r="J130" s="112">
        <v>0.0</v>
      </c>
      <c r="K130" s="112">
        <v>0.0</v>
      </c>
      <c r="L130" s="112">
        <v>0.0</v>
      </c>
      <c r="M130" s="112">
        <v>0.0</v>
      </c>
      <c r="N130" s="112">
        <v>0.0</v>
      </c>
      <c r="O130" s="112">
        <v>0.0</v>
      </c>
      <c r="P130" s="228">
        <v>0.0</v>
      </c>
      <c r="Q130" s="228">
        <v>0.0</v>
      </c>
      <c r="R130" s="228">
        <v>0.0</v>
      </c>
      <c r="S130" s="228">
        <v>0.0</v>
      </c>
      <c r="T130" s="228">
        <v>0.0</v>
      </c>
      <c r="U130" s="228">
        <v>0.0</v>
      </c>
      <c r="V130" s="228">
        <v>0.0</v>
      </c>
      <c r="W130" s="228">
        <v>0.0</v>
      </c>
      <c r="X130" s="228">
        <v>0.0</v>
      </c>
      <c r="Y130" s="228">
        <v>0.0</v>
      </c>
      <c r="Z130" s="228">
        <v>0.0</v>
      </c>
      <c r="AA130" s="228">
        <v>0.0</v>
      </c>
      <c r="AB130" s="228">
        <v>0.0</v>
      </c>
      <c r="AC130" s="228">
        <v>0.0</v>
      </c>
      <c r="AD130" s="228">
        <v>0.0</v>
      </c>
      <c r="AE130" s="228">
        <v>0.0</v>
      </c>
      <c r="AF130" s="125">
        <f t="shared" si="36"/>
        <v>0</v>
      </c>
    </row>
    <row r="131">
      <c r="A131" s="117" t="s">
        <v>286</v>
      </c>
      <c r="B131" s="112">
        <v>2.0</v>
      </c>
      <c r="C131" s="112">
        <v>1.0</v>
      </c>
      <c r="D131" s="112">
        <v>1.0</v>
      </c>
      <c r="E131" s="112">
        <v>1.0</v>
      </c>
      <c r="F131" s="119">
        <v>2.0</v>
      </c>
      <c r="G131" s="112">
        <v>2.0</v>
      </c>
      <c r="H131" s="112">
        <v>3.0</v>
      </c>
      <c r="I131" s="112">
        <v>4.0</v>
      </c>
      <c r="J131" s="112">
        <v>4.0</v>
      </c>
      <c r="K131" s="112">
        <v>2.0</v>
      </c>
      <c r="L131" s="112">
        <v>3.0</v>
      </c>
      <c r="M131" s="112">
        <v>0.0</v>
      </c>
      <c r="N131" s="112">
        <v>1.0</v>
      </c>
      <c r="O131" s="112">
        <v>2.0</v>
      </c>
      <c r="P131" s="228">
        <v>3.0</v>
      </c>
      <c r="Q131" s="228">
        <v>1.0</v>
      </c>
      <c r="R131" s="228">
        <v>4.0</v>
      </c>
      <c r="S131" s="228">
        <v>2.0</v>
      </c>
      <c r="T131" s="228">
        <v>2.0</v>
      </c>
      <c r="U131" s="228">
        <v>3.0</v>
      </c>
      <c r="V131" s="228">
        <v>3.0</v>
      </c>
      <c r="W131" s="228">
        <v>2.0</v>
      </c>
      <c r="X131" s="228">
        <v>4.0</v>
      </c>
      <c r="Y131" s="228">
        <v>0.0</v>
      </c>
      <c r="Z131" s="228">
        <v>4.0</v>
      </c>
      <c r="AA131" s="228">
        <v>3.0</v>
      </c>
      <c r="AB131" s="228">
        <v>2.0</v>
      </c>
      <c r="AC131" s="228">
        <v>4.0</v>
      </c>
      <c r="AD131" s="228">
        <v>2.0</v>
      </c>
      <c r="AE131" s="228">
        <v>2.0</v>
      </c>
      <c r="AF131" s="125">
        <f t="shared" si="36"/>
        <v>69</v>
      </c>
    </row>
    <row r="132">
      <c r="A132" s="117" t="s">
        <v>288</v>
      </c>
      <c r="B132" s="112">
        <v>0.0</v>
      </c>
      <c r="C132" s="112">
        <v>0.0</v>
      </c>
      <c r="D132" s="112">
        <v>0.0</v>
      </c>
      <c r="E132" s="112">
        <v>0.0</v>
      </c>
      <c r="F132" s="112">
        <v>1.0</v>
      </c>
      <c r="G132" s="112">
        <v>0.0</v>
      </c>
      <c r="H132" s="112">
        <v>0.0</v>
      </c>
      <c r="I132" s="112">
        <v>0.0</v>
      </c>
      <c r="J132" s="112">
        <v>0.0</v>
      </c>
      <c r="K132" s="112">
        <v>1.0</v>
      </c>
      <c r="L132" s="112">
        <v>0.0</v>
      </c>
      <c r="M132" s="112">
        <v>0.0</v>
      </c>
      <c r="N132" s="112">
        <v>1.0</v>
      </c>
      <c r="O132" s="112">
        <v>0.0</v>
      </c>
      <c r="P132" s="228">
        <v>0.0</v>
      </c>
      <c r="Q132" s="228">
        <v>0.0</v>
      </c>
      <c r="R132" s="228">
        <v>0.0</v>
      </c>
      <c r="S132" s="228">
        <v>1.0</v>
      </c>
      <c r="T132" s="228">
        <v>1.0</v>
      </c>
      <c r="U132" s="228">
        <v>0.0</v>
      </c>
      <c r="V132" s="228">
        <v>1.0</v>
      </c>
      <c r="W132" s="228">
        <v>0.0</v>
      </c>
      <c r="X132" s="228">
        <v>0.0</v>
      </c>
      <c r="Y132" s="228">
        <v>0.0</v>
      </c>
      <c r="Z132" s="228">
        <v>0.0</v>
      </c>
      <c r="AA132" s="228">
        <v>0.0</v>
      </c>
      <c r="AB132" s="228">
        <v>0.0</v>
      </c>
      <c r="AC132" s="228">
        <v>0.0</v>
      </c>
      <c r="AD132" s="228">
        <v>0.0</v>
      </c>
      <c r="AE132" s="228">
        <v>0.0</v>
      </c>
      <c r="AF132" s="125">
        <f t="shared" si="36"/>
        <v>6</v>
      </c>
    </row>
    <row r="133">
      <c r="A133" s="204" t="s">
        <v>258</v>
      </c>
      <c r="B133" s="219">
        <f t="shared" ref="B133:AE133" si="37">B129+B130</f>
        <v>0</v>
      </c>
      <c r="C133" s="219">
        <f t="shared" si="37"/>
        <v>0</v>
      </c>
      <c r="D133" s="219">
        <f t="shared" si="37"/>
        <v>1</v>
      </c>
      <c r="E133" s="219">
        <f t="shared" si="37"/>
        <v>0</v>
      </c>
      <c r="F133" s="219">
        <f t="shared" si="37"/>
        <v>0</v>
      </c>
      <c r="G133" s="219">
        <f t="shared" si="37"/>
        <v>0</v>
      </c>
      <c r="H133" s="219">
        <f t="shared" si="37"/>
        <v>1</v>
      </c>
      <c r="I133" s="219">
        <f t="shared" si="37"/>
        <v>0</v>
      </c>
      <c r="J133" s="219">
        <f t="shared" si="37"/>
        <v>0</v>
      </c>
      <c r="K133" s="219">
        <f t="shared" si="37"/>
        <v>0</v>
      </c>
      <c r="L133" s="219">
        <f t="shared" si="37"/>
        <v>0</v>
      </c>
      <c r="M133" s="219">
        <f t="shared" si="37"/>
        <v>0</v>
      </c>
      <c r="N133" s="219">
        <f t="shared" si="37"/>
        <v>0</v>
      </c>
      <c r="O133" s="219">
        <f t="shared" si="37"/>
        <v>0</v>
      </c>
      <c r="P133" s="219">
        <f t="shared" si="37"/>
        <v>0</v>
      </c>
      <c r="Q133" s="219">
        <f t="shared" si="37"/>
        <v>1</v>
      </c>
      <c r="R133" s="219">
        <f t="shared" si="37"/>
        <v>1</v>
      </c>
      <c r="S133" s="219">
        <f t="shared" si="37"/>
        <v>1</v>
      </c>
      <c r="T133" s="219">
        <f t="shared" si="37"/>
        <v>0</v>
      </c>
      <c r="U133" s="219">
        <f t="shared" si="37"/>
        <v>1</v>
      </c>
      <c r="V133" s="219">
        <f t="shared" si="37"/>
        <v>0</v>
      </c>
      <c r="W133" s="219">
        <f t="shared" si="37"/>
        <v>0</v>
      </c>
      <c r="X133" s="219">
        <f t="shared" si="37"/>
        <v>0</v>
      </c>
      <c r="Y133" s="219">
        <f t="shared" si="37"/>
        <v>0</v>
      </c>
      <c r="Z133" s="219">
        <f t="shared" si="37"/>
        <v>0</v>
      </c>
      <c r="AA133" s="219">
        <f t="shared" si="37"/>
        <v>0</v>
      </c>
      <c r="AB133" s="219">
        <f t="shared" si="37"/>
        <v>0</v>
      </c>
      <c r="AC133" s="219">
        <f t="shared" si="37"/>
        <v>0</v>
      </c>
      <c r="AD133" s="219">
        <f t="shared" si="37"/>
        <v>1</v>
      </c>
      <c r="AE133" s="219">
        <f t="shared" si="37"/>
        <v>2</v>
      </c>
      <c r="AF133" s="125">
        <f t="shared" si="36"/>
        <v>9</v>
      </c>
    </row>
    <row r="134">
      <c r="A134" s="204" t="s">
        <v>260</v>
      </c>
      <c r="B134" s="219">
        <f t="shared" ref="B134:AE134" si="38">B131+B132</f>
        <v>2</v>
      </c>
      <c r="C134" s="219">
        <f t="shared" si="38"/>
        <v>1</v>
      </c>
      <c r="D134" s="219">
        <f t="shared" si="38"/>
        <v>1</v>
      </c>
      <c r="E134" s="219">
        <f t="shared" si="38"/>
        <v>1</v>
      </c>
      <c r="F134" s="219">
        <f t="shared" si="38"/>
        <v>3</v>
      </c>
      <c r="G134" s="219">
        <f t="shared" si="38"/>
        <v>2</v>
      </c>
      <c r="H134" s="219">
        <f t="shared" si="38"/>
        <v>3</v>
      </c>
      <c r="I134" s="219">
        <f t="shared" si="38"/>
        <v>4</v>
      </c>
      <c r="J134" s="219">
        <f t="shared" si="38"/>
        <v>4</v>
      </c>
      <c r="K134" s="219">
        <f t="shared" si="38"/>
        <v>3</v>
      </c>
      <c r="L134" s="219">
        <f t="shared" si="38"/>
        <v>3</v>
      </c>
      <c r="M134" s="219">
        <f t="shared" si="38"/>
        <v>0</v>
      </c>
      <c r="N134" s="219">
        <f t="shared" si="38"/>
        <v>2</v>
      </c>
      <c r="O134" s="219">
        <f t="shared" si="38"/>
        <v>2</v>
      </c>
      <c r="P134" s="219">
        <f t="shared" si="38"/>
        <v>3</v>
      </c>
      <c r="Q134" s="219">
        <f t="shared" si="38"/>
        <v>1</v>
      </c>
      <c r="R134" s="219">
        <f t="shared" si="38"/>
        <v>4</v>
      </c>
      <c r="S134" s="219">
        <f t="shared" si="38"/>
        <v>3</v>
      </c>
      <c r="T134" s="219">
        <f t="shared" si="38"/>
        <v>3</v>
      </c>
      <c r="U134" s="219">
        <f t="shared" si="38"/>
        <v>3</v>
      </c>
      <c r="V134" s="219">
        <f t="shared" si="38"/>
        <v>4</v>
      </c>
      <c r="W134" s="219">
        <f t="shared" si="38"/>
        <v>2</v>
      </c>
      <c r="X134" s="219">
        <f t="shared" si="38"/>
        <v>4</v>
      </c>
      <c r="Y134" s="219">
        <f t="shared" si="38"/>
        <v>0</v>
      </c>
      <c r="Z134" s="219">
        <f t="shared" si="38"/>
        <v>4</v>
      </c>
      <c r="AA134" s="219">
        <f t="shared" si="38"/>
        <v>3</v>
      </c>
      <c r="AB134" s="219">
        <f t="shared" si="38"/>
        <v>2</v>
      </c>
      <c r="AC134" s="219">
        <f t="shared" si="38"/>
        <v>4</v>
      </c>
      <c r="AD134" s="219">
        <f t="shared" si="38"/>
        <v>2</v>
      </c>
      <c r="AE134" s="219">
        <f t="shared" si="38"/>
        <v>2</v>
      </c>
      <c r="AF134" s="125">
        <f t="shared" si="36"/>
        <v>75</v>
      </c>
    </row>
    <row r="135">
      <c r="A135" s="4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6"/>
    </row>
    <row r="136">
      <c r="A136" s="117" t="s">
        <v>264</v>
      </c>
      <c r="B136" s="112">
        <v>0.0</v>
      </c>
      <c r="C136" s="112">
        <v>0.0</v>
      </c>
      <c r="D136" s="112">
        <v>0.0</v>
      </c>
      <c r="E136" s="112">
        <v>0.0</v>
      </c>
      <c r="F136" s="112">
        <v>0.0</v>
      </c>
      <c r="G136" s="112">
        <v>0.0</v>
      </c>
      <c r="H136" s="112">
        <v>0.0</v>
      </c>
      <c r="I136" s="112">
        <v>0.0</v>
      </c>
      <c r="J136" s="112">
        <v>0.0</v>
      </c>
      <c r="K136" s="112">
        <v>1.0</v>
      </c>
      <c r="L136" s="112">
        <v>0.0</v>
      </c>
      <c r="M136" s="112">
        <v>0.0</v>
      </c>
      <c r="N136" s="112">
        <v>0.0</v>
      </c>
      <c r="O136" s="112">
        <v>0.0</v>
      </c>
      <c r="P136" s="112">
        <v>0.0</v>
      </c>
      <c r="Q136" s="112">
        <v>0.0</v>
      </c>
      <c r="R136" s="112">
        <v>0.0</v>
      </c>
      <c r="S136" s="112">
        <v>0.0</v>
      </c>
      <c r="T136" s="112">
        <v>0.0</v>
      </c>
      <c r="U136" s="112">
        <v>1.0</v>
      </c>
      <c r="V136" s="112">
        <v>0.0</v>
      </c>
      <c r="W136" s="112">
        <v>1.0</v>
      </c>
      <c r="X136" s="232">
        <v>0.0</v>
      </c>
      <c r="Y136" s="112">
        <v>0.0</v>
      </c>
      <c r="Z136" s="112">
        <v>0.0</v>
      </c>
      <c r="AA136" s="112">
        <v>0.0</v>
      </c>
      <c r="AB136" s="112">
        <v>1.0</v>
      </c>
      <c r="AC136" s="112">
        <v>0.0</v>
      </c>
      <c r="AD136" s="112">
        <v>0.0</v>
      </c>
      <c r="AE136" s="112">
        <v>0.0</v>
      </c>
      <c r="AF136" s="125">
        <f t="shared" ref="AF136:AF144" si="39">SUM(B136:AE136)</f>
        <v>4</v>
      </c>
    </row>
    <row r="137">
      <c r="A137" s="117" t="s">
        <v>267</v>
      </c>
      <c r="B137" s="112">
        <v>0.0</v>
      </c>
      <c r="C137" s="112">
        <v>0.0</v>
      </c>
      <c r="D137" s="112">
        <v>0.0</v>
      </c>
      <c r="E137" s="112">
        <v>0.0</v>
      </c>
      <c r="F137" s="112">
        <v>0.0</v>
      </c>
      <c r="G137" s="112">
        <v>0.0</v>
      </c>
      <c r="H137" s="112">
        <v>0.0</v>
      </c>
      <c r="I137" s="112">
        <v>0.0</v>
      </c>
      <c r="J137" s="112">
        <v>0.0</v>
      </c>
      <c r="K137" s="112">
        <v>0.0</v>
      </c>
      <c r="L137" s="112">
        <v>0.0</v>
      </c>
      <c r="M137" s="112">
        <v>0.0</v>
      </c>
      <c r="N137" s="112">
        <v>0.0</v>
      </c>
      <c r="O137" s="112">
        <v>0.0</v>
      </c>
      <c r="P137" s="112">
        <v>0.0</v>
      </c>
      <c r="Q137" s="112">
        <v>0.0</v>
      </c>
      <c r="R137" s="112">
        <v>0.0</v>
      </c>
      <c r="S137" s="112">
        <v>0.0</v>
      </c>
      <c r="T137" s="112">
        <v>0.0</v>
      </c>
      <c r="U137" s="112">
        <v>0.0</v>
      </c>
      <c r="V137" s="112">
        <v>0.0</v>
      </c>
      <c r="W137" s="112">
        <v>0.0</v>
      </c>
      <c r="X137" s="112">
        <v>0.0</v>
      </c>
      <c r="Y137" s="112">
        <v>0.0</v>
      </c>
      <c r="Z137" s="112">
        <v>0.0</v>
      </c>
      <c r="AA137" s="112">
        <v>0.0</v>
      </c>
      <c r="AB137" s="112">
        <v>0.0</v>
      </c>
      <c r="AC137" s="112">
        <v>0.0</v>
      </c>
      <c r="AD137" s="112">
        <v>0.0</v>
      </c>
      <c r="AE137" s="112">
        <v>0.0</v>
      </c>
      <c r="AF137" s="125">
        <f t="shared" si="39"/>
        <v>0</v>
      </c>
    </row>
    <row r="138">
      <c r="A138" s="117" t="s">
        <v>295</v>
      </c>
      <c r="B138" s="112">
        <v>0.0</v>
      </c>
      <c r="C138" s="112">
        <v>0.0</v>
      </c>
      <c r="D138" s="112">
        <v>0.0</v>
      </c>
      <c r="E138" s="112">
        <v>0.0</v>
      </c>
      <c r="F138" s="112">
        <v>0.0</v>
      </c>
      <c r="G138" s="112">
        <v>0.0</v>
      </c>
      <c r="H138" s="112">
        <v>0.0</v>
      </c>
      <c r="I138" s="112">
        <v>0.0</v>
      </c>
      <c r="J138" s="112">
        <v>0.0</v>
      </c>
      <c r="K138" s="112">
        <v>0.0</v>
      </c>
      <c r="L138" s="112">
        <v>0.0</v>
      </c>
      <c r="M138" s="112">
        <v>0.0</v>
      </c>
      <c r="N138" s="112">
        <v>0.0</v>
      </c>
      <c r="O138" s="112">
        <v>0.0</v>
      </c>
      <c r="P138" s="112">
        <v>0.0</v>
      </c>
      <c r="Q138" s="112">
        <v>0.0</v>
      </c>
      <c r="R138" s="112">
        <v>0.0</v>
      </c>
      <c r="S138" s="112">
        <v>0.0</v>
      </c>
      <c r="T138" s="112">
        <v>0.0</v>
      </c>
      <c r="U138" s="112">
        <v>0.0</v>
      </c>
      <c r="V138" s="112">
        <v>0.0</v>
      </c>
      <c r="W138" s="112">
        <v>0.0</v>
      </c>
      <c r="X138" s="112">
        <v>0.0</v>
      </c>
      <c r="Y138" s="112">
        <v>0.0</v>
      </c>
      <c r="Z138" s="112">
        <v>0.0</v>
      </c>
      <c r="AA138" s="112">
        <v>0.0</v>
      </c>
      <c r="AB138" s="112">
        <v>0.0</v>
      </c>
      <c r="AC138" s="112">
        <v>0.0</v>
      </c>
      <c r="AD138" s="112">
        <v>0.0</v>
      </c>
      <c r="AE138" s="112">
        <v>0.0</v>
      </c>
      <c r="AF138" s="125">
        <f t="shared" si="39"/>
        <v>0</v>
      </c>
    </row>
    <row r="139">
      <c r="A139" s="117" t="s">
        <v>297</v>
      </c>
      <c r="B139" s="112">
        <v>0.0</v>
      </c>
      <c r="C139" s="112">
        <v>0.0</v>
      </c>
      <c r="D139" s="112">
        <v>0.0</v>
      </c>
      <c r="E139" s="112">
        <v>0.0</v>
      </c>
      <c r="F139" s="112">
        <v>0.0</v>
      </c>
      <c r="G139" s="112">
        <v>0.0</v>
      </c>
      <c r="H139" s="112">
        <v>0.0</v>
      </c>
      <c r="I139" s="112">
        <v>0.0</v>
      </c>
      <c r="J139" s="112">
        <v>0.0</v>
      </c>
      <c r="K139" s="112">
        <v>0.0</v>
      </c>
      <c r="L139" s="112">
        <v>0.0</v>
      </c>
      <c r="M139" s="112">
        <v>0.0</v>
      </c>
      <c r="N139" s="112">
        <v>0.0</v>
      </c>
      <c r="O139" s="112">
        <v>0.0</v>
      </c>
      <c r="P139" s="112">
        <v>0.0</v>
      </c>
      <c r="Q139" s="112">
        <v>0.0</v>
      </c>
      <c r="R139" s="112">
        <v>0.0</v>
      </c>
      <c r="S139" s="112">
        <v>0.0</v>
      </c>
      <c r="T139" s="112">
        <v>0.0</v>
      </c>
      <c r="U139" s="112">
        <v>0.0</v>
      </c>
      <c r="V139" s="112">
        <v>0.0</v>
      </c>
      <c r="W139" s="112">
        <v>0.0</v>
      </c>
      <c r="X139" s="112">
        <v>0.0</v>
      </c>
      <c r="Y139" s="112">
        <v>0.0</v>
      </c>
      <c r="Z139" s="112">
        <v>0.0</v>
      </c>
      <c r="AA139" s="112">
        <v>0.0</v>
      </c>
      <c r="AB139" s="112">
        <v>0.0</v>
      </c>
      <c r="AC139" s="112">
        <v>0.0</v>
      </c>
      <c r="AD139" s="112">
        <v>0.0</v>
      </c>
      <c r="AE139" s="112">
        <v>0.0</v>
      </c>
      <c r="AF139" s="125">
        <f t="shared" si="39"/>
        <v>0</v>
      </c>
    </row>
    <row r="140">
      <c r="A140" s="117" t="s">
        <v>298</v>
      </c>
      <c r="B140" s="112">
        <v>0.0</v>
      </c>
      <c r="C140" s="112">
        <v>0.0</v>
      </c>
      <c r="D140" s="112">
        <v>0.0</v>
      </c>
      <c r="E140" s="112">
        <v>0.0</v>
      </c>
      <c r="F140" s="112">
        <v>0.0</v>
      </c>
      <c r="G140" s="112">
        <v>0.0</v>
      </c>
      <c r="H140" s="112">
        <v>0.0</v>
      </c>
      <c r="I140" s="112">
        <v>0.0</v>
      </c>
      <c r="J140" s="112">
        <v>0.0</v>
      </c>
      <c r="K140" s="112">
        <v>0.0</v>
      </c>
      <c r="L140" s="112">
        <v>0.0</v>
      </c>
      <c r="M140" s="112">
        <v>0.0</v>
      </c>
      <c r="N140" s="112">
        <v>0.0</v>
      </c>
      <c r="O140" s="112">
        <v>0.0</v>
      </c>
      <c r="P140" s="112">
        <v>0.0</v>
      </c>
      <c r="Q140" s="112">
        <v>0.0</v>
      </c>
      <c r="R140" s="112">
        <v>0.0</v>
      </c>
      <c r="S140" s="112">
        <v>0.0</v>
      </c>
      <c r="T140" s="112">
        <v>0.0</v>
      </c>
      <c r="U140" s="112">
        <v>0.0</v>
      </c>
      <c r="V140" s="112">
        <v>0.0</v>
      </c>
      <c r="W140" s="112">
        <v>0.0</v>
      </c>
      <c r="X140" s="112">
        <v>0.0</v>
      </c>
      <c r="Y140" s="112">
        <v>0.0</v>
      </c>
      <c r="Z140" s="112">
        <v>0.0</v>
      </c>
      <c r="AA140" s="112">
        <v>0.0</v>
      </c>
      <c r="AB140" s="112">
        <v>0.0</v>
      </c>
      <c r="AC140" s="112">
        <v>0.0</v>
      </c>
      <c r="AD140" s="112">
        <v>0.0</v>
      </c>
      <c r="AE140" s="112">
        <v>0.0</v>
      </c>
      <c r="AF140" s="125">
        <f t="shared" si="39"/>
        <v>0</v>
      </c>
    </row>
    <row r="141">
      <c r="A141" s="117" t="s">
        <v>299</v>
      </c>
      <c r="B141" s="112">
        <v>0.0</v>
      </c>
      <c r="C141" s="112">
        <v>0.0</v>
      </c>
      <c r="D141" s="112">
        <v>0.0</v>
      </c>
      <c r="E141" s="112">
        <v>0.0</v>
      </c>
      <c r="F141" s="112">
        <v>0.0</v>
      </c>
      <c r="G141" s="112">
        <v>0.0</v>
      </c>
      <c r="H141" s="112">
        <v>0.0</v>
      </c>
      <c r="I141" s="112">
        <v>0.0</v>
      </c>
      <c r="J141" s="112">
        <v>0.0</v>
      </c>
      <c r="K141" s="112">
        <v>0.0</v>
      </c>
      <c r="L141" s="112">
        <v>0.0</v>
      </c>
      <c r="M141" s="112">
        <v>0.0</v>
      </c>
      <c r="N141" s="112">
        <v>0.0</v>
      </c>
      <c r="O141" s="112">
        <v>0.0</v>
      </c>
      <c r="P141" s="112">
        <v>0.0</v>
      </c>
      <c r="Q141" s="112">
        <v>0.0</v>
      </c>
      <c r="R141" s="112">
        <v>0.0</v>
      </c>
      <c r="S141" s="112">
        <v>0.0</v>
      </c>
      <c r="T141" s="112">
        <v>0.0</v>
      </c>
      <c r="U141" s="112">
        <v>0.0</v>
      </c>
      <c r="V141" s="112">
        <v>0.0</v>
      </c>
      <c r="W141" s="112">
        <v>0.0</v>
      </c>
      <c r="X141" s="112">
        <v>0.0</v>
      </c>
      <c r="Y141" s="112">
        <v>0.0</v>
      </c>
      <c r="Z141" s="112">
        <v>0.0</v>
      </c>
      <c r="AA141" s="112">
        <v>0.0</v>
      </c>
      <c r="AB141" s="112">
        <v>0.0</v>
      </c>
      <c r="AC141" s="112">
        <v>0.0</v>
      </c>
      <c r="AD141" s="112">
        <v>0.0</v>
      </c>
      <c r="AE141" s="112">
        <v>0.0</v>
      </c>
      <c r="AF141" s="125">
        <f t="shared" si="39"/>
        <v>0</v>
      </c>
    </row>
    <row r="142">
      <c r="A142" s="117" t="s">
        <v>302</v>
      </c>
      <c r="B142" s="112">
        <v>0.0</v>
      </c>
      <c r="C142" s="112">
        <v>0.0</v>
      </c>
      <c r="D142" s="112">
        <v>0.0</v>
      </c>
      <c r="E142" s="112">
        <v>0.0</v>
      </c>
      <c r="F142" s="112">
        <v>0.0</v>
      </c>
      <c r="G142" s="112">
        <v>0.0</v>
      </c>
      <c r="H142" s="112">
        <v>0.0</v>
      </c>
      <c r="I142" s="112">
        <v>0.0</v>
      </c>
      <c r="J142" s="112">
        <v>0.0</v>
      </c>
      <c r="K142" s="112">
        <v>0.0</v>
      </c>
      <c r="L142" s="112">
        <v>0.0</v>
      </c>
      <c r="M142" s="112">
        <v>0.0</v>
      </c>
      <c r="N142" s="112">
        <v>0.0</v>
      </c>
      <c r="O142" s="112">
        <v>0.0</v>
      </c>
      <c r="P142" s="112">
        <v>0.0</v>
      </c>
      <c r="Q142" s="112">
        <v>0.0</v>
      </c>
      <c r="R142" s="112">
        <v>0.0</v>
      </c>
      <c r="S142" s="112">
        <v>0.0</v>
      </c>
      <c r="T142" s="112">
        <v>0.0</v>
      </c>
      <c r="U142" s="112">
        <v>0.0</v>
      </c>
      <c r="V142" s="112">
        <v>0.0</v>
      </c>
      <c r="W142" s="112">
        <v>0.0</v>
      </c>
      <c r="X142" s="112">
        <v>0.0</v>
      </c>
      <c r="Y142" s="112">
        <v>0.0</v>
      </c>
      <c r="Z142" s="112">
        <v>0.0</v>
      </c>
      <c r="AA142" s="112">
        <v>0.0</v>
      </c>
      <c r="AB142" s="112">
        <v>0.0</v>
      </c>
      <c r="AC142" s="112">
        <v>0.0</v>
      </c>
      <c r="AD142" s="112">
        <v>0.0</v>
      </c>
      <c r="AE142" s="112">
        <v>0.0</v>
      </c>
      <c r="AF142" s="125">
        <f t="shared" si="39"/>
        <v>0</v>
      </c>
    </row>
    <row r="143">
      <c r="A143" s="117" t="s">
        <v>305</v>
      </c>
      <c r="B143" s="112">
        <v>0.0</v>
      </c>
      <c r="C143" s="112">
        <v>0.0</v>
      </c>
      <c r="D143" s="112">
        <v>0.0</v>
      </c>
      <c r="E143" s="112">
        <v>0.0</v>
      </c>
      <c r="F143" s="112">
        <v>0.0</v>
      </c>
      <c r="G143" s="112">
        <v>0.0</v>
      </c>
      <c r="H143" s="112">
        <v>0.0</v>
      </c>
      <c r="I143" s="112">
        <v>0.0</v>
      </c>
      <c r="J143" s="112">
        <v>0.0</v>
      </c>
      <c r="K143" s="112">
        <v>0.0</v>
      </c>
      <c r="L143" s="112">
        <v>0.0</v>
      </c>
      <c r="M143" s="112">
        <v>0.0</v>
      </c>
      <c r="N143" s="112">
        <v>0.0</v>
      </c>
      <c r="O143" s="112">
        <v>0.0</v>
      </c>
      <c r="P143" s="112">
        <v>0.0</v>
      </c>
      <c r="Q143" s="112">
        <v>0.0</v>
      </c>
      <c r="R143" s="112">
        <v>0.0</v>
      </c>
      <c r="S143" s="112">
        <v>0.0</v>
      </c>
      <c r="T143" s="112">
        <v>0.0</v>
      </c>
      <c r="U143" s="112">
        <v>0.0</v>
      </c>
      <c r="V143" s="112">
        <v>0.0</v>
      </c>
      <c r="W143" s="112">
        <v>0.0</v>
      </c>
      <c r="X143" s="112">
        <v>0.0</v>
      </c>
      <c r="Y143" s="112">
        <v>0.0</v>
      </c>
      <c r="Z143" s="112">
        <v>0.0</v>
      </c>
      <c r="AA143" s="112">
        <v>0.0</v>
      </c>
      <c r="AB143" s="112">
        <v>0.0</v>
      </c>
      <c r="AC143" s="112">
        <v>0.0</v>
      </c>
      <c r="AD143" s="112">
        <v>0.0</v>
      </c>
      <c r="AE143" s="112">
        <v>0.0</v>
      </c>
      <c r="AF143" s="125">
        <f t="shared" si="39"/>
        <v>0</v>
      </c>
    </row>
    <row r="144">
      <c r="A144" s="204" t="s">
        <v>162</v>
      </c>
      <c r="B144" s="219">
        <f t="shared" ref="B144:AE144" si="40">SUM(B136:B143)</f>
        <v>0</v>
      </c>
      <c r="C144" s="219">
        <f t="shared" si="40"/>
        <v>0</v>
      </c>
      <c r="D144" s="219">
        <f t="shared" si="40"/>
        <v>0</v>
      </c>
      <c r="E144" s="219">
        <f t="shared" si="40"/>
        <v>0</v>
      </c>
      <c r="F144" s="219">
        <f t="shared" si="40"/>
        <v>0</v>
      </c>
      <c r="G144" s="219">
        <f t="shared" si="40"/>
        <v>0</v>
      </c>
      <c r="H144" s="219">
        <f t="shared" si="40"/>
        <v>0</v>
      </c>
      <c r="I144" s="219">
        <f t="shared" si="40"/>
        <v>0</v>
      </c>
      <c r="J144" s="219">
        <f t="shared" si="40"/>
        <v>0</v>
      </c>
      <c r="K144" s="219">
        <f t="shared" si="40"/>
        <v>1</v>
      </c>
      <c r="L144" s="219">
        <f t="shared" si="40"/>
        <v>0</v>
      </c>
      <c r="M144" s="219">
        <f t="shared" si="40"/>
        <v>0</v>
      </c>
      <c r="N144" s="219">
        <f t="shared" si="40"/>
        <v>0</v>
      </c>
      <c r="O144" s="219">
        <f t="shared" si="40"/>
        <v>0</v>
      </c>
      <c r="P144" s="219">
        <f t="shared" si="40"/>
        <v>0</v>
      </c>
      <c r="Q144" s="219">
        <f t="shared" si="40"/>
        <v>0</v>
      </c>
      <c r="R144" s="219">
        <f t="shared" si="40"/>
        <v>0</v>
      </c>
      <c r="S144" s="219">
        <f t="shared" si="40"/>
        <v>0</v>
      </c>
      <c r="T144" s="219">
        <f t="shared" si="40"/>
        <v>0</v>
      </c>
      <c r="U144" s="219">
        <f t="shared" si="40"/>
        <v>1</v>
      </c>
      <c r="V144" s="219">
        <f t="shared" si="40"/>
        <v>0</v>
      </c>
      <c r="W144" s="219">
        <f t="shared" si="40"/>
        <v>1</v>
      </c>
      <c r="X144" s="219">
        <f t="shared" si="40"/>
        <v>0</v>
      </c>
      <c r="Y144" s="219">
        <f t="shared" si="40"/>
        <v>0</v>
      </c>
      <c r="Z144" s="219">
        <f t="shared" si="40"/>
        <v>0</v>
      </c>
      <c r="AA144" s="219">
        <f t="shared" si="40"/>
        <v>0</v>
      </c>
      <c r="AB144" s="219">
        <f t="shared" si="40"/>
        <v>1</v>
      </c>
      <c r="AC144" s="219">
        <f t="shared" si="40"/>
        <v>0</v>
      </c>
      <c r="AD144" s="219">
        <f t="shared" si="40"/>
        <v>0</v>
      </c>
      <c r="AE144" s="219">
        <f t="shared" si="40"/>
        <v>0</v>
      </c>
      <c r="AF144" s="125">
        <f t="shared" si="39"/>
        <v>4</v>
      </c>
    </row>
    <row r="145">
      <c r="A145" s="4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6"/>
    </row>
    <row r="146">
      <c r="A146" s="4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6"/>
    </row>
    <row r="147">
      <c r="A147" s="75" t="s">
        <v>310</v>
      </c>
      <c r="B147" s="139"/>
      <c r="C147" s="139"/>
      <c r="D147" s="139"/>
      <c r="E147" s="139"/>
      <c r="F147" s="139"/>
      <c r="G147" s="183"/>
      <c r="H147" s="139"/>
      <c r="I147" s="9"/>
      <c r="J147" s="9"/>
      <c r="K147" s="9"/>
      <c r="L147" s="9"/>
      <c r="M147" s="9"/>
      <c r="N147" s="9"/>
      <c r="O147" s="9"/>
      <c r="P147" s="9"/>
      <c r="Q147" s="9"/>
      <c r="R147" s="9"/>
      <c r="S147" s="9"/>
      <c r="T147" s="9"/>
      <c r="U147" s="9"/>
      <c r="V147" s="9"/>
      <c r="W147" s="9"/>
      <c r="X147" s="9"/>
      <c r="Y147" s="9"/>
      <c r="Z147" s="9"/>
      <c r="AA147" s="9"/>
      <c r="AB147" s="9"/>
      <c r="AC147" s="9"/>
      <c r="AD147" s="9"/>
      <c r="AE147" s="9"/>
      <c r="AF147" s="6"/>
    </row>
    <row r="148">
      <c r="A148" s="117" t="s">
        <v>313</v>
      </c>
      <c r="B148" s="128">
        <v>0.0</v>
      </c>
      <c r="C148" s="55">
        <f t="shared" ref="C148:D148" si="41"> 299+ 299</f>
        <v>598</v>
      </c>
      <c r="D148" s="55">
        <f t="shared" si="41"/>
        <v>598</v>
      </c>
      <c r="E148" s="128">
        <v>299.0</v>
      </c>
      <c r="F148" s="55">
        <f> 299+29</f>
        <v>328</v>
      </c>
      <c r="G148" s="128">
        <v>0.0</v>
      </c>
      <c r="H148" s="128">
        <v>239.0</v>
      </c>
      <c r="I148" s="55">
        <f>299+239+24</f>
        <v>562</v>
      </c>
      <c r="J148" s="55">
        <f>239+239+299+299+299+239+24+24</f>
        <v>1662</v>
      </c>
      <c r="K148" s="55">
        <f>299+239</f>
        <v>538</v>
      </c>
      <c r="L148" s="55">
        <f>6*299+239</f>
        <v>2033</v>
      </c>
      <c r="M148" s="55">
        <f>3*299+239</f>
        <v>1136</v>
      </c>
      <c r="N148" s="243">
        <f>299+299+299+239+239+24</f>
        <v>1399</v>
      </c>
      <c r="O148" s="243">
        <f> 299+ 299</f>
        <v>598</v>
      </c>
      <c r="P148" s="243">
        <f>209.99+209.99+209.99+209.99+299+239</f>
        <v>1377.96</v>
      </c>
      <c r="Q148" s="243">
        <f>6*209.99+24</f>
        <v>1283.94</v>
      </c>
      <c r="R148" s="243">
        <f>209.99+24</f>
        <v>233.99</v>
      </c>
      <c r="S148" s="243">
        <f>209.99+209.99</f>
        <v>419.98</v>
      </c>
      <c r="T148" s="243">
        <f>209.99+239</f>
        <v>448.99</v>
      </c>
      <c r="U148" s="243">
        <f>5*209+24+24+299</f>
        <v>1392</v>
      </c>
      <c r="V148" s="243">
        <f>6*209</f>
        <v>1254</v>
      </c>
      <c r="W148" s="243">
        <f>11*209</f>
        <v>2299</v>
      </c>
      <c r="X148" s="243">
        <f>209*13</f>
        <v>2717</v>
      </c>
      <c r="Y148" s="243">
        <f>78*209+24</f>
        <v>16326</v>
      </c>
      <c r="Z148" s="243">
        <f>52*209+24+24+24</f>
        <v>10940</v>
      </c>
      <c r="AA148" s="243">
        <f>21*209</f>
        <v>4389</v>
      </c>
      <c r="AB148" s="243">
        <f>10*209</f>
        <v>2090</v>
      </c>
      <c r="AC148" s="248">
        <v>0.0</v>
      </c>
      <c r="AD148" s="248">
        <v>0.0</v>
      </c>
      <c r="AE148" s="248">
        <v>0.0</v>
      </c>
      <c r="AF148" s="188">
        <f t="shared" ref="AF148:AF152" si="43">SUM(B148:AE148)</f>
        <v>55161.86</v>
      </c>
    </row>
    <row r="149">
      <c r="A149" s="117" t="s">
        <v>321</v>
      </c>
      <c r="B149" s="128">
        <f t="shared" ref="B149:AE149" si="42">0.55*(B115+B116+B126)</f>
        <v>0</v>
      </c>
      <c r="C149" s="128">
        <f t="shared" si="42"/>
        <v>1.1</v>
      </c>
      <c r="D149" s="128">
        <f t="shared" si="42"/>
        <v>1.1</v>
      </c>
      <c r="E149" s="128">
        <f t="shared" si="42"/>
        <v>0.55</v>
      </c>
      <c r="F149" s="128">
        <f t="shared" si="42"/>
        <v>1.1</v>
      </c>
      <c r="G149" s="128">
        <f t="shared" si="42"/>
        <v>0</v>
      </c>
      <c r="H149" s="128">
        <f t="shared" si="42"/>
        <v>0.55</v>
      </c>
      <c r="I149" s="128">
        <f t="shared" si="42"/>
        <v>1.65</v>
      </c>
      <c r="J149" s="128">
        <f t="shared" si="42"/>
        <v>4.4</v>
      </c>
      <c r="K149" s="128">
        <f t="shared" si="42"/>
        <v>1.1</v>
      </c>
      <c r="L149" s="128">
        <f t="shared" si="42"/>
        <v>3.85</v>
      </c>
      <c r="M149" s="128">
        <f t="shared" si="42"/>
        <v>2.2</v>
      </c>
      <c r="N149" s="128">
        <f t="shared" si="42"/>
        <v>3.3</v>
      </c>
      <c r="O149" s="128">
        <f t="shared" si="42"/>
        <v>1.1</v>
      </c>
      <c r="P149" s="128">
        <f t="shared" si="42"/>
        <v>3.3</v>
      </c>
      <c r="Q149" s="128">
        <f t="shared" si="42"/>
        <v>3.85</v>
      </c>
      <c r="R149" s="128">
        <f t="shared" si="42"/>
        <v>1.1</v>
      </c>
      <c r="S149" s="128">
        <f t="shared" si="42"/>
        <v>1.1</v>
      </c>
      <c r="T149" s="128">
        <f t="shared" si="42"/>
        <v>1.1</v>
      </c>
      <c r="U149" s="128">
        <f t="shared" si="42"/>
        <v>4.4</v>
      </c>
      <c r="V149" s="128">
        <f t="shared" si="42"/>
        <v>3.3</v>
      </c>
      <c r="W149" s="128">
        <f t="shared" si="42"/>
        <v>6.05</v>
      </c>
      <c r="X149" s="128">
        <f t="shared" si="42"/>
        <v>7.15</v>
      </c>
      <c r="Y149" s="128">
        <f t="shared" si="42"/>
        <v>43.45</v>
      </c>
      <c r="Z149" s="128">
        <f t="shared" si="42"/>
        <v>30.25</v>
      </c>
      <c r="AA149" s="128">
        <f t="shared" si="42"/>
        <v>11.55</v>
      </c>
      <c r="AB149" s="128">
        <f t="shared" si="42"/>
        <v>5.5</v>
      </c>
      <c r="AC149" s="128">
        <f t="shared" si="42"/>
        <v>0</v>
      </c>
      <c r="AD149" s="128">
        <f t="shared" si="42"/>
        <v>0</v>
      </c>
      <c r="AE149" s="128">
        <f t="shared" si="42"/>
        <v>0</v>
      </c>
      <c r="AF149" s="188">
        <f t="shared" si="43"/>
        <v>144.1</v>
      </c>
    </row>
    <row r="150">
      <c r="A150" s="117" t="s">
        <v>326</v>
      </c>
      <c r="B150" s="128">
        <f t="shared" ref="B150:AE150" si="44">14.55*(B115+B116)</f>
        <v>0</v>
      </c>
      <c r="C150" s="128">
        <f t="shared" si="44"/>
        <v>29.1</v>
      </c>
      <c r="D150" s="128">
        <f t="shared" si="44"/>
        <v>29.1</v>
      </c>
      <c r="E150" s="128">
        <f t="shared" si="44"/>
        <v>14.55</v>
      </c>
      <c r="F150" s="128">
        <f t="shared" si="44"/>
        <v>14.55</v>
      </c>
      <c r="G150" s="128">
        <f t="shared" si="44"/>
        <v>0</v>
      </c>
      <c r="H150" s="128">
        <f t="shared" si="44"/>
        <v>14.55</v>
      </c>
      <c r="I150" s="128">
        <f t="shared" si="44"/>
        <v>29.1</v>
      </c>
      <c r="J150" s="128">
        <f t="shared" si="44"/>
        <v>87.3</v>
      </c>
      <c r="K150" s="128">
        <f t="shared" si="44"/>
        <v>29.1</v>
      </c>
      <c r="L150" s="128">
        <f t="shared" si="44"/>
        <v>101.85</v>
      </c>
      <c r="M150" s="128">
        <f t="shared" si="44"/>
        <v>58.2</v>
      </c>
      <c r="N150" s="128">
        <f t="shared" si="44"/>
        <v>72.75</v>
      </c>
      <c r="O150" s="128">
        <f t="shared" si="44"/>
        <v>29.1</v>
      </c>
      <c r="P150" s="128">
        <f t="shared" si="44"/>
        <v>87.3</v>
      </c>
      <c r="Q150" s="128">
        <f t="shared" si="44"/>
        <v>87.3</v>
      </c>
      <c r="R150" s="128">
        <f t="shared" si="44"/>
        <v>14.55</v>
      </c>
      <c r="S150" s="128">
        <f t="shared" si="44"/>
        <v>29.1</v>
      </c>
      <c r="T150" s="128">
        <f t="shared" si="44"/>
        <v>29.1</v>
      </c>
      <c r="U150" s="128">
        <f t="shared" si="44"/>
        <v>87.3</v>
      </c>
      <c r="V150" s="128">
        <f t="shared" si="44"/>
        <v>87.3</v>
      </c>
      <c r="W150" s="128">
        <f t="shared" si="44"/>
        <v>160.05</v>
      </c>
      <c r="X150" s="128">
        <f t="shared" si="44"/>
        <v>189.15</v>
      </c>
      <c r="Y150" s="128">
        <f t="shared" si="44"/>
        <v>1134.9</v>
      </c>
      <c r="Z150" s="128">
        <f t="shared" si="44"/>
        <v>756.6</v>
      </c>
      <c r="AA150" s="128">
        <f t="shared" si="44"/>
        <v>305.55</v>
      </c>
      <c r="AB150" s="128">
        <f t="shared" si="44"/>
        <v>145.5</v>
      </c>
      <c r="AC150" s="128">
        <f t="shared" si="44"/>
        <v>0</v>
      </c>
      <c r="AD150" s="128">
        <f t="shared" si="44"/>
        <v>0</v>
      </c>
      <c r="AE150" s="128">
        <f t="shared" si="44"/>
        <v>0</v>
      </c>
      <c r="AF150" s="188">
        <f t="shared" si="43"/>
        <v>3622.95</v>
      </c>
    </row>
    <row r="151">
      <c r="A151" s="117" t="s">
        <v>331</v>
      </c>
      <c r="B151" s="128">
        <f t="shared" ref="B151:AE151" si="45">0.15*(B115+B116+B126)</f>
        <v>0</v>
      </c>
      <c r="C151" s="128">
        <f t="shared" si="45"/>
        <v>0.3</v>
      </c>
      <c r="D151" s="128">
        <f t="shared" si="45"/>
        <v>0.3</v>
      </c>
      <c r="E151" s="128">
        <f t="shared" si="45"/>
        <v>0.15</v>
      </c>
      <c r="F151" s="128">
        <f t="shared" si="45"/>
        <v>0.3</v>
      </c>
      <c r="G151" s="128">
        <f t="shared" si="45"/>
        <v>0</v>
      </c>
      <c r="H151" s="128">
        <f t="shared" si="45"/>
        <v>0.15</v>
      </c>
      <c r="I151" s="128">
        <f t="shared" si="45"/>
        <v>0.45</v>
      </c>
      <c r="J151" s="128">
        <f t="shared" si="45"/>
        <v>1.2</v>
      </c>
      <c r="K151" s="128">
        <f t="shared" si="45"/>
        <v>0.3</v>
      </c>
      <c r="L151" s="128">
        <f t="shared" si="45"/>
        <v>1.05</v>
      </c>
      <c r="M151" s="128">
        <f t="shared" si="45"/>
        <v>0.6</v>
      </c>
      <c r="N151" s="128">
        <f t="shared" si="45"/>
        <v>0.9</v>
      </c>
      <c r="O151" s="128">
        <f t="shared" si="45"/>
        <v>0.3</v>
      </c>
      <c r="P151" s="128">
        <f t="shared" si="45"/>
        <v>0.9</v>
      </c>
      <c r="Q151" s="128">
        <f t="shared" si="45"/>
        <v>1.05</v>
      </c>
      <c r="R151" s="128">
        <f t="shared" si="45"/>
        <v>0.3</v>
      </c>
      <c r="S151" s="128">
        <f t="shared" si="45"/>
        <v>0.3</v>
      </c>
      <c r="T151" s="128">
        <f t="shared" si="45"/>
        <v>0.3</v>
      </c>
      <c r="U151" s="128">
        <f t="shared" si="45"/>
        <v>1.2</v>
      </c>
      <c r="V151" s="128">
        <f t="shared" si="45"/>
        <v>0.9</v>
      </c>
      <c r="W151" s="128">
        <f t="shared" si="45"/>
        <v>1.65</v>
      </c>
      <c r="X151" s="128">
        <f t="shared" si="45"/>
        <v>1.95</v>
      </c>
      <c r="Y151" s="128">
        <f t="shared" si="45"/>
        <v>11.85</v>
      </c>
      <c r="Z151" s="128">
        <f t="shared" si="45"/>
        <v>8.25</v>
      </c>
      <c r="AA151" s="128">
        <f t="shared" si="45"/>
        <v>3.15</v>
      </c>
      <c r="AB151" s="128">
        <f t="shared" si="45"/>
        <v>1.5</v>
      </c>
      <c r="AC151" s="128">
        <f t="shared" si="45"/>
        <v>0</v>
      </c>
      <c r="AD151" s="128">
        <f t="shared" si="45"/>
        <v>0</v>
      </c>
      <c r="AE151" s="128">
        <f t="shared" si="45"/>
        <v>0</v>
      </c>
      <c r="AF151" s="188">
        <f t="shared" si="43"/>
        <v>39.3</v>
      </c>
    </row>
    <row r="152">
      <c r="A152" s="251" t="s">
        <v>333</v>
      </c>
      <c r="B152" s="254">
        <f t="shared" ref="B152:AE152" si="46">B148+B149+B150</f>
        <v>0</v>
      </c>
      <c r="C152" s="254">
        <f t="shared" si="46"/>
        <v>628.2</v>
      </c>
      <c r="D152" s="254">
        <f t="shared" si="46"/>
        <v>628.2</v>
      </c>
      <c r="E152" s="254">
        <f t="shared" si="46"/>
        <v>314.1</v>
      </c>
      <c r="F152" s="254">
        <f t="shared" si="46"/>
        <v>343.65</v>
      </c>
      <c r="G152" s="254">
        <f t="shared" si="46"/>
        <v>0</v>
      </c>
      <c r="H152" s="254">
        <f t="shared" si="46"/>
        <v>254.1</v>
      </c>
      <c r="I152" s="254">
        <f t="shared" si="46"/>
        <v>592.75</v>
      </c>
      <c r="J152" s="254">
        <f t="shared" si="46"/>
        <v>1753.7</v>
      </c>
      <c r="K152" s="254">
        <f t="shared" si="46"/>
        <v>568.2</v>
      </c>
      <c r="L152" s="254">
        <f t="shared" si="46"/>
        <v>2138.7</v>
      </c>
      <c r="M152" s="254">
        <f t="shared" si="46"/>
        <v>1196.4</v>
      </c>
      <c r="N152" s="254">
        <f t="shared" si="46"/>
        <v>1475.05</v>
      </c>
      <c r="O152" s="254">
        <f t="shared" si="46"/>
        <v>628.2</v>
      </c>
      <c r="P152" s="254">
        <f t="shared" si="46"/>
        <v>1468.56</v>
      </c>
      <c r="Q152" s="254">
        <f t="shared" si="46"/>
        <v>1375.09</v>
      </c>
      <c r="R152" s="254">
        <f t="shared" si="46"/>
        <v>249.64</v>
      </c>
      <c r="S152" s="254">
        <f t="shared" si="46"/>
        <v>450.18</v>
      </c>
      <c r="T152" s="254">
        <f t="shared" si="46"/>
        <v>479.19</v>
      </c>
      <c r="U152" s="254">
        <f t="shared" si="46"/>
        <v>1483.7</v>
      </c>
      <c r="V152" s="254">
        <f t="shared" si="46"/>
        <v>1344.6</v>
      </c>
      <c r="W152" s="254">
        <f t="shared" si="46"/>
        <v>2465.1</v>
      </c>
      <c r="X152" s="254">
        <f t="shared" si="46"/>
        <v>2913.3</v>
      </c>
      <c r="Y152" s="254">
        <f t="shared" si="46"/>
        <v>17504.35</v>
      </c>
      <c r="Z152" s="254">
        <f t="shared" si="46"/>
        <v>11726.85</v>
      </c>
      <c r="AA152" s="254">
        <f t="shared" si="46"/>
        <v>4706.1</v>
      </c>
      <c r="AB152" s="254">
        <f t="shared" si="46"/>
        <v>2241</v>
      </c>
      <c r="AC152" s="254">
        <f t="shared" si="46"/>
        <v>0</v>
      </c>
      <c r="AD152" s="254">
        <f t="shared" si="46"/>
        <v>0</v>
      </c>
      <c r="AE152" s="254">
        <f t="shared" si="46"/>
        <v>0</v>
      </c>
      <c r="AF152" s="188">
        <f t="shared" si="43"/>
        <v>58928.91</v>
      </c>
    </row>
    <row r="153">
      <c r="A153" s="4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6"/>
    </row>
    <row r="154">
      <c r="A154" s="75" t="s">
        <v>338</v>
      </c>
      <c r="B154" s="9"/>
      <c r="C154" s="9"/>
      <c r="D154" s="9"/>
      <c r="E154" s="9"/>
      <c r="F154" s="9"/>
      <c r="G154" s="9"/>
      <c r="H154" s="9"/>
      <c r="I154" s="183"/>
      <c r="J154" s="9"/>
      <c r="K154" s="9"/>
      <c r="L154" s="9"/>
      <c r="M154" s="9"/>
      <c r="N154" s="9"/>
      <c r="O154" s="9"/>
      <c r="P154" s="9"/>
      <c r="Q154" s="9"/>
      <c r="R154" s="9"/>
      <c r="S154" s="9"/>
      <c r="T154" s="9"/>
      <c r="U154" s="9"/>
      <c r="V154" s="9"/>
      <c r="W154" s="9"/>
      <c r="X154" s="9"/>
      <c r="Y154" s="9"/>
      <c r="Z154" s="9"/>
      <c r="AA154" s="9"/>
      <c r="AB154" s="9"/>
      <c r="AC154" s="9"/>
      <c r="AD154" s="9"/>
      <c r="AE154" s="9"/>
      <c r="AF154" s="6"/>
    </row>
    <row r="155">
      <c r="A155" s="117" t="s">
        <v>340</v>
      </c>
      <c r="B155" s="128">
        <v>477.58</v>
      </c>
      <c r="C155" s="128">
        <v>631.59</v>
      </c>
      <c r="D155" s="128">
        <v>780.3</v>
      </c>
      <c r="E155" s="128">
        <v>413.44</v>
      </c>
      <c r="F155" s="128">
        <v>368.87</v>
      </c>
      <c r="G155" s="128">
        <v>0.0</v>
      </c>
      <c r="H155" s="128">
        <v>662.02</v>
      </c>
      <c r="I155" s="128">
        <v>497.72</v>
      </c>
      <c r="J155" s="128">
        <v>1852.03</v>
      </c>
      <c r="K155" s="128">
        <v>443.72</v>
      </c>
      <c r="L155" s="128">
        <v>460.92</v>
      </c>
      <c r="M155" s="128">
        <v>218.43</v>
      </c>
      <c r="N155" s="128">
        <v>1041.72</v>
      </c>
      <c r="O155" s="128">
        <v>1027.12</v>
      </c>
      <c r="P155" s="128">
        <v>853.17</v>
      </c>
      <c r="Q155" s="128">
        <v>246.44</v>
      </c>
      <c r="R155" s="128">
        <v>657.43</v>
      </c>
      <c r="S155" s="128">
        <v>1264.09</v>
      </c>
      <c r="T155" s="128">
        <v>467.43</v>
      </c>
      <c r="U155" s="128">
        <v>707.15</v>
      </c>
      <c r="V155" s="128">
        <v>456.15</v>
      </c>
      <c r="W155" s="128">
        <v>878.66</v>
      </c>
      <c r="X155" s="128">
        <v>1004.58</v>
      </c>
      <c r="Y155" s="128">
        <v>1141.88</v>
      </c>
      <c r="Z155" s="128">
        <v>1109.65</v>
      </c>
      <c r="AA155" s="128">
        <v>997.28</v>
      </c>
      <c r="AB155" s="128">
        <v>1529.2</v>
      </c>
      <c r="AC155" s="128">
        <v>2064.17</v>
      </c>
      <c r="AD155" s="128">
        <v>2270.66</v>
      </c>
      <c r="AE155" s="128">
        <v>1508.95</v>
      </c>
      <c r="AF155" s="188">
        <f t="shared" ref="AF155:AF159" si="47">SUM(B155:AE155)</f>
        <v>26032.35</v>
      </c>
    </row>
    <row r="156">
      <c r="A156" s="117" t="s">
        <v>342</v>
      </c>
      <c r="B156" s="128">
        <v>0.0</v>
      </c>
      <c r="C156" s="128">
        <v>0.0</v>
      </c>
      <c r="D156" s="128">
        <v>0.0</v>
      </c>
      <c r="E156" s="128">
        <v>0.0</v>
      </c>
      <c r="F156" s="128">
        <v>0.0</v>
      </c>
      <c r="G156" s="128">
        <v>0.0</v>
      </c>
      <c r="H156" s="128">
        <v>0.0</v>
      </c>
      <c r="I156" s="128">
        <v>0.0</v>
      </c>
      <c r="J156" s="128">
        <v>0.0</v>
      </c>
      <c r="K156" s="128">
        <v>0.0</v>
      </c>
      <c r="L156" s="128">
        <v>0.0</v>
      </c>
      <c r="M156" s="128">
        <v>0.0</v>
      </c>
      <c r="N156" s="128">
        <v>0.0</v>
      </c>
      <c r="O156" s="128">
        <v>0.0</v>
      </c>
      <c r="P156" s="128">
        <v>0.0</v>
      </c>
      <c r="Q156" s="128">
        <v>0.0</v>
      </c>
      <c r="R156" s="128">
        <v>0.0</v>
      </c>
      <c r="S156" s="128">
        <v>0.0</v>
      </c>
      <c r="T156" s="128">
        <v>0.0</v>
      </c>
      <c r="U156" s="128">
        <v>0.0</v>
      </c>
      <c r="V156" s="128">
        <v>0.0</v>
      </c>
      <c r="W156" s="128">
        <v>0.0</v>
      </c>
      <c r="X156" s="128">
        <v>0.0</v>
      </c>
      <c r="Y156" s="128">
        <v>0.0</v>
      </c>
      <c r="Z156" s="128">
        <v>0.0</v>
      </c>
      <c r="AA156" s="128">
        <v>0.0</v>
      </c>
      <c r="AB156" s="128">
        <v>0.0</v>
      </c>
      <c r="AC156" s="128">
        <v>0.0</v>
      </c>
      <c r="AD156" s="128">
        <v>0.0</v>
      </c>
      <c r="AE156" s="128">
        <v>0.0</v>
      </c>
      <c r="AF156" s="188">
        <f t="shared" si="47"/>
        <v>0</v>
      </c>
    </row>
    <row r="157">
      <c r="A157" s="117" t="s">
        <v>344</v>
      </c>
      <c r="B157" s="128">
        <v>0.0</v>
      </c>
      <c r="C157" s="128">
        <v>0.0</v>
      </c>
      <c r="D157" s="128">
        <v>0.0</v>
      </c>
      <c r="E157" s="128">
        <v>0.0</v>
      </c>
      <c r="F157" s="128">
        <v>0.0</v>
      </c>
      <c r="G157" s="128">
        <v>0.0</v>
      </c>
      <c r="H157" s="128">
        <v>0.0</v>
      </c>
      <c r="I157" s="128">
        <v>0.0</v>
      </c>
      <c r="J157" s="128">
        <v>0.0</v>
      </c>
      <c r="K157" s="128">
        <v>0.0</v>
      </c>
      <c r="L157" s="128">
        <v>0.0</v>
      </c>
      <c r="M157" s="128">
        <v>0.0</v>
      </c>
      <c r="N157" s="128">
        <v>0.0</v>
      </c>
      <c r="O157" s="128">
        <v>0.0</v>
      </c>
      <c r="P157" s="128">
        <v>0.0</v>
      </c>
      <c r="Q157" s="128">
        <v>0.0</v>
      </c>
      <c r="R157" s="128">
        <v>0.0</v>
      </c>
      <c r="S157" s="128">
        <v>0.0</v>
      </c>
      <c r="T157" s="128">
        <v>0.0</v>
      </c>
      <c r="U157" s="128">
        <v>0.0</v>
      </c>
      <c r="V157" s="128">
        <v>0.0</v>
      </c>
      <c r="W157" s="128">
        <v>0.0</v>
      </c>
      <c r="X157" s="128">
        <v>0.0</v>
      </c>
      <c r="Y157" s="128">
        <v>0.0</v>
      </c>
      <c r="Z157" s="128">
        <v>0.0</v>
      </c>
      <c r="AA157" s="128">
        <v>0.0</v>
      </c>
      <c r="AB157" s="128">
        <v>0.0</v>
      </c>
      <c r="AC157" s="128">
        <v>0.0</v>
      </c>
      <c r="AD157" s="128">
        <v>0.0</v>
      </c>
      <c r="AE157" s="128">
        <v>0.0</v>
      </c>
      <c r="AF157" s="188">
        <f t="shared" si="47"/>
        <v>0</v>
      </c>
    </row>
    <row r="158">
      <c r="A158" s="117" t="s">
        <v>345</v>
      </c>
      <c r="B158" s="128">
        <v>0.0</v>
      </c>
      <c r="C158" s="128">
        <v>0.0</v>
      </c>
      <c r="D158" s="128">
        <v>0.0</v>
      </c>
      <c r="E158" s="128">
        <v>0.0</v>
      </c>
      <c r="F158" s="128">
        <v>0.0</v>
      </c>
      <c r="G158" s="128">
        <v>0.0</v>
      </c>
      <c r="H158" s="128">
        <v>0.0</v>
      </c>
      <c r="I158" s="128">
        <v>0.0</v>
      </c>
      <c r="J158" s="128">
        <v>0.0</v>
      </c>
      <c r="K158" s="128">
        <v>0.0</v>
      </c>
      <c r="L158" s="128">
        <v>0.0</v>
      </c>
      <c r="M158" s="128">
        <v>0.0</v>
      </c>
      <c r="N158" s="128">
        <v>0.0</v>
      </c>
      <c r="O158" s="128">
        <v>0.0</v>
      </c>
      <c r="P158" s="128">
        <v>0.0</v>
      </c>
      <c r="Q158" s="128">
        <v>0.0</v>
      </c>
      <c r="R158" s="128">
        <v>0.0</v>
      </c>
      <c r="S158" s="128">
        <v>0.0</v>
      </c>
      <c r="T158" s="128">
        <v>0.0</v>
      </c>
      <c r="U158" s="128">
        <v>0.0</v>
      </c>
      <c r="V158" s="128">
        <v>0.0</v>
      </c>
      <c r="W158" s="128">
        <v>0.0</v>
      </c>
      <c r="X158" s="128">
        <v>0.0</v>
      </c>
      <c r="Y158" s="128">
        <v>0.0</v>
      </c>
      <c r="Z158" s="128">
        <v>0.0</v>
      </c>
      <c r="AA158" s="128">
        <v>0.0</v>
      </c>
      <c r="AB158" s="128">
        <v>0.0</v>
      </c>
      <c r="AC158" s="128">
        <v>0.0</v>
      </c>
      <c r="AD158" s="128">
        <v>0.0</v>
      </c>
      <c r="AE158" s="128">
        <v>0.0</v>
      </c>
      <c r="AF158" s="188">
        <f t="shared" si="47"/>
        <v>0</v>
      </c>
    </row>
    <row r="159">
      <c r="A159" s="251" t="s">
        <v>347</v>
      </c>
      <c r="B159" s="254">
        <f>sum(B155:B158)</f>
        <v>477.58</v>
      </c>
      <c r="C159" s="254">
        <f t="shared" ref="C159:H159" si="48">sum(C155:C157)</f>
        <v>631.59</v>
      </c>
      <c r="D159" s="254">
        <f t="shared" si="48"/>
        <v>780.3</v>
      </c>
      <c r="E159" s="254">
        <f t="shared" si="48"/>
        <v>413.44</v>
      </c>
      <c r="F159" s="254">
        <f t="shared" si="48"/>
        <v>368.87</v>
      </c>
      <c r="G159" s="254">
        <f t="shared" si="48"/>
        <v>0</v>
      </c>
      <c r="H159" s="254">
        <f t="shared" si="48"/>
        <v>662.02</v>
      </c>
      <c r="I159" s="254">
        <f>sum(I154:I157)</f>
        <v>497.72</v>
      </c>
      <c r="J159" s="254">
        <f t="shared" ref="J159:AE159" si="49">sum(J155:J157)</f>
        <v>1852.03</v>
      </c>
      <c r="K159" s="254">
        <f t="shared" si="49"/>
        <v>443.72</v>
      </c>
      <c r="L159" s="254">
        <f t="shared" si="49"/>
        <v>460.92</v>
      </c>
      <c r="M159" s="254">
        <f t="shared" si="49"/>
        <v>218.43</v>
      </c>
      <c r="N159" s="254">
        <f t="shared" si="49"/>
        <v>1041.72</v>
      </c>
      <c r="O159" s="254">
        <f t="shared" si="49"/>
        <v>1027.12</v>
      </c>
      <c r="P159" s="254">
        <f t="shared" si="49"/>
        <v>853.17</v>
      </c>
      <c r="Q159" s="254">
        <f t="shared" si="49"/>
        <v>246.44</v>
      </c>
      <c r="R159" s="254">
        <f t="shared" si="49"/>
        <v>657.43</v>
      </c>
      <c r="S159" s="254">
        <f t="shared" si="49"/>
        <v>1264.09</v>
      </c>
      <c r="T159" s="254">
        <f t="shared" si="49"/>
        <v>467.43</v>
      </c>
      <c r="U159" s="254">
        <f t="shared" si="49"/>
        <v>707.15</v>
      </c>
      <c r="V159" s="254">
        <f t="shared" si="49"/>
        <v>456.15</v>
      </c>
      <c r="W159" s="254">
        <f t="shared" si="49"/>
        <v>878.66</v>
      </c>
      <c r="X159" s="254">
        <f t="shared" si="49"/>
        <v>1004.58</v>
      </c>
      <c r="Y159" s="254">
        <f t="shared" si="49"/>
        <v>1141.88</v>
      </c>
      <c r="Z159" s="254">
        <f t="shared" si="49"/>
        <v>1109.65</v>
      </c>
      <c r="AA159" s="254">
        <f t="shared" si="49"/>
        <v>997.28</v>
      </c>
      <c r="AB159" s="254">
        <f t="shared" si="49"/>
        <v>1529.2</v>
      </c>
      <c r="AC159" s="254">
        <f t="shared" si="49"/>
        <v>2064.17</v>
      </c>
      <c r="AD159" s="254">
        <f t="shared" si="49"/>
        <v>2270.66</v>
      </c>
      <c r="AE159" s="254">
        <f t="shared" si="49"/>
        <v>1508.95</v>
      </c>
      <c r="AF159" s="188">
        <f t="shared" si="47"/>
        <v>26032.35</v>
      </c>
    </row>
    <row r="160">
      <c r="A160" s="4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6"/>
    </row>
    <row r="161">
      <c r="A161" s="4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6"/>
    </row>
    <row r="162">
      <c r="A162" s="75" t="s">
        <v>348</v>
      </c>
      <c r="B162" s="256" t="s">
        <v>349</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6"/>
    </row>
    <row r="163">
      <c r="A163" s="117" t="s">
        <v>350</v>
      </c>
      <c r="B163" s="112">
        <v>0.0</v>
      </c>
      <c r="C163" s="112">
        <v>0.0</v>
      </c>
      <c r="D163" s="112">
        <v>0.0</v>
      </c>
      <c r="E163" s="112">
        <v>0.0</v>
      </c>
      <c r="F163" s="112">
        <v>0.0</v>
      </c>
      <c r="G163" s="112">
        <v>0.0</v>
      </c>
      <c r="H163" s="112">
        <v>0.0</v>
      </c>
      <c r="I163" s="112">
        <v>0.0</v>
      </c>
      <c r="J163" s="112">
        <v>0.0</v>
      </c>
      <c r="K163" s="112">
        <v>0.0</v>
      </c>
      <c r="L163" s="112">
        <v>0.0</v>
      </c>
      <c r="M163" s="112">
        <v>0.0</v>
      </c>
      <c r="N163" s="112">
        <v>0.0</v>
      </c>
      <c r="O163" s="112">
        <v>0.0</v>
      </c>
      <c r="P163" s="112">
        <v>0.0</v>
      </c>
      <c r="Q163" s="112">
        <v>0.0</v>
      </c>
      <c r="R163" s="112">
        <v>0.0</v>
      </c>
      <c r="S163" s="112">
        <v>0.0</v>
      </c>
      <c r="T163" s="112">
        <v>0.0</v>
      </c>
      <c r="U163" s="112">
        <v>0.0</v>
      </c>
      <c r="V163" s="112">
        <v>0.0</v>
      </c>
      <c r="W163" s="112">
        <v>0.0</v>
      </c>
      <c r="X163" s="112">
        <v>0.0</v>
      </c>
      <c r="Y163" s="112">
        <v>0.0</v>
      </c>
      <c r="Z163" s="112">
        <v>0.0</v>
      </c>
      <c r="AA163" s="112">
        <v>0.0</v>
      </c>
      <c r="AB163" s="112">
        <v>0.0</v>
      </c>
      <c r="AC163" s="112">
        <v>0.0</v>
      </c>
      <c r="AD163" s="112">
        <v>0.0</v>
      </c>
      <c r="AE163" s="112">
        <v>0.0</v>
      </c>
      <c r="AF163" s="125">
        <f t="shared" ref="AF163:AF168" si="50">SUM(B163:AE163)</f>
        <v>0</v>
      </c>
    </row>
    <row r="164">
      <c r="A164" s="117" t="s">
        <v>351</v>
      </c>
      <c r="B164" s="112">
        <v>0.0</v>
      </c>
      <c r="C164" s="112">
        <v>0.0</v>
      </c>
      <c r="D164" s="112">
        <v>0.0</v>
      </c>
      <c r="E164" s="112">
        <v>0.0</v>
      </c>
      <c r="F164" s="112">
        <v>0.0</v>
      </c>
      <c r="G164" s="112">
        <v>0.0</v>
      </c>
      <c r="H164" s="112">
        <v>0.0</v>
      </c>
      <c r="I164" s="112">
        <v>0.0</v>
      </c>
      <c r="J164" s="112">
        <v>0.0</v>
      </c>
      <c r="K164" s="112">
        <v>0.0</v>
      </c>
      <c r="L164" s="112">
        <v>0.0</v>
      </c>
      <c r="M164" s="112">
        <v>0.0</v>
      </c>
      <c r="N164" s="112">
        <v>0.0</v>
      </c>
      <c r="O164" s="112">
        <v>0.0</v>
      </c>
      <c r="P164" s="112">
        <v>0.0</v>
      </c>
      <c r="Q164" s="112">
        <v>0.0</v>
      </c>
      <c r="R164" s="112">
        <v>0.0</v>
      </c>
      <c r="S164" s="112">
        <v>0.0</v>
      </c>
      <c r="T164" s="112">
        <v>0.0</v>
      </c>
      <c r="U164" s="112">
        <v>0.0</v>
      </c>
      <c r="V164" s="112">
        <v>0.0</v>
      </c>
      <c r="W164" s="112">
        <v>0.0</v>
      </c>
      <c r="X164" s="112">
        <v>0.0</v>
      </c>
      <c r="Y164" s="112">
        <v>0.0</v>
      </c>
      <c r="Z164" s="112">
        <v>0.0</v>
      </c>
      <c r="AA164" s="112">
        <v>0.0</v>
      </c>
      <c r="AB164" s="112">
        <v>0.0</v>
      </c>
      <c r="AC164" s="112">
        <v>0.0</v>
      </c>
      <c r="AD164" s="112">
        <v>0.0</v>
      </c>
      <c r="AE164" s="112">
        <v>0.0</v>
      </c>
      <c r="AF164" s="125">
        <f t="shared" si="50"/>
        <v>0</v>
      </c>
    </row>
    <row r="165">
      <c r="A165" s="117" t="s">
        <v>353</v>
      </c>
      <c r="B165" s="112">
        <v>0.0</v>
      </c>
      <c r="C165" s="112">
        <v>0.0</v>
      </c>
      <c r="D165" s="112">
        <v>0.0</v>
      </c>
      <c r="E165" s="112">
        <v>0.0</v>
      </c>
      <c r="F165" s="112">
        <v>0.0</v>
      </c>
      <c r="G165" s="112">
        <v>0.0</v>
      </c>
      <c r="H165" s="112">
        <v>0.0</v>
      </c>
      <c r="I165" s="112">
        <v>0.0</v>
      </c>
      <c r="J165" s="112">
        <v>0.0</v>
      </c>
      <c r="K165" s="112">
        <v>0.0</v>
      </c>
      <c r="L165" s="112">
        <v>0.0</v>
      </c>
      <c r="M165" s="112">
        <v>0.0</v>
      </c>
      <c r="N165" s="112">
        <v>0.0</v>
      </c>
      <c r="O165" s="112">
        <v>0.0</v>
      </c>
      <c r="P165" s="112">
        <v>0.0</v>
      </c>
      <c r="Q165" s="112">
        <v>0.0</v>
      </c>
      <c r="R165" s="112">
        <v>0.0</v>
      </c>
      <c r="S165" s="112">
        <v>0.0</v>
      </c>
      <c r="T165" s="112">
        <v>0.0</v>
      </c>
      <c r="U165" s="112">
        <v>0.0</v>
      </c>
      <c r="V165" s="112">
        <v>0.0</v>
      </c>
      <c r="W165" s="112">
        <v>0.0</v>
      </c>
      <c r="X165" s="112">
        <v>0.0</v>
      </c>
      <c r="Y165" s="112">
        <v>0.0</v>
      </c>
      <c r="Z165" s="112">
        <v>0.0</v>
      </c>
      <c r="AA165" s="112">
        <v>0.0</v>
      </c>
      <c r="AB165" s="112">
        <v>0.0</v>
      </c>
      <c r="AC165" s="112">
        <v>0.0</v>
      </c>
      <c r="AD165" s="112">
        <v>0.0</v>
      </c>
      <c r="AE165" s="112">
        <v>0.0</v>
      </c>
      <c r="AF165" s="125">
        <f t="shared" si="50"/>
        <v>0</v>
      </c>
    </row>
    <row r="166">
      <c r="A166" s="117" t="s">
        <v>355</v>
      </c>
      <c r="B166" s="112">
        <v>0.0</v>
      </c>
      <c r="C166" s="112">
        <v>0.0</v>
      </c>
      <c r="D166" s="112">
        <v>0.0</v>
      </c>
      <c r="E166" s="112">
        <v>0.0</v>
      </c>
      <c r="F166" s="112">
        <v>0.0</v>
      </c>
      <c r="G166" s="112">
        <v>0.0</v>
      </c>
      <c r="H166" s="112">
        <v>0.0</v>
      </c>
      <c r="I166" s="112">
        <v>0.0</v>
      </c>
      <c r="J166" s="112">
        <v>0.0</v>
      </c>
      <c r="K166" s="112">
        <v>0.0</v>
      </c>
      <c r="L166" s="112">
        <v>0.0</v>
      </c>
      <c r="M166" s="112">
        <v>0.0</v>
      </c>
      <c r="N166" s="112">
        <v>0.0</v>
      </c>
      <c r="O166" s="112">
        <v>0.0</v>
      </c>
      <c r="P166" s="112">
        <v>0.0</v>
      </c>
      <c r="Q166" s="112">
        <v>0.0</v>
      </c>
      <c r="R166" s="112">
        <v>0.0</v>
      </c>
      <c r="S166" s="112">
        <v>0.0</v>
      </c>
      <c r="T166" s="112">
        <v>0.0</v>
      </c>
      <c r="U166" s="112">
        <v>0.0</v>
      </c>
      <c r="V166" s="112">
        <v>0.0</v>
      </c>
      <c r="W166" s="112">
        <v>0.0</v>
      </c>
      <c r="X166" s="112">
        <v>0.0</v>
      </c>
      <c r="Y166" s="112">
        <v>0.0</v>
      </c>
      <c r="Z166" s="112">
        <v>0.0</v>
      </c>
      <c r="AA166" s="112">
        <v>0.0</v>
      </c>
      <c r="AB166" s="112">
        <v>0.0</v>
      </c>
      <c r="AC166" s="112">
        <v>0.0</v>
      </c>
      <c r="AD166" s="112">
        <v>0.0</v>
      </c>
      <c r="AE166" s="112">
        <v>0.0</v>
      </c>
      <c r="AF166" s="125">
        <f t="shared" si="50"/>
        <v>0</v>
      </c>
    </row>
    <row r="167">
      <c r="A167" s="204" t="s">
        <v>258</v>
      </c>
      <c r="B167" s="219">
        <f t="shared" ref="B167:AE167" si="51">B163+B164</f>
        <v>0</v>
      </c>
      <c r="C167" s="219">
        <f t="shared" si="51"/>
        <v>0</v>
      </c>
      <c r="D167" s="219">
        <f t="shared" si="51"/>
        <v>0</v>
      </c>
      <c r="E167" s="219">
        <f t="shared" si="51"/>
        <v>0</v>
      </c>
      <c r="F167" s="219">
        <f t="shared" si="51"/>
        <v>0</v>
      </c>
      <c r="G167" s="219">
        <f t="shared" si="51"/>
        <v>0</v>
      </c>
      <c r="H167" s="219">
        <f t="shared" si="51"/>
        <v>0</v>
      </c>
      <c r="I167" s="219">
        <f t="shared" si="51"/>
        <v>0</v>
      </c>
      <c r="J167" s="219">
        <f t="shared" si="51"/>
        <v>0</v>
      </c>
      <c r="K167" s="219">
        <f t="shared" si="51"/>
        <v>0</v>
      </c>
      <c r="L167" s="219">
        <f t="shared" si="51"/>
        <v>0</v>
      </c>
      <c r="M167" s="219">
        <f t="shared" si="51"/>
        <v>0</v>
      </c>
      <c r="N167" s="219">
        <f t="shared" si="51"/>
        <v>0</v>
      </c>
      <c r="O167" s="219">
        <f t="shared" si="51"/>
        <v>0</v>
      </c>
      <c r="P167" s="219">
        <f t="shared" si="51"/>
        <v>0</v>
      </c>
      <c r="Q167" s="219">
        <f t="shared" si="51"/>
        <v>0</v>
      </c>
      <c r="R167" s="219">
        <f t="shared" si="51"/>
        <v>0</v>
      </c>
      <c r="S167" s="219">
        <f t="shared" si="51"/>
        <v>0</v>
      </c>
      <c r="T167" s="219">
        <f t="shared" si="51"/>
        <v>0</v>
      </c>
      <c r="U167" s="219">
        <f t="shared" si="51"/>
        <v>0</v>
      </c>
      <c r="V167" s="219">
        <f t="shared" si="51"/>
        <v>0</v>
      </c>
      <c r="W167" s="219">
        <f t="shared" si="51"/>
        <v>0</v>
      </c>
      <c r="X167" s="219">
        <f t="shared" si="51"/>
        <v>0</v>
      </c>
      <c r="Y167" s="219">
        <f t="shared" si="51"/>
        <v>0</v>
      </c>
      <c r="Z167" s="219">
        <f t="shared" si="51"/>
        <v>0</v>
      </c>
      <c r="AA167" s="219">
        <f t="shared" si="51"/>
        <v>0</v>
      </c>
      <c r="AB167" s="219">
        <f t="shared" si="51"/>
        <v>0</v>
      </c>
      <c r="AC167" s="219">
        <f t="shared" si="51"/>
        <v>0</v>
      </c>
      <c r="AD167" s="219">
        <f t="shared" si="51"/>
        <v>0</v>
      </c>
      <c r="AE167" s="219">
        <f t="shared" si="51"/>
        <v>0</v>
      </c>
      <c r="AF167" s="125">
        <f t="shared" si="50"/>
        <v>0</v>
      </c>
    </row>
    <row r="168">
      <c r="A168" s="204" t="s">
        <v>260</v>
      </c>
      <c r="B168" s="219">
        <f t="shared" ref="B168:AE168" si="52">B165+B166</f>
        <v>0</v>
      </c>
      <c r="C168" s="219">
        <f t="shared" si="52"/>
        <v>0</v>
      </c>
      <c r="D168" s="219">
        <f t="shared" si="52"/>
        <v>0</v>
      </c>
      <c r="E168" s="219">
        <f t="shared" si="52"/>
        <v>0</v>
      </c>
      <c r="F168" s="219">
        <f t="shared" si="52"/>
        <v>0</v>
      </c>
      <c r="G168" s="219">
        <f t="shared" si="52"/>
        <v>0</v>
      </c>
      <c r="H168" s="219">
        <f t="shared" si="52"/>
        <v>0</v>
      </c>
      <c r="I168" s="219">
        <f t="shared" si="52"/>
        <v>0</v>
      </c>
      <c r="J168" s="219">
        <f t="shared" si="52"/>
        <v>0</v>
      </c>
      <c r="K168" s="219">
        <f t="shared" si="52"/>
        <v>0</v>
      </c>
      <c r="L168" s="219">
        <f t="shared" si="52"/>
        <v>0</v>
      </c>
      <c r="M168" s="219">
        <f t="shared" si="52"/>
        <v>0</v>
      </c>
      <c r="N168" s="219">
        <f t="shared" si="52"/>
        <v>0</v>
      </c>
      <c r="O168" s="219">
        <f t="shared" si="52"/>
        <v>0</v>
      </c>
      <c r="P168" s="219">
        <f t="shared" si="52"/>
        <v>0</v>
      </c>
      <c r="Q168" s="219">
        <f t="shared" si="52"/>
        <v>0</v>
      </c>
      <c r="R168" s="219">
        <f t="shared" si="52"/>
        <v>0</v>
      </c>
      <c r="S168" s="219">
        <f t="shared" si="52"/>
        <v>0</v>
      </c>
      <c r="T168" s="219">
        <f t="shared" si="52"/>
        <v>0</v>
      </c>
      <c r="U168" s="219">
        <f t="shared" si="52"/>
        <v>0</v>
      </c>
      <c r="V168" s="219">
        <f t="shared" si="52"/>
        <v>0</v>
      </c>
      <c r="W168" s="219">
        <f t="shared" si="52"/>
        <v>0</v>
      </c>
      <c r="X168" s="219">
        <f t="shared" si="52"/>
        <v>0</v>
      </c>
      <c r="Y168" s="219">
        <f t="shared" si="52"/>
        <v>0</v>
      </c>
      <c r="Z168" s="219">
        <f t="shared" si="52"/>
        <v>0</v>
      </c>
      <c r="AA168" s="219">
        <f t="shared" si="52"/>
        <v>0</v>
      </c>
      <c r="AB168" s="219">
        <f t="shared" si="52"/>
        <v>0</v>
      </c>
      <c r="AC168" s="219">
        <f t="shared" si="52"/>
        <v>0</v>
      </c>
      <c r="AD168" s="219">
        <f t="shared" si="52"/>
        <v>0</v>
      </c>
      <c r="AE168" s="219">
        <f t="shared" si="52"/>
        <v>0</v>
      </c>
      <c r="AF168" s="125">
        <f t="shared" si="50"/>
        <v>0</v>
      </c>
    </row>
    <row r="169">
      <c r="A169" s="4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6"/>
    </row>
    <row r="170">
      <c r="A170" s="117" t="s">
        <v>264</v>
      </c>
      <c r="B170" s="112">
        <v>0.0</v>
      </c>
      <c r="C170" s="112">
        <v>0.0</v>
      </c>
      <c r="D170" s="112">
        <v>0.0</v>
      </c>
      <c r="E170" s="112">
        <v>0.0</v>
      </c>
      <c r="F170" s="112">
        <v>0.0</v>
      </c>
      <c r="G170" s="112">
        <v>0.0</v>
      </c>
      <c r="H170" s="112">
        <v>0.0</v>
      </c>
      <c r="I170" s="112">
        <v>0.0</v>
      </c>
      <c r="J170" s="112">
        <v>0.0</v>
      </c>
      <c r="K170" s="112">
        <v>0.0</v>
      </c>
      <c r="L170" s="112">
        <v>0.0</v>
      </c>
      <c r="M170" s="112">
        <v>0.0</v>
      </c>
      <c r="N170" s="112">
        <v>0.0</v>
      </c>
      <c r="O170" s="112">
        <v>0.0</v>
      </c>
      <c r="P170" s="112">
        <v>0.0</v>
      </c>
      <c r="Q170" s="112">
        <v>0.0</v>
      </c>
      <c r="R170" s="112">
        <v>0.0</v>
      </c>
      <c r="S170" s="112">
        <v>0.0</v>
      </c>
      <c r="T170" s="112">
        <v>0.0</v>
      </c>
      <c r="U170" s="112">
        <v>0.0</v>
      </c>
      <c r="V170" s="112">
        <v>0.0</v>
      </c>
      <c r="W170" s="112">
        <v>0.0</v>
      </c>
      <c r="X170" s="112">
        <v>0.0</v>
      </c>
      <c r="Y170" s="112">
        <v>0.0</v>
      </c>
      <c r="Z170" s="112">
        <v>0.0</v>
      </c>
      <c r="AA170" s="112">
        <v>0.0</v>
      </c>
      <c r="AB170" s="112">
        <v>0.0</v>
      </c>
      <c r="AC170" s="112">
        <v>0.0</v>
      </c>
      <c r="AD170" s="112">
        <v>0.0</v>
      </c>
      <c r="AE170" s="112">
        <v>0.0</v>
      </c>
      <c r="AF170" s="125">
        <f t="shared" ref="AF170:AF178" si="53">SUM(B170:AE170)</f>
        <v>0</v>
      </c>
    </row>
    <row r="171">
      <c r="A171" s="117" t="s">
        <v>267</v>
      </c>
      <c r="B171" s="112">
        <v>0.0</v>
      </c>
      <c r="C171" s="112">
        <v>0.0</v>
      </c>
      <c r="D171" s="112">
        <v>0.0</v>
      </c>
      <c r="E171" s="112">
        <v>0.0</v>
      </c>
      <c r="F171" s="112">
        <v>0.0</v>
      </c>
      <c r="G171" s="112">
        <v>0.0</v>
      </c>
      <c r="H171" s="112">
        <v>0.0</v>
      </c>
      <c r="I171" s="112">
        <v>0.0</v>
      </c>
      <c r="J171" s="112">
        <v>0.0</v>
      </c>
      <c r="K171" s="112">
        <v>0.0</v>
      </c>
      <c r="L171" s="112">
        <v>0.0</v>
      </c>
      <c r="M171" s="112">
        <v>0.0</v>
      </c>
      <c r="N171" s="112">
        <v>0.0</v>
      </c>
      <c r="O171" s="112">
        <v>0.0</v>
      </c>
      <c r="P171" s="112">
        <v>0.0</v>
      </c>
      <c r="Q171" s="112">
        <v>0.0</v>
      </c>
      <c r="R171" s="112">
        <v>0.0</v>
      </c>
      <c r="S171" s="112">
        <v>0.0</v>
      </c>
      <c r="T171" s="112">
        <v>0.0</v>
      </c>
      <c r="U171" s="112">
        <v>0.0</v>
      </c>
      <c r="V171" s="112">
        <v>0.0</v>
      </c>
      <c r="W171" s="112">
        <v>0.0</v>
      </c>
      <c r="X171" s="112">
        <v>0.0</v>
      </c>
      <c r="Y171" s="112">
        <v>0.0</v>
      </c>
      <c r="Z171" s="112">
        <v>0.0</v>
      </c>
      <c r="AA171" s="112">
        <v>0.0</v>
      </c>
      <c r="AB171" s="112">
        <v>0.0</v>
      </c>
      <c r="AC171" s="112">
        <v>0.0</v>
      </c>
      <c r="AD171" s="112">
        <v>0.0</v>
      </c>
      <c r="AE171" s="112">
        <v>0.0</v>
      </c>
      <c r="AF171" s="125">
        <f t="shared" si="53"/>
        <v>0</v>
      </c>
    </row>
    <row r="172">
      <c r="A172" s="117" t="s">
        <v>360</v>
      </c>
      <c r="B172" s="112">
        <v>0.0</v>
      </c>
      <c r="C172" s="112">
        <v>0.0</v>
      </c>
      <c r="D172" s="112">
        <v>0.0</v>
      </c>
      <c r="E172" s="112">
        <v>0.0</v>
      </c>
      <c r="F172" s="112">
        <v>0.0</v>
      </c>
      <c r="G172" s="112">
        <v>0.0</v>
      </c>
      <c r="H172" s="112">
        <v>0.0</v>
      </c>
      <c r="I172" s="112">
        <v>0.0</v>
      </c>
      <c r="J172" s="112">
        <v>0.0</v>
      </c>
      <c r="K172" s="112">
        <v>0.0</v>
      </c>
      <c r="L172" s="112">
        <v>0.0</v>
      </c>
      <c r="M172" s="112">
        <v>0.0</v>
      </c>
      <c r="N172" s="112">
        <v>0.0</v>
      </c>
      <c r="O172" s="112">
        <v>0.0</v>
      </c>
      <c r="P172" s="112">
        <v>0.0</v>
      </c>
      <c r="Q172" s="112">
        <v>0.0</v>
      </c>
      <c r="R172" s="112">
        <v>0.0</v>
      </c>
      <c r="S172" s="112">
        <v>0.0</v>
      </c>
      <c r="T172" s="112">
        <v>0.0</v>
      </c>
      <c r="U172" s="112">
        <v>0.0</v>
      </c>
      <c r="V172" s="112">
        <v>0.0</v>
      </c>
      <c r="W172" s="112">
        <v>0.0</v>
      </c>
      <c r="X172" s="112">
        <v>0.0</v>
      </c>
      <c r="Y172" s="112">
        <v>0.0</v>
      </c>
      <c r="Z172" s="112">
        <v>0.0</v>
      </c>
      <c r="AA172" s="112">
        <v>0.0</v>
      </c>
      <c r="AB172" s="112">
        <v>0.0</v>
      </c>
      <c r="AC172" s="112">
        <v>0.0</v>
      </c>
      <c r="AD172" s="112">
        <v>0.0</v>
      </c>
      <c r="AE172" s="112">
        <v>0.0</v>
      </c>
      <c r="AF172" s="125">
        <f t="shared" si="53"/>
        <v>0</v>
      </c>
    </row>
    <row r="173">
      <c r="A173" s="117" t="s">
        <v>362</v>
      </c>
      <c r="B173" s="112">
        <v>0.0</v>
      </c>
      <c r="C173" s="112">
        <v>0.0</v>
      </c>
      <c r="D173" s="112">
        <v>0.0</v>
      </c>
      <c r="E173" s="112">
        <v>0.0</v>
      </c>
      <c r="F173" s="112">
        <v>0.0</v>
      </c>
      <c r="G173" s="112">
        <v>0.0</v>
      </c>
      <c r="H173" s="112">
        <v>0.0</v>
      </c>
      <c r="I173" s="112">
        <v>0.0</v>
      </c>
      <c r="J173" s="112">
        <v>0.0</v>
      </c>
      <c r="K173" s="112">
        <v>0.0</v>
      </c>
      <c r="L173" s="112">
        <v>0.0</v>
      </c>
      <c r="M173" s="112">
        <v>0.0</v>
      </c>
      <c r="N173" s="112">
        <v>0.0</v>
      </c>
      <c r="O173" s="112">
        <v>0.0</v>
      </c>
      <c r="P173" s="112">
        <v>0.0</v>
      </c>
      <c r="Q173" s="112">
        <v>0.0</v>
      </c>
      <c r="R173" s="112">
        <v>0.0</v>
      </c>
      <c r="S173" s="112">
        <v>0.0</v>
      </c>
      <c r="T173" s="112">
        <v>0.0</v>
      </c>
      <c r="U173" s="112">
        <v>0.0</v>
      </c>
      <c r="V173" s="112">
        <v>0.0</v>
      </c>
      <c r="W173" s="112">
        <v>0.0</v>
      </c>
      <c r="X173" s="112">
        <v>0.0</v>
      </c>
      <c r="Y173" s="112">
        <v>0.0</v>
      </c>
      <c r="Z173" s="112">
        <v>0.0</v>
      </c>
      <c r="AA173" s="112">
        <v>0.0</v>
      </c>
      <c r="AB173" s="112">
        <v>0.0</v>
      </c>
      <c r="AC173" s="112">
        <v>0.0</v>
      </c>
      <c r="AD173" s="112">
        <v>0.0</v>
      </c>
      <c r="AE173" s="112">
        <v>0.0</v>
      </c>
      <c r="AF173" s="125">
        <f t="shared" si="53"/>
        <v>0</v>
      </c>
    </row>
    <row r="174">
      <c r="A174" s="117" t="s">
        <v>364</v>
      </c>
      <c r="B174" s="112">
        <v>0.0</v>
      </c>
      <c r="C174" s="112">
        <v>0.0</v>
      </c>
      <c r="D174" s="112">
        <v>0.0</v>
      </c>
      <c r="E174" s="112">
        <v>0.0</v>
      </c>
      <c r="F174" s="112">
        <v>0.0</v>
      </c>
      <c r="G174" s="112">
        <v>0.0</v>
      </c>
      <c r="H174" s="112">
        <v>0.0</v>
      </c>
      <c r="I174" s="112">
        <v>0.0</v>
      </c>
      <c r="J174" s="112">
        <v>0.0</v>
      </c>
      <c r="K174" s="112">
        <v>0.0</v>
      </c>
      <c r="L174" s="112">
        <v>0.0</v>
      </c>
      <c r="M174" s="112">
        <v>0.0</v>
      </c>
      <c r="N174" s="112">
        <v>0.0</v>
      </c>
      <c r="O174" s="112">
        <v>0.0</v>
      </c>
      <c r="P174" s="112">
        <v>0.0</v>
      </c>
      <c r="Q174" s="112">
        <v>0.0</v>
      </c>
      <c r="R174" s="112">
        <v>0.0</v>
      </c>
      <c r="S174" s="112">
        <v>0.0</v>
      </c>
      <c r="T174" s="112">
        <v>0.0</v>
      </c>
      <c r="U174" s="112">
        <v>0.0</v>
      </c>
      <c r="V174" s="112">
        <v>1.0</v>
      </c>
      <c r="W174" s="112">
        <v>0.0</v>
      </c>
      <c r="X174" s="112">
        <v>0.0</v>
      </c>
      <c r="Y174" s="112">
        <v>0.0</v>
      </c>
      <c r="Z174" s="112">
        <v>0.0</v>
      </c>
      <c r="AA174" s="112">
        <v>0.0</v>
      </c>
      <c r="AB174" s="112">
        <v>0.0</v>
      </c>
      <c r="AC174" s="112">
        <v>0.0</v>
      </c>
      <c r="AD174" s="112">
        <v>0.0</v>
      </c>
      <c r="AE174" s="112">
        <v>0.0</v>
      </c>
      <c r="AF174" s="125">
        <f t="shared" si="53"/>
        <v>1</v>
      </c>
    </row>
    <row r="175">
      <c r="A175" s="117" t="s">
        <v>365</v>
      </c>
      <c r="B175" s="112">
        <v>0.0</v>
      </c>
      <c r="C175" s="112">
        <v>0.0</v>
      </c>
      <c r="D175" s="112">
        <v>0.0</v>
      </c>
      <c r="E175" s="112">
        <v>0.0</v>
      </c>
      <c r="F175" s="112">
        <v>0.0</v>
      </c>
      <c r="G175" s="112">
        <v>0.0</v>
      </c>
      <c r="H175" s="112">
        <v>0.0</v>
      </c>
      <c r="I175" s="112">
        <v>0.0</v>
      </c>
      <c r="J175" s="112">
        <v>0.0</v>
      </c>
      <c r="K175" s="112">
        <v>0.0</v>
      </c>
      <c r="L175" s="112">
        <v>0.0</v>
      </c>
      <c r="M175" s="112">
        <v>0.0</v>
      </c>
      <c r="N175" s="112">
        <v>0.0</v>
      </c>
      <c r="O175" s="112">
        <v>0.0</v>
      </c>
      <c r="P175" s="112">
        <v>0.0</v>
      </c>
      <c r="Q175" s="112">
        <v>0.0</v>
      </c>
      <c r="R175" s="112">
        <v>0.0</v>
      </c>
      <c r="S175" s="112">
        <v>0.0</v>
      </c>
      <c r="T175" s="112">
        <v>0.0</v>
      </c>
      <c r="U175" s="112">
        <v>0.0</v>
      </c>
      <c r="V175" s="112">
        <v>0.0</v>
      </c>
      <c r="W175" s="112">
        <v>0.0</v>
      </c>
      <c r="X175" s="112">
        <v>0.0</v>
      </c>
      <c r="Y175" s="112">
        <v>0.0</v>
      </c>
      <c r="Z175" s="112">
        <v>0.0</v>
      </c>
      <c r="AA175" s="112">
        <v>0.0</v>
      </c>
      <c r="AB175" s="112">
        <v>0.0</v>
      </c>
      <c r="AC175" s="112">
        <v>0.0</v>
      </c>
      <c r="AD175" s="112">
        <v>0.0</v>
      </c>
      <c r="AE175" s="112">
        <v>0.0</v>
      </c>
      <c r="AF175" s="125">
        <f t="shared" si="53"/>
        <v>0</v>
      </c>
    </row>
    <row r="176">
      <c r="A176" s="117" t="s">
        <v>366</v>
      </c>
      <c r="B176" s="112">
        <v>0.0</v>
      </c>
      <c r="C176" s="112">
        <v>0.0</v>
      </c>
      <c r="D176" s="112">
        <v>0.0</v>
      </c>
      <c r="E176" s="112">
        <v>0.0</v>
      </c>
      <c r="F176" s="112">
        <v>0.0</v>
      </c>
      <c r="G176" s="112">
        <v>0.0</v>
      </c>
      <c r="H176" s="112">
        <v>0.0</v>
      </c>
      <c r="I176" s="112">
        <v>0.0</v>
      </c>
      <c r="J176" s="112">
        <v>0.0</v>
      </c>
      <c r="K176" s="112">
        <v>0.0</v>
      </c>
      <c r="L176" s="112">
        <v>0.0</v>
      </c>
      <c r="M176" s="112">
        <v>0.0</v>
      </c>
      <c r="N176" s="112">
        <v>0.0</v>
      </c>
      <c r="O176" s="112">
        <v>0.0</v>
      </c>
      <c r="P176" s="112">
        <v>0.0</v>
      </c>
      <c r="Q176" s="112">
        <v>0.0</v>
      </c>
      <c r="R176" s="112">
        <v>0.0</v>
      </c>
      <c r="S176" s="112">
        <v>0.0</v>
      </c>
      <c r="T176" s="112">
        <v>0.0</v>
      </c>
      <c r="U176" s="112">
        <v>0.0</v>
      </c>
      <c r="V176" s="112">
        <v>0.0</v>
      </c>
      <c r="W176" s="112">
        <v>0.0</v>
      </c>
      <c r="X176" s="112">
        <v>0.0</v>
      </c>
      <c r="Y176" s="112">
        <v>0.0</v>
      </c>
      <c r="Z176" s="112">
        <v>0.0</v>
      </c>
      <c r="AA176" s="112">
        <v>0.0</v>
      </c>
      <c r="AB176" s="112">
        <v>0.0</v>
      </c>
      <c r="AC176" s="112">
        <v>0.0</v>
      </c>
      <c r="AD176" s="112">
        <v>0.0</v>
      </c>
      <c r="AE176" s="112">
        <v>0.0</v>
      </c>
      <c r="AF176" s="125">
        <f t="shared" si="53"/>
        <v>0</v>
      </c>
    </row>
    <row r="177">
      <c r="A177" s="117" t="s">
        <v>368</v>
      </c>
      <c r="B177" s="112">
        <v>0.0</v>
      </c>
      <c r="C177" s="112">
        <v>0.0</v>
      </c>
      <c r="D177" s="112">
        <v>0.0</v>
      </c>
      <c r="E177" s="112">
        <v>0.0</v>
      </c>
      <c r="F177" s="112">
        <v>0.0</v>
      </c>
      <c r="G177" s="112">
        <v>0.0</v>
      </c>
      <c r="H177" s="112">
        <v>0.0</v>
      </c>
      <c r="I177" s="112">
        <v>0.0</v>
      </c>
      <c r="J177" s="112">
        <v>0.0</v>
      </c>
      <c r="K177" s="112">
        <v>0.0</v>
      </c>
      <c r="L177" s="112">
        <v>0.0</v>
      </c>
      <c r="M177" s="112">
        <v>0.0</v>
      </c>
      <c r="N177" s="112">
        <v>0.0</v>
      </c>
      <c r="O177" s="112">
        <v>0.0</v>
      </c>
      <c r="P177" s="112">
        <v>0.0</v>
      </c>
      <c r="Q177" s="112">
        <v>0.0</v>
      </c>
      <c r="R177" s="112">
        <v>0.0</v>
      </c>
      <c r="S177" s="112">
        <v>0.0</v>
      </c>
      <c r="T177" s="112">
        <v>0.0</v>
      </c>
      <c r="U177" s="112">
        <v>0.0</v>
      </c>
      <c r="V177" s="112">
        <v>0.0</v>
      </c>
      <c r="W177" s="112">
        <v>0.0</v>
      </c>
      <c r="X177" s="112">
        <v>0.0</v>
      </c>
      <c r="Y177" s="112">
        <v>0.0</v>
      </c>
      <c r="Z177" s="112">
        <v>0.0</v>
      </c>
      <c r="AA177" s="112">
        <v>0.0</v>
      </c>
      <c r="AB177" s="112">
        <v>0.0</v>
      </c>
      <c r="AC177" s="112">
        <v>0.0</v>
      </c>
      <c r="AD177" s="112">
        <v>0.0</v>
      </c>
      <c r="AE177" s="112">
        <v>0.0</v>
      </c>
      <c r="AF177" s="125">
        <f t="shared" si="53"/>
        <v>0</v>
      </c>
    </row>
    <row r="178">
      <c r="A178" s="204" t="s">
        <v>162</v>
      </c>
      <c r="B178" s="219">
        <f>SUM(B170:B177)</f>
        <v>0</v>
      </c>
      <c r="C178" s="219">
        <f t="shared" ref="C178:AE178" si="54">SUM(C170:C174)</f>
        <v>0</v>
      </c>
      <c r="D178" s="219">
        <f t="shared" si="54"/>
        <v>0</v>
      </c>
      <c r="E178" s="219">
        <f t="shared" si="54"/>
        <v>0</v>
      </c>
      <c r="F178" s="219">
        <f t="shared" si="54"/>
        <v>0</v>
      </c>
      <c r="G178" s="219">
        <f t="shared" si="54"/>
        <v>0</v>
      </c>
      <c r="H178" s="219">
        <f t="shared" si="54"/>
        <v>0</v>
      </c>
      <c r="I178" s="219">
        <f t="shared" si="54"/>
        <v>0</v>
      </c>
      <c r="J178" s="219">
        <f t="shared" si="54"/>
        <v>0</v>
      </c>
      <c r="K178" s="219">
        <f t="shared" si="54"/>
        <v>0</v>
      </c>
      <c r="L178" s="219">
        <f t="shared" si="54"/>
        <v>0</v>
      </c>
      <c r="M178" s="219">
        <f t="shared" si="54"/>
        <v>0</v>
      </c>
      <c r="N178" s="219">
        <f t="shared" si="54"/>
        <v>0</v>
      </c>
      <c r="O178" s="219">
        <f t="shared" si="54"/>
        <v>0</v>
      </c>
      <c r="P178" s="219">
        <f t="shared" si="54"/>
        <v>0</v>
      </c>
      <c r="Q178" s="219">
        <f t="shared" si="54"/>
        <v>0</v>
      </c>
      <c r="R178" s="219">
        <f t="shared" si="54"/>
        <v>0</v>
      </c>
      <c r="S178" s="219">
        <f t="shared" si="54"/>
        <v>0</v>
      </c>
      <c r="T178" s="219">
        <f t="shared" si="54"/>
        <v>0</v>
      </c>
      <c r="U178" s="219">
        <f t="shared" si="54"/>
        <v>0</v>
      </c>
      <c r="V178" s="219">
        <f t="shared" si="54"/>
        <v>1</v>
      </c>
      <c r="W178" s="219">
        <f t="shared" si="54"/>
        <v>0</v>
      </c>
      <c r="X178" s="219">
        <f t="shared" si="54"/>
        <v>0</v>
      </c>
      <c r="Y178" s="219">
        <f t="shared" si="54"/>
        <v>0</v>
      </c>
      <c r="Z178" s="219">
        <f t="shared" si="54"/>
        <v>0</v>
      </c>
      <c r="AA178" s="219">
        <f t="shared" si="54"/>
        <v>0</v>
      </c>
      <c r="AB178" s="219">
        <f t="shared" si="54"/>
        <v>0</v>
      </c>
      <c r="AC178" s="219">
        <f t="shared" si="54"/>
        <v>0</v>
      </c>
      <c r="AD178" s="219">
        <f t="shared" si="54"/>
        <v>0</v>
      </c>
      <c r="AE178" s="219">
        <f t="shared" si="54"/>
        <v>0</v>
      </c>
      <c r="AF178" s="125">
        <f t="shared" si="53"/>
        <v>1</v>
      </c>
    </row>
    <row r="179">
      <c r="A179" s="49"/>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37"/>
    </row>
    <row r="180">
      <c r="A180" s="204" t="s">
        <v>370</v>
      </c>
      <c r="B180" s="257"/>
      <c r="C180" s="257"/>
      <c r="D180" s="257"/>
      <c r="E180" s="257"/>
      <c r="F180" s="257"/>
      <c r="G180" s="257"/>
      <c r="H180" s="257"/>
      <c r="I180" s="257"/>
      <c r="J180" s="257"/>
      <c r="K180" s="257"/>
      <c r="L180" s="257"/>
      <c r="M180" s="257"/>
      <c r="N180" s="257"/>
      <c r="O180" s="257"/>
      <c r="P180" s="257"/>
      <c r="Q180" s="257"/>
      <c r="R180" s="257"/>
      <c r="S180" s="257"/>
      <c r="T180" s="257"/>
      <c r="U180" s="257"/>
      <c r="V180" s="257"/>
      <c r="W180" s="257"/>
      <c r="X180" s="257"/>
      <c r="Y180" s="257"/>
      <c r="Z180" s="257"/>
      <c r="AA180" s="257"/>
      <c r="AB180" s="257"/>
      <c r="AC180" s="257"/>
      <c r="AD180" s="257"/>
      <c r="AE180" s="257"/>
      <c r="AF180" s="137"/>
    </row>
    <row r="181">
      <c r="A181" s="117" t="s">
        <v>371</v>
      </c>
      <c r="B181" s="112">
        <v>0.0</v>
      </c>
      <c r="C181" s="112">
        <v>0.0</v>
      </c>
      <c r="D181" s="112">
        <v>0.0</v>
      </c>
      <c r="E181" s="112">
        <v>0.0</v>
      </c>
      <c r="F181" s="112">
        <v>0.0</v>
      </c>
      <c r="G181" s="112">
        <v>0.0</v>
      </c>
      <c r="H181" s="112">
        <v>0.0</v>
      </c>
      <c r="I181" s="112">
        <v>0.0</v>
      </c>
      <c r="J181" s="112">
        <v>0.0</v>
      </c>
      <c r="K181" s="112">
        <v>0.0</v>
      </c>
      <c r="L181" s="112">
        <v>0.0</v>
      </c>
      <c r="M181" s="112">
        <v>0.0</v>
      </c>
      <c r="N181" s="112">
        <v>0.0</v>
      </c>
      <c r="O181" s="112">
        <v>0.0</v>
      </c>
      <c r="P181" s="112">
        <v>0.0</v>
      </c>
      <c r="Q181" s="112">
        <v>0.0</v>
      </c>
      <c r="R181" s="112">
        <v>0.0</v>
      </c>
      <c r="S181" s="112">
        <v>0.0</v>
      </c>
      <c r="T181" s="112">
        <v>0.0</v>
      </c>
      <c r="U181" s="112">
        <v>0.0</v>
      </c>
      <c r="V181" s="112">
        <v>0.0</v>
      </c>
      <c r="W181" s="112">
        <v>0.0</v>
      </c>
      <c r="X181" s="112">
        <v>0.0</v>
      </c>
      <c r="Y181" s="112">
        <v>0.0</v>
      </c>
      <c r="Z181" s="112">
        <v>0.0</v>
      </c>
      <c r="AA181" s="112">
        <v>0.0</v>
      </c>
      <c r="AB181" s="112">
        <v>0.0</v>
      </c>
      <c r="AC181" s="112">
        <v>0.0</v>
      </c>
      <c r="AD181" s="112">
        <v>0.0</v>
      </c>
      <c r="AE181" s="112">
        <v>0.0</v>
      </c>
      <c r="AF181" s="137"/>
    </row>
    <row r="182">
      <c r="A182" s="117" t="s">
        <v>373</v>
      </c>
      <c r="B182" s="112">
        <v>0.0</v>
      </c>
      <c r="C182" s="112">
        <v>0.0</v>
      </c>
      <c r="D182" s="112">
        <v>0.0</v>
      </c>
      <c r="E182" s="112">
        <v>0.0</v>
      </c>
      <c r="F182" s="112">
        <v>0.0</v>
      </c>
      <c r="G182" s="112">
        <v>0.0</v>
      </c>
      <c r="H182" s="112">
        <v>0.0</v>
      </c>
      <c r="I182" s="112">
        <v>0.0</v>
      </c>
      <c r="J182" s="112">
        <v>0.0</v>
      </c>
      <c r="K182" s="112">
        <v>0.0</v>
      </c>
      <c r="L182" s="112">
        <v>0.0</v>
      </c>
      <c r="M182" s="112">
        <v>0.0</v>
      </c>
      <c r="N182" s="112">
        <v>0.0</v>
      </c>
      <c r="O182" s="112">
        <v>0.0</v>
      </c>
      <c r="P182" s="112">
        <v>0.0</v>
      </c>
      <c r="Q182" s="112">
        <v>0.0</v>
      </c>
      <c r="R182" s="112">
        <v>0.0</v>
      </c>
      <c r="S182" s="112">
        <v>0.0</v>
      </c>
      <c r="T182" s="112">
        <v>0.0</v>
      </c>
      <c r="U182" s="112">
        <v>0.0</v>
      </c>
      <c r="V182" s="112">
        <v>0.0</v>
      </c>
      <c r="W182" s="112">
        <v>0.0</v>
      </c>
      <c r="X182" s="112">
        <v>0.0</v>
      </c>
      <c r="Y182" s="112">
        <v>0.0</v>
      </c>
      <c r="Z182" s="112">
        <v>0.0</v>
      </c>
      <c r="AA182" s="112">
        <v>0.0</v>
      </c>
      <c r="AB182" s="112">
        <v>0.0</v>
      </c>
      <c r="AC182" s="112">
        <v>0.0</v>
      </c>
      <c r="AD182" s="112">
        <v>0.0</v>
      </c>
      <c r="AE182" s="112">
        <v>0.0</v>
      </c>
      <c r="AF182" s="137"/>
    </row>
    <row r="183">
      <c r="A183" s="117" t="s">
        <v>374</v>
      </c>
      <c r="B183" s="112">
        <v>0.0</v>
      </c>
      <c r="C183" s="112">
        <v>0.0</v>
      </c>
      <c r="D183" s="112">
        <v>0.0</v>
      </c>
      <c r="E183" s="112">
        <v>0.0</v>
      </c>
      <c r="F183" s="112">
        <v>0.0</v>
      </c>
      <c r="G183" s="112">
        <v>0.0</v>
      </c>
      <c r="H183" s="112">
        <v>0.0</v>
      </c>
      <c r="I183" s="112">
        <v>0.0</v>
      </c>
      <c r="J183" s="112">
        <v>0.0</v>
      </c>
      <c r="K183" s="112">
        <v>0.0</v>
      </c>
      <c r="L183" s="112">
        <v>0.0</v>
      </c>
      <c r="M183" s="112">
        <v>0.0</v>
      </c>
      <c r="N183" s="112">
        <v>0.0</v>
      </c>
      <c r="O183" s="112">
        <v>0.0</v>
      </c>
      <c r="P183" s="112">
        <v>0.0</v>
      </c>
      <c r="Q183" s="112">
        <v>0.0</v>
      </c>
      <c r="R183" s="112">
        <v>0.0</v>
      </c>
      <c r="S183" s="112">
        <v>0.0</v>
      </c>
      <c r="T183" s="112">
        <v>0.0</v>
      </c>
      <c r="U183" s="112">
        <v>0.0</v>
      </c>
      <c r="V183" s="112">
        <v>0.0</v>
      </c>
      <c r="W183" s="112">
        <v>0.0</v>
      </c>
      <c r="X183" s="112">
        <v>0.0</v>
      </c>
      <c r="Y183" s="112">
        <v>0.0</v>
      </c>
      <c r="Z183" s="112">
        <v>0.0</v>
      </c>
      <c r="AA183" s="112">
        <v>0.0</v>
      </c>
      <c r="AB183" s="112">
        <v>0.0</v>
      </c>
      <c r="AC183" s="112">
        <v>0.0</v>
      </c>
      <c r="AD183" s="112">
        <v>0.0</v>
      </c>
      <c r="AE183" s="112">
        <v>0.0</v>
      </c>
      <c r="AF183" s="137"/>
    </row>
    <row r="184">
      <c r="A184" s="49"/>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37"/>
    </row>
    <row r="185">
      <c r="A185" s="251" t="s">
        <v>375</v>
      </c>
      <c r="B185" s="258">
        <v>0.0</v>
      </c>
      <c r="C185" s="258">
        <v>0.0</v>
      </c>
      <c r="D185" s="258">
        <v>0.0</v>
      </c>
      <c r="E185" s="258">
        <v>0.0</v>
      </c>
      <c r="F185" s="258">
        <v>0.0</v>
      </c>
      <c r="G185" s="258">
        <v>0.0</v>
      </c>
      <c r="H185" s="258">
        <v>0.0</v>
      </c>
      <c r="I185" s="258">
        <v>0.0</v>
      </c>
      <c r="J185" s="258">
        <v>0.0</v>
      </c>
      <c r="K185" s="258">
        <v>0.0</v>
      </c>
      <c r="L185" s="258">
        <v>0.0</v>
      </c>
      <c r="M185" s="258">
        <v>0.0</v>
      </c>
      <c r="N185" s="258">
        <v>0.0</v>
      </c>
      <c r="O185" s="258">
        <v>0.0</v>
      </c>
      <c r="P185" s="258">
        <v>0.0</v>
      </c>
      <c r="Q185" s="258">
        <v>0.0</v>
      </c>
      <c r="R185" s="258">
        <v>0.0</v>
      </c>
      <c r="S185" s="258">
        <v>0.0</v>
      </c>
      <c r="T185" s="258">
        <v>0.0</v>
      </c>
      <c r="U185" s="258">
        <v>0.0</v>
      </c>
      <c r="V185" s="258">
        <v>1.0</v>
      </c>
      <c r="W185" s="258">
        <v>0.0</v>
      </c>
      <c r="X185" s="258">
        <v>0.0</v>
      </c>
      <c r="Y185" s="258">
        <v>0.0</v>
      </c>
      <c r="Z185" s="258">
        <v>0.0</v>
      </c>
      <c r="AA185" s="258">
        <v>0.0</v>
      </c>
      <c r="AB185" s="258">
        <v>0.0</v>
      </c>
      <c r="AC185" s="258">
        <v>0.0</v>
      </c>
      <c r="AD185" s="258">
        <v>0.0</v>
      </c>
      <c r="AE185" s="258">
        <v>0.0</v>
      </c>
      <c r="AF185" s="125">
        <f>SUM(B185:AE185)</f>
        <v>1</v>
      </c>
    </row>
    <row r="186">
      <c r="A186" s="4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6"/>
    </row>
    <row r="187">
      <c r="A187" s="75" t="s">
        <v>376</v>
      </c>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6"/>
    </row>
    <row r="188">
      <c r="A188" s="204" t="s">
        <v>377</v>
      </c>
      <c r="B188" s="258">
        <v>0.0</v>
      </c>
      <c r="C188" s="258">
        <v>0.0</v>
      </c>
      <c r="D188" s="258">
        <v>0.0</v>
      </c>
      <c r="E188" s="258">
        <v>0.0</v>
      </c>
      <c r="F188" s="258">
        <v>0.0</v>
      </c>
      <c r="G188" s="258">
        <v>0.0</v>
      </c>
      <c r="H188" s="258">
        <v>0.0</v>
      </c>
      <c r="I188" s="258">
        <v>0.0</v>
      </c>
      <c r="J188" s="258">
        <v>0.0</v>
      </c>
      <c r="K188" s="258">
        <v>0.0</v>
      </c>
      <c r="L188" s="258">
        <v>0.0</v>
      </c>
      <c r="M188" s="258">
        <v>0.0</v>
      </c>
      <c r="N188" s="258">
        <v>0.0</v>
      </c>
      <c r="O188" s="258">
        <v>0.0</v>
      </c>
      <c r="P188" s="258">
        <v>0.0</v>
      </c>
      <c r="Q188" s="258">
        <v>0.0</v>
      </c>
      <c r="R188" s="258">
        <v>0.0</v>
      </c>
      <c r="S188" s="258">
        <v>0.0</v>
      </c>
      <c r="T188" s="258">
        <v>0.0</v>
      </c>
      <c r="U188" s="258">
        <v>0.0</v>
      </c>
      <c r="V188" s="258">
        <v>0.0</v>
      </c>
      <c r="W188" s="258">
        <v>0.0</v>
      </c>
      <c r="X188" s="258">
        <v>0.0</v>
      </c>
      <c r="Y188" s="258">
        <v>0.0</v>
      </c>
      <c r="Z188" s="258">
        <v>0.0</v>
      </c>
      <c r="AA188" s="258">
        <v>0.0</v>
      </c>
      <c r="AB188" s="258">
        <v>0.0</v>
      </c>
      <c r="AC188" s="258">
        <v>0.0</v>
      </c>
      <c r="AD188" s="258">
        <v>0.0</v>
      </c>
      <c r="AE188" s="258">
        <v>0.0</v>
      </c>
      <c r="AF188" s="125">
        <f>SUM(B188:AE188)</f>
        <v>0</v>
      </c>
    </row>
    <row r="189">
      <c r="A189" s="4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137"/>
    </row>
    <row r="190">
      <c r="A190" s="65" t="s">
        <v>378</v>
      </c>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6"/>
    </row>
    <row r="191">
      <c r="A191" s="25" t="s">
        <v>379</v>
      </c>
      <c r="B191" s="259">
        <f t="shared" ref="B191:AE191" si="55">B13</f>
        <v>3233.72</v>
      </c>
      <c r="C191" s="260">
        <f t="shared" si="55"/>
        <v>3207.21</v>
      </c>
      <c r="D191" s="261">
        <f t="shared" si="55"/>
        <v>3213.69</v>
      </c>
      <c r="E191" s="262">
        <f t="shared" si="55"/>
        <v>4807.14</v>
      </c>
      <c r="F191" s="263">
        <f t="shared" si="55"/>
        <v>5368.78</v>
      </c>
      <c r="G191" s="164">
        <f t="shared" si="55"/>
        <v>3970.36</v>
      </c>
      <c r="H191" s="164">
        <f t="shared" si="55"/>
        <v>3978.92</v>
      </c>
      <c r="I191" s="264">
        <f t="shared" si="55"/>
        <v>2768.25</v>
      </c>
      <c r="J191" s="265">
        <f t="shared" si="55"/>
        <v>4407.86</v>
      </c>
      <c r="K191" s="266">
        <f t="shared" si="55"/>
        <v>4898.09</v>
      </c>
      <c r="L191" s="267">
        <f t="shared" si="55"/>
        <v>6117.76</v>
      </c>
      <c r="M191" s="268">
        <f t="shared" si="55"/>
        <v>7242.64</v>
      </c>
      <c r="N191" s="269">
        <f t="shared" si="55"/>
        <v>5702.9</v>
      </c>
      <c r="O191" s="270">
        <f t="shared" si="55"/>
        <v>6085.6</v>
      </c>
      <c r="P191" s="271">
        <f t="shared" si="55"/>
        <v>6488.79</v>
      </c>
      <c r="Q191" s="272">
        <f t="shared" si="55"/>
        <v>7566.72</v>
      </c>
      <c r="R191" s="273">
        <f t="shared" si="55"/>
        <v>9338.68</v>
      </c>
      <c r="S191" s="273">
        <f t="shared" si="55"/>
        <v>11591.54</v>
      </c>
      <c r="T191" s="273">
        <f t="shared" si="55"/>
        <v>11090.34</v>
      </c>
      <c r="U191" s="273">
        <f t="shared" si="55"/>
        <v>17470.42</v>
      </c>
      <c r="V191" s="273">
        <f t="shared" si="55"/>
        <v>19951.33</v>
      </c>
      <c r="W191" s="273">
        <f t="shared" si="55"/>
        <v>22610.15</v>
      </c>
      <c r="X191" s="273">
        <f t="shared" si="55"/>
        <v>28585.82</v>
      </c>
      <c r="Y191" s="273">
        <f t="shared" si="55"/>
        <v>64437.46</v>
      </c>
      <c r="Z191" s="273">
        <f t="shared" si="55"/>
        <v>37785.34</v>
      </c>
      <c r="AA191" s="273">
        <f t="shared" si="55"/>
        <v>37554.44</v>
      </c>
      <c r="AB191" s="273">
        <f t="shared" si="55"/>
        <v>3641.98</v>
      </c>
      <c r="AC191" s="273">
        <f t="shared" si="55"/>
        <v>0</v>
      </c>
      <c r="AD191" s="273">
        <f t="shared" si="55"/>
        <v>0</v>
      </c>
      <c r="AE191" s="273">
        <f t="shared" si="55"/>
        <v>433.94</v>
      </c>
      <c r="AF191" s="62">
        <f t="shared" ref="AF191:AF207" si="57">SUM(B191:AE191)</f>
        <v>343549.87</v>
      </c>
    </row>
    <row r="192">
      <c r="A192" s="25" t="s">
        <v>380</v>
      </c>
      <c r="B192" s="66">
        <f t="shared" ref="B192:AE192" si="56">B14</f>
        <v>1499.796</v>
      </c>
      <c r="C192" s="66">
        <f t="shared" si="56"/>
        <v>1568.094</v>
      </c>
      <c r="D192" s="66">
        <f t="shared" si="56"/>
        <v>2406.513</v>
      </c>
      <c r="E192" s="66">
        <f t="shared" si="56"/>
        <v>2263.221</v>
      </c>
      <c r="F192" s="66">
        <f t="shared" si="56"/>
        <v>2926.7655</v>
      </c>
      <c r="G192" s="66">
        <f t="shared" si="56"/>
        <v>2274.627</v>
      </c>
      <c r="H192" s="66">
        <f t="shared" si="56"/>
        <v>1869.072</v>
      </c>
      <c r="I192" s="66">
        <f t="shared" si="56"/>
        <v>2146.2615</v>
      </c>
      <c r="J192" s="66">
        <f t="shared" si="56"/>
        <v>3384.1305</v>
      </c>
      <c r="K192" s="66">
        <f t="shared" si="56"/>
        <v>4455.936</v>
      </c>
      <c r="L192" s="66">
        <f t="shared" si="56"/>
        <v>5946</v>
      </c>
      <c r="M192" s="66">
        <f t="shared" si="56"/>
        <v>5612.8005</v>
      </c>
      <c r="N192" s="66">
        <f t="shared" si="56"/>
        <v>5570.4915</v>
      </c>
      <c r="O192" s="66">
        <f t="shared" si="56"/>
        <v>5889</v>
      </c>
      <c r="P192" s="66">
        <f t="shared" si="56"/>
        <v>5960.268</v>
      </c>
      <c r="Q192" s="66">
        <f t="shared" si="56"/>
        <v>7019.91</v>
      </c>
      <c r="R192" s="66">
        <f t="shared" si="56"/>
        <v>7692.5415</v>
      </c>
      <c r="S192" s="66">
        <f t="shared" si="56"/>
        <v>9027.168</v>
      </c>
      <c r="T192" s="66">
        <f t="shared" si="56"/>
        <v>6314.007</v>
      </c>
      <c r="U192" s="66">
        <f t="shared" si="56"/>
        <v>14617.6365</v>
      </c>
      <c r="V192" s="66">
        <f t="shared" si="56"/>
        <v>16230.978</v>
      </c>
      <c r="W192" s="66">
        <f t="shared" si="56"/>
        <v>18437.538</v>
      </c>
      <c r="X192" s="66">
        <f t="shared" si="56"/>
        <v>24245.73</v>
      </c>
      <c r="Y192" s="66">
        <f t="shared" si="56"/>
        <v>96247.665</v>
      </c>
      <c r="Z192" s="66">
        <f t="shared" si="56"/>
        <v>58998.0255</v>
      </c>
      <c r="AA192" s="66">
        <f t="shared" si="56"/>
        <v>37242.1395</v>
      </c>
      <c r="AB192" s="66">
        <f t="shared" si="56"/>
        <v>11846.6505</v>
      </c>
      <c r="AC192" s="66">
        <f t="shared" si="56"/>
        <v>0</v>
      </c>
      <c r="AD192" s="66">
        <f t="shared" si="56"/>
        <v>8.8065</v>
      </c>
      <c r="AE192" s="66">
        <f t="shared" si="56"/>
        <v>81.015</v>
      </c>
      <c r="AF192" s="62">
        <f t="shared" si="57"/>
        <v>361782.7875</v>
      </c>
    </row>
    <row r="193">
      <c r="A193" s="274" t="s">
        <v>382</v>
      </c>
      <c r="B193" s="66">
        <f>(B28+B29)*'Data - P&amp;L'!$C$3</f>
        <v>869</v>
      </c>
      <c r="C193" s="66">
        <f>(C28+C29)*'Data - P&amp;L'!$C$3</f>
        <v>434.5</v>
      </c>
      <c r="D193" s="66">
        <f>(D28+D29)*'Data - P&amp;L'!$C$3</f>
        <v>608.3</v>
      </c>
      <c r="E193" s="66">
        <f>(E28+E29)*'Data - P&amp;L'!$C$3</f>
        <v>347.6</v>
      </c>
      <c r="F193" s="66">
        <f>(F28+F29)*'Data - P&amp;L'!$C$3</f>
        <v>521.4</v>
      </c>
      <c r="G193" s="66">
        <f>(G28+G29)*'Data - P&amp;L'!$C$3</f>
        <v>955.9</v>
      </c>
      <c r="H193" s="66">
        <f>(H28+H29)*'Data - P&amp;L'!$C$3</f>
        <v>955.9</v>
      </c>
      <c r="I193" s="66">
        <f>(I28+I29)*'Data - P&amp;L'!$C$3</f>
        <v>2085.6</v>
      </c>
      <c r="J193" s="66">
        <f>(J28+J29)*'Data - P&amp;L'!$C$3</f>
        <v>2346.3</v>
      </c>
      <c r="K193" s="66">
        <f>(K28+K29)*'Data - P&amp;L'!$C$3</f>
        <v>1651.1</v>
      </c>
      <c r="L193" s="66">
        <f>(L28+L29)*'Data - P&amp;L'!$C$3</f>
        <v>1911.8</v>
      </c>
      <c r="M193" s="66">
        <f>(M28+M29)*'Data - P&amp;L'!$C$3</f>
        <v>1129.7</v>
      </c>
      <c r="N193" s="66">
        <f>(N28+N29)*'Data - P&amp;L'!$C$3</f>
        <v>2085.6</v>
      </c>
      <c r="O193" s="66">
        <f>(O28+O29)*'Data - P&amp;L'!$C$3</f>
        <v>1911.8</v>
      </c>
      <c r="P193" s="66">
        <f>(P28+P29)*'Data - P&amp;L'!$C$3</f>
        <v>2085.6</v>
      </c>
      <c r="Q193" s="66">
        <f>(Q28+Q29)*'Data - P&amp;L'!$C$3</f>
        <v>1477.3</v>
      </c>
      <c r="R193" s="66">
        <f>(R28+R29)*'Data - P&amp;L'!$C$3</f>
        <v>1477.3</v>
      </c>
      <c r="S193" s="66">
        <f>(S28+S29)*'Data - P&amp;L'!$C$3</f>
        <v>1303.5</v>
      </c>
      <c r="T193" s="66">
        <f>(T28+T29)*'Data - P&amp;L'!$C$3</f>
        <v>3389.1</v>
      </c>
      <c r="U193" s="66">
        <f>(U28+U29)*'Data - P&amp;L'!$C$3</f>
        <v>0</v>
      </c>
      <c r="V193" s="66">
        <f>(V28+V29)*'Data - P&amp;L'!$C$3</f>
        <v>173.8</v>
      </c>
      <c r="W193" s="66">
        <f>(W28+W29)*'Data - P&amp;L'!$C$3</f>
        <v>86.9</v>
      </c>
      <c r="X193" s="66">
        <f>(X28+X29)*'Data - P&amp;L'!$C$3</f>
        <v>173.8</v>
      </c>
      <c r="Y193" s="66">
        <f>(Y28+Y29)*'Data - P&amp;L'!$C$3</f>
        <v>86.9</v>
      </c>
      <c r="Z193" s="66">
        <f>(Z28+Z29)*'Data - P&amp;L'!$C$3</f>
        <v>0</v>
      </c>
      <c r="AA193" s="66">
        <f>(AA28+AA29)*'Data - P&amp;L'!$C$3</f>
        <v>0</v>
      </c>
      <c r="AB193" s="66">
        <f>(AB28+AB29)*'Data - P&amp;L'!$C$3</f>
        <v>0</v>
      </c>
      <c r="AC193" s="66">
        <f>(AC28+AC29)*'Data - P&amp;L'!$C$3</f>
        <v>0</v>
      </c>
      <c r="AD193" s="66">
        <f>(AD28+AD29)*'Data - P&amp;L'!$C$3</f>
        <v>0</v>
      </c>
      <c r="AE193" s="66">
        <f>(AE28+AE29)*'Data - P&amp;L'!$C$3</f>
        <v>173.8</v>
      </c>
      <c r="AF193" s="62">
        <f t="shared" si="57"/>
        <v>28242.5</v>
      </c>
    </row>
    <row r="194">
      <c r="A194" s="274" t="s">
        <v>385</v>
      </c>
      <c r="B194" s="66">
        <f>(B30+B31)*'Data - P&amp;L'!$C$4</f>
        <v>2635.47</v>
      </c>
      <c r="C194" s="66">
        <f>(C30+C31)*'Data - P&amp;L'!$C$4</f>
        <v>3123.52</v>
      </c>
      <c r="D194" s="66">
        <f>(D30+D31)*'Data - P&amp;L'!$C$4</f>
        <v>4880.5</v>
      </c>
      <c r="E194" s="66">
        <f>(E30+E31)*'Data - P&amp;L'!$C$4</f>
        <v>4880.5</v>
      </c>
      <c r="F194" s="66">
        <f>(F30+F31)*'Data - P&amp;L'!$C$4</f>
        <v>6051.82</v>
      </c>
      <c r="G194" s="66">
        <f>(G30+G31)*'Data - P&amp;L'!$C$4</f>
        <v>4294.84</v>
      </c>
      <c r="H194" s="66">
        <f>(H30+H31)*'Data - P&amp;L'!$C$4</f>
        <v>3416.35</v>
      </c>
      <c r="I194" s="66">
        <f>(I30+I31)*'Data - P&amp;L'!$C$4</f>
        <v>3318.74</v>
      </c>
      <c r="J194" s="66">
        <f>(J30+J31)*'Data - P&amp;L'!$C$4</f>
        <v>6735.09</v>
      </c>
      <c r="K194" s="66">
        <f>(K30+K31)*'Data - P&amp;L'!$C$4</f>
        <v>10444.27</v>
      </c>
      <c r="L194" s="66">
        <f>(L30+L31)*'Data - P&amp;L'!$C$4</f>
        <v>13958.23</v>
      </c>
      <c r="M194" s="66">
        <f>(M30+M31)*'Data - P&amp;L'!$C$4</f>
        <v>14348.67</v>
      </c>
      <c r="N194" s="66">
        <f>(N30+N31)*'Data - P&amp;L'!$C$4</f>
        <v>12786.91</v>
      </c>
      <c r="O194" s="66">
        <f>(O30+O31)*'Data - P&amp;L'!$C$4</f>
        <v>13958.23</v>
      </c>
      <c r="P194" s="66">
        <f>(P30+P31)*'Data - P&amp;L'!$C$4</f>
        <v>14934.33</v>
      </c>
      <c r="Q194" s="66">
        <f>(Q30+Q31)*'Data - P&amp;L'!$C$4</f>
        <v>18545.9</v>
      </c>
      <c r="R194" s="66">
        <f>(R30+R31)*'Data - P&amp;L'!$C$4</f>
        <v>20595.71</v>
      </c>
      <c r="S194" s="66">
        <f>(S30+S31)*'Data - P&amp;L'!$C$4</f>
        <v>24500.11</v>
      </c>
      <c r="T194" s="66">
        <f>(T30+T31)*'Data - P&amp;L'!$C$4</f>
        <v>13763.01</v>
      </c>
      <c r="U194" s="66">
        <f>(U30+U31)*'Data - P&amp;L'!$C$4</f>
        <v>42069.91</v>
      </c>
      <c r="V194" s="66">
        <f>(V30+V31)*'Data - P&amp;L'!$C$4</f>
        <v>46364.75</v>
      </c>
      <c r="W194" s="66">
        <f>(W30+W31)*'Data - P&amp;L'!$C$4</f>
        <v>53197.45</v>
      </c>
      <c r="X194" s="66">
        <f>(X30+X31)*'Data - P&amp;L'!$C$4</f>
        <v>69791.15</v>
      </c>
      <c r="Y194" s="66">
        <f>(Y30+Y31)*'Data - P&amp;L'!$C$4</f>
        <v>277895.67</v>
      </c>
      <c r="Z194" s="66">
        <f>(Z30+Z31)*'Data - P&amp;L'!$C$4</f>
        <v>171012.72</v>
      </c>
      <c r="AA194" s="66">
        <f>(AA30+AA31)*'Data - P&amp;L'!$C$4</f>
        <v>108054.27</v>
      </c>
      <c r="AB194" s="66">
        <f>(AB30+AB31)*'Data - P&amp;L'!$C$4</f>
        <v>33870.67</v>
      </c>
      <c r="AC194" s="66">
        <f>(AC30+AC31)*'Data - P&amp;L'!$C$4</f>
        <v>0</v>
      </c>
      <c r="AD194" s="66">
        <f>(AD30+AD31)*'Data - P&amp;L'!$C$4</f>
        <v>0</v>
      </c>
      <c r="AE194" s="66">
        <f>(AE30+AE31)*'Data - P&amp;L'!$C$4</f>
        <v>0</v>
      </c>
      <c r="AF194" s="62">
        <f t="shared" si="57"/>
        <v>999428.79</v>
      </c>
    </row>
    <row r="195">
      <c r="A195" s="274" t="s">
        <v>388</v>
      </c>
      <c r="B195" s="66">
        <f>B34*'Data - P&amp;L'!$C$6</f>
        <v>32.94</v>
      </c>
      <c r="C195" s="66">
        <f>C34*'Data - P&amp;L'!$C$6</f>
        <v>16.47</v>
      </c>
      <c r="D195" s="66">
        <f>D34*'Data - P&amp;L'!$C$6</f>
        <v>27.45</v>
      </c>
      <c r="E195" s="66">
        <f>E34*'Data - P&amp;L'!$C$6</f>
        <v>21.96</v>
      </c>
      <c r="F195" s="66">
        <f>F34*'Data - P&amp;L'!$C$6</f>
        <v>32.94</v>
      </c>
      <c r="G195" s="66">
        <f>G34*'Data - P&amp;L'!$C$6</f>
        <v>21.96</v>
      </c>
      <c r="H195" s="66">
        <f>H34*'Data - P&amp;L'!$C$6</f>
        <v>21.96</v>
      </c>
      <c r="I195" s="66">
        <f>I34*'Data - P&amp;L'!$C$6</f>
        <v>60.39</v>
      </c>
      <c r="J195" s="66">
        <f>J34*'Data - P&amp;L'!$C$6</f>
        <v>49.41</v>
      </c>
      <c r="K195" s="66">
        <f>K34*'Data - P&amp;L'!$C$6</f>
        <v>38.43</v>
      </c>
      <c r="L195" s="66">
        <f>L34*'Data - P&amp;L'!$C$6</f>
        <v>49.41</v>
      </c>
      <c r="M195" s="66">
        <f>M34*'Data - P&amp;L'!$C$6</f>
        <v>60.39</v>
      </c>
      <c r="N195" s="66">
        <f>N34*'Data - P&amp;L'!$C$6</f>
        <v>32.94</v>
      </c>
      <c r="O195" s="66">
        <f>O34*'Data - P&amp;L'!$C$6</f>
        <v>49.41</v>
      </c>
      <c r="P195" s="66">
        <f>P34*'Data - P&amp;L'!$C$6</f>
        <v>43.92</v>
      </c>
      <c r="Q195" s="66">
        <f>Q34*'Data - P&amp;L'!$C$6</f>
        <v>131.76</v>
      </c>
      <c r="R195" s="66">
        <f>R34*'Data - P&amp;L'!$C$6</f>
        <v>115.29</v>
      </c>
      <c r="S195" s="66">
        <f>S34*'Data - P&amp;L'!$C$6</f>
        <v>159.21</v>
      </c>
      <c r="T195" s="66">
        <f>T34*'Data - P&amp;L'!$C$6</f>
        <v>153.72</v>
      </c>
      <c r="U195" s="66">
        <f>U34*'Data - P&amp;L'!$C$6</f>
        <v>197.64</v>
      </c>
      <c r="V195" s="66">
        <f>V34*'Data - P&amp;L'!$C$6</f>
        <v>225.09</v>
      </c>
      <c r="W195" s="66">
        <f>W34*'Data - P&amp;L'!$C$6</f>
        <v>192.15</v>
      </c>
      <c r="X195" s="66">
        <f>X34*'Data - P&amp;L'!$C$6</f>
        <v>290.97</v>
      </c>
      <c r="Y195" s="66">
        <f>Y34*'Data - P&amp;L'!$C$6</f>
        <v>889.38</v>
      </c>
      <c r="Z195" s="66">
        <f>Z34*'Data - P&amp;L'!$C$6</f>
        <v>296.46</v>
      </c>
      <c r="AA195" s="66">
        <f>AA34*'Data - P&amp;L'!$C$6</f>
        <v>43.92</v>
      </c>
      <c r="AB195" s="66">
        <f>AB34*'Data - P&amp;L'!$C$6</f>
        <v>10.98</v>
      </c>
      <c r="AC195" s="66">
        <f>AC34*'Data - P&amp;L'!$C$6</f>
        <v>0</v>
      </c>
      <c r="AD195" s="66">
        <f>AD34*'Data - P&amp;L'!$C$6</f>
        <v>0</v>
      </c>
      <c r="AE195" s="66">
        <f>AE34*'Data - P&amp;L'!$C$6</f>
        <v>5.49</v>
      </c>
      <c r="AF195" s="62">
        <f t="shared" si="57"/>
        <v>3272.04</v>
      </c>
    </row>
    <row r="196">
      <c r="A196" s="274" t="s">
        <v>390</v>
      </c>
      <c r="B196" s="66">
        <f>B35*'Data - P&amp;L'!$C$8</f>
        <v>0</v>
      </c>
      <c r="C196" s="66">
        <f>C35*'Data - P&amp;L'!$C$8</f>
        <v>0</v>
      </c>
      <c r="D196" s="66">
        <f>D35*'Data - P&amp;L'!$C$8</f>
        <v>0</v>
      </c>
      <c r="E196" s="66">
        <f>E35*'Data - P&amp;L'!$C$8</f>
        <v>0</v>
      </c>
      <c r="F196" s="66">
        <f>F35*'Data - P&amp;L'!$C$8</f>
        <v>0</v>
      </c>
      <c r="G196" s="66">
        <f>G35*'Data - P&amp;L'!$C$8</f>
        <v>0</v>
      </c>
      <c r="H196" s="66">
        <f>H35*'Data - P&amp;L'!$C$8</f>
        <v>0</v>
      </c>
      <c r="I196" s="66">
        <f>I35*'Data - P&amp;L'!$C$8</f>
        <v>0</v>
      </c>
      <c r="J196" s="66">
        <f>J35*'Data - P&amp;L'!$C$8</f>
        <v>0</v>
      </c>
      <c r="K196" s="66">
        <f>K35*'Data - P&amp;L'!$C$8</f>
        <v>0</v>
      </c>
      <c r="L196" s="66">
        <f>L35*'Data - P&amp;L'!$C$8</f>
        <v>0</v>
      </c>
      <c r="M196" s="66">
        <f>M35*'Data - P&amp;L'!$C$8</f>
        <v>0</v>
      </c>
      <c r="N196" s="66">
        <f>N35*'Data - P&amp;L'!$C$8</f>
        <v>0</v>
      </c>
      <c r="O196" s="66">
        <f>O35*'Data - P&amp;L'!$C$8</f>
        <v>0</v>
      </c>
      <c r="P196" s="66">
        <f>P35*'Data - P&amp;L'!$C$8</f>
        <v>0</v>
      </c>
      <c r="Q196" s="66">
        <f>Q35*'Data - P&amp;L'!$C$8</f>
        <v>0</v>
      </c>
      <c r="R196" s="66">
        <f>R35*'Data - P&amp;L'!$C$8</f>
        <v>0</v>
      </c>
      <c r="S196" s="66">
        <f>S35*'Data - P&amp;L'!$C$8</f>
        <v>0</v>
      </c>
      <c r="T196" s="66">
        <f>T35*'Data - P&amp;L'!$C$8</f>
        <v>0</v>
      </c>
      <c r="U196" s="66">
        <f>U35*'Data - P&amp;L'!$C$8</f>
        <v>0</v>
      </c>
      <c r="V196" s="66">
        <f>V35*'Data - P&amp;L'!$C$8</f>
        <v>0</v>
      </c>
      <c r="W196" s="66">
        <f>W35*'Data - P&amp;L'!$C$8</f>
        <v>0</v>
      </c>
      <c r="X196" s="66">
        <f>X35*'Data - P&amp;L'!$C$8</f>
        <v>0</v>
      </c>
      <c r="Y196" s="66">
        <f>Y35*'Data - P&amp;L'!$C$8</f>
        <v>0</v>
      </c>
      <c r="Z196" s="66">
        <f>Z35*'Data - P&amp;L'!$C$8</f>
        <v>0</v>
      </c>
      <c r="AA196" s="66">
        <f>AA35*'Data - P&amp;L'!$C$8</f>
        <v>0</v>
      </c>
      <c r="AB196" s="66">
        <f>AB35*'Data - P&amp;L'!$C$8</f>
        <v>0</v>
      </c>
      <c r="AC196" s="66">
        <f>AC35*'Data - P&amp;L'!$C$8</f>
        <v>0</v>
      </c>
      <c r="AD196" s="66">
        <f>AD35*'Data - P&amp;L'!$C$8</f>
        <v>0</v>
      </c>
      <c r="AE196" s="66">
        <f>AE35*'Data - P&amp;L'!$C$8</f>
        <v>0</v>
      </c>
      <c r="AF196" s="62">
        <f t="shared" si="57"/>
        <v>0</v>
      </c>
    </row>
    <row r="197">
      <c r="A197" s="274" t="s">
        <v>395</v>
      </c>
      <c r="B197" s="66">
        <f>(B36+B37)*'Data - P&amp;L'!$C$9</f>
        <v>0</v>
      </c>
      <c r="C197" s="66">
        <f>(C36+C37)*'Data - P&amp;L'!$C$9</f>
        <v>0</v>
      </c>
      <c r="D197" s="66">
        <f>(D36+D37)*'Data - P&amp;L'!$C$9</f>
        <v>0</v>
      </c>
      <c r="E197" s="66">
        <f>(E36+E37)*'Data - P&amp;L'!$C$9</f>
        <v>0</v>
      </c>
      <c r="F197" s="66">
        <f>(F36+F37)*'Data - P&amp;L'!$C$9</f>
        <v>0</v>
      </c>
      <c r="G197" s="66">
        <f>(G36+G37)*'Data - P&amp;L'!$C$9</f>
        <v>0</v>
      </c>
      <c r="H197" s="66">
        <f>(H36+H37)*'Data - P&amp;L'!$C$9</f>
        <v>0</v>
      </c>
      <c r="I197" s="66">
        <f>(I36+I37)*'Data - P&amp;L'!$C$9</f>
        <v>0</v>
      </c>
      <c r="J197" s="66">
        <f>(J36+J37)*'Data - P&amp;L'!$C$9</f>
        <v>0</v>
      </c>
      <c r="K197" s="66">
        <f>(K36+K37)*'Data - P&amp;L'!$C$9</f>
        <v>0</v>
      </c>
      <c r="L197" s="66">
        <f>(L36+L37)*'Data - P&amp;L'!$C$9</f>
        <v>0</v>
      </c>
      <c r="M197" s="66">
        <f>(M36+M37)*'Data - P&amp;L'!$C$9</f>
        <v>0</v>
      </c>
      <c r="N197" s="66">
        <f>(N36+N37)*'Data - P&amp;L'!$C$9</f>
        <v>0</v>
      </c>
      <c r="O197" s="66">
        <f>(O36+O37)*'Data - P&amp;L'!$C$9</f>
        <v>0</v>
      </c>
      <c r="P197" s="66">
        <f>(P36+P37)*'Data - P&amp;L'!$C$9</f>
        <v>0</v>
      </c>
      <c r="Q197" s="66">
        <f>(Q36+Q37)*'Data - P&amp;L'!$C$9</f>
        <v>0</v>
      </c>
      <c r="R197" s="66">
        <f>(R36+R37)*'Data - P&amp;L'!$C$9</f>
        <v>0</v>
      </c>
      <c r="S197" s="66">
        <f>(S36+S37)*'Data - P&amp;L'!$C$9</f>
        <v>0</v>
      </c>
      <c r="T197" s="66">
        <f>(T36+T37)*'Data - P&amp;L'!$C$9</f>
        <v>0</v>
      </c>
      <c r="U197" s="66">
        <f>(U36+U37)*'Data - P&amp;L'!$C$9</f>
        <v>0</v>
      </c>
      <c r="V197" s="66">
        <f>(V36+V37)*'Data - P&amp;L'!$C$9</f>
        <v>0</v>
      </c>
      <c r="W197" s="66">
        <f>(W36+W37)*'Data - P&amp;L'!$C$9</f>
        <v>0</v>
      </c>
      <c r="X197" s="66">
        <f>(X36+X37)*'Data - P&amp;L'!$C$9</f>
        <v>0</v>
      </c>
      <c r="Y197" s="66">
        <f>(Y36+Y37)*'Data - P&amp;L'!$C$9</f>
        <v>0</v>
      </c>
      <c r="Z197" s="66">
        <f>(Z36+Z37)*'Data - P&amp;L'!$C$9</f>
        <v>0</v>
      </c>
      <c r="AA197" s="66">
        <f>(AA36+AA37)*'Data - P&amp;L'!$C$9</f>
        <v>0</v>
      </c>
      <c r="AB197" s="66">
        <f>(AB36+AB37)*'Data - P&amp;L'!$C$9</f>
        <v>0</v>
      </c>
      <c r="AC197" s="66">
        <f>(AC36+AC37)*'Data - P&amp;L'!$C$9</f>
        <v>0</v>
      </c>
      <c r="AD197" s="66">
        <f>(AD36+AD37)*'Data - P&amp;L'!$C$9</f>
        <v>0</v>
      </c>
      <c r="AE197" s="66">
        <f>(AE36+AE37)*'Data - P&amp;L'!$C$9</f>
        <v>0</v>
      </c>
      <c r="AF197" s="62">
        <f t="shared" si="57"/>
        <v>0</v>
      </c>
    </row>
    <row r="198">
      <c r="A198" s="274" t="s">
        <v>401</v>
      </c>
      <c r="B198" s="66">
        <f>(B38+B39)*'Data - P&amp;L'!$C$5</f>
        <v>0</v>
      </c>
      <c r="C198" s="66">
        <f>(C38+C39)*'Data - P&amp;L'!$C$5</f>
        <v>0</v>
      </c>
      <c r="D198" s="66">
        <f>(D38+D39)*'Data - P&amp;L'!$C$5</f>
        <v>0</v>
      </c>
      <c r="E198" s="66">
        <f>(E38+E39)*'Data - P&amp;L'!$C$5</f>
        <v>0</v>
      </c>
      <c r="F198" s="66">
        <f>(F38+F39)*'Data - P&amp;L'!$C$5</f>
        <v>0</v>
      </c>
      <c r="G198" s="66">
        <f>(G38+G39)*'Data - P&amp;L'!$C$5</f>
        <v>0</v>
      </c>
      <c r="H198" s="66">
        <f>(H38+H39)*'Data - P&amp;L'!$C$5</f>
        <v>0</v>
      </c>
      <c r="I198" s="66">
        <f>(I38+I39)*'Data - P&amp;L'!$C$5</f>
        <v>0</v>
      </c>
      <c r="J198" s="66">
        <f>(J38+J39)*'Data - P&amp;L'!$C$5</f>
        <v>0</v>
      </c>
      <c r="K198" s="66">
        <f>(K38+K39)*'Data - P&amp;L'!$C$5</f>
        <v>0</v>
      </c>
      <c r="L198" s="66">
        <f>(L38+L39)*'Data - P&amp;L'!$C$5</f>
        <v>0</v>
      </c>
      <c r="M198" s="66">
        <f>(M38+M39)*'Data - P&amp;L'!$C$5</f>
        <v>0</v>
      </c>
      <c r="N198" s="66">
        <f>(N38+N39)*'Data - P&amp;L'!$C$5</f>
        <v>0</v>
      </c>
      <c r="O198" s="66">
        <f>(O38+O39)*'Data - P&amp;L'!$C$5</f>
        <v>0</v>
      </c>
      <c r="P198" s="66">
        <f>(P38+P39)*'Data - P&amp;L'!$C$5</f>
        <v>0</v>
      </c>
      <c r="Q198" s="66">
        <f>(Q38+Q39)*'Data - P&amp;L'!$C$5</f>
        <v>0</v>
      </c>
      <c r="R198" s="66">
        <f>(R38+R39)*'Data - P&amp;L'!$C$5</f>
        <v>0</v>
      </c>
      <c r="S198" s="66">
        <f>(S38+S39)*'Data - P&amp;L'!$C$5</f>
        <v>0</v>
      </c>
      <c r="T198" s="66">
        <f>(T38+T39)*'Data - P&amp;L'!$C$5</f>
        <v>0</v>
      </c>
      <c r="U198" s="66">
        <f>(U38+U39)*'Data - P&amp;L'!$C$5</f>
        <v>0</v>
      </c>
      <c r="V198" s="66">
        <f>(V38+V39)*'Data - P&amp;L'!$C$5</f>
        <v>0</v>
      </c>
      <c r="W198" s="66">
        <f>(W38+W39)*'Data - P&amp;L'!$C$5</f>
        <v>0</v>
      </c>
      <c r="X198" s="66">
        <f>(X38+X39)*'Data - P&amp;L'!$C$5</f>
        <v>0</v>
      </c>
      <c r="Y198" s="66">
        <f>(Y38+Y39)*'Data - P&amp;L'!$C$5</f>
        <v>0</v>
      </c>
      <c r="Z198" s="66">
        <f>(Z38+Z39)*'Data - P&amp;L'!$C$5</f>
        <v>0</v>
      </c>
      <c r="AA198" s="66">
        <f>(AA38+AA39)*'Data - P&amp;L'!$C$5</f>
        <v>0</v>
      </c>
      <c r="AB198" s="66">
        <f>(AB38+AB39)*'Data - P&amp;L'!$C$5</f>
        <v>0</v>
      </c>
      <c r="AC198" s="66">
        <f>(AC38+AC39)*'Data - P&amp;L'!$C$5</f>
        <v>0</v>
      </c>
      <c r="AD198" s="66">
        <f>(AD38+AD39)*'Data - P&amp;L'!$C$5</f>
        <v>0</v>
      </c>
      <c r="AE198" s="66">
        <f>(AE38+AE39)*'Data - P&amp;L'!$C$5</f>
        <v>0</v>
      </c>
      <c r="AF198" s="62">
        <f t="shared" si="57"/>
        <v>0</v>
      </c>
    </row>
    <row r="199">
      <c r="A199" s="274" t="s">
        <v>404</v>
      </c>
      <c r="B199" s="214">
        <f>(B40+B41)*'Data - P&amp;L'!$C$10</f>
        <v>0</v>
      </c>
      <c r="C199" s="214">
        <f>(C40+C41)*'Data - P&amp;L'!$C$10</f>
        <v>0</v>
      </c>
      <c r="D199" s="214">
        <f>(D40+D41)*'Data - P&amp;L'!$C$10</f>
        <v>0</v>
      </c>
      <c r="E199" s="214">
        <f>(E40+E41)*'Data - P&amp;L'!$C$10</f>
        <v>0</v>
      </c>
      <c r="F199" s="214">
        <f>(F40+F41)*'Data - P&amp;L'!$C$10</f>
        <v>0</v>
      </c>
      <c r="G199" s="214">
        <f>(G40+G41)*'Data - P&amp;L'!$C$10</f>
        <v>0</v>
      </c>
      <c r="H199" s="214">
        <f>(H40+H41)*'Data - P&amp;L'!$C$10</f>
        <v>0</v>
      </c>
      <c r="I199" s="214">
        <f>(I40+I41)*'Data - P&amp;L'!$C$10</f>
        <v>0</v>
      </c>
      <c r="J199" s="214">
        <f>(J40+J41)*'Data - P&amp;L'!$C$10</f>
        <v>0</v>
      </c>
      <c r="K199" s="214">
        <f>(K40+K41)*'Data - P&amp;L'!$C$10</f>
        <v>0</v>
      </c>
      <c r="L199" s="214">
        <f>(L40+L41)*'Data - P&amp;L'!$C$10</f>
        <v>0</v>
      </c>
      <c r="M199" s="214">
        <f>(M40+M41)*'Data - P&amp;L'!$C$10</f>
        <v>0</v>
      </c>
      <c r="N199" s="214">
        <f>(N40+N41)*'Data - P&amp;L'!$C$10</f>
        <v>0</v>
      </c>
      <c r="O199" s="214">
        <f>(O40+O41)*'Data - P&amp;L'!$C$10</f>
        <v>0</v>
      </c>
      <c r="P199" s="214">
        <f>(P40+P41)*'Data - P&amp;L'!$C$10</f>
        <v>0</v>
      </c>
      <c r="Q199" s="214">
        <f>(Q40+Q41)*'Data - P&amp;L'!$C$10</f>
        <v>0</v>
      </c>
      <c r="R199" s="214">
        <f>(R40+R41)*'Data - P&amp;L'!$C$10</f>
        <v>0</v>
      </c>
      <c r="S199" s="214">
        <f>(S40+S41)*'Data - P&amp;L'!$C$10</f>
        <v>0</v>
      </c>
      <c r="T199" s="214">
        <f>(T40+T41)*'Data - P&amp;L'!$C$10</f>
        <v>0</v>
      </c>
      <c r="U199" s="214">
        <f>(U40+U41)*'Data - P&amp;L'!$C$10</f>
        <v>0</v>
      </c>
      <c r="V199" s="214">
        <f>(V40+V41)*'Data - P&amp;L'!$C$10</f>
        <v>0</v>
      </c>
      <c r="W199" s="214">
        <f>(W40+W41)*'Data - P&amp;L'!$C$10</f>
        <v>0</v>
      </c>
      <c r="X199" s="214">
        <f>(X40+X41)*'Data - P&amp;L'!$C$10</f>
        <v>6</v>
      </c>
      <c r="Y199" s="214">
        <f>(Y40+Y41)*'Data - P&amp;L'!$C$10</f>
        <v>0</v>
      </c>
      <c r="Z199" s="214">
        <f>(Z40+Z41)*'Data - P&amp;L'!$C$10</f>
        <v>0</v>
      </c>
      <c r="AA199" s="214">
        <f>(AA40+AA41)*'Data - P&amp;L'!$C$10</f>
        <v>0</v>
      </c>
      <c r="AB199" s="214">
        <f>(AB40+AB41)*'Data - P&amp;L'!$C$10</f>
        <v>0</v>
      </c>
      <c r="AC199" s="214">
        <f>(AC40+AC41)*'Data - P&amp;L'!$C$10</f>
        <v>0</v>
      </c>
      <c r="AD199" s="214">
        <f>(AD40+AD41)*'Data - P&amp;L'!$C$10</f>
        <v>6</v>
      </c>
      <c r="AE199" s="214">
        <f>(AE40+AE41)*'Data - P&amp;L'!$C$10</f>
        <v>0</v>
      </c>
      <c r="AF199" s="62">
        <f t="shared" si="57"/>
        <v>12</v>
      </c>
    </row>
    <row r="200">
      <c r="A200" s="277" t="s">
        <v>405</v>
      </c>
      <c r="B200" s="66">
        <f>B32*'Data - P&amp;L'!$C$43</f>
        <v>441.78</v>
      </c>
      <c r="C200" s="66">
        <f>C32*'Data - P&amp;L'!$C$43</f>
        <v>441.78</v>
      </c>
      <c r="D200" s="66">
        <f>D32*'Data - P&amp;L'!$C$43</f>
        <v>680.58</v>
      </c>
      <c r="E200" s="66">
        <f>E32*'Data - P&amp;L'!$C$43</f>
        <v>644.76</v>
      </c>
      <c r="F200" s="66">
        <f>F32*'Data - P&amp;L'!$C$43</f>
        <v>811.92</v>
      </c>
      <c r="G200" s="66">
        <f>G32*'Data - P&amp;L'!$C$43</f>
        <v>656.7</v>
      </c>
      <c r="H200" s="66">
        <f>H32*'Data - P&amp;L'!$C$43</f>
        <v>549.24</v>
      </c>
      <c r="I200" s="66">
        <f>I32*'Data - P&amp;L'!$C$43</f>
        <v>692.52</v>
      </c>
      <c r="J200" s="66">
        <f>J32*'Data - P&amp;L'!$C$43</f>
        <v>1146.24</v>
      </c>
      <c r="K200" s="66">
        <f>K32*'Data - P&amp;L'!$C$43</f>
        <v>1504.44</v>
      </c>
      <c r="L200" s="66">
        <f>L32*'Data - P&amp;L'!$C$43</f>
        <v>1970.1</v>
      </c>
      <c r="M200" s="66">
        <f>M32*'Data - P&amp;L'!$C$43</f>
        <v>1910.4</v>
      </c>
      <c r="N200" s="66">
        <f>N32*'Data - P&amp;L'!$C$43</f>
        <v>1850.7</v>
      </c>
      <c r="O200" s="66">
        <f>O32*'Data - P&amp;L'!$C$43</f>
        <v>1970.1</v>
      </c>
      <c r="P200" s="66">
        <f>P32*'Data - P&amp;L'!$C$43</f>
        <v>2113.38</v>
      </c>
      <c r="Q200" s="66">
        <f>Q32*'Data - P&amp;L'!$C$43</f>
        <v>2471.58</v>
      </c>
      <c r="R200" s="66">
        <f>R32*'Data - P&amp;L'!$C$43</f>
        <v>2722.32</v>
      </c>
      <c r="S200" s="66">
        <f>S32*'Data - P&amp;L'!$C$43</f>
        <v>3176.04</v>
      </c>
      <c r="T200" s="66">
        <f>T32*'Data - P&amp;L'!$C$43</f>
        <v>2149.2</v>
      </c>
      <c r="U200" s="66">
        <f>U32*'Data - P&amp;L'!$C$43</f>
        <v>5146.14</v>
      </c>
      <c r="V200" s="66">
        <f>V32*'Data - P&amp;L'!$C$43</f>
        <v>5695.38</v>
      </c>
      <c r="W200" s="66">
        <f>W32*'Data - P&amp;L'!$C$43</f>
        <v>6519.24</v>
      </c>
      <c r="X200" s="66">
        <f>X32*'Data - P&amp;L'!$C$43</f>
        <v>8560.98</v>
      </c>
      <c r="Y200" s="66">
        <f>Y32*'Data - P&amp;L'!$C$43</f>
        <v>34005.12</v>
      </c>
      <c r="Z200" s="66">
        <f>Z32*'Data - P&amp;L'!$C$43</f>
        <v>20918.88</v>
      </c>
      <c r="AA200" s="66">
        <f>AA32*'Data - P&amp;L'!$C$43</f>
        <v>13217.58</v>
      </c>
      <c r="AB200" s="66">
        <f>AB32*'Data - P&amp;L'!$C$43</f>
        <v>4143.18</v>
      </c>
      <c r="AC200" s="66">
        <f>AC32*'Data - P&amp;L'!$C$43</f>
        <v>0</v>
      </c>
      <c r="AD200" s="66">
        <f>AD32*'Data - P&amp;L'!$C$43</f>
        <v>0</v>
      </c>
      <c r="AE200" s="66">
        <f>AE32*'Data - P&amp;L'!$C$43</f>
        <v>23.88</v>
      </c>
      <c r="AF200" s="62">
        <f t="shared" si="57"/>
        <v>126134.16</v>
      </c>
    </row>
    <row r="201">
      <c r="A201" s="277" t="s">
        <v>407</v>
      </c>
      <c r="B201" s="214">
        <f>(B32*'Data - P&amp;L'!$C$46)+(B32*'Data - P&amp;L'!$C$50)</f>
        <v>885.78</v>
      </c>
      <c r="C201" s="214">
        <f>(C32*'Data - P&amp;L'!$C$46)+(C32*'Data - P&amp;L'!$C$50)</f>
        <v>885.78</v>
      </c>
      <c r="D201" s="214">
        <f>(D32*'Data - P&amp;L'!$C$46)+(D32*'Data - P&amp;L'!$C$50)</f>
        <v>1364.58</v>
      </c>
      <c r="E201" s="214">
        <f>(E32*'Data - P&amp;L'!$C$46)+(E32*'Data - P&amp;L'!$C$50)</f>
        <v>1292.76</v>
      </c>
      <c r="F201" s="214">
        <f>(F32*'Data - P&amp;L'!$C$46)+(F32*'Data - P&amp;L'!$C$50)</f>
        <v>1627.92</v>
      </c>
      <c r="G201" s="214">
        <f>(G32*'Data - P&amp;L'!$C$46)+(G32*'Data - P&amp;L'!$C$50)</f>
        <v>1316.7</v>
      </c>
      <c r="H201" s="214">
        <f>(H32*'Data - P&amp;L'!$C$46)+(H32*'Data - P&amp;L'!$C$50)</f>
        <v>1101.24</v>
      </c>
      <c r="I201" s="214">
        <f>(I32*'Data - P&amp;L'!$C$46)+(I32*'Data - P&amp;L'!$C$50)</f>
        <v>1388.52</v>
      </c>
      <c r="J201" s="214">
        <f>(J32*'Data - P&amp;L'!$C$46)+(J32*'Data - P&amp;L'!$C$50)</f>
        <v>2298.24</v>
      </c>
      <c r="K201" s="214">
        <f>(K32*'Data - P&amp;L'!$C$46)+(K32*'Data - P&amp;L'!$C$50)</f>
        <v>3016.44</v>
      </c>
      <c r="L201" s="214">
        <f>(L32*'Data - P&amp;L'!$C$46)+(L32*'Data - P&amp;L'!$C$50)</f>
        <v>3950.1</v>
      </c>
      <c r="M201" s="214">
        <f>(M32*'Data - P&amp;L'!$C$46)+(M32*'Data - P&amp;L'!$C$50)</f>
        <v>3830.4</v>
      </c>
      <c r="N201" s="214">
        <f>(N32*'Data - P&amp;L'!$C$46)+(N32*'Data - P&amp;L'!$C$50)</f>
        <v>3710.7</v>
      </c>
      <c r="O201" s="214">
        <f>(O32*'Data - P&amp;L'!$C$46)+(O32*'Data - P&amp;L'!$C$50)</f>
        <v>3950.1</v>
      </c>
      <c r="P201" s="214">
        <f>(P32*'Data - P&amp;L'!$C$46)+(P32*'Data - P&amp;L'!$C$50)</f>
        <v>4237.38</v>
      </c>
      <c r="Q201" s="214">
        <f>(Q32*'Data - P&amp;L'!$C$46)+(Q32*'Data - P&amp;L'!$C$50)</f>
        <v>4955.58</v>
      </c>
      <c r="R201" s="214">
        <f>(R32*'Data - P&amp;L'!$C$46)+(R32*'Data - P&amp;L'!$C$50)</f>
        <v>5458.32</v>
      </c>
      <c r="S201" s="214">
        <f>(S32*'Data - P&amp;L'!$C$46)+(S32*'Data - P&amp;L'!$C$50)</f>
        <v>6368.04</v>
      </c>
      <c r="T201" s="214">
        <f>(T32*'Data - P&amp;L'!$C$46)+(T32*'Data - P&amp;L'!$C$50)</f>
        <v>4309.2</v>
      </c>
      <c r="U201" s="214">
        <f>(U32*'Data - P&amp;L'!$C$46)+(U32*'Data - P&amp;L'!$C$50)</f>
        <v>10318.14</v>
      </c>
      <c r="V201" s="214">
        <f>(V32*'Data - P&amp;L'!$C$46)+(V32*'Data - P&amp;L'!$C$50)</f>
        <v>11419.38</v>
      </c>
      <c r="W201" s="214">
        <f>(W32*'Data - P&amp;L'!$C$46)+(W32*'Data - P&amp;L'!$C$50)</f>
        <v>13071.24</v>
      </c>
      <c r="X201" s="214">
        <f>(X32*'Data - P&amp;L'!$C$46)+(X32*'Data - P&amp;L'!$C$50)</f>
        <v>17164.98</v>
      </c>
      <c r="Y201" s="214">
        <f>(Y32*'Data - P&amp;L'!$C$46)+(Y32*'Data - P&amp;L'!$C$50)</f>
        <v>68181.12</v>
      </c>
      <c r="Z201" s="214">
        <f>(Z32*'Data - P&amp;L'!$C$46)+(Z32*'Data - P&amp;L'!$C$50)</f>
        <v>41942.88</v>
      </c>
      <c r="AA201" s="214">
        <f>(AA32*'Data - P&amp;L'!$C$46)+(AA32*'Data - P&amp;L'!$C$50)</f>
        <v>26501.58</v>
      </c>
      <c r="AB201" s="214">
        <f>(AB32*'Data - P&amp;L'!$C$46)+(AB32*'Data - P&amp;L'!$C$50)</f>
        <v>8307.18</v>
      </c>
      <c r="AC201" s="214">
        <f>(AC32*'Data - P&amp;L'!$C$46)+(AC32*'Data - P&amp;L'!$C$50)</f>
        <v>0</v>
      </c>
      <c r="AD201" s="214">
        <f>(AD32*'Data - P&amp;L'!$C$46)+(AD32*'Data - P&amp;L'!$C$50)</f>
        <v>0</v>
      </c>
      <c r="AE201" s="214">
        <f>(AE32*'Data - P&amp;L'!$C$46)+(AE32*'Data - P&amp;L'!$C$50)</f>
        <v>47.88</v>
      </c>
      <c r="AF201" s="62">
        <f t="shared" si="57"/>
        <v>252902.16</v>
      </c>
    </row>
    <row r="202">
      <c r="A202" s="277" t="s">
        <v>414</v>
      </c>
      <c r="B202" s="66">
        <f>B42*'Data - P&amp;L'!$D$43</f>
        <v>8.61</v>
      </c>
      <c r="C202" s="66">
        <f>C42*'Data - P&amp;L'!$D$43</f>
        <v>4.305</v>
      </c>
      <c r="D202" s="66">
        <f>D42*'Data - P&amp;L'!$D$43</f>
        <v>7.175</v>
      </c>
      <c r="E202" s="66">
        <f>E42*'Data - P&amp;L'!$D$43</f>
        <v>5.74</v>
      </c>
      <c r="F202" s="66">
        <f>F42*'Data - P&amp;L'!$D$43</f>
        <v>8.61</v>
      </c>
      <c r="G202" s="66">
        <f>G42*'Data - P&amp;L'!$D$43</f>
        <v>5.74</v>
      </c>
      <c r="H202" s="66">
        <f>H42*'Data - P&amp;L'!$D$43</f>
        <v>5.74</v>
      </c>
      <c r="I202" s="66">
        <f>I42*'Data - P&amp;L'!$D$43</f>
        <v>15.785</v>
      </c>
      <c r="J202" s="66">
        <f>J42*'Data - P&amp;L'!$D$43</f>
        <v>12.915</v>
      </c>
      <c r="K202" s="66">
        <f>K42*'Data - P&amp;L'!$D$43</f>
        <v>10.045</v>
      </c>
      <c r="L202" s="66">
        <f>L42*'Data - P&amp;L'!$D$43</f>
        <v>12.915</v>
      </c>
      <c r="M202" s="66">
        <f>M42*'Data - P&amp;L'!$D$43</f>
        <v>15.785</v>
      </c>
      <c r="N202" s="66">
        <f>N42*'Data - P&amp;L'!$D$43</f>
        <v>8.61</v>
      </c>
      <c r="O202" s="66">
        <f>O42*'Data - P&amp;L'!$D$43</f>
        <v>12.915</v>
      </c>
      <c r="P202" s="66">
        <f>P42*'Data - P&amp;L'!$D$43</f>
        <v>11.48</v>
      </c>
      <c r="Q202" s="66">
        <f>Q42*'Data - P&amp;L'!$D$43</f>
        <v>34.44</v>
      </c>
      <c r="R202" s="66">
        <f>R42*'Data - P&amp;L'!$D$43</f>
        <v>30.135</v>
      </c>
      <c r="S202" s="66">
        <f>S42*'Data - P&amp;L'!$D$43</f>
        <v>41.615</v>
      </c>
      <c r="T202" s="66">
        <f>T42*'Data - P&amp;L'!$D$43</f>
        <v>40.18</v>
      </c>
      <c r="U202" s="66">
        <f>U42*'Data - P&amp;L'!$D$43</f>
        <v>51.66</v>
      </c>
      <c r="V202" s="66">
        <f>V42*'Data - P&amp;L'!$D$43</f>
        <v>58.835</v>
      </c>
      <c r="W202" s="66">
        <f>W42*'Data - P&amp;L'!$D$43</f>
        <v>50.225</v>
      </c>
      <c r="X202" s="66">
        <f>X42*'Data - P&amp;L'!$D$43</f>
        <v>77.49</v>
      </c>
      <c r="Y202" s="66">
        <f>Y42*'Data - P&amp;L'!$D$43</f>
        <v>232.47</v>
      </c>
      <c r="Z202" s="66">
        <f>Z42*'Data - P&amp;L'!$D$43</f>
        <v>77.49</v>
      </c>
      <c r="AA202" s="66">
        <f>AA42*'Data - P&amp;L'!$D$43</f>
        <v>11.48</v>
      </c>
      <c r="AB202" s="66">
        <f>AB42*'Data - P&amp;L'!$D$43</f>
        <v>2.87</v>
      </c>
      <c r="AC202" s="66">
        <f>AC42*'Data - P&amp;L'!$D$43</f>
        <v>0</v>
      </c>
      <c r="AD202" s="66">
        <f>AD42*'Data - P&amp;L'!$D$43</f>
        <v>1.435</v>
      </c>
      <c r="AE202" s="66">
        <f>AE42*'Data - P&amp;L'!$D$43</f>
        <v>1.435</v>
      </c>
      <c r="AF202" s="62">
        <f t="shared" si="57"/>
        <v>858.13</v>
      </c>
    </row>
    <row r="203">
      <c r="A203" s="277" t="s">
        <v>416</v>
      </c>
      <c r="B203" s="66">
        <f>(B42*'Data - P&amp;L'!$C$47)+(B42*'Data - P&amp;L'!$C$51)</f>
        <v>71.13</v>
      </c>
      <c r="C203" s="66">
        <f>(C42*'Data - P&amp;L'!$C$47)+(C42*'Data - P&amp;L'!$C$51)</f>
        <v>35.565</v>
      </c>
      <c r="D203" s="66">
        <f>(D42*'Data - P&amp;L'!$C$47)+(D42*'Data - P&amp;L'!$C$51)</f>
        <v>59.275</v>
      </c>
      <c r="E203" s="66">
        <f>(E42*'Data - P&amp;L'!$C$47)+(E42*'Data - P&amp;L'!$C$51)</f>
        <v>47.42</v>
      </c>
      <c r="F203" s="66">
        <f>(F42*'Data - P&amp;L'!$C$47)+(F42*'Data - P&amp;L'!$C$51)</f>
        <v>71.13</v>
      </c>
      <c r="G203" s="66">
        <f>(G42*'Data - P&amp;L'!$C$47)+(G42*'Data - P&amp;L'!$C$51)</f>
        <v>47.42</v>
      </c>
      <c r="H203" s="66">
        <f>(H42*'Data - P&amp;L'!$C$47)+(H42*'Data - P&amp;L'!$C$51)</f>
        <v>47.42</v>
      </c>
      <c r="I203" s="66">
        <f>(I42*'Data - P&amp;L'!$C$47)+(I42*'Data - P&amp;L'!$C$51)</f>
        <v>130.405</v>
      </c>
      <c r="J203" s="66">
        <f>(J42*'Data - P&amp;L'!$C$47)+(J42*'Data - P&amp;L'!$C$51)</f>
        <v>106.695</v>
      </c>
      <c r="K203" s="66">
        <f>(K42*'Data - P&amp;L'!$C$47)+(K42*'Data - P&amp;L'!$C$51)</f>
        <v>82.985</v>
      </c>
      <c r="L203" s="66">
        <f>(L42*'Data - P&amp;L'!$C$47)+(L42*'Data - P&amp;L'!$C$51)</f>
        <v>106.695</v>
      </c>
      <c r="M203" s="66">
        <f>(M42*'Data - P&amp;L'!$C$47)+(M42*'Data - P&amp;L'!$C$51)</f>
        <v>130.405</v>
      </c>
      <c r="N203" s="66">
        <f>(N42*'Data - P&amp;L'!$C$47)+(N42*'Data - P&amp;L'!$C$51)</f>
        <v>71.13</v>
      </c>
      <c r="O203" s="66">
        <f>(O42*'Data - P&amp;L'!$C$47)+(O42*'Data - P&amp;L'!$C$51)</f>
        <v>106.695</v>
      </c>
      <c r="P203" s="66">
        <f>(P42*'Data - P&amp;L'!$C$47)+(P42*'Data - P&amp;L'!$C$51)</f>
        <v>94.84</v>
      </c>
      <c r="Q203" s="66">
        <f>(Q42*'Data - P&amp;L'!$C$47)+(Q42*'Data - P&amp;L'!$C$51)</f>
        <v>284.52</v>
      </c>
      <c r="R203" s="66">
        <f>(R42*'Data - P&amp;L'!$C$47)+(R42*'Data - P&amp;L'!$C$51)</f>
        <v>248.955</v>
      </c>
      <c r="S203" s="66">
        <f>(S42*'Data - P&amp;L'!$C$47)+(S42*'Data - P&amp;L'!$C$51)</f>
        <v>343.795</v>
      </c>
      <c r="T203" s="66">
        <f>(T42*'Data - P&amp;L'!$C$47)+(T42*'Data - P&amp;L'!$C$51)</f>
        <v>331.94</v>
      </c>
      <c r="U203" s="66">
        <f>(U42*'Data - P&amp;L'!$C$47)+(U42*'Data - P&amp;L'!$C$51)</f>
        <v>426.78</v>
      </c>
      <c r="V203" s="66">
        <f>(V42*'Data - P&amp;L'!$C$47)+(V42*'Data - P&amp;L'!$C$51)</f>
        <v>486.055</v>
      </c>
      <c r="W203" s="66">
        <f>(W42*'Data - P&amp;L'!$C$47)+(W42*'Data - P&amp;L'!$C$51)</f>
        <v>414.925</v>
      </c>
      <c r="X203" s="66">
        <f>(X42*'Data - P&amp;L'!$C$47)+(X42*'Data - P&amp;L'!$C$51)</f>
        <v>640.17</v>
      </c>
      <c r="Y203" s="66">
        <f>(Y42*'Data - P&amp;L'!$C$47)+(Y42*'Data - P&amp;L'!$C$51)</f>
        <v>1920.51</v>
      </c>
      <c r="Z203" s="66">
        <f>(Z42*'Data - P&amp;L'!$C$47)+(Z42*'Data - P&amp;L'!$C$51)</f>
        <v>640.17</v>
      </c>
      <c r="AA203" s="66">
        <f>(AA42*'Data - P&amp;L'!$C$47)+(AA42*'Data - P&amp;L'!$C$51)</f>
        <v>94.84</v>
      </c>
      <c r="AB203" s="66">
        <f>(AB42*'Data - P&amp;L'!$C$47)+(AB42*'Data - P&amp;L'!$C$51)</f>
        <v>23.71</v>
      </c>
      <c r="AC203" s="66">
        <f>(AC42*'Data - P&amp;L'!$C$47)+(AC42*'Data - P&amp;L'!$C$51)</f>
        <v>0</v>
      </c>
      <c r="AD203" s="66">
        <f>(AD42*'Data - P&amp;L'!$C$47)+(AD42*'Data - P&amp;L'!$C$51)</f>
        <v>11.855</v>
      </c>
      <c r="AE203" s="66">
        <f>(AE42*'Data - P&amp;L'!$C$47)+(AE42*'Data - P&amp;L'!$C$51)</f>
        <v>11.855</v>
      </c>
      <c r="AF203" s="62">
        <f t="shared" si="57"/>
        <v>7089.29</v>
      </c>
    </row>
    <row r="204">
      <c r="A204" s="277" t="s">
        <v>422</v>
      </c>
      <c r="B204" s="66">
        <f>(B32*'Data - P&amp;L'!$C$44)+(B42*'Data - P&amp;L'!$D$44)</f>
        <v>10.32</v>
      </c>
      <c r="C204" s="66">
        <f>(C32*'Data - P&amp;L'!$C$44)+(C42*'Data - P&amp;L'!$D$44)</f>
        <v>9.6</v>
      </c>
      <c r="D204" s="66">
        <f>(D32*'Data - P&amp;L'!$C$44)+(D42*'Data - P&amp;L'!$D$44)</f>
        <v>14.88</v>
      </c>
      <c r="E204" s="66">
        <f>(E32*'Data - P&amp;L'!$C$44)+(E42*'Data - P&amp;L'!$D$44)</f>
        <v>13.92</v>
      </c>
      <c r="F204" s="66">
        <f>(F32*'Data - P&amp;L'!$C$44)+(F42*'Data - P&amp;L'!$D$44)</f>
        <v>17.76</v>
      </c>
      <c r="G204" s="66">
        <f>(G32*'Data - P&amp;L'!$C$44)+(G42*'Data - P&amp;L'!$D$44)</f>
        <v>14.16</v>
      </c>
      <c r="H204" s="66">
        <f>(H32*'Data - P&amp;L'!$C$44)+(H42*'Data - P&amp;L'!$D$44)</f>
        <v>12</v>
      </c>
      <c r="I204" s="66">
        <f>(I32*'Data - P&amp;L'!$C$44)+(I42*'Data - P&amp;L'!$D$44)</f>
        <v>16.56</v>
      </c>
      <c r="J204" s="66">
        <f>(J32*'Data - P&amp;L'!$C$44)+(J42*'Data - P&amp;L'!$D$44)</f>
        <v>25.2</v>
      </c>
      <c r="K204" s="66">
        <f>(K32*'Data - P&amp;L'!$C$44)+(K42*'Data - P&amp;L'!$D$44)</f>
        <v>31.92</v>
      </c>
      <c r="L204" s="66">
        <f>(L32*'Data - P&amp;L'!$C$44)+(L42*'Data - P&amp;L'!$D$44)</f>
        <v>41.76</v>
      </c>
      <c r="M204" s="66">
        <f>(M32*'Data - P&amp;L'!$C$44)+(M42*'Data - P&amp;L'!$D$44)</f>
        <v>41.04</v>
      </c>
      <c r="N204" s="66">
        <f>(N32*'Data - P&amp;L'!$C$44)+(N42*'Data - P&amp;L'!$D$44)</f>
        <v>38.64</v>
      </c>
      <c r="O204" s="66">
        <f>(O32*'Data - P&amp;L'!$C$44)+(O42*'Data - P&amp;L'!$D$44)</f>
        <v>41.76</v>
      </c>
      <c r="P204" s="66">
        <f>(P32*'Data - P&amp;L'!$C$44)+(P42*'Data - P&amp;L'!$D$44)</f>
        <v>44.4</v>
      </c>
      <c r="Q204" s="66">
        <f>(Q32*'Data - P&amp;L'!$C$44)+(Q42*'Data - P&amp;L'!$D$44)</f>
        <v>55.44</v>
      </c>
      <c r="R204" s="66">
        <f>(R32*'Data - P&amp;L'!$C$44)+(R42*'Data - P&amp;L'!$D$44)</f>
        <v>59.76</v>
      </c>
      <c r="S204" s="66">
        <f>(S32*'Data - P&amp;L'!$C$44)+(S42*'Data - P&amp;L'!$D$44)</f>
        <v>70.8</v>
      </c>
      <c r="T204" s="66">
        <f>(T32*'Data - P&amp;L'!$C$44)+(T42*'Data - P&amp;L'!$D$44)</f>
        <v>49.92</v>
      </c>
      <c r="U204" s="66">
        <f>(U32*'Data - P&amp;L'!$C$44)+(U42*'Data - P&amp;L'!$D$44)</f>
        <v>112.08</v>
      </c>
      <c r="V204" s="66">
        <f>(V32*'Data - P&amp;L'!$C$44)+(V42*'Data - P&amp;L'!$D$44)</f>
        <v>124.32</v>
      </c>
      <c r="W204" s="66">
        <f>(W32*'Data - P&amp;L'!$C$44)+(W42*'Data - P&amp;L'!$D$44)</f>
        <v>139.44</v>
      </c>
      <c r="X204" s="66">
        <f>(X32*'Data - P&amp;L'!$C$44)+(X42*'Data - P&amp;L'!$D$44)</f>
        <v>185.04</v>
      </c>
      <c r="Y204" s="66">
        <f>(Y32*'Data - P&amp;L'!$C$44)+(Y42*'Data - P&amp;L'!$D$44)</f>
        <v>722.4</v>
      </c>
      <c r="Z204" s="66">
        <f>(Z32*'Data - P&amp;L'!$C$44)+(Z42*'Data - P&amp;L'!$D$44)</f>
        <v>433.44</v>
      </c>
      <c r="AA204" s="66">
        <f>(AA32*'Data - P&amp;L'!$C$44)+(AA42*'Data - P&amp;L'!$D$44)</f>
        <v>267.6</v>
      </c>
      <c r="AB204" s="66">
        <f>(AB32*'Data - P&amp;L'!$C$44)+(AB42*'Data - P&amp;L'!$D$44)</f>
        <v>83.76</v>
      </c>
      <c r="AC204" s="66">
        <f>(AC32*'Data - P&amp;L'!$C$44)+(AC42*'Data - P&amp;L'!$D$44)</f>
        <v>0</v>
      </c>
      <c r="AD204" s="66">
        <f>(AD32*'Data - P&amp;L'!$C$44)+(AD42*'Data - P&amp;L'!$D$44)</f>
        <v>0.24</v>
      </c>
      <c r="AE204" s="66">
        <f>(AE32*'Data - P&amp;L'!$C$44)+(AE42*'Data - P&amp;L'!$D$44)</f>
        <v>0.72</v>
      </c>
      <c r="AF204" s="62">
        <f t="shared" si="57"/>
        <v>2678.88</v>
      </c>
    </row>
    <row r="205">
      <c r="A205" s="280" t="s">
        <v>425</v>
      </c>
      <c r="B205" s="66">
        <f t="shared" ref="B205:AE205" si="58">B22</f>
        <v>649.85</v>
      </c>
      <c r="C205" s="66">
        <f t="shared" si="58"/>
        <v>696.41</v>
      </c>
      <c r="D205" s="66">
        <f t="shared" si="58"/>
        <v>1038.18</v>
      </c>
      <c r="E205" s="66">
        <f t="shared" si="58"/>
        <v>947.39</v>
      </c>
      <c r="F205" s="66">
        <f t="shared" si="58"/>
        <v>1262.15</v>
      </c>
      <c r="G205" s="66">
        <f t="shared" si="58"/>
        <v>869.71</v>
      </c>
      <c r="H205" s="66">
        <f t="shared" si="58"/>
        <v>771.81</v>
      </c>
      <c r="I205" s="66">
        <f t="shared" si="58"/>
        <v>963.53</v>
      </c>
      <c r="J205" s="66">
        <f t="shared" si="58"/>
        <v>1442.59</v>
      </c>
      <c r="K205" s="66">
        <f t="shared" si="58"/>
        <v>1915.06</v>
      </c>
      <c r="L205" s="66">
        <f t="shared" si="58"/>
        <v>2629.44</v>
      </c>
      <c r="M205" s="66">
        <f t="shared" si="58"/>
        <v>2388.49</v>
      </c>
      <c r="N205" s="66">
        <f t="shared" si="58"/>
        <v>2399.04</v>
      </c>
      <c r="O205" s="66">
        <f t="shared" si="58"/>
        <v>2510.61</v>
      </c>
      <c r="P205" s="66">
        <f t="shared" si="58"/>
        <v>2616.64</v>
      </c>
      <c r="Q205" s="66">
        <f t="shared" si="58"/>
        <v>3063.65</v>
      </c>
      <c r="R205" s="66">
        <f t="shared" si="58"/>
        <v>3338.55</v>
      </c>
      <c r="S205" s="66">
        <f t="shared" si="58"/>
        <v>3872.14</v>
      </c>
      <c r="T205" s="66">
        <f t="shared" si="58"/>
        <v>2750.01</v>
      </c>
      <c r="U205" s="66">
        <f t="shared" si="58"/>
        <v>6355.92</v>
      </c>
      <c r="V205" s="66">
        <f t="shared" si="58"/>
        <v>7181.12</v>
      </c>
      <c r="W205" s="66">
        <f t="shared" si="58"/>
        <v>7881.51</v>
      </c>
      <c r="X205" s="66">
        <f t="shared" si="58"/>
        <v>10502.78</v>
      </c>
      <c r="Y205" s="66">
        <f t="shared" si="58"/>
        <v>42104.68</v>
      </c>
      <c r="Z205" s="66">
        <f t="shared" si="58"/>
        <v>25752.03</v>
      </c>
      <c r="AA205" s="66">
        <f t="shared" si="58"/>
        <v>16557.32</v>
      </c>
      <c r="AB205" s="66">
        <f t="shared" si="58"/>
        <v>5150.32</v>
      </c>
      <c r="AC205" s="66">
        <f t="shared" si="58"/>
        <v>0</v>
      </c>
      <c r="AD205" s="66">
        <f t="shared" si="58"/>
        <v>3.71</v>
      </c>
      <c r="AE205" s="66">
        <f t="shared" si="58"/>
        <v>33.1</v>
      </c>
      <c r="AF205" s="62">
        <f t="shared" si="57"/>
        <v>157647.74</v>
      </c>
    </row>
    <row r="206">
      <c r="A206" s="25" t="s">
        <v>428</v>
      </c>
      <c r="B206" s="66">
        <f t="shared" ref="B206:AE206" si="59">B23</f>
        <v>11.79</v>
      </c>
      <c r="C206" s="66">
        <f t="shared" si="59"/>
        <v>7.49</v>
      </c>
      <c r="D206" s="66">
        <f t="shared" si="59"/>
        <v>0.5</v>
      </c>
      <c r="E206" s="66">
        <f t="shared" si="59"/>
        <v>7.24</v>
      </c>
      <c r="F206" s="66">
        <f t="shared" si="59"/>
        <v>2.75</v>
      </c>
      <c r="G206" s="66">
        <f t="shared" si="59"/>
        <v>0</v>
      </c>
      <c r="H206" s="66">
        <f t="shared" si="59"/>
        <v>0.31</v>
      </c>
      <c r="I206" s="66">
        <f t="shared" si="59"/>
        <v>0.5</v>
      </c>
      <c r="J206" s="66">
        <f t="shared" si="59"/>
        <v>24.14</v>
      </c>
      <c r="K206" s="66">
        <f t="shared" si="59"/>
        <v>14.16</v>
      </c>
      <c r="L206" s="66">
        <f t="shared" si="59"/>
        <v>2</v>
      </c>
      <c r="M206" s="66">
        <f t="shared" si="59"/>
        <v>21.16</v>
      </c>
      <c r="N206" s="66">
        <f t="shared" si="59"/>
        <v>25.45</v>
      </c>
      <c r="O206" s="66">
        <f t="shared" si="59"/>
        <v>0.5</v>
      </c>
      <c r="P206" s="66">
        <f t="shared" si="59"/>
        <v>37.43</v>
      </c>
      <c r="Q206" s="66">
        <f t="shared" si="59"/>
        <v>5.51</v>
      </c>
      <c r="R206" s="66">
        <f t="shared" si="59"/>
        <v>5.39</v>
      </c>
      <c r="S206" s="66">
        <f t="shared" si="59"/>
        <v>28.49</v>
      </c>
      <c r="T206" s="66">
        <f t="shared" si="59"/>
        <v>61.6</v>
      </c>
      <c r="U206" s="66">
        <f t="shared" si="59"/>
        <v>52.57</v>
      </c>
      <c r="V206" s="66">
        <f t="shared" si="59"/>
        <v>175.38</v>
      </c>
      <c r="W206" s="66">
        <f t="shared" si="59"/>
        <v>87.25</v>
      </c>
      <c r="X206" s="66">
        <f t="shared" si="59"/>
        <v>155.77</v>
      </c>
      <c r="Y206" s="66">
        <f t="shared" si="59"/>
        <v>416.82</v>
      </c>
      <c r="Z206" s="66">
        <f t="shared" si="59"/>
        <v>134.4</v>
      </c>
      <c r="AA206" s="66">
        <f t="shared" si="59"/>
        <v>127.92</v>
      </c>
      <c r="AB206" s="66">
        <f t="shared" si="59"/>
        <v>1301.75</v>
      </c>
      <c r="AC206" s="66">
        <f t="shared" si="59"/>
        <v>0</v>
      </c>
      <c r="AD206" s="66">
        <f t="shared" si="59"/>
        <v>15</v>
      </c>
      <c r="AE206" s="66">
        <f t="shared" si="59"/>
        <v>0</v>
      </c>
      <c r="AF206" s="62">
        <f t="shared" si="57"/>
        <v>2723.27</v>
      </c>
    </row>
    <row r="207">
      <c r="A207" s="25" t="s">
        <v>430</v>
      </c>
      <c r="B207" s="66">
        <f t="shared" ref="B207:AE207" si="60">B24</f>
        <v>0</v>
      </c>
      <c r="C207" s="66">
        <f t="shared" si="60"/>
        <v>0.3</v>
      </c>
      <c r="D207" s="66">
        <f t="shared" si="60"/>
        <v>9.28</v>
      </c>
      <c r="E207" s="66">
        <f t="shared" si="60"/>
        <v>9.13</v>
      </c>
      <c r="F207" s="66">
        <f t="shared" si="60"/>
        <v>4.64</v>
      </c>
      <c r="G207" s="66">
        <f t="shared" si="60"/>
        <v>13.47</v>
      </c>
      <c r="H207" s="66">
        <f t="shared" si="60"/>
        <v>9.13</v>
      </c>
      <c r="I207" s="66">
        <f t="shared" si="60"/>
        <v>13.77</v>
      </c>
      <c r="J207" s="66">
        <f t="shared" si="60"/>
        <v>18.86</v>
      </c>
      <c r="K207" s="66">
        <f t="shared" si="60"/>
        <v>18.26</v>
      </c>
      <c r="L207" s="66">
        <f t="shared" si="60"/>
        <v>14.67</v>
      </c>
      <c r="M207" s="66">
        <f t="shared" si="60"/>
        <v>31.88</v>
      </c>
      <c r="N207" s="66">
        <f t="shared" si="60"/>
        <v>14.22</v>
      </c>
      <c r="O207" s="66">
        <f t="shared" si="60"/>
        <v>9.28</v>
      </c>
      <c r="P207" s="66">
        <f t="shared" si="60"/>
        <v>9.88</v>
      </c>
      <c r="Q207" s="66">
        <f t="shared" si="60"/>
        <v>18.86</v>
      </c>
      <c r="R207" s="66">
        <f t="shared" si="60"/>
        <v>44.55</v>
      </c>
      <c r="S207" s="66">
        <f t="shared" si="60"/>
        <v>27.24</v>
      </c>
      <c r="T207" s="66">
        <f t="shared" si="60"/>
        <v>9.28</v>
      </c>
      <c r="U207" s="66">
        <f t="shared" si="60"/>
        <v>95.34</v>
      </c>
      <c r="V207" s="66">
        <f t="shared" si="60"/>
        <v>67.75</v>
      </c>
      <c r="W207" s="66">
        <f t="shared" si="60"/>
        <v>64.36</v>
      </c>
      <c r="X207" s="66">
        <f t="shared" si="60"/>
        <v>123.33</v>
      </c>
      <c r="Y207" s="66">
        <f t="shared" si="60"/>
        <v>384.47</v>
      </c>
      <c r="Z207" s="66">
        <f t="shared" si="60"/>
        <v>357.37</v>
      </c>
      <c r="AA207" s="66">
        <f t="shared" si="60"/>
        <v>200.71</v>
      </c>
      <c r="AB207" s="66">
        <f t="shared" si="60"/>
        <v>19.61</v>
      </c>
      <c r="AC207" s="66">
        <f t="shared" si="60"/>
        <v>0</v>
      </c>
      <c r="AD207" s="66">
        <f t="shared" si="60"/>
        <v>0</v>
      </c>
      <c r="AE207" s="66">
        <f t="shared" si="60"/>
        <v>0</v>
      </c>
      <c r="AF207" s="62">
        <f t="shared" si="57"/>
        <v>1589.64</v>
      </c>
    </row>
    <row r="208">
      <c r="A208" s="49"/>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2"/>
    </row>
    <row r="209">
      <c r="A209" s="43" t="s">
        <v>433</v>
      </c>
      <c r="B209" s="283">
        <f t="shared" ref="B209:AE209" si="61">SUM(B191:B207)</f>
        <v>10350.186</v>
      </c>
      <c r="C209" s="284">
        <f t="shared" si="61"/>
        <v>10431.024</v>
      </c>
      <c r="D209" s="260">
        <f t="shared" si="61"/>
        <v>14310.903</v>
      </c>
      <c r="E209" s="285">
        <f t="shared" si="61"/>
        <v>15288.781</v>
      </c>
      <c r="F209" s="286">
        <f t="shared" si="61"/>
        <v>18708.5855</v>
      </c>
      <c r="G209" s="287">
        <f t="shared" si="61"/>
        <v>14441.587</v>
      </c>
      <c r="H209" s="268">
        <f t="shared" si="61"/>
        <v>12739.092</v>
      </c>
      <c r="I209" s="288">
        <f t="shared" si="61"/>
        <v>13600.8315</v>
      </c>
      <c r="J209" s="289">
        <f t="shared" si="61"/>
        <v>21997.6705</v>
      </c>
      <c r="K209" s="290">
        <f t="shared" si="61"/>
        <v>28081.136</v>
      </c>
      <c r="L209" s="291">
        <f t="shared" si="61"/>
        <v>36710.88</v>
      </c>
      <c r="M209" s="292">
        <f t="shared" si="61"/>
        <v>36763.7605</v>
      </c>
      <c r="N209" s="293">
        <f t="shared" si="61"/>
        <v>34297.3315</v>
      </c>
      <c r="O209" s="294">
        <f t="shared" si="61"/>
        <v>36496</v>
      </c>
      <c r="P209" s="290">
        <f t="shared" si="61"/>
        <v>38678.338</v>
      </c>
      <c r="Q209" s="263">
        <f t="shared" si="61"/>
        <v>45631.17</v>
      </c>
      <c r="R209" s="164">
        <f t="shared" si="61"/>
        <v>51127.5015</v>
      </c>
      <c r="S209" s="164">
        <f t="shared" si="61"/>
        <v>60509.688</v>
      </c>
      <c r="T209" s="164">
        <f t="shared" si="61"/>
        <v>44411.507</v>
      </c>
      <c r="U209" s="164">
        <f t="shared" si="61"/>
        <v>96914.2365</v>
      </c>
      <c r="V209" s="164">
        <f t="shared" si="61"/>
        <v>108154.168</v>
      </c>
      <c r="W209" s="164">
        <f t="shared" si="61"/>
        <v>122752.378</v>
      </c>
      <c r="X209" s="164">
        <f t="shared" si="61"/>
        <v>160504.01</v>
      </c>
      <c r="Y209" s="164">
        <f t="shared" si="61"/>
        <v>587524.665</v>
      </c>
      <c r="Z209" s="164">
        <f t="shared" si="61"/>
        <v>358349.2055</v>
      </c>
      <c r="AA209" s="164">
        <f t="shared" si="61"/>
        <v>239873.7995</v>
      </c>
      <c r="AB209" s="164">
        <f t="shared" si="61"/>
        <v>68402.6605</v>
      </c>
      <c r="AC209" s="164">
        <f t="shared" si="61"/>
        <v>0</v>
      </c>
      <c r="AD209" s="164">
        <f t="shared" si="61"/>
        <v>47.0465</v>
      </c>
      <c r="AE209" s="164">
        <f t="shared" si="61"/>
        <v>813.115</v>
      </c>
      <c r="AF209" s="62">
        <f>SUM(B209:AE209)</f>
        <v>2287911.258</v>
      </c>
    </row>
    <row r="210">
      <c r="A210" s="49"/>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2"/>
    </row>
    <row r="211">
      <c r="A211" s="233" t="s">
        <v>118</v>
      </c>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2"/>
    </row>
    <row r="212">
      <c r="A212" s="296">
        <f>AF25</f>
        <v>2411885.25</v>
      </c>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2"/>
    </row>
    <row r="213">
      <c r="A213" s="49"/>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2"/>
    </row>
    <row r="214">
      <c r="A214" s="233" t="s">
        <v>300</v>
      </c>
      <c r="B214" s="297">
        <f t="shared" ref="B214:AE214" si="62">B25-B209</f>
        <v>-351.546</v>
      </c>
      <c r="C214" s="298">
        <f t="shared" si="62"/>
        <v>22.936</v>
      </c>
      <c r="D214" s="299">
        <f t="shared" si="62"/>
        <v>1732.517</v>
      </c>
      <c r="E214" s="300">
        <f t="shared" si="62"/>
        <v>-200.641</v>
      </c>
      <c r="F214" s="299">
        <f t="shared" si="62"/>
        <v>803.1845</v>
      </c>
      <c r="G214" s="301">
        <f t="shared" si="62"/>
        <v>722.593</v>
      </c>
      <c r="H214" s="302">
        <f t="shared" si="62"/>
        <v>-278.612</v>
      </c>
      <c r="I214" s="303">
        <f t="shared" si="62"/>
        <v>707.5785</v>
      </c>
      <c r="J214" s="304">
        <f t="shared" si="62"/>
        <v>563.1995</v>
      </c>
      <c r="K214" s="305">
        <f t="shared" si="62"/>
        <v>1625.104</v>
      </c>
      <c r="L214" s="306">
        <f t="shared" si="62"/>
        <v>2929.12</v>
      </c>
      <c r="M214" s="307">
        <f t="shared" si="62"/>
        <v>654.9095</v>
      </c>
      <c r="N214" s="305">
        <f t="shared" si="62"/>
        <v>2839.2785</v>
      </c>
      <c r="O214" s="308">
        <f t="shared" si="62"/>
        <v>2764</v>
      </c>
      <c r="P214" s="309">
        <f t="shared" si="62"/>
        <v>1056.782</v>
      </c>
      <c r="Q214" s="310">
        <f t="shared" si="62"/>
        <v>1168.23</v>
      </c>
      <c r="R214" s="311">
        <f t="shared" si="62"/>
        <v>156.1085</v>
      </c>
      <c r="S214" s="311">
        <f t="shared" si="62"/>
        <v>-328.568</v>
      </c>
      <c r="T214" s="311">
        <f t="shared" si="62"/>
        <v>-2318.127</v>
      </c>
      <c r="U214" s="311">
        <f t="shared" si="62"/>
        <v>536.6735</v>
      </c>
      <c r="V214" s="311">
        <f t="shared" si="62"/>
        <v>52.352</v>
      </c>
      <c r="W214" s="311">
        <f t="shared" si="62"/>
        <v>164.542</v>
      </c>
      <c r="X214" s="311">
        <f t="shared" si="62"/>
        <v>1134.19</v>
      </c>
      <c r="Y214" s="311">
        <f t="shared" si="62"/>
        <v>54126.435</v>
      </c>
      <c r="Z214" s="311">
        <f t="shared" si="62"/>
        <v>34970.9645</v>
      </c>
      <c r="AA214" s="311">
        <f t="shared" si="62"/>
        <v>8407.1305</v>
      </c>
      <c r="AB214" s="311">
        <f t="shared" si="62"/>
        <v>10575.0095</v>
      </c>
      <c r="AC214" s="311">
        <f t="shared" si="62"/>
        <v>0</v>
      </c>
      <c r="AD214" s="311">
        <f t="shared" si="62"/>
        <v>11.6635</v>
      </c>
      <c r="AE214" s="311">
        <f t="shared" si="62"/>
        <v>-273.015</v>
      </c>
      <c r="AF214" s="62">
        <f>SUM(B214:AE214)</f>
        <v>123973.9925</v>
      </c>
    </row>
    <row r="215">
      <c r="A215" s="296">
        <f>SUM(B214:AE214)</f>
        <v>123973.9925</v>
      </c>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c r="AA215" s="235"/>
      <c r="AB215" s="235"/>
      <c r="AC215" s="235"/>
      <c r="AD215" s="235"/>
      <c r="AE215" s="235"/>
      <c r="AF215" s="282"/>
    </row>
    <row r="216">
      <c r="A216" s="233" t="s">
        <v>304</v>
      </c>
      <c r="B216" s="312">
        <f t="shared" ref="B216:AE216" si="63">B214/B25</f>
        <v>-0.03515938168</v>
      </c>
      <c r="C216" s="313">
        <f t="shared" si="63"/>
        <v>0.002194001125</v>
      </c>
      <c r="D216" s="314">
        <f t="shared" si="63"/>
        <v>0.1079892567</v>
      </c>
      <c r="E216" s="315">
        <f t="shared" si="63"/>
        <v>-0.01329792804</v>
      </c>
      <c r="F216" s="316">
        <f t="shared" si="63"/>
        <v>0.04116410249</v>
      </c>
      <c r="G216" s="317">
        <f t="shared" si="63"/>
        <v>0.04765130723</v>
      </c>
      <c r="H216" s="317">
        <f t="shared" si="63"/>
        <v>-0.02235965228</v>
      </c>
      <c r="I216" s="318">
        <f t="shared" si="63"/>
        <v>0.04945193072</v>
      </c>
      <c r="J216" s="319">
        <f t="shared" si="63"/>
        <v>0.02496355415</v>
      </c>
      <c r="K216" s="320">
        <f t="shared" si="63"/>
        <v>0.05470581265</v>
      </c>
      <c r="L216" s="321">
        <f t="shared" si="63"/>
        <v>0.07389303734</v>
      </c>
      <c r="M216" s="322">
        <f t="shared" si="63"/>
        <v>0.01750221213</v>
      </c>
      <c r="N216" s="323">
        <f t="shared" si="63"/>
        <v>0.0764549726</v>
      </c>
      <c r="O216" s="324">
        <f t="shared" si="63"/>
        <v>0.07040244524</v>
      </c>
      <c r="P216" s="325">
        <f t="shared" si="63"/>
        <v>0.0265956665</v>
      </c>
      <c r="Q216" s="325">
        <f t="shared" si="63"/>
        <v>0.02496249952</v>
      </c>
      <c r="R216" s="326">
        <f t="shared" si="63"/>
        <v>0.003044023227</v>
      </c>
      <c r="S216" s="326">
        <f t="shared" si="63"/>
        <v>-0.005459652462</v>
      </c>
      <c r="T216" s="326">
        <f t="shared" si="63"/>
        <v>-0.05507105868</v>
      </c>
      <c r="U216" s="326">
        <f t="shared" si="63"/>
        <v>0.005507116352</v>
      </c>
      <c r="V216" s="326">
        <f t="shared" si="63"/>
        <v>0.0004838155778</v>
      </c>
      <c r="W216" s="326">
        <f t="shared" si="63"/>
        <v>0.001338644021</v>
      </c>
      <c r="X216" s="326">
        <f t="shared" si="63"/>
        <v>0.007016843791</v>
      </c>
      <c r="Y216" s="326">
        <f t="shared" si="63"/>
        <v>0.08435493214</v>
      </c>
      <c r="Z216" s="326">
        <f t="shared" si="63"/>
        <v>0.08891220732</v>
      </c>
      <c r="AA216" s="326">
        <f t="shared" si="63"/>
        <v>0.03386136221</v>
      </c>
      <c r="AB216" s="326">
        <f t="shared" si="63"/>
        <v>0.1338987273</v>
      </c>
      <c r="AC216" s="326" t="str">
        <f t="shared" si="63"/>
        <v>#DIV/0!</v>
      </c>
      <c r="AD216" s="326">
        <f t="shared" si="63"/>
        <v>0.1986629194</v>
      </c>
      <c r="AE216" s="326">
        <f t="shared" si="63"/>
        <v>-0.5054897241</v>
      </c>
      <c r="AF216" s="282"/>
    </row>
    <row r="217">
      <c r="A217" s="238">
        <f>A215/A212</f>
        <v>0.05140128142</v>
      </c>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2"/>
    </row>
    <row r="218">
      <c r="A218" s="233" t="s">
        <v>439</v>
      </c>
      <c r="B218" s="327">
        <f>Summary!B102</f>
        <v>3.091993122</v>
      </c>
      <c r="C218" s="327">
        <f>Summary!C102</f>
        <v>3.259518398</v>
      </c>
      <c r="D218" s="327">
        <f>Summary!D102</f>
        <v>4.992211445</v>
      </c>
      <c r="E218" s="327">
        <f>Summary!E102</f>
        <v>3.138693693</v>
      </c>
      <c r="F218" s="327">
        <f>Summary!F102</f>
        <v>3.634302393</v>
      </c>
      <c r="G218" s="327">
        <f>Summary!G102</f>
        <v>3.819346357</v>
      </c>
      <c r="H218" s="327">
        <f>Summary!H102</f>
        <v>3.131623657</v>
      </c>
      <c r="I218" s="327">
        <f>Summary!I102</f>
        <v>5.168756435</v>
      </c>
      <c r="J218" s="327">
        <f>Summary!J102</f>
        <v>5.118327261</v>
      </c>
      <c r="K218" s="327">
        <f>Summary!K102</f>
        <v>6.064862018</v>
      </c>
      <c r="L218" s="327">
        <f>Summary!L102</f>
        <v>6.479495763</v>
      </c>
      <c r="M218" s="327">
        <f>Summary!M102</f>
        <v>5.16644069</v>
      </c>
      <c r="N218" s="327">
        <f>Summary!N102</f>
        <v>6.511881674</v>
      </c>
      <c r="O218" s="327">
        <f>Summary!O102</f>
        <v>6.45129486</v>
      </c>
      <c r="P218" s="327">
        <f>Summary!P102</f>
        <v>6.123656337</v>
      </c>
      <c r="Q218" s="327">
        <f>Summary!Q102</f>
        <v>6.184899137</v>
      </c>
      <c r="R218" s="327">
        <f>Summary!R102</f>
        <v>5.49152664</v>
      </c>
      <c r="S218" s="327">
        <f>Summary!S102</f>
        <v>5.19181403</v>
      </c>
      <c r="T218" s="327">
        <f>Summary!T102</f>
        <v>3.795499507</v>
      </c>
      <c r="U218" s="327">
        <f>Summary!U102</f>
        <v>5.57805193</v>
      </c>
      <c r="V218" s="327">
        <f>Summary!V102</f>
        <v>5.423524146</v>
      </c>
      <c r="W218" s="327">
        <f>Summary!W102</f>
        <v>5.436360219</v>
      </c>
      <c r="X218" s="327">
        <f>Summary!X102</f>
        <v>5.654488834</v>
      </c>
      <c r="Y218" s="327">
        <f>Summary!Y102</f>
        <v>9.957734212</v>
      </c>
      <c r="Z218" s="327">
        <f>Summary!Z102</f>
        <v>10.40933256</v>
      </c>
      <c r="AA218" s="327">
        <f>Summary!AA102</f>
        <v>6.611227061</v>
      </c>
      <c r="AB218" s="327">
        <f>Summary!AB102</f>
        <v>21.6853662</v>
      </c>
      <c r="AC218" s="327" t="str">
        <f>Summary!AC102</f>
        <v>#DIV/0!</v>
      </c>
      <c r="AD218" s="327" t="str">
        <f>Summary!AD102</f>
        <v>#DIV/0!</v>
      </c>
      <c r="AE218" s="327">
        <f>Summary!AE102</f>
        <v>1.244642116</v>
      </c>
      <c r="AF218" s="282"/>
    </row>
    <row r="219">
      <c r="A219" s="49"/>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2"/>
    </row>
    <row r="220">
      <c r="A220" s="49"/>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2"/>
    </row>
    <row r="221">
      <c r="A221" s="328" t="s">
        <v>444</v>
      </c>
      <c r="B221" s="329" t="str">
        <f t="shared" ref="B221:AE221" si="64">iferror(#REF!+#REF!+#REF!+#REF!+#REF!,"")</f>
        <v/>
      </c>
      <c r="C221" s="329" t="str">
        <f t="shared" si="64"/>
        <v/>
      </c>
      <c r="D221" s="329" t="str">
        <f t="shared" si="64"/>
        <v/>
      </c>
      <c r="E221" s="329" t="str">
        <f t="shared" si="64"/>
        <v/>
      </c>
      <c r="F221" s="329" t="str">
        <f t="shared" si="64"/>
        <v/>
      </c>
      <c r="G221" s="329" t="str">
        <f t="shared" si="64"/>
        <v/>
      </c>
      <c r="H221" s="329" t="str">
        <f t="shared" si="64"/>
        <v/>
      </c>
      <c r="I221" s="329" t="str">
        <f t="shared" si="64"/>
        <v/>
      </c>
      <c r="J221" s="329" t="str">
        <f t="shared" si="64"/>
        <v/>
      </c>
      <c r="K221" s="329" t="str">
        <f t="shared" si="64"/>
        <v/>
      </c>
      <c r="L221" s="329" t="str">
        <f t="shared" si="64"/>
        <v/>
      </c>
      <c r="M221" s="329" t="str">
        <f t="shared" si="64"/>
        <v/>
      </c>
      <c r="N221" s="329" t="str">
        <f t="shared" si="64"/>
        <v/>
      </c>
      <c r="O221" s="329" t="str">
        <f t="shared" si="64"/>
        <v/>
      </c>
      <c r="P221" s="329" t="str">
        <f t="shared" si="64"/>
        <v/>
      </c>
      <c r="Q221" s="329" t="str">
        <f t="shared" si="64"/>
        <v/>
      </c>
      <c r="R221" s="329" t="str">
        <f t="shared" si="64"/>
        <v/>
      </c>
      <c r="S221" s="329" t="str">
        <f t="shared" si="64"/>
        <v/>
      </c>
      <c r="T221" s="329" t="str">
        <f t="shared" si="64"/>
        <v/>
      </c>
      <c r="U221" s="329" t="str">
        <f t="shared" si="64"/>
        <v/>
      </c>
      <c r="V221" s="329" t="str">
        <f t="shared" si="64"/>
        <v/>
      </c>
      <c r="W221" s="329" t="str">
        <f t="shared" si="64"/>
        <v/>
      </c>
      <c r="X221" s="329" t="str">
        <f t="shared" si="64"/>
        <v/>
      </c>
      <c r="Y221" s="329" t="str">
        <f t="shared" si="64"/>
        <v/>
      </c>
      <c r="Z221" s="329" t="str">
        <f t="shared" si="64"/>
        <v/>
      </c>
      <c r="AA221" s="329" t="str">
        <f t="shared" si="64"/>
        <v/>
      </c>
      <c r="AB221" s="329" t="str">
        <f t="shared" si="64"/>
        <v/>
      </c>
      <c r="AC221" s="329" t="str">
        <f t="shared" si="64"/>
        <v/>
      </c>
      <c r="AD221" s="329" t="str">
        <f t="shared" si="64"/>
        <v/>
      </c>
      <c r="AE221" s="329" t="str">
        <f t="shared" si="64"/>
        <v/>
      </c>
      <c r="AF221" s="62"/>
    </row>
    <row r="222">
      <c r="A222" s="330" t="s">
        <v>445</v>
      </c>
      <c r="B222" s="331">
        <f t="shared" ref="B222:AE222" si="65">SUM(B223:B231)-B232</f>
        <v>0</v>
      </c>
      <c r="C222" s="331">
        <f t="shared" si="65"/>
        <v>-378.9</v>
      </c>
      <c r="D222" s="331">
        <f t="shared" si="65"/>
        <v>-378.9</v>
      </c>
      <c r="E222" s="331">
        <f t="shared" si="65"/>
        <v>-189.45</v>
      </c>
      <c r="F222" s="331">
        <f t="shared" si="65"/>
        <v>-201.02</v>
      </c>
      <c r="G222" s="331">
        <f t="shared" si="65"/>
        <v>0</v>
      </c>
      <c r="H222" s="331">
        <f t="shared" si="65"/>
        <v>-140.16</v>
      </c>
      <c r="I222" s="331">
        <f t="shared" si="65"/>
        <v>-336.18</v>
      </c>
      <c r="J222" s="331">
        <f t="shared" si="65"/>
        <v>-1001.97</v>
      </c>
      <c r="K222" s="331">
        <f t="shared" si="65"/>
        <v>-329.61</v>
      </c>
      <c r="L222" s="331">
        <f t="shared" si="65"/>
        <v>-1276.86</v>
      </c>
      <c r="M222" s="331">
        <f t="shared" si="65"/>
        <v>-697.8</v>
      </c>
      <c r="N222" s="331">
        <f t="shared" si="65"/>
        <v>-855.24</v>
      </c>
      <c r="O222" s="331">
        <f t="shared" si="65"/>
        <v>-378.9</v>
      </c>
      <c r="P222" s="331">
        <f t="shared" si="65"/>
        <v>-731.37</v>
      </c>
      <c r="Q222" s="331">
        <f t="shared" si="65"/>
        <v>-609.21</v>
      </c>
      <c r="R222" s="331">
        <f t="shared" si="65"/>
        <v>-107.01</v>
      </c>
      <c r="S222" s="331">
        <f t="shared" si="65"/>
        <v>-200.88</v>
      </c>
      <c r="T222" s="331">
        <f t="shared" si="65"/>
        <v>-240.6</v>
      </c>
      <c r="U222" s="331">
        <f t="shared" si="65"/>
        <v>-699.84</v>
      </c>
      <c r="V222" s="331">
        <f t="shared" si="65"/>
        <v>-596.7</v>
      </c>
      <c r="W222" s="331">
        <f t="shared" si="65"/>
        <v>-1093.95</v>
      </c>
      <c r="X222" s="331">
        <f t="shared" si="65"/>
        <v>-1292.85</v>
      </c>
      <c r="Y222" s="331">
        <f t="shared" si="65"/>
        <v>-7763.67</v>
      </c>
      <c r="Z222" s="331">
        <f t="shared" si="65"/>
        <v>-5191.11</v>
      </c>
      <c r="AA222" s="331">
        <f t="shared" si="65"/>
        <v>-2088.45</v>
      </c>
      <c r="AB222" s="331">
        <f t="shared" si="65"/>
        <v>-994.5</v>
      </c>
      <c r="AC222" s="331">
        <f t="shared" si="65"/>
        <v>0</v>
      </c>
      <c r="AD222" s="331">
        <f t="shared" si="65"/>
        <v>0</v>
      </c>
      <c r="AE222" s="331">
        <f t="shared" si="65"/>
        <v>0</v>
      </c>
      <c r="AF222" s="62">
        <f t="shared" ref="AF222:AF255" si="66">SUM(B222:AE222)</f>
        <v>-27775.13</v>
      </c>
    </row>
    <row r="223">
      <c r="A223" s="117" t="s">
        <v>382</v>
      </c>
      <c r="B223" s="66">
        <f>(B111+B112)*'Data - P&amp;L'!$C$3</f>
        <v>0</v>
      </c>
      <c r="C223" s="66">
        <f>(C111+C112)*'Data - P&amp;L'!$C$3</f>
        <v>0</v>
      </c>
      <c r="D223" s="66">
        <f>(D111+D112)*'Data - P&amp;L'!$C$3</f>
        <v>0</v>
      </c>
      <c r="E223" s="66">
        <f>(E111+E112)*'Data - P&amp;L'!$C$3</f>
        <v>0</v>
      </c>
      <c r="F223" s="66">
        <f>(F111+F112)*'Data - P&amp;L'!$C$3</f>
        <v>0</v>
      </c>
      <c r="G223" s="66">
        <f>(G111+G112)*'Data - P&amp;L'!$C$3</f>
        <v>0</v>
      </c>
      <c r="H223" s="66">
        <f>(H111+H112)*'Data - P&amp;L'!$C$3</f>
        <v>86.9</v>
      </c>
      <c r="I223" s="66">
        <f>(I111+I112)*'Data - P&amp;L'!$C$3</f>
        <v>86.9</v>
      </c>
      <c r="J223" s="66">
        <f>(J111+J112)*'Data - P&amp;L'!$C$3</f>
        <v>260.7</v>
      </c>
      <c r="K223" s="66">
        <f>(K111+K112)*'Data - P&amp;L'!$C$3</f>
        <v>86.9</v>
      </c>
      <c r="L223" s="66">
        <f>(L111+L112)*'Data - P&amp;L'!$C$3</f>
        <v>86.9</v>
      </c>
      <c r="M223" s="66">
        <f>(M111+M112)*'Data - P&amp;L'!$C$3</f>
        <v>0</v>
      </c>
      <c r="N223" s="66">
        <f>(N111+N112)*'Data - P&amp;L'!$C$3</f>
        <v>173.8</v>
      </c>
      <c r="O223" s="66">
        <f>(O111+O112)*'Data - P&amp;L'!$C$3</f>
        <v>0</v>
      </c>
      <c r="P223" s="66">
        <f>(P111+P112)*'Data - P&amp;L'!$C$3</f>
        <v>86.9</v>
      </c>
      <c r="Q223" s="66">
        <f>(Q111+Q112)*'Data - P&amp;L'!$C$3</f>
        <v>0</v>
      </c>
      <c r="R223" s="66">
        <f>(R111+R112)*'Data - P&amp;L'!$C$3</f>
        <v>0</v>
      </c>
      <c r="S223" s="66">
        <f>(S111+S112)*'Data - P&amp;L'!$C$3</f>
        <v>0</v>
      </c>
      <c r="T223" s="66">
        <f>(T111+T112)*'Data - P&amp;L'!$C$3</f>
        <v>86.9</v>
      </c>
      <c r="U223" s="66">
        <f>(U111+U112)*'Data - P&amp;L'!$C$3</f>
        <v>0</v>
      </c>
      <c r="V223" s="66">
        <f>(V111+V112)*'Data - P&amp;L'!$C$3</f>
        <v>0</v>
      </c>
      <c r="W223" s="66">
        <f>(W111+W112)*'Data - P&amp;L'!$C$3</f>
        <v>0</v>
      </c>
      <c r="X223" s="66">
        <f>(X111+X112)*'Data - P&amp;L'!$C$3</f>
        <v>0</v>
      </c>
      <c r="Y223" s="66">
        <f>(Y111+Y112)*'Data - P&amp;L'!$C$3</f>
        <v>0</v>
      </c>
      <c r="Z223" s="66">
        <f>(Z111+Z112)*'Data - P&amp;L'!$C$3</f>
        <v>0</v>
      </c>
      <c r="AA223" s="66">
        <f>(AA111+AA112)*'Data - P&amp;L'!$C$3</f>
        <v>0</v>
      </c>
      <c r="AB223" s="66">
        <f>(AB111+AB112)*'Data - P&amp;L'!$C$3</f>
        <v>0</v>
      </c>
      <c r="AC223" s="66">
        <f>(AC111+AC112)*'Data - P&amp;L'!$C$3</f>
        <v>0</v>
      </c>
      <c r="AD223" s="66">
        <f>(AD111+AD112)*'Data - P&amp;L'!$C$3</f>
        <v>0</v>
      </c>
      <c r="AE223" s="66">
        <f>(AE111+AE112)*'Data - P&amp;L'!$C$3</f>
        <v>0</v>
      </c>
      <c r="AF223" s="62">
        <f t="shared" si="66"/>
        <v>955.9</v>
      </c>
    </row>
    <row r="224">
      <c r="A224" s="117" t="s">
        <v>385</v>
      </c>
      <c r="B224" s="66">
        <f>(B113+B114)*'Data - P&amp;L'!$C$4</f>
        <v>0</v>
      </c>
      <c r="C224" s="66">
        <f>(C113+C114)*'Data - P&amp;L'!$C$4</f>
        <v>195.22</v>
      </c>
      <c r="D224" s="66">
        <f>(D113+D114)*'Data - P&amp;L'!$C$4</f>
        <v>195.22</v>
      </c>
      <c r="E224" s="66">
        <f>(E113+E114)*'Data - P&amp;L'!$C$4</f>
        <v>97.61</v>
      </c>
      <c r="F224" s="66">
        <f>(F113+F114)*'Data - P&amp;L'!$C$4</f>
        <v>97.61</v>
      </c>
      <c r="G224" s="66">
        <f>(G113+G114)*'Data - P&amp;L'!$C$4</f>
        <v>0</v>
      </c>
      <c r="H224" s="66">
        <f>(H113+H114)*'Data - P&amp;L'!$C$4</f>
        <v>0</v>
      </c>
      <c r="I224" s="66">
        <f>(I113+I114)*'Data - P&amp;L'!$C$4</f>
        <v>97.61</v>
      </c>
      <c r="J224" s="66">
        <f>(J113+J114)*'Data - P&amp;L'!$C$4</f>
        <v>292.83</v>
      </c>
      <c r="K224" s="66">
        <f>(K113+K114)*'Data - P&amp;L'!$C$4</f>
        <v>97.61</v>
      </c>
      <c r="L224" s="66">
        <f>(L113+L114)*'Data - P&amp;L'!$C$4</f>
        <v>585.66</v>
      </c>
      <c r="M224" s="66">
        <f>(M113+M114)*'Data - P&amp;L'!$C$4</f>
        <v>390.44</v>
      </c>
      <c r="N224" s="66">
        <f>(N113+N114)*'Data - P&amp;L'!$C$4</f>
        <v>292.83</v>
      </c>
      <c r="O224" s="66">
        <f>(O113+O114)*'Data - P&amp;L'!$C$4</f>
        <v>195.22</v>
      </c>
      <c r="P224" s="66">
        <f>(P113+P114)*'Data - P&amp;L'!$C$4</f>
        <v>488.05</v>
      </c>
      <c r="Q224" s="66">
        <f>(Q113+Q114)*'Data - P&amp;L'!$C$4</f>
        <v>585.66</v>
      </c>
      <c r="R224" s="66">
        <f>(R113+R114)*'Data - P&amp;L'!$C$4</f>
        <v>97.61</v>
      </c>
      <c r="S224" s="66">
        <f>(S113+S114)*'Data - P&amp;L'!$C$4</f>
        <v>195.22</v>
      </c>
      <c r="T224" s="66">
        <f>(T113+T114)*'Data - P&amp;L'!$C$4</f>
        <v>97.61</v>
      </c>
      <c r="U224" s="66">
        <f>(U113+U114)*'Data - P&amp;L'!$C$4</f>
        <v>585.66</v>
      </c>
      <c r="V224" s="66">
        <f>(V113+V114)*'Data - P&amp;L'!$C$4</f>
        <v>585.66</v>
      </c>
      <c r="W224" s="66">
        <f>(W113+W114)*'Data - P&amp;L'!$C$4</f>
        <v>1073.71</v>
      </c>
      <c r="X224" s="66">
        <f>(X113+X114)*'Data - P&amp;L'!$C$4</f>
        <v>1268.93</v>
      </c>
      <c r="Y224" s="66">
        <f>(Y113+Y114)*'Data - P&amp;L'!$C$4</f>
        <v>7613.58</v>
      </c>
      <c r="Z224" s="66">
        <f>(Z113+Z114)*'Data - P&amp;L'!$C$4</f>
        <v>5075.72</v>
      </c>
      <c r="AA224" s="66">
        <f>(AA113+AA114)*'Data - P&amp;L'!$C$4</f>
        <v>2049.81</v>
      </c>
      <c r="AB224" s="66">
        <f>(AB113+AB114)*'Data - P&amp;L'!$C$4</f>
        <v>976.1</v>
      </c>
      <c r="AC224" s="66">
        <f>(AC113+AC114)*'Data - P&amp;L'!$C$4</f>
        <v>0</v>
      </c>
      <c r="AD224" s="66">
        <f>(AD113+AD114)*'Data - P&amp;L'!$C$4</f>
        <v>0</v>
      </c>
      <c r="AE224" s="66">
        <f>(AE113+AE114)*'Data - P&amp;L'!$C$4</f>
        <v>0</v>
      </c>
      <c r="AF224" s="62">
        <f t="shared" si="66"/>
        <v>23231.18</v>
      </c>
    </row>
    <row r="225">
      <c r="A225" s="117" t="s">
        <v>388</v>
      </c>
      <c r="B225" s="66">
        <f>(B118)*'Data - P&amp;L'!$C$6</f>
        <v>0</v>
      </c>
      <c r="C225" s="66">
        <f>(C118)*'Data - P&amp;L'!$C$6</f>
        <v>0</v>
      </c>
      <c r="D225" s="66">
        <f>(D118)*'Data - P&amp;L'!$C$6</f>
        <v>0</v>
      </c>
      <c r="E225" s="66">
        <f>(E118)*'Data - P&amp;L'!$C$6</f>
        <v>0</v>
      </c>
      <c r="F225" s="66">
        <f>(F118)*'Data - P&amp;L'!$C$6</f>
        <v>5.49</v>
      </c>
      <c r="G225" s="66">
        <f>(G118)*'Data - P&amp;L'!$C$6</f>
        <v>0</v>
      </c>
      <c r="H225" s="66">
        <f>(H118)*'Data - P&amp;L'!$C$6</f>
        <v>0</v>
      </c>
      <c r="I225" s="66">
        <f>(I118)*'Data - P&amp;L'!$C$6</f>
        <v>5.49</v>
      </c>
      <c r="J225" s="66">
        <f>(J118)*'Data - P&amp;L'!$C$6</f>
        <v>10.98</v>
      </c>
      <c r="K225" s="66">
        <f>(K118)*'Data - P&amp;L'!$C$6</f>
        <v>0</v>
      </c>
      <c r="L225" s="66">
        <f>(L118)*'Data - P&amp;L'!$C$6</f>
        <v>0</v>
      </c>
      <c r="M225" s="66">
        <f>(M118)*'Data - P&amp;L'!$C$6</f>
        <v>0</v>
      </c>
      <c r="N225" s="66">
        <f>(N118)*'Data - P&amp;L'!$C$6</f>
        <v>5.49</v>
      </c>
      <c r="O225" s="66">
        <f>(O118)*'Data - P&amp;L'!$C$6</f>
        <v>0</v>
      </c>
      <c r="P225" s="66">
        <f>(P118)*'Data - P&amp;L'!$C$6</f>
        <v>0</v>
      </c>
      <c r="Q225" s="66">
        <f>(Q118)*'Data - P&amp;L'!$C$6</f>
        <v>5.49</v>
      </c>
      <c r="R225" s="66">
        <f>(R118)*'Data - P&amp;L'!$C$6</f>
        <v>5.49</v>
      </c>
      <c r="S225" s="66">
        <f>(S118)*'Data - P&amp;L'!$C$6</f>
        <v>0</v>
      </c>
      <c r="T225" s="66">
        <f>(T118)*'Data - P&amp;L'!$C$6</f>
        <v>0</v>
      </c>
      <c r="U225" s="66">
        <f>(U118)*'Data - P&amp;L'!$C$6</f>
        <v>10.98</v>
      </c>
      <c r="V225" s="66">
        <f>(V118)*'Data - P&amp;L'!$C$6</f>
        <v>0</v>
      </c>
      <c r="W225" s="66">
        <f>(W118)*'Data - P&amp;L'!$C$6</f>
        <v>0</v>
      </c>
      <c r="X225" s="66">
        <f>(X118)*'Data - P&amp;L'!$C$6</f>
        <v>0</v>
      </c>
      <c r="Y225" s="66">
        <f>(Y118)*'Data - P&amp;L'!$C$6</f>
        <v>5.49</v>
      </c>
      <c r="Z225" s="66">
        <f>(Z118)*'Data - P&amp;L'!$C$6</f>
        <v>16.47</v>
      </c>
      <c r="AA225" s="66">
        <f>(AA118)*'Data - P&amp;L'!$C$6</f>
        <v>0</v>
      </c>
      <c r="AB225" s="66">
        <f>(AB118)*'Data - P&amp;L'!$C$6</f>
        <v>0</v>
      </c>
      <c r="AC225" s="66">
        <f>(AC118)*'Data - P&amp;L'!$C$6</f>
        <v>0</v>
      </c>
      <c r="AD225" s="66">
        <f>(AD118)*'Data - P&amp;L'!$C$6</f>
        <v>0</v>
      </c>
      <c r="AE225" s="66">
        <f>(AE118)*'Data - P&amp;L'!$C$6</f>
        <v>0</v>
      </c>
      <c r="AF225" s="62">
        <f t="shared" si="66"/>
        <v>71.37</v>
      </c>
    </row>
    <row r="226">
      <c r="A226" s="117" t="s">
        <v>390</v>
      </c>
      <c r="B226" s="66">
        <f>(B119)*'Data - P&amp;L'!$C$8</f>
        <v>0</v>
      </c>
      <c r="C226" s="66">
        <f>(C119)*'Data - P&amp;L'!$C$8</f>
        <v>0</v>
      </c>
      <c r="D226" s="66">
        <f>(D119)*'Data - P&amp;L'!$C$8</f>
        <v>0</v>
      </c>
      <c r="E226" s="66">
        <f>(E119)*'Data - P&amp;L'!$C$8</f>
        <v>0</v>
      </c>
      <c r="F226" s="66">
        <f>(F119)*'Data - P&amp;L'!$C$8</f>
        <v>0</v>
      </c>
      <c r="G226" s="66">
        <f>(G119)*'Data - P&amp;L'!$C$8</f>
        <v>0</v>
      </c>
      <c r="H226" s="66">
        <f>(H119)*'Data - P&amp;L'!$C$8</f>
        <v>0</v>
      </c>
      <c r="I226" s="66">
        <f>(I119)*'Data - P&amp;L'!$C$8</f>
        <v>0</v>
      </c>
      <c r="J226" s="66">
        <f>(J119)*'Data - P&amp;L'!$C$8</f>
        <v>0</v>
      </c>
      <c r="K226" s="66">
        <f>(K119)*'Data - P&amp;L'!$C$8</f>
        <v>0</v>
      </c>
      <c r="L226" s="66">
        <f>(L119)*'Data - P&amp;L'!$C$8</f>
        <v>0</v>
      </c>
      <c r="M226" s="66">
        <f>(M119)*'Data - P&amp;L'!$C$8</f>
        <v>0</v>
      </c>
      <c r="N226" s="66">
        <f>(N119)*'Data - P&amp;L'!$C$8</f>
        <v>0</v>
      </c>
      <c r="O226" s="66">
        <f>(O119)*'Data - P&amp;L'!$C$8</f>
        <v>0</v>
      </c>
      <c r="P226" s="66">
        <f>(P119)*'Data - P&amp;L'!$C$8</f>
        <v>0</v>
      </c>
      <c r="Q226" s="66">
        <f>(Q119)*'Data - P&amp;L'!$C$8</f>
        <v>0</v>
      </c>
      <c r="R226" s="66">
        <f>(R119)*'Data - P&amp;L'!$C$8</f>
        <v>0</v>
      </c>
      <c r="S226" s="66">
        <f>(S119)*'Data - P&amp;L'!$C$8</f>
        <v>0</v>
      </c>
      <c r="T226" s="66">
        <f>(T119)*'Data - P&amp;L'!$C$8</f>
        <v>0</v>
      </c>
      <c r="U226" s="66">
        <f>(U119)*'Data - P&amp;L'!$C$8</f>
        <v>0</v>
      </c>
      <c r="V226" s="66">
        <f>(V119)*'Data - P&amp;L'!$C$8</f>
        <v>0</v>
      </c>
      <c r="W226" s="66">
        <f>(W119)*'Data - P&amp;L'!$C$8</f>
        <v>0</v>
      </c>
      <c r="X226" s="66">
        <f>(X119)*'Data - P&amp;L'!$C$8</f>
        <v>0</v>
      </c>
      <c r="Y226" s="66">
        <f>(Y119)*'Data - P&amp;L'!$C$8</f>
        <v>0</v>
      </c>
      <c r="Z226" s="66">
        <f>(Z119)*'Data - P&amp;L'!$C$8</f>
        <v>0</v>
      </c>
      <c r="AA226" s="66">
        <f>(AA119)*'Data - P&amp;L'!$C$8</f>
        <v>0</v>
      </c>
      <c r="AB226" s="66">
        <f>(AB119)*'Data - P&amp;L'!$C$8</f>
        <v>0</v>
      </c>
      <c r="AC226" s="66">
        <f>(AC119)*'Data - P&amp;L'!$C$8</f>
        <v>0</v>
      </c>
      <c r="AD226" s="66">
        <f>(AD119)*'Data - P&amp;L'!$C$8</f>
        <v>0</v>
      </c>
      <c r="AE226" s="66">
        <f>(AE119)*'Data - P&amp;L'!$C$8</f>
        <v>0</v>
      </c>
      <c r="AF226" s="62">
        <f t="shared" si="66"/>
        <v>0</v>
      </c>
    </row>
    <row r="227">
      <c r="A227" s="117" t="s">
        <v>395</v>
      </c>
      <c r="B227" s="66">
        <f>(B120+B121)*'Data - P&amp;L'!$C$9</f>
        <v>0</v>
      </c>
      <c r="C227" s="66">
        <f>(C120+C121)*'Data - P&amp;L'!$C$9</f>
        <v>0</v>
      </c>
      <c r="D227" s="66">
        <f>(D120+D121)*'Data - P&amp;L'!$C$9</f>
        <v>0</v>
      </c>
      <c r="E227" s="66">
        <f>(E120+E121)*'Data - P&amp;L'!$C$9</f>
        <v>0</v>
      </c>
      <c r="F227" s="66">
        <f>(F120+F121)*'Data - P&amp;L'!$C$9</f>
        <v>0</v>
      </c>
      <c r="G227" s="66">
        <f>(G120+G121)*'Data - P&amp;L'!$C$9</f>
        <v>0</v>
      </c>
      <c r="H227" s="66">
        <f>(H120+H121)*'Data - P&amp;L'!$C$9</f>
        <v>0</v>
      </c>
      <c r="I227" s="66">
        <f>(I120+I121)*'Data - P&amp;L'!$C$9</f>
        <v>0</v>
      </c>
      <c r="J227" s="66">
        <f>(J120+J121)*'Data - P&amp;L'!$C$9</f>
        <v>0</v>
      </c>
      <c r="K227" s="66">
        <f>(K120+K121)*'Data - P&amp;L'!$C$9</f>
        <v>0</v>
      </c>
      <c r="L227" s="66">
        <f>(L120+L121)*'Data - P&amp;L'!$C$9</f>
        <v>0</v>
      </c>
      <c r="M227" s="66">
        <f>(M120+M121)*'Data - P&amp;L'!$C$9</f>
        <v>0</v>
      </c>
      <c r="N227" s="66">
        <f>(N120+N121)*'Data - P&amp;L'!$C$9</f>
        <v>0</v>
      </c>
      <c r="O227" s="66">
        <f>(O120+O121)*'Data - P&amp;L'!$C$9</f>
        <v>0</v>
      </c>
      <c r="P227" s="66">
        <f>(P120+P121)*'Data - P&amp;L'!$C$9</f>
        <v>0</v>
      </c>
      <c r="Q227" s="66">
        <f>(Q120+Q121)*'Data - P&amp;L'!$C$9</f>
        <v>0</v>
      </c>
      <c r="R227" s="66">
        <f>(R120+R121)*'Data - P&amp;L'!$C$9</f>
        <v>0</v>
      </c>
      <c r="S227" s="66">
        <f>(S120+S121)*'Data - P&amp;L'!$C$9</f>
        <v>0</v>
      </c>
      <c r="T227" s="66">
        <f>(T120+T121)*'Data - P&amp;L'!$C$9</f>
        <v>0</v>
      </c>
      <c r="U227" s="66">
        <f>(U120+U121)*'Data - P&amp;L'!$C$9</f>
        <v>0</v>
      </c>
      <c r="V227" s="66">
        <f>(V120+V121)*'Data - P&amp;L'!$C$9</f>
        <v>0</v>
      </c>
      <c r="W227" s="66">
        <f>(W120+W121)*'Data - P&amp;L'!$C$9</f>
        <v>0</v>
      </c>
      <c r="X227" s="66">
        <f>(X120+X121)*'Data - P&amp;L'!$C$9</f>
        <v>0</v>
      </c>
      <c r="Y227" s="66">
        <f>(Y120+Y121)*'Data - P&amp;L'!$C$9</f>
        <v>0</v>
      </c>
      <c r="Z227" s="66">
        <f>(Z120+Z121)*'Data - P&amp;L'!$C$9</f>
        <v>0</v>
      </c>
      <c r="AA227" s="66">
        <f>(AA120+AA121)*'Data - P&amp;L'!$C$9</f>
        <v>0</v>
      </c>
      <c r="AB227" s="66">
        <f>(AB120+AB121)*'Data - P&amp;L'!$C$9</f>
        <v>0</v>
      </c>
      <c r="AC227" s="66">
        <f>(AC120+AC121)*'Data - P&amp;L'!$C$9</f>
        <v>0</v>
      </c>
      <c r="AD227" s="66">
        <f>(AD120+AD121)*'Data - P&amp;L'!$C$9</f>
        <v>0</v>
      </c>
      <c r="AE227" s="66">
        <f>(AE120+AE121)*'Data - P&amp;L'!$C$9</f>
        <v>0</v>
      </c>
      <c r="AF227" s="62">
        <f t="shared" si="66"/>
        <v>0</v>
      </c>
    </row>
    <row r="228">
      <c r="A228" s="117" t="s">
        <v>401</v>
      </c>
      <c r="B228" s="66">
        <f>(B122+B1570)*'Data - P&amp;L'!$C$5</f>
        <v>0</v>
      </c>
      <c r="C228" s="66">
        <f>(C122+C1570)*'Data - P&amp;L'!$C$5</f>
        <v>0</v>
      </c>
      <c r="D228" s="66">
        <f>(D122+D1570)*'Data - P&amp;L'!$C$5</f>
        <v>0</v>
      </c>
      <c r="E228" s="66">
        <f>(E122+E1570)*'Data - P&amp;L'!$C$5</f>
        <v>0</v>
      </c>
      <c r="F228" s="66">
        <f>(F122+F1570)*'Data - P&amp;L'!$C$5</f>
        <v>0</v>
      </c>
      <c r="G228" s="66">
        <f>(G122+G1570)*'Data - P&amp;L'!$C$5</f>
        <v>0</v>
      </c>
      <c r="H228" s="66">
        <f>(H122+H1570)*'Data - P&amp;L'!$C$5</f>
        <v>0</v>
      </c>
      <c r="I228" s="66">
        <f>(I122+I1570)*'Data - P&amp;L'!$C$5</f>
        <v>0</v>
      </c>
      <c r="J228" s="66">
        <f>(J122+J1570)*'Data - P&amp;L'!$C$5</f>
        <v>0</v>
      </c>
      <c r="K228" s="66">
        <f>(K122+K1570)*'Data - P&amp;L'!$C$5</f>
        <v>0</v>
      </c>
      <c r="L228" s="66">
        <f>(L122+L1570)*'Data - P&amp;L'!$C$5</f>
        <v>0</v>
      </c>
      <c r="M228" s="66">
        <f>(M122+M1570)*'Data - P&amp;L'!$C$5</f>
        <v>0</v>
      </c>
      <c r="N228" s="66">
        <f>(N122+N1570)*'Data - P&amp;L'!$C$5</f>
        <v>0</v>
      </c>
      <c r="O228" s="66">
        <f>(O122+O1570)*'Data - P&amp;L'!$C$5</f>
        <v>0</v>
      </c>
      <c r="P228" s="66">
        <f>(P122+P1570)*'Data - P&amp;L'!$C$5</f>
        <v>0</v>
      </c>
      <c r="Q228" s="66">
        <f>(Q122+Q1570)*'Data - P&amp;L'!$C$5</f>
        <v>0</v>
      </c>
      <c r="R228" s="66">
        <f>(R122+R1570)*'Data - P&amp;L'!$C$5</f>
        <v>0</v>
      </c>
      <c r="S228" s="66">
        <f>(S122+S1570)*'Data - P&amp;L'!$C$5</f>
        <v>0</v>
      </c>
      <c r="T228" s="66">
        <f>(T122+T1570)*'Data - P&amp;L'!$C$5</f>
        <v>0</v>
      </c>
      <c r="U228" s="66">
        <f>(U122+U1570)*'Data - P&amp;L'!$C$5</f>
        <v>0</v>
      </c>
      <c r="V228" s="66">
        <f>(V122+V1570)*'Data - P&amp;L'!$C$5</f>
        <v>0</v>
      </c>
      <c r="W228" s="66">
        <f>(W122+W1570)*'Data - P&amp;L'!$C$5</f>
        <v>0</v>
      </c>
      <c r="X228" s="66">
        <f>(X122+X1570)*'Data - P&amp;L'!$C$5</f>
        <v>0</v>
      </c>
      <c r="Y228" s="66">
        <f>(Y122+Y1570)*'Data - P&amp;L'!$C$5</f>
        <v>0</v>
      </c>
      <c r="Z228" s="66">
        <f>(Z122+Z1570)*'Data - P&amp;L'!$C$5</f>
        <v>0</v>
      </c>
      <c r="AA228" s="66">
        <f>(AA122+AA1570)*'Data - P&amp;L'!$C$5</f>
        <v>0</v>
      </c>
      <c r="AB228" s="66">
        <f>(AB122+AB1570)*'Data - P&amp;L'!$C$5</f>
        <v>0</v>
      </c>
      <c r="AC228" s="66">
        <f>(AC122+AC1570)*'Data - P&amp;L'!$C$5</f>
        <v>0</v>
      </c>
      <c r="AD228" s="66">
        <f>(AD122+AD1570)*'Data - P&amp;L'!$C$5</f>
        <v>0</v>
      </c>
      <c r="AE228" s="66">
        <f>(AE122+AE1570)*'Data - P&amp;L'!$C$5</f>
        <v>0</v>
      </c>
      <c r="AF228" s="62">
        <f t="shared" si="66"/>
        <v>0</v>
      </c>
    </row>
    <row r="229">
      <c r="A229" s="117" t="s">
        <v>404</v>
      </c>
      <c r="B229" s="66">
        <f>(B124+B125)*'Data - P&amp;L'!$C$10</f>
        <v>0</v>
      </c>
      <c r="C229" s="66">
        <f>(C124+C125)*'Data - P&amp;L'!$C$10</f>
        <v>0</v>
      </c>
      <c r="D229" s="66">
        <f>(D124+D125)*'Data - P&amp;L'!$C$10</f>
        <v>0</v>
      </c>
      <c r="E229" s="66">
        <f>(E124+E125)*'Data - P&amp;L'!$C$10</f>
        <v>0</v>
      </c>
      <c r="F229" s="66">
        <f>(F124+F125)*'Data - P&amp;L'!$C$10</f>
        <v>0</v>
      </c>
      <c r="G229" s="66">
        <f>(G124+G125)*'Data - P&amp;L'!$C$10</f>
        <v>0</v>
      </c>
      <c r="H229" s="66">
        <f>(H124+H125)*'Data - P&amp;L'!$C$10</f>
        <v>0</v>
      </c>
      <c r="I229" s="66">
        <f>(I124+I125)*'Data - P&amp;L'!$C$10</f>
        <v>0</v>
      </c>
      <c r="J229" s="66">
        <f>(J124+J125)*'Data - P&amp;L'!$C$10</f>
        <v>0</v>
      </c>
      <c r="K229" s="66">
        <f>(K124+K125)*'Data - P&amp;L'!$C$10</f>
        <v>0</v>
      </c>
      <c r="L229" s="66">
        <f>(L124+L125)*'Data - P&amp;L'!$C$10</f>
        <v>0</v>
      </c>
      <c r="M229" s="66">
        <f>(M124+M125)*'Data - P&amp;L'!$C$10</f>
        <v>0</v>
      </c>
      <c r="N229" s="66">
        <f>(N124+N125)*'Data - P&amp;L'!$C$10</f>
        <v>0</v>
      </c>
      <c r="O229" s="66">
        <f>(O124+O125)*'Data - P&amp;L'!$C$10</f>
        <v>0</v>
      </c>
      <c r="P229" s="66">
        <f>(P124+P125)*'Data - P&amp;L'!$C$10</f>
        <v>0</v>
      </c>
      <c r="Q229" s="66">
        <f>(Q124+Q125)*'Data - P&amp;L'!$C$10</f>
        <v>0</v>
      </c>
      <c r="R229" s="66">
        <f>(R124+R125)*'Data - P&amp;L'!$C$10</f>
        <v>0</v>
      </c>
      <c r="S229" s="66">
        <f>(S124+S125)*'Data - P&amp;L'!$C$10</f>
        <v>0</v>
      </c>
      <c r="T229" s="66">
        <f>(T124+T125)*'Data - P&amp;L'!$C$10</f>
        <v>0</v>
      </c>
      <c r="U229" s="66">
        <f>(U124+U125)*'Data - P&amp;L'!$C$10</f>
        <v>0</v>
      </c>
      <c r="V229" s="66">
        <f>(V124+V125)*'Data - P&amp;L'!$C$10</f>
        <v>0</v>
      </c>
      <c r="W229" s="66">
        <f>(W124+W125)*'Data - P&amp;L'!$C$10</f>
        <v>0</v>
      </c>
      <c r="X229" s="66">
        <f>(X124+X125)*'Data - P&amp;L'!$C$10</f>
        <v>0</v>
      </c>
      <c r="Y229" s="66">
        <f>(Y124+Y125)*'Data - P&amp;L'!$C$10</f>
        <v>0</v>
      </c>
      <c r="Z229" s="66">
        <f>(Z124+Z125)*'Data - P&amp;L'!$C$10</f>
        <v>0</v>
      </c>
      <c r="AA229" s="66">
        <f>(AA124+AA125)*'Data - P&amp;L'!$C$10</f>
        <v>0</v>
      </c>
      <c r="AB229" s="66">
        <f>(AB124+AB125)*'Data - P&amp;L'!$C$10</f>
        <v>0</v>
      </c>
      <c r="AC229" s="66">
        <f>(AC124+AC125)*'Data - P&amp;L'!$C$10</f>
        <v>0</v>
      </c>
      <c r="AD229" s="66">
        <f>(AD124+AD125)*'Data - P&amp;L'!$C$10</f>
        <v>0</v>
      </c>
      <c r="AE229" s="66">
        <f>(AE124+AE125)*'Data - P&amp;L'!$C$10</f>
        <v>0</v>
      </c>
      <c r="AF229" s="62">
        <f t="shared" si="66"/>
        <v>0</v>
      </c>
    </row>
    <row r="230">
      <c r="A230" s="117" t="s">
        <v>405</v>
      </c>
      <c r="B230" s="66">
        <f>(B115+B116)*'Data - P&amp;L'!$C$43</f>
        <v>0</v>
      </c>
      <c r="C230" s="66">
        <f>(C115+C116)*'Data - P&amp;L'!$C$43</f>
        <v>23.88</v>
      </c>
      <c r="D230" s="66">
        <f>(D115+D116)*'Data - P&amp;L'!$C$43</f>
        <v>23.88</v>
      </c>
      <c r="E230" s="66">
        <f>(E115+E116)*'Data - P&amp;L'!$C$43</f>
        <v>11.94</v>
      </c>
      <c r="F230" s="66">
        <f>(F115+F116)*'Data - P&amp;L'!$C$43</f>
        <v>11.94</v>
      </c>
      <c r="G230" s="66">
        <f>(G115+G116)*'Data - P&amp;L'!$C$43</f>
        <v>0</v>
      </c>
      <c r="H230" s="66">
        <f>(H115+H116)*'Data - P&amp;L'!$C$43</f>
        <v>11.94</v>
      </c>
      <c r="I230" s="66">
        <f>(I115+I116)*'Data - P&amp;L'!$C$43</f>
        <v>23.88</v>
      </c>
      <c r="J230" s="66">
        <f>(J115+J116)*'Data - P&amp;L'!$C$43</f>
        <v>71.64</v>
      </c>
      <c r="K230" s="66">
        <f>(K115+K116)*'Data - P&amp;L'!$C$43</f>
        <v>23.88</v>
      </c>
      <c r="L230" s="66">
        <f>(L115+L116)*'Data - P&amp;L'!$C$43</f>
        <v>83.58</v>
      </c>
      <c r="M230" s="66">
        <f>(M115+M116)*'Data - P&amp;L'!$C$43</f>
        <v>47.76</v>
      </c>
      <c r="N230" s="66">
        <f>(N115+N116)*'Data - P&amp;L'!$C$43</f>
        <v>59.7</v>
      </c>
      <c r="O230" s="66">
        <f>(O115+O116)*'Data - P&amp;L'!$C$43</f>
        <v>23.88</v>
      </c>
      <c r="P230" s="66">
        <f>(P115+P116)*'Data - P&amp;L'!$C$43</f>
        <v>71.64</v>
      </c>
      <c r="Q230" s="66">
        <f>(Q115+Q116)*'Data - P&amp;L'!$C$43</f>
        <v>71.64</v>
      </c>
      <c r="R230" s="66">
        <f>(R115+R116)*'Data - P&amp;L'!$C$43</f>
        <v>11.94</v>
      </c>
      <c r="S230" s="66">
        <f>(S115+S116)*'Data - P&amp;L'!$C$43</f>
        <v>23.88</v>
      </c>
      <c r="T230" s="66">
        <f>(T115+T116)*'Data - P&amp;L'!$C$43</f>
        <v>23.88</v>
      </c>
      <c r="U230" s="66">
        <f>(U115+U116)*'Data - P&amp;L'!$C$43</f>
        <v>71.64</v>
      </c>
      <c r="V230" s="66">
        <f>(V115+V116)*'Data - P&amp;L'!$C$43</f>
        <v>71.64</v>
      </c>
      <c r="W230" s="66">
        <f>(W115+W116)*'Data - P&amp;L'!$C$43</f>
        <v>131.34</v>
      </c>
      <c r="X230" s="66">
        <f>(X115+X116)*'Data - P&amp;L'!$C$43</f>
        <v>155.22</v>
      </c>
      <c r="Y230" s="66">
        <f>(Y115+Y116)*'Data - P&amp;L'!$C$43</f>
        <v>931.32</v>
      </c>
      <c r="Z230" s="66">
        <f>(Z115+Z116)*'Data - P&amp;L'!$C$43</f>
        <v>620.88</v>
      </c>
      <c r="AA230" s="66">
        <f>(AA115+AA116)*'Data - P&amp;L'!$C$43</f>
        <v>250.74</v>
      </c>
      <c r="AB230" s="66">
        <f>(AB115+AB116)*'Data - P&amp;L'!$C$43</f>
        <v>119.4</v>
      </c>
      <c r="AC230" s="66">
        <f>(AC115+AC116)*'Data - P&amp;L'!$C$43</f>
        <v>0</v>
      </c>
      <c r="AD230" s="66">
        <f>(AD115+AD116)*'Data - P&amp;L'!$C$43</f>
        <v>0</v>
      </c>
      <c r="AE230" s="66">
        <f>(AE115+AE116)*'Data - P&amp;L'!$C$43</f>
        <v>0</v>
      </c>
      <c r="AF230" s="62">
        <f t="shared" si="66"/>
        <v>2973.06</v>
      </c>
    </row>
    <row r="231">
      <c r="A231" s="117" t="s">
        <v>467</v>
      </c>
      <c r="B231" s="66">
        <f>B126*'Data - P&amp;L'!$C$43</f>
        <v>0</v>
      </c>
      <c r="C231" s="66">
        <f>C126*'Data - P&amp;L'!$C$43</f>
        <v>0</v>
      </c>
      <c r="D231" s="66">
        <f>D126*'Data - P&amp;L'!$C$43</f>
        <v>0</v>
      </c>
      <c r="E231" s="66">
        <f>E126*'Data - P&amp;L'!$C$43</f>
        <v>0</v>
      </c>
      <c r="F231" s="66">
        <f>F126*'Data - P&amp;L'!$C$43</f>
        <v>11.94</v>
      </c>
      <c r="G231" s="66">
        <f>G126*'Data - P&amp;L'!$C$43</f>
        <v>0</v>
      </c>
      <c r="H231" s="66">
        <f>H126*'Data - P&amp;L'!$C$43</f>
        <v>0</v>
      </c>
      <c r="I231" s="66">
        <f>I126*'Data - P&amp;L'!$C$43</f>
        <v>11.94</v>
      </c>
      <c r="J231" s="66">
        <f>J126*'Data - P&amp;L'!$C$43</f>
        <v>23.88</v>
      </c>
      <c r="K231" s="66">
        <f>K126*'Data - P&amp;L'!$C$43</f>
        <v>0</v>
      </c>
      <c r="L231" s="66">
        <f>L126*'Data - P&amp;L'!$C$43</f>
        <v>0</v>
      </c>
      <c r="M231" s="66">
        <f>M126*'Data - P&amp;L'!$C$43</f>
        <v>0</v>
      </c>
      <c r="N231" s="66">
        <f>N126*'Data - P&amp;L'!$C$43</f>
        <v>11.94</v>
      </c>
      <c r="O231" s="66">
        <f>O126*'Data - P&amp;L'!$C$43</f>
        <v>0</v>
      </c>
      <c r="P231" s="66">
        <f>P126*'Data - P&amp;L'!$C$43</f>
        <v>0</v>
      </c>
      <c r="Q231" s="66">
        <f>Q126*'Data - P&amp;L'!$C$43</f>
        <v>11.94</v>
      </c>
      <c r="R231" s="66">
        <f>R126*'Data - P&amp;L'!$C$43</f>
        <v>11.94</v>
      </c>
      <c r="S231" s="66">
        <f>S126*'Data - P&amp;L'!$C$43</f>
        <v>0</v>
      </c>
      <c r="T231" s="66">
        <f>T126*'Data - P&amp;L'!$C$43</f>
        <v>0</v>
      </c>
      <c r="U231" s="66">
        <f>U126*'Data - P&amp;L'!$C$43</f>
        <v>23.88</v>
      </c>
      <c r="V231" s="66">
        <f>V126*'Data - P&amp;L'!$C$43</f>
        <v>0</v>
      </c>
      <c r="W231" s="66">
        <f>W126*'Data - P&amp;L'!$C$43</f>
        <v>0</v>
      </c>
      <c r="X231" s="66">
        <f>X126*'Data - P&amp;L'!$C$43</f>
        <v>0</v>
      </c>
      <c r="Y231" s="66">
        <f>Y126*'Data - P&amp;L'!$C$43</f>
        <v>11.94</v>
      </c>
      <c r="Z231" s="66">
        <f>Z126*'Data - P&amp;L'!$C$43</f>
        <v>35.82</v>
      </c>
      <c r="AA231" s="66">
        <f>AA126*'Data - P&amp;L'!$C$43</f>
        <v>0</v>
      </c>
      <c r="AB231" s="66">
        <f>AB126*'Data - P&amp;L'!$C$43</f>
        <v>0</v>
      </c>
      <c r="AC231" s="66">
        <f>AC126*'Data - P&amp;L'!$C$43</f>
        <v>0</v>
      </c>
      <c r="AD231" s="66">
        <f>AD126*'Data - P&amp;L'!$C$43</f>
        <v>0</v>
      </c>
      <c r="AE231" s="66">
        <f>AE126*'Data - P&amp;L'!$C$43</f>
        <v>0</v>
      </c>
      <c r="AF231" s="62">
        <f t="shared" si="66"/>
        <v>155.22</v>
      </c>
    </row>
    <row r="232">
      <c r="A232" s="117" t="s">
        <v>471</v>
      </c>
      <c r="B232" s="66">
        <f t="shared" ref="B232:AE232" si="67">B148</f>
        <v>0</v>
      </c>
      <c r="C232" s="66">
        <f t="shared" si="67"/>
        <v>598</v>
      </c>
      <c r="D232" s="66">
        <f t="shared" si="67"/>
        <v>598</v>
      </c>
      <c r="E232" s="66">
        <f t="shared" si="67"/>
        <v>299</v>
      </c>
      <c r="F232" s="66">
        <f t="shared" si="67"/>
        <v>328</v>
      </c>
      <c r="G232" s="66">
        <f t="shared" si="67"/>
        <v>0</v>
      </c>
      <c r="H232" s="66">
        <f t="shared" si="67"/>
        <v>239</v>
      </c>
      <c r="I232" s="66">
        <f t="shared" si="67"/>
        <v>562</v>
      </c>
      <c r="J232" s="66">
        <f t="shared" si="67"/>
        <v>1662</v>
      </c>
      <c r="K232" s="66">
        <f t="shared" si="67"/>
        <v>538</v>
      </c>
      <c r="L232" s="66">
        <f t="shared" si="67"/>
        <v>2033</v>
      </c>
      <c r="M232" s="66">
        <f t="shared" si="67"/>
        <v>1136</v>
      </c>
      <c r="N232" s="66">
        <f t="shared" si="67"/>
        <v>1399</v>
      </c>
      <c r="O232" s="66">
        <f t="shared" si="67"/>
        <v>598</v>
      </c>
      <c r="P232" s="66">
        <f t="shared" si="67"/>
        <v>1377.96</v>
      </c>
      <c r="Q232" s="66">
        <f t="shared" si="67"/>
        <v>1283.94</v>
      </c>
      <c r="R232" s="66">
        <f t="shared" si="67"/>
        <v>233.99</v>
      </c>
      <c r="S232" s="66">
        <f t="shared" si="67"/>
        <v>419.98</v>
      </c>
      <c r="T232" s="66">
        <f t="shared" si="67"/>
        <v>448.99</v>
      </c>
      <c r="U232" s="66">
        <f t="shared" si="67"/>
        <v>1392</v>
      </c>
      <c r="V232" s="66">
        <f t="shared" si="67"/>
        <v>1254</v>
      </c>
      <c r="W232" s="66">
        <f t="shared" si="67"/>
        <v>2299</v>
      </c>
      <c r="X232" s="66">
        <f t="shared" si="67"/>
        <v>2717</v>
      </c>
      <c r="Y232" s="66">
        <f t="shared" si="67"/>
        <v>16326</v>
      </c>
      <c r="Z232" s="66">
        <f t="shared" si="67"/>
        <v>10940</v>
      </c>
      <c r="AA232" s="66">
        <f t="shared" si="67"/>
        <v>4389</v>
      </c>
      <c r="AB232" s="66">
        <f t="shared" si="67"/>
        <v>2090</v>
      </c>
      <c r="AC232" s="66">
        <f t="shared" si="67"/>
        <v>0</v>
      </c>
      <c r="AD232" s="66">
        <f t="shared" si="67"/>
        <v>0</v>
      </c>
      <c r="AE232" s="66">
        <f t="shared" si="67"/>
        <v>0</v>
      </c>
      <c r="AF232" s="62">
        <f t="shared" si="66"/>
        <v>55161.86</v>
      </c>
    </row>
    <row r="233">
      <c r="A233" s="330" t="s">
        <v>472</v>
      </c>
      <c r="B233" s="331">
        <f t="shared" ref="B233:AE233" si="68">SUM(B234:B242)-B243-B244</f>
        <v>-427.648872</v>
      </c>
      <c r="C233" s="331">
        <f t="shared" si="68"/>
        <v>-606.624436</v>
      </c>
      <c r="D233" s="331">
        <f t="shared" si="68"/>
        <v>-733.046372</v>
      </c>
      <c r="E233" s="331">
        <f t="shared" si="68"/>
        <v>-388.474436</v>
      </c>
      <c r="F233" s="331">
        <f t="shared" si="68"/>
        <v>-293.973308</v>
      </c>
      <c r="G233" s="331">
        <f t="shared" si="68"/>
        <v>49.931128</v>
      </c>
      <c r="H233" s="331">
        <f t="shared" si="68"/>
        <v>-564.835244</v>
      </c>
      <c r="I233" s="331">
        <f t="shared" si="68"/>
        <v>-397.857744</v>
      </c>
      <c r="J233" s="331">
        <f t="shared" si="68"/>
        <v>-1752.167744</v>
      </c>
      <c r="K233" s="331">
        <f t="shared" si="68"/>
        <v>-365.424128</v>
      </c>
      <c r="L233" s="331">
        <f t="shared" si="68"/>
        <v>-386.023308</v>
      </c>
      <c r="M233" s="331">
        <f t="shared" si="68"/>
        <v>-218.43</v>
      </c>
      <c r="N233" s="331">
        <f t="shared" si="68"/>
        <v>-991.788872</v>
      </c>
      <c r="O233" s="331">
        <f t="shared" si="68"/>
        <v>-977.188872</v>
      </c>
      <c r="P233" s="331">
        <f t="shared" si="68"/>
        <v>-778.273308</v>
      </c>
      <c r="Q233" s="331">
        <f t="shared" si="68"/>
        <v>-199.186372</v>
      </c>
      <c r="R233" s="331">
        <f t="shared" si="68"/>
        <v>-535.27968</v>
      </c>
      <c r="S233" s="331">
        <f t="shared" si="68"/>
        <v>-1166.905244</v>
      </c>
      <c r="T233" s="331">
        <f t="shared" si="68"/>
        <v>-392.533308</v>
      </c>
      <c r="U233" s="331">
        <f t="shared" si="68"/>
        <v>-606.566064</v>
      </c>
      <c r="V233" s="331">
        <f t="shared" si="68"/>
        <v>-356.287744</v>
      </c>
      <c r="W233" s="331">
        <f t="shared" si="68"/>
        <v>-825.329692</v>
      </c>
      <c r="X233" s="331">
        <f t="shared" si="68"/>
        <v>-904.717744</v>
      </c>
      <c r="Y233" s="331">
        <f t="shared" si="68"/>
        <v>-1141.88</v>
      </c>
      <c r="Z233" s="331">
        <f t="shared" si="68"/>
        <v>-1009.787744</v>
      </c>
      <c r="AA233" s="331">
        <f t="shared" si="68"/>
        <v>-922.383308</v>
      </c>
      <c r="AB233" s="331">
        <f t="shared" si="68"/>
        <v>-1475.869692</v>
      </c>
      <c r="AC233" s="331">
        <f t="shared" si="68"/>
        <v>-1964.307744</v>
      </c>
      <c r="AD233" s="331">
        <f t="shared" si="68"/>
        <v>-2198.440808</v>
      </c>
      <c r="AE233" s="331">
        <f t="shared" si="68"/>
        <v>-1414.442744</v>
      </c>
      <c r="AF233" s="62">
        <f t="shared" si="66"/>
        <v>-23945.7434</v>
      </c>
    </row>
    <row r="234">
      <c r="A234" s="117" t="s">
        <v>475</v>
      </c>
      <c r="B234" s="66">
        <f>((B129+B130)*'Data - P&amp;L'!$C$3)*'Data - P&amp;L'!$C$54</f>
        <v>0</v>
      </c>
      <c r="C234" s="66">
        <f>((C129+C130)*'Data - P&amp;L'!$C$3)*'Data - P&amp;L'!$C$54</f>
        <v>0</v>
      </c>
      <c r="D234" s="66">
        <f>((D129+D130)*'Data - P&amp;L'!$C$3)*'Data - P&amp;L'!$C$54</f>
        <v>21.725</v>
      </c>
      <c r="E234" s="66">
        <f>((E129+E130)*'Data - P&amp;L'!$C$3)*'Data - P&amp;L'!$C$54</f>
        <v>0</v>
      </c>
      <c r="F234" s="66">
        <f>((F129+F130)*'Data - P&amp;L'!$C$3)*'Data - P&amp;L'!$C$54</f>
        <v>0</v>
      </c>
      <c r="G234" s="66">
        <f>((G129+G130)*'Data - P&amp;L'!$C$3)*'Data - P&amp;L'!$C$54</f>
        <v>0</v>
      </c>
      <c r="H234" s="66">
        <f>((H129+H130)*'Data - P&amp;L'!$C$3)*'Data - P&amp;L'!$C$54</f>
        <v>21.725</v>
      </c>
      <c r="I234" s="66">
        <f>((I129+I130)*'Data - P&amp;L'!$C$3)*'Data - P&amp;L'!$C$54</f>
        <v>0</v>
      </c>
      <c r="J234" s="66">
        <f>((J129+J130)*'Data - P&amp;L'!$C$3)*'Data - P&amp;L'!$C$54</f>
        <v>0</v>
      </c>
      <c r="K234" s="66">
        <f>((K129+K130)*'Data - P&amp;L'!$C$3)*'Data - P&amp;L'!$C$54</f>
        <v>0</v>
      </c>
      <c r="L234" s="66">
        <f>((L129+L130)*'Data - P&amp;L'!$C$3)*'Data - P&amp;L'!$C$54</f>
        <v>0</v>
      </c>
      <c r="M234" s="66">
        <f>((M129+M130)*'Data - P&amp;L'!$C$3)*'Data - P&amp;L'!$C$54</f>
        <v>0</v>
      </c>
      <c r="N234" s="66">
        <f>((N129+N130)*'Data - P&amp;L'!$C$3)*'Data - P&amp;L'!$C$54</f>
        <v>0</v>
      </c>
      <c r="O234" s="66">
        <f>((O129+O130)*'Data - P&amp;L'!$C$3)*'Data - P&amp;L'!$C$54</f>
        <v>0</v>
      </c>
      <c r="P234" s="66">
        <f>((P129+P130)*'Data - P&amp;L'!$C$3)*'Data - P&amp;L'!$C$54</f>
        <v>0</v>
      </c>
      <c r="Q234" s="66">
        <f>((Q129+Q130)*'Data - P&amp;L'!$C$3)*'Data - P&amp;L'!$C$54</f>
        <v>21.725</v>
      </c>
      <c r="R234" s="66">
        <f>((R129+R130)*'Data - P&amp;L'!$C$3)*'Data - P&amp;L'!$C$54</f>
        <v>21.725</v>
      </c>
      <c r="S234" s="66">
        <f>((S129+S130)*'Data - P&amp;L'!$C$3)*'Data - P&amp;L'!$C$54</f>
        <v>21.725</v>
      </c>
      <c r="T234" s="66">
        <f>((T129+T130)*'Data - P&amp;L'!$C$3)*'Data - P&amp;L'!$C$54</f>
        <v>0</v>
      </c>
      <c r="U234" s="66">
        <f>((U129+U130)*'Data - P&amp;L'!$C$3)*'Data - P&amp;L'!$C$54</f>
        <v>21.725</v>
      </c>
      <c r="V234" s="66">
        <f>((V129+V130)*'Data - P&amp;L'!$C$3)*'Data - P&amp;L'!$C$54</f>
        <v>0</v>
      </c>
      <c r="W234" s="66">
        <f>((W129+W130)*'Data - P&amp;L'!$C$3)*'Data - P&amp;L'!$C$54</f>
        <v>0</v>
      </c>
      <c r="X234" s="66">
        <f>((X129+X130)*'Data - P&amp;L'!$C$3)*'Data - P&amp;L'!$C$54</f>
        <v>0</v>
      </c>
      <c r="Y234" s="66">
        <f>((Y129+Y130)*'Data - P&amp;L'!$C$3)*'Data - P&amp;L'!$C$54</f>
        <v>0</v>
      </c>
      <c r="Z234" s="66">
        <f>((Z129+Z130)*'Data - P&amp;L'!$C$3)*'Data - P&amp;L'!$C$54</f>
        <v>0</v>
      </c>
      <c r="AA234" s="66">
        <f>((AA129+AA130)*'Data - P&amp;L'!$C$3)*'Data - P&amp;L'!$C$54</f>
        <v>0</v>
      </c>
      <c r="AB234" s="66">
        <f>((AB129+AB130)*'Data - P&amp;L'!$C$3)*'Data - P&amp;L'!$C$54</f>
        <v>0</v>
      </c>
      <c r="AC234" s="66">
        <f>((AC129+AC130)*'Data - P&amp;L'!$C$3)*'Data - P&amp;L'!$C$54</f>
        <v>0</v>
      </c>
      <c r="AD234" s="66">
        <f>((AD129+AD130)*'Data - P&amp;L'!$C$3)*'Data - P&amp;L'!$C$54</f>
        <v>21.725</v>
      </c>
      <c r="AE234" s="66">
        <f>((AE129+AE130)*'Data - P&amp;L'!$C$3)*'Data - P&amp;L'!$C$54</f>
        <v>43.45</v>
      </c>
      <c r="AF234" s="62">
        <f t="shared" si="66"/>
        <v>195.525</v>
      </c>
    </row>
    <row r="235">
      <c r="A235" s="117" t="s">
        <v>480</v>
      </c>
      <c r="B235" s="66">
        <f>(B131+B132)*'Data - P&amp;L'!$C$4*'Data - P&amp;L'!$C$54</f>
        <v>48.805</v>
      </c>
      <c r="C235" s="66">
        <f>(C131+C132)*'Data - P&amp;L'!$C$4*'Data - P&amp;L'!$C$54</f>
        <v>24.4025</v>
      </c>
      <c r="D235" s="66">
        <f>(D131+D132)*'Data - P&amp;L'!$C$4*'Data - P&amp;L'!$C$54</f>
        <v>24.4025</v>
      </c>
      <c r="E235" s="66">
        <f>(E131+E132)*'Data - P&amp;L'!$C$4*'Data - P&amp;L'!$C$54</f>
        <v>24.4025</v>
      </c>
      <c r="F235" s="66">
        <f>(F131+F132)*'Data - P&amp;L'!$C$4*'Data - P&amp;L'!$C$54</f>
        <v>73.2075</v>
      </c>
      <c r="G235" s="66">
        <f>(G131+G132)*'Data - P&amp;L'!$C$4*'Data - P&amp;L'!$C$54</f>
        <v>48.805</v>
      </c>
      <c r="H235" s="66">
        <f>(H131+H132)*'Data - P&amp;L'!$C$4*'Data - P&amp;L'!$C$54</f>
        <v>73.2075</v>
      </c>
      <c r="I235" s="66">
        <f>(I131+I132)*'Data - P&amp;L'!$C$4*'Data - P&amp;L'!$C$54</f>
        <v>97.61</v>
      </c>
      <c r="J235" s="66">
        <f>(J131+J132)*'Data - P&amp;L'!$C$4*'Data - P&amp;L'!$C$54</f>
        <v>97.61</v>
      </c>
      <c r="K235" s="66">
        <f>(K131+K132)*'Data - P&amp;L'!$C$4*'Data - P&amp;L'!$C$54</f>
        <v>73.2075</v>
      </c>
      <c r="L235" s="66">
        <f>(L131+L132)*'Data - P&amp;L'!$C$4*'Data - P&amp;L'!$C$54</f>
        <v>73.2075</v>
      </c>
      <c r="M235" s="66">
        <f>(M131+M132)*'Data - P&amp;L'!$C$4*'Data - P&amp;L'!$C$54</f>
        <v>0</v>
      </c>
      <c r="N235" s="66">
        <f>(N131+N132)*'Data - P&amp;L'!$C$4*'Data - P&amp;L'!$C$54</f>
        <v>48.805</v>
      </c>
      <c r="O235" s="66">
        <f>(O131+O132)*'Data - P&amp;L'!$C$4*'Data - P&amp;L'!$C$54</f>
        <v>48.805</v>
      </c>
      <c r="P235" s="66">
        <f>(P131+P132)*'Data - P&amp;L'!$C$4*'Data - P&amp;L'!$C$54</f>
        <v>73.2075</v>
      </c>
      <c r="Q235" s="66">
        <f>(Q131+Q132)*'Data - P&amp;L'!$C$4*'Data - P&amp;L'!$C$54</f>
        <v>24.4025</v>
      </c>
      <c r="R235" s="66">
        <f>(R131+R132)*'Data - P&amp;L'!$C$4*'Data - P&amp;L'!$C$54</f>
        <v>97.61</v>
      </c>
      <c r="S235" s="66">
        <f>(S131+S132)*'Data - P&amp;L'!$C$4*'Data - P&amp;L'!$C$54</f>
        <v>73.2075</v>
      </c>
      <c r="T235" s="66">
        <f>(T131+T132)*'Data - P&amp;L'!$C$4*'Data - P&amp;L'!$C$54</f>
        <v>73.2075</v>
      </c>
      <c r="U235" s="66">
        <f>(U131+U132)*'Data - P&amp;L'!$C$4*'Data - P&amp;L'!$C$54</f>
        <v>73.2075</v>
      </c>
      <c r="V235" s="66">
        <f>(V131+V132)*'Data - P&amp;L'!$C$4*'Data - P&amp;L'!$C$54</f>
        <v>97.61</v>
      </c>
      <c r="W235" s="66">
        <f>(W131+W132)*'Data - P&amp;L'!$C$4*'Data - P&amp;L'!$C$54</f>
        <v>48.805</v>
      </c>
      <c r="X235" s="66">
        <f>(X131+X132)*'Data - P&amp;L'!$C$4*'Data - P&amp;L'!$C$54</f>
        <v>97.61</v>
      </c>
      <c r="Y235" s="66">
        <f>(Y131+Y132)*'Data - P&amp;L'!$C$4*'Data - P&amp;L'!$C$54</f>
        <v>0</v>
      </c>
      <c r="Z235" s="66">
        <f>(Z131+Z132)*'Data - P&amp;L'!$C$4*'Data - P&amp;L'!$C$54</f>
        <v>97.61</v>
      </c>
      <c r="AA235" s="66">
        <f>(AA131+AA132)*'Data - P&amp;L'!$C$4*'Data - P&amp;L'!$C$54</f>
        <v>73.2075</v>
      </c>
      <c r="AB235" s="66">
        <f>(AB131+AB132)*'Data - P&amp;L'!$C$4*'Data - P&amp;L'!$C$54</f>
        <v>48.805</v>
      </c>
      <c r="AC235" s="66">
        <f>(AC131+AC132)*'Data - P&amp;L'!$C$4*'Data - P&amp;L'!$C$54</f>
        <v>97.61</v>
      </c>
      <c r="AD235" s="66">
        <f>(AD131+AD132)*'Data - P&amp;L'!$C$4*'Data - P&amp;L'!$C$54</f>
        <v>48.805</v>
      </c>
      <c r="AE235" s="66">
        <f>(AE131+AE132)*'Data - P&amp;L'!$C$4*'Data - P&amp;L'!$C$54</f>
        <v>48.805</v>
      </c>
      <c r="AF235" s="62">
        <f t="shared" si="66"/>
        <v>1830.1875</v>
      </c>
    </row>
    <row r="236">
      <c r="A236" s="117" t="s">
        <v>485</v>
      </c>
      <c r="B236" s="66">
        <f>B136*'Data - P&amp;L'!$C$6*'Data - P&amp;L'!$C$54</f>
        <v>0</v>
      </c>
      <c r="C236" s="66">
        <f>C136*'Data - P&amp;L'!$C$6*'Data - P&amp;L'!$C$54</f>
        <v>0</v>
      </c>
      <c r="D236" s="66">
        <f>D136*'Data - P&amp;L'!$C$6*'Data - P&amp;L'!$C$54</f>
        <v>0</v>
      </c>
      <c r="E236" s="66">
        <f>E136*'Data - P&amp;L'!$C$6*'Data - P&amp;L'!$C$54</f>
        <v>0</v>
      </c>
      <c r="F236" s="66">
        <f>F136*'Data - P&amp;L'!$C$6*'Data - P&amp;L'!$C$54</f>
        <v>0</v>
      </c>
      <c r="G236" s="66">
        <f>G136*'Data - P&amp;L'!$C$6*'Data - P&amp;L'!$C$54</f>
        <v>0</v>
      </c>
      <c r="H236" s="66">
        <f>H136*'Data - P&amp;L'!$C$6*'Data - P&amp;L'!$C$54</f>
        <v>0</v>
      </c>
      <c r="I236" s="66">
        <f>I136*'Data - P&amp;L'!$C$6*'Data - P&amp;L'!$C$54</f>
        <v>0</v>
      </c>
      <c r="J236" s="66">
        <f>J136*'Data - P&amp;L'!$C$6*'Data - P&amp;L'!$C$54</f>
        <v>0</v>
      </c>
      <c r="K236" s="66">
        <f>K136*'Data - P&amp;L'!$C$6*'Data - P&amp;L'!$C$54</f>
        <v>1.3725</v>
      </c>
      <c r="L236" s="66">
        <f>L136*'Data - P&amp;L'!$C$6*'Data - P&amp;L'!$C$54</f>
        <v>0</v>
      </c>
      <c r="M236" s="66">
        <f>M136*'Data - P&amp;L'!$C$6*'Data - P&amp;L'!$C$54</f>
        <v>0</v>
      </c>
      <c r="N236" s="66">
        <f>N136*'Data - P&amp;L'!$C$6*'Data - P&amp;L'!$C$54</f>
        <v>0</v>
      </c>
      <c r="O236" s="66">
        <f>O136*'Data - P&amp;L'!$C$6*'Data - P&amp;L'!$C$54</f>
        <v>0</v>
      </c>
      <c r="P236" s="66">
        <f>P136*'Data - P&amp;L'!$C$6*'Data - P&amp;L'!$C$54</f>
        <v>0</v>
      </c>
      <c r="Q236" s="66">
        <f>Q136*'Data - P&amp;L'!$C$6*'Data - P&amp;L'!$C$54</f>
        <v>0</v>
      </c>
      <c r="R236" s="66">
        <f>R136*'Data - P&amp;L'!$C$6*'Data - P&amp;L'!$C$54</f>
        <v>0</v>
      </c>
      <c r="S236" s="66">
        <f>S136*'Data - P&amp;L'!$C$6*'Data - P&amp;L'!$C$54</f>
        <v>0</v>
      </c>
      <c r="T236" s="66">
        <f>T136*'Data - P&amp;L'!$C$6*'Data - P&amp;L'!$C$54</f>
        <v>0</v>
      </c>
      <c r="U236" s="66">
        <f>U136*'Data - P&amp;L'!$C$6*'Data - P&amp;L'!$C$54</f>
        <v>1.3725</v>
      </c>
      <c r="V236" s="66">
        <f>V136*'Data - P&amp;L'!$C$6*'Data - P&amp;L'!$C$54</f>
        <v>0</v>
      </c>
      <c r="W236" s="66">
        <f>W136*'Data - P&amp;L'!$C$6*'Data - P&amp;L'!$C$54</f>
        <v>1.3725</v>
      </c>
      <c r="X236" s="66">
        <f>X136*'Data - P&amp;L'!$C$6*'Data - P&amp;L'!$C$54</f>
        <v>0</v>
      </c>
      <c r="Y236" s="66">
        <f>Y136*'Data - P&amp;L'!$C$6*'Data - P&amp;L'!$C$54</f>
        <v>0</v>
      </c>
      <c r="Z236" s="66">
        <f>Z136*'Data - P&amp;L'!$C$6*'Data - P&amp;L'!$C$54</f>
        <v>0</v>
      </c>
      <c r="AA236" s="66">
        <f>AA136*'Data - P&amp;L'!$C$6*'Data - P&amp;L'!$C$54</f>
        <v>0</v>
      </c>
      <c r="AB236" s="66">
        <f>AB136*'Data - P&amp;L'!$C$6*'Data - P&amp;L'!$C$54</f>
        <v>1.3725</v>
      </c>
      <c r="AC236" s="66">
        <f>AC136*'Data - P&amp;L'!$C$6*'Data - P&amp;L'!$C$54</f>
        <v>0</v>
      </c>
      <c r="AD236" s="66">
        <f>AD136*'Data - P&amp;L'!$C$6*'Data - P&amp;L'!$C$54</f>
        <v>0</v>
      </c>
      <c r="AE236" s="66">
        <f>AE136*'Data - P&amp;L'!$C$6*'Data - P&amp;L'!$C$54</f>
        <v>0</v>
      </c>
      <c r="AF236" s="62">
        <f t="shared" si="66"/>
        <v>5.49</v>
      </c>
    </row>
    <row r="237">
      <c r="A237" s="117" t="s">
        <v>489</v>
      </c>
      <c r="B237" s="66">
        <f>B137*'Data - P&amp;L'!$C$8*'Data - P&amp;L'!$C$54</f>
        <v>0</v>
      </c>
      <c r="C237" s="66">
        <f>C137*'Data - P&amp;L'!$C$8*'Data - P&amp;L'!$C$54</f>
        <v>0</v>
      </c>
      <c r="D237" s="66">
        <f>D137*'Data - P&amp;L'!$C$8*'Data - P&amp;L'!$C$54</f>
        <v>0</v>
      </c>
      <c r="E237" s="66">
        <f>E137*'Data - P&amp;L'!$C$8*'Data - P&amp;L'!$C$54</f>
        <v>0</v>
      </c>
      <c r="F237" s="66">
        <f>F137*'Data - P&amp;L'!$C$8*'Data - P&amp;L'!$C$54</f>
        <v>0</v>
      </c>
      <c r="G237" s="66">
        <f>G137*'Data - P&amp;L'!$C$8*'Data - P&amp;L'!$C$54</f>
        <v>0</v>
      </c>
      <c r="H237" s="66">
        <f>H137*'Data - P&amp;L'!$C$8*'Data - P&amp;L'!$C$54</f>
        <v>0</v>
      </c>
      <c r="I237" s="66">
        <f>I137*'Data - P&amp;L'!$C$8*'Data - P&amp;L'!$C$54</f>
        <v>0</v>
      </c>
      <c r="J237" s="66">
        <f>J137*'Data - P&amp;L'!$C$8*'Data - P&amp;L'!$C$54</f>
        <v>0</v>
      </c>
      <c r="K237" s="66">
        <f>K137*'Data - P&amp;L'!$C$8*'Data - P&amp;L'!$C$54</f>
        <v>0</v>
      </c>
      <c r="L237" s="66">
        <f>L137*'Data - P&amp;L'!$C$8*'Data - P&amp;L'!$C$54</f>
        <v>0</v>
      </c>
      <c r="M237" s="66">
        <f>M137*'Data - P&amp;L'!$C$8*'Data - P&amp;L'!$C$54</f>
        <v>0</v>
      </c>
      <c r="N237" s="66">
        <f>N137*'Data - P&amp;L'!$C$8*'Data - P&amp;L'!$C$54</f>
        <v>0</v>
      </c>
      <c r="O237" s="66">
        <f>O137*'Data - P&amp;L'!$C$8*'Data - P&amp;L'!$C$54</f>
        <v>0</v>
      </c>
      <c r="P237" s="66">
        <f>P137*'Data - P&amp;L'!$C$8*'Data - P&amp;L'!$C$54</f>
        <v>0</v>
      </c>
      <c r="Q237" s="66">
        <f>Q137*'Data - P&amp;L'!$C$8*'Data - P&amp;L'!$C$54</f>
        <v>0</v>
      </c>
      <c r="R237" s="66">
        <f>R137*'Data - P&amp;L'!$C$8*'Data - P&amp;L'!$C$54</f>
        <v>0</v>
      </c>
      <c r="S237" s="66">
        <f>S137*'Data - P&amp;L'!$C$8*'Data - P&amp;L'!$C$54</f>
        <v>0</v>
      </c>
      <c r="T237" s="66">
        <f>T137*'Data - P&amp;L'!$C$8*'Data - P&amp;L'!$C$54</f>
        <v>0</v>
      </c>
      <c r="U237" s="66">
        <f>U137*'Data - P&amp;L'!$C$8*'Data - P&amp;L'!$C$54</f>
        <v>0</v>
      </c>
      <c r="V237" s="66">
        <f>V137*'Data - P&amp;L'!$C$8*'Data - P&amp;L'!$C$54</f>
        <v>0</v>
      </c>
      <c r="W237" s="66">
        <f>W137*'Data - P&amp;L'!$C$8*'Data - P&amp;L'!$C$54</f>
        <v>0</v>
      </c>
      <c r="X237" s="66">
        <f>X137*'Data - P&amp;L'!$C$8*'Data - P&amp;L'!$C$54</f>
        <v>0</v>
      </c>
      <c r="Y237" s="66">
        <f>Y137*'Data - P&amp;L'!$C$8*'Data - P&amp;L'!$C$54</f>
        <v>0</v>
      </c>
      <c r="Z237" s="66">
        <f>Z137*'Data - P&amp;L'!$C$8*'Data - P&amp;L'!$C$54</f>
        <v>0</v>
      </c>
      <c r="AA237" s="66">
        <f>AA137*'Data - P&amp;L'!$C$8*'Data - P&amp;L'!$C$54</f>
        <v>0</v>
      </c>
      <c r="AB237" s="66">
        <f>AB137*'Data - P&amp;L'!$C$8*'Data - P&amp;L'!$C$54</f>
        <v>0</v>
      </c>
      <c r="AC237" s="66">
        <f>AC137*'Data - P&amp;L'!$C$8*'Data - P&amp;L'!$C$54</f>
        <v>0</v>
      </c>
      <c r="AD237" s="66">
        <f>AD137*'Data - P&amp;L'!$C$8*'Data - P&amp;L'!$C$54</f>
        <v>0</v>
      </c>
      <c r="AE237" s="66">
        <f>AE137*'Data - P&amp;L'!$C$8*'Data - P&amp;L'!$C$54</f>
        <v>0</v>
      </c>
      <c r="AF237" s="62">
        <f t="shared" si="66"/>
        <v>0</v>
      </c>
    </row>
    <row r="238">
      <c r="A238" s="117" t="s">
        <v>395</v>
      </c>
      <c r="B238" s="66">
        <f>(B138+B139)*'Data - P&amp;L'!$C$9*'Data - P&amp;L'!$C$54</f>
        <v>0</v>
      </c>
      <c r="C238" s="66">
        <f>(C138+C139)*'Data - P&amp;L'!$C$9*'Data - P&amp;L'!$C$54</f>
        <v>0</v>
      </c>
      <c r="D238" s="66">
        <f>(D138+D139)*'Data - P&amp;L'!$C$9*'Data - P&amp;L'!$C$54</f>
        <v>0</v>
      </c>
      <c r="E238" s="66">
        <f>(E138+E139)*'Data - P&amp;L'!$C$9*'Data - P&amp;L'!$C$54</f>
        <v>0</v>
      </c>
      <c r="F238" s="66">
        <f>(F138+F139)*'Data - P&amp;L'!$C$9*'Data - P&amp;L'!$C$54</f>
        <v>0</v>
      </c>
      <c r="G238" s="66">
        <f>(G138+G139)*'Data - P&amp;L'!$C$9*'Data - P&amp;L'!$C$54</f>
        <v>0</v>
      </c>
      <c r="H238" s="66">
        <f>(H138+H139)*'Data - P&amp;L'!$C$9*'Data - P&amp;L'!$C$54</f>
        <v>0</v>
      </c>
      <c r="I238" s="66">
        <f>(I138+I139)*'Data - P&amp;L'!$C$9*'Data - P&amp;L'!$C$54</f>
        <v>0</v>
      </c>
      <c r="J238" s="66">
        <f>(J138+J139)*'Data - P&amp;L'!$C$9*'Data - P&amp;L'!$C$54</f>
        <v>0</v>
      </c>
      <c r="K238" s="66">
        <f>(K138+K139)*'Data - P&amp;L'!$C$9*'Data - P&amp;L'!$C$54</f>
        <v>0</v>
      </c>
      <c r="L238" s="66">
        <f>(L138+L139)*'Data - P&amp;L'!$C$9*'Data - P&amp;L'!$C$54</f>
        <v>0</v>
      </c>
      <c r="M238" s="66">
        <f>(M138+M139)*'Data - P&amp;L'!$C$9*'Data - P&amp;L'!$C$54</f>
        <v>0</v>
      </c>
      <c r="N238" s="66">
        <f>(N138+N139)*'Data - P&amp;L'!$C$9*'Data - P&amp;L'!$C$54</f>
        <v>0</v>
      </c>
      <c r="O238" s="66">
        <f>(O138+O139)*'Data - P&amp;L'!$C$9*'Data - P&amp;L'!$C$54</f>
        <v>0</v>
      </c>
      <c r="P238" s="66">
        <f>(P138+P139)*'Data - P&amp;L'!$C$9*'Data - P&amp;L'!$C$54</f>
        <v>0</v>
      </c>
      <c r="Q238" s="66">
        <f>(Q138+Q139)*'Data - P&amp;L'!$C$9*'Data - P&amp;L'!$C$54</f>
        <v>0</v>
      </c>
      <c r="R238" s="66">
        <f>(R138+R139)*'Data - P&amp;L'!$C$9*'Data - P&amp;L'!$C$54</f>
        <v>0</v>
      </c>
      <c r="S238" s="66">
        <f>(S138+S139)*'Data - P&amp;L'!$C$9*'Data - P&amp;L'!$C$54</f>
        <v>0</v>
      </c>
      <c r="T238" s="66">
        <f>(T138+T139)*'Data - P&amp;L'!$C$9*'Data - P&amp;L'!$C$54</f>
        <v>0</v>
      </c>
      <c r="U238" s="66">
        <f>(U138+U139)*'Data - P&amp;L'!$C$9*'Data - P&amp;L'!$C$54</f>
        <v>0</v>
      </c>
      <c r="V238" s="66">
        <f>(V138+V139)*'Data - P&amp;L'!$C$9*'Data - P&amp;L'!$C$54</f>
        <v>0</v>
      </c>
      <c r="W238" s="66">
        <f>(W138+W139)*'Data - P&amp;L'!$C$9*'Data - P&amp;L'!$C$54</f>
        <v>0</v>
      </c>
      <c r="X238" s="66">
        <f>(X138+X139)*'Data - P&amp;L'!$C$9*'Data - P&amp;L'!$C$54</f>
        <v>0</v>
      </c>
      <c r="Y238" s="66">
        <f>(Y138+Y139)*'Data - P&amp;L'!$C$9*'Data - P&amp;L'!$C$54</f>
        <v>0</v>
      </c>
      <c r="Z238" s="66">
        <f>(Z138+Z139)*'Data - P&amp;L'!$C$9*'Data - P&amp;L'!$C$54</f>
        <v>0</v>
      </c>
      <c r="AA238" s="66">
        <f>(AA138+AA139)*'Data - P&amp;L'!$C$9*'Data - P&amp;L'!$C$54</f>
        <v>0</v>
      </c>
      <c r="AB238" s="66">
        <f>(AB138+AB139)*'Data - P&amp;L'!$C$9*'Data - P&amp;L'!$C$54</f>
        <v>0</v>
      </c>
      <c r="AC238" s="66">
        <f>(AC138+AC139)*'Data - P&amp;L'!$C$9*'Data - P&amp;L'!$C$54</f>
        <v>0</v>
      </c>
      <c r="AD238" s="66">
        <f>(AD138+AD139)*'Data - P&amp;L'!$C$9*'Data - P&amp;L'!$C$54</f>
        <v>0</v>
      </c>
      <c r="AE238" s="66">
        <f>(AE138+AE139)*'Data - P&amp;L'!$C$9*'Data - P&amp;L'!$C$54</f>
        <v>0</v>
      </c>
      <c r="AF238" s="62">
        <f t="shared" si="66"/>
        <v>0</v>
      </c>
    </row>
    <row r="239">
      <c r="A239" s="117" t="s">
        <v>401</v>
      </c>
      <c r="B239" s="66">
        <f>(B140+B141)*'Data - P&amp;L'!$C$5*'Data - P&amp;L'!$C$54</f>
        <v>0</v>
      </c>
      <c r="C239" s="66">
        <f>(C140+C141)*'Data - P&amp;L'!$C$5*'Data - P&amp;L'!$C$54</f>
        <v>0</v>
      </c>
      <c r="D239" s="66">
        <f>(D140+D141)*'Data - P&amp;L'!$C$5*'Data - P&amp;L'!$C$54</f>
        <v>0</v>
      </c>
      <c r="E239" s="66">
        <f>(E140+E141)*'Data - P&amp;L'!$C$5*'Data - P&amp;L'!$C$54</f>
        <v>0</v>
      </c>
      <c r="F239" s="66">
        <f>(F140+F141)*'Data - P&amp;L'!$C$5*'Data - P&amp;L'!$C$54</f>
        <v>0</v>
      </c>
      <c r="G239" s="66">
        <f>(G140+G141)*'Data - P&amp;L'!$C$5*'Data - P&amp;L'!$C$54</f>
        <v>0</v>
      </c>
      <c r="H239" s="66">
        <f>(H140+H141)*'Data - P&amp;L'!$C$5*'Data - P&amp;L'!$C$54</f>
        <v>0</v>
      </c>
      <c r="I239" s="66">
        <f>(I140+I141)*'Data - P&amp;L'!$C$5*'Data - P&amp;L'!$C$54</f>
        <v>0</v>
      </c>
      <c r="J239" s="66">
        <f>(J140+J141)*'Data - P&amp;L'!$C$5*'Data - P&amp;L'!$C$54</f>
        <v>0</v>
      </c>
      <c r="K239" s="66">
        <f>(K140+K141)*'Data - P&amp;L'!$C$5*'Data - P&amp;L'!$C$54</f>
        <v>0</v>
      </c>
      <c r="L239" s="66">
        <f>(L140+L141)*'Data - P&amp;L'!$C$5*'Data - P&amp;L'!$C$54</f>
        <v>0</v>
      </c>
      <c r="M239" s="66">
        <f>(M140+M141)*'Data - P&amp;L'!$C$5*'Data - P&amp;L'!$C$54</f>
        <v>0</v>
      </c>
      <c r="N239" s="66">
        <f>(N140+N141)*'Data - P&amp;L'!$C$5*'Data - P&amp;L'!$C$54</f>
        <v>0</v>
      </c>
      <c r="O239" s="66">
        <f>(O140+O141)*'Data - P&amp;L'!$C$5*'Data - P&amp;L'!$C$54</f>
        <v>0</v>
      </c>
      <c r="P239" s="66">
        <f>(P140+P141)*'Data - P&amp;L'!$C$5*'Data - P&amp;L'!$C$54</f>
        <v>0</v>
      </c>
      <c r="Q239" s="66">
        <f>(Q140+Q141)*'Data - P&amp;L'!$C$5*'Data - P&amp;L'!$C$54</f>
        <v>0</v>
      </c>
      <c r="R239" s="66">
        <f>(R140+R141)*'Data - P&amp;L'!$C$5*'Data - P&amp;L'!$C$54</f>
        <v>0</v>
      </c>
      <c r="S239" s="66">
        <f>(S140+S141)*'Data - P&amp;L'!$C$5*'Data - P&amp;L'!$C$54</f>
        <v>0</v>
      </c>
      <c r="T239" s="66">
        <f>(T140+T141)*'Data - P&amp;L'!$C$5*'Data - P&amp;L'!$C$54</f>
        <v>0</v>
      </c>
      <c r="U239" s="66">
        <f>(U140+U141)*'Data - P&amp;L'!$C$5*'Data - P&amp;L'!$C$54</f>
        <v>0</v>
      </c>
      <c r="V239" s="66">
        <f>(V140+V141)*'Data - P&amp;L'!$C$5*'Data - P&amp;L'!$C$54</f>
        <v>0</v>
      </c>
      <c r="W239" s="66">
        <f>(W140+W141)*'Data - P&amp;L'!$C$5*'Data - P&amp;L'!$C$54</f>
        <v>0</v>
      </c>
      <c r="X239" s="66">
        <f>(X140+X141)*'Data - P&amp;L'!$C$5*'Data - P&amp;L'!$C$54</f>
        <v>0</v>
      </c>
      <c r="Y239" s="66">
        <f>(Y140+Y141)*'Data - P&amp;L'!$C$5*'Data - P&amp;L'!$C$54</f>
        <v>0</v>
      </c>
      <c r="Z239" s="66">
        <f>(Z140+Z141)*'Data - P&amp;L'!$C$5*'Data - P&amp;L'!$C$54</f>
        <v>0</v>
      </c>
      <c r="AA239" s="66">
        <f>(AA140+AA141)*'Data - P&amp;L'!$C$5*'Data - P&amp;L'!$C$54</f>
        <v>0</v>
      </c>
      <c r="AB239" s="66">
        <f>(AB140+AB141)*'Data - P&amp;L'!$C$5*'Data - P&amp;L'!$C$54</f>
        <v>0</v>
      </c>
      <c r="AC239" s="66">
        <f>(AC140+AC141)*'Data - P&amp;L'!$C$5*'Data - P&amp;L'!$C$54</f>
        <v>0</v>
      </c>
      <c r="AD239" s="66">
        <f>(AD140+AD141)*'Data - P&amp;L'!$C$5*'Data - P&amp;L'!$C$54</f>
        <v>0</v>
      </c>
      <c r="AE239" s="66">
        <f>(AE140+AE141)*'Data - P&amp;L'!$C$5*'Data - P&amp;L'!$C$54</f>
        <v>0</v>
      </c>
      <c r="AF239" s="62">
        <f t="shared" si="66"/>
        <v>0</v>
      </c>
    </row>
    <row r="240">
      <c r="A240" s="117" t="s">
        <v>404</v>
      </c>
      <c r="B240" s="66">
        <f>(B142+B143)*'Data - P&amp;L'!$C$10*'Data - P&amp;L'!$C$54</f>
        <v>0</v>
      </c>
      <c r="C240" s="66">
        <f>(C142+C143)*'Data - P&amp;L'!$C$10*'Data - P&amp;L'!$C$54</f>
        <v>0</v>
      </c>
      <c r="D240" s="66">
        <f>(D142+D143)*'Data - P&amp;L'!$C$10*'Data - P&amp;L'!$C$54</f>
        <v>0</v>
      </c>
      <c r="E240" s="66">
        <f>(E142+E143)*'Data - P&amp;L'!$C$10*'Data - P&amp;L'!$C$54</f>
        <v>0</v>
      </c>
      <c r="F240" s="66">
        <f>(F142+F143)*'Data - P&amp;L'!$C$10*'Data - P&amp;L'!$C$54</f>
        <v>0</v>
      </c>
      <c r="G240" s="66">
        <f>(G142+G143)*'Data - P&amp;L'!$C$10*'Data - P&amp;L'!$C$54</f>
        <v>0</v>
      </c>
      <c r="H240" s="66">
        <f>(H142+H143)*'Data - P&amp;L'!$C$10*'Data - P&amp;L'!$C$54</f>
        <v>0</v>
      </c>
      <c r="I240" s="66">
        <f>(I142+I143)*'Data - P&amp;L'!$C$10*'Data - P&amp;L'!$C$54</f>
        <v>0</v>
      </c>
      <c r="J240" s="66">
        <f>(J142+J143)*'Data - P&amp;L'!$C$10*'Data - P&amp;L'!$C$54</f>
        <v>0</v>
      </c>
      <c r="K240" s="66">
        <f>(K142+K143)*'Data - P&amp;L'!$C$10*'Data - P&amp;L'!$C$54</f>
        <v>0</v>
      </c>
      <c r="L240" s="66">
        <f>(L142+L143)*'Data - P&amp;L'!$C$10*'Data - P&amp;L'!$C$54</f>
        <v>0</v>
      </c>
      <c r="M240" s="66">
        <f>(M142+M143)*'Data - P&amp;L'!$C$10*'Data - P&amp;L'!$C$54</f>
        <v>0</v>
      </c>
      <c r="N240" s="66">
        <f>(N142+N143)*'Data - P&amp;L'!$C$10*'Data - P&amp;L'!$C$54</f>
        <v>0</v>
      </c>
      <c r="O240" s="66">
        <f>(O142+O143)*'Data - P&amp;L'!$C$10*'Data - P&amp;L'!$C$54</f>
        <v>0</v>
      </c>
      <c r="P240" s="66">
        <f>(P142+P143)*'Data - P&amp;L'!$C$10*'Data - P&amp;L'!$C$54</f>
        <v>0</v>
      </c>
      <c r="Q240" s="66">
        <f>(Q142+Q143)*'Data - P&amp;L'!$C$10*'Data - P&amp;L'!$C$54</f>
        <v>0</v>
      </c>
      <c r="R240" s="66">
        <f>(R142+R143)*'Data - P&amp;L'!$C$10*'Data - P&amp;L'!$C$54</f>
        <v>0</v>
      </c>
      <c r="S240" s="66">
        <f>(S142+S143)*'Data - P&amp;L'!$C$10*'Data - P&amp;L'!$C$54</f>
        <v>0</v>
      </c>
      <c r="T240" s="66">
        <f>(T142+T143)*'Data - P&amp;L'!$C$10*'Data - P&amp;L'!$C$54</f>
        <v>0</v>
      </c>
      <c r="U240" s="66">
        <f>(U142+U143)*'Data - P&amp;L'!$C$10*'Data - P&amp;L'!$C$54</f>
        <v>0</v>
      </c>
      <c r="V240" s="66">
        <f>(V142+V143)*'Data - P&amp;L'!$C$10*'Data - P&amp;L'!$C$54</f>
        <v>0</v>
      </c>
      <c r="W240" s="66">
        <f>(W142+W143)*'Data - P&amp;L'!$C$10*'Data - P&amp;L'!$C$54</f>
        <v>0</v>
      </c>
      <c r="X240" s="66">
        <f>(X142+X143)*'Data - P&amp;L'!$C$10*'Data - P&amp;L'!$C$54</f>
        <v>0</v>
      </c>
      <c r="Y240" s="66">
        <f>(Y142+Y143)*'Data - P&amp;L'!$C$10*'Data - P&amp;L'!$C$54</f>
        <v>0</v>
      </c>
      <c r="Z240" s="66">
        <f>(Z142+Z143)*'Data - P&amp;L'!$C$10*'Data - P&amp;L'!$C$54</f>
        <v>0</v>
      </c>
      <c r="AA240" s="66">
        <f>(AA142+AA143)*'Data - P&amp;L'!$C$10*'Data - P&amp;L'!$C$54</f>
        <v>0</v>
      </c>
      <c r="AB240" s="66">
        <f>(AB142+AB143)*'Data - P&amp;L'!$C$10*'Data - P&amp;L'!$C$54</f>
        <v>0</v>
      </c>
      <c r="AC240" s="66">
        <f>(AC142+AC143)*'Data - P&amp;L'!$C$10*'Data - P&amp;L'!$C$54</f>
        <v>0</v>
      </c>
      <c r="AD240" s="66">
        <f>(AD142+AD143)*'Data - P&amp;L'!$C$10*'Data - P&amp;L'!$C$54</f>
        <v>0</v>
      </c>
      <c r="AE240" s="66">
        <f>(AE142+AE143)*'Data - P&amp;L'!$C$10*'Data - P&amp;L'!$C$54</f>
        <v>0</v>
      </c>
      <c r="AF240" s="62">
        <f t="shared" si="66"/>
        <v>0</v>
      </c>
    </row>
    <row r="241">
      <c r="A241" s="117" t="s">
        <v>405</v>
      </c>
      <c r="B241" s="66">
        <f>(B133+B134)*'Data - P&amp;L'!$C$43*'Data - P&amp;L'!$C$54</f>
        <v>5.97</v>
      </c>
      <c r="C241" s="66">
        <f>(C133+C134)*'Data - P&amp;L'!$C$43*'Data - P&amp;L'!$C$54</f>
        <v>2.985</v>
      </c>
      <c r="D241" s="66">
        <f>(D133+D134)*'Data - P&amp;L'!$C$43*'Data - P&amp;L'!$C$54</f>
        <v>5.97</v>
      </c>
      <c r="E241" s="66">
        <f>(E133+E134)*'Data - P&amp;L'!$C$43*'Data - P&amp;L'!$C$54</f>
        <v>2.985</v>
      </c>
      <c r="F241" s="66">
        <f>(F133+F134)*'Data - P&amp;L'!$C$43*'Data - P&amp;L'!$C$54</f>
        <v>8.955</v>
      </c>
      <c r="G241" s="66">
        <f>(G133+G134)*'Data - P&amp;L'!$C$43*'Data - P&amp;L'!$C$54</f>
        <v>5.97</v>
      </c>
      <c r="H241" s="66">
        <f>(H133+H134)*'Data - P&amp;L'!$C$43*'Data - P&amp;L'!$C$54</f>
        <v>11.94</v>
      </c>
      <c r="I241" s="66">
        <f>(I133+I134)*'Data - P&amp;L'!$C$43*'Data - P&amp;L'!$C$54</f>
        <v>11.94</v>
      </c>
      <c r="J241" s="66">
        <f>(J133+J134)*'Data - P&amp;L'!$C$43*'Data - P&amp;L'!$C$54</f>
        <v>11.94</v>
      </c>
      <c r="K241" s="66">
        <f>(K133+K134)*'Data - P&amp;L'!$C$43*'Data - P&amp;L'!$C$54</f>
        <v>8.955</v>
      </c>
      <c r="L241" s="66">
        <f>(L133+L134)*'Data - P&amp;L'!$C$43*'Data - P&amp;L'!$C$54</f>
        <v>8.955</v>
      </c>
      <c r="M241" s="66">
        <f>(M133+M134)*'Data - P&amp;L'!$C$43*'Data - P&amp;L'!$C$54</f>
        <v>0</v>
      </c>
      <c r="N241" s="66">
        <f>(N133+N134)*'Data - P&amp;L'!$C$43*'Data - P&amp;L'!$C$54</f>
        <v>5.97</v>
      </c>
      <c r="O241" s="66">
        <f>(O133+O134)*'Data - P&amp;L'!$C$43*'Data - P&amp;L'!$C$54</f>
        <v>5.97</v>
      </c>
      <c r="P241" s="66">
        <f>(P133+P134)*'Data - P&amp;L'!$C$43*'Data - P&amp;L'!$C$54</f>
        <v>8.955</v>
      </c>
      <c r="Q241" s="66">
        <f>(Q133+Q134)*'Data - P&amp;L'!$C$43*'Data - P&amp;L'!$C$54</f>
        <v>5.97</v>
      </c>
      <c r="R241" s="66">
        <f>(R133+R134)*'Data - P&amp;L'!$C$43*'Data - P&amp;L'!$C$54</f>
        <v>14.925</v>
      </c>
      <c r="S241" s="66">
        <f>(S133+S134)*'Data - P&amp;L'!$C$43*'Data - P&amp;L'!$C$54</f>
        <v>11.94</v>
      </c>
      <c r="T241" s="66">
        <f>(T133+T134)*'Data - P&amp;L'!$C$43*'Data - P&amp;L'!$C$54</f>
        <v>8.955</v>
      </c>
      <c r="U241" s="66">
        <f>(U133+U134)*'Data - P&amp;L'!$C$43*'Data - P&amp;L'!$C$54</f>
        <v>11.94</v>
      </c>
      <c r="V241" s="66">
        <f>(V133+V134)*'Data - P&amp;L'!$C$43*'Data - P&amp;L'!$C$54</f>
        <v>11.94</v>
      </c>
      <c r="W241" s="66">
        <f>(W133+W134)*'Data - P&amp;L'!$C$43*'Data - P&amp;L'!$C$54</f>
        <v>5.97</v>
      </c>
      <c r="X241" s="66">
        <f>(X133+X134)*'Data - P&amp;L'!$C$43*'Data - P&amp;L'!$C$54</f>
        <v>11.94</v>
      </c>
      <c r="Y241" s="66">
        <f>(Y133+Y134)*'Data - P&amp;L'!$C$43*'Data - P&amp;L'!$C$54</f>
        <v>0</v>
      </c>
      <c r="Z241" s="66">
        <f>(Z133+Z134)*'Data - P&amp;L'!$C$43*'Data - P&amp;L'!$C$54</f>
        <v>11.94</v>
      </c>
      <c r="AA241" s="66">
        <f>(AA133+AA134)*'Data - P&amp;L'!$C$43*'Data - P&amp;L'!$C$54</f>
        <v>8.955</v>
      </c>
      <c r="AB241" s="66">
        <f>(AB133+AB134)*'Data - P&amp;L'!$C$43*'Data - P&amp;L'!$C$54</f>
        <v>5.97</v>
      </c>
      <c r="AC241" s="66">
        <f>(AC133+AC134)*'Data - P&amp;L'!$C$43*'Data - P&amp;L'!$C$54</f>
        <v>11.94</v>
      </c>
      <c r="AD241" s="66">
        <f>(AD133+AD134)*'Data - P&amp;L'!$C$43*'Data - P&amp;L'!$C$54</f>
        <v>8.955</v>
      </c>
      <c r="AE241" s="66">
        <f>(AE133+AE134)*'Data - P&amp;L'!$C$43*'Data - P&amp;L'!$C$54</f>
        <v>11.94</v>
      </c>
      <c r="AF241" s="62">
        <f t="shared" si="66"/>
        <v>250.74</v>
      </c>
    </row>
    <row r="242">
      <c r="A242" s="117" t="s">
        <v>467</v>
      </c>
      <c r="B242" s="66">
        <f>(B144)*'Data - P&amp;L'!$C$43*'Data - P&amp;L'!$C$54</f>
        <v>0</v>
      </c>
      <c r="C242" s="66">
        <f>(C144)*'Data - P&amp;L'!$C$43*'Data - P&amp;L'!$C$54</f>
        <v>0</v>
      </c>
      <c r="D242" s="66">
        <f>(D144)*'Data - P&amp;L'!$C$43*'Data - P&amp;L'!$C$54</f>
        <v>0</v>
      </c>
      <c r="E242" s="66">
        <f>(E144)*'Data - P&amp;L'!$C$43*'Data - P&amp;L'!$C$54</f>
        <v>0</v>
      </c>
      <c r="F242" s="66">
        <f>(F144)*'Data - P&amp;L'!$C$43*'Data - P&amp;L'!$C$54</f>
        <v>0</v>
      </c>
      <c r="G242" s="66">
        <f>(G144)*'Data - P&amp;L'!$C$43*'Data - P&amp;L'!$C$54</f>
        <v>0</v>
      </c>
      <c r="H242" s="66">
        <f>(H144)*'Data - P&amp;L'!$C$43*'Data - P&amp;L'!$C$54</f>
        <v>0</v>
      </c>
      <c r="I242" s="66">
        <f>(I144)*'Data - P&amp;L'!$C$43*'Data - P&amp;L'!$C$54</f>
        <v>0</v>
      </c>
      <c r="J242" s="66">
        <f>(J144)*'Data - P&amp;L'!$C$43*'Data - P&amp;L'!$C$54</f>
        <v>0</v>
      </c>
      <c r="K242" s="66">
        <f>(K144)*'Data - P&amp;L'!$C$43*'Data - P&amp;L'!$C$54</f>
        <v>2.985</v>
      </c>
      <c r="L242" s="66">
        <f>(L144)*'Data - P&amp;L'!$C$43*'Data - P&amp;L'!$C$54</f>
        <v>0</v>
      </c>
      <c r="M242" s="66">
        <f>(M144)*'Data - P&amp;L'!$C$43*'Data - P&amp;L'!$C$54</f>
        <v>0</v>
      </c>
      <c r="N242" s="66">
        <f>(N144)*'Data - P&amp;L'!$C$43*'Data - P&amp;L'!$C$54</f>
        <v>0</v>
      </c>
      <c r="O242" s="66">
        <f>(O144)*'Data - P&amp;L'!$C$43*'Data - P&amp;L'!$C$54</f>
        <v>0</v>
      </c>
      <c r="P242" s="66">
        <f>(P144)*'Data - P&amp;L'!$C$43*'Data - P&amp;L'!$C$54</f>
        <v>0</v>
      </c>
      <c r="Q242" s="66">
        <f>(Q144)*'Data - P&amp;L'!$C$43*'Data - P&amp;L'!$C$54</f>
        <v>0</v>
      </c>
      <c r="R242" s="66">
        <f>(R144)*'Data - P&amp;L'!$C$43*'Data - P&amp;L'!$C$54</f>
        <v>0</v>
      </c>
      <c r="S242" s="66">
        <f>(S144)*'Data - P&amp;L'!$C$43*'Data - P&amp;L'!$C$54</f>
        <v>0</v>
      </c>
      <c r="T242" s="66">
        <f>(T144)*'Data - P&amp;L'!$C$43*'Data - P&amp;L'!$C$54</f>
        <v>0</v>
      </c>
      <c r="U242" s="66">
        <f>(U144)*'Data - P&amp;L'!$C$43*'Data - P&amp;L'!$C$54</f>
        <v>2.985</v>
      </c>
      <c r="V242" s="66">
        <f>(V144)*'Data - P&amp;L'!$C$43*'Data - P&amp;L'!$C$54</f>
        <v>0</v>
      </c>
      <c r="W242" s="66">
        <f>(W144)*'Data - P&amp;L'!$C$43*'Data - P&amp;L'!$C$54</f>
        <v>2.985</v>
      </c>
      <c r="X242" s="66">
        <f>(X144)*'Data - P&amp;L'!$C$43*'Data - P&amp;L'!$C$54</f>
        <v>0</v>
      </c>
      <c r="Y242" s="66">
        <f>(Y144)*'Data - P&amp;L'!$C$43*'Data - P&amp;L'!$C$54</f>
        <v>0</v>
      </c>
      <c r="Z242" s="66">
        <f>(Z144)*'Data - P&amp;L'!$C$43*'Data - P&amp;L'!$C$54</f>
        <v>0</v>
      </c>
      <c r="AA242" s="66">
        <f>(AA144)*'Data - P&amp;L'!$C$43*'Data - P&amp;L'!$C$54</f>
        <v>0</v>
      </c>
      <c r="AB242" s="66">
        <f>(AB144)*'Data - P&amp;L'!$C$43*'Data - P&amp;L'!$C$54</f>
        <v>2.985</v>
      </c>
      <c r="AC242" s="66">
        <f>(AC144)*'Data - P&amp;L'!$C$43*'Data - P&amp;L'!$C$54</f>
        <v>0</v>
      </c>
      <c r="AD242" s="66">
        <f>(AD144)*'Data - P&amp;L'!$C$43*'Data - P&amp;L'!$C$54</f>
        <v>0</v>
      </c>
      <c r="AE242" s="66">
        <f>(AE144)*'Data - P&amp;L'!$C$43*'Data - P&amp;L'!$C$54</f>
        <v>0</v>
      </c>
      <c r="AF242" s="62">
        <f t="shared" si="66"/>
        <v>11.94</v>
      </c>
    </row>
    <row r="243">
      <c r="A243" s="117" t="s">
        <v>510</v>
      </c>
      <c r="B243" s="66">
        <f>(((B133+B134)*'Data - P&amp;L'!$C$62)*(1-'Data - P&amp;L'!$C$58))+((B144*'Data - P&amp;L'!$C$63)*(1-'Data - P&amp;L'!$C$58))</f>
        <v>4.843872</v>
      </c>
      <c r="C243" s="66">
        <f>(((C133+C134)*'Data - P&amp;L'!$C$62)*(1-'Data - P&amp;L'!$C$58))+((C144*'Data - P&amp;L'!$C$63)*(1-'Data - P&amp;L'!$C$58))</f>
        <v>2.421936</v>
      </c>
      <c r="D243" s="66">
        <f>(((D133+D134)*'Data - P&amp;L'!$C$62)*(1-'Data - P&amp;L'!$C$58))+((D144*'Data - P&amp;L'!$C$63)*(1-'Data - P&amp;L'!$C$58))</f>
        <v>4.843872</v>
      </c>
      <c r="E243" s="66">
        <f>(((E133+E134)*'Data - P&amp;L'!$C$62)*(1-'Data - P&amp;L'!$C$58))+((E144*'Data - P&amp;L'!$C$63)*(1-'Data - P&amp;L'!$C$58))</f>
        <v>2.421936</v>
      </c>
      <c r="F243" s="66">
        <f>(((F133+F134)*'Data - P&amp;L'!$C$62)*(1-'Data - P&amp;L'!$C$58))+((F144*'Data - P&amp;L'!$C$63)*(1-'Data - P&amp;L'!$C$58))</f>
        <v>7.265808</v>
      </c>
      <c r="G243" s="66">
        <f>(((G133+G134)*'Data - P&amp;L'!$C$62)*(1-'Data - P&amp;L'!$C$58))+((G144*'Data - P&amp;L'!$C$63)*(1-'Data - P&amp;L'!$C$58))</f>
        <v>4.843872</v>
      </c>
      <c r="H243" s="66">
        <f>(((H133+H134)*'Data - P&amp;L'!$C$62)*(1-'Data - P&amp;L'!$C$58))+((H144*'Data - P&amp;L'!$C$63)*(1-'Data - P&amp;L'!$C$58))</f>
        <v>9.687744</v>
      </c>
      <c r="I243" s="66">
        <f>(((I133+I134)*'Data - P&amp;L'!$C$62)*(1-'Data - P&amp;L'!$C$58))+((I144*'Data - P&amp;L'!$C$63)*(1-'Data - P&amp;L'!$C$58))</f>
        <v>9.687744</v>
      </c>
      <c r="J243" s="66">
        <f>(((J133+J134)*'Data - P&amp;L'!$C$62)*(1-'Data - P&amp;L'!$C$58))+((J144*'Data - P&amp;L'!$C$63)*(1-'Data - P&amp;L'!$C$58))</f>
        <v>9.687744</v>
      </c>
      <c r="K243" s="66">
        <f>(((K133+K134)*'Data - P&amp;L'!$C$62)*(1-'Data - P&amp;L'!$C$58))+((K144*'Data - P&amp;L'!$C$63)*(1-'Data - P&amp;L'!$C$58))</f>
        <v>8.224128</v>
      </c>
      <c r="L243" s="66">
        <f>(((L133+L134)*'Data - P&amp;L'!$C$62)*(1-'Data - P&amp;L'!$C$58))+((L144*'Data - P&amp;L'!$C$63)*(1-'Data - P&amp;L'!$C$58))</f>
        <v>7.265808</v>
      </c>
      <c r="M243" s="66">
        <f>(((M133+M134)*'Data - P&amp;L'!$C$62)*(1-'Data - P&amp;L'!$C$58))+((M144*'Data - P&amp;L'!$C$63)*(1-'Data - P&amp;L'!$C$58))</f>
        <v>0</v>
      </c>
      <c r="N243" s="66">
        <f>(((N133+N134)*'Data - P&amp;L'!$C$62)*(1-'Data - P&amp;L'!$C$58))+((N144*'Data - P&amp;L'!$C$63)*(1-'Data - P&amp;L'!$C$58))</f>
        <v>4.843872</v>
      </c>
      <c r="O243" s="66">
        <f>(((O133+O134)*'Data - P&amp;L'!$C$62)*(1-'Data - P&amp;L'!$C$58))+((O144*'Data - P&amp;L'!$C$63)*(1-'Data - P&amp;L'!$C$58))</f>
        <v>4.843872</v>
      </c>
      <c r="P243" s="66">
        <f>(((P133+P134)*'Data - P&amp;L'!$C$62)*(1-'Data - P&amp;L'!$C$58))+((P144*'Data - P&amp;L'!$C$63)*(1-'Data - P&amp;L'!$C$58))</f>
        <v>7.265808</v>
      </c>
      <c r="Q243" s="66">
        <f>(((Q133+Q134)*'Data - P&amp;L'!$C$62)*(1-'Data - P&amp;L'!$C$58))+((Q144*'Data - P&amp;L'!$C$63)*(1-'Data - P&amp;L'!$C$58))</f>
        <v>4.843872</v>
      </c>
      <c r="R243" s="66">
        <f>(((R133+R134)*'Data - P&amp;L'!$C$62)*(1-'Data - P&amp;L'!$C$58))+((R144*'Data - P&amp;L'!$C$63)*(1-'Data - P&amp;L'!$C$58))</f>
        <v>12.10968</v>
      </c>
      <c r="S243" s="66">
        <f>(((S133+S134)*'Data - P&amp;L'!$C$62)*(1-'Data - P&amp;L'!$C$58))+((S144*'Data - P&amp;L'!$C$63)*(1-'Data - P&amp;L'!$C$58))</f>
        <v>9.687744</v>
      </c>
      <c r="T243" s="66">
        <f>(((T133+T134)*'Data - P&amp;L'!$C$62)*(1-'Data - P&amp;L'!$C$58))+((T144*'Data - P&amp;L'!$C$63)*(1-'Data - P&amp;L'!$C$58))</f>
        <v>7.265808</v>
      </c>
      <c r="U243" s="66">
        <f>(((U133+U134)*'Data - P&amp;L'!$C$62)*(1-'Data - P&amp;L'!$C$58))+((U144*'Data - P&amp;L'!$C$63)*(1-'Data - P&amp;L'!$C$58))</f>
        <v>10.646064</v>
      </c>
      <c r="V243" s="66">
        <f>(((V133+V134)*'Data - P&amp;L'!$C$62)*(1-'Data - P&amp;L'!$C$58))+((V144*'Data - P&amp;L'!$C$63)*(1-'Data - P&amp;L'!$C$58))</f>
        <v>9.687744</v>
      </c>
      <c r="W243" s="66">
        <f>(((W133+W134)*'Data - P&amp;L'!$C$62)*(1-'Data - P&amp;L'!$C$58))+((W144*'Data - P&amp;L'!$C$63)*(1-'Data - P&amp;L'!$C$58))</f>
        <v>5.802192</v>
      </c>
      <c r="X243" s="66">
        <f>(((X133+X134)*'Data - P&amp;L'!$C$62)*(1-'Data - P&amp;L'!$C$58))+((X144*'Data - P&amp;L'!$C$63)*(1-'Data - P&amp;L'!$C$58))</f>
        <v>9.687744</v>
      </c>
      <c r="Y243" s="66">
        <f>(((Y133+Y134)*'Data - P&amp;L'!$C$62)*(1-'Data - P&amp;L'!$C$58))+((Y144*'Data - P&amp;L'!$C$63)*(1-'Data - P&amp;L'!$C$58))</f>
        <v>0</v>
      </c>
      <c r="Z243" s="66">
        <f>(((Z133+Z134)*'Data - P&amp;L'!$C$62)*(1-'Data - P&amp;L'!$C$58))+((Z144*'Data - P&amp;L'!$C$63)*(1-'Data - P&amp;L'!$C$58))</f>
        <v>9.687744</v>
      </c>
      <c r="AA243" s="66">
        <f>(((AA133+AA134)*'Data - P&amp;L'!$C$62)*(1-'Data - P&amp;L'!$C$58))+((AA144*'Data - P&amp;L'!$C$63)*(1-'Data - P&amp;L'!$C$58))</f>
        <v>7.265808</v>
      </c>
      <c r="AB243" s="66">
        <f>(((AB133+AB134)*'Data - P&amp;L'!$C$62)*(1-'Data - P&amp;L'!$C$58))+((AB144*'Data - P&amp;L'!$C$63)*(1-'Data - P&amp;L'!$C$58))</f>
        <v>5.802192</v>
      </c>
      <c r="AC243" s="66">
        <f>(((AC133+AC134)*'Data - P&amp;L'!$C$62)*(1-'Data - P&amp;L'!$C$58))+((AC144*'Data - P&amp;L'!$C$63)*(1-'Data - P&amp;L'!$C$58))</f>
        <v>9.687744</v>
      </c>
      <c r="AD243" s="66">
        <f>(((AD133+AD134)*'Data - P&amp;L'!$C$62)*(1-'Data - P&amp;L'!$C$58))+((AD144*'Data - P&amp;L'!$C$63)*(1-'Data - P&amp;L'!$C$58))</f>
        <v>7.265808</v>
      </c>
      <c r="AE243" s="66">
        <f>(((AE133+AE134)*'Data - P&amp;L'!$C$62)*(1-'Data - P&amp;L'!$C$58))+((AE144*'Data - P&amp;L'!$C$63)*(1-'Data - P&amp;L'!$C$58))</f>
        <v>9.687744</v>
      </c>
      <c r="AF243" s="62">
        <f t="shared" si="66"/>
        <v>207.275904</v>
      </c>
    </row>
    <row r="244">
      <c r="A244" s="117" t="s">
        <v>514</v>
      </c>
      <c r="B244" s="66">
        <f t="shared" ref="B244:AE244" si="69">B155</f>
        <v>477.58</v>
      </c>
      <c r="C244" s="66">
        <f t="shared" si="69"/>
        <v>631.59</v>
      </c>
      <c r="D244" s="66">
        <f t="shared" si="69"/>
        <v>780.3</v>
      </c>
      <c r="E244" s="66">
        <f t="shared" si="69"/>
        <v>413.44</v>
      </c>
      <c r="F244" s="66">
        <f t="shared" si="69"/>
        <v>368.87</v>
      </c>
      <c r="G244" s="66">
        <f t="shared" si="69"/>
        <v>0</v>
      </c>
      <c r="H244" s="66">
        <f t="shared" si="69"/>
        <v>662.02</v>
      </c>
      <c r="I244" s="66">
        <f t="shared" si="69"/>
        <v>497.72</v>
      </c>
      <c r="J244" s="66">
        <f t="shared" si="69"/>
        <v>1852.03</v>
      </c>
      <c r="K244" s="66">
        <f t="shared" si="69"/>
        <v>443.72</v>
      </c>
      <c r="L244" s="66">
        <f t="shared" si="69"/>
        <v>460.92</v>
      </c>
      <c r="M244" s="66">
        <f t="shared" si="69"/>
        <v>218.43</v>
      </c>
      <c r="N244" s="66">
        <f t="shared" si="69"/>
        <v>1041.72</v>
      </c>
      <c r="O244" s="66">
        <f t="shared" si="69"/>
        <v>1027.12</v>
      </c>
      <c r="P244" s="66">
        <f t="shared" si="69"/>
        <v>853.17</v>
      </c>
      <c r="Q244" s="66">
        <f t="shared" si="69"/>
        <v>246.44</v>
      </c>
      <c r="R244" s="66">
        <f t="shared" si="69"/>
        <v>657.43</v>
      </c>
      <c r="S244" s="66">
        <f t="shared" si="69"/>
        <v>1264.09</v>
      </c>
      <c r="T244" s="66">
        <f t="shared" si="69"/>
        <v>467.43</v>
      </c>
      <c r="U244" s="66">
        <f t="shared" si="69"/>
        <v>707.15</v>
      </c>
      <c r="V244" s="66">
        <f t="shared" si="69"/>
        <v>456.15</v>
      </c>
      <c r="W244" s="66">
        <f t="shared" si="69"/>
        <v>878.66</v>
      </c>
      <c r="X244" s="66">
        <f t="shared" si="69"/>
        <v>1004.58</v>
      </c>
      <c r="Y244" s="66">
        <f t="shared" si="69"/>
        <v>1141.88</v>
      </c>
      <c r="Z244" s="66">
        <f t="shared" si="69"/>
        <v>1109.65</v>
      </c>
      <c r="AA244" s="66">
        <f t="shared" si="69"/>
        <v>997.28</v>
      </c>
      <c r="AB244" s="66">
        <f t="shared" si="69"/>
        <v>1529.2</v>
      </c>
      <c r="AC244" s="66">
        <f t="shared" si="69"/>
        <v>2064.17</v>
      </c>
      <c r="AD244" s="66">
        <f t="shared" si="69"/>
        <v>2270.66</v>
      </c>
      <c r="AE244" s="66">
        <f t="shared" si="69"/>
        <v>1508.95</v>
      </c>
      <c r="AF244" s="62">
        <f t="shared" si="66"/>
        <v>26032.35</v>
      </c>
    </row>
    <row r="245">
      <c r="A245" s="330" t="s">
        <v>516</v>
      </c>
      <c r="B245" s="331">
        <f t="shared" ref="B245:AE245" si="70">sum(B246:B254)-B255</f>
        <v>0</v>
      </c>
      <c r="C245" s="331">
        <f t="shared" si="70"/>
        <v>0</v>
      </c>
      <c r="D245" s="331">
        <f t="shared" si="70"/>
        <v>0</v>
      </c>
      <c r="E245" s="331">
        <f t="shared" si="70"/>
        <v>0</v>
      </c>
      <c r="F245" s="331">
        <f t="shared" si="70"/>
        <v>0</v>
      </c>
      <c r="G245" s="331">
        <f t="shared" si="70"/>
        <v>0</v>
      </c>
      <c r="H245" s="331">
        <f t="shared" si="70"/>
        <v>0</v>
      </c>
      <c r="I245" s="331">
        <f t="shared" si="70"/>
        <v>0</v>
      </c>
      <c r="J245" s="331">
        <f t="shared" si="70"/>
        <v>0</v>
      </c>
      <c r="K245" s="331">
        <f t="shared" si="70"/>
        <v>0</v>
      </c>
      <c r="L245" s="331">
        <f t="shared" si="70"/>
        <v>0</v>
      </c>
      <c r="M245" s="331">
        <f t="shared" si="70"/>
        <v>0</v>
      </c>
      <c r="N245" s="331">
        <f t="shared" si="70"/>
        <v>0</v>
      </c>
      <c r="O245" s="331">
        <f t="shared" si="70"/>
        <v>0</v>
      </c>
      <c r="P245" s="331">
        <f t="shared" si="70"/>
        <v>0</v>
      </c>
      <c r="Q245" s="331">
        <f t="shared" si="70"/>
        <v>0</v>
      </c>
      <c r="R245" s="331">
        <f t="shared" si="70"/>
        <v>0</v>
      </c>
      <c r="S245" s="331">
        <f t="shared" si="70"/>
        <v>0</v>
      </c>
      <c r="T245" s="331">
        <f t="shared" si="70"/>
        <v>0</v>
      </c>
      <c r="U245" s="331">
        <f t="shared" si="70"/>
        <v>0</v>
      </c>
      <c r="V245" s="331">
        <f t="shared" si="70"/>
        <v>1.35066</v>
      </c>
      <c r="W245" s="331">
        <f t="shared" si="70"/>
        <v>0</v>
      </c>
      <c r="X245" s="331">
        <f t="shared" si="70"/>
        <v>0</v>
      </c>
      <c r="Y245" s="331">
        <f t="shared" si="70"/>
        <v>0</v>
      </c>
      <c r="Z245" s="331">
        <f t="shared" si="70"/>
        <v>0</v>
      </c>
      <c r="AA245" s="331">
        <f t="shared" si="70"/>
        <v>0</v>
      </c>
      <c r="AB245" s="331">
        <f t="shared" si="70"/>
        <v>0</v>
      </c>
      <c r="AC245" s="331">
        <f t="shared" si="70"/>
        <v>0</v>
      </c>
      <c r="AD245" s="331">
        <f t="shared" si="70"/>
        <v>0</v>
      </c>
      <c r="AE245" s="331">
        <f t="shared" si="70"/>
        <v>0</v>
      </c>
      <c r="AF245" s="62">
        <f t="shared" si="66"/>
        <v>1.35066</v>
      </c>
    </row>
    <row r="246">
      <c r="A246" s="117" t="s">
        <v>382</v>
      </c>
      <c r="B246" s="66">
        <f>B167*'Data - P&amp;L'!$C$3*'Data - P&amp;L'!$C$55</f>
        <v>0</v>
      </c>
      <c r="C246" s="66">
        <f>C167*'Data - P&amp;L'!$C$3*'Data - P&amp;L'!$C$55</f>
        <v>0</v>
      </c>
      <c r="D246" s="66">
        <f>D167*'Data - P&amp;L'!$C$3*'Data - P&amp;L'!$C$55</f>
        <v>0</v>
      </c>
      <c r="E246" s="66">
        <f>E167*'Data - P&amp;L'!$C$3*'Data - P&amp;L'!$C$55</f>
        <v>0</v>
      </c>
      <c r="F246" s="66">
        <f>F167*'Data - P&amp;L'!$C$3*'Data - P&amp;L'!$C$55</f>
        <v>0</v>
      </c>
      <c r="G246" s="66">
        <f>G167*'Data - P&amp;L'!$C$3*'Data - P&amp;L'!$C$55</f>
        <v>0</v>
      </c>
      <c r="H246" s="66">
        <f>H167*'Data - P&amp;L'!$C$3*'Data - P&amp;L'!$C$55</f>
        <v>0</v>
      </c>
      <c r="I246" s="66">
        <f>I167*'Data - P&amp;L'!$C$3*'Data - P&amp;L'!$C$55</f>
        <v>0</v>
      </c>
      <c r="J246" s="66">
        <f>J167*'Data - P&amp;L'!$C$3*'Data - P&amp;L'!$C$55</f>
        <v>0</v>
      </c>
      <c r="K246" s="66">
        <f>K167*'Data - P&amp;L'!$C$3*'Data - P&amp;L'!$C$55</f>
        <v>0</v>
      </c>
      <c r="L246" s="66">
        <f>L167*'Data - P&amp;L'!$C$3*'Data - P&amp;L'!$C$55</f>
        <v>0</v>
      </c>
      <c r="M246" s="66">
        <f>M167*'Data - P&amp;L'!$C$3*'Data - P&amp;L'!$C$55</f>
        <v>0</v>
      </c>
      <c r="N246" s="66">
        <f>N167*'Data - P&amp;L'!$C$3*'Data - P&amp;L'!$C$55</f>
        <v>0</v>
      </c>
      <c r="O246" s="66">
        <f>O167*'Data - P&amp;L'!$C$3*'Data - P&amp;L'!$C$55</f>
        <v>0</v>
      </c>
      <c r="P246" s="66">
        <f>P167*'Data - P&amp;L'!$C$3*'Data - P&amp;L'!$C$55</f>
        <v>0</v>
      </c>
      <c r="Q246" s="66">
        <f>Q167*'Data - P&amp;L'!$C$3*'Data - P&amp;L'!$C$55</f>
        <v>0</v>
      </c>
      <c r="R246" s="66">
        <f>R167*'Data - P&amp;L'!$C$3*'Data - P&amp;L'!$C$55</f>
        <v>0</v>
      </c>
      <c r="S246" s="66">
        <f>S167*'Data - P&amp;L'!$C$3*'Data - P&amp;L'!$C$55</f>
        <v>0</v>
      </c>
      <c r="T246" s="66">
        <f>T167*'Data - P&amp;L'!$C$3*'Data - P&amp;L'!$C$55</f>
        <v>0</v>
      </c>
      <c r="U246" s="66">
        <f>U167*'Data - P&amp;L'!$C$3*'Data - P&amp;L'!$C$55</f>
        <v>0</v>
      </c>
      <c r="V246" s="66">
        <f>V167*'Data - P&amp;L'!$C$3*'Data - P&amp;L'!$C$55</f>
        <v>0</v>
      </c>
      <c r="W246" s="66">
        <f>W167*'Data - P&amp;L'!$C$3*'Data - P&amp;L'!$C$55</f>
        <v>0</v>
      </c>
      <c r="X246" s="66">
        <f>X167*'Data - P&amp;L'!$C$3*'Data - P&amp;L'!$C$55</f>
        <v>0</v>
      </c>
      <c r="Y246" s="66">
        <f>Y167*'Data - P&amp;L'!$C$3*'Data - P&amp;L'!$C$55</f>
        <v>0</v>
      </c>
      <c r="Z246" s="66">
        <f>Z167*'Data - P&amp;L'!$C$3*'Data - P&amp;L'!$C$55</f>
        <v>0</v>
      </c>
      <c r="AA246" s="66">
        <f>AA167*'Data - P&amp;L'!$C$3*'Data - P&amp;L'!$C$55</f>
        <v>0</v>
      </c>
      <c r="AB246" s="66">
        <f>AB167*'Data - P&amp;L'!$C$3*'Data - P&amp;L'!$C$55</f>
        <v>0</v>
      </c>
      <c r="AC246" s="66">
        <f>AC167*'Data - P&amp;L'!$C$3*'Data - P&amp;L'!$C$55</f>
        <v>0</v>
      </c>
      <c r="AD246" s="66">
        <f>AD167*'Data - P&amp;L'!$C$3*'Data - P&amp;L'!$C$55</f>
        <v>0</v>
      </c>
      <c r="AE246" s="66">
        <f>AE167*'Data - P&amp;L'!$C$3*'Data - P&amp;L'!$C$55</f>
        <v>0</v>
      </c>
      <c r="AF246" s="62">
        <f t="shared" si="66"/>
        <v>0</v>
      </c>
    </row>
    <row r="247">
      <c r="A247" s="117" t="s">
        <v>385</v>
      </c>
      <c r="B247" s="66">
        <f>B168*'Data - P&amp;L'!$C$4*'Data - P&amp;L'!$C$55</f>
        <v>0</v>
      </c>
      <c r="C247" s="66">
        <f>C168*'Data - P&amp;L'!$C$4*'Data - P&amp;L'!$C$55</f>
        <v>0</v>
      </c>
      <c r="D247" s="66">
        <f>D168*'Data - P&amp;L'!$C$4*'Data - P&amp;L'!$C$55</f>
        <v>0</v>
      </c>
      <c r="E247" s="66">
        <f>E168*'Data - P&amp;L'!$C$4*'Data - P&amp;L'!$C$55</f>
        <v>0</v>
      </c>
      <c r="F247" s="66">
        <f>F168*'Data - P&amp;L'!$C$4*'Data - P&amp;L'!$C$55</f>
        <v>0</v>
      </c>
      <c r="G247" s="66">
        <f>G168*'Data - P&amp;L'!$C$4*'Data - P&amp;L'!$C$55</f>
        <v>0</v>
      </c>
      <c r="H247" s="66">
        <f>H168*'Data - P&amp;L'!$C$4*'Data - P&amp;L'!$C$55</f>
        <v>0</v>
      </c>
      <c r="I247" s="66">
        <f>I168*'Data - P&amp;L'!$C$4*'Data - P&amp;L'!$C$55</f>
        <v>0</v>
      </c>
      <c r="J247" s="66">
        <f>J168*'Data - P&amp;L'!$C$4*'Data - P&amp;L'!$C$55</f>
        <v>0</v>
      </c>
      <c r="K247" s="66">
        <f>K168*'Data - P&amp;L'!$C$4*'Data - P&amp;L'!$C$55</f>
        <v>0</v>
      </c>
      <c r="L247" s="66">
        <f>L168*'Data - P&amp;L'!$C$4*'Data - P&amp;L'!$C$55</f>
        <v>0</v>
      </c>
      <c r="M247" s="66">
        <f>M168*'Data - P&amp;L'!$C$4*'Data - P&amp;L'!$C$55</f>
        <v>0</v>
      </c>
      <c r="N247" s="66">
        <f>N168*'Data - P&amp;L'!$C$4*'Data - P&amp;L'!$C$55</f>
        <v>0</v>
      </c>
      <c r="O247" s="66">
        <f>O168*'Data - P&amp;L'!$C$4*'Data - P&amp;L'!$C$55</f>
        <v>0</v>
      </c>
      <c r="P247" s="66">
        <f>P168*'Data - P&amp;L'!$C$4*'Data - P&amp;L'!$C$55</f>
        <v>0</v>
      </c>
      <c r="Q247" s="66">
        <f>Q168*'Data - P&amp;L'!$C$4*'Data - P&amp;L'!$C$55</f>
        <v>0</v>
      </c>
      <c r="R247" s="66">
        <f>R168*'Data - P&amp;L'!$C$4*'Data - P&amp;L'!$C$55</f>
        <v>0</v>
      </c>
      <c r="S247" s="66">
        <f>S168*'Data - P&amp;L'!$C$4*'Data - P&amp;L'!$C$55</f>
        <v>0</v>
      </c>
      <c r="T247" s="66">
        <f>T168*'Data - P&amp;L'!$C$4*'Data - P&amp;L'!$C$55</f>
        <v>0</v>
      </c>
      <c r="U247" s="66">
        <f>U168*'Data - P&amp;L'!$C$4*'Data - P&amp;L'!$C$55</f>
        <v>0</v>
      </c>
      <c r="V247" s="66">
        <f>V168*'Data - P&amp;L'!$C$4*'Data - P&amp;L'!$C$55</f>
        <v>0</v>
      </c>
      <c r="W247" s="66">
        <f>W168*'Data - P&amp;L'!$C$4*'Data - P&amp;L'!$C$55</f>
        <v>0</v>
      </c>
      <c r="X247" s="66">
        <f>X168*'Data - P&amp;L'!$C$4*'Data - P&amp;L'!$C$55</f>
        <v>0</v>
      </c>
      <c r="Y247" s="66">
        <f>Y168*'Data - P&amp;L'!$C$4*'Data - P&amp;L'!$C$55</f>
        <v>0</v>
      </c>
      <c r="Z247" s="66">
        <f>Z168*'Data - P&amp;L'!$C$4*'Data - P&amp;L'!$C$55</f>
        <v>0</v>
      </c>
      <c r="AA247" s="66">
        <f>AA168*'Data - P&amp;L'!$C$4*'Data - P&amp;L'!$C$55</f>
        <v>0</v>
      </c>
      <c r="AB247" s="66">
        <f>AB168*'Data - P&amp;L'!$C$4*'Data - P&amp;L'!$C$55</f>
        <v>0</v>
      </c>
      <c r="AC247" s="66">
        <f>AC168*'Data - P&amp;L'!$C$4*'Data - P&amp;L'!$C$55</f>
        <v>0</v>
      </c>
      <c r="AD247" s="66">
        <f>AD168*'Data - P&amp;L'!$C$4*'Data - P&amp;L'!$C$55</f>
        <v>0</v>
      </c>
      <c r="AE247" s="66">
        <f>AE168*'Data - P&amp;L'!$C$4*'Data - P&amp;L'!$C$55</f>
        <v>0</v>
      </c>
      <c r="AF247" s="62">
        <f t="shared" si="66"/>
        <v>0</v>
      </c>
    </row>
    <row r="248">
      <c r="A248" s="117" t="s">
        <v>388</v>
      </c>
      <c r="B248" s="66">
        <f>B170*'Data - P&amp;L'!$C$6*'Data - P&amp;L'!$C$55</f>
        <v>0</v>
      </c>
      <c r="C248" s="66">
        <f>C170*'Data - P&amp;L'!$C$6*'Data - P&amp;L'!$C$55</f>
        <v>0</v>
      </c>
      <c r="D248" s="66">
        <f>D170*'Data - P&amp;L'!$C$6*'Data - P&amp;L'!$C$55</f>
        <v>0</v>
      </c>
      <c r="E248" s="66">
        <f>E170*'Data - P&amp;L'!$C$6*'Data - P&amp;L'!$C$55</f>
        <v>0</v>
      </c>
      <c r="F248" s="66">
        <f>F170*'Data - P&amp;L'!$C$6*'Data - P&amp;L'!$C$55</f>
        <v>0</v>
      </c>
      <c r="G248" s="66">
        <f>G170*'Data - P&amp;L'!$C$6*'Data - P&amp;L'!$C$55</f>
        <v>0</v>
      </c>
      <c r="H248" s="66">
        <f>H170*'Data - P&amp;L'!$C$6*'Data - P&amp;L'!$C$55</f>
        <v>0</v>
      </c>
      <c r="I248" s="66">
        <f>I170*'Data - P&amp;L'!$C$6*'Data - P&amp;L'!$C$55</f>
        <v>0</v>
      </c>
      <c r="J248" s="66">
        <f>J170*'Data - P&amp;L'!$C$6*'Data - P&amp;L'!$C$55</f>
        <v>0</v>
      </c>
      <c r="K248" s="66">
        <f>K170*'Data - P&amp;L'!$C$6*'Data - P&amp;L'!$C$55</f>
        <v>0</v>
      </c>
      <c r="L248" s="66">
        <f>L170*'Data - P&amp;L'!$C$6*'Data - P&amp;L'!$C$55</f>
        <v>0</v>
      </c>
      <c r="M248" s="66">
        <f>M170*'Data - P&amp;L'!$C$6*'Data - P&amp;L'!$C$55</f>
        <v>0</v>
      </c>
      <c r="N248" s="66">
        <f>N170*'Data - P&amp;L'!$C$6*'Data - P&amp;L'!$C$55</f>
        <v>0</v>
      </c>
      <c r="O248" s="66">
        <f>O170*'Data - P&amp;L'!$C$6*'Data - P&amp;L'!$C$55</f>
        <v>0</v>
      </c>
      <c r="P248" s="66">
        <f>P170*'Data - P&amp;L'!$C$6*'Data - P&amp;L'!$C$55</f>
        <v>0</v>
      </c>
      <c r="Q248" s="66">
        <f>Q170*'Data - P&amp;L'!$C$6*'Data - P&amp;L'!$C$55</f>
        <v>0</v>
      </c>
      <c r="R248" s="66">
        <f>R170*'Data - P&amp;L'!$C$6*'Data - P&amp;L'!$C$55</f>
        <v>0</v>
      </c>
      <c r="S248" s="66">
        <f>S170*'Data - P&amp;L'!$C$6*'Data - P&amp;L'!$C$55</f>
        <v>0</v>
      </c>
      <c r="T248" s="66">
        <f>T170*'Data - P&amp;L'!$C$6*'Data - P&amp;L'!$C$55</f>
        <v>0</v>
      </c>
      <c r="U248" s="66">
        <f>U170*'Data - P&amp;L'!$C$6*'Data - P&amp;L'!$C$55</f>
        <v>0</v>
      </c>
      <c r="V248" s="66">
        <f>V170*'Data - P&amp;L'!$C$6*'Data - P&amp;L'!$C$55</f>
        <v>0</v>
      </c>
      <c r="W248" s="66">
        <f>W170*'Data - P&amp;L'!$C$6*'Data - P&amp;L'!$C$55</f>
        <v>0</v>
      </c>
      <c r="X248" s="66">
        <f>X170*'Data - P&amp;L'!$C$6*'Data - P&amp;L'!$C$55</f>
        <v>0</v>
      </c>
      <c r="Y248" s="66">
        <f>Y170*'Data - P&amp;L'!$C$6*'Data - P&amp;L'!$C$55</f>
        <v>0</v>
      </c>
      <c r="Z248" s="66">
        <f>Z170*'Data - P&amp;L'!$C$6*'Data - P&amp;L'!$C$55</f>
        <v>0</v>
      </c>
      <c r="AA248" s="66">
        <f>AA170*'Data - P&amp;L'!$C$6*'Data - P&amp;L'!$C$55</f>
        <v>0</v>
      </c>
      <c r="AB248" s="66">
        <f>AB170*'Data - P&amp;L'!$C$6*'Data - P&amp;L'!$C$55</f>
        <v>0</v>
      </c>
      <c r="AC248" s="66">
        <f>AC170*'Data - P&amp;L'!$C$6*'Data - P&amp;L'!$C$55</f>
        <v>0</v>
      </c>
      <c r="AD248" s="66">
        <f>AD170*'Data - P&amp;L'!$C$6*'Data - P&amp;L'!$C$55</f>
        <v>0</v>
      </c>
      <c r="AE248" s="66">
        <f>AE170*'Data - P&amp;L'!$C$6*'Data - P&amp;L'!$C$55</f>
        <v>0</v>
      </c>
      <c r="AF248" s="62">
        <f t="shared" si="66"/>
        <v>0</v>
      </c>
    </row>
    <row r="249">
      <c r="A249" s="117" t="s">
        <v>390</v>
      </c>
      <c r="B249" s="66">
        <f>B171*'Data - P&amp;L'!$C$8*'Data - P&amp;L'!$C$55</f>
        <v>0</v>
      </c>
      <c r="C249" s="66">
        <f>C171*'Data - P&amp;L'!$C$8*'Data - P&amp;L'!$C$55</f>
        <v>0</v>
      </c>
      <c r="D249" s="66">
        <f>D171*'Data - P&amp;L'!$C$8*'Data - P&amp;L'!$C$55</f>
        <v>0</v>
      </c>
      <c r="E249" s="66">
        <f>E171*'Data - P&amp;L'!$C$8*'Data - P&amp;L'!$C$55</f>
        <v>0</v>
      </c>
      <c r="F249" s="66">
        <f>F171*'Data - P&amp;L'!$C$8*'Data - P&amp;L'!$C$55</f>
        <v>0</v>
      </c>
      <c r="G249" s="66">
        <f>G171*'Data - P&amp;L'!$C$8*'Data - P&amp;L'!$C$55</f>
        <v>0</v>
      </c>
      <c r="H249" s="66">
        <f>H171*'Data - P&amp;L'!$C$8*'Data - P&amp;L'!$C$55</f>
        <v>0</v>
      </c>
      <c r="I249" s="66">
        <f>I171*'Data - P&amp;L'!$C$8*'Data - P&amp;L'!$C$55</f>
        <v>0</v>
      </c>
      <c r="J249" s="66">
        <f>J171*'Data - P&amp;L'!$C$8*'Data - P&amp;L'!$C$55</f>
        <v>0</v>
      </c>
      <c r="K249" s="66">
        <f>K171*'Data - P&amp;L'!$C$8*'Data - P&amp;L'!$C$55</f>
        <v>0</v>
      </c>
      <c r="L249" s="66">
        <f>L171*'Data - P&amp;L'!$C$8*'Data - P&amp;L'!$C$55</f>
        <v>0</v>
      </c>
      <c r="M249" s="66">
        <f>M171*'Data - P&amp;L'!$C$8*'Data - P&amp;L'!$C$55</f>
        <v>0</v>
      </c>
      <c r="N249" s="66">
        <f>N171*'Data - P&amp;L'!$C$8*'Data - P&amp;L'!$C$55</f>
        <v>0</v>
      </c>
      <c r="O249" s="66">
        <f>O171*'Data - P&amp;L'!$C$8*'Data - P&amp;L'!$C$55</f>
        <v>0</v>
      </c>
      <c r="P249" s="66">
        <f>P171*'Data - P&amp;L'!$C$8*'Data - P&amp;L'!$C$55</f>
        <v>0</v>
      </c>
      <c r="Q249" s="66">
        <f>Q171*'Data - P&amp;L'!$C$8*'Data - P&amp;L'!$C$55</f>
        <v>0</v>
      </c>
      <c r="R249" s="66">
        <f>R171*'Data - P&amp;L'!$C$8*'Data - P&amp;L'!$C$55</f>
        <v>0</v>
      </c>
      <c r="S249" s="66">
        <f>S171*'Data - P&amp;L'!$C$8*'Data - P&amp;L'!$C$55</f>
        <v>0</v>
      </c>
      <c r="T249" s="66">
        <f>T171*'Data - P&amp;L'!$C$8*'Data - P&amp;L'!$C$55</f>
        <v>0</v>
      </c>
      <c r="U249" s="66">
        <f>U171*'Data - P&amp;L'!$C$8*'Data - P&amp;L'!$C$55</f>
        <v>0</v>
      </c>
      <c r="V249" s="66">
        <f>V171*'Data - P&amp;L'!$C$8*'Data - P&amp;L'!$C$55</f>
        <v>0</v>
      </c>
      <c r="W249" s="66">
        <f>W171*'Data - P&amp;L'!$C$8*'Data - P&amp;L'!$C$55</f>
        <v>0</v>
      </c>
      <c r="X249" s="66">
        <f>X171*'Data - P&amp;L'!$C$8*'Data - P&amp;L'!$C$55</f>
        <v>0</v>
      </c>
      <c r="Y249" s="66">
        <f>Y171*'Data - P&amp;L'!$C$8*'Data - P&amp;L'!$C$55</f>
        <v>0</v>
      </c>
      <c r="Z249" s="66">
        <f>Z171*'Data - P&amp;L'!$C$8*'Data - P&amp;L'!$C$55</f>
        <v>0</v>
      </c>
      <c r="AA249" s="66">
        <f>AA171*'Data - P&amp;L'!$C$8*'Data - P&amp;L'!$C$55</f>
        <v>0</v>
      </c>
      <c r="AB249" s="66">
        <f>AB171*'Data - P&amp;L'!$C$8*'Data - P&amp;L'!$C$55</f>
        <v>0</v>
      </c>
      <c r="AC249" s="66">
        <f>AC171*'Data - P&amp;L'!$C$8*'Data - P&amp;L'!$C$55</f>
        <v>0</v>
      </c>
      <c r="AD249" s="66">
        <f>AD171*'Data - P&amp;L'!$C$8*'Data - P&amp;L'!$C$55</f>
        <v>0</v>
      </c>
      <c r="AE249" s="66">
        <f>AE171*'Data - P&amp;L'!$C$8*'Data - P&amp;L'!$C$55</f>
        <v>0</v>
      </c>
      <c r="AF249" s="62">
        <f t="shared" si="66"/>
        <v>0</v>
      </c>
    </row>
    <row r="250">
      <c r="A250" s="117" t="s">
        <v>395</v>
      </c>
      <c r="B250" s="66">
        <f>(B172+B173)*'Data - P&amp;L'!$C$9*'Data - P&amp;L'!$C$55</f>
        <v>0</v>
      </c>
      <c r="C250" s="66">
        <f>(C172+C173)*'Data - P&amp;L'!$C$9*'Data - P&amp;L'!$C$55</f>
        <v>0</v>
      </c>
      <c r="D250" s="66">
        <f>(D172+D173)*'Data - P&amp;L'!$C$9*'Data - P&amp;L'!$C$55</f>
        <v>0</v>
      </c>
      <c r="E250" s="66">
        <f>(E172+E173)*'Data - P&amp;L'!$C$9*'Data - P&amp;L'!$C$55</f>
        <v>0</v>
      </c>
      <c r="F250" s="66">
        <f>(F172+F173)*'Data - P&amp;L'!$C$9*'Data - P&amp;L'!$C$55</f>
        <v>0</v>
      </c>
      <c r="G250" s="66">
        <f>(G172+G173)*'Data - P&amp;L'!$C$9*'Data - P&amp;L'!$C$55</f>
        <v>0</v>
      </c>
      <c r="H250" s="66">
        <f>(H172+H173)*'Data - P&amp;L'!$C$9*'Data - P&amp;L'!$C$55</f>
        <v>0</v>
      </c>
      <c r="I250" s="66">
        <f>(I172+I173)*'Data - P&amp;L'!$C$9*'Data - P&amp;L'!$C$55</f>
        <v>0</v>
      </c>
      <c r="J250" s="66">
        <f>(J172+J173)*'Data - P&amp;L'!$C$9*'Data - P&amp;L'!$C$55</f>
        <v>0</v>
      </c>
      <c r="K250" s="66">
        <f>(K172+K173)*'Data - P&amp;L'!$C$9*'Data - P&amp;L'!$C$55</f>
        <v>0</v>
      </c>
      <c r="L250" s="66">
        <f>(L172+L173)*'Data - P&amp;L'!$C$9*'Data - P&amp;L'!$C$55</f>
        <v>0</v>
      </c>
      <c r="M250" s="66">
        <f>(M172+M173)*'Data - P&amp;L'!$C$9*'Data - P&amp;L'!$C$55</f>
        <v>0</v>
      </c>
      <c r="N250" s="66">
        <f>(N172+N173)*'Data - P&amp;L'!$C$9*'Data - P&amp;L'!$C$55</f>
        <v>0</v>
      </c>
      <c r="O250" s="66">
        <f>(O172+O173)*'Data - P&amp;L'!$C$9*'Data - P&amp;L'!$C$55</f>
        <v>0</v>
      </c>
      <c r="P250" s="66">
        <f>(P172+P173)*'Data - P&amp;L'!$C$9*'Data - P&amp;L'!$C$55</f>
        <v>0</v>
      </c>
      <c r="Q250" s="66">
        <f>(Q172+Q173)*'Data - P&amp;L'!$C$9*'Data - P&amp;L'!$C$55</f>
        <v>0</v>
      </c>
      <c r="R250" s="66">
        <f>(R172+R173)*'Data - P&amp;L'!$C$9*'Data - P&amp;L'!$C$55</f>
        <v>0</v>
      </c>
      <c r="S250" s="66">
        <f>(S172+S173)*'Data - P&amp;L'!$C$9*'Data - P&amp;L'!$C$55</f>
        <v>0</v>
      </c>
      <c r="T250" s="66">
        <f>(T172+T173)*'Data - P&amp;L'!$C$9*'Data - P&amp;L'!$C$55</f>
        <v>0</v>
      </c>
      <c r="U250" s="66">
        <f>(U172+U173)*'Data - P&amp;L'!$C$9*'Data - P&amp;L'!$C$55</f>
        <v>0</v>
      </c>
      <c r="V250" s="66">
        <f>(V172+V173)*'Data - P&amp;L'!$C$9*'Data - P&amp;L'!$C$55</f>
        <v>0</v>
      </c>
      <c r="W250" s="66">
        <f>(W172+W173)*'Data - P&amp;L'!$C$9*'Data - P&amp;L'!$C$55</f>
        <v>0</v>
      </c>
      <c r="X250" s="66">
        <f>(X172+X173)*'Data - P&amp;L'!$C$9*'Data - P&amp;L'!$C$55</f>
        <v>0</v>
      </c>
      <c r="Y250" s="66">
        <f>(Y172+Y173)*'Data - P&amp;L'!$C$9*'Data - P&amp;L'!$C$55</f>
        <v>0</v>
      </c>
      <c r="Z250" s="66">
        <f>(Z172+Z173)*'Data - P&amp;L'!$C$9*'Data - P&amp;L'!$C$55</f>
        <v>0</v>
      </c>
      <c r="AA250" s="66">
        <f>(AA172+AA173)*'Data - P&amp;L'!$C$9*'Data - P&amp;L'!$C$55</f>
        <v>0</v>
      </c>
      <c r="AB250" s="66">
        <f>(AB172+AB173)*'Data - P&amp;L'!$C$9*'Data - P&amp;L'!$C$55</f>
        <v>0</v>
      </c>
      <c r="AC250" s="66">
        <f>(AC172+AC173)*'Data - P&amp;L'!$C$9*'Data - P&amp;L'!$C$55</f>
        <v>0</v>
      </c>
      <c r="AD250" s="66">
        <f>(AD172+AD173)*'Data - P&amp;L'!$C$9*'Data - P&amp;L'!$C$55</f>
        <v>0</v>
      </c>
      <c r="AE250" s="66">
        <f>(AE172+AE173)*'Data - P&amp;L'!$C$9*'Data - P&amp;L'!$C$55</f>
        <v>0</v>
      </c>
      <c r="AF250" s="62">
        <f t="shared" si="66"/>
        <v>0</v>
      </c>
    </row>
    <row r="251">
      <c r="A251" s="117" t="s">
        <v>401</v>
      </c>
      <c r="B251" s="66">
        <f>(B174+B175)*'Data - P&amp;L'!$C$5*'Data - P&amp;L'!$C$55</f>
        <v>0</v>
      </c>
      <c r="C251" s="66">
        <f>(C174+C175)*'Data - P&amp;L'!$C$5*'Data - P&amp;L'!$C$55</f>
        <v>0</v>
      </c>
      <c r="D251" s="66">
        <f>(D174+D175)*'Data - P&amp;L'!$C$5*'Data - P&amp;L'!$C$55</f>
        <v>0</v>
      </c>
      <c r="E251" s="66">
        <f>(E174+E175)*'Data - P&amp;L'!$C$5*'Data - P&amp;L'!$C$55</f>
        <v>0</v>
      </c>
      <c r="F251" s="66">
        <f>(F174+F175)*'Data - P&amp;L'!$C$5*'Data - P&amp;L'!$C$55</f>
        <v>0</v>
      </c>
      <c r="G251" s="66">
        <f>(G174+G175)*'Data - P&amp;L'!$C$5*'Data - P&amp;L'!$C$55</f>
        <v>0</v>
      </c>
      <c r="H251" s="66">
        <f>(H174+H175)*'Data - P&amp;L'!$C$5*'Data - P&amp;L'!$C$55</f>
        <v>0</v>
      </c>
      <c r="I251" s="66">
        <f>(I174+I175)*'Data - P&amp;L'!$C$5*'Data - P&amp;L'!$C$55</f>
        <v>0</v>
      </c>
      <c r="J251" s="66">
        <f>(J174+J175)*'Data - P&amp;L'!$C$5*'Data - P&amp;L'!$C$55</f>
        <v>0</v>
      </c>
      <c r="K251" s="66">
        <f>(K174+K175)*'Data - P&amp;L'!$C$5*'Data - P&amp;L'!$C$55</f>
        <v>0</v>
      </c>
      <c r="L251" s="66">
        <f>(L174+L175)*'Data - P&amp;L'!$C$5*'Data - P&amp;L'!$C$55</f>
        <v>0</v>
      </c>
      <c r="M251" s="66">
        <f>(M174+M175)*'Data - P&amp;L'!$C$5*'Data - P&amp;L'!$C$55</f>
        <v>0</v>
      </c>
      <c r="N251" s="66">
        <f>(N174+N175)*'Data - P&amp;L'!$C$5*'Data - P&amp;L'!$C$55</f>
        <v>0</v>
      </c>
      <c r="O251" s="66">
        <f>(O174+O175)*'Data - P&amp;L'!$C$5*'Data - P&amp;L'!$C$55</f>
        <v>0</v>
      </c>
      <c r="P251" s="66">
        <f>(P174+P175)*'Data - P&amp;L'!$C$5*'Data - P&amp;L'!$C$55</f>
        <v>0</v>
      </c>
      <c r="Q251" s="66">
        <f>(Q174+Q175)*'Data - P&amp;L'!$C$5*'Data - P&amp;L'!$C$55</f>
        <v>0</v>
      </c>
      <c r="R251" s="66">
        <f>(R174+R175)*'Data - P&amp;L'!$C$5*'Data - P&amp;L'!$C$55</f>
        <v>0</v>
      </c>
      <c r="S251" s="66">
        <f>(S174+S175)*'Data - P&amp;L'!$C$5*'Data - P&amp;L'!$C$55</f>
        <v>0</v>
      </c>
      <c r="T251" s="66">
        <f>(T174+T175)*'Data - P&amp;L'!$C$5*'Data - P&amp;L'!$C$55</f>
        <v>0</v>
      </c>
      <c r="U251" s="66">
        <f>(U174+U175)*'Data - P&amp;L'!$C$5*'Data - P&amp;L'!$C$55</f>
        <v>0</v>
      </c>
      <c r="V251" s="66">
        <f>(V174+V175)*'Data - P&amp;L'!$C$5*'Data - P&amp;L'!$C$55</f>
        <v>1.344</v>
      </c>
      <c r="W251" s="66">
        <f>(W174+W175)*'Data - P&amp;L'!$C$5*'Data - P&amp;L'!$C$55</f>
        <v>0</v>
      </c>
      <c r="X251" s="66">
        <f>(X174+X175)*'Data - P&amp;L'!$C$5*'Data - P&amp;L'!$C$55</f>
        <v>0</v>
      </c>
      <c r="Y251" s="66">
        <f>(Y174+Y175)*'Data - P&amp;L'!$C$5*'Data - P&amp;L'!$C$55</f>
        <v>0</v>
      </c>
      <c r="Z251" s="66">
        <f>(Z174+Z175)*'Data - P&amp;L'!$C$5*'Data - P&amp;L'!$C$55</f>
        <v>0</v>
      </c>
      <c r="AA251" s="66">
        <f>(AA174+AA175)*'Data - P&amp;L'!$C$5*'Data - P&amp;L'!$C$55</f>
        <v>0</v>
      </c>
      <c r="AB251" s="66">
        <f>(AB174+AB175)*'Data - P&amp;L'!$C$5*'Data - P&amp;L'!$C$55</f>
        <v>0</v>
      </c>
      <c r="AC251" s="66">
        <f>(AC174+AC175)*'Data - P&amp;L'!$C$5*'Data - P&amp;L'!$C$55</f>
        <v>0</v>
      </c>
      <c r="AD251" s="66">
        <f>(AD174+AD175)*'Data - P&amp;L'!$C$5*'Data - P&amp;L'!$C$55</f>
        <v>0</v>
      </c>
      <c r="AE251" s="66">
        <f>(AE174+AE175)*'Data - P&amp;L'!$C$5*'Data - P&amp;L'!$C$55</f>
        <v>0</v>
      </c>
      <c r="AF251" s="62">
        <f t="shared" si="66"/>
        <v>1.344</v>
      </c>
    </row>
    <row r="252">
      <c r="A252" s="117" t="s">
        <v>404</v>
      </c>
      <c r="B252" s="66">
        <f>(B176+B177)*'Data - P&amp;L'!$C$10*'Data - P&amp;L'!$C$55</f>
        <v>0</v>
      </c>
      <c r="C252" s="66">
        <f>(C176+C177)*'Data - P&amp;L'!$C$10*'Data - P&amp;L'!$C$55</f>
        <v>0</v>
      </c>
      <c r="D252" s="66">
        <f>(D176+D177)*'Data - P&amp;L'!$C$10*'Data - P&amp;L'!$C$55</f>
        <v>0</v>
      </c>
      <c r="E252" s="66">
        <f>(E176+E177)*'Data - P&amp;L'!$C$10*'Data - P&amp;L'!$C$55</f>
        <v>0</v>
      </c>
      <c r="F252" s="66">
        <f>(F176+F177)*'Data - P&amp;L'!$C$10*'Data - P&amp;L'!$C$55</f>
        <v>0</v>
      </c>
      <c r="G252" s="66">
        <f>(G176+G177)*'Data - P&amp;L'!$C$10*'Data - P&amp;L'!$C$55</f>
        <v>0</v>
      </c>
      <c r="H252" s="66">
        <f>(H176+H177)*'Data - P&amp;L'!$C$10*'Data - P&amp;L'!$C$55</f>
        <v>0</v>
      </c>
      <c r="I252" s="66">
        <f>(I176+I177)*'Data - P&amp;L'!$C$10*'Data - P&amp;L'!$C$55</f>
        <v>0</v>
      </c>
      <c r="J252" s="66">
        <f>(J176+J177)*'Data - P&amp;L'!$C$10*'Data - P&amp;L'!$C$55</f>
        <v>0</v>
      </c>
      <c r="K252" s="66">
        <f>(K176+K177)*'Data - P&amp;L'!$C$10*'Data - P&amp;L'!$C$55</f>
        <v>0</v>
      </c>
      <c r="L252" s="66">
        <f>(L176+L177)*'Data - P&amp;L'!$C$10*'Data - P&amp;L'!$C$55</f>
        <v>0</v>
      </c>
      <c r="M252" s="66">
        <f>(M176+M177)*'Data - P&amp;L'!$C$10*'Data - P&amp;L'!$C$55</f>
        <v>0</v>
      </c>
      <c r="N252" s="66">
        <f>(N176+N177)*'Data - P&amp;L'!$C$10*'Data - P&amp;L'!$C$55</f>
        <v>0</v>
      </c>
      <c r="O252" s="66">
        <f>(O176+O177)*'Data - P&amp;L'!$C$10*'Data - P&amp;L'!$C$55</f>
        <v>0</v>
      </c>
      <c r="P252" s="66">
        <f>(P176+P177)*'Data - P&amp;L'!$C$10*'Data - P&amp;L'!$C$55</f>
        <v>0</v>
      </c>
      <c r="Q252" s="66">
        <f>(Q176+Q177)*'Data - P&amp;L'!$C$10*'Data - P&amp;L'!$C$55</f>
        <v>0</v>
      </c>
      <c r="R252" s="66">
        <f>(R176+R177)*'Data - P&amp;L'!$C$10*'Data - P&amp;L'!$C$55</f>
        <v>0</v>
      </c>
      <c r="S252" s="66">
        <f>(S176+S177)*'Data - P&amp;L'!$C$10*'Data - P&amp;L'!$C$55</f>
        <v>0</v>
      </c>
      <c r="T252" s="66">
        <f>(T176+T177)*'Data - P&amp;L'!$C$10*'Data - P&amp;L'!$C$55</f>
        <v>0</v>
      </c>
      <c r="U252" s="66">
        <f>(U176+U177)*'Data - P&amp;L'!$C$10*'Data - P&amp;L'!$C$55</f>
        <v>0</v>
      </c>
      <c r="V252" s="66">
        <f>(V176+V177)*'Data - P&amp;L'!$C$10*'Data - P&amp;L'!$C$55</f>
        <v>0</v>
      </c>
      <c r="W252" s="66">
        <f>(W176+W177)*'Data - P&amp;L'!$C$10*'Data - P&amp;L'!$C$55</f>
        <v>0</v>
      </c>
      <c r="X252" s="66">
        <f>(X176+X177)*'Data - P&amp;L'!$C$10*'Data - P&amp;L'!$C$55</f>
        <v>0</v>
      </c>
      <c r="Y252" s="66">
        <f>(Y176+Y177)*'Data - P&amp;L'!$C$10*'Data - P&amp;L'!$C$55</f>
        <v>0</v>
      </c>
      <c r="Z252" s="66">
        <f>(Z176+Z177)*'Data - P&amp;L'!$C$10*'Data - P&amp;L'!$C$55</f>
        <v>0</v>
      </c>
      <c r="AA252" s="66">
        <f>(AA176+AA177)*'Data - P&amp;L'!$C$10*'Data - P&amp;L'!$C$55</f>
        <v>0</v>
      </c>
      <c r="AB252" s="66">
        <f>(AB176+AB177)*'Data - P&amp;L'!$C$10*'Data - P&amp;L'!$C$55</f>
        <v>0</v>
      </c>
      <c r="AC252" s="66">
        <f>(AC176+AC177)*'Data - P&amp;L'!$C$10*'Data - P&amp;L'!$C$55</f>
        <v>0</v>
      </c>
      <c r="AD252" s="66">
        <f>(AD176+AD177)*'Data - P&amp;L'!$C$10*'Data - P&amp;L'!$C$55</f>
        <v>0</v>
      </c>
      <c r="AE252" s="66">
        <f>(AE176+AE177)*'Data - P&amp;L'!$C$10*'Data - P&amp;L'!$C$55</f>
        <v>0</v>
      </c>
      <c r="AF252" s="62">
        <f t="shared" si="66"/>
        <v>0</v>
      </c>
    </row>
    <row r="253">
      <c r="A253" s="117" t="s">
        <v>405</v>
      </c>
      <c r="B253" s="66">
        <f>(B167+B168)*'Data - P&amp;L'!$C$43*'Data - P&amp;L'!$C$55</f>
        <v>0</v>
      </c>
      <c r="C253" s="66">
        <f>(C167+C168)*'Data - P&amp;L'!$C$43*'Data - P&amp;L'!$C$55</f>
        <v>0</v>
      </c>
      <c r="D253" s="66">
        <f>(D167+D168)*'Data - P&amp;L'!$C$43*'Data - P&amp;L'!$C$55</f>
        <v>0</v>
      </c>
      <c r="E253" s="66">
        <f>(E167+E168)*'Data - P&amp;L'!$C$43*'Data - P&amp;L'!$C$55</f>
        <v>0</v>
      </c>
      <c r="F253" s="66">
        <f>(F167+F168)*'Data - P&amp;L'!$C$43*'Data - P&amp;L'!$C$55</f>
        <v>0</v>
      </c>
      <c r="G253" s="66">
        <f>(G167+G168)*'Data - P&amp;L'!$C$43*'Data - P&amp;L'!$C$55</f>
        <v>0</v>
      </c>
      <c r="H253" s="66">
        <f>(H167+H168)*'Data - P&amp;L'!$C$43*'Data - P&amp;L'!$C$55</f>
        <v>0</v>
      </c>
      <c r="I253" s="66">
        <f>(I167+I168)*'Data - P&amp;L'!$C$43*'Data - P&amp;L'!$C$55</f>
        <v>0</v>
      </c>
      <c r="J253" s="66">
        <f>(J167+J168)*'Data - P&amp;L'!$C$43*'Data - P&amp;L'!$C$55</f>
        <v>0</v>
      </c>
      <c r="K253" s="66">
        <f>(K167+K168)*'Data - P&amp;L'!$C$43*'Data - P&amp;L'!$C$55</f>
        <v>0</v>
      </c>
      <c r="L253" s="66">
        <f>(L167+L168)*'Data - P&amp;L'!$C$43*'Data - P&amp;L'!$C$55</f>
        <v>0</v>
      </c>
      <c r="M253" s="66">
        <f>(M167+M168)*'Data - P&amp;L'!$C$43*'Data - P&amp;L'!$C$55</f>
        <v>0</v>
      </c>
      <c r="N253" s="66">
        <f>(N167+N168)*'Data - P&amp;L'!$C$43*'Data - P&amp;L'!$C$55</f>
        <v>0</v>
      </c>
      <c r="O253" s="66">
        <f>(O167+O168)*'Data - P&amp;L'!$C$43*'Data - P&amp;L'!$C$55</f>
        <v>0</v>
      </c>
      <c r="P253" s="66">
        <f>(P167+P168)*'Data - P&amp;L'!$C$43*'Data - P&amp;L'!$C$55</f>
        <v>0</v>
      </c>
      <c r="Q253" s="66">
        <f>(Q167+Q168)*'Data - P&amp;L'!$C$43*'Data - P&amp;L'!$C$55</f>
        <v>0</v>
      </c>
      <c r="R253" s="66">
        <f>(R167+R168)*'Data - P&amp;L'!$C$43*'Data - P&amp;L'!$C$55</f>
        <v>0</v>
      </c>
      <c r="S253" s="66">
        <f>(S167+S168)*'Data - P&amp;L'!$C$43*'Data - P&amp;L'!$C$55</f>
        <v>0</v>
      </c>
      <c r="T253" s="66">
        <f>(T167+T168)*'Data - P&amp;L'!$C$43*'Data - P&amp;L'!$C$55</f>
        <v>0</v>
      </c>
      <c r="U253" s="66">
        <f>(U167+U168)*'Data - P&amp;L'!$C$43*'Data - P&amp;L'!$C$55</f>
        <v>0</v>
      </c>
      <c r="V253" s="66">
        <f>(V167+V168)*'Data - P&amp;L'!$C$43*'Data - P&amp;L'!$C$55</f>
        <v>0</v>
      </c>
      <c r="W253" s="66">
        <f>(W167+W168)*'Data - P&amp;L'!$C$43*'Data - P&amp;L'!$C$55</f>
        <v>0</v>
      </c>
      <c r="X253" s="66">
        <f>(X167+X168)*'Data - P&amp;L'!$C$43*'Data - P&amp;L'!$C$55</f>
        <v>0</v>
      </c>
      <c r="Y253" s="66">
        <f>(Y167+Y168)*'Data - P&amp;L'!$C$43*'Data - P&amp;L'!$C$55</f>
        <v>0</v>
      </c>
      <c r="Z253" s="66">
        <f>(Z167+Z168)*'Data - P&amp;L'!$C$43*'Data - P&amp;L'!$C$55</f>
        <v>0</v>
      </c>
      <c r="AA253" s="66">
        <f>(AA167+AA168)*'Data - P&amp;L'!$C$43*'Data - P&amp;L'!$C$55</f>
        <v>0</v>
      </c>
      <c r="AB253" s="66">
        <f>(AB167+AB168)*'Data - P&amp;L'!$C$43*'Data - P&amp;L'!$C$55</f>
        <v>0</v>
      </c>
      <c r="AC253" s="66">
        <f>(AC167+AC168)*'Data - P&amp;L'!$C$43*'Data - P&amp;L'!$C$55</f>
        <v>0</v>
      </c>
      <c r="AD253" s="66">
        <f>(AD167+AD168)*'Data - P&amp;L'!$C$43*'Data - P&amp;L'!$C$55</f>
        <v>0</v>
      </c>
      <c r="AE253" s="66">
        <f>(AE167+AE168)*'Data - P&amp;L'!$C$43*'Data - P&amp;L'!$C$55</f>
        <v>0</v>
      </c>
      <c r="AF253" s="62">
        <f t="shared" si="66"/>
        <v>0</v>
      </c>
    </row>
    <row r="254">
      <c r="A254" s="117" t="s">
        <v>467</v>
      </c>
      <c r="B254" s="66">
        <f>B178*'Data - P&amp;L'!$C$43*'Data - P&amp;L'!$C$55</f>
        <v>0</v>
      </c>
      <c r="C254" s="66">
        <f>C178*'Data - P&amp;L'!$C$43*'Data - P&amp;L'!$C$55</f>
        <v>0</v>
      </c>
      <c r="D254" s="66">
        <f>D178*'Data - P&amp;L'!$C$43*'Data - P&amp;L'!$C$55</f>
        <v>0</v>
      </c>
      <c r="E254" s="66">
        <f>E178*'Data - P&amp;L'!$C$43*'Data - P&amp;L'!$C$55</f>
        <v>0</v>
      </c>
      <c r="F254" s="66">
        <f>F178*'Data - P&amp;L'!$C$43*'Data - P&amp;L'!$C$55</f>
        <v>0</v>
      </c>
      <c r="G254" s="66">
        <f>G178*'Data - P&amp;L'!$C$43*'Data - P&amp;L'!$C$55</f>
        <v>0</v>
      </c>
      <c r="H254" s="66">
        <f>H178*'Data - P&amp;L'!$C$43*'Data - P&amp;L'!$C$55</f>
        <v>0</v>
      </c>
      <c r="I254" s="66">
        <f>I178*'Data - P&amp;L'!$C$43*'Data - P&amp;L'!$C$55</f>
        <v>0</v>
      </c>
      <c r="J254" s="66">
        <f>J178*'Data - P&amp;L'!$C$43*'Data - P&amp;L'!$C$55</f>
        <v>0</v>
      </c>
      <c r="K254" s="66">
        <f>K178*'Data - P&amp;L'!$C$43*'Data - P&amp;L'!$C$55</f>
        <v>0</v>
      </c>
      <c r="L254" s="66">
        <f>L178*'Data - P&amp;L'!$C$43*'Data - P&amp;L'!$C$55</f>
        <v>0</v>
      </c>
      <c r="M254" s="66">
        <f>M178*'Data - P&amp;L'!$C$43*'Data - P&amp;L'!$C$55</f>
        <v>0</v>
      </c>
      <c r="N254" s="66">
        <f>N178*'Data - P&amp;L'!$C$43*'Data - P&amp;L'!$C$55</f>
        <v>0</v>
      </c>
      <c r="O254" s="66">
        <f>O178*'Data - P&amp;L'!$C$43*'Data - P&amp;L'!$C$55</f>
        <v>0</v>
      </c>
      <c r="P254" s="66">
        <f>P178*'Data - P&amp;L'!$C$43*'Data - P&amp;L'!$C$55</f>
        <v>0</v>
      </c>
      <c r="Q254" s="66">
        <f>Q178*'Data - P&amp;L'!$C$43*'Data - P&amp;L'!$C$55</f>
        <v>0</v>
      </c>
      <c r="R254" s="66">
        <f>R178*'Data - P&amp;L'!$C$43*'Data - P&amp;L'!$C$55</f>
        <v>0</v>
      </c>
      <c r="S254" s="66">
        <f>S178*'Data - P&amp;L'!$C$43*'Data - P&amp;L'!$C$55</f>
        <v>0</v>
      </c>
      <c r="T254" s="66">
        <f>T178*'Data - P&amp;L'!$C$43*'Data - P&amp;L'!$C$55</f>
        <v>0</v>
      </c>
      <c r="U254" s="66">
        <f>U178*'Data - P&amp;L'!$C$43*'Data - P&amp;L'!$C$55</f>
        <v>0</v>
      </c>
      <c r="V254" s="66">
        <f>V178*'Data - P&amp;L'!$C$43*'Data - P&amp;L'!$C$55</f>
        <v>1.194</v>
      </c>
      <c r="W254" s="66">
        <f>W178*'Data - P&amp;L'!$C$43*'Data - P&amp;L'!$C$55</f>
        <v>0</v>
      </c>
      <c r="X254" s="66">
        <f>X178*'Data - P&amp;L'!$C$43*'Data - P&amp;L'!$C$55</f>
        <v>0</v>
      </c>
      <c r="Y254" s="66">
        <f>Y178*'Data - P&amp;L'!$C$43*'Data - P&amp;L'!$C$55</f>
        <v>0</v>
      </c>
      <c r="Z254" s="66">
        <f>Z178*'Data - P&amp;L'!$C$43*'Data - P&amp;L'!$C$55</f>
        <v>0</v>
      </c>
      <c r="AA254" s="66">
        <f>AA178*'Data - P&amp;L'!$C$43*'Data - P&amp;L'!$C$55</f>
        <v>0</v>
      </c>
      <c r="AB254" s="66">
        <f>AB178*'Data - P&amp;L'!$C$43*'Data - P&amp;L'!$C$55</f>
        <v>0</v>
      </c>
      <c r="AC254" s="66">
        <f>AC178*'Data - P&amp;L'!$C$43*'Data - P&amp;L'!$C$55</f>
        <v>0</v>
      </c>
      <c r="AD254" s="66">
        <f>AD178*'Data - P&amp;L'!$C$43*'Data - P&amp;L'!$C$55</f>
        <v>0</v>
      </c>
      <c r="AE254" s="66">
        <f>AE178*'Data - P&amp;L'!$C$43*'Data - P&amp;L'!$C$55</f>
        <v>0</v>
      </c>
      <c r="AF254" s="62">
        <f t="shared" si="66"/>
        <v>1.194</v>
      </c>
    </row>
    <row r="255">
      <c r="A255" s="117" t="s">
        <v>510</v>
      </c>
      <c r="B255" s="66">
        <f>(((B167+B168)*'Data - P&amp;L'!$C$62)*(1-'Data - P&amp;L'!$C$59))+((B178*'Data - P&amp;L'!$C$63)*(1-'Data - P&amp;L'!$C$59))</f>
        <v>0</v>
      </c>
      <c r="C255" s="66">
        <f>(((C167+C168)*'Data - P&amp;L'!$C$62)*(1-'Data - P&amp;L'!$C$59))+((C178*'Data - P&amp;L'!$C$63)*(1-'Data - P&amp;L'!$C$59))</f>
        <v>0</v>
      </c>
      <c r="D255" s="66">
        <f>(((D167+D168)*'Data - P&amp;L'!$C$62)*(1-'Data - P&amp;L'!$C$59))+((D178*'Data - P&amp;L'!$C$63)*(1-'Data - P&amp;L'!$C$59))</f>
        <v>0</v>
      </c>
      <c r="E255" s="66">
        <f>(((E167+E168)*'Data - P&amp;L'!$C$62)*(1-'Data - P&amp;L'!$C$59))+((E178*'Data - P&amp;L'!$C$63)*(1-'Data - P&amp;L'!$C$59))</f>
        <v>0</v>
      </c>
      <c r="F255" s="66">
        <f>(((F167+F168)*'Data - P&amp;L'!$C$62)*(1-'Data - P&amp;L'!$C$59))+((F178*'Data - P&amp;L'!$C$63)*(1-'Data - P&amp;L'!$C$59))</f>
        <v>0</v>
      </c>
      <c r="G255" s="66">
        <f>(((G167+G168)*'Data - P&amp;L'!$C$62)*(1-'Data - P&amp;L'!$C$59))+((G178*'Data - P&amp;L'!$C$63)*(1-'Data - P&amp;L'!$C$59))</f>
        <v>0</v>
      </c>
      <c r="H255" s="66">
        <f>(((H167+H168)*'Data - P&amp;L'!$C$62)*(1-'Data - P&amp;L'!$C$59))+((H178*'Data - P&amp;L'!$C$63)*(1-'Data - P&amp;L'!$C$59))</f>
        <v>0</v>
      </c>
      <c r="I255" s="66">
        <f>(((I167+I168)*'Data - P&amp;L'!$C$62)*(1-'Data - P&amp;L'!$C$59))+((I178*'Data - P&amp;L'!$C$63)*(1-'Data - P&amp;L'!$C$59))</f>
        <v>0</v>
      </c>
      <c r="J255" s="66">
        <f>(((J167+J168)*'Data - P&amp;L'!$C$62)*(1-'Data - P&amp;L'!$C$59))+((J178*'Data - P&amp;L'!$C$63)*(1-'Data - P&amp;L'!$C$59))</f>
        <v>0</v>
      </c>
      <c r="K255" s="66">
        <f>(((K167+K168)*'Data - P&amp;L'!$C$62)*(1-'Data - P&amp;L'!$C$59))+((K178*'Data - P&amp;L'!$C$63)*(1-'Data - P&amp;L'!$C$59))</f>
        <v>0</v>
      </c>
      <c r="L255" s="66">
        <f>(((L167+L168)*'Data - P&amp;L'!$C$62)*(1-'Data - P&amp;L'!$C$59))+((L178*'Data - P&amp;L'!$C$63)*(1-'Data - P&amp;L'!$C$59))</f>
        <v>0</v>
      </c>
      <c r="M255" s="66">
        <f>(((M167+M168)*'Data - P&amp;L'!$C$62)*(1-'Data - P&amp;L'!$C$59))+((M178*'Data - P&amp;L'!$C$63)*(1-'Data - P&amp;L'!$C$59))</f>
        <v>0</v>
      </c>
      <c r="N255" s="66">
        <f>(((N167+N168)*'Data - P&amp;L'!$C$62)*(1-'Data - P&amp;L'!$C$59))+((N178*'Data - P&amp;L'!$C$63)*(1-'Data - P&amp;L'!$C$59))</f>
        <v>0</v>
      </c>
      <c r="O255" s="66">
        <f>(((O167+O168)*'Data - P&amp;L'!$C$62)*(1-'Data - P&amp;L'!$C$59))+((O178*'Data - P&amp;L'!$C$63)*(1-'Data - P&amp;L'!$C$59))</f>
        <v>0</v>
      </c>
      <c r="P255" s="66">
        <f>(((P167+P168)*'Data - P&amp;L'!$C$62)*(1-'Data - P&amp;L'!$C$59))+((P178*'Data - P&amp;L'!$C$63)*(1-'Data - P&amp;L'!$C$59))</f>
        <v>0</v>
      </c>
      <c r="Q255" s="66">
        <f>(((Q167+Q168)*'Data - P&amp;L'!$C$62)*(1-'Data - P&amp;L'!$C$59))+((Q178*'Data - P&amp;L'!$C$63)*(1-'Data - P&amp;L'!$C$59))</f>
        <v>0</v>
      </c>
      <c r="R255" s="66">
        <f>(((R167+R168)*'Data - P&amp;L'!$C$62)*(1-'Data - P&amp;L'!$C$59))+((R178*'Data - P&amp;L'!$C$63)*(1-'Data - P&amp;L'!$C$59))</f>
        <v>0</v>
      </c>
      <c r="S255" s="66">
        <f>(((S167+S168)*'Data - P&amp;L'!$C$62)*(1-'Data - P&amp;L'!$C$59))+((S178*'Data - P&amp;L'!$C$63)*(1-'Data - P&amp;L'!$C$59))</f>
        <v>0</v>
      </c>
      <c r="T255" s="66">
        <f>(((T167+T168)*'Data - P&amp;L'!$C$62)*(1-'Data - P&amp;L'!$C$59))+((T178*'Data - P&amp;L'!$C$63)*(1-'Data - P&amp;L'!$C$59))</f>
        <v>0</v>
      </c>
      <c r="U255" s="66">
        <f>(((U167+U168)*'Data - P&amp;L'!$C$62)*(1-'Data - P&amp;L'!$C$59))+((U178*'Data - P&amp;L'!$C$63)*(1-'Data - P&amp;L'!$C$59))</f>
        <v>0</v>
      </c>
      <c r="V255" s="66">
        <f>(((V167+V168)*'Data - P&amp;L'!$C$62)*(1-'Data - P&amp;L'!$C$59))+((V178*'Data - P&amp;L'!$C$63)*(1-'Data - P&amp;L'!$C$59))</f>
        <v>1.18734</v>
      </c>
      <c r="W255" s="66">
        <f>(((W167+W168)*'Data - P&amp;L'!$C$62)*(1-'Data - P&amp;L'!$C$59))+((W178*'Data - P&amp;L'!$C$63)*(1-'Data - P&amp;L'!$C$59))</f>
        <v>0</v>
      </c>
      <c r="X255" s="66">
        <f>(((X167+X168)*'Data - P&amp;L'!$C$62)*(1-'Data - P&amp;L'!$C$59))+((X178*'Data - P&amp;L'!$C$63)*(1-'Data - P&amp;L'!$C$59))</f>
        <v>0</v>
      </c>
      <c r="Y255" s="66">
        <f>(((Y167+Y168)*'Data - P&amp;L'!$C$62)*(1-'Data - P&amp;L'!$C$59))+((Y178*'Data - P&amp;L'!$C$63)*(1-'Data - P&amp;L'!$C$59))</f>
        <v>0</v>
      </c>
      <c r="Z255" s="66">
        <f>(((Z167+Z168)*'Data - P&amp;L'!$C$62)*(1-'Data - P&amp;L'!$C$59))+((Z178*'Data - P&amp;L'!$C$63)*(1-'Data - P&amp;L'!$C$59))</f>
        <v>0</v>
      </c>
      <c r="AA255" s="66">
        <f>(((AA167+AA168)*'Data - P&amp;L'!$C$62)*(1-'Data - P&amp;L'!$C$59))+((AA178*'Data - P&amp;L'!$C$63)*(1-'Data - P&amp;L'!$C$59))</f>
        <v>0</v>
      </c>
      <c r="AB255" s="66">
        <f>(((AB167+AB168)*'Data - P&amp;L'!$C$62)*(1-'Data - P&amp;L'!$C$59))+((AB178*'Data - P&amp;L'!$C$63)*(1-'Data - P&amp;L'!$C$59))</f>
        <v>0</v>
      </c>
      <c r="AC255" s="66">
        <f>(((AC167+AC168)*'Data - P&amp;L'!$C$62)*(1-'Data - P&amp;L'!$C$59))+((AC178*'Data - P&amp;L'!$C$63)*(1-'Data - P&amp;L'!$C$59))</f>
        <v>0</v>
      </c>
      <c r="AD255" s="66">
        <f>(((AD167+AD168)*'Data - P&amp;L'!$C$62)*(1-'Data - P&amp;L'!$C$59))+((AD178*'Data - P&amp;L'!$C$63)*(1-'Data - P&amp;L'!$C$59))</f>
        <v>0</v>
      </c>
      <c r="AE255" s="66">
        <f>(((AE167+AE168)*'Data - P&amp;L'!$C$62)*(1-'Data - P&amp;L'!$C$59))+((AE178*'Data - P&amp;L'!$C$63)*(1-'Data - P&amp;L'!$C$59))</f>
        <v>0</v>
      </c>
      <c r="AF255" s="62">
        <f t="shared" si="66"/>
        <v>1.18734</v>
      </c>
    </row>
    <row r="256">
      <c r="A256" s="330" t="s">
        <v>540</v>
      </c>
      <c r="B256" s="331">
        <f t="shared" ref="B256:AE256" si="71">sum(B257:B265)</f>
        <v>0</v>
      </c>
      <c r="C256" s="331">
        <f t="shared" si="71"/>
        <v>0</v>
      </c>
      <c r="D256" s="331">
        <f t="shared" si="71"/>
        <v>0</v>
      </c>
      <c r="E256" s="331">
        <f t="shared" si="71"/>
        <v>0</v>
      </c>
      <c r="F256" s="331">
        <f t="shared" si="71"/>
        <v>0</v>
      </c>
      <c r="G256" s="331">
        <f t="shared" si="71"/>
        <v>0</v>
      </c>
      <c r="H256" s="331">
        <f t="shared" si="71"/>
        <v>0</v>
      </c>
      <c r="I256" s="331">
        <f t="shared" si="71"/>
        <v>0</v>
      </c>
      <c r="J256" s="331">
        <f t="shared" si="71"/>
        <v>0</v>
      </c>
      <c r="K256" s="331">
        <f t="shared" si="71"/>
        <v>0</v>
      </c>
      <c r="L256" s="331">
        <f t="shared" si="71"/>
        <v>0</v>
      </c>
      <c r="M256" s="331">
        <f t="shared" si="71"/>
        <v>0</v>
      </c>
      <c r="N256" s="331">
        <f t="shared" si="71"/>
        <v>0</v>
      </c>
      <c r="O256" s="331">
        <f t="shared" si="71"/>
        <v>0</v>
      </c>
      <c r="P256" s="331">
        <f t="shared" si="71"/>
        <v>0</v>
      </c>
      <c r="Q256" s="331">
        <f t="shared" si="71"/>
        <v>0</v>
      </c>
      <c r="R256" s="331">
        <f t="shared" si="71"/>
        <v>0</v>
      </c>
      <c r="S256" s="331">
        <f t="shared" si="71"/>
        <v>0</v>
      </c>
      <c r="T256" s="331">
        <f t="shared" si="71"/>
        <v>0</v>
      </c>
      <c r="U256" s="331">
        <f t="shared" si="71"/>
        <v>0</v>
      </c>
      <c r="V256" s="331">
        <f t="shared" si="71"/>
        <v>14.634</v>
      </c>
      <c r="W256" s="331">
        <f t="shared" si="71"/>
        <v>0</v>
      </c>
      <c r="X256" s="331">
        <f t="shared" si="71"/>
        <v>0</v>
      </c>
      <c r="Y256" s="331">
        <f t="shared" si="71"/>
        <v>0</v>
      </c>
      <c r="Z256" s="331">
        <f t="shared" si="71"/>
        <v>0</v>
      </c>
      <c r="AA256" s="331">
        <f t="shared" si="71"/>
        <v>0</v>
      </c>
      <c r="AB256" s="331">
        <f t="shared" si="71"/>
        <v>0</v>
      </c>
      <c r="AC256" s="331">
        <f t="shared" si="71"/>
        <v>0</v>
      </c>
      <c r="AD256" s="331">
        <f t="shared" si="71"/>
        <v>0</v>
      </c>
      <c r="AE256" s="331">
        <f t="shared" si="71"/>
        <v>0</v>
      </c>
      <c r="AF256" s="62">
        <f>SUM(AF246:AF255)</f>
        <v>3.72534</v>
      </c>
    </row>
    <row r="257">
      <c r="A257" s="117" t="s">
        <v>382</v>
      </c>
      <c r="B257" s="66">
        <f>B167*'Data - P&amp;L'!$C$3</f>
        <v>0</v>
      </c>
      <c r="C257" s="66">
        <f>C167*'Data - P&amp;L'!$C$3</f>
        <v>0</v>
      </c>
      <c r="D257" s="66">
        <f>D167*'Data - P&amp;L'!$C$3</f>
        <v>0</v>
      </c>
      <c r="E257" s="66">
        <f>E167*'Data - P&amp;L'!$C$3</f>
        <v>0</v>
      </c>
      <c r="F257" s="66">
        <f>F167*'Data - P&amp;L'!$C$3</f>
        <v>0</v>
      </c>
      <c r="G257" s="66">
        <f>G167*'Data - P&amp;L'!$C$3</f>
        <v>0</v>
      </c>
      <c r="H257" s="66">
        <f>H167*'Data - P&amp;L'!$C$3</f>
        <v>0</v>
      </c>
      <c r="I257" s="66">
        <f>I167*'Data - P&amp;L'!$C$3</f>
        <v>0</v>
      </c>
      <c r="J257" s="66">
        <f>J167*'Data - P&amp;L'!$C$3</f>
        <v>0</v>
      </c>
      <c r="K257" s="66">
        <f>K167*'Data - P&amp;L'!$C$3</f>
        <v>0</v>
      </c>
      <c r="L257" s="66">
        <f>L167*'Data - P&amp;L'!$C$3</f>
        <v>0</v>
      </c>
      <c r="M257" s="66">
        <f>M167*'Data - P&amp;L'!$C$3</f>
        <v>0</v>
      </c>
      <c r="N257" s="66">
        <f>N167*'Data - P&amp;L'!$C$3</f>
        <v>0</v>
      </c>
      <c r="O257" s="66">
        <f>O167*'Data - P&amp;L'!$C$3</f>
        <v>0</v>
      </c>
      <c r="P257" s="66">
        <f>P167*'Data - P&amp;L'!$C$3</f>
        <v>0</v>
      </c>
      <c r="Q257" s="66">
        <f>Q167*'Data - P&amp;L'!$C$3</f>
        <v>0</v>
      </c>
      <c r="R257" s="66">
        <f>R167*'Data - P&amp;L'!$C$3</f>
        <v>0</v>
      </c>
      <c r="S257" s="66">
        <f>S167*'Data - P&amp;L'!$C$3</f>
        <v>0</v>
      </c>
      <c r="T257" s="66">
        <f>T167*'Data - P&amp;L'!$C$3</f>
        <v>0</v>
      </c>
      <c r="U257" s="66">
        <f>U167*'Data - P&amp;L'!$C$3</f>
        <v>0</v>
      </c>
      <c r="V257" s="66">
        <f>V167*'Data - P&amp;L'!$C$3</f>
        <v>0</v>
      </c>
      <c r="W257" s="66">
        <f>W167*'Data - P&amp;L'!$C$3</f>
        <v>0</v>
      </c>
      <c r="X257" s="66">
        <f>X167*'Data - P&amp;L'!$C$3</f>
        <v>0</v>
      </c>
      <c r="Y257" s="66">
        <f>Y167*'Data - P&amp;L'!$C$3</f>
        <v>0</v>
      </c>
      <c r="Z257" s="66">
        <f>Z167*'Data - P&amp;L'!$C$3</f>
        <v>0</v>
      </c>
      <c r="AA257" s="66">
        <f>AA167*'Data - P&amp;L'!$C$3</f>
        <v>0</v>
      </c>
      <c r="AB257" s="66">
        <f>AB167*'Data - P&amp;L'!$C$3</f>
        <v>0</v>
      </c>
      <c r="AC257" s="66">
        <f>AC167*'Data - P&amp;L'!$C$3</f>
        <v>0</v>
      </c>
      <c r="AD257" s="66">
        <f>AD167*'Data - P&amp;L'!$C$3</f>
        <v>0</v>
      </c>
      <c r="AE257" s="66">
        <f>AE167*'Data - P&amp;L'!$C$3</f>
        <v>0</v>
      </c>
      <c r="AF257" s="62">
        <f t="shared" ref="AF257:AF268" si="72">SUM(B257:AE257)</f>
        <v>0</v>
      </c>
    </row>
    <row r="258">
      <c r="A258" s="117" t="s">
        <v>385</v>
      </c>
      <c r="B258" s="66">
        <f>B168*'Data - P&amp;L'!$C$4</f>
        <v>0</v>
      </c>
      <c r="C258" s="66">
        <f>C168*'Data - P&amp;L'!$C$4</f>
        <v>0</v>
      </c>
      <c r="D258" s="66">
        <f>D168*'Data - P&amp;L'!$C$4</f>
        <v>0</v>
      </c>
      <c r="E258" s="66">
        <f>E168*'Data - P&amp;L'!$C$4</f>
        <v>0</v>
      </c>
      <c r="F258" s="66">
        <f>F168*'Data - P&amp;L'!$C$4</f>
        <v>0</v>
      </c>
      <c r="G258" s="66">
        <f>G168*'Data - P&amp;L'!$C$4</f>
        <v>0</v>
      </c>
      <c r="H258" s="66">
        <f>H168*'Data - P&amp;L'!$C$4</f>
        <v>0</v>
      </c>
      <c r="I258" s="66">
        <f>I168*'Data - P&amp;L'!$C$4</f>
        <v>0</v>
      </c>
      <c r="J258" s="66">
        <f>J168*'Data - P&amp;L'!$C$4</f>
        <v>0</v>
      </c>
      <c r="K258" s="66">
        <f>K168*'Data - P&amp;L'!$C$4</f>
        <v>0</v>
      </c>
      <c r="L258" s="66">
        <f>L168*'Data - P&amp;L'!$C$4</f>
        <v>0</v>
      </c>
      <c r="M258" s="66">
        <f>M168*'Data - P&amp;L'!$C$4</f>
        <v>0</v>
      </c>
      <c r="N258" s="66">
        <f>N168*'Data - P&amp;L'!$C$4</f>
        <v>0</v>
      </c>
      <c r="O258" s="66">
        <f>O168*'Data - P&amp;L'!$C$4</f>
        <v>0</v>
      </c>
      <c r="P258" s="66">
        <f>P168*'Data - P&amp;L'!$C$4</f>
        <v>0</v>
      </c>
      <c r="Q258" s="66">
        <f>Q168*'Data - P&amp;L'!$C$4</f>
        <v>0</v>
      </c>
      <c r="R258" s="66">
        <f>R168*'Data - P&amp;L'!$C$4</f>
        <v>0</v>
      </c>
      <c r="S258" s="66">
        <f>S168*'Data - P&amp;L'!$C$4</f>
        <v>0</v>
      </c>
      <c r="T258" s="66">
        <f>T168*'Data - P&amp;L'!$C$4</f>
        <v>0</v>
      </c>
      <c r="U258" s="66">
        <f>U168*'Data - P&amp;L'!$C$4</f>
        <v>0</v>
      </c>
      <c r="V258" s="66">
        <f>V168*'Data - P&amp;L'!$C$4</f>
        <v>0</v>
      </c>
      <c r="W258" s="66">
        <f>W168*'Data - P&amp;L'!$C$4</f>
        <v>0</v>
      </c>
      <c r="X258" s="66">
        <f>X168*'Data - P&amp;L'!$C$4</f>
        <v>0</v>
      </c>
      <c r="Y258" s="66">
        <f>Y168*'Data - P&amp;L'!$C$4</f>
        <v>0</v>
      </c>
      <c r="Z258" s="66">
        <f>Z168*'Data - P&amp;L'!$C$4</f>
        <v>0</v>
      </c>
      <c r="AA258" s="66">
        <f>AA168*'Data - P&amp;L'!$C$4</f>
        <v>0</v>
      </c>
      <c r="AB258" s="66">
        <f>AB168*'Data - P&amp;L'!$C$4</f>
        <v>0</v>
      </c>
      <c r="AC258" s="66">
        <f>AC168*'Data - P&amp;L'!$C$4</f>
        <v>0</v>
      </c>
      <c r="AD258" s="66">
        <f>AD168*'Data - P&amp;L'!$C$4</f>
        <v>0</v>
      </c>
      <c r="AE258" s="66">
        <f>AE168*'Data - P&amp;L'!$C$4</f>
        <v>0</v>
      </c>
      <c r="AF258" s="62">
        <f t="shared" si="72"/>
        <v>0</v>
      </c>
    </row>
    <row r="259">
      <c r="A259" s="117" t="s">
        <v>388</v>
      </c>
      <c r="B259" s="66">
        <f>B170*'Data - P&amp;L'!$C$6</f>
        <v>0</v>
      </c>
      <c r="C259" s="66">
        <f>C170*'Data - P&amp;L'!$C$6</f>
        <v>0</v>
      </c>
      <c r="D259" s="66">
        <f>D170*'Data - P&amp;L'!$C$6</f>
        <v>0</v>
      </c>
      <c r="E259" s="66">
        <f>E170*'Data - P&amp;L'!$C$6</f>
        <v>0</v>
      </c>
      <c r="F259" s="66">
        <f>F170*'Data - P&amp;L'!$C$6</f>
        <v>0</v>
      </c>
      <c r="G259" s="66">
        <f>G170*'Data - P&amp;L'!$C$6</f>
        <v>0</v>
      </c>
      <c r="H259" s="66">
        <f>H170*'Data - P&amp;L'!$C$6</f>
        <v>0</v>
      </c>
      <c r="I259" s="66">
        <f>I170*'Data - P&amp;L'!$C$6</f>
        <v>0</v>
      </c>
      <c r="J259" s="66">
        <f>J170*'Data - P&amp;L'!$C$6</f>
        <v>0</v>
      </c>
      <c r="K259" s="66">
        <f>K170*'Data - P&amp;L'!$C$6</f>
        <v>0</v>
      </c>
      <c r="L259" s="66">
        <f>L170*'Data - P&amp;L'!$C$6</f>
        <v>0</v>
      </c>
      <c r="M259" s="66">
        <f>M170*'Data - P&amp;L'!$C$6</f>
        <v>0</v>
      </c>
      <c r="N259" s="66">
        <f>N170*'Data - P&amp;L'!$C$6</f>
        <v>0</v>
      </c>
      <c r="O259" s="66">
        <f>O170*'Data - P&amp;L'!$C$6</f>
        <v>0</v>
      </c>
      <c r="P259" s="66">
        <f>P170*'Data - P&amp;L'!$C$6</f>
        <v>0</v>
      </c>
      <c r="Q259" s="66">
        <f>Q170*'Data - P&amp;L'!$C$6</f>
        <v>0</v>
      </c>
      <c r="R259" s="66">
        <f>R170*'Data - P&amp;L'!$C$6</f>
        <v>0</v>
      </c>
      <c r="S259" s="66">
        <f>S170*'Data - P&amp;L'!$C$6</f>
        <v>0</v>
      </c>
      <c r="T259" s="66">
        <f>T170*'Data - P&amp;L'!$C$6</f>
        <v>0</v>
      </c>
      <c r="U259" s="66">
        <f>U170*'Data - P&amp;L'!$C$6</f>
        <v>0</v>
      </c>
      <c r="V259" s="66">
        <f>V170*'Data - P&amp;L'!$C$6</f>
        <v>0</v>
      </c>
      <c r="W259" s="66">
        <f>W170*'Data - P&amp;L'!$C$6</f>
        <v>0</v>
      </c>
      <c r="X259" s="66">
        <f>X170*'Data - P&amp;L'!$C$6</f>
        <v>0</v>
      </c>
      <c r="Y259" s="66">
        <f>Y170*'Data - P&amp;L'!$C$6</f>
        <v>0</v>
      </c>
      <c r="Z259" s="66">
        <f>Z170*'Data - P&amp;L'!$C$6</f>
        <v>0</v>
      </c>
      <c r="AA259" s="66">
        <f>AA170*'Data - P&amp;L'!$C$6</f>
        <v>0</v>
      </c>
      <c r="AB259" s="66">
        <f>AB170*'Data - P&amp;L'!$C$6</f>
        <v>0</v>
      </c>
      <c r="AC259" s="66">
        <f>AC170*'Data - P&amp;L'!$C$6</f>
        <v>0</v>
      </c>
      <c r="AD259" s="66">
        <f>AD170*'Data - P&amp;L'!$C$6</f>
        <v>0</v>
      </c>
      <c r="AE259" s="66">
        <f>AE170*'Data - P&amp;L'!$C$6</f>
        <v>0</v>
      </c>
      <c r="AF259" s="62">
        <f t="shared" si="72"/>
        <v>0</v>
      </c>
    </row>
    <row r="260">
      <c r="A260" s="117" t="s">
        <v>390</v>
      </c>
      <c r="B260" s="66">
        <f>B171*'Data - P&amp;L'!$C$8</f>
        <v>0</v>
      </c>
      <c r="C260" s="66">
        <f>C171*'Data - P&amp;L'!$C$8</f>
        <v>0</v>
      </c>
      <c r="D260" s="66">
        <f>D171*'Data - P&amp;L'!$C$8</f>
        <v>0</v>
      </c>
      <c r="E260" s="66">
        <f>E171*'Data - P&amp;L'!$C$8</f>
        <v>0</v>
      </c>
      <c r="F260" s="66">
        <f>F171*'Data - P&amp;L'!$C$8</f>
        <v>0</v>
      </c>
      <c r="G260" s="66">
        <f>G171*'Data - P&amp;L'!$C$8</f>
        <v>0</v>
      </c>
      <c r="H260" s="66">
        <f>H171*'Data - P&amp;L'!$C$8</f>
        <v>0</v>
      </c>
      <c r="I260" s="66">
        <f>I171*'Data - P&amp;L'!$C$8</f>
        <v>0</v>
      </c>
      <c r="J260" s="66">
        <f>J171*'Data - P&amp;L'!$C$8</f>
        <v>0</v>
      </c>
      <c r="K260" s="66">
        <f>K171*'Data - P&amp;L'!$C$8</f>
        <v>0</v>
      </c>
      <c r="L260" s="66">
        <f>L171*'Data - P&amp;L'!$C$8</f>
        <v>0</v>
      </c>
      <c r="M260" s="66">
        <f>M171*'Data - P&amp;L'!$C$8</f>
        <v>0</v>
      </c>
      <c r="N260" s="66">
        <f>N171*'Data - P&amp;L'!$C$8</f>
        <v>0</v>
      </c>
      <c r="O260" s="66">
        <f>O171*'Data - P&amp;L'!$C$8</f>
        <v>0</v>
      </c>
      <c r="P260" s="66">
        <f>P171*'Data - P&amp;L'!$C$8</f>
        <v>0</v>
      </c>
      <c r="Q260" s="66">
        <f>Q171*'Data - P&amp;L'!$C$8</f>
        <v>0</v>
      </c>
      <c r="R260" s="66">
        <f>R171*'Data - P&amp;L'!$C$8</f>
        <v>0</v>
      </c>
      <c r="S260" s="66">
        <f>S171*'Data - P&amp;L'!$C$8</f>
        <v>0</v>
      </c>
      <c r="T260" s="66">
        <f>T171*'Data - P&amp;L'!$C$8</f>
        <v>0</v>
      </c>
      <c r="U260" s="66">
        <f>U171*'Data - P&amp;L'!$C$8</f>
        <v>0</v>
      </c>
      <c r="V260" s="66">
        <f>V171*'Data - P&amp;L'!$C$8</f>
        <v>0</v>
      </c>
      <c r="W260" s="66">
        <f>W171*'Data - P&amp;L'!$C$8</f>
        <v>0</v>
      </c>
      <c r="X260" s="66">
        <f>X171*'Data - P&amp;L'!$C$8</f>
        <v>0</v>
      </c>
      <c r="Y260" s="66">
        <f>Y171*'Data - P&amp;L'!$C$8</f>
        <v>0</v>
      </c>
      <c r="Z260" s="66">
        <f>Z171*'Data - P&amp;L'!$C$8</f>
        <v>0</v>
      </c>
      <c r="AA260" s="66">
        <f>AA171*'Data - P&amp;L'!$C$8</f>
        <v>0</v>
      </c>
      <c r="AB260" s="66">
        <f>AB171*'Data - P&amp;L'!$C$8</f>
        <v>0</v>
      </c>
      <c r="AC260" s="66">
        <f>AC171*'Data - P&amp;L'!$C$8</f>
        <v>0</v>
      </c>
      <c r="AD260" s="66">
        <f>AD171*'Data - P&amp;L'!$C$8</f>
        <v>0</v>
      </c>
      <c r="AE260" s="66">
        <f>AE171*'Data - P&amp;L'!$C$8</f>
        <v>0</v>
      </c>
      <c r="AF260" s="62">
        <f t="shared" si="72"/>
        <v>0</v>
      </c>
    </row>
    <row r="261">
      <c r="A261" s="117" t="s">
        <v>395</v>
      </c>
      <c r="B261" s="66">
        <f>(B172+B173)*'Data - P&amp;L'!$C$9</f>
        <v>0</v>
      </c>
      <c r="C261" s="66">
        <f>(C172+C173)*'Data - P&amp;L'!$C$9</f>
        <v>0</v>
      </c>
      <c r="D261" s="66">
        <f>(D172+D173)*'Data - P&amp;L'!$C$9</f>
        <v>0</v>
      </c>
      <c r="E261" s="66">
        <f>(E172+E173)*'Data - P&amp;L'!$C$9</f>
        <v>0</v>
      </c>
      <c r="F261" s="66">
        <f>(F172+F173)*'Data - P&amp;L'!$C$9</f>
        <v>0</v>
      </c>
      <c r="G261" s="66">
        <f>(G172+G173)*'Data - P&amp;L'!$C$9</f>
        <v>0</v>
      </c>
      <c r="H261" s="66">
        <f>(H172+H173)*'Data - P&amp;L'!$C$9</f>
        <v>0</v>
      </c>
      <c r="I261" s="66">
        <f>(I172+I173)*'Data - P&amp;L'!$C$9</f>
        <v>0</v>
      </c>
      <c r="J261" s="66">
        <f>(J172+J173)*'Data - P&amp;L'!$C$9</f>
        <v>0</v>
      </c>
      <c r="K261" s="66">
        <f>(K172+K173)*'Data - P&amp;L'!$C$9</f>
        <v>0</v>
      </c>
      <c r="L261" s="66">
        <f>(L172+L173)*'Data - P&amp;L'!$C$9</f>
        <v>0</v>
      </c>
      <c r="M261" s="66">
        <f>(M172+M173)*'Data - P&amp;L'!$C$9</f>
        <v>0</v>
      </c>
      <c r="N261" s="66">
        <f>(N172+N173)*'Data - P&amp;L'!$C$9</f>
        <v>0</v>
      </c>
      <c r="O261" s="66">
        <f>(O172+O173)*'Data - P&amp;L'!$C$9</f>
        <v>0</v>
      </c>
      <c r="P261" s="66">
        <f>(P172+P173)*'Data - P&amp;L'!$C$9</f>
        <v>0</v>
      </c>
      <c r="Q261" s="66">
        <f>(Q172+Q173)*'Data - P&amp;L'!$C$9</f>
        <v>0</v>
      </c>
      <c r="R261" s="66">
        <f>(R172+R173)*'Data - P&amp;L'!$C$9</f>
        <v>0</v>
      </c>
      <c r="S261" s="66">
        <f>(S172+S173)*'Data - P&amp;L'!$C$9</f>
        <v>0</v>
      </c>
      <c r="T261" s="66">
        <f>(T172+T173)*'Data - P&amp;L'!$C$9</f>
        <v>0</v>
      </c>
      <c r="U261" s="66">
        <f>(U172+U173)*'Data - P&amp;L'!$C$9</f>
        <v>0</v>
      </c>
      <c r="V261" s="66">
        <f>(V172+V173)*'Data - P&amp;L'!$C$9</f>
        <v>0</v>
      </c>
      <c r="W261" s="66">
        <f>(W172+W173)*'Data - P&amp;L'!$C$9</f>
        <v>0</v>
      </c>
      <c r="X261" s="66">
        <f>(X172+X173)*'Data - P&amp;L'!$C$9</f>
        <v>0</v>
      </c>
      <c r="Y261" s="66">
        <f>(Y172+Y173)*'Data - P&amp;L'!$C$9</f>
        <v>0</v>
      </c>
      <c r="Z261" s="66">
        <f>(Z172+Z173)*'Data - P&amp;L'!$C$9</f>
        <v>0</v>
      </c>
      <c r="AA261" s="66">
        <f>(AA172+AA173)*'Data - P&amp;L'!$C$9</f>
        <v>0</v>
      </c>
      <c r="AB261" s="66">
        <f>(AB172+AB173)*'Data - P&amp;L'!$C$9</f>
        <v>0</v>
      </c>
      <c r="AC261" s="66">
        <f>(AC172+AC173)*'Data - P&amp;L'!$C$9</f>
        <v>0</v>
      </c>
      <c r="AD261" s="66">
        <f>(AD172+AD173)*'Data - P&amp;L'!$C$9</f>
        <v>0</v>
      </c>
      <c r="AE261" s="66">
        <f>(AE172+AE173)*'Data - P&amp;L'!$C$9</f>
        <v>0</v>
      </c>
      <c r="AF261" s="62">
        <f t="shared" si="72"/>
        <v>0</v>
      </c>
    </row>
    <row r="262">
      <c r="A262" s="117" t="s">
        <v>401</v>
      </c>
      <c r="B262" s="66">
        <f>(B174+B175)*'Data - P&amp;L'!$C$5</f>
        <v>0</v>
      </c>
      <c r="C262" s="66">
        <f>(C174+C175)*'Data - P&amp;L'!$C$5</f>
        <v>0</v>
      </c>
      <c r="D262" s="66">
        <f>(D174+D175)*'Data - P&amp;L'!$C$5</f>
        <v>0</v>
      </c>
      <c r="E262" s="66">
        <f>(E174+E175)*'Data - P&amp;L'!$C$5</f>
        <v>0</v>
      </c>
      <c r="F262" s="66">
        <f>(F174+F175)*'Data - P&amp;L'!$C$5</f>
        <v>0</v>
      </c>
      <c r="G262" s="66">
        <f>(G174+G175)*'Data - P&amp;L'!$C$5</f>
        <v>0</v>
      </c>
      <c r="H262" s="66">
        <f>(H174+H175)*'Data - P&amp;L'!$C$5</f>
        <v>0</v>
      </c>
      <c r="I262" s="66">
        <f>(I174+I175)*'Data - P&amp;L'!$C$5</f>
        <v>0</v>
      </c>
      <c r="J262" s="66">
        <f>(J174+J175)*'Data - P&amp;L'!$C$5</f>
        <v>0</v>
      </c>
      <c r="K262" s="66">
        <f>(K174+K175)*'Data - P&amp;L'!$C$5</f>
        <v>0</v>
      </c>
      <c r="L262" s="66">
        <f>(L174+L175)*'Data - P&amp;L'!$C$5</f>
        <v>0</v>
      </c>
      <c r="M262" s="66">
        <f>(M174+M175)*'Data - P&amp;L'!$C$5</f>
        <v>0</v>
      </c>
      <c r="N262" s="66">
        <f>(N174+N175)*'Data - P&amp;L'!$C$5</f>
        <v>0</v>
      </c>
      <c r="O262" s="66">
        <f>(O174+O175)*'Data - P&amp;L'!$C$5</f>
        <v>0</v>
      </c>
      <c r="P262" s="66">
        <f>(P174+P175)*'Data - P&amp;L'!$C$5</f>
        <v>0</v>
      </c>
      <c r="Q262" s="66">
        <f>(Q174+Q175)*'Data - P&amp;L'!$C$5</f>
        <v>0</v>
      </c>
      <c r="R262" s="66">
        <f>(R174+R175)*'Data - P&amp;L'!$C$5</f>
        <v>0</v>
      </c>
      <c r="S262" s="66">
        <f>(S174+S175)*'Data - P&amp;L'!$C$5</f>
        <v>0</v>
      </c>
      <c r="T262" s="66">
        <f>(T174+T175)*'Data - P&amp;L'!$C$5</f>
        <v>0</v>
      </c>
      <c r="U262" s="66">
        <f>(U174+U175)*'Data - P&amp;L'!$C$5</f>
        <v>0</v>
      </c>
      <c r="V262" s="66">
        <f>(V174+V175)*'Data - P&amp;L'!$C$5</f>
        <v>13.44</v>
      </c>
      <c r="W262" s="66">
        <f>(W174+W175)*'Data - P&amp;L'!$C$5</f>
        <v>0</v>
      </c>
      <c r="X262" s="66">
        <f>(X174+X175)*'Data - P&amp;L'!$C$5</f>
        <v>0</v>
      </c>
      <c r="Y262" s="66">
        <f>(Y174+Y175)*'Data - P&amp;L'!$C$5</f>
        <v>0</v>
      </c>
      <c r="Z262" s="66">
        <f>(Z174+Z175)*'Data - P&amp;L'!$C$5</f>
        <v>0</v>
      </c>
      <c r="AA262" s="66">
        <f>(AA174+AA175)*'Data - P&amp;L'!$C$5</f>
        <v>0</v>
      </c>
      <c r="AB262" s="66">
        <f>(AB174+AB175)*'Data - P&amp;L'!$C$5</f>
        <v>0</v>
      </c>
      <c r="AC262" s="66">
        <f>(AC174+AC175)*'Data - P&amp;L'!$C$5</f>
        <v>0</v>
      </c>
      <c r="AD262" s="66">
        <f>(AD174+AD175)*'Data - P&amp;L'!$C$5</f>
        <v>0</v>
      </c>
      <c r="AE262" s="66">
        <f>(AE174+AE175)*'Data - P&amp;L'!$C$5</f>
        <v>0</v>
      </c>
      <c r="AF262" s="62">
        <f t="shared" si="72"/>
        <v>13.44</v>
      </c>
    </row>
    <row r="263">
      <c r="A263" s="117" t="s">
        <v>404</v>
      </c>
      <c r="B263" s="66">
        <f>(B176+B177)*'Data - P&amp;L'!$C$10</f>
        <v>0</v>
      </c>
      <c r="C263" s="66">
        <f>(C176+C177)*'Data - P&amp;L'!$C$10</f>
        <v>0</v>
      </c>
      <c r="D263" s="66">
        <f>(D176+D177)*'Data - P&amp;L'!$C$10</f>
        <v>0</v>
      </c>
      <c r="E263" s="66">
        <f>(E176+E177)*'Data - P&amp;L'!$C$10</f>
        <v>0</v>
      </c>
      <c r="F263" s="66">
        <f>(F176+F177)*'Data - P&amp;L'!$C$10</f>
        <v>0</v>
      </c>
      <c r="G263" s="66">
        <f>(G176+G177)*'Data - P&amp;L'!$C$10</f>
        <v>0</v>
      </c>
      <c r="H263" s="66">
        <f>(H176+H177)*'Data - P&amp;L'!$C$10</f>
        <v>0</v>
      </c>
      <c r="I263" s="66">
        <f>(I176+I177)*'Data - P&amp;L'!$C$10</f>
        <v>0</v>
      </c>
      <c r="J263" s="66">
        <f>(J176+J177)*'Data - P&amp;L'!$C$10</f>
        <v>0</v>
      </c>
      <c r="K263" s="66">
        <f>(K176+K177)*'Data - P&amp;L'!$C$10</f>
        <v>0</v>
      </c>
      <c r="L263" s="66">
        <f>(L176+L177)*'Data - P&amp;L'!$C$10</f>
        <v>0</v>
      </c>
      <c r="M263" s="66">
        <f>(M176+M177)*'Data - P&amp;L'!$C$10</f>
        <v>0</v>
      </c>
      <c r="N263" s="66">
        <f>(N176+N177)*'Data - P&amp;L'!$C$10</f>
        <v>0</v>
      </c>
      <c r="O263" s="66">
        <f>(O176+O177)*'Data - P&amp;L'!$C$10</f>
        <v>0</v>
      </c>
      <c r="P263" s="66">
        <f>(P176+P177)*'Data - P&amp;L'!$C$10</f>
        <v>0</v>
      </c>
      <c r="Q263" s="66">
        <f>(Q176+Q177)*'Data - P&amp;L'!$C$10</f>
        <v>0</v>
      </c>
      <c r="R263" s="66">
        <f>(R176+R177)*'Data - P&amp;L'!$C$10</f>
        <v>0</v>
      </c>
      <c r="S263" s="66">
        <f>(S176+S177)*'Data - P&amp;L'!$C$10</f>
        <v>0</v>
      </c>
      <c r="T263" s="66">
        <f>(T176+T177)*'Data - P&amp;L'!$C$10</f>
        <v>0</v>
      </c>
      <c r="U263" s="66">
        <f>(U176+U177)*'Data - P&amp;L'!$C$10</f>
        <v>0</v>
      </c>
      <c r="V263" s="66">
        <f>(V176+V177)*'Data - P&amp;L'!$C$10</f>
        <v>0</v>
      </c>
      <c r="W263" s="66">
        <f>(W176+W177)*'Data - P&amp;L'!$C$10</f>
        <v>0</v>
      </c>
      <c r="X263" s="66">
        <f>(X176+X177)*'Data - P&amp;L'!$C$10</f>
        <v>0</v>
      </c>
      <c r="Y263" s="66">
        <f>(Y176+Y177)*'Data - P&amp;L'!$C$10</f>
        <v>0</v>
      </c>
      <c r="Z263" s="66">
        <f>(Z176+Z177)*'Data - P&amp;L'!$C$10</f>
        <v>0</v>
      </c>
      <c r="AA263" s="66">
        <f>(AA176+AA177)*'Data - P&amp;L'!$C$10</f>
        <v>0</v>
      </c>
      <c r="AB263" s="66">
        <f>(AB176+AB177)*'Data - P&amp;L'!$C$10</f>
        <v>0</v>
      </c>
      <c r="AC263" s="66">
        <f>(AC176+AC177)*'Data - P&amp;L'!$C$10</f>
        <v>0</v>
      </c>
      <c r="AD263" s="66">
        <f>(AD176+AD177)*'Data - P&amp;L'!$C$10</f>
        <v>0</v>
      </c>
      <c r="AE263" s="66">
        <f>(AE176+AE177)*'Data - P&amp;L'!$C$10</f>
        <v>0</v>
      </c>
      <c r="AF263" s="62">
        <f t="shared" si="72"/>
        <v>0</v>
      </c>
    </row>
    <row r="264">
      <c r="A264" s="117" t="s">
        <v>405</v>
      </c>
      <c r="B264" s="66">
        <f>(B167+B168)*'Data - P&amp;L'!$C$43*'Data - P&amp;L'!$C$55</f>
        <v>0</v>
      </c>
      <c r="C264" s="66">
        <f>(C167+C168)*'Data - P&amp;L'!$C$43*'Data - P&amp;L'!$C$55</f>
        <v>0</v>
      </c>
      <c r="D264" s="66">
        <f>(D167+D168)*'Data - P&amp;L'!$C$43*'Data - P&amp;L'!$C$55</f>
        <v>0</v>
      </c>
      <c r="E264" s="66">
        <f>(E167+E168)*'Data - P&amp;L'!$C$43*'Data - P&amp;L'!$C$55</f>
        <v>0</v>
      </c>
      <c r="F264" s="66">
        <f>(F167+F168)*'Data - P&amp;L'!$C$43*'Data - P&amp;L'!$C$55</f>
        <v>0</v>
      </c>
      <c r="G264" s="66">
        <f>(G167+G168)*'Data - P&amp;L'!$C$43*'Data - P&amp;L'!$C$55</f>
        <v>0</v>
      </c>
      <c r="H264" s="66">
        <f>(H167+H168)*'Data - P&amp;L'!$C$43*'Data - P&amp;L'!$C$55</f>
        <v>0</v>
      </c>
      <c r="I264" s="66">
        <f>(I167+I168)*'Data - P&amp;L'!$C$43*'Data - P&amp;L'!$C$55</f>
        <v>0</v>
      </c>
      <c r="J264" s="66">
        <f>(J167+J168)*'Data - P&amp;L'!$C$43*'Data - P&amp;L'!$C$55</f>
        <v>0</v>
      </c>
      <c r="K264" s="66">
        <f>(K167+K168)*'Data - P&amp;L'!$C$43*'Data - P&amp;L'!$C$55</f>
        <v>0</v>
      </c>
      <c r="L264" s="66">
        <f>(L167+L168)*'Data - P&amp;L'!$C$43*'Data - P&amp;L'!$C$55</f>
        <v>0</v>
      </c>
      <c r="M264" s="66">
        <f>(M167+M168)*'Data - P&amp;L'!$C$43*'Data - P&amp;L'!$C$55</f>
        <v>0</v>
      </c>
      <c r="N264" s="66">
        <f>(N167+N168)*'Data - P&amp;L'!$C$43*'Data - P&amp;L'!$C$55</f>
        <v>0</v>
      </c>
      <c r="O264" s="66">
        <f>(O167+O168)*'Data - P&amp;L'!$C$43*'Data - P&amp;L'!$C$55</f>
        <v>0</v>
      </c>
      <c r="P264" s="66">
        <f>(P167+P168)*'Data - P&amp;L'!$C$43*'Data - P&amp;L'!$C$55</f>
        <v>0</v>
      </c>
      <c r="Q264" s="66">
        <f>(Q167+Q168)*'Data - P&amp;L'!$C$43*'Data - P&amp;L'!$C$55</f>
        <v>0</v>
      </c>
      <c r="R264" s="66">
        <f>(R167+R168)*'Data - P&amp;L'!$C$43*'Data - P&amp;L'!$C$55</f>
        <v>0</v>
      </c>
      <c r="S264" s="66">
        <f>(S167+S168)*'Data - P&amp;L'!$C$43*'Data - P&amp;L'!$C$55</f>
        <v>0</v>
      </c>
      <c r="T264" s="66">
        <f>(T167+T168)*'Data - P&amp;L'!$C$43*'Data - P&amp;L'!$C$55</f>
        <v>0</v>
      </c>
      <c r="U264" s="66">
        <f>(U167+U168)*'Data - P&amp;L'!$C$43*'Data - P&amp;L'!$C$55</f>
        <v>0</v>
      </c>
      <c r="V264" s="66">
        <f>(V167+V168)*'Data - P&amp;L'!$C$43*'Data - P&amp;L'!$C$55</f>
        <v>0</v>
      </c>
      <c r="W264" s="66">
        <f>(W167+W168)*'Data - P&amp;L'!$C$43*'Data - P&amp;L'!$C$55</f>
        <v>0</v>
      </c>
      <c r="X264" s="66">
        <f>(X167+X168)*'Data - P&amp;L'!$C$43*'Data - P&amp;L'!$C$55</f>
        <v>0</v>
      </c>
      <c r="Y264" s="66">
        <f>(Y167+Y168)*'Data - P&amp;L'!$C$43*'Data - P&amp;L'!$C$55</f>
        <v>0</v>
      </c>
      <c r="Z264" s="66">
        <f>(Z167+Z168)*'Data - P&amp;L'!$C$43*'Data - P&amp;L'!$C$55</f>
        <v>0</v>
      </c>
      <c r="AA264" s="66">
        <f>(AA167+AA168)*'Data - P&amp;L'!$C$43*'Data - P&amp;L'!$C$55</f>
        <v>0</v>
      </c>
      <c r="AB264" s="66">
        <f>(AB167+AB168)*'Data - P&amp;L'!$C$43*'Data - P&amp;L'!$C$55</f>
        <v>0</v>
      </c>
      <c r="AC264" s="66">
        <f>(AC167+AC168)*'Data - P&amp;L'!$C$43*'Data - P&amp;L'!$C$55</f>
        <v>0</v>
      </c>
      <c r="AD264" s="66">
        <f>(AD167+AD168)*'Data - P&amp;L'!$C$43*'Data - P&amp;L'!$C$55</f>
        <v>0</v>
      </c>
      <c r="AE264" s="66">
        <f>(AE167+AE168)*'Data - P&amp;L'!$C$43*'Data - P&amp;L'!$C$55</f>
        <v>0</v>
      </c>
      <c r="AF264" s="62">
        <f t="shared" si="72"/>
        <v>0</v>
      </c>
    </row>
    <row r="265">
      <c r="A265" s="117" t="s">
        <v>467</v>
      </c>
      <c r="B265" s="66">
        <f>B178*'Data - P&amp;L'!$C$43*'Data - P&amp;L'!$C$55</f>
        <v>0</v>
      </c>
      <c r="C265" s="66">
        <f>C178*'Data - P&amp;L'!$C$43*'Data - P&amp;L'!$C$55</f>
        <v>0</v>
      </c>
      <c r="D265" s="66">
        <f>D178*'Data - P&amp;L'!$C$43*'Data - P&amp;L'!$C$55</f>
        <v>0</v>
      </c>
      <c r="E265" s="66">
        <f>E178*'Data - P&amp;L'!$C$43*'Data - P&amp;L'!$C$55</f>
        <v>0</v>
      </c>
      <c r="F265" s="66">
        <f>F178*'Data - P&amp;L'!$C$43*'Data - P&amp;L'!$C$55</f>
        <v>0</v>
      </c>
      <c r="G265" s="66">
        <f>G178*'Data - P&amp;L'!$C$43*'Data - P&amp;L'!$C$55</f>
        <v>0</v>
      </c>
      <c r="H265" s="66">
        <f>H178*'Data - P&amp;L'!$C$43*'Data - P&amp;L'!$C$55</f>
        <v>0</v>
      </c>
      <c r="I265" s="66">
        <f>I178*'Data - P&amp;L'!$C$43*'Data - P&amp;L'!$C$55</f>
        <v>0</v>
      </c>
      <c r="J265" s="66">
        <f>J178*'Data - P&amp;L'!$C$43*'Data - P&amp;L'!$C$55</f>
        <v>0</v>
      </c>
      <c r="K265" s="66">
        <f>K178*'Data - P&amp;L'!$C$43*'Data - P&amp;L'!$C$55</f>
        <v>0</v>
      </c>
      <c r="L265" s="66">
        <f>L178*'Data - P&amp;L'!$C$43*'Data - P&amp;L'!$C$55</f>
        <v>0</v>
      </c>
      <c r="M265" s="66">
        <f>M178*'Data - P&amp;L'!$C$43*'Data - P&amp;L'!$C$55</f>
        <v>0</v>
      </c>
      <c r="N265" s="66">
        <f>N178*'Data - P&amp;L'!$C$43*'Data - P&amp;L'!$C$55</f>
        <v>0</v>
      </c>
      <c r="O265" s="66">
        <f>O178*'Data - P&amp;L'!$C$43*'Data - P&amp;L'!$C$55</f>
        <v>0</v>
      </c>
      <c r="P265" s="66">
        <f>P178*'Data - P&amp;L'!$C$43*'Data - P&amp;L'!$C$55</f>
        <v>0</v>
      </c>
      <c r="Q265" s="66">
        <f>Q178*'Data - P&amp;L'!$C$43*'Data - P&amp;L'!$C$55</f>
        <v>0</v>
      </c>
      <c r="R265" s="66">
        <f>R178*'Data - P&amp;L'!$C$43*'Data - P&amp;L'!$C$55</f>
        <v>0</v>
      </c>
      <c r="S265" s="66">
        <f>S178*'Data - P&amp;L'!$C$43*'Data - P&amp;L'!$C$55</f>
        <v>0</v>
      </c>
      <c r="T265" s="66">
        <f>T178*'Data - P&amp;L'!$C$43*'Data - P&amp;L'!$C$55</f>
        <v>0</v>
      </c>
      <c r="U265" s="66">
        <f>U178*'Data - P&amp;L'!$C$43*'Data - P&amp;L'!$C$55</f>
        <v>0</v>
      </c>
      <c r="V265" s="66">
        <f>V178*'Data - P&amp;L'!$C$43*'Data - P&amp;L'!$C$55</f>
        <v>1.194</v>
      </c>
      <c r="W265" s="66">
        <f>W178*'Data - P&amp;L'!$C$43*'Data - P&amp;L'!$C$55</f>
        <v>0</v>
      </c>
      <c r="X265" s="66">
        <f>X178*'Data - P&amp;L'!$C$43*'Data - P&amp;L'!$C$55</f>
        <v>0</v>
      </c>
      <c r="Y265" s="66">
        <f>Y178*'Data - P&amp;L'!$C$43*'Data - P&amp;L'!$C$55</f>
        <v>0</v>
      </c>
      <c r="Z265" s="66">
        <f>Z178*'Data - P&amp;L'!$C$43*'Data - P&amp;L'!$C$55</f>
        <v>0</v>
      </c>
      <c r="AA265" s="66">
        <f>AA178*'Data - P&amp;L'!$C$43*'Data - P&amp;L'!$C$55</f>
        <v>0</v>
      </c>
      <c r="AB265" s="66">
        <f>AB178*'Data - P&amp;L'!$C$43*'Data - P&amp;L'!$C$55</f>
        <v>0</v>
      </c>
      <c r="AC265" s="66">
        <f>AC178*'Data - P&amp;L'!$C$43*'Data - P&amp;L'!$C$55</f>
        <v>0</v>
      </c>
      <c r="AD265" s="66">
        <f>AD178*'Data - P&amp;L'!$C$43*'Data - P&amp;L'!$C$55</f>
        <v>0</v>
      </c>
      <c r="AE265" s="66">
        <f>AE178*'Data - P&amp;L'!$C$43*'Data - P&amp;L'!$C$55</f>
        <v>0</v>
      </c>
      <c r="AF265" s="62">
        <f t="shared" si="72"/>
        <v>1.194</v>
      </c>
    </row>
    <row r="266">
      <c r="A266" s="330" t="s">
        <v>376</v>
      </c>
      <c r="B266" s="66">
        <v>0.0</v>
      </c>
      <c r="C266" s="66">
        <v>0.0</v>
      </c>
      <c r="D266" s="66">
        <v>0.0</v>
      </c>
      <c r="E266" s="66">
        <v>0.0</v>
      </c>
      <c r="F266" s="66">
        <v>0.0</v>
      </c>
      <c r="G266" s="66">
        <v>0.0</v>
      </c>
      <c r="H266" s="66">
        <v>0.0</v>
      </c>
      <c r="I266" s="66">
        <v>0.0</v>
      </c>
      <c r="J266" s="66">
        <v>0.0</v>
      </c>
      <c r="K266" s="66">
        <v>0.0</v>
      </c>
      <c r="L266" s="66">
        <v>0.0</v>
      </c>
      <c r="M266" s="66">
        <v>0.0</v>
      </c>
      <c r="N266" s="66">
        <v>0.0</v>
      </c>
      <c r="O266" s="66">
        <v>0.0</v>
      </c>
      <c r="P266" s="66">
        <v>0.0</v>
      </c>
      <c r="Q266" s="66">
        <v>0.0</v>
      </c>
      <c r="R266" s="66">
        <v>0.0</v>
      </c>
      <c r="S266" s="66">
        <v>0.0</v>
      </c>
      <c r="T266" s="66">
        <v>0.0</v>
      </c>
      <c r="U266" s="66">
        <v>0.0</v>
      </c>
      <c r="V266" s="66">
        <v>0.0</v>
      </c>
      <c r="W266" s="66">
        <v>0.0</v>
      </c>
      <c r="X266" s="66">
        <v>0.0</v>
      </c>
      <c r="Y266" s="66">
        <v>0.0</v>
      </c>
      <c r="Z266" s="66">
        <v>0.0</v>
      </c>
      <c r="AA266" s="66">
        <v>0.0</v>
      </c>
      <c r="AB266" s="66">
        <v>0.0</v>
      </c>
      <c r="AC266" s="66">
        <v>0.0</v>
      </c>
      <c r="AD266" s="66">
        <v>0.0</v>
      </c>
      <c r="AE266" s="66">
        <v>0.0</v>
      </c>
      <c r="AF266" s="62">
        <f t="shared" si="72"/>
        <v>0</v>
      </c>
    </row>
    <row r="267">
      <c r="A267" s="330" t="s">
        <v>555</v>
      </c>
      <c r="B267" s="66">
        <f t="shared" ref="B267:AE267" si="73">B188*15</f>
        <v>0</v>
      </c>
      <c r="C267" s="66">
        <f t="shared" si="73"/>
        <v>0</v>
      </c>
      <c r="D267" s="66">
        <f t="shared" si="73"/>
        <v>0</v>
      </c>
      <c r="E267" s="66">
        <f t="shared" si="73"/>
        <v>0</v>
      </c>
      <c r="F267" s="66">
        <f t="shared" si="73"/>
        <v>0</v>
      </c>
      <c r="G267" s="66">
        <f t="shared" si="73"/>
        <v>0</v>
      </c>
      <c r="H267" s="66">
        <f t="shared" si="73"/>
        <v>0</v>
      </c>
      <c r="I267" s="66">
        <f t="shared" si="73"/>
        <v>0</v>
      </c>
      <c r="J267" s="66">
        <f t="shared" si="73"/>
        <v>0</v>
      </c>
      <c r="K267" s="66">
        <f t="shared" si="73"/>
        <v>0</v>
      </c>
      <c r="L267" s="66">
        <f t="shared" si="73"/>
        <v>0</v>
      </c>
      <c r="M267" s="66">
        <f t="shared" si="73"/>
        <v>0</v>
      </c>
      <c r="N267" s="66">
        <f t="shared" si="73"/>
        <v>0</v>
      </c>
      <c r="O267" s="66">
        <f t="shared" si="73"/>
        <v>0</v>
      </c>
      <c r="P267" s="66">
        <f t="shared" si="73"/>
        <v>0</v>
      </c>
      <c r="Q267" s="66">
        <f t="shared" si="73"/>
        <v>0</v>
      </c>
      <c r="R267" s="66">
        <f t="shared" si="73"/>
        <v>0</v>
      </c>
      <c r="S267" s="66">
        <f t="shared" si="73"/>
        <v>0</v>
      </c>
      <c r="T267" s="66">
        <f t="shared" si="73"/>
        <v>0</v>
      </c>
      <c r="U267" s="66">
        <f t="shared" si="73"/>
        <v>0</v>
      </c>
      <c r="V267" s="66">
        <f t="shared" si="73"/>
        <v>0</v>
      </c>
      <c r="W267" s="66">
        <f t="shared" si="73"/>
        <v>0</v>
      </c>
      <c r="X267" s="66">
        <f t="shared" si="73"/>
        <v>0</v>
      </c>
      <c r="Y267" s="66">
        <f t="shared" si="73"/>
        <v>0</v>
      </c>
      <c r="Z267" s="66">
        <f t="shared" si="73"/>
        <v>0</v>
      </c>
      <c r="AA267" s="66">
        <f t="shared" si="73"/>
        <v>0</v>
      </c>
      <c r="AB267" s="66">
        <f t="shared" si="73"/>
        <v>0</v>
      </c>
      <c r="AC267" s="66">
        <f t="shared" si="73"/>
        <v>0</v>
      </c>
      <c r="AD267" s="66">
        <f t="shared" si="73"/>
        <v>0</v>
      </c>
      <c r="AE267" s="66">
        <f t="shared" si="73"/>
        <v>0</v>
      </c>
      <c r="AF267" s="62">
        <f t="shared" si="72"/>
        <v>0</v>
      </c>
    </row>
    <row r="268">
      <c r="A268" s="330" t="s">
        <v>556</v>
      </c>
      <c r="B268" s="214">
        <v>0.0</v>
      </c>
      <c r="C268" s="214">
        <v>0.0</v>
      </c>
      <c r="D268" s="214">
        <v>0.0</v>
      </c>
      <c r="E268" s="214">
        <v>0.0</v>
      </c>
      <c r="F268" s="214">
        <v>0.0</v>
      </c>
      <c r="G268" s="214">
        <v>0.0</v>
      </c>
      <c r="H268" s="214">
        <v>0.0</v>
      </c>
      <c r="I268" s="214">
        <v>0.0</v>
      </c>
      <c r="J268" s="214">
        <v>0.0</v>
      </c>
      <c r="K268" s="214">
        <v>0.0</v>
      </c>
      <c r="L268" s="214">
        <v>0.0</v>
      </c>
      <c r="M268" s="214">
        <v>0.0</v>
      </c>
      <c r="N268" s="214">
        <v>0.0</v>
      </c>
      <c r="O268" s="214">
        <v>0.0</v>
      </c>
      <c r="P268" s="379"/>
      <c r="Q268" s="379"/>
      <c r="R268" s="379"/>
      <c r="S268" s="379"/>
      <c r="T268" s="379"/>
      <c r="U268" s="379"/>
      <c r="V268" s="379"/>
      <c r="W268" s="379"/>
      <c r="X268" s="379"/>
      <c r="Y268" s="379"/>
      <c r="Z268" s="379"/>
      <c r="AA268" s="379"/>
      <c r="AB268" s="379"/>
      <c r="AC268" s="379"/>
      <c r="AD268" s="379"/>
      <c r="AE268" s="379"/>
      <c r="AF268" s="62">
        <f t="shared" si="72"/>
        <v>0</v>
      </c>
    </row>
    <row r="269">
      <c r="A269" s="4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282"/>
    </row>
    <row r="270">
      <c r="A270" s="380" t="s">
        <v>558</v>
      </c>
      <c r="B270" s="66">
        <f t="shared" ref="B270:AE270" si="74">B232+B244+B266+B267+B268</f>
        <v>477.58</v>
      </c>
      <c r="C270" s="66">
        <f t="shared" si="74"/>
        <v>1229.59</v>
      </c>
      <c r="D270" s="66">
        <f t="shared" si="74"/>
        <v>1378.3</v>
      </c>
      <c r="E270" s="66">
        <f t="shared" si="74"/>
        <v>712.44</v>
      </c>
      <c r="F270" s="66">
        <f t="shared" si="74"/>
        <v>696.87</v>
      </c>
      <c r="G270" s="66">
        <f t="shared" si="74"/>
        <v>0</v>
      </c>
      <c r="H270" s="66">
        <f t="shared" si="74"/>
        <v>901.02</v>
      </c>
      <c r="I270" s="66">
        <f t="shared" si="74"/>
        <v>1059.72</v>
      </c>
      <c r="J270" s="66">
        <f t="shared" si="74"/>
        <v>3514.03</v>
      </c>
      <c r="K270" s="66">
        <f t="shared" si="74"/>
        <v>981.72</v>
      </c>
      <c r="L270" s="66">
        <f t="shared" si="74"/>
        <v>2493.92</v>
      </c>
      <c r="M270" s="66">
        <f t="shared" si="74"/>
        <v>1354.43</v>
      </c>
      <c r="N270" s="66">
        <f t="shared" si="74"/>
        <v>2440.72</v>
      </c>
      <c r="O270" s="66">
        <f t="shared" si="74"/>
        <v>1625.12</v>
      </c>
      <c r="P270" s="66">
        <f t="shared" si="74"/>
        <v>2231.13</v>
      </c>
      <c r="Q270" s="66">
        <f t="shared" si="74"/>
        <v>1530.38</v>
      </c>
      <c r="R270" s="66">
        <f t="shared" si="74"/>
        <v>891.42</v>
      </c>
      <c r="S270" s="66">
        <f t="shared" si="74"/>
        <v>1684.07</v>
      </c>
      <c r="T270" s="66">
        <f t="shared" si="74"/>
        <v>916.42</v>
      </c>
      <c r="U270" s="66">
        <f t="shared" si="74"/>
        <v>2099.15</v>
      </c>
      <c r="V270" s="66">
        <f t="shared" si="74"/>
        <v>1710.15</v>
      </c>
      <c r="W270" s="66">
        <f t="shared" si="74"/>
        <v>3177.66</v>
      </c>
      <c r="X270" s="66">
        <f t="shared" si="74"/>
        <v>3721.58</v>
      </c>
      <c r="Y270" s="66">
        <f t="shared" si="74"/>
        <v>17467.88</v>
      </c>
      <c r="Z270" s="66">
        <f t="shared" si="74"/>
        <v>12049.65</v>
      </c>
      <c r="AA270" s="66">
        <f t="shared" si="74"/>
        <v>5386.28</v>
      </c>
      <c r="AB270" s="66">
        <f t="shared" si="74"/>
        <v>3619.2</v>
      </c>
      <c r="AC270" s="66">
        <f t="shared" si="74"/>
        <v>2064.17</v>
      </c>
      <c r="AD270" s="66">
        <f t="shared" si="74"/>
        <v>2270.66</v>
      </c>
      <c r="AE270" s="66">
        <f t="shared" si="74"/>
        <v>1508.95</v>
      </c>
      <c r="AF270" s="62">
        <f>SUM(B270:AE270)</f>
        <v>81194.21</v>
      </c>
    </row>
    <row r="271">
      <c r="A271" s="4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282"/>
    </row>
    <row r="272">
      <c r="A272" s="43" t="s">
        <v>559</v>
      </c>
      <c r="B272" s="66">
        <f t="shared" ref="B272:AE272" si="75">B222+B233+B245-B256-B266-B268</f>
        <v>-427.648872</v>
      </c>
      <c r="C272" s="66">
        <f t="shared" si="75"/>
        <v>-985.524436</v>
      </c>
      <c r="D272" s="66">
        <f t="shared" si="75"/>
        <v>-1111.946372</v>
      </c>
      <c r="E272" s="66">
        <f t="shared" si="75"/>
        <v>-577.924436</v>
      </c>
      <c r="F272" s="66">
        <f t="shared" si="75"/>
        <v>-494.993308</v>
      </c>
      <c r="G272" s="66">
        <f t="shared" si="75"/>
        <v>49.931128</v>
      </c>
      <c r="H272" s="66">
        <f t="shared" si="75"/>
        <v>-704.995244</v>
      </c>
      <c r="I272" s="66">
        <f t="shared" si="75"/>
        <v>-734.037744</v>
      </c>
      <c r="J272" s="66">
        <f t="shared" si="75"/>
        <v>-2754.137744</v>
      </c>
      <c r="K272" s="66">
        <f t="shared" si="75"/>
        <v>-695.034128</v>
      </c>
      <c r="L272" s="66">
        <f t="shared" si="75"/>
        <v>-1662.883308</v>
      </c>
      <c r="M272" s="66">
        <f t="shared" si="75"/>
        <v>-916.23</v>
      </c>
      <c r="N272" s="66">
        <f t="shared" si="75"/>
        <v>-1847.028872</v>
      </c>
      <c r="O272" s="66">
        <f t="shared" si="75"/>
        <v>-1356.088872</v>
      </c>
      <c r="P272" s="66">
        <f t="shared" si="75"/>
        <v>-1509.643308</v>
      </c>
      <c r="Q272" s="66">
        <f t="shared" si="75"/>
        <v>-808.396372</v>
      </c>
      <c r="R272" s="66">
        <f t="shared" si="75"/>
        <v>-642.28968</v>
      </c>
      <c r="S272" s="66">
        <f t="shared" si="75"/>
        <v>-1367.785244</v>
      </c>
      <c r="T272" s="66">
        <f t="shared" si="75"/>
        <v>-633.133308</v>
      </c>
      <c r="U272" s="66">
        <f t="shared" si="75"/>
        <v>-1306.406064</v>
      </c>
      <c r="V272" s="66">
        <f t="shared" si="75"/>
        <v>-966.271084</v>
      </c>
      <c r="W272" s="66">
        <f t="shared" si="75"/>
        <v>-1919.279692</v>
      </c>
      <c r="X272" s="66">
        <f t="shared" si="75"/>
        <v>-2197.567744</v>
      </c>
      <c r="Y272" s="66">
        <f t="shared" si="75"/>
        <v>-8905.55</v>
      </c>
      <c r="Z272" s="66">
        <f t="shared" si="75"/>
        <v>-6200.897744</v>
      </c>
      <c r="AA272" s="66">
        <f t="shared" si="75"/>
        <v>-3010.833308</v>
      </c>
      <c r="AB272" s="66">
        <f t="shared" si="75"/>
        <v>-2470.369692</v>
      </c>
      <c r="AC272" s="66">
        <f t="shared" si="75"/>
        <v>-1964.307744</v>
      </c>
      <c r="AD272" s="66">
        <f t="shared" si="75"/>
        <v>-2198.440808</v>
      </c>
      <c r="AE272" s="66">
        <f t="shared" si="75"/>
        <v>-1414.442744</v>
      </c>
      <c r="AF272" s="62">
        <f t="shared" ref="AF272:AF274" si="76">SUM(B272:AE272)</f>
        <v>-51734.15674</v>
      </c>
    </row>
    <row r="273">
      <c r="A273" s="4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62">
        <f t="shared" si="76"/>
        <v>0</v>
      </c>
    </row>
    <row r="274">
      <c r="A274" s="233" t="s">
        <v>561</v>
      </c>
      <c r="B274" s="381">
        <f t="shared" ref="B274:AE274" si="77">B214+B272</f>
        <v>-779.194872</v>
      </c>
      <c r="C274" s="382">
        <f t="shared" si="77"/>
        <v>-962.588436</v>
      </c>
      <c r="D274" s="164">
        <f t="shared" si="77"/>
        <v>620.570628</v>
      </c>
      <c r="E274" s="383">
        <f t="shared" si="77"/>
        <v>-778.565436</v>
      </c>
      <c r="F274" s="384">
        <f t="shared" si="77"/>
        <v>308.191192</v>
      </c>
      <c r="G274" s="385">
        <f t="shared" si="77"/>
        <v>772.524128</v>
      </c>
      <c r="H274" s="386">
        <f t="shared" si="77"/>
        <v>-983.607244</v>
      </c>
      <c r="I274" s="387">
        <f t="shared" si="77"/>
        <v>-26.459244</v>
      </c>
      <c r="J274" s="388">
        <f t="shared" si="77"/>
        <v>-2190.938244</v>
      </c>
      <c r="K274" s="389">
        <f t="shared" si="77"/>
        <v>930.069872</v>
      </c>
      <c r="L274" s="390">
        <f t="shared" si="77"/>
        <v>1266.236692</v>
      </c>
      <c r="M274" s="391">
        <f t="shared" si="77"/>
        <v>-261.3205</v>
      </c>
      <c r="N274" s="392">
        <f t="shared" si="77"/>
        <v>992.249628</v>
      </c>
      <c r="O274" s="297">
        <f t="shared" si="77"/>
        <v>1407.911128</v>
      </c>
      <c r="P274" s="393">
        <f t="shared" si="77"/>
        <v>-452.861308</v>
      </c>
      <c r="Q274" s="394">
        <f t="shared" si="77"/>
        <v>359.833628</v>
      </c>
      <c r="R274" s="395">
        <f t="shared" si="77"/>
        <v>-486.18118</v>
      </c>
      <c r="S274" s="311">
        <f t="shared" si="77"/>
        <v>-1696.353244</v>
      </c>
      <c r="T274" s="311">
        <f t="shared" si="77"/>
        <v>-2951.260308</v>
      </c>
      <c r="U274" s="311">
        <f t="shared" si="77"/>
        <v>-769.732564</v>
      </c>
      <c r="V274" s="311">
        <f t="shared" si="77"/>
        <v>-913.919084</v>
      </c>
      <c r="W274" s="311">
        <f t="shared" si="77"/>
        <v>-1754.737692</v>
      </c>
      <c r="X274" s="311">
        <f t="shared" si="77"/>
        <v>-1063.377744</v>
      </c>
      <c r="Y274" s="311">
        <f t="shared" si="77"/>
        <v>45220.885</v>
      </c>
      <c r="Z274" s="311">
        <f t="shared" si="77"/>
        <v>28770.06676</v>
      </c>
      <c r="AA274" s="311">
        <f t="shared" si="77"/>
        <v>5396.297192</v>
      </c>
      <c r="AB274" s="311">
        <f t="shared" si="77"/>
        <v>8104.639808</v>
      </c>
      <c r="AC274" s="311">
        <f t="shared" si="77"/>
        <v>-1964.307744</v>
      </c>
      <c r="AD274" s="311">
        <f t="shared" si="77"/>
        <v>-2186.777308</v>
      </c>
      <c r="AE274" s="311">
        <f t="shared" si="77"/>
        <v>-1687.457744</v>
      </c>
      <c r="AF274" s="62">
        <f t="shared" si="76"/>
        <v>72239.83576</v>
      </c>
    </row>
    <row r="275">
      <c r="A275" s="296">
        <f>SUM(B274:AE274)</f>
        <v>72239.83576</v>
      </c>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62"/>
    </row>
    <row r="276">
      <c r="A276" s="49"/>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2"/>
    </row>
    <row r="277">
      <c r="A277" s="233" t="s">
        <v>563</v>
      </c>
      <c r="B277" s="396">
        <f t="shared" ref="B277:AE277" si="78">B274/(B20+B21)</f>
        <v>-0.08345237999</v>
      </c>
      <c r="C277" s="396">
        <f t="shared" si="78"/>
        <v>-0.09872944934</v>
      </c>
      <c r="D277" s="397">
        <f t="shared" si="78"/>
        <v>0.04138390073</v>
      </c>
      <c r="E277" s="398">
        <f t="shared" si="78"/>
        <v>-0.0551220964</v>
      </c>
      <c r="F277" s="399">
        <f t="shared" si="78"/>
        <v>0.01689438144</v>
      </c>
      <c r="G277" s="400">
        <f t="shared" si="78"/>
        <v>0.05409454016</v>
      </c>
      <c r="H277" s="401">
        <f t="shared" si="78"/>
        <v>-0.08421850105</v>
      </c>
      <c r="I277" s="402">
        <f t="shared" si="78"/>
        <v>-0.001984848705</v>
      </c>
      <c r="J277" s="403">
        <f t="shared" si="78"/>
        <v>-0.1039577289</v>
      </c>
      <c r="K277" s="404">
        <f t="shared" si="78"/>
        <v>0.03350545457</v>
      </c>
      <c r="L277" s="405">
        <f t="shared" si="78"/>
        <v>0.03422826559</v>
      </c>
      <c r="M277" s="406">
        <f t="shared" si="78"/>
        <v>-0.007471179748</v>
      </c>
      <c r="N277" s="407">
        <f t="shared" si="78"/>
        <v>0.02859682079</v>
      </c>
      <c r="O277" s="408">
        <f t="shared" si="78"/>
        <v>0.03832134114</v>
      </c>
      <c r="P277" s="409">
        <f t="shared" si="78"/>
        <v>-0.01221599718</v>
      </c>
      <c r="Q277" s="410">
        <f t="shared" si="78"/>
        <v>0.00823203541</v>
      </c>
      <c r="R277" s="326">
        <f t="shared" si="78"/>
        <v>-0.01015095442</v>
      </c>
      <c r="S277" s="326">
        <f t="shared" si="78"/>
        <v>-0.03015564868</v>
      </c>
      <c r="T277" s="326">
        <f t="shared" si="78"/>
        <v>-0.07514828594</v>
      </c>
      <c r="U277" s="326">
        <f t="shared" si="78"/>
        <v>-0.008463521468</v>
      </c>
      <c r="V277" s="326">
        <f t="shared" si="78"/>
        <v>-0.00906825262</v>
      </c>
      <c r="W277" s="326">
        <f t="shared" si="78"/>
        <v>-0.01527402203</v>
      </c>
      <c r="X277" s="326">
        <f t="shared" si="78"/>
        <v>-0.007048943949</v>
      </c>
      <c r="Y277" s="326">
        <f t="shared" si="78"/>
        <v>0.07552610073</v>
      </c>
      <c r="Z277" s="326">
        <f t="shared" si="78"/>
        <v>0.07837624295</v>
      </c>
      <c r="AA277" s="326">
        <f t="shared" si="78"/>
        <v>0.0233207185</v>
      </c>
      <c r="AB277" s="326">
        <f t="shared" si="78"/>
        <v>0.1117789</v>
      </c>
      <c r="AC277" s="326" t="str">
        <f t="shared" si="78"/>
        <v>#DIV/0!</v>
      </c>
      <c r="AD277" s="326">
        <f t="shared" si="78"/>
        <v>-54.6694327</v>
      </c>
      <c r="AE277" s="326">
        <f t="shared" si="78"/>
        <v>-3.328319022</v>
      </c>
      <c r="AF277" s="282"/>
    </row>
    <row r="278">
      <c r="A278" s="238">
        <f>A275/A212</f>
        <v>0.0299516056</v>
      </c>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2"/>
    </row>
    <row r="279">
      <c r="A279" s="49"/>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2"/>
    </row>
    <row r="280">
      <c r="A280" s="233" t="s">
        <v>439</v>
      </c>
      <c r="B280" s="327">
        <f t="shared" ref="B280:AE280" si="79">B218</f>
        <v>3.091993122</v>
      </c>
      <c r="C280" s="411">
        <f t="shared" si="79"/>
        <v>3.259518398</v>
      </c>
      <c r="D280" s="412">
        <f t="shared" si="79"/>
        <v>4.992211445</v>
      </c>
      <c r="E280" s="412">
        <f t="shared" si="79"/>
        <v>3.138693693</v>
      </c>
      <c r="F280" s="412">
        <f t="shared" si="79"/>
        <v>3.634302393</v>
      </c>
      <c r="G280" s="413">
        <f t="shared" si="79"/>
        <v>3.819346357</v>
      </c>
      <c r="H280" s="413">
        <f t="shared" si="79"/>
        <v>3.131623657</v>
      </c>
      <c r="I280" s="414">
        <f t="shared" si="79"/>
        <v>5.168756435</v>
      </c>
      <c r="J280" s="415">
        <f t="shared" si="79"/>
        <v>5.118327261</v>
      </c>
      <c r="K280" s="416">
        <f t="shared" si="79"/>
        <v>6.064862018</v>
      </c>
      <c r="L280" s="417">
        <f t="shared" si="79"/>
        <v>6.479495763</v>
      </c>
      <c r="M280" s="418">
        <f t="shared" si="79"/>
        <v>5.16644069</v>
      </c>
      <c r="N280" s="419">
        <f t="shared" si="79"/>
        <v>6.511881674</v>
      </c>
      <c r="O280" s="420">
        <f t="shared" si="79"/>
        <v>6.45129486</v>
      </c>
      <c r="P280" s="421">
        <f t="shared" si="79"/>
        <v>6.123656337</v>
      </c>
      <c r="Q280" s="422">
        <f t="shared" si="79"/>
        <v>6.184899137</v>
      </c>
      <c r="R280" s="413">
        <f t="shared" si="79"/>
        <v>5.49152664</v>
      </c>
      <c r="S280" s="413">
        <f t="shared" si="79"/>
        <v>5.19181403</v>
      </c>
      <c r="T280" s="413">
        <f t="shared" si="79"/>
        <v>3.795499507</v>
      </c>
      <c r="U280" s="413">
        <f t="shared" si="79"/>
        <v>5.57805193</v>
      </c>
      <c r="V280" s="413">
        <f t="shared" si="79"/>
        <v>5.423524146</v>
      </c>
      <c r="W280" s="413">
        <f t="shared" si="79"/>
        <v>5.436360219</v>
      </c>
      <c r="X280" s="413">
        <f t="shared" si="79"/>
        <v>5.654488834</v>
      </c>
      <c r="Y280" s="413">
        <f t="shared" si="79"/>
        <v>9.957734212</v>
      </c>
      <c r="Z280" s="413">
        <f t="shared" si="79"/>
        <v>10.40933256</v>
      </c>
      <c r="AA280" s="413">
        <f t="shared" si="79"/>
        <v>6.611227061</v>
      </c>
      <c r="AB280" s="413">
        <f t="shared" si="79"/>
        <v>21.6853662</v>
      </c>
      <c r="AC280" s="413" t="str">
        <f t="shared" si="79"/>
        <v>#DIV/0!</v>
      </c>
      <c r="AD280" s="413" t="str">
        <f t="shared" si="79"/>
        <v>#DIV/0!</v>
      </c>
      <c r="AE280" s="413">
        <f t="shared" si="79"/>
        <v>1.244642116</v>
      </c>
      <c r="AF280" s="282"/>
    </row>
    <row r="281">
      <c r="A281" s="4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6"/>
    </row>
    <row r="282">
      <c r="A282" s="4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6"/>
    </row>
    <row r="283">
      <c r="A283" s="4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6"/>
    </row>
    <row r="284">
      <c r="A284" s="4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6"/>
    </row>
    <row r="285">
      <c r="A285" s="4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6"/>
    </row>
    <row r="286">
      <c r="A286" s="4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6"/>
    </row>
    <row r="287">
      <c r="A287" s="4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6"/>
    </row>
    <row r="288">
      <c r="A288" s="4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6"/>
    </row>
    <row r="289">
      <c r="A289" s="4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6"/>
    </row>
    <row r="290">
      <c r="A290" s="4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6"/>
    </row>
    <row r="291">
      <c r="A291" s="4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6"/>
    </row>
    <row r="292">
      <c r="A292" s="4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6"/>
    </row>
    <row r="293">
      <c r="A293" s="4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6"/>
    </row>
    <row r="294">
      <c r="A294" s="4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6"/>
    </row>
    <row r="295">
      <c r="A295" s="4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6"/>
    </row>
    <row r="296">
      <c r="A296" s="4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6"/>
    </row>
    <row r="297">
      <c r="A297" s="4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6"/>
    </row>
    <row r="298">
      <c r="A298" s="4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6"/>
    </row>
    <row r="299">
      <c r="A299" s="4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6"/>
    </row>
    <row r="300">
      <c r="A300" s="4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6"/>
    </row>
    <row r="301">
      <c r="A301" s="4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6"/>
    </row>
    <row r="302">
      <c r="A302" s="4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6"/>
    </row>
    <row r="303">
      <c r="A303" s="4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6"/>
    </row>
    <row r="304">
      <c r="A304" s="4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6"/>
    </row>
    <row r="305">
      <c r="A305" s="4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6"/>
    </row>
    <row r="306">
      <c r="A306" s="4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6"/>
    </row>
    <row r="307">
      <c r="A307" s="4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6"/>
    </row>
    <row r="308">
      <c r="A308" s="4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6"/>
    </row>
    <row r="309">
      <c r="A309" s="4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6"/>
    </row>
    <row r="310">
      <c r="A310" s="4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6"/>
    </row>
    <row r="311">
      <c r="A311" s="4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6"/>
    </row>
    <row r="312">
      <c r="A312" s="4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6"/>
    </row>
    <row r="313">
      <c r="A313" s="4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6"/>
    </row>
    <row r="314">
      <c r="A314" s="4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6"/>
    </row>
    <row r="315">
      <c r="A315" s="4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6"/>
    </row>
    <row r="316">
      <c r="A316" s="4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6"/>
    </row>
    <row r="317">
      <c r="A317" s="4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6"/>
    </row>
    <row r="318">
      <c r="A318" s="4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6"/>
    </row>
    <row r="319">
      <c r="A319" s="4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6"/>
    </row>
    <row r="320">
      <c r="A320" s="4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6"/>
    </row>
    <row r="321">
      <c r="A321" s="4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6"/>
    </row>
    <row r="322">
      <c r="A322" s="4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6"/>
    </row>
    <row r="323">
      <c r="A323" s="4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6"/>
    </row>
    <row r="324">
      <c r="A324" s="4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6"/>
    </row>
    <row r="325">
      <c r="A325" s="4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6"/>
    </row>
    <row r="326">
      <c r="A326" s="4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6"/>
    </row>
    <row r="327">
      <c r="A327" s="4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6"/>
    </row>
    <row r="328">
      <c r="A328" s="4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6"/>
    </row>
    <row r="329">
      <c r="A329" s="4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6"/>
    </row>
    <row r="330">
      <c r="A330" s="4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6"/>
    </row>
    <row r="331">
      <c r="A331" s="4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6"/>
    </row>
    <row r="332">
      <c r="A332" s="4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6"/>
    </row>
    <row r="333">
      <c r="A333" s="4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6"/>
    </row>
    <row r="334">
      <c r="A334" s="4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6"/>
    </row>
    <row r="335">
      <c r="A335" s="4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6"/>
    </row>
    <row r="336">
      <c r="A336" s="4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6"/>
    </row>
    <row r="337">
      <c r="A337" s="4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6"/>
    </row>
    <row r="338">
      <c r="A338" s="4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6"/>
    </row>
    <row r="339">
      <c r="A339" s="4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6"/>
    </row>
    <row r="340">
      <c r="A340" s="4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6"/>
    </row>
    <row r="341">
      <c r="A341" s="4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6"/>
    </row>
    <row r="342">
      <c r="A342" s="4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6"/>
    </row>
    <row r="343">
      <c r="A343" s="4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6"/>
    </row>
    <row r="344">
      <c r="A344" s="4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6"/>
    </row>
    <row r="345">
      <c r="A345" s="4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6"/>
    </row>
    <row r="346">
      <c r="A346" s="4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6"/>
    </row>
    <row r="347">
      <c r="A347" s="4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6"/>
    </row>
    <row r="348">
      <c r="A348" s="4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6"/>
    </row>
    <row r="349">
      <c r="A349" s="4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6"/>
    </row>
    <row r="350">
      <c r="A350" s="4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6"/>
    </row>
    <row r="351">
      <c r="A351" s="4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6"/>
    </row>
    <row r="352">
      <c r="A352" s="4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6"/>
    </row>
    <row r="353">
      <c r="A353" s="4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6"/>
    </row>
    <row r="354">
      <c r="A354" s="4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6"/>
    </row>
    <row r="355">
      <c r="A355" s="4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6"/>
    </row>
    <row r="356">
      <c r="A356" s="4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6"/>
    </row>
    <row r="357">
      <c r="A357" s="4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6"/>
    </row>
    <row r="358">
      <c r="A358" s="4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6"/>
    </row>
    <row r="359">
      <c r="A359" s="4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6"/>
    </row>
    <row r="360">
      <c r="A360" s="4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6"/>
    </row>
    <row r="361">
      <c r="A361" s="4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6"/>
    </row>
    <row r="362">
      <c r="A362" s="4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6"/>
    </row>
    <row r="363">
      <c r="A363" s="4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6"/>
    </row>
    <row r="364">
      <c r="A364" s="4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6"/>
    </row>
    <row r="365">
      <c r="A365" s="4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6"/>
    </row>
    <row r="366">
      <c r="A366" s="4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6"/>
    </row>
    <row r="367">
      <c r="A367" s="4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6"/>
    </row>
    <row r="368">
      <c r="A368" s="4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6"/>
    </row>
    <row r="369">
      <c r="A369" s="4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6"/>
    </row>
    <row r="370">
      <c r="A370" s="4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6"/>
    </row>
    <row r="371">
      <c r="A371" s="4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6"/>
    </row>
    <row r="372">
      <c r="A372" s="4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6"/>
    </row>
    <row r="373">
      <c r="A373" s="4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6"/>
    </row>
    <row r="374">
      <c r="A374" s="4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6"/>
    </row>
    <row r="375">
      <c r="A375" s="4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6"/>
    </row>
    <row r="376">
      <c r="A376" s="4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6"/>
    </row>
    <row r="377">
      <c r="A377" s="4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6"/>
    </row>
    <row r="378">
      <c r="A378" s="4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6"/>
    </row>
    <row r="379">
      <c r="A379" s="4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6"/>
    </row>
    <row r="380">
      <c r="A380" s="4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6"/>
    </row>
    <row r="381">
      <c r="A381" s="4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6"/>
    </row>
    <row r="382">
      <c r="A382" s="4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6"/>
    </row>
    <row r="383">
      <c r="A383" s="4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6"/>
    </row>
    <row r="384">
      <c r="A384" s="4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6"/>
    </row>
    <row r="385">
      <c r="A385" s="4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6"/>
    </row>
    <row r="386">
      <c r="A386" s="4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6"/>
    </row>
    <row r="387">
      <c r="A387" s="4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6"/>
    </row>
    <row r="388">
      <c r="A388" s="4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6"/>
    </row>
    <row r="389">
      <c r="A389" s="4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6"/>
    </row>
    <row r="390">
      <c r="A390" s="4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6"/>
    </row>
    <row r="391">
      <c r="A391" s="4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6"/>
    </row>
    <row r="392">
      <c r="A392" s="4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6"/>
    </row>
    <row r="393">
      <c r="A393" s="4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6"/>
    </row>
    <row r="394">
      <c r="A394" s="4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6"/>
    </row>
    <row r="395">
      <c r="A395" s="4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6"/>
    </row>
    <row r="396">
      <c r="A396" s="4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6"/>
    </row>
    <row r="397">
      <c r="A397" s="4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6"/>
    </row>
    <row r="398">
      <c r="A398" s="4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6"/>
    </row>
    <row r="399">
      <c r="A399" s="4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6"/>
    </row>
    <row r="400">
      <c r="A400" s="4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6"/>
    </row>
    <row r="401">
      <c r="A401" s="4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6"/>
    </row>
    <row r="402">
      <c r="A402" s="4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6"/>
    </row>
    <row r="403">
      <c r="A403" s="4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6"/>
    </row>
    <row r="404">
      <c r="A404" s="4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6"/>
    </row>
    <row r="405">
      <c r="A405" s="4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6"/>
    </row>
    <row r="406">
      <c r="A406" s="4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6"/>
    </row>
    <row r="407">
      <c r="A407" s="4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6"/>
    </row>
    <row r="408">
      <c r="A408" s="4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6"/>
    </row>
    <row r="409">
      <c r="A409" s="4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6"/>
    </row>
    <row r="410">
      <c r="A410" s="4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6"/>
    </row>
    <row r="411">
      <c r="A411" s="4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6"/>
    </row>
    <row r="412">
      <c r="A412" s="4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6"/>
    </row>
    <row r="413">
      <c r="A413" s="4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6"/>
    </row>
    <row r="414">
      <c r="A414" s="4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6"/>
    </row>
    <row r="415">
      <c r="A415" s="4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6"/>
    </row>
    <row r="416">
      <c r="A416" s="4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6"/>
    </row>
    <row r="417">
      <c r="A417" s="4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6"/>
    </row>
    <row r="418">
      <c r="A418" s="4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6"/>
    </row>
    <row r="419">
      <c r="A419" s="4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6"/>
    </row>
    <row r="420">
      <c r="A420" s="4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6"/>
    </row>
    <row r="421">
      <c r="A421" s="4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6"/>
    </row>
    <row r="422">
      <c r="A422" s="4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6"/>
    </row>
    <row r="423">
      <c r="A423" s="4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6"/>
    </row>
    <row r="424">
      <c r="A424" s="4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6"/>
    </row>
    <row r="425">
      <c r="A425" s="4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6"/>
    </row>
    <row r="426">
      <c r="A426" s="4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6"/>
    </row>
    <row r="427">
      <c r="A427" s="4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6"/>
    </row>
    <row r="428">
      <c r="A428" s="4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6"/>
    </row>
    <row r="429">
      <c r="A429" s="4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6"/>
    </row>
    <row r="430">
      <c r="A430" s="4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6"/>
    </row>
    <row r="431">
      <c r="A431" s="4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6"/>
    </row>
    <row r="432">
      <c r="A432" s="4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6"/>
    </row>
    <row r="433">
      <c r="A433" s="4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6"/>
    </row>
    <row r="434">
      <c r="A434" s="4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6"/>
    </row>
    <row r="435">
      <c r="A435" s="4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6"/>
    </row>
    <row r="436">
      <c r="A436" s="4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6"/>
    </row>
    <row r="437">
      <c r="A437" s="4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6"/>
    </row>
    <row r="438">
      <c r="A438" s="4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6"/>
    </row>
    <row r="439">
      <c r="A439" s="4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6"/>
    </row>
    <row r="440">
      <c r="A440" s="4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6"/>
    </row>
    <row r="441">
      <c r="A441" s="4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6"/>
    </row>
    <row r="442">
      <c r="A442" s="4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6"/>
    </row>
    <row r="443">
      <c r="A443" s="4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6"/>
    </row>
    <row r="444">
      <c r="A444" s="4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6"/>
    </row>
    <row r="445">
      <c r="A445" s="4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6"/>
    </row>
    <row r="446">
      <c r="A446" s="4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6"/>
    </row>
    <row r="447">
      <c r="A447" s="4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6"/>
    </row>
    <row r="448">
      <c r="A448" s="4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6"/>
    </row>
    <row r="449">
      <c r="A449" s="4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6"/>
    </row>
    <row r="450">
      <c r="A450" s="4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6"/>
    </row>
    <row r="451">
      <c r="A451" s="4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6"/>
    </row>
    <row r="452">
      <c r="A452" s="4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6"/>
    </row>
    <row r="453">
      <c r="A453" s="4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6"/>
    </row>
    <row r="454">
      <c r="A454" s="4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6"/>
    </row>
    <row r="455">
      <c r="A455" s="4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6"/>
    </row>
    <row r="456">
      <c r="A456" s="4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6"/>
    </row>
    <row r="457">
      <c r="A457" s="4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6"/>
    </row>
    <row r="458">
      <c r="A458" s="4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6"/>
    </row>
    <row r="459">
      <c r="A459" s="4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6"/>
    </row>
    <row r="460">
      <c r="A460" s="4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6"/>
    </row>
    <row r="461">
      <c r="A461" s="4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6"/>
    </row>
    <row r="462">
      <c r="A462" s="4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6"/>
    </row>
    <row r="463">
      <c r="A463" s="4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6"/>
    </row>
    <row r="464">
      <c r="A464" s="4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6"/>
    </row>
    <row r="465">
      <c r="A465" s="4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6"/>
    </row>
    <row r="466">
      <c r="A466" s="4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6"/>
    </row>
    <row r="467">
      <c r="A467" s="4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6"/>
    </row>
    <row r="468">
      <c r="A468" s="4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6"/>
    </row>
    <row r="469">
      <c r="A469" s="4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6"/>
    </row>
    <row r="470">
      <c r="A470" s="4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6"/>
    </row>
    <row r="471">
      <c r="A471" s="4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6"/>
    </row>
    <row r="472">
      <c r="A472" s="4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6"/>
    </row>
    <row r="473">
      <c r="A473" s="4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6"/>
    </row>
    <row r="474">
      <c r="A474" s="4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6"/>
    </row>
    <row r="475">
      <c r="A475" s="4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6"/>
    </row>
    <row r="476">
      <c r="A476" s="4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6"/>
    </row>
    <row r="477">
      <c r="A477" s="4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6"/>
    </row>
    <row r="478">
      <c r="A478" s="4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6"/>
    </row>
    <row r="479">
      <c r="A479" s="4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6"/>
    </row>
    <row r="480">
      <c r="A480" s="4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6"/>
    </row>
    <row r="481">
      <c r="A481" s="4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6"/>
    </row>
    <row r="482">
      <c r="A482" s="4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6"/>
    </row>
    <row r="483">
      <c r="A483" s="4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6"/>
    </row>
    <row r="484">
      <c r="A484" s="4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6"/>
    </row>
    <row r="485">
      <c r="A485" s="4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6"/>
    </row>
    <row r="486">
      <c r="A486" s="4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6"/>
    </row>
    <row r="487">
      <c r="A487" s="4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6"/>
    </row>
    <row r="488">
      <c r="A488" s="4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6"/>
    </row>
    <row r="489">
      <c r="A489" s="4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6"/>
    </row>
    <row r="490">
      <c r="A490" s="4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6"/>
    </row>
    <row r="491">
      <c r="A491" s="4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6"/>
    </row>
    <row r="492">
      <c r="A492" s="4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6"/>
    </row>
    <row r="493">
      <c r="A493" s="4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6"/>
    </row>
    <row r="494">
      <c r="A494" s="4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6"/>
    </row>
    <row r="495">
      <c r="A495" s="4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6"/>
    </row>
    <row r="496">
      <c r="A496" s="4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6"/>
    </row>
    <row r="497">
      <c r="A497" s="4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6"/>
    </row>
    <row r="498">
      <c r="A498" s="4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6"/>
    </row>
    <row r="499">
      <c r="A499" s="4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6"/>
    </row>
    <row r="500">
      <c r="A500" s="4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6"/>
    </row>
    <row r="501">
      <c r="A501" s="4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6"/>
    </row>
    <row r="502">
      <c r="A502" s="4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6"/>
    </row>
    <row r="503">
      <c r="A503" s="4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6"/>
    </row>
    <row r="504">
      <c r="A504" s="4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6"/>
    </row>
    <row r="505">
      <c r="A505" s="4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6"/>
    </row>
    <row r="506">
      <c r="A506" s="4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6"/>
    </row>
    <row r="507">
      <c r="A507" s="4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6"/>
    </row>
    <row r="508">
      <c r="A508" s="4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6"/>
    </row>
    <row r="509">
      <c r="A509" s="4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6"/>
    </row>
    <row r="510">
      <c r="A510" s="4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6"/>
    </row>
    <row r="511">
      <c r="A511" s="4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6"/>
    </row>
    <row r="512">
      <c r="A512" s="4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6"/>
    </row>
    <row r="513">
      <c r="A513" s="4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6"/>
    </row>
    <row r="514">
      <c r="A514" s="4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6"/>
    </row>
    <row r="515">
      <c r="A515" s="4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6"/>
    </row>
    <row r="516">
      <c r="A516" s="4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6"/>
    </row>
    <row r="517">
      <c r="A517" s="4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6"/>
    </row>
    <row r="518">
      <c r="A518" s="4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6"/>
    </row>
    <row r="519">
      <c r="A519" s="4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6"/>
    </row>
    <row r="520">
      <c r="A520" s="4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6"/>
    </row>
    <row r="521">
      <c r="A521" s="4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6"/>
    </row>
    <row r="522">
      <c r="A522" s="4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6"/>
    </row>
    <row r="523">
      <c r="A523" s="4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6"/>
    </row>
    <row r="524">
      <c r="A524" s="4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6"/>
    </row>
    <row r="525">
      <c r="A525" s="4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6"/>
    </row>
    <row r="526">
      <c r="A526" s="4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6"/>
    </row>
    <row r="527">
      <c r="A527" s="4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6"/>
    </row>
    <row r="528">
      <c r="A528" s="4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6"/>
    </row>
    <row r="529">
      <c r="A529" s="4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6"/>
    </row>
    <row r="530">
      <c r="A530" s="4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6"/>
    </row>
    <row r="531">
      <c r="A531" s="4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6"/>
    </row>
    <row r="532">
      <c r="A532" s="4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6"/>
    </row>
    <row r="533">
      <c r="A533" s="4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6"/>
    </row>
    <row r="534">
      <c r="A534" s="4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6"/>
    </row>
    <row r="535">
      <c r="A535" s="4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6"/>
    </row>
    <row r="536">
      <c r="A536" s="4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6"/>
    </row>
    <row r="537">
      <c r="A537" s="4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6"/>
    </row>
    <row r="538">
      <c r="A538" s="4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6"/>
    </row>
    <row r="539">
      <c r="A539" s="4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6"/>
    </row>
    <row r="540">
      <c r="A540" s="4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6"/>
    </row>
    <row r="541">
      <c r="A541" s="4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6"/>
    </row>
    <row r="542">
      <c r="A542" s="4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6"/>
    </row>
    <row r="543">
      <c r="A543" s="4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6"/>
    </row>
    <row r="544">
      <c r="A544" s="4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6"/>
    </row>
    <row r="545">
      <c r="A545" s="4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6"/>
    </row>
    <row r="546">
      <c r="A546" s="4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6"/>
    </row>
    <row r="547">
      <c r="A547" s="4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6"/>
    </row>
    <row r="548">
      <c r="A548" s="4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6"/>
    </row>
    <row r="549">
      <c r="A549" s="4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6"/>
    </row>
    <row r="550">
      <c r="A550" s="4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6"/>
    </row>
    <row r="551">
      <c r="A551" s="4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6"/>
    </row>
    <row r="552">
      <c r="A552" s="4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6"/>
    </row>
    <row r="553">
      <c r="A553" s="4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6"/>
    </row>
    <row r="554">
      <c r="A554" s="4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6"/>
    </row>
    <row r="555">
      <c r="A555" s="4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6"/>
    </row>
    <row r="556">
      <c r="A556" s="4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6"/>
    </row>
    <row r="557">
      <c r="A557" s="4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6"/>
    </row>
    <row r="558">
      <c r="A558" s="4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6"/>
    </row>
    <row r="559">
      <c r="A559" s="4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6"/>
    </row>
    <row r="560">
      <c r="A560" s="4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6"/>
    </row>
    <row r="561">
      <c r="A561" s="4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6"/>
    </row>
    <row r="562">
      <c r="A562" s="4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6"/>
    </row>
    <row r="563">
      <c r="A563" s="4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6"/>
    </row>
    <row r="564">
      <c r="A564" s="4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6"/>
    </row>
    <row r="565">
      <c r="A565" s="4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6"/>
    </row>
    <row r="566">
      <c r="A566" s="4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6"/>
    </row>
    <row r="567">
      <c r="A567" s="4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6"/>
    </row>
    <row r="568">
      <c r="A568" s="4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6"/>
    </row>
    <row r="569">
      <c r="A569" s="4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6"/>
    </row>
    <row r="570">
      <c r="A570" s="4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6"/>
    </row>
    <row r="571">
      <c r="A571" s="4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6"/>
    </row>
    <row r="572">
      <c r="A572" s="4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6"/>
    </row>
    <row r="573">
      <c r="A573" s="4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6"/>
    </row>
    <row r="574">
      <c r="A574" s="4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6"/>
    </row>
    <row r="575">
      <c r="A575" s="4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6"/>
    </row>
    <row r="576">
      <c r="A576" s="4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6"/>
    </row>
    <row r="577">
      <c r="A577" s="4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6"/>
    </row>
    <row r="578">
      <c r="A578" s="4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6"/>
    </row>
    <row r="579">
      <c r="A579" s="4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6"/>
    </row>
    <row r="580">
      <c r="A580" s="4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6"/>
    </row>
    <row r="581">
      <c r="A581" s="4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6"/>
    </row>
    <row r="582">
      <c r="A582" s="4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6"/>
    </row>
    <row r="583">
      <c r="A583" s="4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6"/>
    </row>
    <row r="584">
      <c r="A584" s="4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6"/>
    </row>
    <row r="585">
      <c r="A585" s="4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6"/>
    </row>
    <row r="586">
      <c r="A586" s="4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6"/>
    </row>
    <row r="587">
      <c r="A587" s="4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6"/>
    </row>
    <row r="588">
      <c r="A588" s="4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6"/>
    </row>
    <row r="589">
      <c r="A589" s="4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6"/>
    </row>
    <row r="590">
      <c r="A590" s="4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6"/>
    </row>
    <row r="591">
      <c r="A591" s="4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6"/>
    </row>
    <row r="592">
      <c r="A592" s="4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6"/>
    </row>
    <row r="593">
      <c r="A593" s="4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6"/>
    </row>
    <row r="594">
      <c r="A594" s="4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6"/>
    </row>
    <row r="595">
      <c r="A595" s="4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6"/>
    </row>
    <row r="596">
      <c r="A596" s="4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6"/>
    </row>
    <row r="597">
      <c r="A597" s="4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6"/>
    </row>
    <row r="598">
      <c r="A598" s="4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6"/>
    </row>
    <row r="599">
      <c r="A599" s="4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6"/>
    </row>
    <row r="600">
      <c r="A600" s="4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6"/>
    </row>
    <row r="601">
      <c r="A601" s="4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6"/>
    </row>
    <row r="602">
      <c r="A602" s="4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6"/>
    </row>
    <row r="603">
      <c r="A603" s="4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6"/>
    </row>
    <row r="604">
      <c r="A604" s="4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6"/>
    </row>
    <row r="605">
      <c r="A605" s="4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6"/>
    </row>
    <row r="606">
      <c r="A606" s="4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6"/>
    </row>
    <row r="607">
      <c r="A607" s="4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6"/>
    </row>
    <row r="608">
      <c r="A608" s="4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6"/>
    </row>
    <row r="609">
      <c r="A609" s="4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6"/>
    </row>
    <row r="610">
      <c r="A610" s="4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6"/>
    </row>
    <row r="611">
      <c r="A611" s="4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6"/>
    </row>
    <row r="612">
      <c r="A612" s="4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6"/>
    </row>
    <row r="613">
      <c r="A613" s="4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6"/>
    </row>
    <row r="614">
      <c r="A614" s="4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6"/>
    </row>
    <row r="615">
      <c r="A615" s="4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6"/>
    </row>
    <row r="616">
      <c r="A616" s="4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6"/>
    </row>
    <row r="617">
      <c r="A617" s="4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6"/>
    </row>
    <row r="618">
      <c r="A618" s="4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6"/>
    </row>
    <row r="619">
      <c r="A619" s="4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6"/>
    </row>
    <row r="620">
      <c r="A620" s="4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6"/>
    </row>
    <row r="621">
      <c r="A621" s="4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6"/>
    </row>
    <row r="622">
      <c r="A622" s="4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6"/>
    </row>
    <row r="623">
      <c r="A623" s="4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6"/>
    </row>
    <row r="624">
      <c r="A624" s="4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6"/>
    </row>
    <row r="625">
      <c r="A625" s="4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6"/>
    </row>
    <row r="626">
      <c r="A626" s="4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6"/>
    </row>
    <row r="627">
      <c r="A627" s="4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6"/>
    </row>
    <row r="628">
      <c r="A628" s="4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6"/>
    </row>
    <row r="629">
      <c r="A629" s="4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6"/>
    </row>
    <row r="630">
      <c r="A630" s="4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6"/>
    </row>
    <row r="631">
      <c r="A631" s="4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6"/>
    </row>
    <row r="632">
      <c r="A632" s="4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6"/>
    </row>
    <row r="633">
      <c r="A633" s="4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6"/>
    </row>
    <row r="634">
      <c r="A634" s="4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6"/>
    </row>
    <row r="635">
      <c r="A635" s="4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6"/>
    </row>
    <row r="636">
      <c r="A636" s="4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6"/>
    </row>
    <row r="637">
      <c r="A637" s="4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6"/>
    </row>
    <row r="638">
      <c r="A638" s="4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6"/>
    </row>
    <row r="639">
      <c r="A639" s="4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6"/>
    </row>
    <row r="640">
      <c r="A640" s="4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6"/>
    </row>
    <row r="641">
      <c r="A641" s="4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6"/>
    </row>
    <row r="642">
      <c r="A642" s="4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6"/>
    </row>
    <row r="643">
      <c r="A643" s="4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6"/>
    </row>
    <row r="644">
      <c r="A644" s="4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6"/>
    </row>
    <row r="645">
      <c r="A645" s="4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6"/>
    </row>
    <row r="646">
      <c r="A646" s="4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6"/>
    </row>
    <row r="647">
      <c r="A647" s="4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6"/>
    </row>
    <row r="648">
      <c r="A648" s="4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6"/>
    </row>
    <row r="649">
      <c r="A649" s="4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6"/>
    </row>
    <row r="650">
      <c r="A650" s="4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6"/>
    </row>
    <row r="651">
      <c r="A651" s="4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6"/>
    </row>
    <row r="652">
      <c r="A652" s="4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6"/>
    </row>
    <row r="653">
      <c r="A653" s="4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6"/>
    </row>
    <row r="654">
      <c r="A654" s="4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6"/>
    </row>
    <row r="655">
      <c r="A655" s="4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6"/>
    </row>
    <row r="656">
      <c r="A656" s="4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6"/>
    </row>
    <row r="657">
      <c r="A657" s="4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6"/>
    </row>
    <row r="658">
      <c r="A658" s="4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6"/>
    </row>
    <row r="659">
      <c r="A659" s="4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6"/>
    </row>
    <row r="660">
      <c r="A660" s="4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6"/>
    </row>
    <row r="661">
      <c r="A661" s="4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6"/>
    </row>
    <row r="662">
      <c r="A662" s="4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6"/>
    </row>
    <row r="663">
      <c r="A663" s="4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6"/>
    </row>
    <row r="664">
      <c r="A664" s="4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6"/>
    </row>
    <row r="665">
      <c r="A665" s="4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6"/>
    </row>
    <row r="666">
      <c r="A666" s="4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6"/>
    </row>
    <row r="667">
      <c r="A667" s="4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6"/>
    </row>
    <row r="668">
      <c r="A668" s="4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6"/>
    </row>
    <row r="669">
      <c r="A669" s="4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6"/>
    </row>
    <row r="670">
      <c r="A670" s="4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6"/>
    </row>
    <row r="671">
      <c r="A671" s="4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6"/>
    </row>
    <row r="672">
      <c r="A672" s="4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6"/>
    </row>
    <row r="673">
      <c r="A673" s="4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6"/>
    </row>
    <row r="674">
      <c r="A674" s="4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6"/>
    </row>
    <row r="675">
      <c r="A675" s="4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6"/>
    </row>
    <row r="676">
      <c r="A676" s="4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6"/>
    </row>
    <row r="677">
      <c r="A677" s="4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6"/>
    </row>
    <row r="678">
      <c r="A678" s="4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6"/>
    </row>
    <row r="679">
      <c r="A679" s="4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6"/>
    </row>
    <row r="680">
      <c r="A680" s="4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6"/>
    </row>
    <row r="681">
      <c r="A681" s="4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6"/>
    </row>
    <row r="682">
      <c r="A682" s="4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6"/>
    </row>
    <row r="683">
      <c r="A683" s="4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6"/>
    </row>
    <row r="684">
      <c r="A684" s="4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6"/>
    </row>
    <row r="685">
      <c r="A685" s="4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6"/>
    </row>
    <row r="686">
      <c r="A686" s="4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6"/>
    </row>
    <row r="687">
      <c r="A687" s="4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6"/>
    </row>
    <row r="688">
      <c r="A688" s="4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6"/>
    </row>
    <row r="689">
      <c r="A689" s="4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6"/>
    </row>
    <row r="690">
      <c r="A690" s="4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6"/>
    </row>
    <row r="691">
      <c r="A691" s="4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6"/>
    </row>
    <row r="692">
      <c r="A692" s="4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6"/>
    </row>
    <row r="693">
      <c r="A693" s="4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6"/>
    </row>
    <row r="694">
      <c r="A694" s="4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6"/>
    </row>
    <row r="695">
      <c r="A695" s="4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6"/>
    </row>
    <row r="696">
      <c r="A696" s="4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6"/>
    </row>
    <row r="697">
      <c r="A697" s="4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6"/>
    </row>
    <row r="698">
      <c r="A698" s="4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6"/>
    </row>
    <row r="699">
      <c r="A699" s="4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6"/>
    </row>
    <row r="700">
      <c r="A700" s="4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6"/>
    </row>
    <row r="701">
      <c r="A701" s="4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6"/>
    </row>
    <row r="702">
      <c r="A702" s="4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6"/>
    </row>
    <row r="703">
      <c r="A703" s="4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6"/>
    </row>
    <row r="704">
      <c r="A704" s="4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6"/>
    </row>
    <row r="705">
      <c r="A705" s="4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6"/>
    </row>
    <row r="706">
      <c r="A706" s="4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6"/>
    </row>
    <row r="707">
      <c r="A707" s="4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6"/>
    </row>
    <row r="708">
      <c r="A708" s="4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6"/>
    </row>
    <row r="709">
      <c r="A709" s="4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6"/>
    </row>
    <row r="710">
      <c r="A710" s="4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6"/>
    </row>
    <row r="711">
      <c r="A711" s="4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6"/>
    </row>
    <row r="712">
      <c r="A712" s="4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6"/>
    </row>
    <row r="713">
      <c r="A713" s="4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6"/>
    </row>
    <row r="714">
      <c r="A714" s="4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6"/>
    </row>
    <row r="715">
      <c r="A715" s="4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6"/>
    </row>
    <row r="716">
      <c r="A716" s="4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6"/>
    </row>
    <row r="717">
      <c r="A717" s="4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6"/>
    </row>
    <row r="718">
      <c r="A718" s="4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6"/>
    </row>
    <row r="719">
      <c r="A719" s="4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6"/>
    </row>
    <row r="720">
      <c r="A720" s="4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6"/>
    </row>
    <row r="721">
      <c r="A721" s="4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6"/>
    </row>
    <row r="722">
      <c r="A722" s="4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6"/>
    </row>
    <row r="723">
      <c r="A723" s="4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6"/>
    </row>
    <row r="724">
      <c r="A724" s="4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6"/>
    </row>
    <row r="725">
      <c r="A725" s="4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6"/>
    </row>
    <row r="726">
      <c r="A726" s="4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6"/>
    </row>
    <row r="727">
      <c r="A727" s="4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6"/>
    </row>
    <row r="728">
      <c r="A728" s="4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6"/>
    </row>
    <row r="729">
      <c r="A729" s="4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6"/>
    </row>
    <row r="730">
      <c r="A730" s="4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6"/>
    </row>
    <row r="731">
      <c r="A731" s="4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6"/>
    </row>
    <row r="732">
      <c r="A732" s="4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6"/>
    </row>
    <row r="733">
      <c r="A733" s="4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6"/>
    </row>
    <row r="734">
      <c r="A734" s="4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6"/>
    </row>
    <row r="735">
      <c r="A735" s="4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6"/>
    </row>
    <row r="736">
      <c r="A736" s="4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6"/>
    </row>
    <row r="737">
      <c r="A737" s="4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6"/>
    </row>
    <row r="738">
      <c r="A738" s="4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6"/>
    </row>
    <row r="739">
      <c r="A739" s="4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6"/>
    </row>
    <row r="740">
      <c r="A740" s="4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6"/>
    </row>
    <row r="741">
      <c r="A741" s="4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6"/>
    </row>
    <row r="742">
      <c r="A742" s="4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6"/>
    </row>
    <row r="743">
      <c r="A743" s="4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6"/>
    </row>
    <row r="744">
      <c r="A744" s="4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6"/>
    </row>
    <row r="745">
      <c r="A745" s="4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6"/>
    </row>
    <row r="746">
      <c r="AF746" s="555"/>
    </row>
    <row r="747">
      <c r="AF747" s="555"/>
    </row>
    <row r="748">
      <c r="AF748" s="555"/>
    </row>
    <row r="749">
      <c r="AF749" s="555"/>
    </row>
    <row r="750">
      <c r="AF750" s="555"/>
    </row>
    <row r="751">
      <c r="AF751" s="555"/>
    </row>
    <row r="752">
      <c r="AF752" s="555"/>
    </row>
    <row r="753">
      <c r="AF753" s="555"/>
    </row>
    <row r="754">
      <c r="AF754" s="555"/>
    </row>
    <row r="755">
      <c r="AF755" s="555"/>
    </row>
    <row r="756">
      <c r="AF756" s="555"/>
    </row>
    <row r="757">
      <c r="AF757" s="555"/>
    </row>
    <row r="758">
      <c r="AF758" s="555"/>
    </row>
    <row r="759">
      <c r="AF759" s="555"/>
    </row>
    <row r="760">
      <c r="AF760" s="555"/>
    </row>
    <row r="761">
      <c r="AF761" s="555"/>
    </row>
    <row r="762">
      <c r="AF762" s="555"/>
    </row>
    <row r="763">
      <c r="AF763" s="555"/>
    </row>
    <row r="764">
      <c r="AF764" s="555"/>
    </row>
    <row r="765">
      <c r="AF765" s="555"/>
    </row>
    <row r="766">
      <c r="AF766" s="555"/>
    </row>
    <row r="767">
      <c r="AF767" s="555"/>
    </row>
    <row r="768">
      <c r="AF768" s="555"/>
    </row>
    <row r="769">
      <c r="AF769" s="555"/>
    </row>
    <row r="770">
      <c r="AF770" s="555"/>
    </row>
    <row r="771">
      <c r="AF771" s="555"/>
    </row>
    <row r="772">
      <c r="AF772" s="555"/>
    </row>
    <row r="773">
      <c r="AF773" s="555"/>
    </row>
    <row r="774">
      <c r="AF774" s="555"/>
    </row>
    <row r="775">
      <c r="AF775" s="555"/>
    </row>
    <row r="776">
      <c r="AF776" s="555"/>
    </row>
    <row r="777">
      <c r="AF777" s="555"/>
    </row>
    <row r="778">
      <c r="AF778" s="555"/>
    </row>
    <row r="779">
      <c r="AF779" s="555"/>
    </row>
    <row r="780">
      <c r="AF780" s="555"/>
    </row>
    <row r="781">
      <c r="AF781" s="555"/>
    </row>
    <row r="782">
      <c r="AF782" s="555"/>
    </row>
    <row r="783">
      <c r="AF783" s="555"/>
    </row>
    <row r="784">
      <c r="AF784" s="555"/>
    </row>
    <row r="785">
      <c r="AF785" s="555"/>
    </row>
    <row r="786">
      <c r="AF786" s="555"/>
    </row>
    <row r="787">
      <c r="AF787" s="555"/>
    </row>
    <row r="788">
      <c r="AF788" s="555"/>
    </row>
    <row r="789">
      <c r="AF789" s="555"/>
    </row>
    <row r="790">
      <c r="AF790" s="555"/>
    </row>
    <row r="791">
      <c r="AF791" s="555"/>
    </row>
    <row r="792">
      <c r="AF792" s="555"/>
    </row>
    <row r="793">
      <c r="AF793" s="555"/>
    </row>
    <row r="794">
      <c r="AF794" s="555"/>
    </row>
    <row r="795">
      <c r="AF795" s="555"/>
    </row>
    <row r="796">
      <c r="AF796" s="555"/>
    </row>
    <row r="797">
      <c r="AF797" s="555"/>
    </row>
    <row r="798">
      <c r="AF798" s="555"/>
    </row>
    <row r="799">
      <c r="AF799" s="555"/>
    </row>
    <row r="800">
      <c r="AF800" s="555"/>
    </row>
    <row r="801">
      <c r="AF801" s="555"/>
    </row>
    <row r="802">
      <c r="AF802" s="555"/>
    </row>
    <row r="803">
      <c r="AF803" s="555"/>
    </row>
    <row r="804">
      <c r="AF804" s="555"/>
    </row>
    <row r="805">
      <c r="AF805" s="555"/>
    </row>
    <row r="806">
      <c r="AF806" s="555"/>
    </row>
    <row r="807">
      <c r="AF807" s="555"/>
    </row>
    <row r="808">
      <c r="AF808" s="555"/>
    </row>
    <row r="809">
      <c r="AF809" s="555"/>
    </row>
    <row r="810">
      <c r="AF810" s="555"/>
    </row>
    <row r="811">
      <c r="AF811" s="555"/>
    </row>
    <row r="812">
      <c r="AF812" s="555"/>
    </row>
    <row r="813">
      <c r="AF813" s="555"/>
    </row>
    <row r="814">
      <c r="AF814" s="555"/>
    </row>
    <row r="815">
      <c r="AF815" s="555"/>
    </row>
    <row r="816">
      <c r="AF816" s="555"/>
    </row>
    <row r="817">
      <c r="AF817" s="555"/>
    </row>
    <row r="818">
      <c r="AF818" s="555"/>
    </row>
    <row r="819">
      <c r="AF819" s="555"/>
    </row>
    <row r="820">
      <c r="AF820" s="555"/>
    </row>
    <row r="821">
      <c r="AF821" s="555"/>
    </row>
    <row r="822">
      <c r="AF822" s="555"/>
    </row>
    <row r="823">
      <c r="AF823" s="555"/>
    </row>
    <row r="824">
      <c r="AF824" s="555"/>
    </row>
    <row r="825">
      <c r="AF825" s="555"/>
    </row>
    <row r="826">
      <c r="AF826" s="555"/>
    </row>
    <row r="827">
      <c r="AF827" s="555"/>
    </row>
    <row r="828">
      <c r="AF828" s="555"/>
    </row>
    <row r="829">
      <c r="AF829" s="555"/>
    </row>
    <row r="830">
      <c r="AF830" s="555"/>
    </row>
    <row r="831">
      <c r="AF831" s="555"/>
    </row>
    <row r="832">
      <c r="AF832" s="555"/>
    </row>
    <row r="833">
      <c r="AF833" s="555"/>
    </row>
    <row r="834">
      <c r="AF834" s="555"/>
    </row>
    <row r="835">
      <c r="AF835" s="555"/>
    </row>
    <row r="836">
      <c r="AF836" s="555"/>
    </row>
    <row r="837">
      <c r="AF837" s="555"/>
    </row>
    <row r="838">
      <c r="AF838" s="555"/>
    </row>
    <row r="839">
      <c r="AF839" s="555"/>
    </row>
    <row r="840">
      <c r="AF840" s="555"/>
    </row>
    <row r="841">
      <c r="AF841" s="555"/>
    </row>
    <row r="842">
      <c r="AF842" s="555"/>
    </row>
    <row r="843">
      <c r="AF843" s="555"/>
    </row>
    <row r="844">
      <c r="AF844" s="555"/>
    </row>
    <row r="845">
      <c r="AF845" s="555"/>
    </row>
    <row r="846">
      <c r="AF846" s="555"/>
    </row>
    <row r="847">
      <c r="AF847" s="555"/>
    </row>
    <row r="848">
      <c r="AF848" s="555"/>
    </row>
    <row r="849">
      <c r="AF849" s="555"/>
    </row>
    <row r="850">
      <c r="AF850" s="555"/>
    </row>
    <row r="851">
      <c r="AF851" s="555"/>
    </row>
    <row r="852">
      <c r="AF852" s="555"/>
    </row>
    <row r="853">
      <c r="AF853" s="555"/>
    </row>
    <row r="854">
      <c r="AF854" s="555"/>
    </row>
    <row r="855">
      <c r="AF855" s="555"/>
    </row>
    <row r="856">
      <c r="AF856" s="555"/>
    </row>
    <row r="857">
      <c r="AF857" s="555"/>
    </row>
    <row r="858">
      <c r="AF858" s="555"/>
    </row>
    <row r="859">
      <c r="AF859" s="555"/>
    </row>
    <row r="860">
      <c r="AF860" s="555"/>
    </row>
    <row r="861">
      <c r="AF861" s="555"/>
    </row>
    <row r="862">
      <c r="AF862" s="555"/>
    </row>
    <row r="863">
      <c r="AF863" s="555"/>
    </row>
    <row r="864">
      <c r="AF864" s="555"/>
    </row>
    <row r="865">
      <c r="AF865" s="555"/>
    </row>
    <row r="866">
      <c r="AF866" s="555"/>
    </row>
    <row r="867">
      <c r="AF867" s="555"/>
    </row>
    <row r="868">
      <c r="AF868" s="555"/>
    </row>
    <row r="869">
      <c r="AF869" s="555"/>
    </row>
    <row r="870">
      <c r="AF870" s="555"/>
    </row>
    <row r="871">
      <c r="AF871" s="555"/>
    </row>
    <row r="872">
      <c r="AF872" s="555"/>
    </row>
    <row r="873">
      <c r="AF873" s="555"/>
    </row>
    <row r="874">
      <c r="AF874" s="555"/>
    </row>
    <row r="875">
      <c r="AF875" s="555"/>
    </row>
    <row r="876">
      <c r="AF876" s="555"/>
    </row>
    <row r="877">
      <c r="AF877" s="555"/>
    </row>
    <row r="878">
      <c r="AF878" s="555"/>
    </row>
    <row r="879">
      <c r="AF879" s="555"/>
    </row>
    <row r="880">
      <c r="AF880" s="555"/>
    </row>
    <row r="881">
      <c r="AF881" s="555"/>
    </row>
    <row r="882">
      <c r="AF882" s="555"/>
    </row>
    <row r="883">
      <c r="AF883" s="555"/>
    </row>
    <row r="884">
      <c r="AF884" s="555"/>
    </row>
    <row r="885">
      <c r="AF885" s="555"/>
    </row>
    <row r="886">
      <c r="AF886" s="555"/>
    </row>
    <row r="887">
      <c r="AF887" s="555"/>
    </row>
    <row r="888">
      <c r="AF888" s="555"/>
    </row>
    <row r="889">
      <c r="AF889" s="555"/>
    </row>
    <row r="890">
      <c r="AF890" s="555"/>
    </row>
    <row r="891">
      <c r="AF891" s="555"/>
    </row>
    <row r="892">
      <c r="AF892" s="555"/>
    </row>
    <row r="893">
      <c r="AF893" s="555"/>
    </row>
    <row r="894">
      <c r="AF894" s="555"/>
    </row>
    <row r="895">
      <c r="AF895" s="555"/>
    </row>
    <row r="896">
      <c r="AF896" s="555"/>
    </row>
    <row r="897">
      <c r="AF897" s="555"/>
    </row>
    <row r="898">
      <c r="AF898" s="555"/>
    </row>
    <row r="899">
      <c r="AF899" s="555"/>
    </row>
    <row r="900">
      <c r="AF900" s="555"/>
    </row>
    <row r="901">
      <c r="AF901" s="555"/>
    </row>
    <row r="902">
      <c r="AF902" s="555"/>
    </row>
    <row r="903">
      <c r="AF903" s="555"/>
    </row>
    <row r="904">
      <c r="AF904" s="555"/>
    </row>
    <row r="905">
      <c r="AF905" s="555"/>
    </row>
    <row r="906">
      <c r="AF906" s="555"/>
    </row>
    <row r="907">
      <c r="AF907" s="555"/>
    </row>
    <row r="908">
      <c r="AF908" s="555"/>
    </row>
    <row r="909">
      <c r="AF909" s="555"/>
    </row>
    <row r="910">
      <c r="AF910" s="555"/>
    </row>
    <row r="911">
      <c r="AF911" s="555"/>
    </row>
    <row r="912">
      <c r="AF912" s="555"/>
    </row>
    <row r="913">
      <c r="AF913" s="555"/>
    </row>
    <row r="914">
      <c r="AF914" s="555"/>
    </row>
    <row r="915">
      <c r="AF915" s="555"/>
    </row>
    <row r="916">
      <c r="AF916" s="555"/>
    </row>
    <row r="917">
      <c r="AF917" s="555"/>
    </row>
    <row r="918">
      <c r="AF918" s="555"/>
    </row>
    <row r="919">
      <c r="AF919" s="555"/>
    </row>
    <row r="920">
      <c r="AF920" s="555"/>
    </row>
    <row r="921">
      <c r="AF921" s="555"/>
    </row>
    <row r="922">
      <c r="AF922" s="555"/>
    </row>
    <row r="923">
      <c r="AF923" s="555"/>
    </row>
    <row r="924">
      <c r="AF924" s="555"/>
    </row>
    <row r="925">
      <c r="AF925" s="555"/>
    </row>
    <row r="926">
      <c r="AF926" s="555"/>
    </row>
    <row r="927">
      <c r="AF927" s="555"/>
    </row>
    <row r="928">
      <c r="AF928" s="555"/>
    </row>
    <row r="929">
      <c r="AF929" s="555"/>
    </row>
    <row r="930">
      <c r="AF930" s="555"/>
    </row>
    <row r="931">
      <c r="AF931" s="555"/>
    </row>
    <row r="932">
      <c r="AF932" s="555"/>
    </row>
    <row r="933">
      <c r="AF933" s="555"/>
    </row>
    <row r="934">
      <c r="AF934" s="555"/>
    </row>
    <row r="935">
      <c r="AF935" s="555"/>
    </row>
    <row r="936">
      <c r="AF936" s="555"/>
    </row>
    <row r="937">
      <c r="AF937" s="555"/>
    </row>
    <row r="938">
      <c r="AF938" s="555"/>
    </row>
    <row r="939">
      <c r="AF939" s="555"/>
    </row>
    <row r="940">
      <c r="AF940" s="555"/>
    </row>
    <row r="941">
      <c r="AF941" s="555"/>
    </row>
    <row r="942">
      <c r="AF942" s="555"/>
    </row>
    <row r="943">
      <c r="AF943" s="555"/>
    </row>
    <row r="944">
      <c r="AF944" s="555"/>
    </row>
    <row r="945">
      <c r="AF945" s="555"/>
    </row>
    <row r="946">
      <c r="AF946" s="555"/>
    </row>
    <row r="947">
      <c r="AF947" s="555"/>
    </row>
    <row r="948">
      <c r="AF948" s="555"/>
    </row>
    <row r="949">
      <c r="AF949" s="555"/>
    </row>
    <row r="950">
      <c r="AF950" s="555"/>
    </row>
    <row r="951">
      <c r="AF951" s="555"/>
    </row>
    <row r="952">
      <c r="AF952" s="555"/>
    </row>
    <row r="953">
      <c r="AF953" s="555"/>
    </row>
    <row r="954">
      <c r="AF954" s="555"/>
    </row>
    <row r="955">
      <c r="AF955" s="555"/>
    </row>
    <row r="956">
      <c r="AF956" s="555"/>
    </row>
    <row r="957">
      <c r="AF957" s="555"/>
    </row>
    <row r="958">
      <c r="AF958" s="555"/>
    </row>
    <row r="959">
      <c r="AF959" s="555"/>
    </row>
    <row r="960">
      <c r="AF960" s="555"/>
    </row>
    <row r="961">
      <c r="AF961" s="555"/>
    </row>
    <row r="962">
      <c r="AF962" s="555"/>
    </row>
    <row r="963">
      <c r="AF963" s="555"/>
    </row>
    <row r="964">
      <c r="AF964" s="555"/>
    </row>
    <row r="965">
      <c r="AF965" s="555"/>
    </row>
    <row r="966">
      <c r="AF966" s="555"/>
    </row>
    <row r="967">
      <c r="AF967" s="555"/>
    </row>
    <row r="968">
      <c r="AF968" s="555"/>
    </row>
    <row r="969">
      <c r="AF969" s="555"/>
    </row>
    <row r="970">
      <c r="AF970" s="555"/>
    </row>
    <row r="971">
      <c r="AF971" s="555"/>
    </row>
    <row r="972">
      <c r="AF972" s="555"/>
    </row>
    <row r="973">
      <c r="AF973" s="555"/>
    </row>
    <row r="974">
      <c r="AF974" s="555"/>
    </row>
    <row r="975">
      <c r="AF975" s="555"/>
    </row>
    <row r="976">
      <c r="AF976" s="555"/>
    </row>
    <row r="977">
      <c r="AF977" s="555"/>
    </row>
    <row r="978">
      <c r="AF978" s="555"/>
    </row>
    <row r="979">
      <c r="AF979" s="555"/>
    </row>
    <row r="980">
      <c r="AF980" s="555"/>
    </row>
    <row r="981">
      <c r="AF981" s="555"/>
    </row>
    <row r="982">
      <c r="AF982" s="555"/>
    </row>
    <row r="983">
      <c r="AF983" s="555"/>
    </row>
    <row r="984">
      <c r="AF984" s="555"/>
    </row>
    <row r="985">
      <c r="AF985" s="555"/>
    </row>
    <row r="986">
      <c r="AF986" s="555"/>
    </row>
    <row r="987">
      <c r="AF987" s="555"/>
    </row>
    <row r="988">
      <c r="AF988" s="555"/>
    </row>
    <row r="989">
      <c r="AF989" s="555"/>
    </row>
    <row r="990">
      <c r="AF990" s="555"/>
    </row>
    <row r="991">
      <c r="AF991" s="555"/>
    </row>
    <row r="992">
      <c r="AF992" s="555"/>
    </row>
    <row r="993">
      <c r="AF993" s="555"/>
    </row>
    <row r="994">
      <c r="AF994" s="555"/>
    </row>
    <row r="995">
      <c r="AF995" s="555"/>
    </row>
    <row r="996">
      <c r="AF996" s="555"/>
    </row>
    <row r="997">
      <c r="AF997" s="555"/>
    </row>
    <row r="998">
      <c r="AF998" s="555"/>
    </row>
    <row r="999">
      <c r="AF999" s="555"/>
    </row>
    <row r="1000">
      <c r="AF1000" s="55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outlineLevelCol="1"/>
  <cols>
    <col customWidth="1" min="1" max="1" width="61.25"/>
  </cols>
  <sheetData>
    <row r="1">
      <c r="A1" s="68" t="s">
        <v>117</v>
      </c>
      <c r="B1" s="4">
        <v>45231.0</v>
      </c>
      <c r="C1" s="4">
        <v>45232.0</v>
      </c>
      <c r="D1" s="4">
        <v>45233.0</v>
      </c>
      <c r="E1" s="4">
        <v>45234.0</v>
      </c>
      <c r="F1" s="4">
        <v>45235.0</v>
      </c>
      <c r="G1" s="4">
        <v>45236.0</v>
      </c>
      <c r="H1" s="4">
        <v>45237.0</v>
      </c>
      <c r="I1" s="4">
        <v>45238.0</v>
      </c>
      <c r="J1" s="4">
        <v>45239.0</v>
      </c>
      <c r="K1" s="4">
        <v>45240.0</v>
      </c>
      <c r="L1" s="4">
        <v>45241.0</v>
      </c>
      <c r="M1" s="4">
        <v>45242.0</v>
      </c>
      <c r="N1" s="4">
        <v>45243.0</v>
      </c>
      <c r="O1" s="4">
        <v>45244.0</v>
      </c>
      <c r="P1" s="4">
        <v>45245.0</v>
      </c>
      <c r="Q1" s="4">
        <v>45246.0</v>
      </c>
      <c r="R1" s="4">
        <v>45247.0</v>
      </c>
      <c r="S1" s="4">
        <v>45248.0</v>
      </c>
      <c r="T1" s="4">
        <v>45249.0</v>
      </c>
      <c r="U1" s="4">
        <v>45250.0</v>
      </c>
      <c r="V1" s="4">
        <v>45251.0</v>
      </c>
      <c r="W1" s="4">
        <v>45252.0</v>
      </c>
      <c r="X1" s="4">
        <v>45253.0</v>
      </c>
      <c r="Y1" s="4">
        <v>45254.0</v>
      </c>
      <c r="Z1" s="4">
        <v>45255.0</v>
      </c>
      <c r="AA1" s="4">
        <v>45256.0</v>
      </c>
      <c r="AB1" s="4">
        <v>45257.0</v>
      </c>
      <c r="AC1" s="4">
        <v>45258.0</v>
      </c>
      <c r="AD1" s="4">
        <v>45259.0</v>
      </c>
      <c r="AE1" s="4">
        <v>45260.0</v>
      </c>
      <c r="AF1" s="9"/>
    </row>
    <row r="2">
      <c r="A2" s="72" t="s">
        <v>43</v>
      </c>
      <c r="B2" s="8" t="s">
        <v>44</v>
      </c>
      <c r="C2" s="8" t="s">
        <v>45</v>
      </c>
      <c r="D2" s="8" t="s">
        <v>46</v>
      </c>
      <c r="E2" s="8" t="s">
        <v>47</v>
      </c>
      <c r="F2" s="8" t="s">
        <v>48</v>
      </c>
      <c r="G2" s="8" t="s">
        <v>49</v>
      </c>
      <c r="H2" s="8" t="s">
        <v>50</v>
      </c>
      <c r="I2" s="8" t="s">
        <v>44</v>
      </c>
      <c r="J2" s="8" t="s">
        <v>45</v>
      </c>
      <c r="K2" s="8" t="s">
        <v>46</v>
      </c>
      <c r="L2" s="8" t="s">
        <v>47</v>
      </c>
      <c r="M2" s="8" t="s">
        <v>48</v>
      </c>
      <c r="N2" s="8" t="s">
        <v>49</v>
      </c>
      <c r="O2" s="8" t="s">
        <v>50</v>
      </c>
      <c r="P2" s="8" t="s">
        <v>44</v>
      </c>
      <c r="Q2" s="8" t="s">
        <v>45</v>
      </c>
      <c r="R2" s="8" t="s">
        <v>46</v>
      </c>
      <c r="S2" s="8" t="s">
        <v>47</v>
      </c>
      <c r="T2" s="8" t="s">
        <v>48</v>
      </c>
      <c r="U2" s="8" t="s">
        <v>49</v>
      </c>
      <c r="V2" s="8" t="s">
        <v>50</v>
      </c>
      <c r="W2" s="8" t="s">
        <v>44</v>
      </c>
      <c r="X2" s="8" t="s">
        <v>45</v>
      </c>
      <c r="Y2" s="8" t="s">
        <v>46</v>
      </c>
      <c r="Z2" s="8" t="s">
        <v>47</v>
      </c>
      <c r="AA2" s="8" t="s">
        <v>48</v>
      </c>
      <c r="AB2" s="8" t="s">
        <v>49</v>
      </c>
      <c r="AC2" s="8" t="s">
        <v>50</v>
      </c>
      <c r="AD2" s="8" t="s">
        <v>44</v>
      </c>
      <c r="AE2" s="8" t="s">
        <v>45</v>
      </c>
      <c r="AF2" s="9"/>
    </row>
    <row r="3">
      <c r="A3" s="4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74"/>
    </row>
    <row r="4">
      <c r="A4" s="75" t="s">
        <v>118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74"/>
    </row>
    <row r="5">
      <c r="A5" s="76" t="s">
        <v>119</v>
      </c>
      <c r="B5" s="77">
        <v>486.897437</v>
      </c>
      <c r="C5" s="77">
        <v>814.044651</v>
      </c>
      <c r="D5" s="77">
        <v>739.744435</v>
      </c>
      <c r="E5" s="77">
        <v>1715.180579</v>
      </c>
      <c r="F5" s="77">
        <v>1559.707588</v>
      </c>
      <c r="G5" s="77">
        <v>1055.19934</v>
      </c>
      <c r="H5" s="77">
        <v>788.266502</v>
      </c>
      <c r="I5" s="77">
        <v>1004.470567</v>
      </c>
      <c r="J5" s="77">
        <v>1076.019127</v>
      </c>
      <c r="K5" s="77">
        <v>1253.732363</v>
      </c>
      <c r="L5" s="77">
        <v>1647.723071</v>
      </c>
      <c r="M5" s="77">
        <v>2182.465073</v>
      </c>
      <c r="N5" s="77">
        <v>848.169161</v>
      </c>
      <c r="O5" s="77">
        <v>892.462619</v>
      </c>
      <c r="P5" s="77">
        <v>1067.886416</v>
      </c>
      <c r="Q5" s="77">
        <v>1037.342594</v>
      </c>
      <c r="R5" s="77">
        <v>1258.780251</v>
      </c>
      <c r="S5" s="77">
        <v>1452.890903</v>
      </c>
      <c r="T5" s="77">
        <v>1760.010101</v>
      </c>
      <c r="U5" s="77">
        <v>985.975955</v>
      </c>
      <c r="V5" s="77">
        <v>930.86499</v>
      </c>
      <c r="W5" s="77">
        <v>588.940554</v>
      </c>
      <c r="X5" s="77">
        <v>924.14745</v>
      </c>
      <c r="Y5" s="77">
        <v>1197.641532</v>
      </c>
      <c r="Z5" s="77">
        <v>1576.065861</v>
      </c>
      <c r="AA5" s="77">
        <v>1841.466152</v>
      </c>
      <c r="AB5" s="77">
        <v>921.085846</v>
      </c>
      <c r="AC5" s="77">
        <v>1026.674763</v>
      </c>
      <c r="AD5" s="77">
        <v>1109.93027</v>
      </c>
      <c r="AE5" s="77">
        <v>1514.412322</v>
      </c>
      <c r="AF5" s="80">
        <f t="shared" ref="AF5:AF11" si="1">sum(B5:AE5)</f>
        <v>35258.19847</v>
      </c>
    </row>
    <row r="6">
      <c r="A6" s="76" t="s">
        <v>120</v>
      </c>
      <c r="B6" s="77">
        <v>456.096491</v>
      </c>
      <c r="C6" s="77">
        <v>785.986491</v>
      </c>
      <c r="D6" s="77">
        <v>699.591725</v>
      </c>
      <c r="E6" s="77">
        <v>1669.520289</v>
      </c>
      <c r="F6" s="77">
        <v>1502.049132</v>
      </c>
      <c r="G6" s="77">
        <v>1006.334514</v>
      </c>
      <c r="H6" s="77">
        <v>730.330767</v>
      </c>
      <c r="I6" s="77">
        <v>941.191702</v>
      </c>
      <c r="J6" s="77">
        <v>1022.92891</v>
      </c>
      <c r="K6" s="77">
        <v>1214.483349</v>
      </c>
      <c r="L6" s="77">
        <v>1611.843071</v>
      </c>
      <c r="M6" s="77">
        <v>2137.517811</v>
      </c>
      <c r="N6" s="77">
        <v>814.633365</v>
      </c>
      <c r="O6" s="77">
        <v>846.10787</v>
      </c>
      <c r="P6" s="77">
        <v>1037.823461</v>
      </c>
      <c r="Q6" s="77">
        <v>993.871064</v>
      </c>
      <c r="R6" s="77">
        <v>1231.224455</v>
      </c>
      <c r="S6" s="77">
        <v>1416.684993</v>
      </c>
      <c r="T6" s="77">
        <v>1726.320276</v>
      </c>
      <c r="U6" s="77">
        <v>970.715625</v>
      </c>
      <c r="V6" s="77">
        <v>905.98221</v>
      </c>
      <c r="W6" s="77">
        <v>546.036375</v>
      </c>
      <c r="X6" s="77">
        <v>897.23745</v>
      </c>
      <c r="Y6" s="77">
        <v>1148.81778</v>
      </c>
      <c r="Z6" s="77">
        <v>1493.511226</v>
      </c>
      <c r="AA6" s="77">
        <v>1742.650259</v>
      </c>
      <c r="AB6" s="77">
        <v>872.7233</v>
      </c>
      <c r="AC6" s="77">
        <v>963.159377</v>
      </c>
      <c r="AD6" s="77">
        <v>1063.954535</v>
      </c>
      <c r="AE6" s="77">
        <v>1438.351622</v>
      </c>
      <c r="AF6" s="80">
        <f t="shared" si="1"/>
        <v>33887.6795</v>
      </c>
    </row>
    <row r="7">
      <c r="A7" s="76" t="s">
        <v>121</v>
      </c>
      <c r="B7" s="77">
        <v>30.800946</v>
      </c>
      <c r="C7" s="77">
        <v>28.05816</v>
      </c>
      <c r="D7" s="77">
        <v>40.15271</v>
      </c>
      <c r="E7" s="77">
        <v>45.66029</v>
      </c>
      <c r="F7" s="77">
        <v>57.658456</v>
      </c>
      <c r="G7" s="77">
        <v>48.864826</v>
      </c>
      <c r="H7" s="77">
        <v>57.935735</v>
      </c>
      <c r="I7" s="77">
        <v>63.278865</v>
      </c>
      <c r="J7" s="77">
        <v>53.090217</v>
      </c>
      <c r="K7" s="77">
        <v>39.249014</v>
      </c>
      <c r="L7" s="77">
        <v>35.88</v>
      </c>
      <c r="M7" s="77">
        <v>44.947262</v>
      </c>
      <c r="N7" s="77">
        <v>33.535796</v>
      </c>
      <c r="O7" s="77">
        <v>46.354749</v>
      </c>
      <c r="P7" s="77">
        <v>30.062955</v>
      </c>
      <c r="Q7" s="77">
        <v>43.47153</v>
      </c>
      <c r="R7" s="77">
        <v>27.555796</v>
      </c>
      <c r="S7" s="77">
        <v>36.20591</v>
      </c>
      <c r="T7" s="77">
        <v>33.689825</v>
      </c>
      <c r="U7" s="77">
        <v>15.26033</v>
      </c>
      <c r="V7" s="77">
        <v>24.88278</v>
      </c>
      <c r="W7" s="77">
        <v>42.904179</v>
      </c>
      <c r="X7" s="77">
        <v>26.91</v>
      </c>
      <c r="Y7" s="77">
        <v>48.823752</v>
      </c>
      <c r="Z7" s="77">
        <v>82.554635</v>
      </c>
      <c r="AA7" s="77">
        <v>98.815893</v>
      </c>
      <c r="AB7" s="77">
        <v>48.362546</v>
      </c>
      <c r="AC7" s="77">
        <v>63.515386</v>
      </c>
      <c r="AD7" s="77">
        <v>45.975735</v>
      </c>
      <c r="AE7" s="77">
        <v>76.0607</v>
      </c>
      <c r="AF7" s="80">
        <f t="shared" si="1"/>
        <v>1370.518978</v>
      </c>
    </row>
    <row r="8">
      <c r="A8" s="76" t="s">
        <v>124</v>
      </c>
      <c r="B8" s="77">
        <v>99.62</v>
      </c>
      <c r="C8" s="77">
        <v>165.88</v>
      </c>
      <c r="D8" s="77">
        <v>71.14</v>
      </c>
      <c r="E8" s="77">
        <v>412.73</v>
      </c>
      <c r="F8" s="77">
        <v>297.94</v>
      </c>
      <c r="G8" s="77">
        <v>81.15</v>
      </c>
      <c r="H8" s="77">
        <v>179.72</v>
      </c>
      <c r="I8" s="77">
        <v>322.51</v>
      </c>
      <c r="J8" s="77">
        <v>341.54</v>
      </c>
      <c r="K8" s="77">
        <v>289.96</v>
      </c>
      <c r="L8" s="77">
        <v>415.35</v>
      </c>
      <c r="M8" s="77">
        <v>386.59</v>
      </c>
      <c r="N8" s="77">
        <v>356.13</v>
      </c>
      <c r="O8" s="77">
        <v>365.22</v>
      </c>
      <c r="P8" s="77">
        <v>263.21</v>
      </c>
      <c r="Q8" s="77">
        <v>164.08</v>
      </c>
      <c r="R8" s="77">
        <v>294.83</v>
      </c>
      <c r="S8" s="77">
        <v>396.25</v>
      </c>
      <c r="T8" s="77">
        <v>549.52</v>
      </c>
      <c r="U8" s="77">
        <v>239.29</v>
      </c>
      <c r="V8" s="77">
        <v>334.46</v>
      </c>
      <c r="W8" s="77">
        <v>167.9</v>
      </c>
      <c r="X8" s="77">
        <v>168.91</v>
      </c>
      <c r="Y8" s="77">
        <v>328.28</v>
      </c>
      <c r="Z8" s="77">
        <v>487.35</v>
      </c>
      <c r="AA8" s="77">
        <v>786.74</v>
      </c>
      <c r="AB8" s="77">
        <v>397.36</v>
      </c>
      <c r="AC8" s="77">
        <v>209.04</v>
      </c>
      <c r="AD8" s="77">
        <v>368.19</v>
      </c>
      <c r="AE8" s="77">
        <v>193.16</v>
      </c>
      <c r="AF8" s="80">
        <f t="shared" si="1"/>
        <v>9134.05</v>
      </c>
    </row>
    <row r="9">
      <c r="A9" s="76" t="s">
        <v>120</v>
      </c>
      <c r="B9" s="77">
        <v>93.42</v>
      </c>
      <c r="C9" s="77">
        <v>159.9</v>
      </c>
      <c r="D9" s="77">
        <v>64.79</v>
      </c>
      <c r="E9" s="77">
        <v>389.8</v>
      </c>
      <c r="F9" s="77">
        <v>291.53</v>
      </c>
      <c r="G9" s="77">
        <v>62.22</v>
      </c>
      <c r="H9" s="77">
        <v>160.91</v>
      </c>
      <c r="I9" s="77">
        <v>296.17</v>
      </c>
      <c r="J9" s="77">
        <v>328.93</v>
      </c>
      <c r="K9" s="77">
        <v>286.97</v>
      </c>
      <c r="L9" s="77">
        <v>408.98</v>
      </c>
      <c r="M9" s="77">
        <v>376.89</v>
      </c>
      <c r="N9" s="77">
        <v>346.46</v>
      </c>
      <c r="O9" s="77">
        <v>358.99</v>
      </c>
      <c r="P9" s="77">
        <v>249.44</v>
      </c>
      <c r="Q9" s="77">
        <v>161.09</v>
      </c>
      <c r="R9" s="77">
        <v>291.59</v>
      </c>
      <c r="S9" s="77">
        <v>380.3</v>
      </c>
      <c r="T9" s="77">
        <v>537.08</v>
      </c>
      <c r="U9" s="77">
        <v>223.5</v>
      </c>
      <c r="V9" s="77">
        <v>318.29</v>
      </c>
      <c r="W9" s="77">
        <v>158.44</v>
      </c>
      <c r="X9" s="77">
        <v>159.28</v>
      </c>
      <c r="Y9" s="77">
        <v>318.65</v>
      </c>
      <c r="Z9" s="77">
        <v>474.41</v>
      </c>
      <c r="AA9" s="77">
        <v>770.79</v>
      </c>
      <c r="AB9" s="77">
        <v>387.58</v>
      </c>
      <c r="AC9" s="77">
        <v>189.81</v>
      </c>
      <c r="AD9" s="77">
        <v>345.83</v>
      </c>
      <c r="AE9" s="77">
        <v>183.53</v>
      </c>
      <c r="AF9" s="80">
        <f t="shared" si="1"/>
        <v>8775.57</v>
      </c>
    </row>
    <row r="10">
      <c r="A10" s="76" t="s">
        <v>121</v>
      </c>
      <c r="B10" s="77">
        <v>6.2</v>
      </c>
      <c r="C10" s="77">
        <v>5.98</v>
      </c>
      <c r="D10" s="77">
        <v>6.35</v>
      </c>
      <c r="E10" s="77">
        <v>22.93</v>
      </c>
      <c r="F10" s="77">
        <v>6.41</v>
      </c>
      <c r="G10" s="77">
        <v>18.93</v>
      </c>
      <c r="H10" s="77">
        <v>18.81</v>
      </c>
      <c r="I10" s="77">
        <v>26.34</v>
      </c>
      <c r="J10" s="77">
        <v>12.61</v>
      </c>
      <c r="K10" s="77">
        <v>2.99</v>
      </c>
      <c r="L10" s="77">
        <v>6.37</v>
      </c>
      <c r="M10" s="77">
        <v>9.7</v>
      </c>
      <c r="N10" s="77">
        <v>9.67</v>
      </c>
      <c r="O10" s="77">
        <v>6.23</v>
      </c>
      <c r="P10" s="77">
        <v>13.77</v>
      </c>
      <c r="Q10" s="77">
        <v>2.99</v>
      </c>
      <c r="R10" s="77">
        <v>3.24</v>
      </c>
      <c r="S10" s="77">
        <v>15.95</v>
      </c>
      <c r="T10" s="77">
        <v>12.44</v>
      </c>
      <c r="U10" s="77">
        <v>15.79</v>
      </c>
      <c r="V10" s="77">
        <v>16.17</v>
      </c>
      <c r="W10" s="77">
        <v>9.46</v>
      </c>
      <c r="X10" s="77">
        <v>9.63</v>
      </c>
      <c r="Y10" s="77">
        <v>9.63</v>
      </c>
      <c r="Z10" s="77">
        <v>12.94</v>
      </c>
      <c r="AA10" s="77">
        <v>15.95</v>
      </c>
      <c r="AB10" s="77">
        <v>9.78</v>
      </c>
      <c r="AC10" s="77">
        <v>19.23</v>
      </c>
      <c r="AD10" s="77">
        <v>22.36</v>
      </c>
      <c r="AE10" s="77">
        <v>9.63</v>
      </c>
      <c r="AF10" s="80">
        <f t="shared" si="1"/>
        <v>358.48</v>
      </c>
    </row>
    <row r="11">
      <c r="A11" s="93" t="s">
        <v>127</v>
      </c>
      <c r="B11" s="94">
        <f t="shared" ref="B11:AE11" si="2">sum(B5+B8)</f>
        <v>586.517437</v>
      </c>
      <c r="C11" s="94">
        <f t="shared" si="2"/>
        <v>979.924651</v>
      </c>
      <c r="D11" s="94">
        <f t="shared" si="2"/>
        <v>810.884435</v>
      </c>
      <c r="E11" s="94">
        <f t="shared" si="2"/>
        <v>2127.910579</v>
      </c>
      <c r="F11" s="94">
        <f t="shared" si="2"/>
        <v>1857.647588</v>
      </c>
      <c r="G11" s="94">
        <f t="shared" si="2"/>
        <v>1136.34934</v>
      </c>
      <c r="H11" s="94">
        <f t="shared" si="2"/>
        <v>967.986502</v>
      </c>
      <c r="I11" s="94">
        <f t="shared" si="2"/>
        <v>1326.980567</v>
      </c>
      <c r="J11" s="94">
        <f t="shared" si="2"/>
        <v>1417.559127</v>
      </c>
      <c r="K11" s="94">
        <f t="shared" si="2"/>
        <v>1543.692363</v>
      </c>
      <c r="L11" s="94">
        <f t="shared" si="2"/>
        <v>2063.073071</v>
      </c>
      <c r="M11" s="94">
        <f t="shared" si="2"/>
        <v>2569.055073</v>
      </c>
      <c r="N11" s="94">
        <f t="shared" si="2"/>
        <v>1204.299161</v>
      </c>
      <c r="O11" s="94">
        <f t="shared" si="2"/>
        <v>1257.682619</v>
      </c>
      <c r="P11" s="94">
        <f t="shared" si="2"/>
        <v>1331.096416</v>
      </c>
      <c r="Q11" s="94">
        <f t="shared" si="2"/>
        <v>1201.422594</v>
      </c>
      <c r="R11" s="94">
        <f t="shared" si="2"/>
        <v>1553.610251</v>
      </c>
      <c r="S11" s="94">
        <f t="shared" si="2"/>
        <v>1849.140903</v>
      </c>
      <c r="T11" s="94">
        <f t="shared" si="2"/>
        <v>2309.530101</v>
      </c>
      <c r="U11" s="94">
        <f t="shared" si="2"/>
        <v>1225.265955</v>
      </c>
      <c r="V11" s="94">
        <f t="shared" si="2"/>
        <v>1265.32499</v>
      </c>
      <c r="W11" s="94">
        <f t="shared" si="2"/>
        <v>756.840554</v>
      </c>
      <c r="X11" s="94">
        <f t="shared" si="2"/>
        <v>1093.05745</v>
      </c>
      <c r="Y11" s="94">
        <f t="shared" si="2"/>
        <v>1525.921532</v>
      </c>
      <c r="Z11" s="94">
        <f t="shared" si="2"/>
        <v>2063.415861</v>
      </c>
      <c r="AA11" s="94">
        <f t="shared" si="2"/>
        <v>2628.206152</v>
      </c>
      <c r="AB11" s="94">
        <f t="shared" si="2"/>
        <v>1318.445846</v>
      </c>
      <c r="AC11" s="94">
        <f t="shared" si="2"/>
        <v>1235.714763</v>
      </c>
      <c r="AD11" s="94">
        <f t="shared" si="2"/>
        <v>1478.12027</v>
      </c>
      <c r="AE11" s="94">
        <f t="shared" si="2"/>
        <v>1707.572322</v>
      </c>
      <c r="AF11" s="96">
        <f t="shared" si="1"/>
        <v>44392.24847</v>
      </c>
    </row>
    <row r="12">
      <c r="A12" s="4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row>
    <row r="13">
      <c r="A13" s="75" t="s">
        <v>130</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row>
    <row r="14">
      <c r="A14" s="76" t="s">
        <v>132</v>
      </c>
      <c r="B14" s="99">
        <f t="shared" ref="B14:AE14" si="3">sum(B15:B16)</f>
        <v>25</v>
      </c>
      <c r="C14" s="99">
        <f t="shared" si="3"/>
        <v>35</v>
      </c>
      <c r="D14" s="99">
        <f t="shared" si="3"/>
        <v>36</v>
      </c>
      <c r="E14" s="99">
        <f t="shared" si="3"/>
        <v>70</v>
      </c>
      <c r="F14" s="99">
        <f t="shared" si="3"/>
        <v>70</v>
      </c>
      <c r="G14" s="99">
        <f t="shared" si="3"/>
        <v>49</v>
      </c>
      <c r="H14" s="99">
        <f t="shared" si="3"/>
        <v>43</v>
      </c>
      <c r="I14" s="99">
        <f t="shared" si="3"/>
        <v>52</v>
      </c>
      <c r="J14" s="99">
        <f t="shared" si="3"/>
        <v>51</v>
      </c>
      <c r="K14" s="99">
        <f t="shared" si="3"/>
        <v>53</v>
      </c>
      <c r="L14" s="99">
        <f t="shared" si="3"/>
        <v>65</v>
      </c>
      <c r="M14" s="99">
        <f t="shared" si="3"/>
        <v>87</v>
      </c>
      <c r="N14" s="99">
        <f t="shared" si="3"/>
        <v>38</v>
      </c>
      <c r="O14" s="99">
        <f t="shared" si="3"/>
        <v>43</v>
      </c>
      <c r="P14" s="99">
        <f t="shared" si="3"/>
        <v>44</v>
      </c>
      <c r="Q14" s="99">
        <f t="shared" si="3"/>
        <v>47</v>
      </c>
      <c r="R14" s="99">
        <f t="shared" si="3"/>
        <v>50</v>
      </c>
      <c r="S14" s="99">
        <f t="shared" si="3"/>
        <v>59</v>
      </c>
      <c r="T14" s="99">
        <f t="shared" si="3"/>
        <v>68</v>
      </c>
      <c r="U14" s="99">
        <f t="shared" si="3"/>
        <v>37</v>
      </c>
      <c r="V14" s="99">
        <f t="shared" si="3"/>
        <v>38</v>
      </c>
      <c r="W14" s="99">
        <f t="shared" si="3"/>
        <v>32</v>
      </c>
      <c r="X14" s="99">
        <f t="shared" si="3"/>
        <v>39</v>
      </c>
      <c r="Y14" s="99">
        <f t="shared" si="3"/>
        <v>54</v>
      </c>
      <c r="Z14" s="99">
        <f t="shared" si="3"/>
        <v>76</v>
      </c>
      <c r="AA14" s="99">
        <f t="shared" si="3"/>
        <v>91</v>
      </c>
      <c r="AB14" s="99">
        <f t="shared" si="3"/>
        <v>45</v>
      </c>
      <c r="AC14" s="99">
        <f t="shared" si="3"/>
        <v>53</v>
      </c>
      <c r="AD14" s="99">
        <f t="shared" si="3"/>
        <v>50</v>
      </c>
      <c r="AE14" s="99">
        <f t="shared" si="3"/>
        <v>74</v>
      </c>
      <c r="AF14" s="100">
        <f t="shared" ref="AF14:AF22" si="4">sum(B14:AE14)</f>
        <v>1574</v>
      </c>
    </row>
    <row r="15">
      <c r="A15" s="76" t="s">
        <v>120</v>
      </c>
      <c r="B15" s="99">
        <v>15.0</v>
      </c>
      <c r="C15" s="99">
        <v>26.0</v>
      </c>
      <c r="D15" s="99">
        <v>23.0</v>
      </c>
      <c r="E15" s="99">
        <v>55.0</v>
      </c>
      <c r="F15" s="99">
        <v>51.0</v>
      </c>
      <c r="G15" s="99">
        <v>33.0</v>
      </c>
      <c r="H15" s="99">
        <v>24.0</v>
      </c>
      <c r="I15" s="99">
        <v>31.0</v>
      </c>
      <c r="J15" s="99">
        <v>34.0</v>
      </c>
      <c r="K15" s="99">
        <v>40.0</v>
      </c>
      <c r="L15" s="99">
        <v>53.0</v>
      </c>
      <c r="M15" s="99">
        <v>72.0</v>
      </c>
      <c r="N15" s="99">
        <v>27.0</v>
      </c>
      <c r="O15" s="99">
        <v>28.0</v>
      </c>
      <c r="P15" s="99">
        <v>34.0</v>
      </c>
      <c r="Q15" s="99">
        <v>33.0</v>
      </c>
      <c r="R15" s="99">
        <v>41.0</v>
      </c>
      <c r="S15" s="99">
        <v>47.0</v>
      </c>
      <c r="T15" s="99">
        <v>57.0</v>
      </c>
      <c r="U15" s="99">
        <v>32.0</v>
      </c>
      <c r="V15" s="99">
        <v>30.0</v>
      </c>
      <c r="W15" s="99">
        <v>18.0</v>
      </c>
      <c r="X15" s="99">
        <v>30.0</v>
      </c>
      <c r="Y15" s="99">
        <v>38.0</v>
      </c>
      <c r="Z15" s="99">
        <v>49.0</v>
      </c>
      <c r="AA15" s="99">
        <v>58.0</v>
      </c>
      <c r="AB15" s="99">
        <v>29.0</v>
      </c>
      <c r="AC15" s="99">
        <v>32.0</v>
      </c>
      <c r="AD15" s="99">
        <v>35.0</v>
      </c>
      <c r="AE15" s="99">
        <v>49.0</v>
      </c>
      <c r="AF15" s="100">
        <f t="shared" si="4"/>
        <v>1124</v>
      </c>
    </row>
    <row r="16">
      <c r="A16" s="76" t="s">
        <v>121</v>
      </c>
      <c r="B16" s="99">
        <v>10.0</v>
      </c>
      <c r="C16" s="99">
        <v>9.0</v>
      </c>
      <c r="D16" s="99">
        <v>13.0</v>
      </c>
      <c r="E16" s="99">
        <v>15.0</v>
      </c>
      <c r="F16" s="99">
        <v>19.0</v>
      </c>
      <c r="G16" s="99">
        <v>16.0</v>
      </c>
      <c r="H16" s="99">
        <v>19.0</v>
      </c>
      <c r="I16" s="99">
        <v>21.0</v>
      </c>
      <c r="J16" s="99">
        <v>17.0</v>
      </c>
      <c r="K16" s="99">
        <v>13.0</v>
      </c>
      <c r="L16" s="99">
        <v>12.0</v>
      </c>
      <c r="M16" s="99">
        <v>15.0</v>
      </c>
      <c r="N16" s="99">
        <v>11.0</v>
      </c>
      <c r="O16" s="99">
        <v>15.0</v>
      </c>
      <c r="P16" s="99">
        <v>10.0</v>
      </c>
      <c r="Q16" s="99">
        <v>14.0</v>
      </c>
      <c r="R16" s="99">
        <v>9.0</v>
      </c>
      <c r="S16" s="99">
        <v>12.0</v>
      </c>
      <c r="T16" s="99">
        <v>11.0</v>
      </c>
      <c r="U16" s="99">
        <v>5.0</v>
      </c>
      <c r="V16" s="99">
        <v>8.0</v>
      </c>
      <c r="W16" s="99">
        <v>14.0</v>
      </c>
      <c r="X16" s="99">
        <v>9.0</v>
      </c>
      <c r="Y16" s="99">
        <v>16.0</v>
      </c>
      <c r="Z16" s="99">
        <v>27.0</v>
      </c>
      <c r="AA16" s="99">
        <v>33.0</v>
      </c>
      <c r="AB16" s="99">
        <v>16.0</v>
      </c>
      <c r="AC16" s="99">
        <v>21.0</v>
      </c>
      <c r="AD16" s="99">
        <v>15.0</v>
      </c>
      <c r="AE16" s="99">
        <v>25.0</v>
      </c>
      <c r="AF16" s="100">
        <f t="shared" si="4"/>
        <v>450</v>
      </c>
    </row>
    <row r="17">
      <c r="A17" s="76" t="s">
        <v>136</v>
      </c>
      <c r="B17" s="102">
        <f t="shared" ref="B17:AE17" si="5">sum(B18:B19)</f>
        <v>5</v>
      </c>
      <c r="C17" s="102">
        <f t="shared" si="5"/>
        <v>7</v>
      </c>
      <c r="D17" s="102">
        <f t="shared" si="5"/>
        <v>4</v>
      </c>
      <c r="E17" s="102">
        <f t="shared" si="5"/>
        <v>19</v>
      </c>
      <c r="F17" s="102">
        <f t="shared" si="5"/>
        <v>11</v>
      </c>
      <c r="G17" s="102">
        <f t="shared" si="5"/>
        <v>8</v>
      </c>
      <c r="H17" s="102">
        <f t="shared" si="5"/>
        <v>11</v>
      </c>
      <c r="I17" s="102">
        <f t="shared" si="5"/>
        <v>17</v>
      </c>
      <c r="J17" s="102">
        <f t="shared" si="5"/>
        <v>14</v>
      </c>
      <c r="K17" s="102">
        <f t="shared" si="5"/>
        <v>10</v>
      </c>
      <c r="L17" s="102">
        <f t="shared" si="5"/>
        <v>15</v>
      </c>
      <c r="M17" s="102">
        <f t="shared" si="5"/>
        <v>15</v>
      </c>
      <c r="N17" s="102">
        <f t="shared" si="5"/>
        <v>14</v>
      </c>
      <c r="O17" s="102">
        <f t="shared" si="5"/>
        <v>13</v>
      </c>
      <c r="P17" s="102">
        <f t="shared" si="5"/>
        <v>12</v>
      </c>
      <c r="Q17" s="102">
        <f t="shared" si="5"/>
        <v>8</v>
      </c>
      <c r="R17" s="102">
        <f t="shared" si="5"/>
        <v>10</v>
      </c>
      <c r="S17" s="102">
        <f t="shared" si="5"/>
        <v>17</v>
      </c>
      <c r="T17" s="102">
        <f t="shared" si="5"/>
        <v>21</v>
      </c>
      <c r="U17" s="102">
        <f t="shared" si="5"/>
        <v>12</v>
      </c>
      <c r="V17" s="102">
        <f t="shared" si="5"/>
        <v>15</v>
      </c>
      <c r="W17" s="102">
        <f t="shared" si="5"/>
        <v>8</v>
      </c>
      <c r="X17" s="102">
        <f t="shared" si="5"/>
        <v>8</v>
      </c>
      <c r="Y17" s="102">
        <f t="shared" si="5"/>
        <v>13</v>
      </c>
      <c r="Z17" s="102">
        <f t="shared" si="5"/>
        <v>19</v>
      </c>
      <c r="AA17" s="102">
        <f t="shared" si="5"/>
        <v>29</v>
      </c>
      <c r="AB17" s="102">
        <f t="shared" si="5"/>
        <v>15</v>
      </c>
      <c r="AC17" s="102">
        <f t="shared" si="5"/>
        <v>12</v>
      </c>
      <c r="AD17" s="102">
        <f t="shared" si="5"/>
        <v>18</v>
      </c>
      <c r="AE17" s="102">
        <f t="shared" si="5"/>
        <v>9</v>
      </c>
      <c r="AF17" s="100">
        <f t="shared" si="4"/>
        <v>389</v>
      </c>
    </row>
    <row r="18">
      <c r="A18" s="76" t="s">
        <v>120</v>
      </c>
      <c r="B18" s="102">
        <v>3.0</v>
      </c>
      <c r="C18" s="102">
        <v>5.0</v>
      </c>
      <c r="D18" s="102">
        <v>2.0</v>
      </c>
      <c r="E18" s="102">
        <v>12.0</v>
      </c>
      <c r="F18" s="102">
        <v>9.0</v>
      </c>
      <c r="G18" s="102">
        <v>2.0</v>
      </c>
      <c r="H18" s="102">
        <v>5.0</v>
      </c>
      <c r="I18" s="102">
        <v>9.0</v>
      </c>
      <c r="J18" s="102">
        <v>10.0</v>
      </c>
      <c r="K18" s="102">
        <v>9.0</v>
      </c>
      <c r="L18" s="102">
        <v>13.0</v>
      </c>
      <c r="M18" s="102">
        <v>12.0</v>
      </c>
      <c r="N18" s="102">
        <v>11.0</v>
      </c>
      <c r="O18" s="102">
        <v>11.0</v>
      </c>
      <c r="P18" s="102">
        <v>8.0</v>
      </c>
      <c r="Q18" s="102">
        <v>7.0</v>
      </c>
      <c r="R18" s="102">
        <v>9.0</v>
      </c>
      <c r="S18" s="102">
        <v>12.0</v>
      </c>
      <c r="T18" s="102">
        <v>17.0</v>
      </c>
      <c r="U18" s="102">
        <v>7.0</v>
      </c>
      <c r="V18" s="102">
        <v>10.0</v>
      </c>
      <c r="W18" s="102">
        <v>5.0</v>
      </c>
      <c r="X18" s="102">
        <v>5.0</v>
      </c>
      <c r="Y18" s="102">
        <v>10.0</v>
      </c>
      <c r="Z18" s="102">
        <v>15.0</v>
      </c>
      <c r="AA18" s="102">
        <v>24.0</v>
      </c>
      <c r="AB18" s="102">
        <v>12.0</v>
      </c>
      <c r="AC18" s="102">
        <v>6.0</v>
      </c>
      <c r="AD18" s="102">
        <v>11.0</v>
      </c>
      <c r="AE18" s="102">
        <v>6.0</v>
      </c>
      <c r="AF18" s="100">
        <f t="shared" si="4"/>
        <v>277</v>
      </c>
    </row>
    <row r="19">
      <c r="A19" s="76" t="s">
        <v>121</v>
      </c>
      <c r="B19" s="102">
        <v>2.0</v>
      </c>
      <c r="C19" s="102">
        <v>2.0</v>
      </c>
      <c r="D19" s="102">
        <v>2.0</v>
      </c>
      <c r="E19" s="102">
        <v>7.0</v>
      </c>
      <c r="F19" s="102">
        <v>2.0</v>
      </c>
      <c r="G19" s="102">
        <v>6.0</v>
      </c>
      <c r="H19" s="102">
        <v>6.0</v>
      </c>
      <c r="I19" s="102">
        <v>8.0</v>
      </c>
      <c r="J19" s="102">
        <v>4.0</v>
      </c>
      <c r="K19" s="102">
        <v>1.0</v>
      </c>
      <c r="L19" s="102">
        <v>2.0</v>
      </c>
      <c r="M19" s="102">
        <v>3.0</v>
      </c>
      <c r="N19" s="102">
        <v>3.0</v>
      </c>
      <c r="O19" s="102">
        <v>2.0</v>
      </c>
      <c r="P19" s="102">
        <v>4.0</v>
      </c>
      <c r="Q19" s="102">
        <v>1.0</v>
      </c>
      <c r="R19" s="102">
        <v>1.0</v>
      </c>
      <c r="S19" s="102">
        <v>5.0</v>
      </c>
      <c r="T19" s="102">
        <v>4.0</v>
      </c>
      <c r="U19" s="102">
        <v>5.0</v>
      </c>
      <c r="V19" s="102">
        <v>5.0</v>
      </c>
      <c r="W19" s="102">
        <v>3.0</v>
      </c>
      <c r="X19" s="102">
        <v>3.0</v>
      </c>
      <c r="Y19" s="102">
        <v>3.0</v>
      </c>
      <c r="Z19" s="102">
        <v>4.0</v>
      </c>
      <c r="AA19" s="102">
        <v>5.0</v>
      </c>
      <c r="AB19" s="102">
        <v>3.0</v>
      </c>
      <c r="AC19" s="102">
        <v>6.0</v>
      </c>
      <c r="AD19" s="102">
        <v>7.0</v>
      </c>
      <c r="AE19" s="102">
        <v>3.0</v>
      </c>
      <c r="AF19" s="100">
        <f t="shared" si="4"/>
        <v>112</v>
      </c>
    </row>
    <row r="20">
      <c r="A20" s="93" t="s">
        <v>127</v>
      </c>
      <c r="B20" s="104">
        <f t="shared" ref="B20:AE20" si="6">sum(B14+B17)</f>
        <v>30</v>
      </c>
      <c r="C20" s="104">
        <f t="shared" si="6"/>
        <v>42</v>
      </c>
      <c r="D20" s="104">
        <f t="shared" si="6"/>
        <v>40</v>
      </c>
      <c r="E20" s="104">
        <f t="shared" si="6"/>
        <v>89</v>
      </c>
      <c r="F20" s="104">
        <f t="shared" si="6"/>
        <v>81</v>
      </c>
      <c r="G20" s="104">
        <f t="shared" si="6"/>
        <v>57</v>
      </c>
      <c r="H20" s="104">
        <f t="shared" si="6"/>
        <v>54</v>
      </c>
      <c r="I20" s="104">
        <f t="shared" si="6"/>
        <v>69</v>
      </c>
      <c r="J20" s="104">
        <f t="shared" si="6"/>
        <v>65</v>
      </c>
      <c r="K20" s="104">
        <f t="shared" si="6"/>
        <v>63</v>
      </c>
      <c r="L20" s="104">
        <f t="shared" si="6"/>
        <v>80</v>
      </c>
      <c r="M20" s="104">
        <f t="shared" si="6"/>
        <v>102</v>
      </c>
      <c r="N20" s="104">
        <f t="shared" si="6"/>
        <v>52</v>
      </c>
      <c r="O20" s="104">
        <f t="shared" si="6"/>
        <v>56</v>
      </c>
      <c r="P20" s="104">
        <f t="shared" si="6"/>
        <v>56</v>
      </c>
      <c r="Q20" s="104">
        <f t="shared" si="6"/>
        <v>55</v>
      </c>
      <c r="R20" s="104">
        <f t="shared" si="6"/>
        <v>60</v>
      </c>
      <c r="S20" s="104">
        <f t="shared" si="6"/>
        <v>76</v>
      </c>
      <c r="T20" s="104">
        <f t="shared" si="6"/>
        <v>89</v>
      </c>
      <c r="U20" s="104">
        <f t="shared" si="6"/>
        <v>49</v>
      </c>
      <c r="V20" s="104">
        <f t="shared" si="6"/>
        <v>53</v>
      </c>
      <c r="W20" s="104">
        <f t="shared" si="6"/>
        <v>40</v>
      </c>
      <c r="X20" s="104">
        <f t="shared" si="6"/>
        <v>47</v>
      </c>
      <c r="Y20" s="104">
        <f t="shared" si="6"/>
        <v>67</v>
      </c>
      <c r="Z20" s="104">
        <f t="shared" si="6"/>
        <v>95</v>
      </c>
      <c r="AA20" s="104">
        <f t="shared" si="6"/>
        <v>120</v>
      </c>
      <c r="AB20" s="104">
        <f t="shared" si="6"/>
        <v>60</v>
      </c>
      <c r="AC20" s="104">
        <f t="shared" si="6"/>
        <v>65</v>
      </c>
      <c r="AD20" s="104">
        <f t="shared" si="6"/>
        <v>68</v>
      </c>
      <c r="AE20" s="104">
        <f t="shared" si="6"/>
        <v>83</v>
      </c>
      <c r="AF20" s="105">
        <f t="shared" si="4"/>
        <v>1963</v>
      </c>
    </row>
    <row r="21">
      <c r="A21" s="106" t="s">
        <v>120</v>
      </c>
      <c r="B21" s="99">
        <f t="shared" ref="B21:AE21" si="7">B15+B18</f>
        <v>18</v>
      </c>
      <c r="C21" s="99">
        <f t="shared" si="7"/>
        <v>31</v>
      </c>
      <c r="D21" s="99">
        <f t="shared" si="7"/>
        <v>25</v>
      </c>
      <c r="E21" s="99">
        <f t="shared" si="7"/>
        <v>67</v>
      </c>
      <c r="F21" s="99">
        <f t="shared" si="7"/>
        <v>60</v>
      </c>
      <c r="G21" s="99">
        <f t="shared" si="7"/>
        <v>35</v>
      </c>
      <c r="H21" s="99">
        <f t="shared" si="7"/>
        <v>29</v>
      </c>
      <c r="I21" s="99">
        <f t="shared" si="7"/>
        <v>40</v>
      </c>
      <c r="J21" s="99">
        <f t="shared" si="7"/>
        <v>44</v>
      </c>
      <c r="K21" s="99">
        <f t="shared" si="7"/>
        <v>49</v>
      </c>
      <c r="L21" s="99">
        <f t="shared" si="7"/>
        <v>66</v>
      </c>
      <c r="M21" s="99">
        <f t="shared" si="7"/>
        <v>84</v>
      </c>
      <c r="N21" s="99">
        <f t="shared" si="7"/>
        <v>38</v>
      </c>
      <c r="O21" s="99">
        <f t="shared" si="7"/>
        <v>39</v>
      </c>
      <c r="P21" s="99">
        <f t="shared" si="7"/>
        <v>42</v>
      </c>
      <c r="Q21" s="99">
        <f t="shared" si="7"/>
        <v>40</v>
      </c>
      <c r="R21" s="99">
        <f t="shared" si="7"/>
        <v>50</v>
      </c>
      <c r="S21" s="99">
        <f t="shared" si="7"/>
        <v>59</v>
      </c>
      <c r="T21" s="99">
        <f t="shared" si="7"/>
        <v>74</v>
      </c>
      <c r="U21" s="99">
        <f t="shared" si="7"/>
        <v>39</v>
      </c>
      <c r="V21" s="99">
        <f t="shared" si="7"/>
        <v>40</v>
      </c>
      <c r="W21" s="99">
        <f t="shared" si="7"/>
        <v>23</v>
      </c>
      <c r="X21" s="99">
        <f t="shared" si="7"/>
        <v>35</v>
      </c>
      <c r="Y21" s="99">
        <f t="shared" si="7"/>
        <v>48</v>
      </c>
      <c r="Z21" s="99">
        <f t="shared" si="7"/>
        <v>64</v>
      </c>
      <c r="AA21" s="99">
        <f t="shared" si="7"/>
        <v>82</v>
      </c>
      <c r="AB21" s="99">
        <f t="shared" si="7"/>
        <v>41</v>
      </c>
      <c r="AC21" s="99">
        <f t="shared" si="7"/>
        <v>38</v>
      </c>
      <c r="AD21" s="99">
        <f t="shared" si="7"/>
        <v>46</v>
      </c>
      <c r="AE21" s="99">
        <f t="shared" si="7"/>
        <v>55</v>
      </c>
      <c r="AF21" s="100">
        <f t="shared" si="4"/>
        <v>1401</v>
      </c>
    </row>
    <row r="22">
      <c r="A22" s="106" t="s">
        <v>121</v>
      </c>
      <c r="B22" s="99">
        <f t="shared" ref="B22:AE22" si="8">B16+B19</f>
        <v>12</v>
      </c>
      <c r="C22" s="99">
        <f t="shared" si="8"/>
        <v>11</v>
      </c>
      <c r="D22" s="99">
        <f t="shared" si="8"/>
        <v>15</v>
      </c>
      <c r="E22" s="99">
        <f t="shared" si="8"/>
        <v>22</v>
      </c>
      <c r="F22" s="99">
        <f t="shared" si="8"/>
        <v>21</v>
      </c>
      <c r="G22" s="99">
        <f t="shared" si="8"/>
        <v>22</v>
      </c>
      <c r="H22" s="99">
        <f t="shared" si="8"/>
        <v>25</v>
      </c>
      <c r="I22" s="99">
        <f t="shared" si="8"/>
        <v>29</v>
      </c>
      <c r="J22" s="99">
        <f t="shared" si="8"/>
        <v>21</v>
      </c>
      <c r="K22" s="99">
        <f t="shared" si="8"/>
        <v>14</v>
      </c>
      <c r="L22" s="99">
        <f t="shared" si="8"/>
        <v>14</v>
      </c>
      <c r="M22" s="99">
        <f t="shared" si="8"/>
        <v>18</v>
      </c>
      <c r="N22" s="99">
        <f t="shared" si="8"/>
        <v>14</v>
      </c>
      <c r="O22" s="99">
        <f t="shared" si="8"/>
        <v>17</v>
      </c>
      <c r="P22" s="99">
        <f t="shared" si="8"/>
        <v>14</v>
      </c>
      <c r="Q22" s="99">
        <f t="shared" si="8"/>
        <v>15</v>
      </c>
      <c r="R22" s="99">
        <f t="shared" si="8"/>
        <v>10</v>
      </c>
      <c r="S22" s="99">
        <f t="shared" si="8"/>
        <v>17</v>
      </c>
      <c r="T22" s="99">
        <f t="shared" si="8"/>
        <v>15</v>
      </c>
      <c r="U22" s="99">
        <f t="shared" si="8"/>
        <v>10</v>
      </c>
      <c r="V22" s="99">
        <f t="shared" si="8"/>
        <v>13</v>
      </c>
      <c r="W22" s="99">
        <f t="shared" si="8"/>
        <v>17</v>
      </c>
      <c r="X22" s="99">
        <f t="shared" si="8"/>
        <v>12</v>
      </c>
      <c r="Y22" s="99">
        <f t="shared" si="8"/>
        <v>19</v>
      </c>
      <c r="Z22" s="99">
        <f t="shared" si="8"/>
        <v>31</v>
      </c>
      <c r="AA22" s="99">
        <f t="shared" si="8"/>
        <v>38</v>
      </c>
      <c r="AB22" s="99">
        <f t="shared" si="8"/>
        <v>19</v>
      </c>
      <c r="AC22" s="99">
        <f t="shared" si="8"/>
        <v>27</v>
      </c>
      <c r="AD22" s="99">
        <f t="shared" si="8"/>
        <v>22</v>
      </c>
      <c r="AE22" s="99">
        <f t="shared" si="8"/>
        <v>28</v>
      </c>
      <c r="AF22" s="100">
        <f t="shared" si="4"/>
        <v>562</v>
      </c>
    </row>
    <row r="23">
      <c r="A23" s="4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74"/>
    </row>
    <row r="24">
      <c r="A24" s="75" t="s">
        <v>144</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74"/>
    </row>
    <row r="25">
      <c r="A25" s="117" t="s">
        <v>119</v>
      </c>
      <c r="B25" s="118">
        <f t="shared" ref="B25:AE25" si="9">sum(B26:B27)</f>
        <v>0</v>
      </c>
      <c r="C25" s="118">
        <f t="shared" si="9"/>
        <v>0</v>
      </c>
      <c r="D25" s="118">
        <f t="shared" si="9"/>
        <v>0</v>
      </c>
      <c r="E25" s="118">
        <f t="shared" si="9"/>
        <v>0</v>
      </c>
      <c r="F25" s="118">
        <f t="shared" si="9"/>
        <v>14.99</v>
      </c>
      <c r="G25" s="118">
        <f t="shared" si="9"/>
        <v>0</v>
      </c>
      <c r="H25" s="118">
        <f t="shared" si="9"/>
        <v>0</v>
      </c>
      <c r="I25" s="118">
        <f t="shared" si="9"/>
        <v>0</v>
      </c>
      <c r="J25" s="118">
        <f t="shared" si="9"/>
        <v>0</v>
      </c>
      <c r="K25" s="118">
        <f t="shared" si="9"/>
        <v>0</v>
      </c>
      <c r="L25" s="118">
        <f t="shared" si="9"/>
        <v>0</v>
      </c>
      <c r="M25" s="118">
        <f t="shared" si="9"/>
        <v>29.99</v>
      </c>
      <c r="N25" s="118">
        <f t="shared" si="9"/>
        <v>0</v>
      </c>
      <c r="O25" s="118">
        <f t="shared" si="9"/>
        <v>0</v>
      </c>
      <c r="P25" s="118">
        <f t="shared" si="9"/>
        <v>0</v>
      </c>
      <c r="Q25" s="118">
        <f t="shared" si="9"/>
        <v>0</v>
      </c>
      <c r="R25" s="118">
        <f t="shared" si="9"/>
        <v>0</v>
      </c>
      <c r="S25" s="118">
        <f t="shared" si="9"/>
        <v>0</v>
      </c>
      <c r="T25" s="118">
        <f t="shared" si="9"/>
        <v>0</v>
      </c>
      <c r="U25" s="118">
        <f t="shared" si="9"/>
        <v>0</v>
      </c>
      <c r="V25" s="118">
        <f t="shared" si="9"/>
        <v>0</v>
      </c>
      <c r="W25" s="118">
        <f t="shared" si="9"/>
        <v>0</v>
      </c>
      <c r="X25" s="118">
        <f t="shared" si="9"/>
        <v>0</v>
      </c>
      <c r="Y25" s="118">
        <f t="shared" si="9"/>
        <v>0</v>
      </c>
      <c r="Z25" s="118">
        <f t="shared" si="9"/>
        <v>0</v>
      </c>
      <c r="AA25" s="118">
        <f t="shared" si="9"/>
        <v>0</v>
      </c>
      <c r="AB25" s="118">
        <f t="shared" si="9"/>
        <v>0</v>
      </c>
      <c r="AC25" s="118">
        <f t="shared" si="9"/>
        <v>0</v>
      </c>
      <c r="AD25" s="118">
        <f t="shared" si="9"/>
        <v>0</v>
      </c>
      <c r="AE25" s="118">
        <f t="shared" si="9"/>
        <v>31.624</v>
      </c>
      <c r="AF25" s="122">
        <f t="shared" ref="AF25:AF31" si="10">sum(B25:AE25)</f>
        <v>76.604</v>
      </c>
    </row>
    <row r="26">
      <c r="A26" s="117" t="s">
        <v>120</v>
      </c>
      <c r="B26" s="123">
        <v>0.0</v>
      </c>
      <c r="C26" s="123">
        <v>0.0</v>
      </c>
      <c r="D26" s="123">
        <v>0.0</v>
      </c>
      <c r="E26" s="123">
        <v>0.0</v>
      </c>
      <c r="F26" s="118">
        <v>14.99</v>
      </c>
      <c r="G26" s="123">
        <v>0.0</v>
      </c>
      <c r="H26" s="123">
        <v>0.0</v>
      </c>
      <c r="I26" s="123">
        <v>0.0</v>
      </c>
      <c r="J26" s="123">
        <v>0.0</v>
      </c>
      <c r="K26" s="123">
        <v>0.0</v>
      </c>
      <c r="L26" s="123">
        <v>0.0</v>
      </c>
      <c r="M26" s="118">
        <v>29.99</v>
      </c>
      <c r="N26" s="123">
        <v>0.0</v>
      </c>
      <c r="O26" s="123">
        <v>0.0</v>
      </c>
      <c r="P26" s="123">
        <v>0.0</v>
      </c>
      <c r="Q26" s="123">
        <v>0.0</v>
      </c>
      <c r="R26" s="123">
        <v>0.0</v>
      </c>
      <c r="S26" s="123">
        <v>0.0</v>
      </c>
      <c r="T26" s="123">
        <v>0.0</v>
      </c>
      <c r="U26" s="123">
        <v>0.0</v>
      </c>
      <c r="V26" s="123">
        <v>0.0</v>
      </c>
      <c r="W26" s="123">
        <v>0.0</v>
      </c>
      <c r="X26" s="123">
        <v>0.0</v>
      </c>
      <c r="Y26" s="123">
        <v>0.0</v>
      </c>
      <c r="Z26" s="123">
        <v>0.0</v>
      </c>
      <c r="AA26" s="123">
        <v>0.0</v>
      </c>
      <c r="AB26" s="123">
        <v>0.0</v>
      </c>
      <c r="AC26" s="123">
        <v>0.0</v>
      </c>
      <c r="AD26" s="123">
        <v>0.0</v>
      </c>
      <c r="AE26" s="118">
        <v>31.624</v>
      </c>
      <c r="AF26" s="122">
        <f t="shared" si="10"/>
        <v>76.604</v>
      </c>
    </row>
    <row r="27">
      <c r="A27" s="117" t="s">
        <v>121</v>
      </c>
      <c r="B27" s="123">
        <v>0.0</v>
      </c>
      <c r="C27" s="123">
        <v>0.0</v>
      </c>
      <c r="D27" s="123">
        <v>0.0</v>
      </c>
      <c r="E27" s="123">
        <v>0.0</v>
      </c>
      <c r="F27" s="123">
        <v>0.0</v>
      </c>
      <c r="G27" s="123">
        <v>0.0</v>
      </c>
      <c r="H27" s="123">
        <v>0.0</v>
      </c>
      <c r="I27" s="123">
        <v>0.0</v>
      </c>
      <c r="J27" s="123">
        <v>0.0</v>
      </c>
      <c r="K27" s="123">
        <v>0.0</v>
      </c>
      <c r="L27" s="123">
        <v>0.0</v>
      </c>
      <c r="M27" s="123">
        <v>0.0</v>
      </c>
      <c r="N27" s="123">
        <v>0.0</v>
      </c>
      <c r="O27" s="123">
        <v>0.0</v>
      </c>
      <c r="P27" s="123">
        <v>0.0</v>
      </c>
      <c r="Q27" s="123">
        <v>0.0</v>
      </c>
      <c r="R27" s="123">
        <v>0.0</v>
      </c>
      <c r="S27" s="123">
        <v>0.0</v>
      </c>
      <c r="T27" s="123">
        <v>0.0</v>
      </c>
      <c r="U27" s="123">
        <v>0.0</v>
      </c>
      <c r="V27" s="123">
        <v>0.0</v>
      </c>
      <c r="W27" s="123">
        <v>0.0</v>
      </c>
      <c r="X27" s="123">
        <v>0.0</v>
      </c>
      <c r="Y27" s="123">
        <v>0.0</v>
      </c>
      <c r="Z27" s="123">
        <v>0.0</v>
      </c>
      <c r="AA27" s="123">
        <v>0.0</v>
      </c>
      <c r="AB27" s="123">
        <v>0.0</v>
      </c>
      <c r="AC27" s="123">
        <v>0.0</v>
      </c>
      <c r="AD27" s="123">
        <v>0.0</v>
      </c>
      <c r="AE27" s="123">
        <v>0.0</v>
      </c>
      <c r="AF27" s="122">
        <f t="shared" si="10"/>
        <v>0</v>
      </c>
    </row>
    <row r="28">
      <c r="A28" s="117" t="s">
        <v>124</v>
      </c>
      <c r="B28" s="55">
        <f t="shared" ref="B28:AE28" si="11">sum(B29:B30)</f>
        <v>0</v>
      </c>
      <c r="C28" s="55">
        <f t="shared" si="11"/>
        <v>0</v>
      </c>
      <c r="D28" s="55">
        <f t="shared" si="11"/>
        <v>0</v>
      </c>
      <c r="E28" s="55">
        <f t="shared" si="11"/>
        <v>0</v>
      </c>
      <c r="F28" s="55">
        <f t="shared" si="11"/>
        <v>0</v>
      </c>
      <c r="G28" s="55">
        <f t="shared" si="11"/>
        <v>0</v>
      </c>
      <c r="H28" s="55">
        <f t="shared" si="11"/>
        <v>0</v>
      </c>
      <c r="I28" s="55">
        <f t="shared" si="11"/>
        <v>0</v>
      </c>
      <c r="J28" s="55">
        <f t="shared" si="11"/>
        <v>0</v>
      </c>
      <c r="K28" s="55">
        <f t="shared" si="11"/>
        <v>0</v>
      </c>
      <c r="L28" s="55">
        <f t="shared" si="11"/>
        <v>0</v>
      </c>
      <c r="M28" s="55">
        <f t="shared" si="11"/>
        <v>0</v>
      </c>
      <c r="N28" s="55">
        <f t="shared" si="11"/>
        <v>0</v>
      </c>
      <c r="O28" s="55">
        <f t="shared" si="11"/>
        <v>0</v>
      </c>
      <c r="P28" s="55">
        <f t="shared" si="11"/>
        <v>0</v>
      </c>
      <c r="Q28" s="55">
        <f t="shared" si="11"/>
        <v>29.99</v>
      </c>
      <c r="R28" s="55">
        <f t="shared" si="11"/>
        <v>0</v>
      </c>
      <c r="S28" s="55">
        <f t="shared" si="11"/>
        <v>0</v>
      </c>
      <c r="T28" s="55">
        <f t="shared" si="11"/>
        <v>0</v>
      </c>
      <c r="U28" s="55">
        <f t="shared" si="11"/>
        <v>0</v>
      </c>
      <c r="V28" s="55">
        <f t="shared" si="11"/>
        <v>0</v>
      </c>
      <c r="W28" s="55">
        <f t="shared" si="11"/>
        <v>0</v>
      </c>
      <c r="X28" s="55">
        <f t="shared" si="11"/>
        <v>0</v>
      </c>
      <c r="Y28" s="55">
        <f t="shared" si="11"/>
        <v>0</v>
      </c>
      <c r="Z28" s="55">
        <f t="shared" si="11"/>
        <v>0</v>
      </c>
      <c r="AA28" s="55">
        <f t="shared" si="11"/>
        <v>0</v>
      </c>
      <c r="AB28" s="55">
        <f t="shared" si="11"/>
        <v>0</v>
      </c>
      <c r="AC28" s="55">
        <f t="shared" si="11"/>
        <v>0</v>
      </c>
      <c r="AD28" s="55">
        <f t="shared" si="11"/>
        <v>0</v>
      </c>
      <c r="AE28" s="55">
        <f t="shared" si="11"/>
        <v>0</v>
      </c>
      <c r="AF28" s="122">
        <f t="shared" si="10"/>
        <v>29.99</v>
      </c>
    </row>
    <row r="29">
      <c r="A29" s="117" t="s">
        <v>120</v>
      </c>
      <c r="B29" s="128">
        <v>0.0</v>
      </c>
      <c r="C29" s="128">
        <v>0.0</v>
      </c>
      <c r="D29" s="128">
        <v>0.0</v>
      </c>
      <c r="E29" s="128">
        <v>0.0</v>
      </c>
      <c r="F29" s="128">
        <v>0.0</v>
      </c>
      <c r="G29" s="128">
        <v>0.0</v>
      </c>
      <c r="H29" s="128">
        <v>0.0</v>
      </c>
      <c r="I29" s="128">
        <v>0.0</v>
      </c>
      <c r="J29" s="128">
        <v>0.0</v>
      </c>
      <c r="K29" s="128">
        <v>0.0</v>
      </c>
      <c r="L29" s="128">
        <v>0.0</v>
      </c>
      <c r="M29" s="128">
        <v>0.0</v>
      </c>
      <c r="N29" s="128">
        <v>0.0</v>
      </c>
      <c r="O29" s="128">
        <v>0.0</v>
      </c>
      <c r="P29" s="128">
        <v>0.0</v>
      </c>
      <c r="Q29" s="55">
        <v>29.99</v>
      </c>
      <c r="R29" s="128">
        <v>0.0</v>
      </c>
      <c r="S29" s="128">
        <v>0.0</v>
      </c>
      <c r="T29" s="128">
        <v>0.0</v>
      </c>
      <c r="U29" s="128">
        <v>0.0</v>
      </c>
      <c r="V29" s="128">
        <v>0.0</v>
      </c>
      <c r="W29" s="128">
        <v>0.0</v>
      </c>
      <c r="X29" s="128">
        <v>0.0</v>
      </c>
      <c r="Y29" s="128">
        <v>0.0</v>
      </c>
      <c r="Z29" s="128">
        <v>0.0</v>
      </c>
      <c r="AA29" s="128">
        <v>0.0</v>
      </c>
      <c r="AB29" s="128">
        <v>0.0</v>
      </c>
      <c r="AC29" s="128">
        <v>0.0</v>
      </c>
      <c r="AD29" s="128">
        <v>0.0</v>
      </c>
      <c r="AE29" s="128">
        <v>0.0</v>
      </c>
      <c r="AF29" s="122">
        <f t="shared" si="10"/>
        <v>29.99</v>
      </c>
    </row>
    <row r="30">
      <c r="A30" s="117" t="s">
        <v>121</v>
      </c>
      <c r="B30" s="128">
        <v>0.0</v>
      </c>
      <c r="C30" s="128">
        <v>0.0</v>
      </c>
      <c r="D30" s="128">
        <v>0.0</v>
      </c>
      <c r="E30" s="128">
        <v>0.0</v>
      </c>
      <c r="F30" s="128">
        <v>0.0</v>
      </c>
      <c r="G30" s="128">
        <v>0.0</v>
      </c>
      <c r="H30" s="128">
        <v>0.0</v>
      </c>
      <c r="I30" s="128">
        <v>0.0</v>
      </c>
      <c r="J30" s="128">
        <v>0.0</v>
      </c>
      <c r="K30" s="128">
        <v>0.0</v>
      </c>
      <c r="L30" s="128">
        <v>0.0</v>
      </c>
      <c r="M30" s="128">
        <v>0.0</v>
      </c>
      <c r="N30" s="128">
        <v>0.0</v>
      </c>
      <c r="O30" s="128">
        <v>0.0</v>
      </c>
      <c r="P30" s="128">
        <v>0.0</v>
      </c>
      <c r="Q30" s="128">
        <v>0.0</v>
      </c>
      <c r="R30" s="128">
        <v>0.0</v>
      </c>
      <c r="S30" s="128">
        <v>0.0</v>
      </c>
      <c r="T30" s="128">
        <v>0.0</v>
      </c>
      <c r="U30" s="128">
        <v>0.0</v>
      </c>
      <c r="V30" s="128">
        <v>0.0</v>
      </c>
      <c r="W30" s="128">
        <v>0.0</v>
      </c>
      <c r="X30" s="128">
        <v>0.0</v>
      </c>
      <c r="Y30" s="128">
        <v>0.0</v>
      </c>
      <c r="Z30" s="128">
        <v>0.0</v>
      </c>
      <c r="AA30" s="128">
        <v>0.0</v>
      </c>
      <c r="AB30" s="128">
        <v>0.0</v>
      </c>
      <c r="AC30" s="128">
        <v>0.0</v>
      </c>
      <c r="AD30" s="128">
        <v>0.0</v>
      </c>
      <c r="AE30" s="128">
        <v>0.0</v>
      </c>
      <c r="AF30" s="122">
        <f t="shared" si="10"/>
        <v>0</v>
      </c>
    </row>
    <row r="31">
      <c r="A31" s="129" t="s">
        <v>127</v>
      </c>
      <c r="B31" s="130">
        <f t="shared" ref="B31:AE31" si="12">B25+B28</f>
        <v>0</v>
      </c>
      <c r="C31" s="130">
        <f t="shared" si="12"/>
        <v>0</v>
      </c>
      <c r="D31" s="130">
        <f t="shared" si="12"/>
        <v>0</v>
      </c>
      <c r="E31" s="130">
        <f t="shared" si="12"/>
        <v>0</v>
      </c>
      <c r="F31" s="130">
        <f t="shared" si="12"/>
        <v>14.99</v>
      </c>
      <c r="G31" s="130">
        <f t="shared" si="12"/>
        <v>0</v>
      </c>
      <c r="H31" s="130">
        <f t="shared" si="12"/>
        <v>0</v>
      </c>
      <c r="I31" s="130">
        <f t="shared" si="12"/>
        <v>0</v>
      </c>
      <c r="J31" s="130">
        <f t="shared" si="12"/>
        <v>0</v>
      </c>
      <c r="K31" s="130">
        <f t="shared" si="12"/>
        <v>0</v>
      </c>
      <c r="L31" s="130">
        <f t="shared" si="12"/>
        <v>0</v>
      </c>
      <c r="M31" s="130">
        <f t="shared" si="12"/>
        <v>29.99</v>
      </c>
      <c r="N31" s="130">
        <f t="shared" si="12"/>
        <v>0</v>
      </c>
      <c r="O31" s="130">
        <f t="shared" si="12"/>
        <v>0</v>
      </c>
      <c r="P31" s="130">
        <f t="shared" si="12"/>
        <v>0</v>
      </c>
      <c r="Q31" s="130">
        <f t="shared" si="12"/>
        <v>29.99</v>
      </c>
      <c r="R31" s="130">
        <f t="shared" si="12"/>
        <v>0</v>
      </c>
      <c r="S31" s="130">
        <f t="shared" si="12"/>
        <v>0</v>
      </c>
      <c r="T31" s="130">
        <f t="shared" si="12"/>
        <v>0</v>
      </c>
      <c r="U31" s="130">
        <f t="shared" si="12"/>
        <v>0</v>
      </c>
      <c r="V31" s="130">
        <f t="shared" si="12"/>
        <v>0</v>
      </c>
      <c r="W31" s="130">
        <f t="shared" si="12"/>
        <v>0</v>
      </c>
      <c r="X31" s="130">
        <f t="shared" si="12"/>
        <v>0</v>
      </c>
      <c r="Y31" s="130">
        <f t="shared" si="12"/>
        <v>0</v>
      </c>
      <c r="Z31" s="130">
        <f t="shared" si="12"/>
        <v>0</v>
      </c>
      <c r="AA31" s="130">
        <f t="shared" si="12"/>
        <v>0</v>
      </c>
      <c r="AB31" s="130">
        <f t="shared" si="12"/>
        <v>0</v>
      </c>
      <c r="AC31" s="130">
        <f t="shared" si="12"/>
        <v>0</v>
      </c>
      <c r="AD31" s="130">
        <f t="shared" si="12"/>
        <v>0</v>
      </c>
      <c r="AE31" s="130">
        <f t="shared" si="12"/>
        <v>31.624</v>
      </c>
      <c r="AF31" s="131">
        <f t="shared" si="10"/>
        <v>106.594</v>
      </c>
    </row>
    <row r="32">
      <c r="A32" s="4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74"/>
    </row>
    <row r="33">
      <c r="A33" s="75" t="s">
        <v>160</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74"/>
    </row>
    <row r="34">
      <c r="A34" s="117" t="s">
        <v>163</v>
      </c>
      <c r="B34" s="102">
        <f t="shared" ref="B34:AE34" si="13">sum(B35:B36)</f>
        <v>0</v>
      </c>
      <c r="C34" s="102">
        <f t="shared" si="13"/>
        <v>0</v>
      </c>
      <c r="D34" s="102">
        <f t="shared" si="13"/>
        <v>0</v>
      </c>
      <c r="E34" s="102">
        <f t="shared" si="13"/>
        <v>0</v>
      </c>
      <c r="F34" s="102">
        <f t="shared" si="13"/>
        <v>1</v>
      </c>
      <c r="G34" s="102">
        <f t="shared" si="13"/>
        <v>0</v>
      </c>
      <c r="H34" s="102">
        <f t="shared" si="13"/>
        <v>0</v>
      </c>
      <c r="I34" s="102">
        <f t="shared" si="13"/>
        <v>0</v>
      </c>
      <c r="J34" s="102">
        <f t="shared" si="13"/>
        <v>0</v>
      </c>
      <c r="K34" s="102">
        <f t="shared" si="13"/>
        <v>0</v>
      </c>
      <c r="L34" s="102">
        <f t="shared" si="13"/>
        <v>0</v>
      </c>
      <c r="M34" s="102">
        <f t="shared" si="13"/>
        <v>1</v>
      </c>
      <c r="N34" s="102">
        <f t="shared" si="13"/>
        <v>0</v>
      </c>
      <c r="O34" s="102">
        <f t="shared" si="13"/>
        <v>0</v>
      </c>
      <c r="P34" s="102">
        <f t="shared" si="13"/>
        <v>0</v>
      </c>
      <c r="Q34" s="102">
        <f t="shared" si="13"/>
        <v>0</v>
      </c>
      <c r="R34" s="102">
        <f t="shared" si="13"/>
        <v>0</v>
      </c>
      <c r="S34" s="102">
        <f t="shared" si="13"/>
        <v>0</v>
      </c>
      <c r="T34" s="102">
        <f t="shared" si="13"/>
        <v>0</v>
      </c>
      <c r="U34" s="102">
        <f t="shared" si="13"/>
        <v>0</v>
      </c>
      <c r="V34" s="102">
        <f t="shared" si="13"/>
        <v>0</v>
      </c>
      <c r="W34" s="102">
        <f t="shared" si="13"/>
        <v>0</v>
      </c>
      <c r="X34" s="102">
        <f t="shared" si="13"/>
        <v>0</v>
      </c>
      <c r="Y34" s="102">
        <f t="shared" si="13"/>
        <v>0</v>
      </c>
      <c r="Z34" s="102">
        <f t="shared" si="13"/>
        <v>0</v>
      </c>
      <c r="AA34" s="102">
        <f t="shared" si="13"/>
        <v>0</v>
      </c>
      <c r="AB34" s="102">
        <f t="shared" si="13"/>
        <v>0</v>
      </c>
      <c r="AC34" s="102">
        <f t="shared" si="13"/>
        <v>0</v>
      </c>
      <c r="AD34" s="102">
        <f t="shared" si="13"/>
        <v>0</v>
      </c>
      <c r="AE34" s="102">
        <f t="shared" si="13"/>
        <v>1</v>
      </c>
      <c r="AF34" s="100">
        <f>sum(B34:AE34)</f>
        <v>3</v>
      </c>
    </row>
    <row r="35">
      <c r="A35" s="117" t="s">
        <v>120</v>
      </c>
      <c r="B35" s="135">
        <v>0.0</v>
      </c>
      <c r="C35" s="135">
        <v>0.0</v>
      </c>
      <c r="D35" s="135">
        <v>0.0</v>
      </c>
      <c r="E35" s="135">
        <v>0.0</v>
      </c>
      <c r="F35" s="102">
        <v>1.0</v>
      </c>
      <c r="G35" s="135">
        <v>0.0</v>
      </c>
      <c r="H35" s="135">
        <v>0.0</v>
      </c>
      <c r="I35" s="135">
        <v>0.0</v>
      </c>
      <c r="J35" s="135">
        <v>0.0</v>
      </c>
      <c r="K35" s="135">
        <v>0.0</v>
      </c>
      <c r="L35" s="135">
        <v>0.0</v>
      </c>
      <c r="M35" s="102">
        <v>1.0</v>
      </c>
      <c r="N35" s="135">
        <v>0.0</v>
      </c>
      <c r="O35" s="135">
        <v>0.0</v>
      </c>
      <c r="P35" s="135">
        <v>0.0</v>
      </c>
      <c r="Q35" s="135">
        <v>0.0</v>
      </c>
      <c r="R35" s="135">
        <v>0.0</v>
      </c>
      <c r="S35" s="135">
        <v>0.0</v>
      </c>
      <c r="T35" s="135">
        <v>0.0</v>
      </c>
      <c r="U35" s="135">
        <v>0.0</v>
      </c>
      <c r="V35" s="135">
        <v>0.0</v>
      </c>
      <c r="W35" s="135">
        <v>0.0</v>
      </c>
      <c r="X35" s="135">
        <v>0.0</v>
      </c>
      <c r="Y35" s="135">
        <v>0.0</v>
      </c>
      <c r="Z35" s="135">
        <v>0.0</v>
      </c>
      <c r="AA35" s="135">
        <v>0.0</v>
      </c>
      <c r="AB35" s="135">
        <v>0.0</v>
      </c>
      <c r="AC35" s="135">
        <v>0.0</v>
      </c>
      <c r="AD35" s="135">
        <v>0.0</v>
      </c>
      <c r="AE35" s="102">
        <v>1.0</v>
      </c>
      <c r="AF35" s="74"/>
    </row>
    <row r="36">
      <c r="A36" s="117" t="s">
        <v>121</v>
      </c>
      <c r="B36" s="102">
        <v>0.0</v>
      </c>
      <c r="C36" s="102">
        <v>0.0</v>
      </c>
      <c r="D36" s="102">
        <v>0.0</v>
      </c>
      <c r="E36" s="102">
        <v>0.0</v>
      </c>
      <c r="F36" s="102">
        <v>0.0</v>
      </c>
      <c r="G36" s="102">
        <v>0.0</v>
      </c>
      <c r="H36" s="102">
        <v>0.0</v>
      </c>
      <c r="I36" s="102">
        <v>0.0</v>
      </c>
      <c r="J36" s="102">
        <v>0.0</v>
      </c>
      <c r="K36" s="102">
        <v>0.0</v>
      </c>
      <c r="L36" s="102">
        <v>0.0</v>
      </c>
      <c r="M36" s="102">
        <v>0.0</v>
      </c>
      <c r="N36" s="102">
        <v>0.0</v>
      </c>
      <c r="O36" s="102">
        <v>0.0</v>
      </c>
      <c r="P36" s="102">
        <v>0.0</v>
      </c>
      <c r="Q36" s="102">
        <v>0.0</v>
      </c>
      <c r="R36" s="102">
        <v>0.0</v>
      </c>
      <c r="S36" s="102">
        <v>0.0</v>
      </c>
      <c r="T36" s="102">
        <v>0.0</v>
      </c>
      <c r="U36" s="102">
        <v>0.0</v>
      </c>
      <c r="V36" s="102">
        <v>0.0</v>
      </c>
      <c r="W36" s="102">
        <v>0.0</v>
      </c>
      <c r="X36" s="102">
        <v>0.0</v>
      </c>
      <c r="Y36" s="102">
        <v>0.0</v>
      </c>
      <c r="Z36" s="102">
        <v>0.0</v>
      </c>
      <c r="AA36" s="102">
        <v>0.0</v>
      </c>
      <c r="AB36" s="102">
        <v>0.0</v>
      </c>
      <c r="AC36" s="102">
        <v>0.0</v>
      </c>
      <c r="AD36" s="102">
        <v>0.0</v>
      </c>
      <c r="AE36" s="102">
        <v>0.0</v>
      </c>
      <c r="AF36" s="74"/>
    </row>
    <row r="37">
      <c r="A37" s="117" t="s">
        <v>166</v>
      </c>
      <c r="B37" s="99">
        <f t="shared" ref="B37:AE37" si="14">sum(B38:B39)</f>
        <v>0</v>
      </c>
      <c r="C37" s="99">
        <f t="shared" si="14"/>
        <v>0</v>
      </c>
      <c r="D37" s="99">
        <f t="shared" si="14"/>
        <v>0</v>
      </c>
      <c r="E37" s="99">
        <f t="shared" si="14"/>
        <v>0</v>
      </c>
      <c r="F37" s="99">
        <f t="shared" si="14"/>
        <v>0</v>
      </c>
      <c r="G37" s="99">
        <f t="shared" si="14"/>
        <v>0</v>
      </c>
      <c r="H37" s="99">
        <f t="shared" si="14"/>
        <v>0</v>
      </c>
      <c r="I37" s="99">
        <f t="shared" si="14"/>
        <v>0</v>
      </c>
      <c r="J37" s="99">
        <f t="shared" si="14"/>
        <v>0</v>
      </c>
      <c r="K37" s="99">
        <f t="shared" si="14"/>
        <v>0</v>
      </c>
      <c r="L37" s="99">
        <f t="shared" si="14"/>
        <v>0</v>
      </c>
      <c r="M37" s="99">
        <f t="shared" si="14"/>
        <v>0</v>
      </c>
      <c r="N37" s="99">
        <f t="shared" si="14"/>
        <v>0</v>
      </c>
      <c r="O37" s="99">
        <f t="shared" si="14"/>
        <v>0</v>
      </c>
      <c r="P37" s="99">
        <f t="shared" si="14"/>
        <v>0</v>
      </c>
      <c r="Q37" s="99">
        <f t="shared" si="14"/>
        <v>2</v>
      </c>
      <c r="R37" s="99">
        <f t="shared" si="14"/>
        <v>0</v>
      </c>
      <c r="S37" s="99">
        <f t="shared" si="14"/>
        <v>0</v>
      </c>
      <c r="T37" s="99">
        <f t="shared" si="14"/>
        <v>0</v>
      </c>
      <c r="U37" s="99">
        <f t="shared" si="14"/>
        <v>0</v>
      </c>
      <c r="V37" s="99">
        <f t="shared" si="14"/>
        <v>0</v>
      </c>
      <c r="W37" s="99">
        <f t="shared" si="14"/>
        <v>0</v>
      </c>
      <c r="X37" s="99">
        <f t="shared" si="14"/>
        <v>0</v>
      </c>
      <c r="Y37" s="99">
        <f t="shared" si="14"/>
        <v>0</v>
      </c>
      <c r="Z37" s="99">
        <f t="shared" si="14"/>
        <v>0</v>
      </c>
      <c r="AA37" s="99">
        <f t="shared" si="14"/>
        <v>0</v>
      </c>
      <c r="AB37" s="99">
        <f t="shared" si="14"/>
        <v>0</v>
      </c>
      <c r="AC37" s="99">
        <f t="shared" si="14"/>
        <v>0</v>
      </c>
      <c r="AD37" s="99">
        <f t="shared" si="14"/>
        <v>0</v>
      </c>
      <c r="AE37" s="99">
        <f t="shared" si="14"/>
        <v>0</v>
      </c>
      <c r="AF37" s="100">
        <f>sum(B37:AE37)</f>
        <v>2</v>
      </c>
    </row>
    <row r="38">
      <c r="A38" s="117" t="s">
        <v>120</v>
      </c>
      <c r="B38" s="99">
        <v>0.0</v>
      </c>
      <c r="C38" s="99">
        <v>0.0</v>
      </c>
      <c r="D38" s="99">
        <v>0.0</v>
      </c>
      <c r="E38" s="99">
        <v>0.0</v>
      </c>
      <c r="F38" s="99">
        <v>0.0</v>
      </c>
      <c r="G38" s="99">
        <v>0.0</v>
      </c>
      <c r="H38" s="99">
        <v>0.0</v>
      </c>
      <c r="I38" s="99">
        <v>0.0</v>
      </c>
      <c r="J38" s="99">
        <v>0.0</v>
      </c>
      <c r="K38" s="99">
        <v>0.0</v>
      </c>
      <c r="L38" s="99">
        <v>0.0</v>
      </c>
      <c r="M38" s="99">
        <v>0.0</v>
      </c>
      <c r="N38" s="99">
        <v>0.0</v>
      </c>
      <c r="O38" s="99">
        <v>0.0</v>
      </c>
      <c r="P38" s="99">
        <v>0.0</v>
      </c>
      <c r="Q38" s="99">
        <v>2.0</v>
      </c>
      <c r="R38" s="99">
        <v>0.0</v>
      </c>
      <c r="S38" s="99">
        <v>0.0</v>
      </c>
      <c r="T38" s="99">
        <v>0.0</v>
      </c>
      <c r="U38" s="99">
        <v>0.0</v>
      </c>
      <c r="V38" s="99">
        <v>0.0</v>
      </c>
      <c r="W38" s="99">
        <v>0.0</v>
      </c>
      <c r="X38" s="99">
        <v>0.0</v>
      </c>
      <c r="Y38" s="99">
        <v>0.0</v>
      </c>
      <c r="Z38" s="99">
        <v>0.0</v>
      </c>
      <c r="AA38" s="99">
        <v>0.0</v>
      </c>
      <c r="AB38" s="99">
        <v>0.0</v>
      </c>
      <c r="AC38" s="99">
        <v>0.0</v>
      </c>
      <c r="AD38" s="99">
        <v>0.0</v>
      </c>
      <c r="AE38" s="99">
        <v>0.0</v>
      </c>
      <c r="AF38" s="74"/>
    </row>
    <row r="39">
      <c r="A39" s="117" t="s">
        <v>121</v>
      </c>
      <c r="B39" s="99">
        <v>0.0</v>
      </c>
      <c r="C39" s="99">
        <v>0.0</v>
      </c>
      <c r="D39" s="99">
        <v>0.0</v>
      </c>
      <c r="E39" s="99">
        <v>0.0</v>
      </c>
      <c r="F39" s="99">
        <v>0.0</v>
      </c>
      <c r="G39" s="99">
        <v>0.0</v>
      </c>
      <c r="H39" s="99">
        <v>0.0</v>
      </c>
      <c r="I39" s="99">
        <v>0.0</v>
      </c>
      <c r="J39" s="99">
        <v>0.0</v>
      </c>
      <c r="K39" s="99">
        <v>0.0</v>
      </c>
      <c r="L39" s="99">
        <v>0.0</v>
      </c>
      <c r="M39" s="99">
        <v>0.0</v>
      </c>
      <c r="N39" s="99">
        <v>0.0</v>
      </c>
      <c r="O39" s="99">
        <v>0.0</v>
      </c>
      <c r="P39" s="99">
        <v>0.0</v>
      </c>
      <c r="Q39" s="99">
        <v>0.0</v>
      </c>
      <c r="R39" s="99">
        <v>0.0</v>
      </c>
      <c r="S39" s="99">
        <v>0.0</v>
      </c>
      <c r="T39" s="99">
        <v>0.0</v>
      </c>
      <c r="U39" s="99">
        <v>0.0</v>
      </c>
      <c r="V39" s="99">
        <v>0.0</v>
      </c>
      <c r="W39" s="99">
        <v>0.0</v>
      </c>
      <c r="X39" s="99">
        <v>0.0</v>
      </c>
      <c r="Y39" s="99">
        <v>0.0</v>
      </c>
      <c r="Z39" s="99">
        <v>0.0</v>
      </c>
      <c r="AA39" s="99">
        <v>0.0</v>
      </c>
      <c r="AB39" s="99">
        <v>0.0</v>
      </c>
      <c r="AC39" s="99">
        <v>0.0</v>
      </c>
      <c r="AD39" s="99">
        <v>0.0</v>
      </c>
      <c r="AE39" s="99">
        <v>0.0</v>
      </c>
      <c r="AF39" s="74"/>
    </row>
    <row r="40">
      <c r="A40" s="129" t="s">
        <v>127</v>
      </c>
      <c r="B40" s="148">
        <f t="shared" ref="B40:AE40" si="15">B34+B37</f>
        <v>0</v>
      </c>
      <c r="C40" s="148">
        <f t="shared" si="15"/>
        <v>0</v>
      </c>
      <c r="D40" s="148">
        <f t="shared" si="15"/>
        <v>0</v>
      </c>
      <c r="E40" s="148">
        <f t="shared" si="15"/>
        <v>0</v>
      </c>
      <c r="F40" s="148">
        <f t="shared" si="15"/>
        <v>1</v>
      </c>
      <c r="G40" s="148">
        <f t="shared" si="15"/>
        <v>0</v>
      </c>
      <c r="H40" s="148">
        <f t="shared" si="15"/>
        <v>0</v>
      </c>
      <c r="I40" s="148">
        <f t="shared" si="15"/>
        <v>0</v>
      </c>
      <c r="J40" s="148">
        <f t="shared" si="15"/>
        <v>0</v>
      </c>
      <c r="K40" s="148">
        <f t="shared" si="15"/>
        <v>0</v>
      </c>
      <c r="L40" s="148">
        <f t="shared" si="15"/>
        <v>0</v>
      </c>
      <c r="M40" s="148">
        <f t="shared" si="15"/>
        <v>1</v>
      </c>
      <c r="N40" s="148">
        <f t="shared" si="15"/>
        <v>0</v>
      </c>
      <c r="O40" s="148">
        <f t="shared" si="15"/>
        <v>0</v>
      </c>
      <c r="P40" s="148">
        <f t="shared" si="15"/>
        <v>0</v>
      </c>
      <c r="Q40" s="148">
        <f t="shared" si="15"/>
        <v>2</v>
      </c>
      <c r="R40" s="148">
        <f t="shared" si="15"/>
        <v>0</v>
      </c>
      <c r="S40" s="148">
        <f t="shared" si="15"/>
        <v>0</v>
      </c>
      <c r="T40" s="148">
        <f t="shared" si="15"/>
        <v>0</v>
      </c>
      <c r="U40" s="148">
        <f t="shared" si="15"/>
        <v>0</v>
      </c>
      <c r="V40" s="148">
        <f t="shared" si="15"/>
        <v>0</v>
      </c>
      <c r="W40" s="148">
        <f t="shared" si="15"/>
        <v>0</v>
      </c>
      <c r="X40" s="148">
        <f t="shared" si="15"/>
        <v>0</v>
      </c>
      <c r="Y40" s="148">
        <f t="shared" si="15"/>
        <v>0</v>
      </c>
      <c r="Z40" s="148">
        <f t="shared" si="15"/>
        <v>0</v>
      </c>
      <c r="AA40" s="148">
        <f t="shared" si="15"/>
        <v>0</v>
      </c>
      <c r="AB40" s="148">
        <f t="shared" si="15"/>
        <v>0</v>
      </c>
      <c r="AC40" s="148">
        <f t="shared" si="15"/>
        <v>0</v>
      </c>
      <c r="AD40" s="148">
        <f t="shared" si="15"/>
        <v>0</v>
      </c>
      <c r="AE40" s="148">
        <f t="shared" si="15"/>
        <v>1</v>
      </c>
      <c r="AF40" s="152">
        <f>sum(B40:AE40)</f>
        <v>5</v>
      </c>
    </row>
    <row r="41">
      <c r="A41" s="4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74"/>
    </row>
    <row r="42">
      <c r="A42" s="75" t="s">
        <v>179</v>
      </c>
      <c r="B42" s="110"/>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74"/>
    </row>
    <row r="43">
      <c r="A43" s="161" t="s">
        <v>181</v>
      </c>
      <c r="B43" s="66">
        <f t="shared" ref="B43:AE43" si="16">B5-B25</f>
        <v>486.897437</v>
      </c>
      <c r="C43" s="66">
        <f t="shared" si="16"/>
        <v>814.044651</v>
      </c>
      <c r="D43" s="66">
        <f t="shared" si="16"/>
        <v>739.744435</v>
      </c>
      <c r="E43" s="66">
        <f t="shared" si="16"/>
        <v>1715.180579</v>
      </c>
      <c r="F43" s="66">
        <f t="shared" si="16"/>
        <v>1544.717588</v>
      </c>
      <c r="G43" s="66">
        <f t="shared" si="16"/>
        <v>1055.19934</v>
      </c>
      <c r="H43" s="66">
        <f t="shared" si="16"/>
        <v>788.266502</v>
      </c>
      <c r="I43" s="66">
        <f t="shared" si="16"/>
        <v>1004.470567</v>
      </c>
      <c r="J43" s="66">
        <f t="shared" si="16"/>
        <v>1076.019127</v>
      </c>
      <c r="K43" s="66">
        <f t="shared" si="16"/>
        <v>1253.732363</v>
      </c>
      <c r="L43" s="66">
        <f t="shared" si="16"/>
        <v>1647.723071</v>
      </c>
      <c r="M43" s="66">
        <f t="shared" si="16"/>
        <v>2152.475073</v>
      </c>
      <c r="N43" s="66">
        <f t="shared" si="16"/>
        <v>848.169161</v>
      </c>
      <c r="O43" s="66">
        <f t="shared" si="16"/>
        <v>892.462619</v>
      </c>
      <c r="P43" s="66">
        <f t="shared" si="16"/>
        <v>1067.886416</v>
      </c>
      <c r="Q43" s="66">
        <f t="shared" si="16"/>
        <v>1037.342594</v>
      </c>
      <c r="R43" s="66">
        <f t="shared" si="16"/>
        <v>1258.780251</v>
      </c>
      <c r="S43" s="66">
        <f t="shared" si="16"/>
        <v>1452.890903</v>
      </c>
      <c r="T43" s="66">
        <f t="shared" si="16"/>
        <v>1760.010101</v>
      </c>
      <c r="U43" s="66">
        <f t="shared" si="16"/>
        <v>985.975955</v>
      </c>
      <c r="V43" s="66">
        <f t="shared" si="16"/>
        <v>930.86499</v>
      </c>
      <c r="W43" s="66">
        <f t="shared" si="16"/>
        <v>588.940554</v>
      </c>
      <c r="X43" s="66">
        <f t="shared" si="16"/>
        <v>924.14745</v>
      </c>
      <c r="Y43" s="66">
        <f t="shared" si="16"/>
        <v>1197.641532</v>
      </c>
      <c r="Z43" s="66">
        <f t="shared" si="16"/>
        <v>1576.065861</v>
      </c>
      <c r="AA43" s="66">
        <f t="shared" si="16"/>
        <v>1841.466152</v>
      </c>
      <c r="AB43" s="66">
        <f t="shared" si="16"/>
        <v>921.085846</v>
      </c>
      <c r="AC43" s="66">
        <f t="shared" si="16"/>
        <v>1026.674763</v>
      </c>
      <c r="AD43" s="66">
        <f t="shared" si="16"/>
        <v>1109.93027</v>
      </c>
      <c r="AE43" s="66">
        <f t="shared" si="16"/>
        <v>1482.788322</v>
      </c>
      <c r="AF43" s="122">
        <f t="shared" ref="AF43:AF49" si="18">sum(B43:AE43)</f>
        <v>35181.59447</v>
      </c>
    </row>
    <row r="44">
      <c r="A44" s="161" t="s">
        <v>120</v>
      </c>
      <c r="B44" s="164">
        <f t="shared" ref="B44:AE44" si="17">B6-B26</f>
        <v>456.096491</v>
      </c>
      <c r="C44" s="164">
        <f t="shared" si="17"/>
        <v>785.986491</v>
      </c>
      <c r="D44" s="164">
        <f t="shared" si="17"/>
        <v>699.591725</v>
      </c>
      <c r="E44" s="164">
        <f t="shared" si="17"/>
        <v>1669.520289</v>
      </c>
      <c r="F44" s="164">
        <f t="shared" si="17"/>
        <v>1487.059132</v>
      </c>
      <c r="G44" s="164">
        <f t="shared" si="17"/>
        <v>1006.334514</v>
      </c>
      <c r="H44" s="164">
        <f t="shared" si="17"/>
        <v>730.330767</v>
      </c>
      <c r="I44" s="164">
        <f t="shared" si="17"/>
        <v>941.191702</v>
      </c>
      <c r="J44" s="164">
        <f t="shared" si="17"/>
        <v>1022.92891</v>
      </c>
      <c r="K44" s="164">
        <f t="shared" si="17"/>
        <v>1214.483349</v>
      </c>
      <c r="L44" s="164">
        <f t="shared" si="17"/>
        <v>1611.843071</v>
      </c>
      <c r="M44" s="164">
        <f t="shared" si="17"/>
        <v>2107.527811</v>
      </c>
      <c r="N44" s="164">
        <f t="shared" si="17"/>
        <v>814.633365</v>
      </c>
      <c r="O44" s="164">
        <f t="shared" si="17"/>
        <v>846.10787</v>
      </c>
      <c r="P44" s="164">
        <f t="shared" si="17"/>
        <v>1037.823461</v>
      </c>
      <c r="Q44" s="164">
        <f t="shared" si="17"/>
        <v>993.871064</v>
      </c>
      <c r="R44" s="164">
        <f t="shared" si="17"/>
        <v>1231.224455</v>
      </c>
      <c r="S44" s="164">
        <f t="shared" si="17"/>
        <v>1416.684993</v>
      </c>
      <c r="T44" s="164">
        <f t="shared" si="17"/>
        <v>1726.320276</v>
      </c>
      <c r="U44" s="164">
        <f t="shared" si="17"/>
        <v>970.715625</v>
      </c>
      <c r="V44" s="164">
        <f t="shared" si="17"/>
        <v>905.98221</v>
      </c>
      <c r="W44" s="164">
        <f t="shared" si="17"/>
        <v>546.036375</v>
      </c>
      <c r="X44" s="164">
        <f t="shared" si="17"/>
        <v>897.23745</v>
      </c>
      <c r="Y44" s="164">
        <f t="shared" si="17"/>
        <v>1148.81778</v>
      </c>
      <c r="Z44" s="164">
        <f t="shared" si="17"/>
        <v>1493.511226</v>
      </c>
      <c r="AA44" s="164">
        <f t="shared" si="17"/>
        <v>1742.650259</v>
      </c>
      <c r="AB44" s="164">
        <f t="shared" si="17"/>
        <v>872.7233</v>
      </c>
      <c r="AC44" s="164">
        <f t="shared" si="17"/>
        <v>963.159377</v>
      </c>
      <c r="AD44" s="164">
        <f t="shared" si="17"/>
        <v>1063.954535</v>
      </c>
      <c r="AE44" s="164">
        <f t="shared" si="17"/>
        <v>1406.727622</v>
      </c>
      <c r="AF44" s="122">
        <f t="shared" si="18"/>
        <v>33811.0755</v>
      </c>
    </row>
    <row r="45">
      <c r="A45" s="161" t="s">
        <v>121</v>
      </c>
      <c r="B45" s="164">
        <f t="shared" ref="B45:AE45" si="19">B7-B27</f>
        <v>30.800946</v>
      </c>
      <c r="C45" s="164">
        <f t="shared" si="19"/>
        <v>28.05816</v>
      </c>
      <c r="D45" s="164">
        <f t="shared" si="19"/>
        <v>40.15271</v>
      </c>
      <c r="E45" s="164">
        <f t="shared" si="19"/>
        <v>45.66029</v>
      </c>
      <c r="F45" s="164">
        <f t="shared" si="19"/>
        <v>57.658456</v>
      </c>
      <c r="G45" s="164">
        <f t="shared" si="19"/>
        <v>48.864826</v>
      </c>
      <c r="H45" s="164">
        <f t="shared" si="19"/>
        <v>57.935735</v>
      </c>
      <c r="I45" s="164">
        <f t="shared" si="19"/>
        <v>63.278865</v>
      </c>
      <c r="J45" s="164">
        <f t="shared" si="19"/>
        <v>53.090217</v>
      </c>
      <c r="K45" s="164">
        <f t="shared" si="19"/>
        <v>39.249014</v>
      </c>
      <c r="L45" s="164">
        <f t="shared" si="19"/>
        <v>35.88</v>
      </c>
      <c r="M45" s="164">
        <f t="shared" si="19"/>
        <v>44.947262</v>
      </c>
      <c r="N45" s="164">
        <f t="shared" si="19"/>
        <v>33.535796</v>
      </c>
      <c r="O45" s="164">
        <f t="shared" si="19"/>
        <v>46.354749</v>
      </c>
      <c r="P45" s="164">
        <f t="shared" si="19"/>
        <v>30.062955</v>
      </c>
      <c r="Q45" s="164">
        <f t="shared" si="19"/>
        <v>43.47153</v>
      </c>
      <c r="R45" s="164">
        <f t="shared" si="19"/>
        <v>27.555796</v>
      </c>
      <c r="S45" s="164">
        <f t="shared" si="19"/>
        <v>36.20591</v>
      </c>
      <c r="T45" s="164">
        <f t="shared" si="19"/>
        <v>33.689825</v>
      </c>
      <c r="U45" s="164">
        <f t="shared" si="19"/>
        <v>15.26033</v>
      </c>
      <c r="V45" s="164">
        <f t="shared" si="19"/>
        <v>24.88278</v>
      </c>
      <c r="W45" s="164">
        <f t="shared" si="19"/>
        <v>42.904179</v>
      </c>
      <c r="X45" s="164">
        <f t="shared" si="19"/>
        <v>26.91</v>
      </c>
      <c r="Y45" s="164">
        <f t="shared" si="19"/>
        <v>48.823752</v>
      </c>
      <c r="Z45" s="164">
        <f t="shared" si="19"/>
        <v>82.554635</v>
      </c>
      <c r="AA45" s="164">
        <f t="shared" si="19"/>
        <v>98.815893</v>
      </c>
      <c r="AB45" s="164">
        <f t="shared" si="19"/>
        <v>48.362546</v>
      </c>
      <c r="AC45" s="164">
        <f t="shared" si="19"/>
        <v>63.515386</v>
      </c>
      <c r="AD45" s="164">
        <f t="shared" si="19"/>
        <v>45.975735</v>
      </c>
      <c r="AE45" s="164">
        <f t="shared" si="19"/>
        <v>76.0607</v>
      </c>
      <c r="AF45" s="122">
        <f t="shared" si="18"/>
        <v>1370.518978</v>
      </c>
    </row>
    <row r="46">
      <c r="A46" s="161" t="s">
        <v>194</v>
      </c>
      <c r="B46" s="66">
        <f t="shared" ref="B46:AE46" si="20">B8-B28</f>
        <v>99.62</v>
      </c>
      <c r="C46" s="66">
        <f t="shared" si="20"/>
        <v>165.88</v>
      </c>
      <c r="D46" s="66">
        <f t="shared" si="20"/>
        <v>71.14</v>
      </c>
      <c r="E46" s="66">
        <f t="shared" si="20"/>
        <v>412.73</v>
      </c>
      <c r="F46" s="66">
        <f t="shared" si="20"/>
        <v>297.94</v>
      </c>
      <c r="G46" s="66">
        <f t="shared" si="20"/>
        <v>81.15</v>
      </c>
      <c r="H46" s="66">
        <f t="shared" si="20"/>
        <v>179.72</v>
      </c>
      <c r="I46" s="66">
        <f t="shared" si="20"/>
        <v>322.51</v>
      </c>
      <c r="J46" s="66">
        <f t="shared" si="20"/>
        <v>341.54</v>
      </c>
      <c r="K46" s="66">
        <f t="shared" si="20"/>
        <v>289.96</v>
      </c>
      <c r="L46" s="66">
        <f t="shared" si="20"/>
        <v>415.35</v>
      </c>
      <c r="M46" s="66">
        <f t="shared" si="20"/>
        <v>386.59</v>
      </c>
      <c r="N46" s="66">
        <f t="shared" si="20"/>
        <v>356.13</v>
      </c>
      <c r="O46" s="66">
        <f t="shared" si="20"/>
        <v>365.22</v>
      </c>
      <c r="P46" s="66">
        <f t="shared" si="20"/>
        <v>263.21</v>
      </c>
      <c r="Q46" s="66">
        <f t="shared" si="20"/>
        <v>134.09</v>
      </c>
      <c r="R46" s="66">
        <f t="shared" si="20"/>
        <v>294.83</v>
      </c>
      <c r="S46" s="66">
        <f t="shared" si="20"/>
        <v>396.25</v>
      </c>
      <c r="T46" s="66">
        <f t="shared" si="20"/>
        <v>549.52</v>
      </c>
      <c r="U46" s="66">
        <f t="shared" si="20"/>
        <v>239.29</v>
      </c>
      <c r="V46" s="66">
        <f t="shared" si="20"/>
        <v>334.46</v>
      </c>
      <c r="W46" s="66">
        <f t="shared" si="20"/>
        <v>167.9</v>
      </c>
      <c r="X46" s="66">
        <f t="shared" si="20"/>
        <v>168.91</v>
      </c>
      <c r="Y46" s="66">
        <f t="shared" si="20"/>
        <v>328.28</v>
      </c>
      <c r="Z46" s="66">
        <f t="shared" si="20"/>
        <v>487.35</v>
      </c>
      <c r="AA46" s="66">
        <f t="shared" si="20"/>
        <v>786.74</v>
      </c>
      <c r="AB46" s="66">
        <f t="shared" si="20"/>
        <v>397.36</v>
      </c>
      <c r="AC46" s="66">
        <f t="shared" si="20"/>
        <v>209.04</v>
      </c>
      <c r="AD46" s="66">
        <f t="shared" si="20"/>
        <v>368.19</v>
      </c>
      <c r="AE46" s="66">
        <f t="shared" si="20"/>
        <v>193.16</v>
      </c>
      <c r="AF46" s="122">
        <f t="shared" si="18"/>
        <v>9104.06</v>
      </c>
    </row>
    <row r="47">
      <c r="A47" s="161" t="s">
        <v>120</v>
      </c>
      <c r="B47" s="164">
        <f t="shared" ref="B47:AE47" si="21">B9-B29</f>
        <v>93.42</v>
      </c>
      <c r="C47" s="164">
        <f t="shared" si="21"/>
        <v>159.9</v>
      </c>
      <c r="D47" s="164">
        <f t="shared" si="21"/>
        <v>64.79</v>
      </c>
      <c r="E47" s="164">
        <f t="shared" si="21"/>
        <v>389.8</v>
      </c>
      <c r="F47" s="164">
        <f t="shared" si="21"/>
        <v>291.53</v>
      </c>
      <c r="G47" s="164">
        <f t="shared" si="21"/>
        <v>62.22</v>
      </c>
      <c r="H47" s="164">
        <f t="shared" si="21"/>
        <v>160.91</v>
      </c>
      <c r="I47" s="164">
        <f t="shared" si="21"/>
        <v>296.17</v>
      </c>
      <c r="J47" s="164">
        <f t="shared" si="21"/>
        <v>328.93</v>
      </c>
      <c r="K47" s="164">
        <f t="shared" si="21"/>
        <v>286.97</v>
      </c>
      <c r="L47" s="164">
        <f t="shared" si="21"/>
        <v>408.98</v>
      </c>
      <c r="M47" s="164">
        <f t="shared" si="21"/>
        <v>376.89</v>
      </c>
      <c r="N47" s="164">
        <f t="shared" si="21"/>
        <v>346.46</v>
      </c>
      <c r="O47" s="164">
        <f t="shared" si="21"/>
        <v>358.99</v>
      </c>
      <c r="P47" s="164">
        <f t="shared" si="21"/>
        <v>249.44</v>
      </c>
      <c r="Q47" s="164">
        <f t="shared" si="21"/>
        <v>131.1</v>
      </c>
      <c r="R47" s="164">
        <f t="shared" si="21"/>
        <v>291.59</v>
      </c>
      <c r="S47" s="164">
        <f t="shared" si="21"/>
        <v>380.3</v>
      </c>
      <c r="T47" s="164">
        <f t="shared" si="21"/>
        <v>537.08</v>
      </c>
      <c r="U47" s="164">
        <f t="shared" si="21"/>
        <v>223.5</v>
      </c>
      <c r="V47" s="164">
        <f t="shared" si="21"/>
        <v>318.29</v>
      </c>
      <c r="W47" s="164">
        <f t="shared" si="21"/>
        <v>158.44</v>
      </c>
      <c r="X47" s="164">
        <f t="shared" si="21"/>
        <v>159.28</v>
      </c>
      <c r="Y47" s="164">
        <f t="shared" si="21"/>
        <v>318.65</v>
      </c>
      <c r="Z47" s="164">
        <f t="shared" si="21"/>
        <v>474.41</v>
      </c>
      <c r="AA47" s="164">
        <f t="shared" si="21"/>
        <v>770.79</v>
      </c>
      <c r="AB47" s="164">
        <f t="shared" si="21"/>
        <v>387.58</v>
      </c>
      <c r="AC47" s="164">
        <f t="shared" si="21"/>
        <v>189.81</v>
      </c>
      <c r="AD47" s="164">
        <f t="shared" si="21"/>
        <v>345.83</v>
      </c>
      <c r="AE47" s="164">
        <f t="shared" si="21"/>
        <v>183.53</v>
      </c>
      <c r="AF47" s="122">
        <f t="shared" si="18"/>
        <v>8745.58</v>
      </c>
    </row>
    <row r="48">
      <c r="A48" s="161" t="s">
        <v>121</v>
      </c>
      <c r="B48" s="164">
        <f t="shared" ref="B48:AE48" si="22">B10-B30</f>
        <v>6.2</v>
      </c>
      <c r="C48" s="164">
        <f t="shared" si="22"/>
        <v>5.98</v>
      </c>
      <c r="D48" s="164">
        <f t="shared" si="22"/>
        <v>6.35</v>
      </c>
      <c r="E48" s="164">
        <f t="shared" si="22"/>
        <v>22.93</v>
      </c>
      <c r="F48" s="164">
        <f t="shared" si="22"/>
        <v>6.41</v>
      </c>
      <c r="G48" s="164">
        <f t="shared" si="22"/>
        <v>18.93</v>
      </c>
      <c r="H48" s="164">
        <f t="shared" si="22"/>
        <v>18.81</v>
      </c>
      <c r="I48" s="164">
        <f t="shared" si="22"/>
        <v>26.34</v>
      </c>
      <c r="J48" s="164">
        <f t="shared" si="22"/>
        <v>12.61</v>
      </c>
      <c r="K48" s="164">
        <f t="shared" si="22"/>
        <v>2.99</v>
      </c>
      <c r="L48" s="164">
        <f t="shared" si="22"/>
        <v>6.37</v>
      </c>
      <c r="M48" s="164">
        <f t="shared" si="22"/>
        <v>9.7</v>
      </c>
      <c r="N48" s="164">
        <f t="shared" si="22"/>
        <v>9.67</v>
      </c>
      <c r="O48" s="164">
        <f t="shared" si="22"/>
        <v>6.23</v>
      </c>
      <c r="P48" s="164">
        <f t="shared" si="22"/>
        <v>13.77</v>
      </c>
      <c r="Q48" s="164">
        <f t="shared" si="22"/>
        <v>2.99</v>
      </c>
      <c r="R48" s="164">
        <f t="shared" si="22"/>
        <v>3.24</v>
      </c>
      <c r="S48" s="164">
        <f t="shared" si="22"/>
        <v>15.95</v>
      </c>
      <c r="T48" s="164">
        <f t="shared" si="22"/>
        <v>12.44</v>
      </c>
      <c r="U48" s="164">
        <f t="shared" si="22"/>
        <v>15.79</v>
      </c>
      <c r="V48" s="164">
        <f t="shared" si="22"/>
        <v>16.17</v>
      </c>
      <c r="W48" s="164">
        <f t="shared" si="22"/>
        <v>9.46</v>
      </c>
      <c r="X48" s="164">
        <f t="shared" si="22"/>
        <v>9.63</v>
      </c>
      <c r="Y48" s="164">
        <f t="shared" si="22"/>
        <v>9.63</v>
      </c>
      <c r="Z48" s="164">
        <f t="shared" si="22"/>
        <v>12.94</v>
      </c>
      <c r="AA48" s="164">
        <f t="shared" si="22"/>
        <v>15.95</v>
      </c>
      <c r="AB48" s="164">
        <f t="shared" si="22"/>
        <v>9.78</v>
      </c>
      <c r="AC48" s="164">
        <f t="shared" si="22"/>
        <v>19.23</v>
      </c>
      <c r="AD48" s="164">
        <f t="shared" si="22"/>
        <v>22.36</v>
      </c>
      <c r="AE48" s="164">
        <f t="shared" si="22"/>
        <v>9.63</v>
      </c>
      <c r="AF48" s="122">
        <f t="shared" si="18"/>
        <v>358.48</v>
      </c>
    </row>
    <row r="49">
      <c r="A49" s="175" t="s">
        <v>127</v>
      </c>
      <c r="B49" s="176">
        <f t="shared" ref="B49:AE49" si="23">B43+B46</f>
        <v>586.517437</v>
      </c>
      <c r="C49" s="176">
        <f t="shared" si="23"/>
        <v>979.924651</v>
      </c>
      <c r="D49" s="176">
        <f t="shared" si="23"/>
        <v>810.884435</v>
      </c>
      <c r="E49" s="176">
        <f t="shared" si="23"/>
        <v>2127.910579</v>
      </c>
      <c r="F49" s="176">
        <f t="shared" si="23"/>
        <v>1842.657588</v>
      </c>
      <c r="G49" s="176">
        <f t="shared" si="23"/>
        <v>1136.34934</v>
      </c>
      <c r="H49" s="176">
        <f t="shared" si="23"/>
        <v>967.986502</v>
      </c>
      <c r="I49" s="176">
        <f t="shared" si="23"/>
        <v>1326.980567</v>
      </c>
      <c r="J49" s="176">
        <f t="shared" si="23"/>
        <v>1417.559127</v>
      </c>
      <c r="K49" s="176">
        <f t="shared" si="23"/>
        <v>1543.692363</v>
      </c>
      <c r="L49" s="176">
        <f t="shared" si="23"/>
        <v>2063.073071</v>
      </c>
      <c r="M49" s="176">
        <f t="shared" si="23"/>
        <v>2539.065073</v>
      </c>
      <c r="N49" s="176">
        <f t="shared" si="23"/>
        <v>1204.299161</v>
      </c>
      <c r="O49" s="176">
        <f t="shared" si="23"/>
        <v>1257.682619</v>
      </c>
      <c r="P49" s="176">
        <f t="shared" si="23"/>
        <v>1331.096416</v>
      </c>
      <c r="Q49" s="176">
        <f t="shared" si="23"/>
        <v>1171.432594</v>
      </c>
      <c r="R49" s="176">
        <f t="shared" si="23"/>
        <v>1553.610251</v>
      </c>
      <c r="S49" s="176">
        <f t="shared" si="23"/>
        <v>1849.140903</v>
      </c>
      <c r="T49" s="176">
        <f t="shared" si="23"/>
        <v>2309.530101</v>
      </c>
      <c r="U49" s="176">
        <f t="shared" si="23"/>
        <v>1225.265955</v>
      </c>
      <c r="V49" s="176">
        <f t="shared" si="23"/>
        <v>1265.32499</v>
      </c>
      <c r="W49" s="176">
        <f t="shared" si="23"/>
        <v>756.840554</v>
      </c>
      <c r="X49" s="176">
        <f t="shared" si="23"/>
        <v>1093.05745</v>
      </c>
      <c r="Y49" s="176">
        <f t="shared" si="23"/>
        <v>1525.921532</v>
      </c>
      <c r="Z49" s="176">
        <f t="shared" si="23"/>
        <v>2063.415861</v>
      </c>
      <c r="AA49" s="176">
        <f t="shared" si="23"/>
        <v>2628.206152</v>
      </c>
      <c r="AB49" s="176">
        <f t="shared" si="23"/>
        <v>1318.445846</v>
      </c>
      <c r="AC49" s="176">
        <f t="shared" si="23"/>
        <v>1235.714763</v>
      </c>
      <c r="AD49" s="176">
        <f t="shared" si="23"/>
        <v>1478.12027</v>
      </c>
      <c r="AE49" s="176">
        <f t="shared" si="23"/>
        <v>1675.948322</v>
      </c>
      <c r="AF49" s="180">
        <f t="shared" si="18"/>
        <v>44285.65447</v>
      </c>
    </row>
    <row r="50">
      <c r="A50" s="4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83"/>
    </row>
    <row r="51">
      <c r="A51" s="75" t="s">
        <v>208</v>
      </c>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83"/>
    </row>
    <row r="52">
      <c r="A52" s="161" t="s">
        <v>181</v>
      </c>
      <c r="B52" s="99">
        <f t="shared" ref="B52:AE52" si="24">B14-B34</f>
        <v>25</v>
      </c>
      <c r="C52" s="99">
        <f t="shared" si="24"/>
        <v>35</v>
      </c>
      <c r="D52" s="99">
        <f t="shared" si="24"/>
        <v>36</v>
      </c>
      <c r="E52" s="99">
        <f t="shared" si="24"/>
        <v>70</v>
      </c>
      <c r="F52" s="99">
        <f t="shared" si="24"/>
        <v>69</v>
      </c>
      <c r="G52" s="99">
        <f t="shared" si="24"/>
        <v>49</v>
      </c>
      <c r="H52" s="99">
        <f t="shared" si="24"/>
        <v>43</v>
      </c>
      <c r="I52" s="99">
        <f t="shared" si="24"/>
        <v>52</v>
      </c>
      <c r="J52" s="99">
        <f t="shared" si="24"/>
        <v>51</v>
      </c>
      <c r="K52" s="99">
        <f t="shared" si="24"/>
        <v>53</v>
      </c>
      <c r="L52" s="99">
        <f t="shared" si="24"/>
        <v>65</v>
      </c>
      <c r="M52" s="99">
        <f t="shared" si="24"/>
        <v>86</v>
      </c>
      <c r="N52" s="99">
        <f t="shared" si="24"/>
        <v>38</v>
      </c>
      <c r="O52" s="99">
        <f t="shared" si="24"/>
        <v>43</v>
      </c>
      <c r="P52" s="99">
        <f t="shared" si="24"/>
        <v>44</v>
      </c>
      <c r="Q52" s="99">
        <f t="shared" si="24"/>
        <v>47</v>
      </c>
      <c r="R52" s="99">
        <f t="shared" si="24"/>
        <v>50</v>
      </c>
      <c r="S52" s="99">
        <f t="shared" si="24"/>
        <v>59</v>
      </c>
      <c r="T52" s="99">
        <f t="shared" si="24"/>
        <v>68</v>
      </c>
      <c r="U52" s="99">
        <f t="shared" si="24"/>
        <v>37</v>
      </c>
      <c r="V52" s="99">
        <f t="shared" si="24"/>
        <v>38</v>
      </c>
      <c r="W52" s="99">
        <f t="shared" si="24"/>
        <v>32</v>
      </c>
      <c r="X52" s="99">
        <f t="shared" si="24"/>
        <v>39</v>
      </c>
      <c r="Y52" s="99">
        <f t="shared" si="24"/>
        <v>54</v>
      </c>
      <c r="Z52" s="99">
        <f t="shared" si="24"/>
        <v>76</v>
      </c>
      <c r="AA52" s="99">
        <f t="shared" si="24"/>
        <v>91</v>
      </c>
      <c r="AB52" s="99">
        <f t="shared" si="24"/>
        <v>45</v>
      </c>
      <c r="AC52" s="99">
        <f t="shared" si="24"/>
        <v>53</v>
      </c>
      <c r="AD52" s="99">
        <f t="shared" si="24"/>
        <v>50</v>
      </c>
      <c r="AE52" s="99">
        <f t="shared" si="24"/>
        <v>73</v>
      </c>
      <c r="AF52" s="100">
        <f t="shared" ref="AF52:AF58" si="26">sum(B52:AE52)</f>
        <v>1571</v>
      </c>
    </row>
    <row r="53">
      <c r="A53" s="161" t="s">
        <v>120</v>
      </c>
      <c r="B53" s="99">
        <f t="shared" ref="B53:AE53" si="25">B15-B35</f>
        <v>15</v>
      </c>
      <c r="C53" s="99">
        <f t="shared" si="25"/>
        <v>26</v>
      </c>
      <c r="D53" s="99">
        <f t="shared" si="25"/>
        <v>23</v>
      </c>
      <c r="E53" s="99">
        <f t="shared" si="25"/>
        <v>55</v>
      </c>
      <c r="F53" s="99">
        <f t="shared" si="25"/>
        <v>50</v>
      </c>
      <c r="G53" s="99">
        <f t="shared" si="25"/>
        <v>33</v>
      </c>
      <c r="H53" s="99">
        <f t="shared" si="25"/>
        <v>24</v>
      </c>
      <c r="I53" s="99">
        <f t="shared" si="25"/>
        <v>31</v>
      </c>
      <c r="J53" s="99">
        <f t="shared" si="25"/>
        <v>34</v>
      </c>
      <c r="K53" s="99">
        <f t="shared" si="25"/>
        <v>40</v>
      </c>
      <c r="L53" s="99">
        <f t="shared" si="25"/>
        <v>53</v>
      </c>
      <c r="M53" s="99">
        <f t="shared" si="25"/>
        <v>71</v>
      </c>
      <c r="N53" s="99">
        <f t="shared" si="25"/>
        <v>27</v>
      </c>
      <c r="O53" s="99">
        <f t="shared" si="25"/>
        <v>28</v>
      </c>
      <c r="P53" s="99">
        <f t="shared" si="25"/>
        <v>34</v>
      </c>
      <c r="Q53" s="99">
        <f t="shared" si="25"/>
        <v>33</v>
      </c>
      <c r="R53" s="99">
        <f t="shared" si="25"/>
        <v>41</v>
      </c>
      <c r="S53" s="99">
        <f t="shared" si="25"/>
        <v>47</v>
      </c>
      <c r="T53" s="99">
        <f t="shared" si="25"/>
        <v>57</v>
      </c>
      <c r="U53" s="99">
        <f t="shared" si="25"/>
        <v>32</v>
      </c>
      <c r="V53" s="99">
        <f t="shared" si="25"/>
        <v>30</v>
      </c>
      <c r="W53" s="99">
        <f t="shared" si="25"/>
        <v>18</v>
      </c>
      <c r="X53" s="99">
        <f t="shared" si="25"/>
        <v>30</v>
      </c>
      <c r="Y53" s="99">
        <f t="shared" si="25"/>
        <v>38</v>
      </c>
      <c r="Z53" s="99">
        <f t="shared" si="25"/>
        <v>49</v>
      </c>
      <c r="AA53" s="99">
        <f t="shared" si="25"/>
        <v>58</v>
      </c>
      <c r="AB53" s="99">
        <f t="shared" si="25"/>
        <v>29</v>
      </c>
      <c r="AC53" s="99">
        <f t="shared" si="25"/>
        <v>32</v>
      </c>
      <c r="AD53" s="99">
        <f t="shared" si="25"/>
        <v>35</v>
      </c>
      <c r="AE53" s="99">
        <f t="shared" si="25"/>
        <v>48</v>
      </c>
      <c r="AF53" s="100">
        <f t="shared" si="26"/>
        <v>1121</v>
      </c>
    </row>
    <row r="54">
      <c r="A54" s="161" t="s">
        <v>121</v>
      </c>
      <c r="B54" s="99">
        <f t="shared" ref="B54:AE54" si="27">B16-B36</f>
        <v>10</v>
      </c>
      <c r="C54" s="99">
        <f t="shared" si="27"/>
        <v>9</v>
      </c>
      <c r="D54" s="99">
        <f t="shared" si="27"/>
        <v>13</v>
      </c>
      <c r="E54" s="99">
        <f t="shared" si="27"/>
        <v>15</v>
      </c>
      <c r="F54" s="99">
        <f t="shared" si="27"/>
        <v>19</v>
      </c>
      <c r="G54" s="99">
        <f t="shared" si="27"/>
        <v>16</v>
      </c>
      <c r="H54" s="99">
        <f t="shared" si="27"/>
        <v>19</v>
      </c>
      <c r="I54" s="99">
        <f t="shared" si="27"/>
        <v>21</v>
      </c>
      <c r="J54" s="99">
        <f t="shared" si="27"/>
        <v>17</v>
      </c>
      <c r="K54" s="99">
        <f t="shared" si="27"/>
        <v>13</v>
      </c>
      <c r="L54" s="99">
        <f t="shared" si="27"/>
        <v>12</v>
      </c>
      <c r="M54" s="99">
        <f t="shared" si="27"/>
        <v>15</v>
      </c>
      <c r="N54" s="99">
        <f t="shared" si="27"/>
        <v>11</v>
      </c>
      <c r="O54" s="99">
        <f t="shared" si="27"/>
        <v>15</v>
      </c>
      <c r="P54" s="99">
        <f t="shared" si="27"/>
        <v>10</v>
      </c>
      <c r="Q54" s="99">
        <f t="shared" si="27"/>
        <v>14</v>
      </c>
      <c r="R54" s="99">
        <f t="shared" si="27"/>
        <v>9</v>
      </c>
      <c r="S54" s="99">
        <f t="shared" si="27"/>
        <v>12</v>
      </c>
      <c r="T54" s="99">
        <f t="shared" si="27"/>
        <v>11</v>
      </c>
      <c r="U54" s="99">
        <f t="shared" si="27"/>
        <v>5</v>
      </c>
      <c r="V54" s="99">
        <f t="shared" si="27"/>
        <v>8</v>
      </c>
      <c r="W54" s="99">
        <f t="shared" si="27"/>
        <v>14</v>
      </c>
      <c r="X54" s="99">
        <f t="shared" si="27"/>
        <v>9</v>
      </c>
      <c r="Y54" s="99">
        <f t="shared" si="27"/>
        <v>16</v>
      </c>
      <c r="Z54" s="99">
        <f t="shared" si="27"/>
        <v>27</v>
      </c>
      <c r="AA54" s="99">
        <f t="shared" si="27"/>
        <v>33</v>
      </c>
      <c r="AB54" s="99">
        <f t="shared" si="27"/>
        <v>16</v>
      </c>
      <c r="AC54" s="99">
        <f t="shared" si="27"/>
        <v>21</v>
      </c>
      <c r="AD54" s="99">
        <f t="shared" si="27"/>
        <v>15</v>
      </c>
      <c r="AE54" s="99">
        <f t="shared" si="27"/>
        <v>25</v>
      </c>
      <c r="AF54" s="100">
        <f t="shared" si="26"/>
        <v>450</v>
      </c>
    </row>
    <row r="55">
      <c r="A55" s="161" t="s">
        <v>194</v>
      </c>
      <c r="B55" s="99">
        <f t="shared" ref="B55:AE55" si="28">B17-B37</f>
        <v>5</v>
      </c>
      <c r="C55" s="99">
        <f t="shared" si="28"/>
        <v>7</v>
      </c>
      <c r="D55" s="99">
        <f t="shared" si="28"/>
        <v>4</v>
      </c>
      <c r="E55" s="99">
        <f t="shared" si="28"/>
        <v>19</v>
      </c>
      <c r="F55" s="99">
        <f t="shared" si="28"/>
        <v>11</v>
      </c>
      <c r="G55" s="99">
        <f t="shared" si="28"/>
        <v>8</v>
      </c>
      <c r="H55" s="99">
        <f t="shared" si="28"/>
        <v>11</v>
      </c>
      <c r="I55" s="99">
        <f t="shared" si="28"/>
        <v>17</v>
      </c>
      <c r="J55" s="99">
        <f t="shared" si="28"/>
        <v>14</v>
      </c>
      <c r="K55" s="99">
        <f t="shared" si="28"/>
        <v>10</v>
      </c>
      <c r="L55" s="99">
        <f t="shared" si="28"/>
        <v>15</v>
      </c>
      <c r="M55" s="99">
        <f t="shared" si="28"/>
        <v>15</v>
      </c>
      <c r="N55" s="99">
        <f t="shared" si="28"/>
        <v>14</v>
      </c>
      <c r="O55" s="99">
        <f t="shared" si="28"/>
        <v>13</v>
      </c>
      <c r="P55" s="99">
        <f t="shared" si="28"/>
        <v>12</v>
      </c>
      <c r="Q55" s="99">
        <f t="shared" si="28"/>
        <v>6</v>
      </c>
      <c r="R55" s="99">
        <f t="shared" si="28"/>
        <v>10</v>
      </c>
      <c r="S55" s="99">
        <f t="shared" si="28"/>
        <v>17</v>
      </c>
      <c r="T55" s="99">
        <f t="shared" si="28"/>
        <v>21</v>
      </c>
      <c r="U55" s="99">
        <f t="shared" si="28"/>
        <v>12</v>
      </c>
      <c r="V55" s="99">
        <f t="shared" si="28"/>
        <v>15</v>
      </c>
      <c r="W55" s="99">
        <f t="shared" si="28"/>
        <v>8</v>
      </c>
      <c r="X55" s="99">
        <f t="shared" si="28"/>
        <v>8</v>
      </c>
      <c r="Y55" s="99">
        <f t="shared" si="28"/>
        <v>13</v>
      </c>
      <c r="Z55" s="99">
        <f t="shared" si="28"/>
        <v>19</v>
      </c>
      <c r="AA55" s="99">
        <f t="shared" si="28"/>
        <v>29</v>
      </c>
      <c r="AB55" s="99">
        <f t="shared" si="28"/>
        <v>15</v>
      </c>
      <c r="AC55" s="99">
        <f t="shared" si="28"/>
        <v>12</v>
      </c>
      <c r="AD55" s="99">
        <f t="shared" si="28"/>
        <v>18</v>
      </c>
      <c r="AE55" s="99">
        <f t="shared" si="28"/>
        <v>9</v>
      </c>
      <c r="AF55" s="100">
        <f t="shared" si="26"/>
        <v>387</v>
      </c>
    </row>
    <row r="56">
      <c r="A56" s="161" t="s">
        <v>120</v>
      </c>
      <c r="B56" s="99">
        <f t="shared" ref="B56:AE56" si="29">B18-B38</f>
        <v>3</v>
      </c>
      <c r="C56" s="99">
        <f t="shared" si="29"/>
        <v>5</v>
      </c>
      <c r="D56" s="99">
        <f t="shared" si="29"/>
        <v>2</v>
      </c>
      <c r="E56" s="99">
        <f t="shared" si="29"/>
        <v>12</v>
      </c>
      <c r="F56" s="99">
        <f t="shared" si="29"/>
        <v>9</v>
      </c>
      <c r="G56" s="99">
        <f t="shared" si="29"/>
        <v>2</v>
      </c>
      <c r="H56" s="99">
        <f t="shared" si="29"/>
        <v>5</v>
      </c>
      <c r="I56" s="99">
        <f t="shared" si="29"/>
        <v>9</v>
      </c>
      <c r="J56" s="99">
        <f t="shared" si="29"/>
        <v>10</v>
      </c>
      <c r="K56" s="99">
        <f t="shared" si="29"/>
        <v>9</v>
      </c>
      <c r="L56" s="99">
        <f t="shared" si="29"/>
        <v>13</v>
      </c>
      <c r="M56" s="99">
        <f t="shared" si="29"/>
        <v>12</v>
      </c>
      <c r="N56" s="99">
        <f t="shared" si="29"/>
        <v>11</v>
      </c>
      <c r="O56" s="99">
        <f t="shared" si="29"/>
        <v>11</v>
      </c>
      <c r="P56" s="99">
        <f t="shared" si="29"/>
        <v>8</v>
      </c>
      <c r="Q56" s="99">
        <f t="shared" si="29"/>
        <v>5</v>
      </c>
      <c r="R56" s="99">
        <f t="shared" si="29"/>
        <v>9</v>
      </c>
      <c r="S56" s="99">
        <f t="shared" si="29"/>
        <v>12</v>
      </c>
      <c r="T56" s="99">
        <f t="shared" si="29"/>
        <v>17</v>
      </c>
      <c r="U56" s="99">
        <f t="shared" si="29"/>
        <v>7</v>
      </c>
      <c r="V56" s="99">
        <f t="shared" si="29"/>
        <v>10</v>
      </c>
      <c r="W56" s="99">
        <f t="shared" si="29"/>
        <v>5</v>
      </c>
      <c r="X56" s="99">
        <f t="shared" si="29"/>
        <v>5</v>
      </c>
      <c r="Y56" s="99">
        <f t="shared" si="29"/>
        <v>10</v>
      </c>
      <c r="Z56" s="99">
        <f t="shared" si="29"/>
        <v>15</v>
      </c>
      <c r="AA56" s="99">
        <f t="shared" si="29"/>
        <v>24</v>
      </c>
      <c r="AB56" s="99">
        <f t="shared" si="29"/>
        <v>12</v>
      </c>
      <c r="AC56" s="99">
        <f t="shared" si="29"/>
        <v>6</v>
      </c>
      <c r="AD56" s="99">
        <f t="shared" si="29"/>
        <v>11</v>
      </c>
      <c r="AE56" s="99">
        <f t="shared" si="29"/>
        <v>6</v>
      </c>
      <c r="AF56" s="100">
        <f t="shared" si="26"/>
        <v>275</v>
      </c>
    </row>
    <row r="57">
      <c r="A57" s="161" t="s">
        <v>121</v>
      </c>
      <c r="B57" s="99">
        <f t="shared" ref="B57:AE57" si="30">B19-B39</f>
        <v>2</v>
      </c>
      <c r="C57" s="99">
        <f t="shared" si="30"/>
        <v>2</v>
      </c>
      <c r="D57" s="99">
        <f t="shared" si="30"/>
        <v>2</v>
      </c>
      <c r="E57" s="99">
        <f t="shared" si="30"/>
        <v>7</v>
      </c>
      <c r="F57" s="99">
        <f t="shared" si="30"/>
        <v>2</v>
      </c>
      <c r="G57" s="99">
        <f t="shared" si="30"/>
        <v>6</v>
      </c>
      <c r="H57" s="99">
        <f t="shared" si="30"/>
        <v>6</v>
      </c>
      <c r="I57" s="99">
        <f t="shared" si="30"/>
        <v>8</v>
      </c>
      <c r="J57" s="99">
        <f t="shared" si="30"/>
        <v>4</v>
      </c>
      <c r="K57" s="99">
        <f t="shared" si="30"/>
        <v>1</v>
      </c>
      <c r="L57" s="99">
        <f t="shared" si="30"/>
        <v>2</v>
      </c>
      <c r="M57" s="99">
        <f t="shared" si="30"/>
        <v>3</v>
      </c>
      <c r="N57" s="99">
        <f t="shared" si="30"/>
        <v>3</v>
      </c>
      <c r="O57" s="99">
        <f t="shared" si="30"/>
        <v>2</v>
      </c>
      <c r="P57" s="99">
        <f t="shared" si="30"/>
        <v>4</v>
      </c>
      <c r="Q57" s="99">
        <f t="shared" si="30"/>
        <v>1</v>
      </c>
      <c r="R57" s="99">
        <f t="shared" si="30"/>
        <v>1</v>
      </c>
      <c r="S57" s="99">
        <f t="shared" si="30"/>
        <v>5</v>
      </c>
      <c r="T57" s="99">
        <f t="shared" si="30"/>
        <v>4</v>
      </c>
      <c r="U57" s="99">
        <f t="shared" si="30"/>
        <v>5</v>
      </c>
      <c r="V57" s="99">
        <f t="shared" si="30"/>
        <v>5</v>
      </c>
      <c r="W57" s="99">
        <f t="shared" si="30"/>
        <v>3</v>
      </c>
      <c r="X57" s="99">
        <f t="shared" si="30"/>
        <v>3</v>
      </c>
      <c r="Y57" s="99">
        <f t="shared" si="30"/>
        <v>3</v>
      </c>
      <c r="Z57" s="99">
        <f t="shared" si="30"/>
        <v>4</v>
      </c>
      <c r="AA57" s="99">
        <f t="shared" si="30"/>
        <v>5</v>
      </c>
      <c r="AB57" s="99">
        <f t="shared" si="30"/>
        <v>3</v>
      </c>
      <c r="AC57" s="99">
        <f t="shared" si="30"/>
        <v>6</v>
      </c>
      <c r="AD57" s="99">
        <f t="shared" si="30"/>
        <v>7</v>
      </c>
      <c r="AE57" s="99">
        <f t="shared" si="30"/>
        <v>3</v>
      </c>
      <c r="AF57" s="100">
        <f t="shared" si="26"/>
        <v>112</v>
      </c>
    </row>
    <row r="58">
      <c r="A58" s="175" t="s">
        <v>127</v>
      </c>
      <c r="B58" s="190">
        <f t="shared" ref="B58:AE58" si="31">B52+B55</f>
        <v>30</v>
      </c>
      <c r="C58" s="190">
        <f t="shared" si="31"/>
        <v>42</v>
      </c>
      <c r="D58" s="190">
        <f t="shared" si="31"/>
        <v>40</v>
      </c>
      <c r="E58" s="190">
        <f t="shared" si="31"/>
        <v>89</v>
      </c>
      <c r="F58" s="190">
        <f t="shared" si="31"/>
        <v>80</v>
      </c>
      <c r="G58" s="190">
        <f t="shared" si="31"/>
        <v>57</v>
      </c>
      <c r="H58" s="190">
        <f t="shared" si="31"/>
        <v>54</v>
      </c>
      <c r="I58" s="190">
        <f t="shared" si="31"/>
        <v>69</v>
      </c>
      <c r="J58" s="190">
        <f t="shared" si="31"/>
        <v>65</v>
      </c>
      <c r="K58" s="190">
        <f t="shared" si="31"/>
        <v>63</v>
      </c>
      <c r="L58" s="190">
        <f t="shared" si="31"/>
        <v>80</v>
      </c>
      <c r="M58" s="190">
        <f t="shared" si="31"/>
        <v>101</v>
      </c>
      <c r="N58" s="190">
        <f t="shared" si="31"/>
        <v>52</v>
      </c>
      <c r="O58" s="190">
        <f t="shared" si="31"/>
        <v>56</v>
      </c>
      <c r="P58" s="190">
        <f t="shared" si="31"/>
        <v>56</v>
      </c>
      <c r="Q58" s="190">
        <f t="shared" si="31"/>
        <v>53</v>
      </c>
      <c r="R58" s="190">
        <f t="shared" si="31"/>
        <v>60</v>
      </c>
      <c r="S58" s="190">
        <f t="shared" si="31"/>
        <v>76</v>
      </c>
      <c r="T58" s="190">
        <f t="shared" si="31"/>
        <v>89</v>
      </c>
      <c r="U58" s="190">
        <f t="shared" si="31"/>
        <v>49</v>
      </c>
      <c r="V58" s="190">
        <f t="shared" si="31"/>
        <v>53</v>
      </c>
      <c r="W58" s="190">
        <f t="shared" si="31"/>
        <v>40</v>
      </c>
      <c r="X58" s="190">
        <f t="shared" si="31"/>
        <v>47</v>
      </c>
      <c r="Y58" s="190">
        <f t="shared" si="31"/>
        <v>67</v>
      </c>
      <c r="Z58" s="190">
        <f t="shared" si="31"/>
        <v>95</v>
      </c>
      <c r="AA58" s="190">
        <f t="shared" si="31"/>
        <v>120</v>
      </c>
      <c r="AB58" s="190">
        <f t="shared" si="31"/>
        <v>60</v>
      </c>
      <c r="AC58" s="190">
        <f t="shared" si="31"/>
        <v>65</v>
      </c>
      <c r="AD58" s="190">
        <f t="shared" si="31"/>
        <v>68</v>
      </c>
      <c r="AE58" s="190">
        <f t="shared" si="31"/>
        <v>82</v>
      </c>
      <c r="AF58" s="195">
        <f t="shared" si="26"/>
        <v>1958</v>
      </c>
    </row>
    <row r="59">
      <c r="A59" s="4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row>
    <row r="60">
      <c r="A60" s="197"/>
      <c r="B60" s="198"/>
      <c r="C60" s="198"/>
      <c r="D60" s="198"/>
      <c r="E60" s="198"/>
      <c r="F60" s="198"/>
      <c r="G60" s="198"/>
      <c r="H60" s="198"/>
      <c r="I60" s="198"/>
      <c r="J60" s="198"/>
      <c r="K60" s="198"/>
      <c r="L60" s="198"/>
      <c r="M60" s="198"/>
      <c r="N60" s="198"/>
      <c r="O60" s="198"/>
      <c r="P60" s="198"/>
      <c r="Q60" s="198"/>
      <c r="R60" s="198"/>
      <c r="S60" s="198"/>
      <c r="T60" s="198"/>
      <c r="U60" s="198"/>
      <c r="V60" s="198"/>
      <c r="W60" s="198"/>
      <c r="X60" s="198"/>
      <c r="Y60" s="198"/>
      <c r="Z60" s="198"/>
      <c r="AA60" s="198"/>
      <c r="AB60" s="198"/>
      <c r="AC60" s="198"/>
      <c r="AD60" s="198"/>
      <c r="AE60" s="198"/>
      <c r="AF60" s="198"/>
    </row>
    <row r="61">
      <c r="A61" s="4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74"/>
    </row>
    <row r="62">
      <c r="A62" s="75" t="s">
        <v>221</v>
      </c>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row>
    <row r="63">
      <c r="A63" s="117" t="s">
        <v>223</v>
      </c>
      <c r="B63" s="88">
        <f t="shared" ref="B63:AE63" si="32">B5*0.3</f>
        <v>146.0692311</v>
      </c>
      <c r="C63" s="88">
        <f t="shared" si="32"/>
        <v>244.2133953</v>
      </c>
      <c r="D63" s="88">
        <f t="shared" si="32"/>
        <v>221.9233305</v>
      </c>
      <c r="E63" s="88">
        <f t="shared" si="32"/>
        <v>514.5541737</v>
      </c>
      <c r="F63" s="88">
        <f t="shared" si="32"/>
        <v>467.9122764</v>
      </c>
      <c r="G63" s="88">
        <f t="shared" si="32"/>
        <v>316.559802</v>
      </c>
      <c r="H63" s="88">
        <f t="shared" si="32"/>
        <v>236.4799506</v>
      </c>
      <c r="I63" s="88">
        <f t="shared" si="32"/>
        <v>301.3411701</v>
      </c>
      <c r="J63" s="88">
        <f t="shared" si="32"/>
        <v>322.8057381</v>
      </c>
      <c r="K63" s="88">
        <f t="shared" si="32"/>
        <v>376.1197089</v>
      </c>
      <c r="L63" s="88">
        <f t="shared" si="32"/>
        <v>494.3169213</v>
      </c>
      <c r="M63" s="88">
        <f t="shared" si="32"/>
        <v>654.7395219</v>
      </c>
      <c r="N63" s="88">
        <f t="shared" si="32"/>
        <v>254.4507483</v>
      </c>
      <c r="O63" s="88">
        <f t="shared" si="32"/>
        <v>267.7387857</v>
      </c>
      <c r="P63" s="88">
        <f t="shared" si="32"/>
        <v>320.3659248</v>
      </c>
      <c r="Q63" s="88">
        <f t="shared" si="32"/>
        <v>311.2027782</v>
      </c>
      <c r="R63" s="88">
        <f t="shared" si="32"/>
        <v>377.6340753</v>
      </c>
      <c r="S63" s="88">
        <f t="shared" si="32"/>
        <v>435.8672709</v>
      </c>
      <c r="T63" s="88">
        <f t="shared" si="32"/>
        <v>528.0030303</v>
      </c>
      <c r="U63" s="88">
        <f t="shared" si="32"/>
        <v>295.7927865</v>
      </c>
      <c r="V63" s="88">
        <f t="shared" si="32"/>
        <v>279.259497</v>
      </c>
      <c r="W63" s="88">
        <f t="shared" si="32"/>
        <v>176.6821662</v>
      </c>
      <c r="X63" s="88">
        <f t="shared" si="32"/>
        <v>277.244235</v>
      </c>
      <c r="Y63" s="88">
        <f t="shared" si="32"/>
        <v>359.2924596</v>
      </c>
      <c r="Z63" s="88">
        <f t="shared" si="32"/>
        <v>472.8197583</v>
      </c>
      <c r="AA63" s="88">
        <f t="shared" si="32"/>
        <v>552.4398456</v>
      </c>
      <c r="AB63" s="88">
        <f t="shared" si="32"/>
        <v>276.3257538</v>
      </c>
      <c r="AC63" s="88">
        <f t="shared" si="32"/>
        <v>308.0024289</v>
      </c>
      <c r="AD63" s="88">
        <f t="shared" si="32"/>
        <v>332.979081</v>
      </c>
      <c r="AE63" s="88">
        <f t="shared" si="32"/>
        <v>454.3236966</v>
      </c>
      <c r="AF63" s="201">
        <f t="shared" ref="AF63:AF68" si="33">SUM(B63:AE63)</f>
        <v>10577.45954</v>
      </c>
    </row>
    <row r="64">
      <c r="A64" s="117" t="s">
        <v>229</v>
      </c>
      <c r="B64" s="88">
        <v>1.09</v>
      </c>
      <c r="C64" s="88">
        <v>11.53</v>
      </c>
      <c r="D64" s="88">
        <v>13.14</v>
      </c>
      <c r="E64" s="88">
        <v>28.87</v>
      </c>
      <c r="F64" s="88">
        <v>10.86</v>
      </c>
      <c r="G64" s="88">
        <v>23.3</v>
      </c>
      <c r="H64" s="88">
        <v>11.57</v>
      </c>
      <c r="I64" s="88">
        <v>14.89</v>
      </c>
      <c r="J64" s="88">
        <v>9.53</v>
      </c>
      <c r="K64" s="88">
        <v>21.96</v>
      </c>
      <c r="L64" s="88">
        <v>24.58</v>
      </c>
      <c r="M64" s="88">
        <v>24.99</v>
      </c>
      <c r="N64" s="88">
        <v>12.35</v>
      </c>
      <c r="O64" s="88">
        <v>1.62</v>
      </c>
      <c r="P64" s="88">
        <v>22.89</v>
      </c>
      <c r="Q64" s="88">
        <v>24.27</v>
      </c>
      <c r="R64" s="88">
        <v>0.88</v>
      </c>
      <c r="S64" s="88">
        <v>10.94</v>
      </c>
      <c r="T64" s="88">
        <v>23.04</v>
      </c>
      <c r="U64" s="88">
        <v>5.51</v>
      </c>
      <c r="V64" s="88">
        <v>11.21</v>
      </c>
      <c r="W64" s="88">
        <v>11.4</v>
      </c>
      <c r="X64" s="88">
        <v>6.69</v>
      </c>
      <c r="Y64" s="88">
        <v>12.79</v>
      </c>
      <c r="Z64" s="88">
        <v>35.61</v>
      </c>
      <c r="AA64" s="88">
        <v>19.56</v>
      </c>
      <c r="AB64" s="88">
        <v>5.31</v>
      </c>
      <c r="AC64" s="88">
        <v>2.71</v>
      </c>
      <c r="AD64" s="88">
        <v>19.46</v>
      </c>
      <c r="AE64" s="88">
        <v>1.41</v>
      </c>
      <c r="AF64" s="201">
        <f t="shared" si="33"/>
        <v>423.96</v>
      </c>
    </row>
    <row r="65">
      <c r="A65" s="117" t="s">
        <v>233</v>
      </c>
      <c r="B65" s="88">
        <f t="shared" ref="B65:AE65" si="34">B8*0.15</f>
        <v>14.943</v>
      </c>
      <c r="C65" s="88">
        <f t="shared" si="34"/>
        <v>24.882</v>
      </c>
      <c r="D65" s="88">
        <f t="shared" si="34"/>
        <v>10.671</v>
      </c>
      <c r="E65" s="88">
        <f t="shared" si="34"/>
        <v>61.9095</v>
      </c>
      <c r="F65" s="88">
        <f t="shared" si="34"/>
        <v>44.691</v>
      </c>
      <c r="G65" s="88">
        <f t="shared" si="34"/>
        <v>12.1725</v>
      </c>
      <c r="H65" s="88">
        <f t="shared" si="34"/>
        <v>26.958</v>
      </c>
      <c r="I65" s="88">
        <f t="shared" si="34"/>
        <v>48.3765</v>
      </c>
      <c r="J65" s="88">
        <f t="shared" si="34"/>
        <v>51.231</v>
      </c>
      <c r="K65" s="88">
        <f t="shared" si="34"/>
        <v>43.494</v>
      </c>
      <c r="L65" s="88">
        <f t="shared" si="34"/>
        <v>62.3025</v>
      </c>
      <c r="M65" s="88">
        <f t="shared" si="34"/>
        <v>57.9885</v>
      </c>
      <c r="N65" s="88">
        <f t="shared" si="34"/>
        <v>53.4195</v>
      </c>
      <c r="O65" s="88">
        <f t="shared" si="34"/>
        <v>54.783</v>
      </c>
      <c r="P65" s="88">
        <f t="shared" si="34"/>
        <v>39.4815</v>
      </c>
      <c r="Q65" s="88">
        <f t="shared" si="34"/>
        <v>24.612</v>
      </c>
      <c r="R65" s="88">
        <f t="shared" si="34"/>
        <v>44.2245</v>
      </c>
      <c r="S65" s="88">
        <f t="shared" si="34"/>
        <v>59.4375</v>
      </c>
      <c r="T65" s="88">
        <f t="shared" si="34"/>
        <v>82.428</v>
      </c>
      <c r="U65" s="88">
        <f t="shared" si="34"/>
        <v>35.8935</v>
      </c>
      <c r="V65" s="88">
        <f t="shared" si="34"/>
        <v>50.169</v>
      </c>
      <c r="W65" s="88">
        <f t="shared" si="34"/>
        <v>25.185</v>
      </c>
      <c r="X65" s="88">
        <f t="shared" si="34"/>
        <v>25.3365</v>
      </c>
      <c r="Y65" s="88">
        <f t="shared" si="34"/>
        <v>49.242</v>
      </c>
      <c r="Z65" s="88">
        <f t="shared" si="34"/>
        <v>73.1025</v>
      </c>
      <c r="AA65" s="88">
        <f t="shared" si="34"/>
        <v>118.011</v>
      </c>
      <c r="AB65" s="88">
        <f t="shared" si="34"/>
        <v>59.604</v>
      </c>
      <c r="AC65" s="88">
        <f t="shared" si="34"/>
        <v>31.356</v>
      </c>
      <c r="AD65" s="88">
        <f t="shared" si="34"/>
        <v>55.2285</v>
      </c>
      <c r="AE65" s="88">
        <f t="shared" si="34"/>
        <v>28.974</v>
      </c>
      <c r="AF65" s="201">
        <f t="shared" si="33"/>
        <v>1370.1075</v>
      </c>
    </row>
    <row r="66">
      <c r="A66" s="117" t="s">
        <v>237</v>
      </c>
      <c r="B66" s="88">
        <v>0.0</v>
      </c>
      <c r="C66" s="88">
        <v>0.0</v>
      </c>
      <c r="D66" s="88">
        <v>0.0</v>
      </c>
      <c r="E66" s="88">
        <v>1.2</v>
      </c>
      <c r="F66" s="88">
        <v>11.33</v>
      </c>
      <c r="G66" s="88">
        <v>11.31</v>
      </c>
      <c r="H66" s="88">
        <v>0.53</v>
      </c>
      <c r="I66" s="88">
        <v>19.39</v>
      </c>
      <c r="J66" s="88">
        <v>20.36</v>
      </c>
      <c r="K66" s="88">
        <v>17.3</v>
      </c>
      <c r="L66" s="88">
        <v>0.51</v>
      </c>
      <c r="M66" s="88">
        <v>1.27</v>
      </c>
      <c r="N66" s="88">
        <v>11.63</v>
      </c>
      <c r="O66" s="88">
        <v>18.07</v>
      </c>
      <c r="P66" s="88">
        <v>7.19</v>
      </c>
      <c r="Q66" s="88">
        <v>6.21</v>
      </c>
      <c r="R66" s="88">
        <v>7.56</v>
      </c>
      <c r="S66" s="88">
        <v>14.68</v>
      </c>
      <c r="T66" s="88">
        <v>5.68</v>
      </c>
      <c r="U66" s="88">
        <v>7.25</v>
      </c>
      <c r="V66" s="88">
        <v>1.13</v>
      </c>
      <c r="W66" s="88">
        <v>7.22</v>
      </c>
      <c r="X66" s="88">
        <v>6.91</v>
      </c>
      <c r="Y66" s="88">
        <v>6.2</v>
      </c>
      <c r="Z66" s="88">
        <v>1.05</v>
      </c>
      <c r="AA66" s="88">
        <v>39.37</v>
      </c>
      <c r="AB66" s="88">
        <v>10.93</v>
      </c>
      <c r="AC66" s="88">
        <v>6.05</v>
      </c>
      <c r="AD66" s="88">
        <v>17.82</v>
      </c>
      <c r="AE66" s="88">
        <v>5.26</v>
      </c>
      <c r="AF66" s="201">
        <f t="shared" si="33"/>
        <v>263.41</v>
      </c>
    </row>
    <row r="67">
      <c r="A67" s="204" t="s">
        <v>239</v>
      </c>
      <c r="B67" s="205">
        <f t="shared" ref="B67:AE67" si="35">B63+B65</f>
        <v>161.0122311</v>
      </c>
      <c r="C67" s="205">
        <f t="shared" si="35"/>
        <v>269.0953953</v>
      </c>
      <c r="D67" s="205">
        <f t="shared" si="35"/>
        <v>232.5943305</v>
      </c>
      <c r="E67" s="205">
        <f t="shared" si="35"/>
        <v>576.4636737</v>
      </c>
      <c r="F67" s="205">
        <f t="shared" si="35"/>
        <v>512.6032764</v>
      </c>
      <c r="G67" s="205">
        <f t="shared" si="35"/>
        <v>328.732302</v>
      </c>
      <c r="H67" s="205">
        <f t="shared" si="35"/>
        <v>263.4379506</v>
      </c>
      <c r="I67" s="205">
        <f t="shared" si="35"/>
        <v>349.7176701</v>
      </c>
      <c r="J67" s="205">
        <f t="shared" si="35"/>
        <v>374.0367381</v>
      </c>
      <c r="K67" s="205">
        <f t="shared" si="35"/>
        <v>419.6137089</v>
      </c>
      <c r="L67" s="205">
        <f t="shared" si="35"/>
        <v>556.6194213</v>
      </c>
      <c r="M67" s="205">
        <f t="shared" si="35"/>
        <v>712.7280219</v>
      </c>
      <c r="N67" s="205">
        <f t="shared" si="35"/>
        <v>307.8702483</v>
      </c>
      <c r="O67" s="205">
        <f t="shared" si="35"/>
        <v>322.5217857</v>
      </c>
      <c r="P67" s="205">
        <f t="shared" si="35"/>
        <v>359.8474248</v>
      </c>
      <c r="Q67" s="205">
        <f t="shared" si="35"/>
        <v>335.8147782</v>
      </c>
      <c r="R67" s="205">
        <f t="shared" si="35"/>
        <v>421.8585753</v>
      </c>
      <c r="S67" s="205">
        <f t="shared" si="35"/>
        <v>495.3047709</v>
      </c>
      <c r="T67" s="205">
        <f t="shared" si="35"/>
        <v>610.4310303</v>
      </c>
      <c r="U67" s="205">
        <f t="shared" si="35"/>
        <v>331.6862865</v>
      </c>
      <c r="V67" s="205">
        <f t="shared" si="35"/>
        <v>329.428497</v>
      </c>
      <c r="W67" s="205">
        <f t="shared" si="35"/>
        <v>201.8671662</v>
      </c>
      <c r="X67" s="205">
        <f t="shared" si="35"/>
        <v>302.580735</v>
      </c>
      <c r="Y67" s="205">
        <f t="shared" si="35"/>
        <v>408.5344596</v>
      </c>
      <c r="Z67" s="205">
        <f t="shared" si="35"/>
        <v>545.9222583</v>
      </c>
      <c r="AA67" s="205">
        <f t="shared" si="35"/>
        <v>670.4508456</v>
      </c>
      <c r="AB67" s="205">
        <f t="shared" si="35"/>
        <v>335.9297538</v>
      </c>
      <c r="AC67" s="205">
        <f t="shared" si="35"/>
        <v>339.3584289</v>
      </c>
      <c r="AD67" s="205">
        <f t="shared" si="35"/>
        <v>388.207581</v>
      </c>
      <c r="AE67" s="205">
        <f t="shared" si="35"/>
        <v>483.2976966</v>
      </c>
      <c r="AF67" s="208">
        <f t="shared" si="33"/>
        <v>11947.56704</v>
      </c>
    </row>
    <row r="68">
      <c r="A68" s="204" t="s">
        <v>241</v>
      </c>
      <c r="B68" s="205">
        <f t="shared" ref="B68:AE68" si="36">B64+B66</f>
        <v>1.09</v>
      </c>
      <c r="C68" s="205">
        <f t="shared" si="36"/>
        <v>11.53</v>
      </c>
      <c r="D68" s="205">
        <f t="shared" si="36"/>
        <v>13.14</v>
      </c>
      <c r="E68" s="205">
        <f t="shared" si="36"/>
        <v>30.07</v>
      </c>
      <c r="F68" s="205">
        <f t="shared" si="36"/>
        <v>22.19</v>
      </c>
      <c r="G68" s="205">
        <f t="shared" si="36"/>
        <v>34.61</v>
      </c>
      <c r="H68" s="205">
        <f t="shared" si="36"/>
        <v>12.1</v>
      </c>
      <c r="I68" s="205">
        <f t="shared" si="36"/>
        <v>34.28</v>
      </c>
      <c r="J68" s="205">
        <f t="shared" si="36"/>
        <v>29.89</v>
      </c>
      <c r="K68" s="205">
        <f t="shared" si="36"/>
        <v>39.26</v>
      </c>
      <c r="L68" s="205">
        <f t="shared" si="36"/>
        <v>25.09</v>
      </c>
      <c r="M68" s="205">
        <f t="shared" si="36"/>
        <v>26.26</v>
      </c>
      <c r="N68" s="205">
        <f t="shared" si="36"/>
        <v>23.98</v>
      </c>
      <c r="O68" s="205">
        <f t="shared" si="36"/>
        <v>19.69</v>
      </c>
      <c r="P68" s="205">
        <f t="shared" si="36"/>
        <v>30.08</v>
      </c>
      <c r="Q68" s="205">
        <f t="shared" si="36"/>
        <v>30.48</v>
      </c>
      <c r="R68" s="205">
        <f t="shared" si="36"/>
        <v>8.44</v>
      </c>
      <c r="S68" s="205">
        <f t="shared" si="36"/>
        <v>25.62</v>
      </c>
      <c r="T68" s="205">
        <f t="shared" si="36"/>
        <v>28.72</v>
      </c>
      <c r="U68" s="205">
        <f t="shared" si="36"/>
        <v>12.76</v>
      </c>
      <c r="V68" s="205">
        <f t="shared" si="36"/>
        <v>12.34</v>
      </c>
      <c r="W68" s="205">
        <f t="shared" si="36"/>
        <v>18.62</v>
      </c>
      <c r="X68" s="205">
        <f t="shared" si="36"/>
        <v>13.6</v>
      </c>
      <c r="Y68" s="205">
        <f t="shared" si="36"/>
        <v>18.99</v>
      </c>
      <c r="Z68" s="205">
        <f t="shared" si="36"/>
        <v>36.66</v>
      </c>
      <c r="AA68" s="205">
        <f t="shared" si="36"/>
        <v>58.93</v>
      </c>
      <c r="AB68" s="205">
        <f t="shared" si="36"/>
        <v>16.24</v>
      </c>
      <c r="AC68" s="205">
        <f t="shared" si="36"/>
        <v>8.76</v>
      </c>
      <c r="AD68" s="205">
        <f t="shared" si="36"/>
        <v>37.28</v>
      </c>
      <c r="AE68" s="205">
        <f t="shared" si="36"/>
        <v>6.67</v>
      </c>
      <c r="AF68" s="208">
        <f t="shared" si="33"/>
        <v>687.37</v>
      </c>
    </row>
    <row r="69">
      <c r="A69" s="4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row>
    <row r="70">
      <c r="A70" s="75" t="s">
        <v>243</v>
      </c>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row>
    <row r="71">
      <c r="A71" s="117" t="s">
        <v>220</v>
      </c>
      <c r="B71" s="214">
        <f>Summary!B95</f>
        <v>0</v>
      </c>
      <c r="C71" s="214">
        <f>Summary!C95</f>
        <v>0</v>
      </c>
      <c r="D71" s="214">
        <f>Summary!D95</f>
        <v>0</v>
      </c>
      <c r="E71" s="214">
        <f>Summary!E95</f>
        <v>0</v>
      </c>
      <c r="F71" s="214">
        <f>Summary!F95</f>
        <v>0</v>
      </c>
      <c r="G71" s="214">
        <f>Summary!G95</f>
        <v>0</v>
      </c>
      <c r="H71" s="214">
        <f>Summary!H95</f>
        <v>0</v>
      </c>
      <c r="I71" s="214">
        <f>Summary!I95</f>
        <v>0</v>
      </c>
      <c r="J71" s="214">
        <f>Summary!J95</f>
        <v>0</v>
      </c>
      <c r="K71" s="214">
        <f>Summary!K95</f>
        <v>0</v>
      </c>
      <c r="L71" s="214">
        <f>Summary!L95</f>
        <v>0</v>
      </c>
      <c r="M71" s="214">
        <f>Summary!M95</f>
        <v>0</v>
      </c>
      <c r="N71" s="214">
        <f>Summary!N95</f>
        <v>0</v>
      </c>
      <c r="O71" s="214">
        <f>Summary!O95</f>
        <v>0</v>
      </c>
      <c r="P71" s="214">
        <f>Summary!P95</f>
        <v>0</v>
      </c>
      <c r="Q71" s="214">
        <f>Summary!Q95</f>
        <v>0</v>
      </c>
      <c r="R71" s="214">
        <f>Summary!R95</f>
        <v>0</v>
      </c>
      <c r="S71" s="214">
        <f>Summary!S95</f>
        <v>0</v>
      </c>
      <c r="T71" s="214">
        <f>Summary!T95</f>
        <v>0</v>
      </c>
      <c r="U71" s="214">
        <f>Summary!U95</f>
        <v>0</v>
      </c>
      <c r="V71" s="214">
        <f>Summary!V95</f>
        <v>0</v>
      </c>
      <c r="W71" s="214">
        <f>Summary!W95</f>
        <v>0</v>
      </c>
      <c r="X71" s="214">
        <f>Summary!X95</f>
        <v>0</v>
      </c>
      <c r="Y71" s="214">
        <f>Summary!Y95</f>
        <v>0</v>
      </c>
      <c r="Z71" s="214">
        <f>Summary!Z95</f>
        <v>0</v>
      </c>
      <c r="AA71" s="214">
        <f>Summary!AA95</f>
        <v>4.64350725</v>
      </c>
      <c r="AB71" s="214">
        <f>Summary!AB95</f>
        <v>0</v>
      </c>
      <c r="AC71" s="214">
        <f>Summary!AC95</f>
        <v>0</v>
      </c>
      <c r="AD71" s="214">
        <f>Summary!AD95</f>
        <v>0</v>
      </c>
      <c r="AE71" s="214">
        <f>Summary!AE95</f>
        <v>0</v>
      </c>
      <c r="AF71" s="201">
        <f t="shared" ref="AF71:AF73" si="37">SUM(B71:AE71)</f>
        <v>4.64350725</v>
      </c>
    </row>
    <row r="72">
      <c r="A72" s="117" t="s">
        <v>245</v>
      </c>
      <c r="B72" s="214">
        <f>Summary!B96</f>
        <v>20.37</v>
      </c>
      <c r="C72" s="214">
        <f>Summary!C96</f>
        <v>12.66</v>
      </c>
      <c r="D72" s="214">
        <f>Summary!D96</f>
        <v>20.86</v>
      </c>
      <c r="E72" s="214">
        <f>Summary!E96</f>
        <v>20.81</v>
      </c>
      <c r="F72" s="214">
        <f>Summary!F96</f>
        <v>46.99</v>
      </c>
      <c r="G72" s="214">
        <f>Summary!G96</f>
        <v>26.18</v>
      </c>
      <c r="H72" s="214">
        <f>Summary!H96</f>
        <v>21.19</v>
      </c>
      <c r="I72" s="214">
        <f>Summary!I96</f>
        <v>17.85</v>
      </c>
      <c r="J72" s="214">
        <f>Summary!J96</f>
        <v>20.89</v>
      </c>
      <c r="K72" s="214">
        <f>Summary!K96</f>
        <v>39.74</v>
      </c>
      <c r="L72" s="214">
        <f>Summary!L96</f>
        <v>39.82</v>
      </c>
      <c r="M72" s="214">
        <f>Summary!M96</f>
        <v>42.55</v>
      </c>
      <c r="N72" s="214">
        <f>Summary!N96</f>
        <v>30.45</v>
      </c>
      <c r="O72" s="214">
        <f>Summary!O96</f>
        <v>15.83</v>
      </c>
      <c r="P72" s="214">
        <f>Summary!P96</f>
        <v>18.87</v>
      </c>
      <c r="Q72" s="214">
        <f>Summary!Q96</f>
        <v>14.94</v>
      </c>
      <c r="R72" s="214">
        <f>Summary!R96</f>
        <v>12.41</v>
      </c>
      <c r="S72" s="214">
        <f>Summary!S96</f>
        <v>16.43</v>
      </c>
      <c r="T72" s="214">
        <f>Summary!T96</f>
        <v>18.21</v>
      </c>
      <c r="U72" s="214">
        <f>Summary!U96</f>
        <v>18.92</v>
      </c>
      <c r="V72" s="214">
        <f>Summary!V96</f>
        <v>20.58</v>
      </c>
      <c r="W72" s="214">
        <f>Summary!W96</f>
        <v>14.6</v>
      </c>
      <c r="X72" s="214">
        <f>Summary!X96</f>
        <v>14.29</v>
      </c>
      <c r="Y72" s="214">
        <f>Summary!Y96</f>
        <v>21.29</v>
      </c>
      <c r="Z72" s="214">
        <f>Summary!Z96</f>
        <v>26.01</v>
      </c>
      <c r="AA72" s="214">
        <f>Summary!AA96</f>
        <v>18.16</v>
      </c>
      <c r="AB72" s="214">
        <f>Summary!AB96</f>
        <v>1.8</v>
      </c>
      <c r="AC72" s="214">
        <f>Summary!AC96</f>
        <v>1.6</v>
      </c>
      <c r="AD72" s="214">
        <f>Summary!AD96</f>
        <v>10.38</v>
      </c>
      <c r="AE72" s="214">
        <f>Summary!AE96</f>
        <v>13.09</v>
      </c>
      <c r="AF72" s="201">
        <f t="shared" si="37"/>
        <v>617.77</v>
      </c>
    </row>
    <row r="73">
      <c r="A73" s="117" t="s">
        <v>222</v>
      </c>
      <c r="B73" s="214" t="str">
        <f>Summary!B97</f>
        <v/>
      </c>
      <c r="C73" s="214" t="str">
        <f>Summary!C97</f>
        <v/>
      </c>
      <c r="D73" s="214" t="str">
        <f>Summary!D97</f>
        <v/>
      </c>
      <c r="E73" s="214" t="str">
        <f>Summary!E97</f>
        <v/>
      </c>
      <c r="F73" s="214" t="str">
        <f>Summary!F97</f>
        <v/>
      </c>
      <c r="G73" s="214" t="str">
        <f>Summary!G97</f>
        <v/>
      </c>
      <c r="H73" s="214" t="str">
        <f>Summary!H97</f>
        <v/>
      </c>
      <c r="I73" s="214" t="str">
        <f>Summary!I97</f>
        <v/>
      </c>
      <c r="J73" s="214" t="str">
        <f>Summary!J97</f>
        <v/>
      </c>
      <c r="K73" s="214" t="str">
        <f>Summary!K97</f>
        <v/>
      </c>
      <c r="L73" s="214" t="str">
        <f>Summary!L97</f>
        <v/>
      </c>
      <c r="M73" s="214" t="str">
        <f>Summary!M97</f>
        <v/>
      </c>
      <c r="N73" s="214" t="str">
        <f>Summary!N97</f>
        <v/>
      </c>
      <c r="O73" s="214" t="str">
        <f>Summary!O97</f>
        <v/>
      </c>
      <c r="P73" s="214" t="str">
        <f>Summary!P97</f>
        <v/>
      </c>
      <c r="Q73" s="214" t="str">
        <f>Summary!Q97</f>
        <v/>
      </c>
      <c r="R73" s="214" t="str">
        <f>Summary!R97</f>
        <v/>
      </c>
      <c r="S73" s="214" t="str">
        <f>Summary!S97</f>
        <v/>
      </c>
      <c r="T73" s="214" t="str">
        <f>Summary!T97</f>
        <v/>
      </c>
      <c r="U73" s="214" t="str">
        <f>Summary!U97</f>
        <v/>
      </c>
      <c r="V73" s="214" t="str">
        <f>Summary!V97</f>
        <v/>
      </c>
      <c r="W73" s="214" t="str">
        <f>Summary!W97</f>
        <v/>
      </c>
      <c r="X73" s="214" t="str">
        <f>Summary!X97</f>
        <v/>
      </c>
      <c r="Y73" s="214" t="str">
        <f>Summary!Y97</f>
        <v/>
      </c>
      <c r="Z73" s="214" t="str">
        <f>Summary!Z97</f>
        <v/>
      </c>
      <c r="AA73" s="214" t="str">
        <f>Summary!AA97</f>
        <v/>
      </c>
      <c r="AB73" s="214" t="str">
        <f>Summary!AB97</f>
        <v/>
      </c>
      <c r="AC73" s="214" t="str">
        <f>Summary!AC97</f>
        <v/>
      </c>
      <c r="AD73" s="214" t="str">
        <f>Summary!AD97</f>
        <v/>
      </c>
      <c r="AE73" s="214" t="str">
        <f>Summary!AE97</f>
        <v/>
      </c>
      <c r="AF73" s="201">
        <f t="shared" si="37"/>
        <v>0</v>
      </c>
    </row>
    <row r="74">
      <c r="A74" s="204" t="s">
        <v>127</v>
      </c>
      <c r="B74" s="205">
        <f t="shared" ref="B74:AE74" si="38">SUM(B71:B73)</f>
        <v>20.37</v>
      </c>
      <c r="C74" s="205">
        <f t="shared" si="38"/>
        <v>12.66</v>
      </c>
      <c r="D74" s="205">
        <f t="shared" si="38"/>
        <v>20.86</v>
      </c>
      <c r="E74" s="205">
        <f t="shared" si="38"/>
        <v>20.81</v>
      </c>
      <c r="F74" s="205">
        <f t="shared" si="38"/>
        <v>46.99</v>
      </c>
      <c r="G74" s="205">
        <f t="shared" si="38"/>
        <v>26.18</v>
      </c>
      <c r="H74" s="205">
        <f t="shared" si="38"/>
        <v>21.19</v>
      </c>
      <c r="I74" s="205">
        <f t="shared" si="38"/>
        <v>17.85</v>
      </c>
      <c r="J74" s="205">
        <f t="shared" si="38"/>
        <v>20.89</v>
      </c>
      <c r="K74" s="205">
        <f t="shared" si="38"/>
        <v>39.74</v>
      </c>
      <c r="L74" s="205">
        <f t="shared" si="38"/>
        <v>39.82</v>
      </c>
      <c r="M74" s="205">
        <f t="shared" si="38"/>
        <v>42.55</v>
      </c>
      <c r="N74" s="205">
        <f t="shared" si="38"/>
        <v>30.45</v>
      </c>
      <c r="O74" s="205">
        <f t="shared" si="38"/>
        <v>15.83</v>
      </c>
      <c r="P74" s="205">
        <f t="shared" si="38"/>
        <v>18.87</v>
      </c>
      <c r="Q74" s="205">
        <f t="shared" si="38"/>
        <v>14.94</v>
      </c>
      <c r="R74" s="205">
        <f t="shared" si="38"/>
        <v>12.41</v>
      </c>
      <c r="S74" s="205">
        <f t="shared" si="38"/>
        <v>16.43</v>
      </c>
      <c r="T74" s="205">
        <f t="shared" si="38"/>
        <v>18.21</v>
      </c>
      <c r="U74" s="205">
        <f t="shared" si="38"/>
        <v>18.92</v>
      </c>
      <c r="V74" s="205">
        <f t="shared" si="38"/>
        <v>20.58</v>
      </c>
      <c r="W74" s="205">
        <f t="shared" si="38"/>
        <v>14.6</v>
      </c>
      <c r="X74" s="205">
        <f t="shared" si="38"/>
        <v>14.29</v>
      </c>
      <c r="Y74" s="205">
        <f t="shared" si="38"/>
        <v>21.29</v>
      </c>
      <c r="Z74" s="205">
        <f t="shared" si="38"/>
        <v>26.01</v>
      </c>
      <c r="AA74" s="205">
        <f t="shared" si="38"/>
        <v>22.80350725</v>
      </c>
      <c r="AB74" s="205">
        <f t="shared" si="38"/>
        <v>1.8</v>
      </c>
      <c r="AC74" s="205">
        <f t="shared" si="38"/>
        <v>1.6</v>
      </c>
      <c r="AD74" s="205">
        <f t="shared" si="38"/>
        <v>10.38</v>
      </c>
      <c r="AE74" s="205">
        <f t="shared" si="38"/>
        <v>13.09</v>
      </c>
      <c r="AF74" s="210"/>
    </row>
    <row r="75">
      <c r="A75" s="4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row>
    <row r="76">
      <c r="A76" s="75" t="s">
        <v>265</v>
      </c>
      <c r="B76" s="110"/>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74"/>
    </row>
    <row r="77">
      <c r="A77" s="161" t="s">
        <v>266</v>
      </c>
      <c r="B77" s="55">
        <f>B43-B63-B64-B72-(B71*'Data - P&amp;L'!$I$24)</f>
        <v>319.3682059</v>
      </c>
      <c r="C77" s="55">
        <f>C43-C63-C64-C72-(C71*'Data - P&amp;L'!$I$24)</f>
        <v>545.6412557</v>
      </c>
      <c r="D77" s="55">
        <f>D43-D63-D64-D72-(D71*'Data - P&amp;L'!$I$24)</f>
        <v>483.8211045</v>
      </c>
      <c r="E77" s="55">
        <f>E43-E63-E64-E72-(E71*'Data - P&amp;L'!$I$24)</f>
        <v>1150.946405</v>
      </c>
      <c r="F77" s="55">
        <f>F43-F63-F64-F72-(F71*'Data - P&amp;L'!$I$24)</f>
        <v>1018.955312</v>
      </c>
      <c r="G77" s="55">
        <f>G43-G63-G64-G72-(G71*'Data - P&amp;L'!$I$24)</f>
        <v>689.159538</v>
      </c>
      <c r="H77" s="55">
        <f>H43-H63-H64-H72-(H71*'Data - P&amp;L'!$I$24)</f>
        <v>519.0265514</v>
      </c>
      <c r="I77" s="55">
        <f>I43-I63-I64-I72-(I71*'Data - P&amp;L'!$I$24)</f>
        <v>670.3893969</v>
      </c>
      <c r="J77" s="55">
        <f>J43-J63-J64-J72-(J71*'Data - P&amp;L'!$I$24)</f>
        <v>722.7933889</v>
      </c>
      <c r="K77" s="55">
        <f>K43-K63-K64-K72-(K71*'Data - P&amp;L'!$I$24)</f>
        <v>815.9126541</v>
      </c>
      <c r="L77" s="55">
        <f>L43-L63-L64-L72-(L71*'Data - P&amp;L'!$I$24)</f>
        <v>1089.00615</v>
      </c>
      <c r="M77" s="55">
        <f>M43-M63-M64-M72-(M71*'Data - P&amp;L'!$I$24)</f>
        <v>1430.195551</v>
      </c>
      <c r="N77" s="55">
        <f>N43-N63-N64-N72-(N71*'Data - P&amp;L'!$I$24)</f>
        <v>550.9184127</v>
      </c>
      <c r="O77" s="55">
        <f>O43-O63-O64-O72-(O71*'Data - P&amp;L'!$I$24)</f>
        <v>607.2738333</v>
      </c>
      <c r="P77" s="55">
        <f>P43-P63-P64-P72-(P71*'Data - P&amp;L'!$I$24)</f>
        <v>705.7604912</v>
      </c>
      <c r="Q77" s="55">
        <f>Q43-Q63-Q64-Q72-(Q71*'Data - P&amp;L'!$I$24)</f>
        <v>686.9298158</v>
      </c>
      <c r="R77" s="55">
        <f>R43-R63-R64-R72-(R71*'Data - P&amp;L'!$I$24)</f>
        <v>867.8561757</v>
      </c>
      <c r="S77" s="55">
        <f>S43-S63-S64-S72-(S71*'Data - P&amp;L'!$I$24)</f>
        <v>989.6536321</v>
      </c>
      <c r="T77" s="55">
        <f>T43-T63-T64-T72-(T71*'Data - P&amp;L'!$I$24)</f>
        <v>1190.757071</v>
      </c>
      <c r="U77" s="55">
        <f>U43-U63-U64-U72-(U71*'Data - P&amp;L'!$I$24)</f>
        <v>665.7531685</v>
      </c>
      <c r="V77" s="55">
        <f>V43-V63-V64-V72-(V71*'Data - P&amp;L'!$I$24)</f>
        <v>619.815493</v>
      </c>
      <c r="W77" s="55">
        <f>W43-W63-W64-W72-(W71*'Data - P&amp;L'!$I$24)</f>
        <v>386.2583878</v>
      </c>
      <c r="X77" s="55">
        <f>X43-X63-X64-X72-(X71*'Data - P&amp;L'!$I$24)</f>
        <v>625.923215</v>
      </c>
      <c r="Y77" s="55">
        <f>Y43-Y63-Y64-Y72-(Y71*'Data - P&amp;L'!$I$24)</f>
        <v>804.2690724</v>
      </c>
      <c r="Z77" s="55">
        <f>Z43-Z63-Z64-Z72-(Z71*'Data - P&amp;L'!$I$24)</f>
        <v>1041.626103</v>
      </c>
      <c r="AA77" s="55">
        <f>AA43-AA63-AA64-AA72-(AA71*'Data - P&amp;L'!$I$24)</f>
        <v>1247.591501</v>
      </c>
      <c r="AB77" s="55">
        <f>AB43-AB63-AB64-AB72-(AB71*'Data - P&amp;L'!$I$24)</f>
        <v>637.6500922</v>
      </c>
      <c r="AC77" s="55">
        <f>AC43-AC63-AC64-AC72-(AC71*'Data - P&amp;L'!$I$24)</f>
        <v>714.3623341</v>
      </c>
      <c r="AD77" s="55">
        <f>AD43-AD63-AD64-AD72-(AD71*'Data - P&amp;L'!$I$24)</f>
        <v>747.111189</v>
      </c>
      <c r="AE77" s="55">
        <f>AE43-AE63-AE64-AE72-(AE71*'Data - P&amp;L'!$I$24)</f>
        <v>1013.964625</v>
      </c>
      <c r="AF77" s="122">
        <f t="shared" ref="AF77:AF79" si="39">sum(B77:AE77)</f>
        <v>23558.69013</v>
      </c>
    </row>
    <row r="78">
      <c r="A78" s="161" t="s">
        <v>281</v>
      </c>
      <c r="B78" s="55">
        <f>B46-B65-B66-B73-(B71*'Data - P&amp;L'!$I$25)</f>
        <v>84.677</v>
      </c>
      <c r="C78" s="55">
        <f>C46-C65-C66-C73-(C71*'Data - P&amp;L'!$I$25)</f>
        <v>140.998</v>
      </c>
      <c r="D78" s="55">
        <f>D46-D65-D66-D73-(D71*'Data - P&amp;L'!$I$25)</f>
        <v>60.469</v>
      </c>
      <c r="E78" s="55">
        <f>E46-E65-E66-E73-(E71*'Data - P&amp;L'!$I$25)</f>
        <v>349.6205</v>
      </c>
      <c r="F78" s="55">
        <f>F46-F65-F66-F73-(F71*'Data - P&amp;L'!$I$25)</f>
        <v>241.919</v>
      </c>
      <c r="G78" s="55">
        <f>G46-G65-G66-G73-(G71*'Data - P&amp;L'!$I$25)</f>
        <v>57.6675</v>
      </c>
      <c r="H78" s="55">
        <f>H46-H65-H66-H73-(H71*'Data - P&amp;L'!$I$25)</f>
        <v>152.232</v>
      </c>
      <c r="I78" s="55">
        <f>I46-I65-I66-I73-(I71*'Data - P&amp;L'!$I$25)</f>
        <v>254.7435</v>
      </c>
      <c r="J78" s="55">
        <f>J46-J65-J66-J73-(J71*'Data - P&amp;L'!$I$25)</f>
        <v>269.949</v>
      </c>
      <c r="K78" s="55">
        <f>K46-K65-K66-K73-(K71*'Data - P&amp;L'!$I$25)</f>
        <v>229.166</v>
      </c>
      <c r="L78" s="55">
        <f>L46-L65-L66-L73-(L71*'Data - P&amp;L'!$I$25)</f>
        <v>352.5375</v>
      </c>
      <c r="M78" s="55">
        <f>M46-M65-M66-M73-(M71*'Data - P&amp;L'!$I$25)</f>
        <v>327.3315</v>
      </c>
      <c r="N78" s="55">
        <f>N46-N65-N66-N73-(N71*'Data - P&amp;L'!$I$25)</f>
        <v>291.0805</v>
      </c>
      <c r="O78" s="55">
        <f>O46-O65-O66-O73-(O71*'Data - P&amp;L'!$I$25)</f>
        <v>292.367</v>
      </c>
      <c r="P78" s="55">
        <f>P46-P65-P66-P73-(P71*'Data - P&amp;L'!$I$25)</f>
        <v>216.5385</v>
      </c>
      <c r="Q78" s="55">
        <f>Q46-Q65-Q66-Q73-(Q71*'Data - P&amp;L'!$I$25)</f>
        <v>103.268</v>
      </c>
      <c r="R78" s="55">
        <f>R46-R65-R66-R73-(R71*'Data - P&amp;L'!$I$25)</f>
        <v>243.0455</v>
      </c>
      <c r="S78" s="55">
        <f>S46-S65-S66-S73-(S71*'Data - P&amp;L'!$I$25)</f>
        <v>322.1325</v>
      </c>
      <c r="T78" s="55">
        <f>T46-T65-T66-T73-(T71*'Data - P&amp;L'!$I$25)</f>
        <v>461.412</v>
      </c>
      <c r="U78" s="55">
        <f>U46-U65-U66-U73-(U71*'Data - P&amp;L'!$I$25)</f>
        <v>196.1465</v>
      </c>
      <c r="V78" s="55">
        <f>V46-V65-V66-V73-(V71*'Data - P&amp;L'!$I$25)</f>
        <v>283.161</v>
      </c>
      <c r="W78" s="55">
        <f>W46-W65-W66-W73-(W71*'Data - P&amp;L'!$I$25)</f>
        <v>135.495</v>
      </c>
      <c r="X78" s="55">
        <f>X46-X65-X66-X73-(X71*'Data - P&amp;L'!$I$25)</f>
        <v>136.6635</v>
      </c>
      <c r="Y78" s="55">
        <f>Y46-Y65-Y66-Y73-(Y71*'Data - P&amp;L'!$I$25)</f>
        <v>272.838</v>
      </c>
      <c r="Z78" s="55">
        <f>Z46-Z65-Z66-Z73-(Z71*'Data - P&amp;L'!$I$25)</f>
        <v>413.1975</v>
      </c>
      <c r="AA78" s="55">
        <f>AA46-AA65-AA66-AA73-(AA71*'Data - P&amp;L'!$I$25)</f>
        <v>628.4302986</v>
      </c>
      <c r="AB78" s="55">
        <f>AB46-AB65-AB66-AB73-(AB71*'Data - P&amp;L'!$I$25)</f>
        <v>326.826</v>
      </c>
      <c r="AC78" s="55">
        <f>AC46-AC65-AC66-AC73-(AC71*'Data - P&amp;L'!$I$25)</f>
        <v>171.634</v>
      </c>
      <c r="AD78" s="55">
        <f>AD46-AD65-AD66-AD73-(AD71*'Data - P&amp;L'!$I$25)</f>
        <v>295.1415</v>
      </c>
      <c r="AE78" s="55">
        <f>AE46-AE65-AE66-AE73-(AE71*'Data - P&amp;L'!$I$25)</f>
        <v>158.926</v>
      </c>
      <c r="AF78" s="122">
        <f t="shared" si="39"/>
        <v>7469.613799</v>
      </c>
    </row>
    <row r="79">
      <c r="A79" s="230" t="s">
        <v>292</v>
      </c>
      <c r="B79" s="231">
        <f t="shared" ref="B79:AE79" si="40">sum(B77:B78)</f>
        <v>404.0452059</v>
      </c>
      <c r="C79" s="231">
        <f t="shared" si="40"/>
        <v>686.6392557</v>
      </c>
      <c r="D79" s="231">
        <f t="shared" si="40"/>
        <v>544.2901045</v>
      </c>
      <c r="E79" s="231">
        <f t="shared" si="40"/>
        <v>1500.566905</v>
      </c>
      <c r="F79" s="231">
        <f t="shared" si="40"/>
        <v>1260.874312</v>
      </c>
      <c r="G79" s="231">
        <f t="shared" si="40"/>
        <v>746.827038</v>
      </c>
      <c r="H79" s="231">
        <f t="shared" si="40"/>
        <v>671.2585514</v>
      </c>
      <c r="I79" s="231">
        <f t="shared" si="40"/>
        <v>925.1328969</v>
      </c>
      <c r="J79" s="231">
        <f t="shared" si="40"/>
        <v>992.7423889</v>
      </c>
      <c r="K79" s="231">
        <f t="shared" si="40"/>
        <v>1045.078654</v>
      </c>
      <c r="L79" s="231">
        <f t="shared" si="40"/>
        <v>1441.54365</v>
      </c>
      <c r="M79" s="231">
        <f t="shared" si="40"/>
        <v>1757.527051</v>
      </c>
      <c r="N79" s="231">
        <f t="shared" si="40"/>
        <v>841.9989127</v>
      </c>
      <c r="O79" s="231">
        <f t="shared" si="40"/>
        <v>899.6408333</v>
      </c>
      <c r="P79" s="231">
        <f t="shared" si="40"/>
        <v>922.2989912</v>
      </c>
      <c r="Q79" s="231">
        <f t="shared" si="40"/>
        <v>790.1978158</v>
      </c>
      <c r="R79" s="231">
        <f t="shared" si="40"/>
        <v>1110.901676</v>
      </c>
      <c r="S79" s="231">
        <f t="shared" si="40"/>
        <v>1311.786132</v>
      </c>
      <c r="T79" s="231">
        <f t="shared" si="40"/>
        <v>1652.169071</v>
      </c>
      <c r="U79" s="231">
        <f t="shared" si="40"/>
        <v>861.8996685</v>
      </c>
      <c r="V79" s="231">
        <f t="shared" si="40"/>
        <v>902.976493</v>
      </c>
      <c r="W79" s="231">
        <f t="shared" si="40"/>
        <v>521.7533878</v>
      </c>
      <c r="X79" s="231">
        <f t="shared" si="40"/>
        <v>762.586715</v>
      </c>
      <c r="Y79" s="231">
        <f t="shared" si="40"/>
        <v>1077.107072</v>
      </c>
      <c r="Z79" s="231">
        <f t="shared" si="40"/>
        <v>1454.823603</v>
      </c>
      <c r="AA79" s="231">
        <f t="shared" si="40"/>
        <v>1876.021799</v>
      </c>
      <c r="AB79" s="231">
        <f t="shared" si="40"/>
        <v>964.4760922</v>
      </c>
      <c r="AC79" s="231">
        <f t="shared" si="40"/>
        <v>885.9963341</v>
      </c>
      <c r="AD79" s="231">
        <f t="shared" si="40"/>
        <v>1042.252689</v>
      </c>
      <c r="AE79" s="231">
        <f t="shared" si="40"/>
        <v>1172.890625</v>
      </c>
      <c r="AF79" s="122">
        <f t="shared" si="39"/>
        <v>31028.30392</v>
      </c>
    </row>
    <row r="80">
      <c r="A80" s="49"/>
      <c r="B80" s="110"/>
      <c r="C80" s="110"/>
      <c r="D80" s="110"/>
      <c r="E80" s="110"/>
      <c r="F80" s="110"/>
      <c r="G80" s="110"/>
      <c r="H80" s="110"/>
      <c r="I80" s="110"/>
      <c r="J80" s="9"/>
      <c r="K80" s="9"/>
      <c r="L80" s="9"/>
      <c r="M80" s="9"/>
      <c r="N80" s="9"/>
      <c r="O80" s="9"/>
      <c r="P80" s="9"/>
      <c r="Q80" s="9"/>
      <c r="R80" s="9"/>
      <c r="S80" s="9"/>
      <c r="T80" s="9"/>
      <c r="U80" s="9"/>
      <c r="V80" s="9"/>
      <c r="W80" s="9"/>
      <c r="X80" s="9"/>
      <c r="Y80" s="9"/>
      <c r="Z80" s="9"/>
      <c r="AA80" s="9"/>
      <c r="AB80" s="9"/>
      <c r="AC80" s="9"/>
      <c r="AD80" s="9"/>
      <c r="AE80" s="9"/>
      <c r="AF80" s="9"/>
    </row>
    <row r="81">
      <c r="A81" s="4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row>
    <row r="82">
      <c r="A82" s="233" t="s">
        <v>118</v>
      </c>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row>
    <row r="83">
      <c r="A83" s="234">
        <f>SUM(B11:AE11)</f>
        <v>44392.24847</v>
      </c>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row>
    <row r="84">
      <c r="A84" s="233" t="s">
        <v>300</v>
      </c>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row>
    <row r="85">
      <c r="A85" s="234">
        <f>SUM(B79:AE79)</f>
        <v>31028.30392</v>
      </c>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row>
    <row r="86">
      <c r="A86" s="233" t="s">
        <v>304</v>
      </c>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row>
    <row r="87">
      <c r="A87" s="238">
        <f>A85/A83</f>
        <v>0.6989577008</v>
      </c>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row>
    <row r="89">
      <c r="A89" s="185" t="s">
        <v>307</v>
      </c>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c r="AB89" s="183"/>
      <c r="AC89" s="183"/>
      <c r="AD89" s="183"/>
      <c r="AE89" s="183"/>
      <c r="AF89" s="183"/>
    </row>
    <row r="90">
      <c r="A90" s="183" t="s">
        <v>95</v>
      </c>
      <c r="B90" s="183">
        <f t="shared" ref="B90:AE90" si="41">B8-B65-B66</f>
        <v>84.677</v>
      </c>
      <c r="C90" s="183">
        <f t="shared" si="41"/>
        <v>140.998</v>
      </c>
      <c r="D90" s="183">
        <f t="shared" si="41"/>
        <v>60.469</v>
      </c>
      <c r="E90" s="183">
        <f t="shared" si="41"/>
        <v>349.6205</v>
      </c>
      <c r="F90" s="183">
        <f t="shared" si="41"/>
        <v>241.919</v>
      </c>
      <c r="G90" s="183">
        <f t="shared" si="41"/>
        <v>57.6675</v>
      </c>
      <c r="H90" s="183">
        <f t="shared" si="41"/>
        <v>152.232</v>
      </c>
      <c r="I90" s="183">
        <f t="shared" si="41"/>
        <v>254.7435</v>
      </c>
      <c r="J90" s="183">
        <f t="shared" si="41"/>
        <v>269.949</v>
      </c>
      <c r="K90" s="183">
        <f t="shared" si="41"/>
        <v>229.166</v>
      </c>
      <c r="L90" s="183">
        <f t="shared" si="41"/>
        <v>352.5375</v>
      </c>
      <c r="M90" s="183">
        <f t="shared" si="41"/>
        <v>327.3315</v>
      </c>
      <c r="N90" s="183">
        <f t="shared" si="41"/>
        <v>291.0805</v>
      </c>
      <c r="O90" s="183">
        <f t="shared" si="41"/>
        <v>292.367</v>
      </c>
      <c r="P90" s="183">
        <f t="shared" si="41"/>
        <v>216.5385</v>
      </c>
      <c r="Q90" s="183">
        <f t="shared" si="41"/>
        <v>133.258</v>
      </c>
      <c r="R90" s="183">
        <f t="shared" si="41"/>
        <v>243.0455</v>
      </c>
      <c r="S90" s="183">
        <f t="shared" si="41"/>
        <v>322.1325</v>
      </c>
      <c r="T90" s="183">
        <f t="shared" si="41"/>
        <v>461.412</v>
      </c>
      <c r="U90" s="183">
        <f t="shared" si="41"/>
        <v>196.1465</v>
      </c>
      <c r="V90" s="183">
        <f t="shared" si="41"/>
        <v>283.161</v>
      </c>
      <c r="W90" s="183">
        <f t="shared" si="41"/>
        <v>135.495</v>
      </c>
      <c r="X90" s="183">
        <f t="shared" si="41"/>
        <v>136.6635</v>
      </c>
      <c r="Y90" s="183">
        <f t="shared" si="41"/>
        <v>272.838</v>
      </c>
      <c r="Z90" s="183">
        <f t="shared" si="41"/>
        <v>413.1975</v>
      </c>
      <c r="AA90" s="183">
        <f t="shared" si="41"/>
        <v>629.359</v>
      </c>
      <c r="AB90" s="183">
        <f t="shared" si="41"/>
        <v>326.826</v>
      </c>
      <c r="AC90" s="183">
        <f t="shared" si="41"/>
        <v>171.634</v>
      </c>
      <c r="AD90" s="183">
        <f t="shared" si="41"/>
        <v>295.1415</v>
      </c>
      <c r="AE90" s="183">
        <f t="shared" si="41"/>
        <v>158.926</v>
      </c>
      <c r="AF90" s="183"/>
    </row>
    <row r="91">
      <c r="A91" s="183" t="s">
        <v>315</v>
      </c>
      <c r="B91" s="183">
        <f t="shared" ref="B91:AE91" si="42">B5-B63-B64</f>
        <v>339.7382059</v>
      </c>
      <c r="C91" s="183">
        <f t="shared" si="42"/>
        <v>558.3012557</v>
      </c>
      <c r="D91" s="183">
        <f t="shared" si="42"/>
        <v>504.6811045</v>
      </c>
      <c r="E91" s="183">
        <f t="shared" si="42"/>
        <v>1171.756405</v>
      </c>
      <c r="F91" s="183">
        <f t="shared" si="42"/>
        <v>1080.935312</v>
      </c>
      <c r="G91" s="183">
        <f t="shared" si="42"/>
        <v>715.339538</v>
      </c>
      <c r="H91" s="183">
        <f t="shared" si="42"/>
        <v>540.2165514</v>
      </c>
      <c r="I91" s="183">
        <f t="shared" si="42"/>
        <v>688.2393969</v>
      </c>
      <c r="J91" s="183">
        <f t="shared" si="42"/>
        <v>743.6833889</v>
      </c>
      <c r="K91" s="183">
        <f t="shared" si="42"/>
        <v>855.6526541</v>
      </c>
      <c r="L91" s="183">
        <f t="shared" si="42"/>
        <v>1128.82615</v>
      </c>
      <c r="M91" s="183">
        <f t="shared" si="42"/>
        <v>1502.735551</v>
      </c>
      <c r="N91" s="183">
        <f t="shared" si="42"/>
        <v>581.3684127</v>
      </c>
      <c r="O91" s="183">
        <f t="shared" si="42"/>
        <v>623.1038333</v>
      </c>
      <c r="P91" s="183">
        <f t="shared" si="42"/>
        <v>724.6304912</v>
      </c>
      <c r="Q91" s="183">
        <f t="shared" si="42"/>
        <v>701.8698158</v>
      </c>
      <c r="R91" s="183">
        <f t="shared" si="42"/>
        <v>880.2661757</v>
      </c>
      <c r="S91" s="183">
        <f t="shared" si="42"/>
        <v>1006.083632</v>
      </c>
      <c r="T91" s="183">
        <f t="shared" si="42"/>
        <v>1208.967071</v>
      </c>
      <c r="U91" s="183">
        <f t="shared" si="42"/>
        <v>684.6731685</v>
      </c>
      <c r="V91" s="183">
        <f t="shared" si="42"/>
        <v>640.395493</v>
      </c>
      <c r="W91" s="183">
        <f t="shared" si="42"/>
        <v>400.8583878</v>
      </c>
      <c r="X91" s="183">
        <f t="shared" si="42"/>
        <v>640.213215</v>
      </c>
      <c r="Y91" s="183">
        <f t="shared" si="42"/>
        <v>825.5590724</v>
      </c>
      <c r="Z91" s="183">
        <f t="shared" si="42"/>
        <v>1067.636103</v>
      </c>
      <c r="AA91" s="183">
        <f t="shared" si="42"/>
        <v>1269.466306</v>
      </c>
      <c r="AB91" s="183">
        <f t="shared" si="42"/>
        <v>639.4500922</v>
      </c>
      <c r="AC91" s="183">
        <f t="shared" si="42"/>
        <v>715.9623341</v>
      </c>
      <c r="AD91" s="183">
        <f t="shared" si="42"/>
        <v>757.491189</v>
      </c>
      <c r="AE91" s="183">
        <f t="shared" si="42"/>
        <v>1058.678625</v>
      </c>
      <c r="AF91" s="183"/>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6.88"/>
  </cols>
  <sheetData>
    <row r="1">
      <c r="A1" s="424" t="s">
        <v>117</v>
      </c>
      <c r="B1" s="4">
        <v>45231.0</v>
      </c>
      <c r="C1" s="4">
        <v>45232.0</v>
      </c>
      <c r="D1" s="4">
        <v>45233.0</v>
      </c>
      <c r="E1" s="4">
        <v>45234.0</v>
      </c>
      <c r="F1" s="4">
        <v>45235.0</v>
      </c>
      <c r="G1" s="4">
        <v>45236.0</v>
      </c>
      <c r="H1" s="4">
        <v>45237.0</v>
      </c>
      <c r="I1" s="4">
        <v>45238.0</v>
      </c>
      <c r="J1" s="4">
        <v>45239.0</v>
      </c>
      <c r="K1" s="4">
        <v>45240.0</v>
      </c>
      <c r="L1" s="4">
        <v>45241.0</v>
      </c>
      <c r="M1" s="4">
        <v>45242.0</v>
      </c>
      <c r="N1" s="4">
        <v>45243.0</v>
      </c>
      <c r="O1" s="4">
        <v>45244.0</v>
      </c>
      <c r="P1" s="4">
        <v>45245.0</v>
      </c>
      <c r="Q1" s="4">
        <v>45246.0</v>
      </c>
      <c r="R1" s="4">
        <v>45247.0</v>
      </c>
      <c r="S1" s="4">
        <v>45248.0</v>
      </c>
      <c r="T1" s="4">
        <v>45249.0</v>
      </c>
      <c r="U1" s="4">
        <v>45250.0</v>
      </c>
      <c r="V1" s="4">
        <v>45251.0</v>
      </c>
      <c r="W1" s="4">
        <v>45252.0</v>
      </c>
      <c r="X1" s="4">
        <v>45253.0</v>
      </c>
      <c r="Y1" s="4">
        <v>45254.0</v>
      </c>
      <c r="Z1" s="4">
        <v>45255.0</v>
      </c>
      <c r="AA1" s="4">
        <v>45256.0</v>
      </c>
      <c r="AB1" s="4">
        <v>45257.0</v>
      </c>
      <c r="AC1" s="4">
        <v>45258.0</v>
      </c>
      <c r="AD1" s="4">
        <v>45259.0</v>
      </c>
      <c r="AE1" s="425">
        <v>45321.0</v>
      </c>
      <c r="AF1" s="6"/>
    </row>
    <row r="2">
      <c r="A2" s="7" t="s">
        <v>43</v>
      </c>
      <c r="B2" s="426" t="s">
        <v>49</v>
      </c>
      <c r="C2" s="426" t="s">
        <v>50</v>
      </c>
      <c r="D2" s="426" t="s">
        <v>44</v>
      </c>
      <c r="E2" s="426" t="s">
        <v>45</v>
      </c>
      <c r="F2" s="426" t="s">
        <v>46</v>
      </c>
      <c r="G2" s="426" t="s">
        <v>47</v>
      </c>
      <c r="H2" s="426" t="s">
        <v>48</v>
      </c>
      <c r="I2" s="426" t="s">
        <v>49</v>
      </c>
      <c r="J2" s="426" t="s">
        <v>50</v>
      </c>
      <c r="K2" s="426" t="s">
        <v>44</v>
      </c>
      <c r="L2" s="426" t="s">
        <v>45</v>
      </c>
      <c r="M2" s="426" t="s">
        <v>46</v>
      </c>
      <c r="N2" s="426" t="s">
        <v>47</v>
      </c>
      <c r="O2" s="426" t="s">
        <v>48</v>
      </c>
      <c r="P2" s="426" t="s">
        <v>49</v>
      </c>
      <c r="Q2" s="426" t="s">
        <v>50</v>
      </c>
      <c r="R2" s="426" t="s">
        <v>44</v>
      </c>
      <c r="S2" s="426" t="s">
        <v>45</v>
      </c>
      <c r="T2" s="426" t="s">
        <v>46</v>
      </c>
      <c r="U2" s="426" t="s">
        <v>47</v>
      </c>
      <c r="V2" s="426" t="s">
        <v>48</v>
      </c>
      <c r="W2" s="426" t="s">
        <v>49</v>
      </c>
      <c r="X2" s="426" t="s">
        <v>50</v>
      </c>
      <c r="Y2" s="426" t="s">
        <v>44</v>
      </c>
      <c r="Z2" s="426" t="s">
        <v>45</v>
      </c>
      <c r="AA2" s="426" t="s">
        <v>46</v>
      </c>
      <c r="AB2" s="426" t="s">
        <v>47</v>
      </c>
      <c r="AC2" s="426" t="s">
        <v>48</v>
      </c>
      <c r="AD2" s="426" t="s">
        <v>49</v>
      </c>
      <c r="AE2" s="426" t="s">
        <v>50</v>
      </c>
      <c r="AF2" s="6"/>
    </row>
    <row r="3">
      <c r="A3" s="427" t="s">
        <v>568</v>
      </c>
      <c r="B3" s="337"/>
      <c r="C3" s="337"/>
      <c r="D3" s="337"/>
      <c r="E3" s="337"/>
      <c r="F3" s="337"/>
      <c r="G3" s="337"/>
      <c r="H3" s="337"/>
      <c r="I3" s="337"/>
      <c r="J3" s="337"/>
      <c r="K3" s="337"/>
      <c r="L3" s="337"/>
      <c r="M3" s="337"/>
      <c r="N3" s="337"/>
      <c r="O3" s="337"/>
      <c r="P3" s="337"/>
      <c r="Q3" s="337"/>
      <c r="R3" s="337"/>
      <c r="S3" s="337"/>
      <c r="T3" s="337"/>
      <c r="U3" s="337"/>
      <c r="V3" s="337"/>
      <c r="W3" s="337"/>
      <c r="X3" s="337"/>
      <c r="Y3" s="337"/>
      <c r="Z3" s="337"/>
      <c r="AA3" s="337"/>
      <c r="AB3" s="337"/>
      <c r="AC3" s="337"/>
      <c r="AD3" s="337"/>
      <c r="AE3" s="428"/>
      <c r="AF3" s="137"/>
    </row>
    <row r="4">
      <c r="A4" s="162" t="s">
        <v>105</v>
      </c>
      <c r="B4" s="66">
        <f>Summary!B22</f>
        <v>211.2186</v>
      </c>
      <c r="C4" s="66">
        <f>Summary!C22</f>
        <v>0</v>
      </c>
      <c r="D4" s="66">
        <f>Summary!D22</f>
        <v>0</v>
      </c>
      <c r="E4" s="66">
        <f>Summary!E22</f>
        <v>21715.50102</v>
      </c>
      <c r="F4" s="66">
        <f>Summary!F22</f>
        <v>10825.90851</v>
      </c>
      <c r="G4" s="66">
        <f>Summary!G22</f>
        <v>47060.8839</v>
      </c>
      <c r="H4" s="66">
        <f>Summary!H22</f>
        <v>6559.229106</v>
      </c>
      <c r="I4" s="66">
        <f>Summary!I22</f>
        <v>254.725386</v>
      </c>
      <c r="J4" s="66">
        <f>Summary!J22</f>
        <v>2802.000474</v>
      </c>
      <c r="K4" s="66">
        <f>Summary!K22</f>
        <v>955.228158</v>
      </c>
      <c r="L4" s="66">
        <f>Summary!L22</f>
        <v>955.228158</v>
      </c>
      <c r="M4" s="66">
        <f>Summary!M22</f>
        <v>1273.637544</v>
      </c>
      <c r="N4" s="66">
        <f>Summary!N22</f>
        <v>1273.637544</v>
      </c>
      <c r="O4" s="66">
        <f>Summary!O22</f>
        <v>318.409386</v>
      </c>
      <c r="P4" s="66">
        <f>Summary!P22</f>
        <v>2101.497702</v>
      </c>
      <c r="Q4" s="66">
        <f>Summary!Q22</f>
        <v>11080.64451</v>
      </c>
      <c r="R4" s="66">
        <f>Summary!R22</f>
        <v>1846.772316</v>
      </c>
      <c r="S4" s="66">
        <f>Summary!S22</f>
        <v>2228.865702</v>
      </c>
      <c r="T4" s="66">
        <f>Summary!T22</f>
        <v>2228.865702</v>
      </c>
      <c r="U4" s="66">
        <f>Summary!U22</f>
        <v>2483.591088</v>
      </c>
      <c r="V4" s="66">
        <f>Summary!V22</f>
        <v>2547.275088</v>
      </c>
      <c r="W4" s="66">
        <f>Summary!W22</f>
        <v>2547.275088</v>
      </c>
      <c r="X4" s="66">
        <f>Summary!X22</f>
        <v>4648.77279</v>
      </c>
      <c r="Y4" s="66">
        <f>Summary!Y22</f>
        <v>5540.316948</v>
      </c>
      <c r="Z4" s="66">
        <f>Summary!Z22</f>
        <v>891.544158</v>
      </c>
      <c r="AA4" s="66">
        <f>Summary!AA22</f>
        <v>16111.50007</v>
      </c>
      <c r="AB4" s="66">
        <f>Summary!AB22</f>
        <v>27255.82858</v>
      </c>
      <c r="AC4" s="66">
        <f>Summary!AC22</f>
        <v>10380.14174</v>
      </c>
      <c r="AD4" s="66">
        <f>Summary!AD22</f>
        <v>1209.953544</v>
      </c>
      <c r="AE4" s="66">
        <f>Summary!AE22</f>
        <v>891.544158</v>
      </c>
      <c r="AF4" s="125">
        <f>sum(B4:AE4)</f>
        <v>188199.997</v>
      </c>
    </row>
    <row r="5" outlineLevel="1">
      <c r="A5" s="380" t="s">
        <v>213</v>
      </c>
      <c r="B5" s="429"/>
      <c r="C5" s="429"/>
      <c r="D5" s="429"/>
      <c r="E5" s="429"/>
      <c r="F5" s="429"/>
      <c r="G5" s="429"/>
      <c r="H5" s="429"/>
      <c r="I5" s="429"/>
      <c r="J5" s="429"/>
      <c r="K5" s="429"/>
      <c r="L5" s="429"/>
      <c r="M5" s="429"/>
      <c r="N5" s="429"/>
      <c r="O5" s="429"/>
      <c r="P5" s="429"/>
      <c r="Q5" s="429"/>
      <c r="R5" s="429"/>
      <c r="S5" s="429"/>
      <c r="T5" s="429"/>
      <c r="U5" s="429"/>
      <c r="V5" s="429"/>
      <c r="W5" s="429"/>
      <c r="X5" s="429"/>
      <c r="Y5" s="429"/>
      <c r="Z5" s="429"/>
      <c r="AA5" s="429"/>
      <c r="AB5" s="429"/>
      <c r="AC5" s="429"/>
      <c r="AD5" s="429"/>
      <c r="AE5" s="429"/>
      <c r="AF5" s="137"/>
    </row>
    <row r="6" outlineLevel="1">
      <c r="A6" s="106" t="s">
        <v>157</v>
      </c>
      <c r="B6" s="66">
        <f>Summary!B24</f>
        <v>12.2186</v>
      </c>
      <c r="C6" s="66">
        <f>Summary!C24</f>
        <v>0</v>
      </c>
      <c r="D6" s="66">
        <f>Summary!D24</f>
        <v>0</v>
      </c>
      <c r="E6" s="66">
        <f>Summary!E24</f>
        <v>1256.20102</v>
      </c>
      <c r="F6" s="66">
        <f>Summary!F24</f>
        <v>626.25851</v>
      </c>
      <c r="G6" s="66">
        <f>Summary!G24</f>
        <v>2722.3839</v>
      </c>
      <c r="H6" s="66">
        <f>Summary!H24</f>
        <v>379.439106</v>
      </c>
      <c r="I6" s="66">
        <f>Summary!I24</f>
        <v>14.735386</v>
      </c>
      <c r="J6" s="66">
        <f>Summary!J24</f>
        <v>162.090474</v>
      </c>
      <c r="K6" s="66">
        <f>Summary!K24</f>
        <v>55.258158</v>
      </c>
      <c r="L6" s="66">
        <f>Summary!L24</f>
        <v>55.258158</v>
      </c>
      <c r="M6" s="66">
        <f>Summary!M24</f>
        <v>73.677544</v>
      </c>
      <c r="N6" s="66">
        <f>Summary!N24</f>
        <v>73.677544</v>
      </c>
      <c r="O6" s="66">
        <f>Summary!O24</f>
        <v>18.419386</v>
      </c>
      <c r="P6" s="66">
        <f>Summary!P24</f>
        <v>121.567702</v>
      </c>
      <c r="Q6" s="66">
        <f>Summary!Q24</f>
        <v>640.99451</v>
      </c>
      <c r="R6" s="66">
        <f>Summary!R24</f>
        <v>106.832316</v>
      </c>
      <c r="S6" s="66">
        <f>Summary!S24</f>
        <v>128.935702</v>
      </c>
      <c r="T6" s="66">
        <f>Summary!T24</f>
        <v>128.935702</v>
      </c>
      <c r="U6" s="66">
        <f>Summary!U24</f>
        <v>143.671088</v>
      </c>
      <c r="V6" s="66">
        <f>Summary!V24</f>
        <v>147.355088</v>
      </c>
      <c r="W6" s="66">
        <f>Summary!W24</f>
        <v>147.355088</v>
      </c>
      <c r="X6" s="66">
        <f>Summary!X24</f>
        <v>268.92279</v>
      </c>
      <c r="Y6" s="66">
        <f>Summary!Y24</f>
        <v>320.496948</v>
      </c>
      <c r="Z6" s="66">
        <f>Summary!Z24</f>
        <v>51.574158</v>
      </c>
      <c r="AA6" s="66">
        <f>Summary!AA24</f>
        <v>932.020072</v>
      </c>
      <c r="AB6" s="66">
        <f>Summary!AB24</f>
        <v>1576.698582</v>
      </c>
      <c r="AC6" s="66">
        <f>Summary!AC24</f>
        <v>600.471738</v>
      </c>
      <c r="AD6" s="66">
        <f>Summary!AD24</f>
        <v>69.993544</v>
      </c>
      <c r="AE6" s="66">
        <f>Summary!AE24</f>
        <v>51.574158</v>
      </c>
      <c r="AF6" s="125">
        <f t="shared" ref="AF6:AF8" si="1">sum(B6:AE6)</f>
        <v>10887.01697</v>
      </c>
    </row>
    <row r="7" outlineLevel="1">
      <c r="A7" s="106" t="s">
        <v>570</v>
      </c>
      <c r="B7" s="66" t="str">
        <f>Summary!B25</f>
        <v/>
      </c>
      <c r="C7" s="66" t="str">
        <f>Summary!C25</f>
        <v/>
      </c>
      <c r="D7" s="66" t="str">
        <f>Summary!D25</f>
        <v/>
      </c>
      <c r="E7" s="66" t="str">
        <f>Summary!E25</f>
        <v/>
      </c>
      <c r="F7" s="66" t="str">
        <f>Summary!F25</f>
        <v/>
      </c>
      <c r="G7" s="66" t="str">
        <f>Summary!G25</f>
        <v/>
      </c>
      <c r="H7" s="66" t="str">
        <f>Summary!H25</f>
        <v/>
      </c>
      <c r="I7" s="66" t="str">
        <f>Summary!I25</f>
        <v/>
      </c>
      <c r="J7" s="66" t="str">
        <f>Summary!J25</f>
        <v/>
      </c>
      <c r="K7" s="66" t="str">
        <f>Summary!K25</f>
        <v/>
      </c>
      <c r="L7" s="66" t="str">
        <f>Summary!L25</f>
        <v/>
      </c>
      <c r="M7" s="66" t="str">
        <f>Summary!M25</f>
        <v/>
      </c>
      <c r="N7" s="66" t="str">
        <f>Summary!N25</f>
        <v/>
      </c>
      <c r="O7" s="66" t="str">
        <f>Summary!O25</f>
        <v/>
      </c>
      <c r="P7" s="66" t="str">
        <f>Summary!P25</f>
        <v/>
      </c>
      <c r="Q7" s="66" t="str">
        <f>Summary!Q25</f>
        <v/>
      </c>
      <c r="R7" s="66" t="str">
        <f>Summary!R25</f>
        <v/>
      </c>
      <c r="S7" s="66" t="str">
        <f>Summary!S25</f>
        <v/>
      </c>
      <c r="T7" s="66" t="str">
        <f>Summary!T25</f>
        <v/>
      </c>
      <c r="U7" s="66" t="str">
        <f>Summary!U25</f>
        <v/>
      </c>
      <c r="V7" s="66" t="str">
        <f>Summary!V25</f>
        <v/>
      </c>
      <c r="W7" s="66" t="str">
        <f>Summary!W25</f>
        <v/>
      </c>
      <c r="X7" s="66" t="str">
        <f>Summary!X25</f>
        <v/>
      </c>
      <c r="Y7" s="66" t="str">
        <f>Summary!Y25</f>
        <v/>
      </c>
      <c r="Z7" s="66" t="str">
        <f>Summary!Z25</f>
        <v/>
      </c>
      <c r="AA7" s="66" t="str">
        <f>Summary!AA25</f>
        <v/>
      </c>
      <c r="AB7" s="66" t="str">
        <f>Summary!AB25</f>
        <v/>
      </c>
      <c r="AC7" s="66" t="str">
        <f>Summary!AC25</f>
        <v/>
      </c>
      <c r="AD7" s="66" t="str">
        <f>Summary!AD25</f>
        <v/>
      </c>
      <c r="AE7" s="66" t="str">
        <f>Summary!AE25</f>
        <v/>
      </c>
      <c r="AF7" s="125">
        <f t="shared" si="1"/>
        <v>0</v>
      </c>
    </row>
    <row r="8">
      <c r="A8" s="162" t="s">
        <v>66</v>
      </c>
      <c r="B8" s="99" t="str">
        <f>Summary!B58</f>
        <v/>
      </c>
      <c r="C8" s="99" t="str">
        <f>Summary!C58</f>
        <v/>
      </c>
      <c r="D8" s="99" t="str">
        <f>Summary!D58</f>
        <v/>
      </c>
      <c r="E8" s="99" t="str">
        <f>Summary!E58</f>
        <v/>
      </c>
      <c r="F8" s="99" t="str">
        <f>Summary!F58</f>
        <v/>
      </c>
      <c r="G8" s="99" t="str">
        <f>Summary!G58</f>
        <v/>
      </c>
      <c r="H8" s="99" t="str">
        <f>Summary!H58</f>
        <v/>
      </c>
      <c r="I8" s="99" t="str">
        <f>Summary!I58</f>
        <v/>
      </c>
      <c r="J8" s="99" t="str">
        <f>Summary!J58</f>
        <v/>
      </c>
      <c r="K8" s="99" t="str">
        <f>Summary!K58</f>
        <v/>
      </c>
      <c r="L8" s="99" t="str">
        <f>Summary!L58</f>
        <v/>
      </c>
      <c r="M8" s="99" t="str">
        <f>Summary!M58</f>
        <v/>
      </c>
      <c r="N8" s="99" t="str">
        <f>Summary!N58</f>
        <v/>
      </c>
      <c r="O8" s="99" t="str">
        <f>Summary!O58</f>
        <v/>
      </c>
      <c r="P8" s="99" t="str">
        <f>Summary!P58</f>
        <v/>
      </c>
      <c r="Q8" s="99" t="str">
        <f>Summary!Q58</f>
        <v/>
      </c>
      <c r="R8" s="99" t="str">
        <f>Summary!R58</f>
        <v/>
      </c>
      <c r="S8" s="99" t="str">
        <f>Summary!S58</f>
        <v/>
      </c>
      <c r="T8" s="99" t="str">
        <f>Summary!T58</f>
        <v/>
      </c>
      <c r="U8" s="99" t="str">
        <f>Summary!U58</f>
        <v/>
      </c>
      <c r="V8" s="99" t="str">
        <f>Summary!V58</f>
        <v/>
      </c>
      <c r="W8" s="99" t="str">
        <f>Summary!W58</f>
        <v/>
      </c>
      <c r="X8" s="99" t="str">
        <f>Summary!X58</f>
        <v/>
      </c>
      <c r="Y8" s="172" t="str">
        <f>Summary!Y58</f>
        <v/>
      </c>
      <c r="Z8" s="172" t="str">
        <f>Summary!Z58</f>
        <v/>
      </c>
      <c r="AA8" s="172" t="str">
        <f>Summary!AA58</f>
        <v/>
      </c>
      <c r="AB8" s="99" t="str">
        <f>Summary!AB58</f>
        <v/>
      </c>
      <c r="AC8" s="99" t="str">
        <f>Summary!AC58</f>
        <v/>
      </c>
      <c r="AD8" s="99" t="str">
        <f>Summary!AD58</f>
        <v/>
      </c>
      <c r="AE8" s="74" t="str">
        <f>Summary!AE58</f>
        <v/>
      </c>
      <c r="AF8" s="125">
        <f t="shared" si="1"/>
        <v>0</v>
      </c>
    </row>
    <row r="9">
      <c r="A9" s="4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6"/>
    </row>
    <row r="10">
      <c r="A10" s="117" t="s">
        <v>571</v>
      </c>
      <c r="B10" s="55">
        <f>Summary!B89</f>
        <v>42.24372</v>
      </c>
      <c r="C10" s="55">
        <f>Summary!C89</f>
        <v>0</v>
      </c>
      <c r="D10" s="55">
        <f>Summary!D89</f>
        <v>0</v>
      </c>
      <c r="E10" s="55">
        <f>Summary!E89</f>
        <v>4343.100204</v>
      </c>
      <c r="F10" s="55">
        <f>Summary!F89</f>
        <v>2165.181702</v>
      </c>
      <c r="G10" s="55">
        <f>Summary!G89</f>
        <v>9412.17678</v>
      </c>
      <c r="H10" s="55">
        <f>Summary!H89</f>
        <v>1311.845821</v>
      </c>
      <c r="I10" s="55">
        <f>Summary!I89</f>
        <v>50.9450772</v>
      </c>
      <c r="J10" s="55">
        <f>Summary!J89</f>
        <v>560.4000948</v>
      </c>
      <c r="K10" s="55">
        <f>Summary!K89</f>
        <v>191.0456316</v>
      </c>
      <c r="L10" s="55">
        <f>Summary!L89</f>
        <v>191.0456316</v>
      </c>
      <c r="M10" s="55">
        <f>Summary!M89</f>
        <v>254.7275088</v>
      </c>
      <c r="N10" s="55">
        <f>Summary!N89</f>
        <v>254.7275088</v>
      </c>
      <c r="O10" s="55">
        <f>Summary!O89</f>
        <v>63.6818772</v>
      </c>
      <c r="P10" s="55">
        <f>Summary!P89</f>
        <v>420.2995404</v>
      </c>
      <c r="Q10" s="55">
        <f>Summary!Q89</f>
        <v>2216.128902</v>
      </c>
      <c r="R10" s="55">
        <f>Summary!R89</f>
        <v>369.3544632</v>
      </c>
      <c r="S10" s="55">
        <f>Summary!S89</f>
        <v>445.7731404</v>
      </c>
      <c r="T10" s="55">
        <f>Summary!T89</f>
        <v>445.7731404</v>
      </c>
      <c r="U10" s="55">
        <f>Summary!U89</f>
        <v>496.7182176</v>
      </c>
      <c r="V10" s="55">
        <f>Summary!V89</f>
        <v>509.4550176</v>
      </c>
      <c r="W10" s="55">
        <f>Summary!W89</f>
        <v>509.4550176</v>
      </c>
      <c r="X10" s="55">
        <f>Summary!X89</f>
        <v>929.754558</v>
      </c>
      <c r="Y10" s="55">
        <f>Summary!Y89</f>
        <v>1108.06339</v>
      </c>
      <c r="Z10" s="55">
        <f>Summary!Z89</f>
        <v>178.3088316</v>
      </c>
      <c r="AA10" s="55">
        <f>Summary!AA89</f>
        <v>3222.300014</v>
      </c>
      <c r="AB10" s="55">
        <f>Summary!AB89</f>
        <v>5451.165716</v>
      </c>
      <c r="AC10" s="55">
        <f>Summary!AC89</f>
        <v>2076.028348</v>
      </c>
      <c r="AD10" s="55">
        <f>Summary!AD89</f>
        <v>241.9907088</v>
      </c>
      <c r="AE10" s="55">
        <f>Summary!AE89</f>
        <v>178.3088316</v>
      </c>
      <c r="AF10" s="6"/>
    </row>
    <row r="11">
      <c r="A11" s="4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6"/>
    </row>
    <row r="12">
      <c r="A12" s="75" t="s">
        <v>573</v>
      </c>
      <c r="B12" s="110"/>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74"/>
      <c r="AF12" s="137"/>
    </row>
    <row r="13">
      <c r="A13" s="76" t="s">
        <v>574</v>
      </c>
      <c r="B13" s="119">
        <v>1.0</v>
      </c>
      <c r="C13" s="119">
        <v>0.0</v>
      </c>
      <c r="D13" s="119">
        <v>0.0</v>
      </c>
      <c r="E13" s="119">
        <v>7.0</v>
      </c>
      <c r="F13" s="119">
        <v>5.0</v>
      </c>
      <c r="G13" s="119">
        <v>6.0</v>
      </c>
      <c r="H13" s="119">
        <v>2.0</v>
      </c>
      <c r="I13" s="119">
        <v>1.0</v>
      </c>
      <c r="J13" s="119">
        <v>1.0</v>
      </c>
      <c r="K13" s="119">
        <v>0.0</v>
      </c>
      <c r="L13" s="119">
        <v>0.0</v>
      </c>
      <c r="M13" s="119">
        <v>0.0</v>
      </c>
      <c r="N13" s="119">
        <v>0.0</v>
      </c>
      <c r="O13" s="119">
        <v>0.0</v>
      </c>
      <c r="P13" s="119">
        <v>2.0</v>
      </c>
      <c r="Q13" s="119">
        <v>1.0</v>
      </c>
      <c r="R13" s="119">
        <v>0.0</v>
      </c>
      <c r="S13" s="119">
        <v>0.0</v>
      </c>
      <c r="T13" s="119">
        <v>0.0</v>
      </c>
      <c r="U13" s="119">
        <v>1.0</v>
      </c>
      <c r="V13" s="119">
        <v>0.0</v>
      </c>
      <c r="W13" s="119">
        <v>0.0</v>
      </c>
      <c r="X13" s="119">
        <v>2.0</v>
      </c>
      <c r="Y13" s="119">
        <v>2.0</v>
      </c>
      <c r="Z13" s="119">
        <v>1.0</v>
      </c>
      <c r="AA13" s="119">
        <v>4.0</v>
      </c>
      <c r="AB13" s="119">
        <v>5.0</v>
      </c>
      <c r="AC13" s="119">
        <v>1.0</v>
      </c>
      <c r="AD13" s="119">
        <v>1.0</v>
      </c>
      <c r="AE13" s="121">
        <v>1.0</v>
      </c>
      <c r="AF13" s="116">
        <f t="shared" ref="AF13:AF17" si="2">sum(B13:AE13)</f>
        <v>44</v>
      </c>
    </row>
    <row r="14">
      <c r="A14" s="76" t="s">
        <v>575</v>
      </c>
      <c r="B14" s="119">
        <v>0.0</v>
      </c>
      <c r="C14" s="119">
        <v>0.0</v>
      </c>
      <c r="D14" s="119">
        <v>0.0</v>
      </c>
      <c r="E14" s="119">
        <v>3.0</v>
      </c>
      <c r="F14" s="119">
        <v>0.0</v>
      </c>
      <c r="G14" s="119">
        <v>5.0</v>
      </c>
      <c r="H14" s="119">
        <v>0.0</v>
      </c>
      <c r="I14" s="119">
        <v>0.0</v>
      </c>
      <c r="J14" s="119">
        <v>0.0</v>
      </c>
      <c r="K14" s="119">
        <v>0.0</v>
      </c>
      <c r="L14" s="119">
        <v>0.0</v>
      </c>
      <c r="M14" s="119">
        <v>0.0</v>
      </c>
      <c r="N14" s="119">
        <v>0.0</v>
      </c>
      <c r="O14" s="119">
        <v>0.0</v>
      </c>
      <c r="P14" s="119">
        <v>0.0</v>
      </c>
      <c r="Q14" s="119">
        <v>0.0</v>
      </c>
      <c r="R14" s="119">
        <v>1.0</v>
      </c>
      <c r="S14" s="119">
        <v>0.0</v>
      </c>
      <c r="T14" s="119">
        <v>0.0</v>
      </c>
      <c r="U14" s="119">
        <v>0.0</v>
      </c>
      <c r="V14" s="119">
        <v>0.0</v>
      </c>
      <c r="W14" s="119">
        <v>0.0</v>
      </c>
      <c r="X14" s="119">
        <v>0.0</v>
      </c>
      <c r="Y14" s="119">
        <v>1.0</v>
      </c>
      <c r="Z14" s="119">
        <v>0.0</v>
      </c>
      <c r="AA14" s="119">
        <v>3.0</v>
      </c>
      <c r="AB14" s="119">
        <v>2.0</v>
      </c>
      <c r="AC14" s="119">
        <v>1.0</v>
      </c>
      <c r="AD14" s="119">
        <v>0.0</v>
      </c>
      <c r="AE14" s="121">
        <v>0.0</v>
      </c>
      <c r="AF14" s="116">
        <f t="shared" si="2"/>
        <v>16</v>
      </c>
    </row>
    <row r="15">
      <c r="A15" s="76" t="s">
        <v>576</v>
      </c>
      <c r="B15" s="119">
        <v>0.0</v>
      </c>
      <c r="C15" s="119">
        <v>0.0</v>
      </c>
      <c r="D15" s="119">
        <v>0.0</v>
      </c>
      <c r="E15" s="119">
        <v>43.0</v>
      </c>
      <c r="F15" s="119">
        <v>23.0</v>
      </c>
      <c r="G15" s="119">
        <v>101.0</v>
      </c>
      <c r="H15" s="119">
        <v>13.0</v>
      </c>
      <c r="I15" s="119">
        <v>0.0</v>
      </c>
      <c r="J15" s="119">
        <v>9.0</v>
      </c>
      <c r="K15" s="119">
        <v>3.0</v>
      </c>
      <c r="L15" s="119">
        <v>2.0</v>
      </c>
      <c r="M15" s="119">
        <v>2.0</v>
      </c>
      <c r="N15" s="119">
        <v>1.0</v>
      </c>
      <c r="O15" s="119">
        <v>1.0</v>
      </c>
      <c r="P15" s="119">
        <v>2.0</v>
      </c>
      <c r="Q15" s="119">
        <v>27.0</v>
      </c>
      <c r="R15" s="119">
        <v>4.0</v>
      </c>
      <c r="S15" s="119">
        <v>5.0</v>
      </c>
      <c r="T15" s="119">
        <v>6.0</v>
      </c>
      <c r="U15" s="119">
        <v>6.0</v>
      </c>
      <c r="V15" s="119">
        <v>5.0</v>
      </c>
      <c r="W15" s="119">
        <v>5.0</v>
      </c>
      <c r="X15" s="119">
        <v>13.0</v>
      </c>
      <c r="Y15" s="119">
        <v>14.0</v>
      </c>
      <c r="Z15" s="119">
        <v>2.0</v>
      </c>
      <c r="AA15" s="119">
        <v>32.0</v>
      </c>
      <c r="AB15" s="119">
        <v>61.0</v>
      </c>
      <c r="AC15" s="119">
        <v>23.0</v>
      </c>
      <c r="AD15" s="119">
        <v>1.0</v>
      </c>
      <c r="AE15" s="121">
        <v>2.0</v>
      </c>
      <c r="AF15" s="116">
        <f t="shared" si="2"/>
        <v>406</v>
      </c>
    </row>
    <row r="16">
      <c r="A16" s="76" t="s">
        <v>577</v>
      </c>
      <c r="B16" s="119">
        <v>0.0</v>
      </c>
      <c r="C16" s="119">
        <v>0.0</v>
      </c>
      <c r="D16" s="119">
        <v>0.0</v>
      </c>
      <c r="E16" s="119">
        <v>18.0</v>
      </c>
      <c r="F16" s="119">
        <v>8.0</v>
      </c>
      <c r="G16" s="119">
        <v>38.0</v>
      </c>
      <c r="H16" s="119">
        <v>6.0</v>
      </c>
      <c r="I16" s="119">
        <v>0.0</v>
      </c>
      <c r="J16" s="119">
        <v>1.0</v>
      </c>
      <c r="K16" s="119">
        <v>0.0</v>
      </c>
      <c r="L16" s="119">
        <v>1.0</v>
      </c>
      <c r="M16" s="119">
        <v>2.0</v>
      </c>
      <c r="N16" s="119">
        <v>3.0</v>
      </c>
      <c r="O16" s="119">
        <v>0.0</v>
      </c>
      <c r="P16" s="119">
        <v>3.0</v>
      </c>
      <c r="Q16" s="119">
        <v>7.0</v>
      </c>
      <c r="R16" s="119">
        <v>1.0</v>
      </c>
      <c r="S16" s="119">
        <v>2.0</v>
      </c>
      <c r="T16" s="119">
        <v>1.0</v>
      </c>
      <c r="U16" s="119">
        <v>1.0</v>
      </c>
      <c r="V16" s="119">
        <v>3.0</v>
      </c>
      <c r="W16" s="119">
        <v>3.0</v>
      </c>
      <c r="X16" s="119">
        <v>2.0</v>
      </c>
      <c r="Y16" s="119">
        <v>2.0</v>
      </c>
      <c r="Z16" s="119">
        <v>0.0</v>
      </c>
      <c r="AA16" s="119">
        <v>14.0</v>
      </c>
      <c r="AB16" s="119">
        <v>19.0</v>
      </c>
      <c r="AC16" s="119">
        <v>8.0</v>
      </c>
      <c r="AD16" s="119">
        <v>2.0</v>
      </c>
      <c r="AE16" s="121">
        <v>0.0</v>
      </c>
      <c r="AF16" s="116">
        <f t="shared" si="2"/>
        <v>145</v>
      </c>
    </row>
    <row r="17">
      <c r="A17" s="93" t="s">
        <v>148</v>
      </c>
      <c r="B17" s="124">
        <f t="shared" ref="B17:AE17" si="3">SUM(B13:B16)</f>
        <v>1</v>
      </c>
      <c r="C17" s="124">
        <f t="shared" si="3"/>
        <v>0</v>
      </c>
      <c r="D17" s="124">
        <f t="shared" si="3"/>
        <v>0</v>
      </c>
      <c r="E17" s="124">
        <f t="shared" si="3"/>
        <v>71</v>
      </c>
      <c r="F17" s="124">
        <f t="shared" si="3"/>
        <v>36</v>
      </c>
      <c r="G17" s="124">
        <f t="shared" si="3"/>
        <v>150</v>
      </c>
      <c r="H17" s="124">
        <f t="shared" si="3"/>
        <v>21</v>
      </c>
      <c r="I17" s="124">
        <f t="shared" si="3"/>
        <v>1</v>
      </c>
      <c r="J17" s="124">
        <f t="shared" si="3"/>
        <v>11</v>
      </c>
      <c r="K17" s="124">
        <f t="shared" si="3"/>
        <v>3</v>
      </c>
      <c r="L17" s="124">
        <f t="shared" si="3"/>
        <v>3</v>
      </c>
      <c r="M17" s="124">
        <f t="shared" si="3"/>
        <v>4</v>
      </c>
      <c r="N17" s="124">
        <f t="shared" si="3"/>
        <v>4</v>
      </c>
      <c r="O17" s="124">
        <f t="shared" si="3"/>
        <v>1</v>
      </c>
      <c r="P17" s="124">
        <f t="shared" si="3"/>
        <v>7</v>
      </c>
      <c r="Q17" s="124">
        <f t="shared" si="3"/>
        <v>35</v>
      </c>
      <c r="R17" s="124">
        <f t="shared" si="3"/>
        <v>6</v>
      </c>
      <c r="S17" s="124">
        <f t="shared" si="3"/>
        <v>7</v>
      </c>
      <c r="T17" s="124">
        <f t="shared" si="3"/>
        <v>7</v>
      </c>
      <c r="U17" s="124">
        <f t="shared" si="3"/>
        <v>8</v>
      </c>
      <c r="V17" s="124">
        <f t="shared" si="3"/>
        <v>8</v>
      </c>
      <c r="W17" s="124">
        <f t="shared" si="3"/>
        <v>8</v>
      </c>
      <c r="X17" s="124">
        <f t="shared" si="3"/>
        <v>17</v>
      </c>
      <c r="Y17" s="124">
        <f t="shared" si="3"/>
        <v>19</v>
      </c>
      <c r="Z17" s="124">
        <f t="shared" si="3"/>
        <v>3</v>
      </c>
      <c r="AA17" s="124">
        <f t="shared" si="3"/>
        <v>53</v>
      </c>
      <c r="AB17" s="124">
        <f t="shared" si="3"/>
        <v>87</v>
      </c>
      <c r="AC17" s="124">
        <f t="shared" si="3"/>
        <v>33</v>
      </c>
      <c r="AD17" s="124">
        <f t="shared" si="3"/>
        <v>4</v>
      </c>
      <c r="AE17" s="124">
        <f t="shared" si="3"/>
        <v>3</v>
      </c>
      <c r="AF17" s="125">
        <f t="shared" si="2"/>
        <v>611</v>
      </c>
    </row>
    <row r="18">
      <c r="A18" s="49"/>
      <c r="B18" s="110"/>
      <c r="C18" s="110"/>
      <c r="D18" s="110"/>
      <c r="E18" s="110"/>
      <c r="F18" s="110"/>
      <c r="G18" s="110"/>
      <c r="H18" s="110"/>
      <c r="I18" s="110"/>
      <c r="J18" s="9"/>
      <c r="K18" s="9"/>
      <c r="L18" s="9"/>
      <c r="M18" s="9"/>
      <c r="N18" s="9"/>
      <c r="O18" s="9"/>
      <c r="P18" s="9"/>
      <c r="Q18" s="9"/>
      <c r="R18" s="9"/>
      <c r="S18" s="9"/>
      <c r="T18" s="9"/>
      <c r="U18" s="9"/>
      <c r="V18" s="9"/>
      <c r="W18" s="9"/>
      <c r="X18" s="9"/>
      <c r="Y18" s="9"/>
      <c r="Z18" s="9"/>
      <c r="AA18" s="9"/>
      <c r="AB18" s="9"/>
      <c r="AC18" s="9"/>
      <c r="AD18" s="9"/>
      <c r="AE18" s="9"/>
      <c r="AF18" s="6"/>
    </row>
    <row r="19">
      <c r="A19" s="76" t="s">
        <v>150</v>
      </c>
      <c r="B19" s="21">
        <v>0.0</v>
      </c>
      <c r="C19" s="21">
        <v>0.0</v>
      </c>
      <c r="D19" s="21">
        <v>0.0</v>
      </c>
      <c r="E19" s="21">
        <v>0.0</v>
      </c>
      <c r="F19" s="21">
        <v>0.0</v>
      </c>
      <c r="G19" s="21">
        <v>0.0</v>
      </c>
      <c r="H19" s="21">
        <v>0.0</v>
      </c>
      <c r="I19" s="21">
        <v>0.0</v>
      </c>
      <c r="J19" s="21">
        <v>0.0</v>
      </c>
      <c r="K19" s="21">
        <v>0.0</v>
      </c>
      <c r="L19" s="21">
        <v>0.0</v>
      </c>
      <c r="M19" s="21">
        <v>0.0</v>
      </c>
      <c r="N19" s="21">
        <v>0.0</v>
      </c>
      <c r="O19" s="21">
        <v>0.0</v>
      </c>
      <c r="P19" s="21">
        <v>0.0</v>
      </c>
      <c r="Q19" s="21">
        <v>0.0</v>
      </c>
      <c r="R19" s="21">
        <v>0.0</v>
      </c>
      <c r="S19" s="99">
        <v>0.0</v>
      </c>
      <c r="T19" s="99">
        <v>0.0</v>
      </c>
      <c r="U19" s="99">
        <v>0.0</v>
      </c>
      <c r="V19" s="99">
        <v>0.0</v>
      </c>
      <c r="W19" s="99">
        <v>0.0</v>
      </c>
      <c r="X19" s="99">
        <v>0.0</v>
      </c>
      <c r="Y19" s="99">
        <v>0.0</v>
      </c>
      <c r="Z19" s="99">
        <v>0.0</v>
      </c>
      <c r="AA19" s="99">
        <v>0.0</v>
      </c>
      <c r="AB19" s="99">
        <v>0.0</v>
      </c>
      <c r="AC19" s="99">
        <v>0.0</v>
      </c>
      <c r="AD19" s="99">
        <v>0.0</v>
      </c>
      <c r="AE19" s="172">
        <v>0.0</v>
      </c>
      <c r="AF19" s="125">
        <f t="shared" ref="AF19:AF27" si="4">sum(B19:AE19)</f>
        <v>0</v>
      </c>
    </row>
    <row r="20">
      <c r="A20" s="76" t="s">
        <v>151</v>
      </c>
      <c r="B20" s="21">
        <v>0.0</v>
      </c>
      <c r="C20" s="21">
        <v>0.0</v>
      </c>
      <c r="D20" s="21">
        <v>0.0</v>
      </c>
      <c r="E20" s="21">
        <v>0.0</v>
      </c>
      <c r="F20" s="21">
        <v>0.0</v>
      </c>
      <c r="G20" s="21">
        <v>0.0</v>
      </c>
      <c r="H20" s="21">
        <v>0.0</v>
      </c>
      <c r="I20" s="21">
        <v>0.0</v>
      </c>
      <c r="J20" s="21">
        <v>0.0</v>
      </c>
      <c r="K20" s="21">
        <v>0.0</v>
      </c>
      <c r="L20" s="21">
        <v>0.0</v>
      </c>
      <c r="M20" s="21">
        <v>0.0</v>
      </c>
      <c r="N20" s="21">
        <v>0.0</v>
      </c>
      <c r="O20" s="21">
        <v>0.0</v>
      </c>
      <c r="P20" s="21">
        <v>0.0</v>
      </c>
      <c r="Q20" s="21">
        <v>0.0</v>
      </c>
      <c r="R20" s="21">
        <v>0.0</v>
      </c>
      <c r="S20" s="99">
        <v>0.0</v>
      </c>
      <c r="T20" s="99">
        <v>0.0</v>
      </c>
      <c r="U20" s="99">
        <v>0.0</v>
      </c>
      <c r="V20" s="99">
        <v>0.0</v>
      </c>
      <c r="W20" s="99">
        <v>0.0</v>
      </c>
      <c r="X20" s="99">
        <v>0.0</v>
      </c>
      <c r="Y20" s="99">
        <v>0.0</v>
      </c>
      <c r="Z20" s="99">
        <v>0.0</v>
      </c>
      <c r="AA20" s="99">
        <v>0.0</v>
      </c>
      <c r="AB20" s="99">
        <v>0.0</v>
      </c>
      <c r="AC20" s="99">
        <v>0.0</v>
      </c>
      <c r="AD20" s="99">
        <v>0.0</v>
      </c>
      <c r="AE20" s="172">
        <v>0.0</v>
      </c>
      <c r="AF20" s="125">
        <f t="shared" si="4"/>
        <v>0</v>
      </c>
    </row>
    <row r="21">
      <c r="A21" s="76" t="s">
        <v>579</v>
      </c>
      <c r="B21" s="21">
        <v>0.0</v>
      </c>
      <c r="C21" s="21">
        <v>0.0</v>
      </c>
      <c r="D21" s="21">
        <v>0.0</v>
      </c>
      <c r="E21" s="21">
        <v>0.0</v>
      </c>
      <c r="F21" s="21">
        <v>0.0</v>
      </c>
      <c r="G21" s="21">
        <v>0.0</v>
      </c>
      <c r="H21" s="21">
        <v>0.0</v>
      </c>
      <c r="I21" s="21">
        <v>0.0</v>
      </c>
      <c r="J21" s="21">
        <v>0.0</v>
      </c>
      <c r="K21" s="21">
        <v>0.0</v>
      </c>
      <c r="L21" s="21">
        <v>0.0</v>
      </c>
      <c r="M21" s="21">
        <v>0.0</v>
      </c>
      <c r="N21" s="21">
        <v>0.0</v>
      </c>
      <c r="O21" s="21">
        <v>0.0</v>
      </c>
      <c r="P21" s="21">
        <v>0.0</v>
      </c>
      <c r="Q21" s="21">
        <v>0.0</v>
      </c>
      <c r="R21" s="21">
        <v>0.0</v>
      </c>
      <c r="S21" s="99">
        <v>0.0</v>
      </c>
      <c r="T21" s="99">
        <v>0.0</v>
      </c>
      <c r="U21" s="99">
        <v>0.0</v>
      </c>
      <c r="V21" s="99">
        <v>0.0</v>
      </c>
      <c r="W21" s="99">
        <v>0.0</v>
      </c>
      <c r="X21" s="99">
        <v>0.0</v>
      </c>
      <c r="Y21" s="99">
        <v>0.0</v>
      </c>
      <c r="Z21" s="99">
        <v>0.0</v>
      </c>
      <c r="AA21" s="99">
        <v>0.0</v>
      </c>
      <c r="AB21" s="99">
        <v>0.0</v>
      </c>
      <c r="AC21" s="99">
        <v>0.0</v>
      </c>
      <c r="AD21" s="99">
        <v>0.0</v>
      </c>
      <c r="AE21" s="172">
        <v>0.0</v>
      </c>
      <c r="AF21" s="125">
        <f t="shared" si="4"/>
        <v>0</v>
      </c>
    </row>
    <row r="22">
      <c r="A22" s="76" t="s">
        <v>580</v>
      </c>
      <c r="B22" s="99">
        <v>0.0</v>
      </c>
      <c r="C22" s="99">
        <v>0.0</v>
      </c>
      <c r="D22" s="99">
        <v>0.0</v>
      </c>
      <c r="E22" s="99">
        <v>0.0</v>
      </c>
      <c r="F22" s="99">
        <v>0.0</v>
      </c>
      <c r="G22" s="99">
        <v>0.0</v>
      </c>
      <c r="H22" s="99">
        <v>0.0</v>
      </c>
      <c r="I22" s="99">
        <v>0.0</v>
      </c>
      <c r="J22" s="99">
        <v>0.0</v>
      </c>
      <c r="K22" s="99">
        <v>0.0</v>
      </c>
      <c r="L22" s="99">
        <v>0.0</v>
      </c>
      <c r="M22" s="99">
        <v>0.0</v>
      </c>
      <c r="N22" s="99">
        <v>0.0</v>
      </c>
      <c r="O22" s="99">
        <v>0.0</v>
      </c>
      <c r="P22" s="99">
        <v>0.0</v>
      </c>
      <c r="Q22" s="99">
        <v>0.0</v>
      </c>
      <c r="R22" s="99">
        <v>0.0</v>
      </c>
      <c r="S22" s="99">
        <v>0.0</v>
      </c>
      <c r="T22" s="99">
        <v>0.0</v>
      </c>
      <c r="U22" s="99">
        <v>0.0</v>
      </c>
      <c r="V22" s="99">
        <v>0.0</v>
      </c>
      <c r="W22" s="99">
        <v>0.0</v>
      </c>
      <c r="X22" s="99">
        <v>0.0</v>
      </c>
      <c r="Y22" s="99">
        <v>0.0</v>
      </c>
      <c r="Z22" s="99">
        <v>0.0</v>
      </c>
      <c r="AA22" s="99">
        <v>0.0</v>
      </c>
      <c r="AB22" s="99">
        <v>0.0</v>
      </c>
      <c r="AC22" s="99">
        <v>0.0</v>
      </c>
      <c r="AD22" s="99">
        <v>0.0</v>
      </c>
      <c r="AE22" s="172">
        <v>0.0</v>
      </c>
      <c r="AF22" s="125">
        <f t="shared" si="4"/>
        <v>0</v>
      </c>
    </row>
    <row r="23">
      <c r="A23" s="76" t="s">
        <v>581</v>
      </c>
      <c r="B23" s="21">
        <v>0.0</v>
      </c>
      <c r="C23" s="21">
        <v>0.0</v>
      </c>
      <c r="D23" s="21">
        <v>0.0</v>
      </c>
      <c r="E23" s="21">
        <v>0.0</v>
      </c>
      <c r="F23" s="21">
        <v>0.0</v>
      </c>
      <c r="G23" s="21">
        <v>0.0</v>
      </c>
      <c r="H23" s="21">
        <v>0.0</v>
      </c>
      <c r="I23" s="21">
        <v>0.0</v>
      </c>
      <c r="J23" s="21">
        <v>0.0</v>
      </c>
      <c r="K23" s="21">
        <v>0.0</v>
      </c>
      <c r="L23" s="21">
        <v>0.0</v>
      </c>
      <c r="M23" s="21">
        <v>0.0</v>
      </c>
      <c r="N23" s="21">
        <v>0.0</v>
      </c>
      <c r="O23" s="21">
        <v>0.0</v>
      </c>
      <c r="P23" s="21">
        <v>0.0</v>
      </c>
      <c r="Q23" s="21">
        <v>0.0</v>
      </c>
      <c r="R23" s="21">
        <v>0.0</v>
      </c>
      <c r="S23" s="99">
        <v>0.0</v>
      </c>
      <c r="T23" s="99">
        <v>0.0</v>
      </c>
      <c r="U23" s="99">
        <v>0.0</v>
      </c>
      <c r="V23" s="99">
        <v>0.0</v>
      </c>
      <c r="W23" s="99">
        <v>0.0</v>
      </c>
      <c r="X23" s="99">
        <v>0.0</v>
      </c>
      <c r="Y23" s="99">
        <v>0.0</v>
      </c>
      <c r="Z23" s="99">
        <v>0.0</v>
      </c>
      <c r="AA23" s="99">
        <v>0.0</v>
      </c>
      <c r="AB23" s="99">
        <v>0.0</v>
      </c>
      <c r="AC23" s="99">
        <v>0.0</v>
      </c>
      <c r="AD23" s="99">
        <v>0.0</v>
      </c>
      <c r="AE23" s="172">
        <v>0.0</v>
      </c>
      <c r="AF23" s="125">
        <f t="shared" si="4"/>
        <v>0</v>
      </c>
    </row>
    <row r="24">
      <c r="A24" s="76" t="s">
        <v>582</v>
      </c>
      <c r="B24" s="99">
        <v>0.0</v>
      </c>
      <c r="C24" s="99">
        <v>0.0</v>
      </c>
      <c r="D24" s="99">
        <v>0.0</v>
      </c>
      <c r="E24" s="99">
        <v>0.0</v>
      </c>
      <c r="F24" s="99">
        <v>0.0</v>
      </c>
      <c r="G24" s="99">
        <v>0.0</v>
      </c>
      <c r="H24" s="99">
        <v>0.0</v>
      </c>
      <c r="I24" s="99">
        <v>0.0</v>
      </c>
      <c r="J24" s="99">
        <v>0.0</v>
      </c>
      <c r="K24" s="99">
        <v>0.0</v>
      </c>
      <c r="L24" s="99">
        <v>0.0</v>
      </c>
      <c r="M24" s="99">
        <v>0.0</v>
      </c>
      <c r="N24" s="99">
        <v>0.0</v>
      </c>
      <c r="O24" s="99">
        <v>0.0</v>
      </c>
      <c r="P24" s="99">
        <v>0.0</v>
      </c>
      <c r="Q24" s="99">
        <v>0.0</v>
      </c>
      <c r="R24" s="99">
        <v>0.0</v>
      </c>
      <c r="S24" s="99">
        <v>0.0</v>
      </c>
      <c r="T24" s="99">
        <v>0.0</v>
      </c>
      <c r="U24" s="99">
        <v>0.0</v>
      </c>
      <c r="V24" s="99">
        <v>0.0</v>
      </c>
      <c r="W24" s="99">
        <v>0.0</v>
      </c>
      <c r="X24" s="99">
        <v>0.0</v>
      </c>
      <c r="Y24" s="99">
        <v>0.0</v>
      </c>
      <c r="Z24" s="99">
        <v>0.0</v>
      </c>
      <c r="AA24" s="99">
        <v>0.0</v>
      </c>
      <c r="AB24" s="99">
        <v>0.0</v>
      </c>
      <c r="AC24" s="99">
        <v>0.0</v>
      </c>
      <c r="AD24" s="99">
        <v>0.0</v>
      </c>
      <c r="AE24" s="172">
        <v>0.0</v>
      </c>
      <c r="AF24" s="125">
        <f t="shared" si="4"/>
        <v>0</v>
      </c>
    </row>
    <row r="25">
      <c r="A25" s="76" t="s">
        <v>583</v>
      </c>
      <c r="B25" s="21">
        <v>0.0</v>
      </c>
      <c r="C25" s="21">
        <v>0.0</v>
      </c>
      <c r="D25" s="21">
        <v>0.0</v>
      </c>
      <c r="E25" s="21">
        <v>0.0</v>
      </c>
      <c r="F25" s="21">
        <v>0.0</v>
      </c>
      <c r="G25" s="21">
        <v>0.0</v>
      </c>
      <c r="H25" s="21">
        <v>0.0</v>
      </c>
      <c r="I25" s="21">
        <v>0.0</v>
      </c>
      <c r="J25" s="21">
        <v>0.0</v>
      </c>
      <c r="K25" s="21">
        <v>0.0</v>
      </c>
      <c r="L25" s="21">
        <v>0.0</v>
      </c>
      <c r="M25" s="21">
        <v>0.0</v>
      </c>
      <c r="N25" s="21">
        <v>0.0</v>
      </c>
      <c r="O25" s="21">
        <v>0.0</v>
      </c>
      <c r="P25" s="21">
        <v>0.0</v>
      </c>
      <c r="Q25" s="21">
        <v>0.0</v>
      </c>
      <c r="R25" s="21">
        <v>0.0</v>
      </c>
      <c r="S25" s="99">
        <v>0.0</v>
      </c>
      <c r="T25" s="99">
        <v>0.0</v>
      </c>
      <c r="U25" s="99">
        <v>0.0</v>
      </c>
      <c r="V25" s="99">
        <v>0.0</v>
      </c>
      <c r="W25" s="99">
        <v>0.0</v>
      </c>
      <c r="X25" s="99">
        <v>0.0</v>
      </c>
      <c r="Y25" s="99">
        <v>0.0</v>
      </c>
      <c r="Z25" s="99">
        <v>0.0</v>
      </c>
      <c r="AA25" s="99">
        <v>0.0</v>
      </c>
      <c r="AB25" s="99">
        <v>0.0</v>
      </c>
      <c r="AC25" s="99">
        <v>0.0</v>
      </c>
      <c r="AD25" s="99">
        <v>0.0</v>
      </c>
      <c r="AE25" s="172">
        <v>0.0</v>
      </c>
      <c r="AF25" s="125">
        <f t="shared" si="4"/>
        <v>0</v>
      </c>
    </row>
    <row r="26">
      <c r="A26" s="76" t="s">
        <v>584</v>
      </c>
      <c r="B26" s="21">
        <v>0.0</v>
      </c>
      <c r="C26" s="21">
        <v>0.0</v>
      </c>
      <c r="D26" s="21">
        <v>0.0</v>
      </c>
      <c r="E26" s="21">
        <v>0.0</v>
      </c>
      <c r="F26" s="21">
        <v>0.0</v>
      </c>
      <c r="G26" s="21">
        <v>0.0</v>
      </c>
      <c r="H26" s="21">
        <v>0.0</v>
      </c>
      <c r="I26" s="21">
        <v>0.0</v>
      </c>
      <c r="J26" s="21">
        <v>0.0</v>
      </c>
      <c r="K26" s="21">
        <v>0.0</v>
      </c>
      <c r="L26" s="21">
        <v>0.0</v>
      </c>
      <c r="M26" s="21">
        <v>0.0</v>
      </c>
      <c r="N26" s="21">
        <v>0.0</v>
      </c>
      <c r="O26" s="21">
        <v>0.0</v>
      </c>
      <c r="P26" s="21">
        <v>0.0</v>
      </c>
      <c r="Q26" s="21">
        <v>0.0</v>
      </c>
      <c r="R26" s="21">
        <v>0.0</v>
      </c>
      <c r="S26" s="99">
        <v>0.0</v>
      </c>
      <c r="T26" s="99">
        <v>0.0</v>
      </c>
      <c r="U26" s="99">
        <v>0.0</v>
      </c>
      <c r="V26" s="99">
        <v>0.0</v>
      </c>
      <c r="W26" s="99">
        <v>0.0</v>
      </c>
      <c r="X26" s="99">
        <v>0.0</v>
      </c>
      <c r="Y26" s="99">
        <v>0.0</v>
      </c>
      <c r="Z26" s="99">
        <v>0.0</v>
      </c>
      <c r="AA26" s="99">
        <v>0.0</v>
      </c>
      <c r="AB26" s="99">
        <v>0.0</v>
      </c>
      <c r="AC26" s="99">
        <v>0.0</v>
      </c>
      <c r="AD26" s="99">
        <v>0.0</v>
      </c>
      <c r="AE26" s="172">
        <v>0.0</v>
      </c>
      <c r="AF26" s="125">
        <f t="shared" si="4"/>
        <v>0</v>
      </c>
    </row>
    <row r="27">
      <c r="A27" s="430" t="s">
        <v>162</v>
      </c>
      <c r="B27" s="431">
        <f t="shared" ref="B27:AE27" si="5">SUM(B19:B26)</f>
        <v>0</v>
      </c>
      <c r="C27" s="124">
        <f t="shared" si="5"/>
        <v>0</v>
      </c>
      <c r="D27" s="124">
        <f t="shared" si="5"/>
        <v>0</v>
      </c>
      <c r="E27" s="124">
        <f t="shared" si="5"/>
        <v>0</v>
      </c>
      <c r="F27" s="124">
        <f t="shared" si="5"/>
        <v>0</v>
      </c>
      <c r="G27" s="124">
        <f t="shared" si="5"/>
        <v>0</v>
      </c>
      <c r="H27" s="124">
        <f t="shared" si="5"/>
        <v>0</v>
      </c>
      <c r="I27" s="124">
        <f t="shared" si="5"/>
        <v>0</v>
      </c>
      <c r="J27" s="124">
        <f t="shared" si="5"/>
        <v>0</v>
      </c>
      <c r="K27" s="124">
        <f t="shared" si="5"/>
        <v>0</v>
      </c>
      <c r="L27" s="124">
        <f t="shared" si="5"/>
        <v>0</v>
      </c>
      <c r="M27" s="124">
        <f t="shared" si="5"/>
        <v>0</v>
      </c>
      <c r="N27" s="124">
        <f t="shared" si="5"/>
        <v>0</v>
      </c>
      <c r="O27" s="124">
        <f t="shared" si="5"/>
        <v>0</v>
      </c>
      <c r="P27" s="124">
        <f t="shared" si="5"/>
        <v>0</v>
      </c>
      <c r="Q27" s="124">
        <f t="shared" si="5"/>
        <v>0</v>
      </c>
      <c r="R27" s="124">
        <f t="shared" si="5"/>
        <v>0</v>
      </c>
      <c r="S27" s="124">
        <f t="shared" si="5"/>
        <v>0</v>
      </c>
      <c r="T27" s="124">
        <f t="shared" si="5"/>
        <v>0</v>
      </c>
      <c r="U27" s="124">
        <f t="shared" si="5"/>
        <v>0</v>
      </c>
      <c r="V27" s="124">
        <f t="shared" si="5"/>
        <v>0</v>
      </c>
      <c r="W27" s="124">
        <f t="shared" si="5"/>
        <v>0</v>
      </c>
      <c r="X27" s="124">
        <f t="shared" si="5"/>
        <v>0</v>
      </c>
      <c r="Y27" s="124">
        <f t="shared" si="5"/>
        <v>0</v>
      </c>
      <c r="Z27" s="124">
        <f t="shared" si="5"/>
        <v>0</v>
      </c>
      <c r="AA27" s="124">
        <f t="shared" si="5"/>
        <v>0</v>
      </c>
      <c r="AB27" s="124">
        <f t="shared" si="5"/>
        <v>0</v>
      </c>
      <c r="AC27" s="124">
        <f t="shared" si="5"/>
        <v>0</v>
      </c>
      <c r="AD27" s="124">
        <f t="shared" si="5"/>
        <v>0</v>
      </c>
      <c r="AE27" s="432">
        <f t="shared" si="5"/>
        <v>0</v>
      </c>
      <c r="AF27" s="433">
        <f t="shared" si="4"/>
        <v>0</v>
      </c>
    </row>
    <row r="28">
      <c r="A28" s="4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6"/>
    </row>
    <row r="29">
      <c r="A29" s="434" t="s">
        <v>585</v>
      </c>
      <c r="B29" s="435"/>
      <c r="C29" s="435"/>
      <c r="D29" s="435"/>
      <c r="E29" s="435"/>
      <c r="F29" s="435"/>
      <c r="G29" s="435"/>
      <c r="H29" s="435"/>
      <c r="I29" s="435"/>
      <c r="J29" s="435"/>
      <c r="K29" s="435"/>
      <c r="L29" s="435"/>
      <c r="M29" s="435"/>
      <c r="N29" s="435"/>
      <c r="O29" s="435"/>
      <c r="P29" s="435"/>
      <c r="Q29" s="435"/>
      <c r="R29" s="435"/>
      <c r="S29" s="435"/>
      <c r="T29" s="435"/>
      <c r="U29" s="435"/>
      <c r="V29" s="435"/>
      <c r="W29" s="435"/>
      <c r="X29" s="435"/>
      <c r="Y29" s="435"/>
      <c r="Z29" s="435"/>
      <c r="AA29" s="435"/>
      <c r="AB29" s="435"/>
      <c r="AC29" s="435"/>
      <c r="AD29" s="435"/>
      <c r="AE29" s="435"/>
      <c r="AF29" s="6"/>
    </row>
    <row r="30">
      <c r="A30" s="4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6"/>
    </row>
    <row r="31">
      <c r="A31" s="75" t="s">
        <v>587</v>
      </c>
      <c r="B31" s="336"/>
      <c r="C31" s="336"/>
      <c r="D31" s="336"/>
      <c r="E31" s="336"/>
      <c r="F31" s="336"/>
      <c r="G31" s="336"/>
      <c r="H31" s="336"/>
      <c r="I31" s="337"/>
      <c r="J31" s="337"/>
      <c r="K31" s="337"/>
      <c r="L31" s="337"/>
      <c r="M31" s="337"/>
      <c r="N31" s="337"/>
      <c r="O31" s="337"/>
      <c r="P31" s="337"/>
      <c r="Q31" s="337"/>
      <c r="R31" s="337"/>
      <c r="S31" s="337"/>
      <c r="T31" s="337"/>
      <c r="U31" s="337"/>
      <c r="V31" s="337"/>
      <c r="W31" s="337"/>
      <c r="X31" s="337"/>
      <c r="Y31" s="337"/>
      <c r="Z31" s="337"/>
      <c r="AA31" s="337"/>
      <c r="AB31" s="337"/>
      <c r="AC31" s="337"/>
      <c r="AD31" s="337"/>
      <c r="AE31" s="337"/>
      <c r="AF31" s="6"/>
    </row>
    <row r="32">
      <c r="A32" s="117" t="s">
        <v>588</v>
      </c>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5">
        <f t="shared" ref="AF32:AF37" si="6">SUM(B32:AE32)</f>
        <v>0</v>
      </c>
    </row>
    <row r="33">
      <c r="A33" s="117" t="s">
        <v>589</v>
      </c>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5">
        <f t="shared" si="6"/>
        <v>0</v>
      </c>
    </row>
    <row r="34">
      <c r="A34" s="117" t="s">
        <v>590</v>
      </c>
      <c r="B34" s="127"/>
      <c r="C34" s="127"/>
      <c r="D34" s="127"/>
      <c r="E34" s="127"/>
      <c r="F34" s="127"/>
      <c r="G34" s="127"/>
      <c r="H34" s="127"/>
      <c r="I34" s="127"/>
      <c r="J34" s="127"/>
      <c r="K34" s="127"/>
      <c r="L34" s="127"/>
      <c r="M34" s="127"/>
      <c r="N34" s="127"/>
      <c r="O34" s="126"/>
      <c r="P34" s="126"/>
      <c r="Q34" s="126"/>
      <c r="R34" s="126"/>
      <c r="S34" s="126"/>
      <c r="T34" s="126"/>
      <c r="U34" s="126"/>
      <c r="V34" s="126"/>
      <c r="W34" s="126"/>
      <c r="X34" s="126"/>
      <c r="Y34" s="114">
        <v>1.0</v>
      </c>
      <c r="Z34" s="126"/>
      <c r="AA34" s="126"/>
      <c r="AB34" s="126"/>
      <c r="AC34" s="126"/>
      <c r="AD34" s="126"/>
      <c r="AE34" s="126"/>
      <c r="AF34" s="125">
        <f t="shared" si="6"/>
        <v>1</v>
      </c>
    </row>
    <row r="35">
      <c r="A35" s="117" t="s">
        <v>591</v>
      </c>
      <c r="B35" s="127"/>
      <c r="C35" s="127"/>
      <c r="D35" s="127"/>
      <c r="E35" s="127"/>
      <c r="F35" s="127"/>
      <c r="G35" s="127"/>
      <c r="H35" s="127"/>
      <c r="I35" s="127"/>
      <c r="J35" s="127"/>
      <c r="K35" s="127"/>
      <c r="L35" s="127"/>
      <c r="M35" s="127"/>
      <c r="N35" s="127"/>
      <c r="O35" s="126"/>
      <c r="P35" s="126"/>
      <c r="Q35" s="126"/>
      <c r="R35" s="126"/>
      <c r="S35" s="126"/>
      <c r="T35" s="126"/>
      <c r="U35" s="126"/>
      <c r="V35" s="126"/>
      <c r="W35" s="126"/>
      <c r="X35" s="126"/>
      <c r="Y35" s="126"/>
      <c r="Z35" s="126"/>
      <c r="AA35" s="126"/>
      <c r="AB35" s="126"/>
      <c r="AC35" s="126"/>
      <c r="AD35" s="126"/>
      <c r="AE35" s="126"/>
      <c r="AF35" s="125">
        <f t="shared" si="6"/>
        <v>0</v>
      </c>
    </row>
    <row r="36">
      <c r="A36" s="204" t="s">
        <v>258</v>
      </c>
      <c r="B36" s="219">
        <f t="shared" ref="B36:AE36" si="7">SUM(B32:B33)</f>
        <v>0</v>
      </c>
      <c r="C36" s="219">
        <f t="shared" si="7"/>
        <v>0</v>
      </c>
      <c r="D36" s="219">
        <f t="shared" si="7"/>
        <v>0</v>
      </c>
      <c r="E36" s="219">
        <f t="shared" si="7"/>
        <v>0</v>
      </c>
      <c r="F36" s="219">
        <f t="shared" si="7"/>
        <v>0</v>
      </c>
      <c r="G36" s="219">
        <f t="shared" si="7"/>
        <v>0</v>
      </c>
      <c r="H36" s="219">
        <f t="shared" si="7"/>
        <v>0</v>
      </c>
      <c r="I36" s="219">
        <f t="shared" si="7"/>
        <v>0</v>
      </c>
      <c r="J36" s="219">
        <f t="shared" si="7"/>
        <v>0</v>
      </c>
      <c r="K36" s="219">
        <f t="shared" si="7"/>
        <v>0</v>
      </c>
      <c r="L36" s="219">
        <f t="shared" si="7"/>
        <v>0</v>
      </c>
      <c r="M36" s="219">
        <f t="shared" si="7"/>
        <v>0</v>
      </c>
      <c r="N36" s="219">
        <f t="shared" si="7"/>
        <v>0</v>
      </c>
      <c r="O36" s="219">
        <f t="shared" si="7"/>
        <v>0</v>
      </c>
      <c r="P36" s="219">
        <f t="shared" si="7"/>
        <v>0</v>
      </c>
      <c r="Q36" s="219">
        <f t="shared" si="7"/>
        <v>0</v>
      </c>
      <c r="R36" s="219">
        <f t="shared" si="7"/>
        <v>0</v>
      </c>
      <c r="S36" s="219">
        <f t="shared" si="7"/>
        <v>0</v>
      </c>
      <c r="T36" s="219">
        <f t="shared" si="7"/>
        <v>0</v>
      </c>
      <c r="U36" s="219">
        <f t="shared" si="7"/>
        <v>0</v>
      </c>
      <c r="V36" s="219">
        <f t="shared" si="7"/>
        <v>0</v>
      </c>
      <c r="W36" s="219">
        <f t="shared" si="7"/>
        <v>0</v>
      </c>
      <c r="X36" s="219">
        <f t="shared" si="7"/>
        <v>0</v>
      </c>
      <c r="Y36" s="219">
        <f t="shared" si="7"/>
        <v>0</v>
      </c>
      <c r="Z36" s="219">
        <f t="shared" si="7"/>
        <v>0</v>
      </c>
      <c r="AA36" s="219">
        <f t="shared" si="7"/>
        <v>0</v>
      </c>
      <c r="AB36" s="219">
        <f t="shared" si="7"/>
        <v>0</v>
      </c>
      <c r="AC36" s="219">
        <f t="shared" si="7"/>
        <v>0</v>
      </c>
      <c r="AD36" s="219">
        <f t="shared" si="7"/>
        <v>0</v>
      </c>
      <c r="AE36" s="219">
        <f t="shared" si="7"/>
        <v>0</v>
      </c>
      <c r="AF36" s="125">
        <f t="shared" si="6"/>
        <v>0</v>
      </c>
    </row>
    <row r="37">
      <c r="A37" s="204" t="s">
        <v>260</v>
      </c>
      <c r="B37" s="219">
        <f t="shared" ref="B37:AE37" si="8">SUM(B34:B35)</f>
        <v>0</v>
      </c>
      <c r="C37" s="219">
        <f t="shared" si="8"/>
        <v>0</v>
      </c>
      <c r="D37" s="219">
        <f t="shared" si="8"/>
        <v>0</v>
      </c>
      <c r="E37" s="219">
        <f t="shared" si="8"/>
        <v>0</v>
      </c>
      <c r="F37" s="219">
        <f t="shared" si="8"/>
        <v>0</v>
      </c>
      <c r="G37" s="219">
        <f t="shared" si="8"/>
        <v>0</v>
      </c>
      <c r="H37" s="219">
        <f t="shared" si="8"/>
        <v>0</v>
      </c>
      <c r="I37" s="219">
        <f t="shared" si="8"/>
        <v>0</v>
      </c>
      <c r="J37" s="219">
        <f t="shared" si="8"/>
        <v>0</v>
      </c>
      <c r="K37" s="219">
        <f t="shared" si="8"/>
        <v>0</v>
      </c>
      <c r="L37" s="219">
        <f t="shared" si="8"/>
        <v>0</v>
      </c>
      <c r="M37" s="219">
        <f t="shared" si="8"/>
        <v>0</v>
      </c>
      <c r="N37" s="219">
        <f t="shared" si="8"/>
        <v>0</v>
      </c>
      <c r="O37" s="219">
        <f t="shared" si="8"/>
        <v>0</v>
      </c>
      <c r="P37" s="219">
        <f t="shared" si="8"/>
        <v>0</v>
      </c>
      <c r="Q37" s="219">
        <f t="shared" si="8"/>
        <v>0</v>
      </c>
      <c r="R37" s="219">
        <f t="shared" si="8"/>
        <v>0</v>
      </c>
      <c r="S37" s="219">
        <f t="shared" si="8"/>
        <v>0</v>
      </c>
      <c r="T37" s="219">
        <f t="shared" si="8"/>
        <v>0</v>
      </c>
      <c r="U37" s="219">
        <f t="shared" si="8"/>
        <v>0</v>
      </c>
      <c r="V37" s="219">
        <f t="shared" si="8"/>
        <v>0</v>
      </c>
      <c r="W37" s="219">
        <f t="shared" si="8"/>
        <v>0</v>
      </c>
      <c r="X37" s="219">
        <f t="shared" si="8"/>
        <v>0</v>
      </c>
      <c r="Y37" s="219">
        <f t="shared" si="8"/>
        <v>1</v>
      </c>
      <c r="Z37" s="219">
        <f t="shared" si="8"/>
        <v>0</v>
      </c>
      <c r="AA37" s="219">
        <f t="shared" si="8"/>
        <v>0</v>
      </c>
      <c r="AB37" s="219">
        <f t="shared" si="8"/>
        <v>0</v>
      </c>
      <c r="AC37" s="219">
        <f t="shared" si="8"/>
        <v>0</v>
      </c>
      <c r="AD37" s="219">
        <f t="shared" si="8"/>
        <v>0</v>
      </c>
      <c r="AE37" s="219">
        <f t="shared" si="8"/>
        <v>0</v>
      </c>
      <c r="AF37" s="125">
        <f t="shared" si="6"/>
        <v>1</v>
      </c>
    </row>
    <row r="38">
      <c r="A38" s="49"/>
      <c r="B38" s="154"/>
      <c r="C38" s="154"/>
      <c r="D38" s="154"/>
      <c r="E38" s="154"/>
      <c r="F38" s="154"/>
      <c r="G38" s="154"/>
      <c r="H38" s="154"/>
      <c r="I38" s="127"/>
      <c r="J38" s="127"/>
      <c r="K38" s="127"/>
      <c r="L38" s="127"/>
      <c r="M38" s="127"/>
      <c r="N38" s="127"/>
      <c r="O38" s="127"/>
      <c r="P38" s="127"/>
      <c r="Q38" s="127"/>
      <c r="R38" s="127"/>
      <c r="S38" s="127"/>
      <c r="T38" s="127"/>
      <c r="U38" s="127"/>
      <c r="V38" s="127"/>
      <c r="W38" s="127"/>
      <c r="X38" s="127"/>
      <c r="Y38" s="127"/>
      <c r="Z38" s="127"/>
      <c r="AA38" s="127"/>
      <c r="AB38" s="127"/>
      <c r="AC38" s="127"/>
      <c r="AD38" s="127"/>
      <c r="AE38" s="436"/>
      <c r="AF38" s="137"/>
    </row>
    <row r="39">
      <c r="A39" s="117" t="s">
        <v>264</v>
      </c>
      <c r="B39" s="126"/>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c r="AD39" s="126"/>
      <c r="AE39" s="126"/>
      <c r="AF39" s="125">
        <f t="shared" ref="AF39:AF47" si="9">SUM(B39:AE39)</f>
        <v>0</v>
      </c>
    </row>
    <row r="40">
      <c r="A40" s="117" t="s">
        <v>267</v>
      </c>
      <c r="B40" s="126"/>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c r="AD40" s="126"/>
      <c r="AE40" s="126"/>
      <c r="AF40" s="125">
        <f t="shared" si="9"/>
        <v>0</v>
      </c>
    </row>
    <row r="41">
      <c r="A41" s="117" t="s">
        <v>592</v>
      </c>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5">
        <f t="shared" si="9"/>
        <v>0</v>
      </c>
    </row>
    <row r="42">
      <c r="A42" s="117" t="s">
        <v>593</v>
      </c>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5">
        <f t="shared" si="9"/>
        <v>0</v>
      </c>
    </row>
    <row r="43">
      <c r="A43" s="117" t="s">
        <v>594</v>
      </c>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5">
        <f t="shared" si="9"/>
        <v>0</v>
      </c>
    </row>
    <row r="44">
      <c r="A44" s="117" t="s">
        <v>595</v>
      </c>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5">
        <f t="shared" si="9"/>
        <v>0</v>
      </c>
    </row>
    <row r="45">
      <c r="A45" s="117" t="s">
        <v>596</v>
      </c>
      <c r="B45" s="126"/>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5">
        <f t="shared" si="9"/>
        <v>0</v>
      </c>
    </row>
    <row r="46">
      <c r="A46" s="117" t="s">
        <v>597</v>
      </c>
      <c r="B46" s="126"/>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5">
        <f t="shared" si="9"/>
        <v>0</v>
      </c>
    </row>
    <row r="47">
      <c r="A47" s="204" t="s">
        <v>162</v>
      </c>
      <c r="B47" s="219">
        <f t="shared" ref="B47:AE47" si="10">SUM(B39:B46)</f>
        <v>0</v>
      </c>
      <c r="C47" s="219">
        <f t="shared" si="10"/>
        <v>0</v>
      </c>
      <c r="D47" s="219">
        <f t="shared" si="10"/>
        <v>0</v>
      </c>
      <c r="E47" s="219">
        <f t="shared" si="10"/>
        <v>0</v>
      </c>
      <c r="F47" s="219">
        <f t="shared" si="10"/>
        <v>0</v>
      </c>
      <c r="G47" s="219">
        <f t="shared" si="10"/>
        <v>0</v>
      </c>
      <c r="H47" s="219">
        <f t="shared" si="10"/>
        <v>0</v>
      </c>
      <c r="I47" s="219">
        <f t="shared" si="10"/>
        <v>0</v>
      </c>
      <c r="J47" s="219">
        <f t="shared" si="10"/>
        <v>0</v>
      </c>
      <c r="K47" s="219">
        <f t="shared" si="10"/>
        <v>0</v>
      </c>
      <c r="L47" s="219">
        <f t="shared" si="10"/>
        <v>0</v>
      </c>
      <c r="M47" s="219">
        <f t="shared" si="10"/>
        <v>0</v>
      </c>
      <c r="N47" s="219">
        <f t="shared" si="10"/>
        <v>0</v>
      </c>
      <c r="O47" s="219">
        <f t="shared" si="10"/>
        <v>0</v>
      </c>
      <c r="P47" s="219">
        <f t="shared" si="10"/>
        <v>0</v>
      </c>
      <c r="Q47" s="219">
        <f t="shared" si="10"/>
        <v>0</v>
      </c>
      <c r="R47" s="219">
        <f t="shared" si="10"/>
        <v>0</v>
      </c>
      <c r="S47" s="219">
        <f t="shared" si="10"/>
        <v>0</v>
      </c>
      <c r="T47" s="219">
        <f t="shared" si="10"/>
        <v>0</v>
      </c>
      <c r="U47" s="219">
        <f t="shared" si="10"/>
        <v>0</v>
      </c>
      <c r="V47" s="219">
        <f t="shared" si="10"/>
        <v>0</v>
      </c>
      <c r="W47" s="219">
        <f t="shared" si="10"/>
        <v>0</v>
      </c>
      <c r="X47" s="219">
        <f t="shared" si="10"/>
        <v>0</v>
      </c>
      <c r="Y47" s="219">
        <f t="shared" si="10"/>
        <v>0</v>
      </c>
      <c r="Z47" s="219">
        <f t="shared" si="10"/>
        <v>0</v>
      </c>
      <c r="AA47" s="219">
        <f t="shared" si="10"/>
        <v>0</v>
      </c>
      <c r="AB47" s="219">
        <f t="shared" si="10"/>
        <v>0</v>
      </c>
      <c r="AC47" s="219">
        <f t="shared" si="10"/>
        <v>0</v>
      </c>
      <c r="AD47" s="219">
        <f t="shared" si="10"/>
        <v>0</v>
      </c>
      <c r="AE47" s="219">
        <f t="shared" si="10"/>
        <v>0</v>
      </c>
      <c r="AF47" s="125">
        <f t="shared" si="9"/>
        <v>0</v>
      </c>
    </row>
    <row r="48">
      <c r="A48" s="49"/>
      <c r="B48" s="139"/>
      <c r="C48" s="139"/>
      <c r="D48" s="139"/>
      <c r="E48" s="139"/>
      <c r="F48" s="139"/>
      <c r="G48" s="139"/>
      <c r="H48" s="139"/>
      <c r="I48" s="9"/>
      <c r="J48" s="9"/>
      <c r="K48" s="9"/>
      <c r="L48" s="9"/>
      <c r="M48" s="9"/>
      <c r="N48" s="9"/>
      <c r="O48" s="9"/>
      <c r="P48" s="9"/>
      <c r="Q48" s="9"/>
      <c r="R48" s="9"/>
      <c r="S48" s="9"/>
      <c r="T48" s="9"/>
      <c r="U48" s="9"/>
      <c r="V48" s="9"/>
      <c r="W48" s="9"/>
      <c r="X48" s="9"/>
      <c r="Y48" s="9"/>
      <c r="Z48" s="9"/>
      <c r="AA48" s="9"/>
      <c r="AB48" s="9"/>
      <c r="AC48" s="9"/>
      <c r="AD48" s="9"/>
      <c r="AE48" s="74"/>
      <c r="AF48" s="137"/>
    </row>
    <row r="49">
      <c r="A49" s="75" t="s">
        <v>599</v>
      </c>
      <c r="B49" s="139"/>
      <c r="C49" s="139"/>
      <c r="D49" s="139"/>
      <c r="E49" s="139"/>
      <c r="F49" s="139"/>
      <c r="G49" s="183"/>
      <c r="H49" s="139"/>
      <c r="I49" s="9"/>
      <c r="J49" s="9"/>
      <c r="K49" s="9"/>
      <c r="L49" s="9"/>
      <c r="M49" s="9"/>
      <c r="N49" s="9"/>
      <c r="O49" s="9"/>
      <c r="P49" s="9"/>
      <c r="Q49" s="9"/>
      <c r="R49" s="9"/>
      <c r="S49" s="9"/>
      <c r="T49" s="9"/>
      <c r="U49" s="9"/>
      <c r="V49" s="9"/>
      <c r="W49" s="9"/>
      <c r="X49" s="9"/>
      <c r="Y49" s="9"/>
      <c r="Z49" s="9"/>
      <c r="AA49" s="9"/>
      <c r="AB49" s="9"/>
      <c r="AC49" s="9"/>
      <c r="AD49" s="9"/>
      <c r="AE49" s="9"/>
      <c r="AF49" s="6"/>
    </row>
    <row r="50">
      <c r="A50" s="117" t="s">
        <v>600</v>
      </c>
      <c r="B50" s="71"/>
      <c r="C50" s="71"/>
      <c r="D50" s="71"/>
      <c r="E50" s="71"/>
      <c r="F50" s="71"/>
      <c r="G50" s="71"/>
      <c r="H50" s="71"/>
      <c r="I50" s="71"/>
      <c r="J50" s="71"/>
      <c r="K50" s="71"/>
      <c r="L50" s="71"/>
      <c r="M50" s="71"/>
      <c r="N50" s="71"/>
      <c r="O50" s="71"/>
      <c r="P50" s="71"/>
      <c r="Q50" s="71"/>
      <c r="R50" s="185"/>
      <c r="S50" s="185"/>
      <c r="T50" s="185"/>
      <c r="U50" s="185"/>
      <c r="V50" s="185"/>
      <c r="W50" s="185"/>
      <c r="X50" s="185"/>
      <c r="Y50" s="248">
        <v>299.99</v>
      </c>
      <c r="Z50" s="185"/>
      <c r="AA50" s="185"/>
      <c r="AB50" s="185"/>
      <c r="AC50" s="185"/>
      <c r="AD50" s="185"/>
      <c r="AE50" s="185"/>
      <c r="AF50" s="188">
        <f t="shared" ref="AF50:AF53" si="11">SUM(B50:AE50)</f>
        <v>299.99</v>
      </c>
    </row>
    <row r="51">
      <c r="A51" s="117" t="s">
        <v>135</v>
      </c>
      <c r="B51" s="189"/>
      <c r="C51" s="189"/>
      <c r="D51" s="189"/>
      <c r="E51" s="189"/>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8">
        <f t="shared" si="11"/>
        <v>0</v>
      </c>
    </row>
    <row r="52">
      <c r="A52" s="117" t="s">
        <v>601</v>
      </c>
      <c r="B52" s="189"/>
      <c r="C52" s="189"/>
      <c r="D52" s="189"/>
      <c r="E52" s="189"/>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8">
        <f t="shared" si="11"/>
        <v>0</v>
      </c>
    </row>
    <row r="53">
      <c r="A53" s="251" t="s">
        <v>602</v>
      </c>
      <c r="B53" s="254">
        <f t="shared" ref="B53:AE53" si="12">SUM(B50:B52)</f>
        <v>0</v>
      </c>
      <c r="C53" s="254">
        <f t="shared" si="12"/>
        <v>0</v>
      </c>
      <c r="D53" s="254">
        <f t="shared" si="12"/>
        <v>0</v>
      </c>
      <c r="E53" s="254">
        <f t="shared" si="12"/>
        <v>0</v>
      </c>
      <c r="F53" s="254">
        <f t="shared" si="12"/>
        <v>0</v>
      </c>
      <c r="G53" s="254">
        <f t="shared" si="12"/>
        <v>0</v>
      </c>
      <c r="H53" s="254">
        <f t="shared" si="12"/>
        <v>0</v>
      </c>
      <c r="I53" s="254">
        <f t="shared" si="12"/>
        <v>0</v>
      </c>
      <c r="J53" s="254">
        <f t="shared" si="12"/>
        <v>0</v>
      </c>
      <c r="K53" s="254">
        <f t="shared" si="12"/>
        <v>0</v>
      </c>
      <c r="L53" s="254">
        <f t="shared" si="12"/>
        <v>0</v>
      </c>
      <c r="M53" s="254">
        <f t="shared" si="12"/>
        <v>0</v>
      </c>
      <c r="N53" s="254">
        <f t="shared" si="12"/>
        <v>0</v>
      </c>
      <c r="O53" s="254">
        <f t="shared" si="12"/>
        <v>0</v>
      </c>
      <c r="P53" s="254">
        <f t="shared" si="12"/>
        <v>0</v>
      </c>
      <c r="Q53" s="254">
        <f t="shared" si="12"/>
        <v>0</v>
      </c>
      <c r="R53" s="254">
        <f t="shared" si="12"/>
        <v>0</v>
      </c>
      <c r="S53" s="254">
        <f t="shared" si="12"/>
        <v>0</v>
      </c>
      <c r="T53" s="254">
        <f t="shared" si="12"/>
        <v>0</v>
      </c>
      <c r="U53" s="254">
        <f t="shared" si="12"/>
        <v>0</v>
      </c>
      <c r="V53" s="254">
        <f t="shared" si="12"/>
        <v>0</v>
      </c>
      <c r="W53" s="254">
        <f t="shared" si="12"/>
        <v>0</v>
      </c>
      <c r="X53" s="254">
        <f t="shared" si="12"/>
        <v>0</v>
      </c>
      <c r="Y53" s="254">
        <f t="shared" si="12"/>
        <v>299.99</v>
      </c>
      <c r="Z53" s="254">
        <f t="shared" si="12"/>
        <v>0</v>
      </c>
      <c r="AA53" s="254">
        <f t="shared" si="12"/>
        <v>0</v>
      </c>
      <c r="AB53" s="254">
        <f t="shared" si="12"/>
        <v>0</v>
      </c>
      <c r="AC53" s="254">
        <f t="shared" si="12"/>
        <v>0</v>
      </c>
      <c r="AD53" s="254">
        <f t="shared" si="12"/>
        <v>0</v>
      </c>
      <c r="AE53" s="254">
        <f t="shared" si="12"/>
        <v>0</v>
      </c>
      <c r="AF53" s="188">
        <f t="shared" si="11"/>
        <v>299.99</v>
      </c>
    </row>
    <row r="54">
      <c r="A54" s="437"/>
      <c r="B54" s="438"/>
      <c r="C54" s="438"/>
      <c r="D54" s="438"/>
      <c r="E54" s="438"/>
      <c r="F54" s="438"/>
      <c r="G54" s="438"/>
      <c r="H54" s="438"/>
      <c r="I54" s="141"/>
      <c r="J54" s="141"/>
      <c r="K54" s="141"/>
      <c r="L54" s="141"/>
      <c r="M54" s="141"/>
      <c r="N54" s="141"/>
      <c r="O54" s="141"/>
      <c r="P54" s="141"/>
      <c r="Q54" s="141"/>
      <c r="R54" s="141"/>
      <c r="S54" s="141"/>
      <c r="T54" s="141"/>
      <c r="U54" s="141"/>
      <c r="V54" s="141"/>
      <c r="W54" s="141"/>
      <c r="X54" s="141"/>
      <c r="Y54" s="141"/>
      <c r="Z54" s="141"/>
      <c r="AA54" s="141"/>
      <c r="AB54" s="141"/>
      <c r="AC54" s="141"/>
      <c r="AD54" s="141"/>
      <c r="AE54" s="439"/>
      <c r="AF54" s="137"/>
    </row>
    <row r="55">
      <c r="A55" s="117" t="s">
        <v>484</v>
      </c>
      <c r="B55" s="185"/>
      <c r="C55" s="185"/>
      <c r="D55" s="185"/>
      <c r="E55" s="185"/>
      <c r="F55" s="185"/>
      <c r="G55" s="185"/>
      <c r="H55" s="185"/>
      <c r="I55" s="185"/>
      <c r="J55" s="185"/>
      <c r="K55" s="185"/>
      <c r="L55" s="185"/>
      <c r="M55" s="185"/>
      <c r="N55" s="185"/>
      <c r="O55" s="185"/>
      <c r="P55" s="185"/>
      <c r="Q55" s="185"/>
      <c r="R55" s="185"/>
      <c r="S55" s="185"/>
      <c r="T55" s="185"/>
      <c r="U55" s="185"/>
      <c r="V55" s="185"/>
      <c r="W55" s="185"/>
      <c r="X55" s="185"/>
      <c r="Y55" s="185"/>
      <c r="Z55" s="185"/>
      <c r="AA55" s="185"/>
      <c r="AB55" s="185"/>
      <c r="AC55" s="185"/>
      <c r="AD55" s="185"/>
      <c r="AE55" s="185"/>
      <c r="AF55" s="188">
        <f t="shared" ref="AF55:AF57" si="13">SUM(B55:AE55)</f>
        <v>0</v>
      </c>
    </row>
    <row r="56">
      <c r="A56" s="440" t="s">
        <v>486</v>
      </c>
      <c r="B56" s="151"/>
      <c r="C56" s="151"/>
      <c r="D56" s="151"/>
      <c r="E56" s="151"/>
      <c r="F56" s="151"/>
      <c r="G56" s="151"/>
      <c r="H56" s="151"/>
      <c r="I56" s="151"/>
      <c r="J56" s="151"/>
      <c r="K56" s="151"/>
      <c r="L56" s="151"/>
      <c r="M56" s="151"/>
      <c r="N56" s="151"/>
      <c r="O56" s="151"/>
      <c r="P56" s="151"/>
      <c r="Q56" s="151"/>
      <c r="R56" s="151"/>
      <c r="S56" s="151"/>
      <c r="T56" s="151"/>
      <c r="U56" s="151"/>
      <c r="V56" s="151"/>
      <c r="W56" s="151"/>
      <c r="X56" s="151"/>
      <c r="Y56" s="151"/>
      <c r="Z56" s="151"/>
      <c r="AA56" s="151"/>
      <c r="AB56" s="151"/>
      <c r="AC56" s="151"/>
      <c r="AD56" s="151"/>
      <c r="AE56" s="151"/>
      <c r="AF56" s="188">
        <f t="shared" si="13"/>
        <v>0</v>
      </c>
    </row>
    <row r="57">
      <c r="A57" s="441" t="s">
        <v>604</v>
      </c>
      <c r="B57" s="442">
        <f t="shared" ref="B57:AE57" si="14">sum(B55:B56)</f>
        <v>0</v>
      </c>
      <c r="C57" s="442">
        <f t="shared" si="14"/>
        <v>0</v>
      </c>
      <c r="D57" s="442">
        <f t="shared" si="14"/>
        <v>0</v>
      </c>
      <c r="E57" s="442">
        <f t="shared" si="14"/>
        <v>0</v>
      </c>
      <c r="F57" s="442">
        <f t="shared" si="14"/>
        <v>0</v>
      </c>
      <c r="G57" s="442">
        <f t="shared" si="14"/>
        <v>0</v>
      </c>
      <c r="H57" s="442">
        <f t="shared" si="14"/>
        <v>0</v>
      </c>
      <c r="I57" s="442">
        <f t="shared" si="14"/>
        <v>0</v>
      </c>
      <c r="J57" s="442">
        <f t="shared" si="14"/>
        <v>0</v>
      </c>
      <c r="K57" s="442">
        <f t="shared" si="14"/>
        <v>0</v>
      </c>
      <c r="L57" s="442">
        <f t="shared" si="14"/>
        <v>0</v>
      </c>
      <c r="M57" s="442">
        <f t="shared" si="14"/>
        <v>0</v>
      </c>
      <c r="N57" s="442">
        <f t="shared" si="14"/>
        <v>0</v>
      </c>
      <c r="O57" s="442">
        <f t="shared" si="14"/>
        <v>0</v>
      </c>
      <c r="P57" s="442">
        <f t="shared" si="14"/>
        <v>0</v>
      </c>
      <c r="Q57" s="442">
        <f t="shared" si="14"/>
        <v>0</v>
      </c>
      <c r="R57" s="442">
        <f t="shared" si="14"/>
        <v>0</v>
      </c>
      <c r="S57" s="442">
        <f t="shared" si="14"/>
        <v>0</v>
      </c>
      <c r="T57" s="442">
        <f t="shared" si="14"/>
        <v>0</v>
      </c>
      <c r="U57" s="442">
        <f t="shared" si="14"/>
        <v>0</v>
      </c>
      <c r="V57" s="442">
        <f t="shared" si="14"/>
        <v>0</v>
      </c>
      <c r="W57" s="442">
        <f t="shared" si="14"/>
        <v>0</v>
      </c>
      <c r="X57" s="442">
        <f t="shared" si="14"/>
        <v>0</v>
      </c>
      <c r="Y57" s="442">
        <f t="shared" si="14"/>
        <v>0</v>
      </c>
      <c r="Z57" s="442">
        <f t="shared" si="14"/>
        <v>0</v>
      </c>
      <c r="AA57" s="442">
        <f t="shared" si="14"/>
        <v>0</v>
      </c>
      <c r="AB57" s="442">
        <f t="shared" si="14"/>
        <v>0</v>
      </c>
      <c r="AC57" s="442">
        <f t="shared" si="14"/>
        <v>0</v>
      </c>
      <c r="AD57" s="442">
        <f t="shared" si="14"/>
        <v>0</v>
      </c>
      <c r="AE57" s="442">
        <f t="shared" si="14"/>
        <v>0</v>
      </c>
      <c r="AF57" s="188">
        <f t="shared" si="13"/>
        <v>0</v>
      </c>
    </row>
    <row r="58">
      <c r="A58" s="49"/>
      <c r="B58" s="139"/>
      <c r="C58" s="139"/>
      <c r="D58" s="139"/>
      <c r="E58" s="139"/>
      <c r="F58" s="139"/>
      <c r="G58" s="139"/>
      <c r="H58" s="139"/>
      <c r="I58" s="9"/>
      <c r="J58" s="9"/>
      <c r="K58" s="9"/>
      <c r="L58" s="9"/>
      <c r="M58" s="9"/>
      <c r="N58" s="9"/>
      <c r="O58" s="9"/>
      <c r="P58" s="9"/>
      <c r="Q58" s="9"/>
      <c r="R58" s="9"/>
      <c r="S58" s="9"/>
      <c r="T58" s="9"/>
      <c r="U58" s="9"/>
      <c r="V58" s="9"/>
      <c r="W58" s="9"/>
      <c r="X58" s="9"/>
      <c r="Y58" s="9"/>
      <c r="Z58" s="9"/>
      <c r="AA58" s="9"/>
      <c r="AB58" s="9"/>
      <c r="AC58" s="9"/>
      <c r="AD58" s="9"/>
      <c r="AE58" s="74"/>
      <c r="AF58" s="137"/>
    </row>
    <row r="59">
      <c r="A59" s="75" t="s">
        <v>605</v>
      </c>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c r="Z59" s="337"/>
      <c r="AA59" s="337"/>
      <c r="AB59" s="337"/>
      <c r="AC59" s="337"/>
      <c r="AD59" s="443"/>
      <c r="AE59" s="443"/>
      <c r="AF59" s="137"/>
    </row>
    <row r="60">
      <c r="A60" s="117" t="s">
        <v>606</v>
      </c>
      <c r="B60" s="444"/>
      <c r="C60" s="444"/>
      <c r="D60" s="444"/>
      <c r="E60" s="444"/>
      <c r="F60" s="444"/>
      <c r="G60" s="444"/>
      <c r="H60" s="444"/>
      <c r="I60" s="114">
        <v>1.0</v>
      </c>
      <c r="J60" s="444"/>
      <c r="K60" s="444"/>
      <c r="L60" s="444"/>
      <c r="M60" s="444"/>
      <c r="N60" s="444"/>
      <c r="O60" s="114">
        <v>1.0</v>
      </c>
      <c r="P60" s="342"/>
      <c r="Q60" s="444"/>
      <c r="R60" s="444"/>
      <c r="S60" s="444"/>
      <c r="T60" s="444"/>
      <c r="U60" s="114">
        <v>1.0</v>
      </c>
      <c r="V60" s="444"/>
      <c r="W60" s="444"/>
      <c r="X60" s="342"/>
      <c r="Y60" s="444"/>
      <c r="Z60" s="444"/>
      <c r="AA60" s="444"/>
      <c r="AB60" s="444"/>
      <c r="AC60" s="444"/>
      <c r="AD60" s="444"/>
      <c r="AE60" s="444"/>
      <c r="AF60" s="125">
        <f t="shared" ref="AF60:AF65" si="15">SUM(B60:AE60)</f>
        <v>3</v>
      </c>
    </row>
    <row r="61">
      <c r="A61" s="117" t="s">
        <v>608</v>
      </c>
      <c r="B61" s="444"/>
      <c r="C61" s="114">
        <v>1.0</v>
      </c>
      <c r="D61" s="444"/>
      <c r="E61" s="444"/>
      <c r="F61" s="444"/>
      <c r="G61" s="444"/>
      <c r="H61" s="444"/>
      <c r="I61" s="114">
        <v>1.0</v>
      </c>
      <c r="J61" s="444"/>
      <c r="K61" s="444"/>
      <c r="L61" s="444"/>
      <c r="M61" s="444"/>
      <c r="N61" s="444"/>
      <c r="O61" s="444"/>
      <c r="P61" s="342"/>
      <c r="Q61" s="444"/>
      <c r="R61" s="444"/>
      <c r="S61" s="444"/>
      <c r="T61" s="444"/>
      <c r="U61" s="444"/>
      <c r="V61" s="444"/>
      <c r="W61" s="444"/>
      <c r="X61" s="342"/>
      <c r="Y61" s="444"/>
      <c r="Z61" s="444"/>
      <c r="AA61" s="444"/>
      <c r="AB61" s="444"/>
      <c r="AC61" s="444"/>
      <c r="AD61" s="444"/>
      <c r="AE61" s="444"/>
      <c r="AF61" s="125">
        <f t="shared" si="15"/>
        <v>2</v>
      </c>
    </row>
    <row r="62">
      <c r="A62" s="117" t="s">
        <v>609</v>
      </c>
      <c r="B62" s="444"/>
      <c r="C62" s="444"/>
      <c r="D62" s="444"/>
      <c r="E62" s="444"/>
      <c r="F62" s="444"/>
      <c r="G62" s="444"/>
      <c r="H62" s="444"/>
      <c r="I62" s="114">
        <v>3.0</v>
      </c>
      <c r="J62" s="444"/>
      <c r="K62" s="444"/>
      <c r="L62" s="444"/>
      <c r="M62" s="341"/>
      <c r="N62" s="444"/>
      <c r="O62" s="114">
        <v>2.0</v>
      </c>
      <c r="P62" s="114">
        <v>1.0</v>
      </c>
      <c r="Q62" s="444"/>
      <c r="R62" s="444"/>
      <c r="S62" s="444"/>
      <c r="T62" s="444"/>
      <c r="U62" s="444"/>
      <c r="V62" s="444"/>
      <c r="W62" s="444"/>
      <c r="X62" s="114">
        <v>2.0</v>
      </c>
      <c r="Y62" s="444"/>
      <c r="Z62" s="444"/>
      <c r="AA62" s="444"/>
      <c r="AB62" s="444"/>
      <c r="AC62" s="444"/>
      <c r="AD62" s="444"/>
      <c r="AE62" s="444"/>
      <c r="AF62" s="125">
        <f t="shared" si="15"/>
        <v>8</v>
      </c>
    </row>
    <row r="63">
      <c r="A63" s="117" t="s">
        <v>610</v>
      </c>
      <c r="B63" s="444"/>
      <c r="C63" s="114">
        <v>1.0</v>
      </c>
      <c r="D63" s="444"/>
      <c r="E63" s="444"/>
      <c r="F63" s="444"/>
      <c r="G63" s="444"/>
      <c r="H63" s="444"/>
      <c r="I63" s="444"/>
      <c r="J63" s="444"/>
      <c r="K63" s="444"/>
      <c r="L63" s="444"/>
      <c r="M63" s="444"/>
      <c r="N63" s="444"/>
      <c r="O63" s="444"/>
      <c r="P63" s="342"/>
      <c r="Q63" s="444"/>
      <c r="R63" s="444"/>
      <c r="S63" s="444"/>
      <c r="T63" s="114">
        <v>1.0</v>
      </c>
      <c r="U63" s="444"/>
      <c r="V63" s="444"/>
      <c r="W63" s="444"/>
      <c r="X63" s="114">
        <v>1.0</v>
      </c>
      <c r="Y63" s="444"/>
      <c r="Z63" s="444"/>
      <c r="AA63" s="444"/>
      <c r="AB63" s="444"/>
      <c r="AC63" s="444"/>
      <c r="AD63" s="444"/>
      <c r="AE63" s="444"/>
      <c r="AF63" s="125">
        <f t="shared" si="15"/>
        <v>3</v>
      </c>
    </row>
    <row r="64">
      <c r="A64" s="204" t="s">
        <v>258</v>
      </c>
      <c r="B64" s="219">
        <f t="shared" ref="B64:AE64" si="16">SUM(B60:B61)</f>
        <v>0</v>
      </c>
      <c r="C64" s="219">
        <f t="shared" si="16"/>
        <v>1</v>
      </c>
      <c r="D64" s="219">
        <f t="shared" si="16"/>
        <v>0</v>
      </c>
      <c r="E64" s="219">
        <f t="shared" si="16"/>
        <v>0</v>
      </c>
      <c r="F64" s="219">
        <f t="shared" si="16"/>
        <v>0</v>
      </c>
      <c r="G64" s="219">
        <f t="shared" si="16"/>
        <v>0</v>
      </c>
      <c r="H64" s="219">
        <f t="shared" si="16"/>
        <v>0</v>
      </c>
      <c r="I64" s="219">
        <f t="shared" si="16"/>
        <v>2</v>
      </c>
      <c r="J64" s="219">
        <f t="shared" si="16"/>
        <v>0</v>
      </c>
      <c r="K64" s="219">
        <f t="shared" si="16"/>
        <v>0</v>
      </c>
      <c r="L64" s="219">
        <f t="shared" si="16"/>
        <v>0</v>
      </c>
      <c r="M64" s="219">
        <f t="shared" si="16"/>
        <v>0</v>
      </c>
      <c r="N64" s="219">
        <f t="shared" si="16"/>
        <v>0</v>
      </c>
      <c r="O64" s="219">
        <f t="shared" si="16"/>
        <v>1</v>
      </c>
      <c r="P64" s="219">
        <f t="shared" si="16"/>
        <v>0</v>
      </c>
      <c r="Q64" s="219">
        <f t="shared" si="16"/>
        <v>0</v>
      </c>
      <c r="R64" s="219">
        <f t="shared" si="16"/>
        <v>0</v>
      </c>
      <c r="S64" s="219">
        <f t="shared" si="16"/>
        <v>0</v>
      </c>
      <c r="T64" s="219">
        <f t="shared" si="16"/>
        <v>0</v>
      </c>
      <c r="U64" s="219">
        <f t="shared" si="16"/>
        <v>1</v>
      </c>
      <c r="V64" s="219">
        <f t="shared" si="16"/>
        <v>0</v>
      </c>
      <c r="W64" s="219">
        <f t="shared" si="16"/>
        <v>0</v>
      </c>
      <c r="X64" s="219">
        <f t="shared" si="16"/>
        <v>0</v>
      </c>
      <c r="Y64" s="219">
        <f t="shared" si="16"/>
        <v>0</v>
      </c>
      <c r="Z64" s="219">
        <f t="shared" si="16"/>
        <v>0</v>
      </c>
      <c r="AA64" s="219">
        <f t="shared" si="16"/>
        <v>0</v>
      </c>
      <c r="AB64" s="219">
        <f t="shared" si="16"/>
        <v>0</v>
      </c>
      <c r="AC64" s="219">
        <f t="shared" si="16"/>
        <v>0</v>
      </c>
      <c r="AD64" s="219">
        <f t="shared" si="16"/>
        <v>0</v>
      </c>
      <c r="AE64" s="219">
        <f t="shared" si="16"/>
        <v>0</v>
      </c>
      <c r="AF64" s="125">
        <f t="shared" si="15"/>
        <v>5</v>
      </c>
    </row>
    <row r="65">
      <c r="A65" s="204" t="s">
        <v>260</v>
      </c>
      <c r="B65" s="219">
        <f t="shared" ref="B65:AE65" si="17">SUM(B62:B63)</f>
        <v>0</v>
      </c>
      <c r="C65" s="219">
        <f t="shared" si="17"/>
        <v>1</v>
      </c>
      <c r="D65" s="219">
        <f t="shared" si="17"/>
        <v>0</v>
      </c>
      <c r="E65" s="219">
        <f t="shared" si="17"/>
        <v>0</v>
      </c>
      <c r="F65" s="219">
        <f t="shared" si="17"/>
        <v>0</v>
      </c>
      <c r="G65" s="219">
        <f t="shared" si="17"/>
        <v>0</v>
      </c>
      <c r="H65" s="219">
        <f t="shared" si="17"/>
        <v>0</v>
      </c>
      <c r="I65" s="219">
        <f t="shared" si="17"/>
        <v>3</v>
      </c>
      <c r="J65" s="219">
        <f t="shared" si="17"/>
        <v>0</v>
      </c>
      <c r="K65" s="219">
        <f t="shared" si="17"/>
        <v>0</v>
      </c>
      <c r="L65" s="219">
        <f t="shared" si="17"/>
        <v>0</v>
      </c>
      <c r="M65" s="219">
        <f t="shared" si="17"/>
        <v>0</v>
      </c>
      <c r="N65" s="219">
        <f t="shared" si="17"/>
        <v>0</v>
      </c>
      <c r="O65" s="219">
        <f t="shared" si="17"/>
        <v>2</v>
      </c>
      <c r="P65" s="219">
        <f t="shared" si="17"/>
        <v>1</v>
      </c>
      <c r="Q65" s="219">
        <f t="shared" si="17"/>
        <v>0</v>
      </c>
      <c r="R65" s="219">
        <f t="shared" si="17"/>
        <v>0</v>
      </c>
      <c r="S65" s="219">
        <f t="shared" si="17"/>
        <v>0</v>
      </c>
      <c r="T65" s="219">
        <f t="shared" si="17"/>
        <v>1</v>
      </c>
      <c r="U65" s="219">
        <f t="shared" si="17"/>
        <v>0</v>
      </c>
      <c r="V65" s="219">
        <f t="shared" si="17"/>
        <v>0</v>
      </c>
      <c r="W65" s="219">
        <f t="shared" si="17"/>
        <v>0</v>
      </c>
      <c r="X65" s="219">
        <f t="shared" si="17"/>
        <v>3</v>
      </c>
      <c r="Y65" s="219">
        <f t="shared" si="17"/>
        <v>0</v>
      </c>
      <c r="Z65" s="219">
        <f t="shared" si="17"/>
        <v>0</v>
      </c>
      <c r="AA65" s="219">
        <f t="shared" si="17"/>
        <v>0</v>
      </c>
      <c r="AB65" s="219">
        <f t="shared" si="17"/>
        <v>0</v>
      </c>
      <c r="AC65" s="219">
        <f t="shared" si="17"/>
        <v>0</v>
      </c>
      <c r="AD65" s="219">
        <f t="shared" si="17"/>
        <v>0</v>
      </c>
      <c r="AE65" s="219">
        <f t="shared" si="17"/>
        <v>0</v>
      </c>
      <c r="AF65" s="125">
        <f t="shared" si="15"/>
        <v>11</v>
      </c>
    </row>
    <row r="66">
      <c r="A66" s="4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137"/>
    </row>
    <row r="67">
      <c r="A67" s="117" t="s">
        <v>264</v>
      </c>
      <c r="B67" s="444"/>
      <c r="C67" s="114">
        <v>1.0</v>
      </c>
      <c r="D67" s="444"/>
      <c r="E67" s="444"/>
      <c r="F67" s="444"/>
      <c r="G67" s="444"/>
      <c r="H67" s="444"/>
      <c r="I67" s="114">
        <v>1.0</v>
      </c>
      <c r="J67" s="444"/>
      <c r="K67" s="444"/>
      <c r="L67" s="444"/>
      <c r="M67" s="444"/>
      <c r="N67" s="444"/>
      <c r="O67" s="444"/>
      <c r="P67" s="444"/>
      <c r="Q67" s="444"/>
      <c r="R67" s="444"/>
      <c r="S67" s="444"/>
      <c r="T67" s="114">
        <v>1.0</v>
      </c>
      <c r="U67" s="114">
        <v>1.0</v>
      </c>
      <c r="V67" s="444"/>
      <c r="W67" s="444"/>
      <c r="X67" s="114">
        <v>1.0</v>
      </c>
      <c r="Y67" s="444"/>
      <c r="Z67" s="444"/>
      <c r="AA67" s="444"/>
      <c r="AB67" s="444"/>
      <c r="AC67" s="444"/>
      <c r="AD67" s="444"/>
      <c r="AE67" s="444"/>
      <c r="AF67" s="125">
        <f t="shared" ref="AF67:AF75" si="18">SUM(B67:AE67)</f>
        <v>5</v>
      </c>
    </row>
    <row r="68">
      <c r="A68" s="117" t="s">
        <v>267</v>
      </c>
      <c r="B68" s="444"/>
      <c r="C68" s="114">
        <v>1.0</v>
      </c>
      <c r="D68" s="444"/>
      <c r="E68" s="444"/>
      <c r="F68" s="444"/>
      <c r="G68" s="444"/>
      <c r="H68" s="444"/>
      <c r="I68" s="114">
        <v>3.0</v>
      </c>
      <c r="J68" s="444"/>
      <c r="K68" s="444"/>
      <c r="L68" s="444"/>
      <c r="M68" s="444"/>
      <c r="N68" s="444"/>
      <c r="O68" s="114">
        <v>1.0</v>
      </c>
      <c r="P68" s="444"/>
      <c r="Q68" s="444"/>
      <c r="R68" s="444"/>
      <c r="S68" s="444"/>
      <c r="T68" s="444"/>
      <c r="U68" s="114">
        <v>1.0</v>
      </c>
      <c r="V68" s="444"/>
      <c r="W68" s="444"/>
      <c r="X68" s="114">
        <v>1.0</v>
      </c>
      <c r="Y68" s="444"/>
      <c r="Z68" s="444"/>
      <c r="AA68" s="444"/>
      <c r="AB68" s="444"/>
      <c r="AC68" s="444"/>
      <c r="AD68" s="444"/>
      <c r="AE68" s="444"/>
      <c r="AF68" s="125">
        <f t="shared" si="18"/>
        <v>7</v>
      </c>
    </row>
    <row r="69">
      <c r="A69" s="117" t="s">
        <v>612</v>
      </c>
      <c r="B69" s="444"/>
      <c r="C69" s="444"/>
      <c r="D69" s="114">
        <v>1.0</v>
      </c>
      <c r="E69" s="444"/>
      <c r="F69" s="444"/>
      <c r="G69" s="444"/>
      <c r="H69" s="444"/>
      <c r="I69" s="114">
        <v>1.0</v>
      </c>
      <c r="J69" s="444"/>
      <c r="K69" s="444"/>
      <c r="L69" s="444"/>
      <c r="M69" s="444"/>
      <c r="N69" s="444"/>
      <c r="O69" s="114">
        <v>1.0</v>
      </c>
      <c r="P69" s="444"/>
      <c r="Q69" s="444"/>
      <c r="R69" s="444"/>
      <c r="S69" s="444"/>
      <c r="T69" s="444"/>
      <c r="U69" s="342"/>
      <c r="V69" s="444"/>
      <c r="W69" s="444"/>
      <c r="X69" s="342"/>
      <c r="Y69" s="444"/>
      <c r="Z69" s="444"/>
      <c r="AA69" s="444"/>
      <c r="AB69" s="444"/>
      <c r="AC69" s="444"/>
      <c r="AD69" s="444"/>
      <c r="AE69" s="444"/>
      <c r="AF69" s="125">
        <f t="shared" si="18"/>
        <v>3</v>
      </c>
    </row>
    <row r="70">
      <c r="A70" s="117" t="s">
        <v>613</v>
      </c>
      <c r="B70" s="444"/>
      <c r="C70" s="114">
        <v>1.0</v>
      </c>
      <c r="D70" s="444"/>
      <c r="E70" s="444"/>
      <c r="F70" s="444"/>
      <c r="G70" s="444"/>
      <c r="H70" s="444"/>
      <c r="I70" s="444"/>
      <c r="J70" s="444"/>
      <c r="K70" s="444"/>
      <c r="L70" s="444"/>
      <c r="M70" s="444"/>
      <c r="N70" s="444"/>
      <c r="O70" s="444"/>
      <c r="P70" s="444"/>
      <c r="Q70" s="444"/>
      <c r="R70" s="444"/>
      <c r="S70" s="444"/>
      <c r="T70" s="444"/>
      <c r="U70" s="342"/>
      <c r="V70" s="444"/>
      <c r="W70" s="444"/>
      <c r="X70" s="342"/>
      <c r="Y70" s="444"/>
      <c r="Z70" s="444"/>
      <c r="AA70" s="444"/>
      <c r="AB70" s="444"/>
      <c r="AC70" s="444"/>
      <c r="AD70" s="444"/>
      <c r="AE70" s="444"/>
      <c r="AF70" s="125">
        <f t="shared" si="18"/>
        <v>1</v>
      </c>
    </row>
    <row r="71">
      <c r="A71" s="117" t="s">
        <v>614</v>
      </c>
      <c r="B71" s="444"/>
      <c r="C71" s="444"/>
      <c r="D71" s="444"/>
      <c r="E71" s="444"/>
      <c r="F71" s="444"/>
      <c r="G71" s="444"/>
      <c r="H71" s="444"/>
      <c r="I71" s="444"/>
      <c r="J71" s="444"/>
      <c r="K71" s="444"/>
      <c r="L71" s="444"/>
      <c r="M71" s="444"/>
      <c r="N71" s="444"/>
      <c r="O71" s="444"/>
      <c r="P71" s="444"/>
      <c r="Q71" s="444"/>
      <c r="R71" s="444"/>
      <c r="S71" s="444"/>
      <c r="T71" s="444"/>
      <c r="U71" s="114">
        <v>1.0</v>
      </c>
      <c r="V71" s="444"/>
      <c r="W71" s="444"/>
      <c r="X71" s="342"/>
      <c r="Y71" s="444"/>
      <c r="Z71" s="444"/>
      <c r="AA71" s="444"/>
      <c r="AB71" s="444"/>
      <c r="AC71" s="444"/>
      <c r="AD71" s="444"/>
      <c r="AE71" s="444"/>
      <c r="AF71" s="125">
        <f t="shared" si="18"/>
        <v>1</v>
      </c>
    </row>
    <row r="72">
      <c r="A72" s="117" t="s">
        <v>615</v>
      </c>
      <c r="B72" s="444"/>
      <c r="C72" s="444"/>
      <c r="D72" s="444"/>
      <c r="E72" s="444"/>
      <c r="F72" s="444"/>
      <c r="G72" s="444"/>
      <c r="H72" s="444"/>
      <c r="I72" s="444"/>
      <c r="J72" s="444"/>
      <c r="K72" s="444"/>
      <c r="L72" s="444"/>
      <c r="M72" s="444"/>
      <c r="N72" s="444"/>
      <c r="O72" s="444"/>
      <c r="P72" s="444"/>
      <c r="Q72" s="444"/>
      <c r="R72" s="444"/>
      <c r="S72" s="444"/>
      <c r="T72" s="444"/>
      <c r="U72" s="342"/>
      <c r="V72" s="444"/>
      <c r="W72" s="444"/>
      <c r="X72" s="342"/>
      <c r="Y72" s="444"/>
      <c r="Z72" s="444"/>
      <c r="AA72" s="444"/>
      <c r="AB72" s="444"/>
      <c r="AC72" s="444"/>
      <c r="AD72" s="444"/>
      <c r="AE72" s="444"/>
      <c r="AF72" s="125">
        <f t="shared" si="18"/>
        <v>0</v>
      </c>
    </row>
    <row r="73">
      <c r="A73" s="117" t="s">
        <v>616</v>
      </c>
      <c r="B73" s="444"/>
      <c r="C73" s="444"/>
      <c r="D73" s="444"/>
      <c r="E73" s="444"/>
      <c r="F73" s="444"/>
      <c r="G73" s="444"/>
      <c r="H73" s="444"/>
      <c r="I73" s="444"/>
      <c r="J73" s="444"/>
      <c r="K73" s="444"/>
      <c r="L73" s="444"/>
      <c r="M73" s="444"/>
      <c r="N73" s="444"/>
      <c r="O73" s="444"/>
      <c r="P73" s="444"/>
      <c r="Q73" s="444"/>
      <c r="R73" s="444"/>
      <c r="S73" s="444"/>
      <c r="T73" s="444"/>
      <c r="U73" s="342"/>
      <c r="V73" s="444"/>
      <c r="W73" s="444"/>
      <c r="X73" s="342"/>
      <c r="Y73" s="444"/>
      <c r="Z73" s="444"/>
      <c r="AA73" s="444"/>
      <c r="AB73" s="444"/>
      <c r="AC73" s="444"/>
      <c r="AD73" s="444"/>
      <c r="AE73" s="444"/>
      <c r="AF73" s="125">
        <f t="shared" si="18"/>
        <v>0</v>
      </c>
    </row>
    <row r="74">
      <c r="A74" s="117" t="s">
        <v>617</v>
      </c>
      <c r="B74" s="444"/>
      <c r="C74" s="444"/>
      <c r="D74" s="444"/>
      <c r="E74" s="444"/>
      <c r="F74" s="444"/>
      <c r="G74" s="444"/>
      <c r="H74" s="444"/>
      <c r="I74" s="444"/>
      <c r="J74" s="444"/>
      <c r="K74" s="444"/>
      <c r="L74" s="444"/>
      <c r="M74" s="444"/>
      <c r="N74" s="444"/>
      <c r="O74" s="444"/>
      <c r="P74" s="444"/>
      <c r="Q74" s="444"/>
      <c r="R74" s="444"/>
      <c r="S74" s="444"/>
      <c r="T74" s="444"/>
      <c r="U74" s="342"/>
      <c r="V74" s="444"/>
      <c r="W74" s="444"/>
      <c r="X74" s="342"/>
      <c r="Y74" s="444"/>
      <c r="Z74" s="444"/>
      <c r="AA74" s="444"/>
      <c r="AB74" s="444"/>
      <c r="AC74" s="444"/>
      <c r="AD74" s="444"/>
      <c r="AE74" s="444"/>
      <c r="AF74" s="125">
        <f t="shared" si="18"/>
        <v>0</v>
      </c>
    </row>
    <row r="75">
      <c r="A75" s="204" t="s">
        <v>162</v>
      </c>
      <c r="B75" s="219">
        <f t="shared" ref="B75:AE75" si="19">SUM(B67:B74)</f>
        <v>0</v>
      </c>
      <c r="C75" s="219">
        <f t="shared" si="19"/>
        <v>3</v>
      </c>
      <c r="D75" s="219">
        <f t="shared" si="19"/>
        <v>1</v>
      </c>
      <c r="E75" s="219">
        <f t="shared" si="19"/>
        <v>0</v>
      </c>
      <c r="F75" s="219">
        <f t="shared" si="19"/>
        <v>0</v>
      </c>
      <c r="G75" s="219">
        <f t="shared" si="19"/>
        <v>0</v>
      </c>
      <c r="H75" s="219">
        <f t="shared" si="19"/>
        <v>0</v>
      </c>
      <c r="I75" s="219">
        <f t="shared" si="19"/>
        <v>5</v>
      </c>
      <c r="J75" s="219">
        <f t="shared" si="19"/>
        <v>0</v>
      </c>
      <c r="K75" s="219">
        <f t="shared" si="19"/>
        <v>0</v>
      </c>
      <c r="L75" s="219">
        <f t="shared" si="19"/>
        <v>0</v>
      </c>
      <c r="M75" s="219">
        <f t="shared" si="19"/>
        <v>0</v>
      </c>
      <c r="N75" s="219">
        <f t="shared" si="19"/>
        <v>0</v>
      </c>
      <c r="O75" s="219">
        <f t="shared" si="19"/>
        <v>2</v>
      </c>
      <c r="P75" s="219">
        <f t="shared" si="19"/>
        <v>0</v>
      </c>
      <c r="Q75" s="219">
        <f t="shared" si="19"/>
        <v>0</v>
      </c>
      <c r="R75" s="219">
        <f t="shared" si="19"/>
        <v>0</v>
      </c>
      <c r="S75" s="219">
        <f t="shared" si="19"/>
        <v>0</v>
      </c>
      <c r="T75" s="219">
        <f t="shared" si="19"/>
        <v>1</v>
      </c>
      <c r="U75" s="219">
        <f t="shared" si="19"/>
        <v>3</v>
      </c>
      <c r="V75" s="219">
        <f t="shared" si="19"/>
        <v>0</v>
      </c>
      <c r="W75" s="219">
        <f t="shared" si="19"/>
        <v>0</v>
      </c>
      <c r="X75" s="219">
        <f t="shared" si="19"/>
        <v>2</v>
      </c>
      <c r="Y75" s="219">
        <f t="shared" si="19"/>
        <v>0</v>
      </c>
      <c r="Z75" s="219">
        <f t="shared" si="19"/>
        <v>0</v>
      </c>
      <c r="AA75" s="219">
        <f t="shared" si="19"/>
        <v>0</v>
      </c>
      <c r="AB75" s="219">
        <f t="shared" si="19"/>
        <v>0</v>
      </c>
      <c r="AC75" s="219">
        <f t="shared" si="19"/>
        <v>0</v>
      </c>
      <c r="AD75" s="219">
        <f t="shared" si="19"/>
        <v>0</v>
      </c>
      <c r="AE75" s="219">
        <f t="shared" si="19"/>
        <v>0</v>
      </c>
      <c r="AF75" s="125">
        <f t="shared" si="18"/>
        <v>17</v>
      </c>
    </row>
    <row r="76">
      <c r="A76" s="49"/>
      <c r="B76" s="139"/>
      <c r="C76" s="139"/>
      <c r="D76" s="139"/>
      <c r="E76" s="139"/>
      <c r="F76" s="139"/>
      <c r="G76" s="139"/>
      <c r="H76" s="139"/>
      <c r="I76" s="110"/>
      <c r="J76" s="110"/>
      <c r="K76" s="110"/>
      <c r="L76" s="110"/>
      <c r="M76" s="110"/>
      <c r="N76" s="110"/>
      <c r="O76" s="110"/>
      <c r="P76" s="110"/>
      <c r="Q76" s="110"/>
      <c r="R76" s="110"/>
      <c r="S76" s="110"/>
      <c r="T76" s="110"/>
      <c r="U76" s="110"/>
      <c r="V76" s="110"/>
      <c r="W76" s="110"/>
      <c r="X76" s="110"/>
      <c r="Y76" s="110"/>
      <c r="Z76" s="110"/>
      <c r="AA76" s="110"/>
      <c r="AB76" s="110"/>
      <c r="AC76" s="110"/>
      <c r="AD76" s="110"/>
      <c r="AE76" s="74"/>
      <c r="AF76" s="137"/>
    </row>
    <row r="77">
      <c r="A77" s="117" t="s">
        <v>618</v>
      </c>
      <c r="B77" s="345"/>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c r="AC77" s="345"/>
      <c r="AD77" s="345"/>
      <c r="AE77" s="446"/>
      <c r="AF77" s="137"/>
    </row>
    <row r="78">
      <c r="A78" s="49"/>
      <c r="B78" s="139"/>
      <c r="C78" s="139"/>
      <c r="D78" s="139"/>
      <c r="E78" s="139"/>
      <c r="F78" s="139"/>
      <c r="G78" s="139"/>
      <c r="H78" s="139"/>
      <c r="I78" s="110"/>
      <c r="J78" s="110"/>
      <c r="K78" s="110"/>
      <c r="L78" s="110"/>
      <c r="M78" s="110"/>
      <c r="N78" s="110"/>
      <c r="O78" s="110"/>
      <c r="P78" s="110"/>
      <c r="Q78" s="110"/>
      <c r="R78" s="110"/>
      <c r="S78" s="110"/>
      <c r="T78" s="110"/>
      <c r="U78" s="110"/>
      <c r="V78" s="110"/>
      <c r="W78" s="110"/>
      <c r="X78" s="110"/>
      <c r="Y78" s="110"/>
      <c r="Z78" s="110"/>
      <c r="AA78" s="110"/>
      <c r="AB78" s="110"/>
      <c r="AC78" s="110"/>
      <c r="AD78" s="110"/>
      <c r="AE78" s="74"/>
      <c r="AF78" s="137"/>
    </row>
    <row r="79">
      <c r="A79" s="75" t="s">
        <v>619</v>
      </c>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137"/>
    </row>
    <row r="80">
      <c r="A80" s="117" t="s">
        <v>600</v>
      </c>
      <c r="B80" s="55">
        <v>0.0</v>
      </c>
      <c r="C80" s="128">
        <v>362.98</v>
      </c>
      <c r="D80" s="128">
        <v>41.73</v>
      </c>
      <c r="E80" s="55">
        <v>0.0</v>
      </c>
      <c r="F80" s="55">
        <v>0.0</v>
      </c>
      <c r="G80" s="55">
        <v>0.0</v>
      </c>
      <c r="H80" s="55">
        <v>0.0</v>
      </c>
      <c r="I80" s="128">
        <v>1429.34</v>
      </c>
      <c r="J80" s="55">
        <v>0.0</v>
      </c>
      <c r="K80" s="55">
        <v>0.0</v>
      </c>
      <c r="L80" s="55">
        <v>0.0</v>
      </c>
      <c r="M80" s="128">
        <v>0.0</v>
      </c>
      <c r="N80" s="55">
        <v>0.0</v>
      </c>
      <c r="O80" s="128">
        <v>547.06</v>
      </c>
      <c r="P80" s="128">
        <v>287.83</v>
      </c>
      <c r="Q80" s="55">
        <v>0.0</v>
      </c>
      <c r="R80" s="55">
        <v>0.0</v>
      </c>
      <c r="S80" s="55">
        <v>0.0</v>
      </c>
      <c r="T80" s="248">
        <v>309.98</v>
      </c>
      <c r="U80" s="248">
        <v>340.58</v>
      </c>
      <c r="V80" s="248">
        <v>299.0</v>
      </c>
      <c r="W80" s="248">
        <v>0.0</v>
      </c>
      <c r="X80" s="248">
        <v>922.34</v>
      </c>
      <c r="Y80" s="248">
        <v>0.0</v>
      </c>
      <c r="Z80" s="248">
        <v>0.0</v>
      </c>
      <c r="AA80" s="248">
        <v>0.0</v>
      </c>
      <c r="AB80" s="248">
        <v>0.0</v>
      </c>
      <c r="AC80" s="248">
        <v>0.0</v>
      </c>
      <c r="AD80" s="248">
        <v>0.0</v>
      </c>
      <c r="AE80" s="248">
        <v>0.0</v>
      </c>
      <c r="AF80" s="188">
        <f t="shared" ref="AF80:AF83" si="20">SUM(B80:AE80)</f>
        <v>4540.84</v>
      </c>
    </row>
    <row r="81">
      <c r="A81" s="117" t="s">
        <v>135</v>
      </c>
      <c r="B81" s="448"/>
      <c r="C81" s="448"/>
      <c r="D81" s="448"/>
      <c r="E81" s="448"/>
      <c r="F81" s="448"/>
      <c r="G81" s="448"/>
      <c r="H81" s="448"/>
      <c r="I81" s="448"/>
      <c r="J81" s="448"/>
      <c r="K81" s="448"/>
      <c r="L81" s="448"/>
      <c r="M81" s="70"/>
      <c r="N81" s="448"/>
      <c r="O81" s="448"/>
      <c r="P81" s="448"/>
      <c r="Q81" s="448"/>
      <c r="R81" s="448"/>
      <c r="S81" s="448"/>
      <c r="T81" s="448"/>
      <c r="U81" s="448"/>
      <c r="V81" s="448"/>
      <c r="W81" s="448"/>
      <c r="X81" s="448"/>
      <c r="Y81" s="448"/>
      <c r="Z81" s="448"/>
      <c r="AA81" s="448"/>
      <c r="AB81" s="448"/>
      <c r="AC81" s="448"/>
      <c r="AD81" s="448"/>
      <c r="AE81" s="448"/>
      <c r="AF81" s="188">
        <f t="shared" si="20"/>
        <v>0</v>
      </c>
    </row>
    <row r="82">
      <c r="A82" s="117" t="s">
        <v>601</v>
      </c>
      <c r="B82" s="448"/>
      <c r="C82" s="448"/>
      <c r="D82" s="448"/>
      <c r="E82" s="448"/>
      <c r="F82" s="448"/>
      <c r="G82" s="448"/>
      <c r="H82" s="448"/>
      <c r="I82" s="448"/>
      <c r="J82" s="448"/>
      <c r="K82" s="448"/>
      <c r="L82" s="448"/>
      <c r="M82" s="448"/>
      <c r="N82" s="448"/>
      <c r="O82" s="448"/>
      <c r="P82" s="448"/>
      <c r="Q82" s="448"/>
      <c r="R82" s="448"/>
      <c r="S82" s="448"/>
      <c r="T82" s="448"/>
      <c r="U82" s="448"/>
      <c r="V82" s="448"/>
      <c r="W82" s="448"/>
      <c r="X82" s="448"/>
      <c r="Y82" s="448"/>
      <c r="Z82" s="448"/>
      <c r="AA82" s="448"/>
      <c r="AB82" s="448"/>
      <c r="AC82" s="448"/>
      <c r="AD82" s="448"/>
      <c r="AE82" s="448"/>
      <c r="AF82" s="188">
        <f t="shared" si="20"/>
        <v>0</v>
      </c>
    </row>
    <row r="83">
      <c r="A83" s="251" t="s">
        <v>602</v>
      </c>
      <c r="B83" s="254">
        <f t="shared" ref="B83:AE83" si="21">sum(B80:B82)</f>
        <v>0</v>
      </c>
      <c r="C83" s="254">
        <f t="shared" si="21"/>
        <v>362.98</v>
      </c>
      <c r="D83" s="254">
        <f t="shared" si="21"/>
        <v>41.73</v>
      </c>
      <c r="E83" s="254">
        <f t="shared" si="21"/>
        <v>0</v>
      </c>
      <c r="F83" s="254">
        <f t="shared" si="21"/>
        <v>0</v>
      </c>
      <c r="G83" s="254">
        <f t="shared" si="21"/>
        <v>0</v>
      </c>
      <c r="H83" s="254">
        <f t="shared" si="21"/>
        <v>0</v>
      </c>
      <c r="I83" s="254">
        <f t="shared" si="21"/>
        <v>1429.34</v>
      </c>
      <c r="J83" s="254">
        <f t="shared" si="21"/>
        <v>0</v>
      </c>
      <c r="K83" s="254">
        <f t="shared" si="21"/>
        <v>0</v>
      </c>
      <c r="L83" s="254">
        <f t="shared" si="21"/>
        <v>0</v>
      </c>
      <c r="M83" s="254">
        <f t="shared" si="21"/>
        <v>0</v>
      </c>
      <c r="N83" s="254">
        <f t="shared" si="21"/>
        <v>0</v>
      </c>
      <c r="O83" s="254">
        <f t="shared" si="21"/>
        <v>547.06</v>
      </c>
      <c r="P83" s="254">
        <f t="shared" si="21"/>
        <v>287.83</v>
      </c>
      <c r="Q83" s="254">
        <f t="shared" si="21"/>
        <v>0</v>
      </c>
      <c r="R83" s="254">
        <f t="shared" si="21"/>
        <v>0</v>
      </c>
      <c r="S83" s="254">
        <f t="shared" si="21"/>
        <v>0</v>
      </c>
      <c r="T83" s="254">
        <f t="shared" si="21"/>
        <v>309.98</v>
      </c>
      <c r="U83" s="254">
        <f t="shared" si="21"/>
        <v>340.58</v>
      </c>
      <c r="V83" s="254">
        <f t="shared" si="21"/>
        <v>299</v>
      </c>
      <c r="W83" s="254">
        <f t="shared" si="21"/>
        <v>0</v>
      </c>
      <c r="X83" s="254">
        <f t="shared" si="21"/>
        <v>922.34</v>
      </c>
      <c r="Y83" s="254">
        <f t="shared" si="21"/>
        <v>0</v>
      </c>
      <c r="Z83" s="254">
        <f t="shared" si="21"/>
        <v>0</v>
      </c>
      <c r="AA83" s="254">
        <f t="shared" si="21"/>
        <v>0</v>
      </c>
      <c r="AB83" s="254">
        <f t="shared" si="21"/>
        <v>0</v>
      </c>
      <c r="AC83" s="254">
        <f t="shared" si="21"/>
        <v>0</v>
      </c>
      <c r="AD83" s="254">
        <f t="shared" si="21"/>
        <v>0</v>
      </c>
      <c r="AE83" s="254">
        <f t="shared" si="21"/>
        <v>0</v>
      </c>
      <c r="AF83" s="188">
        <f t="shared" si="20"/>
        <v>4540.84</v>
      </c>
    </row>
    <row r="84">
      <c r="A84" s="4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200"/>
    </row>
    <row r="85">
      <c r="A85" s="340" t="s">
        <v>484</v>
      </c>
      <c r="B85" s="71"/>
      <c r="C85" s="73"/>
      <c r="D85" s="73"/>
      <c r="E85" s="71"/>
      <c r="F85" s="71"/>
      <c r="G85" s="71"/>
      <c r="H85" s="71"/>
      <c r="I85" s="73"/>
      <c r="J85" s="71"/>
      <c r="K85" s="71"/>
      <c r="L85" s="71"/>
      <c r="M85" s="73"/>
      <c r="N85" s="71"/>
      <c r="O85" s="128">
        <v>326.0</v>
      </c>
      <c r="P85" s="71"/>
      <c r="Q85" s="71"/>
      <c r="R85" s="452"/>
      <c r="S85" s="452"/>
      <c r="T85" s="452"/>
      <c r="U85" s="452"/>
      <c r="V85" s="452"/>
      <c r="W85" s="452"/>
      <c r="X85" s="452"/>
      <c r="Y85" s="452"/>
      <c r="Z85" s="452"/>
      <c r="AA85" s="452"/>
      <c r="AB85" s="452"/>
      <c r="AC85" s="452"/>
      <c r="AD85" s="452"/>
      <c r="AE85" s="452"/>
      <c r="AF85" s="200"/>
    </row>
    <row r="86">
      <c r="A86" s="455" t="s">
        <v>486</v>
      </c>
      <c r="B86" s="448"/>
      <c r="C86" s="448"/>
      <c r="D86" s="448"/>
      <c r="E86" s="448"/>
      <c r="F86" s="448"/>
      <c r="G86" s="448"/>
      <c r="H86" s="448"/>
      <c r="I86" s="448"/>
      <c r="J86" s="448"/>
      <c r="K86" s="448"/>
      <c r="L86" s="448"/>
      <c r="M86" s="70"/>
      <c r="N86" s="448"/>
      <c r="O86" s="248">
        <v>35.0</v>
      </c>
      <c r="P86" s="448"/>
      <c r="Q86" s="448"/>
      <c r="R86" s="448"/>
      <c r="S86" s="448"/>
      <c r="T86" s="448"/>
      <c r="U86" s="448"/>
      <c r="V86" s="448"/>
      <c r="W86" s="448"/>
      <c r="X86" s="448"/>
      <c r="Y86" s="448"/>
      <c r="Z86" s="448"/>
      <c r="AA86" s="448"/>
      <c r="AB86" s="448"/>
      <c r="AC86" s="448"/>
      <c r="AD86" s="448"/>
      <c r="AE86" s="448"/>
      <c r="AF86" s="200"/>
    </row>
    <row r="87">
      <c r="A87" s="457" t="s">
        <v>604</v>
      </c>
      <c r="B87" s="254">
        <f t="shared" ref="B87:AE87" si="22">sum(B84:B86)</f>
        <v>0</v>
      </c>
      <c r="C87" s="254">
        <f t="shared" si="22"/>
        <v>0</v>
      </c>
      <c r="D87" s="254">
        <f t="shared" si="22"/>
        <v>0</v>
      </c>
      <c r="E87" s="254">
        <f t="shared" si="22"/>
        <v>0</v>
      </c>
      <c r="F87" s="254">
        <f t="shared" si="22"/>
        <v>0</v>
      </c>
      <c r="G87" s="254">
        <f t="shared" si="22"/>
        <v>0</v>
      </c>
      <c r="H87" s="254">
        <f t="shared" si="22"/>
        <v>0</v>
      </c>
      <c r="I87" s="254">
        <f t="shared" si="22"/>
        <v>0</v>
      </c>
      <c r="J87" s="254">
        <f t="shared" si="22"/>
        <v>0</v>
      </c>
      <c r="K87" s="254">
        <f t="shared" si="22"/>
        <v>0</v>
      </c>
      <c r="L87" s="254">
        <f t="shared" si="22"/>
        <v>0</v>
      </c>
      <c r="M87" s="254">
        <f t="shared" si="22"/>
        <v>0</v>
      </c>
      <c r="N87" s="254">
        <f t="shared" si="22"/>
        <v>0</v>
      </c>
      <c r="O87" s="254">
        <f t="shared" si="22"/>
        <v>361</v>
      </c>
      <c r="P87" s="254">
        <f t="shared" si="22"/>
        <v>0</v>
      </c>
      <c r="Q87" s="254">
        <f t="shared" si="22"/>
        <v>0</v>
      </c>
      <c r="R87" s="254">
        <f t="shared" si="22"/>
        <v>0</v>
      </c>
      <c r="S87" s="254">
        <f t="shared" si="22"/>
        <v>0</v>
      </c>
      <c r="T87" s="254">
        <f t="shared" si="22"/>
        <v>0</v>
      </c>
      <c r="U87" s="254">
        <f t="shared" si="22"/>
        <v>0</v>
      </c>
      <c r="V87" s="254">
        <f t="shared" si="22"/>
        <v>0</v>
      </c>
      <c r="W87" s="254">
        <f t="shared" si="22"/>
        <v>0</v>
      </c>
      <c r="X87" s="254">
        <f t="shared" si="22"/>
        <v>0</v>
      </c>
      <c r="Y87" s="254">
        <f t="shared" si="22"/>
        <v>0</v>
      </c>
      <c r="Z87" s="254">
        <f t="shared" si="22"/>
        <v>0</v>
      </c>
      <c r="AA87" s="254">
        <f t="shared" si="22"/>
        <v>0</v>
      </c>
      <c r="AB87" s="254">
        <f t="shared" si="22"/>
        <v>0</v>
      </c>
      <c r="AC87" s="254">
        <f t="shared" si="22"/>
        <v>0</v>
      </c>
      <c r="AD87" s="254">
        <f t="shared" si="22"/>
        <v>0</v>
      </c>
      <c r="AE87" s="254">
        <f t="shared" si="22"/>
        <v>0</v>
      </c>
      <c r="AF87" s="188">
        <f>SUM(B87:AE87)</f>
        <v>361</v>
      </c>
    </row>
    <row r="88">
      <c r="A88" s="49"/>
      <c r="B88" s="183"/>
      <c r="C88" s="183"/>
      <c r="D88" s="183"/>
      <c r="E88" s="183"/>
      <c r="F88" s="183"/>
      <c r="G88" s="183"/>
      <c r="H88" s="183"/>
      <c r="I88" s="183"/>
      <c r="J88" s="183"/>
      <c r="K88" s="183"/>
      <c r="L88" s="183"/>
      <c r="M88" s="183"/>
      <c r="N88" s="183"/>
      <c r="O88" s="183"/>
      <c r="P88" s="183"/>
      <c r="Q88" s="183"/>
      <c r="R88" s="183"/>
      <c r="S88" s="183"/>
      <c r="T88" s="183"/>
      <c r="U88" s="183"/>
      <c r="V88" s="183"/>
      <c r="W88" s="183"/>
      <c r="X88" s="183"/>
      <c r="Y88" s="183"/>
      <c r="Z88" s="183"/>
      <c r="AA88" s="183"/>
      <c r="AB88" s="183"/>
      <c r="AC88" s="183"/>
      <c r="AD88" s="183"/>
      <c r="AE88" s="183"/>
      <c r="AF88" s="200"/>
    </row>
    <row r="89" collapsed="1">
      <c r="A89" s="434" t="s">
        <v>631</v>
      </c>
      <c r="B89" s="469"/>
      <c r="C89" s="469"/>
      <c r="D89" s="469"/>
      <c r="E89" s="469"/>
      <c r="F89" s="469"/>
      <c r="G89" s="469"/>
      <c r="H89" s="469"/>
      <c r="I89" s="469"/>
      <c r="J89" s="469"/>
      <c r="K89" s="469"/>
      <c r="L89" s="469"/>
      <c r="M89" s="471"/>
      <c r="N89" s="469"/>
      <c r="O89" s="469"/>
      <c r="P89" s="469"/>
      <c r="Q89" s="469"/>
      <c r="R89" s="469"/>
      <c r="S89" s="469"/>
      <c r="T89" s="469"/>
      <c r="U89" s="469"/>
      <c r="V89" s="469"/>
      <c r="W89" s="469"/>
      <c r="X89" s="469"/>
      <c r="Y89" s="469"/>
      <c r="Z89" s="469"/>
      <c r="AA89" s="469"/>
      <c r="AB89" s="469"/>
      <c r="AC89" s="469"/>
      <c r="AD89" s="469"/>
      <c r="AE89" s="469"/>
      <c r="AF89" s="200"/>
    </row>
    <row r="90" hidden="1" outlineLevel="1">
      <c r="A90" s="117" t="s">
        <v>632</v>
      </c>
      <c r="B90" s="112">
        <v>0.0</v>
      </c>
      <c r="C90" s="112">
        <v>0.0</v>
      </c>
      <c r="D90" s="112">
        <v>0.0</v>
      </c>
      <c r="E90" s="112">
        <v>0.0</v>
      </c>
      <c r="F90" s="112">
        <v>0.0</v>
      </c>
      <c r="G90" s="112">
        <v>0.0</v>
      </c>
      <c r="H90" s="112">
        <v>0.0</v>
      </c>
      <c r="I90" s="112">
        <v>0.0</v>
      </c>
      <c r="J90" s="112">
        <v>0.0</v>
      </c>
      <c r="K90" s="112">
        <v>0.0</v>
      </c>
      <c r="L90" s="112">
        <v>0.0</v>
      </c>
      <c r="M90" s="112">
        <v>0.0</v>
      </c>
      <c r="N90" s="112">
        <v>0.0</v>
      </c>
      <c r="O90" s="112">
        <v>0.0</v>
      </c>
      <c r="P90" s="112">
        <v>0.0</v>
      </c>
      <c r="Q90" s="112">
        <v>0.0</v>
      </c>
      <c r="R90" s="112">
        <v>0.0</v>
      </c>
      <c r="S90" s="112">
        <v>0.0</v>
      </c>
      <c r="T90" s="112">
        <v>0.0</v>
      </c>
      <c r="U90" s="112">
        <v>0.0</v>
      </c>
      <c r="V90" s="112">
        <v>0.0</v>
      </c>
      <c r="W90" s="112">
        <v>0.0</v>
      </c>
      <c r="X90" s="112">
        <v>0.0</v>
      </c>
      <c r="Y90" s="112">
        <v>0.0</v>
      </c>
      <c r="Z90" s="112">
        <v>0.0</v>
      </c>
      <c r="AA90" s="112">
        <v>0.0</v>
      </c>
      <c r="AB90" s="112">
        <v>0.0</v>
      </c>
      <c r="AC90" s="112">
        <v>0.0</v>
      </c>
      <c r="AD90" s="112">
        <v>0.0</v>
      </c>
      <c r="AE90" s="112">
        <v>0.0</v>
      </c>
      <c r="AF90" s="125">
        <f t="shared" ref="AF90:AF95" si="23">SUM(B90:AE90)</f>
        <v>0</v>
      </c>
    </row>
    <row r="91" hidden="1" outlineLevel="1">
      <c r="A91" s="344" t="s">
        <v>634</v>
      </c>
      <c r="B91" s="112">
        <v>0.0</v>
      </c>
      <c r="C91" s="112">
        <v>0.0</v>
      </c>
      <c r="D91" s="112">
        <v>0.0</v>
      </c>
      <c r="E91" s="112">
        <v>0.0</v>
      </c>
      <c r="F91" s="112">
        <v>0.0</v>
      </c>
      <c r="G91" s="112">
        <v>0.0</v>
      </c>
      <c r="H91" s="112">
        <v>0.0</v>
      </c>
      <c r="I91" s="112">
        <v>0.0</v>
      </c>
      <c r="J91" s="112">
        <v>0.0</v>
      </c>
      <c r="K91" s="112">
        <v>0.0</v>
      </c>
      <c r="L91" s="112">
        <v>0.0</v>
      </c>
      <c r="M91" s="112">
        <v>0.0</v>
      </c>
      <c r="N91" s="112">
        <v>0.0</v>
      </c>
      <c r="O91" s="112">
        <v>0.0</v>
      </c>
      <c r="P91" s="112">
        <v>0.0</v>
      </c>
      <c r="Q91" s="112">
        <v>0.0</v>
      </c>
      <c r="R91" s="112">
        <v>0.0</v>
      </c>
      <c r="S91" s="112">
        <v>0.0</v>
      </c>
      <c r="T91" s="112">
        <v>0.0</v>
      </c>
      <c r="U91" s="112">
        <v>0.0</v>
      </c>
      <c r="V91" s="112">
        <v>0.0</v>
      </c>
      <c r="W91" s="112">
        <v>0.0</v>
      </c>
      <c r="X91" s="112">
        <v>0.0</v>
      </c>
      <c r="Y91" s="112">
        <v>0.0</v>
      </c>
      <c r="Z91" s="112">
        <v>0.0</v>
      </c>
      <c r="AA91" s="112">
        <v>0.0</v>
      </c>
      <c r="AB91" s="112">
        <v>0.0</v>
      </c>
      <c r="AC91" s="112">
        <v>0.0</v>
      </c>
      <c r="AD91" s="112">
        <v>0.0</v>
      </c>
      <c r="AE91" s="112">
        <v>0.0</v>
      </c>
      <c r="AF91" s="125">
        <f t="shared" si="23"/>
        <v>0</v>
      </c>
    </row>
    <row r="92" hidden="1" outlineLevel="1">
      <c r="A92" s="117" t="s">
        <v>639</v>
      </c>
      <c r="B92" s="112">
        <v>0.0</v>
      </c>
      <c r="C92" s="112">
        <v>0.0</v>
      </c>
      <c r="D92" s="112">
        <v>0.0</v>
      </c>
      <c r="E92" s="112">
        <v>0.0</v>
      </c>
      <c r="F92" s="112">
        <v>0.0</v>
      </c>
      <c r="G92" s="112">
        <v>0.0</v>
      </c>
      <c r="H92" s="112">
        <v>0.0</v>
      </c>
      <c r="I92" s="112">
        <v>0.0</v>
      </c>
      <c r="J92" s="112">
        <v>0.0</v>
      </c>
      <c r="K92" s="112">
        <v>0.0</v>
      </c>
      <c r="L92" s="112">
        <v>0.0</v>
      </c>
      <c r="M92" s="112">
        <v>0.0</v>
      </c>
      <c r="N92" s="112">
        <v>0.0</v>
      </c>
      <c r="O92" s="112">
        <v>0.0</v>
      </c>
      <c r="P92" s="112">
        <v>0.0</v>
      </c>
      <c r="Q92" s="112">
        <v>0.0</v>
      </c>
      <c r="R92" s="112">
        <v>0.0</v>
      </c>
      <c r="S92" s="112">
        <v>0.0</v>
      </c>
      <c r="T92" s="112">
        <v>0.0</v>
      </c>
      <c r="U92" s="112">
        <v>0.0</v>
      </c>
      <c r="V92" s="112">
        <v>0.0</v>
      </c>
      <c r="W92" s="112">
        <v>0.0</v>
      </c>
      <c r="X92" s="112">
        <v>0.0</v>
      </c>
      <c r="Y92" s="112">
        <v>0.0</v>
      </c>
      <c r="Z92" s="112">
        <v>0.0</v>
      </c>
      <c r="AA92" s="112">
        <v>0.0</v>
      </c>
      <c r="AB92" s="112">
        <v>0.0</v>
      </c>
      <c r="AC92" s="112">
        <v>0.0</v>
      </c>
      <c r="AD92" s="112">
        <v>0.0</v>
      </c>
      <c r="AE92" s="112">
        <v>1.0</v>
      </c>
      <c r="AF92" s="125">
        <f t="shared" si="23"/>
        <v>1</v>
      </c>
    </row>
    <row r="93" hidden="1" outlineLevel="1">
      <c r="A93" s="117" t="s">
        <v>644</v>
      </c>
      <c r="B93" s="112">
        <v>0.0</v>
      </c>
      <c r="C93" s="112">
        <v>0.0</v>
      </c>
      <c r="D93" s="112">
        <v>0.0</v>
      </c>
      <c r="E93" s="112">
        <v>0.0</v>
      </c>
      <c r="F93" s="112">
        <v>0.0</v>
      </c>
      <c r="G93" s="112">
        <v>0.0</v>
      </c>
      <c r="H93" s="112">
        <v>0.0</v>
      </c>
      <c r="I93" s="112">
        <v>0.0</v>
      </c>
      <c r="J93" s="112">
        <v>0.0</v>
      </c>
      <c r="K93" s="112">
        <v>0.0</v>
      </c>
      <c r="L93" s="112">
        <v>0.0</v>
      </c>
      <c r="M93" s="112">
        <v>0.0</v>
      </c>
      <c r="N93" s="112">
        <v>0.0</v>
      </c>
      <c r="O93" s="112">
        <v>0.0</v>
      </c>
      <c r="P93" s="112">
        <v>0.0</v>
      </c>
      <c r="Q93" s="112">
        <v>0.0</v>
      </c>
      <c r="R93" s="112">
        <v>0.0</v>
      </c>
      <c r="S93" s="112">
        <v>0.0</v>
      </c>
      <c r="T93" s="112">
        <v>0.0</v>
      </c>
      <c r="U93" s="112">
        <v>0.0</v>
      </c>
      <c r="V93" s="112">
        <v>0.0</v>
      </c>
      <c r="W93" s="112">
        <v>0.0</v>
      </c>
      <c r="X93" s="112">
        <v>0.0</v>
      </c>
      <c r="Y93" s="112">
        <v>0.0</v>
      </c>
      <c r="Z93" s="112">
        <v>0.0</v>
      </c>
      <c r="AA93" s="112">
        <v>0.0</v>
      </c>
      <c r="AB93" s="112">
        <v>0.0</v>
      </c>
      <c r="AC93" s="112">
        <v>0.0</v>
      </c>
      <c r="AD93" s="112">
        <v>0.0</v>
      </c>
      <c r="AE93" s="112">
        <v>0.0</v>
      </c>
      <c r="AF93" s="125">
        <f t="shared" si="23"/>
        <v>0</v>
      </c>
    </row>
    <row r="94" hidden="1" outlineLevel="1">
      <c r="A94" s="204" t="s">
        <v>258</v>
      </c>
      <c r="B94" s="219">
        <f t="shared" ref="B94:AE94" si="24">B90+B91</f>
        <v>0</v>
      </c>
      <c r="C94" s="219">
        <f t="shared" si="24"/>
        <v>0</v>
      </c>
      <c r="D94" s="219">
        <f t="shared" si="24"/>
        <v>0</v>
      </c>
      <c r="E94" s="219">
        <f t="shared" si="24"/>
        <v>0</v>
      </c>
      <c r="F94" s="219">
        <f t="shared" si="24"/>
        <v>0</v>
      </c>
      <c r="G94" s="219">
        <f t="shared" si="24"/>
        <v>0</v>
      </c>
      <c r="H94" s="219">
        <f t="shared" si="24"/>
        <v>0</v>
      </c>
      <c r="I94" s="219">
        <f t="shared" si="24"/>
        <v>0</v>
      </c>
      <c r="J94" s="219">
        <f t="shared" si="24"/>
        <v>0</v>
      </c>
      <c r="K94" s="219">
        <f t="shared" si="24"/>
        <v>0</v>
      </c>
      <c r="L94" s="219">
        <f t="shared" si="24"/>
        <v>0</v>
      </c>
      <c r="M94" s="219">
        <f t="shared" si="24"/>
        <v>0</v>
      </c>
      <c r="N94" s="219">
        <f t="shared" si="24"/>
        <v>0</v>
      </c>
      <c r="O94" s="219">
        <f t="shared" si="24"/>
        <v>0</v>
      </c>
      <c r="P94" s="219">
        <f t="shared" si="24"/>
        <v>0</v>
      </c>
      <c r="Q94" s="219">
        <f t="shared" si="24"/>
        <v>0</v>
      </c>
      <c r="R94" s="219">
        <f t="shared" si="24"/>
        <v>0</v>
      </c>
      <c r="S94" s="219">
        <f t="shared" si="24"/>
        <v>0</v>
      </c>
      <c r="T94" s="219">
        <f t="shared" si="24"/>
        <v>0</v>
      </c>
      <c r="U94" s="219">
        <f t="shared" si="24"/>
        <v>0</v>
      </c>
      <c r="V94" s="219">
        <f t="shared" si="24"/>
        <v>0</v>
      </c>
      <c r="W94" s="219">
        <f t="shared" si="24"/>
        <v>0</v>
      </c>
      <c r="X94" s="219">
        <f t="shared" si="24"/>
        <v>0</v>
      </c>
      <c r="Y94" s="219">
        <f t="shared" si="24"/>
        <v>0</v>
      </c>
      <c r="Z94" s="219">
        <f t="shared" si="24"/>
        <v>0</v>
      </c>
      <c r="AA94" s="219">
        <f t="shared" si="24"/>
        <v>0</v>
      </c>
      <c r="AB94" s="219">
        <f t="shared" si="24"/>
        <v>0</v>
      </c>
      <c r="AC94" s="219">
        <f t="shared" si="24"/>
        <v>0</v>
      </c>
      <c r="AD94" s="219">
        <f t="shared" si="24"/>
        <v>0</v>
      </c>
      <c r="AE94" s="219">
        <f t="shared" si="24"/>
        <v>0</v>
      </c>
      <c r="AF94" s="125">
        <f t="shared" si="23"/>
        <v>0</v>
      </c>
    </row>
    <row r="95" hidden="1" outlineLevel="1">
      <c r="A95" s="129" t="s">
        <v>260</v>
      </c>
      <c r="B95" s="219">
        <f t="shared" ref="B95:AE95" si="25">B92+B93</f>
        <v>0</v>
      </c>
      <c r="C95" s="219">
        <f t="shared" si="25"/>
        <v>0</v>
      </c>
      <c r="D95" s="219">
        <f t="shared" si="25"/>
        <v>0</v>
      </c>
      <c r="E95" s="219">
        <f t="shared" si="25"/>
        <v>0</v>
      </c>
      <c r="F95" s="219">
        <f t="shared" si="25"/>
        <v>0</v>
      </c>
      <c r="G95" s="219">
        <f t="shared" si="25"/>
        <v>0</v>
      </c>
      <c r="H95" s="219">
        <f t="shared" si="25"/>
        <v>0</v>
      </c>
      <c r="I95" s="219">
        <f t="shared" si="25"/>
        <v>0</v>
      </c>
      <c r="J95" s="219">
        <f t="shared" si="25"/>
        <v>0</v>
      </c>
      <c r="K95" s="219">
        <f t="shared" si="25"/>
        <v>0</v>
      </c>
      <c r="L95" s="219">
        <f t="shared" si="25"/>
        <v>0</v>
      </c>
      <c r="M95" s="219">
        <f t="shared" si="25"/>
        <v>0</v>
      </c>
      <c r="N95" s="219">
        <f t="shared" si="25"/>
        <v>0</v>
      </c>
      <c r="O95" s="219">
        <f t="shared" si="25"/>
        <v>0</v>
      </c>
      <c r="P95" s="219">
        <f t="shared" si="25"/>
        <v>0</v>
      </c>
      <c r="Q95" s="219">
        <f t="shared" si="25"/>
        <v>0</v>
      </c>
      <c r="R95" s="219">
        <f t="shared" si="25"/>
        <v>0</v>
      </c>
      <c r="S95" s="219">
        <f t="shared" si="25"/>
        <v>0</v>
      </c>
      <c r="T95" s="219">
        <f t="shared" si="25"/>
        <v>0</v>
      </c>
      <c r="U95" s="219">
        <f t="shared" si="25"/>
        <v>0</v>
      </c>
      <c r="V95" s="219">
        <f t="shared" si="25"/>
        <v>0</v>
      </c>
      <c r="W95" s="219">
        <f t="shared" si="25"/>
        <v>0</v>
      </c>
      <c r="X95" s="219">
        <f t="shared" si="25"/>
        <v>0</v>
      </c>
      <c r="Y95" s="219">
        <f t="shared" si="25"/>
        <v>0</v>
      </c>
      <c r="Z95" s="219">
        <f t="shared" si="25"/>
        <v>0</v>
      </c>
      <c r="AA95" s="219">
        <f t="shared" si="25"/>
        <v>0</v>
      </c>
      <c r="AB95" s="219">
        <f t="shared" si="25"/>
        <v>0</v>
      </c>
      <c r="AC95" s="219">
        <f t="shared" si="25"/>
        <v>0</v>
      </c>
      <c r="AD95" s="219">
        <f t="shared" si="25"/>
        <v>0</v>
      </c>
      <c r="AE95" s="219">
        <f t="shared" si="25"/>
        <v>1</v>
      </c>
      <c r="AF95" s="125">
        <f t="shared" si="23"/>
        <v>1</v>
      </c>
    </row>
    <row r="96" hidden="1" outlineLevel="1">
      <c r="A96" s="4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183"/>
      <c r="AF96" s="200"/>
    </row>
    <row r="97" hidden="1" outlineLevel="1">
      <c r="A97" s="117" t="s">
        <v>264</v>
      </c>
      <c r="B97" s="99">
        <v>0.0</v>
      </c>
      <c r="C97" s="99">
        <v>0.0</v>
      </c>
      <c r="D97" s="99">
        <v>0.0</v>
      </c>
      <c r="E97" s="99">
        <v>0.0</v>
      </c>
      <c r="F97" s="99">
        <v>0.0</v>
      </c>
      <c r="G97" s="99">
        <v>0.0</v>
      </c>
      <c r="H97" s="99">
        <v>0.0</v>
      </c>
      <c r="I97" s="99">
        <v>0.0</v>
      </c>
      <c r="J97" s="99">
        <v>0.0</v>
      </c>
      <c r="K97" s="99">
        <v>0.0</v>
      </c>
      <c r="L97" s="99">
        <v>0.0</v>
      </c>
      <c r="M97" s="99">
        <v>0.0</v>
      </c>
      <c r="N97" s="99">
        <v>0.0</v>
      </c>
      <c r="O97" s="99">
        <v>0.0</v>
      </c>
      <c r="P97" s="99">
        <v>0.0</v>
      </c>
      <c r="Q97" s="99">
        <v>0.0</v>
      </c>
      <c r="R97" s="99">
        <v>0.0</v>
      </c>
      <c r="S97" s="99">
        <v>0.0</v>
      </c>
      <c r="T97" s="99">
        <v>0.0</v>
      </c>
      <c r="U97" s="99">
        <v>0.0</v>
      </c>
      <c r="V97" s="99">
        <v>0.0</v>
      </c>
      <c r="W97" s="99">
        <v>0.0</v>
      </c>
      <c r="X97" s="21">
        <v>0.0</v>
      </c>
      <c r="Y97" s="21">
        <v>0.0</v>
      </c>
      <c r="Z97" s="21">
        <v>0.0</v>
      </c>
      <c r="AA97" s="21">
        <v>0.0</v>
      </c>
      <c r="AB97" s="21">
        <v>0.0</v>
      </c>
      <c r="AC97" s="21">
        <v>0.0</v>
      </c>
      <c r="AD97" s="21">
        <v>0.0</v>
      </c>
      <c r="AE97" s="21">
        <v>0.0</v>
      </c>
      <c r="AF97" s="125">
        <f t="shared" ref="AF97:AF105" si="26">SUM(B97:AE97)</f>
        <v>0</v>
      </c>
    </row>
    <row r="98" hidden="1" outlineLevel="1">
      <c r="A98" s="117" t="s">
        <v>267</v>
      </c>
      <c r="B98" s="21">
        <v>0.0</v>
      </c>
      <c r="C98" s="21">
        <v>0.0</v>
      </c>
      <c r="D98" s="21">
        <v>0.0</v>
      </c>
      <c r="E98" s="21">
        <v>0.0</v>
      </c>
      <c r="F98" s="21">
        <v>0.0</v>
      </c>
      <c r="G98" s="21">
        <v>0.0</v>
      </c>
      <c r="H98" s="21">
        <v>0.0</v>
      </c>
      <c r="I98" s="21">
        <v>0.0</v>
      </c>
      <c r="J98" s="21">
        <v>0.0</v>
      </c>
      <c r="K98" s="21">
        <v>0.0</v>
      </c>
      <c r="L98" s="21">
        <v>0.0</v>
      </c>
      <c r="M98" s="21">
        <v>0.0</v>
      </c>
      <c r="N98" s="21">
        <v>0.0</v>
      </c>
      <c r="O98" s="21">
        <v>0.0</v>
      </c>
      <c r="P98" s="21">
        <v>0.0</v>
      </c>
      <c r="Q98" s="21">
        <v>0.0</v>
      </c>
      <c r="R98" s="21">
        <v>0.0</v>
      </c>
      <c r="S98" s="21">
        <v>0.0</v>
      </c>
      <c r="T98" s="21">
        <v>0.0</v>
      </c>
      <c r="U98" s="21">
        <v>0.0</v>
      </c>
      <c r="V98" s="21">
        <v>0.0</v>
      </c>
      <c r="W98" s="21">
        <v>0.0</v>
      </c>
      <c r="X98" s="21">
        <v>0.0</v>
      </c>
      <c r="Y98" s="21">
        <v>0.0</v>
      </c>
      <c r="Z98" s="21">
        <v>0.0</v>
      </c>
      <c r="AA98" s="21">
        <v>0.0</v>
      </c>
      <c r="AB98" s="21">
        <v>0.0</v>
      </c>
      <c r="AC98" s="21">
        <v>0.0</v>
      </c>
      <c r="AD98" s="21">
        <v>0.0</v>
      </c>
      <c r="AE98" s="21">
        <v>0.0</v>
      </c>
      <c r="AF98" s="125">
        <f t="shared" si="26"/>
        <v>0</v>
      </c>
    </row>
    <row r="99" hidden="1" outlineLevel="1">
      <c r="A99" s="117" t="s">
        <v>679</v>
      </c>
      <c r="B99" s="21">
        <v>0.0</v>
      </c>
      <c r="C99" s="21">
        <v>0.0</v>
      </c>
      <c r="D99" s="21">
        <v>0.0</v>
      </c>
      <c r="E99" s="21">
        <v>0.0</v>
      </c>
      <c r="F99" s="21">
        <v>0.0</v>
      </c>
      <c r="G99" s="21">
        <v>0.0</v>
      </c>
      <c r="H99" s="21">
        <v>0.0</v>
      </c>
      <c r="I99" s="21">
        <v>0.0</v>
      </c>
      <c r="J99" s="21">
        <v>0.0</v>
      </c>
      <c r="K99" s="21">
        <v>0.0</v>
      </c>
      <c r="L99" s="21">
        <v>0.0</v>
      </c>
      <c r="M99" s="21">
        <v>0.0</v>
      </c>
      <c r="N99" s="21">
        <v>0.0</v>
      </c>
      <c r="O99" s="21">
        <v>0.0</v>
      </c>
      <c r="P99" s="21">
        <v>0.0</v>
      </c>
      <c r="Q99" s="21">
        <v>0.0</v>
      </c>
      <c r="R99" s="21">
        <v>0.0</v>
      </c>
      <c r="S99" s="21">
        <v>0.0</v>
      </c>
      <c r="T99" s="21">
        <v>0.0</v>
      </c>
      <c r="U99" s="21">
        <v>0.0</v>
      </c>
      <c r="V99" s="21">
        <v>0.0</v>
      </c>
      <c r="W99" s="21">
        <v>0.0</v>
      </c>
      <c r="X99" s="21">
        <v>0.0</v>
      </c>
      <c r="Y99" s="21">
        <v>0.0</v>
      </c>
      <c r="Z99" s="21">
        <v>0.0</v>
      </c>
      <c r="AA99" s="21">
        <v>0.0</v>
      </c>
      <c r="AB99" s="21">
        <v>0.0</v>
      </c>
      <c r="AC99" s="21">
        <v>0.0</v>
      </c>
      <c r="AD99" s="21">
        <v>0.0</v>
      </c>
      <c r="AE99" s="21">
        <v>0.0</v>
      </c>
      <c r="AF99" s="125">
        <f t="shared" si="26"/>
        <v>0</v>
      </c>
    </row>
    <row r="100" hidden="1" outlineLevel="1">
      <c r="A100" s="117" t="s">
        <v>680</v>
      </c>
      <c r="B100" s="21">
        <v>0.0</v>
      </c>
      <c r="C100" s="21">
        <v>0.0</v>
      </c>
      <c r="D100" s="21">
        <v>0.0</v>
      </c>
      <c r="E100" s="21">
        <v>0.0</v>
      </c>
      <c r="F100" s="21">
        <v>0.0</v>
      </c>
      <c r="G100" s="21">
        <v>0.0</v>
      </c>
      <c r="H100" s="21">
        <v>0.0</v>
      </c>
      <c r="I100" s="21">
        <v>0.0</v>
      </c>
      <c r="J100" s="21">
        <v>0.0</v>
      </c>
      <c r="K100" s="21">
        <v>0.0</v>
      </c>
      <c r="L100" s="21">
        <v>0.0</v>
      </c>
      <c r="M100" s="21">
        <v>0.0</v>
      </c>
      <c r="N100" s="21">
        <v>0.0</v>
      </c>
      <c r="O100" s="21">
        <v>0.0</v>
      </c>
      <c r="P100" s="21">
        <v>0.0</v>
      </c>
      <c r="Q100" s="21">
        <v>0.0</v>
      </c>
      <c r="R100" s="21">
        <v>0.0</v>
      </c>
      <c r="S100" s="21">
        <v>0.0</v>
      </c>
      <c r="T100" s="21">
        <v>0.0</v>
      </c>
      <c r="U100" s="21">
        <v>0.0</v>
      </c>
      <c r="V100" s="21">
        <v>0.0</v>
      </c>
      <c r="W100" s="21">
        <v>0.0</v>
      </c>
      <c r="X100" s="21">
        <v>0.0</v>
      </c>
      <c r="Y100" s="21">
        <v>0.0</v>
      </c>
      <c r="Z100" s="21">
        <v>0.0</v>
      </c>
      <c r="AA100" s="21">
        <v>0.0</v>
      </c>
      <c r="AB100" s="21">
        <v>0.0</v>
      </c>
      <c r="AC100" s="21">
        <v>0.0</v>
      </c>
      <c r="AD100" s="21">
        <v>0.0</v>
      </c>
      <c r="AE100" s="21">
        <v>0.0</v>
      </c>
      <c r="AF100" s="125">
        <f t="shared" si="26"/>
        <v>0</v>
      </c>
    </row>
    <row r="101" hidden="1" outlineLevel="1">
      <c r="A101" s="117" t="s">
        <v>681</v>
      </c>
      <c r="B101" s="21">
        <v>0.0</v>
      </c>
      <c r="C101" s="21">
        <v>0.0</v>
      </c>
      <c r="D101" s="21">
        <v>0.0</v>
      </c>
      <c r="E101" s="21">
        <v>0.0</v>
      </c>
      <c r="F101" s="21">
        <v>0.0</v>
      </c>
      <c r="G101" s="21">
        <v>0.0</v>
      </c>
      <c r="H101" s="21">
        <v>0.0</v>
      </c>
      <c r="I101" s="21">
        <v>0.0</v>
      </c>
      <c r="J101" s="21">
        <v>0.0</v>
      </c>
      <c r="K101" s="21">
        <v>0.0</v>
      </c>
      <c r="L101" s="21">
        <v>0.0</v>
      </c>
      <c r="M101" s="21">
        <v>0.0</v>
      </c>
      <c r="N101" s="21">
        <v>0.0</v>
      </c>
      <c r="O101" s="21">
        <v>0.0</v>
      </c>
      <c r="P101" s="21">
        <v>0.0</v>
      </c>
      <c r="Q101" s="21">
        <v>0.0</v>
      </c>
      <c r="R101" s="21">
        <v>0.0</v>
      </c>
      <c r="S101" s="21">
        <v>0.0</v>
      </c>
      <c r="T101" s="21">
        <v>0.0</v>
      </c>
      <c r="U101" s="21">
        <v>0.0</v>
      </c>
      <c r="V101" s="21">
        <v>0.0</v>
      </c>
      <c r="W101" s="21">
        <v>0.0</v>
      </c>
      <c r="X101" s="21">
        <v>0.0</v>
      </c>
      <c r="Y101" s="21">
        <v>0.0</v>
      </c>
      <c r="Z101" s="21">
        <v>0.0</v>
      </c>
      <c r="AA101" s="21">
        <v>0.0</v>
      </c>
      <c r="AB101" s="21">
        <v>0.0</v>
      </c>
      <c r="AC101" s="21">
        <v>0.0</v>
      </c>
      <c r="AD101" s="21">
        <v>0.0</v>
      </c>
      <c r="AE101" s="21">
        <v>0.0</v>
      </c>
      <c r="AF101" s="125">
        <f t="shared" si="26"/>
        <v>0</v>
      </c>
    </row>
    <row r="102" hidden="1" outlineLevel="1">
      <c r="A102" s="117" t="s">
        <v>686</v>
      </c>
      <c r="B102" s="21">
        <v>0.0</v>
      </c>
      <c r="C102" s="21">
        <v>0.0</v>
      </c>
      <c r="D102" s="21">
        <v>0.0</v>
      </c>
      <c r="E102" s="21">
        <v>0.0</v>
      </c>
      <c r="F102" s="21">
        <v>0.0</v>
      </c>
      <c r="G102" s="21">
        <v>0.0</v>
      </c>
      <c r="H102" s="21">
        <v>0.0</v>
      </c>
      <c r="I102" s="21">
        <v>0.0</v>
      </c>
      <c r="J102" s="21">
        <v>0.0</v>
      </c>
      <c r="K102" s="21">
        <v>0.0</v>
      </c>
      <c r="L102" s="21">
        <v>0.0</v>
      </c>
      <c r="M102" s="21">
        <v>0.0</v>
      </c>
      <c r="N102" s="21">
        <v>0.0</v>
      </c>
      <c r="O102" s="21">
        <v>0.0</v>
      </c>
      <c r="P102" s="21">
        <v>0.0</v>
      </c>
      <c r="Q102" s="21">
        <v>0.0</v>
      </c>
      <c r="R102" s="21">
        <v>0.0</v>
      </c>
      <c r="S102" s="21">
        <v>0.0</v>
      </c>
      <c r="T102" s="21">
        <v>0.0</v>
      </c>
      <c r="U102" s="21">
        <v>0.0</v>
      </c>
      <c r="V102" s="21">
        <v>0.0</v>
      </c>
      <c r="W102" s="21">
        <v>0.0</v>
      </c>
      <c r="X102" s="21">
        <v>0.0</v>
      </c>
      <c r="Y102" s="21">
        <v>0.0</v>
      </c>
      <c r="Z102" s="21">
        <v>0.0</v>
      </c>
      <c r="AA102" s="21">
        <v>0.0</v>
      </c>
      <c r="AB102" s="21">
        <v>0.0</v>
      </c>
      <c r="AC102" s="21">
        <v>0.0</v>
      </c>
      <c r="AD102" s="21">
        <v>0.0</v>
      </c>
      <c r="AE102" s="21">
        <v>0.0</v>
      </c>
      <c r="AF102" s="125">
        <f t="shared" si="26"/>
        <v>0</v>
      </c>
    </row>
    <row r="103" hidden="1" outlineLevel="1">
      <c r="A103" s="117" t="s">
        <v>691</v>
      </c>
      <c r="B103" s="21">
        <v>0.0</v>
      </c>
      <c r="C103" s="21">
        <v>0.0</v>
      </c>
      <c r="D103" s="21">
        <v>0.0</v>
      </c>
      <c r="E103" s="21">
        <v>0.0</v>
      </c>
      <c r="F103" s="21">
        <v>0.0</v>
      </c>
      <c r="G103" s="21">
        <v>0.0</v>
      </c>
      <c r="H103" s="21">
        <v>0.0</v>
      </c>
      <c r="I103" s="21">
        <v>0.0</v>
      </c>
      <c r="J103" s="21">
        <v>0.0</v>
      </c>
      <c r="K103" s="21">
        <v>0.0</v>
      </c>
      <c r="L103" s="21">
        <v>0.0</v>
      </c>
      <c r="M103" s="21">
        <v>0.0</v>
      </c>
      <c r="N103" s="21">
        <v>0.0</v>
      </c>
      <c r="O103" s="21">
        <v>0.0</v>
      </c>
      <c r="P103" s="21">
        <v>0.0</v>
      </c>
      <c r="Q103" s="21">
        <v>0.0</v>
      </c>
      <c r="R103" s="21">
        <v>0.0</v>
      </c>
      <c r="S103" s="21">
        <v>0.0</v>
      </c>
      <c r="T103" s="21">
        <v>0.0</v>
      </c>
      <c r="U103" s="21">
        <v>0.0</v>
      </c>
      <c r="V103" s="21">
        <v>0.0</v>
      </c>
      <c r="W103" s="21">
        <v>0.0</v>
      </c>
      <c r="X103" s="21">
        <v>0.0</v>
      </c>
      <c r="Y103" s="21">
        <v>0.0</v>
      </c>
      <c r="Z103" s="21">
        <v>0.0</v>
      </c>
      <c r="AA103" s="21">
        <v>0.0</v>
      </c>
      <c r="AB103" s="21">
        <v>0.0</v>
      </c>
      <c r="AC103" s="21">
        <v>0.0</v>
      </c>
      <c r="AD103" s="21">
        <v>0.0</v>
      </c>
      <c r="AE103" s="21">
        <v>0.0</v>
      </c>
      <c r="AF103" s="125">
        <f t="shared" si="26"/>
        <v>0</v>
      </c>
    </row>
    <row r="104" hidden="1" outlineLevel="1">
      <c r="A104" s="117" t="s">
        <v>695</v>
      </c>
      <c r="B104" s="99">
        <v>0.0</v>
      </c>
      <c r="C104" s="99">
        <v>0.0</v>
      </c>
      <c r="D104" s="99">
        <v>0.0</v>
      </c>
      <c r="E104" s="99">
        <v>0.0</v>
      </c>
      <c r="F104" s="99">
        <v>0.0</v>
      </c>
      <c r="G104" s="99">
        <v>0.0</v>
      </c>
      <c r="H104" s="99">
        <v>0.0</v>
      </c>
      <c r="I104" s="99">
        <v>0.0</v>
      </c>
      <c r="J104" s="99">
        <v>0.0</v>
      </c>
      <c r="K104" s="99">
        <v>0.0</v>
      </c>
      <c r="L104" s="99">
        <v>0.0</v>
      </c>
      <c r="M104" s="99">
        <v>0.0</v>
      </c>
      <c r="N104" s="99">
        <v>0.0</v>
      </c>
      <c r="O104" s="99">
        <v>0.0</v>
      </c>
      <c r="P104" s="99">
        <v>0.0</v>
      </c>
      <c r="Q104" s="99">
        <v>0.0</v>
      </c>
      <c r="R104" s="99">
        <v>0.0</v>
      </c>
      <c r="S104" s="99">
        <v>0.0</v>
      </c>
      <c r="T104" s="99">
        <v>0.0</v>
      </c>
      <c r="U104" s="99">
        <v>0.0</v>
      </c>
      <c r="V104" s="99">
        <v>0.0</v>
      </c>
      <c r="W104" s="99">
        <v>0.0</v>
      </c>
      <c r="X104" s="21">
        <v>0.0</v>
      </c>
      <c r="Y104" s="21">
        <v>0.0</v>
      </c>
      <c r="Z104" s="21">
        <v>0.0</v>
      </c>
      <c r="AA104" s="21">
        <v>0.0</v>
      </c>
      <c r="AB104" s="21">
        <v>0.0</v>
      </c>
      <c r="AC104" s="21">
        <v>0.0</v>
      </c>
      <c r="AD104" s="21">
        <v>0.0</v>
      </c>
      <c r="AE104" s="21">
        <v>0.0</v>
      </c>
      <c r="AF104" s="125">
        <f t="shared" si="26"/>
        <v>0</v>
      </c>
    </row>
    <row r="105" hidden="1" outlineLevel="1">
      <c r="A105" s="204" t="s">
        <v>162</v>
      </c>
      <c r="B105" s="219">
        <f>SUM(B97:B104)</f>
        <v>0</v>
      </c>
      <c r="C105" s="219">
        <f t="shared" ref="C105:AE105" si="27">SUM(C97:C101)</f>
        <v>0</v>
      </c>
      <c r="D105" s="219">
        <f t="shared" si="27"/>
        <v>0</v>
      </c>
      <c r="E105" s="219">
        <f t="shared" si="27"/>
        <v>0</v>
      </c>
      <c r="F105" s="219">
        <f t="shared" si="27"/>
        <v>0</v>
      </c>
      <c r="G105" s="219">
        <f t="shared" si="27"/>
        <v>0</v>
      </c>
      <c r="H105" s="219">
        <f t="shared" si="27"/>
        <v>0</v>
      </c>
      <c r="I105" s="219">
        <f t="shared" si="27"/>
        <v>0</v>
      </c>
      <c r="J105" s="219">
        <f t="shared" si="27"/>
        <v>0</v>
      </c>
      <c r="K105" s="219">
        <f t="shared" si="27"/>
        <v>0</v>
      </c>
      <c r="L105" s="219">
        <f t="shared" si="27"/>
        <v>0</v>
      </c>
      <c r="M105" s="219">
        <f t="shared" si="27"/>
        <v>0</v>
      </c>
      <c r="N105" s="219">
        <f t="shared" si="27"/>
        <v>0</v>
      </c>
      <c r="O105" s="219">
        <f t="shared" si="27"/>
        <v>0</v>
      </c>
      <c r="P105" s="219">
        <f t="shared" si="27"/>
        <v>0</v>
      </c>
      <c r="Q105" s="219">
        <f t="shared" si="27"/>
        <v>0</v>
      </c>
      <c r="R105" s="219">
        <f t="shared" si="27"/>
        <v>0</v>
      </c>
      <c r="S105" s="219">
        <f t="shared" si="27"/>
        <v>0</v>
      </c>
      <c r="T105" s="219">
        <f t="shared" si="27"/>
        <v>0</v>
      </c>
      <c r="U105" s="219">
        <f t="shared" si="27"/>
        <v>0</v>
      </c>
      <c r="V105" s="219">
        <f t="shared" si="27"/>
        <v>0</v>
      </c>
      <c r="W105" s="219">
        <f t="shared" si="27"/>
        <v>0</v>
      </c>
      <c r="X105" s="219">
        <f t="shared" si="27"/>
        <v>0</v>
      </c>
      <c r="Y105" s="219">
        <f t="shared" si="27"/>
        <v>0</v>
      </c>
      <c r="Z105" s="219">
        <f t="shared" si="27"/>
        <v>0</v>
      </c>
      <c r="AA105" s="219">
        <f t="shared" si="27"/>
        <v>0</v>
      </c>
      <c r="AB105" s="219">
        <f t="shared" si="27"/>
        <v>0</v>
      </c>
      <c r="AC105" s="219">
        <f t="shared" si="27"/>
        <v>0</v>
      </c>
      <c r="AD105" s="219">
        <f t="shared" si="27"/>
        <v>0</v>
      </c>
      <c r="AE105" s="219">
        <f t="shared" si="27"/>
        <v>0</v>
      </c>
      <c r="AF105" s="125">
        <f t="shared" si="26"/>
        <v>0</v>
      </c>
    </row>
    <row r="106" hidden="1" outlineLevel="1">
      <c r="A106" s="49"/>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200"/>
    </row>
    <row r="107" hidden="1" outlineLevel="1">
      <c r="A107" s="204" t="s">
        <v>370</v>
      </c>
      <c r="B107" s="257"/>
      <c r="C107" s="257"/>
      <c r="D107" s="257"/>
      <c r="E107" s="257"/>
      <c r="F107" s="257"/>
      <c r="G107" s="257"/>
      <c r="H107" s="257"/>
      <c r="I107" s="257"/>
      <c r="J107" s="257"/>
      <c r="K107" s="257"/>
      <c r="L107" s="257"/>
      <c r="M107" s="257"/>
      <c r="N107" s="257"/>
      <c r="O107" s="257"/>
      <c r="P107" s="257"/>
      <c r="Q107" s="257"/>
      <c r="R107" s="257"/>
      <c r="S107" s="257"/>
      <c r="T107" s="257"/>
      <c r="U107" s="257"/>
      <c r="V107" s="257"/>
      <c r="W107" s="257"/>
      <c r="X107" s="257"/>
      <c r="Y107" s="257"/>
      <c r="Z107" s="257"/>
      <c r="AA107" s="257"/>
      <c r="AB107" s="257"/>
      <c r="AC107" s="257"/>
      <c r="AD107" s="257"/>
      <c r="AE107" s="257"/>
      <c r="AF107" s="200"/>
    </row>
    <row r="108" hidden="1" outlineLevel="1">
      <c r="A108" s="117" t="s">
        <v>371</v>
      </c>
      <c r="B108" s="119">
        <v>0.0</v>
      </c>
      <c r="C108" s="112">
        <v>0.0</v>
      </c>
      <c r="D108" s="112">
        <v>0.0</v>
      </c>
      <c r="E108" s="112">
        <v>0.0</v>
      </c>
      <c r="F108" s="112">
        <v>0.0</v>
      </c>
      <c r="G108" s="112">
        <v>0.0</v>
      </c>
      <c r="H108" s="119">
        <v>0.0</v>
      </c>
      <c r="I108" s="119">
        <v>0.0</v>
      </c>
      <c r="J108" s="119">
        <v>0.0</v>
      </c>
      <c r="K108" s="119">
        <v>0.0</v>
      </c>
      <c r="L108" s="119">
        <v>0.0</v>
      </c>
      <c r="M108" s="119">
        <v>0.0</v>
      </c>
      <c r="N108" s="119">
        <v>0.0</v>
      </c>
      <c r="O108" s="119">
        <v>0.0</v>
      </c>
      <c r="P108" s="119">
        <v>0.0</v>
      </c>
      <c r="Q108" s="119">
        <v>0.0</v>
      </c>
      <c r="R108" s="119">
        <v>0.0</v>
      </c>
      <c r="S108" s="119">
        <v>0.0</v>
      </c>
      <c r="T108" s="119">
        <v>0.0</v>
      </c>
      <c r="U108" s="119">
        <v>0.0</v>
      </c>
      <c r="V108" s="119">
        <v>0.0</v>
      </c>
      <c r="W108" s="119">
        <v>0.0</v>
      </c>
      <c r="X108" s="112">
        <v>0.0</v>
      </c>
      <c r="Y108" s="112">
        <v>0.0</v>
      </c>
      <c r="Z108" s="112">
        <v>0.0</v>
      </c>
      <c r="AA108" s="112">
        <v>0.0</v>
      </c>
      <c r="AB108" s="112">
        <v>0.0</v>
      </c>
      <c r="AC108" s="112">
        <v>0.0</v>
      </c>
      <c r="AD108" s="112">
        <v>0.0</v>
      </c>
      <c r="AE108" s="112">
        <v>0.0</v>
      </c>
      <c r="AF108" s="125">
        <f t="shared" ref="AF108:AF110" si="28">SUM(B108:AE108)</f>
        <v>0</v>
      </c>
    </row>
    <row r="109" hidden="1" outlineLevel="1">
      <c r="A109" s="117" t="s">
        <v>373</v>
      </c>
      <c r="B109" s="119">
        <v>0.0</v>
      </c>
      <c r="C109" s="112">
        <v>0.0</v>
      </c>
      <c r="D109" s="112">
        <v>0.0</v>
      </c>
      <c r="E109" s="112">
        <v>0.0</v>
      </c>
      <c r="F109" s="112">
        <v>0.0</v>
      </c>
      <c r="G109" s="112">
        <v>0.0</v>
      </c>
      <c r="H109" s="119">
        <v>0.0</v>
      </c>
      <c r="I109" s="119">
        <v>0.0</v>
      </c>
      <c r="J109" s="119">
        <v>0.0</v>
      </c>
      <c r="K109" s="119">
        <v>0.0</v>
      </c>
      <c r="L109" s="119">
        <v>0.0</v>
      </c>
      <c r="M109" s="119">
        <v>0.0</v>
      </c>
      <c r="N109" s="119">
        <v>0.0</v>
      </c>
      <c r="O109" s="119">
        <v>0.0</v>
      </c>
      <c r="P109" s="119">
        <v>0.0</v>
      </c>
      <c r="Q109" s="119">
        <v>0.0</v>
      </c>
      <c r="R109" s="119">
        <v>0.0</v>
      </c>
      <c r="S109" s="119">
        <v>0.0</v>
      </c>
      <c r="T109" s="119">
        <v>0.0</v>
      </c>
      <c r="U109" s="119">
        <v>0.0</v>
      </c>
      <c r="V109" s="119">
        <v>0.0</v>
      </c>
      <c r="W109" s="119">
        <v>0.0</v>
      </c>
      <c r="X109" s="112">
        <v>0.0</v>
      </c>
      <c r="Y109" s="112">
        <v>0.0</v>
      </c>
      <c r="Z109" s="112">
        <v>0.0</v>
      </c>
      <c r="AA109" s="112">
        <v>0.0</v>
      </c>
      <c r="AB109" s="112">
        <v>0.0</v>
      </c>
      <c r="AC109" s="112">
        <v>0.0</v>
      </c>
      <c r="AD109" s="112">
        <v>0.0</v>
      </c>
      <c r="AE109" s="112">
        <v>0.0</v>
      </c>
      <c r="AF109" s="125">
        <f t="shared" si="28"/>
        <v>0</v>
      </c>
    </row>
    <row r="110" hidden="1" outlineLevel="1">
      <c r="A110" s="117" t="s">
        <v>374</v>
      </c>
      <c r="B110" s="119">
        <v>0.0</v>
      </c>
      <c r="C110" s="112">
        <v>0.0</v>
      </c>
      <c r="D110" s="112">
        <v>0.0</v>
      </c>
      <c r="E110" s="112">
        <v>0.0</v>
      </c>
      <c r="F110" s="112">
        <v>0.0</v>
      </c>
      <c r="G110" s="112">
        <v>0.0</v>
      </c>
      <c r="H110" s="119">
        <v>0.0</v>
      </c>
      <c r="I110" s="119">
        <v>0.0</v>
      </c>
      <c r="J110" s="119">
        <v>0.0</v>
      </c>
      <c r="K110" s="119">
        <v>0.0</v>
      </c>
      <c r="L110" s="119">
        <v>0.0</v>
      </c>
      <c r="M110" s="119">
        <v>0.0</v>
      </c>
      <c r="N110" s="119">
        <v>0.0</v>
      </c>
      <c r="O110" s="119">
        <v>0.0</v>
      </c>
      <c r="P110" s="119">
        <v>0.0</v>
      </c>
      <c r="Q110" s="119">
        <v>0.0</v>
      </c>
      <c r="R110" s="119">
        <v>0.0</v>
      </c>
      <c r="S110" s="119">
        <v>0.0</v>
      </c>
      <c r="T110" s="119">
        <v>0.0</v>
      </c>
      <c r="U110" s="119">
        <v>0.0</v>
      </c>
      <c r="V110" s="119">
        <v>0.0</v>
      </c>
      <c r="W110" s="119">
        <v>0.0</v>
      </c>
      <c r="X110" s="112">
        <v>0.0</v>
      </c>
      <c r="Y110" s="112">
        <v>0.0</v>
      </c>
      <c r="Z110" s="112">
        <v>0.0</v>
      </c>
      <c r="AA110" s="112">
        <v>0.0</v>
      </c>
      <c r="AB110" s="112">
        <v>0.0</v>
      </c>
      <c r="AC110" s="112">
        <v>0.0</v>
      </c>
      <c r="AD110" s="112">
        <v>0.0</v>
      </c>
      <c r="AE110" s="112">
        <v>0.0</v>
      </c>
      <c r="AF110" s="125">
        <f t="shared" si="28"/>
        <v>0</v>
      </c>
    </row>
    <row r="111" hidden="1" outlineLevel="1">
      <c r="A111" s="49"/>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200"/>
    </row>
    <row r="112" hidden="1" outlineLevel="1">
      <c r="A112" s="251" t="s">
        <v>375</v>
      </c>
      <c r="B112" s="219">
        <v>0.0</v>
      </c>
      <c r="C112" s="219">
        <v>0.0</v>
      </c>
      <c r="D112" s="219">
        <v>0.0</v>
      </c>
      <c r="E112" s="219">
        <v>0.0</v>
      </c>
      <c r="F112" s="219">
        <v>0.0</v>
      </c>
      <c r="G112" s="219">
        <v>0.0</v>
      </c>
      <c r="H112" s="219">
        <v>0.0</v>
      </c>
      <c r="I112" s="219">
        <v>0.0</v>
      </c>
      <c r="J112" s="219">
        <v>0.0</v>
      </c>
      <c r="K112" s="219">
        <v>0.0</v>
      </c>
      <c r="L112" s="219">
        <v>0.0</v>
      </c>
      <c r="M112" s="219">
        <v>0.0</v>
      </c>
      <c r="N112" s="219">
        <v>0.0</v>
      </c>
      <c r="O112" s="219">
        <v>0.0</v>
      </c>
      <c r="P112" s="219">
        <v>0.0</v>
      </c>
      <c r="Q112" s="219">
        <v>0.0</v>
      </c>
      <c r="R112" s="219">
        <v>0.0</v>
      </c>
      <c r="S112" s="219">
        <v>0.0</v>
      </c>
      <c r="T112" s="219">
        <v>0.0</v>
      </c>
      <c r="U112" s="219">
        <v>0.0</v>
      </c>
      <c r="V112" s="219">
        <v>0.0</v>
      </c>
      <c r="W112" s="219">
        <v>0.0</v>
      </c>
      <c r="X112" s="219">
        <v>0.0</v>
      </c>
      <c r="Y112" s="219">
        <v>0.0</v>
      </c>
      <c r="Z112" s="219">
        <v>0.0</v>
      </c>
      <c r="AA112" s="219">
        <v>0.0</v>
      </c>
      <c r="AB112" s="219">
        <v>0.0</v>
      </c>
      <c r="AC112" s="219">
        <v>0.0</v>
      </c>
      <c r="AD112" s="219">
        <v>0.0</v>
      </c>
      <c r="AE112" s="219">
        <v>1.0</v>
      </c>
      <c r="AF112" s="125">
        <f>SUM(B112:AE112)</f>
        <v>1</v>
      </c>
    </row>
    <row r="113">
      <c r="A113" s="49"/>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517"/>
      <c r="Y113" s="110"/>
      <c r="Z113" s="110"/>
      <c r="AA113" s="110"/>
      <c r="AB113" s="110"/>
      <c r="AC113" s="110"/>
      <c r="AD113" s="110"/>
      <c r="AE113" s="183"/>
      <c r="AF113" s="200"/>
    </row>
    <row r="114">
      <c r="A114" s="49"/>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83"/>
      <c r="AF114" s="200"/>
    </row>
    <row r="115" ht="33.75" customHeight="1">
      <c r="A115" s="521" t="s">
        <v>716</v>
      </c>
      <c r="B115" s="522"/>
      <c r="C115" s="522"/>
      <c r="D115" s="522"/>
      <c r="E115" s="522"/>
      <c r="F115" s="522"/>
      <c r="G115" s="522"/>
      <c r="H115" s="522"/>
      <c r="I115" s="522"/>
      <c r="J115" s="522"/>
      <c r="K115" s="522"/>
      <c r="L115" s="522"/>
      <c r="M115" s="522"/>
      <c r="N115" s="522"/>
      <c r="O115" s="522"/>
      <c r="P115" s="522"/>
      <c r="Q115" s="522"/>
      <c r="R115" s="522"/>
      <c r="S115" s="522"/>
      <c r="T115" s="522"/>
      <c r="U115" s="522"/>
      <c r="V115" s="522"/>
      <c r="W115" s="522"/>
      <c r="X115" s="522"/>
      <c r="Y115" s="522"/>
      <c r="Z115" s="522"/>
      <c r="AA115" s="522"/>
      <c r="AB115" s="522"/>
      <c r="AC115" s="522"/>
      <c r="AD115" s="522"/>
      <c r="AE115" s="524"/>
      <c r="AF115" s="137"/>
    </row>
    <row r="116" collapsed="1">
      <c r="A116" s="162" t="s">
        <v>105</v>
      </c>
      <c r="B116" s="331"/>
      <c r="C116" s="331"/>
      <c r="D116" s="331"/>
      <c r="E116" s="331"/>
      <c r="F116" s="331"/>
      <c r="G116" s="331"/>
      <c r="H116" s="331"/>
      <c r="I116" s="331"/>
      <c r="J116" s="331"/>
      <c r="K116" s="331"/>
      <c r="L116" s="331"/>
      <c r="M116" s="331"/>
      <c r="N116" s="331"/>
      <c r="O116" s="331"/>
      <c r="P116" s="331"/>
      <c r="Q116" s="331"/>
      <c r="R116" s="331"/>
      <c r="S116" s="331"/>
      <c r="T116" s="331"/>
      <c r="U116" s="331"/>
      <c r="V116" s="331"/>
      <c r="W116" s="331"/>
      <c r="X116" s="331"/>
      <c r="Y116" s="331"/>
      <c r="Z116" s="331"/>
      <c r="AA116" s="331"/>
      <c r="AB116" s="331"/>
      <c r="AC116" s="331"/>
      <c r="AD116" s="331"/>
      <c r="AE116" s="331"/>
      <c r="AF116" s="125">
        <f>SUM(B116:AE116)</f>
        <v>0</v>
      </c>
    </row>
    <row r="117" hidden="1" outlineLevel="1">
      <c r="A117" s="380" t="s">
        <v>213</v>
      </c>
      <c r="B117" s="429"/>
      <c r="C117" s="429"/>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c r="AA117" s="429"/>
      <c r="AB117" s="429"/>
      <c r="AC117" s="429"/>
      <c r="AD117" s="429"/>
      <c r="AE117" s="429"/>
      <c r="AF117" s="137"/>
    </row>
    <row r="118" hidden="1" outlineLevel="1">
      <c r="A118" s="106" t="s">
        <v>157</v>
      </c>
      <c r="B118" s="331"/>
      <c r="C118" s="331"/>
      <c r="D118" s="331"/>
      <c r="E118" s="331"/>
      <c r="F118" s="331"/>
      <c r="G118" s="331"/>
      <c r="H118" s="331"/>
      <c r="I118" s="331"/>
      <c r="J118" s="331"/>
      <c r="K118" s="331"/>
      <c r="L118" s="331"/>
      <c r="M118" s="331"/>
      <c r="N118" s="331"/>
      <c r="O118" s="331"/>
      <c r="P118" s="331"/>
      <c r="Q118" s="331"/>
      <c r="R118" s="331"/>
      <c r="S118" s="331"/>
      <c r="T118" s="331"/>
      <c r="U118" s="331"/>
      <c r="V118" s="331"/>
      <c r="W118" s="331"/>
      <c r="X118" s="331"/>
      <c r="Y118" s="331"/>
      <c r="Z118" s="331"/>
      <c r="AA118" s="331"/>
      <c r="AB118" s="331"/>
      <c r="AC118" s="331"/>
      <c r="AD118" s="331"/>
      <c r="AE118" s="331"/>
      <c r="AF118" s="125">
        <f t="shared" ref="AF118:AF119" si="29">SUM(B118:AE118)</f>
        <v>0</v>
      </c>
    </row>
    <row r="119" hidden="1" outlineLevel="1">
      <c r="A119" s="106" t="s">
        <v>570</v>
      </c>
      <c r="B119" s="331"/>
      <c r="C119" s="331"/>
      <c r="D119" s="331"/>
      <c r="E119" s="331"/>
      <c r="F119" s="331"/>
      <c r="G119" s="331"/>
      <c r="H119" s="331"/>
      <c r="I119" s="331"/>
      <c r="J119" s="331"/>
      <c r="K119" s="331"/>
      <c r="L119" s="331"/>
      <c r="M119" s="331"/>
      <c r="N119" s="331"/>
      <c r="O119" s="331"/>
      <c r="P119" s="331"/>
      <c r="Q119" s="331"/>
      <c r="R119" s="331"/>
      <c r="S119" s="331"/>
      <c r="T119" s="331"/>
      <c r="U119" s="331"/>
      <c r="V119" s="331"/>
      <c r="W119" s="331"/>
      <c r="X119" s="331"/>
      <c r="Y119" s="331"/>
      <c r="Z119" s="331"/>
      <c r="AA119" s="331"/>
      <c r="AB119" s="331"/>
      <c r="AC119" s="331"/>
      <c r="AD119" s="331"/>
      <c r="AE119" s="331"/>
      <c r="AF119" s="125">
        <f t="shared" si="29"/>
        <v>0</v>
      </c>
    </row>
    <row r="120">
      <c r="A120" s="534" t="s">
        <v>66</v>
      </c>
      <c r="B120" s="341"/>
      <c r="C120" s="341"/>
      <c r="D120" s="341"/>
      <c r="E120" s="341"/>
      <c r="F120" s="341"/>
      <c r="G120" s="341"/>
      <c r="H120" s="341"/>
      <c r="I120" s="341"/>
      <c r="J120" s="341"/>
      <c r="K120" s="341"/>
      <c r="L120" s="341"/>
      <c r="M120" s="341"/>
      <c r="N120" s="341"/>
      <c r="O120" s="341"/>
      <c r="P120" s="341"/>
      <c r="Q120" s="341"/>
      <c r="R120" s="341"/>
      <c r="S120" s="341"/>
      <c r="T120" s="341"/>
      <c r="U120" s="341"/>
      <c r="V120" s="341"/>
      <c r="W120" s="341"/>
      <c r="X120" s="341"/>
      <c r="Y120" s="341"/>
      <c r="Z120" s="341"/>
      <c r="AA120" s="341"/>
      <c r="AB120" s="341"/>
      <c r="AC120" s="341"/>
      <c r="AD120" s="341"/>
      <c r="AE120" s="71"/>
      <c r="AF120" s="125">
        <f>sum(B120:AE120)</f>
        <v>0</v>
      </c>
    </row>
    <row r="121">
      <c r="A121" s="49"/>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85"/>
      <c r="AF121" s="200"/>
    </row>
    <row r="122">
      <c r="A122" s="117" t="s">
        <v>729</v>
      </c>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200"/>
    </row>
    <row r="123">
      <c r="A123" s="49"/>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436"/>
      <c r="AF123" s="137"/>
    </row>
    <row r="124">
      <c r="A124" s="75" t="s">
        <v>731</v>
      </c>
      <c r="B124" s="126"/>
      <c r="C124" s="429"/>
      <c r="D124" s="429"/>
      <c r="E124" s="429"/>
      <c r="F124" s="429"/>
      <c r="G124" s="429"/>
      <c r="H124" s="429"/>
      <c r="I124" s="429"/>
      <c r="J124" s="429"/>
      <c r="K124" s="429"/>
      <c r="L124" s="429"/>
      <c r="M124" s="429"/>
      <c r="N124" s="429"/>
      <c r="O124" s="429"/>
      <c r="P124" s="429"/>
      <c r="Q124" s="429"/>
      <c r="R124" s="429"/>
      <c r="S124" s="429"/>
      <c r="T124" s="429"/>
      <c r="U124" s="429"/>
      <c r="V124" s="429"/>
      <c r="W124" s="429"/>
      <c r="X124" s="429"/>
      <c r="Y124" s="429"/>
      <c r="Z124" s="429"/>
      <c r="AA124" s="429"/>
      <c r="AB124" s="429"/>
      <c r="AC124" s="429"/>
      <c r="AD124" s="429"/>
      <c r="AE124" s="436"/>
      <c r="AF124" s="137"/>
    </row>
    <row r="125">
      <c r="A125" s="76" t="s">
        <v>733</v>
      </c>
      <c r="B125" s="341"/>
      <c r="C125" s="341"/>
      <c r="D125" s="341"/>
      <c r="E125" s="341"/>
      <c r="F125" s="341"/>
      <c r="G125" s="341"/>
      <c r="H125" s="341"/>
      <c r="I125" s="341"/>
      <c r="J125" s="341"/>
      <c r="K125" s="341"/>
      <c r="L125" s="341"/>
      <c r="M125" s="341"/>
      <c r="N125" s="341"/>
      <c r="O125" s="341"/>
      <c r="P125" s="341"/>
      <c r="Q125" s="341"/>
      <c r="R125" s="341"/>
      <c r="S125" s="341"/>
      <c r="T125" s="341"/>
      <c r="U125" s="341"/>
      <c r="V125" s="341"/>
      <c r="W125" s="341"/>
      <c r="X125" s="341"/>
      <c r="Y125" s="341"/>
      <c r="Z125" s="538"/>
      <c r="AA125" s="538"/>
      <c r="AB125" s="538"/>
      <c r="AC125" s="538"/>
      <c r="AD125" s="539"/>
      <c r="AE125" s="539"/>
      <c r="AF125" s="125">
        <f t="shared" ref="AF125:AF129" si="30">sum(B125:AE125)</f>
        <v>0</v>
      </c>
    </row>
    <row r="126">
      <c r="A126" s="76" t="s">
        <v>737</v>
      </c>
      <c r="B126" s="341"/>
      <c r="C126" s="341"/>
      <c r="D126" s="341"/>
      <c r="E126" s="341"/>
      <c r="F126" s="341"/>
      <c r="G126" s="341"/>
      <c r="H126" s="341"/>
      <c r="I126" s="341"/>
      <c r="J126" s="341"/>
      <c r="K126" s="341"/>
      <c r="L126" s="341"/>
      <c r="M126" s="341"/>
      <c r="N126" s="341"/>
      <c r="O126" s="341"/>
      <c r="P126" s="341"/>
      <c r="Q126" s="341"/>
      <c r="R126" s="341"/>
      <c r="S126" s="341"/>
      <c r="T126" s="341"/>
      <c r="U126" s="341"/>
      <c r="V126" s="341"/>
      <c r="W126" s="341"/>
      <c r="X126" s="341"/>
      <c r="Y126" s="341"/>
      <c r="Z126" s="538"/>
      <c r="AA126" s="538"/>
      <c r="AB126" s="538"/>
      <c r="AC126" s="538"/>
      <c r="AD126" s="539"/>
      <c r="AE126" s="539"/>
      <c r="AF126" s="125">
        <f t="shared" si="30"/>
        <v>0</v>
      </c>
    </row>
    <row r="127">
      <c r="A127" s="76" t="s">
        <v>742</v>
      </c>
      <c r="B127" s="341"/>
      <c r="C127" s="341"/>
      <c r="D127" s="341"/>
      <c r="E127" s="341"/>
      <c r="F127" s="341"/>
      <c r="G127" s="341"/>
      <c r="H127" s="341"/>
      <c r="I127" s="341"/>
      <c r="J127" s="341"/>
      <c r="K127" s="341"/>
      <c r="L127" s="341"/>
      <c r="M127" s="341"/>
      <c r="N127" s="341"/>
      <c r="O127" s="341"/>
      <c r="P127" s="341"/>
      <c r="Q127" s="341"/>
      <c r="R127" s="341"/>
      <c r="S127" s="341"/>
      <c r="T127" s="341"/>
      <c r="U127" s="341"/>
      <c r="V127" s="341"/>
      <c r="W127" s="341"/>
      <c r="X127" s="341"/>
      <c r="Y127" s="341"/>
      <c r="Z127" s="542"/>
      <c r="AA127" s="542"/>
      <c r="AB127" s="542"/>
      <c r="AC127" s="542"/>
      <c r="AD127" s="331"/>
      <c r="AE127" s="543"/>
      <c r="AF127" s="125">
        <f t="shared" si="30"/>
        <v>0</v>
      </c>
    </row>
    <row r="128">
      <c r="A128" s="76" t="s">
        <v>748</v>
      </c>
      <c r="B128" s="341"/>
      <c r="C128" s="341"/>
      <c r="D128" s="341"/>
      <c r="E128" s="341"/>
      <c r="F128" s="341"/>
      <c r="G128" s="341"/>
      <c r="H128" s="341"/>
      <c r="I128" s="341"/>
      <c r="J128" s="341"/>
      <c r="K128" s="341"/>
      <c r="L128" s="341"/>
      <c r="M128" s="341"/>
      <c r="N128" s="341"/>
      <c r="O128" s="341"/>
      <c r="P128" s="341"/>
      <c r="Q128" s="341"/>
      <c r="R128" s="341"/>
      <c r="S128" s="341"/>
      <c r="T128" s="341"/>
      <c r="U128" s="341"/>
      <c r="V128" s="341"/>
      <c r="W128" s="341"/>
      <c r="X128" s="341"/>
      <c r="Y128" s="341"/>
      <c r="Z128" s="542"/>
      <c r="AA128" s="542"/>
      <c r="AB128" s="542"/>
      <c r="AC128" s="542"/>
      <c r="AD128" s="545"/>
      <c r="AE128" s="543"/>
      <c r="AF128" s="125">
        <f t="shared" si="30"/>
        <v>0</v>
      </c>
    </row>
    <row r="129">
      <c r="A129" s="93" t="s">
        <v>148</v>
      </c>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5">
        <f t="shared" si="30"/>
        <v>0</v>
      </c>
    </row>
    <row r="130">
      <c r="A130" s="49"/>
      <c r="B130" s="126"/>
      <c r="C130" s="126"/>
      <c r="D130" s="126"/>
      <c r="E130" s="126"/>
      <c r="F130" s="126"/>
      <c r="G130" s="126"/>
      <c r="H130" s="126"/>
      <c r="I130" s="126"/>
      <c r="J130" s="185"/>
      <c r="K130" s="185"/>
      <c r="L130" s="185"/>
      <c r="M130" s="185"/>
      <c r="N130" s="185"/>
      <c r="O130" s="185"/>
      <c r="P130" s="185"/>
      <c r="Q130" s="185"/>
      <c r="R130" s="185"/>
      <c r="S130" s="185"/>
      <c r="T130" s="185"/>
      <c r="U130" s="185"/>
      <c r="V130" s="185"/>
      <c r="W130" s="185"/>
      <c r="X130" s="185"/>
      <c r="Y130" s="185"/>
      <c r="Z130" s="185"/>
      <c r="AA130" s="185"/>
      <c r="AB130" s="185"/>
      <c r="AC130" s="185"/>
      <c r="AD130" s="185"/>
      <c r="AE130" s="127"/>
      <c r="AF130" s="6"/>
    </row>
    <row r="131">
      <c r="A131" s="76" t="s">
        <v>150</v>
      </c>
      <c r="B131" s="341"/>
      <c r="C131" s="341"/>
      <c r="D131" s="341"/>
      <c r="E131" s="341"/>
      <c r="F131" s="341"/>
      <c r="G131" s="341"/>
      <c r="H131" s="341"/>
      <c r="I131" s="341"/>
      <c r="J131" s="341"/>
      <c r="K131" s="341"/>
      <c r="L131" s="341"/>
      <c r="M131" s="341"/>
      <c r="N131" s="341"/>
      <c r="O131" s="341"/>
      <c r="P131" s="341"/>
      <c r="Q131" s="341"/>
      <c r="R131" s="341"/>
      <c r="S131" s="341"/>
      <c r="T131" s="341"/>
      <c r="U131" s="341"/>
      <c r="V131" s="341"/>
      <c r="W131" s="341"/>
      <c r="X131" s="341"/>
      <c r="Y131" s="341"/>
      <c r="Z131" s="538"/>
      <c r="AA131" s="538"/>
      <c r="AB131" s="538"/>
      <c r="AC131" s="538"/>
      <c r="AD131" s="546"/>
      <c r="AE131" s="546"/>
      <c r="AF131" s="125">
        <f t="shared" ref="AF131:AF139" si="31">sum(B131:AE131)</f>
        <v>0</v>
      </c>
    </row>
    <row r="132">
      <c r="A132" s="76" t="s">
        <v>151</v>
      </c>
      <c r="B132" s="341"/>
      <c r="C132" s="341"/>
      <c r="D132" s="341"/>
      <c r="E132" s="341"/>
      <c r="F132" s="341"/>
      <c r="G132" s="341"/>
      <c r="H132" s="341"/>
      <c r="I132" s="341"/>
      <c r="J132" s="341"/>
      <c r="K132" s="341"/>
      <c r="L132" s="341"/>
      <c r="M132" s="341"/>
      <c r="N132" s="341"/>
      <c r="O132" s="341"/>
      <c r="P132" s="341"/>
      <c r="Q132" s="341"/>
      <c r="R132" s="341"/>
      <c r="S132" s="341"/>
      <c r="T132" s="341"/>
      <c r="U132" s="341"/>
      <c r="V132" s="341"/>
      <c r="W132" s="341"/>
      <c r="X132" s="341"/>
      <c r="Y132" s="341"/>
      <c r="Z132" s="538"/>
      <c r="AA132" s="538"/>
      <c r="AB132" s="538"/>
      <c r="AC132" s="538"/>
      <c r="AD132" s="543"/>
      <c r="AE132" s="543"/>
      <c r="AF132" s="125">
        <f t="shared" si="31"/>
        <v>0</v>
      </c>
    </row>
    <row r="133">
      <c r="A133" s="76" t="s">
        <v>754</v>
      </c>
      <c r="B133" s="341"/>
      <c r="C133" s="341"/>
      <c r="D133" s="341"/>
      <c r="E133" s="341"/>
      <c r="F133" s="341"/>
      <c r="G133" s="341"/>
      <c r="H133" s="341"/>
      <c r="I133" s="341"/>
      <c r="J133" s="341"/>
      <c r="K133" s="341"/>
      <c r="L133" s="341"/>
      <c r="M133" s="341"/>
      <c r="N133" s="341"/>
      <c r="O133" s="341"/>
      <c r="P133" s="341"/>
      <c r="Q133" s="341"/>
      <c r="R133" s="341"/>
      <c r="S133" s="341"/>
      <c r="T133" s="341"/>
      <c r="U133" s="341"/>
      <c r="V133" s="341"/>
      <c r="W133" s="341"/>
      <c r="X133" s="341"/>
      <c r="Y133" s="341"/>
      <c r="Z133" s="538"/>
      <c r="AA133" s="538"/>
      <c r="AB133" s="538"/>
      <c r="AC133" s="538"/>
      <c r="AD133" s="538"/>
      <c r="AE133" s="538"/>
      <c r="AF133" s="125">
        <f t="shared" si="31"/>
        <v>0</v>
      </c>
    </row>
    <row r="134">
      <c r="A134" s="76" t="s">
        <v>755</v>
      </c>
      <c r="B134" s="341"/>
      <c r="C134" s="341"/>
      <c r="D134" s="341"/>
      <c r="E134" s="341"/>
      <c r="F134" s="341"/>
      <c r="G134" s="341"/>
      <c r="H134" s="341"/>
      <c r="I134" s="341"/>
      <c r="J134" s="341"/>
      <c r="K134" s="341"/>
      <c r="L134" s="341"/>
      <c r="M134" s="341"/>
      <c r="N134" s="341"/>
      <c r="O134" s="341"/>
      <c r="P134" s="341"/>
      <c r="Q134" s="341"/>
      <c r="R134" s="341"/>
      <c r="S134" s="341"/>
      <c r="T134" s="341"/>
      <c r="U134" s="341"/>
      <c r="V134" s="341"/>
      <c r="W134" s="341"/>
      <c r="X134" s="341"/>
      <c r="Y134" s="341"/>
      <c r="Z134" s="538"/>
      <c r="AA134" s="538"/>
      <c r="AB134" s="538"/>
      <c r="AC134" s="538"/>
      <c r="AD134" s="538"/>
      <c r="AE134" s="538"/>
      <c r="AF134" s="125">
        <f t="shared" si="31"/>
        <v>0</v>
      </c>
    </row>
    <row r="135">
      <c r="A135" s="76" t="s">
        <v>756</v>
      </c>
      <c r="B135" s="341"/>
      <c r="C135" s="341"/>
      <c r="D135" s="341"/>
      <c r="E135" s="341"/>
      <c r="F135" s="341"/>
      <c r="G135" s="341"/>
      <c r="H135" s="341"/>
      <c r="I135" s="341"/>
      <c r="J135" s="341"/>
      <c r="K135" s="341"/>
      <c r="L135" s="341"/>
      <c r="M135" s="341"/>
      <c r="N135" s="341"/>
      <c r="O135" s="341"/>
      <c r="P135" s="341"/>
      <c r="Q135" s="341"/>
      <c r="R135" s="341"/>
      <c r="S135" s="341"/>
      <c r="T135" s="341"/>
      <c r="U135" s="341"/>
      <c r="V135" s="341"/>
      <c r="W135" s="341"/>
      <c r="X135" s="341"/>
      <c r="Y135" s="341"/>
      <c r="Z135" s="341"/>
      <c r="AA135" s="341"/>
      <c r="AB135" s="341"/>
      <c r="AC135" s="341"/>
      <c r="AD135" s="538"/>
      <c r="AE135" s="538"/>
      <c r="AF135" s="125">
        <f t="shared" si="31"/>
        <v>0</v>
      </c>
    </row>
    <row r="136">
      <c r="A136" s="76" t="s">
        <v>757</v>
      </c>
      <c r="B136" s="341"/>
      <c r="C136" s="341"/>
      <c r="D136" s="341"/>
      <c r="E136" s="341"/>
      <c r="F136" s="341"/>
      <c r="G136" s="341"/>
      <c r="H136" s="341"/>
      <c r="I136" s="341"/>
      <c r="J136" s="341"/>
      <c r="K136" s="341"/>
      <c r="L136" s="341"/>
      <c r="M136" s="341"/>
      <c r="N136" s="341"/>
      <c r="O136" s="341"/>
      <c r="P136" s="341"/>
      <c r="Q136" s="341"/>
      <c r="R136" s="341"/>
      <c r="S136" s="341"/>
      <c r="T136" s="341"/>
      <c r="U136" s="341"/>
      <c r="V136" s="341"/>
      <c r="W136" s="341"/>
      <c r="X136" s="341"/>
      <c r="Y136" s="341"/>
      <c r="Z136" s="341"/>
      <c r="AA136" s="341"/>
      <c r="AB136" s="341"/>
      <c r="AC136" s="341"/>
      <c r="AD136" s="538"/>
      <c r="AE136" s="538"/>
      <c r="AF136" s="125">
        <f t="shared" si="31"/>
        <v>0</v>
      </c>
    </row>
    <row r="137">
      <c r="A137" s="76" t="s">
        <v>758</v>
      </c>
      <c r="B137" s="341"/>
      <c r="C137" s="341"/>
      <c r="D137" s="341"/>
      <c r="E137" s="341"/>
      <c r="F137" s="341"/>
      <c r="G137" s="341"/>
      <c r="H137" s="341"/>
      <c r="I137" s="341"/>
      <c r="J137" s="341"/>
      <c r="K137" s="341"/>
      <c r="L137" s="341"/>
      <c r="M137" s="341"/>
      <c r="N137" s="341"/>
      <c r="O137" s="341"/>
      <c r="P137" s="341"/>
      <c r="Q137" s="341"/>
      <c r="R137" s="341"/>
      <c r="S137" s="341"/>
      <c r="T137" s="341"/>
      <c r="U137" s="341"/>
      <c r="V137" s="341"/>
      <c r="W137" s="341"/>
      <c r="X137" s="341"/>
      <c r="Y137" s="341"/>
      <c r="Z137" s="341"/>
      <c r="AA137" s="341"/>
      <c r="AB137" s="341"/>
      <c r="AC137" s="341"/>
      <c r="AD137" s="538"/>
      <c r="AE137" s="538"/>
      <c r="AF137" s="125">
        <f t="shared" si="31"/>
        <v>0</v>
      </c>
    </row>
    <row r="138">
      <c r="A138" s="76" t="s">
        <v>759</v>
      </c>
      <c r="B138" s="341"/>
      <c r="C138" s="341"/>
      <c r="D138" s="341"/>
      <c r="E138" s="341"/>
      <c r="F138" s="341"/>
      <c r="G138" s="341"/>
      <c r="H138" s="341"/>
      <c r="I138" s="341"/>
      <c r="J138" s="341"/>
      <c r="K138" s="341"/>
      <c r="L138" s="341"/>
      <c r="M138" s="341"/>
      <c r="N138" s="341"/>
      <c r="O138" s="341"/>
      <c r="P138" s="341"/>
      <c r="Q138" s="341"/>
      <c r="R138" s="341"/>
      <c r="S138" s="341"/>
      <c r="T138" s="341"/>
      <c r="U138" s="341"/>
      <c r="V138" s="341"/>
      <c r="W138" s="341"/>
      <c r="X138" s="341"/>
      <c r="Y138" s="341"/>
      <c r="Z138" s="341"/>
      <c r="AA138" s="341"/>
      <c r="AB138" s="341"/>
      <c r="AC138" s="341"/>
      <c r="AD138" s="538"/>
      <c r="AE138" s="538"/>
      <c r="AF138" s="125">
        <f t="shared" si="31"/>
        <v>0</v>
      </c>
    </row>
    <row r="139">
      <c r="A139" s="430" t="s">
        <v>162</v>
      </c>
      <c r="B139" s="431"/>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5">
        <f t="shared" si="31"/>
        <v>0</v>
      </c>
    </row>
    <row r="140">
      <c r="A140" s="49"/>
      <c r="B140" s="139"/>
      <c r="C140" s="139"/>
      <c r="D140" s="139"/>
      <c r="E140" s="139"/>
      <c r="F140" s="139"/>
      <c r="G140" s="139"/>
      <c r="H140" s="139"/>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74"/>
      <c r="AE140" s="74"/>
      <c r="AF140" s="137"/>
    </row>
    <row r="141">
      <c r="A141" s="434" t="s">
        <v>760</v>
      </c>
      <c r="B141" s="469"/>
      <c r="C141" s="469"/>
      <c r="D141" s="469"/>
      <c r="E141" s="469"/>
      <c r="F141" s="469"/>
      <c r="G141" s="469"/>
      <c r="H141" s="469"/>
      <c r="I141" s="469"/>
      <c r="J141" s="469"/>
      <c r="K141" s="469"/>
      <c r="L141" s="469"/>
      <c r="M141" s="469"/>
      <c r="N141" s="469"/>
      <c r="O141" s="469"/>
      <c r="P141" s="469"/>
      <c r="Q141" s="469"/>
      <c r="R141" s="469"/>
      <c r="S141" s="469"/>
      <c r="T141" s="469"/>
      <c r="U141" s="469"/>
      <c r="V141" s="469"/>
      <c r="W141" s="469"/>
      <c r="X141" s="469"/>
      <c r="Y141" s="469"/>
      <c r="Z141" s="469"/>
      <c r="AA141" s="469"/>
      <c r="AB141" s="469"/>
      <c r="AC141" s="469"/>
      <c r="AD141" s="469"/>
      <c r="AE141" s="547"/>
      <c r="AF141" s="137"/>
    </row>
    <row r="142">
      <c r="A142" s="437"/>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548"/>
      <c r="AE142" s="439"/>
      <c r="AF142" s="137"/>
    </row>
    <row r="143">
      <c r="A143" s="75" t="s">
        <v>761</v>
      </c>
      <c r="B143" s="336"/>
      <c r="C143" s="336"/>
      <c r="D143" s="336"/>
      <c r="E143" s="336"/>
      <c r="F143" s="336"/>
      <c r="G143" s="336"/>
      <c r="H143" s="336"/>
      <c r="I143" s="522"/>
      <c r="J143" s="522"/>
      <c r="K143" s="522"/>
      <c r="L143" s="522"/>
      <c r="M143" s="522"/>
      <c r="N143" s="522"/>
      <c r="O143" s="522"/>
      <c r="P143" s="522"/>
      <c r="Q143" s="522"/>
      <c r="R143" s="522"/>
      <c r="S143" s="522"/>
      <c r="T143" s="522"/>
      <c r="U143" s="522"/>
      <c r="V143" s="522"/>
      <c r="W143" s="522"/>
      <c r="X143" s="522"/>
      <c r="Y143" s="522"/>
      <c r="Z143" s="522"/>
      <c r="AA143" s="522"/>
      <c r="AB143" s="522"/>
      <c r="AC143" s="522"/>
      <c r="AD143" s="522"/>
      <c r="AE143" s="428"/>
      <c r="AF143" s="137"/>
    </row>
    <row r="144">
      <c r="A144" s="117" t="s">
        <v>762</v>
      </c>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c r="AD144" s="126"/>
      <c r="AE144" s="126"/>
      <c r="AF144" s="125">
        <f t="shared" ref="AF144:AF149" si="32">SUM(B144:AE144)</f>
        <v>0</v>
      </c>
    </row>
    <row r="145">
      <c r="A145" s="117" t="s">
        <v>763</v>
      </c>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c r="AD145" s="126"/>
      <c r="AE145" s="126"/>
      <c r="AF145" s="125">
        <f t="shared" si="32"/>
        <v>0</v>
      </c>
    </row>
    <row r="146">
      <c r="A146" s="117" t="s">
        <v>764</v>
      </c>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c r="AD146" s="126"/>
      <c r="AE146" s="126"/>
      <c r="AF146" s="125">
        <f t="shared" si="32"/>
        <v>0</v>
      </c>
    </row>
    <row r="147">
      <c r="A147" s="117" t="s">
        <v>765</v>
      </c>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c r="AD147" s="126"/>
      <c r="AE147" s="126"/>
      <c r="AF147" s="125">
        <f t="shared" si="32"/>
        <v>0</v>
      </c>
    </row>
    <row r="148">
      <c r="A148" s="204" t="s">
        <v>258</v>
      </c>
      <c r="B148" s="219">
        <f t="shared" ref="B148:AE148" si="33">SUM(B144:B145)</f>
        <v>0</v>
      </c>
      <c r="C148" s="219">
        <f t="shared" si="33"/>
        <v>0</v>
      </c>
      <c r="D148" s="219">
        <f t="shared" si="33"/>
        <v>0</v>
      </c>
      <c r="E148" s="219">
        <f t="shared" si="33"/>
        <v>0</v>
      </c>
      <c r="F148" s="219">
        <f t="shared" si="33"/>
        <v>0</v>
      </c>
      <c r="G148" s="219">
        <f t="shared" si="33"/>
        <v>0</v>
      </c>
      <c r="H148" s="219">
        <f t="shared" si="33"/>
        <v>0</v>
      </c>
      <c r="I148" s="219">
        <f t="shared" si="33"/>
        <v>0</v>
      </c>
      <c r="J148" s="219">
        <f t="shared" si="33"/>
        <v>0</v>
      </c>
      <c r="K148" s="219">
        <f t="shared" si="33"/>
        <v>0</v>
      </c>
      <c r="L148" s="219">
        <f t="shared" si="33"/>
        <v>0</v>
      </c>
      <c r="M148" s="219">
        <f t="shared" si="33"/>
        <v>0</v>
      </c>
      <c r="N148" s="219">
        <f t="shared" si="33"/>
        <v>0</v>
      </c>
      <c r="O148" s="219">
        <f t="shared" si="33"/>
        <v>0</v>
      </c>
      <c r="P148" s="219">
        <f t="shared" si="33"/>
        <v>0</v>
      </c>
      <c r="Q148" s="219">
        <f t="shared" si="33"/>
        <v>0</v>
      </c>
      <c r="R148" s="219">
        <f t="shared" si="33"/>
        <v>0</v>
      </c>
      <c r="S148" s="219">
        <f t="shared" si="33"/>
        <v>0</v>
      </c>
      <c r="T148" s="219">
        <f t="shared" si="33"/>
        <v>0</v>
      </c>
      <c r="U148" s="219">
        <f t="shared" si="33"/>
        <v>0</v>
      </c>
      <c r="V148" s="219">
        <f t="shared" si="33"/>
        <v>0</v>
      </c>
      <c r="W148" s="219">
        <f t="shared" si="33"/>
        <v>0</v>
      </c>
      <c r="X148" s="219">
        <f t="shared" si="33"/>
        <v>0</v>
      </c>
      <c r="Y148" s="219">
        <f t="shared" si="33"/>
        <v>0</v>
      </c>
      <c r="Z148" s="219">
        <f t="shared" si="33"/>
        <v>0</v>
      </c>
      <c r="AA148" s="219">
        <f t="shared" si="33"/>
        <v>0</v>
      </c>
      <c r="AB148" s="219">
        <f t="shared" si="33"/>
        <v>0</v>
      </c>
      <c r="AC148" s="219">
        <f t="shared" si="33"/>
        <v>0</v>
      </c>
      <c r="AD148" s="219">
        <f t="shared" si="33"/>
        <v>0</v>
      </c>
      <c r="AE148" s="219">
        <f t="shared" si="33"/>
        <v>0</v>
      </c>
      <c r="AF148" s="125">
        <f t="shared" si="32"/>
        <v>0</v>
      </c>
    </row>
    <row r="149">
      <c r="A149" s="204" t="s">
        <v>260</v>
      </c>
      <c r="B149" s="219">
        <f t="shared" ref="B149:AE149" si="34">SUM(B146:B147)</f>
        <v>0</v>
      </c>
      <c r="C149" s="219">
        <f t="shared" si="34"/>
        <v>0</v>
      </c>
      <c r="D149" s="219">
        <f t="shared" si="34"/>
        <v>0</v>
      </c>
      <c r="E149" s="219">
        <f t="shared" si="34"/>
        <v>0</v>
      </c>
      <c r="F149" s="219">
        <f t="shared" si="34"/>
        <v>0</v>
      </c>
      <c r="G149" s="219">
        <f t="shared" si="34"/>
        <v>0</v>
      </c>
      <c r="H149" s="219">
        <f t="shared" si="34"/>
        <v>0</v>
      </c>
      <c r="I149" s="219">
        <f t="shared" si="34"/>
        <v>0</v>
      </c>
      <c r="J149" s="219">
        <f t="shared" si="34"/>
        <v>0</v>
      </c>
      <c r="K149" s="219">
        <f t="shared" si="34"/>
        <v>0</v>
      </c>
      <c r="L149" s="219">
        <f t="shared" si="34"/>
        <v>0</v>
      </c>
      <c r="M149" s="219">
        <f t="shared" si="34"/>
        <v>0</v>
      </c>
      <c r="N149" s="219">
        <f t="shared" si="34"/>
        <v>0</v>
      </c>
      <c r="O149" s="219">
        <f t="shared" si="34"/>
        <v>0</v>
      </c>
      <c r="P149" s="219">
        <f t="shared" si="34"/>
        <v>0</v>
      </c>
      <c r="Q149" s="219">
        <f t="shared" si="34"/>
        <v>0</v>
      </c>
      <c r="R149" s="219">
        <f t="shared" si="34"/>
        <v>0</v>
      </c>
      <c r="S149" s="219">
        <f t="shared" si="34"/>
        <v>0</v>
      </c>
      <c r="T149" s="219">
        <f t="shared" si="34"/>
        <v>0</v>
      </c>
      <c r="U149" s="219">
        <f t="shared" si="34"/>
        <v>0</v>
      </c>
      <c r="V149" s="219">
        <f t="shared" si="34"/>
        <v>0</v>
      </c>
      <c r="W149" s="219">
        <f t="shared" si="34"/>
        <v>0</v>
      </c>
      <c r="X149" s="219">
        <f t="shared" si="34"/>
        <v>0</v>
      </c>
      <c r="Y149" s="219">
        <f t="shared" si="34"/>
        <v>0</v>
      </c>
      <c r="Z149" s="219">
        <f t="shared" si="34"/>
        <v>0</v>
      </c>
      <c r="AA149" s="219">
        <f t="shared" si="34"/>
        <v>0</v>
      </c>
      <c r="AB149" s="219">
        <f t="shared" si="34"/>
        <v>0</v>
      </c>
      <c r="AC149" s="219">
        <f t="shared" si="34"/>
        <v>0</v>
      </c>
      <c r="AD149" s="219">
        <f t="shared" si="34"/>
        <v>0</v>
      </c>
      <c r="AE149" s="219">
        <f t="shared" si="34"/>
        <v>0</v>
      </c>
      <c r="AF149" s="125">
        <f t="shared" si="32"/>
        <v>0</v>
      </c>
    </row>
    <row r="150">
      <c r="A150" s="49"/>
      <c r="B150" s="154"/>
      <c r="C150" s="154"/>
      <c r="D150" s="154"/>
      <c r="E150" s="154"/>
      <c r="F150" s="154"/>
      <c r="G150" s="154"/>
      <c r="H150" s="154"/>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37"/>
    </row>
    <row r="151">
      <c r="A151" s="117" t="s">
        <v>264</v>
      </c>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c r="AD151" s="126"/>
      <c r="AE151" s="126"/>
      <c r="AF151" s="125">
        <f t="shared" ref="AF151:AF159" si="35">SUM(B151:AE151)</f>
        <v>0</v>
      </c>
    </row>
    <row r="152">
      <c r="A152" s="117" t="s">
        <v>267</v>
      </c>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c r="AD152" s="126"/>
      <c r="AE152" s="126"/>
      <c r="AF152" s="125">
        <f t="shared" si="35"/>
        <v>0</v>
      </c>
    </row>
    <row r="153">
      <c r="A153" s="117" t="s">
        <v>766</v>
      </c>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c r="AD153" s="126"/>
      <c r="AE153" s="126"/>
      <c r="AF153" s="125">
        <f t="shared" si="35"/>
        <v>0</v>
      </c>
    </row>
    <row r="154">
      <c r="A154" s="117" t="s">
        <v>767</v>
      </c>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c r="AD154" s="126"/>
      <c r="AE154" s="126"/>
      <c r="AF154" s="125">
        <f t="shared" si="35"/>
        <v>0</v>
      </c>
    </row>
    <row r="155">
      <c r="A155" s="117" t="s">
        <v>768</v>
      </c>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c r="AD155" s="126"/>
      <c r="AE155" s="126"/>
      <c r="AF155" s="125">
        <f t="shared" si="35"/>
        <v>0</v>
      </c>
    </row>
    <row r="156">
      <c r="A156" s="117" t="s">
        <v>769</v>
      </c>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c r="AD156" s="126"/>
      <c r="AE156" s="126"/>
      <c r="AF156" s="125">
        <f t="shared" si="35"/>
        <v>0</v>
      </c>
    </row>
    <row r="157">
      <c r="A157" s="117" t="s">
        <v>770</v>
      </c>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c r="AD157" s="126"/>
      <c r="AE157" s="126"/>
      <c r="AF157" s="125">
        <f t="shared" si="35"/>
        <v>0</v>
      </c>
    </row>
    <row r="158">
      <c r="A158" s="117" t="s">
        <v>771</v>
      </c>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c r="AD158" s="126"/>
      <c r="AE158" s="126"/>
      <c r="AF158" s="125">
        <f t="shared" si="35"/>
        <v>0</v>
      </c>
    </row>
    <row r="159">
      <c r="A159" s="204" t="s">
        <v>162</v>
      </c>
      <c r="B159" s="219">
        <f t="shared" ref="B159:AE159" si="36">SUM(B151:B158)</f>
        <v>0</v>
      </c>
      <c r="C159" s="219">
        <f t="shared" si="36"/>
        <v>0</v>
      </c>
      <c r="D159" s="219">
        <f t="shared" si="36"/>
        <v>0</v>
      </c>
      <c r="E159" s="219">
        <f t="shared" si="36"/>
        <v>0</v>
      </c>
      <c r="F159" s="219">
        <f t="shared" si="36"/>
        <v>0</v>
      </c>
      <c r="G159" s="219">
        <f t="shared" si="36"/>
        <v>0</v>
      </c>
      <c r="H159" s="219">
        <f t="shared" si="36"/>
        <v>0</v>
      </c>
      <c r="I159" s="219">
        <f t="shared" si="36"/>
        <v>0</v>
      </c>
      <c r="J159" s="219">
        <f t="shared" si="36"/>
        <v>0</v>
      </c>
      <c r="K159" s="219">
        <f t="shared" si="36"/>
        <v>0</v>
      </c>
      <c r="L159" s="219">
        <f t="shared" si="36"/>
        <v>0</v>
      </c>
      <c r="M159" s="219">
        <f t="shared" si="36"/>
        <v>0</v>
      </c>
      <c r="N159" s="219">
        <f t="shared" si="36"/>
        <v>0</v>
      </c>
      <c r="O159" s="219">
        <f t="shared" si="36"/>
        <v>0</v>
      </c>
      <c r="P159" s="219">
        <f t="shared" si="36"/>
        <v>0</v>
      </c>
      <c r="Q159" s="219">
        <f t="shared" si="36"/>
        <v>0</v>
      </c>
      <c r="R159" s="219">
        <f t="shared" si="36"/>
        <v>0</v>
      </c>
      <c r="S159" s="219">
        <f t="shared" si="36"/>
        <v>0</v>
      </c>
      <c r="T159" s="219">
        <f t="shared" si="36"/>
        <v>0</v>
      </c>
      <c r="U159" s="219">
        <f t="shared" si="36"/>
        <v>0</v>
      </c>
      <c r="V159" s="219">
        <f t="shared" si="36"/>
        <v>0</v>
      </c>
      <c r="W159" s="219">
        <f t="shared" si="36"/>
        <v>0</v>
      </c>
      <c r="X159" s="219">
        <f t="shared" si="36"/>
        <v>0</v>
      </c>
      <c r="Y159" s="219">
        <f t="shared" si="36"/>
        <v>0</v>
      </c>
      <c r="Z159" s="219">
        <f t="shared" si="36"/>
        <v>0</v>
      </c>
      <c r="AA159" s="219">
        <f t="shared" si="36"/>
        <v>0</v>
      </c>
      <c r="AB159" s="219">
        <f t="shared" si="36"/>
        <v>0</v>
      </c>
      <c r="AC159" s="219">
        <f t="shared" si="36"/>
        <v>0</v>
      </c>
      <c r="AD159" s="219">
        <f t="shared" si="36"/>
        <v>0</v>
      </c>
      <c r="AE159" s="219">
        <f t="shared" si="36"/>
        <v>0</v>
      </c>
      <c r="AF159" s="125">
        <f t="shared" si="35"/>
        <v>0</v>
      </c>
    </row>
    <row r="160">
      <c r="A160" s="49"/>
      <c r="B160" s="139"/>
      <c r="C160" s="139"/>
      <c r="D160" s="139"/>
      <c r="E160" s="139"/>
      <c r="F160" s="139"/>
      <c r="G160" s="139"/>
      <c r="H160" s="139"/>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74"/>
      <c r="AF160" s="137"/>
    </row>
    <row r="161">
      <c r="A161" s="75" t="s">
        <v>772</v>
      </c>
      <c r="B161" s="139"/>
      <c r="C161" s="139"/>
      <c r="D161" s="139"/>
      <c r="E161" s="139"/>
      <c r="F161" s="139"/>
      <c r="G161" s="183"/>
      <c r="H161" s="139"/>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74"/>
      <c r="AF161" s="137"/>
    </row>
    <row r="162">
      <c r="A162" s="117" t="s">
        <v>600</v>
      </c>
      <c r="B162" s="55"/>
      <c r="C162" s="55"/>
      <c r="D162" s="55"/>
      <c r="E162" s="55"/>
      <c r="F162" s="55"/>
      <c r="G162" s="55"/>
      <c r="H162" s="55"/>
      <c r="I162" s="55"/>
      <c r="J162" s="55"/>
      <c r="K162" s="55"/>
      <c r="L162" s="55"/>
      <c r="M162" s="55"/>
      <c r="N162" s="55"/>
      <c r="O162" s="55"/>
      <c r="P162" s="55"/>
      <c r="Q162" s="55"/>
      <c r="R162" s="183"/>
      <c r="S162" s="183"/>
      <c r="T162" s="183"/>
      <c r="U162" s="183"/>
      <c r="V162" s="183"/>
      <c r="W162" s="183"/>
      <c r="X162" s="183"/>
      <c r="Y162" s="183"/>
      <c r="Z162" s="183"/>
      <c r="AA162" s="183"/>
      <c r="AB162" s="183"/>
      <c r="AC162" s="183"/>
      <c r="AD162" s="183"/>
      <c r="AE162" s="183"/>
      <c r="AF162" s="137"/>
    </row>
    <row r="163">
      <c r="A163" s="117" t="s">
        <v>135</v>
      </c>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8">
        <f t="shared" ref="AF163:AF165" si="37">SUM(B163:AE163)</f>
        <v>0</v>
      </c>
    </row>
    <row r="164">
      <c r="A164" s="117" t="s">
        <v>601</v>
      </c>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8">
        <f t="shared" si="37"/>
        <v>0</v>
      </c>
    </row>
    <row r="165">
      <c r="A165" s="251" t="s">
        <v>602</v>
      </c>
      <c r="B165" s="254">
        <f t="shared" ref="B165:AE165" si="38">SUM(B162:B164)</f>
        <v>0</v>
      </c>
      <c r="C165" s="254">
        <f t="shared" si="38"/>
        <v>0</v>
      </c>
      <c r="D165" s="254">
        <f t="shared" si="38"/>
        <v>0</v>
      </c>
      <c r="E165" s="254">
        <f t="shared" si="38"/>
        <v>0</v>
      </c>
      <c r="F165" s="254">
        <f t="shared" si="38"/>
        <v>0</v>
      </c>
      <c r="G165" s="254">
        <f t="shared" si="38"/>
        <v>0</v>
      </c>
      <c r="H165" s="254">
        <f t="shared" si="38"/>
        <v>0</v>
      </c>
      <c r="I165" s="254">
        <f t="shared" si="38"/>
        <v>0</v>
      </c>
      <c r="J165" s="254">
        <f t="shared" si="38"/>
        <v>0</v>
      </c>
      <c r="K165" s="254">
        <f t="shared" si="38"/>
        <v>0</v>
      </c>
      <c r="L165" s="254">
        <f t="shared" si="38"/>
        <v>0</v>
      </c>
      <c r="M165" s="254">
        <f t="shared" si="38"/>
        <v>0</v>
      </c>
      <c r="N165" s="254">
        <f t="shared" si="38"/>
        <v>0</v>
      </c>
      <c r="O165" s="254">
        <f t="shared" si="38"/>
        <v>0</v>
      </c>
      <c r="P165" s="254">
        <f t="shared" si="38"/>
        <v>0</v>
      </c>
      <c r="Q165" s="254">
        <f t="shared" si="38"/>
        <v>0</v>
      </c>
      <c r="R165" s="254">
        <f t="shared" si="38"/>
        <v>0</v>
      </c>
      <c r="S165" s="254">
        <f t="shared" si="38"/>
        <v>0</v>
      </c>
      <c r="T165" s="254">
        <f t="shared" si="38"/>
        <v>0</v>
      </c>
      <c r="U165" s="254">
        <f t="shared" si="38"/>
        <v>0</v>
      </c>
      <c r="V165" s="254">
        <f t="shared" si="38"/>
        <v>0</v>
      </c>
      <c r="W165" s="254">
        <f t="shared" si="38"/>
        <v>0</v>
      </c>
      <c r="X165" s="254">
        <f t="shared" si="38"/>
        <v>0</v>
      </c>
      <c r="Y165" s="254">
        <f t="shared" si="38"/>
        <v>0</v>
      </c>
      <c r="Z165" s="254">
        <f t="shared" si="38"/>
        <v>0</v>
      </c>
      <c r="AA165" s="254">
        <f t="shared" si="38"/>
        <v>0</v>
      </c>
      <c r="AB165" s="254">
        <f t="shared" si="38"/>
        <v>0</v>
      </c>
      <c r="AC165" s="254">
        <f t="shared" si="38"/>
        <v>0</v>
      </c>
      <c r="AD165" s="254">
        <f t="shared" si="38"/>
        <v>0</v>
      </c>
      <c r="AE165" s="254">
        <f t="shared" si="38"/>
        <v>0</v>
      </c>
      <c r="AF165" s="188">
        <f t="shared" si="37"/>
        <v>0</v>
      </c>
    </row>
    <row r="166">
      <c r="A166" s="437"/>
      <c r="B166" s="438"/>
      <c r="C166" s="438"/>
      <c r="D166" s="438"/>
      <c r="E166" s="438"/>
      <c r="F166" s="438"/>
      <c r="G166" s="438"/>
      <c r="H166" s="438"/>
      <c r="I166" s="548"/>
      <c r="J166" s="548"/>
      <c r="K166" s="548"/>
      <c r="L166" s="548"/>
      <c r="M166" s="548"/>
      <c r="N166" s="548"/>
      <c r="O166" s="548"/>
      <c r="P166" s="548"/>
      <c r="Q166" s="548"/>
      <c r="R166" s="548"/>
      <c r="S166" s="548"/>
      <c r="T166" s="548"/>
      <c r="U166" s="548"/>
      <c r="V166" s="548"/>
      <c r="W166" s="548"/>
      <c r="X166" s="548"/>
      <c r="Y166" s="548"/>
      <c r="Z166" s="548"/>
      <c r="AA166" s="548"/>
      <c r="AB166" s="548"/>
      <c r="AC166" s="548"/>
      <c r="AD166" s="548"/>
      <c r="AE166" s="439"/>
      <c r="AF166" s="137"/>
    </row>
    <row r="167">
      <c r="A167" s="549" t="s">
        <v>484</v>
      </c>
      <c r="B167" s="550"/>
      <c r="C167" s="550"/>
      <c r="D167" s="550"/>
      <c r="E167" s="550"/>
      <c r="F167" s="550"/>
      <c r="G167" s="550"/>
      <c r="H167" s="550"/>
      <c r="I167" s="550"/>
      <c r="J167" s="550"/>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188">
        <f t="shared" ref="AF167:AF169" si="39">SUM(B167:AE167)</f>
        <v>0</v>
      </c>
    </row>
    <row r="168">
      <c r="A168" s="440" t="s">
        <v>486</v>
      </c>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c r="AA168" s="151"/>
      <c r="AB168" s="151"/>
      <c r="AC168" s="151"/>
      <c r="AD168" s="151"/>
      <c r="AE168" s="151"/>
      <c r="AF168" s="188">
        <f t="shared" si="39"/>
        <v>0</v>
      </c>
    </row>
    <row r="169">
      <c r="A169" s="441" t="s">
        <v>604</v>
      </c>
      <c r="B169" s="442">
        <f t="shared" ref="B169:AE169" si="40">sum(B167:B168)</f>
        <v>0</v>
      </c>
      <c r="C169" s="442">
        <f t="shared" si="40"/>
        <v>0</v>
      </c>
      <c r="D169" s="442">
        <f t="shared" si="40"/>
        <v>0</v>
      </c>
      <c r="E169" s="442">
        <f t="shared" si="40"/>
        <v>0</v>
      </c>
      <c r="F169" s="442">
        <f t="shared" si="40"/>
        <v>0</v>
      </c>
      <c r="G169" s="442">
        <f t="shared" si="40"/>
        <v>0</v>
      </c>
      <c r="H169" s="442">
        <f t="shared" si="40"/>
        <v>0</v>
      </c>
      <c r="I169" s="442">
        <f t="shared" si="40"/>
        <v>0</v>
      </c>
      <c r="J169" s="442">
        <f t="shared" si="40"/>
        <v>0</v>
      </c>
      <c r="K169" s="442">
        <f t="shared" si="40"/>
        <v>0</v>
      </c>
      <c r="L169" s="442">
        <f t="shared" si="40"/>
        <v>0</v>
      </c>
      <c r="M169" s="442">
        <f t="shared" si="40"/>
        <v>0</v>
      </c>
      <c r="N169" s="442">
        <f t="shared" si="40"/>
        <v>0</v>
      </c>
      <c r="O169" s="442">
        <f t="shared" si="40"/>
        <v>0</v>
      </c>
      <c r="P169" s="442">
        <f t="shared" si="40"/>
        <v>0</v>
      </c>
      <c r="Q169" s="442">
        <f t="shared" si="40"/>
        <v>0</v>
      </c>
      <c r="R169" s="442">
        <f t="shared" si="40"/>
        <v>0</v>
      </c>
      <c r="S169" s="442">
        <f t="shared" si="40"/>
        <v>0</v>
      </c>
      <c r="T169" s="442">
        <f t="shared" si="40"/>
        <v>0</v>
      </c>
      <c r="U169" s="442">
        <f t="shared" si="40"/>
        <v>0</v>
      </c>
      <c r="V169" s="442">
        <f t="shared" si="40"/>
        <v>0</v>
      </c>
      <c r="W169" s="442">
        <f t="shared" si="40"/>
        <v>0</v>
      </c>
      <c r="X169" s="442">
        <f t="shared" si="40"/>
        <v>0</v>
      </c>
      <c r="Y169" s="442">
        <f t="shared" si="40"/>
        <v>0</v>
      </c>
      <c r="Z169" s="442">
        <f t="shared" si="40"/>
        <v>0</v>
      </c>
      <c r="AA169" s="442">
        <f t="shared" si="40"/>
        <v>0</v>
      </c>
      <c r="AB169" s="442">
        <f t="shared" si="40"/>
        <v>0</v>
      </c>
      <c r="AC169" s="442">
        <f t="shared" si="40"/>
        <v>0</v>
      </c>
      <c r="AD169" s="442">
        <f t="shared" si="40"/>
        <v>0</v>
      </c>
      <c r="AE169" s="442">
        <f t="shared" si="40"/>
        <v>0</v>
      </c>
      <c r="AF169" s="188">
        <f t="shared" si="39"/>
        <v>0</v>
      </c>
    </row>
    <row r="170">
      <c r="A170" s="49"/>
      <c r="B170" s="139"/>
      <c r="C170" s="139"/>
      <c r="D170" s="139"/>
      <c r="E170" s="139"/>
      <c r="F170" s="139"/>
      <c r="G170" s="139"/>
      <c r="H170" s="139"/>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74"/>
      <c r="AF170" s="137"/>
    </row>
    <row r="171">
      <c r="A171" s="75" t="s">
        <v>773</v>
      </c>
      <c r="B171" s="522"/>
      <c r="C171" s="522"/>
      <c r="D171" s="522"/>
      <c r="E171" s="522"/>
      <c r="F171" s="522"/>
      <c r="G171" s="522"/>
      <c r="H171" s="522"/>
      <c r="I171" s="522"/>
      <c r="J171" s="522"/>
      <c r="K171" s="522"/>
      <c r="L171" s="522"/>
      <c r="M171" s="522"/>
      <c r="N171" s="522"/>
      <c r="O171" s="522"/>
      <c r="P171" s="522"/>
      <c r="Q171" s="522"/>
      <c r="R171" s="522"/>
      <c r="S171" s="522"/>
      <c r="T171" s="522"/>
      <c r="U171" s="522"/>
      <c r="V171" s="522"/>
      <c r="W171" s="522"/>
      <c r="X171" s="522"/>
      <c r="Y171" s="522"/>
      <c r="Z171" s="522"/>
      <c r="AA171" s="522"/>
      <c r="AB171" s="522"/>
      <c r="AC171" s="522"/>
      <c r="AD171" s="522"/>
      <c r="AE171" s="428"/>
      <c r="AF171" s="137"/>
    </row>
    <row r="172">
      <c r="A172" s="117" t="s">
        <v>774</v>
      </c>
      <c r="B172" s="551"/>
      <c r="C172" s="551"/>
      <c r="D172" s="551"/>
      <c r="E172" s="551"/>
      <c r="F172" s="551"/>
      <c r="G172" s="551"/>
      <c r="H172" s="551"/>
      <c r="I172" s="551"/>
      <c r="J172" s="551"/>
      <c r="K172" s="551"/>
      <c r="L172" s="551"/>
      <c r="M172" s="551"/>
      <c r="N172" s="551"/>
      <c r="O172" s="551"/>
      <c r="P172" s="551"/>
      <c r="Q172" s="551"/>
      <c r="R172" s="551"/>
      <c r="S172" s="551"/>
      <c r="T172" s="551"/>
      <c r="U172" s="551"/>
      <c r="V172" s="551"/>
      <c r="W172" s="551"/>
      <c r="X172" s="551"/>
      <c r="Y172" s="551"/>
      <c r="Z172" s="551"/>
      <c r="AA172" s="551"/>
      <c r="AB172" s="551"/>
      <c r="AC172" s="551"/>
      <c r="AD172" s="551"/>
      <c r="AE172" s="551"/>
      <c r="AF172" s="125">
        <f t="shared" ref="AF172:AF177" si="41">SUM(B172:AE172)</f>
        <v>0</v>
      </c>
    </row>
    <row r="173">
      <c r="A173" s="117" t="s">
        <v>775</v>
      </c>
      <c r="B173" s="551"/>
      <c r="C173" s="551"/>
      <c r="D173" s="551"/>
      <c r="E173" s="551"/>
      <c r="F173" s="551"/>
      <c r="G173" s="551"/>
      <c r="H173" s="551"/>
      <c r="I173" s="551"/>
      <c r="J173" s="551"/>
      <c r="K173" s="551"/>
      <c r="L173" s="551"/>
      <c r="M173" s="551"/>
      <c r="N173" s="551"/>
      <c r="O173" s="551"/>
      <c r="P173" s="551"/>
      <c r="Q173" s="551"/>
      <c r="R173" s="551"/>
      <c r="S173" s="551"/>
      <c r="T173" s="551"/>
      <c r="U173" s="551"/>
      <c r="V173" s="551"/>
      <c r="W173" s="551"/>
      <c r="X173" s="551"/>
      <c r="Y173" s="551"/>
      <c r="Z173" s="551"/>
      <c r="AA173" s="551"/>
      <c r="AB173" s="551"/>
      <c r="AC173" s="551"/>
      <c r="AD173" s="551"/>
      <c r="AE173" s="551"/>
      <c r="AF173" s="125">
        <f t="shared" si="41"/>
        <v>0</v>
      </c>
    </row>
    <row r="174">
      <c r="A174" s="117" t="s">
        <v>776</v>
      </c>
      <c r="B174" s="551"/>
      <c r="C174" s="551"/>
      <c r="D174" s="551"/>
      <c r="E174" s="551"/>
      <c r="F174" s="551"/>
      <c r="G174" s="551"/>
      <c r="H174" s="551"/>
      <c r="I174" s="551"/>
      <c r="J174" s="551"/>
      <c r="K174" s="551"/>
      <c r="L174" s="551"/>
      <c r="M174" s="551"/>
      <c r="N174" s="551"/>
      <c r="O174" s="551"/>
      <c r="P174" s="551"/>
      <c r="Q174" s="551"/>
      <c r="R174" s="551"/>
      <c r="S174" s="551"/>
      <c r="T174" s="551"/>
      <c r="U174" s="551"/>
      <c r="V174" s="551"/>
      <c r="W174" s="551"/>
      <c r="X174" s="551"/>
      <c r="Y174" s="551"/>
      <c r="Z174" s="551"/>
      <c r="AA174" s="551"/>
      <c r="AB174" s="551"/>
      <c r="AC174" s="551"/>
      <c r="AD174" s="551"/>
      <c r="AE174" s="551"/>
      <c r="AF174" s="125">
        <f t="shared" si="41"/>
        <v>0</v>
      </c>
    </row>
    <row r="175">
      <c r="A175" s="117" t="s">
        <v>777</v>
      </c>
      <c r="B175" s="551"/>
      <c r="C175" s="551"/>
      <c r="D175" s="551"/>
      <c r="E175" s="551"/>
      <c r="F175" s="551"/>
      <c r="G175" s="551"/>
      <c r="H175" s="551"/>
      <c r="I175" s="551"/>
      <c r="J175" s="551"/>
      <c r="K175" s="551"/>
      <c r="L175" s="551"/>
      <c r="M175" s="551"/>
      <c r="N175" s="551"/>
      <c r="O175" s="551"/>
      <c r="P175" s="551"/>
      <c r="Q175" s="551"/>
      <c r="R175" s="551"/>
      <c r="S175" s="551"/>
      <c r="T175" s="551"/>
      <c r="U175" s="551"/>
      <c r="V175" s="551"/>
      <c r="W175" s="551"/>
      <c r="X175" s="551"/>
      <c r="Y175" s="551"/>
      <c r="Z175" s="551"/>
      <c r="AA175" s="551"/>
      <c r="AB175" s="551"/>
      <c r="AC175" s="551"/>
      <c r="AD175" s="551"/>
      <c r="AE175" s="551"/>
      <c r="AF175" s="125">
        <f t="shared" si="41"/>
        <v>0</v>
      </c>
    </row>
    <row r="176">
      <c r="A176" s="204" t="s">
        <v>258</v>
      </c>
      <c r="B176" s="219">
        <f t="shared" ref="B176:AE176" si="42">SUM(B172:B173)</f>
        <v>0</v>
      </c>
      <c r="C176" s="219">
        <f t="shared" si="42"/>
        <v>0</v>
      </c>
      <c r="D176" s="219">
        <f t="shared" si="42"/>
        <v>0</v>
      </c>
      <c r="E176" s="219">
        <f t="shared" si="42"/>
        <v>0</v>
      </c>
      <c r="F176" s="219">
        <f t="shared" si="42"/>
        <v>0</v>
      </c>
      <c r="G176" s="219">
        <f t="shared" si="42"/>
        <v>0</v>
      </c>
      <c r="H176" s="219">
        <f t="shared" si="42"/>
        <v>0</v>
      </c>
      <c r="I176" s="219">
        <f t="shared" si="42"/>
        <v>0</v>
      </c>
      <c r="J176" s="219">
        <f t="shared" si="42"/>
        <v>0</v>
      </c>
      <c r="K176" s="219">
        <f t="shared" si="42"/>
        <v>0</v>
      </c>
      <c r="L176" s="219">
        <f t="shared" si="42"/>
        <v>0</v>
      </c>
      <c r="M176" s="219">
        <f t="shared" si="42"/>
        <v>0</v>
      </c>
      <c r="N176" s="219">
        <f t="shared" si="42"/>
        <v>0</v>
      </c>
      <c r="O176" s="219">
        <f t="shared" si="42"/>
        <v>0</v>
      </c>
      <c r="P176" s="219">
        <f t="shared" si="42"/>
        <v>0</v>
      </c>
      <c r="Q176" s="219">
        <f t="shared" si="42"/>
        <v>0</v>
      </c>
      <c r="R176" s="219">
        <f t="shared" si="42"/>
        <v>0</v>
      </c>
      <c r="S176" s="219">
        <f t="shared" si="42"/>
        <v>0</v>
      </c>
      <c r="T176" s="219">
        <f t="shared" si="42"/>
        <v>0</v>
      </c>
      <c r="U176" s="219">
        <f t="shared" si="42"/>
        <v>0</v>
      </c>
      <c r="V176" s="219">
        <f t="shared" si="42"/>
        <v>0</v>
      </c>
      <c r="W176" s="219">
        <f t="shared" si="42"/>
        <v>0</v>
      </c>
      <c r="X176" s="219">
        <f t="shared" si="42"/>
        <v>0</v>
      </c>
      <c r="Y176" s="219">
        <f t="shared" si="42"/>
        <v>0</v>
      </c>
      <c r="Z176" s="219">
        <f t="shared" si="42"/>
        <v>0</v>
      </c>
      <c r="AA176" s="219">
        <f t="shared" si="42"/>
        <v>0</v>
      </c>
      <c r="AB176" s="219">
        <f t="shared" si="42"/>
        <v>0</v>
      </c>
      <c r="AC176" s="219">
        <f t="shared" si="42"/>
        <v>0</v>
      </c>
      <c r="AD176" s="219">
        <f t="shared" si="42"/>
        <v>0</v>
      </c>
      <c r="AE176" s="219">
        <f t="shared" si="42"/>
        <v>0</v>
      </c>
      <c r="AF176" s="125">
        <f t="shared" si="41"/>
        <v>0</v>
      </c>
    </row>
    <row r="177">
      <c r="A177" s="129" t="s">
        <v>260</v>
      </c>
      <c r="B177" s="219">
        <f t="shared" ref="B177:AE177" si="43">SUM(B174:B175)</f>
        <v>0</v>
      </c>
      <c r="C177" s="219">
        <f t="shared" si="43"/>
        <v>0</v>
      </c>
      <c r="D177" s="219">
        <f t="shared" si="43"/>
        <v>0</v>
      </c>
      <c r="E177" s="219">
        <f t="shared" si="43"/>
        <v>0</v>
      </c>
      <c r="F177" s="219">
        <f t="shared" si="43"/>
        <v>0</v>
      </c>
      <c r="G177" s="219">
        <f t="shared" si="43"/>
        <v>0</v>
      </c>
      <c r="H177" s="219">
        <f t="shared" si="43"/>
        <v>0</v>
      </c>
      <c r="I177" s="219">
        <f t="shared" si="43"/>
        <v>0</v>
      </c>
      <c r="J177" s="219">
        <f t="shared" si="43"/>
        <v>0</v>
      </c>
      <c r="K177" s="219">
        <f t="shared" si="43"/>
        <v>0</v>
      </c>
      <c r="L177" s="219">
        <f t="shared" si="43"/>
        <v>0</v>
      </c>
      <c r="M177" s="219">
        <f t="shared" si="43"/>
        <v>0</v>
      </c>
      <c r="N177" s="219">
        <f t="shared" si="43"/>
        <v>0</v>
      </c>
      <c r="O177" s="219">
        <f t="shared" si="43"/>
        <v>0</v>
      </c>
      <c r="P177" s="219">
        <f t="shared" si="43"/>
        <v>0</v>
      </c>
      <c r="Q177" s="219">
        <f t="shared" si="43"/>
        <v>0</v>
      </c>
      <c r="R177" s="219">
        <f t="shared" si="43"/>
        <v>0</v>
      </c>
      <c r="S177" s="219">
        <f t="shared" si="43"/>
        <v>0</v>
      </c>
      <c r="T177" s="219">
        <f t="shared" si="43"/>
        <v>0</v>
      </c>
      <c r="U177" s="219">
        <f t="shared" si="43"/>
        <v>0</v>
      </c>
      <c r="V177" s="219">
        <f t="shared" si="43"/>
        <v>0</v>
      </c>
      <c r="W177" s="219">
        <f t="shared" si="43"/>
        <v>0</v>
      </c>
      <c r="X177" s="219">
        <f t="shared" si="43"/>
        <v>0</v>
      </c>
      <c r="Y177" s="219">
        <f t="shared" si="43"/>
        <v>0</v>
      </c>
      <c r="Z177" s="219">
        <f t="shared" si="43"/>
        <v>0</v>
      </c>
      <c r="AA177" s="219">
        <f t="shared" si="43"/>
        <v>0</v>
      </c>
      <c r="AB177" s="219">
        <f t="shared" si="43"/>
        <v>0</v>
      </c>
      <c r="AC177" s="219">
        <f t="shared" si="43"/>
        <v>0</v>
      </c>
      <c r="AD177" s="219">
        <f t="shared" si="43"/>
        <v>0</v>
      </c>
      <c r="AE177" s="219">
        <f t="shared" si="43"/>
        <v>0</v>
      </c>
      <c r="AF177" s="125">
        <f t="shared" si="41"/>
        <v>0</v>
      </c>
    </row>
    <row r="178">
      <c r="A178" s="49"/>
      <c r="B178" s="139"/>
      <c r="C178" s="139"/>
      <c r="D178" s="139"/>
      <c r="E178" s="139"/>
      <c r="F178" s="139"/>
      <c r="G178" s="139"/>
      <c r="H178" s="139"/>
      <c r="I178" s="9"/>
      <c r="J178" s="9"/>
      <c r="K178" s="9"/>
      <c r="L178" s="9"/>
      <c r="M178" s="9"/>
      <c r="N178" s="9"/>
      <c r="O178" s="9"/>
      <c r="P178" s="9"/>
      <c r="Q178" s="9"/>
      <c r="R178" s="9"/>
      <c r="S178" s="9"/>
      <c r="T178" s="9"/>
      <c r="U178" s="9"/>
      <c r="V178" s="9"/>
      <c r="W178" s="9"/>
      <c r="X178" s="9"/>
      <c r="Y178" s="9"/>
      <c r="Z178" s="9"/>
      <c r="AA178" s="9"/>
      <c r="AB178" s="9"/>
      <c r="AC178" s="9"/>
      <c r="AD178" s="9"/>
      <c r="AE178" s="74"/>
      <c r="AF178" s="137"/>
    </row>
    <row r="179">
      <c r="A179" s="117" t="s">
        <v>264</v>
      </c>
      <c r="B179" s="551"/>
      <c r="C179" s="551"/>
      <c r="D179" s="551"/>
      <c r="E179" s="551"/>
      <c r="F179" s="551"/>
      <c r="G179" s="551"/>
      <c r="H179" s="551"/>
      <c r="I179" s="551"/>
      <c r="J179" s="551"/>
      <c r="K179" s="551"/>
      <c r="L179" s="551"/>
      <c r="M179" s="551"/>
      <c r="N179" s="551"/>
      <c r="O179" s="551"/>
      <c r="P179" s="551"/>
      <c r="Q179" s="551"/>
      <c r="R179" s="551"/>
      <c r="S179" s="551"/>
      <c r="T179" s="551"/>
      <c r="U179" s="551"/>
      <c r="V179" s="551"/>
      <c r="W179" s="551"/>
      <c r="X179" s="551"/>
      <c r="Y179" s="551"/>
      <c r="Z179" s="551"/>
      <c r="AA179" s="551"/>
      <c r="AB179" s="551"/>
      <c r="AC179" s="551"/>
      <c r="AD179" s="551"/>
      <c r="AE179" s="551"/>
      <c r="AF179" s="125">
        <f t="shared" ref="AF179:AF187" si="44">SUM(B179:AE179)</f>
        <v>0</v>
      </c>
    </row>
    <row r="180">
      <c r="A180" s="117" t="s">
        <v>267</v>
      </c>
      <c r="B180" s="551"/>
      <c r="C180" s="551"/>
      <c r="D180" s="551"/>
      <c r="E180" s="551"/>
      <c r="F180" s="551"/>
      <c r="G180" s="551"/>
      <c r="H180" s="551"/>
      <c r="I180" s="551"/>
      <c r="J180" s="551"/>
      <c r="K180" s="551"/>
      <c r="L180" s="551"/>
      <c r="M180" s="551"/>
      <c r="N180" s="551"/>
      <c r="O180" s="551"/>
      <c r="P180" s="551"/>
      <c r="Q180" s="551"/>
      <c r="R180" s="551"/>
      <c r="S180" s="551"/>
      <c r="T180" s="551"/>
      <c r="U180" s="551"/>
      <c r="V180" s="551"/>
      <c r="W180" s="551"/>
      <c r="X180" s="551"/>
      <c r="Y180" s="551"/>
      <c r="Z180" s="551"/>
      <c r="AA180" s="551"/>
      <c r="AB180" s="551"/>
      <c r="AC180" s="551"/>
      <c r="AD180" s="551"/>
      <c r="AE180" s="551"/>
      <c r="AF180" s="125">
        <f t="shared" si="44"/>
        <v>0</v>
      </c>
    </row>
    <row r="181">
      <c r="A181" s="344" t="s">
        <v>779</v>
      </c>
      <c r="B181" s="551"/>
      <c r="C181" s="551"/>
      <c r="D181" s="551"/>
      <c r="E181" s="551"/>
      <c r="F181" s="551"/>
      <c r="G181" s="551"/>
      <c r="H181" s="551"/>
      <c r="I181" s="551"/>
      <c r="J181" s="551"/>
      <c r="K181" s="551"/>
      <c r="L181" s="551"/>
      <c r="M181" s="551"/>
      <c r="N181" s="551"/>
      <c r="O181" s="551"/>
      <c r="P181" s="551"/>
      <c r="Q181" s="551"/>
      <c r="R181" s="551"/>
      <c r="S181" s="551"/>
      <c r="T181" s="551"/>
      <c r="U181" s="551"/>
      <c r="V181" s="551"/>
      <c r="W181" s="551"/>
      <c r="X181" s="551"/>
      <c r="Y181" s="551"/>
      <c r="Z181" s="551"/>
      <c r="AA181" s="551"/>
      <c r="AB181" s="551"/>
      <c r="AC181" s="551"/>
      <c r="AD181" s="551"/>
      <c r="AE181" s="551"/>
      <c r="AF181" s="125">
        <f t="shared" si="44"/>
        <v>0</v>
      </c>
    </row>
    <row r="182">
      <c r="A182" s="117" t="s">
        <v>780</v>
      </c>
      <c r="B182" s="551"/>
      <c r="C182" s="551"/>
      <c r="D182" s="551"/>
      <c r="E182" s="551"/>
      <c r="F182" s="551"/>
      <c r="G182" s="551"/>
      <c r="H182" s="551"/>
      <c r="I182" s="551"/>
      <c r="J182" s="551"/>
      <c r="K182" s="551"/>
      <c r="L182" s="551"/>
      <c r="M182" s="551"/>
      <c r="N182" s="551"/>
      <c r="O182" s="551"/>
      <c r="P182" s="551"/>
      <c r="Q182" s="551"/>
      <c r="R182" s="551"/>
      <c r="S182" s="551"/>
      <c r="T182" s="551"/>
      <c r="U182" s="551"/>
      <c r="V182" s="551"/>
      <c r="W182" s="551"/>
      <c r="X182" s="551"/>
      <c r="Y182" s="551"/>
      <c r="Z182" s="551"/>
      <c r="AA182" s="551"/>
      <c r="AB182" s="551"/>
      <c r="AC182" s="551"/>
      <c r="AD182" s="551"/>
      <c r="AE182" s="551"/>
      <c r="AF182" s="125">
        <f t="shared" si="44"/>
        <v>0</v>
      </c>
    </row>
    <row r="183">
      <c r="A183" s="117" t="s">
        <v>781</v>
      </c>
      <c r="B183" s="551"/>
      <c r="C183" s="551"/>
      <c r="D183" s="551"/>
      <c r="E183" s="551"/>
      <c r="F183" s="551"/>
      <c r="G183" s="551"/>
      <c r="H183" s="551"/>
      <c r="I183" s="551"/>
      <c r="J183" s="551"/>
      <c r="K183" s="551"/>
      <c r="L183" s="551"/>
      <c r="M183" s="551"/>
      <c r="N183" s="551"/>
      <c r="O183" s="551"/>
      <c r="P183" s="551"/>
      <c r="Q183" s="551"/>
      <c r="R183" s="551"/>
      <c r="S183" s="551"/>
      <c r="T183" s="551"/>
      <c r="U183" s="551"/>
      <c r="V183" s="551"/>
      <c r="W183" s="551"/>
      <c r="X183" s="551"/>
      <c r="Y183" s="551"/>
      <c r="Z183" s="551"/>
      <c r="AA183" s="551"/>
      <c r="AB183" s="551"/>
      <c r="AC183" s="551"/>
      <c r="AD183" s="551"/>
      <c r="AE183" s="551"/>
      <c r="AF183" s="125">
        <f t="shared" si="44"/>
        <v>0</v>
      </c>
    </row>
    <row r="184">
      <c r="A184" s="117" t="s">
        <v>782</v>
      </c>
      <c r="B184" s="551"/>
      <c r="C184" s="551"/>
      <c r="D184" s="551"/>
      <c r="E184" s="551"/>
      <c r="F184" s="551"/>
      <c r="G184" s="551"/>
      <c r="H184" s="551"/>
      <c r="I184" s="551"/>
      <c r="J184" s="551"/>
      <c r="K184" s="551"/>
      <c r="L184" s="551"/>
      <c r="M184" s="551"/>
      <c r="N184" s="551"/>
      <c r="O184" s="551"/>
      <c r="P184" s="551"/>
      <c r="Q184" s="551"/>
      <c r="R184" s="551"/>
      <c r="S184" s="551"/>
      <c r="T184" s="551"/>
      <c r="U184" s="551"/>
      <c r="V184" s="551"/>
      <c r="W184" s="551"/>
      <c r="X184" s="551"/>
      <c r="Y184" s="551"/>
      <c r="Z184" s="551"/>
      <c r="AA184" s="551"/>
      <c r="AB184" s="551"/>
      <c r="AC184" s="551"/>
      <c r="AD184" s="551"/>
      <c r="AE184" s="551"/>
      <c r="AF184" s="125">
        <f t="shared" si="44"/>
        <v>0</v>
      </c>
    </row>
    <row r="185">
      <c r="A185" s="117" t="s">
        <v>783</v>
      </c>
      <c r="B185" s="551"/>
      <c r="C185" s="551"/>
      <c r="D185" s="551"/>
      <c r="E185" s="551"/>
      <c r="F185" s="551"/>
      <c r="G185" s="551"/>
      <c r="H185" s="551"/>
      <c r="I185" s="551"/>
      <c r="J185" s="551"/>
      <c r="K185" s="551"/>
      <c r="L185" s="551"/>
      <c r="M185" s="551"/>
      <c r="N185" s="551"/>
      <c r="O185" s="551"/>
      <c r="P185" s="551"/>
      <c r="Q185" s="551"/>
      <c r="R185" s="551"/>
      <c r="S185" s="551"/>
      <c r="T185" s="551"/>
      <c r="U185" s="551"/>
      <c r="V185" s="551"/>
      <c r="W185" s="551"/>
      <c r="X185" s="551"/>
      <c r="Y185" s="551"/>
      <c r="Z185" s="551"/>
      <c r="AA185" s="551"/>
      <c r="AB185" s="551"/>
      <c r="AC185" s="551"/>
      <c r="AD185" s="551"/>
      <c r="AE185" s="551"/>
      <c r="AF185" s="125">
        <f t="shared" si="44"/>
        <v>0</v>
      </c>
    </row>
    <row r="186">
      <c r="A186" s="117" t="s">
        <v>784</v>
      </c>
      <c r="B186" s="551"/>
      <c r="C186" s="551"/>
      <c r="D186" s="551"/>
      <c r="E186" s="551"/>
      <c r="F186" s="551"/>
      <c r="G186" s="551"/>
      <c r="H186" s="551"/>
      <c r="I186" s="551"/>
      <c r="J186" s="551"/>
      <c r="K186" s="551"/>
      <c r="L186" s="551"/>
      <c r="M186" s="551"/>
      <c r="N186" s="551"/>
      <c r="O186" s="551"/>
      <c r="P186" s="551"/>
      <c r="Q186" s="551"/>
      <c r="R186" s="551"/>
      <c r="S186" s="551"/>
      <c r="T186" s="551"/>
      <c r="U186" s="551"/>
      <c r="V186" s="551"/>
      <c r="W186" s="551"/>
      <c r="X186" s="551"/>
      <c r="Y186" s="551"/>
      <c r="Z186" s="551"/>
      <c r="AA186" s="551"/>
      <c r="AB186" s="551"/>
      <c r="AC186" s="551"/>
      <c r="AD186" s="551"/>
      <c r="AE186" s="551"/>
      <c r="AF186" s="125">
        <f t="shared" si="44"/>
        <v>0</v>
      </c>
    </row>
    <row r="187">
      <c r="A187" s="204" t="s">
        <v>162</v>
      </c>
      <c r="B187" s="219">
        <f t="shared" ref="B187:AE187" si="45">SUM(B179:B186)</f>
        <v>0</v>
      </c>
      <c r="C187" s="219">
        <f t="shared" si="45"/>
        <v>0</v>
      </c>
      <c r="D187" s="219">
        <f t="shared" si="45"/>
        <v>0</v>
      </c>
      <c r="E187" s="219">
        <f t="shared" si="45"/>
        <v>0</v>
      </c>
      <c r="F187" s="219">
        <f t="shared" si="45"/>
        <v>0</v>
      </c>
      <c r="G187" s="219">
        <f t="shared" si="45"/>
        <v>0</v>
      </c>
      <c r="H187" s="219">
        <f t="shared" si="45"/>
        <v>0</v>
      </c>
      <c r="I187" s="219">
        <f t="shared" si="45"/>
        <v>0</v>
      </c>
      <c r="J187" s="219">
        <f t="shared" si="45"/>
        <v>0</v>
      </c>
      <c r="K187" s="219">
        <f t="shared" si="45"/>
        <v>0</v>
      </c>
      <c r="L187" s="219">
        <f t="shared" si="45"/>
        <v>0</v>
      </c>
      <c r="M187" s="219">
        <f t="shared" si="45"/>
        <v>0</v>
      </c>
      <c r="N187" s="219">
        <f t="shared" si="45"/>
        <v>0</v>
      </c>
      <c r="O187" s="219">
        <f t="shared" si="45"/>
        <v>0</v>
      </c>
      <c r="P187" s="219">
        <f t="shared" si="45"/>
        <v>0</v>
      </c>
      <c r="Q187" s="219">
        <f t="shared" si="45"/>
        <v>0</v>
      </c>
      <c r="R187" s="219">
        <f t="shared" si="45"/>
        <v>0</v>
      </c>
      <c r="S187" s="219">
        <f t="shared" si="45"/>
        <v>0</v>
      </c>
      <c r="T187" s="219">
        <f t="shared" si="45"/>
        <v>0</v>
      </c>
      <c r="U187" s="219">
        <f t="shared" si="45"/>
        <v>0</v>
      </c>
      <c r="V187" s="219">
        <f t="shared" si="45"/>
        <v>0</v>
      </c>
      <c r="W187" s="219">
        <f t="shared" si="45"/>
        <v>0</v>
      </c>
      <c r="X187" s="219">
        <f t="shared" si="45"/>
        <v>0</v>
      </c>
      <c r="Y187" s="219">
        <f t="shared" si="45"/>
        <v>0</v>
      </c>
      <c r="Z187" s="219">
        <f t="shared" si="45"/>
        <v>0</v>
      </c>
      <c r="AA187" s="219">
        <f t="shared" si="45"/>
        <v>0</v>
      </c>
      <c r="AB187" s="219">
        <f t="shared" si="45"/>
        <v>0</v>
      </c>
      <c r="AC187" s="219">
        <f t="shared" si="45"/>
        <v>0</v>
      </c>
      <c r="AD187" s="219">
        <f t="shared" si="45"/>
        <v>0</v>
      </c>
      <c r="AE187" s="219">
        <f t="shared" si="45"/>
        <v>0</v>
      </c>
      <c r="AF187" s="125">
        <f t="shared" si="44"/>
        <v>0</v>
      </c>
    </row>
    <row r="188">
      <c r="A188" s="49"/>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74"/>
      <c r="AF188" s="137"/>
    </row>
    <row r="189">
      <c r="A189" s="75" t="s">
        <v>785</v>
      </c>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74"/>
      <c r="AF189" s="137"/>
    </row>
    <row r="190">
      <c r="A190" s="117" t="s">
        <v>600</v>
      </c>
      <c r="B190" s="55"/>
      <c r="C190" s="55"/>
      <c r="D190" s="55"/>
      <c r="E190" s="55"/>
      <c r="F190" s="55"/>
      <c r="G190" s="55"/>
      <c r="H190" s="55"/>
      <c r="I190" s="55"/>
      <c r="J190" s="55"/>
      <c r="K190" s="55"/>
      <c r="L190" s="55"/>
      <c r="M190" s="55"/>
      <c r="N190" s="55"/>
      <c r="O190" s="55"/>
      <c r="P190" s="55"/>
      <c r="Q190" s="55"/>
      <c r="R190" s="183"/>
      <c r="S190" s="183"/>
      <c r="T190" s="183"/>
      <c r="U190" s="183"/>
      <c r="V190" s="183"/>
      <c r="W190" s="183"/>
      <c r="X190" s="183"/>
      <c r="Y190" s="183"/>
      <c r="Z190" s="183"/>
      <c r="AA190" s="183"/>
      <c r="AB190" s="183"/>
      <c r="AC190" s="183"/>
      <c r="AD190" s="183"/>
      <c r="AE190" s="183"/>
      <c r="AF190" s="137"/>
    </row>
    <row r="191">
      <c r="A191" s="117" t="s">
        <v>135</v>
      </c>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c r="AA191" s="151"/>
      <c r="AB191" s="151"/>
      <c r="AC191" s="151"/>
      <c r="AD191" s="151"/>
      <c r="AE191" s="151"/>
      <c r="AF191" s="552">
        <f t="shared" ref="AF191:AF193" si="46">SUM(B191:AE191)</f>
        <v>0</v>
      </c>
    </row>
    <row r="192">
      <c r="A192" s="117" t="s">
        <v>601</v>
      </c>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c r="AA192" s="151"/>
      <c r="AB192" s="151"/>
      <c r="AC192" s="151"/>
      <c r="AD192" s="151"/>
      <c r="AE192" s="151"/>
      <c r="AF192" s="552">
        <f t="shared" si="46"/>
        <v>0</v>
      </c>
    </row>
    <row r="193">
      <c r="A193" s="553" t="s">
        <v>602</v>
      </c>
      <c r="B193" s="254">
        <f t="shared" ref="B193:AE193" si="47">sum(B190:B192)</f>
        <v>0</v>
      </c>
      <c r="C193" s="254">
        <f t="shared" si="47"/>
        <v>0</v>
      </c>
      <c r="D193" s="254">
        <f t="shared" si="47"/>
        <v>0</v>
      </c>
      <c r="E193" s="254">
        <f t="shared" si="47"/>
        <v>0</v>
      </c>
      <c r="F193" s="254">
        <f t="shared" si="47"/>
        <v>0</v>
      </c>
      <c r="G193" s="254">
        <f t="shared" si="47"/>
        <v>0</v>
      </c>
      <c r="H193" s="254">
        <f t="shared" si="47"/>
        <v>0</v>
      </c>
      <c r="I193" s="254">
        <f t="shared" si="47"/>
        <v>0</v>
      </c>
      <c r="J193" s="254">
        <f t="shared" si="47"/>
        <v>0</v>
      </c>
      <c r="K193" s="254">
        <f t="shared" si="47"/>
        <v>0</v>
      </c>
      <c r="L193" s="254">
        <f t="shared" si="47"/>
        <v>0</v>
      </c>
      <c r="M193" s="254">
        <f t="shared" si="47"/>
        <v>0</v>
      </c>
      <c r="N193" s="254">
        <f t="shared" si="47"/>
        <v>0</v>
      </c>
      <c r="O193" s="254">
        <f t="shared" si="47"/>
        <v>0</v>
      </c>
      <c r="P193" s="254">
        <f t="shared" si="47"/>
        <v>0</v>
      </c>
      <c r="Q193" s="254">
        <f t="shared" si="47"/>
        <v>0</v>
      </c>
      <c r="R193" s="254">
        <f t="shared" si="47"/>
        <v>0</v>
      </c>
      <c r="S193" s="254">
        <f t="shared" si="47"/>
        <v>0</v>
      </c>
      <c r="T193" s="254">
        <f t="shared" si="47"/>
        <v>0</v>
      </c>
      <c r="U193" s="254">
        <f t="shared" si="47"/>
        <v>0</v>
      </c>
      <c r="V193" s="254">
        <f t="shared" si="47"/>
        <v>0</v>
      </c>
      <c r="W193" s="254">
        <f t="shared" si="47"/>
        <v>0</v>
      </c>
      <c r="X193" s="254">
        <f t="shared" si="47"/>
        <v>0</v>
      </c>
      <c r="Y193" s="254">
        <f t="shared" si="47"/>
        <v>0</v>
      </c>
      <c r="Z193" s="254">
        <f t="shared" si="47"/>
        <v>0</v>
      </c>
      <c r="AA193" s="254">
        <f t="shared" si="47"/>
        <v>0</v>
      </c>
      <c r="AB193" s="254">
        <f t="shared" si="47"/>
        <v>0</v>
      </c>
      <c r="AC193" s="254">
        <f t="shared" si="47"/>
        <v>0</v>
      </c>
      <c r="AD193" s="254">
        <f t="shared" si="47"/>
        <v>0</v>
      </c>
      <c r="AE193" s="554">
        <f t="shared" si="47"/>
        <v>0</v>
      </c>
      <c r="AF193" s="552">
        <f t="shared" si="46"/>
        <v>0</v>
      </c>
    </row>
    <row r="194">
      <c r="A194" s="49"/>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74"/>
      <c r="AF194" s="137"/>
    </row>
    <row r="195">
      <c r="A195" s="549" t="s">
        <v>484</v>
      </c>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c r="AE195" s="189"/>
      <c r="AF195" s="552">
        <f t="shared" ref="AF195:AF197" si="48">SUM(B195:AE195)</f>
        <v>0</v>
      </c>
    </row>
    <row r="196">
      <c r="A196" s="440" t="s">
        <v>486</v>
      </c>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c r="AA196" s="151"/>
      <c r="AB196" s="151"/>
      <c r="AC196" s="151"/>
      <c r="AD196" s="151"/>
      <c r="AE196" s="151"/>
      <c r="AF196" s="552">
        <f t="shared" si="48"/>
        <v>0</v>
      </c>
    </row>
    <row r="197">
      <c r="A197" s="441" t="s">
        <v>604</v>
      </c>
      <c r="B197" s="442">
        <f t="shared" ref="B197:AE197" si="49">sum(B195:B196)</f>
        <v>0</v>
      </c>
      <c r="C197" s="442">
        <f t="shared" si="49"/>
        <v>0</v>
      </c>
      <c r="D197" s="442">
        <f t="shared" si="49"/>
        <v>0</v>
      </c>
      <c r="E197" s="442">
        <f t="shared" si="49"/>
        <v>0</v>
      </c>
      <c r="F197" s="442">
        <f t="shared" si="49"/>
        <v>0</v>
      </c>
      <c r="G197" s="442">
        <f t="shared" si="49"/>
        <v>0</v>
      </c>
      <c r="H197" s="442">
        <f t="shared" si="49"/>
        <v>0</v>
      </c>
      <c r="I197" s="442">
        <f t="shared" si="49"/>
        <v>0</v>
      </c>
      <c r="J197" s="442">
        <f t="shared" si="49"/>
        <v>0</v>
      </c>
      <c r="K197" s="442">
        <f t="shared" si="49"/>
        <v>0</v>
      </c>
      <c r="L197" s="442">
        <f t="shared" si="49"/>
        <v>0</v>
      </c>
      <c r="M197" s="442">
        <f t="shared" si="49"/>
        <v>0</v>
      </c>
      <c r="N197" s="442">
        <f t="shared" si="49"/>
        <v>0</v>
      </c>
      <c r="O197" s="442">
        <f t="shared" si="49"/>
        <v>0</v>
      </c>
      <c r="P197" s="442">
        <f t="shared" si="49"/>
        <v>0</v>
      </c>
      <c r="Q197" s="442">
        <f t="shared" si="49"/>
        <v>0</v>
      </c>
      <c r="R197" s="442">
        <f t="shared" si="49"/>
        <v>0</v>
      </c>
      <c r="S197" s="442">
        <f t="shared" si="49"/>
        <v>0</v>
      </c>
      <c r="T197" s="442">
        <f t="shared" si="49"/>
        <v>0</v>
      </c>
      <c r="U197" s="442">
        <f t="shared" si="49"/>
        <v>0</v>
      </c>
      <c r="V197" s="442">
        <f t="shared" si="49"/>
        <v>0</v>
      </c>
      <c r="W197" s="442">
        <f t="shared" si="49"/>
        <v>0</v>
      </c>
      <c r="X197" s="442">
        <f t="shared" si="49"/>
        <v>0</v>
      </c>
      <c r="Y197" s="442">
        <f t="shared" si="49"/>
        <v>0</v>
      </c>
      <c r="Z197" s="442">
        <f t="shared" si="49"/>
        <v>0</v>
      </c>
      <c r="AA197" s="442">
        <f t="shared" si="49"/>
        <v>0</v>
      </c>
      <c r="AB197" s="442">
        <f t="shared" si="49"/>
        <v>0</v>
      </c>
      <c r="AC197" s="442">
        <f t="shared" si="49"/>
        <v>0</v>
      </c>
      <c r="AD197" s="442">
        <f t="shared" si="49"/>
        <v>0</v>
      </c>
      <c r="AE197" s="442">
        <f t="shared" si="49"/>
        <v>0</v>
      </c>
      <c r="AF197" s="552">
        <f t="shared" si="48"/>
        <v>0</v>
      </c>
    </row>
    <row r="198">
      <c r="A198" s="49"/>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74"/>
      <c r="AF198" s="137"/>
    </row>
    <row r="199" collapsed="1">
      <c r="A199" s="434" t="s">
        <v>788</v>
      </c>
      <c r="B199" s="469"/>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c r="AA199" s="469"/>
      <c r="AB199" s="469"/>
      <c r="AC199" s="469"/>
      <c r="AD199" s="469"/>
      <c r="AE199" s="547"/>
      <c r="AF199" s="137"/>
    </row>
    <row r="200" hidden="1" outlineLevel="1">
      <c r="A200" s="117" t="s">
        <v>789</v>
      </c>
      <c r="B200" s="112">
        <v>0.0</v>
      </c>
      <c r="C200" s="112">
        <v>0.0</v>
      </c>
      <c r="D200" s="112">
        <v>0.0</v>
      </c>
      <c r="E200" s="112">
        <v>0.0</v>
      </c>
      <c r="F200" s="112">
        <v>0.0</v>
      </c>
      <c r="G200" s="112">
        <v>0.0</v>
      </c>
      <c r="H200" s="112">
        <v>0.0</v>
      </c>
      <c r="I200" s="112">
        <v>0.0</v>
      </c>
      <c r="J200" s="112">
        <v>0.0</v>
      </c>
      <c r="K200" s="112">
        <v>0.0</v>
      </c>
      <c r="L200" s="112">
        <v>0.0</v>
      </c>
      <c r="M200" s="112">
        <v>0.0</v>
      </c>
      <c r="N200" s="112">
        <v>0.0</v>
      </c>
      <c r="O200" s="112">
        <v>0.0</v>
      </c>
      <c r="P200" s="112">
        <v>0.0</v>
      </c>
      <c r="Q200" s="112">
        <v>0.0</v>
      </c>
      <c r="R200" s="112">
        <v>0.0</v>
      </c>
      <c r="S200" s="112">
        <v>0.0</v>
      </c>
      <c r="T200" s="112">
        <v>0.0</v>
      </c>
      <c r="U200" s="112">
        <v>0.0</v>
      </c>
      <c r="V200" s="112">
        <v>0.0</v>
      </c>
      <c r="W200" s="112">
        <v>0.0</v>
      </c>
      <c r="X200" s="112">
        <v>0.0</v>
      </c>
      <c r="Y200" s="112">
        <v>0.0</v>
      </c>
      <c r="Z200" s="112">
        <v>0.0</v>
      </c>
      <c r="AA200" s="112">
        <v>0.0</v>
      </c>
      <c r="AB200" s="112">
        <v>0.0</v>
      </c>
      <c r="AC200" s="112">
        <v>0.0</v>
      </c>
      <c r="AD200" s="112">
        <v>0.0</v>
      </c>
      <c r="AE200" s="114">
        <v>0.0</v>
      </c>
      <c r="AF200" s="125">
        <f t="shared" ref="AF200:AF205" si="50">SUM(B200:AE200)</f>
        <v>0</v>
      </c>
    </row>
    <row r="201" hidden="1" outlineLevel="1">
      <c r="A201" s="117" t="s">
        <v>790</v>
      </c>
      <c r="B201" s="112">
        <v>0.0</v>
      </c>
      <c r="C201" s="112">
        <v>0.0</v>
      </c>
      <c r="D201" s="112">
        <v>0.0</v>
      </c>
      <c r="E201" s="112">
        <v>0.0</v>
      </c>
      <c r="F201" s="112">
        <v>0.0</v>
      </c>
      <c r="G201" s="112">
        <v>0.0</v>
      </c>
      <c r="H201" s="112">
        <v>0.0</v>
      </c>
      <c r="I201" s="112">
        <v>0.0</v>
      </c>
      <c r="J201" s="112">
        <v>0.0</v>
      </c>
      <c r="K201" s="112">
        <v>0.0</v>
      </c>
      <c r="L201" s="112">
        <v>0.0</v>
      </c>
      <c r="M201" s="112">
        <v>0.0</v>
      </c>
      <c r="N201" s="112">
        <v>0.0</v>
      </c>
      <c r="O201" s="112">
        <v>0.0</v>
      </c>
      <c r="P201" s="112">
        <v>0.0</v>
      </c>
      <c r="Q201" s="112">
        <v>0.0</v>
      </c>
      <c r="R201" s="112">
        <v>0.0</v>
      </c>
      <c r="S201" s="112">
        <v>0.0</v>
      </c>
      <c r="T201" s="112">
        <v>0.0</v>
      </c>
      <c r="U201" s="112">
        <v>0.0</v>
      </c>
      <c r="V201" s="112">
        <v>0.0</v>
      </c>
      <c r="W201" s="112">
        <v>0.0</v>
      </c>
      <c r="X201" s="112">
        <v>0.0</v>
      </c>
      <c r="Y201" s="112">
        <v>0.0</v>
      </c>
      <c r="Z201" s="112">
        <v>0.0</v>
      </c>
      <c r="AA201" s="112">
        <v>0.0</v>
      </c>
      <c r="AB201" s="112">
        <v>0.0</v>
      </c>
      <c r="AC201" s="112">
        <v>0.0</v>
      </c>
      <c r="AD201" s="112">
        <v>0.0</v>
      </c>
      <c r="AE201" s="114">
        <v>0.0</v>
      </c>
      <c r="AF201" s="125">
        <f t="shared" si="50"/>
        <v>0</v>
      </c>
    </row>
    <row r="202" hidden="1" outlineLevel="1">
      <c r="A202" s="117" t="s">
        <v>791</v>
      </c>
      <c r="B202" s="112">
        <v>0.0</v>
      </c>
      <c r="C202" s="112">
        <v>0.0</v>
      </c>
      <c r="D202" s="112">
        <v>0.0</v>
      </c>
      <c r="E202" s="112">
        <v>0.0</v>
      </c>
      <c r="F202" s="112">
        <v>0.0</v>
      </c>
      <c r="G202" s="112">
        <v>0.0</v>
      </c>
      <c r="H202" s="112">
        <v>0.0</v>
      </c>
      <c r="I202" s="112">
        <v>0.0</v>
      </c>
      <c r="J202" s="112">
        <v>0.0</v>
      </c>
      <c r="K202" s="112">
        <v>0.0</v>
      </c>
      <c r="L202" s="112">
        <v>0.0</v>
      </c>
      <c r="M202" s="112">
        <v>0.0</v>
      </c>
      <c r="N202" s="112">
        <v>0.0</v>
      </c>
      <c r="O202" s="112">
        <v>0.0</v>
      </c>
      <c r="P202" s="112">
        <v>0.0</v>
      </c>
      <c r="Q202" s="112">
        <v>0.0</v>
      </c>
      <c r="R202" s="112">
        <v>0.0</v>
      </c>
      <c r="S202" s="112">
        <v>0.0</v>
      </c>
      <c r="T202" s="112">
        <v>0.0</v>
      </c>
      <c r="U202" s="112">
        <v>0.0</v>
      </c>
      <c r="V202" s="112">
        <v>0.0</v>
      </c>
      <c r="W202" s="112">
        <v>0.0</v>
      </c>
      <c r="X202" s="112">
        <v>0.0</v>
      </c>
      <c r="Y202" s="112">
        <v>0.0</v>
      </c>
      <c r="Z202" s="112">
        <v>0.0</v>
      </c>
      <c r="AA202" s="112">
        <v>0.0</v>
      </c>
      <c r="AB202" s="112">
        <v>0.0</v>
      </c>
      <c r="AC202" s="112">
        <v>0.0</v>
      </c>
      <c r="AD202" s="112">
        <v>0.0</v>
      </c>
      <c r="AE202" s="114">
        <v>0.0</v>
      </c>
      <c r="AF202" s="125">
        <f t="shared" si="50"/>
        <v>0</v>
      </c>
    </row>
    <row r="203" hidden="1" outlineLevel="1">
      <c r="A203" s="117" t="s">
        <v>792</v>
      </c>
      <c r="B203" s="112">
        <v>0.0</v>
      </c>
      <c r="C203" s="112">
        <v>0.0</v>
      </c>
      <c r="D203" s="112">
        <v>0.0</v>
      </c>
      <c r="E203" s="112">
        <v>0.0</v>
      </c>
      <c r="F203" s="112">
        <v>0.0</v>
      </c>
      <c r="G203" s="112">
        <v>0.0</v>
      </c>
      <c r="H203" s="112">
        <v>0.0</v>
      </c>
      <c r="I203" s="112">
        <v>0.0</v>
      </c>
      <c r="J203" s="112">
        <v>0.0</v>
      </c>
      <c r="K203" s="112">
        <v>0.0</v>
      </c>
      <c r="L203" s="112">
        <v>0.0</v>
      </c>
      <c r="M203" s="112">
        <v>0.0</v>
      </c>
      <c r="N203" s="112">
        <v>0.0</v>
      </c>
      <c r="O203" s="112">
        <v>0.0</v>
      </c>
      <c r="P203" s="112">
        <v>0.0</v>
      </c>
      <c r="Q203" s="112">
        <v>0.0</v>
      </c>
      <c r="R203" s="112">
        <v>0.0</v>
      </c>
      <c r="S203" s="112">
        <v>0.0</v>
      </c>
      <c r="T203" s="112">
        <v>0.0</v>
      </c>
      <c r="U203" s="112">
        <v>0.0</v>
      </c>
      <c r="V203" s="112">
        <v>0.0</v>
      </c>
      <c r="W203" s="112">
        <v>0.0</v>
      </c>
      <c r="X203" s="112">
        <v>0.0</v>
      </c>
      <c r="Y203" s="112">
        <v>0.0</v>
      </c>
      <c r="Z203" s="112">
        <v>0.0</v>
      </c>
      <c r="AA203" s="112">
        <v>0.0</v>
      </c>
      <c r="AB203" s="112">
        <v>0.0</v>
      </c>
      <c r="AC203" s="112">
        <v>0.0</v>
      </c>
      <c r="AD203" s="112">
        <v>0.0</v>
      </c>
      <c r="AE203" s="114">
        <v>0.0</v>
      </c>
      <c r="AF203" s="125">
        <f t="shared" si="50"/>
        <v>0</v>
      </c>
    </row>
    <row r="204" hidden="1" outlineLevel="1">
      <c r="A204" s="204" t="s">
        <v>258</v>
      </c>
      <c r="B204" s="219">
        <f t="shared" ref="B204:AE204" si="51">B200+B201</f>
        <v>0</v>
      </c>
      <c r="C204" s="219">
        <f t="shared" si="51"/>
        <v>0</v>
      </c>
      <c r="D204" s="219">
        <f t="shared" si="51"/>
        <v>0</v>
      </c>
      <c r="E204" s="219">
        <f t="shared" si="51"/>
        <v>0</v>
      </c>
      <c r="F204" s="219">
        <f t="shared" si="51"/>
        <v>0</v>
      </c>
      <c r="G204" s="219">
        <f t="shared" si="51"/>
        <v>0</v>
      </c>
      <c r="H204" s="219">
        <f t="shared" si="51"/>
        <v>0</v>
      </c>
      <c r="I204" s="219">
        <f t="shared" si="51"/>
        <v>0</v>
      </c>
      <c r="J204" s="219">
        <f t="shared" si="51"/>
        <v>0</v>
      </c>
      <c r="K204" s="219">
        <f t="shared" si="51"/>
        <v>0</v>
      </c>
      <c r="L204" s="219">
        <f t="shared" si="51"/>
        <v>0</v>
      </c>
      <c r="M204" s="219">
        <f t="shared" si="51"/>
        <v>0</v>
      </c>
      <c r="N204" s="219">
        <f t="shared" si="51"/>
        <v>0</v>
      </c>
      <c r="O204" s="219">
        <f t="shared" si="51"/>
        <v>0</v>
      </c>
      <c r="P204" s="219">
        <f t="shared" si="51"/>
        <v>0</v>
      </c>
      <c r="Q204" s="219">
        <f t="shared" si="51"/>
        <v>0</v>
      </c>
      <c r="R204" s="219">
        <f t="shared" si="51"/>
        <v>0</v>
      </c>
      <c r="S204" s="219">
        <f t="shared" si="51"/>
        <v>0</v>
      </c>
      <c r="T204" s="219">
        <f t="shared" si="51"/>
        <v>0</v>
      </c>
      <c r="U204" s="219">
        <f t="shared" si="51"/>
        <v>0</v>
      </c>
      <c r="V204" s="219">
        <f t="shared" si="51"/>
        <v>0</v>
      </c>
      <c r="W204" s="219">
        <f t="shared" si="51"/>
        <v>0</v>
      </c>
      <c r="X204" s="219">
        <f t="shared" si="51"/>
        <v>0</v>
      </c>
      <c r="Y204" s="219">
        <f t="shared" si="51"/>
        <v>0</v>
      </c>
      <c r="Z204" s="219">
        <f t="shared" si="51"/>
        <v>0</v>
      </c>
      <c r="AA204" s="219">
        <f t="shared" si="51"/>
        <v>0</v>
      </c>
      <c r="AB204" s="219">
        <f t="shared" si="51"/>
        <v>0</v>
      </c>
      <c r="AC204" s="219">
        <f t="shared" si="51"/>
        <v>0</v>
      </c>
      <c r="AD204" s="219">
        <f t="shared" si="51"/>
        <v>0</v>
      </c>
      <c r="AE204" s="219">
        <f t="shared" si="51"/>
        <v>0</v>
      </c>
      <c r="AF204" s="125">
        <f t="shared" si="50"/>
        <v>0</v>
      </c>
    </row>
    <row r="205" hidden="1" outlineLevel="1">
      <c r="A205" s="204" t="s">
        <v>260</v>
      </c>
      <c r="B205" s="219">
        <f t="shared" ref="B205:AE205" si="52">B202+B203</f>
        <v>0</v>
      </c>
      <c r="C205" s="219">
        <f t="shared" si="52"/>
        <v>0</v>
      </c>
      <c r="D205" s="219">
        <f t="shared" si="52"/>
        <v>0</v>
      </c>
      <c r="E205" s="219">
        <f t="shared" si="52"/>
        <v>0</v>
      </c>
      <c r="F205" s="219">
        <f t="shared" si="52"/>
        <v>0</v>
      </c>
      <c r="G205" s="219">
        <f t="shared" si="52"/>
        <v>0</v>
      </c>
      <c r="H205" s="219">
        <f t="shared" si="52"/>
        <v>0</v>
      </c>
      <c r="I205" s="219">
        <f t="shared" si="52"/>
        <v>0</v>
      </c>
      <c r="J205" s="219">
        <f t="shared" si="52"/>
        <v>0</v>
      </c>
      <c r="K205" s="219">
        <f t="shared" si="52"/>
        <v>0</v>
      </c>
      <c r="L205" s="219">
        <f t="shared" si="52"/>
        <v>0</v>
      </c>
      <c r="M205" s="219">
        <f t="shared" si="52"/>
        <v>0</v>
      </c>
      <c r="N205" s="219">
        <f t="shared" si="52"/>
        <v>0</v>
      </c>
      <c r="O205" s="219">
        <f t="shared" si="52"/>
        <v>0</v>
      </c>
      <c r="P205" s="219">
        <f t="shared" si="52"/>
        <v>0</v>
      </c>
      <c r="Q205" s="219">
        <f t="shared" si="52"/>
        <v>0</v>
      </c>
      <c r="R205" s="219">
        <f t="shared" si="52"/>
        <v>0</v>
      </c>
      <c r="S205" s="219">
        <f t="shared" si="52"/>
        <v>0</v>
      </c>
      <c r="T205" s="219">
        <f t="shared" si="52"/>
        <v>0</v>
      </c>
      <c r="U205" s="219">
        <f t="shared" si="52"/>
        <v>0</v>
      </c>
      <c r="V205" s="219">
        <f t="shared" si="52"/>
        <v>0</v>
      </c>
      <c r="W205" s="219">
        <f t="shared" si="52"/>
        <v>0</v>
      </c>
      <c r="X205" s="219">
        <f t="shared" si="52"/>
        <v>0</v>
      </c>
      <c r="Y205" s="219">
        <f t="shared" si="52"/>
        <v>0</v>
      </c>
      <c r="Z205" s="219">
        <f t="shared" si="52"/>
        <v>0</v>
      </c>
      <c r="AA205" s="219">
        <f t="shared" si="52"/>
        <v>0</v>
      </c>
      <c r="AB205" s="219">
        <f t="shared" si="52"/>
        <v>0</v>
      </c>
      <c r="AC205" s="219">
        <f t="shared" si="52"/>
        <v>0</v>
      </c>
      <c r="AD205" s="219">
        <f t="shared" si="52"/>
        <v>0</v>
      </c>
      <c r="AE205" s="219">
        <f t="shared" si="52"/>
        <v>0</v>
      </c>
      <c r="AF205" s="125">
        <f t="shared" si="50"/>
        <v>0</v>
      </c>
    </row>
    <row r="206" hidden="1" outlineLevel="1">
      <c r="A206" s="49"/>
      <c r="B206" s="183"/>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c r="Z206" s="183"/>
      <c r="AA206" s="183"/>
      <c r="AB206" s="183"/>
      <c r="AC206" s="183"/>
      <c r="AD206" s="183"/>
      <c r="AE206" s="74"/>
      <c r="AF206" s="125"/>
    </row>
    <row r="207" hidden="1" outlineLevel="1">
      <c r="A207" s="117" t="s">
        <v>264</v>
      </c>
      <c r="B207" s="121">
        <v>0.0</v>
      </c>
      <c r="C207" s="121">
        <v>0.0</v>
      </c>
      <c r="D207" s="121">
        <v>0.0</v>
      </c>
      <c r="E207" s="121">
        <v>0.0</v>
      </c>
      <c r="F207" s="121">
        <v>0.0</v>
      </c>
      <c r="G207" s="121">
        <v>0.0</v>
      </c>
      <c r="H207" s="121">
        <v>0.0</v>
      </c>
      <c r="I207" s="121">
        <v>0.0</v>
      </c>
      <c r="J207" s="121">
        <v>0.0</v>
      </c>
      <c r="K207" s="121">
        <v>0.0</v>
      </c>
      <c r="L207" s="121">
        <v>0.0</v>
      </c>
      <c r="M207" s="121">
        <v>0.0</v>
      </c>
      <c r="N207" s="121">
        <v>0.0</v>
      </c>
      <c r="O207" s="121">
        <v>0.0</v>
      </c>
      <c r="P207" s="121">
        <v>0.0</v>
      </c>
      <c r="Q207" s="121">
        <v>0.0</v>
      </c>
      <c r="R207" s="121">
        <v>0.0</v>
      </c>
      <c r="S207" s="121">
        <v>0.0</v>
      </c>
      <c r="T207" s="121">
        <v>0.0</v>
      </c>
      <c r="U207" s="121">
        <v>0.0</v>
      </c>
      <c r="V207" s="121">
        <v>0.0</v>
      </c>
      <c r="W207" s="121">
        <v>0.0</v>
      </c>
      <c r="X207" s="121">
        <v>0.0</v>
      </c>
      <c r="Y207" s="121">
        <v>0.0</v>
      </c>
      <c r="Z207" s="121">
        <v>0.0</v>
      </c>
      <c r="AA207" s="121">
        <v>0.0</v>
      </c>
      <c r="AB207" s="121">
        <v>0.0</v>
      </c>
      <c r="AC207" s="121">
        <v>0.0</v>
      </c>
      <c r="AD207" s="121">
        <v>0.0</v>
      </c>
      <c r="AE207" s="556">
        <v>0.0</v>
      </c>
      <c r="AF207" s="125">
        <f t="shared" ref="AF207:AF215" si="53">SUM(B207:AE207)</f>
        <v>0</v>
      </c>
    </row>
    <row r="208" hidden="1" outlineLevel="1">
      <c r="A208" s="117" t="s">
        <v>267</v>
      </c>
      <c r="B208" s="121">
        <v>0.0</v>
      </c>
      <c r="C208" s="121">
        <v>0.0</v>
      </c>
      <c r="D208" s="121">
        <v>0.0</v>
      </c>
      <c r="E208" s="121">
        <v>0.0</v>
      </c>
      <c r="F208" s="121">
        <v>0.0</v>
      </c>
      <c r="G208" s="121">
        <v>0.0</v>
      </c>
      <c r="H208" s="121">
        <v>0.0</v>
      </c>
      <c r="I208" s="121">
        <v>0.0</v>
      </c>
      <c r="J208" s="121">
        <v>0.0</v>
      </c>
      <c r="K208" s="121">
        <v>0.0</v>
      </c>
      <c r="L208" s="121">
        <v>0.0</v>
      </c>
      <c r="M208" s="121">
        <v>0.0</v>
      </c>
      <c r="N208" s="121">
        <v>0.0</v>
      </c>
      <c r="O208" s="121">
        <v>0.0</v>
      </c>
      <c r="P208" s="121">
        <v>0.0</v>
      </c>
      <c r="Q208" s="121">
        <v>0.0</v>
      </c>
      <c r="R208" s="121">
        <v>0.0</v>
      </c>
      <c r="S208" s="121">
        <v>0.0</v>
      </c>
      <c r="T208" s="121">
        <v>0.0</v>
      </c>
      <c r="U208" s="121">
        <v>0.0</v>
      </c>
      <c r="V208" s="121">
        <v>0.0</v>
      </c>
      <c r="W208" s="121">
        <v>0.0</v>
      </c>
      <c r="X208" s="121">
        <v>0.0</v>
      </c>
      <c r="Y208" s="121">
        <v>0.0</v>
      </c>
      <c r="Z208" s="121">
        <v>0.0</v>
      </c>
      <c r="AA208" s="121">
        <v>0.0</v>
      </c>
      <c r="AB208" s="121">
        <v>0.0</v>
      </c>
      <c r="AC208" s="121">
        <v>0.0</v>
      </c>
      <c r="AD208" s="121">
        <v>0.0</v>
      </c>
      <c r="AE208" s="556">
        <v>0.0</v>
      </c>
      <c r="AF208" s="125">
        <f t="shared" si="53"/>
        <v>0</v>
      </c>
    </row>
    <row r="209" hidden="1" outlineLevel="1">
      <c r="A209" s="344" t="s">
        <v>793</v>
      </c>
      <c r="B209" s="121">
        <v>0.0</v>
      </c>
      <c r="C209" s="121">
        <v>0.0</v>
      </c>
      <c r="D209" s="121">
        <v>0.0</v>
      </c>
      <c r="E209" s="121">
        <v>0.0</v>
      </c>
      <c r="F209" s="121">
        <v>0.0</v>
      </c>
      <c r="G209" s="121">
        <v>0.0</v>
      </c>
      <c r="H209" s="121">
        <v>0.0</v>
      </c>
      <c r="I209" s="121">
        <v>0.0</v>
      </c>
      <c r="J209" s="121">
        <v>0.0</v>
      </c>
      <c r="K209" s="121">
        <v>0.0</v>
      </c>
      <c r="L209" s="121">
        <v>0.0</v>
      </c>
      <c r="M209" s="121">
        <v>0.0</v>
      </c>
      <c r="N209" s="121">
        <v>0.0</v>
      </c>
      <c r="O209" s="121">
        <v>0.0</v>
      </c>
      <c r="P209" s="121">
        <v>0.0</v>
      </c>
      <c r="Q209" s="121">
        <v>0.0</v>
      </c>
      <c r="R209" s="121">
        <v>0.0</v>
      </c>
      <c r="S209" s="121">
        <v>0.0</v>
      </c>
      <c r="T209" s="121">
        <v>0.0</v>
      </c>
      <c r="U209" s="121">
        <v>0.0</v>
      </c>
      <c r="V209" s="121">
        <v>0.0</v>
      </c>
      <c r="W209" s="121">
        <v>0.0</v>
      </c>
      <c r="X209" s="121">
        <v>0.0</v>
      </c>
      <c r="Y209" s="121">
        <v>0.0</v>
      </c>
      <c r="Z209" s="121">
        <v>0.0</v>
      </c>
      <c r="AA209" s="121">
        <v>0.0</v>
      </c>
      <c r="AB209" s="121">
        <v>0.0</v>
      </c>
      <c r="AC209" s="121">
        <v>0.0</v>
      </c>
      <c r="AD209" s="121">
        <v>0.0</v>
      </c>
      <c r="AE209" s="556">
        <v>0.0</v>
      </c>
      <c r="AF209" s="125">
        <f t="shared" si="53"/>
        <v>0</v>
      </c>
    </row>
    <row r="210" hidden="1" outlineLevel="1">
      <c r="A210" s="117" t="s">
        <v>794</v>
      </c>
      <c r="B210" s="121">
        <v>0.0</v>
      </c>
      <c r="C210" s="121">
        <v>0.0</v>
      </c>
      <c r="D210" s="121">
        <v>0.0</v>
      </c>
      <c r="E210" s="121">
        <v>0.0</v>
      </c>
      <c r="F210" s="121">
        <v>0.0</v>
      </c>
      <c r="G210" s="121">
        <v>0.0</v>
      </c>
      <c r="H210" s="121">
        <v>0.0</v>
      </c>
      <c r="I210" s="121">
        <v>0.0</v>
      </c>
      <c r="J210" s="121">
        <v>0.0</v>
      </c>
      <c r="K210" s="121">
        <v>0.0</v>
      </c>
      <c r="L210" s="121">
        <v>0.0</v>
      </c>
      <c r="M210" s="121">
        <v>0.0</v>
      </c>
      <c r="N210" s="121">
        <v>0.0</v>
      </c>
      <c r="O210" s="121">
        <v>0.0</v>
      </c>
      <c r="P210" s="121">
        <v>0.0</v>
      </c>
      <c r="Q210" s="121">
        <v>0.0</v>
      </c>
      <c r="R210" s="121">
        <v>0.0</v>
      </c>
      <c r="S210" s="121">
        <v>0.0</v>
      </c>
      <c r="T210" s="121">
        <v>0.0</v>
      </c>
      <c r="U210" s="121">
        <v>0.0</v>
      </c>
      <c r="V210" s="121">
        <v>0.0</v>
      </c>
      <c r="W210" s="121">
        <v>0.0</v>
      </c>
      <c r="X210" s="121">
        <v>0.0</v>
      </c>
      <c r="Y210" s="121">
        <v>0.0</v>
      </c>
      <c r="Z210" s="121">
        <v>0.0</v>
      </c>
      <c r="AA210" s="121">
        <v>0.0</v>
      </c>
      <c r="AB210" s="121">
        <v>0.0</v>
      </c>
      <c r="AC210" s="121">
        <v>0.0</v>
      </c>
      <c r="AD210" s="121">
        <v>0.0</v>
      </c>
      <c r="AE210" s="120">
        <v>0.0</v>
      </c>
      <c r="AF210" s="125">
        <f t="shared" si="53"/>
        <v>0</v>
      </c>
    </row>
    <row r="211" hidden="1" outlineLevel="1">
      <c r="A211" s="117" t="s">
        <v>795</v>
      </c>
      <c r="B211" s="121">
        <v>0.0</v>
      </c>
      <c r="C211" s="121">
        <v>0.0</v>
      </c>
      <c r="D211" s="121">
        <v>0.0</v>
      </c>
      <c r="E211" s="121">
        <v>0.0</v>
      </c>
      <c r="F211" s="121">
        <v>0.0</v>
      </c>
      <c r="G211" s="121">
        <v>0.0</v>
      </c>
      <c r="H211" s="121">
        <v>0.0</v>
      </c>
      <c r="I211" s="121">
        <v>0.0</v>
      </c>
      <c r="J211" s="121">
        <v>0.0</v>
      </c>
      <c r="K211" s="121">
        <v>0.0</v>
      </c>
      <c r="L211" s="121">
        <v>0.0</v>
      </c>
      <c r="M211" s="121">
        <v>0.0</v>
      </c>
      <c r="N211" s="121">
        <v>0.0</v>
      </c>
      <c r="O211" s="121">
        <v>0.0</v>
      </c>
      <c r="P211" s="121">
        <v>0.0</v>
      </c>
      <c r="Q211" s="121">
        <v>0.0</v>
      </c>
      <c r="R211" s="121">
        <v>0.0</v>
      </c>
      <c r="S211" s="121">
        <v>0.0</v>
      </c>
      <c r="T211" s="121">
        <v>0.0</v>
      </c>
      <c r="U211" s="121">
        <v>0.0</v>
      </c>
      <c r="V211" s="121">
        <v>0.0</v>
      </c>
      <c r="W211" s="121">
        <v>0.0</v>
      </c>
      <c r="X211" s="121">
        <v>0.0</v>
      </c>
      <c r="Y211" s="121">
        <v>0.0</v>
      </c>
      <c r="Z211" s="121">
        <v>0.0</v>
      </c>
      <c r="AA211" s="121">
        <v>0.0</v>
      </c>
      <c r="AB211" s="121">
        <v>0.0</v>
      </c>
      <c r="AC211" s="121">
        <v>0.0</v>
      </c>
      <c r="AD211" s="121">
        <v>0.0</v>
      </c>
      <c r="AE211" s="556">
        <v>0.0</v>
      </c>
      <c r="AF211" s="125">
        <f t="shared" si="53"/>
        <v>0</v>
      </c>
    </row>
    <row r="212" hidden="1" outlineLevel="1">
      <c r="A212" s="117" t="s">
        <v>796</v>
      </c>
      <c r="B212" s="121">
        <v>0.0</v>
      </c>
      <c r="C212" s="121">
        <v>0.0</v>
      </c>
      <c r="D212" s="121">
        <v>0.0</v>
      </c>
      <c r="E212" s="121">
        <v>0.0</v>
      </c>
      <c r="F212" s="121">
        <v>0.0</v>
      </c>
      <c r="G212" s="121">
        <v>0.0</v>
      </c>
      <c r="H212" s="121">
        <v>0.0</v>
      </c>
      <c r="I212" s="121">
        <v>0.0</v>
      </c>
      <c r="J212" s="121">
        <v>0.0</v>
      </c>
      <c r="K212" s="121">
        <v>0.0</v>
      </c>
      <c r="L212" s="121">
        <v>0.0</v>
      </c>
      <c r="M212" s="121">
        <v>0.0</v>
      </c>
      <c r="N212" s="121">
        <v>0.0</v>
      </c>
      <c r="O212" s="121">
        <v>0.0</v>
      </c>
      <c r="P212" s="121">
        <v>0.0</v>
      </c>
      <c r="Q212" s="121">
        <v>0.0</v>
      </c>
      <c r="R212" s="121">
        <v>0.0</v>
      </c>
      <c r="S212" s="121">
        <v>0.0</v>
      </c>
      <c r="T212" s="121">
        <v>0.0</v>
      </c>
      <c r="U212" s="121">
        <v>0.0</v>
      </c>
      <c r="V212" s="121">
        <v>0.0</v>
      </c>
      <c r="W212" s="121">
        <v>0.0</v>
      </c>
      <c r="X212" s="121">
        <v>0.0</v>
      </c>
      <c r="Y212" s="121">
        <v>0.0</v>
      </c>
      <c r="Z212" s="121">
        <v>0.0</v>
      </c>
      <c r="AA212" s="121">
        <v>0.0</v>
      </c>
      <c r="AB212" s="121">
        <v>0.0</v>
      </c>
      <c r="AC212" s="121">
        <v>0.0</v>
      </c>
      <c r="AD212" s="121">
        <v>0.0</v>
      </c>
      <c r="AE212" s="556">
        <v>0.0</v>
      </c>
      <c r="AF212" s="125">
        <f t="shared" si="53"/>
        <v>0</v>
      </c>
    </row>
    <row r="213" hidden="1" outlineLevel="1">
      <c r="A213" s="344" t="s">
        <v>797</v>
      </c>
      <c r="B213" s="121">
        <v>0.0</v>
      </c>
      <c r="C213" s="121">
        <v>0.0</v>
      </c>
      <c r="D213" s="121">
        <v>0.0</v>
      </c>
      <c r="E213" s="121">
        <v>0.0</v>
      </c>
      <c r="F213" s="121">
        <v>0.0</v>
      </c>
      <c r="G213" s="121">
        <v>0.0</v>
      </c>
      <c r="H213" s="121">
        <v>0.0</v>
      </c>
      <c r="I213" s="121">
        <v>0.0</v>
      </c>
      <c r="J213" s="121">
        <v>0.0</v>
      </c>
      <c r="K213" s="121">
        <v>0.0</v>
      </c>
      <c r="L213" s="121">
        <v>0.0</v>
      </c>
      <c r="M213" s="121">
        <v>0.0</v>
      </c>
      <c r="N213" s="121">
        <v>0.0</v>
      </c>
      <c r="O213" s="121">
        <v>0.0</v>
      </c>
      <c r="P213" s="121">
        <v>0.0</v>
      </c>
      <c r="Q213" s="121">
        <v>0.0</v>
      </c>
      <c r="R213" s="121">
        <v>0.0</v>
      </c>
      <c r="S213" s="121">
        <v>0.0</v>
      </c>
      <c r="T213" s="121">
        <v>0.0</v>
      </c>
      <c r="U213" s="121">
        <v>0.0</v>
      </c>
      <c r="V213" s="121">
        <v>0.0</v>
      </c>
      <c r="W213" s="121">
        <v>0.0</v>
      </c>
      <c r="X213" s="121">
        <v>0.0</v>
      </c>
      <c r="Y213" s="121">
        <v>0.0</v>
      </c>
      <c r="Z213" s="121">
        <v>0.0</v>
      </c>
      <c r="AA213" s="121">
        <v>0.0</v>
      </c>
      <c r="AB213" s="121">
        <v>0.0</v>
      </c>
      <c r="AC213" s="121">
        <v>0.0</v>
      </c>
      <c r="AD213" s="121">
        <v>0.0</v>
      </c>
      <c r="AE213" s="556">
        <v>0.0</v>
      </c>
      <c r="AF213" s="125">
        <f t="shared" si="53"/>
        <v>0</v>
      </c>
    </row>
    <row r="214" hidden="1" outlineLevel="1">
      <c r="A214" s="117" t="s">
        <v>798</v>
      </c>
      <c r="B214" s="121">
        <v>0.0</v>
      </c>
      <c r="C214" s="121">
        <v>0.0</v>
      </c>
      <c r="D214" s="121">
        <v>0.0</v>
      </c>
      <c r="E214" s="121">
        <v>0.0</v>
      </c>
      <c r="F214" s="121">
        <v>0.0</v>
      </c>
      <c r="G214" s="121">
        <v>0.0</v>
      </c>
      <c r="H214" s="121">
        <v>0.0</v>
      </c>
      <c r="I214" s="121">
        <v>0.0</v>
      </c>
      <c r="J214" s="121">
        <v>0.0</v>
      </c>
      <c r="K214" s="121">
        <v>0.0</v>
      </c>
      <c r="L214" s="121">
        <v>0.0</v>
      </c>
      <c r="M214" s="121">
        <v>0.0</v>
      </c>
      <c r="N214" s="121">
        <v>0.0</v>
      </c>
      <c r="O214" s="121">
        <v>0.0</v>
      </c>
      <c r="P214" s="121">
        <v>0.0</v>
      </c>
      <c r="Q214" s="121">
        <v>0.0</v>
      </c>
      <c r="R214" s="121">
        <v>0.0</v>
      </c>
      <c r="S214" s="121">
        <v>0.0</v>
      </c>
      <c r="T214" s="121">
        <v>0.0</v>
      </c>
      <c r="U214" s="121">
        <v>0.0</v>
      </c>
      <c r="V214" s="121">
        <v>0.0</v>
      </c>
      <c r="W214" s="121">
        <v>0.0</v>
      </c>
      <c r="X214" s="121">
        <v>0.0</v>
      </c>
      <c r="Y214" s="121">
        <v>0.0</v>
      </c>
      <c r="Z214" s="121">
        <v>0.0</v>
      </c>
      <c r="AA214" s="121">
        <v>0.0</v>
      </c>
      <c r="AB214" s="121">
        <v>0.0</v>
      </c>
      <c r="AC214" s="121">
        <v>0.0</v>
      </c>
      <c r="AD214" s="121">
        <v>0.0</v>
      </c>
      <c r="AE214" s="120">
        <v>0.0</v>
      </c>
      <c r="AF214" s="125">
        <f t="shared" si="53"/>
        <v>0</v>
      </c>
    </row>
    <row r="215" hidden="1" outlineLevel="1">
      <c r="A215" s="204" t="s">
        <v>162</v>
      </c>
      <c r="B215" s="219">
        <f>SUM(B207:B214)</f>
        <v>0</v>
      </c>
      <c r="C215" s="219">
        <f t="shared" ref="C215:AE215" si="54">SUM(C207:C211)</f>
        <v>0</v>
      </c>
      <c r="D215" s="219">
        <f t="shared" si="54"/>
        <v>0</v>
      </c>
      <c r="E215" s="219">
        <f t="shared" si="54"/>
        <v>0</v>
      </c>
      <c r="F215" s="219">
        <f t="shared" si="54"/>
        <v>0</v>
      </c>
      <c r="G215" s="219">
        <f t="shared" si="54"/>
        <v>0</v>
      </c>
      <c r="H215" s="219">
        <f t="shared" si="54"/>
        <v>0</v>
      </c>
      <c r="I215" s="219">
        <f t="shared" si="54"/>
        <v>0</v>
      </c>
      <c r="J215" s="219">
        <f t="shared" si="54"/>
        <v>0</v>
      </c>
      <c r="K215" s="219">
        <f t="shared" si="54"/>
        <v>0</v>
      </c>
      <c r="L215" s="219">
        <f t="shared" si="54"/>
        <v>0</v>
      </c>
      <c r="M215" s="219">
        <f t="shared" si="54"/>
        <v>0</v>
      </c>
      <c r="N215" s="219">
        <f t="shared" si="54"/>
        <v>0</v>
      </c>
      <c r="O215" s="219">
        <f t="shared" si="54"/>
        <v>0</v>
      </c>
      <c r="P215" s="219">
        <f t="shared" si="54"/>
        <v>0</v>
      </c>
      <c r="Q215" s="219">
        <f t="shared" si="54"/>
        <v>0</v>
      </c>
      <c r="R215" s="219">
        <f t="shared" si="54"/>
        <v>0</v>
      </c>
      <c r="S215" s="219">
        <f t="shared" si="54"/>
        <v>0</v>
      </c>
      <c r="T215" s="219">
        <f t="shared" si="54"/>
        <v>0</v>
      </c>
      <c r="U215" s="219">
        <f t="shared" si="54"/>
        <v>0</v>
      </c>
      <c r="V215" s="219">
        <f t="shared" si="54"/>
        <v>0</v>
      </c>
      <c r="W215" s="219">
        <f t="shared" si="54"/>
        <v>0</v>
      </c>
      <c r="X215" s="219">
        <f t="shared" si="54"/>
        <v>0</v>
      </c>
      <c r="Y215" s="219">
        <f t="shared" si="54"/>
        <v>0</v>
      </c>
      <c r="Z215" s="219">
        <f t="shared" si="54"/>
        <v>0</v>
      </c>
      <c r="AA215" s="219">
        <f t="shared" si="54"/>
        <v>0</v>
      </c>
      <c r="AB215" s="219">
        <f t="shared" si="54"/>
        <v>0</v>
      </c>
      <c r="AC215" s="219">
        <f t="shared" si="54"/>
        <v>0</v>
      </c>
      <c r="AD215" s="219">
        <f t="shared" si="54"/>
        <v>0</v>
      </c>
      <c r="AE215" s="219">
        <f t="shared" si="54"/>
        <v>0</v>
      </c>
      <c r="AF215" s="125">
        <f t="shared" si="53"/>
        <v>0</v>
      </c>
    </row>
    <row r="216" hidden="1" outlineLevel="1">
      <c r="A216" s="49"/>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25"/>
    </row>
    <row r="217" hidden="1" outlineLevel="1">
      <c r="A217" s="204" t="s">
        <v>370</v>
      </c>
      <c r="B217" s="257"/>
      <c r="C217" s="257"/>
      <c r="D217" s="257"/>
      <c r="E217" s="257"/>
      <c r="F217" s="257"/>
      <c r="G217" s="257"/>
      <c r="H217" s="257"/>
      <c r="I217" s="257"/>
      <c r="J217" s="257"/>
      <c r="K217" s="257"/>
      <c r="L217" s="257"/>
      <c r="M217" s="257"/>
      <c r="N217" s="257"/>
      <c r="O217" s="257"/>
      <c r="P217" s="257"/>
      <c r="Q217" s="257"/>
      <c r="R217" s="257"/>
      <c r="S217" s="257"/>
      <c r="T217" s="257"/>
      <c r="U217" s="257"/>
      <c r="V217" s="257"/>
      <c r="W217" s="257"/>
      <c r="X217" s="257"/>
      <c r="Y217" s="257"/>
      <c r="Z217" s="257"/>
      <c r="AA217" s="257"/>
      <c r="AB217" s="257"/>
      <c r="AC217" s="257"/>
      <c r="AD217" s="257"/>
      <c r="AE217" s="257"/>
      <c r="AF217" s="125">
        <f t="shared" ref="AF217:AF220" si="55">SUM(B217:AE217)</f>
        <v>0</v>
      </c>
    </row>
    <row r="218" hidden="1" outlineLevel="1">
      <c r="A218" s="117" t="s">
        <v>371</v>
      </c>
      <c r="B218" s="121">
        <v>0.0</v>
      </c>
      <c r="C218" s="121">
        <v>0.0</v>
      </c>
      <c r="D218" s="121">
        <v>0.0</v>
      </c>
      <c r="E218" s="121">
        <v>0.0</v>
      </c>
      <c r="F218" s="121">
        <v>0.0</v>
      </c>
      <c r="G218" s="121">
        <v>0.0</v>
      </c>
      <c r="H218" s="121">
        <v>0.0</v>
      </c>
      <c r="I218" s="121">
        <v>0.0</v>
      </c>
      <c r="J218" s="121">
        <v>0.0</v>
      </c>
      <c r="K218" s="121">
        <v>0.0</v>
      </c>
      <c r="L218" s="121">
        <v>0.0</v>
      </c>
      <c r="M218" s="121">
        <v>0.0</v>
      </c>
      <c r="N218" s="121">
        <v>0.0</v>
      </c>
      <c r="O218" s="121">
        <v>0.0</v>
      </c>
      <c r="P218" s="121">
        <v>0.0</v>
      </c>
      <c r="Q218" s="121">
        <v>0.0</v>
      </c>
      <c r="R218" s="121">
        <v>0.0</v>
      </c>
      <c r="S218" s="121">
        <v>0.0</v>
      </c>
      <c r="T218" s="121">
        <v>0.0</v>
      </c>
      <c r="U218" s="121">
        <v>0.0</v>
      </c>
      <c r="V218" s="121">
        <v>0.0</v>
      </c>
      <c r="W218" s="121">
        <v>0.0</v>
      </c>
      <c r="X218" s="121">
        <v>0.0</v>
      </c>
      <c r="Y218" s="121">
        <v>0.0</v>
      </c>
      <c r="Z218" s="121">
        <v>0.0</v>
      </c>
      <c r="AA218" s="121">
        <v>0.0</v>
      </c>
      <c r="AB218" s="121">
        <v>0.0</v>
      </c>
      <c r="AC218" s="121">
        <v>0.0</v>
      </c>
      <c r="AD218" s="121">
        <v>0.0</v>
      </c>
      <c r="AE218" s="556">
        <v>0.0</v>
      </c>
      <c r="AF218" s="125">
        <f t="shared" si="55"/>
        <v>0</v>
      </c>
    </row>
    <row r="219" hidden="1" outlineLevel="1">
      <c r="A219" s="117" t="s">
        <v>373</v>
      </c>
      <c r="B219" s="121">
        <v>0.0</v>
      </c>
      <c r="C219" s="121">
        <v>0.0</v>
      </c>
      <c r="D219" s="121">
        <v>0.0</v>
      </c>
      <c r="E219" s="121">
        <v>0.0</v>
      </c>
      <c r="F219" s="121">
        <v>0.0</v>
      </c>
      <c r="G219" s="121">
        <v>0.0</v>
      </c>
      <c r="H219" s="121">
        <v>0.0</v>
      </c>
      <c r="I219" s="121">
        <v>0.0</v>
      </c>
      <c r="J219" s="121">
        <v>0.0</v>
      </c>
      <c r="K219" s="121">
        <v>0.0</v>
      </c>
      <c r="L219" s="121">
        <v>0.0</v>
      </c>
      <c r="M219" s="121">
        <v>0.0</v>
      </c>
      <c r="N219" s="121">
        <v>0.0</v>
      </c>
      <c r="O219" s="121">
        <v>0.0</v>
      </c>
      <c r="P219" s="121">
        <v>0.0</v>
      </c>
      <c r="Q219" s="121">
        <v>0.0</v>
      </c>
      <c r="R219" s="121">
        <v>0.0</v>
      </c>
      <c r="S219" s="121">
        <v>0.0</v>
      </c>
      <c r="T219" s="121">
        <v>0.0</v>
      </c>
      <c r="U219" s="121">
        <v>0.0</v>
      </c>
      <c r="V219" s="121">
        <v>0.0</v>
      </c>
      <c r="W219" s="121">
        <v>0.0</v>
      </c>
      <c r="X219" s="121">
        <v>0.0</v>
      </c>
      <c r="Y219" s="121">
        <v>0.0</v>
      </c>
      <c r="Z219" s="121">
        <v>0.0</v>
      </c>
      <c r="AA219" s="121">
        <v>0.0</v>
      </c>
      <c r="AB219" s="121">
        <v>0.0</v>
      </c>
      <c r="AC219" s="121">
        <v>0.0</v>
      </c>
      <c r="AD219" s="121">
        <v>0.0</v>
      </c>
      <c r="AE219" s="556">
        <v>0.0</v>
      </c>
      <c r="AF219" s="125">
        <f t="shared" si="55"/>
        <v>0</v>
      </c>
    </row>
    <row r="220" hidden="1" outlineLevel="1">
      <c r="A220" s="117" t="s">
        <v>374</v>
      </c>
      <c r="B220" s="121">
        <v>0.0</v>
      </c>
      <c r="C220" s="121">
        <v>0.0</v>
      </c>
      <c r="D220" s="121">
        <v>0.0</v>
      </c>
      <c r="E220" s="121">
        <v>0.0</v>
      </c>
      <c r="F220" s="121">
        <v>0.0</v>
      </c>
      <c r="G220" s="121">
        <v>0.0</v>
      </c>
      <c r="H220" s="121">
        <v>0.0</v>
      </c>
      <c r="I220" s="121">
        <v>0.0</v>
      </c>
      <c r="J220" s="121">
        <v>0.0</v>
      </c>
      <c r="K220" s="121">
        <v>0.0</v>
      </c>
      <c r="L220" s="121">
        <v>0.0</v>
      </c>
      <c r="M220" s="121">
        <v>0.0</v>
      </c>
      <c r="N220" s="121">
        <v>0.0</v>
      </c>
      <c r="O220" s="121">
        <v>0.0</v>
      </c>
      <c r="P220" s="121">
        <v>0.0</v>
      </c>
      <c r="Q220" s="121">
        <v>0.0</v>
      </c>
      <c r="R220" s="121">
        <v>0.0</v>
      </c>
      <c r="S220" s="121">
        <v>0.0</v>
      </c>
      <c r="T220" s="121">
        <v>0.0</v>
      </c>
      <c r="U220" s="121">
        <v>0.0</v>
      </c>
      <c r="V220" s="121">
        <v>0.0</v>
      </c>
      <c r="W220" s="121">
        <v>0.0</v>
      </c>
      <c r="X220" s="121">
        <v>0.0</v>
      </c>
      <c r="Y220" s="121">
        <v>0.0</v>
      </c>
      <c r="Z220" s="121">
        <v>0.0</v>
      </c>
      <c r="AA220" s="121">
        <v>0.0</v>
      </c>
      <c r="AB220" s="121">
        <v>0.0</v>
      </c>
      <c r="AC220" s="121">
        <v>0.0</v>
      </c>
      <c r="AD220" s="121">
        <v>0.0</v>
      </c>
      <c r="AE220" s="556">
        <v>0.0</v>
      </c>
      <c r="AF220" s="125">
        <f t="shared" si="55"/>
        <v>0</v>
      </c>
    </row>
    <row r="221" hidden="1" outlineLevel="1">
      <c r="A221" s="49"/>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25"/>
    </row>
    <row r="222" hidden="1" outlineLevel="1">
      <c r="A222" s="129" t="s">
        <v>546</v>
      </c>
      <c r="B222" s="219">
        <v>0.0</v>
      </c>
      <c r="C222" s="219">
        <v>0.0</v>
      </c>
      <c r="D222" s="219">
        <v>0.0</v>
      </c>
      <c r="E222" s="219">
        <v>0.0</v>
      </c>
      <c r="F222" s="219">
        <v>0.0</v>
      </c>
      <c r="G222" s="219">
        <v>0.0</v>
      </c>
      <c r="H222" s="219">
        <v>0.0</v>
      </c>
      <c r="I222" s="219">
        <v>0.0</v>
      </c>
      <c r="J222" s="219">
        <v>0.0</v>
      </c>
      <c r="K222" s="219">
        <v>0.0</v>
      </c>
      <c r="L222" s="219">
        <v>0.0</v>
      </c>
      <c r="M222" s="219">
        <v>0.0</v>
      </c>
      <c r="N222" s="219">
        <v>0.0</v>
      </c>
      <c r="O222" s="219">
        <v>0.0</v>
      </c>
      <c r="P222" s="219">
        <v>0.0</v>
      </c>
      <c r="Q222" s="219">
        <v>0.0</v>
      </c>
      <c r="R222" s="219">
        <v>0.0</v>
      </c>
      <c r="S222" s="219">
        <v>0.0</v>
      </c>
      <c r="T222" s="219">
        <v>0.0</v>
      </c>
      <c r="U222" s="219">
        <v>0.0</v>
      </c>
      <c r="V222" s="219">
        <v>0.0</v>
      </c>
      <c r="W222" s="219">
        <v>0.0</v>
      </c>
      <c r="X222" s="219">
        <v>0.0</v>
      </c>
      <c r="Y222" s="219">
        <v>0.0</v>
      </c>
      <c r="Z222" s="219">
        <v>0.0</v>
      </c>
      <c r="AA222" s="219">
        <v>0.0</v>
      </c>
      <c r="AB222" s="219">
        <v>0.0</v>
      </c>
      <c r="AC222" s="219">
        <v>0.0</v>
      </c>
      <c r="AD222" s="219">
        <v>0.0</v>
      </c>
      <c r="AE222" s="219">
        <v>0.0</v>
      </c>
      <c r="AF222" s="125">
        <f>SUM(B222:AE222)</f>
        <v>0</v>
      </c>
    </row>
    <row r="223" hidden="1" outlineLevel="1">
      <c r="A223" s="129" t="s">
        <v>549</v>
      </c>
      <c r="B223" s="139"/>
      <c r="C223" s="139"/>
      <c r="D223" s="139"/>
      <c r="E223" s="139"/>
      <c r="F223" s="139"/>
      <c r="G223" s="139"/>
      <c r="H223" s="139"/>
      <c r="I223" s="9"/>
      <c r="J223" s="9"/>
      <c r="K223" s="9"/>
      <c r="L223" s="9"/>
      <c r="M223" s="9"/>
      <c r="N223" s="9"/>
      <c r="O223" s="9"/>
      <c r="P223" s="9"/>
      <c r="Q223" s="9"/>
      <c r="R223" s="9"/>
      <c r="S223" s="9"/>
      <c r="T223" s="9"/>
      <c r="U223" s="9"/>
      <c r="V223" s="9"/>
      <c r="W223" s="9"/>
      <c r="X223" s="110"/>
      <c r="Y223" s="110"/>
      <c r="Z223" s="110"/>
      <c r="AA223" s="110"/>
      <c r="AB223" s="110"/>
      <c r="AC223" s="110"/>
      <c r="AD223" s="110"/>
      <c r="AE223" s="74"/>
      <c r="AF223" s="137"/>
    </row>
    <row r="224" hidden="1" outlineLevel="1">
      <c r="A224" s="557"/>
      <c r="B224" s="127"/>
      <c r="C224" s="126"/>
      <c r="D224" s="126"/>
      <c r="E224" s="126"/>
      <c r="F224" s="126"/>
      <c r="G224" s="126"/>
      <c r="H224" s="127"/>
      <c r="I224" s="127"/>
      <c r="J224" s="127"/>
      <c r="K224" s="127"/>
      <c r="L224" s="127"/>
      <c r="M224" s="127"/>
      <c r="N224" s="127"/>
      <c r="O224" s="127"/>
      <c r="P224" s="127"/>
      <c r="Q224" s="127"/>
      <c r="R224" s="127"/>
      <c r="S224" s="127"/>
      <c r="T224" s="127"/>
      <c r="U224" s="127"/>
      <c r="V224" s="127"/>
      <c r="W224" s="127"/>
      <c r="X224" s="126"/>
      <c r="Y224" s="126"/>
      <c r="Z224" s="126"/>
      <c r="AA224" s="126"/>
      <c r="AB224" s="126"/>
      <c r="AC224" s="126"/>
      <c r="AD224" s="126"/>
      <c r="AE224" s="436"/>
      <c r="AF224" s="137"/>
    </row>
    <row r="225">
      <c r="A225" s="437"/>
      <c r="B225" s="141"/>
      <c r="C225" s="548"/>
      <c r="D225" s="548"/>
      <c r="E225" s="548"/>
      <c r="F225" s="548"/>
      <c r="G225" s="548"/>
      <c r="H225" s="141"/>
      <c r="I225" s="141"/>
      <c r="J225" s="141"/>
      <c r="K225" s="141"/>
      <c r="L225" s="141"/>
      <c r="M225" s="141"/>
      <c r="N225" s="141"/>
      <c r="O225" s="141"/>
      <c r="P225" s="141"/>
      <c r="Q225" s="141"/>
      <c r="R225" s="141"/>
      <c r="S225" s="141"/>
      <c r="T225" s="141"/>
      <c r="U225" s="141"/>
      <c r="V225" s="141"/>
      <c r="W225" s="141"/>
      <c r="X225" s="548"/>
      <c r="Y225" s="548"/>
      <c r="Z225" s="548"/>
      <c r="AA225" s="548"/>
      <c r="AB225" s="548"/>
      <c r="AC225" s="548"/>
      <c r="AD225" s="548"/>
      <c r="AE225" s="439"/>
      <c r="AF225" s="137"/>
    </row>
    <row r="226">
      <c r="A226" s="558"/>
      <c r="B226" s="559"/>
      <c r="C226" s="560"/>
      <c r="D226" s="560"/>
      <c r="E226" s="560"/>
      <c r="F226" s="560"/>
      <c r="G226" s="560"/>
      <c r="H226" s="559"/>
      <c r="I226" s="559"/>
      <c r="J226" s="559"/>
      <c r="K226" s="559"/>
      <c r="L226" s="559"/>
      <c r="M226" s="559"/>
      <c r="N226" s="559"/>
      <c r="O226" s="559"/>
      <c r="P226" s="559"/>
      <c r="Q226" s="559"/>
      <c r="R226" s="559"/>
      <c r="S226" s="559"/>
      <c r="T226" s="559"/>
      <c r="U226" s="559"/>
      <c r="V226" s="559"/>
      <c r="W226" s="559"/>
      <c r="X226" s="560"/>
      <c r="Y226" s="560"/>
      <c r="Z226" s="560"/>
      <c r="AA226" s="560"/>
      <c r="AB226" s="560"/>
      <c r="AC226" s="560"/>
      <c r="AD226" s="560"/>
      <c r="AE226" s="561"/>
      <c r="AF226" s="137"/>
    </row>
    <row r="227">
      <c r="A227" s="49"/>
      <c r="B227" s="9"/>
      <c r="C227" s="110"/>
      <c r="D227" s="110"/>
      <c r="E227" s="110"/>
      <c r="F227" s="110"/>
      <c r="G227" s="110"/>
      <c r="H227" s="9"/>
      <c r="I227" s="9"/>
      <c r="J227" s="9"/>
      <c r="K227" s="9"/>
      <c r="L227" s="9"/>
      <c r="M227" s="9"/>
      <c r="N227" s="9"/>
      <c r="O227" s="9"/>
      <c r="P227" s="9"/>
      <c r="Q227" s="9"/>
      <c r="R227" s="9"/>
      <c r="S227" s="9"/>
      <c r="T227" s="9"/>
      <c r="U227" s="9"/>
      <c r="V227" s="9"/>
      <c r="W227" s="9"/>
      <c r="X227" s="110"/>
      <c r="Y227" s="110"/>
      <c r="Z227" s="110"/>
      <c r="AA227" s="110"/>
      <c r="AB227" s="110"/>
      <c r="AC227" s="110"/>
      <c r="AD227" s="110"/>
      <c r="AE227" s="74"/>
      <c r="AF227" s="137"/>
    </row>
    <row r="228" collapsed="1">
      <c r="A228" s="75" t="s">
        <v>799</v>
      </c>
      <c r="B228" s="110"/>
      <c r="C228" s="110"/>
      <c r="D228" s="110"/>
      <c r="E228" s="110"/>
      <c r="F228" s="110"/>
      <c r="G228" s="110"/>
      <c r="H228" s="9"/>
      <c r="I228" s="9"/>
      <c r="J228" s="9"/>
      <c r="K228" s="9"/>
      <c r="L228" s="9"/>
      <c r="M228" s="9"/>
      <c r="N228" s="9"/>
      <c r="O228" s="9"/>
      <c r="P228" s="9"/>
      <c r="Q228" s="9"/>
      <c r="R228" s="9"/>
      <c r="S228" s="9"/>
      <c r="T228" s="9"/>
      <c r="U228" s="9"/>
      <c r="V228" s="9"/>
      <c r="W228" s="9"/>
      <c r="X228" s="110"/>
      <c r="Y228" s="110"/>
      <c r="Z228" s="110"/>
      <c r="AA228" s="110"/>
      <c r="AB228" s="110"/>
      <c r="AC228" s="110"/>
      <c r="AD228" s="110"/>
      <c r="AE228" s="74"/>
      <c r="AF228" s="137"/>
    </row>
    <row r="229" hidden="1" outlineLevel="1">
      <c r="A229" s="161" t="s">
        <v>800</v>
      </c>
      <c r="B229" s="99">
        <v>0.0</v>
      </c>
      <c r="C229" s="21">
        <v>0.0</v>
      </c>
      <c r="D229" s="21">
        <v>0.0</v>
      </c>
      <c r="E229" s="21">
        <v>0.0</v>
      </c>
      <c r="F229" s="21">
        <v>0.0</v>
      </c>
      <c r="G229" s="21">
        <v>0.0</v>
      </c>
      <c r="H229" s="99">
        <v>0.0</v>
      </c>
      <c r="I229" s="99">
        <v>0.0</v>
      </c>
      <c r="J229" s="99">
        <v>0.0</v>
      </c>
      <c r="K229" s="99">
        <v>0.0</v>
      </c>
      <c r="L229" s="99">
        <v>0.0</v>
      </c>
      <c r="M229" s="99">
        <v>0.0</v>
      </c>
      <c r="N229" s="9"/>
      <c r="O229" s="9"/>
      <c r="P229" s="9"/>
      <c r="Q229" s="9"/>
      <c r="R229" s="9"/>
      <c r="S229" s="9"/>
      <c r="T229" s="9"/>
      <c r="U229" s="9"/>
      <c r="V229" s="9"/>
      <c r="W229" s="9"/>
      <c r="X229" s="110"/>
      <c r="Y229" s="110"/>
      <c r="Z229" s="74"/>
      <c r="AA229" s="110"/>
      <c r="AB229" s="110"/>
      <c r="AC229" s="74"/>
      <c r="AD229" s="74"/>
      <c r="AE229" s="74"/>
      <c r="AF229" s="125">
        <f t="shared" ref="AF229:AF233" si="56">sum(B229:AE229)</f>
        <v>0</v>
      </c>
    </row>
    <row r="230" hidden="1" outlineLevel="1">
      <c r="A230" s="161" t="s">
        <v>801</v>
      </c>
      <c r="B230" s="99">
        <v>0.0</v>
      </c>
      <c r="C230" s="21">
        <v>0.0</v>
      </c>
      <c r="D230" s="21">
        <v>0.0</v>
      </c>
      <c r="E230" s="21">
        <v>0.0</v>
      </c>
      <c r="F230" s="21">
        <v>0.0</v>
      </c>
      <c r="G230" s="21">
        <v>0.0</v>
      </c>
      <c r="H230" s="99">
        <v>0.0</v>
      </c>
      <c r="I230" s="99">
        <v>0.0</v>
      </c>
      <c r="J230" s="99">
        <v>0.0</v>
      </c>
      <c r="K230" s="99">
        <v>0.0</v>
      </c>
      <c r="L230" s="99">
        <v>0.0</v>
      </c>
      <c r="M230" s="99">
        <v>0.0</v>
      </c>
      <c r="N230" s="9"/>
      <c r="O230" s="9"/>
      <c r="P230" s="9"/>
      <c r="Q230" s="9"/>
      <c r="R230" s="9"/>
      <c r="S230" s="9"/>
      <c r="T230" s="9"/>
      <c r="U230" s="9"/>
      <c r="V230" s="9"/>
      <c r="W230" s="9"/>
      <c r="X230" s="110"/>
      <c r="Y230" s="110"/>
      <c r="Z230" s="74"/>
      <c r="AA230" s="110"/>
      <c r="AB230" s="110"/>
      <c r="AC230" s="74"/>
      <c r="AD230" s="74"/>
      <c r="AE230" s="74"/>
      <c r="AF230" s="125">
        <f t="shared" si="56"/>
        <v>0</v>
      </c>
    </row>
    <row r="231" hidden="1" outlineLevel="1">
      <c r="A231" s="161" t="s">
        <v>802</v>
      </c>
      <c r="B231" s="21">
        <v>0.0</v>
      </c>
      <c r="C231" s="21">
        <v>0.0</v>
      </c>
      <c r="D231" s="21">
        <v>0.0</v>
      </c>
      <c r="E231" s="21">
        <v>0.0</v>
      </c>
      <c r="F231" s="21">
        <v>0.0</v>
      </c>
      <c r="G231" s="21">
        <v>0.0</v>
      </c>
      <c r="H231" s="21">
        <v>0.0</v>
      </c>
      <c r="I231" s="21">
        <v>0.0</v>
      </c>
      <c r="J231" s="21">
        <v>0.0</v>
      </c>
      <c r="K231" s="21">
        <v>0.0</v>
      </c>
      <c r="L231" s="21">
        <v>0.0</v>
      </c>
      <c r="M231" s="21">
        <v>0.0</v>
      </c>
      <c r="N231" s="110"/>
      <c r="O231" s="110"/>
      <c r="P231" s="110"/>
      <c r="Q231" s="110"/>
      <c r="R231" s="110"/>
      <c r="S231" s="110"/>
      <c r="T231" s="110"/>
      <c r="U231" s="110"/>
      <c r="V231" s="110"/>
      <c r="W231" s="110"/>
      <c r="X231" s="110"/>
      <c r="Y231" s="110"/>
      <c r="Z231" s="110"/>
      <c r="AA231" s="110"/>
      <c r="AB231" s="110"/>
      <c r="AC231" s="110"/>
      <c r="AD231" s="110"/>
      <c r="AE231" s="74"/>
      <c r="AF231" s="125">
        <f t="shared" si="56"/>
        <v>0</v>
      </c>
    </row>
    <row r="232" hidden="1" outlineLevel="1">
      <c r="A232" s="161" t="s">
        <v>803</v>
      </c>
      <c r="B232" s="21">
        <v>0.0</v>
      </c>
      <c r="C232" s="21">
        <v>0.0</v>
      </c>
      <c r="D232" s="21">
        <v>0.0</v>
      </c>
      <c r="E232" s="21">
        <v>0.0</v>
      </c>
      <c r="F232" s="21">
        <v>0.0</v>
      </c>
      <c r="G232" s="21">
        <v>0.0</v>
      </c>
      <c r="H232" s="21">
        <v>0.0</v>
      </c>
      <c r="I232" s="21">
        <v>0.0</v>
      </c>
      <c r="J232" s="21">
        <v>0.0</v>
      </c>
      <c r="K232" s="21">
        <v>0.0</v>
      </c>
      <c r="L232" s="21">
        <v>0.0</v>
      </c>
      <c r="M232" s="21">
        <v>0.0</v>
      </c>
      <c r="N232" s="110"/>
      <c r="O232" s="110"/>
      <c r="P232" s="110"/>
      <c r="Q232" s="110"/>
      <c r="R232" s="110"/>
      <c r="S232" s="110"/>
      <c r="T232" s="110"/>
      <c r="U232" s="110"/>
      <c r="V232" s="110"/>
      <c r="W232" s="110"/>
      <c r="X232" s="110"/>
      <c r="Y232" s="110"/>
      <c r="Z232" s="110"/>
      <c r="AA232" s="110"/>
      <c r="AB232" s="110"/>
      <c r="AC232" s="110"/>
      <c r="AD232" s="110"/>
      <c r="AE232" s="74"/>
      <c r="AF232" s="125">
        <f t="shared" si="56"/>
        <v>0</v>
      </c>
    </row>
    <row r="233" hidden="1" outlineLevel="1">
      <c r="A233" s="562" t="s">
        <v>180</v>
      </c>
      <c r="B233" s="563">
        <f t="shared" ref="B233:AE233" si="57">SUM(B229:B232)</f>
        <v>0</v>
      </c>
      <c r="C233" s="563">
        <f t="shared" si="57"/>
        <v>0</v>
      </c>
      <c r="D233" s="563">
        <f t="shared" si="57"/>
        <v>0</v>
      </c>
      <c r="E233" s="563">
        <f t="shared" si="57"/>
        <v>0</v>
      </c>
      <c r="F233" s="563">
        <f t="shared" si="57"/>
        <v>0</v>
      </c>
      <c r="G233" s="563">
        <f t="shared" si="57"/>
        <v>0</v>
      </c>
      <c r="H233" s="563">
        <f t="shared" si="57"/>
        <v>0</v>
      </c>
      <c r="I233" s="563">
        <f t="shared" si="57"/>
        <v>0</v>
      </c>
      <c r="J233" s="563">
        <f t="shared" si="57"/>
        <v>0</v>
      </c>
      <c r="K233" s="563">
        <f t="shared" si="57"/>
        <v>0</v>
      </c>
      <c r="L233" s="563">
        <f t="shared" si="57"/>
        <v>0</v>
      </c>
      <c r="M233" s="563">
        <f t="shared" si="57"/>
        <v>0</v>
      </c>
      <c r="N233" s="563">
        <f t="shared" si="57"/>
        <v>0</v>
      </c>
      <c r="O233" s="563">
        <f t="shared" si="57"/>
        <v>0</v>
      </c>
      <c r="P233" s="563">
        <f t="shared" si="57"/>
        <v>0</v>
      </c>
      <c r="Q233" s="563">
        <f t="shared" si="57"/>
        <v>0</v>
      </c>
      <c r="R233" s="563">
        <f t="shared" si="57"/>
        <v>0</v>
      </c>
      <c r="S233" s="563">
        <f t="shared" si="57"/>
        <v>0</v>
      </c>
      <c r="T233" s="563">
        <f t="shared" si="57"/>
        <v>0</v>
      </c>
      <c r="U233" s="563">
        <f t="shared" si="57"/>
        <v>0</v>
      </c>
      <c r="V233" s="563">
        <f t="shared" si="57"/>
        <v>0</v>
      </c>
      <c r="W233" s="563">
        <f t="shared" si="57"/>
        <v>0</v>
      </c>
      <c r="X233" s="563">
        <f t="shared" si="57"/>
        <v>0</v>
      </c>
      <c r="Y233" s="563">
        <f t="shared" si="57"/>
        <v>0</v>
      </c>
      <c r="Z233" s="563">
        <f t="shared" si="57"/>
        <v>0</v>
      </c>
      <c r="AA233" s="563">
        <f t="shared" si="57"/>
        <v>0</v>
      </c>
      <c r="AB233" s="563">
        <f t="shared" si="57"/>
        <v>0</v>
      </c>
      <c r="AC233" s="563">
        <f t="shared" si="57"/>
        <v>0</v>
      </c>
      <c r="AD233" s="563">
        <f t="shared" si="57"/>
        <v>0</v>
      </c>
      <c r="AE233" s="563">
        <f t="shared" si="57"/>
        <v>0</v>
      </c>
      <c r="AF233" s="125">
        <f t="shared" si="56"/>
        <v>0</v>
      </c>
    </row>
    <row r="234" hidden="1" outlineLevel="1">
      <c r="A234" s="49"/>
      <c r="B234" s="110"/>
      <c r="C234" s="110"/>
      <c r="D234" s="110"/>
      <c r="E234" s="110"/>
      <c r="F234" s="110"/>
      <c r="G234" s="110"/>
      <c r="H234" s="110"/>
      <c r="I234" s="110"/>
      <c r="J234" s="9"/>
      <c r="K234" s="9"/>
      <c r="L234" s="9"/>
      <c r="M234" s="9"/>
      <c r="N234" s="9"/>
      <c r="O234" s="9"/>
      <c r="P234" s="9"/>
      <c r="Q234" s="9"/>
      <c r="R234" s="9"/>
      <c r="S234" s="9"/>
      <c r="T234" s="9"/>
      <c r="U234" s="9"/>
      <c r="V234" s="9"/>
      <c r="W234" s="9"/>
      <c r="X234" s="110"/>
      <c r="Y234" s="110"/>
      <c r="Z234" s="110"/>
      <c r="AA234" s="110"/>
      <c r="AB234" s="110"/>
      <c r="AC234" s="110"/>
      <c r="AD234" s="110"/>
      <c r="AE234" s="74"/>
      <c r="AF234" s="137"/>
    </row>
    <row r="235" hidden="1" outlineLevel="1">
      <c r="A235" s="161" t="s">
        <v>150</v>
      </c>
      <c r="B235" s="21">
        <v>0.0</v>
      </c>
      <c r="C235" s="21">
        <v>0.0</v>
      </c>
      <c r="D235" s="21">
        <v>0.0</v>
      </c>
      <c r="E235" s="21">
        <v>0.0</v>
      </c>
      <c r="F235" s="21">
        <v>0.0</v>
      </c>
      <c r="G235" s="21">
        <v>0.0</v>
      </c>
      <c r="H235" s="21">
        <v>0.0</v>
      </c>
      <c r="I235" s="21">
        <v>0.0</v>
      </c>
      <c r="J235" s="21">
        <v>0.0</v>
      </c>
      <c r="K235" s="21">
        <v>0.0</v>
      </c>
      <c r="L235" s="21">
        <v>0.0</v>
      </c>
      <c r="M235" s="21">
        <v>0.0</v>
      </c>
      <c r="N235" s="110"/>
      <c r="O235" s="110"/>
      <c r="P235" s="110"/>
      <c r="Q235" s="110"/>
      <c r="R235" s="110"/>
      <c r="S235" s="110"/>
      <c r="T235" s="110"/>
      <c r="U235" s="110"/>
      <c r="V235" s="9"/>
      <c r="W235" s="9"/>
      <c r="X235" s="110"/>
      <c r="Y235" s="110"/>
      <c r="Z235" s="110"/>
      <c r="AA235" s="110"/>
      <c r="AB235" s="110"/>
      <c r="AC235" s="110"/>
      <c r="AD235" s="110"/>
      <c r="AE235" s="74"/>
      <c r="AF235" s="125">
        <f t="shared" ref="AF235:AF243" si="58">sum(B235:AE235)</f>
        <v>0</v>
      </c>
    </row>
    <row r="236" hidden="1" outlineLevel="1">
      <c r="A236" s="161" t="s">
        <v>151</v>
      </c>
      <c r="B236" s="21">
        <v>0.0</v>
      </c>
      <c r="C236" s="21">
        <v>0.0</v>
      </c>
      <c r="D236" s="21">
        <v>0.0</v>
      </c>
      <c r="E236" s="21">
        <v>0.0</v>
      </c>
      <c r="F236" s="21">
        <v>0.0</v>
      </c>
      <c r="G236" s="21">
        <v>0.0</v>
      </c>
      <c r="H236" s="21">
        <v>0.0</v>
      </c>
      <c r="I236" s="21">
        <v>0.0</v>
      </c>
      <c r="J236" s="21">
        <v>0.0</v>
      </c>
      <c r="K236" s="21">
        <v>0.0</v>
      </c>
      <c r="L236" s="21">
        <v>0.0</v>
      </c>
      <c r="M236" s="21">
        <v>0.0</v>
      </c>
      <c r="N236" s="110"/>
      <c r="O236" s="110"/>
      <c r="P236" s="110"/>
      <c r="Q236" s="110"/>
      <c r="R236" s="110"/>
      <c r="S236" s="110"/>
      <c r="T236" s="110"/>
      <c r="U236" s="110"/>
      <c r="V236" s="9"/>
      <c r="W236" s="9"/>
      <c r="X236" s="110"/>
      <c r="Y236" s="110"/>
      <c r="Z236" s="74"/>
      <c r="AA236" s="74"/>
      <c r="AB236" s="110"/>
      <c r="AC236" s="74"/>
      <c r="AD236" s="74"/>
      <c r="AE236" s="74"/>
      <c r="AF236" s="125">
        <f t="shared" si="58"/>
        <v>0</v>
      </c>
    </row>
    <row r="237" hidden="1" outlineLevel="1">
      <c r="A237" s="161" t="s">
        <v>804</v>
      </c>
      <c r="B237" s="21">
        <v>0.0</v>
      </c>
      <c r="C237" s="21">
        <v>0.0</v>
      </c>
      <c r="D237" s="21">
        <v>0.0</v>
      </c>
      <c r="E237" s="21">
        <v>0.0</v>
      </c>
      <c r="F237" s="21">
        <v>0.0</v>
      </c>
      <c r="G237" s="21">
        <v>0.0</v>
      </c>
      <c r="H237" s="21">
        <v>0.0</v>
      </c>
      <c r="I237" s="21">
        <v>0.0</v>
      </c>
      <c r="J237" s="21">
        <v>0.0</v>
      </c>
      <c r="K237" s="21">
        <v>0.0</v>
      </c>
      <c r="L237" s="21">
        <v>0.0</v>
      </c>
      <c r="M237" s="21">
        <v>0.0</v>
      </c>
      <c r="N237" s="110"/>
      <c r="O237" s="110"/>
      <c r="P237" s="110"/>
      <c r="Q237" s="110"/>
      <c r="R237" s="110"/>
      <c r="S237" s="110"/>
      <c r="T237" s="110"/>
      <c r="U237" s="110"/>
      <c r="V237" s="110"/>
      <c r="W237" s="110"/>
      <c r="X237" s="110"/>
      <c r="Y237" s="110"/>
      <c r="Z237" s="110"/>
      <c r="AA237" s="110"/>
      <c r="AB237" s="110"/>
      <c r="AC237" s="110"/>
      <c r="AD237" s="110"/>
      <c r="AE237" s="110"/>
      <c r="AF237" s="125">
        <f t="shared" si="58"/>
        <v>0</v>
      </c>
    </row>
    <row r="238" hidden="1" outlineLevel="1">
      <c r="A238" s="564" t="s">
        <v>805</v>
      </c>
      <c r="B238" s="21">
        <v>0.0</v>
      </c>
      <c r="C238" s="21">
        <v>0.0</v>
      </c>
      <c r="D238" s="21">
        <v>0.0</v>
      </c>
      <c r="E238" s="21">
        <v>0.0</v>
      </c>
      <c r="F238" s="21">
        <v>0.0</v>
      </c>
      <c r="G238" s="21">
        <v>0.0</v>
      </c>
      <c r="H238" s="21">
        <v>0.0</v>
      </c>
      <c r="I238" s="21">
        <v>0.0</v>
      </c>
      <c r="J238" s="21">
        <v>0.0</v>
      </c>
      <c r="K238" s="21">
        <v>0.0</v>
      </c>
      <c r="L238" s="21">
        <v>0.0</v>
      </c>
      <c r="M238" s="21">
        <v>0.0</v>
      </c>
      <c r="N238" s="110"/>
      <c r="O238" s="110"/>
      <c r="P238" s="110"/>
      <c r="Q238" s="110"/>
      <c r="R238" s="110"/>
      <c r="S238" s="110"/>
      <c r="T238" s="110"/>
      <c r="U238" s="110"/>
      <c r="V238" s="110"/>
      <c r="W238" s="110"/>
      <c r="X238" s="110"/>
      <c r="Y238" s="110"/>
      <c r="Z238" s="110"/>
      <c r="AA238" s="110"/>
      <c r="AB238" s="110"/>
      <c r="AC238" s="110"/>
      <c r="AD238" s="110"/>
      <c r="AE238" s="110"/>
      <c r="AF238" s="125">
        <f t="shared" si="58"/>
        <v>0</v>
      </c>
    </row>
    <row r="239" hidden="1" outlineLevel="1">
      <c r="A239" s="161" t="s">
        <v>806</v>
      </c>
      <c r="B239" s="21">
        <v>0.0</v>
      </c>
      <c r="C239" s="21">
        <v>0.0</v>
      </c>
      <c r="D239" s="21">
        <v>0.0</v>
      </c>
      <c r="E239" s="21">
        <v>0.0</v>
      </c>
      <c r="F239" s="21">
        <v>0.0</v>
      </c>
      <c r="G239" s="21">
        <v>0.0</v>
      </c>
      <c r="H239" s="21">
        <v>0.0</v>
      </c>
      <c r="I239" s="21">
        <v>0.0</v>
      </c>
      <c r="J239" s="21">
        <v>0.0</v>
      </c>
      <c r="K239" s="21">
        <v>0.0</v>
      </c>
      <c r="L239" s="21">
        <v>0.0</v>
      </c>
      <c r="M239" s="21">
        <v>0.0</v>
      </c>
      <c r="N239" s="110"/>
      <c r="O239" s="110"/>
      <c r="P239" s="110"/>
      <c r="Q239" s="110"/>
      <c r="R239" s="110"/>
      <c r="S239" s="110"/>
      <c r="T239" s="110"/>
      <c r="U239" s="110"/>
      <c r="V239" s="110"/>
      <c r="W239" s="110"/>
      <c r="X239" s="110"/>
      <c r="Y239" s="110"/>
      <c r="Z239" s="110"/>
      <c r="AA239" s="9"/>
      <c r="AB239" s="110"/>
      <c r="AC239" s="110"/>
      <c r="AD239" s="110"/>
      <c r="AE239" s="110"/>
      <c r="AF239" s="125">
        <f t="shared" si="58"/>
        <v>0</v>
      </c>
    </row>
    <row r="240" hidden="1" outlineLevel="1">
      <c r="A240" s="161" t="s">
        <v>807</v>
      </c>
      <c r="B240" s="99">
        <v>0.0</v>
      </c>
      <c r="C240" s="99">
        <v>0.0</v>
      </c>
      <c r="D240" s="99">
        <v>0.0</v>
      </c>
      <c r="E240" s="99">
        <v>0.0</v>
      </c>
      <c r="F240" s="99">
        <v>0.0</v>
      </c>
      <c r="G240" s="99">
        <v>0.0</v>
      </c>
      <c r="H240" s="99">
        <v>0.0</v>
      </c>
      <c r="I240" s="99">
        <v>0.0</v>
      </c>
      <c r="J240" s="99">
        <v>0.0</v>
      </c>
      <c r="K240" s="99">
        <v>0.0</v>
      </c>
      <c r="L240" s="99">
        <v>0.0</v>
      </c>
      <c r="M240" s="99">
        <v>0.0</v>
      </c>
      <c r="N240" s="9"/>
      <c r="O240" s="9"/>
      <c r="P240" s="9"/>
      <c r="Q240" s="9"/>
      <c r="R240" s="9"/>
      <c r="S240" s="9"/>
      <c r="T240" s="9"/>
      <c r="U240" s="9"/>
      <c r="V240" s="110"/>
      <c r="W240" s="110"/>
      <c r="X240" s="110"/>
      <c r="Y240" s="110"/>
      <c r="Z240" s="110"/>
      <c r="AA240" s="9"/>
      <c r="AB240" s="110"/>
      <c r="AC240" s="110"/>
      <c r="AD240" s="110"/>
      <c r="AE240" s="110"/>
      <c r="AF240" s="125">
        <f t="shared" si="58"/>
        <v>0</v>
      </c>
    </row>
    <row r="241" hidden="1" outlineLevel="1">
      <c r="A241" s="161" t="s">
        <v>808</v>
      </c>
      <c r="B241" s="21">
        <v>0.0</v>
      </c>
      <c r="C241" s="21">
        <v>0.0</v>
      </c>
      <c r="D241" s="21">
        <v>0.0</v>
      </c>
      <c r="E241" s="21">
        <v>0.0</v>
      </c>
      <c r="F241" s="21">
        <v>0.0</v>
      </c>
      <c r="G241" s="21">
        <v>0.0</v>
      </c>
      <c r="H241" s="21">
        <v>0.0</v>
      </c>
      <c r="I241" s="21">
        <v>0.0</v>
      </c>
      <c r="J241" s="21">
        <v>0.0</v>
      </c>
      <c r="K241" s="21">
        <v>0.0</v>
      </c>
      <c r="L241" s="21">
        <v>0.0</v>
      </c>
      <c r="M241" s="21">
        <v>0.0</v>
      </c>
      <c r="N241" s="110"/>
      <c r="O241" s="110"/>
      <c r="P241" s="110"/>
      <c r="Q241" s="110"/>
      <c r="R241" s="110"/>
      <c r="S241" s="110"/>
      <c r="T241" s="110"/>
      <c r="U241" s="110"/>
      <c r="V241" s="110"/>
      <c r="W241" s="110"/>
      <c r="X241" s="110"/>
      <c r="Y241" s="110"/>
      <c r="Z241" s="110"/>
      <c r="AA241" s="9"/>
      <c r="AB241" s="110"/>
      <c r="AC241" s="110"/>
      <c r="AD241" s="110"/>
      <c r="AE241" s="110"/>
      <c r="AF241" s="125">
        <f t="shared" si="58"/>
        <v>0</v>
      </c>
    </row>
    <row r="242" hidden="1" outlineLevel="1">
      <c r="A242" s="161" t="s">
        <v>809</v>
      </c>
      <c r="B242" s="21">
        <v>0.0</v>
      </c>
      <c r="C242" s="21">
        <v>0.0</v>
      </c>
      <c r="D242" s="21">
        <v>0.0</v>
      </c>
      <c r="E242" s="21">
        <v>0.0</v>
      </c>
      <c r="F242" s="21">
        <v>0.0</v>
      </c>
      <c r="G242" s="21">
        <v>0.0</v>
      </c>
      <c r="H242" s="21">
        <v>0.0</v>
      </c>
      <c r="I242" s="21">
        <v>0.0</v>
      </c>
      <c r="J242" s="21">
        <v>0.0</v>
      </c>
      <c r="K242" s="21">
        <v>0.0</v>
      </c>
      <c r="L242" s="21">
        <v>0.0</v>
      </c>
      <c r="M242" s="21">
        <v>0.0</v>
      </c>
      <c r="N242" s="110"/>
      <c r="O242" s="110"/>
      <c r="P242" s="110"/>
      <c r="Q242" s="110"/>
      <c r="R242" s="110"/>
      <c r="S242" s="110"/>
      <c r="T242" s="110"/>
      <c r="U242" s="110"/>
      <c r="V242" s="110"/>
      <c r="W242" s="110"/>
      <c r="X242" s="110"/>
      <c r="Y242" s="110"/>
      <c r="Z242" s="110"/>
      <c r="AA242" s="9"/>
      <c r="AB242" s="110"/>
      <c r="AC242" s="110"/>
      <c r="AD242" s="110"/>
      <c r="AE242" s="110"/>
      <c r="AF242" s="125">
        <f t="shared" si="58"/>
        <v>0</v>
      </c>
    </row>
    <row r="243" hidden="1" outlineLevel="1">
      <c r="A243" s="562" t="s">
        <v>98</v>
      </c>
      <c r="B243" s="563">
        <f t="shared" ref="B243:AE243" si="59">SUM(B235:B242)</f>
        <v>0</v>
      </c>
      <c r="C243" s="563">
        <f t="shared" si="59"/>
        <v>0</v>
      </c>
      <c r="D243" s="563">
        <f t="shared" si="59"/>
        <v>0</v>
      </c>
      <c r="E243" s="563">
        <f t="shared" si="59"/>
        <v>0</v>
      </c>
      <c r="F243" s="563">
        <f t="shared" si="59"/>
        <v>0</v>
      </c>
      <c r="G243" s="563">
        <f t="shared" si="59"/>
        <v>0</v>
      </c>
      <c r="H243" s="563">
        <f t="shared" si="59"/>
        <v>0</v>
      </c>
      <c r="I243" s="563">
        <f t="shared" si="59"/>
        <v>0</v>
      </c>
      <c r="J243" s="563">
        <f t="shared" si="59"/>
        <v>0</v>
      </c>
      <c r="K243" s="563">
        <f t="shared" si="59"/>
        <v>0</v>
      </c>
      <c r="L243" s="563">
        <f t="shared" si="59"/>
        <v>0</v>
      </c>
      <c r="M243" s="563">
        <f t="shared" si="59"/>
        <v>0</v>
      </c>
      <c r="N243" s="563">
        <f t="shared" si="59"/>
        <v>0</v>
      </c>
      <c r="O243" s="563">
        <f t="shared" si="59"/>
        <v>0</v>
      </c>
      <c r="P243" s="563">
        <f t="shared" si="59"/>
        <v>0</v>
      </c>
      <c r="Q243" s="563">
        <f t="shared" si="59"/>
        <v>0</v>
      </c>
      <c r="R243" s="563">
        <f t="shared" si="59"/>
        <v>0</v>
      </c>
      <c r="S243" s="563">
        <f t="shared" si="59"/>
        <v>0</v>
      </c>
      <c r="T243" s="563">
        <f t="shared" si="59"/>
        <v>0</v>
      </c>
      <c r="U243" s="563">
        <f t="shared" si="59"/>
        <v>0</v>
      </c>
      <c r="V243" s="563">
        <f t="shared" si="59"/>
        <v>0</v>
      </c>
      <c r="W243" s="563">
        <f t="shared" si="59"/>
        <v>0</v>
      </c>
      <c r="X243" s="563">
        <f t="shared" si="59"/>
        <v>0</v>
      </c>
      <c r="Y243" s="563">
        <f t="shared" si="59"/>
        <v>0</v>
      </c>
      <c r="Z243" s="563">
        <f t="shared" si="59"/>
        <v>0</v>
      </c>
      <c r="AA243" s="563">
        <f t="shared" si="59"/>
        <v>0</v>
      </c>
      <c r="AB243" s="563">
        <f t="shared" si="59"/>
        <v>0</v>
      </c>
      <c r="AC243" s="563">
        <f t="shared" si="59"/>
        <v>0</v>
      </c>
      <c r="AD243" s="563">
        <f t="shared" si="59"/>
        <v>0</v>
      </c>
      <c r="AE243" s="563">
        <f t="shared" si="59"/>
        <v>0</v>
      </c>
      <c r="AF243" s="125">
        <f t="shared" si="58"/>
        <v>0</v>
      </c>
    </row>
    <row r="244">
      <c r="A244" s="437"/>
      <c r="B244" s="548"/>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c r="AB244" s="141"/>
      <c r="AC244" s="141"/>
      <c r="AD244" s="141"/>
      <c r="AE244" s="439"/>
      <c r="AF244" s="565"/>
    </row>
    <row r="245">
      <c r="A245" s="566" t="s">
        <v>378</v>
      </c>
      <c r="B245" s="567"/>
      <c r="C245" s="567"/>
      <c r="D245" s="567"/>
      <c r="E245" s="567"/>
      <c r="F245" s="567"/>
      <c r="G245" s="567"/>
      <c r="H245" s="567"/>
      <c r="I245" s="567"/>
      <c r="J245" s="567"/>
      <c r="K245" s="567"/>
      <c r="L245" s="567"/>
      <c r="M245" s="567"/>
      <c r="N245" s="567"/>
      <c r="O245" s="567"/>
      <c r="P245" s="567"/>
      <c r="Q245" s="567"/>
      <c r="R245" s="567"/>
      <c r="S245" s="567"/>
      <c r="T245" s="567"/>
      <c r="U245" s="567"/>
      <c r="V245" s="567"/>
      <c r="W245" s="567"/>
      <c r="X245" s="567"/>
      <c r="Y245" s="567"/>
      <c r="Z245" s="568"/>
      <c r="AA245" s="567"/>
      <c r="AB245" s="567"/>
      <c r="AC245" s="568"/>
      <c r="AD245" s="568"/>
      <c r="AE245" s="568"/>
      <c r="AF245" s="137"/>
    </row>
    <row r="246">
      <c r="A246" s="569" t="s">
        <v>379</v>
      </c>
      <c r="B246" s="260">
        <v>0.0</v>
      </c>
      <c r="C246" s="260">
        <v>0.0</v>
      </c>
      <c r="D246" s="260">
        <v>0.0</v>
      </c>
      <c r="E246" s="260">
        <v>0.0</v>
      </c>
      <c r="F246" s="260">
        <v>0.0</v>
      </c>
      <c r="G246" s="260">
        <v>0.0</v>
      </c>
      <c r="H246" s="260">
        <v>0.0</v>
      </c>
      <c r="I246" s="260">
        <v>0.0</v>
      </c>
      <c r="J246" s="260">
        <v>0.0</v>
      </c>
      <c r="K246" s="260">
        <v>0.0</v>
      </c>
      <c r="L246" s="260">
        <v>0.0</v>
      </c>
      <c r="M246" s="260">
        <v>0.0</v>
      </c>
      <c r="N246" s="260">
        <v>0.0</v>
      </c>
      <c r="O246" s="260">
        <v>0.0</v>
      </c>
      <c r="P246" s="260">
        <v>0.0</v>
      </c>
      <c r="Q246" s="260">
        <v>0.0</v>
      </c>
      <c r="R246" s="260">
        <v>0.0</v>
      </c>
      <c r="S246" s="260">
        <v>0.0</v>
      </c>
      <c r="T246" s="260">
        <v>0.0</v>
      </c>
      <c r="U246" s="260">
        <v>0.0</v>
      </c>
      <c r="V246" s="260">
        <v>0.0</v>
      </c>
      <c r="W246" s="260">
        <v>0.0</v>
      </c>
      <c r="X246" s="260">
        <v>0.0</v>
      </c>
      <c r="Y246" s="260">
        <v>0.0</v>
      </c>
      <c r="Z246" s="260">
        <v>0.0</v>
      </c>
      <c r="AA246" s="260">
        <v>0.0</v>
      </c>
      <c r="AB246" s="260">
        <v>0.0</v>
      </c>
      <c r="AC246" s="260">
        <v>0.0</v>
      </c>
      <c r="AD246" s="260">
        <v>0.0</v>
      </c>
      <c r="AE246" s="260">
        <v>0.0</v>
      </c>
      <c r="AF246" s="62">
        <f t="shared" ref="AF246:AF259" si="61">SUM(B246:AE246)</f>
        <v>0</v>
      </c>
    </row>
    <row r="247">
      <c r="A247" s="570" t="s">
        <v>810</v>
      </c>
      <c r="B247" s="329">
        <f t="shared" ref="B247:AE247" si="60">B122+B10</f>
        <v>42.24372</v>
      </c>
      <c r="C247" s="329">
        <f t="shared" si="60"/>
        <v>0</v>
      </c>
      <c r="D247" s="329">
        <f t="shared" si="60"/>
        <v>0</v>
      </c>
      <c r="E247" s="329">
        <f t="shared" si="60"/>
        <v>4343.100204</v>
      </c>
      <c r="F247" s="329">
        <f t="shared" si="60"/>
        <v>2165.181702</v>
      </c>
      <c r="G247" s="329">
        <f t="shared" si="60"/>
        <v>9412.17678</v>
      </c>
      <c r="H247" s="329">
        <f t="shared" si="60"/>
        <v>1311.845821</v>
      </c>
      <c r="I247" s="329">
        <f t="shared" si="60"/>
        <v>50.9450772</v>
      </c>
      <c r="J247" s="329">
        <f t="shared" si="60"/>
        <v>560.4000948</v>
      </c>
      <c r="K247" s="329">
        <f t="shared" si="60"/>
        <v>191.0456316</v>
      </c>
      <c r="L247" s="329">
        <f t="shared" si="60"/>
        <v>191.0456316</v>
      </c>
      <c r="M247" s="329">
        <f t="shared" si="60"/>
        <v>254.7275088</v>
      </c>
      <c r="N247" s="329">
        <f t="shared" si="60"/>
        <v>254.7275088</v>
      </c>
      <c r="O247" s="329">
        <f t="shared" si="60"/>
        <v>63.6818772</v>
      </c>
      <c r="P247" s="329">
        <f t="shared" si="60"/>
        <v>420.2995404</v>
      </c>
      <c r="Q247" s="329">
        <f t="shared" si="60"/>
        <v>2216.128902</v>
      </c>
      <c r="R247" s="329">
        <f t="shared" si="60"/>
        <v>369.3544632</v>
      </c>
      <c r="S247" s="329">
        <f t="shared" si="60"/>
        <v>445.7731404</v>
      </c>
      <c r="T247" s="329">
        <f t="shared" si="60"/>
        <v>445.7731404</v>
      </c>
      <c r="U247" s="329">
        <f t="shared" si="60"/>
        <v>496.7182176</v>
      </c>
      <c r="V247" s="329">
        <f t="shared" si="60"/>
        <v>509.4550176</v>
      </c>
      <c r="W247" s="329">
        <f t="shared" si="60"/>
        <v>509.4550176</v>
      </c>
      <c r="X247" s="329">
        <f t="shared" si="60"/>
        <v>929.754558</v>
      </c>
      <c r="Y247" s="329">
        <f t="shared" si="60"/>
        <v>1108.06339</v>
      </c>
      <c r="Z247" s="329">
        <f t="shared" si="60"/>
        <v>178.3088316</v>
      </c>
      <c r="AA247" s="329">
        <f t="shared" si="60"/>
        <v>3222.300014</v>
      </c>
      <c r="AB247" s="329">
        <f t="shared" si="60"/>
        <v>5451.165716</v>
      </c>
      <c r="AC247" s="329">
        <f t="shared" si="60"/>
        <v>2076.028348</v>
      </c>
      <c r="AD247" s="329">
        <f t="shared" si="60"/>
        <v>241.9907088</v>
      </c>
      <c r="AE247" s="329">
        <f t="shared" si="60"/>
        <v>178.3088316</v>
      </c>
      <c r="AF247" s="571">
        <f t="shared" si="61"/>
        <v>37639.99939</v>
      </c>
    </row>
    <row r="248">
      <c r="A248" s="364" t="s">
        <v>811</v>
      </c>
      <c r="B248" s="66">
        <f>(B13+B14+B125+B126)*'Data - P&amp;L'!$C$3</f>
        <v>86.9</v>
      </c>
      <c r="C248" s="66">
        <f>(C13+C14+C125+C126)*'Data - P&amp;L'!$C$3</f>
        <v>0</v>
      </c>
      <c r="D248" s="66">
        <f>(D13+D14+D125+D126)*'Data - P&amp;L'!$C$3</f>
        <v>0</v>
      </c>
      <c r="E248" s="66">
        <f>(E13+E14+E125+E126)*'Data - P&amp;L'!$C$3</f>
        <v>869</v>
      </c>
      <c r="F248" s="66">
        <f>(F13+F14+F125+F126)*'Data - P&amp;L'!$C$3</f>
        <v>434.5</v>
      </c>
      <c r="G248" s="66">
        <f>(G13+G14+G125+G126)*'Data - P&amp;L'!$C$3</f>
        <v>955.9</v>
      </c>
      <c r="H248" s="66">
        <f>(H13+H14+H125+H126)*'Data - P&amp;L'!$C$3</f>
        <v>173.8</v>
      </c>
      <c r="I248" s="66">
        <f>(I13+I14+I125+I126)*'Data - P&amp;L'!$C$3</f>
        <v>86.9</v>
      </c>
      <c r="J248" s="66">
        <f>(J13+J14+J125+J126)*'Data - P&amp;L'!$C$3</f>
        <v>86.9</v>
      </c>
      <c r="K248" s="66">
        <f>(K13+K14+K125+K126)*'Data - P&amp;L'!$C$3</f>
        <v>0</v>
      </c>
      <c r="L248" s="66">
        <f>(L13+L14+L125+L126)*'Data - P&amp;L'!$C$3</f>
        <v>0</v>
      </c>
      <c r="M248" s="66">
        <f>(M13+M14+M125+M126)*'Data - P&amp;L'!$C$3</f>
        <v>0</v>
      </c>
      <c r="N248" s="66">
        <f>(N13+N14+N125+N126)*'Data - P&amp;L'!$C$3</f>
        <v>0</v>
      </c>
      <c r="O248" s="66">
        <f>(O13+O14+O125+O126)*'Data - P&amp;L'!$C$3</f>
        <v>0</v>
      </c>
      <c r="P248" s="66">
        <f>(P13+P14+P125+P126)*'Data - P&amp;L'!$C$3</f>
        <v>173.8</v>
      </c>
      <c r="Q248" s="66">
        <f>(Q13+Q14+Q125+Q126)*'Data - P&amp;L'!$C$3</f>
        <v>86.9</v>
      </c>
      <c r="R248" s="66">
        <f>(R13+R14+R125+R126)*'Data - P&amp;L'!$C$3</f>
        <v>86.9</v>
      </c>
      <c r="S248" s="66">
        <f>(S13+S14+S125+S126)*'Data - P&amp;L'!$C$3</f>
        <v>0</v>
      </c>
      <c r="T248" s="66">
        <f>(T13+T14+T125+T126)*'Data - P&amp;L'!$C$3</f>
        <v>0</v>
      </c>
      <c r="U248" s="66">
        <f>(U13+U14+U125+U126)*'Data - P&amp;L'!$C$3</f>
        <v>86.9</v>
      </c>
      <c r="V248" s="66">
        <f>(V13+V14+V125+V126)*'Data - P&amp;L'!$C$3</f>
        <v>0</v>
      </c>
      <c r="W248" s="66">
        <f>(W13+W14+W125+W126)*'Data - P&amp;L'!$C$3</f>
        <v>0</v>
      </c>
      <c r="X248" s="66">
        <f>(X13+X14+X125+X126)*'Data - P&amp;L'!$C$3</f>
        <v>173.8</v>
      </c>
      <c r="Y248" s="66">
        <f>(Y13+Y14+Y125+Y126)*'Data - P&amp;L'!$C$3</f>
        <v>260.7</v>
      </c>
      <c r="Z248" s="66">
        <f>(Z13+Z14+Z125+Z126)*'Data - P&amp;L'!$C$3</f>
        <v>86.9</v>
      </c>
      <c r="AA248" s="66">
        <f>(AA13+AA14+AA125+AA126)*'Data - P&amp;L'!$C$3</f>
        <v>608.3</v>
      </c>
      <c r="AB248" s="66">
        <f>(AB13+AB14+AB125+AB126)*'Data - P&amp;L'!$C$3</f>
        <v>608.3</v>
      </c>
      <c r="AC248" s="66">
        <f>(AC13+AC14+AC125+AC126)*'Data - P&amp;L'!$C$3</f>
        <v>173.8</v>
      </c>
      <c r="AD248" s="66">
        <f>(AD13+AD14+AD125+AD126)*'Data - P&amp;L'!$C$3</f>
        <v>86.9</v>
      </c>
      <c r="AE248" s="66">
        <f>(AE13+AE14+AE125+AE126)*'Data - P&amp;L'!$C$3</f>
        <v>86.9</v>
      </c>
      <c r="AF248" s="62">
        <f t="shared" si="61"/>
        <v>5214</v>
      </c>
    </row>
    <row r="249">
      <c r="A249" s="364" t="s">
        <v>813</v>
      </c>
      <c r="B249" s="66">
        <f>(B15+B16+B127+B128)*'Data - P&amp;L'!$C$4</f>
        <v>0</v>
      </c>
      <c r="C249" s="66">
        <f>(C15+C16+C127+C128)*'Data - P&amp;L'!$C$4</f>
        <v>0</v>
      </c>
      <c r="D249" s="66">
        <f>(D15+D16+D127+D128)*'Data - P&amp;L'!$C$4</f>
        <v>0</v>
      </c>
      <c r="E249" s="66">
        <f>(E15+E16+E127+E128)*'Data - P&amp;L'!$C$4</f>
        <v>5954.21</v>
      </c>
      <c r="F249" s="66">
        <f>(F15+F16+F127+F128)*'Data - P&amp;L'!$C$4</f>
        <v>3025.91</v>
      </c>
      <c r="G249" s="66">
        <f>(G15+G16+G127+G128)*'Data - P&amp;L'!$C$4</f>
        <v>13567.79</v>
      </c>
      <c r="H249" s="66">
        <f>(H15+H16+H127+H128)*'Data - P&amp;L'!$C$4</f>
        <v>1854.59</v>
      </c>
      <c r="I249" s="66">
        <f>(I15+I16+I127+I128)*'Data - P&amp;L'!$C$4</f>
        <v>0</v>
      </c>
      <c r="J249" s="66">
        <f>(J15+J16+J127+J128)*'Data - P&amp;L'!$C$4</f>
        <v>976.1</v>
      </c>
      <c r="K249" s="66">
        <f>(K15+K16+K127+K128)*'Data - P&amp;L'!$C$4</f>
        <v>292.83</v>
      </c>
      <c r="L249" s="66">
        <f>(L15+L16+L127+L128)*'Data - P&amp;L'!$C$4</f>
        <v>292.83</v>
      </c>
      <c r="M249" s="66">
        <f>(M15+M16+M127+M128)*'Data - P&amp;L'!$C$4</f>
        <v>390.44</v>
      </c>
      <c r="N249" s="66">
        <f>(N15+N16+N127+N128)*'Data - P&amp;L'!$C$4</f>
        <v>390.44</v>
      </c>
      <c r="O249" s="66">
        <f>(O15+O16+O127+O128)*'Data - P&amp;L'!$C$4</f>
        <v>97.61</v>
      </c>
      <c r="P249" s="66">
        <f>(P15+P16+P127+P128)*'Data - P&amp;L'!$C$4</f>
        <v>488.05</v>
      </c>
      <c r="Q249" s="66">
        <f>(Q15+Q16+Q127+Q128)*'Data - P&amp;L'!$C$4</f>
        <v>3318.74</v>
      </c>
      <c r="R249" s="66">
        <f>(R15+R16+R127+R128)*'Data - P&amp;L'!$C$4</f>
        <v>488.05</v>
      </c>
      <c r="S249" s="66">
        <f>(S15+S16+S127+S128)*'Data - P&amp;L'!$C$4</f>
        <v>683.27</v>
      </c>
      <c r="T249" s="66">
        <f>(T15+T16+T127+T128)*'Data - P&amp;L'!$C$4</f>
        <v>683.27</v>
      </c>
      <c r="U249" s="66">
        <f>(U15+U16+U127+U128)*'Data - P&amp;L'!$C$4</f>
        <v>683.27</v>
      </c>
      <c r="V249" s="66">
        <f>(V15+V16+V127+V128)*'Data - P&amp;L'!$C$4</f>
        <v>780.88</v>
      </c>
      <c r="W249" s="66">
        <f>(W15+W16+W127+W128)*'Data - P&amp;L'!$C$4</f>
        <v>780.88</v>
      </c>
      <c r="X249" s="66">
        <f>(X15+X16+X127+X128)*'Data - P&amp;L'!$C$4</f>
        <v>1464.15</v>
      </c>
      <c r="Y249" s="66">
        <f>(Y15+Y16+Y127+Y128)*'Data - P&amp;L'!$C$4</f>
        <v>1561.76</v>
      </c>
      <c r="Z249" s="66">
        <f>(Z15+Z16+Z127+Z128)*'Data - P&amp;L'!$C$4</f>
        <v>195.22</v>
      </c>
      <c r="AA249" s="66">
        <f>(AA15+AA16+AA127+AA128)*'Data - P&amp;L'!$C$4</f>
        <v>4490.06</v>
      </c>
      <c r="AB249" s="66">
        <f>(AB15+AB16+AB127+AB128)*'Data - P&amp;L'!$C$4</f>
        <v>7808.8</v>
      </c>
      <c r="AC249" s="66">
        <f>(AC15+AC16+AC127+AC128)*'Data - P&amp;L'!$C$4</f>
        <v>3025.91</v>
      </c>
      <c r="AD249" s="66">
        <f>(AD15+AD16+AD127+AD128)*'Data - P&amp;L'!$C$4</f>
        <v>292.83</v>
      </c>
      <c r="AE249" s="66">
        <f>(AE15+AE16+AE127+AE128)*'Data - P&amp;L'!$C$4</f>
        <v>195.22</v>
      </c>
      <c r="AF249" s="62">
        <f t="shared" si="61"/>
        <v>53783.11</v>
      </c>
    </row>
    <row r="250">
      <c r="A250" s="364" t="s">
        <v>815</v>
      </c>
      <c r="B250" s="66">
        <f>(B19+B131)*'Data - P&amp;L'!$C$6</f>
        <v>0</v>
      </c>
      <c r="C250" s="66">
        <f>(C19+C131)*'Data - P&amp;L'!$C$6</f>
        <v>0</v>
      </c>
      <c r="D250" s="66">
        <f>(D19+D131)*'Data - P&amp;L'!$C$6</f>
        <v>0</v>
      </c>
      <c r="E250" s="66">
        <f>(E19+E131)*'Data - P&amp;L'!$C$6</f>
        <v>0</v>
      </c>
      <c r="F250" s="66">
        <f>(F19+F131)*'Data - P&amp;L'!$C$6</f>
        <v>0</v>
      </c>
      <c r="G250" s="66">
        <f>(G19+G131)*'Data - P&amp;L'!$C$6</f>
        <v>0</v>
      </c>
      <c r="H250" s="66">
        <f>(H19+H131)*'Data - P&amp;L'!$C$6</f>
        <v>0</v>
      </c>
      <c r="I250" s="66">
        <f>(I19+I131)*'Data - P&amp;L'!$C$6</f>
        <v>0</v>
      </c>
      <c r="J250" s="66">
        <f>(J19+J131)*'Data - P&amp;L'!$C$6</f>
        <v>0</v>
      </c>
      <c r="K250" s="66">
        <f>(K19+K131)*'Data - P&amp;L'!$C$6</f>
        <v>0</v>
      </c>
      <c r="L250" s="66">
        <f>(L19+L131)*'Data - P&amp;L'!$C$6</f>
        <v>0</v>
      </c>
      <c r="M250" s="66">
        <f>(M19+M131)*'Data - P&amp;L'!$C$6</f>
        <v>0</v>
      </c>
      <c r="N250" s="66">
        <f>(N19+N131)*'Data - P&amp;L'!$C$6</f>
        <v>0</v>
      </c>
      <c r="O250" s="66">
        <f>(O19+O131)*'Data - P&amp;L'!$C$6</f>
        <v>0</v>
      </c>
      <c r="P250" s="66">
        <f>(P19+P131)*'Data - P&amp;L'!$C$6</f>
        <v>0</v>
      </c>
      <c r="Q250" s="66">
        <f>(Q19+Q131)*'Data - P&amp;L'!$C$6</f>
        <v>0</v>
      </c>
      <c r="R250" s="66">
        <f>(R19+R131)*'Data - P&amp;L'!$C$6</f>
        <v>0</v>
      </c>
      <c r="S250" s="66">
        <f>(S19+S131)*'Data - P&amp;L'!$C$6</f>
        <v>0</v>
      </c>
      <c r="T250" s="66">
        <f>(T19+T131)*'Data - P&amp;L'!$C$6</f>
        <v>0</v>
      </c>
      <c r="U250" s="66">
        <f>(U19+U131)*'Data - P&amp;L'!$C$6</f>
        <v>0</v>
      </c>
      <c r="V250" s="66">
        <f>(V19+V131)*'Data - P&amp;L'!$C$6</f>
        <v>0</v>
      </c>
      <c r="W250" s="66">
        <f>(W19+W131)*'Data - P&amp;L'!$C$6</f>
        <v>0</v>
      </c>
      <c r="X250" s="66">
        <f>(X19+X131)*'Data - P&amp;L'!$C$6</f>
        <v>0</v>
      </c>
      <c r="Y250" s="66">
        <f>(Y19+Y131)*'Data - P&amp;L'!$C$6</f>
        <v>0</v>
      </c>
      <c r="Z250" s="66">
        <f>(Z19+Z131)*'Data - P&amp;L'!$C$6</f>
        <v>0</v>
      </c>
      <c r="AA250" s="66">
        <f>(AA19+AA131)*'Data - P&amp;L'!$C$6</f>
        <v>0</v>
      </c>
      <c r="AB250" s="66">
        <f>(AB19+AB131)*'Data - P&amp;L'!$C$6</f>
        <v>0</v>
      </c>
      <c r="AC250" s="66">
        <f>(AC19+AC131)*'Data - P&amp;L'!$C$6</f>
        <v>0</v>
      </c>
      <c r="AD250" s="66">
        <f>(AD19+AD131)*'Data - P&amp;L'!$C$6</f>
        <v>0</v>
      </c>
      <c r="AE250" s="66">
        <f>(AE19+AE131)*'Data - P&amp;L'!$C$6</f>
        <v>0</v>
      </c>
      <c r="AF250" s="62">
        <f t="shared" si="61"/>
        <v>0</v>
      </c>
    </row>
    <row r="251">
      <c r="A251" s="364" t="s">
        <v>816</v>
      </c>
      <c r="B251" s="66">
        <f>(B20+B132)*'Data - P&amp;L'!$C$8</f>
        <v>0</v>
      </c>
      <c r="C251" s="66">
        <f>(C20+C132)*'Data - P&amp;L'!$C$8</f>
        <v>0</v>
      </c>
      <c r="D251" s="66">
        <f>(D20+D132)*'Data - P&amp;L'!$C$8</f>
        <v>0</v>
      </c>
      <c r="E251" s="66">
        <f>(E20+E132)*'Data - P&amp;L'!$C$8</f>
        <v>0</v>
      </c>
      <c r="F251" s="66">
        <f>(F20+F132)*'Data - P&amp;L'!$C$8</f>
        <v>0</v>
      </c>
      <c r="G251" s="66">
        <f>(G20+G132)*'Data - P&amp;L'!$C$8</f>
        <v>0</v>
      </c>
      <c r="H251" s="66">
        <f>(H20+H132)*'Data - P&amp;L'!$C$8</f>
        <v>0</v>
      </c>
      <c r="I251" s="66">
        <f>(I20+I132)*'Data - P&amp;L'!$C$8</f>
        <v>0</v>
      </c>
      <c r="J251" s="66">
        <f>(J20+J132)*'Data - P&amp;L'!$C$8</f>
        <v>0</v>
      </c>
      <c r="K251" s="66">
        <f>(K20+K132)*'Data - P&amp;L'!$C$8</f>
        <v>0</v>
      </c>
      <c r="L251" s="66">
        <f>(L20+L132)*'Data - P&amp;L'!$C$8</f>
        <v>0</v>
      </c>
      <c r="M251" s="66">
        <f>(M20+M132)*'Data - P&amp;L'!$C$8</f>
        <v>0</v>
      </c>
      <c r="N251" s="66">
        <f>(N20+N132)*'Data - P&amp;L'!$C$8</f>
        <v>0</v>
      </c>
      <c r="O251" s="66">
        <f>(O20+O132)*'Data - P&amp;L'!$C$8</f>
        <v>0</v>
      </c>
      <c r="P251" s="66">
        <f>(P20+P132)*'Data - P&amp;L'!$C$8</f>
        <v>0</v>
      </c>
      <c r="Q251" s="66">
        <f>(Q20+Q132)*'Data - P&amp;L'!$C$8</f>
        <v>0</v>
      </c>
      <c r="R251" s="66">
        <f>(R20+R132)*'Data - P&amp;L'!$C$8</f>
        <v>0</v>
      </c>
      <c r="S251" s="66">
        <f>(S20+S132)*'Data - P&amp;L'!$C$8</f>
        <v>0</v>
      </c>
      <c r="T251" s="66">
        <f>(T20+T132)*'Data - P&amp;L'!$C$8</f>
        <v>0</v>
      </c>
      <c r="U251" s="66">
        <f>(U20+U132)*'Data - P&amp;L'!$C$8</f>
        <v>0</v>
      </c>
      <c r="V251" s="66">
        <f>(V20+V132)*'Data - P&amp;L'!$C$8</f>
        <v>0</v>
      </c>
      <c r="W251" s="66">
        <f>(W20+W132)*'Data - P&amp;L'!$C$8</f>
        <v>0</v>
      </c>
      <c r="X251" s="66">
        <f>(X20+X132)*'Data - P&amp;L'!$C$8</f>
        <v>0</v>
      </c>
      <c r="Y251" s="66">
        <f>(Y20+Y132)*'Data - P&amp;L'!$C$8</f>
        <v>0</v>
      </c>
      <c r="Z251" s="66">
        <f>(Z20+Z132)*'Data - P&amp;L'!$C$8</f>
        <v>0</v>
      </c>
      <c r="AA251" s="66">
        <f>(AA20+AA132)*'Data - P&amp;L'!$C$8</f>
        <v>0</v>
      </c>
      <c r="AB251" s="66">
        <f>(AB20+AB132)*'Data - P&amp;L'!$C$8</f>
        <v>0</v>
      </c>
      <c r="AC251" s="66">
        <f>(AC20+AC132)*'Data - P&amp;L'!$C$8</f>
        <v>0</v>
      </c>
      <c r="AD251" s="66">
        <f>(AD20+AD132)*'Data - P&amp;L'!$C$8</f>
        <v>0</v>
      </c>
      <c r="AE251" s="66">
        <f>(AE20+AE132)*'Data - P&amp;L'!$C$8</f>
        <v>0</v>
      </c>
      <c r="AF251" s="62">
        <f t="shared" si="61"/>
        <v>0</v>
      </c>
    </row>
    <row r="252">
      <c r="A252" s="364" t="s">
        <v>817</v>
      </c>
      <c r="B252" s="66">
        <f>(B21+B22+B133+B134)*'Data - P&amp;L'!$C$9</f>
        <v>0</v>
      </c>
      <c r="C252" s="66">
        <f>(C21+C22+C133+C134)*'Data - P&amp;L'!$C$9</f>
        <v>0</v>
      </c>
      <c r="D252" s="66">
        <f>(D21+D22+D133+D134)*'Data - P&amp;L'!$C$9</f>
        <v>0</v>
      </c>
      <c r="E252" s="66">
        <f>(E21+E22+E133+E134)*'Data - P&amp;L'!$C$9</f>
        <v>0</v>
      </c>
      <c r="F252" s="66">
        <f>(F21+F22+F133+F134)*'Data - P&amp;L'!$C$9</f>
        <v>0</v>
      </c>
      <c r="G252" s="66">
        <f>(G21+G22+G133+G134)*'Data - P&amp;L'!$C$9</f>
        <v>0</v>
      </c>
      <c r="H252" s="66">
        <f>(H21+H22+H133+H134)*'Data - P&amp;L'!$C$9</f>
        <v>0</v>
      </c>
      <c r="I252" s="66">
        <f>(I21+I22+I133+I134)*'Data - P&amp;L'!$C$9</f>
        <v>0</v>
      </c>
      <c r="J252" s="66">
        <f>(J21+J22+J133+J134)*'Data - P&amp;L'!$C$9</f>
        <v>0</v>
      </c>
      <c r="K252" s="66">
        <f>(K21+K22+K133+K134)*'Data - P&amp;L'!$C$9</f>
        <v>0</v>
      </c>
      <c r="L252" s="66">
        <f>(L21+L22+L133+L134)*'Data - P&amp;L'!$C$9</f>
        <v>0</v>
      </c>
      <c r="M252" s="66">
        <f>(M21+M22+M133+M134)*'Data - P&amp;L'!$C$9</f>
        <v>0</v>
      </c>
      <c r="N252" s="66">
        <f>(N21+N22+N133+N134)*'Data - P&amp;L'!$C$9</f>
        <v>0</v>
      </c>
      <c r="O252" s="66">
        <f>(O21+O22+O133+O134)*'Data - P&amp;L'!$C$9</f>
        <v>0</v>
      </c>
      <c r="P252" s="66">
        <f>(P21+P22+P133+P134)*'Data - P&amp;L'!$C$9</f>
        <v>0</v>
      </c>
      <c r="Q252" s="66">
        <f>(Q21+Q22+Q133+Q134)*'Data - P&amp;L'!$C$9</f>
        <v>0</v>
      </c>
      <c r="R252" s="66">
        <f>(R21+R22+R133+R134)*'Data - P&amp;L'!$C$9</f>
        <v>0</v>
      </c>
      <c r="S252" s="66">
        <f>(S21+S22+S133+S134)*'Data - P&amp;L'!$C$9</f>
        <v>0</v>
      </c>
      <c r="T252" s="66">
        <f>(T21+T22+T133+T134)*'Data - P&amp;L'!$C$9</f>
        <v>0</v>
      </c>
      <c r="U252" s="66">
        <f>(U21+U22+U133+U134)*'Data - P&amp;L'!$C$9</f>
        <v>0</v>
      </c>
      <c r="V252" s="66">
        <f>(V21+V22+V133+V134)*'Data - P&amp;L'!$C$9</f>
        <v>0</v>
      </c>
      <c r="W252" s="66">
        <f>(W21+W22+W133+W134)*'Data - P&amp;L'!$C$9</f>
        <v>0</v>
      </c>
      <c r="X252" s="66">
        <f>(X21+X22+X133+X134)*'Data - P&amp;L'!$C$9</f>
        <v>0</v>
      </c>
      <c r="Y252" s="66">
        <f>(Y21+Y22+Y133+Y134)*'Data - P&amp;L'!$C$9</f>
        <v>0</v>
      </c>
      <c r="Z252" s="66">
        <f>(Z21+Z22+Z133+Z134)*'Data - P&amp;L'!$C$9</f>
        <v>0</v>
      </c>
      <c r="AA252" s="66">
        <f>(AA21+AA22+AA133+AA134)*'Data - P&amp;L'!$C$9</f>
        <v>0</v>
      </c>
      <c r="AB252" s="66">
        <f>(AB21+AB22+AB133+AB134)*'Data - P&amp;L'!$C$9</f>
        <v>0</v>
      </c>
      <c r="AC252" s="66">
        <f>(AC21+AC22+AC133+AC134)*'Data - P&amp;L'!$C$9</f>
        <v>0</v>
      </c>
      <c r="AD252" s="66">
        <f>(AD21+AD22+AD133+AD134)*'Data - P&amp;L'!$C$9</f>
        <v>0</v>
      </c>
      <c r="AE252" s="66">
        <f>(AE21+AE22+AE133+AE134)*'Data - P&amp;L'!$C$9</f>
        <v>0</v>
      </c>
      <c r="AF252" s="62">
        <f t="shared" si="61"/>
        <v>0</v>
      </c>
    </row>
    <row r="253">
      <c r="A253" s="364" t="s">
        <v>818</v>
      </c>
      <c r="B253" s="66">
        <f>(B23+B24+B135+B136)*'Data - P&amp;L'!$C$5</f>
        <v>0</v>
      </c>
      <c r="C253" s="66">
        <f>(C23+C24+C135+C136)*'Data - P&amp;L'!$C$5</f>
        <v>0</v>
      </c>
      <c r="D253" s="66">
        <f>(D23+D24+D135+D136)*'Data - P&amp;L'!$C$5</f>
        <v>0</v>
      </c>
      <c r="E253" s="66">
        <f>(E23+E24+E135+E136)*'Data - P&amp;L'!$C$5</f>
        <v>0</v>
      </c>
      <c r="F253" s="66">
        <f>(F23+F24+F135+F136)*'Data - P&amp;L'!$C$5</f>
        <v>0</v>
      </c>
      <c r="G253" s="66">
        <f>(G23+G24+G135+G136)*'Data - P&amp;L'!$C$5</f>
        <v>0</v>
      </c>
      <c r="H253" s="66">
        <f>(H23+H24+H135+H136)*'Data - P&amp;L'!$C$5</f>
        <v>0</v>
      </c>
      <c r="I253" s="66">
        <f>(I23+I24+I135+I136)*'Data - P&amp;L'!$C$5</f>
        <v>0</v>
      </c>
      <c r="J253" s="66">
        <f>(J23+J24+J135+J136)*'Data - P&amp;L'!$C$5</f>
        <v>0</v>
      </c>
      <c r="K253" s="66">
        <f>(K23+K24+K135+K136)*'Data - P&amp;L'!$C$5</f>
        <v>0</v>
      </c>
      <c r="L253" s="66">
        <f>(L23+L24+L135+L136)*'Data - P&amp;L'!$C$5</f>
        <v>0</v>
      </c>
      <c r="M253" s="66">
        <f>(M23+M24+M135+M136)*'Data - P&amp;L'!$C$5</f>
        <v>0</v>
      </c>
      <c r="N253" s="66">
        <f>(N23+N24+N135+N136)*'Data - P&amp;L'!$C$5</f>
        <v>0</v>
      </c>
      <c r="O253" s="66">
        <f>(O23+O24+O135+O136)*'Data - P&amp;L'!$C$5</f>
        <v>0</v>
      </c>
      <c r="P253" s="66">
        <f>(P23+P24+P135+P136)*'Data - P&amp;L'!$C$5</f>
        <v>0</v>
      </c>
      <c r="Q253" s="66">
        <f>(Q23+Q24+Q135+Q136)*'Data - P&amp;L'!$C$5</f>
        <v>0</v>
      </c>
      <c r="R253" s="66">
        <f>(R23+R24+R135+R136)*'Data - P&amp;L'!$C$5</f>
        <v>0</v>
      </c>
      <c r="S253" s="66">
        <f>(S23+S24+S135+S136)*'Data - P&amp;L'!$C$5</f>
        <v>0</v>
      </c>
      <c r="T253" s="66">
        <f>(T23+T24+T135+T136)*'Data - P&amp;L'!$C$5</f>
        <v>0</v>
      </c>
      <c r="U253" s="66">
        <f>(U23+U24+U135+U136)*'Data - P&amp;L'!$C$5</f>
        <v>0</v>
      </c>
      <c r="V253" s="66">
        <f>(V23+V24+V135+V136)*'Data - P&amp;L'!$C$5</f>
        <v>0</v>
      </c>
      <c r="W253" s="66">
        <f>(W23+W24+W135+W136)*'Data - P&amp;L'!$C$5</f>
        <v>0</v>
      </c>
      <c r="X253" s="66">
        <f>(X23+X24+X135+X136)*'Data - P&amp;L'!$C$5</f>
        <v>0</v>
      </c>
      <c r="Y253" s="66">
        <f>(Y23+Y24+Y135+Y136)*'Data - P&amp;L'!$C$5</f>
        <v>0</v>
      </c>
      <c r="Z253" s="66">
        <f>(Z23+Z24+Z135+Z136)*'Data - P&amp;L'!$C$5</f>
        <v>0</v>
      </c>
      <c r="AA253" s="66">
        <f>(AA23+AA24+AA135+AA136)*'Data - P&amp;L'!$C$5</f>
        <v>0</v>
      </c>
      <c r="AB253" s="66">
        <f>(AB23+AB24+AB135+AB136)*'Data - P&amp;L'!$C$5</f>
        <v>0</v>
      </c>
      <c r="AC253" s="66">
        <f>(AC23+AC24+AC135+AC136)*'Data - P&amp;L'!$C$5</f>
        <v>0</v>
      </c>
      <c r="AD253" s="66">
        <f>(AD23+AD24+AD135+AD136)*'Data - P&amp;L'!$C$5</f>
        <v>0</v>
      </c>
      <c r="AE253" s="66">
        <f>(AE23+AE24+AE135+AE136)*'Data - P&amp;L'!$C$5</f>
        <v>0</v>
      </c>
      <c r="AF253" s="62">
        <f t="shared" si="61"/>
        <v>0</v>
      </c>
    </row>
    <row r="254">
      <c r="A254" s="378" t="s">
        <v>819</v>
      </c>
      <c r="B254" s="329">
        <f>(B25+B26+B137+B138)*'Data - P&amp;L'!$C$10</f>
        <v>0</v>
      </c>
      <c r="C254" s="329">
        <f>(C25+C26+C137+C138)*'Data - P&amp;L'!$C$10</f>
        <v>0</v>
      </c>
      <c r="D254" s="329">
        <f>(D25+D26+D137+D138)*'Data - P&amp;L'!$C$10</f>
        <v>0</v>
      </c>
      <c r="E254" s="329">
        <f>(E25+E26+E137+E138)*'Data - P&amp;L'!$C$10</f>
        <v>0</v>
      </c>
      <c r="F254" s="329">
        <f>(F25+F26+F137+F138)*'Data - P&amp;L'!$C$10</f>
        <v>0</v>
      </c>
      <c r="G254" s="329">
        <f>(G25+G26+G137+G138)*'Data - P&amp;L'!$C$10</f>
        <v>0</v>
      </c>
      <c r="H254" s="329">
        <f>(H25+H26+H137+H138)*'Data - P&amp;L'!$C$10</f>
        <v>0</v>
      </c>
      <c r="I254" s="329">
        <f>(I25+I26+I137+I138)*'Data - P&amp;L'!$C$10</f>
        <v>0</v>
      </c>
      <c r="J254" s="329">
        <f>(J25+J26+J137+J138)*'Data - P&amp;L'!$C$10</f>
        <v>0</v>
      </c>
      <c r="K254" s="329">
        <f>(K25+K26+K137+K138)*'Data - P&amp;L'!$C$10</f>
        <v>0</v>
      </c>
      <c r="L254" s="329">
        <f>(L25+L26+L137+L138)*'Data - P&amp;L'!$C$10</f>
        <v>0</v>
      </c>
      <c r="M254" s="329">
        <f>(M25+M26+M137+M138)*'Data - P&amp;L'!$C$10</f>
        <v>0</v>
      </c>
      <c r="N254" s="329">
        <f>(N25+N26+N137+N138)*'Data - P&amp;L'!$C$10</f>
        <v>0</v>
      </c>
      <c r="O254" s="329">
        <f>(O25+O26+O137+O138)*'Data - P&amp;L'!$C$10</f>
        <v>0</v>
      </c>
      <c r="P254" s="329">
        <f>(P25+P26+P137+P138)*'Data - P&amp;L'!$C$10</f>
        <v>0</v>
      </c>
      <c r="Q254" s="329">
        <f>(Q25+Q26+Q137+Q138)*'Data - P&amp;L'!$C$10</f>
        <v>0</v>
      </c>
      <c r="R254" s="329">
        <f>(R25+R26+R137+R138)*'Data - P&amp;L'!$C$10</f>
        <v>0</v>
      </c>
      <c r="S254" s="329">
        <f>(S25+S26+S137+S138)*'Data - P&amp;L'!$C$10</f>
        <v>0</v>
      </c>
      <c r="T254" s="329">
        <f>(T25+T26+T137+T138)*'Data - P&amp;L'!$C$10</f>
        <v>0</v>
      </c>
      <c r="U254" s="329">
        <f>(U25+U26+U137+U138)*'Data - P&amp;L'!$C$10</f>
        <v>0</v>
      </c>
      <c r="V254" s="329">
        <f>(V25+V26+V137+V138)*'Data - P&amp;L'!$C$10</f>
        <v>0</v>
      </c>
      <c r="W254" s="329">
        <f>(W25+W26+W137+W138)*'Data - P&amp;L'!$C$10</f>
        <v>0</v>
      </c>
      <c r="X254" s="329">
        <f>(X25+X26+X137+X138)*'Data - P&amp;L'!$C$10</f>
        <v>0</v>
      </c>
      <c r="Y254" s="329">
        <f>(Y25+Y26+Y137+Y138)*'Data - P&amp;L'!$C$10</f>
        <v>0</v>
      </c>
      <c r="Z254" s="329">
        <f>(Z25+Z26+Z137+Z138)*'Data - P&amp;L'!$C$10</f>
        <v>0</v>
      </c>
      <c r="AA254" s="329">
        <f>(AA25+AA26+AA137+AA138)*'Data - P&amp;L'!$C$10</f>
        <v>0</v>
      </c>
      <c r="AB254" s="329">
        <f>(AB25+AB26+AB137+AB138)*'Data - P&amp;L'!$C$10</f>
        <v>0</v>
      </c>
      <c r="AC254" s="329">
        <f>(AC25+AC26+AC137+AC138)*'Data - P&amp;L'!$C$10</f>
        <v>0</v>
      </c>
      <c r="AD254" s="329">
        <f>(AD25+AD26+AD137+AD138)*'Data - P&amp;L'!$C$10</f>
        <v>0</v>
      </c>
      <c r="AE254" s="329">
        <f>(AE25+AE26+AE137+AE138)*'Data - P&amp;L'!$C$10</f>
        <v>0</v>
      </c>
      <c r="AF254" s="571">
        <f t="shared" si="61"/>
        <v>0</v>
      </c>
    </row>
    <row r="255">
      <c r="A255" s="364" t="s">
        <v>820</v>
      </c>
      <c r="B255" s="66">
        <f>(B17*'Data - P&amp;L'!$C$38)+(B129*'Data - P&amp;L'!$C$39)</f>
        <v>11.94</v>
      </c>
      <c r="C255" s="66">
        <f>(C17*'Data - P&amp;L'!$C$38)+(C129*'Data - P&amp;L'!$C$39)</f>
        <v>0</v>
      </c>
      <c r="D255" s="66">
        <f>(D17*'Data - P&amp;L'!$C$38)+(D129*'Data - P&amp;L'!$C$39)</f>
        <v>0</v>
      </c>
      <c r="E255" s="66">
        <f>(E17*'Data - P&amp;L'!$C$38)+(E129*'Data - P&amp;L'!$C$39)</f>
        <v>847.74</v>
      </c>
      <c r="F255" s="66">
        <f>(F17*'Data - P&amp;L'!$C$38)+(F129*'Data - P&amp;L'!$C$39)</f>
        <v>429.84</v>
      </c>
      <c r="G255" s="66">
        <f>(G17*'Data - P&amp;L'!$C$38)+(G129*'Data - P&amp;L'!$C$39)</f>
        <v>1791</v>
      </c>
      <c r="H255" s="66">
        <f>(H17*'Data - P&amp;L'!$C$38)+(H129*'Data - P&amp;L'!$C$39)</f>
        <v>250.74</v>
      </c>
      <c r="I255" s="66">
        <f>(I17*'Data - P&amp;L'!$C$38)+(I129*'Data - P&amp;L'!$C$39)</f>
        <v>11.94</v>
      </c>
      <c r="J255" s="66">
        <f>(J17*'Data - P&amp;L'!$C$38)+(J129*'Data - P&amp;L'!$C$39)</f>
        <v>131.34</v>
      </c>
      <c r="K255" s="66">
        <f>(K17*'Data - P&amp;L'!$C$38)+(K129*'Data - P&amp;L'!$C$39)</f>
        <v>35.82</v>
      </c>
      <c r="L255" s="66">
        <f>(L17*'Data - P&amp;L'!$C$38)+(L129*'Data - P&amp;L'!$C$39)</f>
        <v>35.82</v>
      </c>
      <c r="M255" s="66">
        <f>(M17*'Data - P&amp;L'!$C$38)+(M129*'Data - P&amp;L'!$C$39)</f>
        <v>47.76</v>
      </c>
      <c r="N255" s="66">
        <f>(N17*'Data - P&amp;L'!$C$38)+(N129*'Data - P&amp;L'!$C$39)</f>
        <v>47.76</v>
      </c>
      <c r="O255" s="66">
        <f>(O17*'Data - P&amp;L'!$C$38)+(O129*'Data - P&amp;L'!$C$39)</f>
        <v>11.94</v>
      </c>
      <c r="P255" s="66">
        <f>(P17*'Data - P&amp;L'!$C$38)+(P129*'Data - P&amp;L'!$C$39)</f>
        <v>83.58</v>
      </c>
      <c r="Q255" s="66">
        <f>(Q17*'Data - P&amp;L'!$C$38)+(Q129*'Data - P&amp;L'!$C$39)</f>
        <v>417.9</v>
      </c>
      <c r="R255" s="66">
        <f>(R17*'Data - P&amp;L'!$C$38)+(R129*'Data - P&amp;L'!$C$39)</f>
        <v>71.64</v>
      </c>
      <c r="S255" s="66">
        <f>(S17*'Data - P&amp;L'!$C$38)+(S129*'Data - P&amp;L'!$C$39)</f>
        <v>83.58</v>
      </c>
      <c r="T255" s="66">
        <f>(T17*'Data - P&amp;L'!$C$38)+(T129*'Data - P&amp;L'!$C$39)</f>
        <v>83.58</v>
      </c>
      <c r="U255" s="66">
        <f>(U17*'Data - P&amp;L'!$C$38)+(U129*'Data - P&amp;L'!$C$39)</f>
        <v>95.52</v>
      </c>
      <c r="V255" s="66">
        <f>(V17*'Data - P&amp;L'!$C$38)+(V129*'Data - P&amp;L'!$C$39)</f>
        <v>95.52</v>
      </c>
      <c r="W255" s="66">
        <f>(W17*'Data - P&amp;L'!$C$38)+(W129*'Data - P&amp;L'!$C$39)</f>
        <v>95.52</v>
      </c>
      <c r="X255" s="66">
        <f>(X17*'Data - P&amp;L'!$C$38)+(X129*'Data - P&amp;L'!$C$39)</f>
        <v>202.98</v>
      </c>
      <c r="Y255" s="66">
        <f>(Y17*'Data - P&amp;L'!$C$38)+(Y129*'Data - P&amp;L'!$C$39)</f>
        <v>226.86</v>
      </c>
      <c r="Z255" s="66">
        <f>(Z17*'Data - P&amp;L'!$C$38)+(Z129*'Data - P&amp;L'!$C$39)</f>
        <v>35.82</v>
      </c>
      <c r="AA255" s="66">
        <f>(AA17*'Data - P&amp;L'!$C$38)+(AA129*'Data - P&amp;L'!$C$39)</f>
        <v>632.82</v>
      </c>
      <c r="AB255" s="66">
        <f>(AB17*'Data - P&amp;L'!$C$38)+(AB129*'Data - P&amp;L'!$C$39)</f>
        <v>1038.78</v>
      </c>
      <c r="AC255" s="66">
        <f>(AC17*'Data - P&amp;L'!$C$38)+(AC129*'Data - P&amp;L'!$C$39)</f>
        <v>394.02</v>
      </c>
      <c r="AD255" s="66">
        <f>(AD17*'Data - P&amp;L'!$C$38)+(AD129*'Data - P&amp;L'!$C$39)</f>
        <v>47.76</v>
      </c>
      <c r="AE255" s="66">
        <f>(AE17*'Data - P&amp;L'!$C$38)+(AE129*'Data - P&amp;L'!$C$39)</f>
        <v>35.82</v>
      </c>
      <c r="AF255" s="62">
        <f t="shared" si="61"/>
        <v>7295.34</v>
      </c>
    </row>
    <row r="256">
      <c r="A256" s="364" t="s">
        <v>822</v>
      </c>
      <c r="B256" s="66">
        <f>(B17*'Data - P&amp;L'!$C$34)+(B129*'Data - P&amp;L'!$C$35)</f>
        <v>18.66</v>
      </c>
      <c r="C256" s="66">
        <f>(C17*'Data - P&amp;L'!$C$34)+(C129*'Data - P&amp;L'!$C$35)</f>
        <v>0</v>
      </c>
      <c r="D256" s="66">
        <f>(D17*'Data - P&amp;L'!$C$34)+(D129*'Data - P&amp;L'!$C$35)</f>
        <v>0</v>
      </c>
      <c r="E256" s="66">
        <f>(E17*'Data - P&amp;L'!$C$34)+(E129*'Data - P&amp;L'!$C$35)</f>
        <v>1324.86</v>
      </c>
      <c r="F256" s="66">
        <f>(F17*'Data - P&amp;L'!$C$34)+(F129*'Data - P&amp;L'!$C$35)</f>
        <v>671.76</v>
      </c>
      <c r="G256" s="66">
        <f>(G17*'Data - P&amp;L'!$C$34)+(G129*'Data - P&amp;L'!$C$35)</f>
        <v>2799</v>
      </c>
      <c r="H256" s="66">
        <f>(H17*'Data - P&amp;L'!$C$34)+(H129*'Data - P&amp;L'!$C$35)</f>
        <v>391.86</v>
      </c>
      <c r="I256" s="66">
        <f>(I17*'Data - P&amp;L'!$C$34)+(I129*'Data - P&amp;L'!$C$35)</f>
        <v>18.66</v>
      </c>
      <c r="J256" s="66">
        <f>(J17*'Data - P&amp;L'!$C$34)+(J129*'Data - P&amp;L'!$C$35)</f>
        <v>205.26</v>
      </c>
      <c r="K256" s="66">
        <f>(K17*'Data - P&amp;L'!$C$34)+(K129*'Data - P&amp;L'!$C$35)</f>
        <v>55.98</v>
      </c>
      <c r="L256" s="66">
        <f>(L17*'Data - P&amp;L'!$C$34)+(L129*'Data - P&amp;L'!$C$35)</f>
        <v>55.98</v>
      </c>
      <c r="M256" s="66">
        <f>(M17*'Data - P&amp;L'!$C$34)+(M129*'Data - P&amp;L'!$C$35)</f>
        <v>74.64</v>
      </c>
      <c r="N256" s="66">
        <f>(N17*'Data - P&amp;L'!$C$34)+(N129*'Data - P&amp;L'!$C$35)</f>
        <v>74.64</v>
      </c>
      <c r="O256" s="66">
        <f>(O17*'Data - P&amp;L'!$C$34)+(O129*'Data - P&amp;L'!$C$35)</f>
        <v>18.66</v>
      </c>
      <c r="P256" s="66">
        <f>(P17*'Data - P&amp;L'!$C$34)+(P129*'Data - P&amp;L'!$C$35)</f>
        <v>130.62</v>
      </c>
      <c r="Q256" s="66">
        <f>(Q17*'Data - P&amp;L'!$C$34)+(Q129*'Data - P&amp;L'!$C$35)</f>
        <v>653.1</v>
      </c>
      <c r="R256" s="66">
        <f>(R17*'Data - P&amp;L'!$C$34)+(R129*'Data - P&amp;L'!$C$35)</f>
        <v>111.96</v>
      </c>
      <c r="S256" s="66">
        <f>(S17*'Data - P&amp;L'!$C$34)+(S129*'Data - P&amp;L'!$C$35)</f>
        <v>130.62</v>
      </c>
      <c r="T256" s="66">
        <f>(T17*'Data - P&amp;L'!$C$34)+(T129*'Data - P&amp;L'!$C$35)</f>
        <v>130.62</v>
      </c>
      <c r="U256" s="66">
        <f>(U17*'Data - P&amp;L'!$C$34)+(U129*'Data - P&amp;L'!$C$35)</f>
        <v>149.28</v>
      </c>
      <c r="V256" s="66">
        <f>(V17*'Data - P&amp;L'!$C$34)+(V129*'Data - P&amp;L'!$C$35)</f>
        <v>149.28</v>
      </c>
      <c r="W256" s="66">
        <f>(W17*'Data - P&amp;L'!$C$34)+(W129*'Data - P&amp;L'!$C$35)</f>
        <v>149.28</v>
      </c>
      <c r="X256" s="66">
        <f>(X17*'Data - P&amp;L'!$C$34)+(X129*'Data - P&amp;L'!$C$35)</f>
        <v>317.22</v>
      </c>
      <c r="Y256" s="66">
        <f>(Y17*'Data - P&amp;L'!$C$34)+(Y129*'Data - P&amp;L'!$C$35)</f>
        <v>354.54</v>
      </c>
      <c r="Z256" s="66">
        <f>(Z17*'Data - P&amp;L'!$C$34)+(Z129*'Data - P&amp;L'!$C$35)</f>
        <v>55.98</v>
      </c>
      <c r="AA256" s="66">
        <f>(AA17*'Data - P&amp;L'!$C$34)+(AA129*'Data - P&amp;L'!$C$35)</f>
        <v>988.98</v>
      </c>
      <c r="AB256" s="66">
        <f>(AB17*'Data - P&amp;L'!$C$34)+(AB129*'Data - P&amp;L'!$C$35)</f>
        <v>1623.42</v>
      </c>
      <c r="AC256" s="66">
        <f>(AC17*'Data - P&amp;L'!$C$34)+(AC129*'Data - P&amp;L'!$C$35)</f>
        <v>615.78</v>
      </c>
      <c r="AD256" s="66">
        <f>(AD17*'Data - P&amp;L'!$C$34)+(AD129*'Data - P&amp;L'!$C$35)</f>
        <v>74.64</v>
      </c>
      <c r="AE256" s="66">
        <f>(AE17*'Data - P&amp;L'!$C$34)+(AE129*'Data - P&amp;L'!$C$35)</f>
        <v>55.98</v>
      </c>
      <c r="AF256" s="62">
        <f t="shared" si="61"/>
        <v>11401.26</v>
      </c>
    </row>
    <row r="257">
      <c r="A257" s="364" t="s">
        <v>824</v>
      </c>
      <c r="B257" s="66">
        <f>(B27*'Data - P&amp;L'!$D$38)+(B139*'Data - P&amp;L'!$D$39)</f>
        <v>0</v>
      </c>
      <c r="C257" s="66">
        <f>(C27*'Data - P&amp;L'!$D$38)+(C139*'Data - P&amp;L'!$D$39)</f>
        <v>0</v>
      </c>
      <c r="D257" s="66">
        <f>(D27*'Data - P&amp;L'!$D$38)+(D139*'Data - P&amp;L'!$D$39)</f>
        <v>0</v>
      </c>
      <c r="E257" s="66">
        <f>(E27*'Data - P&amp;L'!$D$38)+(E139*'Data - P&amp;L'!$D$39)</f>
        <v>0</v>
      </c>
      <c r="F257" s="66">
        <f>(F27*'Data - P&amp;L'!$D$38)+(F139*'Data - P&amp;L'!$D$39)</f>
        <v>0</v>
      </c>
      <c r="G257" s="66">
        <f>(G27*'Data - P&amp;L'!$D$38)+(G139*'Data - P&amp;L'!$D$39)</f>
        <v>0</v>
      </c>
      <c r="H257" s="66">
        <f>(H27*'Data - P&amp;L'!$D$38)+(H139*'Data - P&amp;L'!$D$39)</f>
        <v>0</v>
      </c>
      <c r="I257" s="66">
        <f>(I27*'Data - P&amp;L'!$D$38)+(I139*'Data - P&amp;L'!$D$39)</f>
        <v>0</v>
      </c>
      <c r="J257" s="66">
        <f>(J27*'Data - P&amp;L'!$D$38)+(J139*'Data - P&amp;L'!$D$39)</f>
        <v>0</v>
      </c>
      <c r="K257" s="66">
        <f>(K27*'Data - P&amp;L'!$D$38)+(K139*'Data - P&amp;L'!$D$39)</f>
        <v>0</v>
      </c>
      <c r="L257" s="66">
        <f>(L27*'Data - P&amp;L'!$D$38)+(L139*'Data - P&amp;L'!$D$39)</f>
        <v>0</v>
      </c>
      <c r="M257" s="66">
        <f>(M27*'Data - P&amp;L'!$D$38)+(M139*'Data - P&amp;L'!$D$39)</f>
        <v>0</v>
      </c>
      <c r="N257" s="66">
        <f>(N27*'Data - P&amp;L'!$D$38)+(N139*'Data - P&amp;L'!$D$39)</f>
        <v>0</v>
      </c>
      <c r="O257" s="66">
        <f>(O27*'Data - P&amp;L'!$D$38)+(O139*'Data - P&amp;L'!$D$39)</f>
        <v>0</v>
      </c>
      <c r="P257" s="66">
        <f>(P27*'Data - P&amp;L'!$D$38)+(P139*'Data - P&amp;L'!$D$39)</f>
        <v>0</v>
      </c>
      <c r="Q257" s="66">
        <f>(Q27*'Data - P&amp;L'!$D$38)+(Q139*'Data - P&amp;L'!$D$39)</f>
        <v>0</v>
      </c>
      <c r="R257" s="66">
        <f>(R27*'Data - P&amp;L'!$D$38)+(R139*'Data - P&amp;L'!$D$39)</f>
        <v>0</v>
      </c>
      <c r="S257" s="66">
        <f>(S27*'Data - P&amp;L'!$D$38)+(S139*'Data - P&amp;L'!$D$39)</f>
        <v>0</v>
      </c>
      <c r="T257" s="66">
        <f>(T27*'Data - P&amp;L'!$D$38)+(T139*'Data - P&amp;L'!$D$39)</f>
        <v>0</v>
      </c>
      <c r="U257" s="66">
        <f>(U27*'Data - P&amp;L'!$D$38)+(U139*'Data - P&amp;L'!$D$39)</f>
        <v>0</v>
      </c>
      <c r="V257" s="66">
        <f>(V27*'Data - P&amp;L'!$D$38)+(V139*'Data - P&amp;L'!$D$39)</f>
        <v>0</v>
      </c>
      <c r="W257" s="66">
        <f>(W27*'Data - P&amp;L'!$D$38)+(W139*'Data - P&amp;L'!$D$39)</f>
        <v>0</v>
      </c>
      <c r="X257" s="66">
        <f>(X27*'Data - P&amp;L'!$D$38)+(X139*'Data - P&amp;L'!$D$39)</f>
        <v>0</v>
      </c>
      <c r="Y257" s="66">
        <f>(Y27*'Data - P&amp;L'!$D$38)+(Y139*'Data - P&amp;L'!$D$39)</f>
        <v>0</v>
      </c>
      <c r="Z257" s="66">
        <f>(Z27*'Data - P&amp;L'!$D$38)+(Z139*'Data - P&amp;L'!$D$39)</f>
        <v>0</v>
      </c>
      <c r="AA257" s="66">
        <f>(AA27*'Data - P&amp;L'!$D$38)+(AA139*'Data - P&amp;L'!$D$39)</f>
        <v>0</v>
      </c>
      <c r="AB257" s="66">
        <f>(AB27*'Data - P&amp;L'!$D$38)+(AB139*'Data - P&amp;L'!$D$39)</f>
        <v>0</v>
      </c>
      <c r="AC257" s="66">
        <f>(AC27*'Data - P&amp;L'!$D$38)+(AC139*'Data - P&amp;L'!$D$39)</f>
        <v>0</v>
      </c>
      <c r="AD257" s="66">
        <f>(AD27*'Data - P&amp;L'!$D$38)+(AD139*'Data - P&amp;L'!$D$39)</f>
        <v>0</v>
      </c>
      <c r="AE257" s="66">
        <f>(AE27*'Data - P&amp;L'!$D$38)+(AE139*'Data - P&amp;L'!$D$39)</f>
        <v>0</v>
      </c>
      <c r="AF257" s="62">
        <f t="shared" si="61"/>
        <v>0</v>
      </c>
    </row>
    <row r="258">
      <c r="A258" s="378" t="s">
        <v>825</v>
      </c>
      <c r="B258" s="329">
        <f>(B27*'Data - P&amp;L'!$D$34)+(B139*'Data - P&amp;L'!$D$35)</f>
        <v>0</v>
      </c>
      <c r="C258" s="329">
        <f>(C27*'Data - P&amp;L'!$D$34)+(C139*'Data - P&amp;L'!$D$35)</f>
        <v>0</v>
      </c>
      <c r="D258" s="329">
        <f>(D27*'Data - P&amp;L'!$D$34)+(D139*'Data - P&amp;L'!$D$35)</f>
        <v>0</v>
      </c>
      <c r="E258" s="329">
        <f>(E27*'Data - P&amp;L'!$D$34)+(E139*'Data - P&amp;L'!$D$35)</f>
        <v>0</v>
      </c>
      <c r="F258" s="329">
        <f>(F27*'Data - P&amp;L'!$D$34)+(F139*'Data - P&amp;L'!$D$35)</f>
        <v>0</v>
      </c>
      <c r="G258" s="329">
        <f>(G27*'Data - P&amp;L'!$D$34)+(G139*'Data - P&amp;L'!$D$35)</f>
        <v>0</v>
      </c>
      <c r="H258" s="329">
        <f>(H27*'Data - P&amp;L'!$D$34)+(H139*'Data - P&amp;L'!$D$35)</f>
        <v>0</v>
      </c>
      <c r="I258" s="329">
        <f>(I27*'Data - P&amp;L'!$D$34)+(I139*'Data - P&amp;L'!$D$35)</f>
        <v>0</v>
      </c>
      <c r="J258" s="329">
        <f>(J27*'Data - P&amp;L'!$D$34)+(J139*'Data - P&amp;L'!$D$35)</f>
        <v>0</v>
      </c>
      <c r="K258" s="329">
        <f>(K27*'Data - P&amp;L'!$D$34)+(K139*'Data - P&amp;L'!$D$35)</f>
        <v>0</v>
      </c>
      <c r="L258" s="329">
        <f>(L27*'Data - P&amp;L'!$D$34)+(L139*'Data - P&amp;L'!$D$35)</f>
        <v>0</v>
      </c>
      <c r="M258" s="329">
        <f>(M27*'Data - P&amp;L'!$D$34)+(M139*'Data - P&amp;L'!$D$35)</f>
        <v>0</v>
      </c>
      <c r="N258" s="329">
        <f>(N27*'Data - P&amp;L'!$D$34)+(N139*'Data - P&amp;L'!$D$35)</f>
        <v>0</v>
      </c>
      <c r="O258" s="329">
        <f>(O27*'Data - P&amp;L'!$D$34)+(O139*'Data - P&amp;L'!$D$35)</f>
        <v>0</v>
      </c>
      <c r="P258" s="329">
        <f>(P27*'Data - P&amp;L'!$D$34)+(P139*'Data - P&amp;L'!$D$35)</f>
        <v>0</v>
      </c>
      <c r="Q258" s="329">
        <f>(Q27*'Data - P&amp;L'!$D$34)+(Q139*'Data - P&amp;L'!$D$35)</f>
        <v>0</v>
      </c>
      <c r="R258" s="329">
        <f>(R27*'Data - P&amp;L'!$D$34)+(R139*'Data - P&amp;L'!$D$35)</f>
        <v>0</v>
      </c>
      <c r="S258" s="329">
        <f>(S27*'Data - P&amp;L'!$D$34)+(S139*'Data - P&amp;L'!$D$35)</f>
        <v>0</v>
      </c>
      <c r="T258" s="329">
        <f>(T27*'Data - P&amp;L'!$D$34)+(T139*'Data - P&amp;L'!$D$35)</f>
        <v>0</v>
      </c>
      <c r="U258" s="329">
        <f>(U27*'Data - P&amp;L'!$D$34)+(U139*'Data - P&amp;L'!$D$35)</f>
        <v>0</v>
      </c>
      <c r="V258" s="329">
        <f>(V27*'Data - P&amp;L'!$D$34)+(V139*'Data - P&amp;L'!$D$35)</f>
        <v>0</v>
      </c>
      <c r="W258" s="329">
        <f>(W27*'Data - P&amp;L'!$D$34)+(W139*'Data - P&amp;L'!$D$35)</f>
        <v>0</v>
      </c>
      <c r="X258" s="329">
        <f>(X27*'Data - P&amp;L'!$D$34)+(X139*'Data - P&amp;L'!$D$35)</f>
        <v>0</v>
      </c>
      <c r="Y258" s="329">
        <f>(Y27*'Data - P&amp;L'!$D$34)+(Y139*'Data - P&amp;L'!$D$35)</f>
        <v>0</v>
      </c>
      <c r="Z258" s="329">
        <f>(Z27*'Data - P&amp;L'!$D$34)+(Z139*'Data - P&amp;L'!$D$35)</f>
        <v>0</v>
      </c>
      <c r="AA258" s="329">
        <f>(AA27*'Data - P&amp;L'!$D$34)+(AA139*'Data - P&amp;L'!$D$35)</f>
        <v>0</v>
      </c>
      <c r="AB258" s="329">
        <f>(AB27*'Data - P&amp;L'!$D$34)+(AB139*'Data - P&amp;L'!$D$35)</f>
        <v>0</v>
      </c>
      <c r="AC258" s="329">
        <f>(AC27*'Data - P&amp;L'!$D$34)+(AC139*'Data - P&amp;L'!$D$35)</f>
        <v>0</v>
      </c>
      <c r="AD258" s="329">
        <f>(AD27*'Data - P&amp;L'!$D$34)+(AD139*'Data - P&amp;L'!$D$35)</f>
        <v>0</v>
      </c>
      <c r="AE258" s="329">
        <f>(AE27*'Data - P&amp;L'!$D$34)+(AE139*'Data - P&amp;L'!$D$35)</f>
        <v>0</v>
      </c>
      <c r="AF258" s="571">
        <f t="shared" si="61"/>
        <v>0</v>
      </c>
    </row>
    <row r="259">
      <c r="A259" s="364" t="s">
        <v>827</v>
      </c>
      <c r="B259" s="66">
        <f t="shared" ref="B259:AE259" si="62">B6</f>
        <v>12.2186</v>
      </c>
      <c r="C259" s="66">
        <f t="shared" si="62"/>
        <v>0</v>
      </c>
      <c r="D259" s="66">
        <f t="shared" si="62"/>
        <v>0</v>
      </c>
      <c r="E259" s="66">
        <f t="shared" si="62"/>
        <v>1256.20102</v>
      </c>
      <c r="F259" s="66">
        <f t="shared" si="62"/>
        <v>626.25851</v>
      </c>
      <c r="G259" s="66">
        <f t="shared" si="62"/>
        <v>2722.3839</v>
      </c>
      <c r="H259" s="66">
        <f t="shared" si="62"/>
        <v>379.439106</v>
      </c>
      <c r="I259" s="66">
        <f t="shared" si="62"/>
        <v>14.735386</v>
      </c>
      <c r="J259" s="66">
        <f t="shared" si="62"/>
        <v>162.090474</v>
      </c>
      <c r="K259" s="66">
        <f t="shared" si="62"/>
        <v>55.258158</v>
      </c>
      <c r="L259" s="66">
        <f t="shared" si="62"/>
        <v>55.258158</v>
      </c>
      <c r="M259" s="66">
        <f t="shared" si="62"/>
        <v>73.677544</v>
      </c>
      <c r="N259" s="66">
        <f t="shared" si="62"/>
        <v>73.677544</v>
      </c>
      <c r="O259" s="66">
        <f t="shared" si="62"/>
        <v>18.419386</v>
      </c>
      <c r="P259" s="66">
        <f t="shared" si="62"/>
        <v>121.567702</v>
      </c>
      <c r="Q259" s="66">
        <f t="shared" si="62"/>
        <v>640.99451</v>
      </c>
      <c r="R259" s="66">
        <f t="shared" si="62"/>
        <v>106.832316</v>
      </c>
      <c r="S259" s="66">
        <f t="shared" si="62"/>
        <v>128.935702</v>
      </c>
      <c r="T259" s="66">
        <f t="shared" si="62"/>
        <v>128.935702</v>
      </c>
      <c r="U259" s="66">
        <f t="shared" si="62"/>
        <v>143.671088</v>
      </c>
      <c r="V259" s="66">
        <f t="shared" si="62"/>
        <v>147.355088</v>
      </c>
      <c r="W259" s="66">
        <f t="shared" si="62"/>
        <v>147.355088</v>
      </c>
      <c r="X259" s="66">
        <f t="shared" si="62"/>
        <v>268.92279</v>
      </c>
      <c r="Y259" s="66">
        <f t="shared" si="62"/>
        <v>320.496948</v>
      </c>
      <c r="Z259" s="66">
        <f t="shared" si="62"/>
        <v>51.574158</v>
      </c>
      <c r="AA259" s="66">
        <f t="shared" si="62"/>
        <v>932.020072</v>
      </c>
      <c r="AB259" s="66">
        <f t="shared" si="62"/>
        <v>1576.698582</v>
      </c>
      <c r="AC259" s="66">
        <f t="shared" si="62"/>
        <v>600.471738</v>
      </c>
      <c r="AD259" s="66">
        <f t="shared" si="62"/>
        <v>69.993544</v>
      </c>
      <c r="AE259" s="66">
        <f t="shared" si="62"/>
        <v>51.574158</v>
      </c>
      <c r="AF259" s="62">
        <f t="shared" si="61"/>
        <v>10887.01697</v>
      </c>
    </row>
    <row r="260">
      <c r="A260" s="378" t="s">
        <v>828</v>
      </c>
      <c r="B260" s="329" t="str">
        <f t="shared" ref="B260:AE260" si="63">B118</f>
        <v/>
      </c>
      <c r="C260" s="329" t="str">
        <f t="shared" si="63"/>
        <v/>
      </c>
      <c r="D260" s="329" t="str">
        <f t="shared" si="63"/>
        <v/>
      </c>
      <c r="E260" s="329" t="str">
        <f t="shared" si="63"/>
        <v/>
      </c>
      <c r="F260" s="329" t="str">
        <f t="shared" si="63"/>
        <v/>
      </c>
      <c r="G260" s="329" t="str">
        <f t="shared" si="63"/>
        <v/>
      </c>
      <c r="H260" s="329" t="str">
        <f t="shared" si="63"/>
        <v/>
      </c>
      <c r="I260" s="329" t="str">
        <f t="shared" si="63"/>
        <v/>
      </c>
      <c r="J260" s="329" t="str">
        <f t="shared" si="63"/>
        <v/>
      </c>
      <c r="K260" s="329" t="str">
        <f t="shared" si="63"/>
        <v/>
      </c>
      <c r="L260" s="329" t="str">
        <f t="shared" si="63"/>
        <v/>
      </c>
      <c r="M260" s="329" t="str">
        <f t="shared" si="63"/>
        <v/>
      </c>
      <c r="N260" s="329" t="str">
        <f t="shared" si="63"/>
        <v/>
      </c>
      <c r="O260" s="329" t="str">
        <f t="shared" si="63"/>
        <v/>
      </c>
      <c r="P260" s="329" t="str">
        <f t="shared" si="63"/>
        <v/>
      </c>
      <c r="Q260" s="329" t="str">
        <f t="shared" si="63"/>
        <v/>
      </c>
      <c r="R260" s="329" t="str">
        <f t="shared" si="63"/>
        <v/>
      </c>
      <c r="S260" s="329" t="str">
        <f t="shared" si="63"/>
        <v/>
      </c>
      <c r="T260" s="329" t="str">
        <f t="shared" si="63"/>
        <v/>
      </c>
      <c r="U260" s="329" t="str">
        <f t="shared" si="63"/>
        <v/>
      </c>
      <c r="V260" s="329" t="str">
        <f t="shared" si="63"/>
        <v/>
      </c>
      <c r="W260" s="329" t="str">
        <f t="shared" si="63"/>
        <v/>
      </c>
      <c r="X260" s="329" t="str">
        <f t="shared" si="63"/>
        <v/>
      </c>
      <c r="Y260" s="329" t="str">
        <f t="shared" si="63"/>
        <v/>
      </c>
      <c r="Z260" s="329" t="str">
        <f t="shared" si="63"/>
        <v/>
      </c>
      <c r="AA260" s="329" t="str">
        <f t="shared" si="63"/>
        <v/>
      </c>
      <c r="AB260" s="329" t="str">
        <f t="shared" si="63"/>
        <v/>
      </c>
      <c r="AC260" s="329" t="str">
        <f t="shared" si="63"/>
        <v/>
      </c>
      <c r="AD260" s="329" t="str">
        <f t="shared" si="63"/>
        <v/>
      </c>
      <c r="AE260" s="329" t="str">
        <f t="shared" si="63"/>
        <v/>
      </c>
      <c r="AF260" s="571"/>
    </row>
    <row r="261">
      <c r="A261" s="4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282"/>
    </row>
    <row r="262">
      <c r="A262" s="204" t="s">
        <v>559</v>
      </c>
      <c r="B262" s="445">
        <f t="shared" ref="B262:AE262" si="64">SUM(B246:B260)</f>
        <v>171.96232</v>
      </c>
      <c r="C262" s="445">
        <f t="shared" si="64"/>
        <v>0</v>
      </c>
      <c r="D262" s="445">
        <f t="shared" si="64"/>
        <v>0</v>
      </c>
      <c r="E262" s="445">
        <f t="shared" si="64"/>
        <v>14595.11122</v>
      </c>
      <c r="F262" s="445">
        <f t="shared" si="64"/>
        <v>7353.450212</v>
      </c>
      <c r="G262" s="445">
        <f t="shared" si="64"/>
        <v>31248.25068</v>
      </c>
      <c r="H262" s="445">
        <f t="shared" si="64"/>
        <v>4362.274927</v>
      </c>
      <c r="I262" s="445">
        <f t="shared" si="64"/>
        <v>183.1804632</v>
      </c>
      <c r="J262" s="445">
        <f t="shared" si="64"/>
        <v>2122.090569</v>
      </c>
      <c r="K262" s="445">
        <f t="shared" si="64"/>
        <v>630.9337896</v>
      </c>
      <c r="L262" s="445">
        <f t="shared" si="64"/>
        <v>630.9337896</v>
      </c>
      <c r="M262" s="445">
        <f t="shared" si="64"/>
        <v>841.2450528</v>
      </c>
      <c r="N262" s="445">
        <f t="shared" si="64"/>
        <v>841.2450528</v>
      </c>
      <c r="O262" s="445">
        <f t="shared" si="64"/>
        <v>210.3112632</v>
      </c>
      <c r="P262" s="445">
        <f t="shared" si="64"/>
        <v>1417.917242</v>
      </c>
      <c r="Q262" s="445">
        <f t="shared" si="64"/>
        <v>7333.763412</v>
      </c>
      <c r="R262" s="445">
        <f t="shared" si="64"/>
        <v>1234.736779</v>
      </c>
      <c r="S262" s="445">
        <f t="shared" si="64"/>
        <v>1472.178842</v>
      </c>
      <c r="T262" s="445">
        <f t="shared" si="64"/>
        <v>1472.178842</v>
      </c>
      <c r="U262" s="445">
        <f t="shared" si="64"/>
        <v>1655.359306</v>
      </c>
      <c r="V262" s="445">
        <f t="shared" si="64"/>
        <v>1682.490106</v>
      </c>
      <c r="W262" s="445">
        <f t="shared" si="64"/>
        <v>1682.490106</v>
      </c>
      <c r="X262" s="445">
        <f t="shared" si="64"/>
        <v>3356.827348</v>
      </c>
      <c r="Y262" s="445">
        <f t="shared" si="64"/>
        <v>3832.420338</v>
      </c>
      <c r="Z262" s="445">
        <f t="shared" si="64"/>
        <v>603.8029896</v>
      </c>
      <c r="AA262" s="445">
        <f t="shared" si="64"/>
        <v>10874.48009</v>
      </c>
      <c r="AB262" s="445">
        <f t="shared" si="64"/>
        <v>18107.1643</v>
      </c>
      <c r="AC262" s="445">
        <f t="shared" si="64"/>
        <v>6886.010086</v>
      </c>
      <c r="AD262" s="445">
        <f t="shared" si="64"/>
        <v>814.1142528</v>
      </c>
      <c r="AE262" s="445">
        <f t="shared" si="64"/>
        <v>603.8029896</v>
      </c>
      <c r="AF262" s="62">
        <f>SUM(B262:AE262)</f>
        <v>126220.7264</v>
      </c>
    </row>
    <row r="263">
      <c r="A263" s="437"/>
      <c r="B263" s="572"/>
      <c r="C263" s="572"/>
      <c r="D263" s="572"/>
      <c r="E263" s="572"/>
      <c r="F263" s="572"/>
      <c r="G263" s="572"/>
      <c r="H263" s="572"/>
      <c r="I263" s="572"/>
      <c r="J263" s="572"/>
      <c r="K263" s="572"/>
      <c r="L263" s="572"/>
      <c r="M263" s="572"/>
      <c r="N263" s="572"/>
      <c r="O263" s="572"/>
      <c r="P263" s="572"/>
      <c r="Q263" s="572"/>
      <c r="R263" s="572"/>
      <c r="S263" s="572"/>
      <c r="T263" s="572"/>
      <c r="U263" s="572"/>
      <c r="V263" s="572"/>
      <c r="W263" s="572"/>
      <c r="X263" s="572"/>
      <c r="Y263" s="572"/>
      <c r="Z263" s="572"/>
      <c r="AA263" s="572"/>
      <c r="AB263" s="572"/>
      <c r="AC263" s="572"/>
      <c r="AD263" s="572"/>
      <c r="AE263" s="572"/>
      <c r="AF263" s="573"/>
    </row>
    <row r="264">
      <c r="A264" s="574" t="s">
        <v>709</v>
      </c>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2"/>
    </row>
    <row r="265">
      <c r="A265" s="364" t="s">
        <v>830</v>
      </c>
      <c r="B265" s="331">
        <f t="shared" ref="B265:AE265" si="65">SUM(B266:B272)-B275</f>
        <v>0</v>
      </c>
      <c r="C265" s="331">
        <f t="shared" si="65"/>
        <v>0</v>
      </c>
      <c r="D265" s="331">
        <f t="shared" si="65"/>
        <v>0</v>
      </c>
      <c r="E265" s="331">
        <f t="shared" si="65"/>
        <v>0</v>
      </c>
      <c r="F265" s="331">
        <f t="shared" si="65"/>
        <v>0</v>
      </c>
      <c r="G265" s="331">
        <f t="shared" si="65"/>
        <v>0</v>
      </c>
      <c r="H265" s="331">
        <f t="shared" si="65"/>
        <v>0</v>
      </c>
      <c r="I265" s="331">
        <f t="shared" si="65"/>
        <v>0</v>
      </c>
      <c r="J265" s="331">
        <f t="shared" si="65"/>
        <v>0</v>
      </c>
      <c r="K265" s="331">
        <f t="shared" si="65"/>
        <v>0</v>
      </c>
      <c r="L265" s="331">
        <f t="shared" si="65"/>
        <v>0</v>
      </c>
      <c r="M265" s="331">
        <f t="shared" si="65"/>
        <v>0</v>
      </c>
      <c r="N265" s="331">
        <f t="shared" si="65"/>
        <v>0</v>
      </c>
      <c r="O265" s="331">
        <f t="shared" si="65"/>
        <v>0</v>
      </c>
      <c r="P265" s="331">
        <f t="shared" si="65"/>
        <v>0</v>
      </c>
      <c r="Q265" s="331">
        <f t="shared" si="65"/>
        <v>0</v>
      </c>
      <c r="R265" s="331">
        <f t="shared" si="65"/>
        <v>0</v>
      </c>
      <c r="S265" s="331">
        <f t="shared" si="65"/>
        <v>0</v>
      </c>
      <c r="T265" s="331">
        <f t="shared" si="65"/>
        <v>0</v>
      </c>
      <c r="U265" s="331">
        <f t="shared" si="65"/>
        <v>0</v>
      </c>
      <c r="V265" s="331">
        <f t="shared" si="65"/>
        <v>0</v>
      </c>
      <c r="W265" s="331">
        <f t="shared" si="65"/>
        <v>0</v>
      </c>
      <c r="X265" s="331">
        <f t="shared" si="65"/>
        <v>0</v>
      </c>
      <c r="Y265" s="331">
        <f t="shared" si="65"/>
        <v>-202.38</v>
      </c>
      <c r="Z265" s="331">
        <f t="shared" si="65"/>
        <v>0</v>
      </c>
      <c r="AA265" s="331">
        <f t="shared" si="65"/>
        <v>0</v>
      </c>
      <c r="AB265" s="331">
        <f t="shared" si="65"/>
        <v>0</v>
      </c>
      <c r="AC265" s="331">
        <f t="shared" si="65"/>
        <v>0</v>
      </c>
      <c r="AD265" s="331">
        <f t="shared" si="65"/>
        <v>0</v>
      </c>
      <c r="AE265" s="331">
        <f t="shared" si="65"/>
        <v>6.66</v>
      </c>
      <c r="AF265" s="62">
        <f t="shared" ref="AF265:AF276" si="66">SUM(B265:AE265)</f>
        <v>-195.72</v>
      </c>
    </row>
    <row r="266" outlineLevel="1">
      <c r="A266" s="87" t="s">
        <v>832</v>
      </c>
      <c r="B266" s="66">
        <f>(B32+B33+B144+B145)*'Data - P&amp;L'!$C$3</f>
        <v>0</v>
      </c>
      <c r="C266" s="66">
        <f>(C32+C33+C144+C145)*'Data - P&amp;L'!$C$3</f>
        <v>0</v>
      </c>
      <c r="D266" s="66">
        <f>(D32+D33+D144+D145)*'Data - P&amp;L'!$C$3</f>
        <v>0</v>
      </c>
      <c r="E266" s="66">
        <f>(E32+E33+E144+E145)*'Data - P&amp;L'!$C$3</f>
        <v>0</v>
      </c>
      <c r="F266" s="66">
        <f>(F32+F33+F144+F145)*'Data - P&amp;L'!$C$3</f>
        <v>0</v>
      </c>
      <c r="G266" s="66">
        <f>(G32+G33+G144+G145)*'Data - P&amp;L'!$C$3</f>
        <v>0</v>
      </c>
      <c r="H266" s="66">
        <f>(H32+H33+H144+H145)*'Data - P&amp;L'!$C$3</f>
        <v>0</v>
      </c>
      <c r="I266" s="66">
        <f>(I32+I33+I144+I145)*'Data - P&amp;L'!$C$3</f>
        <v>0</v>
      </c>
      <c r="J266" s="66">
        <f>(J32+J33+J144+J145)*'Data - P&amp;L'!$C$3</f>
        <v>0</v>
      </c>
      <c r="K266" s="66">
        <f>(K32+K33+K144+K145)*'Data - P&amp;L'!$C$3</f>
        <v>0</v>
      </c>
      <c r="L266" s="66">
        <f>(L32+L33+L144+L145)*'Data - P&amp;L'!$C$3</f>
        <v>0</v>
      </c>
      <c r="M266" s="66">
        <f>(M32+M33+M144+M145)*'Data - P&amp;L'!$C$3</f>
        <v>0</v>
      </c>
      <c r="N266" s="66">
        <f>(N32+N33+N144+N145)*'Data - P&amp;L'!$C$3</f>
        <v>0</v>
      </c>
      <c r="O266" s="66">
        <f>(O32+O33+O144+O145)*'Data - P&amp;L'!$C$3</f>
        <v>0</v>
      </c>
      <c r="P266" s="66">
        <f>(P32+P33+P144+P145)*'Data - P&amp;L'!$C$3</f>
        <v>0</v>
      </c>
      <c r="Q266" s="66">
        <f>(Q32+Q33+Q144+Q145)*'Data - P&amp;L'!$C$3</f>
        <v>0</v>
      </c>
      <c r="R266" s="66">
        <f>(R32+R33+R144+R145)*'Data - P&amp;L'!$C$3</f>
        <v>0</v>
      </c>
      <c r="S266" s="66">
        <f>(S32+S33+S144+S145)*'Data - P&amp;L'!$C$3</f>
        <v>0</v>
      </c>
      <c r="T266" s="66">
        <f>(T32+T33+T144+T145)*'Data - P&amp;L'!$C$3</f>
        <v>0</v>
      </c>
      <c r="U266" s="66">
        <f>(U32+U33+U144+U145)*'Data - P&amp;L'!$C$3</f>
        <v>0</v>
      </c>
      <c r="V266" s="66">
        <f>(V32+V33+V144+V145)*'Data - P&amp;L'!$C$3</f>
        <v>0</v>
      </c>
      <c r="W266" s="66">
        <f>(W32+W33+W144+W145)*'Data - P&amp;L'!$C$3</f>
        <v>0</v>
      </c>
      <c r="X266" s="66">
        <f>(X32+X33+X144+X145)*'Data - P&amp;L'!$C$3</f>
        <v>0</v>
      </c>
      <c r="Y266" s="66">
        <f>(Y32+Y33+Y144+Y145)*'Data - P&amp;L'!$C$3</f>
        <v>0</v>
      </c>
      <c r="Z266" s="66">
        <f>(Z32+Z33+Z144+Z145)*'Data - P&amp;L'!$C$3</f>
        <v>0</v>
      </c>
      <c r="AA266" s="66">
        <f>(AA32+AA33+AA144+AA145)*'Data - P&amp;L'!$C$3</f>
        <v>0</v>
      </c>
      <c r="AB266" s="66">
        <f>(AB32+AB33+AB144+AB145)*'Data - P&amp;L'!$C$3</f>
        <v>0</v>
      </c>
      <c r="AC266" s="66">
        <f>(AC32+AC33+AC144+AC145)*'Data - P&amp;L'!$C$3</f>
        <v>0</v>
      </c>
      <c r="AD266" s="66">
        <f>(AD32+AD33+AD144+AD145)*'Data - P&amp;L'!$C$3</f>
        <v>0</v>
      </c>
      <c r="AE266" s="66">
        <f>(AE32+AE33+AE144+AE145)*'Data - P&amp;L'!$C$3</f>
        <v>0</v>
      </c>
      <c r="AF266" s="62">
        <f t="shared" si="66"/>
        <v>0</v>
      </c>
    </row>
    <row r="267" outlineLevel="1">
      <c r="A267" s="87" t="s">
        <v>834</v>
      </c>
      <c r="B267" s="66">
        <f>(B34+B35+B146+B147)*'Data - P&amp;L'!$C$4</f>
        <v>0</v>
      </c>
      <c r="C267" s="66">
        <f>(C34+C35+C146+C147)*'Data - P&amp;L'!$C$4</f>
        <v>0</v>
      </c>
      <c r="D267" s="66">
        <f>(D34+D35+D146+D147)*'Data - P&amp;L'!$C$4</f>
        <v>0</v>
      </c>
      <c r="E267" s="66">
        <f>(E34+E35+E146+E147)*'Data - P&amp;L'!$C$4</f>
        <v>0</v>
      </c>
      <c r="F267" s="66">
        <f>(F34+F35+F146+F147)*'Data - P&amp;L'!$C$4</f>
        <v>0</v>
      </c>
      <c r="G267" s="66">
        <f>(G34+G35+G146+G147)*'Data - P&amp;L'!$C$4</f>
        <v>0</v>
      </c>
      <c r="H267" s="66">
        <f>(H34+H35+H146+H147)*'Data - P&amp;L'!$C$4</f>
        <v>0</v>
      </c>
      <c r="I267" s="66">
        <f>(I34+I35+I146+I147)*'Data - P&amp;L'!$C$4</f>
        <v>0</v>
      </c>
      <c r="J267" s="66">
        <f>(J34+J35+J146+J147)*'Data - P&amp;L'!$C$4</f>
        <v>0</v>
      </c>
      <c r="K267" s="66">
        <f>(K34+K35+K146+K147)*'Data - P&amp;L'!$C$4</f>
        <v>0</v>
      </c>
      <c r="L267" s="66">
        <f>(L34+L35+L146+L147)*'Data - P&amp;L'!$C$4</f>
        <v>0</v>
      </c>
      <c r="M267" s="66">
        <f>(M34+M35+M146+M147)*'Data - P&amp;L'!$C$4</f>
        <v>0</v>
      </c>
      <c r="N267" s="66">
        <f>(N34+N35+N146+N147)*'Data - P&amp;L'!$C$4</f>
        <v>0</v>
      </c>
      <c r="O267" s="66">
        <f>(O34+O35+O146+O147)*'Data - P&amp;L'!$C$4</f>
        <v>0</v>
      </c>
      <c r="P267" s="66">
        <f>(P34+P35+P146+P147)*'Data - P&amp;L'!$C$4</f>
        <v>0</v>
      </c>
      <c r="Q267" s="66">
        <f>(Q34+Q35+Q146+Q147)*'Data - P&amp;L'!$C$4</f>
        <v>0</v>
      </c>
      <c r="R267" s="66">
        <f>(R34+R35+R146+R147)*'Data - P&amp;L'!$C$4</f>
        <v>0</v>
      </c>
      <c r="S267" s="66">
        <f>(S34+S35+S146+S147)*'Data - P&amp;L'!$C$4</f>
        <v>0</v>
      </c>
      <c r="T267" s="66">
        <f>(T34+T35+T146+T147)*'Data - P&amp;L'!$C$4</f>
        <v>0</v>
      </c>
      <c r="U267" s="66">
        <f>(U34+U35+U146+U147)*'Data - P&amp;L'!$C$4</f>
        <v>0</v>
      </c>
      <c r="V267" s="66">
        <f>(V34+V35+V146+V147)*'Data - P&amp;L'!$C$4</f>
        <v>0</v>
      </c>
      <c r="W267" s="66">
        <f>(W34+W35+W146+W147)*'Data - P&amp;L'!$C$4</f>
        <v>0</v>
      </c>
      <c r="X267" s="66">
        <f>(X34+X35+X146+X147)*'Data - P&amp;L'!$C$4</f>
        <v>0</v>
      </c>
      <c r="Y267" s="66">
        <f>(Y34+Y35+Y146+Y147)*'Data - P&amp;L'!$C$4</f>
        <v>97.61</v>
      </c>
      <c r="Z267" s="66">
        <f>(Z34+Z35+Z146+Z147)*'Data - P&amp;L'!$C$4</f>
        <v>0</v>
      </c>
      <c r="AA267" s="66">
        <f>(AA34+AA35+AA146+AA147)*'Data - P&amp;L'!$C$4</f>
        <v>0</v>
      </c>
      <c r="AB267" s="66">
        <f>(AB34+AB35+AB146+AB147)*'Data - P&amp;L'!$C$4</f>
        <v>0</v>
      </c>
      <c r="AC267" s="66">
        <f>(AC34+AC35+AC146+AC147)*'Data - P&amp;L'!$C$4</f>
        <v>0</v>
      </c>
      <c r="AD267" s="66">
        <f>(AD34+AD35+AD146+AD147)*'Data - P&amp;L'!$C$4</f>
        <v>0</v>
      </c>
      <c r="AE267" s="66">
        <f>(AE34+AE35+AE146+AE147)*'Data - P&amp;L'!$C$4</f>
        <v>0</v>
      </c>
      <c r="AF267" s="62">
        <f t="shared" si="66"/>
        <v>97.61</v>
      </c>
    </row>
    <row r="268" outlineLevel="1">
      <c r="A268" s="87" t="s">
        <v>837</v>
      </c>
      <c r="B268" s="66">
        <f>(B39+B151)*'Data - P&amp;L'!$C$6</f>
        <v>0</v>
      </c>
      <c r="C268" s="66">
        <f>(C93+C104)*'Data - P&amp;L'!$C$6</f>
        <v>0</v>
      </c>
      <c r="D268" s="66">
        <f>(D93+D104)*'Data - P&amp;L'!$C$6</f>
        <v>0</v>
      </c>
      <c r="E268" s="66">
        <f>(E93+E104)*'Data - P&amp;L'!$C$6</f>
        <v>0</v>
      </c>
      <c r="F268" s="66">
        <f>(F93+F104)*'Data - P&amp;L'!$C$6</f>
        <v>0</v>
      </c>
      <c r="G268" s="66">
        <f>(G93+G104)*'Data - P&amp;L'!$C$6</f>
        <v>0</v>
      </c>
      <c r="H268" s="66">
        <f>(H93+H104)*'Data - P&amp;L'!$C$6</f>
        <v>0</v>
      </c>
      <c r="I268" s="66">
        <f>(I93+I104)*'Data - P&amp;L'!$C$6</f>
        <v>0</v>
      </c>
      <c r="J268" s="66">
        <f>(J93+J104)*'Data - P&amp;L'!$C$6</f>
        <v>0</v>
      </c>
      <c r="K268" s="66">
        <f>(K93+K104)*'Data - P&amp;L'!$C$6</f>
        <v>0</v>
      </c>
      <c r="L268" s="66">
        <f>(L93+L104)*'Data - P&amp;L'!$C$6</f>
        <v>0</v>
      </c>
      <c r="M268" s="66">
        <f>(M93+M104)*'Data - P&amp;L'!$C$6</f>
        <v>0</v>
      </c>
      <c r="N268" s="66">
        <f>(N93+N104)*'Data - P&amp;L'!$C$6</f>
        <v>0</v>
      </c>
      <c r="O268" s="66">
        <f>(O93+O104)*'Data - P&amp;L'!$C$6</f>
        <v>0</v>
      </c>
      <c r="P268" s="66">
        <f>(P93+P104)*'Data - P&amp;L'!$C$6</f>
        <v>0</v>
      </c>
      <c r="Q268" s="66">
        <f>(Q93+Q104)*'Data - P&amp;L'!$C$6</f>
        <v>0</v>
      </c>
      <c r="R268" s="66">
        <f>(R93+R104)*'Data - P&amp;L'!$C$6</f>
        <v>0</v>
      </c>
      <c r="S268" s="66">
        <f>(S93+S104)*'Data - P&amp;L'!$C$6</f>
        <v>0</v>
      </c>
      <c r="T268" s="66">
        <f>(T93+T104)*'Data - P&amp;L'!$C$6</f>
        <v>0</v>
      </c>
      <c r="U268" s="66">
        <f>(U93+U104)*'Data - P&amp;L'!$C$6</f>
        <v>0</v>
      </c>
      <c r="V268" s="66">
        <f>(V93+V104)*'Data - P&amp;L'!$C$6</f>
        <v>0</v>
      </c>
      <c r="W268" s="66">
        <f>(W93+W104)*'Data - P&amp;L'!$C$6</f>
        <v>0</v>
      </c>
      <c r="X268" s="66">
        <f>(X93+X104)*'Data - P&amp;L'!$C$6</f>
        <v>0</v>
      </c>
      <c r="Y268" s="66">
        <f>(Y93+Y104)*'Data - P&amp;L'!$C$6</f>
        <v>0</v>
      </c>
      <c r="Z268" s="66">
        <f>(Z93+Z104)*'Data - P&amp;L'!$C$6</f>
        <v>0</v>
      </c>
      <c r="AA268" s="66">
        <f>(AA93+AA104)*'Data - P&amp;L'!$C$6</f>
        <v>0</v>
      </c>
      <c r="AB268" s="66">
        <f>(AB93+AB104)*'Data - P&amp;L'!$C$6</f>
        <v>0</v>
      </c>
      <c r="AC268" s="66">
        <f>(AC93+AC104)*'Data - P&amp;L'!$C$6</f>
        <v>0</v>
      </c>
      <c r="AD268" s="66">
        <f>(AD93+AD104)*'Data - P&amp;L'!$C$6</f>
        <v>0</v>
      </c>
      <c r="AE268" s="66">
        <f>(AE93+AE104)*'Data - P&amp;L'!$C$6</f>
        <v>0</v>
      </c>
      <c r="AF268" s="62">
        <f t="shared" si="66"/>
        <v>0</v>
      </c>
    </row>
    <row r="269" outlineLevel="1">
      <c r="A269" s="87" t="s">
        <v>839</v>
      </c>
      <c r="B269" s="66">
        <f>(B40+B152)*'Data - P&amp;L'!$C$8</f>
        <v>0</v>
      </c>
      <c r="C269" s="66">
        <f>(C94+C105)*'Data - P&amp;L'!$C$8</f>
        <v>0</v>
      </c>
      <c r="D269" s="66">
        <f>(D94+D105)*'Data - P&amp;L'!$C$8</f>
        <v>0</v>
      </c>
      <c r="E269" s="66">
        <f>(E94+E105)*'Data - P&amp;L'!$C$8</f>
        <v>0</v>
      </c>
      <c r="F269" s="66">
        <f>(F94+F105)*'Data - P&amp;L'!$C$8</f>
        <v>0</v>
      </c>
      <c r="G269" s="66">
        <f>(G94+G105)*'Data - P&amp;L'!$C$8</f>
        <v>0</v>
      </c>
      <c r="H269" s="66">
        <f>(H94+H105)*'Data - P&amp;L'!$C$8</f>
        <v>0</v>
      </c>
      <c r="I269" s="66">
        <f>(I94+I105)*'Data - P&amp;L'!$C$8</f>
        <v>0</v>
      </c>
      <c r="J269" s="66">
        <f>(J94+J105)*'Data - P&amp;L'!$C$8</f>
        <v>0</v>
      </c>
      <c r="K269" s="66">
        <f>(K94+K105)*'Data - P&amp;L'!$C$8</f>
        <v>0</v>
      </c>
      <c r="L269" s="66">
        <f>(L94+L105)*'Data - P&amp;L'!$C$8</f>
        <v>0</v>
      </c>
      <c r="M269" s="66">
        <f>(M94+M105)*'Data - P&amp;L'!$C$8</f>
        <v>0</v>
      </c>
      <c r="N269" s="66">
        <f>(N94+N105)*'Data - P&amp;L'!$C$8</f>
        <v>0</v>
      </c>
      <c r="O269" s="66">
        <f>(O94+O105)*'Data - P&amp;L'!$C$8</f>
        <v>0</v>
      </c>
      <c r="P269" s="66">
        <f>(P94+P105)*'Data - P&amp;L'!$C$8</f>
        <v>0</v>
      </c>
      <c r="Q269" s="66">
        <f>(Q94+Q105)*'Data - P&amp;L'!$C$8</f>
        <v>0</v>
      </c>
      <c r="R269" s="66">
        <f>(R94+R105)*'Data - P&amp;L'!$C$8</f>
        <v>0</v>
      </c>
      <c r="S269" s="66">
        <f>(S94+S105)*'Data - P&amp;L'!$C$8</f>
        <v>0</v>
      </c>
      <c r="T269" s="66">
        <f>(T94+T105)*'Data - P&amp;L'!$C$8</f>
        <v>0</v>
      </c>
      <c r="U269" s="66">
        <f>(U94+U105)*'Data - P&amp;L'!$C$8</f>
        <v>0</v>
      </c>
      <c r="V269" s="66">
        <f>(V94+V105)*'Data - P&amp;L'!$C$8</f>
        <v>0</v>
      </c>
      <c r="W269" s="66">
        <f>(W94+W105)*'Data - P&amp;L'!$C$8</f>
        <v>0</v>
      </c>
      <c r="X269" s="66">
        <f>(X94+X105)*'Data - P&amp;L'!$C$8</f>
        <v>0</v>
      </c>
      <c r="Y269" s="66">
        <f>(Y94+Y105)*'Data - P&amp;L'!$C$8</f>
        <v>0</v>
      </c>
      <c r="Z269" s="66">
        <f>(Z94+Z105)*'Data - P&amp;L'!$C$8</f>
        <v>0</v>
      </c>
      <c r="AA269" s="66">
        <f>(AA94+AA105)*'Data - P&amp;L'!$C$8</f>
        <v>0</v>
      </c>
      <c r="AB269" s="66">
        <f>(AB94+AB105)*'Data - P&amp;L'!$C$8</f>
        <v>0</v>
      </c>
      <c r="AC269" s="66">
        <f>(AC94+AC105)*'Data - P&amp;L'!$C$8</f>
        <v>0</v>
      </c>
      <c r="AD269" s="66">
        <f>(AD94+AD105)*'Data - P&amp;L'!$C$8</f>
        <v>0</v>
      </c>
      <c r="AE269" s="66">
        <f>(AE94+AE105)*'Data - P&amp;L'!$C$8</f>
        <v>0</v>
      </c>
      <c r="AF269" s="62">
        <f t="shared" si="66"/>
        <v>0</v>
      </c>
    </row>
    <row r="270" outlineLevel="1">
      <c r="A270" s="87" t="s">
        <v>841</v>
      </c>
      <c r="B270" s="66">
        <f>(B41+B42+B153+B154)*'Data - P&amp;L'!$C$9</f>
        <v>0</v>
      </c>
      <c r="C270" s="66">
        <f>(C95+C96+C106+C107)*'Data - P&amp;L'!$C$9</f>
        <v>0</v>
      </c>
      <c r="D270" s="66">
        <f>(D95+D96+D106+D107)*'Data - P&amp;L'!$C$9</f>
        <v>0</v>
      </c>
      <c r="E270" s="66">
        <f>(E95+E96+E106+E107)*'Data - P&amp;L'!$C$9</f>
        <v>0</v>
      </c>
      <c r="F270" s="66">
        <f>(F95+F96+F106+F107)*'Data - P&amp;L'!$C$9</f>
        <v>0</v>
      </c>
      <c r="G270" s="66">
        <f>(G95+G96+G106+G107)*'Data - P&amp;L'!$C$9</f>
        <v>0</v>
      </c>
      <c r="H270" s="66">
        <f>(H95+H96+H106+H107)*'Data - P&amp;L'!$C$9</f>
        <v>0</v>
      </c>
      <c r="I270" s="66">
        <f>(I95+I96+I106+I107)*'Data - P&amp;L'!$C$9</f>
        <v>0</v>
      </c>
      <c r="J270" s="66">
        <f>(J95+J96+J106+J107)*'Data - P&amp;L'!$C$9</f>
        <v>0</v>
      </c>
      <c r="K270" s="66">
        <f>(K95+K96+K106+K107)*'Data - P&amp;L'!$C$9</f>
        <v>0</v>
      </c>
      <c r="L270" s="66">
        <f>(L95+L96+L106+L107)*'Data - P&amp;L'!$C$9</f>
        <v>0</v>
      </c>
      <c r="M270" s="66">
        <f>(M95+M96+M106+M107)*'Data - P&amp;L'!$C$9</f>
        <v>0</v>
      </c>
      <c r="N270" s="66">
        <f>(N95+N96+N106+N107)*'Data - P&amp;L'!$C$9</f>
        <v>0</v>
      </c>
      <c r="O270" s="66">
        <f>(O95+O96+O106+O107)*'Data - P&amp;L'!$C$9</f>
        <v>0</v>
      </c>
      <c r="P270" s="66">
        <f>(P95+P96+P106+P107)*'Data - P&amp;L'!$C$9</f>
        <v>0</v>
      </c>
      <c r="Q270" s="66">
        <f>(Q95+Q96+Q106+Q107)*'Data - P&amp;L'!$C$9</f>
        <v>0</v>
      </c>
      <c r="R270" s="66">
        <f>(R95+R96+R106+R107)*'Data - P&amp;L'!$C$9</f>
        <v>0</v>
      </c>
      <c r="S270" s="66">
        <f>(S95+S96+S106+S107)*'Data - P&amp;L'!$C$9</f>
        <v>0</v>
      </c>
      <c r="T270" s="66">
        <f>(T95+T96+T106+T107)*'Data - P&amp;L'!$C$9</f>
        <v>0</v>
      </c>
      <c r="U270" s="66">
        <f>(U95+U96+U106+U107)*'Data - P&amp;L'!$C$9</f>
        <v>0</v>
      </c>
      <c r="V270" s="66">
        <f>(V95+V96+V106+V107)*'Data - P&amp;L'!$C$9</f>
        <v>0</v>
      </c>
      <c r="W270" s="66">
        <f>(W95+W96+W106+W107)*'Data - P&amp;L'!$C$9</f>
        <v>0</v>
      </c>
      <c r="X270" s="66">
        <f>(X95+X96+X106+X107)*'Data - P&amp;L'!$C$9</f>
        <v>0</v>
      </c>
      <c r="Y270" s="66">
        <f>(Y95+Y96+Y106+Y107)*'Data - P&amp;L'!$C$9</f>
        <v>0</v>
      </c>
      <c r="Z270" s="66">
        <f>(Z95+Z96+Z106+Z107)*'Data - P&amp;L'!$C$9</f>
        <v>0</v>
      </c>
      <c r="AA270" s="66">
        <f>(AA95+AA96+AA106+AA107)*'Data - P&amp;L'!$C$9</f>
        <v>0</v>
      </c>
      <c r="AB270" s="66">
        <f>(AB95+AB96+AB106+AB107)*'Data - P&amp;L'!$C$9</f>
        <v>0</v>
      </c>
      <c r="AC270" s="66">
        <f>(AC95+AC96+AC106+AC107)*'Data - P&amp;L'!$C$9</f>
        <v>0</v>
      </c>
      <c r="AD270" s="66">
        <f>(AD95+AD96+AD106+AD107)*'Data - P&amp;L'!$C$9</f>
        <v>0</v>
      </c>
      <c r="AE270" s="66">
        <f>(AE95+AE96+AE106+AE107)*'Data - P&amp;L'!$C$9</f>
        <v>6.66</v>
      </c>
      <c r="AF270" s="62">
        <f t="shared" si="66"/>
        <v>6.66</v>
      </c>
    </row>
    <row r="271" outlineLevel="1">
      <c r="A271" s="87" t="s">
        <v>843</v>
      </c>
      <c r="B271" s="66">
        <f>(B43+B44+B155+B156)*'Data - P&amp;L'!$C$5</f>
        <v>0</v>
      </c>
      <c r="C271" s="66">
        <f>(C97+C98+C108+C109)*'Data - P&amp;L'!$C$5</f>
        <v>0</v>
      </c>
      <c r="D271" s="66">
        <f>(D97+D98+D108+D109)*'Data - P&amp;L'!$C$5</f>
        <v>0</v>
      </c>
      <c r="E271" s="66">
        <f>(E97+E98+E108+E109)*'Data - P&amp;L'!$C$5</f>
        <v>0</v>
      </c>
      <c r="F271" s="66">
        <f>(F97+F98+F108+F109)*'Data - P&amp;L'!$C$5</f>
        <v>0</v>
      </c>
      <c r="G271" s="66">
        <f>(G97+G98+G108+G109)*'Data - P&amp;L'!$C$5</f>
        <v>0</v>
      </c>
      <c r="H271" s="66">
        <f>(H97+H98+H108+H109)*'Data - P&amp;L'!$C$5</f>
        <v>0</v>
      </c>
      <c r="I271" s="66">
        <f>(I97+I98+I108+I109)*'Data - P&amp;L'!$C$5</f>
        <v>0</v>
      </c>
      <c r="J271" s="66">
        <f>(J97+J98+J108+J109)*'Data - P&amp;L'!$C$5</f>
        <v>0</v>
      </c>
      <c r="K271" s="66">
        <f>(K97+K98+K108+K109)*'Data - P&amp;L'!$C$5</f>
        <v>0</v>
      </c>
      <c r="L271" s="66">
        <f>(L97+L98+L108+L109)*'Data - P&amp;L'!$C$5</f>
        <v>0</v>
      </c>
      <c r="M271" s="66">
        <f>(M97+M98+M108+M109)*'Data - P&amp;L'!$C$5</f>
        <v>0</v>
      </c>
      <c r="N271" s="66">
        <f>(N97+N98+N108+N109)*'Data - P&amp;L'!$C$5</f>
        <v>0</v>
      </c>
      <c r="O271" s="66">
        <f>(O97+O98+O108+O109)*'Data - P&amp;L'!$C$5</f>
        <v>0</v>
      </c>
      <c r="P271" s="66">
        <f>(P97+P98+P108+P109)*'Data - P&amp;L'!$C$5</f>
        <v>0</v>
      </c>
      <c r="Q271" s="66">
        <f>(Q97+Q98+Q108+Q109)*'Data - P&amp;L'!$C$5</f>
        <v>0</v>
      </c>
      <c r="R271" s="66">
        <f>(R97+R98+R108+R109)*'Data - P&amp;L'!$C$5</f>
        <v>0</v>
      </c>
      <c r="S271" s="66">
        <f>(S97+S98+S108+S109)*'Data - P&amp;L'!$C$5</f>
        <v>0</v>
      </c>
      <c r="T271" s="66">
        <f>(T97+T98+T108+T109)*'Data - P&amp;L'!$C$5</f>
        <v>0</v>
      </c>
      <c r="U271" s="66">
        <f>(U97+U98+U108+U109)*'Data - P&amp;L'!$C$5</f>
        <v>0</v>
      </c>
      <c r="V271" s="66">
        <f>(V97+V98+V108+V109)*'Data - P&amp;L'!$C$5</f>
        <v>0</v>
      </c>
      <c r="W271" s="66">
        <f>(W97+W98+W108+W109)*'Data - P&amp;L'!$C$5</f>
        <v>0</v>
      </c>
      <c r="X271" s="66">
        <f>(X97+X98+X108+X109)*'Data - P&amp;L'!$C$5</f>
        <v>0</v>
      </c>
      <c r="Y271" s="66">
        <f>(Y97+Y98+Y108+Y109)*'Data - P&amp;L'!$C$5</f>
        <v>0</v>
      </c>
      <c r="Z271" s="66">
        <f>(Z97+Z98+Z108+Z109)*'Data - P&amp;L'!$C$5</f>
        <v>0</v>
      </c>
      <c r="AA271" s="66">
        <f>(AA97+AA98+AA108+AA109)*'Data - P&amp;L'!$C$5</f>
        <v>0</v>
      </c>
      <c r="AB271" s="66">
        <f>(AB97+AB98+AB108+AB109)*'Data - P&amp;L'!$C$5</f>
        <v>0</v>
      </c>
      <c r="AC271" s="66">
        <f>(AC97+AC98+AC108+AC109)*'Data - P&amp;L'!$C$5</f>
        <v>0</v>
      </c>
      <c r="AD271" s="66">
        <f>(AD97+AD98+AD108+AD109)*'Data - P&amp;L'!$C$5</f>
        <v>0</v>
      </c>
      <c r="AE271" s="66">
        <f>(AE97+AE98+AE108+AE109)*'Data - P&amp;L'!$C$5</f>
        <v>0</v>
      </c>
      <c r="AF271" s="62">
        <f t="shared" si="66"/>
        <v>0</v>
      </c>
    </row>
    <row r="272" outlineLevel="1">
      <c r="A272" s="87" t="s">
        <v>844</v>
      </c>
      <c r="B272" s="66">
        <f>(B45+B46+B157+B158)*'Data - P&amp;L'!$C$10</f>
        <v>0</v>
      </c>
      <c r="C272" s="66">
        <f>(C99+C100+C110+C111)*'Data - P&amp;L'!$C$10</f>
        <v>0</v>
      </c>
      <c r="D272" s="66">
        <f>(D99+D100+D110+D111)*'Data - P&amp;L'!$C$10</f>
        <v>0</v>
      </c>
      <c r="E272" s="66">
        <f>(E99+E100+E110+E111)*'Data - P&amp;L'!$C$10</f>
        <v>0</v>
      </c>
      <c r="F272" s="66">
        <f>(F99+F100+F110+F111)*'Data - P&amp;L'!$C$10</f>
        <v>0</v>
      </c>
      <c r="G272" s="66">
        <f>(G99+G100+G110+G111)*'Data - P&amp;L'!$C$10</f>
        <v>0</v>
      </c>
      <c r="H272" s="66">
        <f>(H99+H100+H110+H111)*'Data - P&amp;L'!$C$10</f>
        <v>0</v>
      </c>
      <c r="I272" s="66">
        <f>(I99+I100+I110+I111)*'Data - P&amp;L'!$C$10</f>
        <v>0</v>
      </c>
      <c r="J272" s="66">
        <f>(J99+J100+J110+J111)*'Data - P&amp;L'!$C$10</f>
        <v>0</v>
      </c>
      <c r="K272" s="66">
        <f>(K99+K100+K110+K111)*'Data - P&amp;L'!$C$10</f>
        <v>0</v>
      </c>
      <c r="L272" s="66">
        <f>(L99+L100+L110+L111)*'Data - P&amp;L'!$C$10</f>
        <v>0</v>
      </c>
      <c r="M272" s="66">
        <f>(M99+M100+M110+M111)*'Data - P&amp;L'!$C$10</f>
        <v>0</v>
      </c>
      <c r="N272" s="66">
        <f>(N99+N100+N110+N111)*'Data - P&amp;L'!$C$10</f>
        <v>0</v>
      </c>
      <c r="O272" s="66">
        <f>(O99+O100+O110+O111)*'Data - P&amp;L'!$C$10</f>
        <v>0</v>
      </c>
      <c r="P272" s="66">
        <f>(P99+P100+P110+P111)*'Data - P&amp;L'!$C$10</f>
        <v>0</v>
      </c>
      <c r="Q272" s="66">
        <f>(Q99+Q100+Q110+Q111)*'Data - P&amp;L'!$C$10</f>
        <v>0</v>
      </c>
      <c r="R272" s="66">
        <f>(R99+R100+R110+R111)*'Data - P&amp;L'!$C$10</f>
        <v>0</v>
      </c>
      <c r="S272" s="66">
        <f>(S99+S100+S110+S111)*'Data - P&amp;L'!$C$10</f>
        <v>0</v>
      </c>
      <c r="T272" s="66">
        <f>(T99+T100+T110+T111)*'Data - P&amp;L'!$C$10</f>
        <v>0</v>
      </c>
      <c r="U272" s="66">
        <f>(U99+U100+U110+U111)*'Data - P&amp;L'!$C$10</f>
        <v>0</v>
      </c>
      <c r="V272" s="66">
        <f>(V99+V100+V110+V111)*'Data - P&amp;L'!$C$10</f>
        <v>0</v>
      </c>
      <c r="W272" s="66">
        <f>(W99+W100+W110+W111)*'Data - P&amp;L'!$C$10</f>
        <v>0</v>
      </c>
      <c r="X272" s="66">
        <f>(X99+X100+X110+X111)*'Data - P&amp;L'!$C$10</f>
        <v>0</v>
      </c>
      <c r="Y272" s="66">
        <f>(Y99+Y100+Y110+Y111)*'Data - P&amp;L'!$C$10</f>
        <v>0</v>
      </c>
      <c r="Z272" s="66">
        <f>(Z99+Z100+Z110+Z111)*'Data - P&amp;L'!$C$10</f>
        <v>0</v>
      </c>
      <c r="AA272" s="66">
        <f>(AA99+AA100+AA110+AA111)*'Data - P&amp;L'!$C$10</f>
        <v>0</v>
      </c>
      <c r="AB272" s="66">
        <f>(AB99+AB100+AB110+AB111)*'Data - P&amp;L'!$C$10</f>
        <v>0</v>
      </c>
      <c r="AC272" s="66">
        <f>(AC99+AC100+AC110+AC111)*'Data - P&amp;L'!$C$10</f>
        <v>0</v>
      </c>
      <c r="AD272" s="66">
        <f>(AD99+AD100+AD110+AD111)*'Data - P&amp;L'!$C$10</f>
        <v>0</v>
      </c>
      <c r="AE272" s="66">
        <f>(AE99+AE100+AE110+AE111)*'Data - P&amp;L'!$C$10</f>
        <v>0</v>
      </c>
      <c r="AF272" s="62">
        <f t="shared" si="66"/>
        <v>0</v>
      </c>
    </row>
    <row r="273" outlineLevel="1">
      <c r="A273" s="87" t="s">
        <v>846</v>
      </c>
      <c r="B273" s="66">
        <f>((B64+B65+B148+B149*'Data - P&amp;L'!$C$38))*'Data - P&amp;L'!$C$54</f>
        <v>0</v>
      </c>
      <c r="C273" s="66">
        <f>((SUM(C36:C37))*'Data - P&amp;L'!$C$38)</f>
        <v>0</v>
      </c>
      <c r="D273" s="66">
        <f>((SUM(D36:D37))*'Data - P&amp;L'!$C$38)</f>
        <v>0</v>
      </c>
      <c r="E273" s="66">
        <f>((SUM(E36:E37))*'Data - P&amp;L'!$C$38)</f>
        <v>0</v>
      </c>
      <c r="F273" s="66">
        <f>((SUM(F36:F37))*'Data - P&amp;L'!$C$38)</f>
        <v>0</v>
      </c>
      <c r="G273" s="66">
        <f>((SUM(G36:G37))*'Data - P&amp;L'!$C$38)</f>
        <v>0</v>
      </c>
      <c r="H273" s="66">
        <f>((SUM(H36:H37))*'Data - P&amp;L'!$C$38)</f>
        <v>0</v>
      </c>
      <c r="I273" s="66">
        <f>((SUM(I36:I37))*'Data - P&amp;L'!$C$38)</f>
        <v>0</v>
      </c>
      <c r="J273" s="66">
        <f>((SUM(J36:J37))*'Data - P&amp;L'!$C$38)</f>
        <v>0</v>
      </c>
      <c r="K273" s="66">
        <f>((SUM(K36:K37))*'Data - P&amp;L'!$C$38)</f>
        <v>0</v>
      </c>
      <c r="L273" s="66">
        <f>((SUM(L36:L37))*'Data - P&amp;L'!$C$38)</f>
        <v>0</v>
      </c>
      <c r="M273" s="66">
        <f>((SUM(M36:M37))*'Data - P&amp;L'!$C$38)</f>
        <v>0</v>
      </c>
      <c r="N273" s="66">
        <f>((SUM(N36:N37))*'Data - P&amp;L'!$C$38)</f>
        <v>0</v>
      </c>
      <c r="O273" s="66">
        <f>((SUM(O36:O37))*'Data - P&amp;L'!$C$38)</f>
        <v>0</v>
      </c>
      <c r="P273" s="66">
        <f>((SUM(P36:P37))*'Data - P&amp;L'!$C$38)</f>
        <v>0</v>
      </c>
      <c r="Q273" s="66">
        <f>((SUM(Q36:Q37))*'Data - P&amp;L'!$C$38)</f>
        <v>0</v>
      </c>
      <c r="R273" s="66">
        <f>((SUM(R36:R37))*'Data - P&amp;L'!$C$38)</f>
        <v>0</v>
      </c>
      <c r="S273" s="66">
        <f>((SUM(S36:S37))*'Data - P&amp;L'!$C$38)</f>
        <v>0</v>
      </c>
      <c r="T273" s="66">
        <f>((SUM(T36:T37))*'Data - P&amp;L'!$C$38)</f>
        <v>0</v>
      </c>
      <c r="U273" s="66">
        <f>((SUM(U36:U37))*'Data - P&amp;L'!$C$38)</f>
        <v>0</v>
      </c>
      <c r="V273" s="66">
        <f>((SUM(V36:V37))*'Data - P&amp;L'!$C$38)</f>
        <v>0</v>
      </c>
      <c r="W273" s="66">
        <f>((SUM(W36:W37))*'Data - P&amp;L'!$C$38)</f>
        <v>0</v>
      </c>
      <c r="X273" s="66">
        <f>((SUM(X36:X37))*'Data - P&amp;L'!$C$38)</f>
        <v>0</v>
      </c>
      <c r="Y273" s="66">
        <f>((SUM(Y36:Y37))*'Data - P&amp;L'!$C$38)</f>
        <v>11.94</v>
      </c>
      <c r="Z273" s="66">
        <f>((SUM(Z36:Z37))*'Data - P&amp;L'!$C$38)</f>
        <v>0</v>
      </c>
      <c r="AA273" s="66">
        <f>((SUM(AA36:AA37))*'Data - P&amp;L'!$C$38)</f>
        <v>0</v>
      </c>
      <c r="AB273" s="66">
        <f>((SUM(AB36:AB37))*'Data - P&amp;L'!$C$38)</f>
        <v>0</v>
      </c>
      <c r="AC273" s="66">
        <f>((SUM(AC36:AC37))*'Data - P&amp;L'!$C$38)</f>
        <v>0</v>
      </c>
      <c r="AD273" s="66">
        <f>((SUM(AD36:AD37))*'Data - P&amp;L'!$C$38)</f>
        <v>0</v>
      </c>
      <c r="AE273" s="66">
        <f>((SUM(AE36:AE37))*'Data - P&amp;L'!$C$38)</f>
        <v>0</v>
      </c>
      <c r="AF273" s="62">
        <f t="shared" si="66"/>
        <v>11.94</v>
      </c>
    </row>
    <row r="274" outlineLevel="1">
      <c r="A274" s="87" t="s">
        <v>848</v>
      </c>
      <c r="B274" s="66">
        <f>((SUM(B64+B65+B148+B149))*'Data - P&amp;L'!$C$34)</f>
        <v>0</v>
      </c>
      <c r="C274" s="66">
        <f>((SUM(C36:C37))*'Data - P&amp;L'!$C$34)</f>
        <v>0</v>
      </c>
      <c r="D274" s="66">
        <f>((SUM(D36:D37))*'Data - P&amp;L'!$C$34)</f>
        <v>0</v>
      </c>
      <c r="E274" s="66">
        <f>((SUM(E36:E37))*'Data - P&amp;L'!$C$34)</f>
        <v>0</v>
      </c>
      <c r="F274" s="66">
        <f>((SUM(F36:F37))*'Data - P&amp;L'!$C$34)</f>
        <v>0</v>
      </c>
      <c r="G274" s="66">
        <f>((SUM(G36:G37))*'Data - P&amp;L'!$C$34)</f>
        <v>0</v>
      </c>
      <c r="H274" s="66">
        <f>((SUM(H36:H37))*'Data - P&amp;L'!$C$34)</f>
        <v>0</v>
      </c>
      <c r="I274" s="66">
        <f>((SUM(I36:I37))*'Data - P&amp;L'!$C$34)</f>
        <v>0</v>
      </c>
      <c r="J274" s="66">
        <f>((SUM(J36:J37))*'Data - P&amp;L'!$C$34)</f>
        <v>0</v>
      </c>
      <c r="K274" s="66">
        <f>((SUM(K36:K37))*'Data - P&amp;L'!$C$34)</f>
        <v>0</v>
      </c>
      <c r="L274" s="66">
        <f>((SUM(L36:L37))*'Data - P&amp;L'!$C$34)</f>
        <v>0</v>
      </c>
      <c r="M274" s="66">
        <f>((SUM(M36:M37))*'Data - P&amp;L'!$C$34)</f>
        <v>0</v>
      </c>
      <c r="N274" s="66">
        <f>((SUM(N36:N37))*'Data - P&amp;L'!$C$34)</f>
        <v>0</v>
      </c>
      <c r="O274" s="66">
        <f>((SUM(O36:O37))*'Data - P&amp;L'!$C$34)</f>
        <v>0</v>
      </c>
      <c r="P274" s="66">
        <f>((SUM(P36:P37))*'Data - P&amp;L'!$C$34)</f>
        <v>0</v>
      </c>
      <c r="Q274" s="66">
        <f>((SUM(Q36:Q37))*'Data - P&amp;L'!$C$34)</f>
        <v>0</v>
      </c>
      <c r="R274" s="66">
        <f>((SUM(R36:R37))*'Data - P&amp;L'!$C$34)</f>
        <v>0</v>
      </c>
      <c r="S274" s="66">
        <f>((SUM(S36:S37))*'Data - P&amp;L'!$C$34)</f>
        <v>0</v>
      </c>
      <c r="T274" s="66">
        <f>((SUM(T36:T37))*'Data - P&amp;L'!$C$34)</f>
        <v>0</v>
      </c>
      <c r="U274" s="66">
        <f>((SUM(U36:U37))*'Data - P&amp;L'!$C$34)</f>
        <v>0</v>
      </c>
      <c r="V274" s="66">
        <f>((SUM(V36:V37))*'Data - P&amp;L'!$C$34)</f>
        <v>0</v>
      </c>
      <c r="W274" s="66">
        <f>((SUM(W36:W37))*'Data - P&amp;L'!$C$34)</f>
        <v>0</v>
      </c>
      <c r="X274" s="66">
        <f>((SUM(X36:X37))*'Data - P&amp;L'!$C$34)</f>
        <v>0</v>
      </c>
      <c r="Y274" s="66">
        <f>((SUM(Y36:Y37))*'Data - P&amp;L'!$C$34)</f>
        <v>18.66</v>
      </c>
      <c r="Z274" s="66">
        <f>((SUM(Z36:Z37))*'Data - P&amp;L'!$C$34)</f>
        <v>0</v>
      </c>
      <c r="AA274" s="66">
        <f>((SUM(AA36:AA37))*'Data - P&amp;L'!$C$34)</f>
        <v>0</v>
      </c>
      <c r="AB274" s="66">
        <f>((SUM(AB36:AB37))*'Data - P&amp;L'!$C$34)</f>
        <v>0</v>
      </c>
      <c r="AC274" s="66">
        <f>((SUM(AC36:AC37))*'Data - P&amp;L'!$C$34)</f>
        <v>0</v>
      </c>
      <c r="AD274" s="66">
        <f>((SUM(AD36:AD37))*'Data - P&amp;L'!$C$34)</f>
        <v>0</v>
      </c>
      <c r="AE274" s="66">
        <f>((SUM(AE36:AE37))*'Data - P&amp;L'!$C$34)</f>
        <v>0</v>
      </c>
      <c r="AF274" s="62">
        <f t="shared" si="66"/>
        <v>18.66</v>
      </c>
    </row>
    <row r="275" outlineLevel="1">
      <c r="A275" s="575" t="s">
        <v>849</v>
      </c>
      <c r="B275" s="329">
        <f>B53+B57+B165+B169</f>
        <v>0</v>
      </c>
      <c r="C275" s="329">
        <f t="shared" ref="C275:AE275" si="67">C53+C57</f>
        <v>0</v>
      </c>
      <c r="D275" s="329">
        <f t="shared" si="67"/>
        <v>0</v>
      </c>
      <c r="E275" s="329">
        <f t="shared" si="67"/>
        <v>0</v>
      </c>
      <c r="F275" s="329">
        <f t="shared" si="67"/>
        <v>0</v>
      </c>
      <c r="G275" s="329">
        <f t="shared" si="67"/>
        <v>0</v>
      </c>
      <c r="H275" s="329">
        <f t="shared" si="67"/>
        <v>0</v>
      </c>
      <c r="I275" s="329">
        <f t="shared" si="67"/>
        <v>0</v>
      </c>
      <c r="J275" s="329">
        <f t="shared" si="67"/>
        <v>0</v>
      </c>
      <c r="K275" s="329">
        <f t="shared" si="67"/>
        <v>0</v>
      </c>
      <c r="L275" s="329">
        <f t="shared" si="67"/>
        <v>0</v>
      </c>
      <c r="M275" s="329">
        <f t="shared" si="67"/>
        <v>0</v>
      </c>
      <c r="N275" s="329">
        <f t="shared" si="67"/>
        <v>0</v>
      </c>
      <c r="O275" s="329">
        <f t="shared" si="67"/>
        <v>0</v>
      </c>
      <c r="P275" s="329">
        <f t="shared" si="67"/>
        <v>0</v>
      </c>
      <c r="Q275" s="329">
        <f t="shared" si="67"/>
        <v>0</v>
      </c>
      <c r="R275" s="329">
        <f t="shared" si="67"/>
        <v>0</v>
      </c>
      <c r="S275" s="329">
        <f t="shared" si="67"/>
        <v>0</v>
      </c>
      <c r="T275" s="329">
        <f t="shared" si="67"/>
        <v>0</v>
      </c>
      <c r="U275" s="329">
        <f t="shared" si="67"/>
        <v>0</v>
      </c>
      <c r="V275" s="329">
        <f t="shared" si="67"/>
        <v>0</v>
      </c>
      <c r="W275" s="329">
        <f t="shared" si="67"/>
        <v>0</v>
      </c>
      <c r="X275" s="329">
        <f t="shared" si="67"/>
        <v>0</v>
      </c>
      <c r="Y275" s="329">
        <f t="shared" si="67"/>
        <v>299.99</v>
      </c>
      <c r="Z275" s="329">
        <f t="shared" si="67"/>
        <v>0</v>
      </c>
      <c r="AA275" s="329">
        <f t="shared" si="67"/>
        <v>0</v>
      </c>
      <c r="AB275" s="329">
        <f t="shared" si="67"/>
        <v>0</v>
      </c>
      <c r="AC275" s="329">
        <f t="shared" si="67"/>
        <v>0</v>
      </c>
      <c r="AD275" s="329">
        <f t="shared" si="67"/>
        <v>0</v>
      </c>
      <c r="AE275" s="329">
        <f t="shared" si="67"/>
        <v>0</v>
      </c>
      <c r="AF275" s="62">
        <f t="shared" si="66"/>
        <v>299.99</v>
      </c>
    </row>
    <row r="276">
      <c r="A276" s="364" t="s">
        <v>851</v>
      </c>
      <c r="B276" s="331">
        <f t="shared" ref="B276:AE276" si="68">SUM(B277:B285)-B286-B287</f>
        <v>0</v>
      </c>
      <c r="C276" s="331">
        <f t="shared" si="68"/>
        <v>-309.45625</v>
      </c>
      <c r="D276" s="331">
        <f t="shared" si="68"/>
        <v>-39.70625</v>
      </c>
      <c r="E276" s="331">
        <f t="shared" si="68"/>
        <v>0</v>
      </c>
      <c r="F276" s="331">
        <f t="shared" si="68"/>
        <v>0</v>
      </c>
      <c r="G276" s="331">
        <f t="shared" si="68"/>
        <v>0</v>
      </c>
      <c r="H276" s="331">
        <f t="shared" si="68"/>
        <v>0</v>
      </c>
      <c r="I276" s="331">
        <f t="shared" si="68"/>
        <v>-1300.98875</v>
      </c>
      <c r="J276" s="331">
        <f t="shared" si="68"/>
        <v>0</v>
      </c>
      <c r="K276" s="331">
        <f t="shared" si="68"/>
        <v>0</v>
      </c>
      <c r="L276" s="331">
        <f t="shared" si="68"/>
        <v>0</v>
      </c>
      <c r="M276" s="331">
        <f t="shared" si="68"/>
        <v>0</v>
      </c>
      <c r="N276" s="331">
        <f t="shared" si="68"/>
        <v>0</v>
      </c>
      <c r="O276" s="331">
        <f t="shared" si="68"/>
        <v>-470.865</v>
      </c>
      <c r="P276" s="331">
        <f t="shared" si="68"/>
        <v>-263.4275</v>
      </c>
      <c r="Q276" s="331">
        <f t="shared" si="68"/>
        <v>0</v>
      </c>
      <c r="R276" s="331">
        <f t="shared" si="68"/>
        <v>0</v>
      </c>
      <c r="S276" s="331">
        <f t="shared" si="68"/>
        <v>0</v>
      </c>
      <c r="T276" s="331">
        <f t="shared" si="68"/>
        <v>-283.84625</v>
      </c>
      <c r="U276" s="331">
        <f t="shared" si="68"/>
        <v>-309.76375</v>
      </c>
      <c r="V276" s="331">
        <f t="shared" si="68"/>
        <v>-299</v>
      </c>
      <c r="W276" s="331">
        <f t="shared" si="68"/>
        <v>0</v>
      </c>
      <c r="X276" s="331">
        <f t="shared" si="68"/>
        <v>-846.745</v>
      </c>
      <c r="Y276" s="331">
        <f t="shared" si="68"/>
        <v>0</v>
      </c>
      <c r="Z276" s="331">
        <f t="shared" si="68"/>
        <v>0</v>
      </c>
      <c r="AA276" s="331">
        <f t="shared" si="68"/>
        <v>0</v>
      </c>
      <c r="AB276" s="331">
        <f t="shared" si="68"/>
        <v>0</v>
      </c>
      <c r="AC276" s="331">
        <f t="shared" si="68"/>
        <v>0</v>
      </c>
      <c r="AD276" s="331">
        <f t="shared" si="68"/>
        <v>0</v>
      </c>
      <c r="AE276" s="331">
        <f t="shared" si="68"/>
        <v>0</v>
      </c>
      <c r="AF276" s="62">
        <f t="shared" si="66"/>
        <v>-4123.79875</v>
      </c>
    </row>
    <row r="277" outlineLevel="1">
      <c r="A277" s="87" t="s">
        <v>475</v>
      </c>
      <c r="B277" s="66">
        <f>((B60+B61+B172+B173)*'Data - P&amp;L'!$C$3)*'Data - P&amp;L'!$C$54</f>
        <v>0</v>
      </c>
      <c r="C277" s="66">
        <f>((C60+C61+C172+C173)*'Data - P&amp;L'!$C$3)*'Data - P&amp;L'!$C$54</f>
        <v>21.725</v>
      </c>
      <c r="D277" s="66">
        <f>((D60+D61+D172+D173)*'Data - P&amp;L'!$C$3)*'Data - P&amp;L'!$C$54</f>
        <v>0</v>
      </c>
      <c r="E277" s="66">
        <f>((E60+E61+E172+E173)*'Data - P&amp;L'!$C$3)*'Data - P&amp;L'!$C$54</f>
        <v>0</v>
      </c>
      <c r="F277" s="66">
        <f>((F60+F61+F172+F173)*'Data - P&amp;L'!$C$3)*'Data - P&amp;L'!$C$54</f>
        <v>0</v>
      </c>
      <c r="G277" s="66">
        <f>((G60+G61+G172+G173)*'Data - P&amp;L'!$C$3)*'Data - P&amp;L'!$C$54</f>
        <v>0</v>
      </c>
      <c r="H277" s="66">
        <f>((H60+H61+H172+H173)*'Data - P&amp;L'!$C$3)*'Data - P&amp;L'!$C$54</f>
        <v>0</v>
      </c>
      <c r="I277" s="66">
        <f>((I60+I61+I172+I173)*'Data - P&amp;L'!$C$3)*'Data - P&amp;L'!$C$54</f>
        <v>43.45</v>
      </c>
      <c r="J277" s="66">
        <f>((J60+J61+J172+J173)*'Data - P&amp;L'!$C$3)*'Data - P&amp;L'!$C$54</f>
        <v>0</v>
      </c>
      <c r="K277" s="66">
        <f>((K60+K61+K172+K173)*'Data - P&amp;L'!$C$3)*'Data - P&amp;L'!$C$54</f>
        <v>0</v>
      </c>
      <c r="L277" s="66">
        <f>((L60+L61+L172+L173)*'Data - P&amp;L'!$C$3)*'Data - P&amp;L'!$C$54</f>
        <v>0</v>
      </c>
      <c r="M277" s="66">
        <f>((M60+M61+M172+M173)*'Data - P&amp;L'!$C$3)*'Data - P&amp;L'!$C$54</f>
        <v>0</v>
      </c>
      <c r="N277" s="66">
        <f>((N60+N61+N172+N173)*'Data - P&amp;L'!$C$3)*'Data - P&amp;L'!$C$54</f>
        <v>0</v>
      </c>
      <c r="O277" s="66">
        <f>((O60+O61+O172+O173)*'Data - P&amp;L'!$C$3)*'Data - P&amp;L'!$C$54</f>
        <v>21.725</v>
      </c>
      <c r="P277" s="66">
        <f>((P60+P61+P172+P173)*'Data - P&amp;L'!$C$3)*'Data - P&amp;L'!$C$54</f>
        <v>0</v>
      </c>
      <c r="Q277" s="66">
        <f>((Q60+Q61+Q172+Q173)*'Data - P&amp;L'!$C$3)*'Data - P&amp;L'!$C$54</f>
        <v>0</v>
      </c>
      <c r="R277" s="66">
        <f>((R60+R61+R172+R173)*'Data - P&amp;L'!$C$3)*'Data - P&amp;L'!$C$54</f>
        <v>0</v>
      </c>
      <c r="S277" s="66">
        <f>((S60+S61+S172+S173)*'Data - P&amp;L'!$C$3)*'Data - P&amp;L'!$C$54</f>
        <v>0</v>
      </c>
      <c r="T277" s="66">
        <f>((T60+T61+T172+T173)*'Data - P&amp;L'!$C$3)*'Data - P&amp;L'!$C$54</f>
        <v>0</v>
      </c>
      <c r="U277" s="66">
        <f>((U60+U61+U172+U173)*'Data - P&amp;L'!$C$3)*'Data - P&amp;L'!$C$54</f>
        <v>21.725</v>
      </c>
      <c r="V277" s="66">
        <f>((V60+V61+V172+V173)*'Data - P&amp;L'!$C$3)*'Data - P&amp;L'!$C$54</f>
        <v>0</v>
      </c>
      <c r="W277" s="66">
        <f>((W60+W61+W172+W173)*'Data - P&amp;L'!$C$3)*'Data - P&amp;L'!$C$54</f>
        <v>0</v>
      </c>
      <c r="X277" s="66">
        <f>((X60+X61+X172+X173)*'Data - P&amp;L'!$C$3)*'Data - P&amp;L'!$C$54</f>
        <v>0</v>
      </c>
      <c r="Y277" s="66">
        <f>((Y60+Y61+Y172+Y173)*'Data - P&amp;L'!$C$3)*'Data - P&amp;L'!$C$54</f>
        <v>0</v>
      </c>
      <c r="Z277" s="66">
        <f>((Z60+Z61+Z172+Z173)*'Data - P&amp;L'!$C$3)*'Data - P&amp;L'!$C$54</f>
        <v>0</v>
      </c>
      <c r="AA277" s="66">
        <f>((AA60+AA61+AA172+AA173)*'Data - P&amp;L'!$C$3)*'Data - P&amp;L'!$C$54</f>
        <v>0</v>
      </c>
      <c r="AB277" s="66">
        <f>((AB60+AB61+AB172+AB173)*'Data - P&amp;L'!$C$3)*'Data - P&amp;L'!$C$54</f>
        <v>0</v>
      </c>
      <c r="AC277" s="66">
        <f>((AC60+AC61+AC172+AC173)*'Data - P&amp;L'!$C$3)*'Data - P&amp;L'!$C$54</f>
        <v>0</v>
      </c>
      <c r="AD277" s="66">
        <f>((AD60+AD61+AD172+AD173)*'Data - P&amp;L'!$C$3)*'Data - P&amp;L'!$C$54</f>
        <v>0</v>
      </c>
      <c r="AE277" s="66">
        <f>((AE60+AE61+AE172+AE173)*'Data - P&amp;L'!$C$3)*'Data - P&amp;L'!$C$54</f>
        <v>0</v>
      </c>
      <c r="AF277" s="282"/>
    </row>
    <row r="278" outlineLevel="1">
      <c r="A278" s="87" t="s">
        <v>480</v>
      </c>
      <c r="B278" s="66">
        <f>(B62+B63+B174+B175)*'Data - P&amp;L'!$C$4*'Data - P&amp;L'!$C$54</f>
        <v>0</v>
      </c>
      <c r="C278" s="66">
        <f>(C62+C63+C174+C175)*'Data - P&amp;L'!$C$4*'Data - P&amp;L'!$C$54</f>
        <v>24.4025</v>
      </c>
      <c r="D278" s="66">
        <f>(D62+D63+D174+D175)*'Data - P&amp;L'!$C$4*'Data - P&amp;L'!$C$54</f>
        <v>0</v>
      </c>
      <c r="E278" s="66">
        <f>(E62+E63+E174+E175)*'Data - P&amp;L'!$C$4*'Data - P&amp;L'!$C$54</f>
        <v>0</v>
      </c>
      <c r="F278" s="66">
        <f>(F62+F63+F174+F175)*'Data - P&amp;L'!$C$4*'Data - P&amp;L'!$C$54</f>
        <v>0</v>
      </c>
      <c r="G278" s="66">
        <f>(G62+G63+G174+G175)*'Data - P&amp;L'!$C$4*'Data - P&amp;L'!$C$54</f>
        <v>0</v>
      </c>
      <c r="H278" s="66">
        <f>(H62+H63+H174+H175)*'Data - P&amp;L'!$C$4*'Data - P&amp;L'!$C$54</f>
        <v>0</v>
      </c>
      <c r="I278" s="66">
        <f>(I62+I63+I174+I175)*'Data - P&amp;L'!$C$4*'Data - P&amp;L'!$C$54</f>
        <v>73.2075</v>
      </c>
      <c r="J278" s="66">
        <f>(J62+J63+J174+J175)*'Data - P&amp;L'!$C$4*'Data - P&amp;L'!$C$54</f>
        <v>0</v>
      </c>
      <c r="K278" s="66">
        <f>(K62+K63+K174+K175)*'Data - P&amp;L'!$C$4*'Data - P&amp;L'!$C$54</f>
        <v>0</v>
      </c>
      <c r="L278" s="66">
        <f>(L62+L63+L174+L175)*'Data - P&amp;L'!$C$4*'Data - P&amp;L'!$C$54</f>
        <v>0</v>
      </c>
      <c r="M278" s="66">
        <f>(M62+M63+M174+M175)*'Data - P&amp;L'!$C$4*'Data - P&amp;L'!$C$54</f>
        <v>0</v>
      </c>
      <c r="N278" s="66">
        <f>(N62+N63+N174+N175)*'Data - P&amp;L'!$C$4*'Data - P&amp;L'!$C$54</f>
        <v>0</v>
      </c>
      <c r="O278" s="66">
        <f>(O62+O63+O174+O175)*'Data - P&amp;L'!$C$4*'Data - P&amp;L'!$C$54</f>
        <v>48.805</v>
      </c>
      <c r="P278" s="66">
        <f>(P62+P63+P174+P175)*'Data - P&amp;L'!$C$4*'Data - P&amp;L'!$C$54</f>
        <v>24.4025</v>
      </c>
      <c r="Q278" s="66">
        <f>(Q62+Q63+Q174+Q175)*'Data - P&amp;L'!$C$4*'Data - P&amp;L'!$C$54</f>
        <v>0</v>
      </c>
      <c r="R278" s="66">
        <f>(R62+R63+R174+R175)*'Data - P&amp;L'!$C$4*'Data - P&amp;L'!$C$54</f>
        <v>0</v>
      </c>
      <c r="S278" s="66">
        <f>(S62+S63+S174+S175)*'Data - P&amp;L'!$C$4*'Data - P&amp;L'!$C$54</f>
        <v>0</v>
      </c>
      <c r="T278" s="66">
        <f>(T62+T63+T174+T175)*'Data - P&amp;L'!$C$4*'Data - P&amp;L'!$C$54</f>
        <v>24.4025</v>
      </c>
      <c r="U278" s="66">
        <f>(U62+U63+U174+U175)*'Data - P&amp;L'!$C$4*'Data - P&amp;L'!$C$54</f>
        <v>0</v>
      </c>
      <c r="V278" s="66">
        <f>(V62+V63+V174+V175)*'Data - P&amp;L'!$C$4*'Data - P&amp;L'!$C$54</f>
        <v>0</v>
      </c>
      <c r="W278" s="66">
        <f>(W62+W63+W174+W175)*'Data - P&amp;L'!$C$4*'Data - P&amp;L'!$C$54</f>
        <v>0</v>
      </c>
      <c r="X278" s="66">
        <f>(X62+X63+X174+X175)*'Data - P&amp;L'!$C$4*'Data - P&amp;L'!$C$54</f>
        <v>73.2075</v>
      </c>
      <c r="Y278" s="66">
        <f>(Y62+Y63+Y174+Y175)*'Data - P&amp;L'!$C$4*'Data - P&amp;L'!$C$54</f>
        <v>0</v>
      </c>
      <c r="Z278" s="66">
        <f>(Z62+Z63+Z174+Z175)*'Data - P&amp;L'!$C$4*'Data - P&amp;L'!$C$54</f>
        <v>0</v>
      </c>
      <c r="AA278" s="66">
        <f>(AA62+AA63+AA174+AA175)*'Data - P&amp;L'!$C$4*'Data - P&amp;L'!$C$54</f>
        <v>0</v>
      </c>
      <c r="AB278" s="66">
        <f>(AB62+AB63+AB174+AB175)*'Data - P&amp;L'!$C$4*'Data - P&amp;L'!$C$54</f>
        <v>0</v>
      </c>
      <c r="AC278" s="66">
        <f>(AC62+AC63+AC174+AC175)*'Data - P&amp;L'!$C$4*'Data - P&amp;L'!$C$54</f>
        <v>0</v>
      </c>
      <c r="AD278" s="66">
        <f>(AD62+AD63+AD174+AD175)*'Data - P&amp;L'!$C$4*'Data - P&amp;L'!$C$54</f>
        <v>0</v>
      </c>
      <c r="AE278" s="66">
        <f>(AE62+AE63+AE174+AE175)*'Data - P&amp;L'!$C$4*'Data - P&amp;L'!$C$54</f>
        <v>0</v>
      </c>
      <c r="AF278" s="282"/>
    </row>
    <row r="279" outlineLevel="1">
      <c r="A279" s="87" t="s">
        <v>485</v>
      </c>
      <c r="B279" s="66">
        <f>(B67+B179)*'Data - P&amp;L'!$C$6*'Data - P&amp;L'!$C$54</f>
        <v>0</v>
      </c>
      <c r="C279" s="66">
        <f>(C67+C179)*'Data - P&amp;L'!$C$6*'Data - P&amp;L'!$C$54</f>
        <v>1.3725</v>
      </c>
      <c r="D279" s="66">
        <f>(D67+D179)*'Data - P&amp;L'!$C$6*'Data - P&amp;L'!$C$54</f>
        <v>0</v>
      </c>
      <c r="E279" s="66">
        <f>(E67+E179)*'Data - P&amp;L'!$C$6*'Data - P&amp;L'!$C$54</f>
        <v>0</v>
      </c>
      <c r="F279" s="66">
        <f>(F67+F179)*'Data - P&amp;L'!$C$6*'Data - P&amp;L'!$C$54</f>
        <v>0</v>
      </c>
      <c r="G279" s="66">
        <f>(G67+G179)*'Data - P&amp;L'!$C$6*'Data - P&amp;L'!$C$54</f>
        <v>0</v>
      </c>
      <c r="H279" s="66">
        <f>(H67+H179)*'Data - P&amp;L'!$C$6*'Data - P&amp;L'!$C$54</f>
        <v>0</v>
      </c>
      <c r="I279" s="66">
        <f>(I67+I179)*'Data - P&amp;L'!$C$6*'Data - P&amp;L'!$C$54</f>
        <v>1.3725</v>
      </c>
      <c r="J279" s="66">
        <f>(J67+J179)*'Data - P&amp;L'!$C$6*'Data - P&amp;L'!$C$54</f>
        <v>0</v>
      </c>
      <c r="K279" s="66">
        <f>(K67+K179)*'Data - P&amp;L'!$C$6*'Data - P&amp;L'!$C$54</f>
        <v>0</v>
      </c>
      <c r="L279" s="66">
        <f>(L67+L179)*'Data - P&amp;L'!$C$6*'Data - P&amp;L'!$C$54</f>
        <v>0</v>
      </c>
      <c r="M279" s="66">
        <f>(M67+M179)*'Data - P&amp;L'!$C$6*'Data - P&amp;L'!$C$54</f>
        <v>0</v>
      </c>
      <c r="N279" s="66">
        <f>(N67+N179)*'Data - P&amp;L'!$C$6*'Data - P&amp;L'!$C$54</f>
        <v>0</v>
      </c>
      <c r="O279" s="66">
        <f>(O67+O179)*'Data - P&amp;L'!$C$6*'Data - P&amp;L'!$C$54</f>
        <v>0</v>
      </c>
      <c r="P279" s="66">
        <f>(P67+P179)*'Data - P&amp;L'!$C$6*'Data - P&amp;L'!$C$54</f>
        <v>0</v>
      </c>
      <c r="Q279" s="66">
        <f>(Q67+Q179)*'Data - P&amp;L'!$C$6*'Data - P&amp;L'!$C$54</f>
        <v>0</v>
      </c>
      <c r="R279" s="66">
        <f>(R67+R179)*'Data - P&amp;L'!$C$6*'Data - P&amp;L'!$C$54</f>
        <v>0</v>
      </c>
      <c r="S279" s="66">
        <f>(S67+S179)*'Data - P&amp;L'!$C$6*'Data - P&amp;L'!$C$54</f>
        <v>0</v>
      </c>
      <c r="T279" s="66">
        <f>(T67+T179)*'Data - P&amp;L'!$C$6*'Data - P&amp;L'!$C$54</f>
        <v>1.3725</v>
      </c>
      <c r="U279" s="66">
        <f>(U67+U179)*'Data - P&amp;L'!$C$6*'Data - P&amp;L'!$C$54</f>
        <v>1.3725</v>
      </c>
      <c r="V279" s="66">
        <f>(V67+V179)*'Data - P&amp;L'!$C$6*'Data - P&amp;L'!$C$54</f>
        <v>0</v>
      </c>
      <c r="W279" s="66">
        <f>(W67+W179)*'Data - P&amp;L'!$C$6*'Data - P&amp;L'!$C$54</f>
        <v>0</v>
      </c>
      <c r="X279" s="66">
        <f>(X67+X179)*'Data - P&amp;L'!$C$6*'Data - P&amp;L'!$C$54</f>
        <v>1.3725</v>
      </c>
      <c r="Y279" s="66">
        <f>(Y67+Y179)*'Data - P&amp;L'!$C$6*'Data - P&amp;L'!$C$54</f>
        <v>0</v>
      </c>
      <c r="Z279" s="66">
        <f>(Z67+Z179)*'Data - P&amp;L'!$C$6*'Data - P&amp;L'!$C$54</f>
        <v>0</v>
      </c>
      <c r="AA279" s="66">
        <f>(AA67+AA179)*'Data - P&amp;L'!$C$6*'Data - P&amp;L'!$C$54</f>
        <v>0</v>
      </c>
      <c r="AB279" s="66">
        <f>(AB67+AB179)*'Data - P&amp;L'!$C$6*'Data - P&amp;L'!$C$54</f>
        <v>0</v>
      </c>
      <c r="AC279" s="66">
        <f>(AC67+AC179)*'Data - P&amp;L'!$C$6*'Data - P&amp;L'!$C$54</f>
        <v>0</v>
      </c>
      <c r="AD279" s="66">
        <f>(AD67+AD179)*'Data - P&amp;L'!$C$6*'Data - P&amp;L'!$C$54</f>
        <v>0</v>
      </c>
      <c r="AE279" s="66">
        <f>(AE67+AE179)*'Data - P&amp;L'!$C$6*'Data - P&amp;L'!$C$54</f>
        <v>0</v>
      </c>
      <c r="AF279" s="62">
        <f>SUM(B279:AE279)</f>
        <v>6.8625</v>
      </c>
    </row>
    <row r="280" outlineLevel="1">
      <c r="A280" s="87" t="s">
        <v>489</v>
      </c>
      <c r="B280" s="66">
        <f>(B68+B180)*'Data - P&amp;L'!$C$8*'Data - P&amp;L'!$C$54</f>
        <v>0</v>
      </c>
      <c r="C280" s="66">
        <f>(C68+C180)*'Data - P&amp;L'!$C$8*'Data - P&amp;L'!$C$54</f>
        <v>0.2975</v>
      </c>
      <c r="D280" s="66">
        <f>(D68+D180)*'Data - P&amp;L'!$C$8*'Data - P&amp;L'!$C$54</f>
        <v>0</v>
      </c>
      <c r="E280" s="66">
        <f>(E68+E180)*'Data - P&amp;L'!$C$8*'Data - P&amp;L'!$C$54</f>
        <v>0</v>
      </c>
      <c r="F280" s="66">
        <f>(F68+F180)*'Data - P&amp;L'!$C$8*'Data - P&amp;L'!$C$54</f>
        <v>0</v>
      </c>
      <c r="G280" s="66">
        <f>(G68+G180)*'Data - P&amp;L'!$C$8*'Data - P&amp;L'!$C$54</f>
        <v>0</v>
      </c>
      <c r="H280" s="66">
        <f>(H68+H180)*'Data - P&amp;L'!$C$8*'Data - P&amp;L'!$C$54</f>
        <v>0</v>
      </c>
      <c r="I280" s="66">
        <f>(I68+I180)*'Data - P&amp;L'!$C$8*'Data - P&amp;L'!$C$54</f>
        <v>0.8925</v>
      </c>
      <c r="J280" s="66">
        <f>(J68+J180)*'Data - P&amp;L'!$C$8*'Data - P&amp;L'!$C$54</f>
        <v>0</v>
      </c>
      <c r="K280" s="66">
        <f>(K68+K180)*'Data - P&amp;L'!$C$8*'Data - P&amp;L'!$C$54</f>
        <v>0</v>
      </c>
      <c r="L280" s="66">
        <f>(L68+L180)*'Data - P&amp;L'!$C$8*'Data - P&amp;L'!$C$54</f>
        <v>0</v>
      </c>
      <c r="M280" s="66">
        <f>(M68+M180)*'Data - P&amp;L'!$C$8*'Data - P&amp;L'!$C$54</f>
        <v>0</v>
      </c>
      <c r="N280" s="66">
        <f>(N68+N180)*'Data - P&amp;L'!$C$8*'Data - P&amp;L'!$C$54</f>
        <v>0</v>
      </c>
      <c r="O280" s="66">
        <f>(O68+O180)*'Data - P&amp;L'!$C$8*'Data - P&amp;L'!$C$54</f>
        <v>0.2975</v>
      </c>
      <c r="P280" s="66">
        <f>(P68+P180)*'Data - P&amp;L'!$C$8*'Data - P&amp;L'!$C$54</f>
        <v>0</v>
      </c>
      <c r="Q280" s="66">
        <f>(Q68+Q180)*'Data - P&amp;L'!$C$8*'Data - P&amp;L'!$C$54</f>
        <v>0</v>
      </c>
      <c r="R280" s="66">
        <f>(R68+R180)*'Data - P&amp;L'!$C$8*'Data - P&amp;L'!$C$54</f>
        <v>0</v>
      </c>
      <c r="S280" s="66">
        <f>(S68+S180)*'Data - P&amp;L'!$C$8*'Data - P&amp;L'!$C$54</f>
        <v>0</v>
      </c>
      <c r="T280" s="66">
        <f>(T68+T180)*'Data - P&amp;L'!$C$8*'Data - P&amp;L'!$C$54</f>
        <v>0</v>
      </c>
      <c r="U280" s="66">
        <f>(U68+U180)*'Data - P&amp;L'!$C$8*'Data - P&amp;L'!$C$54</f>
        <v>0.2975</v>
      </c>
      <c r="V280" s="66">
        <f>(V68+V180)*'Data - P&amp;L'!$C$8*'Data - P&amp;L'!$C$54</f>
        <v>0</v>
      </c>
      <c r="W280" s="66">
        <f>(W68+W180)*'Data - P&amp;L'!$C$8*'Data - P&amp;L'!$C$54</f>
        <v>0</v>
      </c>
      <c r="X280" s="66">
        <f>(X68+X180)*'Data - P&amp;L'!$C$8*'Data - P&amp;L'!$C$54</f>
        <v>0.2975</v>
      </c>
      <c r="Y280" s="66">
        <f>(Y68+Y180)*'Data - P&amp;L'!$C$8*'Data - P&amp;L'!$C$54</f>
        <v>0</v>
      </c>
      <c r="Z280" s="66">
        <f>(Z68+Z180)*'Data - P&amp;L'!$C$8*'Data - P&amp;L'!$C$54</f>
        <v>0</v>
      </c>
      <c r="AA280" s="66">
        <f>(AA68+AA180)*'Data - P&amp;L'!$C$8*'Data - P&amp;L'!$C$54</f>
        <v>0</v>
      </c>
      <c r="AB280" s="66">
        <f>(AB68+AB180)*'Data - P&amp;L'!$C$8*'Data - P&amp;L'!$C$54</f>
        <v>0</v>
      </c>
      <c r="AC280" s="66">
        <f>(AC68+AC180)*'Data - P&amp;L'!$C$8*'Data - P&amp;L'!$C$54</f>
        <v>0</v>
      </c>
      <c r="AD280" s="66">
        <f>(AD68+AD180)*'Data - P&amp;L'!$C$8*'Data - P&amp;L'!$C$54</f>
        <v>0</v>
      </c>
      <c r="AE280" s="66">
        <f>(AE68+AE180)*'Data - P&amp;L'!$C$8*'Data - P&amp;L'!$C$54</f>
        <v>0</v>
      </c>
      <c r="AF280" s="62">
        <f>SUM(AF266:AF279)</f>
        <v>-3682.07625</v>
      </c>
    </row>
    <row r="281" outlineLevel="1">
      <c r="A281" s="87" t="s">
        <v>395</v>
      </c>
      <c r="B281" s="66">
        <f>(B69+B70+B181+B182)*'Data - P&amp;L'!$C$9*'Data - P&amp;L'!$C$54</f>
        <v>0</v>
      </c>
      <c r="C281" s="66">
        <f>(C69+C70+C181+C182)*'Data - P&amp;L'!$C$9*'Data - P&amp;L'!$C$54</f>
        <v>1.665</v>
      </c>
      <c r="D281" s="66">
        <f>(D69+D70+D181+D182)*'Data - P&amp;L'!$C$9*'Data - P&amp;L'!$C$54</f>
        <v>1.665</v>
      </c>
      <c r="E281" s="66">
        <f>(E69+E70+E181+E182)*'Data - P&amp;L'!$C$9*'Data - P&amp;L'!$C$54</f>
        <v>0</v>
      </c>
      <c r="F281" s="66">
        <f>(F69+F70+F181+F182)*'Data - P&amp;L'!$C$9*'Data - P&amp;L'!$C$54</f>
        <v>0</v>
      </c>
      <c r="G281" s="66">
        <f>(G69+G70+G181+G182)*'Data - P&amp;L'!$C$9*'Data - P&amp;L'!$C$54</f>
        <v>0</v>
      </c>
      <c r="H281" s="66">
        <f>(H69+H70+H181+H182)*'Data - P&amp;L'!$C$9*'Data - P&amp;L'!$C$54</f>
        <v>0</v>
      </c>
      <c r="I281" s="66">
        <f>(I69+I70+I181+I182)*'Data - P&amp;L'!$C$9*'Data - P&amp;L'!$C$54</f>
        <v>1.665</v>
      </c>
      <c r="J281" s="66">
        <f>(J69+J70+J181+J182)*'Data - P&amp;L'!$C$9*'Data - P&amp;L'!$C$54</f>
        <v>0</v>
      </c>
      <c r="K281" s="66">
        <f>(K69+K70+K181+K182)*'Data - P&amp;L'!$C$9*'Data - P&amp;L'!$C$54</f>
        <v>0</v>
      </c>
      <c r="L281" s="66">
        <f>(L69+L70+L181+L182)*'Data - P&amp;L'!$C$9*'Data - P&amp;L'!$C$54</f>
        <v>0</v>
      </c>
      <c r="M281" s="66">
        <f>(M69+M70+M181+M182)*'Data - P&amp;L'!$C$9*'Data - P&amp;L'!$C$54</f>
        <v>0</v>
      </c>
      <c r="N281" s="66">
        <f>(N69+N70+N181+N182)*'Data - P&amp;L'!$C$9*'Data - P&amp;L'!$C$54</f>
        <v>0</v>
      </c>
      <c r="O281" s="66">
        <f>(O69+O70+O181+O182)*'Data - P&amp;L'!$C$9*'Data - P&amp;L'!$C$54</f>
        <v>1.665</v>
      </c>
      <c r="P281" s="66">
        <f>(P69+P70+P181+P182)*'Data - P&amp;L'!$C$9*'Data - P&amp;L'!$C$54</f>
        <v>0</v>
      </c>
      <c r="Q281" s="66">
        <f>(Q69+Q70+Q181+Q182)*'Data - P&amp;L'!$C$9*'Data - P&amp;L'!$C$54</f>
        <v>0</v>
      </c>
      <c r="R281" s="66">
        <f>(R69+R70+R181+R182)*'Data - P&amp;L'!$C$9*'Data - P&amp;L'!$C$54</f>
        <v>0</v>
      </c>
      <c r="S281" s="66">
        <f>(S69+S70+S181+S182)*'Data - P&amp;L'!$C$9*'Data - P&amp;L'!$C$54</f>
        <v>0</v>
      </c>
      <c r="T281" s="66">
        <f>(T69+T70+T181+T182)*'Data - P&amp;L'!$C$9*'Data - P&amp;L'!$C$54</f>
        <v>0</v>
      </c>
      <c r="U281" s="66">
        <f>(U69+U70+U181+U182)*'Data - P&amp;L'!$C$9*'Data - P&amp;L'!$C$54</f>
        <v>0</v>
      </c>
      <c r="V281" s="66">
        <f>(V69+V70+V181+V182)*'Data - P&amp;L'!$C$9*'Data - P&amp;L'!$C$54</f>
        <v>0</v>
      </c>
      <c r="W281" s="66">
        <f>(W69+W70+W181+W182)*'Data - P&amp;L'!$C$9*'Data - P&amp;L'!$C$54</f>
        <v>0</v>
      </c>
      <c r="X281" s="66">
        <f>(X69+X70+X181+X182)*'Data - P&amp;L'!$C$9*'Data - P&amp;L'!$C$54</f>
        <v>0</v>
      </c>
      <c r="Y281" s="66">
        <f>(Y69+Y70+Y181+Y182)*'Data - P&amp;L'!$C$9*'Data - P&amp;L'!$C$54</f>
        <v>0</v>
      </c>
      <c r="Z281" s="66">
        <f>(Z69+Z70+Z181+Z182)*'Data - P&amp;L'!$C$9*'Data - P&amp;L'!$C$54</f>
        <v>0</v>
      </c>
      <c r="AA281" s="66">
        <f>(AA69+AA70+AA181+AA182)*'Data - P&amp;L'!$C$9*'Data - P&amp;L'!$C$54</f>
        <v>0</v>
      </c>
      <c r="AB281" s="66">
        <f>(AB69+AB70+AB181+AB182)*'Data - P&amp;L'!$C$9*'Data - P&amp;L'!$C$54</f>
        <v>0</v>
      </c>
      <c r="AC281" s="66">
        <f>(AC69+AC70+AC181+AC182)*'Data - P&amp;L'!$C$9*'Data - P&amp;L'!$C$54</f>
        <v>0</v>
      </c>
      <c r="AD281" s="66">
        <f>(AD69+AD70+AD181+AD182)*'Data - P&amp;L'!$C$9*'Data - P&amp;L'!$C$54</f>
        <v>0</v>
      </c>
      <c r="AE281" s="66">
        <f>(AE69+AE70+AE181+AE182)*'Data - P&amp;L'!$C$9*'Data - P&amp;L'!$C$54</f>
        <v>0</v>
      </c>
      <c r="AF281" s="62">
        <f t="shared" ref="AF281:AF293" si="69">SUM(B281:AE281)</f>
        <v>6.66</v>
      </c>
    </row>
    <row r="282" outlineLevel="1">
      <c r="A282" s="87" t="s">
        <v>401</v>
      </c>
      <c r="B282" s="66">
        <f>(B71+B72+B183+B184)*'Data - P&amp;L'!$C$5*'Data - P&amp;L'!$C$54</f>
        <v>0</v>
      </c>
      <c r="C282" s="66">
        <f>(C71+C72+C183+C184)*'Data - P&amp;L'!$C$5*'Data - P&amp;L'!$C$54</f>
        <v>0</v>
      </c>
      <c r="D282" s="66">
        <f>(D71+D72+D183+D184)*'Data - P&amp;L'!$C$5*'Data - P&amp;L'!$C$54</f>
        <v>0</v>
      </c>
      <c r="E282" s="66">
        <f>(E71+E72+E183+E184)*'Data - P&amp;L'!$C$5*'Data - P&amp;L'!$C$54</f>
        <v>0</v>
      </c>
      <c r="F282" s="66">
        <f>(F71+F72+F183+F184)*'Data - P&amp;L'!$C$5*'Data - P&amp;L'!$C$54</f>
        <v>0</v>
      </c>
      <c r="G282" s="66">
        <f>(G71+G72+G183+G184)*'Data - P&amp;L'!$C$5*'Data - P&amp;L'!$C$54</f>
        <v>0</v>
      </c>
      <c r="H282" s="66">
        <f>(H71+H72+H183+H184)*'Data - P&amp;L'!$C$5*'Data - P&amp;L'!$C$54</f>
        <v>0</v>
      </c>
      <c r="I282" s="66">
        <f>(I71+I72+I183+I184)*'Data - P&amp;L'!$C$5*'Data - P&amp;L'!$C$54</f>
        <v>0</v>
      </c>
      <c r="J282" s="66">
        <f>(J71+J72+J183+J184)*'Data - P&amp;L'!$C$5*'Data - P&amp;L'!$C$54</f>
        <v>0</v>
      </c>
      <c r="K282" s="66">
        <f>(K71+K72+K183+K184)*'Data - P&amp;L'!$C$5*'Data - P&amp;L'!$C$54</f>
        <v>0</v>
      </c>
      <c r="L282" s="66">
        <f>(L71+L72+L183+L184)*'Data - P&amp;L'!$C$5*'Data - P&amp;L'!$C$54</f>
        <v>0</v>
      </c>
      <c r="M282" s="66">
        <f>(M71+M72+M183+M184)*'Data - P&amp;L'!$C$5*'Data - P&amp;L'!$C$54</f>
        <v>0</v>
      </c>
      <c r="N282" s="66">
        <f>(N71+N72+N183+N184)*'Data - P&amp;L'!$C$5*'Data - P&amp;L'!$C$54</f>
        <v>0</v>
      </c>
      <c r="O282" s="66">
        <f>(O71+O72+O183+O184)*'Data - P&amp;L'!$C$5*'Data - P&amp;L'!$C$54</f>
        <v>0</v>
      </c>
      <c r="P282" s="66">
        <f>(P71+P72+P183+P184)*'Data - P&amp;L'!$C$5*'Data - P&amp;L'!$C$54</f>
        <v>0</v>
      </c>
      <c r="Q282" s="66">
        <f>(Q71+Q72+Q183+Q184)*'Data - P&amp;L'!$C$5*'Data - P&amp;L'!$C$54</f>
        <v>0</v>
      </c>
      <c r="R282" s="66">
        <f>(R71+R72+R183+R184)*'Data - P&amp;L'!$C$5*'Data - P&amp;L'!$C$54</f>
        <v>0</v>
      </c>
      <c r="S282" s="66">
        <f>(S71+S72+S183+S184)*'Data - P&amp;L'!$C$5*'Data - P&amp;L'!$C$54</f>
        <v>0</v>
      </c>
      <c r="T282" s="66">
        <f>(T71+T72+T183+T184)*'Data - P&amp;L'!$C$5*'Data - P&amp;L'!$C$54</f>
        <v>0</v>
      </c>
      <c r="U282" s="66">
        <f>(U71+U72+U183+U184)*'Data - P&amp;L'!$C$5*'Data - P&amp;L'!$C$54</f>
        <v>3.36</v>
      </c>
      <c r="V282" s="66">
        <f>(V71+V72+V183+V184)*'Data - P&amp;L'!$C$5*'Data - P&amp;L'!$C$54</f>
        <v>0</v>
      </c>
      <c r="W282" s="66">
        <f>(W71+W72+W183+W184)*'Data - P&amp;L'!$C$5*'Data - P&amp;L'!$C$54</f>
        <v>0</v>
      </c>
      <c r="X282" s="66">
        <f>(X71+X72+X183+X184)*'Data - P&amp;L'!$C$5*'Data - P&amp;L'!$C$54</f>
        <v>0</v>
      </c>
      <c r="Y282" s="66">
        <f>(Y71+Y72+Y183+Y184)*'Data - P&amp;L'!$C$5*'Data - P&amp;L'!$C$54</f>
        <v>0</v>
      </c>
      <c r="Z282" s="66">
        <f>(Z71+Z72+Z183+Z184)*'Data - P&amp;L'!$C$5*'Data - P&amp;L'!$C$54</f>
        <v>0</v>
      </c>
      <c r="AA282" s="66">
        <f>(AA71+AA72+AA183+AA184)*'Data - P&amp;L'!$C$5*'Data - P&amp;L'!$C$54</f>
        <v>0</v>
      </c>
      <c r="AB282" s="66">
        <f>(AB71+AB72+AB183+AB184)*'Data - P&amp;L'!$C$5*'Data - P&amp;L'!$C$54</f>
        <v>0</v>
      </c>
      <c r="AC282" s="66">
        <f>(AC71+AC72+AC183+AC184)*'Data - P&amp;L'!$C$5*'Data - P&amp;L'!$C$54</f>
        <v>0</v>
      </c>
      <c r="AD282" s="66">
        <f>(AD71+AD72+AD183+AD184)*'Data - P&amp;L'!$C$5*'Data - P&amp;L'!$C$54</f>
        <v>0</v>
      </c>
      <c r="AE282" s="66">
        <f>(AE71+AE72+AE183+AE184)*'Data - P&amp;L'!$C$5*'Data - P&amp;L'!$C$54</f>
        <v>0</v>
      </c>
      <c r="AF282" s="62">
        <f t="shared" si="69"/>
        <v>3.36</v>
      </c>
    </row>
    <row r="283" outlineLevel="1">
      <c r="A283" s="87" t="s">
        <v>404</v>
      </c>
      <c r="B283" s="66">
        <f>(B73+B74+B185+B186)*'Data - P&amp;L'!$C$10*'Data - P&amp;L'!$C$54</f>
        <v>0</v>
      </c>
      <c r="C283" s="66">
        <f>(C73+C74+C185+C186)*'Data - P&amp;L'!$C$10*'Data - P&amp;L'!$C$54</f>
        <v>0</v>
      </c>
      <c r="D283" s="66">
        <f>(D73+D74+D185+D186)*'Data - P&amp;L'!$C$10*'Data - P&amp;L'!$C$54</f>
        <v>0</v>
      </c>
      <c r="E283" s="66">
        <f>(E73+E74+E185+E186)*'Data - P&amp;L'!$C$10*'Data - P&amp;L'!$C$54</f>
        <v>0</v>
      </c>
      <c r="F283" s="66">
        <f>(F73+F74+F185+F186)*'Data - P&amp;L'!$C$10*'Data - P&amp;L'!$C$54</f>
        <v>0</v>
      </c>
      <c r="G283" s="66">
        <f>(G73+G74+G185+G186)*'Data - P&amp;L'!$C$10*'Data - P&amp;L'!$C$54</f>
        <v>0</v>
      </c>
      <c r="H283" s="66">
        <f>(H73+H74+H185+H186)*'Data - P&amp;L'!$C$10*'Data - P&amp;L'!$C$54</f>
        <v>0</v>
      </c>
      <c r="I283" s="66">
        <f>(I73+I74+I185+I186)*'Data - P&amp;L'!$C$10*'Data - P&amp;L'!$C$54</f>
        <v>0</v>
      </c>
      <c r="J283" s="66">
        <f>(J73+J74+J185+J186)*'Data - P&amp;L'!$C$10*'Data - P&amp;L'!$C$54</f>
        <v>0</v>
      </c>
      <c r="K283" s="66">
        <f>(K73+K74+K185+K186)*'Data - P&amp;L'!$C$10*'Data - P&amp;L'!$C$54</f>
        <v>0</v>
      </c>
      <c r="L283" s="66">
        <f>(L73+L74+L185+L186)*'Data - P&amp;L'!$C$10*'Data - P&amp;L'!$C$54</f>
        <v>0</v>
      </c>
      <c r="M283" s="66">
        <f>(M73+M74+M185+M186)*'Data - P&amp;L'!$C$10*'Data - P&amp;L'!$C$54</f>
        <v>0</v>
      </c>
      <c r="N283" s="66">
        <f>(N73+N74+N185+N186)*'Data - P&amp;L'!$C$10*'Data - P&amp;L'!$C$54</f>
        <v>0</v>
      </c>
      <c r="O283" s="66">
        <f>(O73+O74+O185+O186)*'Data - P&amp;L'!$C$10*'Data - P&amp;L'!$C$54</f>
        <v>0</v>
      </c>
      <c r="P283" s="66">
        <f>(P73+P74+P185+P186)*'Data - P&amp;L'!$C$10*'Data - P&amp;L'!$C$54</f>
        <v>0</v>
      </c>
      <c r="Q283" s="66">
        <f>(Q73+Q74+Q185+Q186)*'Data - P&amp;L'!$C$10*'Data - P&amp;L'!$C$54</f>
        <v>0</v>
      </c>
      <c r="R283" s="66">
        <f>(R73+R74+R185+R186)*'Data - P&amp;L'!$C$10*'Data - P&amp;L'!$C$54</f>
        <v>0</v>
      </c>
      <c r="S283" s="66">
        <f>(S73+S74+S185+S186)*'Data - P&amp;L'!$C$10*'Data - P&amp;L'!$C$54</f>
        <v>0</v>
      </c>
      <c r="T283" s="66">
        <f>(T73+T74+T185+T186)*'Data - P&amp;L'!$C$10*'Data - P&amp;L'!$C$54</f>
        <v>0</v>
      </c>
      <c r="U283" s="66">
        <f>(U73+U74+U185+U186)*'Data - P&amp;L'!$C$10*'Data - P&amp;L'!$C$54</f>
        <v>0</v>
      </c>
      <c r="V283" s="66">
        <f>(V73+V74+V185+V186)*'Data - P&amp;L'!$C$10*'Data - P&amp;L'!$C$54</f>
        <v>0</v>
      </c>
      <c r="W283" s="66">
        <f>(W73+W74+W185+W186)*'Data - P&amp;L'!$C$10*'Data - P&amp;L'!$C$54</f>
        <v>0</v>
      </c>
      <c r="X283" s="66">
        <f>(X73+X74+X185+X186)*'Data - P&amp;L'!$C$10*'Data - P&amp;L'!$C$54</f>
        <v>0</v>
      </c>
      <c r="Y283" s="66">
        <f>(Y73+Y74+Y185+Y186)*'Data - P&amp;L'!$C$10*'Data - P&amp;L'!$C$54</f>
        <v>0</v>
      </c>
      <c r="Z283" s="66">
        <f>(Z73+Z74+Z185+Z186)*'Data - P&amp;L'!$C$10*'Data - P&amp;L'!$C$54</f>
        <v>0</v>
      </c>
      <c r="AA283" s="66">
        <f>(AA73+AA74+AA185+AA186)*'Data - P&amp;L'!$C$10*'Data - P&amp;L'!$C$54</f>
        <v>0</v>
      </c>
      <c r="AB283" s="66">
        <f>(AB73+AB74+AB185+AB186)*'Data - P&amp;L'!$C$10*'Data - P&amp;L'!$C$54</f>
        <v>0</v>
      </c>
      <c r="AC283" s="66">
        <f>(AC73+AC74+AC185+AC186)*'Data - P&amp;L'!$C$10*'Data - P&amp;L'!$C$54</f>
        <v>0</v>
      </c>
      <c r="AD283" s="66">
        <f>(AD73+AD74+AD185+AD186)*'Data - P&amp;L'!$C$10*'Data - P&amp;L'!$C$54</f>
        <v>0</v>
      </c>
      <c r="AE283" s="66">
        <f>(AE73+AE74+AE185+AE186)*'Data - P&amp;L'!$C$10*'Data - P&amp;L'!$C$54</f>
        <v>0</v>
      </c>
      <c r="AF283" s="62">
        <f t="shared" si="69"/>
        <v>0</v>
      </c>
    </row>
    <row r="284" outlineLevel="1">
      <c r="A284" s="87" t="s">
        <v>405</v>
      </c>
      <c r="B284" s="66">
        <f>((B64*'Data - P&amp;L'!$C$38)+(B176*'Data - P&amp;L'!$C$38))*'Data - P&amp;L'!$C$54</f>
        <v>0</v>
      </c>
      <c r="C284" s="66">
        <f>((C64*'Data - P&amp;L'!$C$38)+(C176*'Data - P&amp;L'!$C$39))*'Data - P&amp;L'!$C$54</f>
        <v>2.985</v>
      </c>
      <c r="D284" s="66">
        <f>((D64*'Data - P&amp;L'!$C$38)+(D176*'Data - P&amp;L'!$C$39))*'Data - P&amp;L'!$C$54</f>
        <v>0</v>
      </c>
      <c r="E284" s="66">
        <f>((E64*'Data - P&amp;L'!$C$38)+(E176*'Data - P&amp;L'!$C$39))*'Data - P&amp;L'!$C$54</f>
        <v>0</v>
      </c>
      <c r="F284" s="66">
        <f>((F64*'Data - P&amp;L'!$C$38)+(F176*'Data - P&amp;L'!$C$39))*'Data - P&amp;L'!$C$54</f>
        <v>0</v>
      </c>
      <c r="G284" s="66">
        <f>((G64*'Data - P&amp;L'!$C$38)+(G176*'Data - P&amp;L'!$C$39))*'Data - P&amp;L'!$C$54</f>
        <v>0</v>
      </c>
      <c r="H284" s="66">
        <f>((H64*'Data - P&amp;L'!$C$38)+(H176*'Data - P&amp;L'!$C$39))*'Data - P&amp;L'!$C$54</f>
        <v>0</v>
      </c>
      <c r="I284" s="66">
        <f>((I64*'Data - P&amp;L'!$C$38)+(I176*'Data - P&amp;L'!$C$39))*'Data - P&amp;L'!$C$54</f>
        <v>5.97</v>
      </c>
      <c r="J284" s="66">
        <f>((J64*'Data - P&amp;L'!$C$38)+(J176*'Data - P&amp;L'!$C$39))*'Data - P&amp;L'!$C$54</f>
        <v>0</v>
      </c>
      <c r="K284" s="66">
        <f>((K64*'Data - P&amp;L'!$C$38)+(K176*'Data - P&amp;L'!$C$39))*'Data - P&amp;L'!$C$54</f>
        <v>0</v>
      </c>
      <c r="L284" s="66">
        <f>((L64*'Data - P&amp;L'!$C$38)+(L176*'Data - P&amp;L'!$C$39))*'Data - P&amp;L'!$C$54</f>
        <v>0</v>
      </c>
      <c r="M284" s="66">
        <f>((M64*'Data - P&amp;L'!$C$38)+(M176*'Data - P&amp;L'!$C$39))*'Data - P&amp;L'!$C$54</f>
        <v>0</v>
      </c>
      <c r="N284" s="66">
        <f>((N64*'Data - P&amp;L'!$C$38)+(N176*'Data - P&amp;L'!$C$39))*'Data - P&amp;L'!$C$54</f>
        <v>0</v>
      </c>
      <c r="O284" s="66">
        <f>((O64*'Data - P&amp;L'!$C$38)+(O176*'Data - P&amp;L'!$C$39))*'Data - P&amp;L'!$C$54</f>
        <v>2.985</v>
      </c>
      <c r="P284" s="66">
        <f>((P64*'Data - P&amp;L'!$C$38)+(P176*'Data - P&amp;L'!$C$39))*'Data - P&amp;L'!$C$54</f>
        <v>0</v>
      </c>
      <c r="Q284" s="66">
        <f>((Q64*'Data - P&amp;L'!$C$38)+(Q176*'Data - P&amp;L'!$C$39))*'Data - P&amp;L'!$C$54</f>
        <v>0</v>
      </c>
      <c r="R284" s="66">
        <f>((R64*'Data - P&amp;L'!$C$38)+(R176*'Data - P&amp;L'!$C$39))*'Data - P&amp;L'!$C$54</f>
        <v>0</v>
      </c>
      <c r="S284" s="66">
        <f>((S64*'Data - P&amp;L'!$C$38)+(S176*'Data - P&amp;L'!$C$39))*'Data - P&amp;L'!$C$54</f>
        <v>0</v>
      </c>
      <c r="T284" s="66">
        <f>((T64*'Data - P&amp;L'!$C$38)+(T176*'Data - P&amp;L'!$C$39))*'Data - P&amp;L'!$C$54</f>
        <v>0</v>
      </c>
      <c r="U284" s="66">
        <f>((U64*'Data - P&amp;L'!$C$38)+(U176*'Data - P&amp;L'!$C$39))*'Data - P&amp;L'!$C$54</f>
        <v>2.985</v>
      </c>
      <c r="V284" s="66">
        <f>((V64*'Data - P&amp;L'!$C$38)+(V176*'Data - P&amp;L'!$C$39))*'Data - P&amp;L'!$C$54</f>
        <v>0</v>
      </c>
      <c r="W284" s="66">
        <f>((W64*'Data - P&amp;L'!$C$38)+(W176*'Data - P&amp;L'!$C$39))*'Data - P&amp;L'!$C$54</f>
        <v>0</v>
      </c>
      <c r="X284" s="66">
        <f>((X64*'Data - P&amp;L'!$C$38)+(X176*'Data - P&amp;L'!$C$39))*'Data - P&amp;L'!$C$54</f>
        <v>0</v>
      </c>
      <c r="Y284" s="66">
        <f>((Y64*'Data - P&amp;L'!$C$38)+(Y176*'Data - P&amp;L'!$C$39))*'Data - P&amp;L'!$C$54</f>
        <v>0</v>
      </c>
      <c r="Z284" s="66">
        <f>((Z64*'Data - P&amp;L'!$C$38)+(Z176*'Data - P&amp;L'!$C$39))*'Data - P&amp;L'!$C$54</f>
        <v>0</v>
      </c>
      <c r="AA284" s="66">
        <f>((AA64*'Data - P&amp;L'!$C$38)+(AA176*'Data - P&amp;L'!$C$39))*'Data - P&amp;L'!$C$54</f>
        <v>0</v>
      </c>
      <c r="AB284" s="66">
        <f>((AB64*'Data - P&amp;L'!$C$38)+(AB176*'Data - P&amp;L'!$C$39))*'Data - P&amp;L'!$C$54</f>
        <v>0</v>
      </c>
      <c r="AC284" s="66">
        <f>((AC64*'Data - P&amp;L'!$C$38)+(AC176*'Data - P&amp;L'!$C$39))*'Data - P&amp;L'!$C$54</f>
        <v>0</v>
      </c>
      <c r="AD284" s="66">
        <f>((AD64*'Data - P&amp;L'!$C$38)+(AD176*'Data - P&amp;L'!$C$39))*'Data - P&amp;L'!$C$54</f>
        <v>0</v>
      </c>
      <c r="AE284" s="66">
        <f>((AE64*'Data - P&amp;L'!$C$38)+(AE176*'Data - P&amp;L'!$C$39))*'Data - P&amp;L'!$C$54</f>
        <v>0</v>
      </c>
      <c r="AF284" s="62">
        <f t="shared" si="69"/>
        <v>14.925</v>
      </c>
    </row>
    <row r="285" outlineLevel="1">
      <c r="A285" s="87" t="s">
        <v>467</v>
      </c>
      <c r="B285" s="66">
        <f>((B75*'Data - P&amp;L'!$D$38)+(B187*'Data - P&amp;L'!$D$38))*'Data - P&amp;L'!$C$54</f>
        <v>0</v>
      </c>
      <c r="C285" s="66">
        <f>((C75*'Data - P&amp;L'!$D$38)+(C187*'Data - P&amp;L'!$D$39))*'Data - P&amp;L'!$C$54</f>
        <v>1.07625</v>
      </c>
      <c r="D285" s="66">
        <f>((D75*'Data - P&amp;L'!$D$38)+(D187*'Data - P&amp;L'!$D$39))*'Data - P&amp;L'!$C$54</f>
        <v>0.35875</v>
      </c>
      <c r="E285" s="66">
        <f>((E75*'Data - P&amp;L'!$D$38)+(E187*'Data - P&amp;L'!$D$39))*'Data - P&amp;L'!$C$54</f>
        <v>0</v>
      </c>
      <c r="F285" s="66">
        <f>((F75*'Data - P&amp;L'!$D$38)+(F187*'Data - P&amp;L'!$D$39))*'Data - P&amp;L'!$C$54</f>
        <v>0</v>
      </c>
      <c r="G285" s="66">
        <f>((G75*'Data - P&amp;L'!$D$38)+(G187*'Data - P&amp;L'!$D$39))*'Data - P&amp;L'!$C$54</f>
        <v>0</v>
      </c>
      <c r="H285" s="66">
        <f>((H75*'Data - P&amp;L'!$D$38)+(H187*'Data - P&amp;L'!$D$39))*'Data - P&amp;L'!$C$54</f>
        <v>0</v>
      </c>
      <c r="I285" s="66">
        <f>((I75*'Data - P&amp;L'!$D$38)+(I187*'Data - P&amp;L'!$D$39))*'Data - P&amp;L'!$C$54</f>
        <v>1.79375</v>
      </c>
      <c r="J285" s="66">
        <f>((J75*'Data - P&amp;L'!$D$38)+(J187*'Data - P&amp;L'!$D$39))*'Data - P&amp;L'!$C$54</f>
        <v>0</v>
      </c>
      <c r="K285" s="66">
        <f>((K75*'Data - P&amp;L'!$D$38)+(K187*'Data - P&amp;L'!$D$39))*'Data - P&amp;L'!$C$54</f>
        <v>0</v>
      </c>
      <c r="L285" s="66">
        <f>((L75*'Data - P&amp;L'!$D$38)+(L187*'Data - P&amp;L'!$D$39))*'Data - P&amp;L'!$C$54</f>
        <v>0</v>
      </c>
      <c r="M285" s="66">
        <f>((M75*'Data - P&amp;L'!$D$38)+(M187*'Data - P&amp;L'!$D$39))*'Data - P&amp;L'!$C$54</f>
        <v>0</v>
      </c>
      <c r="N285" s="66">
        <f>((N75*'Data - P&amp;L'!$D$38)+(N187*'Data - P&amp;L'!$D$39))*'Data - P&amp;L'!$C$54</f>
        <v>0</v>
      </c>
      <c r="O285" s="66">
        <f>((O75*'Data - P&amp;L'!$D$38)+(O187*'Data - P&amp;L'!$D$39))*'Data - P&amp;L'!$C$54</f>
        <v>0.7175</v>
      </c>
      <c r="P285" s="66">
        <f>((P75*'Data - P&amp;L'!$D$38)+(P187*'Data - P&amp;L'!$D$39))*'Data - P&amp;L'!$C$54</f>
        <v>0</v>
      </c>
      <c r="Q285" s="66">
        <f>((Q75*'Data - P&amp;L'!$D$38)+(Q187*'Data - P&amp;L'!$D$39))*'Data - P&amp;L'!$C$54</f>
        <v>0</v>
      </c>
      <c r="R285" s="66">
        <f>((R75*'Data - P&amp;L'!$D$38)+(R187*'Data - P&amp;L'!$D$39))*'Data - P&amp;L'!$C$54</f>
        <v>0</v>
      </c>
      <c r="S285" s="66">
        <f>((S75*'Data - P&amp;L'!$D$38)+(S187*'Data - P&amp;L'!$D$39))*'Data - P&amp;L'!$C$54</f>
        <v>0</v>
      </c>
      <c r="T285" s="66">
        <f>((T75*'Data - P&amp;L'!$D$38)+(T187*'Data - P&amp;L'!$D$39))*'Data - P&amp;L'!$C$54</f>
        <v>0.35875</v>
      </c>
      <c r="U285" s="66">
        <f>((U75*'Data - P&amp;L'!$D$38)+(U187*'Data - P&amp;L'!$D$39))*'Data - P&amp;L'!$C$54</f>
        <v>1.07625</v>
      </c>
      <c r="V285" s="66">
        <f>((V75*'Data - P&amp;L'!$D$38)+(V187*'Data - P&amp;L'!$D$39))*'Data - P&amp;L'!$C$54</f>
        <v>0</v>
      </c>
      <c r="W285" s="66">
        <f>((W75*'Data - P&amp;L'!$D$38)+(W187*'Data - P&amp;L'!$D$39))*'Data - P&amp;L'!$C$54</f>
        <v>0</v>
      </c>
      <c r="X285" s="66">
        <f>((X75*'Data - P&amp;L'!$D$38)+(X187*'Data - P&amp;L'!$D$39))*'Data - P&amp;L'!$C$54</f>
        <v>0.7175</v>
      </c>
      <c r="Y285" s="66">
        <f>((Y75*'Data - P&amp;L'!$D$38)+(Y187*'Data - P&amp;L'!$D$39))*'Data - P&amp;L'!$C$54</f>
        <v>0</v>
      </c>
      <c r="Z285" s="66">
        <f>((Z75*'Data - P&amp;L'!$D$38)+(Z187*'Data - P&amp;L'!$D$39))*'Data - P&amp;L'!$C$54</f>
        <v>0</v>
      </c>
      <c r="AA285" s="66">
        <f>((AA75*'Data - P&amp;L'!$D$38)+(AA187*'Data - P&amp;L'!$D$39))*'Data - P&amp;L'!$C$54</f>
        <v>0</v>
      </c>
      <c r="AB285" s="66">
        <f>((AB75*'Data - P&amp;L'!$D$38)+(AB187*'Data - P&amp;L'!$D$39))*'Data - P&amp;L'!$C$54</f>
        <v>0</v>
      </c>
      <c r="AC285" s="66">
        <f>((AC75*'Data - P&amp;L'!$D$38)+(AC187*'Data - P&amp;L'!$D$39))*'Data - P&amp;L'!$C$54</f>
        <v>0</v>
      </c>
      <c r="AD285" s="66">
        <f>((AD75*'Data - P&amp;L'!$D$38)+(AD187*'Data - P&amp;L'!$D$39))*'Data - P&amp;L'!$C$54</f>
        <v>0</v>
      </c>
      <c r="AE285" s="66">
        <f>((AE75*'Data - P&amp;L'!$D$38)+(AE187*'Data - P&amp;L'!$D$39))*'Data - P&amp;L'!$C$54</f>
        <v>0</v>
      </c>
      <c r="AF285" s="62">
        <f t="shared" si="69"/>
        <v>6.09875</v>
      </c>
    </row>
    <row r="286" outlineLevel="1">
      <c r="A286" s="87" t="s">
        <v>812</v>
      </c>
      <c r="B286" s="164">
        <f>B77*'Data - P&amp;L'!$R$3</f>
        <v>0</v>
      </c>
      <c r="C286" s="164">
        <f>C77*'Data - P&amp;L'!$R$3</f>
        <v>0</v>
      </c>
      <c r="D286" s="164">
        <f>D77*'Data - P&amp;L'!$R$3</f>
        <v>0</v>
      </c>
      <c r="E286" s="164">
        <f>E77*'Data - P&amp;L'!$R$3</f>
        <v>0</v>
      </c>
      <c r="F286" s="164">
        <f>F77*'Data - P&amp;L'!$R$3</f>
        <v>0</v>
      </c>
      <c r="G286" s="164">
        <f>G77*'Data - P&amp;L'!$R$3</f>
        <v>0</v>
      </c>
      <c r="H286" s="164">
        <f>H77*'Data - P&amp;L'!$R$3</f>
        <v>0</v>
      </c>
      <c r="I286" s="164">
        <f>I77*'Data - P&amp;L'!$R$3</f>
        <v>0</v>
      </c>
      <c r="J286" s="164">
        <f>J77*'Data - P&amp;L'!$R$3</f>
        <v>0</v>
      </c>
      <c r="K286" s="164">
        <f>K77*'Data - P&amp;L'!$R$3</f>
        <v>0</v>
      </c>
      <c r="L286" s="164">
        <f>L77*'Data - P&amp;L'!$R$3</f>
        <v>0</v>
      </c>
      <c r="M286" s="164">
        <f>M77*'Data - P&amp;L'!$R$3</f>
        <v>0</v>
      </c>
      <c r="N286" s="164">
        <f>N77*'Data - P&amp;L'!$R$3</f>
        <v>0</v>
      </c>
      <c r="O286" s="164">
        <f>O77*'Data - P&amp;L'!$R$3</f>
        <v>0</v>
      </c>
      <c r="P286" s="164">
        <f>P77*'Data - P&amp;L'!$R$3</f>
        <v>0</v>
      </c>
      <c r="Q286" s="164">
        <f>Q77*'Data - P&amp;L'!$R$3</f>
        <v>0</v>
      </c>
      <c r="R286" s="164">
        <f>R77*'Data - P&amp;L'!$R$3</f>
        <v>0</v>
      </c>
      <c r="S286" s="164">
        <f>S77*'Data - P&amp;L'!$R$3</f>
        <v>0</v>
      </c>
      <c r="T286" s="164">
        <f>T77*'Data - P&amp;L'!$R$3</f>
        <v>0</v>
      </c>
      <c r="U286" s="164">
        <f>U77*'Data - P&amp;L'!$R$3</f>
        <v>0</v>
      </c>
      <c r="V286" s="164">
        <f>V77*'Data - P&amp;L'!$R$3</f>
        <v>0</v>
      </c>
      <c r="W286" s="164">
        <f>W77*'Data - P&amp;L'!$R$3</f>
        <v>0</v>
      </c>
      <c r="X286" s="164">
        <f>X77*'Data - P&amp;L'!$R$3</f>
        <v>0</v>
      </c>
      <c r="Y286" s="164">
        <f>Y77*'Data - P&amp;L'!$R$3</f>
        <v>0</v>
      </c>
      <c r="Z286" s="164">
        <f>Z77*'Data - P&amp;L'!$R$3</f>
        <v>0</v>
      </c>
      <c r="AA286" s="164">
        <f>AA77*'Data - P&amp;L'!$R$3</f>
        <v>0</v>
      </c>
      <c r="AB286" s="164">
        <f>AB77*'Data - P&amp;L'!$R$3</f>
        <v>0</v>
      </c>
      <c r="AC286" s="164">
        <f>AC77*'Data - P&amp;L'!$R$3</f>
        <v>0</v>
      </c>
      <c r="AD286" s="164">
        <f>AD77*'Data - P&amp;L'!$R$3</f>
        <v>0</v>
      </c>
      <c r="AE286" s="164">
        <f>AE77*'Data - P&amp;L'!$R$3</f>
        <v>0</v>
      </c>
      <c r="AF286" s="62">
        <f t="shared" si="69"/>
        <v>0</v>
      </c>
    </row>
    <row r="287" outlineLevel="1">
      <c r="A287" s="575" t="s">
        <v>514</v>
      </c>
      <c r="B287" s="329">
        <f t="shared" ref="B287:AE287" si="70">B83+B193</f>
        <v>0</v>
      </c>
      <c r="C287" s="329">
        <f t="shared" si="70"/>
        <v>362.98</v>
      </c>
      <c r="D287" s="329">
        <f t="shared" si="70"/>
        <v>41.73</v>
      </c>
      <c r="E287" s="329">
        <f t="shared" si="70"/>
        <v>0</v>
      </c>
      <c r="F287" s="329">
        <f t="shared" si="70"/>
        <v>0</v>
      </c>
      <c r="G287" s="329">
        <f t="shared" si="70"/>
        <v>0</v>
      </c>
      <c r="H287" s="329">
        <f t="shared" si="70"/>
        <v>0</v>
      </c>
      <c r="I287" s="329">
        <f t="shared" si="70"/>
        <v>1429.34</v>
      </c>
      <c r="J287" s="329">
        <f t="shared" si="70"/>
        <v>0</v>
      </c>
      <c r="K287" s="329">
        <f t="shared" si="70"/>
        <v>0</v>
      </c>
      <c r="L287" s="329">
        <f t="shared" si="70"/>
        <v>0</v>
      </c>
      <c r="M287" s="329">
        <f t="shared" si="70"/>
        <v>0</v>
      </c>
      <c r="N287" s="329">
        <f t="shared" si="70"/>
        <v>0</v>
      </c>
      <c r="O287" s="329">
        <f t="shared" si="70"/>
        <v>547.06</v>
      </c>
      <c r="P287" s="329">
        <f t="shared" si="70"/>
        <v>287.83</v>
      </c>
      <c r="Q287" s="329">
        <f t="shared" si="70"/>
        <v>0</v>
      </c>
      <c r="R287" s="329">
        <f t="shared" si="70"/>
        <v>0</v>
      </c>
      <c r="S287" s="329">
        <f t="shared" si="70"/>
        <v>0</v>
      </c>
      <c r="T287" s="329">
        <f t="shared" si="70"/>
        <v>309.98</v>
      </c>
      <c r="U287" s="329">
        <f t="shared" si="70"/>
        <v>340.58</v>
      </c>
      <c r="V287" s="329">
        <f t="shared" si="70"/>
        <v>299</v>
      </c>
      <c r="W287" s="329">
        <f t="shared" si="70"/>
        <v>0</v>
      </c>
      <c r="X287" s="329">
        <f t="shared" si="70"/>
        <v>922.34</v>
      </c>
      <c r="Y287" s="329">
        <f t="shared" si="70"/>
        <v>0</v>
      </c>
      <c r="Z287" s="329">
        <f t="shared" si="70"/>
        <v>0</v>
      </c>
      <c r="AA287" s="329">
        <f t="shared" si="70"/>
        <v>0</v>
      </c>
      <c r="AB287" s="329">
        <f t="shared" si="70"/>
        <v>0</v>
      </c>
      <c r="AC287" s="329">
        <f t="shared" si="70"/>
        <v>0</v>
      </c>
      <c r="AD287" s="329">
        <f t="shared" si="70"/>
        <v>0</v>
      </c>
      <c r="AE287" s="329">
        <f t="shared" si="70"/>
        <v>0</v>
      </c>
      <c r="AF287" s="62">
        <f t="shared" si="69"/>
        <v>4540.84</v>
      </c>
    </row>
    <row r="288">
      <c r="A288" s="364" t="s">
        <v>868</v>
      </c>
      <c r="B288" s="331">
        <f t="shared" ref="B288:AE288" si="71">sum(B289:B299)-B302</f>
        <v>0</v>
      </c>
      <c r="C288" s="331">
        <f t="shared" si="71"/>
        <v>0</v>
      </c>
      <c r="D288" s="331">
        <f t="shared" si="71"/>
        <v>0</v>
      </c>
      <c r="E288" s="331">
        <f t="shared" si="71"/>
        <v>0</v>
      </c>
      <c r="F288" s="331">
        <f t="shared" si="71"/>
        <v>0</v>
      </c>
      <c r="G288" s="331">
        <f t="shared" si="71"/>
        <v>0</v>
      </c>
      <c r="H288" s="331">
        <f t="shared" si="71"/>
        <v>0</v>
      </c>
      <c r="I288" s="331">
        <f t="shared" si="71"/>
        <v>0</v>
      </c>
      <c r="J288" s="331">
        <f t="shared" si="71"/>
        <v>0</v>
      </c>
      <c r="K288" s="331">
        <f t="shared" si="71"/>
        <v>0</v>
      </c>
      <c r="L288" s="331">
        <f t="shared" si="71"/>
        <v>0</v>
      </c>
      <c r="M288" s="331">
        <f t="shared" si="71"/>
        <v>0</v>
      </c>
      <c r="N288" s="331">
        <f t="shared" si="71"/>
        <v>0</v>
      </c>
      <c r="O288" s="331">
        <f t="shared" si="71"/>
        <v>0</v>
      </c>
      <c r="P288" s="331">
        <f t="shared" si="71"/>
        <v>0</v>
      </c>
      <c r="Q288" s="331">
        <f t="shared" si="71"/>
        <v>0</v>
      </c>
      <c r="R288" s="331">
        <f t="shared" si="71"/>
        <v>0</v>
      </c>
      <c r="S288" s="331">
        <f t="shared" si="71"/>
        <v>0</v>
      </c>
      <c r="T288" s="331">
        <f t="shared" si="71"/>
        <v>0</v>
      </c>
      <c r="U288" s="331">
        <f t="shared" si="71"/>
        <v>0</v>
      </c>
      <c r="V288" s="331">
        <f t="shared" si="71"/>
        <v>0</v>
      </c>
      <c r="W288" s="331">
        <f t="shared" si="71"/>
        <v>0</v>
      </c>
      <c r="X288" s="331">
        <f t="shared" si="71"/>
        <v>0</v>
      </c>
      <c r="Y288" s="331">
        <f t="shared" si="71"/>
        <v>0</v>
      </c>
      <c r="Z288" s="331">
        <f t="shared" si="71"/>
        <v>0</v>
      </c>
      <c r="AA288" s="331">
        <f t="shared" si="71"/>
        <v>0</v>
      </c>
      <c r="AB288" s="331">
        <f t="shared" si="71"/>
        <v>0</v>
      </c>
      <c r="AC288" s="331">
        <f t="shared" si="71"/>
        <v>0</v>
      </c>
      <c r="AD288" s="331">
        <f t="shared" si="71"/>
        <v>0</v>
      </c>
      <c r="AE288" s="331">
        <f t="shared" si="71"/>
        <v>1.194</v>
      </c>
      <c r="AF288" s="62">
        <f t="shared" si="69"/>
        <v>1.194</v>
      </c>
    </row>
    <row r="289" outlineLevel="1">
      <c r="A289" s="87" t="s">
        <v>382</v>
      </c>
      <c r="B289" s="66">
        <f>(B94+B204)*'Data - P&amp;L'!$C$3*'Data - P&amp;L'!$C$55</f>
        <v>0</v>
      </c>
      <c r="C289" s="66">
        <f>C179*'Data - P&amp;L'!$C$3*'Data - P&amp;L'!$C$55</f>
        <v>0</v>
      </c>
      <c r="D289" s="66">
        <f>D179*'Data - P&amp;L'!$C$3*'Data - P&amp;L'!$C$55</f>
        <v>0</v>
      </c>
      <c r="E289" s="66">
        <f>E179*'Data - P&amp;L'!$C$3*'Data - P&amp;L'!$C$55</f>
        <v>0</v>
      </c>
      <c r="F289" s="66">
        <f>F179*'Data - P&amp;L'!$C$3*'Data - P&amp;L'!$C$55</f>
        <v>0</v>
      </c>
      <c r="G289" s="66">
        <f>G179*'Data - P&amp;L'!$C$3*'Data - P&amp;L'!$C$55</f>
        <v>0</v>
      </c>
      <c r="H289" s="66">
        <f>H179*'Data - P&amp;L'!$C$3*'Data - P&amp;L'!$C$55</f>
        <v>0</v>
      </c>
      <c r="I289" s="66">
        <f>I179*'Data - P&amp;L'!$C$3*'Data - P&amp;L'!$C$55</f>
        <v>0</v>
      </c>
      <c r="J289" s="66">
        <f>J179*'Data - P&amp;L'!$C$3*'Data - P&amp;L'!$C$55</f>
        <v>0</v>
      </c>
      <c r="K289" s="66">
        <f>K179*'Data - P&amp;L'!$C$3*'Data - P&amp;L'!$C$55</f>
        <v>0</v>
      </c>
      <c r="L289" s="66">
        <f>L179*'Data - P&amp;L'!$C$3*'Data - P&amp;L'!$C$55</f>
        <v>0</v>
      </c>
      <c r="M289" s="66">
        <f>M179*'Data - P&amp;L'!$C$3*'Data - P&amp;L'!$C$55</f>
        <v>0</v>
      </c>
      <c r="N289" s="66">
        <f>N179*'Data - P&amp;L'!$C$3*'Data - P&amp;L'!$C$55</f>
        <v>0</v>
      </c>
      <c r="O289" s="66">
        <f>O179*'Data - P&amp;L'!$C$3*'Data - P&amp;L'!$C$55</f>
        <v>0</v>
      </c>
      <c r="P289" s="66">
        <f>P179*'Data - P&amp;L'!$C$3*'Data - P&amp;L'!$C$55</f>
        <v>0</v>
      </c>
      <c r="Q289" s="66">
        <f>Q179*'Data - P&amp;L'!$C$3*'Data - P&amp;L'!$C$55</f>
        <v>0</v>
      </c>
      <c r="R289" s="66">
        <f>R179*'Data - P&amp;L'!$C$3*'Data - P&amp;L'!$C$55</f>
        <v>0</v>
      </c>
      <c r="S289" s="66">
        <f>S179*'Data - P&amp;L'!$C$3*'Data - P&amp;L'!$C$55</f>
        <v>0</v>
      </c>
      <c r="T289" s="66">
        <f>T179*'Data - P&amp;L'!$C$3*'Data - P&amp;L'!$C$55</f>
        <v>0</v>
      </c>
      <c r="U289" s="66">
        <f>U179*'Data - P&amp;L'!$C$3*'Data - P&amp;L'!$C$55</f>
        <v>0</v>
      </c>
      <c r="V289" s="66">
        <f>V179*'Data - P&amp;L'!$C$3*'Data - P&amp;L'!$C$55</f>
        <v>0</v>
      </c>
      <c r="W289" s="66">
        <f>W179*'Data - P&amp;L'!$C$3*'Data - P&amp;L'!$C$55</f>
        <v>0</v>
      </c>
      <c r="X289" s="66">
        <f>X179*'Data - P&amp;L'!$C$3*'Data - P&amp;L'!$C$55</f>
        <v>0</v>
      </c>
      <c r="Y289" s="66">
        <f>Y179*'Data - P&amp;L'!$C$3*'Data - P&amp;L'!$C$55</f>
        <v>0</v>
      </c>
      <c r="Z289" s="66">
        <f>Z179*'Data - P&amp;L'!$C$3*'Data - P&amp;L'!$C$55</f>
        <v>0</v>
      </c>
      <c r="AA289" s="66">
        <f>AA179*'Data - P&amp;L'!$C$3*'Data - P&amp;L'!$C$55</f>
        <v>0</v>
      </c>
      <c r="AB289" s="66">
        <f>AB179*'Data - P&amp;L'!$C$3*'Data - P&amp;L'!$C$55</f>
        <v>0</v>
      </c>
      <c r="AC289" s="66">
        <f>AC179*'Data - P&amp;L'!$C$3*'Data - P&amp;L'!$C$55</f>
        <v>0</v>
      </c>
      <c r="AD289" s="66">
        <f>AD179*'Data - P&amp;L'!$C$3*'Data - P&amp;L'!$C$55</f>
        <v>0</v>
      </c>
      <c r="AE289" s="66">
        <f>AE179*'Data - P&amp;L'!$C$3*'Data - P&amp;L'!$C$55</f>
        <v>0</v>
      </c>
      <c r="AF289" s="62">
        <f t="shared" si="69"/>
        <v>0</v>
      </c>
    </row>
    <row r="290" outlineLevel="1">
      <c r="A290" s="87" t="s">
        <v>385</v>
      </c>
      <c r="B290" s="66">
        <f>(B95+B205)*'Data - P&amp;L'!$C$4*'Data - P&amp;L'!$C$55</f>
        <v>0</v>
      </c>
      <c r="C290" s="66">
        <f>C180*'Data - P&amp;L'!$C$4*'Data - P&amp;L'!$C$55</f>
        <v>0</v>
      </c>
      <c r="D290" s="66">
        <f>D180*'Data - P&amp;L'!$C$4*'Data - P&amp;L'!$C$55</f>
        <v>0</v>
      </c>
      <c r="E290" s="66">
        <f>E180*'Data - P&amp;L'!$C$4*'Data - P&amp;L'!$C$55</f>
        <v>0</v>
      </c>
      <c r="F290" s="66">
        <f>F180*'Data - P&amp;L'!$C$4*'Data - P&amp;L'!$C$55</f>
        <v>0</v>
      </c>
      <c r="G290" s="66">
        <f>G180*'Data - P&amp;L'!$C$4*'Data - P&amp;L'!$C$55</f>
        <v>0</v>
      </c>
      <c r="H290" s="66">
        <f>H180*'Data - P&amp;L'!$C$4*'Data - P&amp;L'!$C$55</f>
        <v>0</v>
      </c>
      <c r="I290" s="66">
        <f>I180*'Data - P&amp;L'!$C$4*'Data - P&amp;L'!$C$55</f>
        <v>0</v>
      </c>
      <c r="J290" s="66">
        <f>J180*'Data - P&amp;L'!$C$4*'Data - P&amp;L'!$C$55</f>
        <v>0</v>
      </c>
      <c r="K290" s="66">
        <f>K180*'Data - P&amp;L'!$C$4*'Data - P&amp;L'!$C$55</f>
        <v>0</v>
      </c>
      <c r="L290" s="66">
        <f>L180*'Data - P&amp;L'!$C$4*'Data - P&amp;L'!$C$55</f>
        <v>0</v>
      </c>
      <c r="M290" s="66">
        <f>M180*'Data - P&amp;L'!$C$4*'Data - P&amp;L'!$C$55</f>
        <v>0</v>
      </c>
      <c r="N290" s="66">
        <f>N180*'Data - P&amp;L'!$C$4*'Data - P&amp;L'!$C$55</f>
        <v>0</v>
      </c>
      <c r="O290" s="66">
        <f>O180*'Data - P&amp;L'!$C$4*'Data - P&amp;L'!$C$55</f>
        <v>0</v>
      </c>
      <c r="P290" s="66">
        <f>P180*'Data - P&amp;L'!$C$4*'Data - P&amp;L'!$C$55</f>
        <v>0</v>
      </c>
      <c r="Q290" s="66">
        <f>Q180*'Data - P&amp;L'!$C$4*'Data - P&amp;L'!$C$55</f>
        <v>0</v>
      </c>
      <c r="R290" s="66">
        <f>R180*'Data - P&amp;L'!$C$4*'Data - P&amp;L'!$C$55</f>
        <v>0</v>
      </c>
      <c r="S290" s="66">
        <f>S180*'Data - P&amp;L'!$C$4*'Data - P&amp;L'!$C$55</f>
        <v>0</v>
      </c>
      <c r="T290" s="66">
        <f>T180*'Data - P&amp;L'!$C$4*'Data - P&amp;L'!$C$55</f>
        <v>0</v>
      </c>
      <c r="U290" s="66">
        <f>U180*'Data - P&amp;L'!$C$4*'Data - P&amp;L'!$C$55</f>
        <v>0</v>
      </c>
      <c r="V290" s="66">
        <f>V180*'Data - P&amp;L'!$C$4*'Data - P&amp;L'!$C$55</f>
        <v>0</v>
      </c>
      <c r="W290" s="66">
        <f>W180*'Data - P&amp;L'!$C$4*'Data - P&amp;L'!$C$55</f>
        <v>0</v>
      </c>
      <c r="X290" s="66">
        <f>X180*'Data - P&amp;L'!$C$4*'Data - P&amp;L'!$C$55</f>
        <v>0</v>
      </c>
      <c r="Y290" s="66">
        <f>Y180*'Data - P&amp;L'!$C$4*'Data - P&amp;L'!$C$55</f>
        <v>0</v>
      </c>
      <c r="Z290" s="66">
        <f>Z180*'Data - P&amp;L'!$C$4*'Data - P&amp;L'!$C$55</f>
        <v>0</v>
      </c>
      <c r="AA290" s="66">
        <f>AA180*'Data - P&amp;L'!$C$4*'Data - P&amp;L'!$C$55</f>
        <v>0</v>
      </c>
      <c r="AB290" s="66">
        <f>AB180*'Data - P&amp;L'!$C$4*'Data - P&amp;L'!$C$55</f>
        <v>0</v>
      </c>
      <c r="AC290" s="66">
        <f>AC180*'Data - P&amp;L'!$C$4*'Data - P&amp;L'!$C$55</f>
        <v>0</v>
      </c>
      <c r="AD290" s="66">
        <f>AD180*'Data - P&amp;L'!$C$4*'Data - P&amp;L'!$C$55</f>
        <v>0</v>
      </c>
      <c r="AE290" s="66">
        <f>AE180*'Data - P&amp;L'!$C$4*'Data - P&amp;L'!$C$55</f>
        <v>0</v>
      </c>
      <c r="AF290" s="62">
        <f t="shared" si="69"/>
        <v>0</v>
      </c>
    </row>
    <row r="291" outlineLevel="1">
      <c r="A291" s="87" t="s">
        <v>388</v>
      </c>
      <c r="B291" s="66">
        <f>(B97+B207)*'Data - P&amp;L'!$C$6*'Data - P&amp;L'!$C$55</f>
        <v>0</v>
      </c>
      <c r="C291" s="66">
        <f>(C183+C194)*'Data - P&amp;L'!$C$6*'Data - P&amp;L'!$C$55</f>
        <v>0</v>
      </c>
      <c r="D291" s="66">
        <f>(D183+D194)*'Data - P&amp;L'!$C$6*'Data - P&amp;L'!$C$55</f>
        <v>0</v>
      </c>
      <c r="E291" s="66">
        <f>(E183+E194)*'Data - P&amp;L'!$C$6*'Data - P&amp;L'!$C$55</f>
        <v>0</v>
      </c>
      <c r="F291" s="66">
        <f>(F183+F194)*'Data - P&amp;L'!$C$6*'Data - P&amp;L'!$C$55</f>
        <v>0</v>
      </c>
      <c r="G291" s="66">
        <f>(G183+G194)*'Data - P&amp;L'!$C$6*'Data - P&amp;L'!$C$55</f>
        <v>0</v>
      </c>
      <c r="H291" s="66">
        <f>(H183+H194)*'Data - P&amp;L'!$C$6*'Data - P&amp;L'!$C$55</f>
        <v>0</v>
      </c>
      <c r="I291" s="66">
        <f>(I183+I194)*'Data - P&amp;L'!$C$6*'Data - P&amp;L'!$C$55</f>
        <v>0</v>
      </c>
      <c r="J291" s="66">
        <f>(J183+J194)*'Data - P&amp;L'!$C$6*'Data - P&amp;L'!$C$55</f>
        <v>0</v>
      </c>
      <c r="K291" s="66">
        <f>(K183+K194)*'Data - P&amp;L'!$C$6*'Data - P&amp;L'!$C$55</f>
        <v>0</v>
      </c>
      <c r="L291" s="66">
        <f>(L183+L194)*'Data - P&amp;L'!$C$6*'Data - P&amp;L'!$C$55</f>
        <v>0</v>
      </c>
      <c r="M291" s="66">
        <f>(M183+M194)*'Data - P&amp;L'!$C$6*'Data - P&amp;L'!$C$55</f>
        <v>0</v>
      </c>
      <c r="N291" s="66">
        <f>(N183+N194)*'Data - P&amp;L'!$C$6*'Data - P&amp;L'!$C$55</f>
        <v>0</v>
      </c>
      <c r="O291" s="66">
        <f>(O183+O194)*'Data - P&amp;L'!$C$6*'Data - P&amp;L'!$C$55</f>
        <v>0</v>
      </c>
      <c r="P291" s="66">
        <f>(P183+P194)*'Data - P&amp;L'!$C$6*'Data - P&amp;L'!$C$55</f>
        <v>0</v>
      </c>
      <c r="Q291" s="66">
        <f>(Q183+Q194)*'Data - P&amp;L'!$C$6*'Data - P&amp;L'!$C$55</f>
        <v>0</v>
      </c>
      <c r="R291" s="66">
        <f>(R183+R194)*'Data - P&amp;L'!$C$6*'Data - P&amp;L'!$C$55</f>
        <v>0</v>
      </c>
      <c r="S291" s="66">
        <f>(S183+S194)*'Data - P&amp;L'!$C$6*'Data - P&amp;L'!$C$55</f>
        <v>0</v>
      </c>
      <c r="T291" s="66">
        <f>(T183+T194)*'Data - P&amp;L'!$C$6*'Data - P&amp;L'!$C$55</f>
        <v>0</v>
      </c>
      <c r="U291" s="66">
        <f>(U183+U194)*'Data - P&amp;L'!$C$6*'Data - P&amp;L'!$C$55</f>
        <v>0</v>
      </c>
      <c r="V291" s="66">
        <f>(V183+V194)*'Data - P&amp;L'!$C$6*'Data - P&amp;L'!$C$55</f>
        <v>0</v>
      </c>
      <c r="W291" s="66">
        <f>(W183+W194)*'Data - P&amp;L'!$C$6*'Data - P&amp;L'!$C$55</f>
        <v>0</v>
      </c>
      <c r="X291" s="66">
        <f>(X183+X194)*'Data - P&amp;L'!$C$6*'Data - P&amp;L'!$C$55</f>
        <v>0</v>
      </c>
      <c r="Y291" s="66">
        <f>(Y183+Y194)*'Data - P&amp;L'!$C$6*'Data - P&amp;L'!$C$55</f>
        <v>0</v>
      </c>
      <c r="Z291" s="66">
        <f>(Z183+Z194)*'Data - P&amp;L'!$C$6*'Data - P&amp;L'!$C$55</f>
        <v>0</v>
      </c>
      <c r="AA291" s="66">
        <f>(AA183+AA194)*'Data - P&amp;L'!$C$6*'Data - P&amp;L'!$C$55</f>
        <v>0</v>
      </c>
      <c r="AB291" s="66">
        <f>(AB183+AB194)*'Data - P&amp;L'!$C$6*'Data - P&amp;L'!$C$55</f>
        <v>0</v>
      </c>
      <c r="AC291" s="66">
        <f>(AC183+AC194)*'Data - P&amp;L'!$C$6*'Data - P&amp;L'!$C$55</f>
        <v>0</v>
      </c>
      <c r="AD291" s="66">
        <f>(AD183+AD194)*'Data - P&amp;L'!$C$6*'Data - P&amp;L'!$C$55</f>
        <v>0</v>
      </c>
      <c r="AE291" s="66">
        <f>(AE183+AE194)*'Data - P&amp;L'!$C$6*'Data - P&amp;L'!$C$55</f>
        <v>0</v>
      </c>
      <c r="AF291" s="62">
        <f t="shared" si="69"/>
        <v>0</v>
      </c>
    </row>
    <row r="292" outlineLevel="1">
      <c r="A292" s="87" t="s">
        <v>390</v>
      </c>
      <c r="B292" s="66">
        <f>(B98+B208)*'Data - P&amp;L'!$C$8*'Data - P&amp;L'!$C$55</f>
        <v>0</v>
      </c>
      <c r="C292" s="66">
        <f>(C184+C199)*'Data - P&amp;L'!$C$8*'Data - P&amp;L'!$C$55</f>
        <v>0</v>
      </c>
      <c r="D292" s="66">
        <f>(D184+D199)*'Data - P&amp;L'!$C$8*'Data - P&amp;L'!$C$55</f>
        <v>0</v>
      </c>
      <c r="E292" s="66">
        <f>(E184+E199)*'Data - P&amp;L'!$C$8*'Data - P&amp;L'!$C$55</f>
        <v>0</v>
      </c>
      <c r="F292" s="66">
        <f>(F184+F199)*'Data - P&amp;L'!$C$8*'Data - P&amp;L'!$C$55</f>
        <v>0</v>
      </c>
      <c r="G292" s="66">
        <f>(G184+G199)*'Data - P&amp;L'!$C$8*'Data - P&amp;L'!$C$55</f>
        <v>0</v>
      </c>
      <c r="H292" s="66">
        <f>(H184+H199)*'Data - P&amp;L'!$C$8*'Data - P&amp;L'!$C$55</f>
        <v>0</v>
      </c>
      <c r="I292" s="66">
        <f>(I184+I199)*'Data - P&amp;L'!$C$8*'Data - P&amp;L'!$C$55</f>
        <v>0</v>
      </c>
      <c r="J292" s="66">
        <f>(J184+J199)*'Data - P&amp;L'!$C$8*'Data - P&amp;L'!$C$55</f>
        <v>0</v>
      </c>
      <c r="K292" s="66">
        <f>(K184+K199)*'Data - P&amp;L'!$C$8*'Data - P&amp;L'!$C$55</f>
        <v>0</v>
      </c>
      <c r="L292" s="66">
        <f>(L184+L199)*'Data - P&amp;L'!$C$8*'Data - P&amp;L'!$C$55</f>
        <v>0</v>
      </c>
      <c r="M292" s="66">
        <f>(M184+M199)*'Data - P&amp;L'!$C$8*'Data - P&amp;L'!$C$55</f>
        <v>0</v>
      </c>
      <c r="N292" s="66">
        <f>(N184+N199)*'Data - P&amp;L'!$C$8*'Data - P&amp;L'!$C$55</f>
        <v>0</v>
      </c>
      <c r="O292" s="66">
        <f>(O184+O199)*'Data - P&amp;L'!$C$8*'Data - P&amp;L'!$C$55</f>
        <v>0</v>
      </c>
      <c r="P292" s="66">
        <f>(P184+P199)*'Data - P&amp;L'!$C$8*'Data - P&amp;L'!$C$55</f>
        <v>0</v>
      </c>
      <c r="Q292" s="66">
        <f>(Q184+Q199)*'Data - P&amp;L'!$C$8*'Data - P&amp;L'!$C$55</f>
        <v>0</v>
      </c>
      <c r="R292" s="66">
        <f>(R184+R199)*'Data - P&amp;L'!$C$8*'Data - P&amp;L'!$C$55</f>
        <v>0</v>
      </c>
      <c r="S292" s="66">
        <f>(S184+S199)*'Data - P&amp;L'!$C$8*'Data - P&amp;L'!$C$55</f>
        <v>0</v>
      </c>
      <c r="T292" s="66">
        <f>(T184+T199)*'Data - P&amp;L'!$C$8*'Data - P&amp;L'!$C$55</f>
        <v>0</v>
      </c>
      <c r="U292" s="66">
        <f>(U184+U199)*'Data - P&amp;L'!$C$8*'Data - P&amp;L'!$C$55</f>
        <v>0</v>
      </c>
      <c r="V292" s="66">
        <f>(V184+V199)*'Data - P&amp;L'!$C$8*'Data - P&amp;L'!$C$55</f>
        <v>0</v>
      </c>
      <c r="W292" s="66">
        <f>(W184+W199)*'Data - P&amp;L'!$C$8*'Data - P&amp;L'!$C$55</f>
        <v>0</v>
      </c>
      <c r="X292" s="66">
        <f>(X184+X199)*'Data - P&amp;L'!$C$8*'Data - P&amp;L'!$C$55</f>
        <v>0</v>
      </c>
      <c r="Y292" s="66">
        <f>(Y184+Y199)*'Data - P&amp;L'!$C$8*'Data - P&amp;L'!$C$55</f>
        <v>0</v>
      </c>
      <c r="Z292" s="66">
        <f>(Z184+Z199)*'Data - P&amp;L'!$C$8*'Data - P&amp;L'!$C$55</f>
        <v>0</v>
      </c>
      <c r="AA292" s="66">
        <f>(AA184+AA199)*'Data - P&amp;L'!$C$8*'Data - P&amp;L'!$C$55</f>
        <v>0</v>
      </c>
      <c r="AB292" s="66">
        <f>(AB184+AB199)*'Data - P&amp;L'!$C$8*'Data - P&amp;L'!$C$55</f>
        <v>0</v>
      </c>
      <c r="AC292" s="66">
        <f>(AC184+AC199)*'Data - P&amp;L'!$C$8*'Data - P&amp;L'!$C$55</f>
        <v>0</v>
      </c>
      <c r="AD292" s="66">
        <f>(AD184+AD199)*'Data - P&amp;L'!$C$8*'Data - P&amp;L'!$C$55</f>
        <v>0</v>
      </c>
      <c r="AE292" s="66">
        <f>(AE184+AE199)*'Data - P&amp;L'!$C$8*'Data - P&amp;L'!$C$55</f>
        <v>0</v>
      </c>
      <c r="AF292" s="62">
        <f t="shared" si="69"/>
        <v>0</v>
      </c>
    </row>
    <row r="293" outlineLevel="1">
      <c r="A293" s="87" t="s">
        <v>395</v>
      </c>
      <c r="B293" s="66">
        <f>(B99+B100+B209+B210)*'Data - P&amp;L'!$C$9*'Data - P&amp;L'!$C$55</f>
        <v>0</v>
      </c>
      <c r="C293" s="66">
        <f>(C185+C186+C200+C201)*'Data - P&amp;L'!$C$9*'Data - P&amp;L'!$C$55</f>
        <v>0</v>
      </c>
      <c r="D293" s="66">
        <f>(D185+D186+D200+D201)*'Data - P&amp;L'!$C$9*'Data - P&amp;L'!$C$55</f>
        <v>0</v>
      </c>
      <c r="E293" s="66">
        <f>(E185+E186+E200+E201)*'Data - P&amp;L'!$C$9*'Data - P&amp;L'!$C$55</f>
        <v>0</v>
      </c>
      <c r="F293" s="66">
        <f>(F185+F186+F200+F201)*'Data - P&amp;L'!$C$9*'Data - P&amp;L'!$C$55</f>
        <v>0</v>
      </c>
      <c r="G293" s="66">
        <f>(G185+G186+G200+G201)*'Data - P&amp;L'!$C$9*'Data - P&amp;L'!$C$55</f>
        <v>0</v>
      </c>
      <c r="H293" s="66">
        <f>(H185+H186+H200+H201)*'Data - P&amp;L'!$C$9*'Data - P&amp;L'!$C$55</f>
        <v>0</v>
      </c>
      <c r="I293" s="66">
        <f>(I185+I186+I200+I201)*'Data - P&amp;L'!$C$9*'Data - P&amp;L'!$C$55</f>
        <v>0</v>
      </c>
      <c r="J293" s="66">
        <f>(J185+J186+J200+J201)*'Data - P&amp;L'!$C$9*'Data - P&amp;L'!$C$55</f>
        <v>0</v>
      </c>
      <c r="K293" s="66">
        <f>(K185+K186+K200+K201)*'Data - P&amp;L'!$C$9*'Data - P&amp;L'!$C$55</f>
        <v>0</v>
      </c>
      <c r="L293" s="66">
        <f>(L185+L186+L200+L201)*'Data - P&amp;L'!$C$9*'Data - P&amp;L'!$C$55</f>
        <v>0</v>
      </c>
      <c r="M293" s="66">
        <f>(M185+M186+M200+M201)*'Data - P&amp;L'!$C$9*'Data - P&amp;L'!$C$55</f>
        <v>0</v>
      </c>
      <c r="N293" s="66">
        <f>(N185+N186+N200+N201)*'Data - P&amp;L'!$C$9*'Data - P&amp;L'!$C$55</f>
        <v>0</v>
      </c>
      <c r="O293" s="66">
        <f>(O185+O186+O200+O201)*'Data - P&amp;L'!$C$9*'Data - P&amp;L'!$C$55</f>
        <v>0</v>
      </c>
      <c r="P293" s="66">
        <f>(P185+P186+P200+P201)*'Data - P&amp;L'!$C$9*'Data - P&amp;L'!$C$55</f>
        <v>0</v>
      </c>
      <c r="Q293" s="66">
        <f>(Q185+Q186+Q200+Q201)*'Data - P&amp;L'!$C$9*'Data - P&amp;L'!$C$55</f>
        <v>0</v>
      </c>
      <c r="R293" s="66">
        <f>(R185+R186+R200+R201)*'Data - P&amp;L'!$C$9*'Data - P&amp;L'!$C$55</f>
        <v>0</v>
      </c>
      <c r="S293" s="66">
        <f>(S185+S186+S200+S201)*'Data - P&amp;L'!$C$9*'Data - P&amp;L'!$C$55</f>
        <v>0</v>
      </c>
      <c r="T293" s="66">
        <f>(T185+T186+T200+T201)*'Data - P&amp;L'!$C$9*'Data - P&amp;L'!$C$55</f>
        <v>0</v>
      </c>
      <c r="U293" s="66">
        <f>(U185+U186+U200+U201)*'Data - P&amp;L'!$C$9*'Data - P&amp;L'!$C$55</f>
        <v>0</v>
      </c>
      <c r="V293" s="66">
        <f>(V185+V186+V200+V201)*'Data - P&amp;L'!$C$9*'Data - P&amp;L'!$C$55</f>
        <v>0</v>
      </c>
      <c r="W293" s="66">
        <f>(W185+W186+W200+W201)*'Data - P&amp;L'!$C$9*'Data - P&amp;L'!$C$55</f>
        <v>0</v>
      </c>
      <c r="X293" s="66">
        <f>(X185+X186+X200+X201)*'Data - P&amp;L'!$C$9*'Data - P&amp;L'!$C$55</f>
        <v>0</v>
      </c>
      <c r="Y293" s="66">
        <f>(Y185+Y186+Y200+Y201)*'Data - P&amp;L'!$C$9*'Data - P&amp;L'!$C$55</f>
        <v>0</v>
      </c>
      <c r="Z293" s="66">
        <f>(Z185+Z186+Z200+Z201)*'Data - P&amp;L'!$C$9*'Data - P&amp;L'!$C$55</f>
        <v>0</v>
      </c>
      <c r="AA293" s="66">
        <f>(AA185+AA186+AA200+AA201)*'Data - P&amp;L'!$C$9*'Data - P&amp;L'!$C$55</f>
        <v>0</v>
      </c>
      <c r="AB293" s="66">
        <f>(AB185+AB186+AB200+AB201)*'Data - P&amp;L'!$C$9*'Data - P&amp;L'!$C$55</f>
        <v>0</v>
      </c>
      <c r="AC293" s="66">
        <f>(AC185+AC186+AC200+AC201)*'Data - P&amp;L'!$C$9*'Data - P&amp;L'!$C$55</f>
        <v>0</v>
      </c>
      <c r="AD293" s="66">
        <f>(AD185+AD186+AD200+AD201)*'Data - P&amp;L'!$C$9*'Data - P&amp;L'!$C$55</f>
        <v>0</v>
      </c>
      <c r="AE293" s="66">
        <f>(AE185+AE186+AE200+AE201)*'Data - P&amp;L'!$C$9*'Data - P&amp;L'!$C$55</f>
        <v>0</v>
      </c>
      <c r="AF293" s="62">
        <f t="shared" si="69"/>
        <v>0</v>
      </c>
    </row>
    <row r="294" outlineLevel="1">
      <c r="A294" s="87" t="s">
        <v>401</v>
      </c>
      <c r="B294" s="66">
        <f>(B101+B102+B211+B212)*'Data - P&amp;L'!$C$5*'Data - P&amp;L'!$C$55</f>
        <v>0</v>
      </c>
      <c r="C294" s="66">
        <f>(C187+C188+C202+C203)*'Data - P&amp;L'!$C$5*'Data - P&amp;L'!$C$55</f>
        <v>0</v>
      </c>
      <c r="D294" s="66">
        <f>(D187+D188+D202+D203)*'Data - P&amp;L'!$C$5*'Data - P&amp;L'!$C$55</f>
        <v>0</v>
      </c>
      <c r="E294" s="66">
        <f>(E187+E188+E202+E203)*'Data - P&amp;L'!$C$5*'Data - P&amp;L'!$C$55</f>
        <v>0</v>
      </c>
      <c r="F294" s="66">
        <f>(F187+F188+F202+F203)*'Data - P&amp;L'!$C$5*'Data - P&amp;L'!$C$55</f>
        <v>0</v>
      </c>
      <c r="G294" s="66">
        <f>(G187+G188+G202+G203)*'Data - P&amp;L'!$C$5*'Data - P&amp;L'!$C$55</f>
        <v>0</v>
      </c>
      <c r="H294" s="66">
        <f>(H187+H188+H202+H203)*'Data - P&amp;L'!$C$5*'Data - P&amp;L'!$C$55</f>
        <v>0</v>
      </c>
      <c r="I294" s="66">
        <f>(I187+I188+I202+I203)*'Data - P&amp;L'!$C$5*'Data - P&amp;L'!$C$55</f>
        <v>0</v>
      </c>
      <c r="J294" s="66">
        <f>(J187+J188+J202+J203)*'Data - P&amp;L'!$C$5*'Data - P&amp;L'!$C$55</f>
        <v>0</v>
      </c>
      <c r="K294" s="66">
        <f>(K187+K188+K202+K203)*'Data - P&amp;L'!$C$5*'Data - P&amp;L'!$C$55</f>
        <v>0</v>
      </c>
      <c r="L294" s="66">
        <f>(L187+L188+L202+L203)*'Data - P&amp;L'!$C$5*'Data - P&amp;L'!$C$55</f>
        <v>0</v>
      </c>
      <c r="M294" s="66">
        <f>(M187+M188+M202+M203)*'Data - P&amp;L'!$C$5*'Data - P&amp;L'!$C$55</f>
        <v>0</v>
      </c>
      <c r="N294" s="66">
        <f>(N187+N188+N202+N203)*'Data - P&amp;L'!$C$5*'Data - P&amp;L'!$C$55</f>
        <v>0</v>
      </c>
      <c r="O294" s="66">
        <f>(O187+O188+O202+O203)*'Data - P&amp;L'!$C$5*'Data - P&amp;L'!$C$55</f>
        <v>0</v>
      </c>
      <c r="P294" s="66">
        <f>(P187+P188+P202+P203)*'Data - P&amp;L'!$C$5*'Data - P&amp;L'!$C$55</f>
        <v>0</v>
      </c>
      <c r="Q294" s="66">
        <f>(Q187+Q188+Q202+Q203)*'Data - P&amp;L'!$C$5*'Data - P&amp;L'!$C$55</f>
        <v>0</v>
      </c>
      <c r="R294" s="66">
        <f>(R187+R188+R202+R203)*'Data - P&amp;L'!$C$5*'Data - P&amp;L'!$C$55</f>
        <v>0</v>
      </c>
      <c r="S294" s="66">
        <f>(S187+S188+S202+S203)*'Data - P&amp;L'!$C$5*'Data - P&amp;L'!$C$55</f>
        <v>0</v>
      </c>
      <c r="T294" s="66">
        <f>(T187+T188+T202+T203)*'Data - P&amp;L'!$C$5*'Data - P&amp;L'!$C$55</f>
        <v>0</v>
      </c>
      <c r="U294" s="66">
        <f>(U187+U188+U202+U203)*'Data - P&amp;L'!$C$5*'Data - P&amp;L'!$C$55</f>
        <v>0</v>
      </c>
      <c r="V294" s="66">
        <f>(V187+V188+V202+V203)*'Data - P&amp;L'!$C$5*'Data - P&amp;L'!$C$55</f>
        <v>0</v>
      </c>
      <c r="W294" s="66">
        <f>(W187+W188+W202+W203)*'Data - P&amp;L'!$C$5*'Data - P&amp;L'!$C$55</f>
        <v>0</v>
      </c>
      <c r="X294" s="66">
        <f>(X187+X188+X202+X203)*'Data - P&amp;L'!$C$5*'Data - P&amp;L'!$C$55</f>
        <v>0</v>
      </c>
      <c r="Y294" s="66">
        <f>(Y187+Y188+Y202+Y203)*'Data - P&amp;L'!$C$5*'Data - P&amp;L'!$C$55</f>
        <v>0</v>
      </c>
      <c r="Z294" s="66">
        <f>(Z187+Z188+Z202+Z203)*'Data - P&amp;L'!$C$5*'Data - P&amp;L'!$C$55</f>
        <v>0</v>
      </c>
      <c r="AA294" s="66">
        <f>(AA187+AA188+AA202+AA203)*'Data - P&amp;L'!$C$5*'Data - P&amp;L'!$C$55</f>
        <v>0</v>
      </c>
      <c r="AB294" s="66">
        <f>(AB187+AB188+AB202+AB203)*'Data - P&amp;L'!$C$5*'Data - P&amp;L'!$C$55</f>
        <v>0</v>
      </c>
      <c r="AC294" s="66">
        <f>(AC187+AC188+AC202+AC203)*'Data - P&amp;L'!$C$5*'Data - P&amp;L'!$C$55</f>
        <v>0</v>
      </c>
      <c r="AD294" s="66">
        <f>(AD187+AD188+AD202+AD203)*'Data - P&amp;L'!$C$5*'Data - P&amp;L'!$C$55</f>
        <v>0</v>
      </c>
      <c r="AE294" s="66">
        <f>(AE187+AE188+AE202+AE203)*'Data - P&amp;L'!$C$5*'Data - P&amp;L'!$C$55</f>
        <v>0</v>
      </c>
      <c r="AF294" s="282"/>
    </row>
    <row r="295" outlineLevel="1">
      <c r="A295" s="87" t="s">
        <v>404</v>
      </c>
      <c r="B295" s="66">
        <f>(B103+B104+B213+B214)*'Data - P&amp;L'!$C$10*'Data - P&amp;L'!$C$55</f>
        <v>0</v>
      </c>
      <c r="C295" s="66">
        <f>(C189+C190+C204+C205)*'Data - P&amp;L'!$C$10*'Data - P&amp;L'!$C$55</f>
        <v>0</v>
      </c>
      <c r="D295" s="66">
        <f>(D189+D190+D204+D205)*'Data - P&amp;L'!$C$10*'Data - P&amp;L'!$C$55</f>
        <v>0</v>
      </c>
      <c r="E295" s="66">
        <f>(E189+E190+E204+E205)*'Data - P&amp;L'!$C$10*'Data - P&amp;L'!$C$55</f>
        <v>0</v>
      </c>
      <c r="F295" s="66">
        <f>(F189+F190+F204+F205)*'Data - P&amp;L'!$C$10*'Data - P&amp;L'!$C$55</f>
        <v>0</v>
      </c>
      <c r="G295" s="66">
        <f>(G189+G190+G204+G205)*'Data - P&amp;L'!$C$10*'Data - P&amp;L'!$C$55</f>
        <v>0</v>
      </c>
      <c r="H295" s="66">
        <f>(H189+H190+H204+H205)*'Data - P&amp;L'!$C$10*'Data - P&amp;L'!$C$55</f>
        <v>0</v>
      </c>
      <c r="I295" s="66">
        <f>(I189+I190+I204+I205)*'Data - P&amp;L'!$C$10*'Data - P&amp;L'!$C$55</f>
        <v>0</v>
      </c>
      <c r="J295" s="66">
        <f>(J189+J190+J204+J205)*'Data - P&amp;L'!$C$10*'Data - P&amp;L'!$C$55</f>
        <v>0</v>
      </c>
      <c r="K295" s="66">
        <f>(K189+K190+K204+K205)*'Data - P&amp;L'!$C$10*'Data - P&amp;L'!$C$55</f>
        <v>0</v>
      </c>
      <c r="L295" s="66">
        <f>(L189+L190+L204+L205)*'Data - P&amp;L'!$C$10*'Data - P&amp;L'!$C$55</f>
        <v>0</v>
      </c>
      <c r="M295" s="66">
        <f>(M189+M190+M204+M205)*'Data - P&amp;L'!$C$10*'Data - P&amp;L'!$C$55</f>
        <v>0</v>
      </c>
      <c r="N295" s="66">
        <f>(N189+N190+N204+N205)*'Data - P&amp;L'!$C$10*'Data - P&amp;L'!$C$55</f>
        <v>0</v>
      </c>
      <c r="O295" s="66">
        <f>(O189+O190+O204+O205)*'Data - P&amp;L'!$C$10*'Data - P&amp;L'!$C$55</f>
        <v>0</v>
      </c>
      <c r="P295" s="66">
        <f>(P189+P190+P204+P205)*'Data - P&amp;L'!$C$10*'Data - P&amp;L'!$C$55</f>
        <v>0</v>
      </c>
      <c r="Q295" s="66">
        <f>(Q189+Q190+Q204+Q205)*'Data - P&amp;L'!$C$10*'Data - P&amp;L'!$C$55</f>
        <v>0</v>
      </c>
      <c r="R295" s="66">
        <f>(R189+R190+R204+R205)*'Data - P&amp;L'!$C$10*'Data - P&amp;L'!$C$55</f>
        <v>0</v>
      </c>
      <c r="S295" s="66">
        <f>(S189+S190+S204+S205)*'Data - P&amp;L'!$C$10*'Data - P&amp;L'!$C$55</f>
        <v>0</v>
      </c>
      <c r="T295" s="66">
        <f>(T189+T190+T204+T205)*'Data - P&amp;L'!$C$10*'Data - P&amp;L'!$C$55</f>
        <v>0</v>
      </c>
      <c r="U295" s="66">
        <f>(U189+U190+U204+U205)*'Data - P&amp;L'!$C$10*'Data - P&amp;L'!$C$55</f>
        <v>0</v>
      </c>
      <c r="V295" s="66">
        <f>(V189+V190+V204+V205)*'Data - P&amp;L'!$C$10*'Data - P&amp;L'!$C$55</f>
        <v>0</v>
      </c>
      <c r="W295" s="66">
        <f>(W189+W190+W204+W205)*'Data - P&amp;L'!$C$10*'Data - P&amp;L'!$C$55</f>
        <v>0</v>
      </c>
      <c r="X295" s="66">
        <f>(X189+X190+X204+X205)*'Data - P&amp;L'!$C$10*'Data - P&amp;L'!$C$55</f>
        <v>0</v>
      </c>
      <c r="Y295" s="66">
        <f>(Y189+Y190+Y204+Y205)*'Data - P&amp;L'!$C$10*'Data - P&amp;L'!$C$55</f>
        <v>0</v>
      </c>
      <c r="Z295" s="66">
        <f>(Z189+Z190+Z204+Z205)*'Data - P&amp;L'!$C$10*'Data - P&amp;L'!$C$55</f>
        <v>0</v>
      </c>
      <c r="AA295" s="66">
        <f>(AA189+AA190+AA204+AA205)*'Data - P&amp;L'!$C$10*'Data - P&amp;L'!$C$55</f>
        <v>0</v>
      </c>
      <c r="AB295" s="66">
        <f>(AB189+AB190+AB204+AB205)*'Data - P&amp;L'!$C$10*'Data - P&amp;L'!$C$55</f>
        <v>0</v>
      </c>
      <c r="AC295" s="66">
        <f>(AC189+AC190+AC204+AC205)*'Data - P&amp;L'!$C$10*'Data - P&amp;L'!$C$55</f>
        <v>0</v>
      </c>
      <c r="AD295" s="66">
        <f>(AD189+AD190+AD204+AD205)*'Data - P&amp;L'!$C$10*'Data - P&amp;L'!$C$55</f>
        <v>0</v>
      </c>
      <c r="AE295" s="66">
        <f>(AE189+AE190+AE204+AE205)*'Data - P&amp;L'!$C$10*'Data - P&amp;L'!$C$55</f>
        <v>0</v>
      </c>
      <c r="AF295" s="282"/>
    </row>
    <row r="296" outlineLevel="1">
      <c r="A296" s="87" t="s">
        <v>821</v>
      </c>
      <c r="B296" s="66">
        <f>((B108+B109+B218+B219)*'Data - P&amp;L'!$C$13)*'Data - P&amp;L'!$C$55</f>
        <v>0</v>
      </c>
      <c r="C296" s="66">
        <f>((C163+C164+C176+C177)*'Data - P&amp;L'!$C$13)*'Data - P&amp;L'!$C$55</f>
        <v>0</v>
      </c>
      <c r="D296" s="66">
        <f>((D163+D164+D176+D177)*'Data - P&amp;L'!$C$13)*'Data - P&amp;L'!$C$55</f>
        <v>0</v>
      </c>
      <c r="E296" s="66">
        <f>((E163+E164+E176+E177)*'Data - P&amp;L'!$C$13)*'Data - P&amp;L'!$C$55</f>
        <v>0</v>
      </c>
      <c r="F296" s="66">
        <f>((F163+F164+F176+F177)*'Data - P&amp;L'!$C$13)*'Data - P&amp;L'!$C$55</f>
        <v>0</v>
      </c>
      <c r="G296" s="66">
        <f>((G163+G164+G176+G177)*'Data - P&amp;L'!$C$13)*'Data - P&amp;L'!$C$55</f>
        <v>0</v>
      </c>
      <c r="H296" s="66">
        <f>((H163+H164+H176+H177)*'Data - P&amp;L'!$C$13)*'Data - P&amp;L'!$C$55</f>
        <v>0</v>
      </c>
      <c r="I296" s="66">
        <f>((I163+I164+I176+I177)*'Data - P&amp;L'!$C$13)*'Data - P&amp;L'!$C$55</f>
        <v>0</v>
      </c>
      <c r="J296" s="66">
        <f>((J163+J164+J176+J177)*'Data - P&amp;L'!$C$13)*'Data - P&amp;L'!$C$55</f>
        <v>0</v>
      </c>
      <c r="K296" s="66">
        <f>((K163+K164+K176+K177)*'Data - P&amp;L'!$C$13)*'Data - P&amp;L'!$C$55</f>
        <v>0</v>
      </c>
      <c r="L296" s="66">
        <f>((L163+L164+L176+L177)*'Data - P&amp;L'!$C$13)*'Data - P&amp;L'!$C$55</f>
        <v>0</v>
      </c>
      <c r="M296" s="66">
        <f>((M163+M164+M176+M177)*'Data - P&amp;L'!$C$13)*'Data - P&amp;L'!$C$55</f>
        <v>0</v>
      </c>
      <c r="N296" s="66">
        <f>((N163+N164+N176+N177)*'Data - P&amp;L'!$C$13)*'Data - P&amp;L'!$C$55</f>
        <v>0</v>
      </c>
      <c r="O296" s="66">
        <f>((O163+O164+O176+O177)*'Data - P&amp;L'!$C$13)*'Data - P&amp;L'!$C$55</f>
        <v>0</v>
      </c>
      <c r="P296" s="66">
        <f>((P163+P164+P176+P177)*'Data - P&amp;L'!$C$13)*'Data - P&amp;L'!$C$55</f>
        <v>0</v>
      </c>
      <c r="Q296" s="66">
        <f>((Q163+Q164+Q176+Q177)*'Data - P&amp;L'!$C$13)*'Data - P&amp;L'!$C$55</f>
        <v>0</v>
      </c>
      <c r="R296" s="66">
        <f>((R163+R164+R176+R177)*'Data - P&amp;L'!$C$13)*'Data - P&amp;L'!$C$55</f>
        <v>0</v>
      </c>
      <c r="S296" s="66">
        <f>((S163+S164+S176+S177)*'Data - P&amp;L'!$C$13)*'Data - P&amp;L'!$C$55</f>
        <v>0</v>
      </c>
      <c r="T296" s="66">
        <f>((T163+T164+T176+T177)*'Data - P&amp;L'!$C$13)*'Data - P&amp;L'!$C$55</f>
        <v>0</v>
      </c>
      <c r="U296" s="66">
        <f>((U163+U164+U176+U177)*'Data - P&amp;L'!$C$13)*'Data - P&amp;L'!$C$55</f>
        <v>0</v>
      </c>
      <c r="V296" s="66">
        <f>((V163+V164+V176+V177)*'Data - P&amp;L'!$C$13)*'Data - P&amp;L'!$C$55</f>
        <v>0</v>
      </c>
      <c r="W296" s="66">
        <f>((W163+W164+W176+W177)*'Data - P&amp;L'!$C$13)*'Data - P&amp;L'!$C$55</f>
        <v>0</v>
      </c>
      <c r="X296" s="66">
        <f>((X163+X164+X176+X177)*'Data - P&amp;L'!$C$13)*'Data - P&amp;L'!$C$55</f>
        <v>0</v>
      </c>
      <c r="Y296" s="66">
        <f>((Y163+Y164+Y176+Y177)*'Data - P&amp;L'!$C$13)*'Data - P&amp;L'!$C$55</f>
        <v>0</v>
      </c>
      <c r="Z296" s="66">
        <f>((Z163+Z164+Z176+Z177)*'Data - P&amp;L'!$C$13)*'Data - P&amp;L'!$C$55</f>
        <v>0</v>
      </c>
      <c r="AA296" s="66">
        <f>((AA163+AA164+AA176+AA177)*'Data - P&amp;L'!$C$13)*'Data - P&amp;L'!$C$55</f>
        <v>0</v>
      </c>
      <c r="AB296" s="66">
        <f>((AB163+AB164+AB176+AB177)*'Data - P&amp;L'!$C$13)*'Data - P&amp;L'!$C$55</f>
        <v>0</v>
      </c>
      <c r="AC296" s="66">
        <f>((AC163+AC164+AC176+AC177)*'Data - P&amp;L'!$C$13)*'Data - P&amp;L'!$C$55</f>
        <v>0</v>
      </c>
      <c r="AD296" s="66">
        <f>((AD163+AD164+AD176+AD177)*'Data - P&amp;L'!$C$13)*'Data - P&amp;L'!$C$55</f>
        <v>0</v>
      </c>
      <c r="AE296" s="66">
        <f>((AE163+AE164+AE176+AE177)*'Data - P&amp;L'!$C$13)*'Data - P&amp;L'!$C$55</f>
        <v>0</v>
      </c>
      <c r="AF296" s="282"/>
    </row>
    <row r="297" outlineLevel="1">
      <c r="A297" s="87" t="s">
        <v>823</v>
      </c>
      <c r="B297" s="66">
        <f>((B110+B220)*'Data - P&amp;L'!$C$14)*'Data - P&amp;L'!$C$55</f>
        <v>0</v>
      </c>
      <c r="C297" s="66">
        <f>((C110+C220)*'Data - P&amp;L'!$C$14)*'Data - P&amp;L'!$C$55</f>
        <v>0</v>
      </c>
      <c r="D297" s="66">
        <f>((D110+D220)*'Data - P&amp;L'!$C$14)*'Data - P&amp;L'!$C$55</f>
        <v>0</v>
      </c>
      <c r="E297" s="66">
        <f>((E110+E220)*'Data - P&amp;L'!$C$14)*'Data - P&amp;L'!$C$55</f>
        <v>0</v>
      </c>
      <c r="F297" s="66">
        <f>((F110+F220)*'Data - P&amp;L'!$C$14)*'Data - P&amp;L'!$C$55</f>
        <v>0</v>
      </c>
      <c r="G297" s="66">
        <f>((G110+G220)*'Data - P&amp;L'!$C$14)*'Data - P&amp;L'!$C$55</f>
        <v>0</v>
      </c>
      <c r="H297" s="66">
        <f>((H110+H220)*'Data - P&amp;L'!$C$14)*'Data - P&amp;L'!$C$55</f>
        <v>0</v>
      </c>
      <c r="I297" s="66">
        <f>((I110+I220)*'Data - P&amp;L'!$C$14)*'Data - P&amp;L'!$C$55</f>
        <v>0</v>
      </c>
      <c r="J297" s="66">
        <f>((J110+J220)*'Data - P&amp;L'!$C$14)*'Data - P&amp;L'!$C$55</f>
        <v>0</v>
      </c>
      <c r="K297" s="66">
        <f>((K110+K220)*'Data - P&amp;L'!$C$14)*'Data - P&amp;L'!$C$55</f>
        <v>0</v>
      </c>
      <c r="L297" s="66">
        <f>((L110+L220)*'Data - P&amp;L'!$C$14)*'Data - P&amp;L'!$C$55</f>
        <v>0</v>
      </c>
      <c r="M297" s="66">
        <f>((M110+M220)*'Data - P&amp;L'!$C$14)*'Data - P&amp;L'!$C$55</f>
        <v>0</v>
      </c>
      <c r="N297" s="66">
        <f>((N110+N220)*'Data - P&amp;L'!$C$14)*'Data - P&amp;L'!$C$55</f>
        <v>0</v>
      </c>
      <c r="O297" s="66">
        <f>((O110+O220)*'Data - P&amp;L'!$C$14)*'Data - P&amp;L'!$C$55</f>
        <v>0</v>
      </c>
      <c r="P297" s="66">
        <f>((P110+P220)*'Data - P&amp;L'!$C$14)*'Data - P&amp;L'!$C$55</f>
        <v>0</v>
      </c>
      <c r="Q297" s="66">
        <f>((Q110+Q220)*'Data - P&amp;L'!$C$14)*'Data - P&amp;L'!$C$55</f>
        <v>0</v>
      </c>
      <c r="R297" s="66">
        <f>((R110+R220)*'Data - P&amp;L'!$C$14)*'Data - P&amp;L'!$C$55</f>
        <v>0</v>
      </c>
      <c r="S297" s="66">
        <f>((S110+S220)*'Data - P&amp;L'!$C$14)*'Data - P&amp;L'!$C$55</f>
        <v>0</v>
      </c>
      <c r="T297" s="66">
        <f>((T110+T220)*'Data - P&amp;L'!$C$14)*'Data - P&amp;L'!$C$55</f>
        <v>0</v>
      </c>
      <c r="U297" s="66">
        <f>((U110+U220)*'Data - P&amp;L'!$C$14)*'Data - P&amp;L'!$C$55</f>
        <v>0</v>
      </c>
      <c r="V297" s="66">
        <f>((V110+V220)*'Data - P&amp;L'!$C$14)*'Data - P&amp;L'!$C$55</f>
        <v>0</v>
      </c>
      <c r="W297" s="66">
        <f>((W110+W220)*'Data - P&amp;L'!$C$14)*'Data - P&amp;L'!$C$55</f>
        <v>0</v>
      </c>
      <c r="X297" s="66">
        <f>((X110+X220)*'Data - P&amp;L'!$C$14)*'Data - P&amp;L'!$C$55</f>
        <v>0</v>
      </c>
      <c r="Y297" s="66">
        <f>((Y110+Y220)*'Data - P&amp;L'!$C$14)*'Data - P&amp;L'!$C$55</f>
        <v>0</v>
      </c>
      <c r="Z297" s="66">
        <f>((Z110+Z220)*'Data - P&amp;L'!$C$14)*'Data - P&amp;L'!$C$55</f>
        <v>0</v>
      </c>
      <c r="AA297" s="66">
        <f>((AA110+AA220)*'Data - P&amp;L'!$C$14)*'Data - P&amp;L'!$C$55</f>
        <v>0</v>
      </c>
      <c r="AB297" s="66">
        <f>((AB110+AB220)*'Data - P&amp;L'!$C$14)*'Data - P&amp;L'!$C$55</f>
        <v>0</v>
      </c>
      <c r="AC297" s="66">
        <f>((AC110+AC220)*'Data - P&amp;L'!$C$14)*'Data - P&amp;L'!$C$55</f>
        <v>0</v>
      </c>
      <c r="AD297" s="66">
        <f>((AD110+AD220)*'Data - P&amp;L'!$C$14)*'Data - P&amp;L'!$C$55</f>
        <v>0</v>
      </c>
      <c r="AE297" s="66">
        <f>((AE110+AE220)*'Data - P&amp;L'!$C$14)*'Data - P&amp;L'!$C$55</f>
        <v>0</v>
      </c>
      <c r="AF297" s="573"/>
    </row>
    <row r="298" outlineLevel="1">
      <c r="A298" s="87" t="s">
        <v>405</v>
      </c>
      <c r="B298" s="66">
        <f>(((B94+B204)*'Data - P&amp;L'!$C$38)+((B95+B205)*'Data - P&amp;L'!$C$38))*'Data - P&amp;L'!$C$55</f>
        <v>0</v>
      </c>
      <c r="C298" s="66">
        <f>(((C94+C204)*'Data - P&amp;L'!$C$38)+((C95+C205)*'Data - P&amp;L'!$C$39))*'Data - P&amp;L'!$C$55</f>
        <v>0</v>
      </c>
      <c r="D298" s="66">
        <f>(((D94+D204)*'Data - P&amp;L'!$C$38)+((D95+D205)*'Data - P&amp;L'!$C$39))*'Data - P&amp;L'!$C$55</f>
        <v>0</v>
      </c>
      <c r="E298" s="66">
        <f>(((E94+E204)*'Data - P&amp;L'!$C$38)+((E95+E205)*'Data - P&amp;L'!$C$39))*'Data - P&amp;L'!$C$55</f>
        <v>0</v>
      </c>
      <c r="F298" s="66">
        <f>(((F94+F204)*'Data - P&amp;L'!$C$38)+((F95+F205)*'Data - P&amp;L'!$C$39))*'Data - P&amp;L'!$C$55</f>
        <v>0</v>
      </c>
      <c r="G298" s="66">
        <f>(((G94+G204)*'Data - P&amp;L'!$C$38)+((G95+G205)*'Data - P&amp;L'!$C$39))*'Data - P&amp;L'!$C$55</f>
        <v>0</v>
      </c>
      <c r="H298" s="66">
        <f>(((H94+H204)*'Data - P&amp;L'!$C$38)+((H95+H205)*'Data - P&amp;L'!$C$39))*'Data - P&amp;L'!$C$55</f>
        <v>0</v>
      </c>
      <c r="I298" s="66">
        <f>(((I94+I204)*'Data - P&amp;L'!$C$38)+((I95+I205)*'Data - P&amp;L'!$C$39))*'Data - P&amp;L'!$C$55</f>
        <v>0</v>
      </c>
      <c r="J298" s="66">
        <f>(((J94+J204)*'Data - P&amp;L'!$C$38)+((J95+J205)*'Data - P&amp;L'!$C$39))*'Data - P&amp;L'!$C$55</f>
        <v>0</v>
      </c>
      <c r="K298" s="66">
        <f>(((K94+K204)*'Data - P&amp;L'!$C$38)+((K95+K205)*'Data - P&amp;L'!$C$39))*'Data - P&amp;L'!$C$55</f>
        <v>0</v>
      </c>
      <c r="L298" s="66">
        <f>(((L94+L204)*'Data - P&amp;L'!$C$38)+((L95+L205)*'Data - P&amp;L'!$C$39))*'Data - P&amp;L'!$C$55</f>
        <v>0</v>
      </c>
      <c r="M298" s="66">
        <f>(((M94+M204)*'Data - P&amp;L'!$C$38)+((M95+M205)*'Data - P&amp;L'!$C$39))*'Data - P&amp;L'!$C$55</f>
        <v>0</v>
      </c>
      <c r="N298" s="66">
        <f>(((N94+N204)*'Data - P&amp;L'!$C$38)+((N95+N205)*'Data - P&amp;L'!$C$39))*'Data - P&amp;L'!$C$55</f>
        <v>0</v>
      </c>
      <c r="O298" s="66">
        <f>(((O94+O204)*'Data - P&amp;L'!$C$38)+((O95+O205)*'Data - P&amp;L'!$C$39))*'Data - P&amp;L'!$C$55</f>
        <v>0</v>
      </c>
      <c r="P298" s="66">
        <f>(((P94+P204)*'Data - P&amp;L'!$C$38)+((P95+P205)*'Data - P&amp;L'!$C$39))*'Data - P&amp;L'!$C$55</f>
        <v>0</v>
      </c>
      <c r="Q298" s="66">
        <f>(((Q94+Q204)*'Data - P&amp;L'!$C$38)+((Q95+Q205)*'Data - P&amp;L'!$C$39))*'Data - P&amp;L'!$C$55</f>
        <v>0</v>
      </c>
      <c r="R298" s="66">
        <f>(((R94+R204)*'Data - P&amp;L'!$C$38)+((R95+R205)*'Data - P&amp;L'!$C$39))*'Data - P&amp;L'!$C$55</f>
        <v>0</v>
      </c>
      <c r="S298" s="66">
        <f>(((S94+S204)*'Data - P&amp;L'!$C$38)+((S95+S205)*'Data - P&amp;L'!$C$39))*'Data - P&amp;L'!$C$55</f>
        <v>0</v>
      </c>
      <c r="T298" s="66">
        <f>(((T94+T204)*'Data - P&amp;L'!$C$38)+((T95+T205)*'Data - P&amp;L'!$C$39))*'Data - P&amp;L'!$C$55</f>
        <v>0</v>
      </c>
      <c r="U298" s="66">
        <f>(((U94+U204)*'Data - P&amp;L'!$C$38)+((U95+U205)*'Data - P&amp;L'!$C$39))*'Data - P&amp;L'!$C$55</f>
        <v>0</v>
      </c>
      <c r="V298" s="66">
        <f>(((V94+V204)*'Data - P&amp;L'!$C$38)+((V95+V205)*'Data - P&amp;L'!$C$39))*'Data - P&amp;L'!$C$55</f>
        <v>0</v>
      </c>
      <c r="W298" s="66">
        <f>(((W94+W204)*'Data - P&amp;L'!$C$38)+((W95+W205)*'Data - P&amp;L'!$C$39))*'Data - P&amp;L'!$C$55</f>
        <v>0</v>
      </c>
      <c r="X298" s="66">
        <f>(((X94+X204)*'Data - P&amp;L'!$C$38)+((X95+X205)*'Data - P&amp;L'!$C$39))*'Data - P&amp;L'!$C$55</f>
        <v>0</v>
      </c>
      <c r="Y298" s="66">
        <f>(((Y94+Y204)*'Data - P&amp;L'!$C$38)+((Y95+Y205)*'Data - P&amp;L'!$C$39))*'Data - P&amp;L'!$C$55</f>
        <v>0</v>
      </c>
      <c r="Z298" s="66">
        <f>(((Z94+Z204)*'Data - P&amp;L'!$C$38)+((Z95+Z205)*'Data - P&amp;L'!$C$39))*'Data - P&amp;L'!$C$55</f>
        <v>0</v>
      </c>
      <c r="AA298" s="66">
        <f>(((AA94+AA204)*'Data - P&amp;L'!$C$38)+((AA95+AA205)*'Data - P&amp;L'!$C$39))*'Data - P&amp;L'!$C$55</f>
        <v>0</v>
      </c>
      <c r="AB298" s="66">
        <f>(((AB94+AB204)*'Data - P&amp;L'!$C$38)+((AB95+AB205)*'Data - P&amp;L'!$C$39))*'Data - P&amp;L'!$C$55</f>
        <v>0</v>
      </c>
      <c r="AC298" s="66">
        <f>(((AC94+AC204)*'Data - P&amp;L'!$C$38)+((AC95+AC205)*'Data - P&amp;L'!$C$39))*'Data - P&amp;L'!$C$55</f>
        <v>0</v>
      </c>
      <c r="AD298" s="66">
        <f>(((AD94+AD204)*'Data - P&amp;L'!$C$38)+((AD95+AD205)*'Data - P&amp;L'!$C$39))*'Data - P&amp;L'!$C$55</f>
        <v>0</v>
      </c>
      <c r="AE298" s="66">
        <f>(((AE94+AE204)*'Data - P&amp;L'!$C$38)+((AE95+AE205)*'Data - P&amp;L'!$C$39))*'Data - P&amp;L'!$C$55</f>
        <v>1.194</v>
      </c>
      <c r="AF298" s="282"/>
    </row>
    <row r="299" outlineLevel="1">
      <c r="A299" s="87" t="s">
        <v>467</v>
      </c>
      <c r="B299" s="66">
        <f>((B191*'Data - P&amp;L'!$D$38)+(B206*'Data - P&amp;L'!$D$39))*'Data - P&amp;L'!$C$55</f>
        <v>0</v>
      </c>
      <c r="C299" s="66">
        <f>((C191*'Data - P&amp;L'!$D$38)+(C206*'Data - P&amp;L'!$D$39))*'Data - P&amp;L'!$C$55</f>
        <v>0</v>
      </c>
      <c r="D299" s="66">
        <f>((D191*'Data - P&amp;L'!$D$38)+(D206*'Data - P&amp;L'!$D$39))*'Data - P&amp;L'!$C$55</f>
        <v>0</v>
      </c>
      <c r="E299" s="66">
        <f>((E191*'Data - P&amp;L'!$D$38)+(E206*'Data - P&amp;L'!$D$39))*'Data - P&amp;L'!$C$55</f>
        <v>0</v>
      </c>
      <c r="F299" s="66">
        <f>((F191*'Data - P&amp;L'!$D$38)+(F206*'Data - P&amp;L'!$D$39))*'Data - P&amp;L'!$C$55</f>
        <v>0</v>
      </c>
      <c r="G299" s="66">
        <f>((G191*'Data - P&amp;L'!$D$38)+(G206*'Data - P&amp;L'!$D$39))*'Data - P&amp;L'!$C$55</f>
        <v>0</v>
      </c>
      <c r="H299" s="66">
        <f>((H191*'Data - P&amp;L'!$D$38)+(H206*'Data - P&amp;L'!$D$39))*'Data - P&amp;L'!$C$55</f>
        <v>0</v>
      </c>
      <c r="I299" s="66">
        <f>((I191*'Data - P&amp;L'!$D$38)+(I206*'Data - P&amp;L'!$D$39))*'Data - P&amp;L'!$C$55</f>
        <v>0</v>
      </c>
      <c r="J299" s="66">
        <f>((J191*'Data - P&amp;L'!$D$38)+(J206*'Data - P&amp;L'!$D$39))*'Data - P&amp;L'!$C$55</f>
        <v>0</v>
      </c>
      <c r="K299" s="66">
        <f>((K191*'Data - P&amp;L'!$D$38)+(K206*'Data - P&amp;L'!$D$39))*'Data - P&amp;L'!$C$55</f>
        <v>0</v>
      </c>
      <c r="L299" s="66">
        <f>((L191*'Data - P&amp;L'!$D$38)+(L206*'Data - P&amp;L'!$D$39))*'Data - P&amp;L'!$C$55</f>
        <v>0</v>
      </c>
      <c r="M299" s="66">
        <f>((M191*'Data - P&amp;L'!$D$38)+(M206*'Data - P&amp;L'!$D$39))*'Data - P&amp;L'!$C$55</f>
        <v>0</v>
      </c>
      <c r="N299" s="66">
        <f>((N191*'Data - P&amp;L'!$D$38)+(N206*'Data - P&amp;L'!$D$39))*'Data - P&amp;L'!$C$55</f>
        <v>0</v>
      </c>
      <c r="O299" s="66">
        <f>((O191*'Data - P&amp;L'!$D$38)+(O206*'Data - P&amp;L'!$D$39))*'Data - P&amp;L'!$C$55</f>
        <v>0</v>
      </c>
      <c r="P299" s="66">
        <f>((P191*'Data - P&amp;L'!$D$38)+(P206*'Data - P&amp;L'!$D$39))*'Data - P&amp;L'!$C$55</f>
        <v>0</v>
      </c>
      <c r="Q299" s="66">
        <f>((Q191*'Data - P&amp;L'!$D$38)+(Q206*'Data - P&amp;L'!$D$39))*'Data - P&amp;L'!$C$55</f>
        <v>0</v>
      </c>
      <c r="R299" s="66">
        <f>((R191*'Data - P&amp;L'!$D$38)+(R206*'Data - P&amp;L'!$D$39))*'Data - P&amp;L'!$C$55</f>
        <v>0</v>
      </c>
      <c r="S299" s="66">
        <f>((S191*'Data - P&amp;L'!$D$38)+(S206*'Data - P&amp;L'!$D$39))*'Data - P&amp;L'!$C$55</f>
        <v>0</v>
      </c>
      <c r="T299" s="66">
        <f>((T191*'Data - P&amp;L'!$D$38)+(T206*'Data - P&amp;L'!$D$39))*'Data - P&amp;L'!$C$55</f>
        <v>0</v>
      </c>
      <c r="U299" s="66">
        <f>((U191*'Data - P&amp;L'!$D$38)+(U206*'Data - P&amp;L'!$D$39))*'Data - P&amp;L'!$C$55</f>
        <v>0</v>
      </c>
      <c r="V299" s="66">
        <f>((V191*'Data - P&amp;L'!$D$38)+(V206*'Data - P&amp;L'!$D$39))*'Data - P&amp;L'!$C$55</f>
        <v>0</v>
      </c>
      <c r="W299" s="66">
        <f>((W191*'Data - P&amp;L'!$D$38)+(W206*'Data - P&amp;L'!$D$39))*'Data - P&amp;L'!$C$55</f>
        <v>0</v>
      </c>
      <c r="X299" s="66">
        <f>((X191*'Data - P&amp;L'!$D$38)+(X206*'Data - P&amp;L'!$D$39))*'Data - P&amp;L'!$C$55</f>
        <v>0</v>
      </c>
      <c r="Y299" s="66">
        <f>((Y191*'Data - P&amp;L'!$D$38)+(Y206*'Data - P&amp;L'!$D$39))*'Data - P&amp;L'!$C$55</f>
        <v>0</v>
      </c>
      <c r="Z299" s="66">
        <f>((Z191*'Data - P&amp;L'!$D$38)+(Z206*'Data - P&amp;L'!$D$39))*'Data - P&amp;L'!$C$55</f>
        <v>0</v>
      </c>
      <c r="AA299" s="66">
        <f>((AA191*'Data - P&amp;L'!$D$38)+(AA206*'Data - P&amp;L'!$D$39))*'Data - P&amp;L'!$C$55</f>
        <v>0</v>
      </c>
      <c r="AB299" s="66">
        <f>((AB191*'Data - P&amp;L'!$D$38)+(AB206*'Data - P&amp;L'!$D$39))*'Data - P&amp;L'!$C$55</f>
        <v>0</v>
      </c>
      <c r="AC299" s="66">
        <f>((AC191*'Data - P&amp;L'!$D$38)+(AC206*'Data - P&amp;L'!$D$39))*'Data - P&amp;L'!$C$55</f>
        <v>0</v>
      </c>
      <c r="AD299" s="66">
        <f>((AD191*'Data - P&amp;L'!$D$38)+(AD206*'Data - P&amp;L'!$D$39))*'Data - P&amp;L'!$C$55</f>
        <v>0</v>
      </c>
      <c r="AE299" s="66">
        <f>((AE191*'Data - P&amp;L'!$D$38)+(AE206*'Data - P&amp;L'!$D$39))*'Data - P&amp;L'!$C$55</f>
        <v>0</v>
      </c>
      <c r="AF299" s="282"/>
    </row>
    <row r="300" outlineLevel="1">
      <c r="A300" s="87" t="s">
        <v>826</v>
      </c>
      <c r="B300" s="658"/>
      <c r="C300" s="658"/>
      <c r="D300" s="658"/>
      <c r="E300" s="658"/>
      <c r="F300" s="658"/>
      <c r="G300" s="658"/>
      <c r="H300" s="658"/>
      <c r="I300" s="658"/>
      <c r="J300" s="658"/>
      <c r="K300" s="658"/>
      <c r="L300" s="658"/>
      <c r="M300" s="658"/>
      <c r="N300" s="658"/>
      <c r="O300" s="658"/>
      <c r="P300" s="658"/>
      <c r="Q300" s="658"/>
      <c r="R300" s="658"/>
      <c r="S300" s="658"/>
      <c r="T300" s="658"/>
      <c r="U300" s="658"/>
      <c r="V300" s="658"/>
      <c r="W300" s="658"/>
      <c r="X300" s="658"/>
      <c r="Y300" s="658"/>
      <c r="Z300" s="658"/>
      <c r="AA300" s="658"/>
      <c r="AB300" s="658"/>
      <c r="AC300" s="658"/>
      <c r="AD300" s="658"/>
      <c r="AE300" s="658"/>
      <c r="AF300" s="282"/>
    </row>
    <row r="301" outlineLevel="1">
      <c r="A301" s="87" t="s">
        <v>829</v>
      </c>
      <c r="B301" s="658"/>
      <c r="C301" s="658"/>
      <c r="D301" s="658"/>
      <c r="E301" s="658"/>
      <c r="F301" s="658"/>
      <c r="G301" s="658"/>
      <c r="H301" s="658"/>
      <c r="I301" s="658"/>
      <c r="J301" s="658"/>
      <c r="K301" s="658"/>
      <c r="L301" s="658"/>
      <c r="M301" s="658"/>
      <c r="N301" s="658"/>
      <c r="O301" s="658"/>
      <c r="P301" s="658"/>
      <c r="Q301" s="658"/>
      <c r="R301" s="658"/>
      <c r="S301" s="658"/>
      <c r="T301" s="658"/>
      <c r="U301" s="658"/>
      <c r="V301" s="658"/>
      <c r="W301" s="658"/>
      <c r="X301" s="658"/>
      <c r="Y301" s="658"/>
      <c r="Z301" s="658"/>
      <c r="AA301" s="658"/>
      <c r="AB301" s="658"/>
      <c r="AC301" s="658"/>
      <c r="AD301" s="658"/>
      <c r="AE301" s="658"/>
      <c r="AF301" s="282"/>
    </row>
    <row r="302" outlineLevel="1">
      <c r="A302" s="575" t="s">
        <v>831</v>
      </c>
      <c r="B302" s="329">
        <f>(B208*'Data - P&amp;L'!$R$3)+('Data - P&amp;L'!$R$4*B209)</f>
        <v>0</v>
      </c>
      <c r="C302" s="329">
        <f>(C208*'Data - P&amp;L'!$R$3)+('Data - P&amp;L'!$R$4*C209)</f>
        <v>0</v>
      </c>
      <c r="D302" s="329">
        <f>(D208*'Data - P&amp;L'!$R$3)+('Data - P&amp;L'!$R$4*D209)</f>
        <v>0</v>
      </c>
      <c r="E302" s="329">
        <f>(E208*'Data - P&amp;L'!$R$3)+('Data - P&amp;L'!$R$4*E209)</f>
        <v>0</v>
      </c>
      <c r="F302" s="329">
        <f>(F208*'Data - P&amp;L'!$R$3)+('Data - P&amp;L'!$R$4*F209)</f>
        <v>0</v>
      </c>
      <c r="G302" s="329">
        <f>(G208*'Data - P&amp;L'!$R$3)+('Data - P&amp;L'!$R$4*G209)</f>
        <v>0</v>
      </c>
      <c r="H302" s="329">
        <f>(H208*'Data - P&amp;L'!$R$3)+('Data - P&amp;L'!$R$4*H209)</f>
        <v>0</v>
      </c>
      <c r="I302" s="329">
        <f>(I208*'Data - P&amp;L'!$R$3)+('Data - P&amp;L'!$R$4*I209)</f>
        <v>0</v>
      </c>
      <c r="J302" s="329">
        <f>(J208*'Data - P&amp;L'!$R$3)+('Data - P&amp;L'!$R$4*J209)</f>
        <v>0</v>
      </c>
      <c r="K302" s="329">
        <f>(K208*'Data - P&amp;L'!$R$3)+('Data - P&amp;L'!$R$4*K209)</f>
        <v>0</v>
      </c>
      <c r="L302" s="329">
        <f>(L208*'Data - P&amp;L'!$R$3)+('Data - P&amp;L'!$R$4*L209)</f>
        <v>0</v>
      </c>
      <c r="M302" s="329">
        <f>(M208*'Data - P&amp;L'!$R$3)+('Data - P&amp;L'!$R$4*M209)</f>
        <v>0</v>
      </c>
      <c r="N302" s="329">
        <f>(N208*'Data - P&amp;L'!$R$3)+('Data - P&amp;L'!$R$4*N209)</f>
        <v>0</v>
      </c>
      <c r="O302" s="329">
        <f>(O208*'Data - P&amp;L'!$R$3)+('Data - P&amp;L'!$R$4*O209)</f>
        <v>0</v>
      </c>
      <c r="P302" s="329">
        <f>(P208*'Data - P&amp;L'!$R$3)+('Data - P&amp;L'!$R$4*P209)</f>
        <v>0</v>
      </c>
      <c r="Q302" s="329">
        <f>(Q208*'Data - P&amp;L'!$R$3)+('Data - P&amp;L'!$R$4*Q209)</f>
        <v>0</v>
      </c>
      <c r="R302" s="329">
        <f>(R208*'Data - P&amp;L'!$R$3)+('Data - P&amp;L'!$R$4*R209)</f>
        <v>0</v>
      </c>
      <c r="S302" s="329">
        <f>(S208*'Data - P&amp;L'!$R$3)+('Data - P&amp;L'!$R$4*S209)</f>
        <v>0</v>
      </c>
      <c r="T302" s="329">
        <f>(T208*'Data - P&amp;L'!$R$3)+('Data - P&amp;L'!$R$4*T209)</f>
        <v>0</v>
      </c>
      <c r="U302" s="329">
        <f>(U208*'Data - P&amp;L'!$R$3)+('Data - P&amp;L'!$R$4*U209)</f>
        <v>0</v>
      </c>
      <c r="V302" s="329">
        <f>(V208*'Data - P&amp;L'!$R$3)+('Data - P&amp;L'!$R$4*V209)</f>
        <v>0</v>
      </c>
      <c r="W302" s="329">
        <f>(W208*'Data - P&amp;L'!$R$3)+('Data - P&amp;L'!$R$4*W209)</f>
        <v>0</v>
      </c>
      <c r="X302" s="329">
        <f>(X208*'Data - P&amp;L'!$R$3)+('Data - P&amp;L'!$R$4*X209)</f>
        <v>0</v>
      </c>
      <c r="Y302" s="329">
        <f>(Y208*'Data - P&amp;L'!$R$3)+('Data - P&amp;L'!$R$4*Y209)</f>
        <v>0</v>
      </c>
      <c r="Z302" s="329">
        <f>(Z208*'Data - P&amp;L'!$R$3)+('Data - P&amp;L'!$R$4*Z209)</f>
        <v>0</v>
      </c>
      <c r="AA302" s="329">
        <f>(AA208*'Data - P&amp;L'!$R$3)+('Data - P&amp;L'!$R$4*AA209)</f>
        <v>0</v>
      </c>
      <c r="AB302" s="329">
        <f>(AB208*'Data - P&amp;L'!$R$3)+('Data - P&amp;L'!$R$4*AB209)</f>
        <v>0</v>
      </c>
      <c r="AC302" s="329">
        <f>(AC208*'Data - P&amp;L'!$R$3)+('Data - P&amp;L'!$R$4*AC209)</f>
        <v>0</v>
      </c>
      <c r="AD302" s="329">
        <f>(AD208*'Data - P&amp;L'!$R$3)+('Data - P&amp;L'!$R$4*AD209)</f>
        <v>0</v>
      </c>
      <c r="AE302" s="329">
        <f>(AE208*'Data - P&amp;L'!$R$3)+('Data - P&amp;L'!$R$4*AE209)</f>
        <v>0</v>
      </c>
      <c r="AF302" s="282"/>
    </row>
    <row r="303" outlineLevel="1">
      <c r="A303" s="364" t="s">
        <v>833</v>
      </c>
      <c r="B303" s="331">
        <f t="shared" ref="B303:AE303" si="72">sum(B304:B316)</f>
        <v>0</v>
      </c>
      <c r="C303" s="331">
        <f t="shared" si="72"/>
        <v>0</v>
      </c>
      <c r="D303" s="331">
        <f t="shared" si="72"/>
        <v>0</v>
      </c>
      <c r="E303" s="331">
        <f t="shared" si="72"/>
        <v>0</v>
      </c>
      <c r="F303" s="331">
        <f t="shared" si="72"/>
        <v>0</v>
      </c>
      <c r="G303" s="331">
        <f t="shared" si="72"/>
        <v>0</v>
      </c>
      <c r="H303" s="331">
        <f t="shared" si="72"/>
        <v>0</v>
      </c>
      <c r="I303" s="331">
        <f t="shared" si="72"/>
        <v>0</v>
      </c>
      <c r="J303" s="331">
        <f t="shared" si="72"/>
        <v>0</v>
      </c>
      <c r="K303" s="331">
        <f t="shared" si="72"/>
        <v>0</v>
      </c>
      <c r="L303" s="331">
        <f t="shared" si="72"/>
        <v>0</v>
      </c>
      <c r="M303" s="331">
        <f t="shared" si="72"/>
        <v>0</v>
      </c>
      <c r="N303" s="331">
        <f t="shared" si="72"/>
        <v>0</v>
      </c>
      <c r="O303" s="331">
        <f t="shared" si="72"/>
        <v>0</v>
      </c>
      <c r="P303" s="331">
        <f t="shared" si="72"/>
        <v>0</v>
      </c>
      <c r="Q303" s="331">
        <f t="shared" si="72"/>
        <v>0</v>
      </c>
      <c r="R303" s="331">
        <f t="shared" si="72"/>
        <v>0</v>
      </c>
      <c r="S303" s="331">
        <f t="shared" si="72"/>
        <v>0</v>
      </c>
      <c r="T303" s="331">
        <f t="shared" si="72"/>
        <v>0</v>
      </c>
      <c r="U303" s="331">
        <f t="shared" si="72"/>
        <v>0</v>
      </c>
      <c r="V303" s="331">
        <f t="shared" si="72"/>
        <v>0</v>
      </c>
      <c r="W303" s="331">
        <f t="shared" si="72"/>
        <v>0</v>
      </c>
      <c r="X303" s="331">
        <f t="shared" si="72"/>
        <v>0</v>
      </c>
      <c r="Y303" s="331">
        <f t="shared" si="72"/>
        <v>0</v>
      </c>
      <c r="Z303" s="331">
        <f t="shared" si="72"/>
        <v>0</v>
      </c>
      <c r="AA303" s="331">
        <f t="shared" si="72"/>
        <v>0</v>
      </c>
      <c r="AB303" s="331">
        <f t="shared" si="72"/>
        <v>0</v>
      </c>
      <c r="AC303" s="331">
        <f t="shared" si="72"/>
        <v>0</v>
      </c>
      <c r="AD303" s="331">
        <f t="shared" si="72"/>
        <v>0</v>
      </c>
      <c r="AE303" s="331">
        <f t="shared" si="72"/>
        <v>117.464</v>
      </c>
      <c r="AF303" s="282"/>
    </row>
    <row r="304" outlineLevel="1">
      <c r="A304" s="87" t="s">
        <v>835</v>
      </c>
      <c r="B304" s="66">
        <f>(B94+B204)*'Data - P&amp;L'!$C$3</f>
        <v>0</v>
      </c>
      <c r="C304" s="66">
        <f>(C94+C204)*'Data - P&amp;L'!$C$3</f>
        <v>0</v>
      </c>
      <c r="D304" s="66">
        <f>(D94+D204)*'Data - P&amp;L'!$C$3</f>
        <v>0</v>
      </c>
      <c r="E304" s="66">
        <f>(E94+E204)*'Data - P&amp;L'!$C$3</f>
        <v>0</v>
      </c>
      <c r="F304" s="66">
        <f>(F94+F204)*'Data - P&amp;L'!$C$3</f>
        <v>0</v>
      </c>
      <c r="G304" s="66">
        <f>(G94+G204)*'Data - P&amp;L'!$C$3</f>
        <v>0</v>
      </c>
      <c r="H304" s="66">
        <f>(H94+H204)*'Data - P&amp;L'!$C$3</f>
        <v>0</v>
      </c>
      <c r="I304" s="66">
        <f>(I94+I204)*'Data - P&amp;L'!$C$3</f>
        <v>0</v>
      </c>
      <c r="J304" s="66">
        <f>(J94+J204)*'Data - P&amp;L'!$C$3</f>
        <v>0</v>
      </c>
      <c r="K304" s="66">
        <f>(K94+K204)*'Data - P&amp;L'!$C$3</f>
        <v>0</v>
      </c>
      <c r="L304" s="66">
        <f>(L94+L204)*'Data - P&amp;L'!$C$3</f>
        <v>0</v>
      </c>
      <c r="M304" s="66">
        <f>(M94+M204)*'Data - P&amp;L'!$C$3</f>
        <v>0</v>
      </c>
      <c r="N304" s="66">
        <f>(N94+N204)*'Data - P&amp;L'!$C$3</f>
        <v>0</v>
      </c>
      <c r="O304" s="66">
        <f>(O94+O204)*'Data - P&amp;L'!$C$3</f>
        <v>0</v>
      </c>
      <c r="P304" s="66">
        <f>(P94+P204)*'Data - P&amp;L'!$C$3</f>
        <v>0</v>
      </c>
      <c r="Q304" s="66">
        <f>(Q94+Q204)*'Data - P&amp;L'!$C$3</f>
        <v>0</v>
      </c>
      <c r="R304" s="66">
        <f>(R94+R204)*'Data - P&amp;L'!$C$3</f>
        <v>0</v>
      </c>
      <c r="S304" s="66">
        <f>(S94+S204)*'Data - P&amp;L'!$C$3</f>
        <v>0</v>
      </c>
      <c r="T304" s="66">
        <f>(T94+T204)*'Data - P&amp;L'!$C$3</f>
        <v>0</v>
      </c>
      <c r="U304" s="66">
        <f>(U94+U204)*'Data - P&amp;L'!$C$3</f>
        <v>0</v>
      </c>
      <c r="V304" s="66">
        <f>(V94+V204)*'Data - P&amp;L'!$C$3</f>
        <v>0</v>
      </c>
      <c r="W304" s="66">
        <f>(W94+W204)*'Data - P&amp;L'!$C$3</f>
        <v>0</v>
      </c>
      <c r="X304" s="66">
        <f>(X94+X204)*'Data - P&amp;L'!$C$3</f>
        <v>0</v>
      </c>
      <c r="Y304" s="66">
        <f>(Y94+Y204)*'Data - P&amp;L'!$C$3</f>
        <v>0</v>
      </c>
      <c r="Z304" s="66">
        <f>(Z94+Z204)*'Data - P&amp;L'!$C$3</f>
        <v>0</v>
      </c>
      <c r="AA304" s="66">
        <f>(AA94+AA204)*'Data - P&amp;L'!$C$3</f>
        <v>0</v>
      </c>
      <c r="AB304" s="66">
        <f>(AB94+AB204)*'Data - P&amp;L'!$C$3</f>
        <v>0</v>
      </c>
      <c r="AC304" s="66">
        <f>(AC94+AC204)*'Data - P&amp;L'!$C$3</f>
        <v>0</v>
      </c>
      <c r="AD304" s="66">
        <f>(AD94+AD204)*'Data - P&amp;L'!$C$3</f>
        <v>0</v>
      </c>
      <c r="AE304" s="66">
        <f>(AE94+AE204)*'Data - P&amp;L'!$C$3</f>
        <v>0</v>
      </c>
      <c r="AF304" s="282"/>
    </row>
    <row r="305" outlineLevel="1">
      <c r="A305" s="87" t="s">
        <v>836</v>
      </c>
      <c r="B305" s="66">
        <f>(B95+B205)*'Data - P&amp;L'!$C$4</f>
        <v>0</v>
      </c>
      <c r="C305" s="66">
        <f>(C95+C205)*'Data - P&amp;L'!$C$4</f>
        <v>0</v>
      </c>
      <c r="D305" s="66">
        <f>(D95+D205)*'Data - P&amp;L'!$C$4</f>
        <v>0</v>
      </c>
      <c r="E305" s="66">
        <f>(E95+E205)*'Data - P&amp;L'!$C$4</f>
        <v>0</v>
      </c>
      <c r="F305" s="66">
        <f>(F95+F205)*'Data - P&amp;L'!$C$4</f>
        <v>0</v>
      </c>
      <c r="G305" s="66">
        <f>(G95+G205)*'Data - P&amp;L'!$C$4</f>
        <v>0</v>
      </c>
      <c r="H305" s="66">
        <f>(H95+H205)*'Data - P&amp;L'!$C$4</f>
        <v>0</v>
      </c>
      <c r="I305" s="66">
        <f>(I95+I205)*'Data - P&amp;L'!$C$4</f>
        <v>0</v>
      </c>
      <c r="J305" s="66">
        <f>(J95+J205)*'Data - P&amp;L'!$C$4</f>
        <v>0</v>
      </c>
      <c r="K305" s="66">
        <f>(K95+K205)*'Data - P&amp;L'!$C$4</f>
        <v>0</v>
      </c>
      <c r="L305" s="66">
        <f>(L95+L205)*'Data - P&amp;L'!$C$4</f>
        <v>0</v>
      </c>
      <c r="M305" s="66">
        <f>(M95+M205)*'Data - P&amp;L'!$C$4</f>
        <v>0</v>
      </c>
      <c r="N305" s="66">
        <f>(N95+N205)*'Data - P&amp;L'!$C$4</f>
        <v>0</v>
      </c>
      <c r="O305" s="66">
        <f>(O95+O205)*'Data - P&amp;L'!$C$4</f>
        <v>0</v>
      </c>
      <c r="P305" s="66">
        <f>(P95+P205)*'Data - P&amp;L'!$C$4</f>
        <v>0</v>
      </c>
      <c r="Q305" s="66">
        <f>(Q95+Q205)*'Data - P&amp;L'!$C$4</f>
        <v>0</v>
      </c>
      <c r="R305" s="66">
        <f>(R95+R205)*'Data - P&amp;L'!$C$4</f>
        <v>0</v>
      </c>
      <c r="S305" s="66">
        <f>(S95+S205)*'Data - P&amp;L'!$C$4</f>
        <v>0</v>
      </c>
      <c r="T305" s="66">
        <f>(T95+T205)*'Data - P&amp;L'!$C$4</f>
        <v>0</v>
      </c>
      <c r="U305" s="66">
        <f>(U95+U205)*'Data - P&amp;L'!$C$4</f>
        <v>0</v>
      </c>
      <c r="V305" s="66">
        <f>(V95+V205)*'Data - P&amp;L'!$C$4</f>
        <v>0</v>
      </c>
      <c r="W305" s="66">
        <f>(W95+W205)*'Data - P&amp;L'!$C$4</f>
        <v>0</v>
      </c>
      <c r="X305" s="66">
        <f>(X95+X205)*'Data - P&amp;L'!$C$4</f>
        <v>0</v>
      </c>
      <c r="Y305" s="66">
        <f>(Y95+Y205)*'Data - P&amp;L'!$C$4</f>
        <v>0</v>
      </c>
      <c r="Z305" s="66">
        <f>(Z95+Z205)*'Data - P&amp;L'!$C$4</f>
        <v>0</v>
      </c>
      <c r="AA305" s="66">
        <f>(AA95+AA205)*'Data - P&amp;L'!$C$4</f>
        <v>0</v>
      </c>
      <c r="AB305" s="66">
        <f>(AB95+AB205)*'Data - P&amp;L'!$C$4</f>
        <v>0</v>
      </c>
      <c r="AC305" s="66">
        <f>(AC95+AC205)*'Data - P&amp;L'!$C$4</f>
        <v>0</v>
      </c>
      <c r="AD305" s="66">
        <f>(AD95+AD205)*'Data - P&amp;L'!$C$4</f>
        <v>0</v>
      </c>
      <c r="AE305" s="66">
        <f>(AE95+AE205)*'Data - P&amp;L'!$C$4</f>
        <v>97.61</v>
      </c>
      <c r="AF305" s="282"/>
    </row>
    <row r="306" outlineLevel="1">
      <c r="A306" s="87" t="s">
        <v>838</v>
      </c>
      <c r="B306" s="66">
        <f>(B97+B207)*'Data - P&amp;L'!$C$6</f>
        <v>0</v>
      </c>
      <c r="C306" s="66">
        <f>(C97+C207)*'Data - P&amp;L'!$C$6</f>
        <v>0</v>
      </c>
      <c r="D306" s="66">
        <f>(D97+D207)*'Data - P&amp;L'!$C$6</f>
        <v>0</v>
      </c>
      <c r="E306" s="66">
        <f>(E97+E207)*'Data - P&amp;L'!$C$6</f>
        <v>0</v>
      </c>
      <c r="F306" s="66">
        <f>(F97+F207)*'Data - P&amp;L'!$C$6</f>
        <v>0</v>
      </c>
      <c r="G306" s="66">
        <f>(G97+G207)*'Data - P&amp;L'!$C$6</f>
        <v>0</v>
      </c>
      <c r="H306" s="66">
        <f>(H97+H207)*'Data - P&amp;L'!$C$6</f>
        <v>0</v>
      </c>
      <c r="I306" s="66">
        <f>(I97+I207)*'Data - P&amp;L'!$C$6</f>
        <v>0</v>
      </c>
      <c r="J306" s="66">
        <f>(J97+J207)*'Data - P&amp;L'!$C$6</f>
        <v>0</v>
      </c>
      <c r="K306" s="66">
        <f>(K97+K207)*'Data - P&amp;L'!$C$6</f>
        <v>0</v>
      </c>
      <c r="L306" s="66">
        <f>(L97+L207)*'Data - P&amp;L'!$C$6</f>
        <v>0</v>
      </c>
      <c r="M306" s="66">
        <f>(M97+M207)*'Data - P&amp;L'!$C$6</f>
        <v>0</v>
      </c>
      <c r="N306" s="66">
        <f>(N97+N207)*'Data - P&amp;L'!$C$6</f>
        <v>0</v>
      </c>
      <c r="O306" s="66">
        <f>(O97+O207)*'Data - P&amp;L'!$C$6</f>
        <v>0</v>
      </c>
      <c r="P306" s="66">
        <f>(P97+P207)*'Data - P&amp;L'!$C$6</f>
        <v>0</v>
      </c>
      <c r="Q306" s="66">
        <f>(Q97+Q207)*'Data - P&amp;L'!$C$6</f>
        <v>0</v>
      </c>
      <c r="R306" s="66">
        <f>(R97+R207)*'Data - P&amp;L'!$C$6</f>
        <v>0</v>
      </c>
      <c r="S306" s="66">
        <f>(S97+S207)*'Data - P&amp;L'!$C$6</f>
        <v>0</v>
      </c>
      <c r="T306" s="66">
        <f>(T97+T207)*'Data - P&amp;L'!$C$6</f>
        <v>0</v>
      </c>
      <c r="U306" s="66">
        <f>(U97+U207)*'Data - P&amp;L'!$C$6</f>
        <v>0</v>
      </c>
      <c r="V306" s="66">
        <f>(V97+V207)*'Data - P&amp;L'!$C$6</f>
        <v>0</v>
      </c>
      <c r="W306" s="66">
        <f>(W97+W207)*'Data - P&amp;L'!$C$6</f>
        <v>0</v>
      </c>
      <c r="X306" s="66">
        <f>(X97+X207)*'Data - P&amp;L'!$C$6</f>
        <v>0</v>
      </c>
      <c r="Y306" s="66">
        <f>(Y97+Y207)*'Data - P&amp;L'!$C$6</f>
        <v>0</v>
      </c>
      <c r="Z306" s="66">
        <f>(Z97+Z207)*'Data - P&amp;L'!$C$6</f>
        <v>0</v>
      </c>
      <c r="AA306" s="66">
        <f>(AA97+AA207)*'Data - P&amp;L'!$C$6</f>
        <v>0</v>
      </c>
      <c r="AB306" s="66">
        <f>(AB97+AB207)*'Data - P&amp;L'!$C$6</f>
        <v>0</v>
      </c>
      <c r="AC306" s="66">
        <f>(AC97+AC207)*'Data - P&amp;L'!$C$6</f>
        <v>0</v>
      </c>
      <c r="AD306" s="66">
        <f>(AD97+AD207)*'Data - P&amp;L'!$C$6</f>
        <v>0</v>
      </c>
      <c r="AE306" s="66">
        <f>(AE97+AE207)*'Data - P&amp;L'!$C$6</f>
        <v>0</v>
      </c>
      <c r="AF306" s="282"/>
    </row>
    <row r="307" outlineLevel="1">
      <c r="A307" s="87" t="s">
        <v>840</v>
      </c>
      <c r="B307" s="66">
        <f>(B98+B208)*'Data - P&amp;L'!$C$8</f>
        <v>0</v>
      </c>
      <c r="C307" s="66">
        <f>(C98+C208)*'Data - P&amp;L'!$C$8</f>
        <v>0</v>
      </c>
      <c r="D307" s="66">
        <f>(D98+D208)*'Data - P&amp;L'!$C$8</f>
        <v>0</v>
      </c>
      <c r="E307" s="66">
        <f>(E98+E208)*'Data - P&amp;L'!$C$8</f>
        <v>0</v>
      </c>
      <c r="F307" s="66">
        <f>(F98+F208)*'Data - P&amp;L'!$C$8</f>
        <v>0</v>
      </c>
      <c r="G307" s="66">
        <f>(G98+G208)*'Data - P&amp;L'!$C$8</f>
        <v>0</v>
      </c>
      <c r="H307" s="66">
        <f>(H98+H208)*'Data - P&amp;L'!$C$8</f>
        <v>0</v>
      </c>
      <c r="I307" s="66">
        <f>(I98+I208)*'Data - P&amp;L'!$C$8</f>
        <v>0</v>
      </c>
      <c r="J307" s="66">
        <f>(J98+J208)*'Data - P&amp;L'!$C$8</f>
        <v>0</v>
      </c>
      <c r="K307" s="66">
        <f>(K98+K208)*'Data - P&amp;L'!$C$8</f>
        <v>0</v>
      </c>
      <c r="L307" s="66">
        <f>(L98+L208)*'Data - P&amp;L'!$C$8</f>
        <v>0</v>
      </c>
      <c r="M307" s="66">
        <f>(M98+M208)*'Data - P&amp;L'!$C$8</f>
        <v>0</v>
      </c>
      <c r="N307" s="66">
        <f>(N98+N208)*'Data - P&amp;L'!$C$8</f>
        <v>0</v>
      </c>
      <c r="O307" s="66">
        <f>(O98+O208)*'Data - P&amp;L'!$C$8</f>
        <v>0</v>
      </c>
      <c r="P307" s="66">
        <f>(P98+P208)*'Data - P&amp;L'!$C$8</f>
        <v>0</v>
      </c>
      <c r="Q307" s="66">
        <f>(Q98+Q208)*'Data - P&amp;L'!$C$8</f>
        <v>0</v>
      </c>
      <c r="R307" s="66">
        <f>(R98+R208)*'Data - P&amp;L'!$C$8</f>
        <v>0</v>
      </c>
      <c r="S307" s="66">
        <f>(S98+S208)*'Data - P&amp;L'!$C$8</f>
        <v>0</v>
      </c>
      <c r="T307" s="66">
        <f>(T98+T208)*'Data - P&amp;L'!$C$8</f>
        <v>0</v>
      </c>
      <c r="U307" s="66">
        <f>(U98+U208)*'Data - P&amp;L'!$C$8</f>
        <v>0</v>
      </c>
      <c r="V307" s="66">
        <f>(V98+V208)*'Data - P&amp;L'!$C$8</f>
        <v>0</v>
      </c>
      <c r="W307" s="66">
        <f>(W98+W208)*'Data - P&amp;L'!$C$8</f>
        <v>0</v>
      </c>
      <c r="X307" s="66">
        <f>(X98+X208)*'Data - P&amp;L'!$C$8</f>
        <v>0</v>
      </c>
      <c r="Y307" s="66">
        <f>(Y98+Y208)*'Data - P&amp;L'!$C$8</f>
        <v>0</v>
      </c>
      <c r="Z307" s="66">
        <f>(Z98+Z208)*'Data - P&amp;L'!$C$8</f>
        <v>0</v>
      </c>
      <c r="AA307" s="66">
        <f>(AA98+AA208)*'Data - P&amp;L'!$C$8</f>
        <v>0</v>
      </c>
      <c r="AB307" s="66">
        <f>(AB98+AB208)*'Data - P&amp;L'!$C$8</f>
        <v>0</v>
      </c>
      <c r="AC307" s="66">
        <f>(AC98+AC208)*'Data - P&amp;L'!$C$8</f>
        <v>0</v>
      </c>
      <c r="AD307" s="66">
        <f>(AD98+AD208)*'Data - P&amp;L'!$C$8</f>
        <v>0</v>
      </c>
      <c r="AE307" s="66">
        <f>(AE98+AE208)*'Data - P&amp;L'!$C$8</f>
        <v>0</v>
      </c>
      <c r="AF307" s="282"/>
    </row>
    <row r="308" outlineLevel="1">
      <c r="A308" s="87" t="s">
        <v>842</v>
      </c>
      <c r="B308" s="66">
        <f>(B99+B100+B209+B210)*'Data - P&amp;L'!$C$9</f>
        <v>0</v>
      </c>
      <c r="C308" s="66">
        <f>(C99+C100+C209+C210)*'Data - P&amp;L'!$C$9</f>
        <v>0</v>
      </c>
      <c r="D308" s="66">
        <f>(D99+D100+D209+D210)*'Data - P&amp;L'!$C$9</f>
        <v>0</v>
      </c>
      <c r="E308" s="66">
        <f>(E99+E100+E209+E210)*'Data - P&amp;L'!$C$9</f>
        <v>0</v>
      </c>
      <c r="F308" s="66">
        <f>(F99+F100+F209+F210)*'Data - P&amp;L'!$C$9</f>
        <v>0</v>
      </c>
      <c r="G308" s="66">
        <f>(G99+G100+G209+G210)*'Data - P&amp;L'!$C$9</f>
        <v>0</v>
      </c>
      <c r="H308" s="66">
        <f>(H99+H100+H209+H210)*'Data - P&amp;L'!$C$9</f>
        <v>0</v>
      </c>
      <c r="I308" s="66">
        <f>(I99+I100+I209+I210)*'Data - P&amp;L'!$C$9</f>
        <v>0</v>
      </c>
      <c r="J308" s="66">
        <f>(J99+J100+J209+J210)*'Data - P&amp;L'!$C$9</f>
        <v>0</v>
      </c>
      <c r="K308" s="66">
        <f>(K99+K100+K209+K210)*'Data - P&amp;L'!$C$9</f>
        <v>0</v>
      </c>
      <c r="L308" s="66">
        <f>(L99+L100+L209+L210)*'Data - P&amp;L'!$C$9</f>
        <v>0</v>
      </c>
      <c r="M308" s="66">
        <f>(M99+M100+M209+M210)*'Data - P&amp;L'!$C$9</f>
        <v>0</v>
      </c>
      <c r="N308" s="66">
        <f>(N99+N100+N209+N210)*'Data - P&amp;L'!$C$9</f>
        <v>0</v>
      </c>
      <c r="O308" s="66">
        <f>(O99+O100+O209+O210)*'Data - P&amp;L'!$C$9</f>
        <v>0</v>
      </c>
      <c r="P308" s="66">
        <f>(P99+P100+P209+P210)*'Data - P&amp;L'!$C$9</f>
        <v>0</v>
      </c>
      <c r="Q308" s="66">
        <f>(Q99+Q100+Q209+Q210)*'Data - P&amp;L'!$C$9</f>
        <v>0</v>
      </c>
      <c r="R308" s="66">
        <f>(R99+R100+R209+R210)*'Data - P&amp;L'!$C$9</f>
        <v>0</v>
      </c>
      <c r="S308" s="66">
        <f>(S99+S100+S209+S210)*'Data - P&amp;L'!$C$9</f>
        <v>0</v>
      </c>
      <c r="T308" s="66">
        <f>(T99+T100+T209+T210)*'Data - P&amp;L'!$C$9</f>
        <v>0</v>
      </c>
      <c r="U308" s="66">
        <f>(U99+U100+U209+U210)*'Data - P&amp;L'!$C$9</f>
        <v>0</v>
      </c>
      <c r="V308" s="66">
        <f>(V99+V100+V209+V210)*'Data - P&amp;L'!$C$9</f>
        <v>0</v>
      </c>
      <c r="W308" s="66">
        <f>(W99+W100+W209+W210)*'Data - P&amp;L'!$C$9</f>
        <v>0</v>
      </c>
      <c r="X308" s="66">
        <f>(X99+X100+X209+X210)*'Data - P&amp;L'!$C$9</f>
        <v>0</v>
      </c>
      <c r="Y308" s="66">
        <f>(Y99+Y100+Y209+Y210)*'Data - P&amp;L'!$C$9</f>
        <v>0</v>
      </c>
      <c r="Z308" s="66">
        <f>(Z99+Z100+Z209+Z210)*'Data - P&amp;L'!$C$9</f>
        <v>0</v>
      </c>
      <c r="AA308" s="66">
        <f>(AA99+AA100+AA209+AA210)*'Data - P&amp;L'!$C$9</f>
        <v>0</v>
      </c>
      <c r="AB308" s="66">
        <f>(AB99+AB100+AB209+AB210)*'Data - P&amp;L'!$C$9</f>
        <v>0</v>
      </c>
      <c r="AC308" s="66">
        <f>(AC99+AC100+AC209+AC210)*'Data - P&amp;L'!$C$9</f>
        <v>0</v>
      </c>
      <c r="AD308" s="66">
        <f>(AD99+AD100+AD209+AD210)*'Data - P&amp;L'!$C$9</f>
        <v>0</v>
      </c>
      <c r="AE308" s="66">
        <f>(AE99+AE100+AE209+AE210)*'Data - P&amp;L'!$C$9</f>
        <v>0</v>
      </c>
      <c r="AF308" s="282"/>
    </row>
    <row r="309" outlineLevel="1">
      <c r="A309" s="87" t="s">
        <v>845</v>
      </c>
      <c r="B309" s="66">
        <f>(B101+B102+B211+B212)*'Data - P&amp;L'!$C$5</f>
        <v>0</v>
      </c>
      <c r="C309" s="66">
        <f>(C101+C102+C211+C212)*'Data - P&amp;L'!$C$5</f>
        <v>0</v>
      </c>
      <c r="D309" s="66">
        <f>(D101+D102+D211+D212)*'Data - P&amp;L'!$C$5</f>
        <v>0</v>
      </c>
      <c r="E309" s="66">
        <f>(E101+E102+E211+E212)*'Data - P&amp;L'!$C$5</f>
        <v>0</v>
      </c>
      <c r="F309" s="66">
        <f>(F101+F102+F211+F212)*'Data - P&amp;L'!$C$5</f>
        <v>0</v>
      </c>
      <c r="G309" s="66">
        <f>(G101+G102+G211+G212)*'Data - P&amp;L'!$C$5</f>
        <v>0</v>
      </c>
      <c r="H309" s="66">
        <f>(H101+H102+H211+H212)*'Data - P&amp;L'!$C$5</f>
        <v>0</v>
      </c>
      <c r="I309" s="66">
        <f>(I101+I102+I211+I212)*'Data - P&amp;L'!$C$5</f>
        <v>0</v>
      </c>
      <c r="J309" s="66">
        <f>(J101+J102+J211+J212)*'Data - P&amp;L'!$C$5</f>
        <v>0</v>
      </c>
      <c r="K309" s="66">
        <f>(K101+K102+K211+K212)*'Data - P&amp;L'!$C$5</f>
        <v>0</v>
      </c>
      <c r="L309" s="66">
        <f>(L101+L102+L211+L212)*'Data - P&amp;L'!$C$5</f>
        <v>0</v>
      </c>
      <c r="M309" s="66">
        <f>(M101+M102+M211+M212)*'Data - P&amp;L'!$C$5</f>
        <v>0</v>
      </c>
      <c r="N309" s="66">
        <f>(N101+N102+N211+N212)*'Data - P&amp;L'!$C$5</f>
        <v>0</v>
      </c>
      <c r="O309" s="66">
        <f>(O101+O102+O211+O212)*'Data - P&amp;L'!$C$5</f>
        <v>0</v>
      </c>
      <c r="P309" s="66">
        <f>(P101+P102+P211+P212)*'Data - P&amp;L'!$C$5</f>
        <v>0</v>
      </c>
      <c r="Q309" s="66">
        <f>(Q101+Q102+Q211+Q212)*'Data - P&amp;L'!$C$5</f>
        <v>0</v>
      </c>
      <c r="R309" s="66">
        <f>(R101+R102+R211+R212)*'Data - P&amp;L'!$C$5</f>
        <v>0</v>
      </c>
      <c r="S309" s="66">
        <f>(S101+S102+S211+S212)*'Data - P&amp;L'!$C$5</f>
        <v>0</v>
      </c>
      <c r="T309" s="66">
        <f>(T101+T102+T211+T212)*'Data - P&amp;L'!$C$5</f>
        <v>0</v>
      </c>
      <c r="U309" s="66">
        <f>(U101+U102+U211+U212)*'Data - P&amp;L'!$C$5</f>
        <v>0</v>
      </c>
      <c r="V309" s="66">
        <f>(V101+V102+V211+V212)*'Data - P&amp;L'!$C$5</f>
        <v>0</v>
      </c>
      <c r="W309" s="66">
        <f>(W101+W102+W211+W212)*'Data - P&amp;L'!$C$5</f>
        <v>0</v>
      </c>
      <c r="X309" s="66">
        <f>(X101+X102+X211+X212)*'Data - P&amp;L'!$C$5</f>
        <v>0</v>
      </c>
      <c r="Y309" s="66">
        <f>(Y101+Y102+Y211+Y212)*'Data - P&amp;L'!$C$5</f>
        <v>0</v>
      </c>
      <c r="Z309" s="66">
        <f>(Z101+Z102+Z211+Z212)*'Data - P&amp;L'!$C$5</f>
        <v>0</v>
      </c>
      <c r="AA309" s="66">
        <f>(AA101+AA102+AA211+AA212)*'Data - P&amp;L'!$C$5</f>
        <v>0</v>
      </c>
      <c r="AB309" s="66">
        <f>(AB101+AB102+AB211+AB212)*'Data - P&amp;L'!$C$5</f>
        <v>0</v>
      </c>
      <c r="AC309" s="66">
        <f>(AC101+AC102+AC211+AC212)*'Data - P&amp;L'!$C$5</f>
        <v>0</v>
      </c>
      <c r="AD309" s="66">
        <f>(AD101+AD102+AD211+AD212)*'Data - P&amp;L'!$C$5</f>
        <v>0</v>
      </c>
      <c r="AE309" s="66">
        <f>(AE101+AE102+AE211+AE212)*'Data - P&amp;L'!$C$5</f>
        <v>0</v>
      </c>
      <c r="AF309" s="282"/>
    </row>
    <row r="310" outlineLevel="1">
      <c r="A310" s="87" t="s">
        <v>847</v>
      </c>
      <c r="B310" s="66">
        <f>(B103+B104+B213+B214)*'Data - P&amp;L'!$C$10</f>
        <v>0</v>
      </c>
      <c r="C310" s="66">
        <f>(C103+C104+C213+C214)*'Data - P&amp;L'!$C$10</f>
        <v>0</v>
      </c>
      <c r="D310" s="66">
        <f>(D103+D104+D213+D214)*'Data - P&amp;L'!$C$10</f>
        <v>0</v>
      </c>
      <c r="E310" s="66">
        <f>(E103+E104+E213+E214)*'Data - P&amp;L'!$C$10</f>
        <v>0</v>
      </c>
      <c r="F310" s="66">
        <f>(F103+F104+F213+F214)*'Data - P&amp;L'!$C$10</f>
        <v>0</v>
      </c>
      <c r="G310" s="66">
        <f>(G103+G104+G213+G214)*'Data - P&amp;L'!$C$10</f>
        <v>0</v>
      </c>
      <c r="H310" s="66">
        <f>(H103+H104+H213+H214)*'Data - P&amp;L'!$C$10</f>
        <v>0</v>
      </c>
      <c r="I310" s="66">
        <f>(I103+I104+I213+I214)*'Data - P&amp;L'!$C$10</f>
        <v>0</v>
      </c>
      <c r="J310" s="66">
        <f>(J103+J104+J213+J214)*'Data - P&amp;L'!$C$10</f>
        <v>0</v>
      </c>
      <c r="K310" s="66">
        <f>(K103+K104+K213+K214)*'Data - P&amp;L'!$C$10</f>
        <v>0</v>
      </c>
      <c r="L310" s="66">
        <f>(L103+L104+L213+L214)*'Data - P&amp;L'!$C$10</f>
        <v>0</v>
      </c>
      <c r="M310" s="66">
        <f>(M103+M104+M213+M214)*'Data - P&amp;L'!$C$10</f>
        <v>0</v>
      </c>
      <c r="N310" s="66">
        <f>(N103+N104+N213+N214)*'Data - P&amp;L'!$C$10</f>
        <v>0</v>
      </c>
      <c r="O310" s="66">
        <f>(O103+O104+O213+O214)*'Data - P&amp;L'!$C$10</f>
        <v>0</v>
      </c>
      <c r="P310" s="66">
        <f>(P103+P104+P213+P214)*'Data - P&amp;L'!$C$10</f>
        <v>0</v>
      </c>
      <c r="Q310" s="66">
        <f>(Q103+Q104+Q213+Q214)*'Data - P&amp;L'!$C$10</f>
        <v>0</v>
      </c>
      <c r="R310" s="66">
        <f>(R103+R104+R213+R214)*'Data - P&amp;L'!$C$10</f>
        <v>0</v>
      </c>
      <c r="S310" s="66">
        <f>(S103+S104+S213+S214)*'Data - P&amp;L'!$C$10</f>
        <v>0</v>
      </c>
      <c r="T310" s="66">
        <f>(T103+T104+T213+T214)*'Data - P&amp;L'!$C$10</f>
        <v>0</v>
      </c>
      <c r="U310" s="66">
        <f>(U103+U104+U213+U214)*'Data - P&amp;L'!$C$10</f>
        <v>0</v>
      </c>
      <c r="V310" s="66">
        <f>(V103+V104+V213+V214)*'Data - P&amp;L'!$C$10</f>
        <v>0</v>
      </c>
      <c r="W310" s="66">
        <f>(W103+W104+W213+W214)*'Data - P&amp;L'!$C$10</f>
        <v>0</v>
      </c>
      <c r="X310" s="66">
        <f>(X103+X104+X213+X214)*'Data - P&amp;L'!$C$10</f>
        <v>0</v>
      </c>
      <c r="Y310" s="66">
        <f>(Y103+Y104+Y213+Y214)*'Data - P&amp;L'!$C$10</f>
        <v>0</v>
      </c>
      <c r="Z310" s="66">
        <f>(Z103+Z104+Z213+Z214)*'Data - P&amp;L'!$C$10</f>
        <v>0</v>
      </c>
      <c r="AA310" s="66">
        <f>(AA103+AA104+AA213+AA214)*'Data - P&amp;L'!$C$10</f>
        <v>0</v>
      </c>
      <c r="AB310" s="66">
        <f>(AB103+AB104+AB213+AB214)*'Data - P&amp;L'!$C$10</f>
        <v>0</v>
      </c>
      <c r="AC310" s="66">
        <f>(AC103+AC104+AC213+AC214)*'Data - P&amp;L'!$C$10</f>
        <v>0</v>
      </c>
      <c r="AD310" s="66">
        <f>(AD103+AD104+AD213+AD214)*'Data - P&amp;L'!$C$10</f>
        <v>0</v>
      </c>
      <c r="AE310" s="66">
        <f>(AE103+AE104+AE213+AE214)*'Data - P&amp;L'!$C$10</f>
        <v>0</v>
      </c>
      <c r="AF310" s="282"/>
    </row>
    <row r="311" outlineLevel="1">
      <c r="A311" s="87" t="s">
        <v>850</v>
      </c>
      <c r="B311" s="66">
        <f>(B108+B109+B218+B219)*'Data - P&amp;L'!$C$13</f>
        <v>0</v>
      </c>
      <c r="C311" s="66">
        <f>(C163+C164+C176+C177)*'Data - P&amp;L'!$C$13</f>
        <v>0</v>
      </c>
      <c r="D311" s="66">
        <f>(D163+D164+D176+D177)*'Data - P&amp;L'!$C$13</f>
        <v>0</v>
      </c>
      <c r="E311" s="66">
        <f>(E163+E164+E176+E177)*'Data - P&amp;L'!$C$13</f>
        <v>0</v>
      </c>
      <c r="F311" s="66">
        <f>(F163+F164+F176+F177)*'Data - P&amp;L'!$C$13</f>
        <v>0</v>
      </c>
      <c r="G311" s="66">
        <f>(G163+G164+G176+G177)*'Data - P&amp;L'!$C$13</f>
        <v>0</v>
      </c>
      <c r="H311" s="66">
        <f>(H163+H164+H176+H177)*'Data - P&amp;L'!$C$13</f>
        <v>0</v>
      </c>
      <c r="I311" s="66">
        <f>(I163+I164+I176+I177)*'Data - P&amp;L'!$C$13</f>
        <v>0</v>
      </c>
      <c r="J311" s="66">
        <f>(J163+J164+J176+J177)*'Data - P&amp;L'!$C$13</f>
        <v>0</v>
      </c>
      <c r="K311" s="66">
        <f>(K163+K164+K176+K177)*'Data - P&amp;L'!$C$13</f>
        <v>0</v>
      </c>
      <c r="L311" s="66">
        <f>(L163+L164+L176+L177)*'Data - P&amp;L'!$C$13</f>
        <v>0</v>
      </c>
      <c r="M311" s="66">
        <f>(M163+M164+M176+M177)*'Data - P&amp;L'!$C$13</f>
        <v>0</v>
      </c>
      <c r="N311" s="66">
        <f>(N163+N164+N176+N177)*'Data - P&amp;L'!$C$13</f>
        <v>0</v>
      </c>
      <c r="O311" s="66">
        <f>(O163+O164+O176+O177)*'Data - P&amp;L'!$C$13</f>
        <v>0</v>
      </c>
      <c r="P311" s="66">
        <f>(P163+P164+P176+P177)*'Data - P&amp;L'!$C$13</f>
        <v>0</v>
      </c>
      <c r="Q311" s="66">
        <f>(Q163+Q164+Q176+Q177)*'Data - P&amp;L'!$C$13</f>
        <v>0</v>
      </c>
      <c r="R311" s="66">
        <f>(R163+R164+R176+R177)*'Data - P&amp;L'!$C$13</f>
        <v>0</v>
      </c>
      <c r="S311" s="66">
        <f>(S163+S164+S176+S177)*'Data - P&amp;L'!$C$13</f>
        <v>0</v>
      </c>
      <c r="T311" s="66">
        <f>(T163+T164+T176+T177)*'Data - P&amp;L'!$C$13</f>
        <v>0</v>
      </c>
      <c r="U311" s="66">
        <f>(U163+U164+U176+U177)*'Data - P&amp;L'!$C$13</f>
        <v>0</v>
      </c>
      <c r="V311" s="66">
        <f>(V163+V164+V176+V177)*'Data - P&amp;L'!$C$13</f>
        <v>0</v>
      </c>
      <c r="W311" s="66">
        <f>(W163+W164+W176+W177)*'Data - P&amp;L'!$C$13</f>
        <v>0</v>
      </c>
      <c r="X311" s="66">
        <f>(X163+X164+X176+X177)*'Data - P&amp;L'!$C$13</f>
        <v>0</v>
      </c>
      <c r="Y311" s="66">
        <f>(Y163+Y164+Y176+Y177)*'Data - P&amp;L'!$C$13</f>
        <v>0</v>
      </c>
      <c r="Z311" s="66">
        <f>(Z163+Z164+Z176+Z177)*'Data - P&amp;L'!$C$13</f>
        <v>0</v>
      </c>
      <c r="AA311" s="66">
        <f>(AA163+AA164+AA176+AA177)*'Data - P&amp;L'!$C$13</f>
        <v>0</v>
      </c>
      <c r="AB311" s="66">
        <f>(AB163+AB164+AB176+AB177)*'Data - P&amp;L'!$C$13</f>
        <v>0</v>
      </c>
      <c r="AC311" s="66">
        <f>(AC163+AC164+AC176+AC177)*'Data - P&amp;L'!$C$13</f>
        <v>0</v>
      </c>
      <c r="AD311" s="66">
        <f>(AD163+AD164+AD176+AD177)*'Data - P&amp;L'!$C$13</f>
        <v>0</v>
      </c>
      <c r="AE311" s="66">
        <f>(AE163+AE164+AE176+AE177)*'Data - P&amp;L'!$C$13</f>
        <v>0</v>
      </c>
      <c r="AF311" s="282"/>
    </row>
    <row r="312" outlineLevel="1">
      <c r="A312" s="87" t="s">
        <v>852</v>
      </c>
      <c r="B312" s="66">
        <f>(B110+B220)*'Data - P&amp;L'!$C$14</f>
        <v>0</v>
      </c>
      <c r="C312" s="66">
        <f>(C165+C178)*'Data - P&amp;L'!$C$14</f>
        <v>0</v>
      </c>
      <c r="D312" s="66">
        <f>(D165+D178)*'Data - P&amp;L'!$C$14</f>
        <v>0</v>
      </c>
      <c r="E312" s="66">
        <f>(E165+E178)*'Data - P&amp;L'!$C$14</f>
        <v>0</v>
      </c>
      <c r="F312" s="66">
        <f>(F165+F178)*'Data - P&amp;L'!$C$14</f>
        <v>0</v>
      </c>
      <c r="G312" s="66">
        <f>(G165+G178)*'Data - P&amp;L'!$C$14</f>
        <v>0</v>
      </c>
      <c r="H312" s="66">
        <f>(H165+H178)*'Data - P&amp;L'!$C$14</f>
        <v>0</v>
      </c>
      <c r="I312" s="66">
        <f>(I165+I178)*'Data - P&amp;L'!$C$14</f>
        <v>0</v>
      </c>
      <c r="J312" s="66">
        <f>(J165+J178)*'Data - P&amp;L'!$C$14</f>
        <v>0</v>
      </c>
      <c r="K312" s="66">
        <f>(K165+K178)*'Data - P&amp;L'!$C$14</f>
        <v>0</v>
      </c>
      <c r="L312" s="66">
        <f>(L165+L178)*'Data - P&amp;L'!$C$14</f>
        <v>0</v>
      </c>
      <c r="M312" s="66">
        <f>(M165+M178)*'Data - P&amp;L'!$C$14</f>
        <v>0</v>
      </c>
      <c r="N312" s="66">
        <f>(N165+N178)*'Data - P&amp;L'!$C$14</f>
        <v>0</v>
      </c>
      <c r="O312" s="66">
        <f>(O165+O178)*'Data - P&amp;L'!$C$14</f>
        <v>0</v>
      </c>
      <c r="P312" s="66">
        <f>(P165+P178)*'Data - P&amp;L'!$C$14</f>
        <v>0</v>
      </c>
      <c r="Q312" s="66">
        <f>(Q165+Q178)*'Data - P&amp;L'!$C$14</f>
        <v>0</v>
      </c>
      <c r="R312" s="66">
        <f>(R165+R178)*'Data - P&amp;L'!$C$14</f>
        <v>0</v>
      </c>
      <c r="S312" s="66">
        <f>(S165+S178)*'Data - P&amp;L'!$C$14</f>
        <v>0</v>
      </c>
      <c r="T312" s="66">
        <f>(T165+T178)*'Data - P&amp;L'!$C$14</f>
        <v>0</v>
      </c>
      <c r="U312" s="66">
        <f>(U165+U178)*'Data - P&amp;L'!$C$14</f>
        <v>0</v>
      </c>
      <c r="V312" s="66">
        <f>(V165+V178)*'Data - P&amp;L'!$C$14</f>
        <v>0</v>
      </c>
      <c r="W312" s="66">
        <f>(W165+W178)*'Data - P&amp;L'!$C$14</f>
        <v>0</v>
      </c>
      <c r="X312" s="66">
        <f>(X165+X178)*'Data - P&amp;L'!$C$14</f>
        <v>0</v>
      </c>
      <c r="Y312" s="66">
        <f>(Y165+Y178)*'Data - P&amp;L'!$C$14</f>
        <v>0</v>
      </c>
      <c r="Z312" s="66">
        <f>(Z165+Z178)*'Data - P&amp;L'!$C$14</f>
        <v>0</v>
      </c>
      <c r="AA312" s="66">
        <f>(AA165+AA178)*'Data - P&amp;L'!$C$14</f>
        <v>0</v>
      </c>
      <c r="AB312" s="66">
        <f>(AB165+AB178)*'Data - P&amp;L'!$C$14</f>
        <v>0</v>
      </c>
      <c r="AC312" s="66">
        <f>(AC165+AC178)*'Data - P&amp;L'!$C$14</f>
        <v>0</v>
      </c>
      <c r="AD312" s="66">
        <f>(AD165+AD178)*'Data - P&amp;L'!$C$14</f>
        <v>0</v>
      </c>
      <c r="AE312" s="66">
        <f>(AE165+AE178)*'Data - P&amp;L'!$C$14</f>
        <v>0</v>
      </c>
      <c r="AF312" s="282"/>
    </row>
    <row r="313" outlineLevel="1">
      <c r="A313" s="87" t="s">
        <v>853</v>
      </c>
      <c r="B313" s="66">
        <f>(((B94+B204)*'Data - P&amp;L'!$C$38)+((B95+B205)*'Data - P&amp;L'!$C$38))*'Data - P&amp;L'!$C$55</f>
        <v>0</v>
      </c>
      <c r="C313" s="66">
        <f>(((C94+C204)*'Data - P&amp;L'!$C$38)+((C95+C205)*'Data - P&amp;L'!$C$38))*'Data - P&amp;L'!$C$55</f>
        <v>0</v>
      </c>
      <c r="D313" s="66">
        <f>(((D94+D204)*'Data - P&amp;L'!$C$38)+((D95+D205)*'Data - P&amp;L'!$C$38))*'Data - P&amp;L'!$C$55</f>
        <v>0</v>
      </c>
      <c r="E313" s="66">
        <f>(((E94+E204)*'Data - P&amp;L'!$C$38)+((E95+E205)*'Data - P&amp;L'!$C$38))*'Data - P&amp;L'!$C$55</f>
        <v>0</v>
      </c>
      <c r="F313" s="66">
        <f>(((F94+F204)*'Data - P&amp;L'!$C$38)+((F95+F205)*'Data - P&amp;L'!$C$38))*'Data - P&amp;L'!$C$55</f>
        <v>0</v>
      </c>
      <c r="G313" s="66">
        <f>(((G94+G204)*'Data - P&amp;L'!$C$38)+((G95+G205)*'Data - P&amp;L'!$C$38))*'Data - P&amp;L'!$C$55</f>
        <v>0</v>
      </c>
      <c r="H313" s="66">
        <f>(((H94+H204)*'Data - P&amp;L'!$C$38)+((H95+H205)*'Data - P&amp;L'!$C$38))*'Data - P&amp;L'!$C$55</f>
        <v>0</v>
      </c>
      <c r="I313" s="66">
        <f>(((I94+I204)*'Data - P&amp;L'!$C$38)+((I95+I205)*'Data - P&amp;L'!$C$38))*'Data - P&amp;L'!$C$55</f>
        <v>0</v>
      </c>
      <c r="J313" s="66">
        <f>(((J94+J204)*'Data - P&amp;L'!$C$38)+((J95+J205)*'Data - P&amp;L'!$C$38))*'Data - P&amp;L'!$C$55</f>
        <v>0</v>
      </c>
      <c r="K313" s="66">
        <f>(((K94+K204)*'Data - P&amp;L'!$C$38)+((K95+K205)*'Data - P&amp;L'!$C$38))*'Data - P&amp;L'!$C$55</f>
        <v>0</v>
      </c>
      <c r="L313" s="66">
        <f>(((L94+L204)*'Data - P&amp;L'!$C$38)+((L95+L205)*'Data - P&amp;L'!$C$38))*'Data - P&amp;L'!$C$55</f>
        <v>0</v>
      </c>
      <c r="M313" s="66">
        <f>(((M94+M204)*'Data - P&amp;L'!$C$38)+((M95+M205)*'Data - P&amp;L'!$C$38))*'Data - P&amp;L'!$C$55</f>
        <v>0</v>
      </c>
      <c r="N313" s="66">
        <f>(((N94+N204)*'Data - P&amp;L'!$C$38)+((N95+N205)*'Data - P&amp;L'!$C$38))*'Data - P&amp;L'!$C$55</f>
        <v>0</v>
      </c>
      <c r="O313" s="66">
        <f>(((O94+O204)*'Data - P&amp;L'!$C$38)+((O95+O205)*'Data - P&amp;L'!$C$38))*'Data - P&amp;L'!$C$55</f>
        <v>0</v>
      </c>
      <c r="P313" s="66">
        <f>(((P94+P204)*'Data - P&amp;L'!$C$38)+((P95+P205)*'Data - P&amp;L'!$C$38))*'Data - P&amp;L'!$C$55</f>
        <v>0</v>
      </c>
      <c r="Q313" s="66">
        <f>(((Q94+Q204)*'Data - P&amp;L'!$C$38)+((Q95+Q205)*'Data - P&amp;L'!$C$38))*'Data - P&amp;L'!$C$55</f>
        <v>0</v>
      </c>
      <c r="R313" s="66">
        <f>(((R94+R204)*'Data - P&amp;L'!$C$38)+((R95+R205)*'Data - P&amp;L'!$C$38))*'Data - P&amp;L'!$C$55</f>
        <v>0</v>
      </c>
      <c r="S313" s="66">
        <f>(((S94+S204)*'Data - P&amp;L'!$C$38)+((S95+S205)*'Data - P&amp;L'!$C$38))*'Data - P&amp;L'!$C$55</f>
        <v>0</v>
      </c>
      <c r="T313" s="66">
        <f>(((T94+T204)*'Data - P&amp;L'!$C$38)+((T95+T205)*'Data - P&amp;L'!$C$38))*'Data - P&amp;L'!$C$55</f>
        <v>0</v>
      </c>
      <c r="U313" s="66">
        <f>(((U94+U204)*'Data - P&amp;L'!$C$38)+((U95+U205)*'Data - P&amp;L'!$C$38))*'Data - P&amp;L'!$C$55</f>
        <v>0</v>
      </c>
      <c r="V313" s="66">
        <f>(((V94+V204)*'Data - P&amp;L'!$C$38)+((V95+V205)*'Data - P&amp;L'!$C$38))*'Data - P&amp;L'!$C$55</f>
        <v>0</v>
      </c>
      <c r="W313" s="66">
        <f>(((W94+W204)*'Data - P&amp;L'!$C$38)+((W95+W205)*'Data - P&amp;L'!$C$38))*'Data - P&amp;L'!$C$55</f>
        <v>0</v>
      </c>
      <c r="X313" s="66">
        <f>(((X94+X204)*'Data - P&amp;L'!$C$38)+((X95+X205)*'Data - P&amp;L'!$C$38))*'Data - P&amp;L'!$C$55</f>
        <v>0</v>
      </c>
      <c r="Y313" s="66">
        <f>(((Y94+Y204)*'Data - P&amp;L'!$C$38)+((Y95+Y205)*'Data - P&amp;L'!$C$38))*'Data - P&amp;L'!$C$55</f>
        <v>0</v>
      </c>
      <c r="Z313" s="66">
        <f>(((Z94+Z204)*'Data - P&amp;L'!$C$38)+((Z95+Z205)*'Data - P&amp;L'!$C$38))*'Data - P&amp;L'!$C$55</f>
        <v>0</v>
      </c>
      <c r="AA313" s="66">
        <f>(((AA94+AA204)*'Data - P&amp;L'!$C$38)+((AA95+AA205)*'Data - P&amp;L'!$C$38))*'Data - P&amp;L'!$C$55</f>
        <v>0</v>
      </c>
      <c r="AB313" s="66">
        <f>(((AB94+AB204)*'Data - P&amp;L'!$C$38)+((AB95+AB205)*'Data - P&amp;L'!$C$38))*'Data - P&amp;L'!$C$55</f>
        <v>0</v>
      </c>
      <c r="AC313" s="66">
        <f>(((AC94+AC204)*'Data - P&amp;L'!$C$38)+((AC95+AC205)*'Data - P&amp;L'!$C$38))*'Data - P&amp;L'!$C$55</f>
        <v>0</v>
      </c>
      <c r="AD313" s="66">
        <f>(((AD94+AD204)*'Data - P&amp;L'!$C$38)+((AD95+AD205)*'Data - P&amp;L'!$C$38))*'Data - P&amp;L'!$C$55</f>
        <v>0</v>
      </c>
      <c r="AE313" s="66">
        <f>(((AE94+AE204)*'Data - P&amp;L'!$C$38)+((AE95+AE205)*'Data - P&amp;L'!$C$38))*'Data - P&amp;L'!$C$55</f>
        <v>1.194</v>
      </c>
      <c r="AF313" s="282"/>
    </row>
    <row r="314" outlineLevel="1">
      <c r="A314" s="87" t="s">
        <v>854</v>
      </c>
      <c r="B314" s="66">
        <f>((B90+B91+B92+B93)*'Data - P&amp;L'!$C$34)+((B200+B201+B202+B203)*'Data - P&amp;L'!$C$34)</f>
        <v>0</v>
      </c>
      <c r="C314" s="66">
        <f>((C90+C91+C92+C93)*'Data - P&amp;L'!$C$34)+((C200+C201+C202+C203)*'Data - P&amp;L'!$C$34)</f>
        <v>0</v>
      </c>
      <c r="D314" s="66">
        <f>((D90+D91+D92+D93)*'Data - P&amp;L'!$C$34)+((D200+D201+D202+D203)*'Data - P&amp;L'!$C$34)</f>
        <v>0</v>
      </c>
      <c r="E314" s="66">
        <f>((E90+E91+E92+E93)*'Data - P&amp;L'!$C$34)+((E200+E201+E202+E203)*'Data - P&amp;L'!$C$34)</f>
        <v>0</v>
      </c>
      <c r="F314" s="66">
        <f>((F90+F91+F92+F93)*'Data - P&amp;L'!$C$34)+((F200+F201+F202+F203)*'Data - P&amp;L'!$C$34)</f>
        <v>0</v>
      </c>
      <c r="G314" s="66">
        <f>((G90+G91+G92+G93)*'Data - P&amp;L'!$C$34)+((G200+G201+G202+G203)*'Data - P&amp;L'!$C$34)</f>
        <v>0</v>
      </c>
      <c r="H314" s="66">
        <f>((H90+H91+H92+H93)*'Data - P&amp;L'!$C$34)+((H200+H201+H202+H203)*'Data - P&amp;L'!$C$34)</f>
        <v>0</v>
      </c>
      <c r="I314" s="66">
        <f>((I90+I91+I92+I93)*'Data - P&amp;L'!$C$34)+((I200+I201+I202+I203)*'Data - P&amp;L'!$C$34)</f>
        <v>0</v>
      </c>
      <c r="J314" s="66">
        <f>((J90+J91+J92+J93)*'Data - P&amp;L'!$C$34)+((J200+J201+J202+J203)*'Data - P&amp;L'!$C$34)</f>
        <v>0</v>
      </c>
      <c r="K314" s="66">
        <f>((K90+K91+K92+K93)*'Data - P&amp;L'!$C$34)+((K200+K201+K202+K203)*'Data - P&amp;L'!$C$34)</f>
        <v>0</v>
      </c>
      <c r="L314" s="66">
        <f>((L90+L91+L92+L93)*'Data - P&amp;L'!$C$34)+((L200+L201+L202+L203)*'Data - P&amp;L'!$C$34)</f>
        <v>0</v>
      </c>
      <c r="M314" s="66">
        <f>((M90+M91+M92+M93)*'Data - P&amp;L'!$C$34)+((M200+M201+M202+M203)*'Data - P&amp;L'!$C$34)</f>
        <v>0</v>
      </c>
      <c r="N314" s="66">
        <f>((N90+N91+N92+N93)*'Data - P&amp;L'!$C$34)+((N200+N201+N202+N203)*'Data - P&amp;L'!$C$34)</f>
        <v>0</v>
      </c>
      <c r="O314" s="66">
        <f>((O90+O91+O92+O93)*'Data - P&amp;L'!$C$34)+((O200+O201+O202+O203)*'Data - P&amp;L'!$C$34)</f>
        <v>0</v>
      </c>
      <c r="P314" s="66">
        <f>((P90+P91+P92+P93)*'Data - P&amp;L'!$C$34)+((P200+P201+P202+P203)*'Data - P&amp;L'!$C$34)</f>
        <v>0</v>
      </c>
      <c r="Q314" s="66">
        <f>((Q90+Q91+Q92+Q93)*'Data - P&amp;L'!$C$34)+((Q200+Q201+Q202+Q203)*'Data - P&amp;L'!$C$34)</f>
        <v>0</v>
      </c>
      <c r="R314" s="66">
        <f>((R90+R91+R92+R93)*'Data - P&amp;L'!$C$34)+((R200+R201+R202+R203)*'Data - P&amp;L'!$C$34)</f>
        <v>0</v>
      </c>
      <c r="S314" s="66">
        <f>((S90+S91+S92+S93)*'Data - P&amp;L'!$C$34)+((S200+S201+S202+S203)*'Data - P&amp;L'!$C$34)</f>
        <v>0</v>
      </c>
      <c r="T314" s="66">
        <f>((T90+T91+T92+T93)*'Data - P&amp;L'!$C$34)+((T200+T201+T202+T203)*'Data - P&amp;L'!$C$34)</f>
        <v>0</v>
      </c>
      <c r="U314" s="66">
        <f>((U90+U91+U92+U93)*'Data - P&amp;L'!$C$34)+((U200+U201+U202+U203)*'Data - P&amp;L'!$C$34)</f>
        <v>0</v>
      </c>
      <c r="V314" s="66">
        <f>((V90+V91+V92+V93)*'Data - P&amp;L'!$C$34)+((V200+V201+V202+V203)*'Data - P&amp;L'!$C$34)</f>
        <v>0</v>
      </c>
      <c r="W314" s="66">
        <f>((W90+W91+W92+W93)*'Data - P&amp;L'!$C$34)+((W200+W201+W202+W203)*'Data - P&amp;L'!$C$34)</f>
        <v>0</v>
      </c>
      <c r="X314" s="66">
        <f>((X90+X91+X92+X93)*'Data - P&amp;L'!$C$34)+((X200+X201+X202+X203)*'Data - P&amp;L'!$C$34)</f>
        <v>0</v>
      </c>
      <c r="Y314" s="66">
        <f>((Y90+Y91+Y92+Y93)*'Data - P&amp;L'!$C$34)+((Y200+Y201+Y202+Y203)*'Data - P&amp;L'!$C$34)</f>
        <v>0</v>
      </c>
      <c r="Z314" s="66">
        <f>((Z90+Z91+Z92+Z93)*'Data - P&amp;L'!$C$34)+((Z200+Z201+Z202+Z203)*'Data - P&amp;L'!$C$34)</f>
        <v>0</v>
      </c>
      <c r="AA314" s="66">
        <f>((AA90+AA91+AA92+AA93)*'Data - P&amp;L'!$C$34)+((AA200+AA201+AA202+AA203)*'Data - P&amp;L'!$C$34)</f>
        <v>0</v>
      </c>
      <c r="AB314" s="66">
        <f>((AB90+AB91+AB92+AB93)*'Data - P&amp;L'!$C$34)+((AB200+AB201+AB202+AB203)*'Data - P&amp;L'!$C$34)</f>
        <v>0</v>
      </c>
      <c r="AC314" s="66">
        <f>((AC90+AC91+AC92+AC93)*'Data - P&amp;L'!$C$34)+((AC200+AC201+AC202+AC203)*'Data - P&amp;L'!$C$34)</f>
        <v>0</v>
      </c>
      <c r="AD314" s="66">
        <f>((AD90+AD91+AD92+AD93)*'Data - P&amp;L'!$C$34)+((AD200+AD201+AD202+AD203)*'Data - P&amp;L'!$C$34)</f>
        <v>0</v>
      </c>
      <c r="AE314" s="66">
        <f>((AE90+AE91+AE92+AE93)*'Data - P&amp;L'!$C$34)+((AE200+AE201+AE202+AE203)*'Data - P&amp;L'!$C$34)</f>
        <v>18.66</v>
      </c>
      <c r="AF314" s="282"/>
    </row>
    <row r="315" outlineLevel="1">
      <c r="A315" s="87" t="s">
        <v>855</v>
      </c>
      <c r="B315" s="66">
        <f>((B191*'Data - P&amp;L'!$D$38)+(B206*'Data - P&amp;L'!$D$39))*'Data - P&amp;L'!$C$55</f>
        <v>0</v>
      </c>
      <c r="C315" s="66">
        <f>((C191*'Data - P&amp;L'!$D$38)+(C206*'Data - P&amp;L'!$D$39))*'Data - P&amp;L'!$C$55</f>
        <v>0</v>
      </c>
      <c r="D315" s="66">
        <f>((D191*'Data - P&amp;L'!$D$38)+(D206*'Data - P&amp;L'!$D$39))*'Data - P&amp;L'!$C$55</f>
        <v>0</v>
      </c>
      <c r="E315" s="66">
        <f>((E191*'Data - P&amp;L'!$D$38)+(E206*'Data - P&amp;L'!$D$39))*'Data - P&amp;L'!$C$55</f>
        <v>0</v>
      </c>
      <c r="F315" s="66">
        <f>((F191*'Data - P&amp;L'!$D$38)+(F206*'Data - P&amp;L'!$D$39))*'Data - P&amp;L'!$C$55</f>
        <v>0</v>
      </c>
      <c r="G315" s="66">
        <f>((G191*'Data - P&amp;L'!$D$38)+(G206*'Data - P&amp;L'!$D$39))*'Data - P&amp;L'!$C$55</f>
        <v>0</v>
      </c>
      <c r="H315" s="66">
        <f>((H191*'Data - P&amp;L'!$D$38)+(H206*'Data - P&amp;L'!$D$39))*'Data - P&amp;L'!$C$55</f>
        <v>0</v>
      </c>
      <c r="I315" s="66">
        <f>((I191*'Data - P&amp;L'!$D$38)+(I206*'Data - P&amp;L'!$D$39))*'Data - P&amp;L'!$C$55</f>
        <v>0</v>
      </c>
      <c r="J315" s="66">
        <f>((J191*'Data - P&amp;L'!$D$38)+(J206*'Data - P&amp;L'!$D$39))*'Data - P&amp;L'!$C$55</f>
        <v>0</v>
      </c>
      <c r="K315" s="66">
        <f>((K191*'Data - P&amp;L'!$D$38)+(K206*'Data - P&amp;L'!$D$39))*'Data - P&amp;L'!$C$55</f>
        <v>0</v>
      </c>
      <c r="L315" s="66">
        <f>((L191*'Data - P&amp;L'!$D$38)+(L206*'Data - P&amp;L'!$D$39))*'Data - P&amp;L'!$C$55</f>
        <v>0</v>
      </c>
      <c r="M315" s="66">
        <f>((M191*'Data - P&amp;L'!$D$38)+(M206*'Data - P&amp;L'!$D$39))*'Data - P&amp;L'!$C$55</f>
        <v>0</v>
      </c>
      <c r="N315" s="66">
        <f>((N191*'Data - P&amp;L'!$D$38)+(N206*'Data - P&amp;L'!$D$39))*'Data - P&amp;L'!$C$55</f>
        <v>0</v>
      </c>
      <c r="O315" s="66">
        <f>((O191*'Data - P&amp;L'!$D$38)+(O206*'Data - P&amp;L'!$D$39))*'Data - P&amp;L'!$C$55</f>
        <v>0</v>
      </c>
      <c r="P315" s="66">
        <f>((P191*'Data - P&amp;L'!$D$38)+(P206*'Data - P&amp;L'!$D$39))*'Data - P&amp;L'!$C$55</f>
        <v>0</v>
      </c>
      <c r="Q315" s="66">
        <f>((Q191*'Data - P&amp;L'!$D$38)+(Q206*'Data - P&amp;L'!$D$39))*'Data - P&amp;L'!$C$55</f>
        <v>0</v>
      </c>
      <c r="R315" s="66">
        <f>((R191*'Data - P&amp;L'!$D$38)+(R206*'Data - P&amp;L'!$D$39))*'Data - P&amp;L'!$C$55</f>
        <v>0</v>
      </c>
      <c r="S315" s="66">
        <f>((S191*'Data - P&amp;L'!$D$38)+(S206*'Data - P&amp;L'!$D$39))*'Data - P&amp;L'!$C$55</f>
        <v>0</v>
      </c>
      <c r="T315" s="66">
        <f>((T191*'Data - P&amp;L'!$D$38)+(T206*'Data - P&amp;L'!$D$39))*'Data - P&amp;L'!$C$55</f>
        <v>0</v>
      </c>
      <c r="U315" s="66">
        <f>((U191*'Data - P&amp;L'!$D$38)+(U206*'Data - P&amp;L'!$D$39))*'Data - P&amp;L'!$C$55</f>
        <v>0</v>
      </c>
      <c r="V315" s="66">
        <f>((V191*'Data - P&amp;L'!$D$38)+(V206*'Data - P&amp;L'!$D$39))*'Data - P&amp;L'!$C$55</f>
        <v>0</v>
      </c>
      <c r="W315" s="66">
        <f>((W191*'Data - P&amp;L'!$D$38)+(W206*'Data - P&amp;L'!$D$39))*'Data - P&amp;L'!$C$55</f>
        <v>0</v>
      </c>
      <c r="X315" s="66">
        <f>((X191*'Data - P&amp;L'!$D$38)+(X206*'Data - P&amp;L'!$D$39))*'Data - P&amp;L'!$C$55</f>
        <v>0</v>
      </c>
      <c r="Y315" s="66">
        <f>((Y191*'Data - P&amp;L'!$D$38)+(Y206*'Data - P&amp;L'!$D$39))*'Data - P&amp;L'!$C$55</f>
        <v>0</v>
      </c>
      <c r="Z315" s="66">
        <f>((Z191*'Data - P&amp;L'!$D$38)+(Z206*'Data - P&amp;L'!$D$39))*'Data - P&amp;L'!$C$55</f>
        <v>0</v>
      </c>
      <c r="AA315" s="66">
        <f>((AA191*'Data - P&amp;L'!$D$38)+(AA206*'Data - P&amp;L'!$D$39))*'Data - P&amp;L'!$C$55</f>
        <v>0</v>
      </c>
      <c r="AB315" s="66">
        <f>((AB191*'Data - P&amp;L'!$D$38)+(AB206*'Data - P&amp;L'!$D$39))*'Data - P&amp;L'!$C$55</f>
        <v>0</v>
      </c>
      <c r="AC315" s="66">
        <f>((AC191*'Data - P&amp;L'!$D$38)+(AC206*'Data - P&amp;L'!$D$39))*'Data - P&amp;L'!$C$55</f>
        <v>0</v>
      </c>
      <c r="AD315" s="66">
        <f>((AD191*'Data - P&amp;L'!$D$38)+(AD206*'Data - P&amp;L'!$D$39))*'Data - P&amp;L'!$C$55</f>
        <v>0</v>
      </c>
      <c r="AE315" s="66">
        <f>((AE191*'Data - P&amp;L'!$D$38)+(AE206*'Data - P&amp;L'!$D$39))*'Data - P&amp;L'!$C$55</f>
        <v>0</v>
      </c>
      <c r="AF315" s="282"/>
    </row>
    <row r="316" outlineLevel="1">
      <c r="A316" s="575" t="s">
        <v>856</v>
      </c>
      <c r="B316" s="329">
        <f>(B105*'Data - P&amp;L'!$D$34)+(B215*'Data - P&amp;L'!$D$34)</f>
        <v>0</v>
      </c>
      <c r="C316" s="329">
        <f>(C105*'Data - P&amp;L'!$D$34)+(C215*'Data - P&amp;L'!$D$34)</f>
        <v>0</v>
      </c>
      <c r="D316" s="329">
        <f>(D105*'Data - P&amp;L'!$D$34)+(D215*'Data - P&amp;L'!$D$34)</f>
        <v>0</v>
      </c>
      <c r="E316" s="329">
        <f>(E105*'Data - P&amp;L'!$D$34)+(E215*'Data - P&amp;L'!$D$34)</f>
        <v>0</v>
      </c>
      <c r="F316" s="329">
        <f>(F105*'Data - P&amp;L'!$D$34)+(F215*'Data - P&amp;L'!$D$34)</f>
        <v>0</v>
      </c>
      <c r="G316" s="329">
        <f>(G105*'Data - P&amp;L'!$D$34)+(G215*'Data - P&amp;L'!$D$34)</f>
        <v>0</v>
      </c>
      <c r="H316" s="329">
        <f>(H105*'Data - P&amp;L'!$D$34)+(H215*'Data - P&amp;L'!$D$34)</f>
        <v>0</v>
      </c>
      <c r="I316" s="329">
        <f>(I105*'Data - P&amp;L'!$D$34)+(I215*'Data - P&amp;L'!$D$34)</f>
        <v>0</v>
      </c>
      <c r="J316" s="329">
        <f>(J105*'Data - P&amp;L'!$D$34)+(J215*'Data - P&amp;L'!$D$34)</f>
        <v>0</v>
      </c>
      <c r="K316" s="329">
        <f>(K105*'Data - P&amp;L'!$D$34)+(K215*'Data - P&amp;L'!$D$34)</f>
        <v>0</v>
      </c>
      <c r="L316" s="329">
        <f>(L105*'Data - P&amp;L'!$D$34)+(L215*'Data - P&amp;L'!$D$34)</f>
        <v>0</v>
      </c>
      <c r="M316" s="329">
        <f>(M105*'Data - P&amp;L'!$D$34)+(M215*'Data - P&amp;L'!$D$34)</f>
        <v>0</v>
      </c>
      <c r="N316" s="329">
        <f>(N105*'Data - P&amp;L'!$D$34)+(N215*'Data - P&amp;L'!$D$34)</f>
        <v>0</v>
      </c>
      <c r="O316" s="329">
        <f>(O105*'Data - P&amp;L'!$D$34)+(O215*'Data - P&amp;L'!$D$34)</f>
        <v>0</v>
      </c>
      <c r="P316" s="329">
        <f>(P105*'Data - P&amp;L'!$D$34)+(P215*'Data - P&amp;L'!$D$34)</f>
        <v>0</v>
      </c>
      <c r="Q316" s="329">
        <f>(Q105*'Data - P&amp;L'!$D$34)+(Q215*'Data - P&amp;L'!$D$34)</f>
        <v>0</v>
      </c>
      <c r="R316" s="329">
        <f>(R105*'Data - P&amp;L'!$D$34)+(R215*'Data - P&amp;L'!$D$34)</f>
        <v>0</v>
      </c>
      <c r="S316" s="329">
        <f>(S105*'Data - P&amp;L'!$D$34)+(S215*'Data - P&amp;L'!$D$34)</f>
        <v>0</v>
      </c>
      <c r="T316" s="329">
        <f>(T105*'Data - P&amp;L'!$D$34)+(T215*'Data - P&amp;L'!$D$34)</f>
        <v>0</v>
      </c>
      <c r="U316" s="329">
        <f>(U105*'Data - P&amp;L'!$D$34)+(U215*'Data - P&amp;L'!$D$34)</f>
        <v>0</v>
      </c>
      <c r="V316" s="329">
        <f>(V105*'Data - P&amp;L'!$D$34)+(V215*'Data - P&amp;L'!$D$34)</f>
        <v>0</v>
      </c>
      <c r="W316" s="329">
        <f>(W105*'Data - P&amp;L'!$D$34)+(W215*'Data - P&amp;L'!$D$34)</f>
        <v>0</v>
      </c>
      <c r="X316" s="329">
        <f>(X105*'Data - P&amp;L'!$D$34)+(X215*'Data - P&amp;L'!$D$34)</f>
        <v>0</v>
      </c>
      <c r="Y316" s="329">
        <f>(Y105*'Data - P&amp;L'!$D$34)+(Y215*'Data - P&amp;L'!$D$34)</f>
        <v>0</v>
      </c>
      <c r="Z316" s="329">
        <f>(Z105*'Data - P&amp;L'!$D$34)+(Z215*'Data - P&amp;L'!$D$34)</f>
        <v>0</v>
      </c>
      <c r="AA316" s="329">
        <f>(AA105*'Data - P&amp;L'!$D$34)+(AA215*'Data - P&amp;L'!$D$34)</f>
        <v>0</v>
      </c>
      <c r="AB316" s="329">
        <f>(AB105*'Data - P&amp;L'!$D$34)+(AB215*'Data - P&amp;L'!$D$34)</f>
        <v>0</v>
      </c>
      <c r="AC316" s="329">
        <f>(AC105*'Data - P&amp;L'!$D$34)+(AC215*'Data - P&amp;L'!$D$34)</f>
        <v>0</v>
      </c>
      <c r="AD316" s="329">
        <f>(AD105*'Data - P&amp;L'!$D$34)+(AD215*'Data - P&amp;L'!$D$34)</f>
        <v>0</v>
      </c>
      <c r="AE316" s="329">
        <f>(AE105*'Data - P&amp;L'!$D$34)+(AE215*'Data - P&amp;L'!$D$34)</f>
        <v>0</v>
      </c>
      <c r="AF316" s="282"/>
    </row>
    <row r="317" outlineLevel="1">
      <c r="A317" s="87" t="s">
        <v>857</v>
      </c>
      <c r="B317" s="658"/>
      <c r="C317" s="658"/>
      <c r="D317" s="658"/>
      <c r="E317" s="658"/>
      <c r="F317" s="658"/>
      <c r="G317" s="658"/>
      <c r="H317" s="658"/>
      <c r="I317" s="658"/>
      <c r="J317" s="658"/>
      <c r="K317" s="658"/>
      <c r="L317" s="658"/>
      <c r="M317" s="658"/>
      <c r="N317" s="658"/>
      <c r="O317" s="658"/>
      <c r="P317" s="658"/>
      <c r="Q317" s="658"/>
      <c r="R317" s="658"/>
      <c r="S317" s="658"/>
      <c r="T317" s="658"/>
      <c r="U317" s="658"/>
      <c r="V317" s="658"/>
      <c r="W317" s="658"/>
      <c r="X317" s="658"/>
      <c r="Y317" s="658"/>
      <c r="Z317" s="658"/>
      <c r="AA317" s="658"/>
      <c r="AB317" s="658"/>
      <c r="AC317" s="658"/>
      <c r="AD317" s="658"/>
      <c r="AE317" s="658"/>
      <c r="AF317" s="282"/>
    </row>
    <row r="318" outlineLevel="1">
      <c r="A318" s="87" t="s">
        <v>858</v>
      </c>
      <c r="B318" s="658"/>
      <c r="C318" s="658"/>
      <c r="D318" s="658"/>
      <c r="E318" s="658"/>
      <c r="F318" s="658"/>
      <c r="G318" s="658"/>
      <c r="H318" s="658"/>
      <c r="I318" s="658"/>
      <c r="J318" s="658"/>
      <c r="K318" s="658"/>
      <c r="L318" s="658"/>
      <c r="M318" s="658"/>
      <c r="N318" s="658"/>
      <c r="O318" s="658"/>
      <c r="P318" s="658"/>
      <c r="Q318" s="658"/>
      <c r="R318" s="658"/>
      <c r="S318" s="658"/>
      <c r="T318" s="658"/>
      <c r="U318" s="658"/>
      <c r="V318" s="658"/>
      <c r="W318" s="658"/>
      <c r="X318" s="658"/>
      <c r="Y318" s="658"/>
      <c r="Z318" s="658"/>
      <c r="AA318" s="658"/>
      <c r="AB318" s="658"/>
      <c r="AC318" s="658"/>
      <c r="AD318" s="658"/>
      <c r="AE318" s="658"/>
      <c r="AF318" s="282"/>
    </row>
    <row r="319" outlineLevel="1">
      <c r="A319" s="87" t="s">
        <v>859</v>
      </c>
      <c r="B319" s="658"/>
      <c r="C319" s="658"/>
      <c r="D319" s="658"/>
      <c r="E319" s="658"/>
      <c r="F319" s="658"/>
      <c r="G319" s="658"/>
      <c r="H319" s="658"/>
      <c r="I319" s="658"/>
      <c r="J319" s="658"/>
      <c r="K319" s="658"/>
      <c r="L319" s="658"/>
      <c r="M319" s="658"/>
      <c r="N319" s="658"/>
      <c r="O319" s="658"/>
      <c r="P319" s="658"/>
      <c r="Q319" s="658"/>
      <c r="R319" s="658"/>
      <c r="S319" s="658"/>
      <c r="T319" s="658"/>
      <c r="U319" s="658"/>
      <c r="V319" s="658"/>
      <c r="W319" s="658"/>
      <c r="X319" s="658"/>
      <c r="Y319" s="658"/>
      <c r="Z319" s="658"/>
      <c r="AA319" s="658"/>
      <c r="AB319" s="658"/>
      <c r="AC319" s="658"/>
      <c r="AD319" s="658"/>
      <c r="AE319" s="658"/>
      <c r="AF319" s="282"/>
    </row>
    <row r="320" outlineLevel="1">
      <c r="A320" s="575" t="s">
        <v>860</v>
      </c>
      <c r="B320" s="701"/>
      <c r="C320" s="701"/>
      <c r="D320" s="701"/>
      <c r="E320" s="701"/>
      <c r="F320" s="701"/>
      <c r="G320" s="701"/>
      <c r="H320" s="701"/>
      <c r="I320" s="701"/>
      <c r="J320" s="701"/>
      <c r="K320" s="701"/>
      <c r="L320" s="701"/>
      <c r="M320" s="701"/>
      <c r="N320" s="701"/>
      <c r="O320" s="701"/>
      <c r="P320" s="701"/>
      <c r="Q320" s="701"/>
      <c r="R320" s="701"/>
      <c r="S320" s="701"/>
      <c r="T320" s="701"/>
      <c r="U320" s="701"/>
      <c r="V320" s="701"/>
      <c r="W320" s="701"/>
      <c r="X320" s="701"/>
      <c r="Y320" s="701"/>
      <c r="Z320" s="701"/>
      <c r="AA320" s="701"/>
      <c r="AB320" s="701"/>
      <c r="AC320" s="701"/>
      <c r="AD320" s="701"/>
      <c r="AE320" s="701"/>
      <c r="AF320" s="282"/>
    </row>
    <row r="321">
      <c r="A321" s="49"/>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2"/>
    </row>
    <row r="322">
      <c r="A322" s="233" t="s">
        <v>913</v>
      </c>
      <c r="B322" s="706">
        <f t="shared" ref="B322:AE322" si="73">B275+B287</f>
        <v>0</v>
      </c>
      <c r="C322" s="706">
        <f t="shared" si="73"/>
        <v>362.98</v>
      </c>
      <c r="D322" s="706">
        <f t="shared" si="73"/>
        <v>41.73</v>
      </c>
      <c r="E322" s="706">
        <f t="shared" si="73"/>
        <v>0</v>
      </c>
      <c r="F322" s="706">
        <f t="shared" si="73"/>
        <v>0</v>
      </c>
      <c r="G322" s="706">
        <f t="shared" si="73"/>
        <v>0</v>
      </c>
      <c r="H322" s="706">
        <f t="shared" si="73"/>
        <v>0</v>
      </c>
      <c r="I322" s="706">
        <f t="shared" si="73"/>
        <v>1429.34</v>
      </c>
      <c r="J322" s="706">
        <f t="shared" si="73"/>
        <v>0</v>
      </c>
      <c r="K322" s="706">
        <f t="shared" si="73"/>
        <v>0</v>
      </c>
      <c r="L322" s="706">
        <f t="shared" si="73"/>
        <v>0</v>
      </c>
      <c r="M322" s="706">
        <f t="shared" si="73"/>
        <v>0</v>
      </c>
      <c r="N322" s="706">
        <f t="shared" si="73"/>
        <v>0</v>
      </c>
      <c r="O322" s="706">
        <f t="shared" si="73"/>
        <v>547.06</v>
      </c>
      <c r="P322" s="706">
        <f t="shared" si="73"/>
        <v>287.83</v>
      </c>
      <c r="Q322" s="706">
        <f t="shared" si="73"/>
        <v>0</v>
      </c>
      <c r="R322" s="706">
        <f t="shared" si="73"/>
        <v>0</v>
      </c>
      <c r="S322" s="706">
        <f t="shared" si="73"/>
        <v>0</v>
      </c>
      <c r="T322" s="706">
        <f t="shared" si="73"/>
        <v>309.98</v>
      </c>
      <c r="U322" s="706">
        <f t="shared" si="73"/>
        <v>340.58</v>
      </c>
      <c r="V322" s="706">
        <f t="shared" si="73"/>
        <v>299</v>
      </c>
      <c r="W322" s="706">
        <f t="shared" si="73"/>
        <v>0</v>
      </c>
      <c r="X322" s="706">
        <f t="shared" si="73"/>
        <v>922.34</v>
      </c>
      <c r="Y322" s="706">
        <f t="shared" si="73"/>
        <v>299.99</v>
      </c>
      <c r="Z322" s="706">
        <f t="shared" si="73"/>
        <v>0</v>
      </c>
      <c r="AA322" s="706">
        <f t="shared" si="73"/>
        <v>0</v>
      </c>
      <c r="AB322" s="706">
        <f t="shared" si="73"/>
        <v>0</v>
      </c>
      <c r="AC322" s="706">
        <f t="shared" si="73"/>
        <v>0</v>
      </c>
      <c r="AD322" s="706">
        <f t="shared" si="73"/>
        <v>0</v>
      </c>
      <c r="AE322" s="707">
        <f t="shared" si="73"/>
        <v>0</v>
      </c>
      <c r="AF322" s="282"/>
    </row>
    <row r="323">
      <c r="A323" s="49"/>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2"/>
    </row>
    <row r="324">
      <c r="A324" s="204" t="s">
        <v>559</v>
      </c>
      <c r="B324" s="713">
        <f t="shared" ref="B324:AE324" si="74">B265+B276+B288-B303</f>
        <v>0</v>
      </c>
      <c r="C324" s="713">
        <f t="shared" si="74"/>
        <v>-309.45625</v>
      </c>
      <c r="D324" s="713">
        <f t="shared" si="74"/>
        <v>-39.70625</v>
      </c>
      <c r="E324" s="713">
        <f t="shared" si="74"/>
        <v>0</v>
      </c>
      <c r="F324" s="713">
        <f t="shared" si="74"/>
        <v>0</v>
      </c>
      <c r="G324" s="713">
        <f t="shared" si="74"/>
        <v>0</v>
      </c>
      <c r="H324" s="713">
        <f t="shared" si="74"/>
        <v>0</v>
      </c>
      <c r="I324" s="713">
        <f t="shared" si="74"/>
        <v>-1300.98875</v>
      </c>
      <c r="J324" s="713">
        <f t="shared" si="74"/>
        <v>0</v>
      </c>
      <c r="K324" s="713">
        <f t="shared" si="74"/>
        <v>0</v>
      </c>
      <c r="L324" s="713">
        <f t="shared" si="74"/>
        <v>0</v>
      </c>
      <c r="M324" s="713">
        <f t="shared" si="74"/>
        <v>0</v>
      </c>
      <c r="N324" s="713">
        <f t="shared" si="74"/>
        <v>0</v>
      </c>
      <c r="O324" s="713">
        <f t="shared" si="74"/>
        <v>-470.865</v>
      </c>
      <c r="P324" s="713">
        <f t="shared" si="74"/>
        <v>-263.4275</v>
      </c>
      <c r="Q324" s="713">
        <f t="shared" si="74"/>
        <v>0</v>
      </c>
      <c r="R324" s="713">
        <f t="shared" si="74"/>
        <v>0</v>
      </c>
      <c r="S324" s="713">
        <f t="shared" si="74"/>
        <v>0</v>
      </c>
      <c r="T324" s="713">
        <f t="shared" si="74"/>
        <v>-283.84625</v>
      </c>
      <c r="U324" s="713">
        <f t="shared" si="74"/>
        <v>-309.76375</v>
      </c>
      <c r="V324" s="713">
        <f t="shared" si="74"/>
        <v>-299</v>
      </c>
      <c r="W324" s="713">
        <f t="shared" si="74"/>
        <v>0</v>
      </c>
      <c r="X324" s="713">
        <f t="shared" si="74"/>
        <v>-846.745</v>
      </c>
      <c r="Y324" s="713">
        <f t="shared" si="74"/>
        <v>-202.38</v>
      </c>
      <c r="Z324" s="713">
        <f t="shared" si="74"/>
        <v>0</v>
      </c>
      <c r="AA324" s="713">
        <f t="shared" si="74"/>
        <v>0</v>
      </c>
      <c r="AB324" s="713">
        <f t="shared" si="74"/>
        <v>0</v>
      </c>
      <c r="AC324" s="713">
        <f t="shared" si="74"/>
        <v>0</v>
      </c>
      <c r="AD324" s="713">
        <f t="shared" si="74"/>
        <v>0</v>
      </c>
      <c r="AE324" s="715">
        <f t="shared" si="74"/>
        <v>-109.61</v>
      </c>
      <c r="AF324" s="282"/>
    </row>
    <row r="325">
      <c r="A325" s="449"/>
      <c r="B325" s="450"/>
      <c r="C325" s="450"/>
      <c r="D325" s="450"/>
      <c r="E325" s="450"/>
      <c r="F325" s="450"/>
      <c r="G325" s="450"/>
      <c r="H325" s="450"/>
      <c r="I325" s="450"/>
      <c r="J325" s="450"/>
      <c r="K325" s="450"/>
      <c r="L325" s="450"/>
      <c r="M325" s="450"/>
      <c r="N325" s="450"/>
      <c r="O325" s="450"/>
      <c r="P325" s="450"/>
      <c r="Q325" s="450"/>
      <c r="R325" s="450"/>
      <c r="S325" s="450"/>
      <c r="T325" s="450"/>
      <c r="U325" s="450"/>
      <c r="V325" s="450"/>
      <c r="W325" s="450"/>
      <c r="X325" s="450"/>
      <c r="Y325" s="450"/>
      <c r="Z325" s="450"/>
      <c r="AA325" s="450"/>
      <c r="AB325" s="450"/>
      <c r="AC325" s="450"/>
      <c r="AD325" s="450"/>
      <c r="AE325" s="450"/>
      <c r="AF325" s="718"/>
    </row>
    <row r="326">
      <c r="A326" s="719" t="s">
        <v>925</v>
      </c>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2"/>
    </row>
    <row r="327">
      <c r="A327" s="722">
        <f>SUM(AF4+AF116)</f>
        <v>188199.997</v>
      </c>
      <c r="B327" s="450"/>
      <c r="C327" s="450"/>
      <c r="D327" s="450"/>
      <c r="E327" s="450"/>
      <c r="F327" s="450"/>
      <c r="G327" s="450"/>
      <c r="H327" s="450"/>
      <c r="I327" s="450"/>
      <c r="J327" s="450"/>
      <c r="K327" s="450"/>
      <c r="L327" s="450"/>
      <c r="M327" s="450"/>
      <c r="N327" s="450"/>
      <c r="O327" s="450"/>
      <c r="P327" s="450"/>
      <c r="Q327" s="450"/>
      <c r="R327" s="450"/>
      <c r="S327" s="450"/>
      <c r="T327" s="450"/>
      <c r="U327" s="450"/>
      <c r="V327" s="450"/>
      <c r="W327" s="450"/>
      <c r="X327" s="450"/>
      <c r="Y327" s="450"/>
      <c r="Z327" s="450"/>
      <c r="AA327" s="450"/>
      <c r="AB327" s="450"/>
      <c r="AC327" s="450"/>
      <c r="AD327" s="450"/>
      <c r="AE327" s="450"/>
      <c r="AF327" s="718"/>
    </row>
    <row r="328">
      <c r="A328" s="719" t="s">
        <v>927</v>
      </c>
      <c r="B328" s="66">
        <f t="shared" ref="B328:AE328" si="75">(B4+B116)-B262</f>
        <v>39.25628</v>
      </c>
      <c r="C328" s="66">
        <f t="shared" si="75"/>
        <v>0</v>
      </c>
      <c r="D328" s="66">
        <f t="shared" si="75"/>
        <v>0</v>
      </c>
      <c r="E328" s="66">
        <f t="shared" si="75"/>
        <v>7120.389796</v>
      </c>
      <c r="F328" s="66">
        <f t="shared" si="75"/>
        <v>3472.458298</v>
      </c>
      <c r="G328" s="66">
        <f t="shared" si="75"/>
        <v>15812.63322</v>
      </c>
      <c r="H328" s="66">
        <f t="shared" si="75"/>
        <v>2196.954179</v>
      </c>
      <c r="I328" s="66">
        <f t="shared" si="75"/>
        <v>71.5449228</v>
      </c>
      <c r="J328" s="66">
        <f t="shared" si="75"/>
        <v>679.9099052</v>
      </c>
      <c r="K328" s="66">
        <f t="shared" si="75"/>
        <v>324.2943684</v>
      </c>
      <c r="L328" s="66">
        <f t="shared" si="75"/>
        <v>324.2943684</v>
      </c>
      <c r="M328" s="66">
        <f t="shared" si="75"/>
        <v>432.3924912</v>
      </c>
      <c r="N328" s="66">
        <f t="shared" si="75"/>
        <v>432.3924912</v>
      </c>
      <c r="O328" s="66">
        <f t="shared" si="75"/>
        <v>108.0981228</v>
      </c>
      <c r="P328" s="66">
        <f t="shared" si="75"/>
        <v>683.5804596</v>
      </c>
      <c r="Q328" s="66">
        <f t="shared" si="75"/>
        <v>3746.881098</v>
      </c>
      <c r="R328" s="468">
        <f t="shared" si="75"/>
        <v>612.0355368</v>
      </c>
      <c r="S328" s="66">
        <f t="shared" si="75"/>
        <v>756.6868596</v>
      </c>
      <c r="T328" s="468">
        <f t="shared" si="75"/>
        <v>756.6868596</v>
      </c>
      <c r="U328" s="66">
        <f t="shared" si="75"/>
        <v>828.2317824</v>
      </c>
      <c r="V328" s="66">
        <f t="shared" si="75"/>
        <v>864.7849824</v>
      </c>
      <c r="W328" s="66">
        <f t="shared" si="75"/>
        <v>864.7849824</v>
      </c>
      <c r="X328" s="66">
        <f t="shared" si="75"/>
        <v>1291.945442</v>
      </c>
      <c r="Y328" s="66">
        <f t="shared" si="75"/>
        <v>1707.89661</v>
      </c>
      <c r="Z328" s="66">
        <f t="shared" si="75"/>
        <v>287.7411684</v>
      </c>
      <c r="AA328" s="66">
        <f t="shared" si="75"/>
        <v>5237.019986</v>
      </c>
      <c r="AB328" s="66">
        <f t="shared" si="75"/>
        <v>9148.664284</v>
      </c>
      <c r="AC328" s="66">
        <f t="shared" si="75"/>
        <v>3494.131652</v>
      </c>
      <c r="AD328" s="66">
        <f t="shared" si="75"/>
        <v>395.8392912</v>
      </c>
      <c r="AE328" s="468">
        <f t="shared" si="75"/>
        <v>287.7411684</v>
      </c>
      <c r="AF328" s="62">
        <f>SUM(B328:AE328)</f>
        <v>61979.27061</v>
      </c>
    </row>
    <row r="329">
      <c r="A329" s="726">
        <f>SUM(B328:AE328)</f>
        <v>61979.27061</v>
      </c>
      <c r="B329" s="727"/>
      <c r="C329" s="727"/>
      <c r="D329" s="727"/>
      <c r="E329" s="727"/>
      <c r="F329" s="727"/>
      <c r="G329" s="727"/>
      <c r="H329" s="727"/>
      <c r="I329" s="727"/>
      <c r="J329" s="727"/>
      <c r="K329" s="727"/>
      <c r="L329" s="727"/>
      <c r="M329" s="727"/>
      <c r="N329" s="727"/>
      <c r="O329" s="727"/>
      <c r="P329" s="727"/>
      <c r="Q329" s="727"/>
      <c r="R329" s="727"/>
      <c r="S329" s="727"/>
      <c r="T329" s="727"/>
      <c r="U329" s="727"/>
      <c r="V329" s="727"/>
      <c r="W329" s="727"/>
      <c r="X329" s="727"/>
      <c r="Y329" s="727"/>
      <c r="Z329" s="727"/>
      <c r="AA329" s="727"/>
      <c r="AB329" s="727"/>
      <c r="AC329" s="727"/>
      <c r="AD329" s="727"/>
      <c r="AE329" s="727"/>
      <c r="AF329" s="718"/>
    </row>
    <row r="330">
      <c r="A330" s="719" t="s">
        <v>929</v>
      </c>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2"/>
    </row>
    <row r="331">
      <c r="A331" s="729">
        <f>A329/A327</f>
        <v>0.3293266291</v>
      </c>
      <c r="B331" s="730"/>
      <c r="C331" s="730"/>
      <c r="D331" s="730"/>
      <c r="E331" s="730"/>
      <c r="F331" s="730"/>
      <c r="G331" s="730"/>
      <c r="H331" s="730"/>
      <c r="I331" s="730"/>
      <c r="J331" s="730"/>
      <c r="K331" s="730"/>
      <c r="L331" s="730"/>
      <c r="M331" s="730"/>
      <c r="N331" s="730"/>
      <c r="O331" s="730"/>
      <c r="P331" s="730"/>
      <c r="Q331" s="730"/>
      <c r="R331" s="730"/>
      <c r="S331" s="730"/>
      <c r="T331" s="730"/>
      <c r="U331" s="730"/>
      <c r="V331" s="730"/>
      <c r="W331" s="730"/>
      <c r="X331" s="730"/>
      <c r="Y331" s="730"/>
      <c r="Z331" s="730"/>
      <c r="AA331" s="730"/>
      <c r="AB331" s="730"/>
      <c r="AC331" s="730"/>
      <c r="AD331" s="730"/>
      <c r="AE331" s="730"/>
      <c r="AF331" s="718"/>
    </row>
    <row r="332">
      <c r="A332" s="9"/>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2"/>
    </row>
    <row r="333">
      <c r="A333" s="9"/>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2"/>
    </row>
    <row r="334">
      <c r="A334" s="734" t="s">
        <v>118</v>
      </c>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2"/>
    </row>
    <row r="335">
      <c r="A335" s="722">
        <f>A327</f>
        <v>188199.997</v>
      </c>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2"/>
    </row>
    <row r="336">
      <c r="A336" s="736" t="s">
        <v>561</v>
      </c>
      <c r="B336" s="66">
        <f t="shared" ref="B336:AE336" si="76">B328+B324</f>
        <v>39.25628</v>
      </c>
      <c r="C336" s="66">
        <f t="shared" si="76"/>
        <v>-309.45625</v>
      </c>
      <c r="D336" s="66">
        <f t="shared" si="76"/>
        <v>-39.70625</v>
      </c>
      <c r="E336" s="66">
        <f t="shared" si="76"/>
        <v>7120.389796</v>
      </c>
      <c r="F336" s="66">
        <f t="shared" si="76"/>
        <v>3472.458298</v>
      </c>
      <c r="G336" s="66">
        <f t="shared" si="76"/>
        <v>15812.63322</v>
      </c>
      <c r="H336" s="66">
        <f t="shared" si="76"/>
        <v>2196.954179</v>
      </c>
      <c r="I336" s="66">
        <f t="shared" si="76"/>
        <v>-1229.443827</v>
      </c>
      <c r="J336" s="66">
        <f t="shared" si="76"/>
        <v>679.9099052</v>
      </c>
      <c r="K336" s="66">
        <f t="shared" si="76"/>
        <v>324.2943684</v>
      </c>
      <c r="L336" s="66">
        <f t="shared" si="76"/>
        <v>324.2943684</v>
      </c>
      <c r="M336" s="66">
        <f t="shared" si="76"/>
        <v>432.3924912</v>
      </c>
      <c r="N336" s="66">
        <f t="shared" si="76"/>
        <v>432.3924912</v>
      </c>
      <c r="O336" s="66">
        <f t="shared" si="76"/>
        <v>-362.7668772</v>
      </c>
      <c r="P336" s="66">
        <f t="shared" si="76"/>
        <v>420.1529596</v>
      </c>
      <c r="Q336" s="66">
        <f t="shared" si="76"/>
        <v>3746.881098</v>
      </c>
      <c r="R336" s="66">
        <f t="shared" si="76"/>
        <v>612.0355368</v>
      </c>
      <c r="S336" s="66">
        <f t="shared" si="76"/>
        <v>756.6868596</v>
      </c>
      <c r="T336" s="66">
        <f t="shared" si="76"/>
        <v>472.8406096</v>
      </c>
      <c r="U336" s="66">
        <f t="shared" si="76"/>
        <v>518.4680324</v>
      </c>
      <c r="V336" s="66">
        <f t="shared" si="76"/>
        <v>565.7849824</v>
      </c>
      <c r="W336" s="66">
        <f t="shared" si="76"/>
        <v>864.7849824</v>
      </c>
      <c r="X336" s="66">
        <f t="shared" si="76"/>
        <v>445.200442</v>
      </c>
      <c r="Y336" s="66">
        <f t="shared" si="76"/>
        <v>1505.51661</v>
      </c>
      <c r="Z336" s="66">
        <f t="shared" si="76"/>
        <v>287.7411684</v>
      </c>
      <c r="AA336" s="66">
        <f t="shared" si="76"/>
        <v>5237.019986</v>
      </c>
      <c r="AB336" s="66">
        <f t="shared" si="76"/>
        <v>9148.664284</v>
      </c>
      <c r="AC336" s="66">
        <f t="shared" si="76"/>
        <v>3494.131652</v>
      </c>
      <c r="AD336" s="66">
        <f t="shared" si="76"/>
        <v>395.8392912</v>
      </c>
      <c r="AE336" s="66">
        <f t="shared" si="76"/>
        <v>178.1311684</v>
      </c>
      <c r="AF336" s="282"/>
    </row>
    <row r="337">
      <c r="A337" s="726">
        <f>sum(B336:AE336)</f>
        <v>57543.48186</v>
      </c>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2"/>
    </row>
    <row r="338">
      <c r="A338" s="740" t="s">
        <v>563</v>
      </c>
      <c r="B338" s="326"/>
      <c r="C338" s="326"/>
      <c r="D338" s="326"/>
      <c r="E338" s="326"/>
      <c r="F338" s="326"/>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2"/>
    </row>
    <row r="339">
      <c r="A339" s="729">
        <f>A337/A335</f>
        <v>0.3057570817</v>
      </c>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2"/>
    </row>
    <row r="340">
      <c r="A340" s="9"/>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2"/>
    </row>
    <row r="341">
      <c r="A341" s="9"/>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2"/>
    </row>
    <row r="342">
      <c r="A342" s="9"/>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2"/>
    </row>
    <row r="343">
      <c r="A343" s="183"/>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2"/>
    </row>
    <row r="344">
      <c r="A344" s="9"/>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2"/>
    </row>
    <row r="345">
      <c r="A345" s="183"/>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2"/>
    </row>
    <row r="346">
      <c r="A346" s="9"/>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2"/>
    </row>
    <row r="347">
      <c r="A347" s="183"/>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2"/>
    </row>
    <row r="348">
      <c r="A348" s="9"/>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747"/>
    </row>
    <row r="349">
      <c r="A349" s="9"/>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747"/>
    </row>
    <row r="350">
      <c r="A350" s="9"/>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747"/>
    </row>
    <row r="351">
      <c r="A351" s="9"/>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747"/>
    </row>
    <row r="352">
      <c r="A352" s="9"/>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747"/>
    </row>
    <row r="353">
      <c r="A353" s="9"/>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747"/>
    </row>
    <row r="354">
      <c r="A354" s="9"/>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747"/>
    </row>
    <row r="355">
      <c r="A355" s="9"/>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747"/>
    </row>
    <row r="356">
      <c r="A356" s="9"/>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747"/>
    </row>
    <row r="357">
      <c r="A357" s="9"/>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747"/>
    </row>
    <row r="358">
      <c r="A358" s="9"/>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747"/>
    </row>
    <row r="359">
      <c r="A359" s="9"/>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747"/>
    </row>
    <row r="360">
      <c r="A360" s="9"/>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747"/>
    </row>
    <row r="361">
      <c r="A361" s="9"/>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747"/>
    </row>
    <row r="362">
      <c r="A362" s="9"/>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747"/>
    </row>
    <row r="363">
      <c r="A363" s="9"/>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747"/>
    </row>
    <row r="364">
      <c r="AF364" s="555"/>
    </row>
    <row r="365">
      <c r="AF365" s="555"/>
    </row>
    <row r="366">
      <c r="AF366" s="555"/>
    </row>
    <row r="367">
      <c r="AF367" s="555"/>
    </row>
    <row r="368">
      <c r="AF368" s="555"/>
    </row>
    <row r="369">
      <c r="AF369" s="555"/>
    </row>
    <row r="370">
      <c r="AF370" s="555"/>
    </row>
    <row r="371">
      <c r="AF371" s="555"/>
    </row>
    <row r="372">
      <c r="AF372" s="555"/>
    </row>
    <row r="373">
      <c r="AF373" s="555"/>
    </row>
    <row r="374">
      <c r="AF374" s="555"/>
    </row>
    <row r="375">
      <c r="AF375" s="555"/>
    </row>
    <row r="376">
      <c r="AF376" s="555"/>
    </row>
    <row r="377">
      <c r="AF377" s="555"/>
    </row>
    <row r="378">
      <c r="AF378" s="555"/>
    </row>
    <row r="379">
      <c r="AF379" s="555"/>
    </row>
    <row r="380">
      <c r="AF380" s="555"/>
    </row>
    <row r="381">
      <c r="AF381" s="555"/>
    </row>
    <row r="382">
      <c r="AF382" s="555"/>
    </row>
    <row r="383">
      <c r="AF383" s="555"/>
    </row>
    <row r="384">
      <c r="AF384" s="555"/>
    </row>
    <row r="385">
      <c r="AF385" s="555"/>
    </row>
    <row r="386">
      <c r="AF386" s="555"/>
    </row>
    <row r="387">
      <c r="AF387" s="555"/>
    </row>
    <row r="388">
      <c r="AF388" s="555"/>
    </row>
    <row r="389">
      <c r="AF389" s="555"/>
    </row>
    <row r="390">
      <c r="AF390" s="555"/>
    </row>
    <row r="391">
      <c r="AF391" s="555"/>
    </row>
    <row r="392">
      <c r="AF392" s="555"/>
    </row>
    <row r="393">
      <c r="AF393" s="555"/>
    </row>
    <row r="394">
      <c r="AF394" s="555"/>
    </row>
    <row r="395">
      <c r="AF395" s="555"/>
    </row>
    <row r="396">
      <c r="AF396" s="555"/>
    </row>
    <row r="397">
      <c r="AF397" s="555"/>
    </row>
    <row r="398">
      <c r="AF398" s="555"/>
    </row>
    <row r="399">
      <c r="AF399" s="555"/>
    </row>
    <row r="400">
      <c r="AF400" s="555"/>
    </row>
    <row r="401">
      <c r="AF401" s="555"/>
    </row>
    <row r="402">
      <c r="AF402" s="555"/>
    </row>
    <row r="403">
      <c r="AF403" s="555"/>
    </row>
    <row r="404">
      <c r="AF404" s="555"/>
    </row>
    <row r="405">
      <c r="AF405" s="555"/>
    </row>
    <row r="406">
      <c r="AF406" s="555"/>
    </row>
    <row r="407">
      <c r="AF407" s="555"/>
    </row>
    <row r="408">
      <c r="AF408" s="555"/>
    </row>
    <row r="409">
      <c r="AF409" s="555"/>
    </row>
    <row r="410">
      <c r="AF410" s="555"/>
    </row>
    <row r="411">
      <c r="AF411" s="555"/>
    </row>
    <row r="412">
      <c r="AF412" s="555"/>
    </row>
    <row r="413">
      <c r="AF413" s="555"/>
    </row>
    <row r="414">
      <c r="AF414" s="555"/>
    </row>
    <row r="415">
      <c r="AF415" s="555"/>
    </row>
    <row r="416">
      <c r="AF416" s="555"/>
    </row>
    <row r="417">
      <c r="AF417" s="555"/>
    </row>
    <row r="418">
      <c r="AF418" s="555"/>
    </row>
    <row r="419">
      <c r="AF419" s="555"/>
    </row>
    <row r="420">
      <c r="AF420" s="555"/>
    </row>
    <row r="421">
      <c r="AF421" s="555"/>
    </row>
    <row r="422">
      <c r="AF422" s="555"/>
    </row>
    <row r="423">
      <c r="AF423" s="555"/>
    </row>
    <row r="424">
      <c r="AF424" s="555"/>
    </row>
    <row r="425">
      <c r="AF425" s="555"/>
    </row>
    <row r="426">
      <c r="AF426" s="555"/>
    </row>
    <row r="427">
      <c r="AF427" s="555"/>
    </row>
    <row r="428">
      <c r="AF428" s="555"/>
    </row>
    <row r="429">
      <c r="AF429" s="555"/>
    </row>
    <row r="430">
      <c r="AF430" s="555"/>
    </row>
    <row r="431">
      <c r="AF431" s="555"/>
    </row>
    <row r="432">
      <c r="AF432" s="555"/>
    </row>
    <row r="433">
      <c r="AF433" s="555"/>
    </row>
    <row r="434">
      <c r="AF434" s="555"/>
    </row>
    <row r="435">
      <c r="AF435" s="555"/>
    </row>
    <row r="436">
      <c r="AF436" s="555"/>
    </row>
    <row r="437">
      <c r="AF437" s="555"/>
    </row>
    <row r="438">
      <c r="AF438" s="555"/>
    </row>
    <row r="439">
      <c r="AF439" s="555"/>
    </row>
    <row r="440">
      <c r="AF440" s="555"/>
    </row>
    <row r="441">
      <c r="AF441" s="555"/>
    </row>
    <row r="442">
      <c r="AF442" s="555"/>
    </row>
    <row r="443">
      <c r="AF443" s="555"/>
    </row>
    <row r="444">
      <c r="AF444" s="555"/>
    </row>
    <row r="445">
      <c r="AF445" s="555"/>
    </row>
    <row r="446">
      <c r="AF446" s="555"/>
    </row>
    <row r="447">
      <c r="AF447" s="555"/>
    </row>
    <row r="448">
      <c r="AF448" s="555"/>
    </row>
    <row r="449">
      <c r="AF449" s="555"/>
    </row>
    <row r="450">
      <c r="AF450" s="555"/>
    </row>
    <row r="451">
      <c r="AF451" s="555"/>
    </row>
    <row r="452">
      <c r="AF452" s="555"/>
    </row>
    <row r="453">
      <c r="AF453" s="555"/>
    </row>
    <row r="454">
      <c r="AF454" s="555"/>
    </row>
    <row r="455">
      <c r="AF455" s="555"/>
    </row>
    <row r="456">
      <c r="AF456" s="555"/>
    </row>
    <row r="457">
      <c r="AF457" s="555"/>
    </row>
    <row r="458">
      <c r="AF458" s="555"/>
    </row>
    <row r="459">
      <c r="AF459" s="555"/>
    </row>
    <row r="460">
      <c r="AF460" s="555"/>
    </row>
    <row r="461">
      <c r="AF461" s="555"/>
    </row>
    <row r="462">
      <c r="AF462" s="555"/>
    </row>
    <row r="463">
      <c r="AF463" s="555"/>
    </row>
    <row r="464">
      <c r="AF464" s="555"/>
    </row>
    <row r="465">
      <c r="AF465" s="555"/>
    </row>
    <row r="466">
      <c r="AF466" s="555"/>
    </row>
    <row r="467">
      <c r="AF467" s="555"/>
    </row>
    <row r="468">
      <c r="AF468" s="555"/>
    </row>
    <row r="469">
      <c r="AF469" s="555"/>
    </row>
    <row r="470">
      <c r="AF470" s="555"/>
    </row>
    <row r="471">
      <c r="AF471" s="555"/>
    </row>
    <row r="472">
      <c r="AF472" s="555"/>
    </row>
    <row r="473">
      <c r="AF473" s="555"/>
    </row>
    <row r="474">
      <c r="AF474" s="555"/>
    </row>
    <row r="475">
      <c r="AF475" s="555"/>
    </row>
    <row r="476">
      <c r="AF476" s="555"/>
    </row>
    <row r="477">
      <c r="AF477" s="555"/>
    </row>
    <row r="478">
      <c r="AF478" s="555"/>
    </row>
    <row r="479">
      <c r="AF479" s="555"/>
    </row>
    <row r="480">
      <c r="AF480" s="555"/>
    </row>
    <row r="481">
      <c r="AF481" s="555"/>
    </row>
    <row r="482">
      <c r="AF482" s="555"/>
    </row>
    <row r="483">
      <c r="AF483" s="555"/>
    </row>
    <row r="484">
      <c r="AF484" s="555"/>
    </row>
    <row r="485">
      <c r="AF485" s="555"/>
    </row>
    <row r="486">
      <c r="AF486" s="555"/>
    </row>
    <row r="487">
      <c r="AF487" s="555"/>
    </row>
    <row r="488">
      <c r="AF488" s="555"/>
    </row>
    <row r="489">
      <c r="AF489" s="555"/>
    </row>
    <row r="490">
      <c r="AF490" s="555"/>
    </row>
    <row r="491">
      <c r="AF491" s="555"/>
    </row>
    <row r="492">
      <c r="AF492" s="555"/>
    </row>
    <row r="493">
      <c r="AF493" s="555"/>
    </row>
    <row r="494">
      <c r="AF494" s="555"/>
    </row>
    <row r="495">
      <c r="AF495" s="555"/>
    </row>
    <row r="496">
      <c r="AF496" s="555"/>
    </row>
    <row r="497">
      <c r="AF497" s="555"/>
    </row>
    <row r="498">
      <c r="AF498" s="555"/>
    </row>
    <row r="499">
      <c r="AF499" s="555"/>
    </row>
    <row r="500">
      <c r="AF500" s="555"/>
    </row>
    <row r="501">
      <c r="AF501" s="555"/>
    </row>
    <row r="502">
      <c r="AF502" s="555"/>
    </row>
    <row r="503">
      <c r="AF503" s="555"/>
    </row>
    <row r="504">
      <c r="AF504" s="555"/>
    </row>
    <row r="505">
      <c r="AF505" s="555"/>
    </row>
    <row r="506">
      <c r="AF506" s="555"/>
    </row>
    <row r="507">
      <c r="AF507" s="555"/>
    </row>
    <row r="508">
      <c r="AF508" s="555"/>
    </row>
    <row r="509">
      <c r="AF509" s="555"/>
    </row>
    <row r="510">
      <c r="AF510" s="555"/>
    </row>
    <row r="511">
      <c r="AF511" s="555"/>
    </row>
    <row r="512">
      <c r="AF512" s="555"/>
    </row>
    <row r="513">
      <c r="AF513" s="555"/>
    </row>
    <row r="514">
      <c r="AF514" s="555"/>
    </row>
    <row r="515">
      <c r="AF515" s="555"/>
    </row>
    <row r="516">
      <c r="AF516" s="555"/>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4.88"/>
    <col customWidth="1" min="5" max="5" width="16.25"/>
    <col customWidth="1" min="8" max="8" width="31.0"/>
    <col customWidth="1" min="11" max="11" width="19.25"/>
  </cols>
  <sheetData>
    <row r="1">
      <c r="A1" s="453"/>
      <c r="B1" s="454" t="s">
        <v>620</v>
      </c>
      <c r="C1" s="456"/>
      <c r="D1" s="456"/>
      <c r="E1" s="456"/>
      <c r="F1" s="456"/>
      <c r="G1" s="456"/>
      <c r="H1" s="456"/>
      <c r="I1" s="456"/>
      <c r="J1" s="456"/>
      <c r="K1" s="456"/>
      <c r="L1" s="456"/>
      <c r="M1" s="456"/>
      <c r="N1" s="456"/>
      <c r="O1" s="456"/>
      <c r="P1" s="456"/>
      <c r="Q1" s="456"/>
      <c r="R1" s="456"/>
    </row>
    <row r="2">
      <c r="A2" s="458" t="s">
        <v>621</v>
      </c>
      <c r="B2" s="459" t="s">
        <v>622</v>
      </c>
      <c r="C2" s="460"/>
      <c r="D2" s="49"/>
      <c r="E2" s="459" t="s">
        <v>623</v>
      </c>
      <c r="F2" s="460"/>
      <c r="G2" s="461"/>
      <c r="H2" s="459" t="s">
        <v>624</v>
      </c>
      <c r="I2" s="460"/>
      <c r="J2" s="461"/>
      <c r="K2" s="459" t="s">
        <v>625</v>
      </c>
      <c r="L2" s="460"/>
      <c r="M2" s="49"/>
      <c r="N2" s="459" t="s">
        <v>626</v>
      </c>
      <c r="O2" s="460"/>
      <c r="P2" s="49"/>
      <c r="Q2" s="459" t="s">
        <v>627</v>
      </c>
      <c r="R2" s="460"/>
      <c r="T2" s="462" t="s">
        <v>628</v>
      </c>
      <c r="U2" s="463"/>
    </row>
    <row r="3">
      <c r="A3" s="464"/>
      <c r="B3" s="465" t="s">
        <v>629</v>
      </c>
      <c r="C3" s="466">
        <v>86.9</v>
      </c>
      <c r="D3" s="467">
        <v>86.9</v>
      </c>
      <c r="E3" s="437" t="s">
        <v>630</v>
      </c>
      <c r="F3" s="470">
        <f>(('DTC - P&amp;L'!AF83+'DTC - P&amp;L'!AF84)/'DTC - P&amp;L'!AF77)</f>
        <v>0.02207630878</v>
      </c>
      <c r="G3" s="464"/>
      <c r="H3" s="437" t="s">
        <v>622</v>
      </c>
      <c r="I3" s="466">
        <f>(C3*F9)+(C4*F8)+(C5*F3)+(C6*F4)+(C7*F5)+(C8*F6)+(C9*F7)+(C10*F10)</f>
        <v>98.41266832</v>
      </c>
      <c r="J3" s="472">
        <f>(D3*F9)+(D4*F8)+(D5*F3)+(D6*F4)+(D7*F5)+(D8*F6)+(D9*F7)</f>
        <v>97.08659911</v>
      </c>
      <c r="K3" s="465" t="s">
        <v>633</v>
      </c>
      <c r="L3" s="473">
        <v>0.029</v>
      </c>
      <c r="M3" s="49"/>
      <c r="N3" s="465" t="s">
        <v>635</v>
      </c>
      <c r="O3" s="470">
        <v>0.22</v>
      </c>
      <c r="P3" s="49"/>
      <c r="Q3" s="437" t="s">
        <v>636</v>
      </c>
      <c r="R3" s="474">
        <v>15.0</v>
      </c>
      <c r="T3" s="475" t="s">
        <v>637</v>
      </c>
      <c r="U3" s="470">
        <v>0.0614</v>
      </c>
    </row>
    <row r="4">
      <c r="A4" s="464"/>
      <c r="B4" s="465" t="s">
        <v>638</v>
      </c>
      <c r="C4" s="466">
        <v>97.61</v>
      </c>
      <c r="D4" s="467">
        <v>97.61</v>
      </c>
      <c r="E4" s="437" t="s">
        <v>150</v>
      </c>
      <c r="F4" s="470">
        <f>('DTC - P&amp;L'!AF79/'DTC - P&amp;L'!AF77)</f>
        <v>0.2231410825</v>
      </c>
      <c r="G4" s="464"/>
      <c r="H4" s="437" t="s">
        <v>640</v>
      </c>
      <c r="I4" s="466">
        <f>C38+('DTC - P&amp;L'!AF87/'DTC - P&amp;L'!AF77)*D38</f>
        <v>13.74048571</v>
      </c>
      <c r="J4" s="461"/>
      <c r="K4" s="437" t="s">
        <v>641</v>
      </c>
      <c r="L4" s="470">
        <v>0.034</v>
      </c>
      <c r="M4" s="49"/>
      <c r="N4" s="465" t="s">
        <v>642</v>
      </c>
      <c r="O4" s="470">
        <v>0.13</v>
      </c>
      <c r="P4" s="49"/>
      <c r="Q4" s="437" t="s">
        <v>643</v>
      </c>
      <c r="R4" s="474">
        <v>40.0</v>
      </c>
    </row>
    <row r="5">
      <c r="A5" s="464"/>
      <c r="B5" s="465" t="s">
        <v>645</v>
      </c>
      <c r="C5" s="466">
        <v>13.44</v>
      </c>
      <c r="D5" s="467">
        <v>13.44</v>
      </c>
      <c r="E5" s="476" t="s">
        <v>646</v>
      </c>
      <c r="F5" s="477">
        <v>0.0</v>
      </c>
      <c r="G5" s="464"/>
      <c r="H5" s="465" t="s">
        <v>647</v>
      </c>
      <c r="I5" s="466">
        <f>C34+('DTC - P&amp;L'!AF87/'DTC - P&amp;L'!AF77)*D34</f>
        <v>34.8079102</v>
      </c>
      <c r="J5" s="49"/>
      <c r="K5" s="437" t="s">
        <v>648</v>
      </c>
      <c r="L5" s="470">
        <v>0.075</v>
      </c>
      <c r="M5" s="49"/>
      <c r="N5" s="465" t="s">
        <v>649</v>
      </c>
      <c r="O5" s="478"/>
      <c r="P5" s="49"/>
      <c r="Q5" s="437" t="s">
        <v>650</v>
      </c>
      <c r="R5" s="474">
        <v>20.0</v>
      </c>
    </row>
    <row r="6">
      <c r="A6" s="464"/>
      <c r="B6" s="465" t="s">
        <v>150</v>
      </c>
      <c r="C6" s="466">
        <v>5.49</v>
      </c>
      <c r="D6" s="467">
        <v>5.49</v>
      </c>
      <c r="E6" s="437" t="s">
        <v>151</v>
      </c>
      <c r="F6" s="470">
        <f>('DTC - P&amp;L'!AF80/'DTC - P&amp;L'!AF77)</f>
        <v>0.6812067436</v>
      </c>
      <c r="G6" s="464"/>
      <c r="H6" s="465" t="s">
        <v>651</v>
      </c>
      <c r="I6" s="466">
        <v>16.81</v>
      </c>
      <c r="J6" s="49"/>
      <c r="K6" s="437" t="s">
        <v>652</v>
      </c>
      <c r="L6" s="479">
        <v>0.00125</v>
      </c>
      <c r="M6" s="9"/>
      <c r="N6" s="9"/>
      <c r="O6" s="9"/>
      <c r="P6" s="49"/>
      <c r="Q6" s="437" t="s">
        <v>653</v>
      </c>
      <c r="R6" s="480">
        <v>1.0</v>
      </c>
    </row>
    <row r="7">
      <c r="A7" s="464"/>
      <c r="B7" s="476" t="s">
        <v>646</v>
      </c>
      <c r="C7" s="481">
        <v>6.37</v>
      </c>
      <c r="D7" s="49"/>
      <c r="E7" s="437" t="s">
        <v>654</v>
      </c>
      <c r="F7" s="470">
        <f>(('DTC - P&amp;L'!AF81+'DTC - P&amp;L'!AF82)/'DTC - P&amp;L'!AF77)</f>
        <v>0.1072582076</v>
      </c>
      <c r="G7" s="464"/>
      <c r="H7" s="437" t="s">
        <v>655</v>
      </c>
      <c r="I7" s="466">
        <v>0.0</v>
      </c>
      <c r="J7" s="49"/>
      <c r="K7" s="437" t="s">
        <v>656</v>
      </c>
      <c r="L7" s="483">
        <v>0.003464</v>
      </c>
      <c r="M7" s="9"/>
      <c r="N7" s="183"/>
      <c r="O7" s="484"/>
      <c r="P7" s="9"/>
      <c r="Q7" s="9"/>
      <c r="R7" s="9"/>
    </row>
    <row r="8">
      <c r="A8" s="464"/>
      <c r="B8" s="465" t="s">
        <v>151</v>
      </c>
      <c r="C8" s="466">
        <v>1.19</v>
      </c>
      <c r="D8" s="467">
        <v>1.19</v>
      </c>
      <c r="E8" s="437" t="s">
        <v>657</v>
      </c>
      <c r="F8" s="470">
        <f>(('DTC - P&amp;L'!AF75+'DTC - P&amp;L'!AF76)/'DTC - P&amp;L'!AF77)</f>
        <v>0.6666548358</v>
      </c>
      <c r="G8" s="464"/>
      <c r="H8" s="437" t="s">
        <v>658</v>
      </c>
      <c r="I8" s="466">
        <v>0.0</v>
      </c>
      <c r="J8" s="49"/>
      <c r="K8" s="437" t="s">
        <v>659</v>
      </c>
      <c r="L8" s="470">
        <v>0.075</v>
      </c>
      <c r="M8" s="9"/>
      <c r="N8" s="183"/>
      <c r="O8" s="484"/>
      <c r="P8" s="9"/>
      <c r="Q8" s="9"/>
      <c r="R8" s="9"/>
    </row>
    <row r="9">
      <c r="A9" s="464"/>
      <c r="B9" s="465" t="s">
        <v>660</v>
      </c>
      <c r="C9" s="466">
        <v>6.66</v>
      </c>
      <c r="D9" s="467">
        <v>6.66</v>
      </c>
      <c r="E9" s="437" t="s">
        <v>629</v>
      </c>
      <c r="F9" s="470">
        <f>1-F8</f>
        <v>0.3333451642</v>
      </c>
      <c r="G9" s="464"/>
      <c r="H9" s="465" t="s">
        <v>661</v>
      </c>
      <c r="I9" s="466">
        <f>Summary!B125*L3</f>
        <v>6.760640513</v>
      </c>
      <c r="J9" s="49"/>
      <c r="K9" s="437" t="s">
        <v>662</v>
      </c>
      <c r="L9" s="470">
        <v>0.025</v>
      </c>
      <c r="M9" s="9"/>
      <c r="N9" s="9"/>
      <c r="O9" s="9"/>
      <c r="P9" s="9"/>
      <c r="Q9" s="9"/>
      <c r="R9" s="9"/>
    </row>
    <row r="10">
      <c r="A10" s="485"/>
      <c r="B10" s="486" t="s">
        <v>663</v>
      </c>
      <c r="C10" s="487">
        <v>6.0</v>
      </c>
      <c r="D10" s="49"/>
      <c r="E10" s="437" t="s">
        <v>663</v>
      </c>
      <c r="F10" s="470">
        <f>(('DTC - P&amp;L'!AF85+'DTC - P&amp;L'!AF86)/'DTC - P&amp;L'!AF77)</f>
        <v>0.221011535</v>
      </c>
      <c r="G10" s="49"/>
      <c r="H10" s="437" t="s">
        <v>664</v>
      </c>
      <c r="I10" s="466">
        <f>0.3</f>
        <v>0.3</v>
      </c>
      <c r="J10" s="49"/>
      <c r="K10" s="437" t="s">
        <v>665</v>
      </c>
      <c r="L10" s="466">
        <v>15.0</v>
      </c>
      <c r="M10" s="9"/>
      <c r="N10" s="9"/>
      <c r="O10" s="9"/>
      <c r="P10" s="9"/>
      <c r="Q10" s="9"/>
      <c r="R10" s="9"/>
    </row>
    <row r="11">
      <c r="A11" s="49"/>
      <c r="B11" s="437" t="s">
        <v>666</v>
      </c>
      <c r="C11" s="466">
        <v>3.94</v>
      </c>
      <c r="D11" s="461"/>
      <c r="E11" s="437" t="s">
        <v>667</v>
      </c>
      <c r="F11" s="478"/>
      <c r="G11" s="49"/>
      <c r="H11" s="437" t="s">
        <v>668</v>
      </c>
      <c r="I11" s="478"/>
      <c r="J11" s="9"/>
      <c r="K11" s="141"/>
      <c r="L11" s="141"/>
      <c r="M11" s="9"/>
      <c r="N11" s="9"/>
      <c r="O11" s="183"/>
      <c r="P11" s="488"/>
      <c r="Q11" s="9"/>
      <c r="R11" s="9"/>
    </row>
    <row r="12">
      <c r="A12" s="485"/>
      <c r="B12" s="437" t="s">
        <v>669</v>
      </c>
      <c r="C12" s="489">
        <v>14.79</v>
      </c>
      <c r="D12" s="464"/>
      <c r="E12" s="437" t="s">
        <v>670</v>
      </c>
      <c r="F12" s="478"/>
      <c r="G12" s="49"/>
      <c r="H12" s="437" t="s">
        <v>667</v>
      </c>
      <c r="I12" s="478"/>
      <c r="J12" s="49"/>
      <c r="K12" s="437" t="s">
        <v>671</v>
      </c>
      <c r="L12" s="470">
        <v>0.95</v>
      </c>
      <c r="M12" s="9"/>
      <c r="N12" s="9"/>
      <c r="O12" s="103"/>
      <c r="Q12" s="490"/>
      <c r="R12" s="9"/>
    </row>
    <row r="13">
      <c r="A13" s="485"/>
      <c r="B13" s="437" t="s">
        <v>672</v>
      </c>
      <c r="C13" s="478"/>
      <c r="D13" s="464"/>
      <c r="E13" s="437" t="s">
        <v>673</v>
      </c>
      <c r="F13" s="478"/>
      <c r="G13" s="49"/>
      <c r="H13" s="437" t="s">
        <v>670</v>
      </c>
      <c r="I13" s="478"/>
      <c r="J13" s="49"/>
      <c r="K13" s="437" t="s">
        <v>674</v>
      </c>
      <c r="L13" s="470">
        <v>0.05</v>
      </c>
      <c r="M13" s="9"/>
      <c r="N13" s="9"/>
      <c r="O13" s="183"/>
      <c r="Q13" s="9"/>
      <c r="R13" s="9"/>
    </row>
    <row r="14">
      <c r="A14" s="49"/>
      <c r="B14" s="437" t="s">
        <v>675</v>
      </c>
      <c r="C14" s="489">
        <v>51.78</v>
      </c>
      <c r="D14" s="464"/>
      <c r="E14" s="437" t="s">
        <v>676</v>
      </c>
      <c r="F14" s="478"/>
      <c r="G14" s="49"/>
      <c r="H14" s="437" t="s">
        <v>673</v>
      </c>
      <c r="I14" s="478"/>
      <c r="J14" s="49"/>
      <c r="K14" s="437" t="s">
        <v>677</v>
      </c>
      <c r="L14" s="470">
        <v>0.0579</v>
      </c>
      <c r="M14" s="9"/>
      <c r="N14" s="9"/>
      <c r="O14" s="9"/>
      <c r="P14" s="9"/>
      <c r="Q14" s="9"/>
      <c r="R14" s="9"/>
    </row>
    <row r="15">
      <c r="A15" s="9"/>
      <c r="B15" s="90"/>
      <c r="C15" s="90"/>
      <c r="D15" s="90"/>
      <c r="E15" s="90"/>
      <c r="F15" s="103"/>
      <c r="G15" s="49"/>
      <c r="H15" s="437" t="s">
        <v>98</v>
      </c>
      <c r="I15" s="493">
        <f>SUM(I3:I14)</f>
        <v>170.8317048</v>
      </c>
      <c r="J15" s="49"/>
      <c r="K15" s="437" t="s">
        <v>678</v>
      </c>
      <c r="L15" s="466">
        <v>0.3</v>
      </c>
      <c r="M15" s="9"/>
      <c r="N15" s="9"/>
      <c r="O15" s="9"/>
      <c r="P15" s="9"/>
      <c r="Q15" s="9"/>
      <c r="R15" s="9"/>
    </row>
    <row r="16">
      <c r="A16" s="9"/>
      <c r="B16" s="90"/>
      <c r="C16" s="90"/>
      <c r="D16" s="90"/>
      <c r="E16" s="90"/>
      <c r="F16" s="103"/>
      <c r="G16" s="9"/>
      <c r="H16" s="9"/>
      <c r="I16" s="9"/>
      <c r="J16" s="9"/>
      <c r="K16" s="9"/>
      <c r="L16" s="183"/>
      <c r="M16" s="9"/>
      <c r="N16" s="9"/>
      <c r="O16" s="9"/>
      <c r="P16" s="9"/>
      <c r="Q16" s="9"/>
      <c r="R16" s="9"/>
    </row>
    <row r="17">
      <c r="A17" s="9"/>
      <c r="B17" s="90"/>
      <c r="C17" s="103"/>
      <c r="D17" s="103"/>
      <c r="E17" s="103"/>
      <c r="F17" s="103"/>
      <c r="G17" s="9"/>
      <c r="H17" s="9"/>
      <c r="I17" s="9"/>
      <c r="J17" s="9"/>
      <c r="K17" s="9"/>
      <c r="L17" s="183"/>
      <c r="M17" s="9"/>
      <c r="N17" s="183"/>
      <c r="O17" s="9"/>
      <c r="P17" s="9"/>
      <c r="Q17" s="9"/>
      <c r="R17" s="9"/>
    </row>
    <row r="18">
      <c r="A18" s="9"/>
      <c r="B18" s="90"/>
      <c r="C18" s="103"/>
      <c r="D18" s="103"/>
      <c r="E18" s="90"/>
      <c r="F18" s="103"/>
      <c r="G18" s="9"/>
      <c r="H18" s="9"/>
      <c r="I18" s="9"/>
      <c r="J18" s="9"/>
      <c r="K18" s="9"/>
      <c r="L18" s="183"/>
      <c r="M18" s="9"/>
      <c r="N18" s="9"/>
      <c r="O18" s="9"/>
      <c r="P18" s="9"/>
      <c r="Q18" s="9"/>
      <c r="R18" s="9"/>
    </row>
    <row r="19">
      <c r="A19" s="9"/>
      <c r="B19" s="90"/>
      <c r="C19" s="103"/>
      <c r="D19" s="103"/>
      <c r="E19" s="90"/>
      <c r="F19" s="103"/>
      <c r="G19" s="9"/>
      <c r="H19" s="9"/>
      <c r="I19" s="9"/>
      <c r="J19" s="9"/>
      <c r="K19" s="9"/>
      <c r="L19" s="183"/>
      <c r="M19" s="9"/>
      <c r="N19" s="9"/>
      <c r="O19" s="9"/>
      <c r="P19" s="9"/>
      <c r="Q19" s="9"/>
      <c r="R19" s="9"/>
    </row>
    <row r="20">
      <c r="A20" s="9"/>
      <c r="B20" s="90"/>
      <c r="C20" s="90"/>
      <c r="D20" s="90"/>
      <c r="E20" s="90"/>
      <c r="F20" s="103"/>
      <c r="G20" s="9"/>
      <c r="H20" s="9"/>
      <c r="I20" s="9"/>
      <c r="J20" s="9"/>
      <c r="K20" s="9"/>
      <c r="L20" s="183"/>
      <c r="M20" s="9"/>
      <c r="N20" s="9"/>
      <c r="O20" s="9"/>
      <c r="P20" s="9"/>
      <c r="Q20" s="9"/>
      <c r="R20" s="9"/>
    </row>
    <row r="21">
      <c r="A21" s="9"/>
      <c r="B21" s="494"/>
      <c r="C21" s="495"/>
      <c r="D21" s="495"/>
      <c r="E21" s="494"/>
      <c r="F21" s="103"/>
      <c r="G21" s="9"/>
      <c r="H21" s="9"/>
      <c r="I21" s="9"/>
      <c r="J21" s="9"/>
      <c r="K21" s="9"/>
      <c r="L21" s="183"/>
      <c r="M21" s="9"/>
      <c r="N21" s="9"/>
      <c r="O21" s="9"/>
      <c r="P21" s="9"/>
      <c r="Q21" s="9"/>
      <c r="R21" s="9"/>
    </row>
    <row r="22">
      <c r="A22" s="49"/>
      <c r="B22" s="496" t="s">
        <v>682</v>
      </c>
      <c r="C22" s="497" t="s">
        <v>683</v>
      </c>
      <c r="D22" s="497" t="s">
        <v>684</v>
      </c>
      <c r="E22" s="498" t="s">
        <v>685</v>
      </c>
      <c r="F22" s="103"/>
      <c r="G22" s="9"/>
      <c r="H22" s="141"/>
      <c r="I22" s="141"/>
      <c r="J22" s="9"/>
      <c r="K22" s="9"/>
      <c r="L22" s="9"/>
      <c r="M22" s="9"/>
      <c r="N22" s="9"/>
      <c r="O22" s="9"/>
      <c r="P22" s="9"/>
      <c r="Q22" s="9"/>
      <c r="R22" s="9"/>
    </row>
    <row r="23">
      <c r="A23" s="49" t="s">
        <v>687</v>
      </c>
      <c r="B23" s="437" t="s">
        <v>688</v>
      </c>
      <c r="C23" s="499">
        <v>18.66</v>
      </c>
      <c r="D23" s="499">
        <v>12.87</v>
      </c>
      <c r="E23" s="466">
        <v>5.4</v>
      </c>
      <c r="F23" s="103"/>
      <c r="G23" s="49"/>
      <c r="H23" s="459" t="s">
        <v>689</v>
      </c>
      <c r="I23" s="460"/>
      <c r="J23" s="9"/>
      <c r="K23" s="9"/>
      <c r="L23" s="9"/>
      <c r="M23" s="9"/>
      <c r="N23" s="183"/>
      <c r="O23" s="9"/>
      <c r="P23" s="9"/>
      <c r="Q23" s="9"/>
      <c r="R23" s="9"/>
    </row>
    <row r="24">
      <c r="A24" s="49"/>
      <c r="B24" s="437" t="s">
        <v>690</v>
      </c>
      <c r="C24" s="489">
        <v>11.94</v>
      </c>
      <c r="D24" s="489">
        <v>6.16</v>
      </c>
      <c r="E24" s="90"/>
      <c r="F24" s="103"/>
      <c r="G24" s="49"/>
      <c r="H24" s="465" t="s">
        <v>692</v>
      </c>
      <c r="I24" s="500">
        <v>0.8</v>
      </c>
      <c r="J24" s="9"/>
      <c r="K24" s="9"/>
      <c r="L24" s="501"/>
      <c r="M24" s="9"/>
      <c r="N24" s="9"/>
      <c r="O24" s="9"/>
      <c r="P24" s="9"/>
      <c r="Q24" s="9"/>
      <c r="R24" s="9"/>
    </row>
    <row r="25">
      <c r="A25" s="49"/>
      <c r="B25" s="437" t="s">
        <v>693</v>
      </c>
      <c r="C25" s="489">
        <v>11.94</v>
      </c>
      <c r="D25" s="489">
        <v>6.16</v>
      </c>
      <c r="E25" s="90"/>
      <c r="F25" s="103"/>
      <c r="G25" s="49"/>
      <c r="H25" s="465" t="s">
        <v>694</v>
      </c>
      <c r="I25" s="500">
        <v>0.2</v>
      </c>
      <c r="J25" s="9"/>
      <c r="K25" s="9"/>
      <c r="L25" s="9"/>
      <c r="M25" s="9"/>
      <c r="N25" s="9"/>
      <c r="O25" s="9"/>
      <c r="P25" s="9"/>
      <c r="Q25" s="9"/>
      <c r="R25" s="9"/>
    </row>
    <row r="26">
      <c r="A26" s="458" t="s">
        <v>621</v>
      </c>
      <c r="B26" s="437" t="s">
        <v>696</v>
      </c>
      <c r="C26" s="466">
        <v>0.0</v>
      </c>
      <c r="D26" s="466">
        <v>0.0</v>
      </c>
      <c r="E26" s="9"/>
      <c r="F26" s="183"/>
      <c r="G26" s="9"/>
      <c r="H26" s="9"/>
      <c r="I26" s="9"/>
      <c r="J26" s="9"/>
      <c r="K26" s="9"/>
      <c r="L26" s="9"/>
      <c r="M26" s="9"/>
      <c r="N26" s="9"/>
      <c r="O26" s="9"/>
      <c r="P26" s="9"/>
      <c r="Q26" s="9"/>
      <c r="R26" s="9"/>
    </row>
    <row r="27">
      <c r="A27" s="49"/>
      <c r="B27" s="437" t="s">
        <v>697</v>
      </c>
      <c r="C27" s="502"/>
      <c r="D27" s="502"/>
      <c r="E27" s="90"/>
      <c r="F27" s="103"/>
      <c r="G27" s="9"/>
      <c r="H27" s="9"/>
      <c r="I27" s="9"/>
      <c r="J27" s="9"/>
      <c r="K27" s="9"/>
      <c r="L27" s="9"/>
      <c r="M27" s="9"/>
      <c r="N27" s="9"/>
      <c r="O27" s="9"/>
      <c r="P27" s="9"/>
      <c r="Q27" s="9"/>
      <c r="R27" s="9"/>
    </row>
    <row r="28">
      <c r="A28" s="49"/>
      <c r="B28" s="437" t="s">
        <v>698</v>
      </c>
      <c r="C28" s="466">
        <v>0.1</v>
      </c>
      <c r="D28" s="466">
        <v>0.0</v>
      </c>
      <c r="E28" s="90"/>
      <c r="F28" s="103"/>
      <c r="G28" s="9"/>
      <c r="H28" s="9"/>
      <c r="I28" s="9"/>
      <c r="J28" s="9"/>
      <c r="K28" s="9"/>
      <c r="L28" s="9"/>
      <c r="M28" s="9"/>
      <c r="N28" s="9"/>
      <c r="O28" s="9"/>
      <c r="P28" s="9"/>
      <c r="Q28" s="9"/>
      <c r="R28" s="9"/>
    </row>
    <row r="29">
      <c r="A29" s="49"/>
      <c r="B29" s="437" t="s">
        <v>699</v>
      </c>
      <c r="C29" s="466">
        <v>0.31</v>
      </c>
      <c r="D29" s="466">
        <v>0.31</v>
      </c>
      <c r="E29" s="90"/>
      <c r="F29" s="103"/>
      <c r="G29" s="9"/>
      <c r="H29" s="9"/>
      <c r="I29" s="9"/>
      <c r="J29" s="9"/>
      <c r="K29" s="9"/>
      <c r="L29" s="9"/>
      <c r="M29" s="9"/>
      <c r="N29" s="9"/>
      <c r="O29" s="9"/>
      <c r="P29" s="9"/>
      <c r="Q29" s="9"/>
      <c r="R29" s="9"/>
    </row>
    <row r="30">
      <c r="A30" s="49"/>
      <c r="B30" s="437" t="s">
        <v>700</v>
      </c>
      <c r="C30" s="466">
        <v>0.0</v>
      </c>
      <c r="D30" s="466">
        <v>0.0</v>
      </c>
      <c r="E30" s="90"/>
      <c r="F30" s="103"/>
      <c r="G30" s="9"/>
      <c r="H30" s="9"/>
      <c r="I30" s="9"/>
      <c r="J30" s="9"/>
      <c r="K30" s="9"/>
      <c r="L30" s="9"/>
      <c r="M30" s="9"/>
      <c r="N30" s="9"/>
      <c r="O30" s="9"/>
      <c r="P30" s="9"/>
      <c r="Q30" s="9"/>
      <c r="R30" s="9"/>
    </row>
    <row r="31">
      <c r="A31" s="49"/>
      <c r="B31" s="437" t="s">
        <v>701</v>
      </c>
      <c r="C31" s="466">
        <v>0.35</v>
      </c>
      <c r="D31" s="466">
        <v>0.35</v>
      </c>
      <c r="E31" s="90"/>
      <c r="F31" s="103"/>
      <c r="G31" s="9"/>
      <c r="H31" s="9"/>
      <c r="I31" s="9"/>
      <c r="J31" s="9"/>
      <c r="K31" s="9"/>
      <c r="L31" s="9"/>
      <c r="M31" s="9"/>
      <c r="N31" s="9"/>
      <c r="O31" s="9"/>
      <c r="P31" s="9"/>
      <c r="Q31" s="9"/>
      <c r="R31" s="9"/>
    </row>
    <row r="32">
      <c r="A32" s="49"/>
      <c r="B32" s="437" t="s">
        <v>702</v>
      </c>
      <c r="C32" s="466">
        <v>0.0</v>
      </c>
      <c r="D32" s="466">
        <v>0.0</v>
      </c>
      <c r="E32" s="90"/>
      <c r="F32" s="103"/>
      <c r="G32" s="9"/>
      <c r="H32" s="9"/>
      <c r="I32" s="9"/>
      <c r="J32" s="9"/>
      <c r="K32" s="9"/>
      <c r="L32" s="9"/>
      <c r="M32" s="9"/>
      <c r="N32" s="9"/>
      <c r="O32" s="9"/>
      <c r="P32" s="9"/>
      <c r="Q32" s="9"/>
      <c r="R32" s="9"/>
    </row>
    <row r="33">
      <c r="A33" s="49"/>
      <c r="B33" s="437" t="s">
        <v>703</v>
      </c>
      <c r="C33" s="466">
        <v>1.65</v>
      </c>
      <c r="D33" s="466">
        <v>0.71</v>
      </c>
      <c r="E33" s="90"/>
      <c r="F33" s="103"/>
      <c r="G33" s="9"/>
      <c r="H33" s="9"/>
      <c r="I33" s="9"/>
      <c r="J33" s="9"/>
      <c r="K33" s="9"/>
      <c r="L33" s="9"/>
      <c r="M33" s="9"/>
      <c r="N33" s="9"/>
      <c r="O33" s="9"/>
      <c r="P33" s="9"/>
      <c r="Q33" s="9"/>
      <c r="R33" s="9"/>
    </row>
    <row r="34">
      <c r="A34" s="49"/>
      <c r="B34" s="503" t="s">
        <v>704</v>
      </c>
      <c r="C34" s="504">
        <f t="shared" ref="C34:D34" si="1">C26+C23-C27</f>
        <v>18.66</v>
      </c>
      <c r="D34" s="504">
        <f t="shared" si="1"/>
        <v>12.87</v>
      </c>
      <c r="E34" s="9"/>
      <c r="F34" s="505"/>
      <c r="G34" s="9"/>
      <c r="H34" s="9"/>
      <c r="I34" s="9"/>
      <c r="J34" s="9"/>
      <c r="K34" s="9"/>
      <c r="L34" s="9"/>
      <c r="M34" s="9"/>
      <c r="N34" s="9"/>
      <c r="O34" s="9"/>
      <c r="P34" s="9"/>
      <c r="Q34" s="9"/>
      <c r="R34" s="9"/>
    </row>
    <row r="35">
      <c r="A35" s="49"/>
      <c r="B35" s="503" t="s">
        <v>705</v>
      </c>
      <c r="C35" s="489">
        <v>15.06</v>
      </c>
      <c r="D35" s="487">
        <f>D27+D24-D28</f>
        <v>6.16</v>
      </c>
      <c r="E35" s="90"/>
      <c r="F35" s="103"/>
      <c r="G35" s="9"/>
      <c r="H35" s="9"/>
      <c r="I35" s="9"/>
      <c r="J35" s="9"/>
      <c r="K35" s="9"/>
      <c r="L35" s="9"/>
      <c r="M35" s="9"/>
      <c r="N35" s="9"/>
      <c r="O35" s="9"/>
      <c r="P35" s="9"/>
      <c r="Q35" s="9"/>
      <c r="R35" s="9"/>
    </row>
    <row r="36">
      <c r="A36" s="49"/>
      <c r="B36" s="506" t="s">
        <v>706</v>
      </c>
      <c r="C36" s="481">
        <v>20.0</v>
      </c>
      <c r="D36" s="507"/>
      <c r="E36" s="90"/>
      <c r="F36" s="103"/>
      <c r="G36" s="9"/>
      <c r="H36" s="9"/>
      <c r="I36" s="9"/>
      <c r="J36" s="9"/>
      <c r="K36" s="9"/>
      <c r="L36" s="9"/>
      <c r="M36" s="9"/>
      <c r="N36" s="9"/>
      <c r="O36" s="9"/>
      <c r="P36" s="9"/>
      <c r="Q36" s="9"/>
      <c r="R36" s="9"/>
    </row>
    <row r="37">
      <c r="A37" s="508" t="s">
        <v>621</v>
      </c>
      <c r="B37" s="496" t="s">
        <v>707</v>
      </c>
      <c r="C37" s="509" t="s">
        <v>683</v>
      </c>
      <c r="D37" s="498" t="s">
        <v>684</v>
      </c>
      <c r="E37" s="9"/>
      <c r="F37" s="255"/>
      <c r="G37" s="9"/>
      <c r="H37" s="9"/>
      <c r="I37" s="9"/>
      <c r="J37" s="9"/>
      <c r="K37" s="9"/>
      <c r="L37" s="9"/>
      <c r="M37" s="9"/>
      <c r="N37" s="9"/>
      <c r="O37" s="9"/>
      <c r="P37" s="9"/>
      <c r="Q37" s="9"/>
      <c r="R37" s="9"/>
    </row>
    <row r="38">
      <c r="A38" s="510"/>
      <c r="B38" s="465" t="s">
        <v>708</v>
      </c>
      <c r="C38" s="466">
        <v>11.94</v>
      </c>
      <c r="D38" s="466">
        <v>1.435</v>
      </c>
      <c r="E38" s="9"/>
      <c r="F38" s="255"/>
      <c r="G38" s="9"/>
      <c r="H38" s="9"/>
      <c r="I38" s="9"/>
      <c r="J38" s="9"/>
      <c r="K38" s="9"/>
      <c r="L38" s="9"/>
      <c r="M38" s="9"/>
      <c r="N38" s="9"/>
      <c r="O38" s="9"/>
      <c r="P38" s="9"/>
      <c r="Q38" s="9"/>
      <c r="R38" s="9"/>
    </row>
    <row r="39">
      <c r="A39" s="512"/>
      <c r="B39" s="465" t="s">
        <v>710</v>
      </c>
      <c r="C39" s="466">
        <v>11.94</v>
      </c>
      <c r="D39" s="466">
        <v>1.44</v>
      </c>
      <c r="E39" s="90"/>
      <c r="F39" s="513"/>
      <c r="G39" s="9"/>
      <c r="H39" s="9"/>
      <c r="I39" s="9"/>
      <c r="J39" s="9"/>
      <c r="K39" s="9"/>
      <c r="L39" s="9"/>
      <c r="M39" s="9"/>
      <c r="N39" s="9"/>
      <c r="O39" s="9"/>
      <c r="P39" s="9"/>
      <c r="Q39" s="9"/>
      <c r="R39" s="9"/>
    </row>
    <row r="40">
      <c r="A40" s="510"/>
      <c r="B40" s="476" t="s">
        <v>711</v>
      </c>
      <c r="C40" s="481">
        <v>11.94</v>
      </c>
      <c r="D40" s="481">
        <v>1.44</v>
      </c>
      <c r="E40" s="90"/>
      <c r="F40" s="514"/>
      <c r="G40" s="9"/>
      <c r="H40" s="9"/>
      <c r="I40" s="9"/>
      <c r="J40" s="9"/>
      <c r="K40" s="9"/>
      <c r="L40" s="9"/>
      <c r="M40" s="9"/>
      <c r="N40" s="9"/>
      <c r="O40" s="9"/>
      <c r="P40" s="9"/>
      <c r="Q40" s="9"/>
      <c r="R40" s="9"/>
    </row>
    <row r="41">
      <c r="A41" s="9"/>
      <c r="B41" s="494"/>
      <c r="C41" s="515"/>
      <c r="D41" s="141"/>
      <c r="E41" s="90"/>
      <c r="F41" s="514"/>
      <c r="G41" s="9"/>
      <c r="H41" s="9"/>
      <c r="I41" s="9"/>
      <c r="J41" s="9"/>
      <c r="K41" s="9"/>
      <c r="L41" s="9"/>
      <c r="M41" s="9"/>
      <c r="N41" s="9"/>
      <c r="O41" s="9"/>
      <c r="P41" s="9"/>
      <c r="Q41" s="9"/>
      <c r="R41" s="9"/>
    </row>
    <row r="42">
      <c r="A42" s="512"/>
      <c r="B42" s="496" t="s">
        <v>712</v>
      </c>
      <c r="C42" s="516" t="s">
        <v>683</v>
      </c>
      <c r="D42" s="459" t="s">
        <v>684</v>
      </c>
      <c r="E42" s="90"/>
      <c r="F42" s="514"/>
      <c r="G42" s="9"/>
      <c r="H42" s="9"/>
      <c r="I42" s="9"/>
      <c r="J42" s="9"/>
      <c r="K42" s="9"/>
      <c r="L42" s="9"/>
      <c r="M42" s="9"/>
      <c r="N42" s="9"/>
      <c r="O42" s="9"/>
      <c r="P42" s="9"/>
      <c r="Q42" s="9"/>
      <c r="R42" s="9"/>
    </row>
    <row r="43">
      <c r="A43" s="518" t="s">
        <v>713</v>
      </c>
      <c r="B43" s="465" t="s">
        <v>715</v>
      </c>
      <c r="C43" s="519">
        <v>11.94</v>
      </c>
      <c r="D43" s="520">
        <v>1.435</v>
      </c>
      <c r="E43" s="90"/>
      <c r="F43" s="513"/>
      <c r="G43" s="9"/>
      <c r="H43" s="9"/>
      <c r="I43" s="9"/>
      <c r="J43" s="9"/>
      <c r="K43" s="9"/>
      <c r="L43" s="9"/>
      <c r="M43" s="9"/>
      <c r="N43" s="9"/>
      <c r="O43" s="9"/>
      <c r="P43" s="9"/>
      <c r="Q43" s="9"/>
      <c r="R43" s="9"/>
    </row>
    <row r="44">
      <c r="A44" s="467">
        <f>sum(C43:C44)</f>
        <v>12.18</v>
      </c>
      <c r="B44" s="465" t="s">
        <v>717</v>
      </c>
      <c r="C44" s="519">
        <v>0.24</v>
      </c>
      <c r="D44" s="523">
        <v>0.24</v>
      </c>
      <c r="E44" s="90"/>
      <c r="F44" s="513"/>
      <c r="G44" s="9"/>
      <c r="H44" s="9"/>
      <c r="I44" s="9"/>
      <c r="J44" s="9"/>
      <c r="K44" s="9"/>
      <c r="L44" s="9"/>
      <c r="M44" s="9"/>
      <c r="N44" s="9"/>
      <c r="O44" s="9"/>
      <c r="P44" s="9"/>
      <c r="Q44" s="9"/>
      <c r="R44" s="9"/>
    </row>
    <row r="45">
      <c r="A45" s="525">
        <f>C46</f>
        <v>12.94</v>
      </c>
      <c r="B45" s="496" t="s">
        <v>718</v>
      </c>
      <c r="C45" s="526" t="s">
        <v>683</v>
      </c>
      <c r="D45" s="9"/>
      <c r="E45" s="90"/>
      <c r="F45" s="513"/>
      <c r="G45" s="9"/>
      <c r="H45" s="9"/>
      <c r="I45" s="9"/>
      <c r="J45" s="9"/>
      <c r="K45" s="9"/>
      <c r="L45" s="9"/>
      <c r="M45" s="9"/>
      <c r="N45" s="9"/>
      <c r="O45" s="9"/>
      <c r="P45" s="9"/>
      <c r="Q45" s="9"/>
      <c r="R45" s="9"/>
    </row>
    <row r="46">
      <c r="A46" s="467">
        <f>sum(F43:F45)</f>
        <v>0</v>
      </c>
      <c r="B46" s="465" t="s">
        <v>719</v>
      </c>
      <c r="C46" s="527">
        <v>12.94</v>
      </c>
      <c r="D46" s="9"/>
      <c r="E46" s="90"/>
      <c r="F46" s="528"/>
      <c r="G46" s="9"/>
      <c r="H46" s="9"/>
      <c r="I46" s="9"/>
      <c r="J46" s="9"/>
      <c r="K46" s="255"/>
      <c r="L46" s="9"/>
      <c r="M46" s="9"/>
      <c r="N46" s="9"/>
      <c r="O46" s="9"/>
      <c r="P46" s="9"/>
      <c r="Q46" s="9"/>
      <c r="R46" s="9"/>
    </row>
    <row r="47">
      <c r="A47" s="510"/>
      <c r="B47" s="437" t="s">
        <v>720</v>
      </c>
      <c r="C47" s="527">
        <v>5.7</v>
      </c>
      <c r="D47" s="9"/>
      <c r="E47" s="90"/>
      <c r="F47" s="528"/>
      <c r="G47" s="9"/>
      <c r="H47" s="9"/>
      <c r="I47" s="9"/>
      <c r="J47" s="9"/>
      <c r="K47" s="255"/>
      <c r="L47" s="9"/>
      <c r="M47" s="505"/>
      <c r="N47" s="9"/>
      <c r="O47" s="255"/>
      <c r="P47" s="9"/>
      <c r="Q47" s="9"/>
      <c r="R47" s="9"/>
    </row>
    <row r="48">
      <c r="A48" s="529">
        <f>C38</f>
        <v>11.94</v>
      </c>
      <c r="B48" s="437" t="s">
        <v>721</v>
      </c>
      <c r="C48" s="530">
        <v>0.15</v>
      </c>
      <c r="D48" s="9"/>
      <c r="E48" s="90"/>
      <c r="F48" s="528"/>
      <c r="G48" s="9"/>
      <c r="H48" s="9"/>
      <c r="I48" s="9"/>
      <c r="J48" s="9"/>
      <c r="K48" s="255"/>
      <c r="L48" s="235"/>
      <c r="M48" s="505"/>
      <c r="N48" s="9"/>
      <c r="O48" s="255"/>
      <c r="P48" s="9"/>
      <c r="Q48" s="9"/>
      <c r="R48" s="9"/>
    </row>
    <row r="49">
      <c r="A49" s="49"/>
      <c r="B49" s="496" t="s">
        <v>722</v>
      </c>
      <c r="C49" s="516" t="s">
        <v>683</v>
      </c>
      <c r="D49" s="9"/>
      <c r="E49" s="90"/>
      <c r="F49" s="528"/>
      <c r="G49" s="9"/>
      <c r="H49" s="9"/>
      <c r="I49" s="9"/>
      <c r="J49" s="9"/>
      <c r="K49" s="255"/>
      <c r="L49" s="235"/>
      <c r="M49" s="505"/>
      <c r="N49" s="9"/>
      <c r="O49" s="255"/>
      <c r="P49" s="9"/>
      <c r="Q49" s="9"/>
      <c r="R49" s="9"/>
    </row>
    <row r="50">
      <c r="A50" s="531">
        <f>sum(A43:A48)</f>
        <v>37.06</v>
      </c>
      <c r="B50" s="437" t="s">
        <v>723</v>
      </c>
      <c r="C50" s="532">
        <v>11.0</v>
      </c>
      <c r="D50" s="9"/>
      <c r="E50" s="90"/>
      <c r="F50" s="528"/>
      <c r="G50" s="9"/>
      <c r="H50" s="9"/>
      <c r="I50" s="9"/>
      <c r="J50" s="9"/>
      <c r="K50" s="255"/>
      <c r="L50" s="235"/>
      <c r="M50" s="505"/>
      <c r="N50" s="9"/>
      <c r="O50" s="255"/>
      <c r="P50" s="9"/>
      <c r="Q50" s="9"/>
      <c r="R50" s="9"/>
    </row>
    <row r="51">
      <c r="A51" s="49"/>
      <c r="B51" s="437" t="s">
        <v>724</v>
      </c>
      <c r="C51" s="533">
        <v>6.155</v>
      </c>
      <c r="D51" s="9"/>
      <c r="E51" s="9"/>
      <c r="F51" s="9"/>
      <c r="G51" s="9"/>
      <c r="H51" s="9"/>
      <c r="I51" s="9"/>
      <c r="J51" s="9"/>
      <c r="K51" s="255"/>
      <c r="L51" s="235"/>
      <c r="M51" s="505"/>
      <c r="N51" s="9"/>
      <c r="O51" s="255"/>
      <c r="P51" s="9"/>
      <c r="Q51" s="9"/>
      <c r="R51" s="9"/>
    </row>
    <row r="52">
      <c r="A52" s="9"/>
      <c r="B52" s="141"/>
      <c r="C52" s="141"/>
      <c r="D52" s="9"/>
      <c r="E52" s="9"/>
      <c r="F52" s="9"/>
      <c r="G52" s="9"/>
      <c r="H52" s="9"/>
      <c r="I52" s="9"/>
      <c r="J52" s="9"/>
      <c r="K52" s="255"/>
      <c r="L52" s="235"/>
      <c r="M52" s="505"/>
      <c r="N52" s="9"/>
      <c r="O52" s="255"/>
      <c r="P52" s="9"/>
      <c r="Q52" s="9"/>
      <c r="R52" s="9"/>
    </row>
    <row r="53">
      <c r="A53" s="510"/>
      <c r="B53" s="496" t="s">
        <v>725</v>
      </c>
      <c r="C53" s="437"/>
      <c r="D53" s="9"/>
      <c r="E53" s="9"/>
      <c r="F53" s="9"/>
      <c r="G53" s="9"/>
      <c r="H53" s="9"/>
      <c r="I53" s="9"/>
      <c r="J53" s="9"/>
      <c r="K53" s="255"/>
      <c r="L53" s="235"/>
      <c r="M53" s="505"/>
      <c r="N53" s="9"/>
      <c r="O53" s="255"/>
      <c r="P53" s="9"/>
      <c r="Q53" s="9"/>
      <c r="R53" s="9"/>
    </row>
    <row r="54">
      <c r="A54" s="49"/>
      <c r="B54" s="437" t="s">
        <v>726</v>
      </c>
      <c r="C54" s="535">
        <v>0.25</v>
      </c>
      <c r="D54" s="9"/>
      <c r="E54" s="9"/>
      <c r="F54" s="9"/>
      <c r="G54" s="9"/>
      <c r="H54" s="9"/>
      <c r="I54" s="9"/>
      <c r="J54" s="9"/>
      <c r="K54" s="255"/>
      <c r="L54" s="235"/>
      <c r="M54" s="505"/>
      <c r="N54" s="9"/>
      <c r="O54" s="255"/>
      <c r="P54" s="9"/>
      <c r="Q54" s="9"/>
      <c r="R54" s="9"/>
    </row>
    <row r="55">
      <c r="A55" s="49"/>
      <c r="B55" s="437" t="s">
        <v>727</v>
      </c>
      <c r="C55" s="535">
        <v>0.1</v>
      </c>
      <c r="D55" s="9"/>
      <c r="E55" s="9"/>
      <c r="F55" s="9"/>
      <c r="G55" s="9"/>
      <c r="H55" s="9"/>
      <c r="I55" s="9"/>
      <c r="J55" s="9"/>
      <c r="K55" s="9"/>
      <c r="L55" s="9"/>
      <c r="M55" s="9"/>
      <c r="N55" s="9"/>
      <c r="O55" s="9"/>
      <c r="P55" s="9"/>
      <c r="Q55" s="9"/>
      <c r="R55" s="9"/>
    </row>
    <row r="56">
      <c r="A56" s="9"/>
      <c r="B56" s="141"/>
      <c r="C56" s="141"/>
      <c r="D56" s="9"/>
      <c r="E56" s="9"/>
      <c r="F56" s="9"/>
      <c r="G56" s="9"/>
      <c r="H56" s="9"/>
      <c r="I56" s="9"/>
      <c r="J56" s="9"/>
      <c r="K56" s="9"/>
      <c r="L56" s="9"/>
      <c r="M56" s="9"/>
      <c r="N56" s="9"/>
      <c r="O56" s="9"/>
      <c r="P56" s="9"/>
      <c r="Q56" s="9"/>
      <c r="R56" s="9"/>
    </row>
    <row r="57">
      <c r="A57" s="49"/>
      <c r="B57" s="496" t="s">
        <v>728</v>
      </c>
      <c r="C57" s="437"/>
      <c r="D57" s="9"/>
      <c r="E57" s="9"/>
      <c r="F57" s="9"/>
      <c r="G57" s="9"/>
      <c r="H57" s="9"/>
      <c r="I57" s="9"/>
      <c r="J57" s="9"/>
      <c r="K57" s="9"/>
      <c r="L57" s="9"/>
      <c r="M57" s="9"/>
      <c r="N57" s="9"/>
      <c r="O57" s="9"/>
      <c r="P57" s="9"/>
      <c r="Q57" s="9"/>
      <c r="R57" s="9"/>
    </row>
    <row r="58">
      <c r="A58" s="49"/>
      <c r="B58" s="437" t="s">
        <v>726</v>
      </c>
      <c r="C58" s="535">
        <v>0.5644</v>
      </c>
      <c r="D58" s="9"/>
      <c r="E58" s="9"/>
      <c r="F58" s="9"/>
      <c r="G58" s="9"/>
      <c r="H58" s="9"/>
      <c r="I58" s="9"/>
      <c r="J58" s="9"/>
      <c r="K58" s="9"/>
      <c r="L58" s="9"/>
      <c r="M58" s="9"/>
      <c r="N58" s="9"/>
      <c r="O58" s="9"/>
      <c r="P58" s="9"/>
      <c r="Q58" s="9"/>
      <c r="R58" s="9"/>
    </row>
    <row r="59">
      <c r="A59" s="49"/>
      <c r="B59" s="437" t="s">
        <v>727</v>
      </c>
      <c r="C59" s="535">
        <v>0.4603</v>
      </c>
      <c r="D59" s="9"/>
      <c r="E59" s="9"/>
      <c r="F59" s="9"/>
      <c r="G59" s="9"/>
      <c r="H59" s="9"/>
      <c r="I59" s="9"/>
      <c r="J59" s="9"/>
      <c r="K59" s="9"/>
      <c r="L59" s="9"/>
      <c r="M59" s="9"/>
      <c r="N59" s="9"/>
      <c r="O59" s="9"/>
      <c r="P59" s="9"/>
      <c r="Q59" s="9"/>
      <c r="R59" s="9"/>
    </row>
    <row r="60">
      <c r="A60" s="9"/>
      <c r="B60" s="141"/>
      <c r="C60" s="141"/>
      <c r="D60" s="9"/>
      <c r="E60" s="9"/>
      <c r="F60" s="9"/>
      <c r="G60" s="9"/>
      <c r="H60" s="9"/>
      <c r="I60" s="9"/>
      <c r="J60" s="9"/>
      <c r="K60" s="9"/>
      <c r="L60" s="9"/>
      <c r="M60" s="9"/>
      <c r="N60" s="9"/>
      <c r="O60" s="9"/>
      <c r="P60" s="9"/>
      <c r="Q60" s="9"/>
      <c r="R60" s="9"/>
    </row>
    <row r="61">
      <c r="A61" s="49"/>
      <c r="B61" s="496" t="s">
        <v>730</v>
      </c>
      <c r="C61" s="437"/>
      <c r="D61" s="9"/>
      <c r="E61" s="9"/>
      <c r="F61" s="9"/>
      <c r="G61" s="9"/>
      <c r="H61" s="9"/>
      <c r="I61" s="9"/>
      <c r="J61" s="9"/>
      <c r="K61" s="9"/>
      <c r="L61" s="9"/>
      <c r="M61" s="9"/>
      <c r="N61" s="9"/>
      <c r="O61" s="9"/>
      <c r="P61" s="9"/>
      <c r="Q61" s="9"/>
      <c r="R61" s="9"/>
    </row>
    <row r="62">
      <c r="A62" s="49"/>
      <c r="B62" s="437" t="s">
        <v>732</v>
      </c>
      <c r="C62" s="532">
        <v>5.56</v>
      </c>
      <c r="D62" s="9"/>
      <c r="E62" s="9"/>
      <c r="F62" s="9"/>
      <c r="G62" s="9"/>
      <c r="H62" s="9"/>
      <c r="I62" s="9"/>
      <c r="J62" s="9"/>
      <c r="K62" s="9"/>
      <c r="L62" s="9"/>
      <c r="M62" s="9"/>
      <c r="N62" s="9"/>
      <c r="O62" s="9"/>
      <c r="P62" s="9"/>
      <c r="Q62" s="9"/>
      <c r="R62" s="9"/>
    </row>
    <row r="63">
      <c r="A63" s="49"/>
      <c r="B63" s="437" t="s">
        <v>684</v>
      </c>
      <c r="C63" s="532">
        <v>2.2</v>
      </c>
      <c r="D63" s="9"/>
      <c r="E63" s="9"/>
      <c r="F63" s="9"/>
      <c r="G63" s="9"/>
      <c r="H63" s="9"/>
      <c r="I63" s="9"/>
      <c r="J63" s="9"/>
      <c r="K63" s="9"/>
      <c r="L63" s="9"/>
      <c r="M63" s="9"/>
      <c r="N63" s="9"/>
      <c r="O63" s="9"/>
      <c r="P63" s="9"/>
      <c r="Q63" s="9"/>
      <c r="R63" s="9"/>
    </row>
    <row r="64">
      <c r="A64" s="9"/>
      <c r="B64" s="9"/>
      <c r="C64" s="9"/>
      <c r="D64" s="9"/>
      <c r="E64" s="9"/>
      <c r="F64" s="9"/>
      <c r="G64" s="9"/>
      <c r="H64" s="9"/>
      <c r="I64" s="9"/>
      <c r="J64" s="9"/>
      <c r="K64" s="9"/>
      <c r="L64" s="9"/>
      <c r="M64" s="9"/>
      <c r="N64" s="9"/>
      <c r="O64" s="9"/>
      <c r="P64" s="9"/>
      <c r="Q64" s="9"/>
      <c r="R64" s="9"/>
    </row>
    <row r="65">
      <c r="A65" s="9"/>
      <c r="B65" s="9"/>
      <c r="C65" s="9"/>
      <c r="D65" s="9"/>
      <c r="E65" s="9"/>
      <c r="F65" s="9"/>
      <c r="G65" s="9"/>
      <c r="H65" s="9"/>
      <c r="I65" s="9"/>
      <c r="J65" s="9"/>
      <c r="K65" s="9"/>
      <c r="L65" s="9"/>
      <c r="M65" s="9"/>
      <c r="N65" s="9"/>
      <c r="O65" s="9"/>
      <c r="P65" s="9"/>
      <c r="Q65" s="9"/>
      <c r="R65" s="9"/>
    </row>
    <row r="66">
      <c r="A66" s="536" t="s">
        <v>734</v>
      </c>
      <c r="B66" s="537" t="s">
        <v>735</v>
      </c>
      <c r="C66" s="9"/>
      <c r="D66" s="9"/>
      <c r="E66" s="9"/>
      <c r="F66" s="9"/>
      <c r="G66" s="9"/>
      <c r="H66" s="9"/>
      <c r="I66" s="9"/>
      <c r="J66" s="9"/>
      <c r="K66" s="9"/>
      <c r="L66" s="9"/>
      <c r="M66" s="9"/>
      <c r="N66" s="9"/>
      <c r="O66" s="9"/>
      <c r="P66" s="9"/>
      <c r="Q66" s="9"/>
      <c r="R66" s="9"/>
    </row>
    <row r="67">
      <c r="A67" s="9"/>
      <c r="B67" s="9"/>
      <c r="C67" s="9"/>
      <c r="D67" s="9"/>
      <c r="E67" s="9"/>
      <c r="F67" s="9"/>
      <c r="G67" s="9"/>
      <c r="H67" s="9"/>
      <c r="I67" s="9"/>
      <c r="J67" s="9"/>
      <c r="K67" s="9"/>
      <c r="L67" s="9"/>
      <c r="M67" s="9"/>
      <c r="N67" s="9"/>
      <c r="O67" s="9"/>
      <c r="P67" s="9"/>
      <c r="Q67" s="9"/>
      <c r="R67" s="9"/>
    </row>
    <row r="68">
      <c r="A68" s="536" t="s">
        <v>736</v>
      </c>
      <c r="B68" s="540" t="s">
        <v>738</v>
      </c>
      <c r="C68" s="9"/>
      <c r="D68" s="9"/>
      <c r="E68" s="9"/>
      <c r="F68" s="9"/>
      <c r="G68" s="9"/>
      <c r="H68" s="9"/>
      <c r="I68" s="9"/>
      <c r="J68" s="9"/>
      <c r="K68" s="9"/>
      <c r="L68" s="9"/>
      <c r="M68" s="9"/>
      <c r="N68" s="9"/>
      <c r="O68" s="9"/>
      <c r="P68" s="9"/>
      <c r="Q68" s="9"/>
      <c r="R68" s="9"/>
    </row>
    <row r="69">
      <c r="A69" s="9"/>
      <c r="B69" s="541" t="s">
        <v>739</v>
      </c>
      <c r="C69" s="9"/>
      <c r="D69" s="9"/>
      <c r="E69" s="9"/>
      <c r="F69" s="9"/>
      <c r="G69" s="9"/>
      <c r="H69" s="9"/>
      <c r="I69" s="9"/>
      <c r="J69" s="9"/>
      <c r="K69" s="9"/>
      <c r="L69" s="9"/>
      <c r="M69" s="9"/>
      <c r="N69" s="9"/>
      <c r="O69" s="9"/>
      <c r="P69" s="9"/>
      <c r="Q69" s="9"/>
      <c r="R69" s="9"/>
    </row>
    <row r="70">
      <c r="A70" s="9"/>
      <c r="B70" s="9" t="s">
        <v>740</v>
      </c>
      <c r="C70" s="240">
        <v>14.55</v>
      </c>
      <c r="D70" s="9"/>
      <c r="E70" s="9"/>
      <c r="F70" s="9"/>
      <c r="G70" s="9"/>
      <c r="H70" s="9"/>
      <c r="I70" s="9"/>
      <c r="J70" s="9"/>
      <c r="K70" s="9"/>
      <c r="L70" s="9"/>
      <c r="M70" s="9"/>
      <c r="N70" s="9"/>
      <c r="O70" s="9"/>
      <c r="P70" s="9"/>
      <c r="Q70" s="9"/>
      <c r="R70" s="9"/>
    </row>
    <row r="71">
      <c r="A71" s="9"/>
      <c r="B71" s="9" t="s">
        <v>741</v>
      </c>
      <c r="C71" s="240">
        <v>0.55</v>
      </c>
      <c r="D71" s="9"/>
      <c r="E71" s="9"/>
      <c r="F71" s="9"/>
      <c r="G71" s="240"/>
      <c r="H71" s="240"/>
      <c r="I71" s="240"/>
      <c r="J71" s="240"/>
      <c r="K71" s="240"/>
      <c r="L71" s="240"/>
      <c r="M71" s="240"/>
      <c r="N71" s="9"/>
      <c r="O71" s="9"/>
      <c r="P71" s="9"/>
      <c r="Q71" s="9"/>
      <c r="R71" s="9"/>
    </row>
    <row r="72">
      <c r="A72" s="9"/>
      <c r="B72" s="9" t="s">
        <v>743</v>
      </c>
      <c r="C72" s="240">
        <v>0.01</v>
      </c>
      <c r="D72" s="9"/>
      <c r="E72" s="9"/>
      <c r="F72" s="9"/>
      <c r="G72" s="9"/>
      <c r="H72" s="9"/>
      <c r="I72" s="9"/>
      <c r="J72" s="9"/>
      <c r="K72" s="9"/>
      <c r="L72" s="9"/>
      <c r="M72" s="9"/>
      <c r="N72" s="9"/>
      <c r="O72" s="9"/>
      <c r="P72" s="9"/>
      <c r="Q72" s="9"/>
      <c r="R72" s="9"/>
    </row>
    <row r="73">
      <c r="A73" s="9"/>
      <c r="B73" s="9" t="s">
        <v>744</v>
      </c>
      <c r="C73" s="240">
        <v>0.15</v>
      </c>
      <c r="D73" s="9"/>
      <c r="E73" s="9"/>
      <c r="F73" s="9"/>
      <c r="G73" s="9"/>
      <c r="H73" s="9"/>
      <c r="I73" s="9"/>
      <c r="J73" s="9"/>
      <c r="K73" s="9"/>
      <c r="L73" s="9"/>
      <c r="M73" s="9"/>
      <c r="N73" s="9"/>
      <c r="O73" s="9"/>
      <c r="P73" s="9"/>
      <c r="Q73" s="9"/>
      <c r="R73" s="9"/>
    </row>
    <row r="74">
      <c r="A74" s="9"/>
      <c r="B74" s="9" t="s">
        <v>745</v>
      </c>
      <c r="C74" s="240">
        <v>0.01</v>
      </c>
      <c r="D74" s="9"/>
      <c r="E74" s="9"/>
      <c r="F74" s="9"/>
      <c r="G74" s="9"/>
      <c r="H74" s="9"/>
      <c r="I74" s="9"/>
      <c r="J74" s="9"/>
      <c r="K74" s="9"/>
      <c r="L74" s="9"/>
      <c r="M74" s="9"/>
      <c r="N74" s="9"/>
      <c r="O74" s="9"/>
      <c r="P74" s="9"/>
      <c r="Q74" s="9"/>
      <c r="R74" s="9"/>
    </row>
    <row r="75">
      <c r="A75" s="9"/>
      <c r="B75" s="9" t="s">
        <v>746</v>
      </c>
      <c r="C75" s="240">
        <v>7.62</v>
      </c>
      <c r="D75" s="9"/>
      <c r="E75" s="9"/>
      <c r="F75" s="9"/>
      <c r="G75" s="9"/>
      <c r="H75" s="9"/>
      <c r="I75" s="9"/>
      <c r="J75" s="9"/>
      <c r="K75" s="9"/>
      <c r="L75" s="9"/>
      <c r="M75" s="9"/>
      <c r="N75" s="9"/>
      <c r="O75" s="9"/>
      <c r="P75" s="9"/>
      <c r="Q75" s="9"/>
      <c r="R75" s="9"/>
    </row>
    <row r="76">
      <c r="A76" s="9"/>
      <c r="B76" s="9" t="s">
        <v>747</v>
      </c>
      <c r="C76" s="240">
        <v>0.3</v>
      </c>
      <c r="D76" s="9"/>
      <c r="E76" s="9"/>
      <c r="F76" s="9"/>
      <c r="G76" s="9"/>
      <c r="H76" s="9"/>
      <c r="I76" s="9"/>
      <c r="J76" s="9"/>
      <c r="K76" s="9"/>
      <c r="L76" s="9"/>
      <c r="M76" s="9"/>
      <c r="N76" s="9"/>
      <c r="O76" s="9"/>
      <c r="P76" s="9"/>
      <c r="Q76" s="9"/>
      <c r="R76" s="9"/>
    </row>
    <row r="77">
      <c r="A77" s="9"/>
      <c r="B77" s="9"/>
      <c r="C77" s="9"/>
      <c r="D77" s="9"/>
      <c r="E77" s="9"/>
      <c r="F77" s="9"/>
      <c r="G77" s="9"/>
      <c r="H77" s="9"/>
      <c r="I77" s="9"/>
      <c r="J77" s="9"/>
      <c r="K77" s="9"/>
      <c r="L77" s="9"/>
      <c r="M77" s="9"/>
      <c r="N77" s="9"/>
      <c r="O77" s="9"/>
      <c r="P77" s="9"/>
      <c r="Q77" s="9"/>
      <c r="R77" s="9"/>
    </row>
    <row r="78">
      <c r="A78" s="9"/>
      <c r="B78" s="9"/>
      <c r="C78" s="9"/>
      <c r="D78" s="9"/>
      <c r="E78" s="9"/>
      <c r="F78" s="9"/>
      <c r="G78" s="9"/>
      <c r="H78" s="9"/>
      <c r="I78" s="9"/>
      <c r="J78" s="9"/>
      <c r="K78" s="9"/>
      <c r="L78" s="9"/>
      <c r="M78" s="9"/>
      <c r="N78" s="9"/>
      <c r="O78" s="9"/>
      <c r="P78" s="9"/>
      <c r="Q78" s="9"/>
      <c r="R78" s="9"/>
    </row>
    <row r="79">
      <c r="A79" s="9"/>
      <c r="B79" s="9" t="s">
        <v>749</v>
      </c>
      <c r="C79" s="9"/>
      <c r="D79" s="9"/>
      <c r="E79" s="9"/>
      <c r="F79" s="9"/>
      <c r="G79" s="9"/>
      <c r="H79" s="9"/>
      <c r="I79" s="9"/>
      <c r="J79" s="9"/>
      <c r="K79" s="9"/>
      <c r="L79" s="9"/>
      <c r="M79" s="9"/>
      <c r="N79" s="9"/>
      <c r="O79" s="9"/>
      <c r="P79" s="9"/>
      <c r="Q79" s="9"/>
      <c r="R79" s="9"/>
    </row>
    <row r="80">
      <c r="A80" s="9"/>
      <c r="B80" s="9" t="s">
        <v>750</v>
      </c>
      <c r="C80" s="544">
        <v>0.05</v>
      </c>
      <c r="D80" s="9" t="s">
        <v>751</v>
      </c>
      <c r="E80" s="9"/>
      <c r="F80" s="9"/>
      <c r="G80" s="9"/>
      <c r="H80" s="9"/>
      <c r="I80" s="9"/>
      <c r="J80" s="9"/>
      <c r="K80" s="9"/>
      <c r="L80" s="9"/>
      <c r="M80" s="9"/>
      <c r="N80" s="9"/>
      <c r="O80" s="9"/>
      <c r="P80" s="9"/>
      <c r="Q80" s="9"/>
      <c r="R80" s="9"/>
    </row>
    <row r="81">
      <c r="A81" s="9"/>
      <c r="B81" s="9" t="s">
        <v>752</v>
      </c>
      <c r="C81" s="9" t="s">
        <v>753</v>
      </c>
      <c r="D81" s="9"/>
      <c r="E81" s="9"/>
      <c r="F81" s="9"/>
      <c r="G81" s="9"/>
      <c r="H81" s="9"/>
      <c r="I81" s="9"/>
      <c r="J81" s="9"/>
      <c r="K81" s="9"/>
      <c r="L81" s="9"/>
      <c r="M81" s="9"/>
      <c r="N81" s="9"/>
      <c r="O81" s="9"/>
      <c r="P81" s="9"/>
      <c r="Q81" s="9"/>
      <c r="R81" s="9"/>
    </row>
    <row r="82">
      <c r="A82" s="9"/>
      <c r="B82" s="9"/>
      <c r="C82" s="9"/>
      <c r="D82" s="9"/>
      <c r="E82" s="9"/>
      <c r="F82" s="9"/>
      <c r="G82" s="9"/>
      <c r="H82" s="9"/>
      <c r="I82" s="9"/>
      <c r="J82" s="9"/>
      <c r="K82" s="9"/>
      <c r="L82" s="9"/>
      <c r="M82" s="9"/>
      <c r="N82" s="9"/>
      <c r="O82" s="9"/>
      <c r="P82" s="9"/>
      <c r="Q82" s="9"/>
      <c r="R82" s="9"/>
    </row>
    <row r="83">
      <c r="A83" s="9"/>
      <c r="B83" s="9"/>
      <c r="C83" s="9"/>
      <c r="D83" s="9"/>
      <c r="E83" s="9"/>
      <c r="F83" s="9"/>
      <c r="G83" s="9"/>
      <c r="H83" s="9"/>
      <c r="I83" s="9"/>
      <c r="J83" s="9"/>
      <c r="K83" s="9"/>
      <c r="L83" s="9"/>
      <c r="M83" s="9"/>
      <c r="N83" s="9"/>
      <c r="O83" s="9"/>
      <c r="P83" s="9"/>
      <c r="Q83" s="9"/>
      <c r="R83" s="9"/>
    </row>
    <row r="84">
      <c r="A84" s="9"/>
      <c r="B84" s="9"/>
      <c r="C84" s="9"/>
      <c r="D84" s="9"/>
      <c r="E84" s="9"/>
      <c r="F84" s="9"/>
      <c r="G84" s="9"/>
      <c r="H84" s="9"/>
      <c r="I84" s="9"/>
      <c r="J84" s="9"/>
      <c r="K84" s="9"/>
      <c r="L84" s="9"/>
      <c r="M84" s="9"/>
      <c r="N84" s="9"/>
      <c r="O84" s="9"/>
      <c r="P84" s="9"/>
      <c r="Q84" s="9"/>
      <c r="R84" s="9"/>
    </row>
    <row r="85">
      <c r="A85" s="9"/>
      <c r="B85" s="9"/>
      <c r="C85" s="9"/>
      <c r="D85" s="9"/>
      <c r="E85" s="9"/>
      <c r="F85" s="9"/>
      <c r="G85" s="9"/>
      <c r="H85" s="9"/>
      <c r="I85" s="9"/>
      <c r="J85" s="9"/>
      <c r="K85" s="9"/>
      <c r="L85" s="9"/>
      <c r="M85" s="9"/>
      <c r="N85" s="9"/>
      <c r="O85" s="9"/>
      <c r="P85" s="9"/>
      <c r="Q85" s="9"/>
      <c r="R85" s="9"/>
    </row>
    <row r="86">
      <c r="A86" s="9"/>
      <c r="B86" s="9"/>
      <c r="C86" s="9"/>
      <c r="D86" s="9"/>
      <c r="E86" s="9"/>
      <c r="F86" s="9"/>
      <c r="G86" s="9"/>
      <c r="H86" s="9"/>
      <c r="I86" s="9"/>
      <c r="J86" s="9"/>
      <c r="K86" s="9"/>
      <c r="L86" s="9"/>
      <c r="M86" s="9"/>
      <c r="N86" s="9"/>
      <c r="O86" s="9"/>
      <c r="P86" s="9"/>
      <c r="Q86" s="9"/>
      <c r="R86" s="9"/>
    </row>
    <row r="87">
      <c r="A87" s="9"/>
      <c r="B87" s="9"/>
      <c r="C87" s="9"/>
      <c r="D87" s="9"/>
      <c r="E87" s="9"/>
      <c r="F87" s="9"/>
      <c r="G87" s="9"/>
      <c r="H87" s="9"/>
      <c r="I87" s="9"/>
      <c r="J87" s="9"/>
      <c r="K87" s="9"/>
      <c r="L87" s="9"/>
      <c r="M87" s="9"/>
      <c r="N87" s="9"/>
      <c r="O87" s="9"/>
      <c r="P87" s="9"/>
      <c r="Q87" s="9"/>
      <c r="R87" s="9"/>
    </row>
    <row r="88">
      <c r="A88" s="9"/>
      <c r="B88" s="9"/>
      <c r="C88" s="9"/>
      <c r="D88" s="9"/>
      <c r="E88" s="9"/>
      <c r="F88" s="9"/>
      <c r="G88" s="9"/>
      <c r="H88" s="9"/>
      <c r="I88" s="9"/>
      <c r="J88" s="9"/>
      <c r="K88" s="9"/>
      <c r="L88" s="9"/>
      <c r="M88" s="9"/>
      <c r="N88" s="9"/>
      <c r="O88" s="9"/>
      <c r="P88" s="9"/>
      <c r="Q88" s="9"/>
      <c r="R88" s="9"/>
    </row>
    <row r="89">
      <c r="A89" s="9"/>
      <c r="B89" s="9"/>
      <c r="C89" s="9"/>
      <c r="D89" s="9"/>
      <c r="E89" s="9"/>
      <c r="F89" s="9"/>
      <c r="G89" s="9"/>
      <c r="H89" s="9"/>
      <c r="I89" s="9"/>
      <c r="J89" s="9"/>
      <c r="K89" s="9"/>
      <c r="L89" s="9"/>
      <c r="M89" s="9"/>
      <c r="N89" s="9"/>
      <c r="O89" s="9"/>
      <c r="P89" s="9"/>
      <c r="Q89" s="9"/>
      <c r="R89" s="9"/>
    </row>
    <row r="90">
      <c r="A90" s="9"/>
      <c r="B90" s="9"/>
      <c r="C90" s="9"/>
      <c r="D90" s="9"/>
      <c r="E90" s="9"/>
      <c r="F90" s="9"/>
      <c r="G90" s="9"/>
      <c r="H90" s="9"/>
      <c r="I90" s="9"/>
      <c r="J90" s="9"/>
      <c r="K90" s="9"/>
      <c r="L90" s="9"/>
      <c r="M90" s="9"/>
      <c r="N90" s="9"/>
      <c r="O90" s="9"/>
      <c r="P90" s="9"/>
      <c r="Q90" s="9"/>
      <c r="R90" s="9"/>
    </row>
    <row r="91">
      <c r="A91" s="9"/>
      <c r="B91" s="9"/>
      <c r="C91" s="9"/>
      <c r="D91" s="9"/>
      <c r="E91" s="9"/>
      <c r="F91" s="9"/>
      <c r="G91" s="9"/>
      <c r="H91" s="9"/>
      <c r="I91" s="9"/>
      <c r="J91" s="9"/>
      <c r="K91" s="9"/>
      <c r="L91" s="9"/>
      <c r="M91" s="9"/>
      <c r="N91" s="9"/>
      <c r="O91" s="9"/>
      <c r="P91" s="9"/>
      <c r="Q91" s="9"/>
      <c r="R91" s="9"/>
    </row>
    <row r="92">
      <c r="A92" s="9"/>
      <c r="B92" s="9"/>
      <c r="C92" s="9"/>
      <c r="D92" s="9"/>
      <c r="E92" s="9"/>
      <c r="F92" s="9"/>
      <c r="G92" s="9"/>
      <c r="H92" s="9"/>
      <c r="I92" s="9"/>
      <c r="J92" s="9"/>
      <c r="K92" s="9"/>
      <c r="L92" s="9"/>
      <c r="M92" s="9"/>
      <c r="N92" s="9"/>
      <c r="O92" s="9"/>
      <c r="P92" s="9"/>
      <c r="Q92" s="9"/>
      <c r="R92" s="9"/>
    </row>
    <row r="93">
      <c r="A93" s="9"/>
      <c r="B93" s="9"/>
      <c r="C93" s="9"/>
      <c r="D93" s="9"/>
      <c r="E93" s="9"/>
      <c r="F93" s="9"/>
      <c r="G93" s="9"/>
      <c r="H93" s="9"/>
      <c r="I93" s="9"/>
      <c r="J93" s="9"/>
      <c r="K93" s="9"/>
      <c r="L93" s="9"/>
      <c r="M93" s="9"/>
      <c r="N93" s="9"/>
      <c r="O93" s="9"/>
      <c r="P93" s="9"/>
      <c r="Q93" s="9"/>
      <c r="R93" s="9"/>
    </row>
    <row r="94">
      <c r="A94" s="9"/>
      <c r="B94" s="9"/>
      <c r="C94" s="9"/>
      <c r="D94" s="9"/>
      <c r="E94" s="9"/>
      <c r="F94" s="9"/>
      <c r="G94" s="9"/>
      <c r="H94" s="9"/>
      <c r="I94" s="9"/>
      <c r="J94" s="9"/>
      <c r="K94" s="9"/>
      <c r="L94" s="9"/>
      <c r="M94" s="9"/>
      <c r="N94" s="9"/>
      <c r="O94" s="9"/>
      <c r="P94" s="9"/>
      <c r="Q94" s="9"/>
      <c r="R94" s="9"/>
    </row>
    <row r="95">
      <c r="A95" s="9"/>
      <c r="B95" s="9"/>
      <c r="C95" s="9"/>
      <c r="D95" s="9"/>
      <c r="E95" s="9"/>
      <c r="F95" s="9"/>
      <c r="G95" s="9"/>
      <c r="H95" s="9"/>
      <c r="I95" s="9"/>
      <c r="J95" s="9"/>
      <c r="K95" s="9"/>
      <c r="L95" s="9"/>
      <c r="M95" s="9"/>
      <c r="N95" s="9"/>
      <c r="O95" s="9"/>
      <c r="P95" s="9"/>
      <c r="Q95" s="9"/>
      <c r="R95" s="9"/>
    </row>
    <row r="96">
      <c r="A96" s="9"/>
      <c r="B96" s="9"/>
      <c r="C96" s="9"/>
      <c r="D96" s="9"/>
      <c r="E96" s="9"/>
      <c r="F96" s="9"/>
      <c r="G96" s="9"/>
      <c r="H96" s="9"/>
      <c r="I96" s="9"/>
      <c r="J96" s="9"/>
      <c r="K96" s="9"/>
      <c r="L96" s="9"/>
      <c r="M96" s="9"/>
      <c r="N96" s="9"/>
      <c r="O96" s="9"/>
      <c r="P96" s="9"/>
      <c r="Q96" s="9"/>
      <c r="R96" s="9"/>
    </row>
    <row r="97">
      <c r="A97" s="9"/>
      <c r="B97" s="9"/>
      <c r="C97" s="9"/>
      <c r="D97" s="9"/>
      <c r="E97" s="9"/>
      <c r="F97" s="9"/>
      <c r="G97" s="9"/>
      <c r="H97" s="9"/>
      <c r="I97" s="9"/>
      <c r="J97" s="9"/>
      <c r="K97" s="9"/>
      <c r="L97" s="9"/>
      <c r="M97" s="9"/>
      <c r="N97" s="9"/>
      <c r="O97" s="9"/>
      <c r="P97" s="9"/>
      <c r="Q97" s="9"/>
      <c r="R97" s="9"/>
    </row>
    <row r="98">
      <c r="A98" s="9"/>
      <c r="B98" s="9"/>
      <c r="C98" s="9"/>
      <c r="D98" s="9"/>
      <c r="E98" s="9"/>
      <c r="F98" s="9"/>
      <c r="G98" s="9"/>
      <c r="H98" s="9"/>
      <c r="I98" s="9"/>
      <c r="J98" s="9"/>
      <c r="K98" s="9"/>
      <c r="L98" s="9"/>
      <c r="M98" s="9"/>
      <c r="N98" s="9"/>
      <c r="O98" s="9"/>
      <c r="P98" s="9"/>
      <c r="Q98" s="9"/>
      <c r="R98" s="9"/>
    </row>
    <row r="99">
      <c r="A99" s="9"/>
      <c r="B99" s="9"/>
      <c r="C99" s="9"/>
      <c r="D99" s="9"/>
      <c r="E99" s="9"/>
      <c r="F99" s="9"/>
      <c r="G99" s="9"/>
      <c r="H99" s="9"/>
      <c r="I99" s="9"/>
      <c r="J99" s="9"/>
      <c r="K99" s="9"/>
      <c r="L99" s="9"/>
      <c r="M99" s="9"/>
      <c r="N99" s="9"/>
      <c r="O99" s="9"/>
      <c r="P99" s="9"/>
      <c r="Q99" s="9"/>
      <c r="R99" s="9"/>
    </row>
    <row r="100">
      <c r="A100" s="9"/>
      <c r="B100" s="9"/>
      <c r="C100" s="9"/>
      <c r="D100" s="9"/>
      <c r="E100" s="9"/>
      <c r="F100" s="9"/>
      <c r="G100" s="9"/>
      <c r="H100" s="9"/>
      <c r="I100" s="9"/>
      <c r="J100" s="9"/>
      <c r="K100" s="9"/>
      <c r="L100" s="9"/>
      <c r="M100" s="9"/>
      <c r="N100" s="9"/>
      <c r="O100" s="9"/>
      <c r="P100" s="9"/>
      <c r="Q100" s="9"/>
      <c r="R100" s="9"/>
    </row>
    <row r="101">
      <c r="A101" s="9"/>
      <c r="B101" s="9"/>
      <c r="C101" s="9"/>
      <c r="D101" s="9"/>
      <c r="E101" s="9"/>
      <c r="F101" s="9"/>
      <c r="G101" s="9"/>
      <c r="H101" s="9"/>
      <c r="I101" s="9"/>
      <c r="J101" s="9"/>
      <c r="K101" s="9"/>
      <c r="L101" s="9"/>
      <c r="M101" s="9"/>
      <c r="N101" s="9"/>
      <c r="O101" s="9"/>
      <c r="P101" s="9"/>
      <c r="Q101" s="9"/>
      <c r="R101" s="9"/>
    </row>
    <row r="102">
      <c r="A102" s="9"/>
      <c r="B102" s="9"/>
      <c r="C102" s="9"/>
      <c r="D102" s="9"/>
      <c r="E102" s="9"/>
      <c r="F102" s="9"/>
      <c r="G102" s="9"/>
      <c r="H102" s="9"/>
      <c r="I102" s="9"/>
      <c r="J102" s="9"/>
      <c r="K102" s="9"/>
      <c r="L102" s="9"/>
      <c r="M102" s="9"/>
      <c r="N102" s="9"/>
      <c r="O102" s="9"/>
      <c r="P102" s="9"/>
      <c r="Q102" s="9"/>
      <c r="R102" s="9"/>
    </row>
    <row r="103">
      <c r="A103" s="9"/>
      <c r="B103" s="9"/>
      <c r="C103" s="9"/>
      <c r="D103" s="9"/>
      <c r="E103" s="9"/>
      <c r="F103" s="9"/>
      <c r="G103" s="9"/>
      <c r="H103" s="9"/>
      <c r="I103" s="9"/>
      <c r="J103" s="9"/>
      <c r="K103" s="9"/>
      <c r="L103" s="9"/>
      <c r="M103" s="9"/>
      <c r="N103" s="9"/>
      <c r="O103" s="9"/>
      <c r="P103" s="9"/>
      <c r="Q103" s="9"/>
      <c r="R103" s="9"/>
    </row>
    <row r="104">
      <c r="A104" s="9"/>
      <c r="B104" s="9"/>
      <c r="C104" s="9"/>
      <c r="D104" s="9"/>
      <c r="E104" s="9"/>
      <c r="F104" s="9"/>
      <c r="G104" s="9"/>
      <c r="H104" s="9"/>
      <c r="I104" s="9"/>
      <c r="J104" s="9"/>
      <c r="K104" s="9"/>
      <c r="L104" s="9"/>
      <c r="M104" s="9"/>
      <c r="N104" s="9"/>
      <c r="O104" s="9"/>
      <c r="P104" s="9"/>
      <c r="Q104" s="9"/>
      <c r="R104" s="9"/>
    </row>
    <row r="105">
      <c r="A105" s="9"/>
      <c r="B105" s="9"/>
      <c r="C105" s="9"/>
      <c r="D105" s="9"/>
      <c r="E105" s="9"/>
      <c r="F105" s="9"/>
      <c r="G105" s="9"/>
      <c r="H105" s="9"/>
      <c r="I105" s="9"/>
      <c r="J105" s="9"/>
      <c r="K105" s="9"/>
      <c r="L105" s="9"/>
      <c r="M105" s="9"/>
      <c r="N105" s="9"/>
      <c r="O105" s="9"/>
      <c r="P105" s="9"/>
      <c r="Q105" s="9"/>
      <c r="R105" s="9"/>
    </row>
    <row r="106">
      <c r="A106" s="9"/>
      <c r="B106" s="9"/>
      <c r="C106" s="9"/>
      <c r="D106" s="9"/>
      <c r="E106" s="9"/>
      <c r="F106" s="9"/>
      <c r="G106" s="9"/>
      <c r="H106" s="9"/>
      <c r="I106" s="9"/>
      <c r="J106" s="9"/>
      <c r="K106" s="9"/>
      <c r="L106" s="9"/>
      <c r="M106" s="9"/>
      <c r="N106" s="9"/>
      <c r="O106" s="9"/>
      <c r="P106" s="9"/>
      <c r="Q106" s="9"/>
      <c r="R106" s="9"/>
    </row>
    <row r="107">
      <c r="A107" s="9"/>
      <c r="B107" s="9"/>
      <c r="C107" s="9"/>
      <c r="D107" s="9"/>
      <c r="E107" s="9"/>
      <c r="F107" s="9"/>
      <c r="G107" s="9"/>
      <c r="H107" s="9"/>
      <c r="I107" s="9"/>
      <c r="J107" s="9"/>
      <c r="K107" s="9"/>
      <c r="L107" s="9"/>
      <c r="M107" s="9"/>
      <c r="N107" s="9"/>
      <c r="O107" s="9"/>
      <c r="P107" s="9"/>
      <c r="Q107" s="9"/>
      <c r="R107" s="9"/>
    </row>
    <row r="108">
      <c r="A108" s="9"/>
      <c r="B108" s="9"/>
      <c r="C108" s="9"/>
      <c r="D108" s="9"/>
      <c r="E108" s="9"/>
      <c r="F108" s="9"/>
      <c r="G108" s="9"/>
      <c r="H108" s="9"/>
      <c r="I108" s="9"/>
      <c r="J108" s="9"/>
      <c r="K108" s="9"/>
      <c r="L108" s="9"/>
      <c r="M108" s="9"/>
      <c r="N108" s="9"/>
      <c r="O108" s="9"/>
      <c r="P108" s="9"/>
      <c r="Q108" s="9"/>
      <c r="R108" s="9"/>
    </row>
    <row r="109">
      <c r="A109" s="9"/>
      <c r="B109" s="9"/>
      <c r="C109" s="9"/>
      <c r="D109" s="9"/>
      <c r="E109" s="9"/>
      <c r="F109" s="9"/>
      <c r="G109" s="9"/>
      <c r="H109" s="9"/>
      <c r="I109" s="9"/>
      <c r="J109" s="9"/>
      <c r="K109" s="9"/>
      <c r="L109" s="9"/>
      <c r="M109" s="9"/>
      <c r="N109" s="9"/>
      <c r="O109" s="9"/>
      <c r="P109" s="9"/>
      <c r="Q109" s="9"/>
      <c r="R109" s="9"/>
    </row>
    <row r="110">
      <c r="A110" s="9"/>
      <c r="B110" s="9"/>
      <c r="C110" s="9"/>
      <c r="D110" s="9"/>
      <c r="E110" s="9"/>
      <c r="F110" s="9"/>
      <c r="G110" s="9"/>
      <c r="H110" s="9"/>
      <c r="I110" s="9"/>
      <c r="J110" s="9"/>
      <c r="K110" s="9"/>
      <c r="L110" s="9"/>
      <c r="M110" s="9"/>
      <c r="N110" s="9"/>
      <c r="O110" s="9"/>
      <c r="P110" s="9"/>
      <c r="Q110" s="9"/>
      <c r="R110" s="9"/>
    </row>
    <row r="111">
      <c r="A111" s="9"/>
      <c r="B111" s="9"/>
      <c r="C111" s="9"/>
      <c r="D111" s="9"/>
      <c r="E111" s="9"/>
      <c r="F111" s="9"/>
      <c r="G111" s="9"/>
      <c r="H111" s="9"/>
      <c r="I111" s="9"/>
      <c r="J111" s="9"/>
      <c r="K111" s="9"/>
      <c r="L111" s="9"/>
      <c r="M111" s="9"/>
      <c r="N111" s="9"/>
      <c r="O111" s="9"/>
      <c r="P111" s="9"/>
      <c r="Q111" s="9"/>
      <c r="R111" s="9"/>
    </row>
    <row r="112">
      <c r="A112" s="9"/>
      <c r="B112" s="9"/>
      <c r="C112" s="9"/>
      <c r="D112" s="9"/>
      <c r="E112" s="9"/>
      <c r="F112" s="9"/>
      <c r="G112" s="9"/>
      <c r="H112" s="9"/>
      <c r="I112" s="9"/>
      <c r="J112" s="9"/>
      <c r="K112" s="9"/>
      <c r="L112" s="9"/>
      <c r="M112" s="9"/>
      <c r="N112" s="9"/>
      <c r="O112" s="9"/>
      <c r="P112" s="9"/>
      <c r="Q112" s="9"/>
      <c r="R112" s="9"/>
    </row>
    <row r="113">
      <c r="A113" s="9"/>
      <c r="B113" s="9"/>
      <c r="C113" s="9"/>
      <c r="D113" s="9"/>
      <c r="E113" s="9"/>
      <c r="F113" s="9"/>
      <c r="G113" s="9"/>
      <c r="H113" s="9"/>
      <c r="I113" s="9"/>
      <c r="J113" s="9"/>
      <c r="K113" s="9"/>
      <c r="L113" s="9"/>
      <c r="M113" s="9"/>
      <c r="N113" s="9"/>
      <c r="O113" s="9"/>
      <c r="P113" s="9"/>
      <c r="Q113" s="9"/>
      <c r="R113" s="9"/>
    </row>
    <row r="114">
      <c r="A114" s="9"/>
      <c r="B114" s="9"/>
      <c r="C114" s="9"/>
      <c r="D114" s="9"/>
      <c r="E114" s="9"/>
      <c r="F114" s="9"/>
      <c r="G114" s="9"/>
      <c r="H114" s="9"/>
      <c r="I114" s="9"/>
      <c r="J114" s="9"/>
      <c r="K114" s="9"/>
      <c r="L114" s="9"/>
      <c r="M114" s="9"/>
      <c r="N114" s="9"/>
      <c r="O114" s="9"/>
      <c r="P114" s="9"/>
      <c r="Q114" s="9"/>
      <c r="R114" s="9"/>
    </row>
    <row r="115">
      <c r="A115" s="9"/>
      <c r="B115" s="9"/>
      <c r="C115" s="9"/>
      <c r="D115" s="9"/>
      <c r="E115" s="9"/>
      <c r="F115" s="9"/>
      <c r="G115" s="9"/>
      <c r="H115" s="9"/>
      <c r="I115" s="9"/>
      <c r="J115" s="9"/>
      <c r="K115" s="9"/>
      <c r="L115" s="9"/>
      <c r="M115" s="9"/>
      <c r="N115" s="9"/>
      <c r="O115" s="9"/>
      <c r="P115" s="9"/>
      <c r="Q115" s="9"/>
      <c r="R115" s="9"/>
    </row>
    <row r="116">
      <c r="A116" s="9"/>
      <c r="B116" s="9"/>
      <c r="C116" s="9"/>
      <c r="D116" s="9"/>
      <c r="E116" s="9"/>
      <c r="F116" s="9"/>
      <c r="G116" s="9"/>
      <c r="H116" s="9"/>
      <c r="I116" s="9"/>
      <c r="J116" s="9"/>
      <c r="K116" s="9"/>
      <c r="L116" s="9"/>
      <c r="M116" s="9"/>
      <c r="N116" s="9"/>
      <c r="O116" s="9"/>
      <c r="P116" s="9"/>
      <c r="Q116" s="9"/>
      <c r="R116" s="9"/>
    </row>
    <row r="117">
      <c r="A117" s="9"/>
      <c r="B117" s="9"/>
      <c r="C117" s="9"/>
      <c r="D117" s="9"/>
      <c r="E117" s="9"/>
      <c r="F117" s="9"/>
      <c r="G117" s="9"/>
      <c r="H117" s="9"/>
      <c r="I117" s="9"/>
      <c r="J117" s="9"/>
      <c r="K117" s="9"/>
      <c r="L117" s="9"/>
      <c r="M117" s="9"/>
      <c r="N117" s="9"/>
      <c r="O117" s="9"/>
      <c r="P117" s="9"/>
      <c r="Q117" s="9"/>
      <c r="R117" s="9"/>
    </row>
    <row r="118">
      <c r="A118" s="9"/>
      <c r="B118" s="9"/>
      <c r="C118" s="9"/>
      <c r="D118" s="9"/>
      <c r="E118" s="9"/>
      <c r="F118" s="9"/>
      <c r="G118" s="9"/>
      <c r="H118" s="9"/>
      <c r="I118" s="9"/>
      <c r="J118" s="9"/>
      <c r="K118" s="9"/>
      <c r="L118" s="9"/>
      <c r="M118" s="9"/>
      <c r="N118" s="9"/>
      <c r="O118" s="9"/>
      <c r="P118" s="9"/>
      <c r="Q118" s="9"/>
      <c r="R118" s="9"/>
    </row>
    <row r="119">
      <c r="A119" s="9"/>
      <c r="B119" s="9"/>
      <c r="C119" s="9"/>
      <c r="D119" s="9"/>
      <c r="E119" s="9"/>
      <c r="F119" s="9"/>
      <c r="G119" s="9"/>
      <c r="H119" s="9"/>
      <c r="I119" s="9"/>
      <c r="J119" s="9"/>
      <c r="K119" s="9"/>
      <c r="L119" s="9"/>
      <c r="M119" s="9"/>
      <c r="N119" s="9"/>
      <c r="O119" s="9"/>
      <c r="P119" s="9"/>
      <c r="Q119" s="9"/>
      <c r="R119" s="9"/>
    </row>
    <row r="120">
      <c r="A120" s="9"/>
      <c r="B120" s="9"/>
      <c r="C120" s="9"/>
      <c r="D120" s="9"/>
      <c r="E120" s="9"/>
      <c r="F120" s="9"/>
      <c r="G120" s="9"/>
      <c r="H120" s="9"/>
      <c r="I120" s="9"/>
      <c r="J120" s="9"/>
      <c r="K120" s="9"/>
      <c r="L120" s="9"/>
      <c r="M120" s="9"/>
      <c r="N120" s="9"/>
      <c r="O120" s="9"/>
      <c r="P120" s="9"/>
      <c r="Q120" s="9"/>
      <c r="R120" s="9"/>
    </row>
    <row r="121">
      <c r="A121" s="9"/>
      <c r="B121" s="9"/>
      <c r="C121" s="9"/>
      <c r="D121" s="9"/>
      <c r="E121" s="9"/>
      <c r="F121" s="9"/>
      <c r="G121" s="9"/>
      <c r="H121" s="9"/>
      <c r="I121" s="9"/>
      <c r="J121" s="9"/>
      <c r="K121" s="9"/>
      <c r="L121" s="9"/>
      <c r="M121" s="9"/>
      <c r="N121" s="9"/>
      <c r="O121" s="9"/>
      <c r="P121" s="9"/>
      <c r="Q121" s="9"/>
      <c r="R121" s="9"/>
    </row>
    <row r="122">
      <c r="A122" s="9"/>
      <c r="B122" s="9"/>
      <c r="C122" s="9"/>
      <c r="D122" s="9"/>
      <c r="E122" s="9"/>
      <c r="F122" s="9"/>
      <c r="G122" s="9"/>
      <c r="H122" s="9"/>
      <c r="I122" s="9"/>
      <c r="J122" s="9"/>
      <c r="K122" s="9"/>
      <c r="L122" s="9"/>
      <c r="M122" s="9"/>
      <c r="N122" s="9"/>
      <c r="O122" s="9"/>
      <c r="P122" s="9"/>
      <c r="Q122" s="9"/>
      <c r="R122" s="9"/>
    </row>
    <row r="123">
      <c r="A123" s="9"/>
      <c r="B123" s="9"/>
      <c r="C123" s="9"/>
      <c r="D123" s="9"/>
      <c r="E123" s="9"/>
      <c r="F123" s="9"/>
      <c r="G123" s="9"/>
      <c r="H123" s="9"/>
      <c r="I123" s="9"/>
      <c r="J123" s="9"/>
      <c r="K123" s="9"/>
      <c r="L123" s="9"/>
      <c r="M123" s="9"/>
      <c r="N123" s="9"/>
      <c r="O123" s="9"/>
      <c r="P123" s="9"/>
      <c r="Q123" s="9"/>
      <c r="R123" s="9"/>
    </row>
    <row r="124">
      <c r="A124" s="9"/>
      <c r="B124" s="9"/>
      <c r="C124" s="9"/>
      <c r="D124" s="9"/>
      <c r="E124" s="9"/>
      <c r="F124" s="9"/>
      <c r="G124" s="9"/>
      <c r="H124" s="9"/>
      <c r="I124" s="9"/>
      <c r="J124" s="9"/>
      <c r="K124" s="9"/>
      <c r="L124" s="9"/>
      <c r="M124" s="9"/>
      <c r="N124" s="9"/>
      <c r="O124" s="9"/>
      <c r="P124" s="9"/>
      <c r="Q124" s="9"/>
      <c r="R124" s="9"/>
    </row>
    <row r="125">
      <c r="A125" s="9"/>
      <c r="B125" s="9"/>
      <c r="C125" s="9"/>
      <c r="D125" s="9"/>
      <c r="E125" s="9"/>
      <c r="F125" s="9"/>
      <c r="G125" s="9"/>
      <c r="H125" s="9"/>
      <c r="I125" s="9"/>
      <c r="J125" s="9"/>
      <c r="K125" s="9"/>
      <c r="L125" s="9"/>
      <c r="M125" s="9"/>
      <c r="N125" s="9"/>
      <c r="O125" s="9"/>
      <c r="P125" s="9"/>
      <c r="Q125" s="9"/>
      <c r="R125" s="9"/>
    </row>
    <row r="126">
      <c r="A126" s="9"/>
      <c r="B126" s="9"/>
      <c r="C126" s="9"/>
      <c r="D126" s="9"/>
      <c r="E126" s="9"/>
      <c r="F126" s="9"/>
      <c r="G126" s="9"/>
      <c r="H126" s="9"/>
      <c r="I126" s="9"/>
      <c r="J126" s="9"/>
      <c r="K126" s="9"/>
      <c r="L126" s="9"/>
      <c r="M126" s="9"/>
      <c r="N126" s="9"/>
      <c r="O126" s="9"/>
      <c r="P126" s="9"/>
      <c r="Q126" s="9"/>
      <c r="R126" s="9"/>
    </row>
    <row r="127">
      <c r="A127" s="9"/>
      <c r="B127" s="9"/>
      <c r="C127" s="9"/>
      <c r="D127" s="9"/>
      <c r="E127" s="9"/>
      <c r="F127" s="9"/>
      <c r="G127" s="9"/>
      <c r="H127" s="9"/>
      <c r="I127" s="9"/>
      <c r="J127" s="9"/>
      <c r="K127" s="9"/>
      <c r="L127" s="9"/>
      <c r="M127" s="9"/>
      <c r="N127" s="9"/>
      <c r="O127" s="9"/>
      <c r="P127" s="9"/>
      <c r="Q127" s="9"/>
      <c r="R127" s="9"/>
    </row>
    <row r="128">
      <c r="A128" s="9"/>
      <c r="B128" s="9"/>
      <c r="C128" s="9"/>
      <c r="D128" s="9"/>
      <c r="E128" s="9"/>
      <c r="F128" s="9"/>
      <c r="G128" s="9"/>
      <c r="H128" s="9"/>
      <c r="I128" s="9"/>
      <c r="J128" s="9"/>
      <c r="K128" s="9"/>
      <c r="L128" s="9"/>
      <c r="M128" s="9"/>
      <c r="N128" s="9"/>
      <c r="O128" s="9"/>
      <c r="P128" s="9"/>
      <c r="Q128" s="9"/>
      <c r="R128" s="9"/>
    </row>
    <row r="129">
      <c r="A129" s="9"/>
      <c r="B129" s="9"/>
      <c r="C129" s="9"/>
      <c r="D129" s="9"/>
      <c r="E129" s="9"/>
      <c r="F129" s="9"/>
      <c r="G129" s="9"/>
      <c r="H129" s="9"/>
      <c r="I129" s="9"/>
      <c r="J129" s="9"/>
      <c r="K129" s="9"/>
      <c r="L129" s="9"/>
      <c r="M129" s="9"/>
      <c r="N129" s="9"/>
      <c r="O129" s="9"/>
      <c r="P129" s="9"/>
      <c r="Q129" s="9"/>
      <c r="R129" s="9"/>
    </row>
    <row r="130">
      <c r="A130" s="9"/>
      <c r="B130" s="9"/>
      <c r="C130" s="9"/>
      <c r="D130" s="9"/>
      <c r="E130" s="9"/>
      <c r="F130" s="9"/>
      <c r="G130" s="9"/>
      <c r="H130" s="9"/>
      <c r="I130" s="9"/>
      <c r="J130" s="9"/>
      <c r="K130" s="9"/>
      <c r="L130" s="9"/>
      <c r="M130" s="9"/>
      <c r="N130" s="9"/>
      <c r="O130" s="9"/>
      <c r="P130" s="9"/>
      <c r="Q130" s="9"/>
      <c r="R130" s="9"/>
    </row>
    <row r="131">
      <c r="A131" s="9"/>
      <c r="B131" s="9"/>
      <c r="C131" s="9"/>
      <c r="D131" s="9"/>
      <c r="E131" s="9"/>
      <c r="F131" s="9"/>
      <c r="G131" s="9"/>
      <c r="H131" s="9"/>
      <c r="I131" s="9"/>
      <c r="J131" s="9"/>
      <c r="K131" s="9"/>
      <c r="L131" s="9"/>
      <c r="M131" s="9"/>
      <c r="N131" s="9"/>
      <c r="O131" s="9"/>
      <c r="P131" s="9"/>
      <c r="Q131" s="9"/>
      <c r="R131" s="9"/>
    </row>
    <row r="132">
      <c r="A132" s="9"/>
      <c r="B132" s="9"/>
      <c r="C132" s="9"/>
      <c r="D132" s="9"/>
      <c r="E132" s="9"/>
      <c r="F132" s="9"/>
      <c r="G132" s="9"/>
      <c r="H132" s="9"/>
      <c r="I132" s="9"/>
      <c r="J132" s="9"/>
      <c r="K132" s="9"/>
      <c r="L132" s="9"/>
      <c r="M132" s="9"/>
      <c r="N132" s="9"/>
      <c r="O132" s="9"/>
      <c r="P132" s="9"/>
      <c r="Q132" s="9"/>
      <c r="R132" s="9"/>
    </row>
    <row r="133">
      <c r="A133" s="9"/>
      <c r="B133" s="9"/>
      <c r="C133" s="9"/>
      <c r="D133" s="9"/>
      <c r="E133" s="9"/>
      <c r="F133" s="9"/>
      <c r="G133" s="9"/>
      <c r="H133" s="9"/>
      <c r="I133" s="9"/>
      <c r="J133" s="9"/>
      <c r="K133" s="9"/>
      <c r="L133" s="9"/>
      <c r="M133" s="9"/>
      <c r="N133" s="9"/>
      <c r="O133" s="9"/>
      <c r="P133" s="9"/>
      <c r="Q133" s="9"/>
      <c r="R133" s="9"/>
    </row>
    <row r="134">
      <c r="A134" s="9"/>
      <c r="B134" s="9"/>
      <c r="C134" s="9"/>
      <c r="D134" s="9"/>
      <c r="E134" s="9"/>
      <c r="F134" s="9"/>
      <c r="G134" s="9"/>
      <c r="H134" s="9"/>
      <c r="I134" s="9"/>
      <c r="J134" s="9"/>
      <c r="K134" s="9"/>
      <c r="L134" s="9"/>
      <c r="M134" s="9"/>
      <c r="N134" s="9"/>
      <c r="O134" s="9"/>
      <c r="P134" s="9"/>
      <c r="Q134" s="9"/>
      <c r="R134" s="9"/>
    </row>
    <row r="135">
      <c r="A135" s="9"/>
      <c r="B135" s="9"/>
      <c r="C135" s="9"/>
      <c r="D135" s="9"/>
      <c r="E135" s="9"/>
      <c r="F135" s="9"/>
      <c r="G135" s="9"/>
      <c r="H135" s="9"/>
      <c r="I135" s="9"/>
      <c r="J135" s="9"/>
      <c r="K135" s="9"/>
      <c r="L135" s="9"/>
      <c r="M135" s="9"/>
      <c r="N135" s="9"/>
      <c r="O135" s="9"/>
      <c r="P135" s="9"/>
      <c r="Q135" s="9"/>
      <c r="R135" s="9"/>
    </row>
    <row r="136">
      <c r="A136" s="9"/>
      <c r="B136" s="9"/>
      <c r="C136" s="9"/>
      <c r="D136" s="9"/>
      <c r="E136" s="9"/>
      <c r="F136" s="9"/>
      <c r="G136" s="9"/>
      <c r="H136" s="9"/>
      <c r="I136" s="9"/>
      <c r="J136" s="9"/>
      <c r="K136" s="9"/>
      <c r="L136" s="9"/>
      <c r="M136" s="9"/>
      <c r="N136" s="9"/>
      <c r="O136" s="9"/>
      <c r="P136" s="9"/>
      <c r="Q136" s="9"/>
      <c r="R136" s="9"/>
    </row>
    <row r="137">
      <c r="A137" s="9"/>
      <c r="B137" s="9"/>
      <c r="C137" s="9"/>
      <c r="D137" s="9"/>
      <c r="E137" s="9"/>
      <c r="F137" s="9"/>
      <c r="G137" s="9"/>
      <c r="H137" s="9"/>
      <c r="I137" s="9"/>
      <c r="J137" s="9"/>
      <c r="K137" s="9"/>
      <c r="L137" s="9"/>
      <c r="M137" s="9"/>
      <c r="N137" s="9"/>
      <c r="O137" s="9"/>
      <c r="P137" s="9"/>
      <c r="Q137" s="9"/>
      <c r="R137" s="9"/>
    </row>
    <row r="138">
      <c r="A138" s="9"/>
      <c r="B138" s="9"/>
      <c r="C138" s="9"/>
      <c r="D138" s="9"/>
      <c r="E138" s="9"/>
      <c r="F138" s="9"/>
      <c r="G138" s="9"/>
      <c r="H138" s="9"/>
      <c r="I138" s="9"/>
      <c r="J138" s="9"/>
      <c r="K138" s="9"/>
      <c r="L138" s="9"/>
      <c r="M138" s="9"/>
      <c r="N138" s="9"/>
      <c r="O138" s="9"/>
      <c r="P138" s="9"/>
      <c r="Q138" s="9"/>
      <c r="R138" s="9"/>
    </row>
    <row r="139">
      <c r="A139" s="9"/>
      <c r="B139" s="9"/>
      <c r="C139" s="9"/>
      <c r="D139" s="9"/>
      <c r="E139" s="9"/>
      <c r="F139" s="9"/>
      <c r="G139" s="9"/>
      <c r="H139" s="9"/>
      <c r="I139" s="9"/>
      <c r="J139" s="9"/>
      <c r="K139" s="9"/>
      <c r="L139" s="9"/>
      <c r="M139" s="9"/>
      <c r="N139" s="9"/>
      <c r="O139" s="9"/>
      <c r="P139" s="9"/>
      <c r="Q139" s="9"/>
      <c r="R139" s="9"/>
    </row>
    <row r="140">
      <c r="A140" s="9"/>
      <c r="B140" s="9"/>
      <c r="C140" s="9"/>
      <c r="D140" s="9"/>
      <c r="E140" s="9"/>
      <c r="F140" s="9"/>
      <c r="G140" s="9"/>
      <c r="H140" s="9"/>
      <c r="I140" s="9"/>
      <c r="J140" s="9"/>
      <c r="K140" s="9"/>
      <c r="L140" s="9"/>
      <c r="M140" s="9"/>
      <c r="N140" s="9"/>
      <c r="O140" s="9"/>
      <c r="P140" s="9"/>
      <c r="Q140" s="9"/>
      <c r="R140" s="9"/>
    </row>
    <row r="141">
      <c r="A141" s="9"/>
      <c r="B141" s="9"/>
      <c r="C141" s="9"/>
      <c r="D141" s="9"/>
      <c r="E141" s="9"/>
      <c r="F141" s="9"/>
      <c r="G141" s="9"/>
      <c r="H141" s="9"/>
      <c r="I141" s="9"/>
      <c r="J141" s="9"/>
      <c r="K141" s="9"/>
      <c r="L141" s="9"/>
      <c r="M141" s="9"/>
      <c r="N141" s="9"/>
      <c r="O141" s="9"/>
      <c r="P141" s="9"/>
      <c r="Q141" s="9"/>
      <c r="R141" s="9"/>
    </row>
    <row r="142">
      <c r="A142" s="9"/>
      <c r="B142" s="9"/>
      <c r="C142" s="9"/>
      <c r="D142" s="9"/>
      <c r="E142" s="9"/>
      <c r="F142" s="9"/>
      <c r="G142" s="9"/>
      <c r="H142" s="9"/>
      <c r="I142" s="9"/>
      <c r="J142" s="9"/>
      <c r="K142" s="9"/>
      <c r="L142" s="9"/>
      <c r="M142" s="9"/>
      <c r="N142" s="9"/>
      <c r="O142" s="9"/>
      <c r="P142" s="9"/>
      <c r="Q142" s="9"/>
      <c r="R142" s="9"/>
    </row>
    <row r="143">
      <c r="A143" s="9"/>
      <c r="B143" s="9"/>
      <c r="C143" s="9"/>
      <c r="D143" s="9"/>
      <c r="E143" s="9"/>
      <c r="F143" s="9"/>
      <c r="G143" s="9"/>
      <c r="H143" s="9"/>
      <c r="I143" s="9"/>
      <c r="J143" s="9"/>
      <c r="K143" s="9"/>
      <c r="L143" s="9"/>
      <c r="M143" s="9"/>
      <c r="N143" s="9"/>
      <c r="O143" s="9"/>
      <c r="P143" s="9"/>
      <c r="Q143" s="9"/>
      <c r="R143" s="9"/>
    </row>
    <row r="144">
      <c r="A144" s="9"/>
      <c r="B144" s="9"/>
      <c r="C144" s="9"/>
      <c r="D144" s="9"/>
      <c r="E144" s="9"/>
      <c r="F144" s="9"/>
      <c r="G144" s="9"/>
      <c r="H144" s="9"/>
      <c r="I144" s="9"/>
      <c r="J144" s="9"/>
      <c r="K144" s="9"/>
      <c r="L144" s="9"/>
      <c r="M144" s="9"/>
      <c r="N144" s="9"/>
      <c r="O144" s="9"/>
      <c r="P144" s="9"/>
      <c r="Q144" s="9"/>
      <c r="R144" s="9"/>
    </row>
    <row r="145">
      <c r="A145" s="9"/>
      <c r="B145" s="9"/>
      <c r="C145" s="9"/>
      <c r="D145" s="9"/>
      <c r="E145" s="9"/>
      <c r="F145" s="9"/>
      <c r="G145" s="9"/>
      <c r="H145" s="9"/>
      <c r="I145" s="9"/>
      <c r="J145" s="9"/>
      <c r="K145" s="9"/>
      <c r="L145" s="9"/>
      <c r="M145" s="9"/>
      <c r="N145" s="9"/>
      <c r="O145" s="9"/>
      <c r="P145" s="9"/>
      <c r="Q145" s="9"/>
      <c r="R145" s="9"/>
    </row>
    <row r="146">
      <c r="A146" s="9"/>
      <c r="B146" s="9"/>
      <c r="C146" s="9"/>
      <c r="D146" s="9"/>
      <c r="E146" s="9"/>
      <c r="F146" s="9"/>
      <c r="G146" s="9"/>
      <c r="H146" s="9"/>
      <c r="I146" s="9"/>
      <c r="J146" s="9"/>
      <c r="K146" s="9"/>
      <c r="L146" s="9"/>
      <c r="M146" s="9"/>
      <c r="N146" s="9"/>
      <c r="O146" s="9"/>
      <c r="P146" s="9"/>
      <c r="Q146" s="9"/>
      <c r="R146" s="9"/>
    </row>
    <row r="147">
      <c r="A147" s="9"/>
      <c r="B147" s="9"/>
      <c r="C147" s="9"/>
      <c r="D147" s="9"/>
      <c r="E147" s="9"/>
      <c r="F147" s="9"/>
      <c r="G147" s="9"/>
      <c r="H147" s="9"/>
      <c r="I147" s="9"/>
      <c r="J147" s="9"/>
      <c r="K147" s="9"/>
      <c r="L147" s="9"/>
      <c r="M147" s="9"/>
      <c r="N147" s="9"/>
      <c r="O147" s="9"/>
      <c r="P147" s="9"/>
      <c r="Q147" s="9"/>
      <c r="R147" s="9"/>
    </row>
    <row r="148">
      <c r="A148" s="9"/>
      <c r="B148" s="9"/>
      <c r="C148" s="9"/>
      <c r="D148" s="9"/>
      <c r="E148" s="9"/>
      <c r="F148" s="9"/>
      <c r="G148" s="9"/>
      <c r="H148" s="9"/>
      <c r="I148" s="9"/>
      <c r="J148" s="9"/>
      <c r="K148" s="9"/>
      <c r="L148" s="9"/>
      <c r="M148" s="9"/>
      <c r="N148" s="9"/>
      <c r="O148" s="9"/>
      <c r="P148" s="9"/>
      <c r="Q148" s="9"/>
      <c r="R148" s="9"/>
    </row>
    <row r="149">
      <c r="A149" s="9"/>
      <c r="B149" s="9"/>
      <c r="C149" s="9"/>
      <c r="D149" s="9"/>
      <c r="E149" s="9"/>
      <c r="F149" s="9"/>
      <c r="G149" s="9"/>
      <c r="H149" s="9"/>
      <c r="I149" s="9"/>
      <c r="J149" s="9"/>
      <c r="K149" s="9"/>
      <c r="L149" s="9"/>
      <c r="M149" s="9"/>
      <c r="N149" s="9"/>
      <c r="O149" s="9"/>
      <c r="P149" s="9"/>
      <c r="Q149" s="9"/>
      <c r="R149" s="9"/>
    </row>
    <row r="150">
      <c r="A150" s="9"/>
      <c r="B150" s="9"/>
      <c r="C150" s="9"/>
      <c r="D150" s="9"/>
      <c r="E150" s="9"/>
      <c r="F150" s="9"/>
      <c r="G150" s="9"/>
      <c r="H150" s="9"/>
      <c r="I150" s="9"/>
      <c r="J150" s="9"/>
      <c r="K150" s="9"/>
      <c r="L150" s="9"/>
      <c r="M150" s="9"/>
      <c r="N150" s="9"/>
      <c r="O150" s="9"/>
      <c r="P150" s="9"/>
      <c r="Q150" s="9"/>
      <c r="R150" s="9"/>
    </row>
    <row r="151">
      <c r="A151" s="9"/>
      <c r="B151" s="9"/>
      <c r="C151" s="9"/>
      <c r="D151" s="9"/>
      <c r="E151" s="9"/>
      <c r="F151" s="9"/>
      <c r="G151" s="9"/>
      <c r="H151" s="9"/>
      <c r="I151" s="9"/>
      <c r="J151" s="9"/>
      <c r="K151" s="9"/>
      <c r="L151" s="9"/>
      <c r="M151" s="9"/>
      <c r="N151" s="9"/>
      <c r="O151" s="9"/>
      <c r="P151" s="9"/>
      <c r="Q151" s="9"/>
      <c r="R151" s="9"/>
    </row>
    <row r="152">
      <c r="A152" s="9"/>
      <c r="B152" s="9"/>
      <c r="C152" s="9"/>
      <c r="D152" s="9"/>
      <c r="E152" s="9"/>
      <c r="F152" s="9"/>
      <c r="G152" s="9"/>
      <c r="H152" s="9"/>
      <c r="I152" s="9"/>
      <c r="J152" s="9"/>
      <c r="K152" s="9"/>
      <c r="L152" s="9"/>
      <c r="M152" s="9"/>
      <c r="N152" s="9"/>
      <c r="O152" s="9"/>
      <c r="P152" s="9"/>
      <c r="Q152" s="9"/>
      <c r="R152" s="9"/>
    </row>
    <row r="153">
      <c r="A153" s="9"/>
      <c r="B153" s="9"/>
      <c r="C153" s="9"/>
      <c r="D153" s="9"/>
      <c r="E153" s="9"/>
      <c r="F153" s="9"/>
      <c r="G153" s="9"/>
      <c r="H153" s="9"/>
      <c r="I153" s="9"/>
      <c r="J153" s="9"/>
      <c r="K153" s="9"/>
      <c r="L153" s="9"/>
      <c r="M153" s="9"/>
      <c r="N153" s="9"/>
      <c r="O153" s="9"/>
      <c r="P153" s="9"/>
      <c r="Q153" s="9"/>
      <c r="R153" s="9"/>
    </row>
    <row r="154">
      <c r="A154" s="9"/>
      <c r="B154" s="9"/>
      <c r="C154" s="9"/>
      <c r="D154" s="9"/>
      <c r="E154" s="9"/>
      <c r="F154" s="9"/>
      <c r="G154" s="9"/>
      <c r="H154" s="9"/>
      <c r="I154" s="9"/>
      <c r="J154" s="9"/>
      <c r="K154" s="9"/>
      <c r="L154" s="9"/>
      <c r="M154" s="9"/>
      <c r="N154" s="9"/>
      <c r="O154" s="9"/>
      <c r="P154" s="9"/>
      <c r="Q154" s="9"/>
      <c r="R154" s="9"/>
    </row>
    <row r="155">
      <c r="A155" s="9"/>
      <c r="B155" s="9"/>
      <c r="C155" s="9"/>
      <c r="D155" s="9"/>
      <c r="E155" s="9"/>
      <c r="F155" s="9"/>
      <c r="G155" s="9"/>
      <c r="H155" s="9"/>
      <c r="I155" s="9"/>
      <c r="J155" s="9"/>
      <c r="K155" s="9"/>
      <c r="L155" s="9"/>
      <c r="M155" s="9"/>
      <c r="N155" s="9"/>
      <c r="O155" s="9"/>
      <c r="P155" s="9"/>
      <c r="Q155" s="9"/>
      <c r="R155" s="9"/>
    </row>
    <row r="156">
      <c r="A156" s="9"/>
      <c r="B156" s="9"/>
      <c r="C156" s="9"/>
      <c r="D156" s="9"/>
      <c r="E156" s="9"/>
      <c r="F156" s="9"/>
      <c r="G156" s="9"/>
      <c r="H156" s="9"/>
      <c r="I156" s="9"/>
      <c r="J156" s="9"/>
      <c r="K156" s="9"/>
      <c r="L156" s="9"/>
      <c r="M156" s="9"/>
      <c r="N156" s="9"/>
      <c r="O156" s="9"/>
      <c r="P156" s="9"/>
      <c r="Q156" s="9"/>
      <c r="R156" s="9"/>
    </row>
    <row r="157">
      <c r="A157" s="9"/>
      <c r="B157" s="9"/>
      <c r="C157" s="9"/>
      <c r="D157" s="9"/>
      <c r="E157" s="9"/>
      <c r="F157" s="9"/>
      <c r="G157" s="9"/>
      <c r="H157" s="9"/>
      <c r="I157" s="9"/>
      <c r="J157" s="9"/>
      <c r="K157" s="9"/>
      <c r="L157" s="9"/>
      <c r="M157" s="9"/>
      <c r="N157" s="9"/>
      <c r="O157" s="9"/>
      <c r="P157" s="9"/>
      <c r="Q157" s="9"/>
      <c r="R157" s="9"/>
    </row>
    <row r="158">
      <c r="A158" s="9"/>
      <c r="B158" s="9"/>
      <c r="C158" s="9"/>
      <c r="D158" s="9"/>
      <c r="E158" s="9"/>
      <c r="F158" s="9"/>
      <c r="G158" s="9"/>
      <c r="H158" s="9"/>
      <c r="I158" s="9"/>
      <c r="J158" s="9"/>
      <c r="K158" s="9"/>
      <c r="L158" s="9"/>
      <c r="M158" s="9"/>
      <c r="N158" s="9"/>
      <c r="O158" s="9"/>
      <c r="P158" s="9"/>
      <c r="Q158" s="9"/>
      <c r="R158" s="9"/>
    </row>
    <row r="159">
      <c r="A159" s="9"/>
      <c r="B159" s="9"/>
      <c r="C159" s="9"/>
      <c r="D159" s="9"/>
      <c r="E159" s="9"/>
      <c r="F159" s="9"/>
      <c r="G159" s="9"/>
      <c r="H159" s="9"/>
      <c r="I159" s="9"/>
      <c r="J159" s="9"/>
      <c r="K159" s="9"/>
      <c r="L159" s="9"/>
      <c r="M159" s="9"/>
      <c r="N159" s="9"/>
      <c r="O159" s="9"/>
      <c r="P159" s="9"/>
      <c r="Q159" s="9"/>
      <c r="R159" s="9"/>
    </row>
    <row r="160">
      <c r="A160" s="9"/>
      <c r="B160" s="9"/>
      <c r="C160" s="9"/>
      <c r="D160" s="9"/>
      <c r="E160" s="9"/>
      <c r="F160" s="9"/>
      <c r="G160" s="9"/>
      <c r="H160" s="9"/>
      <c r="I160" s="9"/>
      <c r="J160" s="9"/>
      <c r="K160" s="9"/>
      <c r="L160" s="9"/>
      <c r="M160" s="9"/>
      <c r="N160" s="9"/>
      <c r="O160" s="9"/>
      <c r="P160" s="9"/>
      <c r="Q160" s="9"/>
      <c r="R160" s="9"/>
    </row>
    <row r="161">
      <c r="A161" s="9"/>
      <c r="B161" s="9"/>
      <c r="C161" s="9"/>
      <c r="D161" s="9"/>
      <c r="E161" s="9"/>
      <c r="F161" s="9"/>
      <c r="G161" s="9"/>
      <c r="H161" s="9"/>
      <c r="I161" s="9"/>
      <c r="J161" s="9"/>
      <c r="K161" s="9"/>
      <c r="L161" s="9"/>
      <c r="M161" s="9"/>
      <c r="N161" s="9"/>
      <c r="O161" s="9"/>
      <c r="P161" s="9"/>
      <c r="Q161" s="9"/>
      <c r="R161" s="9"/>
    </row>
    <row r="162">
      <c r="A162" s="9"/>
      <c r="B162" s="9"/>
      <c r="C162" s="9"/>
      <c r="D162" s="9"/>
      <c r="E162" s="9"/>
      <c r="F162" s="9"/>
      <c r="G162" s="9"/>
      <c r="H162" s="9"/>
      <c r="I162" s="9"/>
      <c r="J162" s="9"/>
      <c r="K162" s="9"/>
      <c r="L162" s="9"/>
      <c r="M162" s="9"/>
      <c r="N162" s="9"/>
      <c r="O162" s="9"/>
      <c r="P162" s="9"/>
      <c r="Q162" s="9"/>
      <c r="R162" s="9"/>
    </row>
    <row r="163">
      <c r="A163" s="9"/>
      <c r="B163" s="9"/>
      <c r="C163" s="9"/>
      <c r="D163" s="9"/>
      <c r="E163" s="9"/>
      <c r="F163" s="9"/>
      <c r="G163" s="9"/>
      <c r="H163" s="9"/>
      <c r="I163" s="9"/>
      <c r="J163" s="9"/>
      <c r="K163" s="9"/>
      <c r="L163" s="9"/>
      <c r="M163" s="9"/>
      <c r="N163" s="9"/>
      <c r="O163" s="9"/>
      <c r="P163" s="9"/>
      <c r="Q163" s="9"/>
      <c r="R163" s="9"/>
    </row>
    <row r="164">
      <c r="A164" s="9"/>
      <c r="B164" s="9"/>
      <c r="C164" s="9"/>
      <c r="D164" s="9"/>
      <c r="E164" s="9"/>
      <c r="F164" s="9"/>
      <c r="G164" s="9"/>
      <c r="H164" s="9"/>
      <c r="I164" s="9"/>
      <c r="J164" s="9"/>
      <c r="K164" s="9"/>
      <c r="L164" s="9"/>
      <c r="M164" s="9"/>
      <c r="N164" s="9"/>
      <c r="O164" s="9"/>
      <c r="P164" s="9"/>
      <c r="Q164" s="9"/>
      <c r="R164" s="9"/>
    </row>
    <row r="165">
      <c r="A165" s="9"/>
      <c r="B165" s="9"/>
      <c r="C165" s="9"/>
      <c r="D165" s="9"/>
      <c r="E165" s="9"/>
      <c r="F165" s="9"/>
      <c r="G165" s="9"/>
      <c r="H165" s="9"/>
      <c r="I165" s="9"/>
      <c r="J165" s="9"/>
      <c r="K165" s="9"/>
      <c r="L165" s="9"/>
      <c r="M165" s="9"/>
      <c r="N165" s="9"/>
      <c r="O165" s="9"/>
      <c r="P165" s="9"/>
      <c r="Q165" s="9"/>
      <c r="R165" s="9"/>
    </row>
    <row r="166">
      <c r="A166" s="9"/>
      <c r="B166" s="9"/>
      <c r="C166" s="9"/>
      <c r="D166" s="9"/>
      <c r="E166" s="9"/>
      <c r="F166" s="9"/>
      <c r="G166" s="9"/>
      <c r="H166" s="9"/>
      <c r="I166" s="9"/>
      <c r="J166" s="9"/>
      <c r="K166" s="9"/>
      <c r="L166" s="9"/>
      <c r="M166" s="9"/>
      <c r="N166" s="9"/>
      <c r="O166" s="9"/>
      <c r="P166" s="9"/>
      <c r="Q166" s="9"/>
      <c r="R166" s="9"/>
    </row>
    <row r="167">
      <c r="A167" s="9"/>
      <c r="B167" s="9"/>
      <c r="C167" s="9"/>
      <c r="D167" s="9"/>
      <c r="E167" s="9"/>
      <c r="F167" s="9"/>
      <c r="G167" s="9"/>
      <c r="H167" s="9"/>
      <c r="I167" s="9"/>
      <c r="J167" s="9"/>
      <c r="K167" s="9"/>
      <c r="L167" s="9"/>
      <c r="M167" s="9"/>
      <c r="N167" s="9"/>
      <c r="O167" s="9"/>
      <c r="P167" s="9"/>
      <c r="Q167" s="9"/>
      <c r="R167" s="9"/>
    </row>
    <row r="168">
      <c r="A168" s="9"/>
      <c r="B168" s="9"/>
      <c r="C168" s="9"/>
      <c r="D168" s="9"/>
      <c r="E168" s="9"/>
      <c r="F168" s="9"/>
      <c r="G168" s="9"/>
      <c r="H168" s="9"/>
      <c r="I168" s="9"/>
      <c r="J168" s="9"/>
      <c r="K168" s="9"/>
      <c r="L168" s="9"/>
      <c r="M168" s="9"/>
      <c r="N168" s="9"/>
      <c r="O168" s="9"/>
      <c r="P168" s="9"/>
      <c r="Q168" s="9"/>
      <c r="R168" s="9"/>
    </row>
    <row r="169">
      <c r="A169" s="9"/>
      <c r="B169" s="9"/>
      <c r="C169" s="9"/>
      <c r="D169" s="9"/>
      <c r="E169" s="9"/>
      <c r="F169" s="9"/>
      <c r="G169" s="9"/>
      <c r="H169" s="9"/>
      <c r="I169" s="9"/>
      <c r="J169" s="9"/>
      <c r="K169" s="9"/>
      <c r="L169" s="9"/>
      <c r="M169" s="9"/>
      <c r="N169" s="9"/>
      <c r="O169" s="9"/>
      <c r="P169" s="9"/>
      <c r="Q169" s="9"/>
      <c r="R169" s="9"/>
    </row>
    <row r="170">
      <c r="A170" s="9"/>
      <c r="B170" s="9"/>
      <c r="C170" s="9"/>
      <c r="D170" s="9"/>
      <c r="E170" s="9"/>
      <c r="F170" s="9"/>
      <c r="G170" s="9"/>
      <c r="H170" s="9"/>
      <c r="I170" s="9"/>
      <c r="J170" s="9"/>
      <c r="K170" s="9"/>
      <c r="L170" s="9"/>
      <c r="M170" s="9"/>
      <c r="N170" s="9"/>
      <c r="O170" s="9"/>
      <c r="P170" s="9"/>
      <c r="Q170" s="9"/>
      <c r="R170" s="9"/>
    </row>
    <row r="171">
      <c r="A171" s="9"/>
      <c r="B171" s="9"/>
      <c r="C171" s="9"/>
      <c r="D171" s="9"/>
      <c r="E171" s="9"/>
      <c r="F171" s="9"/>
      <c r="G171" s="9"/>
      <c r="H171" s="9"/>
      <c r="I171" s="9"/>
      <c r="J171" s="9"/>
      <c r="K171" s="9"/>
      <c r="L171" s="9"/>
      <c r="M171" s="9"/>
      <c r="N171" s="9"/>
      <c r="O171" s="9"/>
      <c r="P171" s="9"/>
      <c r="Q171" s="9"/>
      <c r="R171" s="9"/>
    </row>
    <row r="172">
      <c r="A172" s="9"/>
      <c r="B172" s="9"/>
      <c r="C172" s="9"/>
      <c r="D172" s="9"/>
      <c r="E172" s="9"/>
      <c r="F172" s="9"/>
      <c r="G172" s="9"/>
      <c r="H172" s="9"/>
      <c r="I172" s="9"/>
      <c r="J172" s="9"/>
      <c r="K172" s="9"/>
      <c r="L172" s="9"/>
      <c r="M172" s="9"/>
      <c r="N172" s="9"/>
      <c r="O172" s="9"/>
      <c r="P172" s="9"/>
      <c r="Q172" s="9"/>
      <c r="R172" s="9"/>
    </row>
    <row r="173">
      <c r="A173" s="9"/>
      <c r="B173" s="9"/>
      <c r="C173" s="9"/>
      <c r="D173" s="9"/>
      <c r="E173" s="9"/>
      <c r="F173" s="9"/>
      <c r="G173" s="9"/>
      <c r="H173" s="9"/>
      <c r="I173" s="9"/>
      <c r="J173" s="9"/>
      <c r="K173" s="9"/>
      <c r="L173" s="9"/>
      <c r="M173" s="9"/>
      <c r="N173" s="9"/>
      <c r="O173" s="9"/>
      <c r="P173" s="9"/>
      <c r="Q173" s="9"/>
      <c r="R173" s="9"/>
    </row>
    <row r="174">
      <c r="A174" s="9"/>
      <c r="B174" s="9"/>
      <c r="C174" s="9"/>
      <c r="D174" s="9"/>
      <c r="E174" s="9"/>
      <c r="F174" s="9"/>
      <c r="G174" s="9"/>
      <c r="H174" s="9"/>
      <c r="I174" s="9"/>
      <c r="J174" s="9"/>
      <c r="K174" s="9"/>
      <c r="L174" s="9"/>
      <c r="M174" s="9"/>
      <c r="N174" s="9"/>
      <c r="O174" s="9"/>
      <c r="P174" s="9"/>
      <c r="Q174" s="9"/>
      <c r="R174" s="9"/>
    </row>
    <row r="175">
      <c r="A175" s="9"/>
      <c r="B175" s="9"/>
      <c r="C175" s="9"/>
      <c r="D175" s="9"/>
      <c r="E175" s="9"/>
      <c r="F175" s="9"/>
      <c r="G175" s="9"/>
      <c r="H175" s="9"/>
      <c r="I175" s="9"/>
      <c r="J175" s="9"/>
      <c r="K175" s="9"/>
      <c r="L175" s="9"/>
      <c r="M175" s="9"/>
      <c r="N175" s="9"/>
      <c r="O175" s="9"/>
      <c r="P175" s="9"/>
      <c r="Q175" s="9"/>
      <c r="R175" s="9"/>
    </row>
    <row r="176">
      <c r="A176" s="9"/>
      <c r="B176" s="9"/>
      <c r="C176" s="9"/>
      <c r="D176" s="9"/>
      <c r="E176" s="9"/>
      <c r="F176" s="9"/>
      <c r="G176" s="9"/>
      <c r="H176" s="9"/>
      <c r="I176" s="9"/>
      <c r="J176" s="9"/>
      <c r="K176" s="9"/>
      <c r="L176" s="9"/>
      <c r="M176" s="9"/>
      <c r="N176" s="9"/>
      <c r="O176" s="9"/>
      <c r="P176" s="9"/>
      <c r="Q176" s="9"/>
      <c r="R176" s="9"/>
    </row>
    <row r="177">
      <c r="A177" s="9"/>
      <c r="B177" s="9"/>
      <c r="C177" s="9"/>
      <c r="D177" s="9"/>
      <c r="E177" s="9"/>
      <c r="F177" s="9"/>
      <c r="G177" s="9"/>
      <c r="H177" s="9"/>
      <c r="I177" s="9"/>
      <c r="J177" s="9"/>
      <c r="K177" s="9"/>
      <c r="L177" s="9"/>
      <c r="M177" s="9"/>
      <c r="N177" s="9"/>
      <c r="O177" s="9"/>
      <c r="P177" s="9"/>
      <c r="Q177" s="9"/>
      <c r="R177" s="9"/>
    </row>
    <row r="178">
      <c r="A178" s="9"/>
      <c r="B178" s="9"/>
      <c r="C178" s="9"/>
      <c r="D178" s="9"/>
      <c r="E178" s="9"/>
      <c r="F178" s="9"/>
      <c r="G178" s="9"/>
      <c r="H178" s="9"/>
      <c r="I178" s="9"/>
      <c r="J178" s="9"/>
      <c r="K178" s="9"/>
      <c r="L178" s="9"/>
      <c r="M178" s="9"/>
      <c r="N178" s="9"/>
      <c r="O178" s="9"/>
      <c r="P178" s="9"/>
      <c r="Q178" s="9"/>
      <c r="R178" s="9"/>
    </row>
    <row r="179">
      <c r="A179" s="9"/>
      <c r="B179" s="9"/>
      <c r="C179" s="9"/>
      <c r="D179" s="9"/>
      <c r="E179" s="9"/>
      <c r="F179" s="9"/>
      <c r="G179" s="9"/>
      <c r="H179" s="9"/>
      <c r="I179" s="9"/>
      <c r="J179" s="9"/>
      <c r="K179" s="9"/>
      <c r="L179" s="9"/>
      <c r="M179" s="9"/>
      <c r="N179" s="9"/>
      <c r="O179" s="9"/>
      <c r="P179" s="9"/>
      <c r="Q179" s="9"/>
      <c r="R179" s="9"/>
    </row>
    <row r="180">
      <c r="A180" s="9"/>
      <c r="B180" s="9"/>
      <c r="C180" s="9"/>
      <c r="D180" s="9"/>
      <c r="E180" s="9"/>
      <c r="F180" s="9"/>
      <c r="G180" s="9"/>
      <c r="H180" s="9"/>
      <c r="I180" s="9"/>
      <c r="J180" s="9"/>
      <c r="K180" s="9"/>
      <c r="L180" s="9"/>
      <c r="M180" s="9"/>
      <c r="N180" s="9"/>
      <c r="O180" s="9"/>
      <c r="P180" s="9"/>
      <c r="Q180" s="9"/>
      <c r="R180" s="9"/>
    </row>
    <row r="181">
      <c r="A181" s="9"/>
      <c r="B181" s="9"/>
      <c r="C181" s="9"/>
      <c r="D181" s="9"/>
      <c r="E181" s="9"/>
      <c r="F181" s="9"/>
      <c r="G181" s="9"/>
      <c r="H181" s="9"/>
      <c r="I181" s="9"/>
      <c r="J181" s="9"/>
      <c r="K181" s="9"/>
      <c r="L181" s="9"/>
      <c r="M181" s="9"/>
      <c r="N181" s="9"/>
      <c r="O181" s="9"/>
      <c r="P181" s="9"/>
      <c r="Q181" s="9"/>
      <c r="R181" s="9"/>
    </row>
    <row r="182">
      <c r="A182" s="9"/>
      <c r="B182" s="9"/>
      <c r="C182" s="9"/>
      <c r="D182" s="9"/>
      <c r="E182" s="9"/>
      <c r="F182" s="9"/>
      <c r="G182" s="9"/>
      <c r="H182" s="9"/>
      <c r="I182" s="9"/>
      <c r="J182" s="9"/>
      <c r="K182" s="9"/>
      <c r="L182" s="9"/>
      <c r="M182" s="9"/>
      <c r="N182" s="9"/>
      <c r="O182" s="9"/>
      <c r="P182" s="9"/>
      <c r="Q182" s="9"/>
      <c r="R182" s="9"/>
    </row>
    <row r="183">
      <c r="A183" s="9"/>
      <c r="B183" s="9"/>
      <c r="C183" s="9"/>
      <c r="D183" s="9"/>
      <c r="E183" s="9"/>
      <c r="F183" s="9"/>
      <c r="G183" s="9"/>
      <c r="H183" s="9"/>
      <c r="I183" s="9"/>
      <c r="J183" s="9"/>
      <c r="K183" s="9"/>
      <c r="L183" s="9"/>
      <c r="M183" s="9"/>
      <c r="N183" s="9"/>
      <c r="O183" s="9"/>
      <c r="P183" s="9"/>
      <c r="Q183" s="9"/>
      <c r="R183" s="9"/>
    </row>
    <row r="184">
      <c r="A184" s="9"/>
      <c r="B184" s="9"/>
      <c r="C184" s="9"/>
      <c r="D184" s="9"/>
      <c r="E184" s="9"/>
      <c r="F184" s="9"/>
      <c r="G184" s="9"/>
      <c r="H184" s="9"/>
      <c r="I184" s="9"/>
      <c r="J184" s="9"/>
      <c r="K184" s="9"/>
      <c r="L184" s="9"/>
      <c r="M184" s="9"/>
      <c r="N184" s="9"/>
      <c r="O184" s="9"/>
      <c r="P184" s="9"/>
      <c r="Q184" s="9"/>
      <c r="R184" s="9"/>
    </row>
    <row r="185">
      <c r="A185" s="9"/>
      <c r="B185" s="9"/>
      <c r="C185" s="9"/>
      <c r="D185" s="9"/>
      <c r="E185" s="9"/>
      <c r="F185" s="9"/>
      <c r="G185" s="9"/>
      <c r="H185" s="9"/>
      <c r="I185" s="9"/>
      <c r="J185" s="9"/>
      <c r="K185" s="9"/>
      <c r="L185" s="9"/>
      <c r="M185" s="9"/>
      <c r="N185" s="9"/>
      <c r="O185" s="9"/>
      <c r="P185" s="9"/>
      <c r="Q185" s="9"/>
      <c r="R185" s="9"/>
    </row>
    <row r="186">
      <c r="A186" s="9"/>
      <c r="B186" s="9"/>
      <c r="C186" s="9"/>
      <c r="D186" s="9"/>
      <c r="E186" s="9"/>
      <c r="F186" s="9"/>
      <c r="G186" s="9"/>
      <c r="H186" s="9"/>
      <c r="I186" s="9"/>
      <c r="J186" s="9"/>
      <c r="K186" s="9"/>
      <c r="L186" s="9"/>
      <c r="M186" s="9"/>
      <c r="N186" s="9"/>
      <c r="O186" s="9"/>
      <c r="P186" s="9"/>
      <c r="Q186" s="9"/>
      <c r="R186" s="9"/>
    </row>
    <row r="187">
      <c r="A187" s="9"/>
      <c r="B187" s="9"/>
      <c r="C187" s="9"/>
      <c r="D187" s="9"/>
      <c r="E187" s="9"/>
      <c r="F187" s="9"/>
      <c r="G187" s="9"/>
      <c r="H187" s="9"/>
      <c r="I187" s="9"/>
      <c r="J187" s="9"/>
      <c r="K187" s="9"/>
      <c r="L187" s="9"/>
      <c r="M187" s="9"/>
      <c r="N187" s="9"/>
      <c r="O187" s="9"/>
      <c r="P187" s="9"/>
      <c r="Q187" s="9"/>
      <c r="R187" s="9"/>
    </row>
    <row r="188">
      <c r="A188" s="9"/>
      <c r="B188" s="9"/>
      <c r="C188" s="9"/>
      <c r="D188" s="9"/>
      <c r="E188" s="9"/>
      <c r="F188" s="9"/>
      <c r="G188" s="9"/>
      <c r="H188" s="9"/>
      <c r="I188" s="9"/>
      <c r="J188" s="9"/>
      <c r="K188" s="9"/>
      <c r="L188" s="9"/>
      <c r="M188" s="9"/>
      <c r="N188" s="9"/>
      <c r="O188" s="9"/>
      <c r="P188" s="9"/>
      <c r="Q188" s="9"/>
      <c r="R188" s="9"/>
    </row>
    <row r="189">
      <c r="A189" s="9"/>
      <c r="B189" s="9"/>
      <c r="C189" s="9"/>
      <c r="D189" s="9"/>
      <c r="E189" s="9"/>
      <c r="F189" s="9"/>
      <c r="G189" s="9"/>
      <c r="H189" s="9"/>
      <c r="I189" s="9"/>
      <c r="J189" s="9"/>
      <c r="K189" s="9"/>
      <c r="L189" s="9"/>
      <c r="M189" s="9"/>
      <c r="N189" s="9"/>
      <c r="O189" s="9"/>
      <c r="P189" s="9"/>
      <c r="Q189" s="9"/>
      <c r="R189" s="9"/>
    </row>
    <row r="190">
      <c r="A190" s="9"/>
      <c r="B190" s="9"/>
      <c r="C190" s="9"/>
      <c r="D190" s="9"/>
      <c r="E190" s="9"/>
      <c r="F190" s="9"/>
      <c r="G190" s="9"/>
      <c r="H190" s="9"/>
      <c r="I190" s="9"/>
      <c r="J190" s="9"/>
      <c r="K190" s="9"/>
      <c r="L190" s="9"/>
      <c r="M190" s="9"/>
      <c r="N190" s="9"/>
      <c r="O190" s="9"/>
      <c r="P190" s="9"/>
      <c r="Q190" s="9"/>
      <c r="R190" s="9"/>
    </row>
    <row r="191">
      <c r="A191" s="9"/>
      <c r="B191" s="9"/>
      <c r="C191" s="9"/>
      <c r="D191" s="9"/>
      <c r="E191" s="9"/>
      <c r="F191" s="9"/>
      <c r="G191" s="9"/>
      <c r="H191" s="9"/>
      <c r="I191" s="9"/>
      <c r="J191" s="9"/>
      <c r="K191" s="9"/>
      <c r="L191" s="9"/>
      <c r="M191" s="9"/>
      <c r="N191" s="9"/>
      <c r="O191" s="9"/>
      <c r="P191" s="9"/>
      <c r="Q191" s="9"/>
      <c r="R191" s="9"/>
    </row>
    <row r="192">
      <c r="A192" s="9"/>
      <c r="B192" s="9"/>
      <c r="C192" s="9"/>
      <c r="D192" s="9"/>
      <c r="E192" s="9"/>
      <c r="F192" s="9"/>
      <c r="G192" s="9"/>
      <c r="H192" s="9"/>
      <c r="I192" s="9"/>
      <c r="J192" s="9"/>
      <c r="K192" s="9"/>
      <c r="L192" s="9"/>
      <c r="M192" s="9"/>
      <c r="N192" s="9"/>
      <c r="O192" s="9"/>
      <c r="P192" s="9"/>
      <c r="Q192" s="9"/>
      <c r="R192" s="9"/>
    </row>
    <row r="193">
      <c r="A193" s="9"/>
      <c r="B193" s="9"/>
      <c r="C193" s="9"/>
      <c r="D193" s="9"/>
      <c r="E193" s="9"/>
      <c r="F193" s="9"/>
      <c r="G193" s="9"/>
      <c r="H193" s="9"/>
      <c r="I193" s="9"/>
      <c r="J193" s="9"/>
      <c r="K193" s="9"/>
      <c r="L193" s="9"/>
      <c r="M193" s="9"/>
      <c r="N193" s="9"/>
      <c r="O193" s="9"/>
      <c r="P193" s="9"/>
      <c r="Q193" s="9"/>
      <c r="R193" s="9"/>
    </row>
    <row r="194">
      <c r="A194" s="9"/>
      <c r="B194" s="9"/>
      <c r="C194" s="9"/>
      <c r="D194" s="9"/>
      <c r="E194" s="9"/>
      <c r="F194" s="9"/>
      <c r="G194" s="9"/>
      <c r="H194" s="9"/>
      <c r="I194" s="9"/>
      <c r="J194" s="9"/>
      <c r="K194" s="9"/>
      <c r="L194" s="9"/>
      <c r="M194" s="9"/>
      <c r="N194" s="9"/>
      <c r="O194" s="9"/>
      <c r="P194" s="9"/>
      <c r="Q194" s="9"/>
      <c r="R194" s="9"/>
    </row>
    <row r="195">
      <c r="A195" s="9"/>
      <c r="B195" s="9"/>
      <c r="C195" s="9"/>
      <c r="D195" s="9"/>
      <c r="E195" s="9"/>
      <c r="F195" s="9"/>
      <c r="G195" s="9"/>
      <c r="H195" s="9"/>
      <c r="I195" s="9"/>
      <c r="J195" s="9"/>
      <c r="K195" s="9"/>
      <c r="L195" s="9"/>
      <c r="M195" s="9"/>
      <c r="N195" s="9"/>
      <c r="O195" s="9"/>
      <c r="P195" s="9"/>
      <c r="Q195" s="9"/>
      <c r="R195" s="9"/>
    </row>
    <row r="196">
      <c r="A196" s="9"/>
      <c r="B196" s="9"/>
      <c r="C196" s="9"/>
      <c r="D196" s="9"/>
      <c r="E196" s="9"/>
      <c r="F196" s="9"/>
      <c r="G196" s="9"/>
      <c r="H196" s="9"/>
      <c r="I196" s="9"/>
      <c r="J196" s="9"/>
      <c r="K196" s="9"/>
      <c r="L196" s="9"/>
      <c r="M196" s="9"/>
      <c r="N196" s="9"/>
      <c r="O196" s="9"/>
      <c r="P196" s="9"/>
      <c r="Q196" s="9"/>
      <c r="R196" s="9"/>
    </row>
    <row r="197">
      <c r="A197" s="9"/>
      <c r="B197" s="9"/>
      <c r="C197" s="9"/>
      <c r="D197" s="9"/>
      <c r="E197" s="9"/>
      <c r="F197" s="9"/>
      <c r="G197" s="9"/>
      <c r="H197" s="9"/>
      <c r="I197" s="9"/>
      <c r="J197" s="9"/>
      <c r="K197" s="9"/>
      <c r="L197" s="9"/>
      <c r="M197" s="9"/>
      <c r="N197" s="9"/>
      <c r="O197" s="9"/>
      <c r="P197" s="9"/>
      <c r="Q197" s="9"/>
      <c r="R197" s="9"/>
    </row>
    <row r="198">
      <c r="A198" s="9"/>
      <c r="B198" s="9"/>
      <c r="C198" s="9"/>
      <c r="D198" s="9"/>
      <c r="E198" s="9"/>
      <c r="F198" s="9"/>
      <c r="G198" s="9"/>
      <c r="H198" s="9"/>
      <c r="I198" s="9"/>
      <c r="J198" s="9"/>
      <c r="K198" s="9"/>
      <c r="L198" s="9"/>
      <c r="M198" s="9"/>
      <c r="N198" s="9"/>
      <c r="O198" s="9"/>
      <c r="P198" s="9"/>
      <c r="Q198" s="9"/>
      <c r="R198" s="9"/>
    </row>
    <row r="199">
      <c r="A199" s="9"/>
      <c r="B199" s="9"/>
      <c r="C199" s="9"/>
      <c r="D199" s="9"/>
      <c r="E199" s="9"/>
      <c r="F199" s="9"/>
      <c r="G199" s="9"/>
      <c r="H199" s="9"/>
      <c r="I199" s="9"/>
      <c r="J199" s="9"/>
      <c r="K199" s="9"/>
      <c r="L199" s="9"/>
      <c r="M199" s="9"/>
      <c r="N199" s="9"/>
      <c r="O199" s="9"/>
      <c r="P199" s="9"/>
      <c r="Q199" s="9"/>
      <c r="R199" s="9"/>
    </row>
    <row r="200">
      <c r="A200" s="9"/>
      <c r="B200" s="9"/>
      <c r="C200" s="9"/>
      <c r="D200" s="9"/>
      <c r="E200" s="9"/>
      <c r="F200" s="9"/>
      <c r="G200" s="9"/>
      <c r="H200" s="9"/>
      <c r="I200" s="9"/>
      <c r="J200" s="9"/>
      <c r="K200" s="9"/>
      <c r="L200" s="9"/>
      <c r="M200" s="9"/>
      <c r="N200" s="9"/>
      <c r="O200" s="9"/>
      <c r="P200" s="9"/>
      <c r="Q200" s="9"/>
      <c r="R200" s="9"/>
    </row>
    <row r="201">
      <c r="A201" s="9"/>
      <c r="B201" s="9"/>
      <c r="C201" s="9"/>
      <c r="D201" s="9"/>
      <c r="E201" s="9"/>
      <c r="F201" s="9"/>
      <c r="G201" s="9"/>
      <c r="H201" s="9"/>
      <c r="I201" s="9"/>
      <c r="J201" s="9"/>
      <c r="K201" s="9"/>
      <c r="L201" s="9"/>
      <c r="M201" s="9"/>
      <c r="N201" s="9"/>
      <c r="O201" s="9"/>
      <c r="P201" s="9"/>
      <c r="Q201" s="9"/>
      <c r="R201" s="9"/>
    </row>
    <row r="202">
      <c r="A202" s="9"/>
      <c r="B202" s="9"/>
      <c r="C202" s="9"/>
      <c r="D202" s="9"/>
      <c r="E202" s="9"/>
      <c r="F202" s="9"/>
      <c r="G202" s="9"/>
      <c r="H202" s="9"/>
      <c r="I202" s="9"/>
      <c r="J202" s="9"/>
      <c r="K202" s="9"/>
      <c r="L202" s="9"/>
      <c r="M202" s="9"/>
      <c r="N202" s="9"/>
      <c r="O202" s="9"/>
      <c r="P202" s="9"/>
      <c r="Q202" s="9"/>
      <c r="R202" s="9"/>
    </row>
    <row r="203">
      <c r="A203" s="9"/>
      <c r="B203" s="9"/>
      <c r="C203" s="9"/>
      <c r="D203" s="9"/>
      <c r="E203" s="9"/>
      <c r="F203" s="9"/>
      <c r="G203" s="9"/>
      <c r="H203" s="9"/>
      <c r="I203" s="9"/>
      <c r="J203" s="9"/>
      <c r="K203" s="9"/>
      <c r="L203" s="9"/>
      <c r="M203" s="9"/>
      <c r="N203" s="9"/>
      <c r="O203" s="9"/>
      <c r="P203" s="9"/>
      <c r="Q203" s="9"/>
      <c r="R203" s="9"/>
    </row>
    <row r="204">
      <c r="A204" s="9"/>
      <c r="B204" s="9"/>
      <c r="C204" s="9"/>
      <c r="D204" s="9"/>
      <c r="E204" s="9"/>
      <c r="F204" s="9"/>
      <c r="G204" s="9"/>
      <c r="H204" s="9"/>
      <c r="I204" s="9"/>
      <c r="J204" s="9"/>
      <c r="K204" s="9"/>
      <c r="L204" s="9"/>
      <c r="M204" s="9"/>
      <c r="N204" s="9"/>
      <c r="O204" s="9"/>
      <c r="P204" s="9"/>
      <c r="Q204" s="9"/>
      <c r="R204" s="9"/>
    </row>
    <row r="205">
      <c r="A205" s="9"/>
      <c r="B205" s="9"/>
      <c r="C205" s="9"/>
      <c r="D205" s="9"/>
      <c r="E205" s="9"/>
      <c r="F205" s="9"/>
      <c r="G205" s="9"/>
      <c r="H205" s="9"/>
      <c r="I205" s="9"/>
      <c r="J205" s="9"/>
      <c r="K205" s="9"/>
      <c r="L205" s="9"/>
      <c r="M205" s="9"/>
      <c r="N205" s="9"/>
      <c r="O205" s="9"/>
      <c r="P205" s="9"/>
      <c r="Q205" s="9"/>
      <c r="R205" s="9"/>
    </row>
    <row r="206">
      <c r="A206" s="9"/>
      <c r="B206" s="9"/>
      <c r="C206" s="9"/>
      <c r="D206" s="9"/>
      <c r="E206" s="9"/>
      <c r="F206" s="9"/>
      <c r="G206" s="9"/>
      <c r="H206" s="9"/>
      <c r="I206" s="9"/>
      <c r="J206" s="9"/>
      <c r="K206" s="9"/>
      <c r="L206" s="9"/>
      <c r="M206" s="9"/>
      <c r="N206" s="9"/>
      <c r="O206" s="9"/>
      <c r="P206" s="9"/>
      <c r="Q206" s="9"/>
      <c r="R206" s="9"/>
    </row>
    <row r="207">
      <c r="A207" s="9"/>
      <c r="B207" s="9"/>
      <c r="C207" s="9"/>
      <c r="D207" s="9"/>
      <c r="E207" s="9"/>
      <c r="F207" s="9"/>
      <c r="G207" s="9"/>
      <c r="H207" s="9"/>
      <c r="I207" s="9"/>
      <c r="J207" s="9"/>
      <c r="K207" s="9"/>
      <c r="L207" s="9"/>
      <c r="M207" s="9"/>
      <c r="N207" s="9"/>
      <c r="O207" s="9"/>
      <c r="P207" s="9"/>
      <c r="Q207" s="9"/>
      <c r="R207" s="9"/>
    </row>
    <row r="208">
      <c r="A208" s="9"/>
      <c r="B208" s="9"/>
      <c r="C208" s="9"/>
      <c r="D208" s="9"/>
      <c r="E208" s="9"/>
      <c r="F208" s="9"/>
      <c r="G208" s="9"/>
      <c r="H208" s="9"/>
      <c r="I208" s="9"/>
      <c r="J208" s="9"/>
      <c r="K208" s="9"/>
      <c r="L208" s="9"/>
      <c r="M208" s="9"/>
      <c r="N208" s="9"/>
      <c r="O208" s="9"/>
      <c r="P208" s="9"/>
      <c r="Q208" s="9"/>
      <c r="R208" s="9"/>
    </row>
    <row r="209">
      <c r="A209" s="9"/>
      <c r="B209" s="9"/>
      <c r="C209" s="9"/>
      <c r="D209" s="9"/>
      <c r="E209" s="9"/>
      <c r="F209" s="9"/>
      <c r="G209" s="9"/>
      <c r="H209" s="9"/>
      <c r="I209" s="9"/>
      <c r="J209" s="9"/>
      <c r="K209" s="9"/>
      <c r="L209" s="9"/>
      <c r="M209" s="9"/>
      <c r="N209" s="9"/>
      <c r="O209" s="9"/>
      <c r="P209" s="9"/>
      <c r="Q209" s="9"/>
      <c r="R209" s="9"/>
    </row>
    <row r="210">
      <c r="A210" s="9"/>
      <c r="B210" s="9"/>
      <c r="C210" s="9"/>
      <c r="D210" s="9"/>
      <c r="E210" s="9"/>
      <c r="F210" s="9"/>
      <c r="G210" s="9"/>
      <c r="H210" s="9"/>
      <c r="I210" s="9"/>
      <c r="J210" s="9"/>
      <c r="K210" s="9"/>
      <c r="L210" s="9"/>
      <c r="M210" s="9"/>
      <c r="N210" s="9"/>
      <c r="O210" s="9"/>
      <c r="P210" s="9"/>
      <c r="Q210" s="9"/>
      <c r="R210" s="9"/>
    </row>
    <row r="211">
      <c r="A211" s="9"/>
      <c r="B211" s="9"/>
      <c r="C211" s="9"/>
      <c r="D211" s="9"/>
      <c r="E211" s="9"/>
      <c r="F211" s="9"/>
      <c r="G211" s="9"/>
      <c r="H211" s="9"/>
      <c r="I211" s="9"/>
      <c r="J211" s="9"/>
      <c r="K211" s="9"/>
      <c r="L211" s="9"/>
      <c r="M211" s="9"/>
      <c r="N211" s="9"/>
      <c r="O211" s="9"/>
      <c r="P211" s="9"/>
      <c r="Q211" s="9"/>
      <c r="R211" s="9"/>
    </row>
    <row r="212">
      <c r="A212" s="9"/>
      <c r="B212" s="9"/>
      <c r="C212" s="9"/>
      <c r="D212" s="9"/>
      <c r="E212" s="9"/>
      <c r="F212" s="9"/>
      <c r="G212" s="9"/>
      <c r="H212" s="9"/>
      <c r="I212" s="9"/>
      <c r="J212" s="9"/>
      <c r="K212" s="9"/>
      <c r="L212" s="9"/>
      <c r="M212" s="9"/>
      <c r="N212" s="9"/>
      <c r="O212" s="9"/>
      <c r="P212" s="9"/>
      <c r="Q212" s="9"/>
      <c r="R212" s="9"/>
    </row>
    <row r="213">
      <c r="A213" s="9"/>
      <c r="B213" s="9"/>
      <c r="C213" s="9"/>
      <c r="D213" s="9"/>
      <c r="E213" s="9"/>
      <c r="F213" s="9"/>
      <c r="G213" s="9"/>
      <c r="H213" s="9"/>
      <c r="I213" s="9"/>
      <c r="J213" s="9"/>
      <c r="K213" s="9"/>
      <c r="L213" s="9"/>
      <c r="M213" s="9"/>
      <c r="N213" s="9"/>
      <c r="O213" s="9"/>
      <c r="P213" s="9"/>
      <c r="Q213" s="9"/>
      <c r="R213" s="9"/>
    </row>
    <row r="214">
      <c r="A214" s="9"/>
      <c r="B214" s="9"/>
      <c r="C214" s="9"/>
      <c r="D214" s="9"/>
      <c r="E214" s="9"/>
      <c r="F214" s="9"/>
      <c r="G214" s="9"/>
      <c r="H214" s="9"/>
      <c r="I214" s="9"/>
      <c r="J214" s="9"/>
      <c r="K214" s="9"/>
      <c r="L214" s="9"/>
      <c r="M214" s="9"/>
      <c r="N214" s="9"/>
      <c r="O214" s="9"/>
      <c r="P214" s="9"/>
      <c r="Q214" s="9"/>
      <c r="R214" s="9"/>
    </row>
    <row r="215">
      <c r="A215" s="9"/>
      <c r="B215" s="9"/>
      <c r="C215" s="9"/>
      <c r="D215" s="9"/>
      <c r="E215" s="9"/>
      <c r="F215" s="9"/>
      <c r="G215" s="9"/>
      <c r="H215" s="9"/>
      <c r="I215" s="9"/>
      <c r="J215" s="9"/>
      <c r="K215" s="9"/>
      <c r="L215" s="9"/>
      <c r="M215" s="9"/>
      <c r="N215" s="9"/>
      <c r="O215" s="9"/>
      <c r="P215" s="9"/>
      <c r="Q215" s="9"/>
      <c r="R215" s="9"/>
    </row>
    <row r="216">
      <c r="A216" s="9"/>
      <c r="B216" s="9"/>
      <c r="C216" s="9"/>
      <c r="D216" s="9"/>
      <c r="E216" s="9"/>
      <c r="F216" s="9"/>
      <c r="G216" s="9"/>
      <c r="H216" s="9"/>
      <c r="I216" s="9"/>
      <c r="J216" s="9"/>
      <c r="K216" s="9"/>
      <c r="L216" s="9"/>
      <c r="M216" s="9"/>
      <c r="N216" s="9"/>
      <c r="O216" s="9"/>
      <c r="P216" s="9"/>
      <c r="Q216" s="9"/>
      <c r="R216" s="9"/>
    </row>
    <row r="217">
      <c r="A217" s="9"/>
      <c r="B217" s="9"/>
      <c r="C217" s="9"/>
      <c r="D217" s="9"/>
      <c r="E217" s="9"/>
      <c r="F217" s="9"/>
      <c r="G217" s="9"/>
      <c r="H217" s="9"/>
      <c r="I217" s="9"/>
      <c r="J217" s="9"/>
      <c r="K217" s="9"/>
      <c r="L217" s="9"/>
      <c r="M217" s="9"/>
      <c r="N217" s="9"/>
      <c r="O217" s="9"/>
      <c r="P217" s="9"/>
      <c r="Q217" s="9"/>
      <c r="R217" s="9"/>
    </row>
    <row r="218">
      <c r="A218" s="9"/>
      <c r="B218" s="9"/>
      <c r="C218" s="9"/>
      <c r="D218" s="9"/>
      <c r="E218" s="9"/>
      <c r="F218" s="9"/>
      <c r="G218" s="9"/>
      <c r="H218" s="9"/>
      <c r="I218" s="9"/>
      <c r="J218" s="9"/>
      <c r="K218" s="9"/>
      <c r="L218" s="9"/>
      <c r="M218" s="9"/>
      <c r="N218" s="9"/>
      <c r="O218" s="9"/>
      <c r="P218" s="9"/>
      <c r="Q218" s="9"/>
      <c r="R218" s="9"/>
    </row>
    <row r="219">
      <c r="A219" s="9"/>
      <c r="B219" s="9"/>
      <c r="C219" s="9"/>
      <c r="D219" s="9"/>
      <c r="E219" s="9"/>
      <c r="F219" s="9"/>
      <c r="G219" s="9"/>
      <c r="H219" s="9"/>
      <c r="I219" s="9"/>
      <c r="J219" s="9"/>
      <c r="K219" s="9"/>
      <c r="L219" s="9"/>
      <c r="M219" s="9"/>
      <c r="N219" s="9"/>
      <c r="O219" s="9"/>
      <c r="P219" s="9"/>
      <c r="Q219" s="9"/>
      <c r="R219" s="9"/>
    </row>
    <row r="220">
      <c r="A220" s="9"/>
      <c r="B220" s="9"/>
      <c r="C220" s="9"/>
      <c r="D220" s="9"/>
      <c r="E220" s="9"/>
      <c r="F220" s="9"/>
      <c r="G220" s="9"/>
      <c r="H220" s="9"/>
      <c r="I220" s="9"/>
      <c r="J220" s="9"/>
      <c r="K220" s="9"/>
      <c r="L220" s="9"/>
      <c r="M220" s="9"/>
      <c r="N220" s="9"/>
      <c r="O220" s="9"/>
      <c r="P220" s="9"/>
      <c r="Q220" s="9"/>
      <c r="R220" s="9"/>
    </row>
    <row r="221">
      <c r="A221" s="9"/>
      <c r="B221" s="9"/>
      <c r="C221" s="9"/>
      <c r="D221" s="9"/>
      <c r="E221" s="9"/>
      <c r="F221" s="9"/>
      <c r="G221" s="9"/>
      <c r="H221" s="9"/>
      <c r="I221" s="9"/>
      <c r="J221" s="9"/>
      <c r="K221" s="9"/>
      <c r="L221" s="9"/>
      <c r="M221" s="9"/>
      <c r="N221" s="9"/>
      <c r="O221" s="9"/>
      <c r="P221" s="9"/>
      <c r="Q221" s="9"/>
      <c r="R221" s="9"/>
    </row>
    <row r="222">
      <c r="A222" s="9"/>
      <c r="B222" s="9"/>
      <c r="C222" s="9"/>
      <c r="D222" s="9"/>
      <c r="E222" s="9"/>
      <c r="F222" s="9"/>
      <c r="G222" s="9"/>
      <c r="H222" s="9"/>
      <c r="I222" s="9"/>
      <c r="J222" s="9"/>
      <c r="K222" s="9"/>
      <c r="L222" s="9"/>
      <c r="M222" s="9"/>
      <c r="N222" s="9"/>
      <c r="O222" s="9"/>
      <c r="P222" s="9"/>
      <c r="Q222" s="9"/>
      <c r="R222" s="9"/>
    </row>
    <row r="223">
      <c r="A223" s="9"/>
      <c r="B223" s="9"/>
      <c r="C223" s="9"/>
      <c r="D223" s="9"/>
      <c r="E223" s="9"/>
      <c r="F223" s="9"/>
      <c r="G223" s="9"/>
      <c r="H223" s="9"/>
      <c r="I223" s="9"/>
      <c r="J223" s="9"/>
      <c r="K223" s="9"/>
      <c r="L223" s="9"/>
      <c r="M223" s="9"/>
      <c r="N223" s="9"/>
      <c r="O223" s="9"/>
      <c r="P223" s="9"/>
      <c r="Q223" s="9"/>
      <c r="R223" s="9"/>
    </row>
    <row r="224">
      <c r="A224" s="9"/>
      <c r="B224" s="9"/>
      <c r="C224" s="9"/>
      <c r="D224" s="9"/>
      <c r="E224" s="9"/>
      <c r="F224" s="9"/>
      <c r="G224" s="9"/>
      <c r="H224" s="9"/>
      <c r="I224" s="9"/>
      <c r="J224" s="9"/>
      <c r="K224" s="9"/>
      <c r="L224" s="9"/>
      <c r="M224" s="9"/>
      <c r="N224" s="9"/>
      <c r="O224" s="9"/>
      <c r="P224" s="9"/>
      <c r="Q224" s="9"/>
      <c r="R224" s="9"/>
    </row>
    <row r="225">
      <c r="A225" s="9"/>
      <c r="B225" s="9"/>
      <c r="C225" s="9"/>
      <c r="D225" s="9"/>
      <c r="E225" s="9"/>
      <c r="F225" s="9"/>
      <c r="G225" s="9"/>
      <c r="H225" s="9"/>
      <c r="I225" s="9"/>
      <c r="J225" s="9"/>
      <c r="K225" s="9"/>
      <c r="L225" s="9"/>
      <c r="M225" s="9"/>
      <c r="N225" s="9"/>
      <c r="O225" s="9"/>
      <c r="P225" s="9"/>
      <c r="Q225" s="9"/>
      <c r="R225" s="9"/>
    </row>
    <row r="226">
      <c r="A226" s="9"/>
      <c r="B226" s="9"/>
      <c r="C226" s="9"/>
      <c r="D226" s="9"/>
      <c r="E226" s="9"/>
      <c r="F226" s="9"/>
      <c r="G226" s="9"/>
      <c r="H226" s="9"/>
      <c r="I226" s="9"/>
      <c r="J226" s="9"/>
      <c r="K226" s="9"/>
      <c r="L226" s="9"/>
      <c r="M226" s="9"/>
      <c r="N226" s="9"/>
      <c r="O226" s="9"/>
      <c r="P226" s="9"/>
      <c r="Q226" s="9"/>
      <c r="R226" s="9"/>
    </row>
    <row r="227">
      <c r="A227" s="9"/>
      <c r="B227" s="9"/>
      <c r="C227" s="9"/>
      <c r="D227" s="9"/>
      <c r="E227" s="9"/>
      <c r="F227" s="9"/>
      <c r="G227" s="9"/>
      <c r="H227" s="9"/>
      <c r="I227" s="9"/>
      <c r="J227" s="9"/>
      <c r="K227" s="9"/>
      <c r="L227" s="9"/>
      <c r="M227" s="9"/>
      <c r="N227" s="9"/>
      <c r="O227" s="9"/>
      <c r="P227" s="9"/>
      <c r="Q227" s="9"/>
      <c r="R227" s="9"/>
    </row>
    <row r="228">
      <c r="A228" s="9"/>
      <c r="B228" s="9"/>
      <c r="C228" s="9"/>
      <c r="D228" s="9"/>
      <c r="E228" s="9"/>
      <c r="F228" s="9"/>
      <c r="G228" s="9"/>
      <c r="H228" s="9"/>
      <c r="I228" s="9"/>
      <c r="J228" s="9"/>
      <c r="K228" s="9"/>
      <c r="L228" s="9"/>
      <c r="M228" s="9"/>
      <c r="N228" s="9"/>
      <c r="O228" s="9"/>
      <c r="P228" s="9"/>
      <c r="Q228" s="9"/>
      <c r="R228" s="9"/>
    </row>
    <row r="229">
      <c r="A229" s="9"/>
      <c r="B229" s="9"/>
      <c r="C229" s="9"/>
      <c r="D229" s="9"/>
      <c r="E229" s="9"/>
      <c r="F229" s="9"/>
      <c r="G229" s="9"/>
      <c r="H229" s="9"/>
      <c r="I229" s="9"/>
      <c r="J229" s="9"/>
      <c r="K229" s="9"/>
      <c r="L229" s="9"/>
      <c r="M229" s="9"/>
      <c r="N229" s="9"/>
      <c r="O229" s="9"/>
      <c r="P229" s="9"/>
      <c r="Q229" s="9"/>
      <c r="R229" s="9"/>
    </row>
    <row r="230">
      <c r="A230" s="9"/>
      <c r="B230" s="9"/>
      <c r="C230" s="9"/>
      <c r="D230" s="9"/>
      <c r="E230" s="9"/>
      <c r="F230" s="9"/>
      <c r="G230" s="9"/>
      <c r="H230" s="9"/>
      <c r="I230" s="9"/>
      <c r="J230" s="9"/>
      <c r="K230" s="9"/>
      <c r="L230" s="9"/>
      <c r="M230" s="9"/>
      <c r="N230" s="9"/>
      <c r="O230" s="9"/>
      <c r="P230" s="9"/>
      <c r="Q230" s="9"/>
      <c r="R230" s="9"/>
    </row>
    <row r="231">
      <c r="A231" s="9"/>
      <c r="B231" s="9"/>
      <c r="C231" s="9"/>
      <c r="D231" s="9"/>
      <c r="E231" s="9"/>
      <c r="F231" s="9"/>
      <c r="G231" s="9"/>
      <c r="H231" s="9"/>
      <c r="I231" s="9"/>
      <c r="J231" s="9"/>
      <c r="K231" s="9"/>
      <c r="L231" s="9"/>
      <c r="M231" s="9"/>
      <c r="N231" s="9"/>
      <c r="O231" s="9"/>
      <c r="P231" s="9"/>
      <c r="Q231" s="9"/>
      <c r="R231" s="9"/>
    </row>
    <row r="232">
      <c r="A232" s="9"/>
      <c r="B232" s="9"/>
      <c r="C232" s="9"/>
      <c r="D232" s="9"/>
      <c r="E232" s="9"/>
      <c r="F232" s="9"/>
      <c r="G232" s="9"/>
      <c r="H232" s="9"/>
      <c r="I232" s="9"/>
      <c r="J232" s="9"/>
      <c r="K232" s="9"/>
      <c r="L232" s="9"/>
      <c r="M232" s="9"/>
      <c r="N232" s="9"/>
      <c r="O232" s="9"/>
      <c r="P232" s="9"/>
      <c r="Q232" s="9"/>
      <c r="R232" s="9"/>
    </row>
    <row r="233">
      <c r="A233" s="9"/>
      <c r="B233" s="9"/>
      <c r="C233" s="9"/>
      <c r="D233" s="9"/>
      <c r="E233" s="9"/>
      <c r="F233" s="9"/>
      <c r="G233" s="9"/>
      <c r="H233" s="9"/>
      <c r="I233" s="9"/>
      <c r="J233" s="9"/>
      <c r="K233" s="9"/>
      <c r="L233" s="9"/>
      <c r="M233" s="9"/>
      <c r="N233" s="9"/>
      <c r="O233" s="9"/>
      <c r="P233" s="9"/>
      <c r="Q233" s="9"/>
      <c r="R233" s="9"/>
    </row>
    <row r="234">
      <c r="A234" s="9"/>
      <c r="B234" s="9"/>
      <c r="C234" s="9"/>
      <c r="D234" s="9"/>
      <c r="E234" s="9"/>
      <c r="F234" s="9"/>
      <c r="G234" s="9"/>
      <c r="H234" s="9"/>
      <c r="I234" s="9"/>
      <c r="J234" s="9"/>
      <c r="K234" s="9"/>
      <c r="L234" s="9"/>
      <c r="M234" s="9"/>
      <c r="N234" s="9"/>
      <c r="O234" s="9"/>
      <c r="P234" s="9"/>
      <c r="Q234" s="9"/>
      <c r="R234" s="9"/>
    </row>
    <row r="235">
      <c r="A235" s="9"/>
      <c r="B235" s="9"/>
      <c r="C235" s="9"/>
      <c r="D235" s="9"/>
      <c r="E235" s="9"/>
      <c r="F235" s="9"/>
      <c r="G235" s="9"/>
      <c r="H235" s="9"/>
      <c r="I235" s="9"/>
      <c r="J235" s="9"/>
      <c r="K235" s="9"/>
      <c r="L235" s="9"/>
      <c r="M235" s="9"/>
      <c r="N235" s="9"/>
      <c r="O235" s="9"/>
      <c r="P235" s="9"/>
      <c r="Q235" s="9"/>
      <c r="R235" s="9"/>
    </row>
    <row r="236">
      <c r="A236" s="9"/>
      <c r="B236" s="9"/>
      <c r="C236" s="9"/>
      <c r="D236" s="9"/>
      <c r="E236" s="9"/>
      <c r="F236" s="9"/>
      <c r="G236" s="9"/>
      <c r="H236" s="9"/>
      <c r="I236" s="9"/>
      <c r="J236" s="9"/>
      <c r="K236" s="9"/>
      <c r="L236" s="9"/>
      <c r="M236" s="9"/>
      <c r="N236" s="9"/>
      <c r="O236" s="9"/>
      <c r="P236" s="9"/>
      <c r="Q236" s="9"/>
      <c r="R236" s="9"/>
    </row>
    <row r="237">
      <c r="A237" s="9"/>
      <c r="B237" s="9"/>
      <c r="C237" s="9"/>
      <c r="D237" s="9"/>
      <c r="E237" s="9"/>
      <c r="F237" s="9"/>
      <c r="G237" s="9"/>
      <c r="H237" s="9"/>
      <c r="I237" s="9"/>
      <c r="J237" s="9"/>
      <c r="K237" s="9"/>
      <c r="L237" s="9"/>
      <c r="M237" s="9"/>
      <c r="N237" s="9"/>
      <c r="O237" s="9"/>
      <c r="P237" s="9"/>
      <c r="Q237" s="9"/>
      <c r="R237" s="9"/>
    </row>
    <row r="238">
      <c r="A238" s="9"/>
      <c r="B238" s="9"/>
      <c r="C238" s="9"/>
      <c r="D238" s="9"/>
      <c r="E238" s="9"/>
      <c r="F238" s="9"/>
      <c r="G238" s="9"/>
      <c r="H238" s="9"/>
      <c r="I238" s="9"/>
      <c r="J238" s="9"/>
      <c r="K238" s="9"/>
      <c r="L238" s="9"/>
      <c r="M238" s="9"/>
      <c r="N238" s="9"/>
      <c r="O238" s="9"/>
      <c r="P238" s="9"/>
      <c r="Q238" s="9"/>
      <c r="R238" s="9"/>
    </row>
    <row r="239">
      <c r="A239" s="9"/>
      <c r="B239" s="9"/>
      <c r="C239" s="9"/>
      <c r="D239" s="9"/>
      <c r="E239" s="9"/>
      <c r="F239" s="9"/>
      <c r="G239" s="9"/>
      <c r="H239" s="9"/>
      <c r="I239" s="9"/>
      <c r="J239" s="9"/>
      <c r="K239" s="9"/>
      <c r="L239" s="9"/>
      <c r="M239" s="9"/>
      <c r="N239" s="9"/>
      <c r="O239" s="9"/>
      <c r="P239" s="9"/>
      <c r="Q239" s="9"/>
      <c r="R239" s="9"/>
    </row>
    <row r="240">
      <c r="A240" s="9"/>
      <c r="B240" s="9"/>
      <c r="C240" s="9"/>
      <c r="D240" s="9"/>
      <c r="E240" s="9"/>
      <c r="F240" s="9"/>
      <c r="G240" s="9"/>
      <c r="H240" s="9"/>
      <c r="I240" s="9"/>
      <c r="J240" s="9"/>
      <c r="K240" s="9"/>
      <c r="L240" s="9"/>
      <c r="M240" s="9"/>
      <c r="N240" s="9"/>
      <c r="O240" s="9"/>
      <c r="P240" s="9"/>
      <c r="Q240" s="9"/>
      <c r="R240" s="9"/>
    </row>
    <row r="241">
      <c r="A241" s="9"/>
      <c r="B241" s="9"/>
      <c r="C241" s="9"/>
      <c r="D241" s="9"/>
      <c r="E241" s="9"/>
      <c r="F241" s="9"/>
      <c r="G241" s="9"/>
      <c r="H241" s="9"/>
      <c r="I241" s="9"/>
      <c r="J241" s="9"/>
      <c r="K241" s="9"/>
      <c r="L241" s="9"/>
      <c r="M241" s="9"/>
      <c r="N241" s="9"/>
      <c r="O241" s="9"/>
      <c r="P241" s="9"/>
      <c r="Q241" s="9"/>
      <c r="R241" s="9"/>
    </row>
    <row r="242">
      <c r="A242" s="9"/>
      <c r="B242" s="9"/>
      <c r="C242" s="9"/>
      <c r="D242" s="9"/>
      <c r="E242" s="9"/>
      <c r="F242" s="9"/>
      <c r="G242" s="9"/>
      <c r="H242" s="9"/>
      <c r="I242" s="9"/>
      <c r="J242" s="9"/>
      <c r="K242" s="9"/>
      <c r="L242" s="9"/>
      <c r="M242" s="9"/>
      <c r="N242" s="9"/>
      <c r="O242" s="9"/>
      <c r="P242" s="9"/>
      <c r="Q242" s="9"/>
      <c r="R242" s="9"/>
    </row>
    <row r="243">
      <c r="A243" s="9"/>
      <c r="B243" s="9"/>
      <c r="C243" s="9"/>
      <c r="D243" s="9"/>
      <c r="E243" s="9"/>
      <c r="F243" s="9"/>
      <c r="G243" s="9"/>
      <c r="H243" s="9"/>
      <c r="I243" s="9"/>
      <c r="J243" s="9"/>
      <c r="K243" s="9"/>
      <c r="L243" s="9"/>
      <c r="M243" s="9"/>
      <c r="N243" s="9"/>
      <c r="O243" s="9"/>
      <c r="P243" s="9"/>
      <c r="Q243" s="9"/>
      <c r="R243" s="9"/>
    </row>
    <row r="244">
      <c r="A244" s="9"/>
      <c r="B244" s="9"/>
      <c r="C244" s="9"/>
      <c r="D244" s="9"/>
      <c r="E244" s="9"/>
      <c r="F244" s="9"/>
      <c r="G244" s="9"/>
      <c r="H244" s="9"/>
      <c r="I244" s="9"/>
      <c r="J244" s="9"/>
      <c r="K244" s="9"/>
      <c r="L244" s="9"/>
      <c r="M244" s="9"/>
      <c r="N244" s="9"/>
      <c r="O244" s="9"/>
      <c r="P244" s="9"/>
      <c r="Q244" s="9"/>
      <c r="R244" s="9"/>
    </row>
    <row r="245">
      <c r="A245" s="9"/>
      <c r="B245" s="9"/>
      <c r="C245" s="9"/>
      <c r="D245" s="9"/>
      <c r="E245" s="9"/>
      <c r="F245" s="9"/>
      <c r="G245" s="9"/>
      <c r="H245" s="9"/>
      <c r="I245" s="9"/>
      <c r="J245" s="9"/>
      <c r="K245" s="9"/>
      <c r="L245" s="9"/>
      <c r="M245" s="9"/>
      <c r="N245" s="9"/>
      <c r="O245" s="9"/>
      <c r="P245" s="9"/>
      <c r="Q245" s="9"/>
      <c r="R245" s="9"/>
    </row>
    <row r="246">
      <c r="A246" s="9"/>
      <c r="B246" s="9"/>
      <c r="C246" s="9"/>
      <c r="D246" s="9"/>
      <c r="E246" s="9"/>
      <c r="F246" s="9"/>
      <c r="G246" s="9"/>
      <c r="H246" s="9"/>
      <c r="I246" s="9"/>
      <c r="J246" s="9"/>
      <c r="K246" s="9"/>
      <c r="L246" s="9"/>
      <c r="M246" s="9"/>
      <c r="N246" s="9"/>
      <c r="O246" s="9"/>
      <c r="P246" s="9"/>
      <c r="Q246" s="9"/>
      <c r="R246" s="9"/>
    </row>
    <row r="247">
      <c r="A247" s="9"/>
      <c r="B247" s="9"/>
      <c r="C247" s="9"/>
      <c r="D247" s="9"/>
      <c r="E247" s="9"/>
      <c r="F247" s="9"/>
      <c r="G247" s="9"/>
      <c r="H247" s="9"/>
      <c r="I247" s="9"/>
      <c r="J247" s="9"/>
      <c r="K247" s="9"/>
      <c r="L247" s="9"/>
      <c r="M247" s="9"/>
      <c r="N247" s="9"/>
      <c r="O247" s="9"/>
      <c r="P247" s="9"/>
      <c r="Q247" s="9"/>
      <c r="R247" s="9"/>
    </row>
    <row r="248">
      <c r="A248" s="9"/>
      <c r="B248" s="9"/>
      <c r="C248" s="9"/>
      <c r="D248" s="9"/>
      <c r="E248" s="9"/>
      <c r="F248" s="9"/>
      <c r="G248" s="9"/>
      <c r="H248" s="9"/>
      <c r="I248" s="9"/>
      <c r="J248" s="9"/>
      <c r="K248" s="9"/>
      <c r="L248" s="9"/>
      <c r="M248" s="9"/>
      <c r="N248" s="9"/>
      <c r="O248" s="9"/>
      <c r="P248" s="9"/>
      <c r="Q248" s="9"/>
      <c r="R248" s="9"/>
    </row>
    <row r="249">
      <c r="A249" s="9"/>
      <c r="B249" s="9"/>
      <c r="C249" s="9"/>
      <c r="D249" s="9"/>
      <c r="E249" s="9"/>
      <c r="F249" s="9"/>
      <c r="G249" s="9"/>
      <c r="H249" s="9"/>
      <c r="I249" s="9"/>
      <c r="J249" s="9"/>
      <c r="K249" s="9"/>
      <c r="L249" s="9"/>
      <c r="M249" s="9"/>
      <c r="N249" s="9"/>
      <c r="O249" s="9"/>
      <c r="P249" s="9"/>
      <c r="Q249" s="9"/>
      <c r="R249" s="9"/>
    </row>
    <row r="250">
      <c r="A250" s="9"/>
      <c r="B250" s="9"/>
      <c r="C250" s="9"/>
      <c r="D250" s="9"/>
      <c r="E250" s="9"/>
      <c r="F250" s="9"/>
      <c r="G250" s="9"/>
      <c r="H250" s="9"/>
      <c r="I250" s="9"/>
      <c r="J250" s="9"/>
      <c r="K250" s="9"/>
      <c r="L250" s="9"/>
      <c r="M250" s="9"/>
      <c r="N250" s="9"/>
      <c r="O250" s="9"/>
      <c r="P250" s="9"/>
      <c r="Q250" s="9"/>
      <c r="R250" s="9"/>
    </row>
    <row r="251">
      <c r="A251" s="9"/>
      <c r="B251" s="9"/>
      <c r="C251" s="9"/>
      <c r="D251" s="9"/>
      <c r="E251" s="9"/>
      <c r="F251" s="9"/>
      <c r="G251" s="9"/>
      <c r="H251" s="9"/>
      <c r="I251" s="9"/>
      <c r="J251" s="9"/>
      <c r="K251" s="9"/>
      <c r="L251" s="9"/>
      <c r="M251" s="9"/>
      <c r="N251" s="9"/>
      <c r="O251" s="9"/>
      <c r="P251" s="9"/>
      <c r="Q251" s="9"/>
      <c r="R251" s="9"/>
    </row>
    <row r="252">
      <c r="A252" s="9"/>
      <c r="B252" s="9"/>
      <c r="C252" s="9"/>
      <c r="D252" s="9"/>
      <c r="E252" s="9"/>
      <c r="F252" s="9"/>
      <c r="G252" s="9"/>
      <c r="H252" s="9"/>
      <c r="I252" s="9"/>
      <c r="J252" s="9"/>
      <c r="K252" s="9"/>
      <c r="L252" s="9"/>
      <c r="M252" s="9"/>
      <c r="N252" s="9"/>
      <c r="O252" s="9"/>
      <c r="P252" s="9"/>
      <c r="Q252" s="9"/>
      <c r="R252" s="9"/>
    </row>
    <row r="253">
      <c r="A253" s="9"/>
      <c r="B253" s="9"/>
      <c r="C253" s="9"/>
      <c r="D253" s="9"/>
      <c r="E253" s="9"/>
      <c r="F253" s="9"/>
      <c r="G253" s="9"/>
      <c r="H253" s="9"/>
      <c r="I253" s="9"/>
      <c r="J253" s="9"/>
      <c r="K253" s="9"/>
      <c r="L253" s="9"/>
      <c r="M253" s="9"/>
      <c r="N253" s="9"/>
      <c r="O253" s="9"/>
      <c r="P253" s="9"/>
      <c r="Q253" s="9"/>
      <c r="R253" s="9"/>
    </row>
    <row r="254">
      <c r="A254" s="9"/>
      <c r="B254" s="9"/>
      <c r="C254" s="9"/>
      <c r="D254" s="9"/>
      <c r="E254" s="9"/>
      <c r="F254" s="9"/>
      <c r="G254" s="9"/>
      <c r="H254" s="9"/>
      <c r="I254" s="9"/>
      <c r="J254" s="9"/>
      <c r="K254" s="9"/>
      <c r="L254" s="9"/>
      <c r="M254" s="9"/>
      <c r="N254" s="9"/>
      <c r="O254" s="9"/>
      <c r="P254" s="9"/>
      <c r="Q254" s="9"/>
      <c r="R254" s="9"/>
    </row>
    <row r="255">
      <c r="A255" s="9"/>
      <c r="B255" s="9"/>
      <c r="C255" s="9"/>
      <c r="D255" s="9"/>
      <c r="E255" s="9"/>
      <c r="F255" s="9"/>
      <c r="G255" s="9"/>
      <c r="H255" s="9"/>
      <c r="I255" s="9"/>
      <c r="J255" s="9"/>
      <c r="K255" s="9"/>
      <c r="L255" s="9"/>
      <c r="M255" s="9"/>
      <c r="N255" s="9"/>
      <c r="O255" s="9"/>
      <c r="P255" s="9"/>
      <c r="Q255" s="9"/>
      <c r="R255" s="9"/>
    </row>
    <row r="256">
      <c r="A256" s="9"/>
      <c r="B256" s="9"/>
      <c r="C256" s="9"/>
      <c r="D256" s="9"/>
      <c r="E256" s="9"/>
      <c r="F256" s="9"/>
      <c r="G256" s="9"/>
      <c r="H256" s="9"/>
      <c r="I256" s="9"/>
      <c r="J256" s="9"/>
      <c r="K256" s="9"/>
      <c r="L256" s="9"/>
      <c r="M256" s="9"/>
      <c r="N256" s="9"/>
      <c r="O256" s="9"/>
      <c r="P256" s="9"/>
      <c r="Q256" s="9"/>
      <c r="R256" s="9"/>
    </row>
    <row r="257">
      <c r="A257" s="9"/>
      <c r="B257" s="9"/>
      <c r="C257" s="9"/>
      <c r="D257" s="9"/>
      <c r="E257" s="9"/>
      <c r="F257" s="9"/>
      <c r="G257" s="9"/>
      <c r="H257" s="9"/>
      <c r="I257" s="9"/>
      <c r="J257" s="9"/>
      <c r="K257" s="9"/>
      <c r="L257" s="9"/>
      <c r="M257" s="9"/>
      <c r="N257" s="9"/>
      <c r="O257" s="9"/>
      <c r="P257" s="9"/>
      <c r="Q257" s="9"/>
      <c r="R257" s="9"/>
    </row>
    <row r="258">
      <c r="A258" s="9"/>
      <c r="B258" s="9"/>
      <c r="C258" s="9"/>
      <c r="D258" s="9"/>
      <c r="E258" s="9"/>
      <c r="F258" s="9"/>
      <c r="G258" s="9"/>
      <c r="H258" s="9"/>
      <c r="I258" s="9"/>
      <c r="J258" s="9"/>
      <c r="K258" s="9"/>
      <c r="L258" s="9"/>
      <c r="M258" s="9"/>
      <c r="N258" s="9"/>
      <c r="O258" s="9"/>
      <c r="P258" s="9"/>
      <c r="Q258" s="9"/>
      <c r="R258" s="9"/>
    </row>
    <row r="259">
      <c r="A259" s="9"/>
      <c r="B259" s="9"/>
      <c r="C259" s="9"/>
      <c r="D259" s="9"/>
      <c r="E259" s="9"/>
      <c r="F259" s="9"/>
      <c r="G259" s="9"/>
      <c r="H259" s="9"/>
      <c r="I259" s="9"/>
      <c r="J259" s="9"/>
      <c r="K259" s="9"/>
      <c r="L259" s="9"/>
      <c r="M259" s="9"/>
      <c r="N259" s="9"/>
      <c r="O259" s="9"/>
      <c r="P259" s="9"/>
      <c r="Q259" s="9"/>
      <c r="R259" s="9"/>
    </row>
    <row r="260">
      <c r="A260" s="9"/>
      <c r="B260" s="9"/>
      <c r="C260" s="9"/>
      <c r="D260" s="9"/>
      <c r="E260" s="9"/>
      <c r="F260" s="9"/>
      <c r="G260" s="9"/>
      <c r="H260" s="9"/>
      <c r="I260" s="9"/>
      <c r="J260" s="9"/>
      <c r="K260" s="9"/>
      <c r="L260" s="9"/>
      <c r="M260" s="9"/>
      <c r="N260" s="9"/>
      <c r="O260" s="9"/>
      <c r="P260" s="9"/>
      <c r="Q260" s="9"/>
      <c r="R260" s="9"/>
    </row>
    <row r="261">
      <c r="A261" s="9"/>
      <c r="B261" s="9"/>
      <c r="C261" s="9"/>
      <c r="D261" s="9"/>
      <c r="E261" s="9"/>
      <c r="F261" s="9"/>
      <c r="G261" s="9"/>
      <c r="H261" s="9"/>
      <c r="I261" s="9"/>
      <c r="J261" s="9"/>
      <c r="K261" s="9"/>
      <c r="L261" s="9"/>
      <c r="M261" s="9"/>
      <c r="N261" s="9"/>
      <c r="O261" s="9"/>
      <c r="P261" s="9"/>
      <c r="Q261" s="9"/>
      <c r="R261" s="9"/>
    </row>
    <row r="262">
      <c r="A262" s="9"/>
      <c r="B262" s="9"/>
      <c r="C262" s="9"/>
      <c r="D262" s="9"/>
      <c r="E262" s="9"/>
      <c r="F262" s="9"/>
      <c r="G262" s="9"/>
      <c r="H262" s="9"/>
      <c r="I262" s="9"/>
      <c r="J262" s="9"/>
      <c r="K262" s="9"/>
      <c r="L262" s="9"/>
      <c r="M262" s="9"/>
      <c r="N262" s="9"/>
      <c r="O262" s="9"/>
      <c r="P262" s="9"/>
      <c r="Q262" s="9"/>
      <c r="R262" s="9"/>
    </row>
    <row r="263">
      <c r="A263" s="9"/>
      <c r="B263" s="9"/>
      <c r="C263" s="9"/>
      <c r="D263" s="9"/>
      <c r="E263" s="9"/>
      <c r="F263" s="9"/>
      <c r="G263" s="9"/>
      <c r="H263" s="9"/>
      <c r="I263" s="9"/>
      <c r="J263" s="9"/>
      <c r="K263" s="9"/>
      <c r="L263" s="9"/>
      <c r="M263" s="9"/>
      <c r="N263" s="9"/>
      <c r="O263" s="9"/>
      <c r="P263" s="9"/>
      <c r="Q263" s="9"/>
      <c r="R263" s="9"/>
    </row>
    <row r="264">
      <c r="A264" s="9"/>
      <c r="B264" s="9"/>
      <c r="C264" s="9"/>
      <c r="D264" s="9"/>
      <c r="E264" s="9"/>
      <c r="F264" s="9"/>
      <c r="G264" s="9"/>
      <c r="H264" s="9"/>
      <c r="I264" s="9"/>
      <c r="J264" s="9"/>
      <c r="K264" s="9"/>
      <c r="L264" s="9"/>
      <c r="M264" s="9"/>
      <c r="N264" s="9"/>
      <c r="O264" s="9"/>
      <c r="P264" s="9"/>
      <c r="Q264" s="9"/>
      <c r="R264" s="9"/>
    </row>
    <row r="265">
      <c r="A265" s="9"/>
      <c r="B265" s="9"/>
      <c r="C265" s="9"/>
      <c r="D265" s="9"/>
      <c r="E265" s="9"/>
      <c r="F265" s="9"/>
      <c r="G265" s="9"/>
      <c r="H265" s="9"/>
      <c r="I265" s="9"/>
      <c r="J265" s="9"/>
      <c r="K265" s="9"/>
      <c r="L265" s="9"/>
      <c r="M265" s="9"/>
      <c r="N265" s="9"/>
      <c r="O265" s="9"/>
      <c r="P265" s="9"/>
      <c r="Q265" s="9"/>
      <c r="R265" s="9"/>
    </row>
    <row r="266">
      <c r="A266" s="9"/>
      <c r="B266" s="9"/>
      <c r="C266" s="9"/>
      <c r="D266" s="9"/>
      <c r="E266" s="9"/>
      <c r="F266" s="9"/>
      <c r="G266" s="9"/>
      <c r="H266" s="9"/>
      <c r="I266" s="9"/>
      <c r="J266" s="9"/>
      <c r="K266" s="9"/>
      <c r="L266" s="9"/>
      <c r="M266" s="9"/>
      <c r="N266" s="9"/>
      <c r="O266" s="9"/>
      <c r="P266" s="9"/>
      <c r="Q266" s="9"/>
      <c r="R266" s="9"/>
    </row>
    <row r="267">
      <c r="A267" s="9"/>
      <c r="B267" s="9"/>
      <c r="C267" s="9"/>
      <c r="D267" s="9"/>
      <c r="E267" s="9"/>
      <c r="F267" s="9"/>
      <c r="G267" s="9"/>
      <c r="H267" s="9"/>
      <c r="I267" s="9"/>
      <c r="J267" s="9"/>
      <c r="K267" s="9"/>
      <c r="L267" s="9"/>
      <c r="M267" s="9"/>
      <c r="N267" s="9"/>
      <c r="O267" s="9"/>
      <c r="P267" s="9"/>
      <c r="Q267" s="9"/>
      <c r="R267" s="9"/>
    </row>
    <row r="268">
      <c r="A268" s="9"/>
      <c r="B268" s="9"/>
      <c r="C268" s="9"/>
      <c r="D268" s="9"/>
      <c r="E268" s="9"/>
      <c r="F268" s="9"/>
      <c r="G268" s="9"/>
      <c r="H268" s="9"/>
      <c r="I268" s="9"/>
      <c r="J268" s="9"/>
      <c r="K268" s="9"/>
      <c r="L268" s="9"/>
      <c r="M268" s="9"/>
      <c r="N268" s="9"/>
      <c r="O268" s="9"/>
      <c r="P268" s="9"/>
      <c r="Q268" s="9"/>
      <c r="R268" s="9"/>
    </row>
    <row r="269">
      <c r="A269" s="9"/>
      <c r="B269" s="9"/>
      <c r="C269" s="9"/>
      <c r="D269" s="9"/>
      <c r="E269" s="9"/>
      <c r="F269" s="9"/>
      <c r="G269" s="9"/>
      <c r="H269" s="9"/>
      <c r="I269" s="9"/>
      <c r="J269" s="9"/>
      <c r="K269" s="9"/>
      <c r="L269" s="9"/>
      <c r="M269" s="9"/>
      <c r="N269" s="9"/>
      <c r="O269" s="9"/>
      <c r="P269" s="9"/>
      <c r="Q269" s="9"/>
      <c r="R269" s="9"/>
    </row>
    <row r="270">
      <c r="A270" s="9"/>
      <c r="B270" s="9"/>
      <c r="C270" s="9"/>
      <c r="D270" s="9"/>
      <c r="E270" s="9"/>
      <c r="F270" s="9"/>
      <c r="G270" s="9"/>
      <c r="H270" s="9"/>
      <c r="I270" s="9"/>
      <c r="J270" s="9"/>
      <c r="K270" s="9"/>
      <c r="L270" s="9"/>
      <c r="M270" s="9"/>
      <c r="N270" s="9"/>
      <c r="O270" s="9"/>
      <c r="P270" s="9"/>
      <c r="Q270" s="9"/>
      <c r="R270" s="9"/>
    </row>
    <row r="271">
      <c r="A271" s="9"/>
      <c r="B271" s="9"/>
      <c r="C271" s="9"/>
      <c r="D271" s="9"/>
      <c r="E271" s="9"/>
      <c r="F271" s="9"/>
      <c r="G271" s="9"/>
      <c r="H271" s="9"/>
      <c r="I271" s="9"/>
      <c r="J271" s="9"/>
      <c r="K271" s="9"/>
      <c r="L271" s="9"/>
      <c r="M271" s="9"/>
      <c r="N271" s="9"/>
      <c r="O271" s="9"/>
      <c r="P271" s="9"/>
      <c r="Q271" s="9"/>
      <c r="R271" s="9"/>
    </row>
    <row r="272">
      <c r="A272" s="9"/>
      <c r="B272" s="9"/>
      <c r="C272" s="9"/>
      <c r="D272" s="9"/>
      <c r="E272" s="9"/>
      <c r="F272" s="9"/>
      <c r="G272" s="9"/>
      <c r="H272" s="9"/>
      <c r="I272" s="9"/>
      <c r="J272" s="9"/>
      <c r="K272" s="9"/>
      <c r="L272" s="9"/>
      <c r="M272" s="9"/>
      <c r="N272" s="9"/>
      <c r="O272" s="9"/>
      <c r="P272" s="9"/>
      <c r="Q272" s="9"/>
      <c r="R272" s="9"/>
    </row>
    <row r="273">
      <c r="A273" s="9"/>
      <c r="B273" s="9"/>
      <c r="C273" s="9"/>
      <c r="D273" s="9"/>
      <c r="E273" s="9"/>
      <c r="F273" s="9"/>
      <c r="G273" s="9"/>
      <c r="H273" s="9"/>
      <c r="I273" s="9"/>
      <c r="J273" s="9"/>
      <c r="K273" s="9"/>
      <c r="L273" s="9"/>
      <c r="M273" s="9"/>
      <c r="N273" s="9"/>
      <c r="O273" s="9"/>
      <c r="P273" s="9"/>
      <c r="Q273" s="9"/>
      <c r="R273" s="9"/>
    </row>
    <row r="274">
      <c r="A274" s="9"/>
      <c r="B274" s="9"/>
      <c r="C274" s="9"/>
      <c r="D274" s="9"/>
      <c r="E274" s="9"/>
      <c r="F274" s="9"/>
      <c r="G274" s="9"/>
      <c r="H274" s="9"/>
      <c r="I274" s="9"/>
      <c r="J274" s="9"/>
      <c r="K274" s="9"/>
      <c r="L274" s="9"/>
      <c r="M274" s="9"/>
      <c r="N274" s="9"/>
      <c r="O274" s="9"/>
      <c r="P274" s="9"/>
      <c r="Q274" s="9"/>
      <c r="R274" s="9"/>
    </row>
    <row r="275">
      <c r="A275" s="9"/>
      <c r="B275" s="9"/>
      <c r="C275" s="9"/>
      <c r="D275" s="9"/>
      <c r="E275" s="9"/>
      <c r="F275" s="9"/>
      <c r="G275" s="9"/>
      <c r="H275" s="9"/>
      <c r="I275" s="9"/>
      <c r="J275" s="9"/>
      <c r="K275" s="9"/>
      <c r="L275" s="9"/>
      <c r="M275" s="9"/>
      <c r="N275" s="9"/>
      <c r="O275" s="9"/>
      <c r="P275" s="9"/>
      <c r="Q275" s="9"/>
      <c r="R275" s="9"/>
    </row>
    <row r="276">
      <c r="A276" s="9"/>
      <c r="B276" s="9"/>
      <c r="C276" s="9"/>
      <c r="D276" s="9"/>
      <c r="E276" s="9"/>
      <c r="F276" s="9"/>
      <c r="G276" s="9"/>
      <c r="H276" s="9"/>
      <c r="I276" s="9"/>
      <c r="J276" s="9"/>
      <c r="K276" s="9"/>
      <c r="L276" s="9"/>
      <c r="M276" s="9"/>
      <c r="N276" s="9"/>
      <c r="O276" s="9"/>
      <c r="P276" s="9"/>
      <c r="Q276" s="9"/>
      <c r="R276" s="9"/>
    </row>
    <row r="277">
      <c r="A277" s="9"/>
      <c r="B277" s="9"/>
      <c r="C277" s="9"/>
      <c r="D277" s="9"/>
      <c r="E277" s="9"/>
      <c r="F277" s="9"/>
      <c r="G277" s="9"/>
      <c r="H277" s="9"/>
      <c r="I277" s="9"/>
      <c r="J277" s="9"/>
      <c r="K277" s="9"/>
      <c r="L277" s="9"/>
      <c r="M277" s="9"/>
      <c r="N277" s="9"/>
      <c r="O277" s="9"/>
      <c r="P277" s="9"/>
      <c r="Q277" s="9"/>
      <c r="R277" s="9"/>
    </row>
    <row r="278">
      <c r="A278" s="9"/>
      <c r="B278" s="9"/>
      <c r="C278" s="9"/>
      <c r="D278" s="9"/>
      <c r="E278" s="9"/>
      <c r="F278" s="9"/>
      <c r="G278" s="9"/>
      <c r="H278" s="9"/>
      <c r="I278" s="9"/>
      <c r="J278" s="9"/>
      <c r="K278" s="9"/>
      <c r="L278" s="9"/>
      <c r="M278" s="9"/>
      <c r="N278" s="9"/>
      <c r="O278" s="9"/>
      <c r="P278" s="9"/>
      <c r="Q278" s="9"/>
      <c r="R278" s="9"/>
    </row>
    <row r="279">
      <c r="A279" s="9"/>
      <c r="B279" s="9"/>
      <c r="C279" s="9"/>
      <c r="D279" s="9"/>
      <c r="E279" s="9"/>
      <c r="F279" s="9"/>
      <c r="G279" s="9"/>
      <c r="H279" s="9"/>
      <c r="I279" s="9"/>
      <c r="J279" s="9"/>
      <c r="K279" s="9"/>
      <c r="L279" s="9"/>
      <c r="M279" s="9"/>
      <c r="N279" s="9"/>
      <c r="O279" s="9"/>
      <c r="P279" s="9"/>
      <c r="Q279" s="9"/>
      <c r="R279" s="9"/>
    </row>
    <row r="280">
      <c r="A280" s="9"/>
      <c r="B280" s="9"/>
      <c r="C280" s="9"/>
      <c r="D280" s="9"/>
      <c r="E280" s="9"/>
      <c r="F280" s="9"/>
      <c r="G280" s="9"/>
      <c r="H280" s="9"/>
      <c r="I280" s="9"/>
      <c r="J280" s="9"/>
      <c r="K280" s="9"/>
      <c r="L280" s="9"/>
      <c r="M280" s="9"/>
      <c r="N280" s="9"/>
      <c r="O280" s="9"/>
      <c r="P280" s="9"/>
      <c r="Q280" s="9"/>
      <c r="R280" s="9"/>
    </row>
    <row r="281">
      <c r="A281" s="9"/>
      <c r="B281" s="9"/>
      <c r="C281" s="9"/>
      <c r="D281" s="9"/>
      <c r="E281" s="9"/>
      <c r="F281" s="9"/>
      <c r="G281" s="9"/>
      <c r="H281" s="9"/>
      <c r="I281" s="9"/>
      <c r="J281" s="9"/>
      <c r="K281" s="9"/>
      <c r="L281" s="9"/>
      <c r="M281" s="9"/>
      <c r="N281" s="9"/>
      <c r="O281" s="9"/>
      <c r="P281" s="9"/>
      <c r="Q281" s="9"/>
      <c r="R281" s="9"/>
    </row>
    <row r="282">
      <c r="A282" s="9"/>
      <c r="B282" s="9"/>
      <c r="C282" s="9"/>
      <c r="D282" s="9"/>
      <c r="E282" s="9"/>
      <c r="F282" s="9"/>
      <c r="G282" s="9"/>
      <c r="H282" s="9"/>
      <c r="I282" s="9"/>
      <c r="J282" s="9"/>
      <c r="K282" s="9"/>
      <c r="L282" s="9"/>
      <c r="M282" s="9"/>
      <c r="N282" s="9"/>
      <c r="O282" s="9"/>
      <c r="P282" s="9"/>
      <c r="Q282" s="9"/>
      <c r="R282" s="9"/>
    </row>
    <row r="283">
      <c r="A283" s="9"/>
      <c r="B283" s="9"/>
      <c r="C283" s="9"/>
      <c r="D283" s="9"/>
      <c r="E283" s="9"/>
      <c r="F283" s="9"/>
      <c r="G283" s="9"/>
      <c r="H283" s="9"/>
      <c r="I283" s="9"/>
      <c r="J283" s="9"/>
      <c r="K283" s="9"/>
      <c r="L283" s="9"/>
      <c r="M283" s="9"/>
      <c r="N283" s="9"/>
      <c r="O283" s="9"/>
      <c r="P283" s="9"/>
      <c r="Q283" s="9"/>
      <c r="R283" s="9"/>
    </row>
    <row r="284">
      <c r="A284" s="9"/>
      <c r="B284" s="9"/>
      <c r="C284" s="9"/>
      <c r="D284" s="9"/>
      <c r="E284" s="9"/>
      <c r="F284" s="9"/>
      <c r="G284" s="9"/>
      <c r="H284" s="9"/>
      <c r="I284" s="9"/>
      <c r="J284" s="9"/>
      <c r="K284" s="9"/>
      <c r="L284" s="9"/>
      <c r="M284" s="9"/>
      <c r="N284" s="9"/>
      <c r="O284" s="9"/>
      <c r="P284" s="9"/>
      <c r="Q284" s="9"/>
      <c r="R284" s="9"/>
    </row>
    <row r="285">
      <c r="A285" s="9"/>
      <c r="B285" s="9"/>
      <c r="C285" s="9"/>
      <c r="D285" s="9"/>
      <c r="E285" s="9"/>
      <c r="F285" s="9"/>
      <c r="G285" s="9"/>
      <c r="H285" s="9"/>
      <c r="I285" s="9"/>
      <c r="J285" s="9"/>
      <c r="K285" s="9"/>
      <c r="L285" s="9"/>
      <c r="M285" s="9"/>
      <c r="N285" s="9"/>
      <c r="O285" s="9"/>
      <c r="P285" s="9"/>
      <c r="Q285" s="9"/>
      <c r="R285" s="9"/>
    </row>
    <row r="286">
      <c r="A286" s="9"/>
      <c r="B286" s="9"/>
      <c r="C286" s="9"/>
      <c r="D286" s="9"/>
      <c r="E286" s="9"/>
      <c r="F286" s="9"/>
      <c r="G286" s="9"/>
      <c r="H286" s="9"/>
      <c r="I286" s="9"/>
      <c r="J286" s="9"/>
      <c r="K286" s="9"/>
      <c r="L286" s="9"/>
      <c r="M286" s="9"/>
      <c r="N286" s="9"/>
      <c r="O286" s="9"/>
      <c r="P286" s="9"/>
      <c r="Q286" s="9"/>
      <c r="R286" s="9"/>
    </row>
    <row r="287">
      <c r="A287" s="9"/>
      <c r="B287" s="9"/>
      <c r="C287" s="9"/>
      <c r="D287" s="9"/>
      <c r="E287" s="9"/>
      <c r="F287" s="9"/>
      <c r="G287" s="9"/>
      <c r="H287" s="9"/>
      <c r="I287" s="9"/>
      <c r="J287" s="9"/>
      <c r="K287" s="9"/>
      <c r="L287" s="9"/>
      <c r="M287" s="9"/>
      <c r="N287" s="9"/>
      <c r="O287" s="9"/>
      <c r="P287" s="9"/>
      <c r="Q287" s="9"/>
      <c r="R287" s="9"/>
    </row>
    <row r="288">
      <c r="A288" s="9"/>
      <c r="B288" s="9"/>
      <c r="C288" s="9"/>
      <c r="D288" s="9"/>
      <c r="E288" s="9"/>
      <c r="F288" s="9"/>
      <c r="G288" s="9"/>
      <c r="H288" s="9"/>
      <c r="I288" s="9"/>
      <c r="J288" s="9"/>
      <c r="K288" s="9"/>
      <c r="L288" s="9"/>
      <c r="M288" s="9"/>
      <c r="N288" s="9"/>
      <c r="O288" s="9"/>
      <c r="P288" s="9"/>
      <c r="Q288" s="9"/>
      <c r="R288" s="9"/>
    </row>
    <row r="289">
      <c r="A289" s="9"/>
      <c r="B289" s="9"/>
      <c r="C289" s="9"/>
      <c r="D289" s="9"/>
      <c r="E289" s="9"/>
      <c r="F289" s="9"/>
      <c r="G289" s="9"/>
      <c r="H289" s="9"/>
      <c r="I289" s="9"/>
      <c r="J289" s="9"/>
      <c r="K289" s="9"/>
      <c r="L289" s="9"/>
      <c r="M289" s="9"/>
      <c r="N289" s="9"/>
      <c r="O289" s="9"/>
      <c r="P289" s="9"/>
      <c r="Q289" s="9"/>
      <c r="R289" s="9"/>
    </row>
    <row r="290">
      <c r="A290" s="9"/>
      <c r="B290" s="9"/>
      <c r="C290" s="9"/>
      <c r="D290" s="9"/>
      <c r="E290" s="9"/>
      <c r="F290" s="9"/>
      <c r="G290" s="9"/>
      <c r="H290" s="9"/>
      <c r="I290" s="9"/>
      <c r="J290" s="9"/>
      <c r="K290" s="9"/>
      <c r="L290" s="9"/>
      <c r="M290" s="9"/>
      <c r="N290" s="9"/>
      <c r="O290" s="9"/>
      <c r="P290" s="9"/>
      <c r="Q290" s="9"/>
      <c r="R290" s="9"/>
    </row>
    <row r="291">
      <c r="A291" s="9"/>
      <c r="B291" s="9"/>
      <c r="C291" s="9"/>
      <c r="D291" s="9"/>
      <c r="E291" s="9"/>
      <c r="F291" s="9"/>
      <c r="G291" s="9"/>
      <c r="H291" s="9"/>
      <c r="I291" s="9"/>
      <c r="J291" s="9"/>
      <c r="K291" s="9"/>
      <c r="L291" s="9"/>
      <c r="M291" s="9"/>
      <c r="N291" s="9"/>
      <c r="O291" s="9"/>
      <c r="P291" s="9"/>
      <c r="Q291" s="9"/>
      <c r="R291" s="9"/>
    </row>
    <row r="292">
      <c r="A292" s="9"/>
      <c r="B292" s="9"/>
      <c r="C292" s="9"/>
      <c r="D292" s="9"/>
      <c r="E292" s="9"/>
      <c r="F292" s="9"/>
      <c r="G292" s="9"/>
      <c r="H292" s="9"/>
      <c r="I292" s="9"/>
      <c r="J292" s="9"/>
      <c r="K292" s="9"/>
      <c r="L292" s="9"/>
      <c r="M292" s="9"/>
      <c r="N292" s="9"/>
      <c r="O292" s="9"/>
      <c r="P292" s="9"/>
      <c r="Q292" s="9"/>
      <c r="R292" s="9"/>
    </row>
    <row r="293">
      <c r="A293" s="9"/>
      <c r="B293" s="9"/>
      <c r="C293" s="9"/>
      <c r="D293" s="9"/>
      <c r="E293" s="9"/>
      <c r="F293" s="9"/>
      <c r="G293" s="9"/>
      <c r="H293" s="9"/>
      <c r="I293" s="9"/>
      <c r="J293" s="9"/>
      <c r="K293" s="9"/>
      <c r="L293" s="9"/>
      <c r="M293" s="9"/>
      <c r="N293" s="9"/>
      <c r="O293" s="9"/>
      <c r="P293" s="9"/>
      <c r="Q293" s="9"/>
      <c r="R293" s="9"/>
    </row>
    <row r="294">
      <c r="A294" s="9"/>
      <c r="B294" s="9"/>
      <c r="C294" s="9"/>
      <c r="D294" s="9"/>
      <c r="E294" s="9"/>
      <c r="F294" s="9"/>
      <c r="G294" s="9"/>
      <c r="H294" s="9"/>
      <c r="I294" s="9"/>
      <c r="J294" s="9"/>
      <c r="K294" s="9"/>
      <c r="L294" s="9"/>
      <c r="M294" s="9"/>
      <c r="N294" s="9"/>
      <c r="O294" s="9"/>
      <c r="P294" s="9"/>
      <c r="Q294" s="9"/>
      <c r="R294" s="9"/>
    </row>
    <row r="295">
      <c r="A295" s="9"/>
      <c r="B295" s="9"/>
      <c r="C295" s="9"/>
      <c r="D295" s="9"/>
      <c r="E295" s="9"/>
      <c r="F295" s="9"/>
      <c r="G295" s="9"/>
      <c r="H295" s="9"/>
      <c r="I295" s="9"/>
      <c r="J295" s="9"/>
      <c r="K295" s="9"/>
      <c r="L295" s="9"/>
      <c r="M295" s="9"/>
      <c r="N295" s="9"/>
      <c r="O295" s="9"/>
      <c r="P295" s="9"/>
      <c r="Q295" s="9"/>
      <c r="R295" s="9"/>
    </row>
    <row r="296">
      <c r="A296" s="9"/>
      <c r="B296" s="9"/>
      <c r="C296" s="9"/>
      <c r="D296" s="9"/>
      <c r="E296" s="9"/>
      <c r="F296" s="9"/>
      <c r="G296" s="9"/>
      <c r="H296" s="9"/>
      <c r="I296" s="9"/>
      <c r="J296" s="9"/>
      <c r="K296" s="9"/>
      <c r="L296" s="9"/>
      <c r="M296" s="9"/>
      <c r="N296" s="9"/>
      <c r="O296" s="9"/>
      <c r="P296" s="9"/>
      <c r="Q296" s="9"/>
      <c r="R296" s="9"/>
    </row>
    <row r="297">
      <c r="A297" s="9"/>
      <c r="B297" s="9"/>
      <c r="C297" s="9"/>
      <c r="D297" s="9"/>
      <c r="E297" s="9"/>
      <c r="F297" s="9"/>
      <c r="G297" s="9"/>
      <c r="H297" s="9"/>
      <c r="I297" s="9"/>
      <c r="J297" s="9"/>
      <c r="K297" s="9"/>
      <c r="L297" s="9"/>
      <c r="M297" s="9"/>
      <c r="N297" s="9"/>
      <c r="O297" s="9"/>
      <c r="P297" s="9"/>
      <c r="Q297" s="9"/>
      <c r="R297" s="9"/>
    </row>
    <row r="298">
      <c r="A298" s="9"/>
      <c r="B298" s="9"/>
      <c r="C298" s="9"/>
      <c r="D298" s="9"/>
      <c r="E298" s="9"/>
      <c r="F298" s="9"/>
      <c r="G298" s="9"/>
      <c r="H298" s="9"/>
      <c r="I298" s="9"/>
      <c r="J298" s="9"/>
      <c r="K298" s="9"/>
      <c r="L298" s="9"/>
      <c r="M298" s="9"/>
      <c r="N298" s="9"/>
      <c r="O298" s="9"/>
      <c r="P298" s="9"/>
      <c r="Q298" s="9"/>
      <c r="R298" s="9"/>
    </row>
    <row r="299">
      <c r="A299" s="9"/>
      <c r="B299" s="9"/>
      <c r="C299" s="9"/>
      <c r="D299" s="9"/>
      <c r="E299" s="9"/>
      <c r="F299" s="9"/>
      <c r="G299" s="9"/>
      <c r="H299" s="9"/>
      <c r="I299" s="9"/>
      <c r="J299" s="9"/>
      <c r="K299" s="9"/>
      <c r="L299" s="9"/>
      <c r="M299" s="9"/>
      <c r="N299" s="9"/>
      <c r="O299" s="9"/>
      <c r="P299" s="9"/>
      <c r="Q299" s="9"/>
      <c r="R299" s="9"/>
    </row>
    <row r="300">
      <c r="A300" s="9"/>
      <c r="B300" s="9"/>
      <c r="C300" s="9"/>
      <c r="D300" s="9"/>
      <c r="E300" s="9"/>
      <c r="F300" s="9"/>
      <c r="G300" s="9"/>
      <c r="H300" s="9"/>
      <c r="I300" s="9"/>
      <c r="J300" s="9"/>
      <c r="K300" s="9"/>
      <c r="L300" s="9"/>
      <c r="M300" s="9"/>
      <c r="N300" s="9"/>
      <c r="O300" s="9"/>
      <c r="P300" s="9"/>
      <c r="Q300" s="9"/>
      <c r="R300" s="9"/>
    </row>
    <row r="301">
      <c r="A301" s="9"/>
      <c r="B301" s="9"/>
      <c r="C301" s="9"/>
      <c r="D301" s="9"/>
      <c r="E301" s="9"/>
      <c r="F301" s="9"/>
      <c r="G301" s="9"/>
      <c r="H301" s="9"/>
      <c r="I301" s="9"/>
      <c r="J301" s="9"/>
      <c r="K301" s="9"/>
      <c r="L301" s="9"/>
      <c r="M301" s="9"/>
      <c r="N301" s="9"/>
      <c r="O301" s="9"/>
      <c r="P301" s="9"/>
      <c r="Q301" s="9"/>
      <c r="R301" s="9"/>
    </row>
    <row r="302">
      <c r="A302" s="9"/>
      <c r="B302" s="9"/>
      <c r="C302" s="9"/>
      <c r="D302" s="9"/>
      <c r="E302" s="9"/>
      <c r="F302" s="9"/>
      <c r="G302" s="9"/>
      <c r="H302" s="9"/>
      <c r="I302" s="9"/>
      <c r="J302" s="9"/>
      <c r="K302" s="9"/>
      <c r="L302" s="9"/>
      <c r="M302" s="9"/>
      <c r="N302" s="9"/>
      <c r="O302" s="9"/>
      <c r="P302" s="9"/>
      <c r="Q302" s="9"/>
      <c r="R302" s="9"/>
    </row>
    <row r="303">
      <c r="A303" s="9"/>
      <c r="B303" s="9"/>
      <c r="C303" s="9"/>
      <c r="D303" s="9"/>
      <c r="E303" s="9"/>
      <c r="F303" s="9"/>
      <c r="G303" s="9"/>
      <c r="H303" s="9"/>
      <c r="I303" s="9"/>
      <c r="J303" s="9"/>
      <c r="K303" s="9"/>
      <c r="L303" s="9"/>
      <c r="M303" s="9"/>
      <c r="N303" s="9"/>
      <c r="O303" s="9"/>
      <c r="P303" s="9"/>
      <c r="Q303" s="9"/>
      <c r="R303" s="9"/>
    </row>
    <row r="304">
      <c r="A304" s="9"/>
      <c r="B304" s="9"/>
      <c r="C304" s="9"/>
      <c r="D304" s="9"/>
      <c r="E304" s="9"/>
      <c r="F304" s="9"/>
      <c r="G304" s="9"/>
      <c r="H304" s="9"/>
      <c r="I304" s="9"/>
      <c r="J304" s="9"/>
      <c r="K304" s="9"/>
      <c r="L304" s="9"/>
      <c r="M304" s="9"/>
      <c r="N304" s="9"/>
      <c r="O304" s="9"/>
      <c r="P304" s="9"/>
      <c r="Q304" s="9"/>
      <c r="R304" s="9"/>
    </row>
    <row r="305">
      <c r="A305" s="9"/>
      <c r="B305" s="9"/>
      <c r="C305" s="9"/>
      <c r="D305" s="9"/>
      <c r="E305" s="9"/>
      <c r="F305" s="9"/>
      <c r="G305" s="9"/>
      <c r="H305" s="9"/>
      <c r="I305" s="9"/>
      <c r="J305" s="9"/>
      <c r="K305" s="9"/>
      <c r="L305" s="9"/>
      <c r="M305" s="9"/>
      <c r="N305" s="9"/>
      <c r="O305" s="9"/>
      <c r="P305" s="9"/>
      <c r="Q305" s="9"/>
      <c r="R305" s="9"/>
    </row>
    <row r="306">
      <c r="A306" s="9"/>
      <c r="B306" s="9"/>
      <c r="C306" s="9"/>
      <c r="D306" s="9"/>
      <c r="E306" s="9"/>
      <c r="F306" s="9"/>
      <c r="G306" s="9"/>
      <c r="H306" s="9"/>
      <c r="I306" s="9"/>
      <c r="J306" s="9"/>
      <c r="K306" s="9"/>
      <c r="L306" s="9"/>
      <c r="M306" s="9"/>
      <c r="N306" s="9"/>
      <c r="O306" s="9"/>
      <c r="P306" s="9"/>
      <c r="Q306" s="9"/>
      <c r="R306" s="9"/>
    </row>
    <row r="307">
      <c r="A307" s="9"/>
      <c r="B307" s="9"/>
      <c r="C307" s="9"/>
      <c r="D307" s="9"/>
      <c r="E307" s="9"/>
      <c r="F307" s="9"/>
      <c r="G307" s="9"/>
      <c r="H307" s="9"/>
      <c r="I307" s="9"/>
      <c r="J307" s="9"/>
      <c r="K307" s="9"/>
      <c r="L307" s="9"/>
      <c r="M307" s="9"/>
      <c r="N307" s="9"/>
      <c r="O307" s="9"/>
      <c r="P307" s="9"/>
      <c r="Q307" s="9"/>
      <c r="R307" s="9"/>
    </row>
    <row r="308">
      <c r="A308" s="9"/>
      <c r="B308" s="9"/>
      <c r="C308" s="9"/>
      <c r="D308" s="9"/>
      <c r="E308" s="9"/>
      <c r="F308" s="9"/>
      <c r="G308" s="9"/>
      <c r="H308" s="9"/>
      <c r="I308" s="9"/>
      <c r="J308" s="9"/>
      <c r="K308" s="9"/>
      <c r="L308" s="9"/>
      <c r="M308" s="9"/>
      <c r="N308" s="9"/>
      <c r="O308" s="9"/>
      <c r="P308" s="9"/>
      <c r="Q308" s="9"/>
      <c r="R308" s="9"/>
    </row>
    <row r="309">
      <c r="A309" s="9"/>
      <c r="B309" s="9"/>
      <c r="C309" s="9"/>
      <c r="D309" s="9"/>
      <c r="E309" s="9"/>
      <c r="F309" s="9"/>
      <c r="G309" s="9"/>
      <c r="H309" s="9"/>
      <c r="I309" s="9"/>
      <c r="J309" s="9"/>
      <c r="K309" s="9"/>
      <c r="L309" s="9"/>
      <c r="M309" s="9"/>
      <c r="N309" s="9"/>
      <c r="O309" s="9"/>
      <c r="P309" s="9"/>
      <c r="Q309" s="9"/>
      <c r="R309" s="9"/>
    </row>
    <row r="310">
      <c r="A310" s="9"/>
      <c r="B310" s="9"/>
      <c r="C310" s="9"/>
      <c r="D310" s="9"/>
      <c r="E310" s="9"/>
      <c r="F310" s="9"/>
      <c r="G310" s="9"/>
      <c r="H310" s="9"/>
      <c r="I310" s="9"/>
      <c r="J310" s="9"/>
      <c r="K310" s="9"/>
      <c r="L310" s="9"/>
      <c r="M310" s="9"/>
      <c r="N310" s="9"/>
      <c r="O310" s="9"/>
      <c r="P310" s="9"/>
      <c r="Q310" s="9"/>
      <c r="R310" s="9"/>
    </row>
    <row r="311">
      <c r="A311" s="9"/>
      <c r="B311" s="9"/>
      <c r="C311" s="9"/>
      <c r="D311" s="9"/>
      <c r="E311" s="9"/>
      <c r="F311" s="9"/>
      <c r="G311" s="9"/>
      <c r="H311" s="9"/>
      <c r="I311" s="9"/>
      <c r="J311" s="9"/>
      <c r="K311" s="9"/>
      <c r="L311" s="9"/>
      <c r="M311" s="9"/>
      <c r="N311" s="9"/>
      <c r="O311" s="9"/>
      <c r="P311" s="9"/>
      <c r="Q311" s="9"/>
      <c r="R311" s="9"/>
    </row>
    <row r="312">
      <c r="A312" s="9"/>
      <c r="B312" s="9"/>
      <c r="C312" s="9"/>
      <c r="D312" s="9"/>
      <c r="E312" s="9"/>
      <c r="F312" s="9"/>
      <c r="G312" s="9"/>
      <c r="H312" s="9"/>
      <c r="I312" s="9"/>
      <c r="J312" s="9"/>
      <c r="K312" s="9"/>
      <c r="L312" s="9"/>
      <c r="M312" s="9"/>
      <c r="N312" s="9"/>
      <c r="O312" s="9"/>
      <c r="P312" s="9"/>
      <c r="Q312" s="9"/>
      <c r="R312" s="9"/>
    </row>
    <row r="313">
      <c r="A313" s="9"/>
      <c r="B313" s="9"/>
      <c r="C313" s="9"/>
      <c r="D313" s="9"/>
      <c r="E313" s="9"/>
      <c r="F313" s="9"/>
      <c r="G313" s="9"/>
      <c r="H313" s="9"/>
      <c r="I313" s="9"/>
      <c r="J313" s="9"/>
      <c r="K313" s="9"/>
      <c r="L313" s="9"/>
      <c r="M313" s="9"/>
      <c r="N313" s="9"/>
      <c r="O313" s="9"/>
      <c r="P313" s="9"/>
      <c r="Q313" s="9"/>
      <c r="R313" s="9"/>
    </row>
    <row r="314">
      <c r="A314" s="9"/>
      <c r="B314" s="9"/>
      <c r="C314" s="9"/>
      <c r="D314" s="9"/>
      <c r="E314" s="9"/>
      <c r="F314" s="9"/>
      <c r="G314" s="9"/>
      <c r="H314" s="9"/>
      <c r="I314" s="9"/>
      <c r="J314" s="9"/>
      <c r="K314" s="9"/>
      <c r="L314" s="9"/>
      <c r="M314" s="9"/>
      <c r="N314" s="9"/>
      <c r="O314" s="9"/>
      <c r="P314" s="9"/>
      <c r="Q314" s="9"/>
      <c r="R314" s="9"/>
    </row>
    <row r="315">
      <c r="A315" s="9"/>
      <c r="B315" s="9"/>
      <c r="C315" s="9"/>
      <c r="D315" s="9"/>
      <c r="E315" s="9"/>
      <c r="F315" s="9"/>
      <c r="G315" s="9"/>
      <c r="H315" s="9"/>
      <c r="I315" s="9"/>
      <c r="J315" s="9"/>
      <c r="K315" s="9"/>
      <c r="L315" s="9"/>
      <c r="M315" s="9"/>
      <c r="N315" s="9"/>
      <c r="O315" s="9"/>
      <c r="P315" s="9"/>
      <c r="Q315" s="9"/>
      <c r="R315" s="9"/>
    </row>
    <row r="316">
      <c r="A316" s="9"/>
      <c r="B316" s="9"/>
      <c r="C316" s="9"/>
      <c r="D316" s="9"/>
      <c r="E316" s="9"/>
      <c r="F316" s="9"/>
      <c r="G316" s="9"/>
      <c r="H316" s="9"/>
      <c r="I316" s="9"/>
      <c r="J316" s="9"/>
      <c r="K316" s="9"/>
      <c r="L316" s="9"/>
      <c r="M316" s="9"/>
      <c r="N316" s="9"/>
      <c r="O316" s="9"/>
      <c r="P316" s="9"/>
      <c r="Q316" s="9"/>
      <c r="R316" s="9"/>
    </row>
    <row r="317">
      <c r="A317" s="9"/>
      <c r="B317" s="9"/>
      <c r="C317" s="9"/>
      <c r="D317" s="9"/>
      <c r="E317" s="9"/>
      <c r="F317" s="9"/>
      <c r="G317" s="9"/>
      <c r="H317" s="9"/>
      <c r="I317" s="9"/>
      <c r="J317" s="9"/>
      <c r="K317" s="9"/>
      <c r="L317" s="9"/>
      <c r="M317" s="9"/>
      <c r="N317" s="9"/>
      <c r="O317" s="9"/>
      <c r="P317" s="9"/>
      <c r="Q317" s="9"/>
      <c r="R317" s="9"/>
    </row>
    <row r="318">
      <c r="A318" s="9"/>
      <c r="B318" s="9"/>
      <c r="C318" s="9"/>
      <c r="D318" s="9"/>
      <c r="E318" s="9"/>
      <c r="F318" s="9"/>
      <c r="G318" s="9"/>
      <c r="H318" s="9"/>
      <c r="I318" s="9"/>
      <c r="J318" s="9"/>
      <c r="K318" s="9"/>
      <c r="L318" s="9"/>
      <c r="M318" s="9"/>
      <c r="N318" s="9"/>
      <c r="O318" s="9"/>
      <c r="P318" s="9"/>
      <c r="Q318" s="9"/>
      <c r="R318" s="9"/>
    </row>
    <row r="319">
      <c r="A319" s="9"/>
      <c r="B319" s="9"/>
      <c r="C319" s="9"/>
      <c r="D319" s="9"/>
      <c r="E319" s="9"/>
      <c r="F319" s="9"/>
      <c r="G319" s="9"/>
      <c r="H319" s="9"/>
      <c r="I319" s="9"/>
      <c r="J319" s="9"/>
      <c r="K319" s="9"/>
      <c r="L319" s="9"/>
      <c r="M319" s="9"/>
      <c r="N319" s="9"/>
      <c r="O319" s="9"/>
      <c r="P319" s="9"/>
      <c r="Q319" s="9"/>
      <c r="R319" s="9"/>
    </row>
    <row r="320">
      <c r="A320" s="9"/>
      <c r="B320" s="9"/>
      <c r="C320" s="9"/>
      <c r="D320" s="9"/>
      <c r="E320" s="9"/>
      <c r="F320" s="9"/>
      <c r="G320" s="9"/>
      <c r="H320" s="9"/>
      <c r="I320" s="9"/>
      <c r="J320" s="9"/>
      <c r="K320" s="9"/>
      <c r="L320" s="9"/>
      <c r="M320" s="9"/>
      <c r="N320" s="9"/>
      <c r="O320" s="9"/>
      <c r="P320" s="9"/>
      <c r="Q320" s="9"/>
      <c r="R320" s="9"/>
    </row>
    <row r="321">
      <c r="A321" s="9"/>
      <c r="B321" s="9"/>
      <c r="C321" s="9"/>
      <c r="D321" s="9"/>
      <c r="E321" s="9"/>
      <c r="F321" s="9"/>
      <c r="G321" s="9"/>
      <c r="H321" s="9"/>
      <c r="I321" s="9"/>
      <c r="J321" s="9"/>
      <c r="K321" s="9"/>
      <c r="L321" s="9"/>
      <c r="M321" s="9"/>
      <c r="N321" s="9"/>
      <c r="O321" s="9"/>
      <c r="P321" s="9"/>
      <c r="Q321" s="9"/>
      <c r="R321" s="9"/>
    </row>
    <row r="322">
      <c r="A322" s="9"/>
      <c r="B322" s="9"/>
      <c r="C322" s="9"/>
      <c r="D322" s="9"/>
      <c r="E322" s="9"/>
      <c r="F322" s="9"/>
      <c r="G322" s="9"/>
      <c r="H322" s="9"/>
      <c r="I322" s="9"/>
      <c r="J322" s="9"/>
      <c r="K322" s="9"/>
      <c r="L322" s="9"/>
      <c r="M322" s="9"/>
      <c r="N322" s="9"/>
      <c r="O322" s="9"/>
      <c r="P322" s="9"/>
      <c r="Q322" s="9"/>
      <c r="R322" s="9"/>
    </row>
    <row r="323">
      <c r="A323" s="9"/>
      <c r="B323" s="9"/>
      <c r="C323" s="9"/>
      <c r="D323" s="9"/>
      <c r="E323" s="9"/>
      <c r="F323" s="9"/>
      <c r="G323" s="9"/>
      <c r="H323" s="9"/>
      <c r="I323" s="9"/>
      <c r="J323" s="9"/>
      <c r="K323" s="9"/>
      <c r="L323" s="9"/>
      <c r="M323" s="9"/>
      <c r="N323" s="9"/>
      <c r="O323" s="9"/>
      <c r="P323" s="9"/>
      <c r="Q323" s="9"/>
      <c r="R323" s="9"/>
    </row>
    <row r="324">
      <c r="A324" s="9"/>
      <c r="B324" s="9"/>
      <c r="C324" s="9"/>
      <c r="D324" s="9"/>
      <c r="E324" s="9"/>
      <c r="F324" s="9"/>
      <c r="G324" s="9"/>
      <c r="H324" s="9"/>
      <c r="I324" s="9"/>
      <c r="J324" s="9"/>
      <c r="K324" s="9"/>
      <c r="L324" s="9"/>
      <c r="M324" s="9"/>
      <c r="N324" s="9"/>
      <c r="O324" s="9"/>
      <c r="P324" s="9"/>
      <c r="Q324" s="9"/>
      <c r="R324" s="9"/>
    </row>
    <row r="325">
      <c r="A325" s="9"/>
      <c r="B325" s="9"/>
      <c r="C325" s="9"/>
      <c r="D325" s="9"/>
      <c r="E325" s="9"/>
      <c r="F325" s="9"/>
      <c r="G325" s="9"/>
      <c r="H325" s="9"/>
      <c r="I325" s="9"/>
      <c r="J325" s="9"/>
      <c r="K325" s="9"/>
      <c r="L325" s="9"/>
      <c r="M325" s="9"/>
      <c r="N325" s="9"/>
      <c r="O325" s="9"/>
      <c r="P325" s="9"/>
      <c r="Q325" s="9"/>
      <c r="R325" s="9"/>
    </row>
    <row r="326">
      <c r="A326" s="9"/>
      <c r="B326" s="9"/>
      <c r="C326" s="9"/>
      <c r="D326" s="9"/>
      <c r="E326" s="9"/>
      <c r="F326" s="9"/>
      <c r="G326" s="9"/>
      <c r="H326" s="9"/>
      <c r="I326" s="9"/>
      <c r="J326" s="9"/>
      <c r="K326" s="9"/>
      <c r="L326" s="9"/>
      <c r="M326" s="9"/>
      <c r="N326" s="9"/>
      <c r="O326" s="9"/>
      <c r="P326" s="9"/>
      <c r="Q326" s="9"/>
      <c r="R326" s="9"/>
    </row>
    <row r="327">
      <c r="A327" s="9"/>
      <c r="B327" s="9"/>
      <c r="C327" s="9"/>
      <c r="D327" s="9"/>
      <c r="E327" s="9"/>
      <c r="F327" s="9"/>
      <c r="G327" s="9"/>
      <c r="H327" s="9"/>
      <c r="I327" s="9"/>
      <c r="J327" s="9"/>
      <c r="K327" s="9"/>
      <c r="L327" s="9"/>
      <c r="M327" s="9"/>
      <c r="N327" s="9"/>
      <c r="O327" s="9"/>
      <c r="P327" s="9"/>
      <c r="Q327" s="9"/>
      <c r="R327" s="9"/>
    </row>
    <row r="328">
      <c r="A328" s="9"/>
      <c r="B328" s="9"/>
      <c r="C328" s="9"/>
      <c r="D328" s="9"/>
      <c r="E328" s="9"/>
      <c r="F328" s="9"/>
      <c r="G328" s="9"/>
      <c r="H328" s="9"/>
      <c r="I328" s="9"/>
      <c r="J328" s="9"/>
      <c r="K328" s="9"/>
      <c r="L328" s="9"/>
      <c r="M328" s="9"/>
      <c r="N328" s="9"/>
      <c r="O328" s="9"/>
      <c r="P328" s="9"/>
      <c r="Q328" s="9"/>
      <c r="R328" s="9"/>
    </row>
    <row r="329">
      <c r="A329" s="9"/>
      <c r="B329" s="9"/>
      <c r="C329" s="9"/>
      <c r="D329" s="9"/>
      <c r="E329" s="9"/>
      <c r="F329" s="9"/>
      <c r="G329" s="9"/>
      <c r="H329" s="9"/>
      <c r="I329" s="9"/>
      <c r="J329" s="9"/>
      <c r="K329" s="9"/>
      <c r="L329" s="9"/>
      <c r="M329" s="9"/>
      <c r="N329" s="9"/>
      <c r="O329" s="9"/>
      <c r="P329" s="9"/>
      <c r="Q329" s="9"/>
      <c r="R329" s="9"/>
    </row>
    <row r="330">
      <c r="A330" s="9"/>
      <c r="B330" s="9"/>
      <c r="C330" s="9"/>
      <c r="D330" s="9"/>
      <c r="E330" s="9"/>
      <c r="F330" s="9"/>
      <c r="G330" s="9"/>
      <c r="H330" s="9"/>
      <c r="I330" s="9"/>
      <c r="J330" s="9"/>
      <c r="K330" s="9"/>
      <c r="L330" s="9"/>
      <c r="M330" s="9"/>
      <c r="N330" s="9"/>
      <c r="O330" s="9"/>
      <c r="P330" s="9"/>
      <c r="Q330" s="9"/>
      <c r="R330" s="9"/>
    </row>
    <row r="331">
      <c r="A331" s="9"/>
      <c r="B331" s="9"/>
      <c r="C331" s="9"/>
      <c r="D331" s="9"/>
      <c r="E331" s="9"/>
      <c r="F331" s="9"/>
      <c r="G331" s="9"/>
      <c r="H331" s="9"/>
      <c r="I331" s="9"/>
      <c r="J331" s="9"/>
      <c r="K331" s="9"/>
      <c r="L331" s="9"/>
      <c r="M331" s="9"/>
      <c r="N331" s="9"/>
      <c r="O331" s="9"/>
      <c r="P331" s="9"/>
      <c r="Q331" s="9"/>
      <c r="R331" s="9"/>
    </row>
    <row r="332">
      <c r="A332" s="9"/>
      <c r="B332" s="9"/>
      <c r="C332" s="9"/>
      <c r="D332" s="9"/>
      <c r="E332" s="9"/>
      <c r="F332" s="9"/>
      <c r="G332" s="9"/>
      <c r="H332" s="9"/>
      <c r="I332" s="9"/>
      <c r="J332" s="9"/>
      <c r="K332" s="9"/>
      <c r="L332" s="9"/>
      <c r="M332" s="9"/>
      <c r="N332" s="9"/>
      <c r="O332" s="9"/>
      <c r="P332" s="9"/>
      <c r="Q332" s="9"/>
      <c r="R332" s="9"/>
    </row>
    <row r="333">
      <c r="A333" s="9"/>
      <c r="B333" s="9"/>
      <c r="C333" s="9"/>
      <c r="D333" s="9"/>
      <c r="E333" s="9"/>
      <c r="F333" s="9"/>
      <c r="G333" s="9"/>
      <c r="H333" s="9"/>
      <c r="I333" s="9"/>
      <c r="J333" s="9"/>
      <c r="K333" s="9"/>
      <c r="L333" s="9"/>
      <c r="M333" s="9"/>
      <c r="N333" s="9"/>
      <c r="O333" s="9"/>
      <c r="P333" s="9"/>
      <c r="Q333" s="9"/>
      <c r="R333" s="9"/>
    </row>
    <row r="334">
      <c r="A334" s="9"/>
      <c r="B334" s="9"/>
      <c r="C334" s="9"/>
      <c r="D334" s="9"/>
      <c r="E334" s="9"/>
      <c r="F334" s="9"/>
      <c r="G334" s="9"/>
      <c r="H334" s="9"/>
      <c r="I334" s="9"/>
      <c r="J334" s="9"/>
      <c r="K334" s="9"/>
      <c r="L334" s="9"/>
      <c r="M334" s="9"/>
      <c r="N334" s="9"/>
      <c r="O334" s="9"/>
      <c r="P334" s="9"/>
      <c r="Q334" s="9"/>
      <c r="R334" s="9"/>
    </row>
    <row r="335">
      <c r="A335" s="9"/>
      <c r="B335" s="9"/>
      <c r="C335" s="9"/>
      <c r="D335" s="9"/>
      <c r="E335" s="9"/>
      <c r="F335" s="9"/>
      <c r="G335" s="9"/>
      <c r="H335" s="9"/>
      <c r="I335" s="9"/>
      <c r="J335" s="9"/>
      <c r="K335" s="9"/>
      <c r="L335" s="9"/>
      <c r="M335" s="9"/>
      <c r="N335" s="9"/>
      <c r="O335" s="9"/>
      <c r="P335" s="9"/>
      <c r="Q335" s="9"/>
      <c r="R335" s="9"/>
    </row>
    <row r="336">
      <c r="A336" s="9"/>
      <c r="B336" s="9"/>
      <c r="C336" s="9"/>
      <c r="D336" s="9"/>
      <c r="E336" s="9"/>
      <c r="F336" s="9"/>
      <c r="G336" s="9"/>
      <c r="H336" s="9"/>
      <c r="I336" s="9"/>
      <c r="J336" s="9"/>
      <c r="K336" s="9"/>
      <c r="L336" s="9"/>
      <c r="M336" s="9"/>
      <c r="N336" s="9"/>
      <c r="O336" s="9"/>
      <c r="P336" s="9"/>
      <c r="Q336" s="9"/>
      <c r="R336" s="9"/>
    </row>
    <row r="337">
      <c r="A337" s="9"/>
      <c r="B337" s="9"/>
      <c r="C337" s="9"/>
      <c r="D337" s="9"/>
      <c r="E337" s="9"/>
      <c r="F337" s="9"/>
      <c r="G337" s="9"/>
      <c r="H337" s="9"/>
      <c r="I337" s="9"/>
      <c r="J337" s="9"/>
      <c r="K337" s="9"/>
      <c r="L337" s="9"/>
      <c r="M337" s="9"/>
      <c r="N337" s="9"/>
      <c r="O337" s="9"/>
      <c r="P337" s="9"/>
      <c r="Q337" s="9"/>
      <c r="R337" s="9"/>
    </row>
    <row r="338">
      <c r="A338" s="9"/>
      <c r="B338" s="9"/>
      <c r="C338" s="9"/>
      <c r="D338" s="9"/>
      <c r="E338" s="9"/>
      <c r="F338" s="9"/>
      <c r="G338" s="9"/>
      <c r="H338" s="9"/>
      <c r="I338" s="9"/>
      <c r="J338" s="9"/>
      <c r="K338" s="9"/>
      <c r="L338" s="9"/>
      <c r="M338" s="9"/>
      <c r="N338" s="9"/>
      <c r="O338" s="9"/>
      <c r="P338" s="9"/>
      <c r="Q338" s="9"/>
      <c r="R338" s="9"/>
    </row>
    <row r="339">
      <c r="A339" s="9"/>
      <c r="B339" s="9"/>
      <c r="C339" s="9"/>
      <c r="D339" s="9"/>
      <c r="E339" s="9"/>
      <c r="F339" s="9"/>
      <c r="G339" s="9"/>
      <c r="H339" s="9"/>
      <c r="I339" s="9"/>
      <c r="J339" s="9"/>
      <c r="K339" s="9"/>
      <c r="L339" s="9"/>
      <c r="M339" s="9"/>
      <c r="N339" s="9"/>
      <c r="O339" s="9"/>
      <c r="P339" s="9"/>
      <c r="Q339" s="9"/>
      <c r="R339" s="9"/>
    </row>
    <row r="340">
      <c r="A340" s="9"/>
      <c r="B340" s="9"/>
      <c r="C340" s="9"/>
      <c r="D340" s="9"/>
      <c r="E340" s="9"/>
      <c r="F340" s="9"/>
      <c r="G340" s="9"/>
      <c r="H340" s="9"/>
      <c r="I340" s="9"/>
      <c r="J340" s="9"/>
      <c r="K340" s="9"/>
      <c r="L340" s="9"/>
      <c r="M340" s="9"/>
      <c r="N340" s="9"/>
      <c r="O340" s="9"/>
      <c r="P340" s="9"/>
      <c r="Q340" s="9"/>
      <c r="R340" s="9"/>
    </row>
    <row r="341">
      <c r="A341" s="9"/>
      <c r="B341" s="9"/>
      <c r="C341" s="9"/>
      <c r="D341" s="9"/>
      <c r="E341" s="9"/>
      <c r="F341" s="9"/>
      <c r="G341" s="9"/>
      <c r="H341" s="9"/>
      <c r="I341" s="9"/>
      <c r="J341" s="9"/>
      <c r="K341" s="9"/>
      <c r="L341" s="9"/>
      <c r="M341" s="9"/>
      <c r="N341" s="9"/>
      <c r="O341" s="9"/>
      <c r="P341" s="9"/>
      <c r="Q341" s="9"/>
      <c r="R341" s="9"/>
    </row>
    <row r="342">
      <c r="A342" s="9"/>
      <c r="B342" s="9"/>
      <c r="C342" s="9"/>
      <c r="D342" s="9"/>
      <c r="E342" s="9"/>
      <c r="F342" s="9"/>
      <c r="G342" s="9"/>
      <c r="H342" s="9"/>
      <c r="I342" s="9"/>
      <c r="J342" s="9"/>
      <c r="K342" s="9"/>
      <c r="L342" s="9"/>
      <c r="M342" s="9"/>
      <c r="N342" s="9"/>
      <c r="O342" s="9"/>
      <c r="P342" s="9"/>
      <c r="Q342" s="9"/>
      <c r="R342" s="9"/>
    </row>
    <row r="343">
      <c r="A343" s="9"/>
      <c r="B343" s="9"/>
      <c r="C343" s="9"/>
      <c r="D343" s="9"/>
      <c r="E343" s="9"/>
      <c r="F343" s="9"/>
      <c r="G343" s="9"/>
      <c r="H343" s="9"/>
      <c r="I343" s="9"/>
      <c r="J343" s="9"/>
      <c r="K343" s="9"/>
      <c r="L343" s="9"/>
      <c r="M343" s="9"/>
      <c r="N343" s="9"/>
      <c r="O343" s="9"/>
      <c r="P343" s="9"/>
      <c r="Q343" s="9"/>
      <c r="R343" s="9"/>
    </row>
    <row r="344">
      <c r="A344" s="9"/>
      <c r="B344" s="9"/>
      <c r="C344" s="9"/>
      <c r="D344" s="9"/>
      <c r="E344" s="9"/>
      <c r="F344" s="9"/>
      <c r="G344" s="9"/>
      <c r="H344" s="9"/>
      <c r="I344" s="9"/>
      <c r="J344" s="9"/>
      <c r="K344" s="9"/>
      <c r="L344" s="9"/>
      <c r="M344" s="9"/>
      <c r="N344" s="9"/>
      <c r="O344" s="9"/>
      <c r="P344" s="9"/>
      <c r="Q344" s="9"/>
      <c r="R344" s="9"/>
    </row>
    <row r="345">
      <c r="A345" s="9"/>
      <c r="B345" s="9"/>
      <c r="C345" s="9"/>
      <c r="D345" s="9"/>
      <c r="E345" s="9"/>
      <c r="F345" s="9"/>
      <c r="G345" s="9"/>
      <c r="H345" s="9"/>
      <c r="I345" s="9"/>
      <c r="J345" s="9"/>
      <c r="K345" s="9"/>
      <c r="L345" s="9"/>
      <c r="M345" s="9"/>
      <c r="N345" s="9"/>
      <c r="O345" s="9"/>
      <c r="P345" s="9"/>
      <c r="Q345" s="9"/>
      <c r="R345" s="9"/>
    </row>
    <row r="346">
      <c r="A346" s="9"/>
      <c r="B346" s="9"/>
      <c r="C346" s="9"/>
      <c r="D346" s="9"/>
      <c r="E346" s="9"/>
      <c r="F346" s="9"/>
      <c r="G346" s="9"/>
      <c r="H346" s="9"/>
      <c r="I346" s="9"/>
      <c r="J346" s="9"/>
      <c r="K346" s="9"/>
      <c r="L346" s="9"/>
      <c r="M346" s="9"/>
      <c r="N346" s="9"/>
      <c r="O346" s="9"/>
      <c r="P346" s="9"/>
      <c r="Q346" s="9"/>
      <c r="R346" s="9"/>
    </row>
    <row r="347">
      <c r="A347" s="9"/>
      <c r="B347" s="9"/>
      <c r="C347" s="9"/>
      <c r="D347" s="9"/>
      <c r="E347" s="9"/>
      <c r="F347" s="9"/>
      <c r="G347" s="9"/>
      <c r="H347" s="9"/>
      <c r="I347" s="9"/>
      <c r="J347" s="9"/>
      <c r="K347" s="9"/>
      <c r="L347" s="9"/>
      <c r="M347" s="9"/>
      <c r="N347" s="9"/>
      <c r="O347" s="9"/>
      <c r="P347" s="9"/>
      <c r="Q347" s="9"/>
      <c r="R347" s="9"/>
    </row>
    <row r="348">
      <c r="A348" s="9"/>
      <c r="B348" s="9"/>
      <c r="C348" s="9"/>
      <c r="D348" s="9"/>
      <c r="E348" s="9"/>
      <c r="F348" s="9"/>
      <c r="G348" s="9"/>
      <c r="H348" s="9"/>
      <c r="I348" s="9"/>
      <c r="J348" s="9"/>
      <c r="K348" s="9"/>
      <c r="L348" s="9"/>
      <c r="M348" s="9"/>
      <c r="N348" s="9"/>
      <c r="O348" s="9"/>
      <c r="P348" s="9"/>
      <c r="Q348" s="9"/>
      <c r="R348" s="9"/>
    </row>
    <row r="349">
      <c r="A349" s="9"/>
      <c r="B349" s="9"/>
      <c r="C349" s="9"/>
      <c r="D349" s="9"/>
      <c r="E349" s="9"/>
      <c r="F349" s="9"/>
      <c r="G349" s="9"/>
      <c r="H349" s="9"/>
      <c r="I349" s="9"/>
      <c r="J349" s="9"/>
      <c r="K349" s="9"/>
      <c r="L349" s="9"/>
      <c r="M349" s="9"/>
      <c r="N349" s="9"/>
      <c r="O349" s="9"/>
      <c r="P349" s="9"/>
      <c r="Q349" s="9"/>
      <c r="R349" s="9"/>
    </row>
    <row r="350">
      <c r="A350" s="9"/>
      <c r="B350" s="9"/>
      <c r="C350" s="9"/>
      <c r="D350" s="9"/>
      <c r="E350" s="9"/>
      <c r="F350" s="9"/>
      <c r="G350" s="9"/>
      <c r="H350" s="9"/>
      <c r="I350" s="9"/>
      <c r="J350" s="9"/>
      <c r="K350" s="9"/>
      <c r="L350" s="9"/>
      <c r="M350" s="9"/>
      <c r="N350" s="9"/>
      <c r="O350" s="9"/>
      <c r="P350" s="9"/>
      <c r="Q350" s="9"/>
      <c r="R350" s="9"/>
    </row>
    <row r="351">
      <c r="A351" s="9"/>
      <c r="B351" s="9"/>
      <c r="C351" s="9"/>
      <c r="D351" s="9"/>
      <c r="E351" s="9"/>
      <c r="F351" s="9"/>
      <c r="G351" s="9"/>
      <c r="H351" s="9"/>
      <c r="I351" s="9"/>
      <c r="J351" s="9"/>
      <c r="K351" s="9"/>
      <c r="L351" s="9"/>
      <c r="M351" s="9"/>
      <c r="N351" s="9"/>
      <c r="O351" s="9"/>
      <c r="P351" s="9"/>
      <c r="Q351" s="9"/>
      <c r="R351" s="9"/>
    </row>
    <row r="352">
      <c r="A352" s="9"/>
      <c r="B352" s="9"/>
      <c r="C352" s="9"/>
      <c r="D352" s="9"/>
      <c r="E352" s="9"/>
      <c r="F352" s="9"/>
      <c r="G352" s="9"/>
      <c r="H352" s="9"/>
      <c r="I352" s="9"/>
      <c r="J352" s="9"/>
      <c r="K352" s="9"/>
      <c r="L352" s="9"/>
      <c r="M352" s="9"/>
      <c r="N352" s="9"/>
      <c r="O352" s="9"/>
      <c r="P352" s="9"/>
      <c r="Q352" s="9"/>
      <c r="R352" s="9"/>
    </row>
    <row r="353">
      <c r="A353" s="9"/>
      <c r="B353" s="9"/>
      <c r="C353" s="9"/>
      <c r="D353" s="9"/>
      <c r="E353" s="9"/>
      <c r="F353" s="9"/>
      <c r="G353" s="9"/>
      <c r="H353" s="9"/>
      <c r="I353" s="9"/>
      <c r="J353" s="9"/>
      <c r="K353" s="9"/>
      <c r="L353" s="9"/>
      <c r="M353" s="9"/>
      <c r="N353" s="9"/>
      <c r="O353" s="9"/>
      <c r="P353" s="9"/>
      <c r="Q353" s="9"/>
      <c r="R353" s="9"/>
    </row>
    <row r="354">
      <c r="A354" s="9"/>
      <c r="B354" s="9"/>
      <c r="C354" s="9"/>
      <c r="D354" s="9"/>
      <c r="E354" s="9"/>
      <c r="F354" s="9"/>
      <c r="G354" s="9"/>
      <c r="H354" s="9"/>
      <c r="I354" s="9"/>
      <c r="J354" s="9"/>
      <c r="K354" s="9"/>
      <c r="L354" s="9"/>
      <c r="M354" s="9"/>
      <c r="N354" s="9"/>
      <c r="O354" s="9"/>
      <c r="P354" s="9"/>
      <c r="Q354" s="9"/>
      <c r="R354" s="9"/>
    </row>
    <row r="355">
      <c r="A355" s="9"/>
      <c r="B355" s="9"/>
      <c r="C355" s="9"/>
      <c r="D355" s="9"/>
      <c r="E355" s="9"/>
      <c r="F355" s="9"/>
      <c r="G355" s="9"/>
      <c r="H355" s="9"/>
      <c r="I355" s="9"/>
      <c r="J355" s="9"/>
      <c r="K355" s="9"/>
      <c r="L355" s="9"/>
      <c r="M355" s="9"/>
      <c r="N355" s="9"/>
      <c r="O355" s="9"/>
      <c r="P355" s="9"/>
      <c r="Q355" s="9"/>
      <c r="R355" s="9"/>
    </row>
    <row r="356">
      <c r="A356" s="9"/>
      <c r="B356" s="9"/>
      <c r="C356" s="9"/>
      <c r="D356" s="9"/>
      <c r="E356" s="9"/>
      <c r="F356" s="9"/>
      <c r="G356" s="9"/>
      <c r="H356" s="9"/>
      <c r="I356" s="9"/>
      <c r="J356" s="9"/>
      <c r="K356" s="9"/>
      <c r="L356" s="9"/>
      <c r="M356" s="9"/>
      <c r="N356" s="9"/>
      <c r="O356" s="9"/>
      <c r="P356" s="9"/>
      <c r="Q356" s="9"/>
      <c r="R356" s="9"/>
    </row>
    <row r="357">
      <c r="A357" s="9"/>
      <c r="B357" s="9"/>
      <c r="C357" s="9"/>
      <c r="D357" s="9"/>
      <c r="E357" s="9"/>
      <c r="F357" s="9"/>
      <c r="G357" s="9"/>
      <c r="H357" s="9"/>
      <c r="I357" s="9"/>
      <c r="J357" s="9"/>
      <c r="K357" s="9"/>
      <c r="L357" s="9"/>
      <c r="M357" s="9"/>
      <c r="N357" s="9"/>
      <c r="O357" s="9"/>
      <c r="P357" s="9"/>
      <c r="Q357" s="9"/>
      <c r="R357" s="9"/>
    </row>
    <row r="358">
      <c r="A358" s="9"/>
      <c r="B358" s="9"/>
      <c r="C358" s="9"/>
      <c r="D358" s="9"/>
      <c r="E358" s="9"/>
      <c r="F358" s="9"/>
      <c r="G358" s="9"/>
      <c r="H358" s="9"/>
      <c r="I358" s="9"/>
      <c r="J358" s="9"/>
      <c r="K358" s="9"/>
      <c r="L358" s="9"/>
      <c r="M358" s="9"/>
      <c r="N358" s="9"/>
      <c r="O358" s="9"/>
      <c r="P358" s="9"/>
      <c r="Q358" s="9"/>
      <c r="R358" s="9"/>
    </row>
    <row r="359">
      <c r="A359" s="9"/>
      <c r="B359" s="9"/>
      <c r="C359" s="9"/>
      <c r="D359" s="9"/>
      <c r="E359" s="9"/>
      <c r="F359" s="9"/>
      <c r="G359" s="9"/>
      <c r="H359" s="9"/>
      <c r="I359" s="9"/>
      <c r="J359" s="9"/>
      <c r="K359" s="9"/>
      <c r="L359" s="9"/>
      <c r="M359" s="9"/>
      <c r="N359" s="9"/>
      <c r="O359" s="9"/>
      <c r="P359" s="9"/>
      <c r="Q359" s="9"/>
      <c r="R359" s="9"/>
    </row>
    <row r="360">
      <c r="A360" s="9"/>
      <c r="B360" s="9"/>
      <c r="C360" s="9"/>
      <c r="D360" s="9"/>
      <c r="E360" s="9"/>
      <c r="F360" s="9"/>
      <c r="G360" s="9"/>
      <c r="H360" s="9"/>
      <c r="I360" s="9"/>
      <c r="J360" s="9"/>
      <c r="K360" s="9"/>
      <c r="L360" s="9"/>
      <c r="M360" s="9"/>
      <c r="N360" s="9"/>
      <c r="O360" s="9"/>
      <c r="P360" s="9"/>
      <c r="Q360" s="9"/>
      <c r="R360" s="9"/>
    </row>
    <row r="361">
      <c r="A361" s="9"/>
      <c r="B361" s="9"/>
      <c r="C361" s="9"/>
      <c r="D361" s="9"/>
      <c r="E361" s="9"/>
      <c r="F361" s="9"/>
      <c r="G361" s="9"/>
      <c r="H361" s="9"/>
      <c r="I361" s="9"/>
      <c r="J361" s="9"/>
      <c r="K361" s="9"/>
      <c r="L361" s="9"/>
      <c r="M361" s="9"/>
      <c r="N361" s="9"/>
      <c r="O361" s="9"/>
      <c r="P361" s="9"/>
      <c r="Q361" s="9"/>
      <c r="R361" s="9"/>
    </row>
    <row r="362">
      <c r="A362" s="9"/>
      <c r="B362" s="9"/>
      <c r="C362" s="9"/>
      <c r="D362" s="9"/>
      <c r="E362" s="9"/>
      <c r="F362" s="9"/>
      <c r="G362" s="9"/>
      <c r="H362" s="9"/>
      <c r="I362" s="9"/>
      <c r="J362" s="9"/>
      <c r="K362" s="9"/>
      <c r="L362" s="9"/>
      <c r="M362" s="9"/>
      <c r="N362" s="9"/>
      <c r="O362" s="9"/>
      <c r="P362" s="9"/>
      <c r="Q362" s="9"/>
      <c r="R362" s="9"/>
    </row>
    <row r="363">
      <c r="A363" s="9"/>
      <c r="B363" s="9"/>
      <c r="C363" s="9"/>
      <c r="D363" s="9"/>
      <c r="E363" s="9"/>
      <c r="F363" s="9"/>
      <c r="G363" s="9"/>
      <c r="H363" s="9"/>
      <c r="I363" s="9"/>
      <c r="J363" s="9"/>
      <c r="K363" s="9"/>
      <c r="L363" s="9"/>
      <c r="M363" s="9"/>
      <c r="N363" s="9"/>
      <c r="O363" s="9"/>
      <c r="P363" s="9"/>
      <c r="Q363" s="9"/>
      <c r="R363" s="9"/>
    </row>
    <row r="364">
      <c r="A364" s="9"/>
      <c r="B364" s="9"/>
      <c r="C364" s="9"/>
      <c r="D364" s="9"/>
      <c r="E364" s="9"/>
      <c r="F364" s="9"/>
      <c r="G364" s="9"/>
      <c r="H364" s="9"/>
      <c r="I364" s="9"/>
      <c r="J364" s="9"/>
      <c r="K364" s="9"/>
      <c r="L364" s="9"/>
      <c r="M364" s="9"/>
      <c r="N364" s="9"/>
      <c r="O364" s="9"/>
      <c r="P364" s="9"/>
      <c r="Q364" s="9"/>
      <c r="R364" s="9"/>
    </row>
    <row r="365">
      <c r="A365" s="9"/>
      <c r="B365" s="9"/>
      <c r="C365" s="9"/>
      <c r="D365" s="9"/>
      <c r="E365" s="9"/>
      <c r="F365" s="9"/>
      <c r="G365" s="9"/>
      <c r="H365" s="9"/>
      <c r="I365" s="9"/>
      <c r="J365" s="9"/>
      <c r="K365" s="9"/>
      <c r="L365" s="9"/>
      <c r="M365" s="9"/>
      <c r="N365" s="9"/>
      <c r="O365" s="9"/>
      <c r="P365" s="9"/>
      <c r="Q365" s="9"/>
      <c r="R365" s="9"/>
    </row>
    <row r="366">
      <c r="A366" s="9"/>
      <c r="B366" s="9"/>
      <c r="C366" s="9"/>
      <c r="D366" s="9"/>
      <c r="E366" s="9"/>
      <c r="F366" s="9"/>
      <c r="G366" s="9"/>
      <c r="H366" s="9"/>
      <c r="I366" s="9"/>
      <c r="J366" s="9"/>
      <c r="K366" s="9"/>
      <c r="L366" s="9"/>
      <c r="M366" s="9"/>
      <c r="N366" s="9"/>
      <c r="O366" s="9"/>
      <c r="P366" s="9"/>
      <c r="Q366" s="9"/>
      <c r="R366" s="9"/>
    </row>
    <row r="367">
      <c r="A367" s="9"/>
      <c r="B367" s="9"/>
      <c r="C367" s="9"/>
      <c r="D367" s="9"/>
      <c r="E367" s="9"/>
      <c r="F367" s="9"/>
      <c r="G367" s="9"/>
      <c r="H367" s="9"/>
      <c r="I367" s="9"/>
      <c r="J367" s="9"/>
      <c r="K367" s="9"/>
      <c r="L367" s="9"/>
      <c r="M367" s="9"/>
      <c r="N367" s="9"/>
      <c r="O367" s="9"/>
      <c r="P367" s="9"/>
      <c r="Q367" s="9"/>
      <c r="R367" s="9"/>
    </row>
    <row r="368">
      <c r="A368" s="9"/>
      <c r="B368" s="9"/>
      <c r="C368" s="9"/>
      <c r="D368" s="9"/>
      <c r="E368" s="9"/>
      <c r="F368" s="9"/>
      <c r="G368" s="9"/>
      <c r="H368" s="9"/>
      <c r="I368" s="9"/>
      <c r="J368" s="9"/>
      <c r="K368" s="9"/>
      <c r="L368" s="9"/>
      <c r="M368" s="9"/>
      <c r="N368" s="9"/>
      <c r="O368" s="9"/>
      <c r="P368" s="9"/>
      <c r="Q368" s="9"/>
      <c r="R368" s="9"/>
    </row>
    <row r="369">
      <c r="A369" s="9"/>
      <c r="B369" s="9"/>
      <c r="C369" s="9"/>
      <c r="D369" s="9"/>
      <c r="E369" s="9"/>
      <c r="F369" s="9"/>
      <c r="G369" s="9"/>
      <c r="H369" s="9"/>
      <c r="I369" s="9"/>
      <c r="J369" s="9"/>
      <c r="K369" s="9"/>
      <c r="L369" s="9"/>
      <c r="M369" s="9"/>
      <c r="N369" s="9"/>
      <c r="O369" s="9"/>
      <c r="P369" s="9"/>
      <c r="Q369" s="9"/>
      <c r="R369" s="9"/>
    </row>
    <row r="370">
      <c r="A370" s="9"/>
      <c r="B370" s="9"/>
      <c r="C370" s="9"/>
      <c r="D370" s="9"/>
      <c r="E370" s="9"/>
      <c r="F370" s="9"/>
      <c r="G370" s="9"/>
      <c r="H370" s="9"/>
      <c r="I370" s="9"/>
      <c r="J370" s="9"/>
      <c r="K370" s="9"/>
      <c r="L370" s="9"/>
      <c r="M370" s="9"/>
      <c r="N370" s="9"/>
      <c r="O370" s="9"/>
      <c r="P370" s="9"/>
      <c r="Q370" s="9"/>
      <c r="R370" s="9"/>
    </row>
    <row r="371">
      <c r="A371" s="9"/>
      <c r="B371" s="9"/>
      <c r="C371" s="9"/>
      <c r="D371" s="9"/>
      <c r="E371" s="9"/>
      <c r="F371" s="9"/>
      <c r="G371" s="9"/>
      <c r="H371" s="9"/>
      <c r="I371" s="9"/>
      <c r="J371" s="9"/>
      <c r="K371" s="9"/>
      <c r="L371" s="9"/>
      <c r="M371" s="9"/>
      <c r="N371" s="9"/>
      <c r="O371" s="9"/>
      <c r="P371" s="9"/>
      <c r="Q371" s="9"/>
      <c r="R371" s="9"/>
    </row>
    <row r="372">
      <c r="A372" s="9"/>
      <c r="B372" s="9"/>
      <c r="C372" s="9"/>
      <c r="D372" s="9"/>
      <c r="E372" s="9"/>
      <c r="F372" s="9"/>
      <c r="G372" s="9"/>
      <c r="H372" s="9"/>
      <c r="I372" s="9"/>
      <c r="J372" s="9"/>
      <c r="K372" s="9"/>
      <c r="L372" s="9"/>
      <c r="M372" s="9"/>
      <c r="N372" s="9"/>
      <c r="O372" s="9"/>
      <c r="P372" s="9"/>
      <c r="Q372" s="9"/>
      <c r="R372" s="9"/>
    </row>
    <row r="373">
      <c r="A373" s="9"/>
      <c r="B373" s="9"/>
      <c r="C373" s="9"/>
      <c r="D373" s="9"/>
      <c r="E373" s="9"/>
      <c r="F373" s="9"/>
      <c r="G373" s="9"/>
      <c r="H373" s="9"/>
      <c r="I373" s="9"/>
      <c r="J373" s="9"/>
      <c r="K373" s="9"/>
      <c r="L373" s="9"/>
      <c r="M373" s="9"/>
      <c r="N373" s="9"/>
      <c r="O373" s="9"/>
      <c r="P373" s="9"/>
      <c r="Q373" s="9"/>
      <c r="R373" s="9"/>
    </row>
    <row r="374">
      <c r="A374" s="9"/>
      <c r="B374" s="9"/>
      <c r="C374" s="9"/>
      <c r="D374" s="9"/>
      <c r="E374" s="9"/>
      <c r="F374" s="9"/>
      <c r="G374" s="9"/>
      <c r="H374" s="9"/>
      <c r="I374" s="9"/>
      <c r="J374" s="9"/>
      <c r="K374" s="9"/>
      <c r="L374" s="9"/>
      <c r="M374" s="9"/>
      <c r="N374" s="9"/>
      <c r="O374" s="9"/>
      <c r="P374" s="9"/>
      <c r="Q374" s="9"/>
      <c r="R374" s="9"/>
    </row>
    <row r="375">
      <c r="A375" s="9"/>
      <c r="B375" s="9"/>
      <c r="C375" s="9"/>
      <c r="D375" s="9"/>
      <c r="E375" s="9"/>
      <c r="F375" s="9"/>
      <c r="G375" s="9"/>
      <c r="H375" s="9"/>
      <c r="I375" s="9"/>
      <c r="J375" s="9"/>
      <c r="K375" s="9"/>
      <c r="L375" s="9"/>
      <c r="M375" s="9"/>
      <c r="N375" s="9"/>
      <c r="O375" s="9"/>
      <c r="P375" s="9"/>
      <c r="Q375" s="9"/>
      <c r="R375" s="9"/>
    </row>
    <row r="376">
      <c r="A376" s="9"/>
      <c r="B376" s="9"/>
      <c r="C376" s="9"/>
      <c r="D376" s="9"/>
      <c r="E376" s="9"/>
      <c r="F376" s="9"/>
      <c r="G376" s="9"/>
      <c r="H376" s="9"/>
      <c r="I376" s="9"/>
      <c r="J376" s="9"/>
      <c r="K376" s="9"/>
      <c r="L376" s="9"/>
      <c r="M376" s="9"/>
      <c r="N376" s="9"/>
      <c r="O376" s="9"/>
      <c r="P376" s="9"/>
      <c r="Q376" s="9"/>
      <c r="R376" s="9"/>
    </row>
    <row r="377">
      <c r="A377" s="9"/>
      <c r="B377" s="9"/>
      <c r="C377" s="9"/>
      <c r="D377" s="9"/>
      <c r="E377" s="9"/>
      <c r="F377" s="9"/>
      <c r="G377" s="9"/>
      <c r="H377" s="9"/>
      <c r="I377" s="9"/>
      <c r="J377" s="9"/>
      <c r="K377" s="9"/>
      <c r="L377" s="9"/>
      <c r="M377" s="9"/>
      <c r="N377" s="9"/>
      <c r="O377" s="9"/>
      <c r="P377" s="9"/>
      <c r="Q377" s="9"/>
      <c r="R377" s="9"/>
    </row>
    <row r="378">
      <c r="A378" s="9"/>
      <c r="B378" s="9"/>
      <c r="C378" s="9"/>
      <c r="D378" s="9"/>
      <c r="E378" s="9"/>
      <c r="F378" s="9"/>
      <c r="G378" s="9"/>
      <c r="H378" s="9"/>
      <c r="I378" s="9"/>
      <c r="J378" s="9"/>
      <c r="K378" s="9"/>
      <c r="L378" s="9"/>
      <c r="M378" s="9"/>
      <c r="N378" s="9"/>
      <c r="O378" s="9"/>
      <c r="P378" s="9"/>
      <c r="Q378" s="9"/>
      <c r="R378" s="9"/>
    </row>
    <row r="379">
      <c r="A379" s="9"/>
      <c r="B379" s="9"/>
      <c r="C379" s="9"/>
      <c r="D379" s="9"/>
      <c r="E379" s="9"/>
      <c r="F379" s="9"/>
      <c r="G379" s="9"/>
      <c r="H379" s="9"/>
      <c r="I379" s="9"/>
      <c r="J379" s="9"/>
      <c r="K379" s="9"/>
      <c r="L379" s="9"/>
      <c r="M379" s="9"/>
      <c r="N379" s="9"/>
      <c r="O379" s="9"/>
      <c r="P379" s="9"/>
      <c r="Q379" s="9"/>
      <c r="R379" s="9"/>
    </row>
    <row r="380">
      <c r="A380" s="9"/>
      <c r="B380" s="9"/>
      <c r="C380" s="9"/>
      <c r="D380" s="9"/>
      <c r="E380" s="9"/>
      <c r="F380" s="9"/>
      <c r="G380" s="9"/>
      <c r="H380" s="9"/>
      <c r="I380" s="9"/>
      <c r="J380" s="9"/>
      <c r="K380" s="9"/>
      <c r="L380" s="9"/>
      <c r="M380" s="9"/>
      <c r="N380" s="9"/>
      <c r="O380" s="9"/>
      <c r="P380" s="9"/>
      <c r="Q380" s="9"/>
      <c r="R380" s="9"/>
    </row>
    <row r="381">
      <c r="A381" s="9"/>
      <c r="B381" s="9"/>
      <c r="C381" s="9"/>
      <c r="D381" s="9"/>
      <c r="E381" s="9"/>
      <c r="F381" s="9"/>
      <c r="G381" s="9"/>
      <c r="H381" s="9"/>
      <c r="I381" s="9"/>
      <c r="J381" s="9"/>
      <c r="K381" s="9"/>
      <c r="L381" s="9"/>
      <c r="M381" s="9"/>
      <c r="N381" s="9"/>
      <c r="O381" s="9"/>
      <c r="P381" s="9"/>
      <c r="Q381" s="9"/>
      <c r="R381" s="9"/>
    </row>
    <row r="382">
      <c r="A382" s="9"/>
      <c r="B382" s="9"/>
      <c r="C382" s="9"/>
      <c r="D382" s="9"/>
      <c r="E382" s="9"/>
      <c r="F382" s="9"/>
      <c r="G382" s="9"/>
      <c r="H382" s="9"/>
      <c r="I382" s="9"/>
      <c r="J382" s="9"/>
      <c r="K382" s="9"/>
      <c r="L382" s="9"/>
      <c r="M382" s="9"/>
      <c r="N382" s="9"/>
      <c r="O382" s="9"/>
      <c r="P382" s="9"/>
      <c r="Q382" s="9"/>
      <c r="R382" s="9"/>
    </row>
    <row r="383">
      <c r="A383" s="9"/>
      <c r="B383" s="9"/>
      <c r="C383" s="9"/>
      <c r="D383" s="9"/>
      <c r="E383" s="9"/>
      <c r="F383" s="9"/>
      <c r="G383" s="9"/>
      <c r="H383" s="9"/>
      <c r="I383" s="9"/>
      <c r="J383" s="9"/>
      <c r="K383" s="9"/>
      <c r="L383" s="9"/>
      <c r="M383" s="9"/>
      <c r="N383" s="9"/>
      <c r="O383" s="9"/>
      <c r="P383" s="9"/>
      <c r="Q383" s="9"/>
      <c r="R383" s="9"/>
    </row>
    <row r="384">
      <c r="A384" s="9"/>
      <c r="B384" s="9"/>
      <c r="C384" s="9"/>
      <c r="D384" s="9"/>
      <c r="E384" s="9"/>
      <c r="F384" s="9"/>
      <c r="G384" s="9"/>
      <c r="H384" s="9"/>
      <c r="I384" s="9"/>
      <c r="J384" s="9"/>
      <c r="K384" s="9"/>
      <c r="L384" s="9"/>
      <c r="M384" s="9"/>
      <c r="N384" s="9"/>
      <c r="O384" s="9"/>
      <c r="P384" s="9"/>
      <c r="Q384" s="9"/>
      <c r="R384" s="9"/>
    </row>
    <row r="385">
      <c r="A385" s="9"/>
      <c r="B385" s="9"/>
      <c r="C385" s="9"/>
      <c r="D385" s="9"/>
      <c r="E385" s="9"/>
      <c r="F385" s="9"/>
      <c r="G385" s="9"/>
      <c r="H385" s="9"/>
      <c r="I385" s="9"/>
      <c r="J385" s="9"/>
      <c r="K385" s="9"/>
      <c r="L385" s="9"/>
      <c r="M385" s="9"/>
      <c r="N385" s="9"/>
      <c r="O385" s="9"/>
      <c r="P385" s="9"/>
      <c r="Q385" s="9"/>
      <c r="R385" s="9"/>
    </row>
    <row r="386">
      <c r="A386" s="9"/>
      <c r="B386" s="9"/>
      <c r="C386" s="9"/>
      <c r="D386" s="9"/>
      <c r="E386" s="9"/>
      <c r="F386" s="9"/>
      <c r="G386" s="9"/>
      <c r="H386" s="9"/>
      <c r="I386" s="9"/>
      <c r="J386" s="9"/>
      <c r="K386" s="9"/>
      <c r="L386" s="9"/>
      <c r="M386" s="9"/>
      <c r="N386" s="9"/>
      <c r="O386" s="9"/>
      <c r="P386" s="9"/>
      <c r="Q386" s="9"/>
      <c r="R386" s="9"/>
    </row>
    <row r="387">
      <c r="A387" s="9"/>
      <c r="B387" s="9"/>
      <c r="C387" s="9"/>
      <c r="D387" s="9"/>
      <c r="E387" s="9"/>
      <c r="F387" s="9"/>
      <c r="G387" s="9"/>
      <c r="H387" s="9"/>
      <c r="I387" s="9"/>
      <c r="J387" s="9"/>
      <c r="K387" s="9"/>
      <c r="L387" s="9"/>
      <c r="M387" s="9"/>
      <c r="N387" s="9"/>
      <c r="O387" s="9"/>
      <c r="P387" s="9"/>
      <c r="Q387" s="9"/>
      <c r="R387" s="9"/>
    </row>
    <row r="388">
      <c r="A388" s="9"/>
      <c r="B388" s="9"/>
      <c r="C388" s="9"/>
      <c r="D388" s="9"/>
      <c r="E388" s="9"/>
      <c r="F388" s="9"/>
      <c r="G388" s="9"/>
      <c r="H388" s="9"/>
      <c r="I388" s="9"/>
      <c r="J388" s="9"/>
      <c r="K388" s="9"/>
      <c r="L388" s="9"/>
      <c r="M388" s="9"/>
      <c r="N388" s="9"/>
      <c r="O388" s="9"/>
      <c r="P388" s="9"/>
      <c r="Q388" s="9"/>
      <c r="R388" s="9"/>
    </row>
    <row r="389">
      <c r="A389" s="9"/>
      <c r="B389" s="9"/>
      <c r="C389" s="9"/>
      <c r="D389" s="9"/>
      <c r="E389" s="9"/>
      <c r="F389" s="9"/>
      <c r="G389" s="9"/>
      <c r="H389" s="9"/>
      <c r="I389" s="9"/>
      <c r="J389" s="9"/>
      <c r="K389" s="9"/>
      <c r="L389" s="9"/>
      <c r="M389" s="9"/>
      <c r="N389" s="9"/>
      <c r="O389" s="9"/>
      <c r="P389" s="9"/>
      <c r="Q389" s="9"/>
      <c r="R389" s="9"/>
    </row>
    <row r="390">
      <c r="A390" s="9"/>
      <c r="B390" s="9"/>
      <c r="C390" s="9"/>
      <c r="D390" s="9"/>
      <c r="E390" s="9"/>
      <c r="F390" s="9"/>
      <c r="G390" s="9"/>
      <c r="H390" s="9"/>
      <c r="I390" s="9"/>
      <c r="J390" s="9"/>
      <c r="K390" s="9"/>
      <c r="L390" s="9"/>
      <c r="M390" s="9"/>
      <c r="N390" s="9"/>
      <c r="O390" s="9"/>
      <c r="P390" s="9"/>
      <c r="Q390" s="9"/>
      <c r="R390" s="9"/>
    </row>
    <row r="391">
      <c r="A391" s="9"/>
      <c r="B391" s="9"/>
      <c r="C391" s="9"/>
      <c r="D391" s="9"/>
      <c r="E391" s="9"/>
      <c r="F391" s="9"/>
      <c r="G391" s="9"/>
      <c r="H391" s="9"/>
      <c r="I391" s="9"/>
      <c r="J391" s="9"/>
      <c r="K391" s="9"/>
      <c r="L391" s="9"/>
      <c r="M391" s="9"/>
      <c r="N391" s="9"/>
      <c r="O391" s="9"/>
      <c r="P391" s="9"/>
      <c r="Q391" s="9"/>
      <c r="R391" s="9"/>
    </row>
    <row r="392">
      <c r="A392" s="9"/>
      <c r="B392" s="9"/>
      <c r="C392" s="9"/>
      <c r="D392" s="9"/>
      <c r="E392" s="9"/>
      <c r="F392" s="9"/>
      <c r="G392" s="9"/>
      <c r="H392" s="9"/>
      <c r="I392" s="9"/>
      <c r="J392" s="9"/>
      <c r="K392" s="9"/>
      <c r="L392" s="9"/>
      <c r="M392" s="9"/>
      <c r="N392" s="9"/>
      <c r="O392" s="9"/>
      <c r="P392" s="9"/>
      <c r="Q392" s="9"/>
      <c r="R392" s="9"/>
    </row>
    <row r="393">
      <c r="A393" s="9"/>
      <c r="B393" s="9"/>
      <c r="C393" s="9"/>
      <c r="D393" s="9"/>
      <c r="E393" s="9"/>
      <c r="F393" s="9"/>
      <c r="G393" s="9"/>
      <c r="H393" s="9"/>
      <c r="I393" s="9"/>
      <c r="J393" s="9"/>
      <c r="K393" s="9"/>
      <c r="L393" s="9"/>
      <c r="M393" s="9"/>
      <c r="N393" s="9"/>
      <c r="O393" s="9"/>
      <c r="P393" s="9"/>
      <c r="Q393" s="9"/>
      <c r="R393" s="9"/>
    </row>
    <row r="394">
      <c r="A394" s="9"/>
      <c r="B394" s="9"/>
      <c r="C394" s="9"/>
      <c r="D394" s="9"/>
      <c r="E394" s="9"/>
      <c r="F394" s="9"/>
      <c r="G394" s="9"/>
      <c r="H394" s="9"/>
      <c r="I394" s="9"/>
      <c r="J394" s="9"/>
      <c r="K394" s="9"/>
      <c r="L394" s="9"/>
      <c r="M394" s="9"/>
      <c r="N394" s="9"/>
      <c r="O394" s="9"/>
      <c r="P394" s="9"/>
      <c r="Q394" s="9"/>
      <c r="R394" s="9"/>
    </row>
    <row r="395">
      <c r="A395" s="9"/>
      <c r="B395" s="9"/>
      <c r="C395" s="9"/>
      <c r="D395" s="9"/>
      <c r="E395" s="9"/>
      <c r="F395" s="9"/>
      <c r="G395" s="9"/>
      <c r="H395" s="9"/>
      <c r="I395" s="9"/>
      <c r="J395" s="9"/>
      <c r="K395" s="9"/>
      <c r="L395" s="9"/>
      <c r="M395" s="9"/>
      <c r="N395" s="9"/>
      <c r="O395" s="9"/>
      <c r="P395" s="9"/>
      <c r="Q395" s="9"/>
      <c r="R395" s="9"/>
    </row>
    <row r="396">
      <c r="A396" s="9"/>
      <c r="B396" s="9"/>
      <c r="C396" s="9"/>
      <c r="D396" s="9"/>
      <c r="E396" s="9"/>
      <c r="F396" s="9"/>
      <c r="G396" s="9"/>
      <c r="H396" s="9"/>
      <c r="I396" s="9"/>
      <c r="J396" s="9"/>
      <c r="K396" s="9"/>
      <c r="L396" s="9"/>
      <c r="M396" s="9"/>
      <c r="N396" s="9"/>
      <c r="O396" s="9"/>
      <c r="P396" s="9"/>
      <c r="Q396" s="9"/>
      <c r="R396" s="9"/>
    </row>
    <row r="397">
      <c r="A397" s="9"/>
      <c r="B397" s="9"/>
      <c r="C397" s="9"/>
      <c r="D397" s="9"/>
      <c r="E397" s="9"/>
      <c r="F397" s="9"/>
      <c r="G397" s="9"/>
      <c r="H397" s="9"/>
      <c r="I397" s="9"/>
      <c r="J397" s="9"/>
      <c r="K397" s="9"/>
      <c r="L397" s="9"/>
      <c r="M397" s="9"/>
      <c r="N397" s="9"/>
      <c r="O397" s="9"/>
      <c r="P397" s="9"/>
      <c r="Q397" s="9"/>
      <c r="R397" s="9"/>
    </row>
    <row r="398">
      <c r="A398" s="9"/>
      <c r="B398" s="9"/>
      <c r="C398" s="9"/>
      <c r="D398" s="9"/>
      <c r="E398" s="9"/>
      <c r="F398" s="9"/>
      <c r="G398" s="9"/>
      <c r="H398" s="9"/>
      <c r="I398" s="9"/>
      <c r="J398" s="9"/>
      <c r="K398" s="9"/>
      <c r="L398" s="9"/>
      <c r="M398" s="9"/>
      <c r="N398" s="9"/>
      <c r="O398" s="9"/>
      <c r="P398" s="9"/>
      <c r="Q398" s="9"/>
      <c r="R398" s="9"/>
    </row>
    <row r="399">
      <c r="A399" s="9"/>
      <c r="B399" s="9"/>
      <c r="C399" s="9"/>
      <c r="D399" s="9"/>
      <c r="E399" s="9"/>
      <c r="F399" s="9"/>
      <c r="G399" s="9"/>
      <c r="H399" s="9"/>
      <c r="I399" s="9"/>
      <c r="J399" s="9"/>
      <c r="K399" s="9"/>
      <c r="L399" s="9"/>
      <c r="M399" s="9"/>
      <c r="N399" s="9"/>
      <c r="O399" s="9"/>
      <c r="P399" s="9"/>
      <c r="Q399" s="9"/>
      <c r="R399" s="9"/>
    </row>
    <row r="400">
      <c r="A400" s="9"/>
      <c r="B400" s="9"/>
      <c r="C400" s="9"/>
      <c r="D400" s="9"/>
      <c r="E400" s="9"/>
      <c r="F400" s="9"/>
      <c r="G400" s="9"/>
      <c r="H400" s="9"/>
      <c r="I400" s="9"/>
      <c r="J400" s="9"/>
      <c r="K400" s="9"/>
      <c r="L400" s="9"/>
      <c r="M400" s="9"/>
      <c r="N400" s="9"/>
      <c r="O400" s="9"/>
      <c r="P400" s="9"/>
      <c r="Q400" s="9"/>
      <c r="R400" s="9"/>
    </row>
    <row r="401">
      <c r="A401" s="9"/>
      <c r="B401" s="9"/>
      <c r="C401" s="9"/>
      <c r="D401" s="9"/>
      <c r="E401" s="9"/>
      <c r="F401" s="9"/>
      <c r="G401" s="9"/>
      <c r="H401" s="9"/>
      <c r="I401" s="9"/>
      <c r="J401" s="9"/>
      <c r="K401" s="9"/>
      <c r="L401" s="9"/>
      <c r="M401" s="9"/>
      <c r="N401" s="9"/>
      <c r="O401" s="9"/>
      <c r="P401" s="9"/>
      <c r="Q401" s="9"/>
      <c r="R401" s="9"/>
    </row>
    <row r="402">
      <c r="A402" s="9"/>
      <c r="B402" s="9"/>
      <c r="C402" s="9"/>
      <c r="D402" s="9"/>
      <c r="E402" s="9"/>
      <c r="F402" s="9"/>
      <c r="G402" s="9"/>
      <c r="H402" s="9"/>
      <c r="I402" s="9"/>
      <c r="J402" s="9"/>
      <c r="K402" s="9"/>
      <c r="L402" s="9"/>
      <c r="M402" s="9"/>
      <c r="N402" s="9"/>
      <c r="O402" s="9"/>
      <c r="P402" s="9"/>
      <c r="Q402" s="9"/>
      <c r="R402" s="9"/>
    </row>
    <row r="403">
      <c r="A403" s="9"/>
      <c r="B403" s="9"/>
      <c r="C403" s="9"/>
      <c r="D403" s="9"/>
      <c r="E403" s="9"/>
      <c r="F403" s="9"/>
      <c r="G403" s="9"/>
      <c r="H403" s="9"/>
      <c r="I403" s="9"/>
      <c r="J403" s="9"/>
      <c r="K403" s="9"/>
      <c r="L403" s="9"/>
      <c r="M403" s="9"/>
      <c r="N403" s="9"/>
      <c r="O403" s="9"/>
      <c r="P403" s="9"/>
      <c r="Q403" s="9"/>
      <c r="R403" s="9"/>
    </row>
    <row r="404">
      <c r="A404" s="9"/>
      <c r="B404" s="9"/>
      <c r="C404" s="9"/>
      <c r="D404" s="9"/>
      <c r="E404" s="9"/>
      <c r="F404" s="9"/>
      <c r="G404" s="9"/>
      <c r="H404" s="9"/>
      <c r="I404" s="9"/>
      <c r="J404" s="9"/>
      <c r="K404" s="9"/>
      <c r="L404" s="9"/>
      <c r="M404" s="9"/>
      <c r="N404" s="9"/>
      <c r="O404" s="9"/>
      <c r="P404" s="9"/>
      <c r="Q404" s="9"/>
      <c r="R404" s="9"/>
    </row>
    <row r="405">
      <c r="A405" s="9"/>
      <c r="B405" s="9"/>
      <c r="C405" s="9"/>
      <c r="D405" s="9"/>
      <c r="E405" s="9"/>
      <c r="F405" s="9"/>
      <c r="G405" s="9"/>
      <c r="H405" s="9"/>
      <c r="I405" s="9"/>
      <c r="J405" s="9"/>
      <c r="K405" s="9"/>
      <c r="L405" s="9"/>
      <c r="M405" s="9"/>
      <c r="N405" s="9"/>
      <c r="O405" s="9"/>
      <c r="P405" s="9"/>
      <c r="Q405" s="9"/>
      <c r="R405" s="9"/>
    </row>
    <row r="406">
      <c r="A406" s="9"/>
      <c r="B406" s="9"/>
      <c r="C406" s="9"/>
      <c r="D406" s="9"/>
      <c r="E406" s="9"/>
      <c r="F406" s="9"/>
      <c r="G406" s="9"/>
      <c r="H406" s="9"/>
      <c r="I406" s="9"/>
      <c r="J406" s="9"/>
      <c r="K406" s="9"/>
      <c r="L406" s="9"/>
      <c r="M406" s="9"/>
      <c r="N406" s="9"/>
      <c r="O406" s="9"/>
      <c r="P406" s="9"/>
      <c r="Q406" s="9"/>
      <c r="R406" s="9"/>
    </row>
    <row r="407">
      <c r="A407" s="9"/>
      <c r="B407" s="9"/>
      <c r="C407" s="9"/>
      <c r="D407" s="9"/>
      <c r="E407" s="9"/>
      <c r="F407" s="9"/>
      <c r="G407" s="9"/>
      <c r="H407" s="9"/>
      <c r="I407" s="9"/>
      <c r="J407" s="9"/>
      <c r="K407" s="9"/>
      <c r="L407" s="9"/>
      <c r="M407" s="9"/>
      <c r="N407" s="9"/>
      <c r="O407" s="9"/>
      <c r="P407" s="9"/>
      <c r="Q407" s="9"/>
      <c r="R407" s="9"/>
    </row>
    <row r="408">
      <c r="A408" s="9"/>
      <c r="B408" s="9"/>
      <c r="C408" s="9"/>
      <c r="D408" s="9"/>
      <c r="E408" s="9"/>
      <c r="F408" s="9"/>
      <c r="G408" s="9"/>
      <c r="H408" s="9"/>
      <c r="I408" s="9"/>
      <c r="J408" s="9"/>
      <c r="K408" s="9"/>
      <c r="L408" s="9"/>
      <c r="M408" s="9"/>
      <c r="N408" s="9"/>
      <c r="O408" s="9"/>
      <c r="P408" s="9"/>
      <c r="Q408" s="9"/>
      <c r="R408" s="9"/>
    </row>
    <row r="409">
      <c r="A409" s="9"/>
      <c r="B409" s="9"/>
      <c r="C409" s="9"/>
      <c r="D409" s="9"/>
      <c r="E409" s="9"/>
      <c r="F409" s="9"/>
      <c r="G409" s="9"/>
      <c r="H409" s="9"/>
      <c r="I409" s="9"/>
      <c r="J409" s="9"/>
      <c r="K409" s="9"/>
      <c r="L409" s="9"/>
      <c r="M409" s="9"/>
      <c r="N409" s="9"/>
      <c r="O409" s="9"/>
      <c r="P409" s="9"/>
      <c r="Q409" s="9"/>
      <c r="R409" s="9"/>
    </row>
    <row r="410">
      <c r="A410" s="9"/>
      <c r="B410" s="9"/>
      <c r="C410" s="9"/>
      <c r="D410" s="9"/>
      <c r="E410" s="9"/>
      <c r="F410" s="9"/>
      <c r="G410" s="9"/>
      <c r="H410" s="9"/>
      <c r="I410" s="9"/>
      <c r="J410" s="9"/>
      <c r="K410" s="9"/>
      <c r="L410" s="9"/>
      <c r="M410" s="9"/>
      <c r="N410" s="9"/>
      <c r="O410" s="9"/>
      <c r="P410" s="9"/>
      <c r="Q410" s="9"/>
      <c r="R410" s="9"/>
    </row>
    <row r="411">
      <c r="A411" s="9"/>
      <c r="B411" s="9"/>
      <c r="C411" s="9"/>
      <c r="D411" s="9"/>
      <c r="E411" s="9"/>
      <c r="F411" s="9"/>
      <c r="G411" s="9"/>
      <c r="H411" s="9"/>
      <c r="I411" s="9"/>
      <c r="J411" s="9"/>
      <c r="K411" s="9"/>
      <c r="L411" s="9"/>
      <c r="M411" s="9"/>
      <c r="N411" s="9"/>
      <c r="O411" s="9"/>
      <c r="P411" s="9"/>
      <c r="Q411" s="9"/>
      <c r="R411" s="9"/>
    </row>
    <row r="412">
      <c r="A412" s="9"/>
      <c r="B412" s="9"/>
      <c r="C412" s="9"/>
      <c r="D412" s="9"/>
      <c r="E412" s="9"/>
      <c r="F412" s="9"/>
      <c r="G412" s="9"/>
      <c r="H412" s="9"/>
      <c r="I412" s="9"/>
      <c r="J412" s="9"/>
      <c r="K412" s="9"/>
      <c r="L412" s="9"/>
      <c r="M412" s="9"/>
      <c r="N412" s="9"/>
      <c r="O412" s="9"/>
      <c r="P412" s="9"/>
      <c r="Q412" s="9"/>
      <c r="R412" s="9"/>
    </row>
    <row r="413">
      <c r="A413" s="9"/>
      <c r="B413" s="9"/>
      <c r="C413" s="9"/>
      <c r="D413" s="9"/>
      <c r="E413" s="9"/>
      <c r="F413" s="9"/>
      <c r="G413" s="9"/>
      <c r="H413" s="9"/>
      <c r="I413" s="9"/>
      <c r="J413" s="9"/>
      <c r="K413" s="9"/>
      <c r="L413" s="9"/>
      <c r="M413" s="9"/>
      <c r="N413" s="9"/>
      <c r="O413" s="9"/>
      <c r="P413" s="9"/>
      <c r="Q413" s="9"/>
      <c r="R413" s="9"/>
    </row>
    <row r="414">
      <c r="A414" s="9"/>
      <c r="B414" s="9"/>
      <c r="C414" s="9"/>
      <c r="D414" s="9"/>
      <c r="E414" s="9"/>
      <c r="F414" s="9"/>
      <c r="G414" s="9"/>
      <c r="H414" s="9"/>
      <c r="I414" s="9"/>
      <c r="J414" s="9"/>
      <c r="K414" s="9"/>
      <c r="L414" s="9"/>
      <c r="M414" s="9"/>
      <c r="N414" s="9"/>
      <c r="O414" s="9"/>
      <c r="P414" s="9"/>
      <c r="Q414" s="9"/>
      <c r="R414" s="9"/>
    </row>
    <row r="415">
      <c r="A415" s="9"/>
      <c r="B415" s="9"/>
      <c r="C415" s="9"/>
      <c r="D415" s="9"/>
      <c r="E415" s="9"/>
      <c r="F415" s="9"/>
      <c r="G415" s="9"/>
      <c r="H415" s="9"/>
      <c r="I415" s="9"/>
      <c r="J415" s="9"/>
      <c r="K415" s="9"/>
      <c r="L415" s="9"/>
      <c r="M415" s="9"/>
      <c r="N415" s="9"/>
      <c r="O415" s="9"/>
      <c r="P415" s="9"/>
      <c r="Q415" s="9"/>
      <c r="R415" s="9"/>
    </row>
    <row r="416">
      <c r="A416" s="9"/>
      <c r="B416" s="9"/>
      <c r="C416" s="9"/>
      <c r="D416" s="9"/>
      <c r="E416" s="9"/>
      <c r="F416" s="9"/>
      <c r="G416" s="9"/>
      <c r="H416" s="9"/>
      <c r="I416" s="9"/>
      <c r="J416" s="9"/>
      <c r="K416" s="9"/>
      <c r="L416" s="9"/>
      <c r="M416" s="9"/>
      <c r="N416" s="9"/>
      <c r="O416" s="9"/>
      <c r="P416" s="9"/>
      <c r="Q416" s="9"/>
      <c r="R416" s="9"/>
    </row>
    <row r="417">
      <c r="A417" s="9"/>
      <c r="B417" s="9"/>
      <c r="C417" s="9"/>
      <c r="D417" s="9"/>
      <c r="E417" s="9"/>
      <c r="F417" s="9"/>
      <c r="G417" s="9"/>
      <c r="H417" s="9"/>
      <c r="I417" s="9"/>
      <c r="J417" s="9"/>
      <c r="K417" s="9"/>
      <c r="L417" s="9"/>
      <c r="M417" s="9"/>
      <c r="N417" s="9"/>
      <c r="O417" s="9"/>
      <c r="P417" s="9"/>
      <c r="Q417" s="9"/>
      <c r="R417" s="9"/>
    </row>
    <row r="418">
      <c r="A418" s="9"/>
      <c r="B418" s="9"/>
      <c r="C418" s="9"/>
      <c r="D418" s="9"/>
      <c r="E418" s="9"/>
      <c r="F418" s="9"/>
      <c r="G418" s="9"/>
      <c r="H418" s="9"/>
      <c r="I418" s="9"/>
      <c r="J418" s="9"/>
      <c r="K418" s="9"/>
      <c r="L418" s="9"/>
      <c r="M418" s="9"/>
      <c r="N418" s="9"/>
      <c r="O418" s="9"/>
      <c r="P418" s="9"/>
      <c r="Q418" s="9"/>
      <c r="R418" s="9"/>
    </row>
    <row r="419">
      <c r="A419" s="9"/>
      <c r="B419" s="9"/>
      <c r="C419" s="9"/>
      <c r="D419" s="9"/>
      <c r="E419" s="9"/>
      <c r="F419" s="9"/>
      <c r="G419" s="9"/>
      <c r="H419" s="9"/>
      <c r="I419" s="9"/>
      <c r="J419" s="9"/>
      <c r="K419" s="9"/>
      <c r="L419" s="9"/>
      <c r="M419" s="9"/>
      <c r="N419" s="9"/>
      <c r="O419" s="9"/>
      <c r="P419" s="9"/>
      <c r="Q419" s="9"/>
      <c r="R419" s="9"/>
    </row>
    <row r="420">
      <c r="A420" s="9"/>
      <c r="B420" s="9"/>
      <c r="C420" s="9"/>
      <c r="D420" s="9"/>
      <c r="E420" s="9"/>
      <c r="F420" s="9"/>
      <c r="G420" s="9"/>
      <c r="H420" s="9"/>
      <c r="I420" s="9"/>
      <c r="J420" s="9"/>
      <c r="K420" s="9"/>
      <c r="L420" s="9"/>
      <c r="M420" s="9"/>
      <c r="N420" s="9"/>
      <c r="O420" s="9"/>
      <c r="P420" s="9"/>
      <c r="Q420" s="9"/>
      <c r="R420" s="9"/>
    </row>
    <row r="421">
      <c r="A421" s="9"/>
      <c r="B421" s="9"/>
      <c r="C421" s="9"/>
      <c r="D421" s="9"/>
      <c r="E421" s="9"/>
      <c r="F421" s="9"/>
      <c r="G421" s="9"/>
      <c r="H421" s="9"/>
      <c r="I421" s="9"/>
      <c r="J421" s="9"/>
      <c r="K421" s="9"/>
      <c r="L421" s="9"/>
      <c r="M421" s="9"/>
      <c r="N421" s="9"/>
      <c r="O421" s="9"/>
      <c r="P421" s="9"/>
      <c r="Q421" s="9"/>
      <c r="R421" s="9"/>
    </row>
    <row r="422">
      <c r="A422" s="9"/>
      <c r="B422" s="9"/>
      <c r="C422" s="9"/>
      <c r="D422" s="9"/>
      <c r="E422" s="9"/>
      <c r="F422" s="9"/>
      <c r="G422" s="9"/>
      <c r="H422" s="9"/>
      <c r="I422" s="9"/>
      <c r="J422" s="9"/>
      <c r="K422" s="9"/>
      <c r="L422" s="9"/>
      <c r="M422" s="9"/>
      <c r="N422" s="9"/>
      <c r="O422" s="9"/>
      <c r="P422" s="9"/>
      <c r="Q422" s="9"/>
      <c r="R422" s="9"/>
    </row>
    <row r="423">
      <c r="A423" s="9"/>
      <c r="B423" s="9"/>
      <c r="C423" s="9"/>
      <c r="D423" s="9"/>
      <c r="E423" s="9"/>
      <c r="F423" s="9"/>
      <c r="G423" s="9"/>
      <c r="H423" s="9"/>
      <c r="I423" s="9"/>
      <c r="J423" s="9"/>
      <c r="K423" s="9"/>
      <c r="L423" s="9"/>
      <c r="M423" s="9"/>
      <c r="N423" s="9"/>
      <c r="O423" s="9"/>
      <c r="P423" s="9"/>
      <c r="Q423" s="9"/>
      <c r="R423" s="9"/>
    </row>
    <row r="424">
      <c r="A424" s="9"/>
      <c r="B424" s="9"/>
      <c r="C424" s="9"/>
      <c r="D424" s="9"/>
      <c r="E424" s="9"/>
      <c r="F424" s="9"/>
      <c r="G424" s="9"/>
      <c r="H424" s="9"/>
      <c r="I424" s="9"/>
      <c r="J424" s="9"/>
      <c r="K424" s="9"/>
      <c r="L424" s="9"/>
      <c r="M424" s="9"/>
      <c r="N424" s="9"/>
      <c r="O424" s="9"/>
      <c r="P424" s="9"/>
      <c r="Q424" s="9"/>
      <c r="R424" s="9"/>
    </row>
    <row r="425">
      <c r="A425" s="9"/>
      <c r="B425" s="9"/>
      <c r="C425" s="9"/>
      <c r="D425" s="9"/>
      <c r="E425" s="9"/>
      <c r="F425" s="9"/>
      <c r="G425" s="9"/>
      <c r="H425" s="9"/>
      <c r="I425" s="9"/>
      <c r="J425" s="9"/>
      <c r="K425" s="9"/>
      <c r="L425" s="9"/>
      <c r="M425" s="9"/>
      <c r="N425" s="9"/>
      <c r="O425" s="9"/>
      <c r="P425" s="9"/>
      <c r="Q425" s="9"/>
      <c r="R425" s="9"/>
    </row>
    <row r="426">
      <c r="A426" s="9"/>
      <c r="B426" s="9"/>
      <c r="C426" s="9"/>
      <c r="D426" s="9"/>
      <c r="E426" s="9"/>
      <c r="F426" s="9"/>
      <c r="G426" s="9"/>
      <c r="H426" s="9"/>
      <c r="I426" s="9"/>
      <c r="J426" s="9"/>
      <c r="K426" s="9"/>
      <c r="L426" s="9"/>
      <c r="M426" s="9"/>
      <c r="N426" s="9"/>
      <c r="O426" s="9"/>
      <c r="P426" s="9"/>
      <c r="Q426" s="9"/>
      <c r="R426" s="9"/>
    </row>
    <row r="427">
      <c r="A427" s="9"/>
      <c r="B427" s="9"/>
      <c r="C427" s="9"/>
      <c r="D427" s="9"/>
      <c r="E427" s="9"/>
      <c r="F427" s="9"/>
      <c r="G427" s="9"/>
      <c r="H427" s="9"/>
      <c r="I427" s="9"/>
      <c r="J427" s="9"/>
      <c r="K427" s="9"/>
      <c r="L427" s="9"/>
      <c r="M427" s="9"/>
      <c r="N427" s="9"/>
      <c r="O427" s="9"/>
      <c r="P427" s="9"/>
      <c r="Q427" s="9"/>
      <c r="R427" s="9"/>
    </row>
    <row r="428">
      <c r="A428" s="9"/>
      <c r="B428" s="9"/>
      <c r="C428" s="9"/>
      <c r="D428" s="9"/>
      <c r="E428" s="9"/>
      <c r="F428" s="9"/>
      <c r="G428" s="9"/>
      <c r="H428" s="9"/>
      <c r="I428" s="9"/>
      <c r="J428" s="9"/>
      <c r="K428" s="9"/>
      <c r="L428" s="9"/>
      <c r="M428" s="9"/>
      <c r="N428" s="9"/>
      <c r="O428" s="9"/>
      <c r="P428" s="9"/>
      <c r="Q428" s="9"/>
      <c r="R428" s="9"/>
    </row>
    <row r="429">
      <c r="A429" s="9"/>
      <c r="B429" s="9"/>
      <c r="C429" s="9"/>
      <c r="D429" s="9"/>
      <c r="E429" s="9"/>
      <c r="F429" s="9"/>
      <c r="G429" s="9"/>
      <c r="H429" s="9"/>
      <c r="I429" s="9"/>
      <c r="J429" s="9"/>
      <c r="K429" s="9"/>
      <c r="L429" s="9"/>
      <c r="M429" s="9"/>
      <c r="N429" s="9"/>
      <c r="O429" s="9"/>
      <c r="P429" s="9"/>
      <c r="Q429" s="9"/>
      <c r="R429" s="9"/>
    </row>
    <row r="430">
      <c r="A430" s="9"/>
      <c r="B430" s="9"/>
      <c r="C430" s="9"/>
      <c r="D430" s="9"/>
      <c r="E430" s="9"/>
      <c r="F430" s="9"/>
      <c r="G430" s="9"/>
      <c r="H430" s="9"/>
      <c r="I430" s="9"/>
      <c r="J430" s="9"/>
      <c r="K430" s="9"/>
      <c r="L430" s="9"/>
      <c r="M430" s="9"/>
      <c r="N430" s="9"/>
      <c r="O430" s="9"/>
      <c r="P430" s="9"/>
      <c r="Q430" s="9"/>
      <c r="R430" s="9"/>
    </row>
    <row r="431">
      <c r="A431" s="9"/>
      <c r="B431" s="9"/>
      <c r="C431" s="9"/>
      <c r="D431" s="9"/>
      <c r="E431" s="9"/>
      <c r="F431" s="9"/>
      <c r="G431" s="9"/>
      <c r="H431" s="9"/>
      <c r="I431" s="9"/>
      <c r="J431" s="9"/>
      <c r="K431" s="9"/>
      <c r="L431" s="9"/>
      <c r="M431" s="9"/>
      <c r="N431" s="9"/>
      <c r="O431" s="9"/>
      <c r="P431" s="9"/>
      <c r="Q431" s="9"/>
      <c r="R431" s="9"/>
    </row>
    <row r="432">
      <c r="A432" s="9"/>
      <c r="B432" s="9"/>
      <c r="C432" s="9"/>
      <c r="D432" s="9"/>
      <c r="E432" s="9"/>
      <c r="F432" s="9"/>
      <c r="G432" s="9"/>
      <c r="H432" s="9"/>
      <c r="I432" s="9"/>
      <c r="J432" s="9"/>
      <c r="K432" s="9"/>
      <c r="L432" s="9"/>
      <c r="M432" s="9"/>
      <c r="N432" s="9"/>
      <c r="O432" s="9"/>
      <c r="P432" s="9"/>
      <c r="Q432" s="9"/>
      <c r="R432" s="9"/>
    </row>
    <row r="433">
      <c r="A433" s="9"/>
      <c r="B433" s="9"/>
      <c r="C433" s="9"/>
      <c r="D433" s="9"/>
      <c r="E433" s="9"/>
      <c r="F433" s="9"/>
      <c r="G433" s="9"/>
      <c r="H433" s="9"/>
      <c r="I433" s="9"/>
      <c r="J433" s="9"/>
      <c r="K433" s="9"/>
      <c r="L433" s="9"/>
      <c r="M433" s="9"/>
      <c r="N433" s="9"/>
      <c r="O433" s="9"/>
      <c r="P433" s="9"/>
      <c r="Q433" s="9"/>
      <c r="R433" s="9"/>
    </row>
    <row r="434">
      <c r="A434" s="9"/>
      <c r="B434" s="9"/>
      <c r="C434" s="9"/>
      <c r="D434" s="9"/>
      <c r="E434" s="9"/>
      <c r="F434" s="9"/>
      <c r="G434" s="9"/>
      <c r="H434" s="9"/>
      <c r="I434" s="9"/>
      <c r="J434" s="9"/>
      <c r="K434" s="9"/>
      <c r="L434" s="9"/>
      <c r="M434" s="9"/>
      <c r="N434" s="9"/>
      <c r="O434" s="9"/>
      <c r="P434" s="9"/>
      <c r="Q434" s="9"/>
      <c r="R434" s="9"/>
    </row>
    <row r="435">
      <c r="A435" s="9"/>
      <c r="B435" s="9"/>
      <c r="C435" s="9"/>
      <c r="D435" s="9"/>
      <c r="E435" s="9"/>
      <c r="F435" s="9"/>
      <c r="G435" s="9"/>
      <c r="H435" s="9"/>
      <c r="I435" s="9"/>
      <c r="J435" s="9"/>
      <c r="K435" s="9"/>
      <c r="L435" s="9"/>
      <c r="M435" s="9"/>
      <c r="N435" s="9"/>
      <c r="O435" s="9"/>
      <c r="P435" s="9"/>
      <c r="Q435" s="9"/>
      <c r="R435" s="9"/>
    </row>
    <row r="436">
      <c r="A436" s="9"/>
      <c r="B436" s="9"/>
      <c r="C436" s="9"/>
      <c r="D436" s="9"/>
      <c r="E436" s="9"/>
      <c r="F436" s="9"/>
      <c r="G436" s="9"/>
      <c r="H436" s="9"/>
      <c r="I436" s="9"/>
      <c r="J436" s="9"/>
      <c r="K436" s="9"/>
      <c r="L436" s="9"/>
      <c r="M436" s="9"/>
      <c r="N436" s="9"/>
      <c r="O436" s="9"/>
      <c r="P436" s="9"/>
      <c r="Q436" s="9"/>
      <c r="R436" s="9"/>
    </row>
    <row r="437">
      <c r="A437" s="9"/>
      <c r="B437" s="9"/>
      <c r="C437" s="9"/>
      <c r="D437" s="9"/>
      <c r="E437" s="9"/>
      <c r="F437" s="9"/>
      <c r="G437" s="9"/>
      <c r="H437" s="9"/>
      <c r="I437" s="9"/>
      <c r="J437" s="9"/>
      <c r="K437" s="9"/>
      <c r="L437" s="9"/>
      <c r="M437" s="9"/>
      <c r="N437" s="9"/>
      <c r="O437" s="9"/>
      <c r="P437" s="9"/>
      <c r="Q437" s="9"/>
      <c r="R437" s="9"/>
    </row>
    <row r="438">
      <c r="A438" s="9"/>
      <c r="B438" s="9"/>
      <c r="C438" s="9"/>
      <c r="D438" s="9"/>
      <c r="E438" s="9"/>
      <c r="F438" s="9"/>
      <c r="G438" s="9"/>
      <c r="H438" s="9"/>
      <c r="I438" s="9"/>
      <c r="J438" s="9"/>
      <c r="K438" s="9"/>
      <c r="L438" s="9"/>
      <c r="M438" s="9"/>
      <c r="N438" s="9"/>
      <c r="O438" s="9"/>
      <c r="P438" s="9"/>
      <c r="Q438" s="9"/>
      <c r="R438" s="9"/>
    </row>
    <row r="439">
      <c r="A439" s="9"/>
      <c r="B439" s="9"/>
      <c r="C439" s="9"/>
      <c r="D439" s="9"/>
      <c r="E439" s="9"/>
      <c r="F439" s="9"/>
      <c r="G439" s="9"/>
      <c r="H439" s="9"/>
      <c r="I439" s="9"/>
      <c r="J439" s="9"/>
      <c r="K439" s="9"/>
      <c r="L439" s="9"/>
      <c r="M439" s="9"/>
      <c r="N439" s="9"/>
      <c r="O439" s="9"/>
      <c r="P439" s="9"/>
      <c r="Q439" s="9"/>
      <c r="R439" s="9"/>
    </row>
    <row r="440">
      <c r="A440" s="9"/>
      <c r="B440" s="9"/>
      <c r="C440" s="9"/>
      <c r="D440" s="9"/>
      <c r="E440" s="9"/>
      <c r="F440" s="9"/>
      <c r="G440" s="9"/>
      <c r="H440" s="9"/>
      <c r="I440" s="9"/>
      <c r="J440" s="9"/>
      <c r="K440" s="9"/>
      <c r="L440" s="9"/>
      <c r="M440" s="9"/>
      <c r="N440" s="9"/>
      <c r="O440" s="9"/>
      <c r="P440" s="9"/>
      <c r="Q440" s="9"/>
      <c r="R440" s="9"/>
    </row>
    <row r="441">
      <c r="A441" s="9"/>
      <c r="B441" s="9"/>
      <c r="C441" s="9"/>
      <c r="D441" s="9"/>
      <c r="E441" s="9"/>
      <c r="F441" s="9"/>
      <c r="G441" s="9"/>
      <c r="H441" s="9"/>
      <c r="I441" s="9"/>
      <c r="J441" s="9"/>
      <c r="K441" s="9"/>
      <c r="L441" s="9"/>
      <c r="M441" s="9"/>
      <c r="N441" s="9"/>
      <c r="O441" s="9"/>
      <c r="P441" s="9"/>
      <c r="Q441" s="9"/>
      <c r="R441" s="9"/>
    </row>
    <row r="442">
      <c r="A442" s="9"/>
      <c r="B442" s="9"/>
      <c r="C442" s="9"/>
      <c r="D442" s="9"/>
      <c r="E442" s="9"/>
      <c r="F442" s="9"/>
      <c r="G442" s="9"/>
      <c r="H442" s="9"/>
      <c r="I442" s="9"/>
      <c r="J442" s="9"/>
      <c r="K442" s="9"/>
      <c r="L442" s="9"/>
      <c r="M442" s="9"/>
      <c r="N442" s="9"/>
      <c r="O442" s="9"/>
      <c r="P442" s="9"/>
      <c r="Q442" s="9"/>
      <c r="R442" s="9"/>
    </row>
    <row r="443">
      <c r="A443" s="9"/>
      <c r="B443" s="9"/>
      <c r="C443" s="9"/>
      <c r="D443" s="9"/>
      <c r="E443" s="9"/>
      <c r="F443" s="9"/>
      <c r="G443" s="9"/>
      <c r="H443" s="9"/>
      <c r="I443" s="9"/>
      <c r="J443" s="9"/>
      <c r="K443" s="9"/>
      <c r="L443" s="9"/>
      <c r="M443" s="9"/>
      <c r="N443" s="9"/>
      <c r="O443" s="9"/>
      <c r="P443" s="9"/>
      <c r="Q443" s="9"/>
      <c r="R443" s="9"/>
    </row>
    <row r="444">
      <c r="A444" s="9"/>
      <c r="B444" s="9"/>
      <c r="C444" s="9"/>
      <c r="D444" s="9"/>
      <c r="E444" s="9"/>
      <c r="F444" s="9"/>
      <c r="G444" s="9"/>
      <c r="H444" s="9"/>
      <c r="I444" s="9"/>
      <c r="J444" s="9"/>
      <c r="K444" s="9"/>
      <c r="L444" s="9"/>
      <c r="M444" s="9"/>
      <c r="N444" s="9"/>
      <c r="O444" s="9"/>
      <c r="P444" s="9"/>
      <c r="Q444" s="9"/>
      <c r="R444" s="9"/>
    </row>
    <row r="445">
      <c r="A445" s="9"/>
      <c r="B445" s="9"/>
      <c r="C445" s="9"/>
      <c r="D445" s="9"/>
      <c r="E445" s="9"/>
      <c r="F445" s="9"/>
      <c r="G445" s="9"/>
      <c r="H445" s="9"/>
      <c r="I445" s="9"/>
      <c r="J445" s="9"/>
      <c r="K445" s="9"/>
      <c r="L445" s="9"/>
      <c r="M445" s="9"/>
      <c r="N445" s="9"/>
      <c r="O445" s="9"/>
      <c r="P445" s="9"/>
      <c r="Q445" s="9"/>
      <c r="R445" s="9"/>
    </row>
    <row r="446">
      <c r="A446" s="9"/>
      <c r="B446" s="9"/>
      <c r="C446" s="9"/>
      <c r="D446" s="9"/>
      <c r="E446" s="9"/>
      <c r="F446" s="9"/>
      <c r="G446" s="9"/>
      <c r="H446" s="9"/>
      <c r="I446" s="9"/>
      <c r="J446" s="9"/>
      <c r="K446" s="9"/>
      <c r="L446" s="9"/>
      <c r="M446" s="9"/>
      <c r="N446" s="9"/>
      <c r="O446" s="9"/>
      <c r="P446" s="9"/>
      <c r="Q446" s="9"/>
      <c r="R446" s="9"/>
    </row>
    <row r="447">
      <c r="A447" s="9"/>
      <c r="B447" s="9"/>
      <c r="C447" s="9"/>
      <c r="D447" s="9"/>
      <c r="E447" s="9"/>
      <c r="F447" s="9"/>
      <c r="G447" s="9"/>
      <c r="H447" s="9"/>
      <c r="I447" s="9"/>
      <c r="J447" s="9"/>
      <c r="K447" s="9"/>
      <c r="L447" s="9"/>
      <c r="M447" s="9"/>
      <c r="N447" s="9"/>
      <c r="O447" s="9"/>
      <c r="P447" s="9"/>
      <c r="Q447" s="9"/>
      <c r="R447" s="9"/>
    </row>
    <row r="448">
      <c r="A448" s="9"/>
      <c r="B448" s="9"/>
      <c r="C448" s="9"/>
      <c r="D448" s="9"/>
      <c r="E448" s="9"/>
      <c r="F448" s="9"/>
      <c r="G448" s="9"/>
      <c r="H448" s="9"/>
      <c r="I448" s="9"/>
      <c r="J448" s="9"/>
      <c r="K448" s="9"/>
      <c r="L448" s="9"/>
      <c r="M448" s="9"/>
      <c r="N448" s="9"/>
      <c r="O448" s="9"/>
      <c r="P448" s="9"/>
      <c r="Q448" s="9"/>
      <c r="R448" s="9"/>
    </row>
    <row r="449">
      <c r="A449" s="9"/>
      <c r="B449" s="9"/>
      <c r="C449" s="9"/>
      <c r="D449" s="9"/>
      <c r="E449" s="9"/>
      <c r="F449" s="9"/>
      <c r="G449" s="9"/>
      <c r="H449" s="9"/>
      <c r="I449" s="9"/>
      <c r="J449" s="9"/>
      <c r="K449" s="9"/>
      <c r="L449" s="9"/>
      <c r="M449" s="9"/>
      <c r="N449" s="9"/>
      <c r="O449" s="9"/>
      <c r="P449" s="9"/>
      <c r="Q449" s="9"/>
      <c r="R449" s="9"/>
    </row>
    <row r="450">
      <c r="A450" s="9"/>
      <c r="B450" s="9"/>
      <c r="C450" s="9"/>
      <c r="D450" s="9"/>
      <c r="E450" s="9"/>
      <c r="F450" s="9"/>
      <c r="G450" s="9"/>
      <c r="H450" s="9"/>
      <c r="I450" s="9"/>
      <c r="J450" s="9"/>
      <c r="K450" s="9"/>
      <c r="L450" s="9"/>
      <c r="M450" s="9"/>
      <c r="N450" s="9"/>
      <c r="O450" s="9"/>
      <c r="P450" s="9"/>
      <c r="Q450" s="9"/>
      <c r="R450" s="9"/>
    </row>
    <row r="451">
      <c r="A451" s="9"/>
      <c r="B451" s="9"/>
      <c r="C451" s="9"/>
      <c r="D451" s="9"/>
      <c r="E451" s="9"/>
      <c r="F451" s="9"/>
      <c r="G451" s="9"/>
      <c r="H451" s="9"/>
      <c r="I451" s="9"/>
      <c r="J451" s="9"/>
      <c r="K451" s="9"/>
      <c r="L451" s="9"/>
      <c r="M451" s="9"/>
      <c r="N451" s="9"/>
      <c r="O451" s="9"/>
      <c r="P451" s="9"/>
      <c r="Q451" s="9"/>
      <c r="R451" s="9"/>
    </row>
    <row r="452">
      <c r="A452" s="9"/>
      <c r="B452" s="9"/>
      <c r="C452" s="9"/>
      <c r="D452" s="9"/>
      <c r="E452" s="9"/>
      <c r="F452" s="9"/>
      <c r="G452" s="9"/>
      <c r="H452" s="9"/>
      <c r="I452" s="9"/>
      <c r="J452" s="9"/>
      <c r="K452" s="9"/>
      <c r="L452" s="9"/>
      <c r="M452" s="9"/>
      <c r="N452" s="9"/>
      <c r="O452" s="9"/>
      <c r="P452" s="9"/>
      <c r="Q452" s="9"/>
      <c r="R452" s="9"/>
    </row>
    <row r="453">
      <c r="A453" s="9"/>
      <c r="B453" s="9"/>
      <c r="C453" s="9"/>
      <c r="D453" s="9"/>
      <c r="E453" s="9"/>
      <c r="F453" s="9"/>
      <c r="G453" s="9"/>
      <c r="H453" s="9"/>
      <c r="I453" s="9"/>
      <c r="J453" s="9"/>
      <c r="K453" s="9"/>
      <c r="L453" s="9"/>
      <c r="M453" s="9"/>
      <c r="N453" s="9"/>
      <c r="O453" s="9"/>
      <c r="P453" s="9"/>
      <c r="Q453" s="9"/>
      <c r="R453" s="9"/>
    </row>
    <row r="454">
      <c r="A454" s="9"/>
      <c r="B454" s="9"/>
      <c r="C454" s="9"/>
      <c r="D454" s="9"/>
      <c r="E454" s="9"/>
      <c r="F454" s="9"/>
      <c r="G454" s="9"/>
      <c r="H454" s="9"/>
      <c r="I454" s="9"/>
      <c r="J454" s="9"/>
      <c r="K454" s="9"/>
      <c r="L454" s="9"/>
      <c r="M454" s="9"/>
      <c r="N454" s="9"/>
      <c r="O454" s="9"/>
      <c r="P454" s="9"/>
      <c r="Q454" s="9"/>
      <c r="R454" s="9"/>
    </row>
    <row r="455">
      <c r="A455" s="9"/>
      <c r="B455" s="9"/>
      <c r="C455" s="9"/>
      <c r="D455" s="9"/>
      <c r="E455" s="9"/>
      <c r="F455" s="9"/>
      <c r="G455" s="9"/>
      <c r="H455" s="9"/>
      <c r="I455" s="9"/>
      <c r="J455" s="9"/>
      <c r="K455" s="9"/>
      <c r="L455" s="9"/>
      <c r="M455" s="9"/>
      <c r="N455" s="9"/>
      <c r="O455" s="9"/>
      <c r="P455" s="9"/>
      <c r="Q455" s="9"/>
      <c r="R455" s="9"/>
    </row>
    <row r="456">
      <c r="A456" s="9"/>
      <c r="B456" s="9"/>
      <c r="C456" s="9"/>
      <c r="D456" s="9"/>
      <c r="E456" s="9"/>
      <c r="F456" s="9"/>
      <c r="G456" s="9"/>
      <c r="H456" s="9"/>
      <c r="I456" s="9"/>
      <c r="J456" s="9"/>
      <c r="K456" s="9"/>
      <c r="L456" s="9"/>
      <c r="M456" s="9"/>
      <c r="N456" s="9"/>
      <c r="O456" s="9"/>
      <c r="P456" s="9"/>
      <c r="Q456" s="9"/>
      <c r="R456" s="9"/>
    </row>
    <row r="457">
      <c r="A457" s="9"/>
      <c r="B457" s="9"/>
      <c r="C457" s="9"/>
      <c r="D457" s="9"/>
      <c r="E457" s="9"/>
      <c r="F457" s="9"/>
      <c r="G457" s="9"/>
      <c r="H457" s="9"/>
      <c r="I457" s="9"/>
      <c r="J457" s="9"/>
      <c r="K457" s="9"/>
      <c r="L457" s="9"/>
      <c r="M457" s="9"/>
      <c r="N457" s="9"/>
      <c r="O457" s="9"/>
      <c r="P457" s="9"/>
      <c r="Q457" s="9"/>
      <c r="R457" s="9"/>
    </row>
    <row r="458">
      <c r="A458" s="9"/>
      <c r="B458" s="9"/>
      <c r="C458" s="9"/>
      <c r="D458" s="9"/>
      <c r="E458" s="9"/>
      <c r="F458" s="9"/>
      <c r="G458" s="9"/>
      <c r="H458" s="9"/>
      <c r="I458" s="9"/>
      <c r="J458" s="9"/>
      <c r="K458" s="9"/>
      <c r="L458" s="9"/>
      <c r="M458" s="9"/>
      <c r="N458" s="9"/>
      <c r="O458" s="9"/>
      <c r="P458" s="9"/>
      <c r="Q458" s="9"/>
      <c r="R458" s="9"/>
    </row>
    <row r="459">
      <c r="A459" s="9"/>
      <c r="B459" s="9"/>
      <c r="C459" s="9"/>
      <c r="D459" s="9"/>
      <c r="E459" s="9"/>
      <c r="F459" s="9"/>
      <c r="G459" s="9"/>
      <c r="H459" s="9"/>
      <c r="I459" s="9"/>
      <c r="J459" s="9"/>
      <c r="K459" s="9"/>
      <c r="L459" s="9"/>
      <c r="M459" s="9"/>
      <c r="N459" s="9"/>
      <c r="O459" s="9"/>
      <c r="P459" s="9"/>
      <c r="Q459" s="9"/>
      <c r="R459" s="9"/>
    </row>
    <row r="460">
      <c r="A460" s="9"/>
      <c r="B460" s="9"/>
      <c r="C460" s="9"/>
      <c r="D460" s="9"/>
      <c r="E460" s="9"/>
      <c r="F460" s="9"/>
      <c r="G460" s="9"/>
      <c r="H460" s="9"/>
      <c r="I460" s="9"/>
      <c r="J460" s="9"/>
      <c r="K460" s="9"/>
      <c r="L460" s="9"/>
      <c r="M460" s="9"/>
      <c r="N460" s="9"/>
      <c r="O460" s="9"/>
      <c r="P460" s="9"/>
      <c r="Q460" s="9"/>
      <c r="R460" s="9"/>
    </row>
    <row r="461">
      <c r="A461" s="9"/>
      <c r="B461" s="9"/>
      <c r="C461" s="9"/>
      <c r="D461" s="9"/>
      <c r="E461" s="9"/>
      <c r="F461" s="9"/>
      <c r="G461" s="9"/>
      <c r="H461" s="9"/>
      <c r="I461" s="9"/>
      <c r="J461" s="9"/>
      <c r="K461" s="9"/>
      <c r="L461" s="9"/>
      <c r="M461" s="9"/>
      <c r="N461" s="9"/>
      <c r="O461" s="9"/>
      <c r="P461" s="9"/>
      <c r="Q461" s="9"/>
      <c r="R461" s="9"/>
    </row>
    <row r="462">
      <c r="A462" s="9"/>
      <c r="B462" s="9"/>
      <c r="C462" s="9"/>
      <c r="D462" s="9"/>
      <c r="E462" s="9"/>
      <c r="F462" s="9"/>
      <c r="G462" s="9"/>
      <c r="H462" s="9"/>
      <c r="I462" s="9"/>
      <c r="J462" s="9"/>
      <c r="K462" s="9"/>
      <c r="L462" s="9"/>
      <c r="M462" s="9"/>
      <c r="N462" s="9"/>
      <c r="O462" s="9"/>
      <c r="P462" s="9"/>
      <c r="Q462" s="9"/>
      <c r="R462" s="9"/>
    </row>
    <row r="463">
      <c r="A463" s="9"/>
      <c r="B463" s="9"/>
      <c r="C463" s="9"/>
      <c r="D463" s="9"/>
      <c r="E463" s="9"/>
      <c r="F463" s="9"/>
      <c r="G463" s="9"/>
      <c r="H463" s="9"/>
      <c r="I463" s="9"/>
      <c r="J463" s="9"/>
      <c r="K463" s="9"/>
      <c r="L463" s="9"/>
      <c r="M463" s="9"/>
      <c r="N463" s="9"/>
      <c r="O463" s="9"/>
      <c r="P463" s="9"/>
      <c r="Q463" s="9"/>
      <c r="R463" s="9"/>
    </row>
    <row r="464">
      <c r="A464" s="9"/>
      <c r="B464" s="9"/>
      <c r="C464" s="9"/>
      <c r="D464" s="9"/>
      <c r="E464" s="9"/>
      <c r="F464" s="9"/>
      <c r="G464" s="9"/>
      <c r="H464" s="9"/>
      <c r="I464" s="9"/>
      <c r="J464" s="9"/>
      <c r="K464" s="9"/>
      <c r="L464" s="9"/>
      <c r="M464" s="9"/>
      <c r="N464" s="9"/>
      <c r="O464" s="9"/>
      <c r="P464" s="9"/>
      <c r="Q464" s="9"/>
      <c r="R464" s="9"/>
    </row>
    <row r="465">
      <c r="A465" s="9"/>
      <c r="B465" s="9"/>
      <c r="C465" s="9"/>
      <c r="D465" s="9"/>
      <c r="E465" s="9"/>
      <c r="F465" s="9"/>
      <c r="G465" s="9"/>
      <c r="H465" s="9"/>
      <c r="I465" s="9"/>
      <c r="J465" s="9"/>
      <c r="K465" s="9"/>
      <c r="L465" s="9"/>
      <c r="M465" s="9"/>
      <c r="N465" s="9"/>
      <c r="O465" s="9"/>
      <c r="P465" s="9"/>
      <c r="Q465" s="9"/>
      <c r="R465" s="9"/>
    </row>
    <row r="466">
      <c r="A466" s="9"/>
      <c r="B466" s="9"/>
      <c r="C466" s="9"/>
      <c r="D466" s="9"/>
      <c r="E466" s="9"/>
      <c r="F466" s="9"/>
      <c r="G466" s="9"/>
      <c r="H466" s="9"/>
      <c r="I466" s="9"/>
      <c r="J466" s="9"/>
      <c r="K466" s="9"/>
      <c r="L466" s="9"/>
      <c r="M466" s="9"/>
      <c r="N466" s="9"/>
      <c r="O466" s="9"/>
      <c r="P466" s="9"/>
      <c r="Q466" s="9"/>
      <c r="R466" s="9"/>
    </row>
    <row r="467">
      <c r="A467" s="9"/>
      <c r="B467" s="9"/>
      <c r="C467" s="9"/>
      <c r="D467" s="9"/>
      <c r="E467" s="9"/>
      <c r="F467" s="9"/>
      <c r="G467" s="9"/>
      <c r="H467" s="9"/>
      <c r="I467" s="9"/>
      <c r="J467" s="9"/>
      <c r="K467" s="9"/>
      <c r="L467" s="9"/>
      <c r="M467" s="9"/>
      <c r="N467" s="9"/>
      <c r="O467" s="9"/>
      <c r="P467" s="9"/>
      <c r="Q467" s="9"/>
      <c r="R467" s="9"/>
    </row>
    <row r="468">
      <c r="A468" s="9"/>
      <c r="B468" s="9"/>
      <c r="C468" s="9"/>
      <c r="D468" s="9"/>
      <c r="E468" s="9"/>
      <c r="F468" s="9"/>
      <c r="G468" s="9"/>
      <c r="H468" s="9"/>
      <c r="I468" s="9"/>
      <c r="J468" s="9"/>
      <c r="K468" s="9"/>
      <c r="L468" s="9"/>
      <c r="M468" s="9"/>
      <c r="N468" s="9"/>
      <c r="O468" s="9"/>
      <c r="P468" s="9"/>
      <c r="Q468" s="9"/>
      <c r="R468" s="9"/>
    </row>
    <row r="469">
      <c r="A469" s="9"/>
      <c r="B469" s="9"/>
      <c r="C469" s="9"/>
      <c r="D469" s="9"/>
      <c r="E469" s="9"/>
      <c r="F469" s="9"/>
      <c r="G469" s="9"/>
      <c r="H469" s="9"/>
      <c r="I469" s="9"/>
      <c r="J469" s="9"/>
      <c r="K469" s="9"/>
      <c r="L469" s="9"/>
      <c r="M469" s="9"/>
      <c r="N469" s="9"/>
      <c r="O469" s="9"/>
      <c r="P469" s="9"/>
      <c r="Q469" s="9"/>
      <c r="R469" s="9"/>
    </row>
    <row r="470">
      <c r="A470" s="9"/>
      <c r="B470" s="9"/>
      <c r="C470" s="9"/>
      <c r="D470" s="9"/>
      <c r="E470" s="9"/>
      <c r="F470" s="9"/>
      <c r="G470" s="9"/>
      <c r="H470" s="9"/>
      <c r="I470" s="9"/>
      <c r="J470" s="9"/>
      <c r="K470" s="9"/>
      <c r="L470" s="9"/>
      <c r="M470" s="9"/>
      <c r="N470" s="9"/>
      <c r="O470" s="9"/>
      <c r="P470" s="9"/>
      <c r="Q470" s="9"/>
      <c r="R470" s="9"/>
    </row>
    <row r="471">
      <c r="A471" s="9"/>
      <c r="B471" s="9"/>
      <c r="C471" s="9"/>
      <c r="D471" s="9"/>
      <c r="E471" s="9"/>
      <c r="F471" s="9"/>
      <c r="G471" s="9"/>
      <c r="H471" s="9"/>
      <c r="I471" s="9"/>
      <c r="J471" s="9"/>
      <c r="K471" s="9"/>
      <c r="L471" s="9"/>
      <c r="M471" s="9"/>
      <c r="N471" s="9"/>
      <c r="O471" s="9"/>
      <c r="P471" s="9"/>
      <c r="Q471" s="9"/>
      <c r="R471" s="9"/>
    </row>
    <row r="472">
      <c r="A472" s="9"/>
      <c r="B472" s="9"/>
      <c r="C472" s="9"/>
      <c r="D472" s="9"/>
      <c r="E472" s="9"/>
      <c r="F472" s="9"/>
      <c r="G472" s="9"/>
      <c r="H472" s="9"/>
      <c r="I472" s="9"/>
      <c r="J472" s="9"/>
      <c r="K472" s="9"/>
      <c r="L472" s="9"/>
      <c r="M472" s="9"/>
      <c r="N472" s="9"/>
      <c r="O472" s="9"/>
      <c r="P472" s="9"/>
      <c r="Q472" s="9"/>
      <c r="R472" s="9"/>
    </row>
    <row r="473">
      <c r="A473" s="9"/>
      <c r="B473" s="9"/>
      <c r="C473" s="9"/>
      <c r="D473" s="9"/>
      <c r="E473" s="9"/>
      <c r="F473" s="9"/>
      <c r="G473" s="9"/>
      <c r="H473" s="9"/>
      <c r="I473" s="9"/>
      <c r="J473" s="9"/>
      <c r="K473" s="9"/>
      <c r="L473" s="9"/>
      <c r="M473" s="9"/>
      <c r="N473" s="9"/>
      <c r="O473" s="9"/>
      <c r="P473" s="9"/>
      <c r="Q473" s="9"/>
      <c r="R473" s="9"/>
    </row>
    <row r="474">
      <c r="A474" s="9"/>
      <c r="B474" s="9"/>
      <c r="C474" s="9"/>
      <c r="D474" s="9"/>
      <c r="E474" s="9"/>
      <c r="F474" s="9"/>
      <c r="G474" s="9"/>
      <c r="H474" s="9"/>
      <c r="I474" s="9"/>
      <c r="J474" s="9"/>
      <c r="K474" s="9"/>
      <c r="L474" s="9"/>
      <c r="M474" s="9"/>
      <c r="N474" s="9"/>
      <c r="O474" s="9"/>
      <c r="P474" s="9"/>
      <c r="Q474" s="9"/>
      <c r="R474" s="9"/>
    </row>
    <row r="475">
      <c r="A475" s="9"/>
      <c r="B475" s="9"/>
      <c r="C475" s="9"/>
      <c r="D475" s="9"/>
      <c r="E475" s="9"/>
      <c r="F475" s="9"/>
      <c r="G475" s="9"/>
      <c r="H475" s="9"/>
      <c r="I475" s="9"/>
      <c r="J475" s="9"/>
      <c r="K475" s="9"/>
      <c r="L475" s="9"/>
      <c r="M475" s="9"/>
      <c r="N475" s="9"/>
      <c r="O475" s="9"/>
      <c r="P475" s="9"/>
      <c r="Q475" s="9"/>
      <c r="R475" s="9"/>
    </row>
    <row r="476">
      <c r="A476" s="9"/>
      <c r="B476" s="9"/>
      <c r="C476" s="9"/>
      <c r="D476" s="9"/>
      <c r="E476" s="9"/>
      <c r="F476" s="9"/>
      <c r="G476" s="9"/>
      <c r="H476" s="9"/>
      <c r="I476" s="9"/>
      <c r="J476" s="9"/>
      <c r="K476" s="9"/>
      <c r="L476" s="9"/>
      <c r="M476" s="9"/>
      <c r="N476" s="9"/>
      <c r="O476" s="9"/>
      <c r="P476" s="9"/>
      <c r="Q476" s="9"/>
      <c r="R476" s="9"/>
    </row>
    <row r="477">
      <c r="A477" s="9"/>
      <c r="B477" s="9"/>
      <c r="C477" s="9"/>
      <c r="D477" s="9"/>
      <c r="E477" s="9"/>
      <c r="F477" s="9"/>
      <c r="G477" s="9"/>
      <c r="H477" s="9"/>
      <c r="I477" s="9"/>
      <c r="J477" s="9"/>
      <c r="K477" s="9"/>
      <c r="L477" s="9"/>
      <c r="M477" s="9"/>
      <c r="N477" s="9"/>
      <c r="O477" s="9"/>
      <c r="P477" s="9"/>
      <c r="Q477" s="9"/>
      <c r="R477" s="9"/>
    </row>
    <row r="478">
      <c r="A478" s="9"/>
      <c r="B478" s="9"/>
      <c r="C478" s="9"/>
      <c r="D478" s="9"/>
      <c r="E478" s="9"/>
      <c r="F478" s="9"/>
      <c r="G478" s="9"/>
      <c r="H478" s="9"/>
      <c r="I478" s="9"/>
      <c r="J478" s="9"/>
      <c r="K478" s="9"/>
      <c r="L478" s="9"/>
      <c r="M478" s="9"/>
      <c r="N478" s="9"/>
      <c r="O478" s="9"/>
      <c r="P478" s="9"/>
      <c r="Q478" s="9"/>
      <c r="R478" s="9"/>
    </row>
    <row r="479">
      <c r="A479" s="9"/>
      <c r="B479" s="9"/>
      <c r="C479" s="9"/>
      <c r="D479" s="9"/>
      <c r="E479" s="9"/>
      <c r="F479" s="9"/>
      <c r="G479" s="9"/>
      <c r="H479" s="9"/>
      <c r="I479" s="9"/>
      <c r="J479" s="9"/>
      <c r="K479" s="9"/>
      <c r="L479" s="9"/>
      <c r="M479" s="9"/>
      <c r="N479" s="9"/>
      <c r="O479" s="9"/>
      <c r="P479" s="9"/>
      <c r="Q479" s="9"/>
      <c r="R479" s="9"/>
    </row>
    <row r="480">
      <c r="A480" s="9"/>
      <c r="B480" s="9"/>
      <c r="C480" s="9"/>
      <c r="D480" s="9"/>
      <c r="E480" s="9"/>
      <c r="F480" s="9"/>
      <c r="G480" s="9"/>
      <c r="H480" s="9"/>
      <c r="I480" s="9"/>
      <c r="J480" s="9"/>
      <c r="K480" s="9"/>
      <c r="L480" s="9"/>
      <c r="M480" s="9"/>
      <c r="N480" s="9"/>
      <c r="O480" s="9"/>
      <c r="P480" s="9"/>
      <c r="Q480" s="9"/>
      <c r="R480" s="9"/>
    </row>
    <row r="481">
      <c r="A481" s="9"/>
      <c r="B481" s="9"/>
      <c r="C481" s="9"/>
      <c r="D481" s="9"/>
      <c r="E481" s="9"/>
      <c r="F481" s="9"/>
      <c r="G481" s="9"/>
      <c r="H481" s="9"/>
      <c r="I481" s="9"/>
      <c r="J481" s="9"/>
      <c r="K481" s="9"/>
      <c r="L481" s="9"/>
      <c r="M481" s="9"/>
      <c r="N481" s="9"/>
      <c r="O481" s="9"/>
      <c r="P481" s="9"/>
      <c r="Q481" s="9"/>
      <c r="R481" s="9"/>
    </row>
    <row r="482">
      <c r="A482" s="9"/>
      <c r="B482" s="9"/>
      <c r="C482" s="9"/>
      <c r="D482" s="9"/>
      <c r="E482" s="9"/>
      <c r="F482" s="9"/>
      <c r="G482" s="9"/>
      <c r="H482" s="9"/>
      <c r="I482" s="9"/>
      <c r="J482" s="9"/>
      <c r="K482" s="9"/>
      <c r="L482" s="9"/>
      <c r="M482" s="9"/>
      <c r="N482" s="9"/>
      <c r="O482" s="9"/>
      <c r="P482" s="9"/>
      <c r="Q482" s="9"/>
      <c r="R482" s="9"/>
    </row>
    <row r="483">
      <c r="A483" s="9"/>
      <c r="B483" s="9"/>
      <c r="C483" s="9"/>
      <c r="D483" s="9"/>
      <c r="E483" s="9"/>
      <c r="F483" s="9"/>
      <c r="G483" s="9"/>
      <c r="H483" s="9"/>
      <c r="I483" s="9"/>
      <c r="J483" s="9"/>
      <c r="K483" s="9"/>
      <c r="L483" s="9"/>
      <c r="M483" s="9"/>
      <c r="N483" s="9"/>
      <c r="O483" s="9"/>
      <c r="P483" s="9"/>
      <c r="Q483" s="9"/>
      <c r="R483" s="9"/>
    </row>
    <row r="484">
      <c r="A484" s="9"/>
      <c r="B484" s="9"/>
      <c r="C484" s="9"/>
      <c r="D484" s="9"/>
      <c r="E484" s="9"/>
      <c r="F484" s="9"/>
      <c r="G484" s="9"/>
      <c r="H484" s="9"/>
      <c r="I484" s="9"/>
      <c r="J484" s="9"/>
      <c r="K484" s="9"/>
      <c r="L484" s="9"/>
      <c r="M484" s="9"/>
      <c r="N484" s="9"/>
      <c r="O484" s="9"/>
      <c r="P484" s="9"/>
      <c r="Q484" s="9"/>
      <c r="R484" s="9"/>
    </row>
    <row r="485">
      <c r="A485" s="9"/>
      <c r="B485" s="9"/>
      <c r="C485" s="9"/>
      <c r="D485" s="9"/>
      <c r="E485" s="9"/>
      <c r="F485" s="9"/>
      <c r="G485" s="9"/>
      <c r="H485" s="9"/>
      <c r="I485" s="9"/>
      <c r="J485" s="9"/>
      <c r="K485" s="9"/>
      <c r="L485" s="9"/>
      <c r="M485" s="9"/>
      <c r="N485" s="9"/>
      <c r="O485" s="9"/>
      <c r="P485" s="9"/>
      <c r="Q485" s="9"/>
      <c r="R485" s="9"/>
    </row>
    <row r="486">
      <c r="A486" s="9"/>
      <c r="B486" s="9"/>
      <c r="C486" s="9"/>
      <c r="D486" s="9"/>
      <c r="E486" s="9"/>
      <c r="F486" s="9"/>
      <c r="G486" s="9"/>
      <c r="H486" s="9"/>
      <c r="I486" s="9"/>
      <c r="J486" s="9"/>
      <c r="K486" s="9"/>
      <c r="L486" s="9"/>
      <c r="M486" s="9"/>
      <c r="N486" s="9"/>
      <c r="O486" s="9"/>
      <c r="P486" s="9"/>
      <c r="Q486" s="9"/>
      <c r="R486" s="9"/>
    </row>
    <row r="487">
      <c r="A487" s="9"/>
      <c r="B487" s="9"/>
      <c r="C487" s="9"/>
      <c r="D487" s="9"/>
      <c r="E487" s="9"/>
      <c r="F487" s="9"/>
      <c r="G487" s="9"/>
      <c r="H487" s="9"/>
      <c r="I487" s="9"/>
      <c r="J487" s="9"/>
      <c r="K487" s="9"/>
      <c r="L487" s="9"/>
      <c r="M487" s="9"/>
      <c r="N487" s="9"/>
      <c r="O487" s="9"/>
      <c r="P487" s="9"/>
      <c r="Q487" s="9"/>
      <c r="R487" s="9"/>
    </row>
    <row r="488">
      <c r="A488" s="9"/>
      <c r="B488" s="9"/>
      <c r="C488" s="9"/>
      <c r="D488" s="9"/>
      <c r="E488" s="9"/>
      <c r="F488" s="9"/>
      <c r="G488" s="9"/>
      <c r="H488" s="9"/>
      <c r="I488" s="9"/>
      <c r="J488" s="9"/>
      <c r="K488" s="9"/>
      <c r="L488" s="9"/>
      <c r="M488" s="9"/>
      <c r="N488" s="9"/>
      <c r="O488" s="9"/>
      <c r="P488" s="9"/>
      <c r="Q488" s="9"/>
      <c r="R488" s="9"/>
    </row>
    <row r="489">
      <c r="A489" s="9"/>
      <c r="B489" s="9"/>
      <c r="C489" s="9"/>
      <c r="D489" s="9"/>
      <c r="E489" s="9"/>
      <c r="F489" s="9"/>
      <c r="G489" s="9"/>
      <c r="H489" s="9"/>
      <c r="I489" s="9"/>
      <c r="J489" s="9"/>
      <c r="K489" s="9"/>
      <c r="L489" s="9"/>
      <c r="M489" s="9"/>
      <c r="N489" s="9"/>
      <c r="O489" s="9"/>
      <c r="P489" s="9"/>
      <c r="Q489" s="9"/>
      <c r="R489" s="9"/>
    </row>
    <row r="490">
      <c r="A490" s="9"/>
      <c r="B490" s="9"/>
      <c r="C490" s="9"/>
      <c r="D490" s="9"/>
      <c r="E490" s="9"/>
      <c r="F490" s="9"/>
      <c r="G490" s="9"/>
      <c r="H490" s="9"/>
      <c r="I490" s="9"/>
      <c r="J490" s="9"/>
      <c r="K490" s="9"/>
      <c r="L490" s="9"/>
      <c r="M490" s="9"/>
      <c r="N490" s="9"/>
      <c r="O490" s="9"/>
      <c r="P490" s="9"/>
      <c r="Q490" s="9"/>
      <c r="R490" s="9"/>
    </row>
    <row r="491">
      <c r="A491" s="9"/>
      <c r="B491" s="9"/>
      <c r="C491" s="9"/>
      <c r="D491" s="9"/>
      <c r="E491" s="9"/>
      <c r="F491" s="9"/>
      <c r="G491" s="9"/>
      <c r="H491" s="9"/>
      <c r="I491" s="9"/>
      <c r="J491" s="9"/>
      <c r="K491" s="9"/>
      <c r="L491" s="9"/>
      <c r="M491" s="9"/>
      <c r="N491" s="9"/>
      <c r="O491" s="9"/>
      <c r="P491" s="9"/>
      <c r="Q491" s="9"/>
      <c r="R491" s="9"/>
    </row>
    <row r="492">
      <c r="A492" s="9"/>
      <c r="B492" s="9"/>
      <c r="C492" s="9"/>
      <c r="D492" s="9"/>
      <c r="E492" s="9"/>
      <c r="F492" s="9"/>
      <c r="G492" s="9"/>
      <c r="H492" s="9"/>
      <c r="I492" s="9"/>
      <c r="J492" s="9"/>
      <c r="K492" s="9"/>
      <c r="L492" s="9"/>
      <c r="M492" s="9"/>
      <c r="N492" s="9"/>
      <c r="O492" s="9"/>
      <c r="P492" s="9"/>
      <c r="Q492" s="9"/>
      <c r="R492" s="9"/>
    </row>
    <row r="493">
      <c r="A493" s="9"/>
      <c r="B493" s="9"/>
      <c r="C493" s="9"/>
      <c r="D493" s="9"/>
      <c r="E493" s="9"/>
      <c r="F493" s="9"/>
      <c r="G493" s="9"/>
      <c r="H493" s="9"/>
      <c r="I493" s="9"/>
      <c r="J493" s="9"/>
      <c r="K493" s="9"/>
      <c r="L493" s="9"/>
      <c r="M493" s="9"/>
      <c r="N493" s="9"/>
      <c r="O493" s="9"/>
      <c r="P493" s="9"/>
      <c r="Q493" s="9"/>
      <c r="R493" s="9"/>
    </row>
    <row r="494">
      <c r="A494" s="9"/>
      <c r="B494" s="9"/>
      <c r="C494" s="9"/>
      <c r="D494" s="9"/>
      <c r="E494" s="9"/>
      <c r="F494" s="9"/>
      <c r="G494" s="9"/>
      <c r="H494" s="9"/>
      <c r="I494" s="9"/>
      <c r="J494" s="9"/>
      <c r="K494" s="9"/>
      <c r="L494" s="9"/>
      <c r="M494" s="9"/>
      <c r="N494" s="9"/>
      <c r="O494" s="9"/>
      <c r="P494" s="9"/>
      <c r="Q494" s="9"/>
      <c r="R494" s="9"/>
    </row>
    <row r="495">
      <c r="A495" s="9"/>
      <c r="B495" s="9"/>
      <c r="C495" s="9"/>
      <c r="D495" s="9"/>
      <c r="E495" s="9"/>
      <c r="F495" s="9"/>
      <c r="G495" s="9"/>
      <c r="H495" s="9"/>
      <c r="I495" s="9"/>
      <c r="J495" s="9"/>
      <c r="K495" s="9"/>
      <c r="L495" s="9"/>
      <c r="M495" s="9"/>
      <c r="N495" s="9"/>
      <c r="O495" s="9"/>
      <c r="P495" s="9"/>
      <c r="Q495" s="9"/>
      <c r="R495" s="9"/>
    </row>
    <row r="496">
      <c r="A496" s="9"/>
      <c r="B496" s="9"/>
      <c r="C496" s="9"/>
      <c r="D496" s="9"/>
      <c r="E496" s="9"/>
      <c r="F496" s="9"/>
      <c r="G496" s="9"/>
      <c r="H496" s="9"/>
      <c r="I496" s="9"/>
      <c r="J496" s="9"/>
      <c r="K496" s="9"/>
      <c r="L496" s="9"/>
      <c r="M496" s="9"/>
      <c r="N496" s="9"/>
      <c r="O496" s="9"/>
      <c r="P496" s="9"/>
      <c r="Q496" s="9"/>
      <c r="R496" s="9"/>
    </row>
    <row r="497">
      <c r="A497" s="9"/>
      <c r="B497" s="9"/>
      <c r="C497" s="9"/>
      <c r="D497" s="9"/>
      <c r="E497" s="9"/>
      <c r="F497" s="9"/>
      <c r="G497" s="9"/>
      <c r="H497" s="9"/>
      <c r="I497" s="9"/>
      <c r="J497" s="9"/>
      <c r="K497" s="9"/>
      <c r="L497" s="9"/>
      <c r="M497" s="9"/>
      <c r="N497" s="9"/>
      <c r="O497" s="9"/>
      <c r="P497" s="9"/>
      <c r="Q497" s="9"/>
      <c r="R497" s="9"/>
    </row>
    <row r="498">
      <c r="A498" s="9"/>
      <c r="B498" s="9"/>
      <c r="C498" s="9"/>
      <c r="D498" s="9"/>
      <c r="E498" s="9"/>
      <c r="F498" s="9"/>
      <c r="G498" s="9"/>
      <c r="H498" s="9"/>
      <c r="I498" s="9"/>
      <c r="J498" s="9"/>
      <c r="K498" s="9"/>
      <c r="L498" s="9"/>
      <c r="M498" s="9"/>
      <c r="N498" s="9"/>
      <c r="O498" s="9"/>
      <c r="P498" s="9"/>
      <c r="Q498" s="9"/>
      <c r="R498" s="9"/>
    </row>
    <row r="499">
      <c r="A499" s="9"/>
      <c r="B499" s="9"/>
      <c r="C499" s="9"/>
      <c r="D499" s="9"/>
      <c r="E499" s="9"/>
      <c r="F499" s="9"/>
      <c r="G499" s="9"/>
      <c r="H499" s="9"/>
      <c r="I499" s="9"/>
      <c r="J499" s="9"/>
      <c r="K499" s="9"/>
      <c r="L499" s="9"/>
      <c r="M499" s="9"/>
      <c r="N499" s="9"/>
      <c r="O499" s="9"/>
      <c r="P499" s="9"/>
      <c r="Q499" s="9"/>
      <c r="R499" s="9"/>
    </row>
    <row r="500">
      <c r="A500" s="9"/>
      <c r="B500" s="9"/>
      <c r="C500" s="9"/>
      <c r="D500" s="9"/>
      <c r="E500" s="9"/>
      <c r="F500" s="9"/>
      <c r="G500" s="9"/>
      <c r="H500" s="9"/>
      <c r="I500" s="9"/>
      <c r="J500" s="9"/>
      <c r="K500" s="9"/>
      <c r="L500" s="9"/>
      <c r="M500" s="9"/>
      <c r="N500" s="9"/>
      <c r="O500" s="9"/>
      <c r="P500" s="9"/>
      <c r="Q500" s="9"/>
      <c r="R500" s="9"/>
    </row>
    <row r="501">
      <c r="A501" s="9"/>
      <c r="B501" s="9"/>
      <c r="C501" s="9"/>
      <c r="D501" s="9"/>
      <c r="E501" s="9"/>
      <c r="F501" s="9"/>
      <c r="G501" s="9"/>
      <c r="H501" s="9"/>
      <c r="I501" s="9"/>
      <c r="J501" s="9"/>
      <c r="K501" s="9"/>
      <c r="L501" s="9"/>
      <c r="M501" s="9"/>
      <c r="N501" s="9"/>
      <c r="O501" s="9"/>
      <c r="P501" s="9"/>
      <c r="Q501" s="9"/>
      <c r="R501" s="9"/>
    </row>
    <row r="502">
      <c r="A502" s="9"/>
      <c r="B502" s="9"/>
      <c r="C502" s="9"/>
      <c r="D502" s="9"/>
      <c r="E502" s="9"/>
      <c r="F502" s="9"/>
      <c r="G502" s="9"/>
      <c r="H502" s="9"/>
      <c r="I502" s="9"/>
      <c r="J502" s="9"/>
      <c r="K502" s="9"/>
      <c r="L502" s="9"/>
      <c r="M502" s="9"/>
      <c r="N502" s="9"/>
      <c r="O502" s="9"/>
      <c r="P502" s="9"/>
      <c r="Q502" s="9"/>
      <c r="R502" s="9"/>
    </row>
    <row r="503">
      <c r="A503" s="9"/>
      <c r="B503" s="9"/>
      <c r="C503" s="9"/>
      <c r="D503" s="9"/>
      <c r="E503" s="9"/>
      <c r="F503" s="9"/>
      <c r="G503" s="9"/>
      <c r="H503" s="9"/>
      <c r="I503" s="9"/>
      <c r="J503" s="9"/>
      <c r="K503" s="9"/>
      <c r="L503" s="9"/>
      <c r="M503" s="9"/>
      <c r="N503" s="9"/>
      <c r="O503" s="9"/>
      <c r="P503" s="9"/>
      <c r="Q503" s="9"/>
      <c r="R503" s="9"/>
    </row>
    <row r="504">
      <c r="A504" s="9"/>
      <c r="B504" s="9"/>
      <c r="C504" s="9"/>
      <c r="D504" s="9"/>
      <c r="E504" s="9"/>
      <c r="F504" s="9"/>
      <c r="G504" s="9"/>
      <c r="H504" s="9"/>
      <c r="I504" s="9"/>
      <c r="J504" s="9"/>
      <c r="K504" s="9"/>
      <c r="L504" s="9"/>
      <c r="M504" s="9"/>
      <c r="N504" s="9"/>
      <c r="O504" s="9"/>
      <c r="P504" s="9"/>
      <c r="Q504" s="9"/>
      <c r="R504" s="9"/>
    </row>
    <row r="505">
      <c r="A505" s="9"/>
      <c r="B505" s="9"/>
      <c r="C505" s="9"/>
      <c r="D505" s="9"/>
      <c r="E505" s="9"/>
      <c r="F505" s="9"/>
      <c r="G505" s="9"/>
      <c r="H505" s="9"/>
      <c r="I505" s="9"/>
      <c r="J505" s="9"/>
      <c r="K505" s="9"/>
      <c r="L505" s="9"/>
      <c r="M505" s="9"/>
      <c r="N505" s="9"/>
      <c r="O505" s="9"/>
      <c r="P505" s="9"/>
      <c r="Q505" s="9"/>
      <c r="R505" s="9"/>
    </row>
    <row r="506">
      <c r="A506" s="9"/>
      <c r="B506" s="9"/>
      <c r="C506" s="9"/>
      <c r="D506" s="9"/>
      <c r="E506" s="9"/>
      <c r="F506" s="9"/>
      <c r="G506" s="9"/>
      <c r="H506" s="9"/>
      <c r="I506" s="9"/>
      <c r="J506" s="9"/>
      <c r="K506" s="9"/>
      <c r="L506" s="9"/>
      <c r="M506" s="9"/>
      <c r="N506" s="9"/>
      <c r="O506" s="9"/>
      <c r="P506" s="9"/>
      <c r="Q506" s="9"/>
      <c r="R506" s="9"/>
    </row>
    <row r="507">
      <c r="A507" s="9"/>
      <c r="B507" s="9"/>
      <c r="C507" s="9"/>
      <c r="D507" s="9"/>
      <c r="E507" s="9"/>
      <c r="F507" s="9"/>
      <c r="G507" s="9"/>
      <c r="H507" s="9"/>
      <c r="I507" s="9"/>
      <c r="J507" s="9"/>
      <c r="K507" s="9"/>
      <c r="L507" s="9"/>
      <c r="M507" s="9"/>
      <c r="N507" s="9"/>
      <c r="O507" s="9"/>
      <c r="P507" s="9"/>
      <c r="Q507" s="9"/>
      <c r="R507" s="9"/>
    </row>
    <row r="508">
      <c r="A508" s="9"/>
      <c r="B508" s="9"/>
      <c r="C508" s="9"/>
      <c r="D508" s="9"/>
      <c r="E508" s="9"/>
      <c r="F508" s="9"/>
      <c r="G508" s="9"/>
      <c r="H508" s="9"/>
      <c r="I508" s="9"/>
      <c r="J508" s="9"/>
      <c r="K508" s="9"/>
      <c r="L508" s="9"/>
      <c r="M508" s="9"/>
      <c r="N508" s="9"/>
      <c r="O508" s="9"/>
      <c r="P508" s="9"/>
      <c r="Q508" s="9"/>
      <c r="R508" s="9"/>
    </row>
    <row r="509">
      <c r="A509" s="9"/>
      <c r="B509" s="9"/>
      <c r="C509" s="9"/>
      <c r="D509" s="9"/>
      <c r="E509" s="9"/>
      <c r="F509" s="9"/>
      <c r="G509" s="9"/>
      <c r="H509" s="9"/>
      <c r="I509" s="9"/>
      <c r="J509" s="9"/>
      <c r="K509" s="9"/>
      <c r="L509" s="9"/>
      <c r="M509" s="9"/>
      <c r="N509" s="9"/>
      <c r="O509" s="9"/>
      <c r="P509" s="9"/>
      <c r="Q509" s="9"/>
      <c r="R509" s="9"/>
    </row>
    <row r="510">
      <c r="A510" s="9"/>
      <c r="B510" s="9"/>
      <c r="C510" s="9"/>
      <c r="D510" s="9"/>
      <c r="E510" s="9"/>
      <c r="F510" s="9"/>
      <c r="G510" s="9"/>
      <c r="H510" s="9"/>
      <c r="I510" s="9"/>
      <c r="J510" s="9"/>
      <c r="K510" s="9"/>
      <c r="L510" s="9"/>
      <c r="M510" s="9"/>
      <c r="N510" s="9"/>
      <c r="O510" s="9"/>
      <c r="P510" s="9"/>
      <c r="Q510" s="9"/>
      <c r="R510" s="9"/>
    </row>
    <row r="511">
      <c r="A511" s="9"/>
      <c r="B511" s="9"/>
      <c r="C511" s="9"/>
      <c r="D511" s="9"/>
      <c r="E511" s="9"/>
      <c r="F511" s="9"/>
      <c r="G511" s="9"/>
      <c r="H511" s="9"/>
      <c r="I511" s="9"/>
      <c r="J511" s="9"/>
      <c r="K511" s="9"/>
      <c r="L511" s="9"/>
      <c r="M511" s="9"/>
      <c r="N511" s="9"/>
      <c r="O511" s="9"/>
      <c r="P511" s="9"/>
      <c r="Q511" s="9"/>
      <c r="R511" s="9"/>
    </row>
    <row r="512">
      <c r="A512" s="9"/>
      <c r="B512" s="9"/>
      <c r="C512" s="9"/>
      <c r="D512" s="9"/>
      <c r="E512" s="9"/>
      <c r="F512" s="9"/>
      <c r="G512" s="9"/>
      <c r="H512" s="9"/>
      <c r="I512" s="9"/>
      <c r="J512" s="9"/>
      <c r="K512" s="9"/>
      <c r="L512" s="9"/>
      <c r="M512" s="9"/>
      <c r="N512" s="9"/>
      <c r="O512" s="9"/>
      <c r="P512" s="9"/>
      <c r="Q512" s="9"/>
      <c r="R512" s="9"/>
    </row>
    <row r="513">
      <c r="A513" s="9"/>
      <c r="B513" s="9"/>
      <c r="C513" s="9"/>
      <c r="D513" s="9"/>
      <c r="E513" s="9"/>
      <c r="F513" s="9"/>
      <c r="G513" s="9"/>
      <c r="H513" s="9"/>
      <c r="I513" s="9"/>
      <c r="J513" s="9"/>
      <c r="K513" s="9"/>
      <c r="L513" s="9"/>
      <c r="M513" s="9"/>
      <c r="N513" s="9"/>
      <c r="O513" s="9"/>
      <c r="P513" s="9"/>
      <c r="Q513" s="9"/>
      <c r="R513" s="9"/>
    </row>
    <row r="514">
      <c r="A514" s="9"/>
      <c r="B514" s="9"/>
      <c r="C514" s="9"/>
      <c r="D514" s="9"/>
      <c r="E514" s="9"/>
      <c r="F514" s="9"/>
      <c r="G514" s="9"/>
      <c r="H514" s="9"/>
      <c r="I514" s="9"/>
      <c r="J514" s="9"/>
      <c r="K514" s="9"/>
      <c r="L514" s="9"/>
      <c r="M514" s="9"/>
      <c r="N514" s="9"/>
      <c r="O514" s="9"/>
      <c r="P514" s="9"/>
      <c r="Q514" s="9"/>
      <c r="R514" s="9"/>
    </row>
    <row r="515">
      <c r="A515" s="9"/>
      <c r="B515" s="9"/>
      <c r="C515" s="9"/>
      <c r="D515" s="9"/>
      <c r="E515" s="9"/>
      <c r="F515" s="9"/>
      <c r="G515" s="9"/>
      <c r="H515" s="9"/>
      <c r="I515" s="9"/>
      <c r="J515" s="9"/>
      <c r="K515" s="9"/>
      <c r="L515" s="9"/>
      <c r="M515" s="9"/>
      <c r="N515" s="9"/>
      <c r="O515" s="9"/>
      <c r="P515" s="9"/>
      <c r="Q515" s="9"/>
      <c r="R515" s="9"/>
    </row>
    <row r="516">
      <c r="A516" s="9"/>
      <c r="B516" s="9"/>
      <c r="C516" s="9"/>
      <c r="D516" s="9"/>
      <c r="E516" s="9"/>
      <c r="F516" s="9"/>
      <c r="G516" s="9"/>
      <c r="H516" s="9"/>
      <c r="I516" s="9"/>
      <c r="J516" s="9"/>
      <c r="K516" s="9"/>
      <c r="L516" s="9"/>
      <c r="M516" s="9"/>
      <c r="N516" s="9"/>
      <c r="O516" s="9"/>
      <c r="P516" s="9"/>
      <c r="Q516" s="9"/>
      <c r="R516" s="9"/>
    </row>
    <row r="517">
      <c r="A517" s="9"/>
      <c r="B517" s="9"/>
      <c r="C517" s="9"/>
      <c r="D517" s="9"/>
      <c r="E517" s="9"/>
      <c r="F517" s="9"/>
      <c r="G517" s="9"/>
      <c r="H517" s="9"/>
      <c r="I517" s="9"/>
      <c r="J517" s="9"/>
      <c r="K517" s="9"/>
      <c r="L517" s="9"/>
      <c r="M517" s="9"/>
      <c r="N517" s="9"/>
      <c r="O517" s="9"/>
      <c r="P517" s="9"/>
      <c r="Q517" s="9"/>
      <c r="R517" s="9"/>
    </row>
    <row r="518">
      <c r="A518" s="9"/>
      <c r="B518" s="9"/>
      <c r="C518" s="9"/>
      <c r="D518" s="9"/>
      <c r="E518" s="9"/>
      <c r="F518" s="9"/>
      <c r="G518" s="9"/>
      <c r="H518" s="9"/>
      <c r="I518" s="9"/>
      <c r="J518" s="9"/>
      <c r="K518" s="9"/>
      <c r="L518" s="9"/>
      <c r="M518" s="9"/>
      <c r="N518" s="9"/>
      <c r="O518" s="9"/>
      <c r="P518" s="9"/>
      <c r="Q518" s="9"/>
      <c r="R518" s="9"/>
    </row>
    <row r="519">
      <c r="A519" s="9"/>
      <c r="B519" s="9"/>
      <c r="C519" s="9"/>
      <c r="D519" s="9"/>
      <c r="E519" s="9"/>
      <c r="F519" s="9"/>
      <c r="G519" s="9"/>
      <c r="H519" s="9"/>
      <c r="I519" s="9"/>
      <c r="J519" s="9"/>
      <c r="K519" s="9"/>
      <c r="L519" s="9"/>
      <c r="M519" s="9"/>
      <c r="N519" s="9"/>
      <c r="O519" s="9"/>
      <c r="P519" s="9"/>
      <c r="Q519" s="9"/>
      <c r="R519" s="9"/>
    </row>
    <row r="520">
      <c r="A520" s="9"/>
      <c r="B520" s="9"/>
      <c r="C520" s="9"/>
      <c r="D520" s="9"/>
      <c r="E520" s="9"/>
      <c r="F520" s="9"/>
      <c r="G520" s="9"/>
      <c r="H520" s="9"/>
      <c r="I520" s="9"/>
      <c r="J520" s="9"/>
      <c r="K520" s="9"/>
      <c r="L520" s="9"/>
      <c r="M520" s="9"/>
      <c r="N520" s="9"/>
      <c r="O520" s="9"/>
      <c r="P520" s="9"/>
      <c r="Q520" s="9"/>
      <c r="R520" s="9"/>
    </row>
    <row r="521">
      <c r="A521" s="9"/>
      <c r="B521" s="9"/>
      <c r="C521" s="9"/>
      <c r="D521" s="9"/>
      <c r="E521" s="9"/>
      <c r="F521" s="9"/>
      <c r="G521" s="9"/>
      <c r="H521" s="9"/>
      <c r="I521" s="9"/>
      <c r="J521" s="9"/>
      <c r="K521" s="9"/>
      <c r="L521" s="9"/>
      <c r="M521" s="9"/>
      <c r="N521" s="9"/>
      <c r="O521" s="9"/>
      <c r="P521" s="9"/>
      <c r="Q521" s="9"/>
      <c r="R521" s="9"/>
    </row>
    <row r="522">
      <c r="A522" s="9"/>
      <c r="B522" s="9"/>
      <c r="C522" s="9"/>
      <c r="D522" s="9"/>
      <c r="E522" s="9"/>
      <c r="F522" s="9"/>
      <c r="G522" s="9"/>
      <c r="H522" s="9"/>
      <c r="I522" s="9"/>
      <c r="J522" s="9"/>
      <c r="K522" s="9"/>
      <c r="L522" s="9"/>
      <c r="M522" s="9"/>
      <c r="N522" s="9"/>
      <c r="O522" s="9"/>
      <c r="P522" s="9"/>
      <c r="Q522" s="9"/>
      <c r="R522" s="9"/>
    </row>
    <row r="523">
      <c r="A523" s="9"/>
      <c r="B523" s="9"/>
      <c r="C523" s="9"/>
      <c r="D523" s="9"/>
      <c r="E523" s="9"/>
      <c r="F523" s="9"/>
      <c r="G523" s="9"/>
      <c r="H523" s="9"/>
      <c r="I523" s="9"/>
      <c r="J523" s="9"/>
      <c r="K523" s="9"/>
      <c r="L523" s="9"/>
      <c r="M523" s="9"/>
      <c r="N523" s="9"/>
      <c r="O523" s="9"/>
      <c r="P523" s="9"/>
      <c r="Q523" s="9"/>
      <c r="R523" s="9"/>
    </row>
    <row r="524">
      <c r="A524" s="9"/>
      <c r="B524" s="9"/>
      <c r="C524" s="9"/>
      <c r="D524" s="9"/>
      <c r="E524" s="9"/>
      <c r="F524" s="9"/>
      <c r="G524" s="9"/>
      <c r="H524" s="9"/>
      <c r="I524" s="9"/>
      <c r="J524" s="9"/>
      <c r="K524" s="9"/>
      <c r="L524" s="9"/>
      <c r="M524" s="9"/>
      <c r="N524" s="9"/>
      <c r="O524" s="9"/>
      <c r="P524" s="9"/>
      <c r="Q524" s="9"/>
      <c r="R524" s="9"/>
    </row>
    <row r="525">
      <c r="A525" s="9"/>
      <c r="B525" s="9"/>
      <c r="C525" s="9"/>
      <c r="D525" s="9"/>
      <c r="E525" s="9"/>
      <c r="F525" s="9"/>
      <c r="G525" s="9"/>
      <c r="H525" s="9"/>
      <c r="I525" s="9"/>
      <c r="J525" s="9"/>
      <c r="K525" s="9"/>
      <c r="L525" s="9"/>
      <c r="M525" s="9"/>
      <c r="N525" s="9"/>
      <c r="O525" s="9"/>
      <c r="P525" s="9"/>
      <c r="Q525" s="9"/>
      <c r="R525" s="9"/>
    </row>
    <row r="526">
      <c r="A526" s="9"/>
      <c r="B526" s="9"/>
      <c r="C526" s="9"/>
      <c r="D526" s="9"/>
      <c r="E526" s="9"/>
      <c r="F526" s="9"/>
      <c r="G526" s="9"/>
      <c r="H526" s="9"/>
      <c r="I526" s="9"/>
      <c r="J526" s="9"/>
      <c r="K526" s="9"/>
      <c r="L526" s="9"/>
      <c r="M526" s="9"/>
      <c r="N526" s="9"/>
      <c r="O526" s="9"/>
      <c r="P526" s="9"/>
      <c r="Q526" s="9"/>
      <c r="R526" s="9"/>
    </row>
    <row r="527">
      <c r="A527" s="9"/>
      <c r="B527" s="9"/>
      <c r="C527" s="9"/>
      <c r="D527" s="9"/>
      <c r="E527" s="9"/>
      <c r="F527" s="9"/>
      <c r="G527" s="9"/>
      <c r="H527" s="9"/>
      <c r="I527" s="9"/>
      <c r="J527" s="9"/>
      <c r="K527" s="9"/>
      <c r="L527" s="9"/>
      <c r="M527" s="9"/>
      <c r="N527" s="9"/>
      <c r="O527" s="9"/>
      <c r="P527" s="9"/>
      <c r="Q527" s="9"/>
      <c r="R527" s="9"/>
    </row>
    <row r="528">
      <c r="A528" s="9"/>
      <c r="B528" s="9"/>
      <c r="C528" s="9"/>
      <c r="D528" s="9"/>
      <c r="E528" s="9"/>
      <c r="F528" s="9"/>
      <c r="G528" s="9"/>
      <c r="H528" s="9"/>
      <c r="I528" s="9"/>
      <c r="J528" s="9"/>
      <c r="K528" s="9"/>
      <c r="L528" s="9"/>
      <c r="M528" s="9"/>
      <c r="N528" s="9"/>
      <c r="O528" s="9"/>
      <c r="P528" s="9"/>
      <c r="Q528" s="9"/>
      <c r="R528" s="9"/>
    </row>
    <row r="529">
      <c r="A529" s="9"/>
      <c r="B529" s="9"/>
      <c r="C529" s="9"/>
      <c r="D529" s="9"/>
      <c r="E529" s="9"/>
      <c r="F529" s="9"/>
      <c r="G529" s="9"/>
      <c r="H529" s="9"/>
      <c r="I529" s="9"/>
      <c r="J529" s="9"/>
      <c r="K529" s="9"/>
      <c r="L529" s="9"/>
      <c r="M529" s="9"/>
      <c r="N529" s="9"/>
      <c r="O529" s="9"/>
      <c r="P529" s="9"/>
      <c r="Q529" s="9"/>
      <c r="R529" s="9"/>
    </row>
    <row r="530">
      <c r="A530" s="9"/>
      <c r="B530" s="9"/>
      <c r="C530" s="9"/>
      <c r="D530" s="9"/>
      <c r="E530" s="9"/>
      <c r="F530" s="9"/>
      <c r="G530" s="9"/>
      <c r="H530" s="9"/>
      <c r="I530" s="9"/>
      <c r="J530" s="9"/>
      <c r="K530" s="9"/>
      <c r="L530" s="9"/>
      <c r="M530" s="9"/>
      <c r="N530" s="9"/>
      <c r="O530" s="9"/>
      <c r="P530" s="9"/>
      <c r="Q530" s="9"/>
      <c r="R530" s="9"/>
    </row>
    <row r="531">
      <c r="A531" s="9"/>
      <c r="B531" s="9"/>
      <c r="C531" s="9"/>
      <c r="D531" s="9"/>
      <c r="E531" s="9"/>
      <c r="F531" s="9"/>
      <c r="G531" s="9"/>
      <c r="H531" s="9"/>
      <c r="I531" s="9"/>
      <c r="J531" s="9"/>
      <c r="K531" s="9"/>
      <c r="L531" s="9"/>
      <c r="M531" s="9"/>
      <c r="N531" s="9"/>
      <c r="O531" s="9"/>
      <c r="P531" s="9"/>
      <c r="Q531" s="9"/>
      <c r="R531" s="9"/>
    </row>
    <row r="532">
      <c r="A532" s="9"/>
      <c r="B532" s="9"/>
      <c r="C532" s="9"/>
      <c r="D532" s="9"/>
      <c r="E532" s="9"/>
      <c r="F532" s="9"/>
      <c r="G532" s="9"/>
      <c r="H532" s="9"/>
      <c r="I532" s="9"/>
      <c r="J532" s="9"/>
      <c r="K532" s="9"/>
      <c r="L532" s="9"/>
      <c r="M532" s="9"/>
      <c r="N532" s="9"/>
      <c r="O532" s="9"/>
      <c r="P532" s="9"/>
      <c r="Q532" s="9"/>
      <c r="R532" s="9"/>
    </row>
    <row r="533">
      <c r="A533" s="9"/>
      <c r="B533" s="9"/>
      <c r="C533" s="9"/>
      <c r="D533" s="9"/>
      <c r="E533" s="9"/>
      <c r="F533" s="9"/>
      <c r="G533" s="9"/>
      <c r="H533" s="9"/>
      <c r="I533" s="9"/>
      <c r="J533" s="9"/>
      <c r="K533" s="9"/>
      <c r="L533" s="9"/>
      <c r="M533" s="9"/>
      <c r="N533" s="9"/>
      <c r="O533" s="9"/>
      <c r="P533" s="9"/>
      <c r="Q533" s="9"/>
      <c r="R533" s="9"/>
    </row>
    <row r="534">
      <c r="A534" s="9"/>
      <c r="B534" s="9"/>
      <c r="C534" s="9"/>
      <c r="D534" s="9"/>
      <c r="E534" s="9"/>
      <c r="F534" s="9"/>
      <c r="G534" s="9"/>
      <c r="H534" s="9"/>
      <c r="I534" s="9"/>
      <c r="J534" s="9"/>
      <c r="K534" s="9"/>
      <c r="L534" s="9"/>
      <c r="M534" s="9"/>
      <c r="N534" s="9"/>
      <c r="O534" s="9"/>
      <c r="P534" s="9"/>
      <c r="Q534" s="9"/>
      <c r="R534" s="9"/>
    </row>
    <row r="535">
      <c r="A535" s="9"/>
      <c r="B535" s="9"/>
      <c r="C535" s="9"/>
      <c r="D535" s="9"/>
      <c r="E535" s="9"/>
      <c r="F535" s="9"/>
      <c r="G535" s="9"/>
      <c r="H535" s="9"/>
      <c r="I535" s="9"/>
      <c r="J535" s="9"/>
      <c r="K535" s="9"/>
      <c r="L535" s="9"/>
      <c r="M535" s="9"/>
      <c r="N535" s="9"/>
      <c r="O535" s="9"/>
      <c r="P535" s="9"/>
      <c r="Q535" s="9"/>
      <c r="R535" s="9"/>
    </row>
    <row r="536">
      <c r="A536" s="9"/>
      <c r="B536" s="9"/>
      <c r="C536" s="9"/>
      <c r="D536" s="9"/>
      <c r="E536" s="9"/>
      <c r="F536" s="9"/>
      <c r="G536" s="9"/>
      <c r="H536" s="9"/>
      <c r="I536" s="9"/>
      <c r="J536" s="9"/>
      <c r="K536" s="9"/>
      <c r="L536" s="9"/>
      <c r="M536" s="9"/>
      <c r="N536" s="9"/>
      <c r="O536" s="9"/>
      <c r="P536" s="9"/>
      <c r="Q536" s="9"/>
      <c r="R536" s="9"/>
    </row>
    <row r="537">
      <c r="A537" s="9"/>
      <c r="B537" s="9"/>
      <c r="C537" s="9"/>
      <c r="D537" s="9"/>
      <c r="E537" s="9"/>
      <c r="F537" s="9"/>
      <c r="G537" s="9"/>
      <c r="H537" s="9"/>
      <c r="I537" s="9"/>
      <c r="J537" s="9"/>
      <c r="K537" s="9"/>
      <c r="L537" s="9"/>
      <c r="M537" s="9"/>
      <c r="N537" s="9"/>
      <c r="O537" s="9"/>
      <c r="P537" s="9"/>
      <c r="Q537" s="9"/>
      <c r="R537" s="9"/>
    </row>
    <row r="538">
      <c r="A538" s="9"/>
      <c r="B538" s="9"/>
      <c r="C538" s="9"/>
      <c r="D538" s="9"/>
      <c r="E538" s="9"/>
      <c r="F538" s="9"/>
      <c r="G538" s="9"/>
      <c r="H538" s="9"/>
      <c r="I538" s="9"/>
      <c r="J538" s="9"/>
      <c r="K538" s="9"/>
      <c r="L538" s="9"/>
      <c r="M538" s="9"/>
      <c r="N538" s="9"/>
      <c r="O538" s="9"/>
      <c r="P538" s="9"/>
      <c r="Q538" s="9"/>
      <c r="R538" s="9"/>
    </row>
    <row r="539">
      <c r="A539" s="9"/>
      <c r="B539" s="9"/>
      <c r="C539" s="9"/>
      <c r="D539" s="9"/>
      <c r="E539" s="9"/>
      <c r="F539" s="9"/>
      <c r="G539" s="9"/>
      <c r="H539" s="9"/>
      <c r="I539" s="9"/>
      <c r="J539" s="9"/>
      <c r="K539" s="9"/>
      <c r="L539" s="9"/>
      <c r="M539" s="9"/>
      <c r="N539" s="9"/>
      <c r="O539" s="9"/>
      <c r="P539" s="9"/>
      <c r="Q539" s="9"/>
      <c r="R539" s="9"/>
    </row>
    <row r="540">
      <c r="A540" s="9"/>
      <c r="B540" s="9"/>
      <c r="C540" s="9"/>
      <c r="D540" s="9"/>
      <c r="E540" s="9"/>
      <c r="F540" s="9"/>
      <c r="G540" s="9"/>
      <c r="H540" s="9"/>
      <c r="I540" s="9"/>
      <c r="J540" s="9"/>
      <c r="K540" s="9"/>
      <c r="L540" s="9"/>
      <c r="M540" s="9"/>
      <c r="N540" s="9"/>
      <c r="O540" s="9"/>
      <c r="P540" s="9"/>
      <c r="Q540" s="9"/>
      <c r="R540" s="9"/>
    </row>
    <row r="541">
      <c r="A541" s="9"/>
      <c r="B541" s="9"/>
      <c r="C541" s="9"/>
      <c r="D541" s="9"/>
      <c r="E541" s="9"/>
      <c r="F541" s="9"/>
      <c r="G541" s="9"/>
      <c r="H541" s="9"/>
      <c r="I541" s="9"/>
      <c r="J541" s="9"/>
      <c r="K541" s="9"/>
      <c r="L541" s="9"/>
      <c r="M541" s="9"/>
      <c r="N541" s="9"/>
      <c r="O541" s="9"/>
      <c r="P541" s="9"/>
      <c r="Q541" s="9"/>
      <c r="R541" s="9"/>
    </row>
    <row r="542">
      <c r="A542" s="9"/>
      <c r="B542" s="9"/>
      <c r="C542" s="9"/>
      <c r="D542" s="9"/>
      <c r="E542" s="9"/>
      <c r="F542" s="9"/>
      <c r="G542" s="9"/>
      <c r="H542" s="9"/>
      <c r="I542" s="9"/>
      <c r="J542" s="9"/>
      <c r="K542" s="9"/>
      <c r="L542" s="9"/>
      <c r="M542" s="9"/>
      <c r="N542" s="9"/>
      <c r="O542" s="9"/>
      <c r="P542" s="9"/>
      <c r="Q542" s="9"/>
      <c r="R542" s="9"/>
    </row>
    <row r="543">
      <c r="A543" s="9"/>
      <c r="B543" s="9"/>
      <c r="C543" s="9"/>
      <c r="D543" s="9"/>
      <c r="E543" s="9"/>
      <c r="F543" s="9"/>
      <c r="G543" s="9"/>
      <c r="H543" s="9"/>
      <c r="I543" s="9"/>
      <c r="J543" s="9"/>
      <c r="K543" s="9"/>
      <c r="L543" s="9"/>
      <c r="M543" s="9"/>
      <c r="N543" s="9"/>
      <c r="O543" s="9"/>
      <c r="P543" s="9"/>
      <c r="Q543" s="9"/>
      <c r="R543" s="9"/>
    </row>
    <row r="544">
      <c r="A544" s="9"/>
      <c r="B544" s="9"/>
      <c r="C544" s="9"/>
      <c r="D544" s="9"/>
      <c r="E544" s="9"/>
      <c r="F544" s="9"/>
      <c r="G544" s="9"/>
      <c r="H544" s="9"/>
      <c r="I544" s="9"/>
      <c r="J544" s="9"/>
      <c r="K544" s="9"/>
      <c r="L544" s="9"/>
      <c r="M544" s="9"/>
      <c r="N544" s="9"/>
      <c r="O544" s="9"/>
      <c r="P544" s="9"/>
      <c r="Q544" s="9"/>
      <c r="R544" s="9"/>
    </row>
    <row r="545">
      <c r="A545" s="9"/>
      <c r="B545" s="9"/>
      <c r="C545" s="9"/>
      <c r="D545" s="9"/>
      <c r="E545" s="9"/>
      <c r="F545" s="9"/>
      <c r="G545" s="9"/>
      <c r="H545" s="9"/>
      <c r="I545" s="9"/>
      <c r="J545" s="9"/>
      <c r="K545" s="9"/>
      <c r="L545" s="9"/>
      <c r="M545" s="9"/>
      <c r="N545" s="9"/>
      <c r="O545" s="9"/>
      <c r="P545" s="9"/>
      <c r="Q545" s="9"/>
      <c r="R545" s="9"/>
    </row>
    <row r="546">
      <c r="A546" s="9"/>
      <c r="B546" s="9"/>
      <c r="C546" s="9"/>
      <c r="D546" s="9"/>
      <c r="E546" s="9"/>
      <c r="F546" s="9"/>
      <c r="G546" s="9"/>
      <c r="H546" s="9"/>
      <c r="I546" s="9"/>
      <c r="J546" s="9"/>
      <c r="K546" s="9"/>
      <c r="L546" s="9"/>
      <c r="M546" s="9"/>
      <c r="N546" s="9"/>
      <c r="O546" s="9"/>
      <c r="P546" s="9"/>
      <c r="Q546" s="9"/>
      <c r="R546" s="9"/>
    </row>
    <row r="547">
      <c r="A547" s="9"/>
      <c r="B547" s="9"/>
      <c r="C547" s="9"/>
      <c r="D547" s="9"/>
      <c r="E547" s="9"/>
      <c r="F547" s="9"/>
      <c r="G547" s="9"/>
      <c r="H547" s="9"/>
      <c r="I547" s="9"/>
      <c r="J547" s="9"/>
      <c r="K547" s="9"/>
      <c r="L547" s="9"/>
      <c r="M547" s="9"/>
      <c r="N547" s="9"/>
      <c r="O547" s="9"/>
      <c r="P547" s="9"/>
      <c r="Q547" s="9"/>
      <c r="R547" s="9"/>
    </row>
    <row r="548">
      <c r="A548" s="9"/>
      <c r="B548" s="9"/>
      <c r="C548" s="9"/>
      <c r="D548" s="9"/>
      <c r="E548" s="9"/>
      <c r="F548" s="9"/>
      <c r="G548" s="9"/>
      <c r="H548" s="9"/>
      <c r="I548" s="9"/>
      <c r="J548" s="9"/>
      <c r="K548" s="9"/>
      <c r="L548" s="9"/>
      <c r="M548" s="9"/>
      <c r="N548" s="9"/>
      <c r="O548" s="9"/>
      <c r="P548" s="9"/>
      <c r="Q548" s="9"/>
      <c r="R548" s="9"/>
    </row>
    <row r="549">
      <c r="A549" s="9"/>
      <c r="B549" s="9"/>
      <c r="C549" s="9"/>
      <c r="D549" s="9"/>
      <c r="E549" s="9"/>
      <c r="F549" s="9"/>
      <c r="G549" s="9"/>
      <c r="H549" s="9"/>
      <c r="I549" s="9"/>
      <c r="J549" s="9"/>
      <c r="K549" s="9"/>
      <c r="L549" s="9"/>
      <c r="M549" s="9"/>
      <c r="N549" s="9"/>
      <c r="O549" s="9"/>
      <c r="P549" s="9"/>
      <c r="Q549" s="9"/>
      <c r="R549" s="9"/>
    </row>
    <row r="550">
      <c r="A550" s="9"/>
      <c r="B550" s="9"/>
      <c r="C550" s="9"/>
      <c r="D550" s="9"/>
      <c r="E550" s="9"/>
      <c r="F550" s="9"/>
      <c r="G550" s="9"/>
      <c r="H550" s="9"/>
      <c r="I550" s="9"/>
      <c r="J550" s="9"/>
      <c r="K550" s="9"/>
      <c r="L550" s="9"/>
      <c r="M550" s="9"/>
      <c r="N550" s="9"/>
      <c r="O550" s="9"/>
      <c r="P550" s="9"/>
      <c r="Q550" s="9"/>
      <c r="R550" s="9"/>
    </row>
    <row r="551">
      <c r="A551" s="9"/>
      <c r="B551" s="9"/>
      <c r="C551" s="9"/>
      <c r="D551" s="9"/>
      <c r="E551" s="9"/>
      <c r="F551" s="9"/>
      <c r="G551" s="9"/>
      <c r="H551" s="9"/>
      <c r="I551" s="9"/>
      <c r="J551" s="9"/>
      <c r="K551" s="9"/>
      <c r="L551" s="9"/>
      <c r="M551" s="9"/>
      <c r="N551" s="9"/>
      <c r="O551" s="9"/>
      <c r="P551" s="9"/>
      <c r="Q551" s="9"/>
      <c r="R551" s="9"/>
    </row>
    <row r="552">
      <c r="A552" s="9"/>
      <c r="B552" s="9"/>
      <c r="C552" s="9"/>
      <c r="D552" s="9"/>
      <c r="E552" s="9"/>
      <c r="F552" s="9"/>
      <c r="G552" s="9"/>
      <c r="H552" s="9"/>
      <c r="I552" s="9"/>
      <c r="J552" s="9"/>
      <c r="K552" s="9"/>
      <c r="L552" s="9"/>
      <c r="M552" s="9"/>
      <c r="N552" s="9"/>
      <c r="O552" s="9"/>
      <c r="P552" s="9"/>
      <c r="Q552" s="9"/>
      <c r="R552" s="9"/>
    </row>
    <row r="553">
      <c r="A553" s="9"/>
      <c r="B553" s="9"/>
      <c r="C553" s="9"/>
      <c r="D553" s="9"/>
      <c r="E553" s="9"/>
      <c r="F553" s="9"/>
      <c r="G553" s="9"/>
      <c r="H553" s="9"/>
      <c r="I553" s="9"/>
      <c r="J553" s="9"/>
      <c r="K553" s="9"/>
      <c r="L553" s="9"/>
      <c r="M553" s="9"/>
      <c r="N553" s="9"/>
      <c r="O553" s="9"/>
      <c r="P553" s="9"/>
      <c r="Q553" s="9"/>
      <c r="R553" s="9"/>
    </row>
    <row r="554">
      <c r="A554" s="9"/>
      <c r="B554" s="9"/>
      <c r="C554" s="9"/>
      <c r="D554" s="9"/>
      <c r="E554" s="9"/>
      <c r="F554" s="9"/>
      <c r="G554" s="9"/>
      <c r="H554" s="9"/>
      <c r="I554" s="9"/>
      <c r="J554" s="9"/>
      <c r="K554" s="9"/>
      <c r="L554" s="9"/>
      <c r="M554" s="9"/>
      <c r="N554" s="9"/>
      <c r="O554" s="9"/>
      <c r="P554" s="9"/>
      <c r="Q554" s="9"/>
      <c r="R554" s="9"/>
    </row>
    <row r="555">
      <c r="A555" s="9"/>
      <c r="B555" s="9"/>
      <c r="C555" s="9"/>
      <c r="D555" s="9"/>
      <c r="E555" s="9"/>
      <c r="F555" s="9"/>
      <c r="G555" s="9"/>
      <c r="H555" s="9"/>
      <c r="I555" s="9"/>
      <c r="J555" s="9"/>
      <c r="K555" s="9"/>
      <c r="L555" s="9"/>
      <c r="M555" s="9"/>
      <c r="N555" s="9"/>
      <c r="O555" s="9"/>
      <c r="P555" s="9"/>
      <c r="Q555" s="9"/>
      <c r="R555" s="9"/>
    </row>
    <row r="556">
      <c r="A556" s="9"/>
      <c r="B556" s="9"/>
      <c r="C556" s="9"/>
      <c r="D556" s="9"/>
      <c r="E556" s="9"/>
      <c r="F556" s="9"/>
      <c r="G556" s="9"/>
      <c r="H556" s="9"/>
      <c r="I556" s="9"/>
      <c r="J556" s="9"/>
      <c r="K556" s="9"/>
      <c r="L556" s="9"/>
      <c r="M556" s="9"/>
      <c r="N556" s="9"/>
      <c r="O556" s="9"/>
      <c r="P556" s="9"/>
      <c r="Q556" s="9"/>
      <c r="R556" s="9"/>
    </row>
    <row r="557">
      <c r="A557" s="9"/>
      <c r="B557" s="9"/>
      <c r="C557" s="9"/>
      <c r="D557" s="9"/>
      <c r="E557" s="9"/>
      <c r="F557" s="9"/>
      <c r="G557" s="9"/>
      <c r="H557" s="9"/>
      <c r="I557" s="9"/>
      <c r="J557" s="9"/>
      <c r="K557" s="9"/>
      <c r="L557" s="9"/>
      <c r="M557" s="9"/>
      <c r="N557" s="9"/>
      <c r="O557" s="9"/>
      <c r="P557" s="9"/>
      <c r="Q557" s="9"/>
      <c r="R557" s="9"/>
    </row>
    <row r="558">
      <c r="A558" s="9"/>
      <c r="B558" s="9"/>
      <c r="C558" s="9"/>
      <c r="D558" s="9"/>
      <c r="E558" s="9"/>
      <c r="F558" s="9"/>
      <c r="G558" s="9"/>
      <c r="H558" s="9"/>
      <c r="I558" s="9"/>
      <c r="J558" s="9"/>
      <c r="K558" s="9"/>
      <c r="L558" s="9"/>
      <c r="M558" s="9"/>
      <c r="N558" s="9"/>
      <c r="O558" s="9"/>
      <c r="P558" s="9"/>
      <c r="Q558" s="9"/>
      <c r="R558" s="9"/>
    </row>
    <row r="559">
      <c r="A559" s="9"/>
      <c r="B559" s="9"/>
      <c r="C559" s="9"/>
      <c r="D559" s="9"/>
      <c r="E559" s="9"/>
      <c r="F559" s="9"/>
      <c r="G559" s="9"/>
      <c r="H559" s="9"/>
      <c r="I559" s="9"/>
      <c r="J559" s="9"/>
      <c r="K559" s="9"/>
      <c r="L559" s="9"/>
      <c r="M559" s="9"/>
      <c r="N559" s="9"/>
      <c r="O559" s="9"/>
      <c r="P559" s="9"/>
      <c r="Q559" s="9"/>
      <c r="R559" s="9"/>
    </row>
    <row r="560">
      <c r="A560" s="9"/>
      <c r="B560" s="9"/>
      <c r="C560" s="9"/>
      <c r="D560" s="9"/>
      <c r="E560" s="9"/>
      <c r="F560" s="9"/>
      <c r="G560" s="9"/>
      <c r="H560" s="9"/>
      <c r="I560" s="9"/>
      <c r="J560" s="9"/>
      <c r="K560" s="9"/>
      <c r="L560" s="9"/>
      <c r="M560" s="9"/>
      <c r="N560" s="9"/>
      <c r="O560" s="9"/>
      <c r="P560" s="9"/>
      <c r="Q560" s="9"/>
      <c r="R560" s="9"/>
    </row>
    <row r="561">
      <c r="A561" s="9"/>
      <c r="B561" s="9"/>
      <c r="C561" s="9"/>
      <c r="D561" s="9"/>
      <c r="E561" s="9"/>
      <c r="F561" s="9"/>
      <c r="G561" s="9"/>
      <c r="H561" s="9"/>
      <c r="I561" s="9"/>
      <c r="J561" s="9"/>
      <c r="K561" s="9"/>
      <c r="L561" s="9"/>
      <c r="M561" s="9"/>
      <c r="N561" s="9"/>
      <c r="O561" s="9"/>
      <c r="P561" s="9"/>
      <c r="Q561" s="9"/>
      <c r="R561" s="9"/>
    </row>
    <row r="562">
      <c r="A562" s="9"/>
      <c r="B562" s="9"/>
      <c r="C562" s="9"/>
      <c r="D562" s="9"/>
      <c r="E562" s="9"/>
      <c r="F562" s="9"/>
      <c r="G562" s="9"/>
      <c r="H562" s="9"/>
      <c r="I562" s="9"/>
      <c r="J562" s="9"/>
      <c r="K562" s="9"/>
      <c r="L562" s="9"/>
      <c r="M562" s="9"/>
      <c r="N562" s="9"/>
      <c r="O562" s="9"/>
      <c r="P562" s="9"/>
      <c r="Q562" s="9"/>
      <c r="R562" s="9"/>
    </row>
    <row r="563">
      <c r="A563" s="9"/>
      <c r="B563" s="9"/>
      <c r="C563" s="9"/>
      <c r="D563" s="9"/>
      <c r="E563" s="9"/>
      <c r="F563" s="9"/>
      <c r="G563" s="9"/>
      <c r="H563" s="9"/>
      <c r="I563" s="9"/>
      <c r="J563" s="9"/>
      <c r="K563" s="9"/>
      <c r="L563" s="9"/>
      <c r="M563" s="9"/>
      <c r="N563" s="9"/>
      <c r="O563" s="9"/>
      <c r="P563" s="9"/>
      <c r="Q563" s="9"/>
      <c r="R563" s="9"/>
    </row>
    <row r="564">
      <c r="A564" s="9"/>
      <c r="B564" s="9"/>
      <c r="C564" s="9"/>
      <c r="D564" s="9"/>
      <c r="E564" s="9"/>
      <c r="F564" s="9"/>
      <c r="G564" s="9"/>
      <c r="H564" s="9"/>
      <c r="I564" s="9"/>
      <c r="J564" s="9"/>
      <c r="K564" s="9"/>
      <c r="L564" s="9"/>
      <c r="M564" s="9"/>
      <c r="N564" s="9"/>
      <c r="O564" s="9"/>
      <c r="P564" s="9"/>
      <c r="Q564" s="9"/>
      <c r="R564" s="9"/>
    </row>
    <row r="565">
      <c r="A565" s="9"/>
      <c r="B565" s="9"/>
      <c r="C565" s="9"/>
      <c r="D565" s="9"/>
      <c r="E565" s="9"/>
      <c r="F565" s="9"/>
      <c r="G565" s="9"/>
      <c r="H565" s="9"/>
      <c r="I565" s="9"/>
      <c r="J565" s="9"/>
      <c r="K565" s="9"/>
      <c r="L565" s="9"/>
      <c r="M565" s="9"/>
      <c r="N565" s="9"/>
      <c r="O565" s="9"/>
      <c r="P565" s="9"/>
      <c r="Q565" s="9"/>
      <c r="R565" s="9"/>
    </row>
    <row r="566">
      <c r="A566" s="9"/>
      <c r="B566" s="9"/>
      <c r="C566" s="9"/>
      <c r="D566" s="9"/>
      <c r="E566" s="9"/>
      <c r="F566" s="9"/>
      <c r="G566" s="9"/>
      <c r="H566" s="9"/>
      <c r="I566" s="9"/>
      <c r="J566" s="9"/>
      <c r="K566" s="9"/>
      <c r="L566" s="9"/>
      <c r="M566" s="9"/>
      <c r="N566" s="9"/>
      <c r="O566" s="9"/>
      <c r="P566" s="9"/>
      <c r="Q566" s="9"/>
      <c r="R566" s="9"/>
    </row>
    <row r="567">
      <c r="A567" s="9"/>
      <c r="B567" s="9"/>
      <c r="C567" s="9"/>
      <c r="D567" s="9"/>
      <c r="E567" s="9"/>
      <c r="F567" s="9"/>
      <c r="G567" s="9"/>
      <c r="H567" s="9"/>
      <c r="I567" s="9"/>
      <c r="J567" s="9"/>
      <c r="K567" s="9"/>
      <c r="L567" s="9"/>
      <c r="M567" s="9"/>
      <c r="N567" s="9"/>
      <c r="O567" s="9"/>
      <c r="P567" s="9"/>
      <c r="Q567" s="9"/>
      <c r="R567" s="9"/>
    </row>
    <row r="568">
      <c r="A568" s="9"/>
      <c r="B568" s="9"/>
      <c r="C568" s="9"/>
      <c r="D568" s="9"/>
      <c r="E568" s="9"/>
      <c r="F568" s="9"/>
      <c r="G568" s="9"/>
      <c r="H568" s="9"/>
      <c r="I568" s="9"/>
      <c r="J568" s="9"/>
      <c r="K568" s="9"/>
      <c r="L568" s="9"/>
      <c r="M568" s="9"/>
      <c r="N568" s="9"/>
      <c r="O568" s="9"/>
      <c r="P568" s="9"/>
      <c r="Q568" s="9"/>
      <c r="R568" s="9"/>
    </row>
    <row r="569">
      <c r="A569" s="9"/>
      <c r="B569" s="9"/>
      <c r="C569" s="9"/>
      <c r="D569" s="9"/>
      <c r="E569" s="9"/>
      <c r="F569" s="9"/>
      <c r="G569" s="9"/>
      <c r="H569" s="9"/>
      <c r="I569" s="9"/>
      <c r="J569" s="9"/>
      <c r="K569" s="9"/>
      <c r="L569" s="9"/>
      <c r="M569" s="9"/>
      <c r="N569" s="9"/>
      <c r="O569" s="9"/>
      <c r="P569" s="9"/>
      <c r="Q569" s="9"/>
      <c r="R569" s="9"/>
    </row>
    <row r="570">
      <c r="A570" s="9"/>
      <c r="B570" s="9"/>
      <c r="C570" s="9"/>
      <c r="D570" s="9"/>
      <c r="E570" s="9"/>
      <c r="F570" s="9"/>
      <c r="G570" s="9"/>
      <c r="H570" s="9"/>
      <c r="I570" s="9"/>
      <c r="J570" s="9"/>
      <c r="K570" s="9"/>
      <c r="L570" s="9"/>
      <c r="M570" s="9"/>
      <c r="N570" s="9"/>
      <c r="O570" s="9"/>
      <c r="P570" s="9"/>
      <c r="Q570" s="9"/>
      <c r="R570" s="9"/>
    </row>
    <row r="571">
      <c r="A571" s="9"/>
      <c r="B571" s="9"/>
      <c r="C571" s="9"/>
      <c r="D571" s="9"/>
      <c r="E571" s="9"/>
      <c r="F571" s="9"/>
      <c r="G571" s="9"/>
      <c r="H571" s="9"/>
      <c r="I571" s="9"/>
      <c r="J571" s="9"/>
      <c r="K571" s="9"/>
      <c r="L571" s="9"/>
      <c r="M571" s="9"/>
      <c r="N571" s="9"/>
      <c r="O571" s="9"/>
      <c r="P571" s="9"/>
      <c r="Q571" s="9"/>
      <c r="R571" s="9"/>
    </row>
    <row r="572">
      <c r="A572" s="9"/>
      <c r="B572" s="9"/>
      <c r="C572" s="9"/>
      <c r="D572" s="9"/>
      <c r="E572" s="9"/>
      <c r="F572" s="9"/>
      <c r="G572" s="9"/>
      <c r="H572" s="9"/>
      <c r="I572" s="9"/>
      <c r="J572" s="9"/>
      <c r="K572" s="9"/>
      <c r="L572" s="9"/>
      <c r="M572" s="9"/>
      <c r="N572" s="9"/>
      <c r="O572" s="9"/>
      <c r="P572" s="9"/>
      <c r="Q572" s="9"/>
      <c r="R572" s="9"/>
    </row>
    <row r="573">
      <c r="A573" s="9"/>
      <c r="B573" s="9"/>
      <c r="C573" s="9"/>
      <c r="D573" s="9"/>
      <c r="E573" s="9"/>
      <c r="F573" s="9"/>
      <c r="G573" s="9"/>
      <c r="H573" s="9"/>
      <c r="I573" s="9"/>
      <c r="J573" s="9"/>
      <c r="K573" s="9"/>
      <c r="L573" s="9"/>
      <c r="M573" s="9"/>
      <c r="N573" s="9"/>
      <c r="O573" s="9"/>
      <c r="P573" s="9"/>
      <c r="Q573" s="9"/>
      <c r="R573" s="9"/>
    </row>
    <row r="574">
      <c r="A574" s="9"/>
      <c r="B574" s="9"/>
      <c r="C574" s="9"/>
      <c r="D574" s="9"/>
      <c r="E574" s="9"/>
      <c r="F574" s="9"/>
      <c r="G574" s="9"/>
      <c r="H574" s="9"/>
      <c r="I574" s="9"/>
      <c r="J574" s="9"/>
      <c r="K574" s="9"/>
      <c r="L574" s="9"/>
      <c r="M574" s="9"/>
      <c r="N574" s="9"/>
      <c r="O574" s="9"/>
      <c r="P574" s="9"/>
      <c r="Q574" s="9"/>
      <c r="R574" s="9"/>
    </row>
    <row r="575">
      <c r="A575" s="9"/>
      <c r="B575" s="9"/>
      <c r="C575" s="9"/>
      <c r="D575" s="9"/>
      <c r="E575" s="9"/>
      <c r="F575" s="9"/>
      <c r="G575" s="9"/>
      <c r="H575" s="9"/>
      <c r="I575" s="9"/>
      <c r="J575" s="9"/>
      <c r="K575" s="9"/>
      <c r="L575" s="9"/>
      <c r="M575" s="9"/>
      <c r="N575" s="9"/>
      <c r="O575" s="9"/>
      <c r="P575" s="9"/>
      <c r="Q575" s="9"/>
      <c r="R575" s="9"/>
    </row>
    <row r="576">
      <c r="A576" s="9"/>
      <c r="B576" s="9"/>
      <c r="C576" s="9"/>
      <c r="D576" s="9"/>
      <c r="E576" s="9"/>
      <c r="F576" s="9"/>
      <c r="G576" s="9"/>
      <c r="H576" s="9"/>
      <c r="I576" s="9"/>
      <c r="J576" s="9"/>
      <c r="K576" s="9"/>
      <c r="L576" s="9"/>
      <c r="M576" s="9"/>
      <c r="N576" s="9"/>
      <c r="O576" s="9"/>
      <c r="P576" s="9"/>
      <c r="Q576" s="9"/>
      <c r="R576" s="9"/>
    </row>
    <row r="577">
      <c r="A577" s="9"/>
      <c r="B577" s="9"/>
      <c r="C577" s="9"/>
      <c r="D577" s="9"/>
      <c r="E577" s="9"/>
      <c r="F577" s="9"/>
      <c r="G577" s="9"/>
      <c r="H577" s="9"/>
      <c r="I577" s="9"/>
      <c r="J577" s="9"/>
      <c r="K577" s="9"/>
      <c r="L577" s="9"/>
      <c r="M577" s="9"/>
      <c r="N577" s="9"/>
      <c r="O577" s="9"/>
      <c r="P577" s="9"/>
      <c r="Q577" s="9"/>
      <c r="R577" s="9"/>
    </row>
    <row r="578">
      <c r="A578" s="9"/>
      <c r="B578" s="9"/>
      <c r="C578" s="9"/>
      <c r="D578" s="9"/>
      <c r="E578" s="9"/>
      <c r="F578" s="9"/>
      <c r="G578" s="9"/>
      <c r="H578" s="9"/>
      <c r="I578" s="9"/>
      <c r="J578" s="9"/>
      <c r="K578" s="9"/>
      <c r="L578" s="9"/>
      <c r="M578" s="9"/>
      <c r="N578" s="9"/>
      <c r="O578" s="9"/>
      <c r="P578" s="9"/>
      <c r="Q578" s="9"/>
      <c r="R578" s="9"/>
    </row>
    <row r="579">
      <c r="A579" s="9"/>
      <c r="B579" s="9"/>
      <c r="C579" s="9"/>
      <c r="D579" s="9"/>
      <c r="E579" s="9"/>
      <c r="F579" s="9"/>
      <c r="G579" s="9"/>
      <c r="H579" s="9"/>
      <c r="I579" s="9"/>
      <c r="J579" s="9"/>
      <c r="K579" s="9"/>
      <c r="L579" s="9"/>
      <c r="M579" s="9"/>
      <c r="N579" s="9"/>
      <c r="O579" s="9"/>
      <c r="P579" s="9"/>
      <c r="Q579" s="9"/>
      <c r="R579" s="9"/>
    </row>
    <row r="580">
      <c r="A580" s="9"/>
      <c r="B580" s="9"/>
      <c r="C580" s="9"/>
      <c r="D580" s="9"/>
      <c r="E580" s="9"/>
      <c r="F580" s="9"/>
      <c r="G580" s="9"/>
      <c r="H580" s="9"/>
      <c r="I580" s="9"/>
      <c r="J580" s="9"/>
      <c r="K580" s="9"/>
      <c r="L580" s="9"/>
      <c r="M580" s="9"/>
      <c r="N580" s="9"/>
      <c r="O580" s="9"/>
      <c r="P580" s="9"/>
      <c r="Q580" s="9"/>
      <c r="R580" s="9"/>
    </row>
    <row r="581">
      <c r="A581" s="9"/>
      <c r="B581" s="9"/>
      <c r="C581" s="9"/>
      <c r="D581" s="9"/>
      <c r="E581" s="9"/>
      <c r="F581" s="9"/>
      <c r="G581" s="9"/>
      <c r="H581" s="9"/>
      <c r="I581" s="9"/>
      <c r="J581" s="9"/>
      <c r="K581" s="9"/>
      <c r="L581" s="9"/>
      <c r="M581" s="9"/>
      <c r="N581" s="9"/>
      <c r="O581" s="9"/>
      <c r="P581" s="9"/>
      <c r="Q581" s="9"/>
      <c r="R581" s="9"/>
    </row>
    <row r="582">
      <c r="A582" s="9"/>
      <c r="B582" s="9"/>
      <c r="C582" s="9"/>
      <c r="D582" s="9"/>
      <c r="E582" s="9"/>
      <c r="F582" s="9"/>
      <c r="G582" s="9"/>
      <c r="H582" s="9"/>
      <c r="I582" s="9"/>
      <c r="J582" s="9"/>
      <c r="K582" s="9"/>
      <c r="L582" s="9"/>
      <c r="M582" s="9"/>
      <c r="N582" s="9"/>
      <c r="O582" s="9"/>
      <c r="P582" s="9"/>
      <c r="Q582" s="9"/>
      <c r="R582" s="9"/>
    </row>
    <row r="583">
      <c r="A583" s="9"/>
      <c r="B583" s="9"/>
      <c r="C583" s="9"/>
      <c r="D583" s="9"/>
      <c r="E583" s="9"/>
      <c r="F583" s="9"/>
      <c r="G583" s="9"/>
      <c r="H583" s="9"/>
      <c r="I583" s="9"/>
      <c r="J583" s="9"/>
      <c r="K583" s="9"/>
      <c r="L583" s="9"/>
      <c r="M583" s="9"/>
      <c r="N583" s="9"/>
      <c r="O583" s="9"/>
      <c r="P583" s="9"/>
      <c r="Q583" s="9"/>
      <c r="R583" s="9"/>
    </row>
    <row r="584">
      <c r="A584" s="9"/>
      <c r="B584" s="9"/>
      <c r="C584" s="9"/>
      <c r="D584" s="9"/>
      <c r="E584" s="9"/>
      <c r="F584" s="9"/>
      <c r="G584" s="9"/>
      <c r="H584" s="9"/>
      <c r="I584" s="9"/>
      <c r="J584" s="9"/>
      <c r="K584" s="9"/>
      <c r="L584" s="9"/>
      <c r="M584" s="9"/>
      <c r="N584" s="9"/>
      <c r="O584" s="9"/>
      <c r="P584" s="9"/>
      <c r="Q584" s="9"/>
      <c r="R584" s="9"/>
    </row>
    <row r="585">
      <c r="A585" s="9"/>
      <c r="B585" s="9"/>
      <c r="C585" s="9"/>
      <c r="D585" s="9"/>
      <c r="E585" s="9"/>
      <c r="F585" s="9"/>
      <c r="G585" s="9"/>
      <c r="H585" s="9"/>
      <c r="I585" s="9"/>
      <c r="J585" s="9"/>
      <c r="K585" s="9"/>
      <c r="L585" s="9"/>
      <c r="M585" s="9"/>
      <c r="N585" s="9"/>
      <c r="O585" s="9"/>
      <c r="P585" s="9"/>
      <c r="Q585" s="9"/>
      <c r="R585" s="9"/>
    </row>
    <row r="586">
      <c r="A586" s="9"/>
      <c r="B586" s="9"/>
      <c r="C586" s="9"/>
      <c r="D586" s="9"/>
      <c r="E586" s="9"/>
      <c r="F586" s="9"/>
      <c r="G586" s="9"/>
      <c r="H586" s="9"/>
      <c r="I586" s="9"/>
      <c r="J586" s="9"/>
      <c r="K586" s="9"/>
      <c r="L586" s="9"/>
      <c r="M586" s="9"/>
      <c r="N586" s="9"/>
      <c r="O586" s="9"/>
      <c r="P586" s="9"/>
      <c r="Q586" s="9"/>
      <c r="R586" s="9"/>
    </row>
    <row r="587">
      <c r="A587" s="9"/>
      <c r="B587" s="9"/>
      <c r="C587" s="9"/>
      <c r="D587" s="9"/>
      <c r="E587" s="9"/>
      <c r="F587" s="9"/>
      <c r="G587" s="9"/>
      <c r="H587" s="9"/>
      <c r="I587" s="9"/>
      <c r="J587" s="9"/>
      <c r="K587" s="9"/>
      <c r="L587" s="9"/>
      <c r="M587" s="9"/>
      <c r="N587" s="9"/>
      <c r="O587" s="9"/>
      <c r="P587" s="9"/>
      <c r="Q587" s="9"/>
      <c r="R587" s="9"/>
    </row>
    <row r="588">
      <c r="A588" s="9"/>
      <c r="B588" s="9"/>
      <c r="C588" s="9"/>
      <c r="D588" s="9"/>
      <c r="E588" s="9"/>
      <c r="F588" s="9"/>
      <c r="G588" s="9"/>
      <c r="H588" s="9"/>
      <c r="I588" s="9"/>
      <c r="J588" s="9"/>
      <c r="K588" s="9"/>
      <c r="L588" s="9"/>
      <c r="M588" s="9"/>
      <c r="N588" s="9"/>
      <c r="O588" s="9"/>
      <c r="P588" s="9"/>
      <c r="Q588" s="9"/>
      <c r="R588" s="9"/>
    </row>
    <row r="589">
      <c r="A589" s="9"/>
      <c r="B589" s="9"/>
      <c r="C589" s="9"/>
      <c r="D589" s="9"/>
      <c r="E589" s="9"/>
      <c r="F589" s="9"/>
      <c r="G589" s="9"/>
      <c r="H589" s="9"/>
      <c r="I589" s="9"/>
      <c r="J589" s="9"/>
      <c r="K589" s="9"/>
      <c r="L589" s="9"/>
      <c r="M589" s="9"/>
      <c r="N589" s="9"/>
      <c r="O589" s="9"/>
      <c r="P589" s="9"/>
      <c r="Q589" s="9"/>
      <c r="R589" s="9"/>
    </row>
    <row r="590">
      <c r="A590" s="9"/>
      <c r="B590" s="9"/>
      <c r="C590" s="9"/>
      <c r="D590" s="9"/>
      <c r="E590" s="9"/>
      <c r="F590" s="9"/>
      <c r="G590" s="9"/>
      <c r="H590" s="9"/>
      <c r="I590" s="9"/>
      <c r="J590" s="9"/>
      <c r="K590" s="9"/>
      <c r="L590" s="9"/>
      <c r="M590" s="9"/>
      <c r="N590" s="9"/>
      <c r="O590" s="9"/>
      <c r="P590" s="9"/>
      <c r="Q590" s="9"/>
      <c r="R590" s="9"/>
    </row>
    <row r="591">
      <c r="A591" s="9"/>
      <c r="B591" s="9"/>
      <c r="C591" s="9"/>
      <c r="D591" s="9"/>
      <c r="E591" s="9"/>
      <c r="F591" s="9"/>
      <c r="G591" s="9"/>
      <c r="H591" s="9"/>
      <c r="I591" s="9"/>
      <c r="J591" s="9"/>
      <c r="K591" s="9"/>
      <c r="L591" s="9"/>
      <c r="M591" s="9"/>
      <c r="N591" s="9"/>
      <c r="O591" s="9"/>
      <c r="P591" s="9"/>
      <c r="Q591" s="9"/>
      <c r="R591" s="9"/>
    </row>
    <row r="592">
      <c r="A592" s="9"/>
      <c r="B592" s="9"/>
      <c r="C592" s="9"/>
      <c r="D592" s="9"/>
      <c r="E592" s="9"/>
      <c r="F592" s="9"/>
      <c r="G592" s="9"/>
      <c r="H592" s="9"/>
      <c r="I592" s="9"/>
      <c r="J592" s="9"/>
      <c r="K592" s="9"/>
      <c r="L592" s="9"/>
      <c r="M592" s="9"/>
      <c r="N592" s="9"/>
      <c r="O592" s="9"/>
      <c r="P592" s="9"/>
      <c r="Q592" s="9"/>
      <c r="R592" s="9"/>
    </row>
    <row r="593">
      <c r="A593" s="9"/>
      <c r="B593" s="9"/>
      <c r="C593" s="9"/>
      <c r="D593" s="9"/>
      <c r="E593" s="9"/>
      <c r="F593" s="9"/>
      <c r="G593" s="9"/>
      <c r="H593" s="9"/>
      <c r="I593" s="9"/>
      <c r="J593" s="9"/>
      <c r="K593" s="9"/>
      <c r="L593" s="9"/>
      <c r="M593" s="9"/>
      <c r="N593" s="9"/>
      <c r="O593" s="9"/>
      <c r="P593" s="9"/>
      <c r="Q593" s="9"/>
      <c r="R593" s="9"/>
    </row>
    <row r="594">
      <c r="A594" s="9"/>
      <c r="B594" s="9"/>
      <c r="C594" s="9"/>
      <c r="D594" s="9"/>
      <c r="E594" s="9"/>
      <c r="F594" s="9"/>
      <c r="G594" s="9"/>
      <c r="H594" s="9"/>
      <c r="I594" s="9"/>
      <c r="J594" s="9"/>
      <c r="K594" s="9"/>
      <c r="L594" s="9"/>
      <c r="M594" s="9"/>
      <c r="N594" s="9"/>
      <c r="O594" s="9"/>
      <c r="P594" s="9"/>
      <c r="Q594" s="9"/>
      <c r="R594" s="9"/>
    </row>
    <row r="595">
      <c r="A595" s="9"/>
      <c r="B595" s="9"/>
      <c r="C595" s="9"/>
      <c r="D595" s="9"/>
      <c r="E595" s="9"/>
      <c r="F595" s="9"/>
      <c r="G595" s="9"/>
      <c r="H595" s="9"/>
      <c r="I595" s="9"/>
      <c r="J595" s="9"/>
      <c r="K595" s="9"/>
      <c r="L595" s="9"/>
      <c r="M595" s="9"/>
      <c r="N595" s="9"/>
      <c r="O595" s="9"/>
      <c r="P595" s="9"/>
      <c r="Q595" s="9"/>
      <c r="R595" s="9"/>
    </row>
    <row r="596">
      <c r="A596" s="9"/>
      <c r="B596" s="9"/>
      <c r="C596" s="9"/>
      <c r="D596" s="9"/>
      <c r="E596" s="9"/>
      <c r="F596" s="9"/>
      <c r="G596" s="9"/>
      <c r="H596" s="9"/>
      <c r="I596" s="9"/>
      <c r="J596" s="9"/>
      <c r="K596" s="9"/>
      <c r="L596" s="9"/>
      <c r="M596" s="9"/>
      <c r="N596" s="9"/>
      <c r="O596" s="9"/>
      <c r="P596" s="9"/>
      <c r="Q596" s="9"/>
      <c r="R596" s="9"/>
    </row>
    <row r="597">
      <c r="A597" s="9"/>
      <c r="B597" s="9"/>
      <c r="C597" s="9"/>
      <c r="D597" s="9"/>
      <c r="E597" s="9"/>
      <c r="F597" s="9"/>
      <c r="G597" s="9"/>
      <c r="H597" s="9"/>
      <c r="I597" s="9"/>
      <c r="J597" s="9"/>
      <c r="K597" s="9"/>
      <c r="L597" s="9"/>
      <c r="M597" s="9"/>
      <c r="N597" s="9"/>
      <c r="O597" s="9"/>
      <c r="P597" s="9"/>
      <c r="Q597" s="9"/>
      <c r="R597" s="9"/>
    </row>
    <row r="598">
      <c r="A598" s="9"/>
      <c r="B598" s="9"/>
      <c r="C598" s="9"/>
      <c r="D598" s="9"/>
      <c r="E598" s="9"/>
      <c r="F598" s="9"/>
      <c r="G598" s="9"/>
      <c r="H598" s="9"/>
      <c r="I598" s="9"/>
      <c r="J598" s="9"/>
      <c r="K598" s="9"/>
      <c r="L598" s="9"/>
      <c r="M598" s="9"/>
      <c r="N598" s="9"/>
      <c r="O598" s="9"/>
      <c r="P598" s="9"/>
      <c r="Q598" s="9"/>
      <c r="R598" s="9"/>
    </row>
    <row r="599">
      <c r="A599" s="9"/>
      <c r="B599" s="9"/>
      <c r="C599" s="9"/>
      <c r="D599" s="9"/>
      <c r="E599" s="9"/>
      <c r="F599" s="9"/>
      <c r="G599" s="9"/>
      <c r="H599" s="9"/>
      <c r="I599" s="9"/>
      <c r="J599" s="9"/>
      <c r="K599" s="9"/>
      <c r="L599" s="9"/>
      <c r="M599" s="9"/>
      <c r="N599" s="9"/>
      <c r="O599" s="9"/>
      <c r="P599" s="9"/>
      <c r="Q599" s="9"/>
      <c r="R599" s="9"/>
    </row>
    <row r="600">
      <c r="A600" s="9"/>
      <c r="B600" s="9"/>
      <c r="C600" s="9"/>
      <c r="D600" s="9"/>
      <c r="E600" s="9"/>
      <c r="F600" s="9"/>
      <c r="G600" s="9"/>
      <c r="H600" s="9"/>
      <c r="I600" s="9"/>
      <c r="J600" s="9"/>
      <c r="K600" s="9"/>
      <c r="L600" s="9"/>
      <c r="M600" s="9"/>
      <c r="N600" s="9"/>
      <c r="O600" s="9"/>
      <c r="P600" s="9"/>
      <c r="Q600" s="9"/>
      <c r="R600" s="9"/>
    </row>
    <row r="601">
      <c r="A601" s="9"/>
      <c r="B601" s="9"/>
      <c r="C601" s="9"/>
      <c r="D601" s="9"/>
      <c r="E601" s="9"/>
      <c r="F601" s="9"/>
      <c r="G601" s="9"/>
      <c r="H601" s="9"/>
      <c r="I601" s="9"/>
      <c r="J601" s="9"/>
      <c r="K601" s="9"/>
      <c r="L601" s="9"/>
      <c r="M601" s="9"/>
      <c r="N601" s="9"/>
      <c r="O601" s="9"/>
      <c r="P601" s="9"/>
      <c r="Q601" s="9"/>
      <c r="R601" s="9"/>
    </row>
    <row r="602">
      <c r="A602" s="9"/>
      <c r="B602" s="9"/>
      <c r="C602" s="9"/>
      <c r="D602" s="9"/>
      <c r="E602" s="9"/>
      <c r="F602" s="9"/>
      <c r="G602" s="9"/>
      <c r="H602" s="9"/>
      <c r="I602" s="9"/>
      <c r="J602" s="9"/>
      <c r="K602" s="9"/>
      <c r="L602" s="9"/>
      <c r="M602" s="9"/>
      <c r="N602" s="9"/>
      <c r="O602" s="9"/>
      <c r="P602" s="9"/>
      <c r="Q602" s="9"/>
      <c r="R602" s="9"/>
    </row>
    <row r="603">
      <c r="A603" s="9"/>
      <c r="B603" s="9"/>
      <c r="C603" s="9"/>
      <c r="D603" s="9"/>
      <c r="E603" s="9"/>
      <c r="F603" s="9"/>
      <c r="G603" s="9"/>
      <c r="H603" s="9"/>
      <c r="I603" s="9"/>
      <c r="J603" s="9"/>
      <c r="K603" s="9"/>
      <c r="L603" s="9"/>
      <c r="M603" s="9"/>
      <c r="N603" s="9"/>
      <c r="O603" s="9"/>
      <c r="P603" s="9"/>
      <c r="Q603" s="9"/>
      <c r="R603" s="9"/>
    </row>
    <row r="604">
      <c r="A604" s="9"/>
      <c r="B604" s="9"/>
      <c r="C604" s="9"/>
      <c r="D604" s="9"/>
      <c r="E604" s="9"/>
      <c r="F604" s="9"/>
      <c r="G604" s="9"/>
      <c r="H604" s="9"/>
      <c r="I604" s="9"/>
      <c r="J604" s="9"/>
      <c r="K604" s="9"/>
      <c r="L604" s="9"/>
      <c r="M604" s="9"/>
      <c r="N604" s="9"/>
      <c r="O604" s="9"/>
      <c r="P604" s="9"/>
      <c r="Q604" s="9"/>
      <c r="R604" s="9"/>
    </row>
    <row r="605">
      <c r="A605" s="9"/>
      <c r="B605" s="9"/>
      <c r="C605" s="9"/>
      <c r="D605" s="9"/>
      <c r="E605" s="9"/>
      <c r="F605" s="9"/>
      <c r="G605" s="9"/>
      <c r="H605" s="9"/>
      <c r="I605" s="9"/>
      <c r="J605" s="9"/>
      <c r="K605" s="9"/>
      <c r="L605" s="9"/>
      <c r="M605" s="9"/>
      <c r="N605" s="9"/>
      <c r="O605" s="9"/>
      <c r="P605" s="9"/>
      <c r="Q605" s="9"/>
      <c r="R605" s="9"/>
    </row>
    <row r="606">
      <c r="A606" s="9"/>
      <c r="B606" s="9"/>
      <c r="C606" s="9"/>
      <c r="D606" s="9"/>
      <c r="E606" s="9"/>
      <c r="F606" s="9"/>
      <c r="G606" s="9"/>
      <c r="H606" s="9"/>
      <c r="I606" s="9"/>
      <c r="J606" s="9"/>
      <c r="K606" s="9"/>
      <c r="L606" s="9"/>
      <c r="M606" s="9"/>
      <c r="N606" s="9"/>
      <c r="O606" s="9"/>
      <c r="P606" s="9"/>
      <c r="Q606" s="9"/>
      <c r="R606" s="9"/>
    </row>
    <row r="607">
      <c r="A607" s="9"/>
      <c r="B607" s="9"/>
      <c r="C607" s="9"/>
      <c r="D607" s="9"/>
      <c r="E607" s="9"/>
      <c r="F607" s="9"/>
      <c r="G607" s="9"/>
      <c r="H607" s="9"/>
      <c r="I607" s="9"/>
      <c r="J607" s="9"/>
      <c r="K607" s="9"/>
      <c r="L607" s="9"/>
      <c r="M607" s="9"/>
      <c r="N607" s="9"/>
      <c r="O607" s="9"/>
      <c r="P607" s="9"/>
      <c r="Q607" s="9"/>
      <c r="R607" s="9"/>
    </row>
    <row r="608">
      <c r="A608" s="9"/>
      <c r="B608" s="9"/>
      <c r="C608" s="9"/>
      <c r="D608" s="9"/>
      <c r="E608" s="9"/>
      <c r="F608" s="9"/>
      <c r="G608" s="9"/>
      <c r="H608" s="9"/>
      <c r="I608" s="9"/>
      <c r="J608" s="9"/>
      <c r="K608" s="9"/>
      <c r="L608" s="9"/>
      <c r="M608" s="9"/>
      <c r="N608" s="9"/>
      <c r="O608" s="9"/>
      <c r="P608" s="9"/>
      <c r="Q608" s="9"/>
      <c r="R608" s="9"/>
    </row>
    <row r="609">
      <c r="A609" s="9"/>
      <c r="B609" s="9"/>
      <c r="C609" s="9"/>
      <c r="D609" s="9"/>
      <c r="E609" s="9"/>
      <c r="F609" s="9"/>
      <c r="G609" s="9"/>
      <c r="H609" s="9"/>
      <c r="I609" s="9"/>
      <c r="J609" s="9"/>
      <c r="K609" s="9"/>
      <c r="L609" s="9"/>
      <c r="M609" s="9"/>
      <c r="N609" s="9"/>
      <c r="O609" s="9"/>
      <c r="P609" s="9"/>
      <c r="Q609" s="9"/>
      <c r="R609" s="9"/>
    </row>
    <row r="610">
      <c r="A610" s="9"/>
      <c r="B610" s="9"/>
      <c r="C610" s="9"/>
      <c r="D610" s="9"/>
      <c r="E610" s="9"/>
      <c r="F610" s="9"/>
      <c r="G610" s="9"/>
      <c r="H610" s="9"/>
      <c r="I610" s="9"/>
      <c r="J610" s="9"/>
      <c r="K610" s="9"/>
      <c r="L610" s="9"/>
      <c r="M610" s="9"/>
      <c r="N610" s="9"/>
      <c r="O610" s="9"/>
      <c r="P610" s="9"/>
      <c r="Q610" s="9"/>
      <c r="R610" s="9"/>
    </row>
    <row r="611">
      <c r="A611" s="9"/>
      <c r="B611" s="9"/>
      <c r="C611" s="9"/>
      <c r="D611" s="9"/>
      <c r="E611" s="9"/>
      <c r="F611" s="9"/>
      <c r="G611" s="9"/>
      <c r="H611" s="9"/>
      <c r="I611" s="9"/>
      <c r="J611" s="9"/>
      <c r="K611" s="9"/>
      <c r="L611" s="9"/>
      <c r="M611" s="9"/>
      <c r="N611" s="9"/>
      <c r="O611" s="9"/>
      <c r="P611" s="9"/>
      <c r="Q611" s="9"/>
      <c r="R611" s="9"/>
    </row>
    <row r="612">
      <c r="A612" s="9"/>
      <c r="B612" s="9"/>
      <c r="C612" s="9"/>
      <c r="D612" s="9"/>
      <c r="E612" s="9"/>
      <c r="F612" s="9"/>
      <c r="G612" s="9"/>
      <c r="H612" s="9"/>
      <c r="I612" s="9"/>
      <c r="J612" s="9"/>
      <c r="K612" s="9"/>
      <c r="L612" s="9"/>
      <c r="M612" s="9"/>
      <c r="N612" s="9"/>
      <c r="O612" s="9"/>
      <c r="P612" s="9"/>
      <c r="Q612" s="9"/>
      <c r="R612" s="9"/>
    </row>
    <row r="613">
      <c r="A613" s="9"/>
      <c r="B613" s="9"/>
      <c r="C613" s="9"/>
      <c r="D613" s="9"/>
      <c r="E613" s="9"/>
      <c r="F613" s="9"/>
      <c r="G613" s="9"/>
      <c r="H613" s="9"/>
      <c r="I613" s="9"/>
      <c r="J613" s="9"/>
      <c r="K613" s="9"/>
      <c r="L613" s="9"/>
      <c r="M613" s="9"/>
      <c r="N613" s="9"/>
      <c r="O613" s="9"/>
      <c r="P613" s="9"/>
      <c r="Q613" s="9"/>
      <c r="R613" s="9"/>
    </row>
    <row r="614">
      <c r="A614" s="9"/>
      <c r="B614" s="9"/>
      <c r="C614" s="9"/>
      <c r="D614" s="9"/>
      <c r="E614" s="9"/>
      <c r="F614" s="9"/>
      <c r="G614" s="9"/>
      <c r="H614" s="9"/>
      <c r="I614" s="9"/>
      <c r="J614" s="9"/>
      <c r="K614" s="9"/>
      <c r="L614" s="9"/>
      <c r="M614" s="9"/>
      <c r="N614" s="9"/>
      <c r="O614" s="9"/>
      <c r="P614" s="9"/>
      <c r="Q614" s="9"/>
      <c r="R614" s="9"/>
    </row>
    <row r="615">
      <c r="A615" s="9"/>
      <c r="B615" s="9"/>
      <c r="C615" s="9"/>
      <c r="D615" s="9"/>
      <c r="E615" s="9"/>
      <c r="F615" s="9"/>
      <c r="G615" s="9"/>
      <c r="H615" s="9"/>
      <c r="I615" s="9"/>
      <c r="J615" s="9"/>
      <c r="K615" s="9"/>
      <c r="L615" s="9"/>
      <c r="M615" s="9"/>
      <c r="N615" s="9"/>
      <c r="O615" s="9"/>
      <c r="P615" s="9"/>
      <c r="Q615" s="9"/>
      <c r="R615" s="9"/>
    </row>
    <row r="616">
      <c r="A616" s="9"/>
      <c r="B616" s="9"/>
      <c r="C616" s="9"/>
      <c r="D616" s="9"/>
      <c r="E616" s="9"/>
      <c r="F616" s="9"/>
      <c r="G616" s="9"/>
      <c r="H616" s="9"/>
      <c r="I616" s="9"/>
      <c r="J616" s="9"/>
      <c r="K616" s="9"/>
      <c r="L616" s="9"/>
      <c r="M616" s="9"/>
      <c r="N616" s="9"/>
      <c r="O616" s="9"/>
      <c r="P616" s="9"/>
      <c r="Q616" s="9"/>
      <c r="R616" s="9"/>
    </row>
    <row r="617">
      <c r="A617" s="9"/>
      <c r="B617" s="9"/>
      <c r="C617" s="9"/>
      <c r="D617" s="9"/>
      <c r="E617" s="9"/>
      <c r="F617" s="9"/>
      <c r="G617" s="9"/>
      <c r="H617" s="9"/>
      <c r="I617" s="9"/>
      <c r="J617" s="9"/>
      <c r="K617" s="9"/>
      <c r="L617" s="9"/>
      <c r="M617" s="9"/>
      <c r="N617" s="9"/>
      <c r="O617" s="9"/>
      <c r="P617" s="9"/>
      <c r="Q617" s="9"/>
      <c r="R617" s="9"/>
    </row>
    <row r="618">
      <c r="A618" s="9"/>
      <c r="B618" s="9"/>
      <c r="C618" s="9"/>
      <c r="D618" s="9"/>
      <c r="E618" s="9"/>
      <c r="F618" s="9"/>
      <c r="G618" s="9"/>
      <c r="H618" s="9"/>
      <c r="I618" s="9"/>
      <c r="J618" s="9"/>
      <c r="K618" s="9"/>
      <c r="L618" s="9"/>
      <c r="M618" s="9"/>
      <c r="N618" s="9"/>
      <c r="O618" s="9"/>
      <c r="P618" s="9"/>
      <c r="Q618" s="9"/>
      <c r="R618" s="9"/>
    </row>
    <row r="619">
      <c r="A619" s="9"/>
      <c r="B619" s="9"/>
      <c r="C619" s="9"/>
      <c r="D619" s="9"/>
      <c r="E619" s="9"/>
      <c r="F619" s="9"/>
      <c r="G619" s="9"/>
      <c r="H619" s="9"/>
      <c r="I619" s="9"/>
      <c r="J619" s="9"/>
      <c r="K619" s="9"/>
      <c r="L619" s="9"/>
      <c r="M619" s="9"/>
      <c r="N619" s="9"/>
      <c r="O619" s="9"/>
      <c r="P619" s="9"/>
      <c r="Q619" s="9"/>
      <c r="R619" s="9"/>
    </row>
    <row r="620">
      <c r="A620" s="9"/>
      <c r="B620" s="9"/>
      <c r="C620" s="9"/>
      <c r="D620" s="9"/>
      <c r="E620" s="9"/>
      <c r="F620" s="9"/>
      <c r="G620" s="9"/>
      <c r="H620" s="9"/>
      <c r="I620" s="9"/>
      <c r="J620" s="9"/>
      <c r="K620" s="9"/>
      <c r="L620" s="9"/>
      <c r="M620" s="9"/>
      <c r="N620" s="9"/>
      <c r="O620" s="9"/>
      <c r="P620" s="9"/>
      <c r="Q620" s="9"/>
      <c r="R620" s="9"/>
    </row>
    <row r="621">
      <c r="A621" s="9"/>
      <c r="B621" s="9"/>
      <c r="C621" s="9"/>
      <c r="D621" s="9"/>
      <c r="E621" s="9"/>
      <c r="F621" s="9"/>
      <c r="G621" s="9"/>
      <c r="H621" s="9"/>
      <c r="I621" s="9"/>
      <c r="J621" s="9"/>
      <c r="K621" s="9"/>
      <c r="L621" s="9"/>
      <c r="M621" s="9"/>
      <c r="N621" s="9"/>
      <c r="O621" s="9"/>
      <c r="P621" s="9"/>
      <c r="Q621" s="9"/>
      <c r="R621" s="9"/>
    </row>
    <row r="622">
      <c r="A622" s="9"/>
      <c r="B622" s="9"/>
      <c r="C622" s="9"/>
      <c r="D622" s="9"/>
      <c r="E622" s="9"/>
      <c r="F622" s="9"/>
      <c r="G622" s="9"/>
      <c r="H622" s="9"/>
      <c r="I622" s="9"/>
      <c r="J622" s="9"/>
      <c r="K622" s="9"/>
      <c r="L622" s="9"/>
      <c r="M622" s="9"/>
      <c r="N622" s="9"/>
      <c r="O622" s="9"/>
      <c r="P622" s="9"/>
      <c r="Q622" s="9"/>
      <c r="R622" s="9"/>
    </row>
    <row r="623">
      <c r="A623" s="9"/>
      <c r="B623" s="9"/>
      <c r="C623" s="9"/>
      <c r="D623" s="9"/>
      <c r="E623" s="9"/>
      <c r="F623" s="9"/>
      <c r="G623" s="9"/>
      <c r="H623" s="9"/>
      <c r="I623" s="9"/>
      <c r="J623" s="9"/>
      <c r="K623" s="9"/>
      <c r="L623" s="9"/>
      <c r="M623" s="9"/>
      <c r="N623" s="9"/>
      <c r="O623" s="9"/>
      <c r="P623" s="9"/>
      <c r="Q623" s="9"/>
      <c r="R623" s="9"/>
    </row>
    <row r="624">
      <c r="A624" s="9"/>
      <c r="B624" s="9"/>
      <c r="C624" s="9"/>
      <c r="D624" s="9"/>
      <c r="E624" s="9"/>
      <c r="F624" s="9"/>
      <c r="G624" s="9"/>
      <c r="H624" s="9"/>
      <c r="I624" s="9"/>
      <c r="J624" s="9"/>
      <c r="K624" s="9"/>
      <c r="L624" s="9"/>
      <c r="M624" s="9"/>
      <c r="N624" s="9"/>
      <c r="O624" s="9"/>
      <c r="P624" s="9"/>
      <c r="Q624" s="9"/>
      <c r="R624" s="9"/>
    </row>
    <row r="625">
      <c r="A625" s="9"/>
      <c r="B625" s="9"/>
      <c r="C625" s="9"/>
      <c r="D625" s="9"/>
      <c r="E625" s="9"/>
      <c r="F625" s="9"/>
      <c r="G625" s="9"/>
      <c r="H625" s="9"/>
      <c r="I625" s="9"/>
      <c r="J625" s="9"/>
      <c r="K625" s="9"/>
      <c r="L625" s="9"/>
      <c r="M625" s="9"/>
      <c r="N625" s="9"/>
      <c r="O625" s="9"/>
      <c r="P625" s="9"/>
      <c r="Q625" s="9"/>
      <c r="R625" s="9"/>
    </row>
    <row r="626">
      <c r="A626" s="9"/>
      <c r="B626" s="9"/>
      <c r="C626" s="9"/>
      <c r="D626" s="9"/>
      <c r="E626" s="9"/>
      <c r="F626" s="9"/>
      <c r="G626" s="9"/>
      <c r="H626" s="9"/>
      <c r="I626" s="9"/>
      <c r="J626" s="9"/>
      <c r="K626" s="9"/>
      <c r="L626" s="9"/>
      <c r="M626" s="9"/>
      <c r="N626" s="9"/>
      <c r="O626" s="9"/>
      <c r="P626" s="9"/>
      <c r="Q626" s="9"/>
      <c r="R626" s="9"/>
    </row>
    <row r="627">
      <c r="A627" s="9"/>
      <c r="B627" s="9"/>
      <c r="C627" s="9"/>
      <c r="D627" s="9"/>
      <c r="E627" s="9"/>
      <c r="F627" s="9"/>
      <c r="G627" s="9"/>
      <c r="H627" s="9"/>
      <c r="I627" s="9"/>
      <c r="J627" s="9"/>
      <c r="K627" s="9"/>
      <c r="L627" s="9"/>
      <c r="M627" s="9"/>
      <c r="N627" s="9"/>
      <c r="O627" s="9"/>
      <c r="P627" s="9"/>
      <c r="Q627" s="9"/>
      <c r="R627" s="9"/>
    </row>
    <row r="628">
      <c r="A628" s="9"/>
      <c r="B628" s="9"/>
      <c r="C628" s="9"/>
      <c r="D628" s="9"/>
      <c r="E628" s="9"/>
      <c r="F628" s="9"/>
      <c r="G628" s="9"/>
      <c r="H628" s="9"/>
      <c r="I628" s="9"/>
      <c r="J628" s="9"/>
      <c r="K628" s="9"/>
      <c r="L628" s="9"/>
      <c r="M628" s="9"/>
      <c r="N628" s="9"/>
      <c r="O628" s="9"/>
      <c r="P628" s="9"/>
      <c r="Q628" s="9"/>
      <c r="R628" s="9"/>
    </row>
    <row r="629">
      <c r="A629" s="9"/>
      <c r="B629" s="9"/>
      <c r="C629" s="9"/>
      <c r="D629" s="9"/>
      <c r="E629" s="9"/>
      <c r="F629" s="9"/>
      <c r="G629" s="9"/>
      <c r="H629" s="9"/>
      <c r="I629" s="9"/>
      <c r="J629" s="9"/>
      <c r="K629" s="9"/>
      <c r="L629" s="9"/>
      <c r="M629" s="9"/>
      <c r="N629" s="9"/>
      <c r="O629" s="9"/>
      <c r="P629" s="9"/>
      <c r="Q629" s="9"/>
      <c r="R629" s="9"/>
    </row>
    <row r="630">
      <c r="A630" s="9"/>
      <c r="B630" s="9"/>
      <c r="C630" s="9"/>
      <c r="D630" s="9"/>
      <c r="E630" s="9"/>
      <c r="F630" s="9"/>
      <c r="G630" s="9"/>
      <c r="H630" s="9"/>
      <c r="I630" s="9"/>
      <c r="J630" s="9"/>
      <c r="K630" s="9"/>
      <c r="L630" s="9"/>
      <c r="M630" s="9"/>
      <c r="N630" s="9"/>
      <c r="O630" s="9"/>
      <c r="P630" s="9"/>
      <c r="Q630" s="9"/>
      <c r="R630" s="9"/>
    </row>
    <row r="631">
      <c r="A631" s="9"/>
      <c r="B631" s="9"/>
      <c r="C631" s="9"/>
      <c r="D631" s="9"/>
      <c r="E631" s="9"/>
      <c r="F631" s="9"/>
      <c r="G631" s="9"/>
      <c r="H631" s="9"/>
      <c r="I631" s="9"/>
      <c r="J631" s="9"/>
      <c r="K631" s="9"/>
      <c r="L631" s="9"/>
      <c r="M631" s="9"/>
      <c r="N631" s="9"/>
      <c r="O631" s="9"/>
      <c r="P631" s="9"/>
      <c r="Q631" s="9"/>
      <c r="R631" s="9"/>
    </row>
    <row r="632">
      <c r="A632" s="9"/>
      <c r="B632" s="9"/>
      <c r="C632" s="9"/>
      <c r="D632" s="9"/>
      <c r="E632" s="9"/>
      <c r="F632" s="9"/>
      <c r="G632" s="9"/>
      <c r="H632" s="9"/>
      <c r="I632" s="9"/>
      <c r="J632" s="9"/>
      <c r="K632" s="9"/>
      <c r="L632" s="9"/>
      <c r="M632" s="9"/>
      <c r="N632" s="9"/>
      <c r="O632" s="9"/>
      <c r="P632" s="9"/>
      <c r="Q632" s="9"/>
      <c r="R632" s="9"/>
    </row>
    <row r="633">
      <c r="A633" s="9"/>
      <c r="B633" s="9"/>
      <c r="C633" s="9"/>
      <c r="D633" s="9"/>
      <c r="E633" s="9"/>
      <c r="F633" s="9"/>
      <c r="G633" s="9"/>
      <c r="H633" s="9"/>
      <c r="I633" s="9"/>
      <c r="J633" s="9"/>
      <c r="K633" s="9"/>
      <c r="L633" s="9"/>
      <c r="M633" s="9"/>
      <c r="N633" s="9"/>
      <c r="O633" s="9"/>
      <c r="P633" s="9"/>
      <c r="Q633" s="9"/>
      <c r="R633" s="9"/>
    </row>
    <row r="634">
      <c r="A634" s="9"/>
      <c r="B634" s="9"/>
      <c r="C634" s="9"/>
      <c r="D634" s="9"/>
      <c r="E634" s="9"/>
      <c r="F634" s="9"/>
      <c r="G634" s="9"/>
      <c r="H634" s="9"/>
      <c r="I634" s="9"/>
      <c r="J634" s="9"/>
      <c r="K634" s="9"/>
      <c r="L634" s="9"/>
      <c r="M634" s="9"/>
      <c r="N634" s="9"/>
      <c r="O634" s="9"/>
      <c r="P634" s="9"/>
      <c r="Q634" s="9"/>
      <c r="R634" s="9"/>
    </row>
    <row r="635">
      <c r="A635" s="9"/>
      <c r="B635" s="9"/>
      <c r="C635" s="9"/>
      <c r="D635" s="9"/>
      <c r="E635" s="9"/>
      <c r="F635" s="9"/>
      <c r="G635" s="9"/>
      <c r="H635" s="9"/>
      <c r="I635" s="9"/>
      <c r="J635" s="9"/>
      <c r="K635" s="9"/>
      <c r="L635" s="9"/>
      <c r="M635" s="9"/>
      <c r="N635" s="9"/>
      <c r="O635" s="9"/>
      <c r="P635" s="9"/>
      <c r="Q635" s="9"/>
      <c r="R635" s="9"/>
    </row>
    <row r="636">
      <c r="A636" s="9"/>
      <c r="B636" s="9"/>
      <c r="C636" s="9"/>
      <c r="D636" s="9"/>
      <c r="E636" s="9"/>
      <c r="F636" s="9"/>
      <c r="G636" s="9"/>
      <c r="H636" s="9"/>
      <c r="I636" s="9"/>
      <c r="J636" s="9"/>
      <c r="K636" s="9"/>
      <c r="L636" s="9"/>
      <c r="M636" s="9"/>
      <c r="N636" s="9"/>
      <c r="O636" s="9"/>
      <c r="P636" s="9"/>
      <c r="Q636" s="9"/>
      <c r="R636" s="9"/>
    </row>
    <row r="637">
      <c r="A637" s="9"/>
      <c r="B637" s="9"/>
      <c r="C637" s="9"/>
      <c r="D637" s="9"/>
      <c r="E637" s="9"/>
      <c r="F637" s="9"/>
      <c r="G637" s="9"/>
      <c r="H637" s="9"/>
      <c r="I637" s="9"/>
      <c r="J637" s="9"/>
      <c r="K637" s="9"/>
      <c r="L637" s="9"/>
      <c r="M637" s="9"/>
      <c r="N637" s="9"/>
      <c r="O637" s="9"/>
      <c r="P637" s="9"/>
      <c r="Q637" s="9"/>
      <c r="R637" s="9"/>
    </row>
    <row r="638">
      <c r="A638" s="9"/>
      <c r="B638" s="9"/>
      <c r="C638" s="9"/>
      <c r="D638" s="9"/>
      <c r="E638" s="9"/>
      <c r="F638" s="9"/>
      <c r="G638" s="9"/>
      <c r="H638" s="9"/>
      <c r="I638" s="9"/>
      <c r="J638" s="9"/>
      <c r="K638" s="9"/>
      <c r="L638" s="9"/>
      <c r="M638" s="9"/>
      <c r="N638" s="9"/>
      <c r="O638" s="9"/>
      <c r="P638" s="9"/>
      <c r="Q638" s="9"/>
      <c r="R638" s="9"/>
    </row>
    <row r="639">
      <c r="A639" s="9"/>
      <c r="B639" s="9"/>
      <c r="C639" s="9"/>
      <c r="D639" s="9"/>
      <c r="E639" s="9"/>
      <c r="F639" s="9"/>
      <c r="G639" s="9"/>
      <c r="H639" s="9"/>
      <c r="I639" s="9"/>
      <c r="J639" s="9"/>
      <c r="K639" s="9"/>
      <c r="L639" s="9"/>
      <c r="M639" s="9"/>
      <c r="N639" s="9"/>
      <c r="O639" s="9"/>
      <c r="P639" s="9"/>
      <c r="Q639" s="9"/>
      <c r="R639" s="9"/>
    </row>
    <row r="640">
      <c r="A640" s="9"/>
      <c r="B640" s="9"/>
      <c r="C640" s="9"/>
      <c r="D640" s="9"/>
      <c r="E640" s="9"/>
      <c r="F640" s="9"/>
      <c r="G640" s="9"/>
      <c r="H640" s="9"/>
      <c r="I640" s="9"/>
      <c r="J640" s="9"/>
      <c r="K640" s="9"/>
      <c r="L640" s="9"/>
      <c r="M640" s="9"/>
      <c r="N640" s="9"/>
      <c r="O640" s="9"/>
      <c r="P640" s="9"/>
      <c r="Q640" s="9"/>
      <c r="R640" s="9"/>
    </row>
    <row r="641">
      <c r="A641" s="9"/>
      <c r="B641" s="9"/>
      <c r="C641" s="9"/>
      <c r="D641" s="9"/>
      <c r="E641" s="9"/>
      <c r="F641" s="9"/>
      <c r="G641" s="9"/>
      <c r="H641" s="9"/>
      <c r="I641" s="9"/>
      <c r="J641" s="9"/>
      <c r="K641" s="9"/>
      <c r="L641" s="9"/>
      <c r="M641" s="9"/>
      <c r="N641" s="9"/>
      <c r="O641" s="9"/>
      <c r="P641" s="9"/>
      <c r="Q641" s="9"/>
      <c r="R641" s="9"/>
    </row>
    <row r="642">
      <c r="A642" s="9"/>
      <c r="B642" s="9"/>
      <c r="C642" s="9"/>
      <c r="D642" s="9"/>
      <c r="E642" s="9"/>
      <c r="F642" s="9"/>
      <c r="G642" s="9"/>
      <c r="H642" s="9"/>
      <c r="I642" s="9"/>
      <c r="J642" s="9"/>
      <c r="K642" s="9"/>
      <c r="L642" s="9"/>
      <c r="M642" s="9"/>
      <c r="N642" s="9"/>
      <c r="O642" s="9"/>
      <c r="P642" s="9"/>
      <c r="Q642" s="9"/>
      <c r="R642" s="9"/>
    </row>
    <row r="643">
      <c r="A643" s="9"/>
      <c r="B643" s="9"/>
      <c r="C643" s="9"/>
      <c r="D643" s="9"/>
      <c r="E643" s="9"/>
      <c r="F643" s="9"/>
      <c r="G643" s="9"/>
      <c r="H643" s="9"/>
      <c r="I643" s="9"/>
      <c r="J643" s="9"/>
      <c r="K643" s="9"/>
      <c r="L643" s="9"/>
      <c r="M643" s="9"/>
      <c r="N643" s="9"/>
      <c r="O643" s="9"/>
      <c r="P643" s="9"/>
      <c r="Q643" s="9"/>
      <c r="R643" s="9"/>
    </row>
    <row r="644">
      <c r="A644" s="9"/>
      <c r="B644" s="9"/>
      <c r="C644" s="9"/>
      <c r="D644" s="9"/>
      <c r="E644" s="9"/>
      <c r="F644" s="9"/>
      <c r="G644" s="9"/>
      <c r="H644" s="9"/>
      <c r="I644" s="9"/>
      <c r="J644" s="9"/>
      <c r="K644" s="9"/>
      <c r="L644" s="9"/>
      <c r="M644" s="9"/>
      <c r="N644" s="9"/>
      <c r="O644" s="9"/>
      <c r="P644" s="9"/>
      <c r="Q644" s="9"/>
      <c r="R644" s="9"/>
    </row>
    <row r="645">
      <c r="A645" s="9"/>
      <c r="B645" s="9"/>
      <c r="C645" s="9"/>
      <c r="D645" s="9"/>
      <c r="E645" s="9"/>
      <c r="F645" s="9"/>
      <c r="G645" s="9"/>
      <c r="H645" s="9"/>
      <c r="I645" s="9"/>
      <c r="J645" s="9"/>
      <c r="K645" s="9"/>
      <c r="L645" s="9"/>
      <c r="M645" s="9"/>
      <c r="N645" s="9"/>
      <c r="O645" s="9"/>
      <c r="P645" s="9"/>
      <c r="Q645" s="9"/>
      <c r="R645" s="9"/>
    </row>
    <row r="646">
      <c r="A646" s="9"/>
      <c r="B646" s="9"/>
      <c r="C646" s="9"/>
      <c r="D646" s="9"/>
      <c r="E646" s="9"/>
      <c r="F646" s="9"/>
      <c r="G646" s="9"/>
      <c r="H646" s="9"/>
      <c r="I646" s="9"/>
      <c r="J646" s="9"/>
      <c r="K646" s="9"/>
      <c r="L646" s="9"/>
      <c r="M646" s="9"/>
      <c r="N646" s="9"/>
      <c r="O646" s="9"/>
      <c r="P646" s="9"/>
      <c r="Q646" s="9"/>
      <c r="R646" s="9"/>
    </row>
    <row r="647">
      <c r="A647" s="9"/>
      <c r="B647" s="9"/>
      <c r="C647" s="9"/>
      <c r="D647" s="9"/>
      <c r="E647" s="9"/>
      <c r="F647" s="9"/>
      <c r="G647" s="9"/>
      <c r="H647" s="9"/>
      <c r="I647" s="9"/>
      <c r="J647" s="9"/>
      <c r="K647" s="9"/>
      <c r="L647" s="9"/>
      <c r="M647" s="9"/>
      <c r="N647" s="9"/>
      <c r="O647" s="9"/>
      <c r="P647" s="9"/>
      <c r="Q647" s="9"/>
      <c r="R647" s="9"/>
    </row>
    <row r="648">
      <c r="A648" s="9"/>
      <c r="B648" s="9"/>
      <c r="C648" s="9"/>
      <c r="D648" s="9"/>
      <c r="E648" s="9"/>
      <c r="F648" s="9"/>
      <c r="G648" s="9"/>
      <c r="H648" s="9"/>
      <c r="I648" s="9"/>
      <c r="J648" s="9"/>
      <c r="K648" s="9"/>
      <c r="L648" s="9"/>
      <c r="M648" s="9"/>
      <c r="N648" s="9"/>
      <c r="O648" s="9"/>
      <c r="P648" s="9"/>
      <c r="Q648" s="9"/>
      <c r="R648" s="9"/>
    </row>
    <row r="649">
      <c r="A649" s="9"/>
      <c r="B649" s="9"/>
      <c r="C649" s="9"/>
      <c r="D649" s="9"/>
      <c r="E649" s="9"/>
      <c r="F649" s="9"/>
      <c r="G649" s="9"/>
      <c r="H649" s="9"/>
      <c r="I649" s="9"/>
      <c r="J649" s="9"/>
      <c r="K649" s="9"/>
      <c r="L649" s="9"/>
      <c r="M649" s="9"/>
      <c r="N649" s="9"/>
      <c r="O649" s="9"/>
      <c r="P649" s="9"/>
      <c r="Q649" s="9"/>
      <c r="R649" s="9"/>
    </row>
    <row r="650">
      <c r="A650" s="9"/>
      <c r="B650" s="9"/>
      <c r="C650" s="9"/>
      <c r="D650" s="9"/>
      <c r="E650" s="9"/>
      <c r="F650" s="9"/>
      <c r="G650" s="9"/>
      <c r="H650" s="9"/>
      <c r="I650" s="9"/>
      <c r="J650" s="9"/>
      <c r="K650" s="9"/>
      <c r="L650" s="9"/>
      <c r="M650" s="9"/>
      <c r="N650" s="9"/>
      <c r="O650" s="9"/>
      <c r="P650" s="9"/>
      <c r="Q650" s="9"/>
      <c r="R650" s="9"/>
    </row>
    <row r="651">
      <c r="A651" s="9"/>
      <c r="B651" s="9"/>
      <c r="C651" s="9"/>
      <c r="D651" s="9"/>
      <c r="E651" s="9"/>
      <c r="F651" s="9"/>
      <c r="G651" s="9"/>
      <c r="H651" s="9"/>
      <c r="I651" s="9"/>
      <c r="J651" s="9"/>
      <c r="K651" s="9"/>
      <c r="L651" s="9"/>
      <c r="M651" s="9"/>
      <c r="N651" s="9"/>
      <c r="O651" s="9"/>
      <c r="P651" s="9"/>
      <c r="Q651" s="9"/>
      <c r="R651" s="9"/>
    </row>
    <row r="652">
      <c r="A652" s="9"/>
      <c r="B652" s="9"/>
      <c r="C652" s="9"/>
      <c r="D652" s="9"/>
      <c r="E652" s="9"/>
      <c r="F652" s="9"/>
      <c r="G652" s="9"/>
      <c r="H652" s="9"/>
      <c r="I652" s="9"/>
      <c r="J652" s="9"/>
      <c r="K652" s="9"/>
      <c r="L652" s="9"/>
      <c r="M652" s="9"/>
      <c r="N652" s="9"/>
      <c r="O652" s="9"/>
      <c r="P652" s="9"/>
      <c r="Q652" s="9"/>
      <c r="R652" s="9"/>
    </row>
    <row r="653">
      <c r="A653" s="9"/>
      <c r="B653" s="9"/>
      <c r="C653" s="9"/>
      <c r="D653" s="9"/>
      <c r="E653" s="9"/>
      <c r="F653" s="9"/>
      <c r="G653" s="9"/>
      <c r="H653" s="9"/>
      <c r="I653" s="9"/>
      <c r="J653" s="9"/>
      <c r="K653" s="9"/>
      <c r="L653" s="9"/>
      <c r="M653" s="9"/>
      <c r="N653" s="9"/>
      <c r="O653" s="9"/>
      <c r="P653" s="9"/>
      <c r="Q653" s="9"/>
      <c r="R653" s="9"/>
    </row>
    <row r="654">
      <c r="A654" s="9"/>
      <c r="B654" s="9"/>
      <c r="C654" s="9"/>
      <c r="D654" s="9"/>
      <c r="E654" s="9"/>
      <c r="F654" s="9"/>
      <c r="G654" s="9"/>
      <c r="H654" s="9"/>
      <c r="I654" s="9"/>
      <c r="J654" s="9"/>
      <c r="K654" s="9"/>
      <c r="L654" s="9"/>
      <c r="M654" s="9"/>
      <c r="N654" s="9"/>
      <c r="O654" s="9"/>
      <c r="P654" s="9"/>
      <c r="Q654" s="9"/>
      <c r="R654" s="9"/>
    </row>
    <row r="655">
      <c r="A655" s="9"/>
      <c r="B655" s="9"/>
      <c r="C655" s="9"/>
      <c r="D655" s="9"/>
      <c r="E655" s="9"/>
      <c r="F655" s="9"/>
      <c r="G655" s="9"/>
      <c r="H655" s="9"/>
      <c r="I655" s="9"/>
      <c r="J655" s="9"/>
      <c r="K655" s="9"/>
      <c r="L655" s="9"/>
      <c r="M655" s="9"/>
      <c r="N655" s="9"/>
      <c r="O655" s="9"/>
      <c r="P655" s="9"/>
      <c r="Q655" s="9"/>
      <c r="R655" s="9"/>
    </row>
    <row r="656">
      <c r="A656" s="9"/>
      <c r="B656" s="9"/>
      <c r="C656" s="9"/>
      <c r="D656" s="9"/>
      <c r="E656" s="9"/>
      <c r="F656" s="9"/>
      <c r="G656" s="9"/>
      <c r="H656" s="9"/>
      <c r="I656" s="9"/>
      <c r="J656" s="9"/>
      <c r="K656" s="9"/>
      <c r="L656" s="9"/>
      <c r="M656" s="9"/>
      <c r="N656" s="9"/>
      <c r="O656" s="9"/>
      <c r="P656" s="9"/>
      <c r="Q656" s="9"/>
      <c r="R656" s="9"/>
    </row>
    <row r="657">
      <c r="A657" s="9"/>
      <c r="B657" s="9"/>
      <c r="C657" s="9"/>
      <c r="D657" s="9"/>
      <c r="E657" s="9"/>
      <c r="F657" s="9"/>
      <c r="G657" s="9"/>
      <c r="H657" s="9"/>
      <c r="I657" s="9"/>
      <c r="J657" s="9"/>
      <c r="K657" s="9"/>
      <c r="L657" s="9"/>
      <c r="M657" s="9"/>
      <c r="N657" s="9"/>
      <c r="O657" s="9"/>
      <c r="P657" s="9"/>
      <c r="Q657" s="9"/>
      <c r="R657" s="9"/>
    </row>
    <row r="658">
      <c r="A658" s="9"/>
      <c r="B658" s="9"/>
      <c r="C658" s="9"/>
      <c r="D658" s="9"/>
      <c r="E658" s="9"/>
      <c r="F658" s="9"/>
      <c r="G658" s="9"/>
      <c r="H658" s="9"/>
      <c r="I658" s="9"/>
      <c r="J658" s="9"/>
      <c r="K658" s="9"/>
      <c r="L658" s="9"/>
      <c r="M658" s="9"/>
      <c r="N658" s="9"/>
      <c r="O658" s="9"/>
      <c r="P658" s="9"/>
      <c r="Q658" s="9"/>
      <c r="R658" s="9"/>
    </row>
    <row r="659">
      <c r="A659" s="9"/>
      <c r="B659" s="9"/>
      <c r="C659" s="9"/>
      <c r="D659" s="9"/>
      <c r="E659" s="9"/>
      <c r="F659" s="9"/>
      <c r="G659" s="9"/>
      <c r="H659" s="9"/>
      <c r="I659" s="9"/>
      <c r="J659" s="9"/>
      <c r="K659" s="9"/>
      <c r="L659" s="9"/>
      <c r="M659" s="9"/>
      <c r="N659" s="9"/>
      <c r="O659" s="9"/>
      <c r="P659" s="9"/>
      <c r="Q659" s="9"/>
      <c r="R659" s="9"/>
    </row>
    <row r="660">
      <c r="A660" s="9"/>
      <c r="B660" s="9"/>
      <c r="C660" s="9"/>
      <c r="D660" s="9"/>
      <c r="E660" s="9"/>
      <c r="F660" s="9"/>
      <c r="G660" s="9"/>
      <c r="H660" s="9"/>
      <c r="I660" s="9"/>
      <c r="J660" s="9"/>
      <c r="K660" s="9"/>
      <c r="L660" s="9"/>
      <c r="M660" s="9"/>
      <c r="N660" s="9"/>
      <c r="O660" s="9"/>
      <c r="P660" s="9"/>
      <c r="Q660" s="9"/>
      <c r="R660" s="9"/>
    </row>
    <row r="661">
      <c r="A661" s="9"/>
      <c r="B661" s="9"/>
      <c r="C661" s="9"/>
      <c r="D661" s="9"/>
      <c r="E661" s="9"/>
      <c r="F661" s="9"/>
      <c r="G661" s="9"/>
      <c r="H661" s="9"/>
      <c r="I661" s="9"/>
      <c r="J661" s="9"/>
      <c r="K661" s="9"/>
      <c r="L661" s="9"/>
      <c r="M661" s="9"/>
      <c r="N661" s="9"/>
      <c r="O661" s="9"/>
      <c r="P661" s="9"/>
      <c r="Q661" s="9"/>
      <c r="R661" s="9"/>
    </row>
    <row r="662">
      <c r="A662" s="9"/>
      <c r="B662" s="9"/>
      <c r="C662" s="9"/>
      <c r="D662" s="9"/>
      <c r="E662" s="9"/>
      <c r="F662" s="9"/>
      <c r="G662" s="9"/>
      <c r="H662" s="9"/>
      <c r="I662" s="9"/>
      <c r="J662" s="9"/>
      <c r="K662" s="9"/>
      <c r="L662" s="9"/>
      <c r="M662" s="9"/>
      <c r="N662" s="9"/>
      <c r="O662" s="9"/>
      <c r="P662" s="9"/>
      <c r="Q662" s="9"/>
      <c r="R662" s="9"/>
    </row>
    <row r="663">
      <c r="A663" s="9"/>
      <c r="B663" s="9"/>
      <c r="C663" s="9"/>
      <c r="D663" s="9"/>
      <c r="E663" s="9"/>
      <c r="F663" s="9"/>
      <c r="G663" s="9"/>
      <c r="H663" s="9"/>
      <c r="I663" s="9"/>
      <c r="J663" s="9"/>
      <c r="K663" s="9"/>
      <c r="L663" s="9"/>
      <c r="M663" s="9"/>
      <c r="N663" s="9"/>
      <c r="O663" s="9"/>
      <c r="P663" s="9"/>
      <c r="Q663" s="9"/>
      <c r="R663" s="9"/>
    </row>
    <row r="664">
      <c r="A664" s="9"/>
      <c r="B664" s="9"/>
      <c r="C664" s="9"/>
      <c r="D664" s="9"/>
      <c r="E664" s="9"/>
      <c r="F664" s="9"/>
      <c r="G664" s="9"/>
      <c r="H664" s="9"/>
      <c r="I664" s="9"/>
      <c r="J664" s="9"/>
      <c r="K664" s="9"/>
      <c r="L664" s="9"/>
      <c r="M664" s="9"/>
      <c r="N664" s="9"/>
      <c r="O664" s="9"/>
      <c r="P664" s="9"/>
      <c r="Q664" s="9"/>
      <c r="R664" s="9"/>
    </row>
    <row r="665">
      <c r="A665" s="9"/>
      <c r="B665" s="9"/>
      <c r="C665" s="9"/>
      <c r="D665" s="9"/>
      <c r="E665" s="9"/>
      <c r="F665" s="9"/>
      <c r="G665" s="9"/>
      <c r="H665" s="9"/>
      <c r="I665" s="9"/>
      <c r="J665" s="9"/>
      <c r="K665" s="9"/>
      <c r="L665" s="9"/>
      <c r="M665" s="9"/>
      <c r="N665" s="9"/>
      <c r="O665" s="9"/>
      <c r="P665" s="9"/>
      <c r="Q665" s="9"/>
      <c r="R665" s="9"/>
    </row>
    <row r="666">
      <c r="A666" s="9"/>
      <c r="B666" s="9"/>
      <c r="C666" s="9"/>
      <c r="D666" s="9"/>
      <c r="E666" s="9"/>
      <c r="F666" s="9"/>
      <c r="G666" s="9"/>
      <c r="H666" s="9"/>
      <c r="I666" s="9"/>
      <c r="J666" s="9"/>
      <c r="K666" s="9"/>
      <c r="L666" s="9"/>
      <c r="M666" s="9"/>
      <c r="N666" s="9"/>
      <c r="O666" s="9"/>
      <c r="P666" s="9"/>
      <c r="Q666" s="9"/>
      <c r="R666" s="9"/>
    </row>
    <row r="667">
      <c r="A667" s="9"/>
      <c r="B667" s="9"/>
      <c r="C667" s="9"/>
      <c r="D667" s="9"/>
      <c r="E667" s="9"/>
      <c r="F667" s="9"/>
      <c r="G667" s="9"/>
      <c r="H667" s="9"/>
      <c r="I667" s="9"/>
      <c r="J667" s="9"/>
      <c r="K667" s="9"/>
      <c r="L667" s="9"/>
      <c r="M667" s="9"/>
      <c r="N667" s="9"/>
      <c r="O667" s="9"/>
      <c r="P667" s="9"/>
      <c r="Q667" s="9"/>
      <c r="R667" s="9"/>
    </row>
    <row r="668">
      <c r="A668" s="9"/>
      <c r="B668" s="9"/>
      <c r="C668" s="9"/>
      <c r="D668" s="9"/>
      <c r="E668" s="9"/>
      <c r="F668" s="9"/>
      <c r="G668" s="9"/>
      <c r="H668" s="9"/>
      <c r="I668" s="9"/>
      <c r="J668" s="9"/>
      <c r="K668" s="9"/>
      <c r="L668" s="9"/>
      <c r="M668" s="9"/>
      <c r="N668" s="9"/>
      <c r="O668" s="9"/>
      <c r="P668" s="9"/>
      <c r="Q668" s="9"/>
      <c r="R668" s="9"/>
    </row>
    <row r="669">
      <c r="A669" s="9"/>
      <c r="B669" s="9"/>
      <c r="C669" s="9"/>
      <c r="D669" s="9"/>
      <c r="E669" s="9"/>
      <c r="F669" s="9"/>
      <c r="G669" s="9"/>
      <c r="H669" s="9"/>
      <c r="I669" s="9"/>
      <c r="J669" s="9"/>
      <c r="K669" s="9"/>
      <c r="L669" s="9"/>
      <c r="M669" s="9"/>
      <c r="N669" s="9"/>
      <c r="O669" s="9"/>
      <c r="P669" s="9"/>
      <c r="Q669" s="9"/>
      <c r="R669" s="9"/>
    </row>
    <row r="670">
      <c r="A670" s="9"/>
      <c r="B670" s="9"/>
      <c r="C670" s="9"/>
      <c r="D670" s="9"/>
      <c r="E670" s="9"/>
      <c r="F670" s="9"/>
      <c r="G670" s="9"/>
      <c r="H670" s="9"/>
      <c r="I670" s="9"/>
      <c r="J670" s="9"/>
      <c r="K670" s="9"/>
      <c r="L670" s="9"/>
      <c r="M670" s="9"/>
      <c r="N670" s="9"/>
      <c r="O670" s="9"/>
      <c r="P670" s="9"/>
      <c r="Q670" s="9"/>
      <c r="R670" s="9"/>
    </row>
    <row r="671">
      <c r="A671" s="9"/>
      <c r="B671" s="9"/>
      <c r="C671" s="9"/>
      <c r="D671" s="9"/>
      <c r="E671" s="9"/>
      <c r="F671" s="9"/>
      <c r="G671" s="9"/>
      <c r="H671" s="9"/>
      <c r="I671" s="9"/>
      <c r="J671" s="9"/>
      <c r="K671" s="9"/>
      <c r="L671" s="9"/>
      <c r="M671" s="9"/>
      <c r="N671" s="9"/>
      <c r="O671" s="9"/>
      <c r="P671" s="9"/>
      <c r="Q671" s="9"/>
      <c r="R671" s="9"/>
    </row>
    <row r="672">
      <c r="A672" s="9"/>
      <c r="B672" s="9"/>
      <c r="C672" s="9"/>
      <c r="D672" s="9"/>
      <c r="E672" s="9"/>
      <c r="F672" s="9"/>
      <c r="G672" s="9"/>
      <c r="H672" s="9"/>
      <c r="I672" s="9"/>
      <c r="J672" s="9"/>
      <c r="K672" s="9"/>
      <c r="L672" s="9"/>
      <c r="M672" s="9"/>
      <c r="N672" s="9"/>
      <c r="O672" s="9"/>
      <c r="P672" s="9"/>
      <c r="Q672" s="9"/>
      <c r="R672" s="9"/>
    </row>
    <row r="673">
      <c r="A673" s="9"/>
      <c r="B673" s="9"/>
      <c r="C673" s="9"/>
      <c r="D673" s="9"/>
      <c r="E673" s="9"/>
      <c r="F673" s="9"/>
      <c r="G673" s="9"/>
      <c r="H673" s="9"/>
      <c r="I673" s="9"/>
      <c r="J673" s="9"/>
      <c r="K673" s="9"/>
      <c r="L673" s="9"/>
      <c r="M673" s="9"/>
      <c r="N673" s="9"/>
      <c r="O673" s="9"/>
      <c r="P673" s="9"/>
      <c r="Q673" s="9"/>
      <c r="R673" s="9"/>
    </row>
    <row r="674">
      <c r="A674" s="9"/>
      <c r="B674" s="9"/>
      <c r="C674" s="9"/>
      <c r="D674" s="9"/>
      <c r="E674" s="9"/>
      <c r="F674" s="9"/>
      <c r="G674" s="9"/>
      <c r="H674" s="9"/>
      <c r="I674" s="9"/>
      <c r="J674" s="9"/>
      <c r="K674" s="9"/>
      <c r="L674" s="9"/>
      <c r="M674" s="9"/>
      <c r="N674" s="9"/>
      <c r="O674" s="9"/>
      <c r="P674" s="9"/>
      <c r="Q674" s="9"/>
      <c r="R674" s="9"/>
    </row>
    <row r="675">
      <c r="A675" s="9"/>
      <c r="B675" s="9"/>
      <c r="C675" s="9"/>
      <c r="D675" s="9"/>
      <c r="E675" s="9"/>
      <c r="F675" s="9"/>
      <c r="G675" s="9"/>
      <c r="H675" s="9"/>
      <c r="I675" s="9"/>
      <c r="J675" s="9"/>
      <c r="K675" s="9"/>
      <c r="L675" s="9"/>
      <c r="M675" s="9"/>
      <c r="N675" s="9"/>
      <c r="O675" s="9"/>
      <c r="P675" s="9"/>
      <c r="Q675" s="9"/>
      <c r="R675" s="9"/>
    </row>
    <row r="676">
      <c r="A676" s="9"/>
      <c r="B676" s="9"/>
      <c r="C676" s="9"/>
      <c r="D676" s="9"/>
      <c r="E676" s="9"/>
      <c r="F676" s="9"/>
      <c r="G676" s="9"/>
      <c r="H676" s="9"/>
      <c r="I676" s="9"/>
      <c r="J676" s="9"/>
      <c r="K676" s="9"/>
      <c r="L676" s="9"/>
      <c r="M676" s="9"/>
      <c r="N676" s="9"/>
      <c r="O676" s="9"/>
      <c r="P676" s="9"/>
      <c r="Q676" s="9"/>
      <c r="R676" s="9"/>
    </row>
    <row r="677">
      <c r="A677" s="9"/>
      <c r="B677" s="9"/>
      <c r="C677" s="9"/>
      <c r="D677" s="9"/>
      <c r="E677" s="9"/>
      <c r="F677" s="9"/>
      <c r="G677" s="9"/>
      <c r="H677" s="9"/>
      <c r="I677" s="9"/>
      <c r="J677" s="9"/>
      <c r="K677" s="9"/>
      <c r="L677" s="9"/>
      <c r="M677" s="9"/>
      <c r="N677" s="9"/>
      <c r="O677" s="9"/>
      <c r="P677" s="9"/>
      <c r="Q677" s="9"/>
      <c r="R677" s="9"/>
    </row>
    <row r="678">
      <c r="A678" s="9"/>
      <c r="B678" s="9"/>
      <c r="C678" s="9"/>
      <c r="D678" s="9"/>
      <c r="E678" s="9"/>
      <c r="F678" s="9"/>
      <c r="G678" s="9"/>
      <c r="H678" s="9"/>
      <c r="I678" s="9"/>
      <c r="J678" s="9"/>
      <c r="K678" s="9"/>
      <c r="L678" s="9"/>
      <c r="M678" s="9"/>
      <c r="N678" s="9"/>
      <c r="O678" s="9"/>
      <c r="P678" s="9"/>
      <c r="Q678" s="9"/>
      <c r="R678" s="9"/>
    </row>
    <row r="679">
      <c r="A679" s="9"/>
      <c r="B679" s="9"/>
      <c r="C679" s="9"/>
      <c r="D679" s="9"/>
      <c r="E679" s="9"/>
      <c r="F679" s="9"/>
      <c r="G679" s="9"/>
      <c r="H679" s="9"/>
      <c r="I679" s="9"/>
      <c r="J679" s="9"/>
      <c r="K679" s="9"/>
      <c r="L679" s="9"/>
      <c r="M679" s="9"/>
      <c r="N679" s="9"/>
      <c r="O679" s="9"/>
      <c r="P679" s="9"/>
      <c r="Q679" s="9"/>
      <c r="R679" s="9"/>
    </row>
    <row r="680">
      <c r="A680" s="9"/>
      <c r="B680" s="9"/>
      <c r="C680" s="9"/>
      <c r="D680" s="9"/>
      <c r="E680" s="9"/>
      <c r="F680" s="9"/>
      <c r="G680" s="9"/>
      <c r="H680" s="9"/>
      <c r="I680" s="9"/>
      <c r="J680" s="9"/>
      <c r="K680" s="9"/>
      <c r="L680" s="9"/>
      <c r="M680" s="9"/>
      <c r="N680" s="9"/>
      <c r="O680" s="9"/>
      <c r="P680" s="9"/>
      <c r="Q680" s="9"/>
      <c r="R680" s="9"/>
    </row>
    <row r="681">
      <c r="A681" s="9"/>
      <c r="B681" s="9"/>
      <c r="C681" s="9"/>
      <c r="D681" s="9"/>
      <c r="E681" s="9"/>
      <c r="F681" s="9"/>
      <c r="G681" s="9"/>
      <c r="H681" s="9"/>
      <c r="I681" s="9"/>
      <c r="J681" s="9"/>
      <c r="K681" s="9"/>
      <c r="L681" s="9"/>
      <c r="M681" s="9"/>
      <c r="N681" s="9"/>
      <c r="O681" s="9"/>
      <c r="P681" s="9"/>
      <c r="Q681" s="9"/>
      <c r="R681" s="9"/>
    </row>
    <row r="682">
      <c r="A682" s="9"/>
      <c r="B682" s="9"/>
      <c r="C682" s="9"/>
      <c r="D682" s="9"/>
      <c r="E682" s="9"/>
      <c r="F682" s="9"/>
      <c r="G682" s="9"/>
      <c r="H682" s="9"/>
      <c r="I682" s="9"/>
      <c r="J682" s="9"/>
      <c r="K682" s="9"/>
      <c r="L682" s="9"/>
      <c r="M682" s="9"/>
      <c r="N682" s="9"/>
      <c r="O682" s="9"/>
      <c r="P682" s="9"/>
      <c r="Q682" s="9"/>
      <c r="R682" s="9"/>
    </row>
    <row r="683">
      <c r="A683" s="9"/>
      <c r="B683" s="9"/>
      <c r="C683" s="9"/>
      <c r="D683" s="9"/>
      <c r="E683" s="9"/>
      <c r="F683" s="9"/>
      <c r="G683" s="9"/>
      <c r="H683" s="9"/>
      <c r="I683" s="9"/>
      <c r="J683" s="9"/>
      <c r="K683" s="9"/>
      <c r="L683" s="9"/>
      <c r="M683" s="9"/>
      <c r="N683" s="9"/>
      <c r="O683" s="9"/>
      <c r="P683" s="9"/>
      <c r="Q683" s="9"/>
      <c r="R683" s="9"/>
    </row>
    <row r="684">
      <c r="A684" s="9"/>
      <c r="B684" s="9"/>
      <c r="C684" s="9"/>
      <c r="D684" s="9"/>
      <c r="E684" s="9"/>
      <c r="F684" s="9"/>
      <c r="G684" s="9"/>
      <c r="H684" s="9"/>
      <c r="I684" s="9"/>
      <c r="J684" s="9"/>
      <c r="K684" s="9"/>
      <c r="L684" s="9"/>
      <c r="M684" s="9"/>
      <c r="N684" s="9"/>
      <c r="O684" s="9"/>
      <c r="P684" s="9"/>
      <c r="Q684" s="9"/>
      <c r="R684" s="9"/>
    </row>
    <row r="685">
      <c r="A685" s="9"/>
      <c r="B685" s="9"/>
      <c r="C685" s="9"/>
      <c r="D685" s="9"/>
      <c r="E685" s="9"/>
      <c r="F685" s="9"/>
      <c r="G685" s="9"/>
      <c r="H685" s="9"/>
      <c r="I685" s="9"/>
      <c r="J685" s="9"/>
      <c r="K685" s="9"/>
      <c r="L685" s="9"/>
      <c r="M685" s="9"/>
      <c r="N685" s="9"/>
      <c r="O685" s="9"/>
      <c r="P685" s="9"/>
      <c r="Q685" s="9"/>
      <c r="R685" s="9"/>
    </row>
    <row r="686">
      <c r="A686" s="9"/>
      <c r="B686" s="9"/>
      <c r="C686" s="9"/>
      <c r="D686" s="9"/>
      <c r="E686" s="9"/>
      <c r="F686" s="9"/>
      <c r="G686" s="9"/>
      <c r="H686" s="9"/>
      <c r="I686" s="9"/>
      <c r="J686" s="9"/>
      <c r="K686" s="9"/>
      <c r="L686" s="9"/>
      <c r="M686" s="9"/>
      <c r="N686" s="9"/>
      <c r="O686" s="9"/>
      <c r="P686" s="9"/>
      <c r="Q686" s="9"/>
      <c r="R686" s="9"/>
    </row>
    <row r="687">
      <c r="A687" s="9"/>
      <c r="B687" s="9"/>
      <c r="C687" s="9"/>
      <c r="D687" s="9"/>
      <c r="E687" s="9"/>
      <c r="F687" s="9"/>
      <c r="G687" s="9"/>
      <c r="H687" s="9"/>
      <c r="I687" s="9"/>
      <c r="J687" s="9"/>
      <c r="K687" s="9"/>
      <c r="L687" s="9"/>
      <c r="M687" s="9"/>
      <c r="N687" s="9"/>
      <c r="O687" s="9"/>
      <c r="P687" s="9"/>
      <c r="Q687" s="9"/>
      <c r="R687" s="9"/>
    </row>
    <row r="688">
      <c r="A688" s="9"/>
      <c r="B688" s="9"/>
      <c r="C688" s="9"/>
      <c r="D688" s="9"/>
      <c r="E688" s="9"/>
      <c r="F688" s="9"/>
      <c r="G688" s="9"/>
      <c r="H688" s="9"/>
      <c r="I688" s="9"/>
      <c r="J688" s="9"/>
      <c r="K688" s="9"/>
      <c r="L688" s="9"/>
      <c r="M688" s="9"/>
      <c r="N688" s="9"/>
      <c r="O688" s="9"/>
      <c r="P688" s="9"/>
      <c r="Q688" s="9"/>
      <c r="R688" s="9"/>
    </row>
    <row r="689">
      <c r="A689" s="9"/>
      <c r="B689" s="9"/>
      <c r="C689" s="9"/>
      <c r="D689" s="9"/>
      <c r="E689" s="9"/>
      <c r="F689" s="9"/>
      <c r="G689" s="9"/>
      <c r="H689" s="9"/>
      <c r="I689" s="9"/>
      <c r="J689" s="9"/>
      <c r="K689" s="9"/>
      <c r="L689" s="9"/>
      <c r="M689" s="9"/>
      <c r="N689" s="9"/>
      <c r="O689" s="9"/>
      <c r="P689" s="9"/>
      <c r="Q689" s="9"/>
      <c r="R689" s="9"/>
    </row>
    <row r="690">
      <c r="A690" s="9"/>
      <c r="B690" s="9"/>
      <c r="C690" s="9"/>
      <c r="D690" s="9"/>
      <c r="E690" s="9"/>
      <c r="F690" s="9"/>
      <c r="G690" s="9"/>
      <c r="H690" s="9"/>
      <c r="I690" s="9"/>
      <c r="J690" s="9"/>
      <c r="K690" s="9"/>
      <c r="L690" s="9"/>
      <c r="M690" s="9"/>
      <c r="N690" s="9"/>
      <c r="O690" s="9"/>
      <c r="P690" s="9"/>
      <c r="Q690" s="9"/>
      <c r="R690" s="9"/>
    </row>
    <row r="691">
      <c r="A691" s="9"/>
      <c r="B691" s="9"/>
      <c r="C691" s="9"/>
      <c r="D691" s="9"/>
      <c r="E691" s="9"/>
      <c r="F691" s="9"/>
      <c r="G691" s="9"/>
      <c r="H691" s="9"/>
      <c r="I691" s="9"/>
      <c r="J691" s="9"/>
      <c r="K691" s="9"/>
      <c r="L691" s="9"/>
      <c r="M691" s="9"/>
      <c r="N691" s="9"/>
      <c r="O691" s="9"/>
      <c r="P691" s="9"/>
      <c r="Q691" s="9"/>
      <c r="R691" s="9"/>
    </row>
    <row r="692">
      <c r="A692" s="9"/>
      <c r="B692" s="9"/>
      <c r="C692" s="9"/>
      <c r="D692" s="9"/>
      <c r="E692" s="9"/>
      <c r="F692" s="9"/>
      <c r="G692" s="9"/>
      <c r="H692" s="9"/>
      <c r="I692" s="9"/>
      <c r="J692" s="9"/>
      <c r="K692" s="9"/>
      <c r="L692" s="9"/>
      <c r="M692" s="9"/>
      <c r="N692" s="9"/>
      <c r="O692" s="9"/>
      <c r="P692" s="9"/>
      <c r="Q692" s="9"/>
      <c r="R692" s="9"/>
    </row>
    <row r="693">
      <c r="A693" s="9"/>
      <c r="B693" s="9"/>
      <c r="C693" s="9"/>
      <c r="D693" s="9"/>
      <c r="E693" s="9"/>
      <c r="F693" s="9"/>
      <c r="G693" s="9"/>
      <c r="H693" s="9"/>
      <c r="I693" s="9"/>
      <c r="J693" s="9"/>
      <c r="K693" s="9"/>
      <c r="L693" s="9"/>
      <c r="M693" s="9"/>
      <c r="N693" s="9"/>
      <c r="O693" s="9"/>
      <c r="P693" s="9"/>
      <c r="Q693" s="9"/>
      <c r="R693" s="9"/>
    </row>
    <row r="694">
      <c r="A694" s="9"/>
      <c r="B694" s="9"/>
      <c r="C694" s="9"/>
      <c r="D694" s="9"/>
      <c r="E694" s="9"/>
      <c r="F694" s="9"/>
      <c r="G694" s="9"/>
      <c r="H694" s="9"/>
      <c r="I694" s="9"/>
      <c r="J694" s="9"/>
      <c r="K694" s="9"/>
      <c r="L694" s="9"/>
      <c r="M694" s="9"/>
      <c r="N694" s="9"/>
      <c r="O694" s="9"/>
      <c r="P694" s="9"/>
      <c r="Q694" s="9"/>
      <c r="R694" s="9"/>
    </row>
    <row r="695">
      <c r="A695" s="9"/>
      <c r="B695" s="9"/>
      <c r="C695" s="9"/>
      <c r="D695" s="9"/>
      <c r="E695" s="9"/>
      <c r="F695" s="9"/>
      <c r="G695" s="9"/>
      <c r="H695" s="9"/>
      <c r="I695" s="9"/>
      <c r="J695" s="9"/>
      <c r="K695" s="9"/>
      <c r="L695" s="9"/>
      <c r="M695" s="9"/>
      <c r="N695" s="9"/>
      <c r="O695" s="9"/>
      <c r="P695" s="9"/>
      <c r="Q695" s="9"/>
      <c r="R695" s="9"/>
    </row>
    <row r="696">
      <c r="A696" s="9"/>
      <c r="B696" s="9"/>
      <c r="C696" s="9"/>
      <c r="D696" s="9"/>
      <c r="E696" s="9"/>
      <c r="F696" s="9"/>
      <c r="G696" s="9"/>
      <c r="H696" s="9"/>
      <c r="I696" s="9"/>
      <c r="J696" s="9"/>
      <c r="K696" s="9"/>
      <c r="L696" s="9"/>
      <c r="M696" s="9"/>
      <c r="N696" s="9"/>
      <c r="O696" s="9"/>
      <c r="P696" s="9"/>
      <c r="Q696" s="9"/>
      <c r="R696" s="9"/>
    </row>
    <row r="697">
      <c r="A697" s="9"/>
      <c r="B697" s="9"/>
      <c r="C697" s="9"/>
      <c r="D697" s="9"/>
      <c r="E697" s="9"/>
      <c r="F697" s="9"/>
      <c r="G697" s="9"/>
      <c r="H697" s="9"/>
      <c r="I697" s="9"/>
      <c r="J697" s="9"/>
      <c r="K697" s="9"/>
      <c r="L697" s="9"/>
      <c r="M697" s="9"/>
      <c r="N697" s="9"/>
      <c r="O697" s="9"/>
      <c r="P697" s="9"/>
      <c r="Q697" s="9"/>
      <c r="R697" s="9"/>
    </row>
    <row r="698">
      <c r="A698" s="9"/>
      <c r="B698" s="9"/>
      <c r="C698" s="9"/>
      <c r="D698" s="9"/>
      <c r="E698" s="9"/>
      <c r="F698" s="9"/>
      <c r="G698" s="9"/>
      <c r="H698" s="9"/>
      <c r="I698" s="9"/>
      <c r="J698" s="9"/>
      <c r="K698" s="9"/>
      <c r="L698" s="9"/>
      <c r="M698" s="9"/>
      <c r="N698" s="9"/>
      <c r="O698" s="9"/>
      <c r="P698" s="9"/>
      <c r="Q698" s="9"/>
      <c r="R698" s="9"/>
    </row>
    <row r="699">
      <c r="A699" s="9"/>
      <c r="B699" s="9"/>
      <c r="C699" s="9"/>
      <c r="D699" s="9"/>
      <c r="E699" s="9"/>
      <c r="F699" s="9"/>
      <c r="G699" s="9"/>
      <c r="H699" s="9"/>
      <c r="I699" s="9"/>
      <c r="J699" s="9"/>
      <c r="K699" s="9"/>
      <c r="L699" s="9"/>
      <c r="M699" s="9"/>
      <c r="N699" s="9"/>
      <c r="O699" s="9"/>
      <c r="P699" s="9"/>
      <c r="Q699" s="9"/>
      <c r="R699" s="9"/>
    </row>
    <row r="700">
      <c r="A700" s="9"/>
      <c r="B700" s="9"/>
      <c r="C700" s="9"/>
      <c r="D700" s="9"/>
      <c r="E700" s="9"/>
      <c r="F700" s="9"/>
      <c r="G700" s="9"/>
      <c r="H700" s="9"/>
      <c r="I700" s="9"/>
      <c r="J700" s="9"/>
      <c r="K700" s="9"/>
      <c r="L700" s="9"/>
      <c r="M700" s="9"/>
      <c r="N700" s="9"/>
      <c r="O700" s="9"/>
      <c r="P700" s="9"/>
      <c r="Q700" s="9"/>
      <c r="R700" s="9"/>
    </row>
    <row r="701">
      <c r="A701" s="9"/>
      <c r="B701" s="9"/>
      <c r="C701" s="9"/>
      <c r="D701" s="9"/>
      <c r="E701" s="9"/>
      <c r="F701" s="9"/>
      <c r="G701" s="9"/>
      <c r="H701" s="9"/>
      <c r="I701" s="9"/>
      <c r="J701" s="9"/>
      <c r="K701" s="9"/>
      <c r="L701" s="9"/>
      <c r="M701" s="9"/>
      <c r="N701" s="9"/>
      <c r="O701" s="9"/>
      <c r="P701" s="9"/>
      <c r="Q701" s="9"/>
      <c r="R701" s="9"/>
    </row>
    <row r="702">
      <c r="A702" s="9"/>
      <c r="B702" s="9"/>
      <c r="C702" s="9"/>
      <c r="D702" s="9"/>
      <c r="E702" s="9"/>
      <c r="F702" s="9"/>
      <c r="G702" s="9"/>
      <c r="H702" s="9"/>
      <c r="I702" s="9"/>
      <c r="J702" s="9"/>
      <c r="K702" s="9"/>
      <c r="L702" s="9"/>
      <c r="M702" s="9"/>
      <c r="N702" s="9"/>
      <c r="O702" s="9"/>
      <c r="P702" s="9"/>
      <c r="Q702" s="9"/>
      <c r="R702" s="9"/>
    </row>
    <row r="703">
      <c r="A703" s="9"/>
      <c r="B703" s="9"/>
      <c r="C703" s="9"/>
      <c r="D703" s="9"/>
      <c r="E703" s="9"/>
      <c r="F703" s="9"/>
      <c r="G703" s="9"/>
      <c r="H703" s="9"/>
      <c r="I703" s="9"/>
      <c r="J703" s="9"/>
      <c r="K703" s="9"/>
      <c r="L703" s="9"/>
      <c r="M703" s="9"/>
      <c r="N703" s="9"/>
      <c r="O703" s="9"/>
      <c r="P703" s="9"/>
      <c r="Q703" s="9"/>
      <c r="R703" s="9"/>
    </row>
    <row r="704">
      <c r="A704" s="9"/>
      <c r="B704" s="9"/>
      <c r="C704" s="9"/>
      <c r="D704" s="9"/>
      <c r="E704" s="9"/>
      <c r="F704" s="9"/>
      <c r="G704" s="9"/>
      <c r="H704" s="9"/>
      <c r="I704" s="9"/>
      <c r="J704" s="9"/>
      <c r="K704" s="9"/>
      <c r="L704" s="9"/>
      <c r="M704" s="9"/>
      <c r="N704" s="9"/>
      <c r="O704" s="9"/>
      <c r="P704" s="9"/>
      <c r="Q704" s="9"/>
      <c r="R704" s="9"/>
    </row>
    <row r="705">
      <c r="A705" s="9"/>
      <c r="B705" s="9"/>
      <c r="C705" s="9"/>
      <c r="D705" s="9"/>
      <c r="E705" s="9"/>
      <c r="F705" s="9"/>
      <c r="G705" s="9"/>
      <c r="H705" s="9"/>
      <c r="I705" s="9"/>
      <c r="J705" s="9"/>
      <c r="K705" s="9"/>
      <c r="L705" s="9"/>
      <c r="M705" s="9"/>
      <c r="N705" s="9"/>
      <c r="O705" s="9"/>
      <c r="P705" s="9"/>
      <c r="Q705" s="9"/>
      <c r="R705" s="9"/>
    </row>
    <row r="706">
      <c r="A706" s="9"/>
      <c r="B706" s="9"/>
      <c r="C706" s="9"/>
      <c r="D706" s="9"/>
      <c r="E706" s="9"/>
      <c r="F706" s="9"/>
      <c r="G706" s="9"/>
      <c r="H706" s="9"/>
      <c r="I706" s="9"/>
      <c r="J706" s="9"/>
      <c r="K706" s="9"/>
      <c r="L706" s="9"/>
      <c r="M706" s="9"/>
      <c r="N706" s="9"/>
      <c r="O706" s="9"/>
      <c r="P706" s="9"/>
      <c r="Q706" s="9"/>
      <c r="R706" s="9"/>
    </row>
    <row r="707">
      <c r="A707" s="9"/>
      <c r="B707" s="9"/>
      <c r="C707" s="9"/>
      <c r="D707" s="9"/>
      <c r="E707" s="9"/>
      <c r="F707" s="9"/>
      <c r="G707" s="9"/>
      <c r="H707" s="9"/>
      <c r="I707" s="9"/>
      <c r="J707" s="9"/>
      <c r="K707" s="9"/>
      <c r="L707" s="9"/>
      <c r="M707" s="9"/>
      <c r="N707" s="9"/>
      <c r="O707" s="9"/>
      <c r="P707" s="9"/>
      <c r="Q707" s="9"/>
      <c r="R707" s="9"/>
    </row>
    <row r="708">
      <c r="A708" s="9"/>
      <c r="B708" s="9"/>
      <c r="C708" s="9"/>
      <c r="D708" s="9"/>
      <c r="E708" s="9"/>
      <c r="F708" s="9"/>
      <c r="G708" s="9"/>
      <c r="H708" s="9"/>
      <c r="I708" s="9"/>
      <c r="J708" s="9"/>
      <c r="K708" s="9"/>
      <c r="L708" s="9"/>
      <c r="M708" s="9"/>
      <c r="N708" s="9"/>
      <c r="O708" s="9"/>
      <c r="P708" s="9"/>
      <c r="Q708" s="9"/>
      <c r="R708" s="9"/>
    </row>
    <row r="709">
      <c r="A709" s="9"/>
      <c r="B709" s="9"/>
      <c r="C709" s="9"/>
      <c r="D709" s="9"/>
      <c r="E709" s="9"/>
      <c r="F709" s="9"/>
      <c r="G709" s="9"/>
      <c r="H709" s="9"/>
      <c r="I709" s="9"/>
      <c r="J709" s="9"/>
      <c r="K709" s="9"/>
      <c r="L709" s="9"/>
      <c r="M709" s="9"/>
      <c r="N709" s="9"/>
      <c r="O709" s="9"/>
      <c r="P709" s="9"/>
      <c r="Q709" s="9"/>
      <c r="R709" s="9"/>
    </row>
    <row r="710">
      <c r="A710" s="9"/>
      <c r="B710" s="9"/>
      <c r="C710" s="9"/>
      <c r="D710" s="9"/>
      <c r="E710" s="9"/>
      <c r="F710" s="9"/>
      <c r="G710" s="9"/>
      <c r="H710" s="9"/>
      <c r="I710" s="9"/>
      <c r="J710" s="9"/>
      <c r="K710" s="9"/>
      <c r="L710" s="9"/>
      <c r="M710" s="9"/>
      <c r="N710" s="9"/>
      <c r="O710" s="9"/>
      <c r="P710" s="9"/>
      <c r="Q710" s="9"/>
      <c r="R710" s="9"/>
    </row>
    <row r="711">
      <c r="A711" s="9"/>
      <c r="B711" s="9"/>
      <c r="C711" s="9"/>
      <c r="D711" s="9"/>
      <c r="E711" s="9"/>
      <c r="F711" s="9"/>
      <c r="G711" s="9"/>
      <c r="H711" s="9"/>
      <c r="I711" s="9"/>
      <c r="J711" s="9"/>
      <c r="K711" s="9"/>
      <c r="L711" s="9"/>
      <c r="M711" s="9"/>
      <c r="N711" s="9"/>
      <c r="O711" s="9"/>
      <c r="P711" s="9"/>
      <c r="Q711" s="9"/>
      <c r="R711" s="9"/>
    </row>
    <row r="712">
      <c r="A712" s="9"/>
      <c r="B712" s="9"/>
      <c r="C712" s="9"/>
      <c r="D712" s="9"/>
      <c r="E712" s="9"/>
      <c r="F712" s="9"/>
      <c r="G712" s="9"/>
      <c r="H712" s="9"/>
      <c r="I712" s="9"/>
      <c r="J712" s="9"/>
      <c r="K712" s="9"/>
      <c r="L712" s="9"/>
      <c r="M712" s="9"/>
      <c r="N712" s="9"/>
      <c r="O712" s="9"/>
      <c r="P712" s="9"/>
      <c r="Q712" s="9"/>
      <c r="R712" s="9"/>
    </row>
    <row r="713">
      <c r="A713" s="9"/>
      <c r="B713" s="9"/>
      <c r="C713" s="9"/>
      <c r="D713" s="9"/>
      <c r="E713" s="9"/>
      <c r="F713" s="9"/>
      <c r="G713" s="9"/>
      <c r="H713" s="9"/>
      <c r="I713" s="9"/>
      <c r="J713" s="9"/>
      <c r="K713" s="9"/>
      <c r="L713" s="9"/>
      <c r="M713" s="9"/>
      <c r="N713" s="9"/>
      <c r="O713" s="9"/>
      <c r="P713" s="9"/>
      <c r="Q713" s="9"/>
      <c r="R713" s="9"/>
    </row>
    <row r="714">
      <c r="A714" s="9"/>
      <c r="B714" s="9"/>
      <c r="C714" s="9"/>
      <c r="D714" s="9"/>
      <c r="E714" s="9"/>
      <c r="F714" s="9"/>
      <c r="G714" s="9"/>
      <c r="H714" s="9"/>
      <c r="I714" s="9"/>
      <c r="J714" s="9"/>
      <c r="K714" s="9"/>
      <c r="L714" s="9"/>
      <c r="M714" s="9"/>
      <c r="N714" s="9"/>
      <c r="O714" s="9"/>
      <c r="P714" s="9"/>
      <c r="Q714" s="9"/>
      <c r="R714" s="9"/>
    </row>
    <row r="715">
      <c r="A715" s="9"/>
      <c r="B715" s="9"/>
      <c r="C715" s="9"/>
      <c r="D715" s="9"/>
      <c r="E715" s="9"/>
      <c r="F715" s="9"/>
      <c r="G715" s="9"/>
      <c r="H715" s="9"/>
      <c r="I715" s="9"/>
      <c r="J715" s="9"/>
      <c r="K715" s="9"/>
      <c r="L715" s="9"/>
      <c r="M715" s="9"/>
      <c r="N715" s="9"/>
      <c r="O715" s="9"/>
      <c r="P715" s="9"/>
      <c r="Q715" s="9"/>
      <c r="R715" s="9"/>
    </row>
    <row r="716">
      <c r="A716" s="9"/>
      <c r="B716" s="9"/>
      <c r="C716" s="9"/>
      <c r="D716" s="9"/>
      <c r="E716" s="9"/>
      <c r="F716" s="9"/>
      <c r="G716" s="9"/>
      <c r="H716" s="9"/>
      <c r="I716" s="9"/>
      <c r="J716" s="9"/>
      <c r="K716" s="9"/>
      <c r="L716" s="9"/>
      <c r="M716" s="9"/>
      <c r="N716" s="9"/>
      <c r="O716" s="9"/>
      <c r="P716" s="9"/>
      <c r="Q716" s="9"/>
      <c r="R716" s="9"/>
    </row>
    <row r="717">
      <c r="A717" s="9"/>
      <c r="B717" s="9"/>
      <c r="C717" s="9"/>
      <c r="D717" s="9"/>
      <c r="E717" s="9"/>
      <c r="F717" s="9"/>
      <c r="G717" s="9"/>
      <c r="H717" s="9"/>
      <c r="I717" s="9"/>
      <c r="J717" s="9"/>
      <c r="K717" s="9"/>
      <c r="L717" s="9"/>
      <c r="M717" s="9"/>
      <c r="N717" s="9"/>
      <c r="O717" s="9"/>
      <c r="P717" s="9"/>
      <c r="Q717" s="9"/>
      <c r="R717" s="9"/>
    </row>
    <row r="718">
      <c r="A718" s="9"/>
      <c r="B718" s="9"/>
      <c r="C718" s="9"/>
      <c r="D718" s="9"/>
      <c r="E718" s="9"/>
      <c r="F718" s="9"/>
      <c r="G718" s="9"/>
      <c r="H718" s="9"/>
      <c r="I718" s="9"/>
      <c r="J718" s="9"/>
      <c r="K718" s="9"/>
      <c r="L718" s="9"/>
      <c r="M718" s="9"/>
      <c r="N718" s="9"/>
      <c r="O718" s="9"/>
      <c r="P718" s="9"/>
      <c r="Q718" s="9"/>
      <c r="R718" s="9"/>
    </row>
    <row r="719">
      <c r="A719" s="9"/>
      <c r="B719" s="9"/>
      <c r="C719" s="9"/>
      <c r="D719" s="9"/>
      <c r="E719" s="9"/>
      <c r="F719" s="9"/>
      <c r="G719" s="9"/>
      <c r="H719" s="9"/>
      <c r="I719" s="9"/>
      <c r="J719" s="9"/>
      <c r="K719" s="9"/>
      <c r="L719" s="9"/>
      <c r="M719" s="9"/>
      <c r="N719" s="9"/>
      <c r="O719" s="9"/>
      <c r="P719" s="9"/>
      <c r="Q719" s="9"/>
      <c r="R719" s="9"/>
    </row>
    <row r="720">
      <c r="A720" s="9"/>
      <c r="B720" s="9"/>
      <c r="C720" s="9"/>
      <c r="D720" s="9"/>
      <c r="E720" s="9"/>
      <c r="F720" s="9"/>
      <c r="G720" s="9"/>
      <c r="H720" s="9"/>
      <c r="I720" s="9"/>
      <c r="J720" s="9"/>
      <c r="K720" s="9"/>
      <c r="L720" s="9"/>
      <c r="M720" s="9"/>
      <c r="N720" s="9"/>
      <c r="O720" s="9"/>
      <c r="P720" s="9"/>
      <c r="Q720" s="9"/>
      <c r="R720" s="9"/>
    </row>
    <row r="721">
      <c r="A721" s="9"/>
      <c r="B721" s="9"/>
      <c r="C721" s="9"/>
      <c r="D721" s="9"/>
      <c r="E721" s="9"/>
      <c r="F721" s="9"/>
      <c r="G721" s="9"/>
      <c r="H721" s="9"/>
      <c r="I721" s="9"/>
      <c r="J721" s="9"/>
      <c r="K721" s="9"/>
      <c r="L721" s="9"/>
      <c r="M721" s="9"/>
      <c r="N721" s="9"/>
      <c r="O721" s="9"/>
      <c r="P721" s="9"/>
      <c r="Q721" s="9"/>
      <c r="R721" s="9"/>
    </row>
    <row r="722">
      <c r="A722" s="9"/>
      <c r="B722" s="9"/>
      <c r="C722" s="9"/>
      <c r="D722" s="9"/>
      <c r="E722" s="9"/>
      <c r="F722" s="9"/>
      <c r="G722" s="9"/>
      <c r="H722" s="9"/>
      <c r="I722" s="9"/>
      <c r="J722" s="9"/>
      <c r="K722" s="9"/>
      <c r="L722" s="9"/>
      <c r="M722" s="9"/>
      <c r="N722" s="9"/>
      <c r="O722" s="9"/>
      <c r="P722" s="9"/>
      <c r="Q722" s="9"/>
      <c r="R722" s="9"/>
    </row>
    <row r="723">
      <c r="A723" s="9"/>
      <c r="B723" s="9"/>
      <c r="C723" s="9"/>
      <c r="D723" s="9"/>
      <c r="E723" s="9"/>
      <c r="F723" s="9"/>
      <c r="G723" s="9"/>
      <c r="H723" s="9"/>
      <c r="I723" s="9"/>
      <c r="J723" s="9"/>
      <c r="K723" s="9"/>
      <c r="L723" s="9"/>
      <c r="M723" s="9"/>
      <c r="N723" s="9"/>
      <c r="O723" s="9"/>
      <c r="P723" s="9"/>
      <c r="Q723" s="9"/>
      <c r="R723" s="9"/>
    </row>
    <row r="724">
      <c r="A724" s="9"/>
      <c r="B724" s="9"/>
      <c r="C724" s="9"/>
      <c r="D724" s="9"/>
      <c r="E724" s="9"/>
      <c r="F724" s="9"/>
      <c r="G724" s="9"/>
      <c r="H724" s="9"/>
      <c r="I724" s="9"/>
      <c r="J724" s="9"/>
      <c r="K724" s="9"/>
      <c r="L724" s="9"/>
      <c r="M724" s="9"/>
      <c r="N724" s="9"/>
      <c r="O724" s="9"/>
      <c r="P724" s="9"/>
      <c r="Q724" s="9"/>
      <c r="R724" s="9"/>
    </row>
    <row r="725">
      <c r="A725" s="9"/>
      <c r="B725" s="9"/>
      <c r="C725" s="9"/>
      <c r="D725" s="9"/>
      <c r="E725" s="9"/>
      <c r="F725" s="9"/>
      <c r="G725" s="9"/>
      <c r="H725" s="9"/>
      <c r="I725" s="9"/>
      <c r="J725" s="9"/>
      <c r="K725" s="9"/>
      <c r="L725" s="9"/>
      <c r="M725" s="9"/>
      <c r="N725" s="9"/>
      <c r="O725" s="9"/>
      <c r="P725" s="9"/>
      <c r="Q725" s="9"/>
      <c r="R725" s="9"/>
    </row>
    <row r="726">
      <c r="A726" s="9"/>
      <c r="B726" s="9"/>
      <c r="C726" s="9"/>
      <c r="D726" s="9"/>
      <c r="E726" s="9"/>
      <c r="F726" s="9"/>
      <c r="G726" s="9"/>
      <c r="H726" s="9"/>
      <c r="I726" s="9"/>
      <c r="J726" s="9"/>
      <c r="K726" s="9"/>
      <c r="L726" s="9"/>
      <c r="M726" s="9"/>
      <c r="N726" s="9"/>
      <c r="O726" s="9"/>
      <c r="P726" s="9"/>
      <c r="Q726" s="9"/>
      <c r="R726" s="9"/>
    </row>
    <row r="727">
      <c r="A727" s="9"/>
      <c r="B727" s="9"/>
      <c r="C727" s="9"/>
      <c r="D727" s="9"/>
      <c r="E727" s="9"/>
      <c r="F727" s="9"/>
      <c r="G727" s="9"/>
      <c r="H727" s="9"/>
      <c r="I727" s="9"/>
      <c r="J727" s="9"/>
      <c r="K727" s="9"/>
      <c r="L727" s="9"/>
      <c r="M727" s="9"/>
      <c r="N727" s="9"/>
      <c r="O727" s="9"/>
      <c r="P727" s="9"/>
      <c r="Q727" s="9"/>
      <c r="R727" s="9"/>
    </row>
    <row r="728">
      <c r="A728" s="9"/>
      <c r="B728" s="9"/>
      <c r="C728" s="9"/>
      <c r="D728" s="9"/>
      <c r="E728" s="9"/>
      <c r="F728" s="9"/>
      <c r="G728" s="9"/>
      <c r="H728" s="9"/>
      <c r="I728" s="9"/>
      <c r="J728" s="9"/>
      <c r="K728" s="9"/>
      <c r="L728" s="9"/>
      <c r="M728" s="9"/>
      <c r="N728" s="9"/>
      <c r="O728" s="9"/>
      <c r="P728" s="9"/>
      <c r="Q728" s="9"/>
      <c r="R728" s="9"/>
    </row>
    <row r="729">
      <c r="A729" s="9"/>
      <c r="B729" s="9"/>
      <c r="C729" s="9"/>
      <c r="D729" s="9"/>
      <c r="E729" s="9"/>
      <c r="F729" s="9"/>
      <c r="G729" s="9"/>
      <c r="H729" s="9"/>
      <c r="I729" s="9"/>
      <c r="J729" s="9"/>
      <c r="K729" s="9"/>
      <c r="L729" s="9"/>
      <c r="M729" s="9"/>
      <c r="N729" s="9"/>
      <c r="O729" s="9"/>
      <c r="P729" s="9"/>
      <c r="Q729" s="9"/>
      <c r="R729" s="9"/>
    </row>
    <row r="730">
      <c r="A730" s="9"/>
      <c r="B730" s="9"/>
      <c r="C730" s="9"/>
      <c r="D730" s="9"/>
      <c r="E730" s="9"/>
      <c r="F730" s="9"/>
      <c r="G730" s="9"/>
      <c r="H730" s="9"/>
      <c r="I730" s="9"/>
      <c r="J730" s="9"/>
      <c r="K730" s="9"/>
      <c r="L730" s="9"/>
      <c r="M730" s="9"/>
      <c r="N730" s="9"/>
      <c r="O730" s="9"/>
      <c r="P730" s="9"/>
      <c r="Q730" s="9"/>
      <c r="R730" s="9"/>
    </row>
    <row r="731">
      <c r="A731" s="9"/>
      <c r="B731" s="9"/>
      <c r="C731" s="9"/>
      <c r="D731" s="9"/>
      <c r="E731" s="9"/>
      <c r="F731" s="9"/>
      <c r="G731" s="9"/>
      <c r="H731" s="9"/>
      <c r="I731" s="9"/>
      <c r="J731" s="9"/>
      <c r="K731" s="9"/>
      <c r="L731" s="9"/>
      <c r="M731" s="9"/>
      <c r="N731" s="9"/>
      <c r="O731" s="9"/>
      <c r="P731" s="9"/>
      <c r="Q731" s="9"/>
      <c r="R731" s="9"/>
    </row>
    <row r="732">
      <c r="A732" s="9"/>
      <c r="B732" s="9"/>
      <c r="C732" s="9"/>
      <c r="D732" s="9"/>
      <c r="E732" s="9"/>
      <c r="F732" s="9"/>
      <c r="G732" s="9"/>
      <c r="H732" s="9"/>
      <c r="I732" s="9"/>
      <c r="J732" s="9"/>
      <c r="K732" s="9"/>
      <c r="L732" s="9"/>
      <c r="M732" s="9"/>
      <c r="N732" s="9"/>
      <c r="O732" s="9"/>
      <c r="P732" s="9"/>
      <c r="Q732" s="9"/>
      <c r="R732" s="9"/>
    </row>
    <row r="733">
      <c r="A733" s="9"/>
      <c r="B733" s="9"/>
      <c r="C733" s="9"/>
      <c r="D733" s="9"/>
      <c r="E733" s="9"/>
      <c r="F733" s="9"/>
      <c r="G733" s="9"/>
      <c r="H733" s="9"/>
      <c r="I733" s="9"/>
      <c r="J733" s="9"/>
      <c r="K733" s="9"/>
      <c r="L733" s="9"/>
      <c r="M733" s="9"/>
      <c r="N733" s="9"/>
      <c r="O733" s="9"/>
      <c r="P733" s="9"/>
      <c r="Q733" s="9"/>
      <c r="R733" s="9"/>
    </row>
    <row r="734">
      <c r="A734" s="9"/>
      <c r="B734" s="9"/>
      <c r="C734" s="9"/>
      <c r="D734" s="9"/>
      <c r="E734" s="9"/>
      <c r="F734" s="9"/>
      <c r="G734" s="9"/>
      <c r="H734" s="9"/>
      <c r="I734" s="9"/>
      <c r="J734" s="9"/>
      <c r="K734" s="9"/>
      <c r="L734" s="9"/>
      <c r="M734" s="9"/>
      <c r="N734" s="9"/>
      <c r="O734" s="9"/>
      <c r="P734" s="9"/>
      <c r="Q734" s="9"/>
      <c r="R734" s="9"/>
    </row>
    <row r="735">
      <c r="A735" s="9"/>
      <c r="B735" s="9"/>
      <c r="C735" s="9"/>
      <c r="D735" s="9"/>
      <c r="E735" s="9"/>
      <c r="F735" s="9"/>
      <c r="G735" s="9"/>
      <c r="H735" s="9"/>
      <c r="I735" s="9"/>
      <c r="J735" s="9"/>
      <c r="K735" s="9"/>
      <c r="L735" s="9"/>
      <c r="M735" s="9"/>
      <c r="N735" s="9"/>
      <c r="O735" s="9"/>
      <c r="P735" s="9"/>
      <c r="Q735" s="9"/>
      <c r="R735" s="9"/>
    </row>
    <row r="736">
      <c r="A736" s="9"/>
      <c r="B736" s="9"/>
      <c r="C736" s="9"/>
      <c r="D736" s="9"/>
      <c r="E736" s="9"/>
      <c r="F736" s="9"/>
      <c r="G736" s="9"/>
      <c r="H736" s="9"/>
      <c r="I736" s="9"/>
      <c r="J736" s="9"/>
      <c r="K736" s="9"/>
      <c r="L736" s="9"/>
      <c r="M736" s="9"/>
      <c r="N736" s="9"/>
      <c r="O736" s="9"/>
      <c r="P736" s="9"/>
      <c r="Q736" s="9"/>
      <c r="R736" s="9"/>
    </row>
    <row r="737">
      <c r="A737" s="9"/>
      <c r="B737" s="9"/>
      <c r="C737" s="9"/>
      <c r="D737" s="9"/>
      <c r="E737" s="9"/>
      <c r="F737" s="9"/>
      <c r="G737" s="9"/>
      <c r="H737" s="9"/>
      <c r="I737" s="9"/>
      <c r="J737" s="9"/>
      <c r="K737" s="9"/>
      <c r="L737" s="9"/>
      <c r="M737" s="9"/>
      <c r="N737" s="9"/>
      <c r="O737" s="9"/>
      <c r="P737" s="9"/>
      <c r="Q737" s="9"/>
      <c r="R737" s="9"/>
    </row>
    <row r="738">
      <c r="A738" s="9"/>
      <c r="B738" s="9"/>
      <c r="C738" s="9"/>
      <c r="D738" s="9"/>
      <c r="E738" s="9"/>
      <c r="F738" s="9"/>
      <c r="G738" s="9"/>
      <c r="H738" s="9"/>
      <c r="I738" s="9"/>
      <c r="J738" s="9"/>
      <c r="K738" s="9"/>
      <c r="L738" s="9"/>
      <c r="M738" s="9"/>
      <c r="N738" s="9"/>
      <c r="O738" s="9"/>
      <c r="P738" s="9"/>
      <c r="Q738" s="9"/>
      <c r="R738" s="9"/>
    </row>
    <row r="739">
      <c r="A739" s="9"/>
      <c r="B739" s="9"/>
      <c r="C739" s="9"/>
      <c r="D739" s="9"/>
      <c r="E739" s="9"/>
      <c r="F739" s="9"/>
      <c r="G739" s="9"/>
      <c r="H739" s="9"/>
      <c r="I739" s="9"/>
      <c r="J739" s="9"/>
      <c r="K739" s="9"/>
      <c r="L739" s="9"/>
      <c r="M739" s="9"/>
      <c r="N739" s="9"/>
      <c r="O739" s="9"/>
      <c r="P739" s="9"/>
      <c r="Q739" s="9"/>
      <c r="R739" s="9"/>
    </row>
    <row r="740">
      <c r="A740" s="9"/>
      <c r="B740" s="9"/>
      <c r="C740" s="9"/>
      <c r="D740" s="9"/>
      <c r="E740" s="9"/>
      <c r="F740" s="9"/>
      <c r="G740" s="9"/>
      <c r="H740" s="9"/>
      <c r="I740" s="9"/>
      <c r="J740" s="9"/>
      <c r="K740" s="9"/>
      <c r="L740" s="9"/>
      <c r="M740" s="9"/>
      <c r="N740" s="9"/>
      <c r="O740" s="9"/>
      <c r="P740" s="9"/>
      <c r="Q740" s="9"/>
      <c r="R740" s="9"/>
    </row>
    <row r="741">
      <c r="A741" s="9"/>
      <c r="B741" s="9"/>
      <c r="C741" s="9"/>
      <c r="D741" s="9"/>
      <c r="E741" s="9"/>
      <c r="F741" s="9"/>
      <c r="G741" s="9"/>
      <c r="H741" s="9"/>
      <c r="I741" s="9"/>
      <c r="J741" s="9"/>
      <c r="K741" s="9"/>
      <c r="L741" s="9"/>
      <c r="M741" s="9"/>
      <c r="N741" s="9"/>
      <c r="O741" s="9"/>
      <c r="P741" s="9"/>
      <c r="Q741" s="9"/>
      <c r="R741" s="9"/>
    </row>
    <row r="742">
      <c r="A742" s="9"/>
      <c r="B742" s="9"/>
      <c r="C742" s="9"/>
      <c r="D742" s="9"/>
      <c r="E742" s="9"/>
      <c r="F742" s="9"/>
      <c r="G742" s="9"/>
      <c r="H742" s="9"/>
      <c r="I742" s="9"/>
      <c r="J742" s="9"/>
      <c r="K742" s="9"/>
      <c r="L742" s="9"/>
      <c r="M742" s="9"/>
      <c r="N742" s="9"/>
      <c r="O742" s="9"/>
      <c r="P742" s="9"/>
      <c r="Q742" s="9"/>
      <c r="R742" s="9"/>
    </row>
    <row r="743">
      <c r="A743" s="9"/>
      <c r="B743" s="9"/>
      <c r="C743" s="9"/>
      <c r="D743" s="9"/>
      <c r="E743" s="9"/>
      <c r="F743" s="9"/>
      <c r="G743" s="9"/>
      <c r="H743" s="9"/>
      <c r="I743" s="9"/>
      <c r="J743" s="9"/>
      <c r="K743" s="9"/>
      <c r="L743" s="9"/>
      <c r="M743" s="9"/>
      <c r="N743" s="9"/>
      <c r="O743" s="9"/>
      <c r="P743" s="9"/>
      <c r="Q743" s="9"/>
      <c r="R743" s="9"/>
    </row>
    <row r="744">
      <c r="A744" s="9"/>
      <c r="B744" s="9"/>
      <c r="C744" s="9"/>
      <c r="D744" s="9"/>
      <c r="E744" s="9"/>
      <c r="F744" s="9"/>
      <c r="G744" s="9"/>
      <c r="H744" s="9"/>
      <c r="I744" s="9"/>
      <c r="J744" s="9"/>
      <c r="K744" s="9"/>
      <c r="L744" s="9"/>
      <c r="M744" s="9"/>
      <c r="N744" s="9"/>
      <c r="O744" s="9"/>
      <c r="P744" s="9"/>
      <c r="Q744" s="9"/>
      <c r="R744" s="9"/>
    </row>
    <row r="745">
      <c r="A745" s="9"/>
      <c r="B745" s="9"/>
      <c r="C745" s="9"/>
      <c r="D745" s="9"/>
      <c r="E745" s="9"/>
      <c r="F745" s="9"/>
      <c r="G745" s="9"/>
      <c r="H745" s="9"/>
      <c r="I745" s="9"/>
      <c r="J745" s="9"/>
      <c r="K745" s="9"/>
      <c r="L745" s="9"/>
      <c r="M745" s="9"/>
      <c r="N745" s="9"/>
      <c r="O745" s="9"/>
      <c r="P745" s="9"/>
      <c r="Q745" s="9"/>
      <c r="R745" s="9"/>
    </row>
    <row r="746">
      <c r="A746" s="9"/>
      <c r="B746" s="9"/>
      <c r="C746" s="9"/>
      <c r="D746" s="9"/>
      <c r="E746" s="9"/>
      <c r="F746" s="9"/>
      <c r="G746" s="9"/>
      <c r="H746" s="9"/>
      <c r="I746" s="9"/>
      <c r="J746" s="9"/>
      <c r="K746" s="9"/>
      <c r="L746" s="9"/>
      <c r="M746" s="9"/>
      <c r="N746" s="9"/>
      <c r="O746" s="9"/>
      <c r="P746" s="9"/>
      <c r="Q746" s="9"/>
      <c r="R746" s="9"/>
    </row>
    <row r="747">
      <c r="A747" s="9"/>
      <c r="B747" s="9"/>
      <c r="C747" s="9"/>
      <c r="D747" s="9"/>
      <c r="E747" s="9"/>
      <c r="F747" s="9"/>
      <c r="G747" s="9"/>
      <c r="H747" s="9"/>
      <c r="I747" s="9"/>
      <c r="J747" s="9"/>
      <c r="K747" s="9"/>
      <c r="L747" s="9"/>
      <c r="M747" s="9"/>
      <c r="N747" s="9"/>
      <c r="O747" s="9"/>
      <c r="P747" s="9"/>
      <c r="Q747" s="9"/>
      <c r="R747" s="9"/>
    </row>
    <row r="748">
      <c r="A748" s="9"/>
      <c r="B748" s="9"/>
      <c r="C748" s="9"/>
      <c r="D748" s="9"/>
      <c r="E748" s="9"/>
      <c r="F748" s="9"/>
      <c r="G748" s="9"/>
      <c r="H748" s="9"/>
      <c r="I748" s="9"/>
      <c r="J748" s="9"/>
      <c r="K748" s="9"/>
      <c r="L748" s="9"/>
      <c r="M748" s="9"/>
      <c r="N748" s="9"/>
      <c r="O748" s="9"/>
      <c r="P748" s="9"/>
      <c r="Q748" s="9"/>
      <c r="R748" s="9"/>
    </row>
    <row r="749">
      <c r="A749" s="9"/>
      <c r="B749" s="9"/>
      <c r="C749" s="9"/>
      <c r="D749" s="9"/>
      <c r="E749" s="9"/>
      <c r="F749" s="9"/>
      <c r="G749" s="9"/>
      <c r="H749" s="9"/>
      <c r="I749" s="9"/>
      <c r="J749" s="9"/>
      <c r="K749" s="9"/>
      <c r="L749" s="9"/>
      <c r="M749" s="9"/>
      <c r="N749" s="9"/>
      <c r="O749" s="9"/>
      <c r="P749" s="9"/>
      <c r="Q749" s="9"/>
      <c r="R749" s="9"/>
    </row>
    <row r="750">
      <c r="A750" s="9"/>
      <c r="B750" s="9"/>
      <c r="C750" s="9"/>
      <c r="D750" s="9"/>
      <c r="E750" s="9"/>
      <c r="F750" s="9"/>
      <c r="G750" s="9"/>
      <c r="H750" s="9"/>
      <c r="I750" s="9"/>
      <c r="J750" s="9"/>
      <c r="K750" s="9"/>
      <c r="L750" s="9"/>
      <c r="M750" s="9"/>
      <c r="N750" s="9"/>
      <c r="O750" s="9"/>
      <c r="P750" s="9"/>
      <c r="Q750" s="9"/>
      <c r="R750" s="9"/>
    </row>
    <row r="751">
      <c r="A751" s="9"/>
      <c r="B751" s="9"/>
      <c r="C751" s="9"/>
      <c r="D751" s="9"/>
      <c r="E751" s="9"/>
      <c r="F751" s="9"/>
      <c r="G751" s="9"/>
      <c r="H751" s="9"/>
      <c r="I751" s="9"/>
      <c r="J751" s="9"/>
      <c r="K751" s="9"/>
      <c r="L751" s="9"/>
      <c r="M751" s="9"/>
      <c r="N751" s="9"/>
      <c r="O751" s="9"/>
      <c r="P751" s="9"/>
      <c r="Q751" s="9"/>
      <c r="R751" s="9"/>
    </row>
    <row r="752">
      <c r="A752" s="9"/>
      <c r="B752" s="9"/>
      <c r="C752" s="9"/>
      <c r="D752" s="9"/>
      <c r="E752" s="9"/>
      <c r="F752" s="9"/>
      <c r="G752" s="9"/>
      <c r="H752" s="9"/>
      <c r="I752" s="9"/>
      <c r="J752" s="9"/>
      <c r="K752" s="9"/>
      <c r="L752" s="9"/>
      <c r="M752" s="9"/>
      <c r="N752" s="9"/>
      <c r="O752" s="9"/>
      <c r="P752" s="9"/>
      <c r="Q752" s="9"/>
      <c r="R752" s="9"/>
    </row>
    <row r="753">
      <c r="A753" s="9"/>
      <c r="B753" s="9"/>
      <c r="C753" s="9"/>
      <c r="D753" s="9"/>
      <c r="E753" s="9"/>
      <c r="F753" s="9"/>
      <c r="G753" s="9"/>
      <c r="H753" s="9"/>
      <c r="I753" s="9"/>
      <c r="J753" s="9"/>
      <c r="K753" s="9"/>
      <c r="L753" s="9"/>
      <c r="M753" s="9"/>
      <c r="N753" s="9"/>
      <c r="O753" s="9"/>
      <c r="P753" s="9"/>
      <c r="Q753" s="9"/>
      <c r="R753" s="9"/>
    </row>
    <row r="754">
      <c r="A754" s="9"/>
      <c r="B754" s="9"/>
      <c r="C754" s="9"/>
      <c r="D754" s="9"/>
      <c r="E754" s="9"/>
      <c r="F754" s="9"/>
      <c r="G754" s="9"/>
      <c r="H754" s="9"/>
      <c r="I754" s="9"/>
      <c r="J754" s="9"/>
      <c r="K754" s="9"/>
      <c r="L754" s="9"/>
      <c r="M754" s="9"/>
      <c r="N754" s="9"/>
      <c r="O754" s="9"/>
      <c r="P754" s="9"/>
      <c r="Q754" s="9"/>
      <c r="R754" s="9"/>
    </row>
    <row r="755">
      <c r="A755" s="9"/>
      <c r="B755" s="9"/>
      <c r="C755" s="9"/>
      <c r="D755" s="9"/>
      <c r="E755" s="9"/>
      <c r="F755" s="9"/>
      <c r="G755" s="9"/>
      <c r="H755" s="9"/>
      <c r="I755" s="9"/>
      <c r="J755" s="9"/>
      <c r="K755" s="9"/>
      <c r="L755" s="9"/>
      <c r="M755" s="9"/>
      <c r="N755" s="9"/>
      <c r="O755" s="9"/>
      <c r="P755" s="9"/>
      <c r="Q755" s="9"/>
      <c r="R755" s="9"/>
    </row>
    <row r="756">
      <c r="A756" s="9"/>
      <c r="B756" s="9"/>
      <c r="C756" s="9"/>
      <c r="D756" s="9"/>
      <c r="E756" s="9"/>
      <c r="F756" s="9"/>
      <c r="G756" s="9"/>
      <c r="H756" s="9"/>
      <c r="I756" s="9"/>
      <c r="J756" s="9"/>
      <c r="K756" s="9"/>
      <c r="L756" s="9"/>
      <c r="M756" s="9"/>
      <c r="N756" s="9"/>
      <c r="O756" s="9"/>
      <c r="P756" s="9"/>
      <c r="Q756" s="9"/>
      <c r="R756" s="9"/>
    </row>
    <row r="757">
      <c r="A757" s="9"/>
      <c r="B757" s="9"/>
      <c r="C757" s="9"/>
      <c r="D757" s="9"/>
      <c r="E757" s="9"/>
      <c r="F757" s="9"/>
      <c r="G757" s="9"/>
      <c r="H757" s="9"/>
      <c r="I757" s="9"/>
      <c r="J757" s="9"/>
      <c r="K757" s="9"/>
      <c r="L757" s="9"/>
      <c r="M757" s="9"/>
      <c r="N757" s="9"/>
      <c r="O757" s="9"/>
      <c r="P757" s="9"/>
      <c r="Q757" s="9"/>
      <c r="R757" s="9"/>
    </row>
    <row r="758">
      <c r="A758" s="9"/>
      <c r="B758" s="9"/>
      <c r="C758" s="9"/>
      <c r="D758" s="9"/>
      <c r="E758" s="9"/>
      <c r="F758" s="9"/>
      <c r="G758" s="9"/>
      <c r="H758" s="9"/>
      <c r="I758" s="9"/>
      <c r="J758" s="9"/>
      <c r="K758" s="9"/>
      <c r="L758" s="9"/>
      <c r="M758" s="9"/>
      <c r="N758" s="9"/>
      <c r="O758" s="9"/>
      <c r="P758" s="9"/>
      <c r="Q758" s="9"/>
      <c r="R758" s="9"/>
    </row>
    <row r="759">
      <c r="A759" s="9"/>
      <c r="B759" s="9"/>
      <c r="C759" s="9"/>
      <c r="D759" s="9"/>
      <c r="E759" s="9"/>
      <c r="F759" s="9"/>
      <c r="G759" s="9"/>
      <c r="H759" s="9"/>
      <c r="I759" s="9"/>
      <c r="J759" s="9"/>
      <c r="K759" s="9"/>
      <c r="L759" s="9"/>
      <c r="M759" s="9"/>
      <c r="N759" s="9"/>
      <c r="O759" s="9"/>
      <c r="P759" s="9"/>
      <c r="Q759" s="9"/>
      <c r="R759" s="9"/>
    </row>
    <row r="760">
      <c r="A760" s="9"/>
      <c r="B760" s="9"/>
      <c r="C760" s="9"/>
      <c r="D760" s="9"/>
      <c r="E760" s="9"/>
      <c r="F760" s="9"/>
      <c r="G760" s="9"/>
      <c r="H760" s="9"/>
      <c r="I760" s="9"/>
      <c r="J760" s="9"/>
      <c r="K760" s="9"/>
      <c r="L760" s="9"/>
      <c r="M760" s="9"/>
      <c r="N760" s="9"/>
      <c r="O760" s="9"/>
      <c r="P760" s="9"/>
      <c r="Q760" s="9"/>
      <c r="R760" s="9"/>
    </row>
    <row r="761">
      <c r="A761" s="9"/>
      <c r="B761" s="9"/>
      <c r="C761" s="9"/>
      <c r="D761" s="9"/>
      <c r="E761" s="9"/>
      <c r="F761" s="9"/>
      <c r="G761" s="9"/>
      <c r="H761" s="9"/>
      <c r="I761" s="9"/>
      <c r="J761" s="9"/>
      <c r="K761" s="9"/>
      <c r="L761" s="9"/>
      <c r="M761" s="9"/>
      <c r="N761" s="9"/>
      <c r="O761" s="9"/>
      <c r="P761" s="9"/>
      <c r="Q761" s="9"/>
      <c r="R761" s="9"/>
    </row>
    <row r="762">
      <c r="A762" s="9"/>
      <c r="B762" s="9"/>
      <c r="C762" s="9"/>
      <c r="D762" s="9"/>
      <c r="E762" s="9"/>
      <c r="F762" s="9"/>
      <c r="G762" s="9"/>
      <c r="H762" s="9"/>
      <c r="I762" s="9"/>
      <c r="J762" s="9"/>
      <c r="K762" s="9"/>
      <c r="L762" s="9"/>
      <c r="M762" s="9"/>
      <c r="N762" s="9"/>
      <c r="O762" s="9"/>
      <c r="P762" s="9"/>
      <c r="Q762" s="9"/>
      <c r="R762" s="9"/>
    </row>
    <row r="763">
      <c r="A763" s="9"/>
      <c r="B763" s="9"/>
      <c r="C763" s="9"/>
      <c r="D763" s="9"/>
      <c r="E763" s="9"/>
      <c r="F763" s="9"/>
      <c r="G763" s="9"/>
      <c r="H763" s="9"/>
      <c r="I763" s="9"/>
      <c r="J763" s="9"/>
      <c r="K763" s="9"/>
      <c r="L763" s="9"/>
      <c r="M763" s="9"/>
      <c r="N763" s="9"/>
      <c r="O763" s="9"/>
      <c r="P763" s="9"/>
      <c r="Q763" s="9"/>
      <c r="R763" s="9"/>
    </row>
    <row r="764">
      <c r="A764" s="9"/>
      <c r="B764" s="9"/>
      <c r="C764" s="9"/>
      <c r="D764" s="9"/>
      <c r="E764" s="9"/>
      <c r="F764" s="9"/>
      <c r="G764" s="9"/>
      <c r="H764" s="9"/>
      <c r="I764" s="9"/>
      <c r="J764" s="9"/>
      <c r="K764" s="9"/>
      <c r="L764" s="9"/>
      <c r="M764" s="9"/>
      <c r="N764" s="9"/>
      <c r="O764" s="9"/>
      <c r="P764" s="9"/>
      <c r="Q764" s="9"/>
      <c r="R764" s="9"/>
    </row>
    <row r="765">
      <c r="A765" s="9"/>
      <c r="B765" s="9"/>
      <c r="C765" s="9"/>
      <c r="D765" s="9"/>
      <c r="E765" s="9"/>
      <c r="F765" s="9"/>
      <c r="G765" s="9"/>
      <c r="H765" s="9"/>
      <c r="I765" s="9"/>
      <c r="J765" s="9"/>
      <c r="K765" s="9"/>
      <c r="L765" s="9"/>
      <c r="M765" s="9"/>
      <c r="N765" s="9"/>
      <c r="O765" s="9"/>
      <c r="P765" s="9"/>
      <c r="Q765" s="9"/>
      <c r="R765" s="9"/>
    </row>
    <row r="766">
      <c r="A766" s="9"/>
      <c r="B766" s="9"/>
      <c r="C766" s="9"/>
      <c r="D766" s="9"/>
      <c r="E766" s="9"/>
      <c r="F766" s="9"/>
      <c r="G766" s="9"/>
      <c r="H766" s="9"/>
      <c r="I766" s="9"/>
      <c r="J766" s="9"/>
      <c r="K766" s="9"/>
      <c r="L766" s="9"/>
      <c r="M766" s="9"/>
      <c r="N766" s="9"/>
      <c r="O766" s="9"/>
      <c r="P766" s="9"/>
      <c r="Q766" s="9"/>
      <c r="R766" s="9"/>
    </row>
    <row r="767">
      <c r="A767" s="9"/>
      <c r="B767" s="9"/>
      <c r="C767" s="9"/>
      <c r="D767" s="9"/>
      <c r="E767" s="9"/>
      <c r="F767" s="9"/>
      <c r="G767" s="9"/>
      <c r="H767" s="9"/>
      <c r="I767" s="9"/>
      <c r="J767" s="9"/>
      <c r="K767" s="9"/>
      <c r="L767" s="9"/>
      <c r="M767" s="9"/>
      <c r="N767" s="9"/>
      <c r="O767" s="9"/>
      <c r="P767" s="9"/>
      <c r="Q767" s="9"/>
      <c r="R767" s="9"/>
    </row>
    <row r="768">
      <c r="A768" s="9"/>
      <c r="B768" s="9"/>
      <c r="C768" s="9"/>
      <c r="D768" s="9"/>
      <c r="E768" s="9"/>
      <c r="F768" s="9"/>
      <c r="G768" s="9"/>
      <c r="H768" s="9"/>
      <c r="I768" s="9"/>
      <c r="J768" s="9"/>
      <c r="K768" s="9"/>
      <c r="L768" s="9"/>
      <c r="M768" s="9"/>
      <c r="N768" s="9"/>
      <c r="O768" s="9"/>
      <c r="P768" s="9"/>
      <c r="Q768" s="9"/>
      <c r="R768" s="9"/>
    </row>
    <row r="769">
      <c r="A769" s="9"/>
      <c r="B769" s="9"/>
      <c r="C769" s="9"/>
      <c r="D769" s="9"/>
      <c r="E769" s="9"/>
      <c r="F769" s="9"/>
      <c r="G769" s="9"/>
      <c r="H769" s="9"/>
      <c r="I769" s="9"/>
      <c r="J769" s="9"/>
      <c r="K769" s="9"/>
      <c r="L769" s="9"/>
      <c r="M769" s="9"/>
      <c r="N769" s="9"/>
      <c r="O769" s="9"/>
      <c r="P769" s="9"/>
      <c r="Q769" s="9"/>
      <c r="R769" s="9"/>
    </row>
    <row r="770">
      <c r="A770" s="9"/>
      <c r="B770" s="9"/>
      <c r="C770" s="9"/>
      <c r="D770" s="9"/>
      <c r="E770" s="9"/>
      <c r="F770" s="9"/>
      <c r="G770" s="9"/>
      <c r="H770" s="9"/>
      <c r="I770" s="9"/>
      <c r="J770" s="9"/>
      <c r="K770" s="9"/>
      <c r="L770" s="9"/>
      <c r="M770" s="9"/>
      <c r="N770" s="9"/>
      <c r="O770" s="9"/>
      <c r="P770" s="9"/>
      <c r="Q770" s="9"/>
      <c r="R770" s="9"/>
    </row>
    <row r="771">
      <c r="A771" s="9"/>
      <c r="B771" s="9"/>
      <c r="C771" s="9"/>
      <c r="D771" s="9"/>
      <c r="E771" s="9"/>
      <c r="F771" s="9"/>
      <c r="G771" s="9"/>
      <c r="H771" s="9"/>
      <c r="I771" s="9"/>
      <c r="J771" s="9"/>
      <c r="K771" s="9"/>
      <c r="L771" s="9"/>
      <c r="M771" s="9"/>
      <c r="N771" s="9"/>
      <c r="O771" s="9"/>
      <c r="P771" s="9"/>
      <c r="Q771" s="9"/>
      <c r="R771" s="9"/>
    </row>
    <row r="772">
      <c r="A772" s="9"/>
      <c r="B772" s="9"/>
      <c r="C772" s="9"/>
      <c r="D772" s="9"/>
      <c r="E772" s="9"/>
      <c r="F772" s="9"/>
      <c r="G772" s="9"/>
      <c r="H772" s="9"/>
      <c r="I772" s="9"/>
      <c r="J772" s="9"/>
      <c r="K772" s="9"/>
      <c r="L772" s="9"/>
      <c r="M772" s="9"/>
      <c r="N772" s="9"/>
      <c r="O772" s="9"/>
      <c r="P772" s="9"/>
      <c r="Q772" s="9"/>
      <c r="R772" s="9"/>
    </row>
    <row r="773">
      <c r="A773" s="9"/>
      <c r="B773" s="9"/>
      <c r="C773" s="9"/>
      <c r="D773" s="9"/>
      <c r="E773" s="9"/>
      <c r="F773" s="9"/>
      <c r="G773" s="9"/>
      <c r="H773" s="9"/>
      <c r="I773" s="9"/>
      <c r="J773" s="9"/>
      <c r="K773" s="9"/>
      <c r="L773" s="9"/>
      <c r="M773" s="9"/>
      <c r="N773" s="9"/>
      <c r="O773" s="9"/>
      <c r="P773" s="9"/>
      <c r="Q773" s="9"/>
      <c r="R773" s="9"/>
    </row>
    <row r="774">
      <c r="A774" s="9"/>
      <c r="B774" s="9"/>
      <c r="C774" s="9"/>
      <c r="D774" s="9"/>
      <c r="E774" s="9"/>
      <c r="F774" s="9"/>
      <c r="G774" s="9"/>
      <c r="H774" s="9"/>
      <c r="I774" s="9"/>
      <c r="J774" s="9"/>
      <c r="K774" s="9"/>
      <c r="L774" s="9"/>
      <c r="M774" s="9"/>
      <c r="N774" s="9"/>
      <c r="O774" s="9"/>
      <c r="P774" s="9"/>
      <c r="Q774" s="9"/>
      <c r="R774" s="9"/>
    </row>
    <row r="775">
      <c r="A775" s="9"/>
      <c r="B775" s="9"/>
      <c r="C775" s="9"/>
      <c r="D775" s="9"/>
      <c r="E775" s="9"/>
      <c r="F775" s="9"/>
      <c r="G775" s="9"/>
      <c r="H775" s="9"/>
      <c r="I775" s="9"/>
      <c r="J775" s="9"/>
      <c r="K775" s="9"/>
      <c r="L775" s="9"/>
      <c r="M775" s="9"/>
      <c r="N775" s="9"/>
      <c r="O775" s="9"/>
      <c r="P775" s="9"/>
      <c r="Q775" s="9"/>
      <c r="R775" s="9"/>
    </row>
    <row r="776">
      <c r="A776" s="9"/>
      <c r="B776" s="9"/>
      <c r="C776" s="9"/>
      <c r="D776" s="9"/>
      <c r="E776" s="9"/>
      <c r="F776" s="9"/>
      <c r="G776" s="9"/>
      <c r="H776" s="9"/>
      <c r="I776" s="9"/>
      <c r="J776" s="9"/>
      <c r="K776" s="9"/>
      <c r="L776" s="9"/>
      <c r="M776" s="9"/>
      <c r="N776" s="9"/>
      <c r="O776" s="9"/>
      <c r="P776" s="9"/>
      <c r="Q776" s="9"/>
      <c r="R776" s="9"/>
    </row>
    <row r="777">
      <c r="A777" s="9"/>
      <c r="B777" s="9"/>
      <c r="C777" s="9"/>
      <c r="D777" s="9"/>
      <c r="E777" s="9"/>
      <c r="F777" s="9"/>
      <c r="G777" s="9"/>
      <c r="H777" s="9"/>
      <c r="I777" s="9"/>
      <c r="J777" s="9"/>
      <c r="K777" s="9"/>
      <c r="L777" s="9"/>
      <c r="M777" s="9"/>
      <c r="N777" s="9"/>
      <c r="O777" s="9"/>
      <c r="P777" s="9"/>
      <c r="Q777" s="9"/>
      <c r="R777" s="9"/>
    </row>
    <row r="778">
      <c r="A778" s="9"/>
      <c r="B778" s="9"/>
      <c r="C778" s="9"/>
      <c r="D778" s="9"/>
      <c r="E778" s="9"/>
      <c r="F778" s="9"/>
      <c r="G778" s="9"/>
      <c r="H778" s="9"/>
      <c r="I778" s="9"/>
      <c r="J778" s="9"/>
      <c r="K778" s="9"/>
      <c r="L778" s="9"/>
      <c r="M778" s="9"/>
      <c r="N778" s="9"/>
      <c r="O778" s="9"/>
      <c r="P778" s="9"/>
      <c r="Q778" s="9"/>
      <c r="R778" s="9"/>
    </row>
    <row r="779">
      <c r="A779" s="9"/>
      <c r="B779" s="9"/>
      <c r="C779" s="9"/>
      <c r="D779" s="9"/>
      <c r="E779" s="9"/>
      <c r="F779" s="9"/>
      <c r="G779" s="9"/>
      <c r="H779" s="9"/>
      <c r="I779" s="9"/>
      <c r="J779" s="9"/>
      <c r="K779" s="9"/>
      <c r="L779" s="9"/>
      <c r="M779" s="9"/>
      <c r="N779" s="9"/>
      <c r="O779" s="9"/>
      <c r="P779" s="9"/>
      <c r="Q779" s="9"/>
      <c r="R779" s="9"/>
    </row>
    <row r="780">
      <c r="A780" s="9"/>
      <c r="B780" s="9"/>
      <c r="C780" s="9"/>
      <c r="D780" s="9"/>
      <c r="E780" s="9"/>
      <c r="F780" s="9"/>
      <c r="G780" s="9"/>
      <c r="H780" s="9"/>
      <c r="I780" s="9"/>
      <c r="J780" s="9"/>
      <c r="K780" s="9"/>
      <c r="L780" s="9"/>
      <c r="M780" s="9"/>
      <c r="N780" s="9"/>
      <c r="O780" s="9"/>
      <c r="P780" s="9"/>
      <c r="Q780" s="9"/>
      <c r="R780" s="9"/>
    </row>
    <row r="781">
      <c r="A781" s="9"/>
      <c r="B781" s="9"/>
      <c r="C781" s="9"/>
      <c r="D781" s="9"/>
      <c r="E781" s="9"/>
      <c r="F781" s="9"/>
      <c r="G781" s="9"/>
      <c r="H781" s="9"/>
      <c r="I781" s="9"/>
      <c r="J781" s="9"/>
      <c r="K781" s="9"/>
      <c r="L781" s="9"/>
      <c r="M781" s="9"/>
      <c r="N781" s="9"/>
      <c r="O781" s="9"/>
      <c r="P781" s="9"/>
      <c r="Q781" s="9"/>
      <c r="R781" s="9"/>
    </row>
    <row r="782">
      <c r="A782" s="9"/>
      <c r="B782" s="9"/>
      <c r="C782" s="9"/>
      <c r="D782" s="9"/>
      <c r="E782" s="9"/>
      <c r="F782" s="9"/>
      <c r="G782" s="9"/>
      <c r="H782" s="9"/>
      <c r="I782" s="9"/>
      <c r="J782" s="9"/>
      <c r="K782" s="9"/>
      <c r="L782" s="9"/>
      <c r="M782" s="9"/>
      <c r="N782" s="9"/>
      <c r="O782" s="9"/>
      <c r="P782" s="9"/>
      <c r="Q782" s="9"/>
      <c r="R782" s="9"/>
    </row>
    <row r="783">
      <c r="A783" s="9"/>
      <c r="B783" s="9"/>
      <c r="C783" s="9"/>
      <c r="D783" s="9"/>
      <c r="E783" s="9"/>
      <c r="F783" s="9"/>
      <c r="G783" s="9"/>
      <c r="H783" s="9"/>
      <c r="I783" s="9"/>
      <c r="J783" s="9"/>
      <c r="K783" s="9"/>
      <c r="L783" s="9"/>
      <c r="M783" s="9"/>
      <c r="N783" s="9"/>
      <c r="O783" s="9"/>
      <c r="P783" s="9"/>
      <c r="Q783" s="9"/>
      <c r="R783" s="9"/>
    </row>
    <row r="784">
      <c r="A784" s="9"/>
      <c r="B784" s="9"/>
      <c r="C784" s="9"/>
      <c r="D784" s="9"/>
      <c r="E784" s="9"/>
      <c r="F784" s="9"/>
      <c r="G784" s="9"/>
      <c r="H784" s="9"/>
      <c r="I784" s="9"/>
      <c r="J784" s="9"/>
      <c r="K784" s="9"/>
      <c r="L784" s="9"/>
      <c r="M784" s="9"/>
      <c r="N784" s="9"/>
      <c r="O784" s="9"/>
      <c r="P784" s="9"/>
      <c r="Q784" s="9"/>
      <c r="R784" s="9"/>
    </row>
    <row r="785">
      <c r="A785" s="9"/>
      <c r="B785" s="9"/>
      <c r="C785" s="9"/>
      <c r="D785" s="9"/>
      <c r="E785" s="9"/>
      <c r="F785" s="9"/>
      <c r="G785" s="9"/>
      <c r="H785" s="9"/>
      <c r="I785" s="9"/>
      <c r="J785" s="9"/>
      <c r="K785" s="9"/>
      <c r="L785" s="9"/>
      <c r="M785" s="9"/>
      <c r="N785" s="9"/>
      <c r="O785" s="9"/>
      <c r="P785" s="9"/>
      <c r="Q785" s="9"/>
      <c r="R785" s="9"/>
    </row>
    <row r="786">
      <c r="A786" s="9"/>
      <c r="B786" s="9"/>
      <c r="C786" s="9"/>
      <c r="D786" s="9"/>
      <c r="E786" s="9"/>
      <c r="F786" s="9"/>
      <c r="G786" s="9"/>
      <c r="H786" s="9"/>
      <c r="I786" s="9"/>
      <c r="J786" s="9"/>
      <c r="K786" s="9"/>
      <c r="L786" s="9"/>
      <c r="M786" s="9"/>
      <c r="N786" s="9"/>
      <c r="O786" s="9"/>
      <c r="P786" s="9"/>
      <c r="Q786" s="9"/>
      <c r="R786" s="9"/>
    </row>
    <row r="787">
      <c r="A787" s="9"/>
      <c r="B787" s="9"/>
      <c r="C787" s="9"/>
      <c r="D787" s="9"/>
      <c r="E787" s="9"/>
      <c r="F787" s="9"/>
      <c r="G787" s="9"/>
      <c r="H787" s="9"/>
      <c r="I787" s="9"/>
      <c r="J787" s="9"/>
      <c r="K787" s="9"/>
      <c r="L787" s="9"/>
      <c r="M787" s="9"/>
      <c r="N787" s="9"/>
      <c r="O787" s="9"/>
      <c r="P787" s="9"/>
      <c r="Q787" s="9"/>
      <c r="R787" s="9"/>
    </row>
    <row r="788">
      <c r="A788" s="9"/>
      <c r="B788" s="9"/>
      <c r="C788" s="9"/>
      <c r="D788" s="9"/>
      <c r="E788" s="9"/>
      <c r="F788" s="9"/>
      <c r="G788" s="9"/>
      <c r="H788" s="9"/>
      <c r="I788" s="9"/>
      <c r="J788" s="9"/>
      <c r="K788" s="9"/>
      <c r="L788" s="9"/>
      <c r="M788" s="9"/>
      <c r="N788" s="9"/>
      <c r="O788" s="9"/>
      <c r="P788" s="9"/>
      <c r="Q788" s="9"/>
      <c r="R788" s="9"/>
    </row>
    <row r="789">
      <c r="A789" s="9"/>
      <c r="B789" s="9"/>
      <c r="C789" s="9"/>
      <c r="D789" s="9"/>
      <c r="E789" s="9"/>
      <c r="F789" s="9"/>
      <c r="G789" s="9"/>
      <c r="H789" s="9"/>
      <c r="I789" s="9"/>
      <c r="J789" s="9"/>
      <c r="K789" s="9"/>
      <c r="L789" s="9"/>
      <c r="M789" s="9"/>
      <c r="N789" s="9"/>
      <c r="O789" s="9"/>
      <c r="P789" s="9"/>
      <c r="Q789" s="9"/>
      <c r="R789" s="9"/>
    </row>
    <row r="790">
      <c r="A790" s="9"/>
      <c r="B790" s="9"/>
      <c r="C790" s="9"/>
      <c r="D790" s="9"/>
      <c r="E790" s="9"/>
      <c r="F790" s="9"/>
      <c r="G790" s="9"/>
      <c r="H790" s="9"/>
      <c r="I790" s="9"/>
      <c r="J790" s="9"/>
      <c r="K790" s="9"/>
      <c r="L790" s="9"/>
      <c r="M790" s="9"/>
      <c r="N790" s="9"/>
      <c r="O790" s="9"/>
      <c r="P790" s="9"/>
      <c r="Q790" s="9"/>
      <c r="R790" s="9"/>
    </row>
    <row r="791">
      <c r="A791" s="9"/>
      <c r="B791" s="9"/>
      <c r="C791" s="9"/>
      <c r="D791" s="9"/>
      <c r="E791" s="9"/>
      <c r="F791" s="9"/>
      <c r="G791" s="9"/>
      <c r="H791" s="9"/>
      <c r="I791" s="9"/>
      <c r="J791" s="9"/>
      <c r="K791" s="9"/>
      <c r="L791" s="9"/>
      <c r="M791" s="9"/>
      <c r="N791" s="9"/>
      <c r="O791" s="9"/>
      <c r="P791" s="9"/>
      <c r="Q791" s="9"/>
      <c r="R791" s="9"/>
    </row>
    <row r="792">
      <c r="A792" s="9"/>
      <c r="B792" s="9"/>
      <c r="C792" s="9"/>
      <c r="D792" s="9"/>
      <c r="E792" s="9"/>
      <c r="F792" s="9"/>
      <c r="G792" s="9"/>
      <c r="H792" s="9"/>
      <c r="I792" s="9"/>
      <c r="J792" s="9"/>
      <c r="K792" s="9"/>
      <c r="L792" s="9"/>
      <c r="M792" s="9"/>
      <c r="N792" s="9"/>
      <c r="O792" s="9"/>
      <c r="P792" s="9"/>
      <c r="Q792" s="9"/>
      <c r="R792" s="9"/>
    </row>
    <row r="793">
      <c r="A793" s="9"/>
      <c r="B793" s="9"/>
      <c r="C793" s="9"/>
      <c r="D793" s="9"/>
      <c r="E793" s="9"/>
      <c r="F793" s="9"/>
      <c r="G793" s="9"/>
      <c r="H793" s="9"/>
      <c r="I793" s="9"/>
      <c r="J793" s="9"/>
      <c r="K793" s="9"/>
      <c r="L793" s="9"/>
      <c r="M793" s="9"/>
      <c r="N793" s="9"/>
      <c r="O793" s="9"/>
      <c r="P793" s="9"/>
      <c r="Q793" s="9"/>
      <c r="R793" s="9"/>
    </row>
    <row r="794">
      <c r="A794" s="9"/>
      <c r="B794" s="9"/>
      <c r="C794" s="9"/>
      <c r="D794" s="9"/>
      <c r="E794" s="9"/>
      <c r="F794" s="9"/>
      <c r="G794" s="9"/>
      <c r="H794" s="9"/>
      <c r="I794" s="9"/>
      <c r="J794" s="9"/>
      <c r="K794" s="9"/>
      <c r="L794" s="9"/>
      <c r="M794" s="9"/>
      <c r="N794" s="9"/>
      <c r="O794" s="9"/>
      <c r="P794" s="9"/>
      <c r="Q794" s="9"/>
      <c r="R794" s="9"/>
    </row>
    <row r="795">
      <c r="A795" s="9"/>
      <c r="B795" s="9"/>
      <c r="C795" s="9"/>
      <c r="D795" s="9"/>
      <c r="E795" s="9"/>
      <c r="F795" s="9"/>
      <c r="G795" s="9"/>
      <c r="H795" s="9"/>
      <c r="I795" s="9"/>
      <c r="J795" s="9"/>
      <c r="K795" s="9"/>
      <c r="L795" s="9"/>
      <c r="M795" s="9"/>
      <c r="N795" s="9"/>
      <c r="O795" s="9"/>
      <c r="P795" s="9"/>
      <c r="Q795" s="9"/>
      <c r="R795" s="9"/>
    </row>
    <row r="796">
      <c r="A796" s="9"/>
      <c r="B796" s="9"/>
      <c r="C796" s="9"/>
      <c r="D796" s="9"/>
      <c r="E796" s="9"/>
      <c r="F796" s="9"/>
      <c r="G796" s="9"/>
      <c r="H796" s="9"/>
      <c r="I796" s="9"/>
      <c r="J796" s="9"/>
      <c r="K796" s="9"/>
      <c r="L796" s="9"/>
      <c r="M796" s="9"/>
      <c r="N796" s="9"/>
      <c r="O796" s="9"/>
      <c r="P796" s="9"/>
      <c r="Q796" s="9"/>
      <c r="R796" s="9"/>
    </row>
    <row r="797">
      <c r="A797" s="9"/>
      <c r="B797" s="9"/>
      <c r="C797" s="9"/>
      <c r="D797" s="9"/>
      <c r="E797" s="9"/>
      <c r="F797" s="9"/>
      <c r="G797" s="9"/>
      <c r="H797" s="9"/>
      <c r="I797" s="9"/>
      <c r="J797" s="9"/>
      <c r="K797" s="9"/>
      <c r="L797" s="9"/>
      <c r="M797" s="9"/>
      <c r="N797" s="9"/>
      <c r="O797" s="9"/>
      <c r="P797" s="9"/>
      <c r="Q797" s="9"/>
      <c r="R797" s="9"/>
    </row>
    <row r="798">
      <c r="A798" s="9"/>
      <c r="B798" s="9"/>
      <c r="C798" s="9"/>
      <c r="D798" s="9"/>
      <c r="E798" s="9"/>
      <c r="F798" s="9"/>
      <c r="G798" s="9"/>
      <c r="H798" s="9"/>
      <c r="I798" s="9"/>
      <c r="J798" s="9"/>
      <c r="K798" s="9"/>
      <c r="L798" s="9"/>
      <c r="M798" s="9"/>
      <c r="N798" s="9"/>
      <c r="O798" s="9"/>
      <c r="P798" s="9"/>
      <c r="Q798" s="9"/>
      <c r="R798" s="9"/>
    </row>
    <row r="799">
      <c r="A799" s="9"/>
      <c r="B799" s="9"/>
      <c r="C799" s="9"/>
      <c r="D799" s="9"/>
      <c r="E799" s="9"/>
      <c r="F799" s="9"/>
      <c r="G799" s="9"/>
      <c r="H799" s="9"/>
      <c r="I799" s="9"/>
      <c r="J799" s="9"/>
      <c r="K799" s="9"/>
      <c r="L799" s="9"/>
      <c r="M799" s="9"/>
      <c r="N799" s="9"/>
      <c r="O799" s="9"/>
      <c r="P799" s="9"/>
      <c r="Q799" s="9"/>
      <c r="R799" s="9"/>
    </row>
    <row r="800">
      <c r="A800" s="9"/>
      <c r="B800" s="9"/>
      <c r="C800" s="9"/>
      <c r="D800" s="9"/>
      <c r="E800" s="9"/>
      <c r="F800" s="9"/>
      <c r="G800" s="9"/>
      <c r="H800" s="9"/>
      <c r="I800" s="9"/>
      <c r="J800" s="9"/>
      <c r="K800" s="9"/>
      <c r="L800" s="9"/>
      <c r="M800" s="9"/>
      <c r="N800" s="9"/>
      <c r="O800" s="9"/>
      <c r="P800" s="9"/>
      <c r="Q800" s="9"/>
      <c r="R800" s="9"/>
    </row>
    <row r="801">
      <c r="A801" s="9"/>
      <c r="B801" s="9"/>
      <c r="C801" s="9"/>
      <c r="D801" s="9"/>
      <c r="E801" s="9"/>
      <c r="F801" s="9"/>
      <c r="G801" s="9"/>
      <c r="H801" s="9"/>
      <c r="I801" s="9"/>
      <c r="J801" s="9"/>
      <c r="K801" s="9"/>
      <c r="L801" s="9"/>
      <c r="M801" s="9"/>
      <c r="N801" s="9"/>
      <c r="O801" s="9"/>
      <c r="P801" s="9"/>
      <c r="Q801" s="9"/>
      <c r="R801" s="9"/>
    </row>
    <row r="802">
      <c r="A802" s="9"/>
      <c r="B802" s="9"/>
      <c r="C802" s="9"/>
      <c r="D802" s="9"/>
      <c r="E802" s="9"/>
      <c r="F802" s="9"/>
      <c r="G802" s="9"/>
      <c r="H802" s="9"/>
      <c r="I802" s="9"/>
      <c r="J802" s="9"/>
      <c r="K802" s="9"/>
      <c r="L802" s="9"/>
      <c r="M802" s="9"/>
      <c r="N802" s="9"/>
      <c r="O802" s="9"/>
      <c r="P802" s="9"/>
      <c r="Q802" s="9"/>
      <c r="R802" s="9"/>
    </row>
    <row r="803">
      <c r="A803" s="9"/>
      <c r="B803" s="9"/>
      <c r="C803" s="9"/>
      <c r="D803" s="9"/>
      <c r="E803" s="9"/>
      <c r="F803" s="9"/>
      <c r="G803" s="9"/>
      <c r="H803" s="9"/>
      <c r="I803" s="9"/>
      <c r="J803" s="9"/>
      <c r="K803" s="9"/>
      <c r="L803" s="9"/>
      <c r="M803" s="9"/>
      <c r="N803" s="9"/>
      <c r="O803" s="9"/>
      <c r="P803" s="9"/>
      <c r="Q803" s="9"/>
      <c r="R803" s="9"/>
    </row>
    <row r="804">
      <c r="A804" s="9"/>
      <c r="B804" s="9"/>
      <c r="C804" s="9"/>
      <c r="D804" s="9"/>
      <c r="E804" s="9"/>
      <c r="F804" s="9"/>
      <c r="G804" s="9"/>
      <c r="H804" s="9"/>
      <c r="I804" s="9"/>
      <c r="J804" s="9"/>
      <c r="K804" s="9"/>
      <c r="L804" s="9"/>
      <c r="M804" s="9"/>
      <c r="N804" s="9"/>
      <c r="O804" s="9"/>
      <c r="P804" s="9"/>
      <c r="Q804" s="9"/>
      <c r="R804" s="9"/>
    </row>
    <row r="805">
      <c r="A805" s="9"/>
      <c r="B805" s="9"/>
      <c r="C805" s="9"/>
      <c r="D805" s="9"/>
      <c r="E805" s="9"/>
      <c r="F805" s="9"/>
      <c r="G805" s="9"/>
      <c r="H805" s="9"/>
      <c r="I805" s="9"/>
      <c r="J805" s="9"/>
      <c r="K805" s="9"/>
      <c r="L805" s="9"/>
      <c r="M805" s="9"/>
      <c r="N805" s="9"/>
      <c r="O805" s="9"/>
      <c r="P805" s="9"/>
      <c r="Q805" s="9"/>
      <c r="R805" s="9"/>
    </row>
    <row r="806">
      <c r="A806" s="9"/>
      <c r="B806" s="9"/>
      <c r="C806" s="9"/>
      <c r="D806" s="9"/>
      <c r="E806" s="9"/>
      <c r="F806" s="9"/>
      <c r="G806" s="9"/>
      <c r="H806" s="9"/>
      <c r="I806" s="9"/>
      <c r="J806" s="9"/>
      <c r="K806" s="9"/>
      <c r="L806" s="9"/>
      <c r="M806" s="9"/>
      <c r="N806" s="9"/>
      <c r="O806" s="9"/>
      <c r="P806" s="9"/>
      <c r="Q806" s="9"/>
      <c r="R806" s="9"/>
    </row>
    <row r="807">
      <c r="A807" s="9"/>
      <c r="B807" s="9"/>
      <c r="C807" s="9"/>
      <c r="D807" s="9"/>
      <c r="E807" s="9"/>
      <c r="F807" s="9"/>
      <c r="G807" s="9"/>
      <c r="H807" s="9"/>
      <c r="I807" s="9"/>
      <c r="J807" s="9"/>
      <c r="K807" s="9"/>
      <c r="L807" s="9"/>
      <c r="M807" s="9"/>
      <c r="N807" s="9"/>
      <c r="O807" s="9"/>
      <c r="P807" s="9"/>
      <c r="Q807" s="9"/>
      <c r="R807" s="9"/>
    </row>
    <row r="808">
      <c r="A808" s="9"/>
      <c r="B808" s="9"/>
      <c r="C808" s="9"/>
      <c r="D808" s="9"/>
      <c r="E808" s="9"/>
      <c r="F808" s="9"/>
      <c r="G808" s="9"/>
      <c r="H808" s="9"/>
      <c r="I808" s="9"/>
      <c r="J808" s="9"/>
      <c r="K808" s="9"/>
      <c r="L808" s="9"/>
      <c r="M808" s="9"/>
      <c r="N808" s="9"/>
      <c r="O808" s="9"/>
      <c r="P808" s="9"/>
      <c r="Q808" s="9"/>
      <c r="R808" s="9"/>
    </row>
    <row r="809">
      <c r="A809" s="9"/>
      <c r="B809" s="9"/>
      <c r="C809" s="9"/>
      <c r="D809" s="9"/>
      <c r="E809" s="9"/>
      <c r="F809" s="9"/>
      <c r="G809" s="9"/>
      <c r="H809" s="9"/>
      <c r="I809" s="9"/>
      <c r="J809" s="9"/>
      <c r="K809" s="9"/>
      <c r="L809" s="9"/>
      <c r="M809" s="9"/>
      <c r="N809" s="9"/>
      <c r="O809" s="9"/>
      <c r="P809" s="9"/>
      <c r="Q809" s="9"/>
      <c r="R809" s="9"/>
    </row>
    <row r="810">
      <c r="A810" s="9"/>
      <c r="B810" s="9"/>
      <c r="C810" s="9"/>
      <c r="D810" s="9"/>
      <c r="E810" s="9"/>
      <c r="F810" s="9"/>
      <c r="G810" s="9"/>
      <c r="H810" s="9"/>
      <c r="I810" s="9"/>
      <c r="J810" s="9"/>
      <c r="K810" s="9"/>
      <c r="L810" s="9"/>
      <c r="M810" s="9"/>
      <c r="N810" s="9"/>
      <c r="O810" s="9"/>
      <c r="P810" s="9"/>
      <c r="Q810" s="9"/>
      <c r="R810" s="9"/>
    </row>
    <row r="811">
      <c r="A811" s="9"/>
      <c r="B811" s="9"/>
      <c r="C811" s="9"/>
      <c r="D811" s="9"/>
      <c r="E811" s="9"/>
      <c r="F811" s="9"/>
      <c r="G811" s="9"/>
      <c r="H811" s="9"/>
      <c r="I811" s="9"/>
      <c r="J811" s="9"/>
      <c r="K811" s="9"/>
      <c r="L811" s="9"/>
      <c r="M811" s="9"/>
      <c r="N811" s="9"/>
      <c r="O811" s="9"/>
      <c r="P811" s="9"/>
      <c r="Q811" s="9"/>
      <c r="R811" s="9"/>
    </row>
    <row r="812">
      <c r="A812" s="9"/>
      <c r="B812" s="9"/>
      <c r="C812" s="9"/>
      <c r="D812" s="9"/>
      <c r="E812" s="9"/>
      <c r="F812" s="9"/>
      <c r="G812" s="9"/>
      <c r="H812" s="9"/>
      <c r="I812" s="9"/>
      <c r="J812" s="9"/>
      <c r="K812" s="9"/>
      <c r="L812" s="9"/>
      <c r="M812" s="9"/>
      <c r="N812" s="9"/>
      <c r="O812" s="9"/>
      <c r="P812" s="9"/>
      <c r="Q812" s="9"/>
      <c r="R812" s="9"/>
    </row>
    <row r="813">
      <c r="A813" s="9"/>
      <c r="B813" s="9"/>
      <c r="C813" s="9"/>
      <c r="D813" s="9"/>
      <c r="E813" s="9"/>
      <c r="F813" s="9"/>
      <c r="G813" s="9"/>
      <c r="H813" s="9"/>
      <c r="I813" s="9"/>
      <c r="J813" s="9"/>
      <c r="K813" s="9"/>
      <c r="L813" s="9"/>
      <c r="M813" s="9"/>
      <c r="N813" s="9"/>
      <c r="O813" s="9"/>
      <c r="P813" s="9"/>
      <c r="Q813" s="9"/>
      <c r="R813" s="9"/>
    </row>
    <row r="814">
      <c r="A814" s="9"/>
      <c r="B814" s="9"/>
      <c r="C814" s="9"/>
      <c r="D814" s="9"/>
      <c r="E814" s="9"/>
      <c r="F814" s="9"/>
      <c r="G814" s="9"/>
      <c r="H814" s="9"/>
      <c r="I814" s="9"/>
      <c r="J814" s="9"/>
      <c r="K814" s="9"/>
      <c r="L814" s="9"/>
      <c r="M814" s="9"/>
      <c r="N814" s="9"/>
      <c r="O814" s="9"/>
      <c r="P814" s="9"/>
      <c r="Q814" s="9"/>
      <c r="R814" s="9"/>
    </row>
    <row r="815">
      <c r="A815" s="9"/>
      <c r="B815" s="9"/>
      <c r="C815" s="9"/>
      <c r="D815" s="9"/>
      <c r="E815" s="9"/>
      <c r="F815" s="9"/>
      <c r="G815" s="9"/>
      <c r="H815" s="9"/>
      <c r="I815" s="9"/>
      <c r="J815" s="9"/>
      <c r="K815" s="9"/>
      <c r="L815" s="9"/>
      <c r="M815" s="9"/>
      <c r="N815" s="9"/>
      <c r="O815" s="9"/>
      <c r="P815" s="9"/>
      <c r="Q815" s="9"/>
      <c r="R815" s="9"/>
    </row>
    <row r="816">
      <c r="A816" s="9"/>
      <c r="B816" s="9"/>
      <c r="C816" s="9"/>
      <c r="D816" s="9"/>
      <c r="E816" s="9"/>
      <c r="F816" s="9"/>
      <c r="G816" s="9"/>
      <c r="H816" s="9"/>
      <c r="I816" s="9"/>
      <c r="J816" s="9"/>
      <c r="K816" s="9"/>
      <c r="L816" s="9"/>
      <c r="M816" s="9"/>
      <c r="N816" s="9"/>
      <c r="O816" s="9"/>
      <c r="P816" s="9"/>
      <c r="Q816" s="9"/>
      <c r="R816" s="9"/>
    </row>
    <row r="817">
      <c r="A817" s="9"/>
      <c r="B817" s="9"/>
      <c r="C817" s="9"/>
      <c r="D817" s="9"/>
      <c r="E817" s="9"/>
      <c r="F817" s="9"/>
      <c r="G817" s="9"/>
      <c r="H817" s="9"/>
      <c r="I817" s="9"/>
      <c r="J817" s="9"/>
      <c r="K817" s="9"/>
      <c r="L817" s="9"/>
      <c r="M817" s="9"/>
      <c r="N817" s="9"/>
      <c r="O817" s="9"/>
      <c r="P817" s="9"/>
      <c r="Q817" s="9"/>
      <c r="R817" s="9"/>
    </row>
    <row r="818">
      <c r="A818" s="9"/>
      <c r="B818" s="9"/>
      <c r="C818" s="9"/>
      <c r="D818" s="9"/>
      <c r="E818" s="9"/>
      <c r="F818" s="9"/>
      <c r="G818" s="9"/>
      <c r="H818" s="9"/>
      <c r="I818" s="9"/>
      <c r="J818" s="9"/>
      <c r="K818" s="9"/>
      <c r="L818" s="9"/>
      <c r="M818" s="9"/>
      <c r="N818" s="9"/>
      <c r="O818" s="9"/>
      <c r="P818" s="9"/>
      <c r="Q818" s="9"/>
      <c r="R818" s="9"/>
    </row>
    <row r="819">
      <c r="A819" s="9"/>
      <c r="B819" s="9"/>
      <c r="C819" s="9"/>
      <c r="D819" s="9"/>
      <c r="E819" s="9"/>
      <c r="F819" s="9"/>
      <c r="G819" s="9"/>
      <c r="H819" s="9"/>
      <c r="I819" s="9"/>
      <c r="J819" s="9"/>
      <c r="K819" s="9"/>
      <c r="L819" s="9"/>
      <c r="M819" s="9"/>
      <c r="N819" s="9"/>
      <c r="O819" s="9"/>
      <c r="P819" s="9"/>
      <c r="Q819" s="9"/>
      <c r="R819" s="9"/>
    </row>
    <row r="820">
      <c r="A820" s="9"/>
      <c r="B820" s="9"/>
      <c r="C820" s="9"/>
      <c r="D820" s="9"/>
      <c r="E820" s="9"/>
      <c r="F820" s="9"/>
      <c r="G820" s="9"/>
      <c r="H820" s="9"/>
      <c r="I820" s="9"/>
      <c r="J820" s="9"/>
      <c r="K820" s="9"/>
      <c r="L820" s="9"/>
      <c r="M820" s="9"/>
      <c r="N820" s="9"/>
      <c r="O820" s="9"/>
      <c r="P820" s="9"/>
      <c r="Q820" s="9"/>
      <c r="R820" s="9"/>
    </row>
    <row r="821">
      <c r="A821" s="9"/>
      <c r="B821" s="9"/>
      <c r="C821" s="9"/>
      <c r="D821" s="9"/>
      <c r="E821" s="9"/>
      <c r="F821" s="9"/>
      <c r="G821" s="9"/>
      <c r="H821" s="9"/>
      <c r="I821" s="9"/>
      <c r="J821" s="9"/>
      <c r="K821" s="9"/>
      <c r="L821" s="9"/>
      <c r="M821" s="9"/>
      <c r="N821" s="9"/>
      <c r="O821" s="9"/>
      <c r="P821" s="9"/>
      <c r="Q821" s="9"/>
      <c r="R821" s="9"/>
    </row>
    <row r="822">
      <c r="A822" s="9"/>
      <c r="B822" s="9"/>
      <c r="C822" s="9"/>
      <c r="D822" s="9"/>
      <c r="E822" s="9"/>
      <c r="F822" s="9"/>
      <c r="G822" s="9"/>
      <c r="H822" s="9"/>
      <c r="I822" s="9"/>
      <c r="J822" s="9"/>
      <c r="K822" s="9"/>
      <c r="L822" s="9"/>
      <c r="M822" s="9"/>
      <c r="N822" s="9"/>
      <c r="O822" s="9"/>
      <c r="P822" s="9"/>
      <c r="Q822" s="9"/>
      <c r="R822" s="9"/>
    </row>
    <row r="823">
      <c r="A823" s="9"/>
      <c r="B823" s="9"/>
      <c r="C823" s="9"/>
      <c r="D823" s="9"/>
      <c r="E823" s="9"/>
      <c r="F823" s="9"/>
      <c r="G823" s="9"/>
      <c r="H823" s="9"/>
      <c r="I823" s="9"/>
      <c r="J823" s="9"/>
      <c r="K823" s="9"/>
      <c r="L823" s="9"/>
      <c r="M823" s="9"/>
      <c r="N823" s="9"/>
      <c r="O823" s="9"/>
      <c r="P823" s="9"/>
      <c r="Q823" s="9"/>
      <c r="R823" s="9"/>
    </row>
    <row r="824">
      <c r="A824" s="9"/>
      <c r="B824" s="9"/>
      <c r="C824" s="9"/>
      <c r="D824" s="9"/>
      <c r="E824" s="9"/>
      <c r="F824" s="9"/>
      <c r="G824" s="9"/>
      <c r="H824" s="9"/>
      <c r="I824" s="9"/>
      <c r="J824" s="9"/>
      <c r="K824" s="9"/>
      <c r="L824" s="9"/>
      <c r="M824" s="9"/>
      <c r="N824" s="9"/>
      <c r="O824" s="9"/>
      <c r="P824" s="9"/>
      <c r="Q824" s="9"/>
      <c r="R824" s="9"/>
    </row>
    <row r="825">
      <c r="A825" s="9"/>
      <c r="B825" s="9"/>
      <c r="C825" s="9"/>
      <c r="D825" s="9"/>
      <c r="E825" s="9"/>
      <c r="F825" s="9"/>
      <c r="G825" s="9"/>
      <c r="H825" s="9"/>
      <c r="I825" s="9"/>
      <c r="J825" s="9"/>
      <c r="K825" s="9"/>
      <c r="L825" s="9"/>
      <c r="M825" s="9"/>
      <c r="N825" s="9"/>
      <c r="O825" s="9"/>
      <c r="P825" s="9"/>
      <c r="Q825" s="9"/>
      <c r="R825" s="9"/>
    </row>
    <row r="826">
      <c r="A826" s="9"/>
      <c r="B826" s="9"/>
      <c r="C826" s="9"/>
      <c r="D826" s="9"/>
      <c r="E826" s="9"/>
      <c r="F826" s="9"/>
      <c r="G826" s="9"/>
      <c r="H826" s="9"/>
      <c r="I826" s="9"/>
      <c r="J826" s="9"/>
      <c r="K826" s="9"/>
      <c r="L826" s="9"/>
      <c r="M826" s="9"/>
      <c r="N826" s="9"/>
      <c r="O826" s="9"/>
      <c r="P826" s="9"/>
      <c r="Q826" s="9"/>
      <c r="R826" s="9"/>
    </row>
    <row r="827">
      <c r="A827" s="9"/>
      <c r="B827" s="9"/>
      <c r="C827" s="9"/>
      <c r="D827" s="9"/>
      <c r="E827" s="9"/>
      <c r="F827" s="9"/>
      <c r="G827" s="9"/>
      <c r="H827" s="9"/>
      <c r="I827" s="9"/>
      <c r="J827" s="9"/>
      <c r="K827" s="9"/>
      <c r="L827" s="9"/>
      <c r="M827" s="9"/>
      <c r="N827" s="9"/>
      <c r="O827" s="9"/>
      <c r="P827" s="9"/>
      <c r="Q827" s="9"/>
      <c r="R827" s="9"/>
    </row>
    <row r="828">
      <c r="A828" s="9"/>
      <c r="B828" s="9"/>
      <c r="C828" s="9"/>
      <c r="D828" s="9"/>
      <c r="E828" s="9"/>
      <c r="F828" s="9"/>
      <c r="G828" s="9"/>
      <c r="H828" s="9"/>
      <c r="I828" s="9"/>
      <c r="J828" s="9"/>
      <c r="K828" s="9"/>
      <c r="L828" s="9"/>
      <c r="M828" s="9"/>
      <c r="N828" s="9"/>
      <c r="O828" s="9"/>
      <c r="P828" s="9"/>
      <c r="Q828" s="9"/>
      <c r="R828" s="9"/>
    </row>
    <row r="829">
      <c r="A829" s="9"/>
      <c r="B829" s="9"/>
      <c r="C829" s="9"/>
      <c r="D829" s="9"/>
      <c r="E829" s="9"/>
      <c r="F829" s="9"/>
      <c r="G829" s="9"/>
      <c r="H829" s="9"/>
      <c r="I829" s="9"/>
      <c r="J829" s="9"/>
      <c r="K829" s="9"/>
      <c r="L829" s="9"/>
      <c r="M829" s="9"/>
      <c r="N829" s="9"/>
      <c r="O829" s="9"/>
      <c r="P829" s="9"/>
      <c r="Q829" s="9"/>
      <c r="R829" s="9"/>
    </row>
    <row r="830">
      <c r="A830" s="9"/>
      <c r="B830" s="9"/>
      <c r="C830" s="9"/>
      <c r="D830" s="9"/>
      <c r="E830" s="9"/>
      <c r="F830" s="9"/>
      <c r="G830" s="9"/>
      <c r="H830" s="9"/>
      <c r="I830" s="9"/>
      <c r="J830" s="9"/>
      <c r="K830" s="9"/>
      <c r="L830" s="9"/>
      <c r="M830" s="9"/>
      <c r="N830" s="9"/>
      <c r="O830" s="9"/>
      <c r="P830" s="9"/>
      <c r="Q830" s="9"/>
      <c r="R830" s="9"/>
    </row>
    <row r="831">
      <c r="A831" s="9"/>
      <c r="B831" s="9"/>
      <c r="C831" s="9"/>
      <c r="D831" s="9"/>
      <c r="E831" s="9"/>
      <c r="F831" s="9"/>
      <c r="G831" s="9"/>
      <c r="H831" s="9"/>
      <c r="I831" s="9"/>
      <c r="J831" s="9"/>
      <c r="K831" s="9"/>
      <c r="L831" s="9"/>
      <c r="M831" s="9"/>
      <c r="N831" s="9"/>
      <c r="O831" s="9"/>
      <c r="P831" s="9"/>
      <c r="Q831" s="9"/>
      <c r="R831" s="9"/>
    </row>
    <row r="832">
      <c r="A832" s="9"/>
      <c r="B832" s="9"/>
      <c r="C832" s="9"/>
      <c r="D832" s="9"/>
      <c r="E832" s="9"/>
      <c r="F832" s="9"/>
      <c r="G832" s="9"/>
      <c r="H832" s="9"/>
      <c r="I832" s="9"/>
      <c r="J832" s="9"/>
      <c r="K832" s="9"/>
      <c r="L832" s="9"/>
      <c r="M832" s="9"/>
      <c r="N832" s="9"/>
      <c r="O832" s="9"/>
      <c r="P832" s="9"/>
      <c r="Q832" s="9"/>
      <c r="R832" s="9"/>
    </row>
    <row r="833">
      <c r="A833" s="9"/>
      <c r="B833" s="9"/>
      <c r="C833" s="9"/>
      <c r="D833" s="9"/>
      <c r="E833" s="9"/>
      <c r="F833" s="9"/>
      <c r="G833" s="9"/>
      <c r="H833" s="9"/>
      <c r="I833" s="9"/>
      <c r="J833" s="9"/>
      <c r="K833" s="9"/>
      <c r="L833" s="9"/>
      <c r="M833" s="9"/>
      <c r="N833" s="9"/>
      <c r="O833" s="9"/>
      <c r="P833" s="9"/>
      <c r="Q833" s="9"/>
      <c r="R833" s="9"/>
    </row>
    <row r="834">
      <c r="A834" s="9"/>
      <c r="B834" s="9"/>
      <c r="C834" s="9"/>
      <c r="D834" s="9"/>
      <c r="E834" s="9"/>
      <c r="F834" s="9"/>
      <c r="G834" s="9"/>
      <c r="H834" s="9"/>
      <c r="I834" s="9"/>
      <c r="J834" s="9"/>
      <c r="K834" s="9"/>
      <c r="L834" s="9"/>
      <c r="M834" s="9"/>
      <c r="N834" s="9"/>
      <c r="O834" s="9"/>
      <c r="P834" s="9"/>
      <c r="Q834" s="9"/>
      <c r="R834" s="9"/>
    </row>
    <row r="835">
      <c r="A835" s="9"/>
      <c r="B835" s="9"/>
      <c r="C835" s="9"/>
      <c r="D835" s="9"/>
      <c r="E835" s="9"/>
      <c r="F835" s="9"/>
      <c r="G835" s="9"/>
      <c r="H835" s="9"/>
      <c r="I835" s="9"/>
      <c r="J835" s="9"/>
      <c r="K835" s="9"/>
      <c r="L835" s="9"/>
      <c r="M835" s="9"/>
      <c r="N835" s="9"/>
      <c r="O835" s="9"/>
      <c r="P835" s="9"/>
      <c r="Q835" s="9"/>
      <c r="R835" s="9"/>
    </row>
    <row r="836">
      <c r="A836" s="9"/>
      <c r="B836" s="9"/>
      <c r="C836" s="9"/>
      <c r="D836" s="9"/>
      <c r="E836" s="9"/>
      <c r="F836" s="9"/>
      <c r="G836" s="9"/>
      <c r="H836" s="9"/>
      <c r="I836" s="9"/>
      <c r="J836" s="9"/>
      <c r="K836" s="9"/>
      <c r="L836" s="9"/>
      <c r="M836" s="9"/>
      <c r="N836" s="9"/>
      <c r="O836" s="9"/>
      <c r="P836" s="9"/>
      <c r="Q836" s="9"/>
      <c r="R836" s="9"/>
    </row>
    <row r="837">
      <c r="A837" s="9"/>
      <c r="B837" s="9"/>
      <c r="C837" s="9"/>
      <c r="D837" s="9"/>
      <c r="E837" s="9"/>
      <c r="F837" s="9"/>
      <c r="G837" s="9"/>
      <c r="H837" s="9"/>
      <c r="I837" s="9"/>
      <c r="J837" s="9"/>
      <c r="K837" s="9"/>
      <c r="L837" s="9"/>
      <c r="M837" s="9"/>
      <c r="N837" s="9"/>
      <c r="O837" s="9"/>
      <c r="P837" s="9"/>
      <c r="Q837" s="9"/>
      <c r="R837" s="9"/>
    </row>
    <row r="838">
      <c r="A838" s="9"/>
      <c r="B838" s="9"/>
      <c r="C838" s="9"/>
      <c r="D838" s="9"/>
      <c r="E838" s="9"/>
      <c r="F838" s="9"/>
      <c r="G838" s="9"/>
      <c r="H838" s="9"/>
      <c r="I838" s="9"/>
      <c r="J838" s="9"/>
      <c r="K838" s="9"/>
      <c r="L838" s="9"/>
      <c r="M838" s="9"/>
      <c r="N838" s="9"/>
      <c r="O838" s="9"/>
      <c r="P838" s="9"/>
      <c r="Q838" s="9"/>
      <c r="R838" s="9"/>
    </row>
    <row r="839">
      <c r="A839" s="9"/>
      <c r="B839" s="9"/>
      <c r="C839" s="9"/>
      <c r="D839" s="9"/>
      <c r="E839" s="9"/>
      <c r="F839" s="9"/>
      <c r="G839" s="9"/>
      <c r="H839" s="9"/>
      <c r="I839" s="9"/>
      <c r="J839" s="9"/>
      <c r="K839" s="9"/>
      <c r="L839" s="9"/>
      <c r="M839" s="9"/>
      <c r="N839" s="9"/>
      <c r="O839" s="9"/>
      <c r="P839" s="9"/>
      <c r="Q839" s="9"/>
      <c r="R839" s="9"/>
    </row>
    <row r="840">
      <c r="A840" s="9"/>
      <c r="B840" s="9"/>
      <c r="C840" s="9"/>
      <c r="D840" s="9"/>
      <c r="E840" s="9"/>
      <c r="F840" s="9"/>
      <c r="G840" s="9"/>
      <c r="H840" s="9"/>
      <c r="I840" s="9"/>
      <c r="J840" s="9"/>
      <c r="K840" s="9"/>
      <c r="L840" s="9"/>
      <c r="M840" s="9"/>
      <c r="N840" s="9"/>
      <c r="O840" s="9"/>
      <c r="P840" s="9"/>
      <c r="Q840" s="9"/>
      <c r="R840" s="9"/>
    </row>
    <row r="841">
      <c r="A841" s="9"/>
      <c r="B841" s="9"/>
      <c r="C841" s="9"/>
      <c r="D841" s="9"/>
      <c r="E841" s="9"/>
      <c r="F841" s="9"/>
      <c r="G841" s="9"/>
      <c r="H841" s="9"/>
      <c r="I841" s="9"/>
      <c r="J841" s="9"/>
      <c r="K841" s="9"/>
      <c r="L841" s="9"/>
      <c r="M841" s="9"/>
      <c r="N841" s="9"/>
      <c r="O841" s="9"/>
      <c r="P841" s="9"/>
      <c r="Q841" s="9"/>
      <c r="R841" s="9"/>
    </row>
    <row r="842">
      <c r="A842" s="9"/>
      <c r="B842" s="9"/>
      <c r="C842" s="9"/>
      <c r="D842" s="9"/>
      <c r="E842" s="9"/>
      <c r="F842" s="9"/>
      <c r="G842" s="9"/>
      <c r="H842" s="9"/>
      <c r="I842" s="9"/>
      <c r="J842" s="9"/>
      <c r="K842" s="9"/>
      <c r="L842" s="9"/>
      <c r="M842" s="9"/>
      <c r="N842" s="9"/>
      <c r="O842" s="9"/>
      <c r="P842" s="9"/>
      <c r="Q842" s="9"/>
      <c r="R842" s="9"/>
    </row>
    <row r="843">
      <c r="A843" s="9"/>
      <c r="B843" s="9"/>
      <c r="C843" s="9"/>
      <c r="D843" s="9"/>
      <c r="E843" s="9"/>
      <c r="F843" s="9"/>
      <c r="G843" s="9"/>
      <c r="H843" s="9"/>
      <c r="I843" s="9"/>
      <c r="J843" s="9"/>
      <c r="K843" s="9"/>
      <c r="L843" s="9"/>
      <c r="M843" s="9"/>
      <c r="N843" s="9"/>
      <c r="O843" s="9"/>
      <c r="P843" s="9"/>
      <c r="Q843" s="9"/>
      <c r="R843" s="9"/>
    </row>
    <row r="844">
      <c r="A844" s="9"/>
      <c r="B844" s="9"/>
      <c r="C844" s="9"/>
      <c r="D844" s="9"/>
      <c r="E844" s="9"/>
      <c r="F844" s="9"/>
      <c r="G844" s="9"/>
      <c r="H844" s="9"/>
      <c r="I844" s="9"/>
      <c r="J844" s="9"/>
      <c r="K844" s="9"/>
      <c r="L844" s="9"/>
      <c r="M844" s="9"/>
      <c r="N844" s="9"/>
      <c r="O844" s="9"/>
      <c r="P844" s="9"/>
      <c r="Q844" s="9"/>
      <c r="R844" s="9"/>
    </row>
    <row r="845">
      <c r="A845" s="9"/>
      <c r="B845" s="9"/>
      <c r="C845" s="9"/>
      <c r="D845" s="9"/>
      <c r="E845" s="9"/>
      <c r="F845" s="9"/>
      <c r="G845" s="9"/>
      <c r="H845" s="9"/>
      <c r="I845" s="9"/>
      <c r="J845" s="9"/>
      <c r="K845" s="9"/>
      <c r="L845" s="9"/>
      <c r="M845" s="9"/>
      <c r="N845" s="9"/>
      <c r="O845" s="9"/>
      <c r="P845" s="9"/>
      <c r="Q845" s="9"/>
      <c r="R845" s="9"/>
    </row>
    <row r="846">
      <c r="A846" s="9"/>
      <c r="B846" s="9"/>
      <c r="C846" s="9"/>
      <c r="D846" s="9"/>
      <c r="E846" s="9"/>
      <c r="F846" s="9"/>
      <c r="G846" s="9"/>
      <c r="H846" s="9"/>
      <c r="I846" s="9"/>
      <c r="J846" s="9"/>
      <c r="K846" s="9"/>
      <c r="L846" s="9"/>
      <c r="M846" s="9"/>
      <c r="N846" s="9"/>
      <c r="O846" s="9"/>
      <c r="P846" s="9"/>
      <c r="Q846" s="9"/>
      <c r="R846" s="9"/>
    </row>
    <row r="847">
      <c r="A847" s="9"/>
      <c r="B847" s="9"/>
      <c r="C847" s="9"/>
      <c r="D847" s="9"/>
      <c r="E847" s="9"/>
      <c r="F847" s="9"/>
      <c r="G847" s="9"/>
      <c r="H847" s="9"/>
      <c r="I847" s="9"/>
      <c r="J847" s="9"/>
      <c r="K847" s="9"/>
      <c r="L847" s="9"/>
      <c r="M847" s="9"/>
      <c r="N847" s="9"/>
      <c r="O847" s="9"/>
      <c r="P847" s="9"/>
      <c r="Q847" s="9"/>
      <c r="R847" s="9"/>
    </row>
    <row r="848">
      <c r="A848" s="9"/>
      <c r="B848" s="9"/>
      <c r="C848" s="9"/>
      <c r="D848" s="9"/>
      <c r="E848" s="9"/>
      <c r="F848" s="9"/>
      <c r="G848" s="9"/>
      <c r="H848" s="9"/>
      <c r="I848" s="9"/>
      <c r="J848" s="9"/>
      <c r="K848" s="9"/>
      <c r="L848" s="9"/>
      <c r="M848" s="9"/>
      <c r="N848" s="9"/>
      <c r="O848" s="9"/>
      <c r="P848" s="9"/>
      <c r="Q848" s="9"/>
      <c r="R848" s="9"/>
    </row>
    <row r="849">
      <c r="A849" s="9"/>
      <c r="B849" s="9"/>
      <c r="C849" s="9"/>
      <c r="D849" s="9"/>
      <c r="E849" s="9"/>
      <c r="F849" s="9"/>
      <c r="G849" s="9"/>
      <c r="H849" s="9"/>
      <c r="I849" s="9"/>
      <c r="J849" s="9"/>
      <c r="K849" s="9"/>
      <c r="L849" s="9"/>
      <c r="M849" s="9"/>
      <c r="N849" s="9"/>
      <c r="O849" s="9"/>
      <c r="P849" s="9"/>
      <c r="Q849" s="9"/>
      <c r="R849" s="9"/>
    </row>
    <row r="850">
      <c r="A850" s="9"/>
      <c r="B850" s="9"/>
      <c r="C850" s="9"/>
      <c r="D850" s="9"/>
      <c r="E850" s="9"/>
      <c r="F850" s="9"/>
      <c r="G850" s="9"/>
      <c r="H850" s="9"/>
      <c r="I850" s="9"/>
      <c r="J850" s="9"/>
      <c r="K850" s="9"/>
      <c r="L850" s="9"/>
      <c r="M850" s="9"/>
      <c r="N850" s="9"/>
      <c r="O850" s="9"/>
      <c r="P850" s="9"/>
      <c r="Q850" s="9"/>
      <c r="R850" s="9"/>
    </row>
    <row r="851">
      <c r="A851" s="9"/>
      <c r="B851" s="9"/>
      <c r="C851" s="9"/>
      <c r="D851" s="9"/>
      <c r="E851" s="9"/>
      <c r="F851" s="9"/>
      <c r="G851" s="9"/>
      <c r="H851" s="9"/>
      <c r="I851" s="9"/>
      <c r="J851" s="9"/>
      <c r="K851" s="9"/>
      <c r="L851" s="9"/>
      <c r="M851" s="9"/>
      <c r="N851" s="9"/>
      <c r="O851" s="9"/>
      <c r="P851" s="9"/>
      <c r="Q851" s="9"/>
      <c r="R851" s="9"/>
    </row>
    <row r="852">
      <c r="A852" s="9"/>
      <c r="B852" s="9"/>
      <c r="C852" s="9"/>
      <c r="D852" s="9"/>
      <c r="E852" s="9"/>
      <c r="F852" s="9"/>
      <c r="G852" s="9"/>
      <c r="H852" s="9"/>
      <c r="I852" s="9"/>
      <c r="J852" s="9"/>
      <c r="K852" s="9"/>
      <c r="L852" s="9"/>
      <c r="M852" s="9"/>
      <c r="N852" s="9"/>
      <c r="O852" s="9"/>
      <c r="P852" s="9"/>
      <c r="Q852" s="9"/>
      <c r="R852" s="9"/>
    </row>
    <row r="853">
      <c r="A853" s="9"/>
      <c r="B853" s="9"/>
      <c r="C853" s="9"/>
      <c r="D853" s="9"/>
      <c r="E853" s="9"/>
      <c r="F853" s="9"/>
      <c r="G853" s="9"/>
      <c r="H853" s="9"/>
      <c r="I853" s="9"/>
      <c r="J853" s="9"/>
      <c r="K853" s="9"/>
      <c r="L853" s="9"/>
      <c r="M853" s="9"/>
      <c r="N853" s="9"/>
      <c r="O853" s="9"/>
      <c r="P853" s="9"/>
      <c r="Q853" s="9"/>
      <c r="R853" s="9"/>
    </row>
    <row r="854">
      <c r="A854" s="9"/>
      <c r="B854" s="9"/>
      <c r="C854" s="9"/>
      <c r="D854" s="9"/>
      <c r="E854" s="9"/>
      <c r="F854" s="9"/>
      <c r="G854" s="9"/>
      <c r="H854" s="9"/>
      <c r="I854" s="9"/>
      <c r="J854" s="9"/>
      <c r="K854" s="9"/>
      <c r="L854" s="9"/>
      <c r="M854" s="9"/>
      <c r="N854" s="9"/>
      <c r="O854" s="9"/>
      <c r="P854" s="9"/>
      <c r="Q854" s="9"/>
      <c r="R854" s="9"/>
    </row>
    <row r="855">
      <c r="A855" s="9"/>
      <c r="B855" s="9"/>
      <c r="C855" s="9"/>
      <c r="D855" s="9"/>
      <c r="E855" s="9"/>
      <c r="F855" s="9"/>
      <c r="G855" s="9"/>
      <c r="H855" s="9"/>
      <c r="I855" s="9"/>
      <c r="J855" s="9"/>
      <c r="K855" s="9"/>
      <c r="L855" s="9"/>
      <c r="M855" s="9"/>
      <c r="N855" s="9"/>
      <c r="O855" s="9"/>
      <c r="P855" s="9"/>
      <c r="Q855" s="9"/>
      <c r="R855" s="9"/>
    </row>
    <row r="856">
      <c r="A856" s="9"/>
      <c r="B856" s="9"/>
      <c r="C856" s="9"/>
      <c r="D856" s="9"/>
      <c r="E856" s="9"/>
      <c r="F856" s="9"/>
      <c r="G856" s="9"/>
      <c r="H856" s="9"/>
      <c r="I856" s="9"/>
      <c r="J856" s="9"/>
      <c r="K856" s="9"/>
      <c r="L856" s="9"/>
      <c r="M856" s="9"/>
      <c r="N856" s="9"/>
      <c r="O856" s="9"/>
      <c r="P856" s="9"/>
      <c r="Q856" s="9"/>
      <c r="R856" s="9"/>
    </row>
    <row r="857">
      <c r="A857" s="9"/>
      <c r="B857" s="9"/>
      <c r="C857" s="9"/>
      <c r="D857" s="9"/>
      <c r="E857" s="9"/>
      <c r="F857" s="9"/>
      <c r="G857" s="9"/>
      <c r="H857" s="9"/>
      <c r="I857" s="9"/>
      <c r="J857" s="9"/>
      <c r="K857" s="9"/>
      <c r="L857" s="9"/>
      <c r="M857" s="9"/>
      <c r="N857" s="9"/>
      <c r="O857" s="9"/>
      <c r="P857" s="9"/>
      <c r="Q857" s="9"/>
      <c r="R857" s="9"/>
    </row>
    <row r="858">
      <c r="A858" s="9"/>
      <c r="B858" s="9"/>
      <c r="C858" s="9"/>
      <c r="D858" s="9"/>
      <c r="E858" s="9"/>
      <c r="F858" s="9"/>
      <c r="G858" s="9"/>
      <c r="H858" s="9"/>
      <c r="I858" s="9"/>
      <c r="J858" s="9"/>
      <c r="K858" s="9"/>
      <c r="L858" s="9"/>
      <c r="M858" s="9"/>
      <c r="N858" s="9"/>
      <c r="O858" s="9"/>
      <c r="P858" s="9"/>
      <c r="Q858" s="9"/>
      <c r="R858" s="9"/>
    </row>
    <row r="859">
      <c r="A859" s="9"/>
      <c r="B859" s="9"/>
      <c r="C859" s="9"/>
      <c r="D859" s="9"/>
      <c r="E859" s="9"/>
      <c r="F859" s="9"/>
      <c r="G859" s="9"/>
      <c r="H859" s="9"/>
      <c r="I859" s="9"/>
      <c r="J859" s="9"/>
      <c r="K859" s="9"/>
      <c r="L859" s="9"/>
      <c r="M859" s="9"/>
      <c r="N859" s="9"/>
      <c r="O859" s="9"/>
      <c r="P859" s="9"/>
      <c r="Q859" s="9"/>
      <c r="R859" s="9"/>
    </row>
    <row r="860">
      <c r="A860" s="9"/>
      <c r="B860" s="9"/>
      <c r="C860" s="9"/>
      <c r="D860" s="9"/>
      <c r="E860" s="9"/>
      <c r="F860" s="9"/>
      <c r="G860" s="9"/>
      <c r="H860" s="9"/>
      <c r="I860" s="9"/>
      <c r="J860" s="9"/>
      <c r="K860" s="9"/>
      <c r="L860" s="9"/>
      <c r="M860" s="9"/>
      <c r="N860" s="9"/>
      <c r="O860" s="9"/>
      <c r="P860" s="9"/>
      <c r="Q860" s="9"/>
      <c r="R860" s="9"/>
    </row>
    <row r="861">
      <c r="A861" s="9"/>
      <c r="B861" s="9"/>
      <c r="C861" s="9"/>
      <c r="D861" s="9"/>
      <c r="E861" s="9"/>
      <c r="F861" s="9"/>
      <c r="G861" s="9"/>
      <c r="H861" s="9"/>
      <c r="I861" s="9"/>
      <c r="J861" s="9"/>
      <c r="K861" s="9"/>
      <c r="L861" s="9"/>
      <c r="M861" s="9"/>
      <c r="N861" s="9"/>
      <c r="O861" s="9"/>
      <c r="P861" s="9"/>
      <c r="Q861" s="9"/>
      <c r="R861" s="9"/>
    </row>
    <row r="862">
      <c r="A862" s="9"/>
      <c r="B862" s="9"/>
      <c r="C862" s="9"/>
      <c r="D862" s="9"/>
      <c r="E862" s="9"/>
      <c r="F862" s="9"/>
      <c r="G862" s="9"/>
      <c r="H862" s="9"/>
      <c r="I862" s="9"/>
      <c r="J862" s="9"/>
      <c r="K862" s="9"/>
      <c r="L862" s="9"/>
      <c r="M862" s="9"/>
      <c r="N862" s="9"/>
      <c r="O862" s="9"/>
      <c r="P862" s="9"/>
      <c r="Q862" s="9"/>
      <c r="R862" s="9"/>
    </row>
    <row r="863">
      <c r="A863" s="9"/>
      <c r="B863" s="9"/>
      <c r="C863" s="9"/>
      <c r="D863" s="9"/>
      <c r="E863" s="9"/>
      <c r="F863" s="9"/>
      <c r="G863" s="9"/>
      <c r="H863" s="9"/>
      <c r="I863" s="9"/>
      <c r="J863" s="9"/>
      <c r="K863" s="9"/>
      <c r="L863" s="9"/>
      <c r="M863" s="9"/>
      <c r="N863" s="9"/>
      <c r="O863" s="9"/>
      <c r="P863" s="9"/>
      <c r="Q863" s="9"/>
      <c r="R863" s="9"/>
    </row>
    <row r="864">
      <c r="A864" s="9"/>
      <c r="B864" s="9"/>
      <c r="C864" s="9"/>
      <c r="D864" s="9"/>
      <c r="E864" s="9"/>
      <c r="F864" s="9"/>
      <c r="G864" s="9"/>
      <c r="H864" s="9"/>
      <c r="I864" s="9"/>
      <c r="J864" s="9"/>
      <c r="K864" s="9"/>
      <c r="L864" s="9"/>
      <c r="M864" s="9"/>
      <c r="N864" s="9"/>
      <c r="O864" s="9"/>
      <c r="P864" s="9"/>
      <c r="Q864" s="9"/>
      <c r="R864" s="9"/>
    </row>
    <row r="865">
      <c r="A865" s="9"/>
      <c r="B865" s="9"/>
      <c r="C865" s="9"/>
      <c r="D865" s="9"/>
      <c r="E865" s="9"/>
      <c r="F865" s="9"/>
      <c r="G865" s="9"/>
      <c r="H865" s="9"/>
      <c r="I865" s="9"/>
      <c r="J865" s="9"/>
      <c r="K865" s="9"/>
      <c r="L865" s="9"/>
      <c r="M865" s="9"/>
      <c r="N865" s="9"/>
      <c r="O865" s="9"/>
      <c r="P865" s="9"/>
      <c r="Q865" s="9"/>
      <c r="R865" s="9"/>
    </row>
    <row r="866">
      <c r="A866" s="9"/>
      <c r="B866" s="9"/>
      <c r="C866" s="9"/>
      <c r="D866" s="9"/>
      <c r="E866" s="9"/>
      <c r="F866" s="9"/>
      <c r="G866" s="9"/>
      <c r="H866" s="9"/>
      <c r="I866" s="9"/>
      <c r="J866" s="9"/>
      <c r="K866" s="9"/>
      <c r="L866" s="9"/>
      <c r="M866" s="9"/>
      <c r="N866" s="9"/>
      <c r="O866" s="9"/>
      <c r="P866" s="9"/>
      <c r="Q866" s="9"/>
      <c r="R866" s="9"/>
    </row>
    <row r="867">
      <c r="A867" s="9"/>
      <c r="B867" s="9"/>
      <c r="C867" s="9"/>
      <c r="D867" s="9"/>
      <c r="E867" s="9"/>
      <c r="F867" s="9"/>
      <c r="G867" s="9"/>
      <c r="H867" s="9"/>
      <c r="I867" s="9"/>
      <c r="J867" s="9"/>
      <c r="K867" s="9"/>
      <c r="L867" s="9"/>
      <c r="M867" s="9"/>
      <c r="N867" s="9"/>
      <c r="O867" s="9"/>
      <c r="P867" s="9"/>
      <c r="Q867" s="9"/>
      <c r="R867" s="9"/>
    </row>
    <row r="868">
      <c r="A868" s="9"/>
      <c r="B868" s="9"/>
      <c r="C868" s="9"/>
      <c r="D868" s="9"/>
      <c r="E868" s="9"/>
      <c r="F868" s="9"/>
      <c r="G868" s="9"/>
      <c r="H868" s="9"/>
      <c r="I868" s="9"/>
      <c r="J868" s="9"/>
      <c r="K868" s="9"/>
      <c r="L868" s="9"/>
      <c r="M868" s="9"/>
      <c r="N868" s="9"/>
      <c r="O868" s="9"/>
      <c r="P868" s="9"/>
      <c r="Q868" s="9"/>
      <c r="R868" s="9"/>
    </row>
    <row r="869">
      <c r="A869" s="9"/>
      <c r="B869" s="9"/>
      <c r="C869" s="9"/>
      <c r="D869" s="9"/>
      <c r="E869" s="9"/>
      <c r="F869" s="9"/>
      <c r="G869" s="9"/>
      <c r="H869" s="9"/>
      <c r="I869" s="9"/>
      <c r="J869" s="9"/>
      <c r="K869" s="9"/>
      <c r="L869" s="9"/>
      <c r="M869" s="9"/>
      <c r="N869" s="9"/>
      <c r="O869" s="9"/>
      <c r="P869" s="9"/>
      <c r="Q869" s="9"/>
      <c r="R869" s="9"/>
    </row>
    <row r="870">
      <c r="A870" s="9"/>
      <c r="B870" s="9"/>
      <c r="C870" s="9"/>
      <c r="D870" s="9"/>
      <c r="E870" s="9"/>
      <c r="F870" s="9"/>
      <c r="G870" s="9"/>
      <c r="H870" s="9"/>
      <c r="I870" s="9"/>
      <c r="J870" s="9"/>
      <c r="K870" s="9"/>
      <c r="L870" s="9"/>
      <c r="M870" s="9"/>
      <c r="N870" s="9"/>
      <c r="O870" s="9"/>
      <c r="P870" s="9"/>
      <c r="Q870" s="9"/>
      <c r="R870" s="9"/>
    </row>
    <row r="871">
      <c r="A871" s="9"/>
      <c r="B871" s="9"/>
      <c r="C871" s="9"/>
      <c r="D871" s="9"/>
      <c r="E871" s="9"/>
      <c r="F871" s="9"/>
      <c r="G871" s="9"/>
      <c r="H871" s="9"/>
      <c r="I871" s="9"/>
      <c r="J871" s="9"/>
      <c r="K871" s="9"/>
      <c r="L871" s="9"/>
      <c r="M871" s="9"/>
      <c r="N871" s="9"/>
      <c r="O871" s="9"/>
      <c r="P871" s="9"/>
      <c r="Q871" s="9"/>
      <c r="R871" s="9"/>
    </row>
    <row r="872">
      <c r="A872" s="9"/>
      <c r="B872" s="9"/>
      <c r="C872" s="9"/>
      <c r="D872" s="9"/>
      <c r="E872" s="9"/>
      <c r="F872" s="9"/>
      <c r="G872" s="9"/>
      <c r="H872" s="9"/>
      <c r="I872" s="9"/>
      <c r="J872" s="9"/>
      <c r="K872" s="9"/>
      <c r="L872" s="9"/>
      <c r="M872" s="9"/>
      <c r="N872" s="9"/>
      <c r="O872" s="9"/>
      <c r="P872" s="9"/>
      <c r="Q872" s="9"/>
      <c r="R872" s="9"/>
    </row>
    <row r="873">
      <c r="A873" s="9"/>
      <c r="B873" s="9"/>
      <c r="C873" s="9"/>
      <c r="D873" s="9"/>
      <c r="E873" s="9"/>
      <c r="F873" s="9"/>
      <c r="G873" s="9"/>
      <c r="H873" s="9"/>
      <c r="I873" s="9"/>
      <c r="J873" s="9"/>
      <c r="K873" s="9"/>
      <c r="L873" s="9"/>
      <c r="M873" s="9"/>
      <c r="N873" s="9"/>
      <c r="O873" s="9"/>
      <c r="P873" s="9"/>
      <c r="Q873" s="9"/>
      <c r="R873" s="9"/>
    </row>
    <row r="874">
      <c r="A874" s="9"/>
      <c r="B874" s="9"/>
      <c r="C874" s="9"/>
      <c r="D874" s="9"/>
      <c r="E874" s="9"/>
      <c r="F874" s="9"/>
      <c r="G874" s="9"/>
      <c r="H874" s="9"/>
      <c r="I874" s="9"/>
      <c r="J874" s="9"/>
      <c r="K874" s="9"/>
      <c r="L874" s="9"/>
      <c r="M874" s="9"/>
      <c r="N874" s="9"/>
      <c r="O874" s="9"/>
      <c r="P874" s="9"/>
      <c r="Q874" s="9"/>
      <c r="R874" s="9"/>
    </row>
    <row r="875">
      <c r="A875" s="9"/>
      <c r="B875" s="9"/>
      <c r="C875" s="9"/>
      <c r="D875" s="9"/>
      <c r="E875" s="9"/>
      <c r="F875" s="9"/>
      <c r="G875" s="9"/>
      <c r="H875" s="9"/>
      <c r="I875" s="9"/>
      <c r="J875" s="9"/>
      <c r="K875" s="9"/>
      <c r="L875" s="9"/>
      <c r="M875" s="9"/>
      <c r="N875" s="9"/>
      <c r="O875" s="9"/>
      <c r="P875" s="9"/>
      <c r="Q875" s="9"/>
      <c r="R875" s="9"/>
    </row>
    <row r="876">
      <c r="A876" s="9"/>
      <c r="B876" s="9"/>
      <c r="C876" s="9"/>
      <c r="D876" s="9"/>
      <c r="E876" s="9"/>
      <c r="F876" s="9"/>
      <c r="G876" s="9"/>
      <c r="H876" s="9"/>
      <c r="I876" s="9"/>
      <c r="J876" s="9"/>
      <c r="K876" s="9"/>
      <c r="L876" s="9"/>
      <c r="M876" s="9"/>
      <c r="N876" s="9"/>
      <c r="O876" s="9"/>
      <c r="P876" s="9"/>
      <c r="Q876" s="9"/>
      <c r="R876" s="9"/>
    </row>
    <row r="877">
      <c r="A877" s="9"/>
      <c r="B877" s="9"/>
      <c r="C877" s="9"/>
      <c r="D877" s="9"/>
      <c r="E877" s="9"/>
      <c r="F877" s="9"/>
      <c r="G877" s="9"/>
      <c r="H877" s="9"/>
      <c r="I877" s="9"/>
      <c r="J877" s="9"/>
      <c r="K877" s="9"/>
      <c r="L877" s="9"/>
      <c r="M877" s="9"/>
      <c r="N877" s="9"/>
      <c r="O877" s="9"/>
      <c r="P877" s="9"/>
      <c r="Q877" s="9"/>
      <c r="R877" s="9"/>
    </row>
    <row r="878">
      <c r="A878" s="9"/>
      <c r="B878" s="9"/>
      <c r="C878" s="9"/>
      <c r="D878" s="9"/>
      <c r="E878" s="9"/>
      <c r="F878" s="9"/>
      <c r="G878" s="9"/>
      <c r="H878" s="9"/>
      <c r="I878" s="9"/>
      <c r="J878" s="9"/>
      <c r="K878" s="9"/>
      <c r="L878" s="9"/>
      <c r="M878" s="9"/>
      <c r="N878" s="9"/>
      <c r="O878" s="9"/>
      <c r="P878" s="9"/>
      <c r="Q878" s="9"/>
      <c r="R878" s="9"/>
    </row>
    <row r="879">
      <c r="A879" s="9"/>
      <c r="B879" s="9"/>
      <c r="C879" s="9"/>
      <c r="D879" s="9"/>
      <c r="E879" s="9"/>
      <c r="F879" s="9"/>
      <c r="G879" s="9"/>
      <c r="H879" s="9"/>
      <c r="I879" s="9"/>
      <c r="J879" s="9"/>
      <c r="K879" s="9"/>
      <c r="L879" s="9"/>
      <c r="M879" s="9"/>
      <c r="N879" s="9"/>
      <c r="O879" s="9"/>
      <c r="P879" s="9"/>
      <c r="Q879" s="9"/>
      <c r="R879" s="9"/>
    </row>
    <row r="880">
      <c r="A880" s="9"/>
      <c r="B880" s="9"/>
      <c r="C880" s="9"/>
      <c r="D880" s="9"/>
      <c r="E880" s="9"/>
      <c r="F880" s="9"/>
      <c r="G880" s="9"/>
      <c r="H880" s="9"/>
      <c r="I880" s="9"/>
      <c r="J880" s="9"/>
      <c r="K880" s="9"/>
      <c r="L880" s="9"/>
      <c r="M880" s="9"/>
      <c r="N880" s="9"/>
      <c r="O880" s="9"/>
      <c r="P880" s="9"/>
      <c r="Q880" s="9"/>
      <c r="R880" s="9"/>
    </row>
    <row r="881">
      <c r="A881" s="9"/>
      <c r="B881" s="9"/>
      <c r="C881" s="9"/>
      <c r="D881" s="9"/>
      <c r="E881" s="9"/>
      <c r="F881" s="9"/>
      <c r="G881" s="9"/>
      <c r="H881" s="9"/>
      <c r="I881" s="9"/>
      <c r="J881" s="9"/>
      <c r="K881" s="9"/>
      <c r="L881" s="9"/>
      <c r="M881" s="9"/>
      <c r="N881" s="9"/>
      <c r="O881" s="9"/>
      <c r="P881" s="9"/>
      <c r="Q881" s="9"/>
      <c r="R881" s="9"/>
    </row>
    <row r="882">
      <c r="A882" s="9"/>
      <c r="B882" s="9"/>
      <c r="C882" s="9"/>
      <c r="D882" s="9"/>
      <c r="E882" s="9"/>
      <c r="F882" s="9"/>
      <c r="G882" s="9"/>
      <c r="H882" s="9"/>
      <c r="I882" s="9"/>
      <c r="J882" s="9"/>
      <c r="K882" s="9"/>
      <c r="L882" s="9"/>
      <c r="M882" s="9"/>
      <c r="N882" s="9"/>
      <c r="O882" s="9"/>
      <c r="P882" s="9"/>
      <c r="Q882" s="9"/>
      <c r="R882" s="9"/>
    </row>
    <row r="883">
      <c r="A883" s="9"/>
      <c r="B883" s="9"/>
      <c r="C883" s="9"/>
      <c r="D883" s="9"/>
      <c r="E883" s="9"/>
      <c r="F883" s="9"/>
      <c r="G883" s="9"/>
      <c r="H883" s="9"/>
      <c r="I883" s="9"/>
      <c r="J883" s="9"/>
      <c r="K883" s="9"/>
      <c r="L883" s="9"/>
      <c r="M883" s="9"/>
      <c r="N883" s="9"/>
      <c r="O883" s="9"/>
      <c r="P883" s="9"/>
      <c r="Q883" s="9"/>
      <c r="R883" s="9"/>
    </row>
    <row r="884">
      <c r="A884" s="9"/>
      <c r="B884" s="9"/>
      <c r="C884" s="9"/>
      <c r="D884" s="9"/>
      <c r="E884" s="9"/>
      <c r="F884" s="9"/>
      <c r="G884" s="9"/>
      <c r="H884" s="9"/>
      <c r="I884" s="9"/>
      <c r="J884" s="9"/>
      <c r="K884" s="9"/>
      <c r="L884" s="9"/>
      <c r="M884" s="9"/>
      <c r="N884" s="9"/>
      <c r="O884" s="9"/>
      <c r="P884" s="9"/>
      <c r="Q884" s="9"/>
      <c r="R884" s="9"/>
    </row>
    <row r="885">
      <c r="A885" s="9"/>
      <c r="B885" s="9"/>
      <c r="C885" s="9"/>
      <c r="D885" s="9"/>
      <c r="E885" s="9"/>
      <c r="F885" s="9"/>
      <c r="G885" s="9"/>
      <c r="H885" s="9"/>
      <c r="I885" s="9"/>
      <c r="J885" s="9"/>
      <c r="K885" s="9"/>
      <c r="L885" s="9"/>
      <c r="M885" s="9"/>
      <c r="N885" s="9"/>
      <c r="O885" s="9"/>
      <c r="P885" s="9"/>
      <c r="Q885" s="9"/>
      <c r="R885" s="9"/>
    </row>
    <row r="886">
      <c r="A886" s="9"/>
      <c r="B886" s="9"/>
      <c r="C886" s="9"/>
      <c r="D886" s="9"/>
      <c r="E886" s="9"/>
      <c r="F886" s="9"/>
      <c r="G886" s="9"/>
      <c r="H886" s="9"/>
      <c r="I886" s="9"/>
      <c r="J886" s="9"/>
      <c r="K886" s="9"/>
      <c r="L886" s="9"/>
      <c r="M886" s="9"/>
      <c r="N886" s="9"/>
      <c r="O886" s="9"/>
      <c r="P886" s="9"/>
      <c r="Q886" s="9"/>
      <c r="R886" s="9"/>
    </row>
    <row r="887">
      <c r="A887" s="9"/>
      <c r="B887" s="9"/>
      <c r="C887" s="9"/>
      <c r="D887" s="9"/>
      <c r="E887" s="9"/>
      <c r="F887" s="9"/>
      <c r="G887" s="9"/>
      <c r="H887" s="9"/>
      <c r="I887" s="9"/>
      <c r="J887" s="9"/>
      <c r="K887" s="9"/>
      <c r="L887" s="9"/>
      <c r="M887" s="9"/>
      <c r="N887" s="9"/>
      <c r="O887" s="9"/>
      <c r="P887" s="9"/>
      <c r="Q887" s="9"/>
      <c r="R887" s="9"/>
    </row>
    <row r="888">
      <c r="A888" s="9"/>
      <c r="B888" s="9"/>
      <c r="C888" s="9"/>
      <c r="D888" s="9"/>
      <c r="E888" s="9"/>
      <c r="F888" s="9"/>
      <c r="G888" s="9"/>
      <c r="H888" s="9"/>
      <c r="I888" s="9"/>
      <c r="J888" s="9"/>
      <c r="K888" s="9"/>
      <c r="L888" s="9"/>
      <c r="M888" s="9"/>
      <c r="N888" s="9"/>
      <c r="O888" s="9"/>
      <c r="P888" s="9"/>
      <c r="Q888" s="9"/>
      <c r="R888" s="9"/>
    </row>
    <row r="889">
      <c r="A889" s="9"/>
      <c r="B889" s="9"/>
      <c r="C889" s="9"/>
      <c r="D889" s="9"/>
      <c r="E889" s="9"/>
      <c r="F889" s="9"/>
      <c r="G889" s="9"/>
      <c r="H889" s="9"/>
      <c r="I889" s="9"/>
      <c r="J889" s="9"/>
      <c r="K889" s="9"/>
      <c r="L889" s="9"/>
      <c r="M889" s="9"/>
      <c r="N889" s="9"/>
      <c r="O889" s="9"/>
      <c r="P889" s="9"/>
      <c r="Q889" s="9"/>
      <c r="R889" s="9"/>
    </row>
    <row r="890">
      <c r="A890" s="9"/>
      <c r="B890" s="9"/>
      <c r="C890" s="9"/>
      <c r="D890" s="9"/>
      <c r="E890" s="9"/>
      <c r="F890" s="9"/>
      <c r="G890" s="9"/>
      <c r="H890" s="9"/>
      <c r="I890" s="9"/>
      <c r="J890" s="9"/>
      <c r="K890" s="9"/>
      <c r="L890" s="9"/>
      <c r="M890" s="9"/>
      <c r="N890" s="9"/>
      <c r="O890" s="9"/>
      <c r="P890" s="9"/>
      <c r="Q890" s="9"/>
      <c r="R890" s="9"/>
    </row>
    <row r="891">
      <c r="A891" s="9"/>
      <c r="B891" s="9"/>
      <c r="C891" s="9"/>
      <c r="D891" s="9"/>
      <c r="E891" s="9"/>
      <c r="F891" s="9"/>
      <c r="G891" s="9"/>
      <c r="H891" s="9"/>
      <c r="I891" s="9"/>
      <c r="J891" s="9"/>
      <c r="K891" s="9"/>
      <c r="L891" s="9"/>
      <c r="M891" s="9"/>
      <c r="N891" s="9"/>
      <c r="O891" s="9"/>
      <c r="P891" s="9"/>
      <c r="Q891" s="9"/>
      <c r="R891" s="9"/>
    </row>
    <row r="892">
      <c r="A892" s="9"/>
      <c r="B892" s="9"/>
      <c r="C892" s="9"/>
      <c r="D892" s="9"/>
      <c r="E892" s="9"/>
      <c r="F892" s="9"/>
      <c r="G892" s="9"/>
      <c r="H892" s="9"/>
      <c r="I892" s="9"/>
      <c r="J892" s="9"/>
      <c r="K892" s="9"/>
      <c r="L892" s="9"/>
      <c r="M892" s="9"/>
      <c r="N892" s="9"/>
      <c r="O892" s="9"/>
      <c r="P892" s="9"/>
      <c r="Q892" s="9"/>
      <c r="R892" s="9"/>
    </row>
    <row r="893">
      <c r="A893" s="9"/>
      <c r="B893" s="9"/>
      <c r="C893" s="9"/>
      <c r="D893" s="9"/>
      <c r="E893" s="9"/>
      <c r="F893" s="9"/>
      <c r="G893" s="9"/>
      <c r="H893" s="9"/>
      <c r="I893" s="9"/>
      <c r="J893" s="9"/>
      <c r="K893" s="9"/>
      <c r="L893" s="9"/>
      <c r="M893" s="9"/>
      <c r="N893" s="9"/>
      <c r="O893" s="9"/>
      <c r="P893" s="9"/>
      <c r="Q893" s="9"/>
      <c r="R893" s="9"/>
    </row>
    <row r="894">
      <c r="A894" s="9"/>
      <c r="B894" s="9"/>
      <c r="C894" s="9"/>
      <c r="D894" s="9"/>
      <c r="E894" s="9"/>
      <c r="F894" s="9"/>
      <c r="G894" s="9"/>
      <c r="H894" s="9"/>
      <c r="I894" s="9"/>
      <c r="J894" s="9"/>
      <c r="K894" s="9"/>
      <c r="L894" s="9"/>
      <c r="M894" s="9"/>
      <c r="N894" s="9"/>
      <c r="O894" s="9"/>
      <c r="P894" s="9"/>
      <c r="Q894" s="9"/>
      <c r="R894" s="9"/>
    </row>
    <row r="895">
      <c r="A895" s="9"/>
      <c r="B895" s="9"/>
      <c r="C895" s="9"/>
      <c r="D895" s="9"/>
      <c r="E895" s="9"/>
      <c r="F895" s="9"/>
      <c r="G895" s="9"/>
      <c r="H895" s="9"/>
      <c r="I895" s="9"/>
      <c r="J895" s="9"/>
      <c r="K895" s="9"/>
      <c r="L895" s="9"/>
      <c r="M895" s="9"/>
      <c r="N895" s="9"/>
      <c r="O895" s="9"/>
      <c r="P895" s="9"/>
      <c r="Q895" s="9"/>
      <c r="R895" s="9"/>
    </row>
    <row r="896">
      <c r="A896" s="9"/>
      <c r="B896" s="9"/>
      <c r="C896" s="9"/>
      <c r="D896" s="9"/>
      <c r="E896" s="9"/>
      <c r="F896" s="9"/>
      <c r="G896" s="9"/>
      <c r="H896" s="9"/>
      <c r="I896" s="9"/>
      <c r="J896" s="9"/>
      <c r="K896" s="9"/>
      <c r="L896" s="9"/>
      <c r="M896" s="9"/>
      <c r="N896" s="9"/>
      <c r="O896" s="9"/>
      <c r="P896" s="9"/>
      <c r="Q896" s="9"/>
      <c r="R896" s="9"/>
    </row>
    <row r="897">
      <c r="A897" s="9"/>
      <c r="B897" s="9"/>
      <c r="C897" s="9"/>
      <c r="D897" s="9"/>
      <c r="E897" s="9"/>
      <c r="F897" s="9"/>
      <c r="G897" s="9"/>
      <c r="H897" s="9"/>
      <c r="I897" s="9"/>
      <c r="J897" s="9"/>
      <c r="K897" s="9"/>
      <c r="L897" s="9"/>
      <c r="M897" s="9"/>
      <c r="N897" s="9"/>
      <c r="O897" s="9"/>
      <c r="P897" s="9"/>
      <c r="Q897" s="9"/>
      <c r="R897" s="9"/>
    </row>
    <row r="898">
      <c r="A898" s="9"/>
      <c r="B898" s="9"/>
      <c r="C898" s="9"/>
      <c r="D898" s="9"/>
      <c r="E898" s="9"/>
      <c r="F898" s="9"/>
      <c r="G898" s="9"/>
      <c r="H898" s="9"/>
      <c r="I898" s="9"/>
      <c r="J898" s="9"/>
      <c r="K898" s="9"/>
      <c r="L898" s="9"/>
      <c r="M898" s="9"/>
      <c r="N898" s="9"/>
      <c r="O898" s="9"/>
      <c r="P898" s="9"/>
      <c r="Q898" s="9"/>
      <c r="R898" s="9"/>
    </row>
    <row r="899">
      <c r="A899" s="9"/>
      <c r="B899" s="9"/>
      <c r="C899" s="9"/>
      <c r="D899" s="9"/>
      <c r="E899" s="9"/>
      <c r="F899" s="9"/>
      <c r="G899" s="9"/>
      <c r="H899" s="9"/>
      <c r="I899" s="9"/>
      <c r="J899" s="9"/>
      <c r="K899" s="9"/>
      <c r="L899" s="9"/>
      <c r="M899" s="9"/>
      <c r="N899" s="9"/>
      <c r="O899" s="9"/>
      <c r="P899" s="9"/>
      <c r="Q899" s="9"/>
      <c r="R899" s="9"/>
    </row>
    <row r="900">
      <c r="A900" s="9"/>
      <c r="B900" s="9"/>
      <c r="C900" s="9"/>
      <c r="D900" s="9"/>
      <c r="E900" s="9"/>
      <c r="F900" s="9"/>
      <c r="G900" s="9"/>
      <c r="H900" s="9"/>
      <c r="I900" s="9"/>
      <c r="J900" s="9"/>
      <c r="K900" s="9"/>
      <c r="L900" s="9"/>
      <c r="M900" s="9"/>
      <c r="N900" s="9"/>
      <c r="O900" s="9"/>
      <c r="P900" s="9"/>
      <c r="Q900" s="9"/>
      <c r="R900" s="9"/>
    </row>
    <row r="901">
      <c r="A901" s="9"/>
      <c r="B901" s="9"/>
      <c r="C901" s="9"/>
      <c r="D901" s="9"/>
      <c r="E901" s="9"/>
      <c r="F901" s="9"/>
      <c r="G901" s="9"/>
      <c r="H901" s="9"/>
      <c r="I901" s="9"/>
      <c r="J901" s="9"/>
      <c r="K901" s="9"/>
      <c r="L901" s="9"/>
      <c r="M901" s="9"/>
      <c r="N901" s="9"/>
      <c r="O901" s="9"/>
      <c r="P901" s="9"/>
      <c r="Q901" s="9"/>
      <c r="R901" s="9"/>
    </row>
    <row r="902">
      <c r="A902" s="9"/>
      <c r="B902" s="9"/>
      <c r="C902" s="9"/>
      <c r="D902" s="9"/>
      <c r="E902" s="9"/>
      <c r="F902" s="9"/>
      <c r="G902" s="9"/>
      <c r="H902" s="9"/>
      <c r="I902" s="9"/>
      <c r="J902" s="9"/>
      <c r="K902" s="9"/>
      <c r="L902" s="9"/>
      <c r="M902" s="9"/>
      <c r="N902" s="9"/>
      <c r="O902" s="9"/>
      <c r="P902" s="9"/>
      <c r="Q902" s="9"/>
      <c r="R902" s="9"/>
    </row>
    <row r="903">
      <c r="A903" s="9"/>
      <c r="B903" s="9"/>
      <c r="C903" s="9"/>
      <c r="D903" s="9"/>
      <c r="E903" s="9"/>
      <c r="F903" s="9"/>
      <c r="G903" s="9"/>
      <c r="H903" s="9"/>
      <c r="I903" s="9"/>
      <c r="J903" s="9"/>
      <c r="K903" s="9"/>
      <c r="L903" s="9"/>
      <c r="M903" s="9"/>
      <c r="N903" s="9"/>
      <c r="O903" s="9"/>
      <c r="P903" s="9"/>
      <c r="Q903" s="9"/>
      <c r="R903" s="9"/>
    </row>
    <row r="904">
      <c r="A904" s="9"/>
      <c r="B904" s="9"/>
      <c r="C904" s="9"/>
      <c r="D904" s="9"/>
      <c r="E904" s="9"/>
      <c r="F904" s="9"/>
      <c r="G904" s="9"/>
      <c r="H904" s="9"/>
      <c r="I904" s="9"/>
      <c r="J904" s="9"/>
      <c r="K904" s="9"/>
      <c r="L904" s="9"/>
      <c r="M904" s="9"/>
      <c r="N904" s="9"/>
      <c r="O904" s="9"/>
      <c r="P904" s="9"/>
      <c r="Q904" s="9"/>
      <c r="R904" s="9"/>
    </row>
    <row r="905">
      <c r="A905" s="9"/>
      <c r="B905" s="9"/>
      <c r="C905" s="9"/>
      <c r="D905" s="9"/>
      <c r="E905" s="9"/>
      <c r="F905" s="9"/>
      <c r="G905" s="9"/>
      <c r="H905" s="9"/>
      <c r="I905" s="9"/>
      <c r="J905" s="9"/>
      <c r="K905" s="9"/>
      <c r="L905" s="9"/>
      <c r="M905" s="9"/>
      <c r="N905" s="9"/>
      <c r="O905" s="9"/>
      <c r="P905" s="9"/>
      <c r="Q905" s="9"/>
      <c r="R905" s="9"/>
    </row>
    <row r="906">
      <c r="A906" s="9"/>
      <c r="B906" s="9"/>
      <c r="C906" s="9"/>
      <c r="D906" s="9"/>
      <c r="E906" s="9"/>
      <c r="F906" s="9"/>
      <c r="G906" s="9"/>
      <c r="H906" s="9"/>
      <c r="I906" s="9"/>
      <c r="J906" s="9"/>
      <c r="K906" s="9"/>
      <c r="L906" s="9"/>
      <c r="M906" s="9"/>
      <c r="N906" s="9"/>
      <c r="O906" s="9"/>
      <c r="P906" s="9"/>
      <c r="Q906" s="9"/>
      <c r="R906" s="9"/>
    </row>
    <row r="907">
      <c r="A907" s="9"/>
      <c r="B907" s="9"/>
      <c r="C907" s="9"/>
      <c r="D907" s="9"/>
      <c r="E907" s="9"/>
      <c r="F907" s="9"/>
      <c r="G907" s="9"/>
      <c r="H907" s="9"/>
      <c r="I907" s="9"/>
      <c r="J907" s="9"/>
      <c r="K907" s="9"/>
      <c r="L907" s="9"/>
      <c r="M907" s="9"/>
      <c r="N907" s="9"/>
      <c r="O907" s="9"/>
      <c r="P907" s="9"/>
      <c r="Q907" s="9"/>
      <c r="R907" s="9"/>
    </row>
    <row r="908">
      <c r="A908" s="9"/>
      <c r="B908" s="9"/>
      <c r="C908" s="9"/>
      <c r="D908" s="9"/>
      <c r="E908" s="9"/>
      <c r="F908" s="9"/>
      <c r="G908" s="9"/>
      <c r="H908" s="9"/>
      <c r="I908" s="9"/>
      <c r="J908" s="9"/>
      <c r="K908" s="9"/>
      <c r="L908" s="9"/>
      <c r="M908" s="9"/>
      <c r="N908" s="9"/>
      <c r="O908" s="9"/>
      <c r="P908" s="9"/>
      <c r="Q908" s="9"/>
      <c r="R908" s="9"/>
    </row>
    <row r="909">
      <c r="A909" s="9"/>
      <c r="B909" s="9"/>
      <c r="C909" s="9"/>
      <c r="D909" s="9"/>
      <c r="E909" s="9"/>
      <c r="F909" s="9"/>
      <c r="G909" s="9"/>
      <c r="H909" s="9"/>
      <c r="I909" s="9"/>
      <c r="J909" s="9"/>
      <c r="K909" s="9"/>
      <c r="L909" s="9"/>
      <c r="M909" s="9"/>
      <c r="N909" s="9"/>
      <c r="O909" s="9"/>
      <c r="P909" s="9"/>
      <c r="Q909" s="9"/>
      <c r="R909" s="9"/>
    </row>
    <row r="910">
      <c r="A910" s="9"/>
      <c r="B910" s="9"/>
      <c r="C910" s="9"/>
      <c r="D910" s="9"/>
      <c r="E910" s="9"/>
      <c r="F910" s="9"/>
      <c r="G910" s="9"/>
      <c r="H910" s="9"/>
      <c r="I910" s="9"/>
      <c r="J910" s="9"/>
      <c r="K910" s="9"/>
      <c r="L910" s="9"/>
      <c r="M910" s="9"/>
      <c r="N910" s="9"/>
      <c r="O910" s="9"/>
      <c r="P910" s="9"/>
      <c r="Q910" s="9"/>
      <c r="R910" s="9"/>
    </row>
    <row r="911">
      <c r="A911" s="9"/>
      <c r="B911" s="9"/>
      <c r="C911" s="9"/>
      <c r="D911" s="9"/>
      <c r="E911" s="9"/>
      <c r="F911" s="9"/>
      <c r="G911" s="9"/>
      <c r="H911" s="9"/>
      <c r="I911" s="9"/>
      <c r="J911" s="9"/>
      <c r="K911" s="9"/>
      <c r="L911" s="9"/>
      <c r="M911" s="9"/>
      <c r="N911" s="9"/>
      <c r="O911" s="9"/>
      <c r="P911" s="9"/>
      <c r="Q911" s="9"/>
      <c r="R911" s="9"/>
    </row>
    <row r="912">
      <c r="A912" s="9"/>
      <c r="B912" s="9"/>
      <c r="C912" s="9"/>
      <c r="D912" s="9"/>
      <c r="E912" s="9"/>
      <c r="F912" s="9"/>
      <c r="G912" s="9"/>
      <c r="H912" s="9"/>
      <c r="I912" s="9"/>
      <c r="J912" s="9"/>
      <c r="K912" s="9"/>
      <c r="L912" s="9"/>
      <c r="M912" s="9"/>
      <c r="N912" s="9"/>
      <c r="O912" s="9"/>
      <c r="P912" s="9"/>
      <c r="Q912" s="9"/>
      <c r="R912" s="9"/>
    </row>
    <row r="913">
      <c r="A913" s="9"/>
      <c r="B913" s="9"/>
      <c r="C913" s="9"/>
      <c r="D913" s="9"/>
      <c r="E913" s="9"/>
      <c r="F913" s="9"/>
      <c r="G913" s="9"/>
      <c r="H913" s="9"/>
      <c r="I913" s="9"/>
      <c r="J913" s="9"/>
      <c r="K913" s="9"/>
      <c r="L913" s="9"/>
      <c r="M913" s="9"/>
      <c r="N913" s="9"/>
      <c r="O913" s="9"/>
      <c r="P913" s="9"/>
      <c r="Q913" s="9"/>
      <c r="R913" s="9"/>
    </row>
    <row r="914">
      <c r="A914" s="9"/>
      <c r="B914" s="9"/>
      <c r="C914" s="9"/>
      <c r="D914" s="9"/>
      <c r="E914" s="9"/>
      <c r="F914" s="9"/>
      <c r="G914" s="9"/>
      <c r="H914" s="9"/>
      <c r="I914" s="9"/>
      <c r="J914" s="9"/>
      <c r="K914" s="9"/>
      <c r="L914" s="9"/>
      <c r="M914" s="9"/>
      <c r="N914" s="9"/>
      <c r="O914" s="9"/>
      <c r="P914" s="9"/>
      <c r="Q914" s="9"/>
      <c r="R914" s="9"/>
    </row>
    <row r="915">
      <c r="A915" s="9"/>
      <c r="B915" s="9"/>
      <c r="C915" s="9"/>
      <c r="D915" s="9"/>
      <c r="E915" s="9"/>
      <c r="F915" s="9"/>
      <c r="G915" s="9"/>
      <c r="H915" s="9"/>
      <c r="I915" s="9"/>
      <c r="J915" s="9"/>
      <c r="K915" s="9"/>
      <c r="L915" s="9"/>
      <c r="M915" s="9"/>
      <c r="N915" s="9"/>
      <c r="O915" s="9"/>
      <c r="P915" s="9"/>
      <c r="Q915" s="9"/>
      <c r="R915" s="9"/>
    </row>
    <row r="916">
      <c r="A916" s="9"/>
      <c r="B916" s="9"/>
      <c r="C916" s="9"/>
      <c r="D916" s="9"/>
      <c r="E916" s="9"/>
      <c r="F916" s="9"/>
      <c r="G916" s="9"/>
      <c r="H916" s="9"/>
      <c r="I916" s="9"/>
      <c r="J916" s="9"/>
      <c r="K916" s="9"/>
      <c r="L916" s="9"/>
      <c r="M916" s="9"/>
      <c r="N916" s="9"/>
      <c r="O916" s="9"/>
      <c r="P916" s="9"/>
      <c r="Q916" s="9"/>
      <c r="R916" s="9"/>
    </row>
    <row r="917">
      <c r="A917" s="9"/>
      <c r="B917" s="9"/>
      <c r="C917" s="9"/>
      <c r="D917" s="9"/>
      <c r="E917" s="9"/>
      <c r="F917" s="9"/>
      <c r="G917" s="9"/>
      <c r="H917" s="9"/>
      <c r="I917" s="9"/>
      <c r="J917" s="9"/>
      <c r="K917" s="9"/>
      <c r="L917" s="9"/>
      <c r="M917" s="9"/>
      <c r="N917" s="9"/>
      <c r="O917" s="9"/>
      <c r="P917" s="9"/>
      <c r="Q917" s="9"/>
      <c r="R917" s="9"/>
    </row>
    <row r="918">
      <c r="A918" s="9"/>
      <c r="B918" s="9"/>
      <c r="C918" s="9"/>
      <c r="D918" s="9"/>
      <c r="E918" s="9"/>
      <c r="F918" s="9"/>
      <c r="G918" s="9"/>
      <c r="H918" s="9"/>
      <c r="I918" s="9"/>
      <c r="J918" s="9"/>
      <c r="K918" s="9"/>
      <c r="L918" s="9"/>
      <c r="M918" s="9"/>
      <c r="N918" s="9"/>
      <c r="O918" s="9"/>
      <c r="P918" s="9"/>
      <c r="Q918" s="9"/>
      <c r="R918" s="9"/>
    </row>
    <row r="919">
      <c r="A919" s="9"/>
      <c r="B919" s="9"/>
      <c r="C919" s="9"/>
      <c r="D919" s="9"/>
      <c r="E919" s="9"/>
      <c r="F919" s="9"/>
      <c r="G919" s="9"/>
      <c r="H919" s="9"/>
      <c r="I919" s="9"/>
      <c r="J919" s="9"/>
      <c r="K919" s="9"/>
      <c r="L919" s="9"/>
      <c r="M919" s="9"/>
      <c r="N919" s="9"/>
      <c r="O919" s="9"/>
      <c r="P919" s="9"/>
      <c r="Q919" s="9"/>
      <c r="R919" s="9"/>
    </row>
    <row r="920">
      <c r="A920" s="9"/>
      <c r="B920" s="9"/>
      <c r="C920" s="9"/>
      <c r="D920" s="9"/>
      <c r="E920" s="9"/>
      <c r="F920" s="9"/>
      <c r="G920" s="9"/>
      <c r="H920" s="9"/>
      <c r="I920" s="9"/>
      <c r="J920" s="9"/>
      <c r="K920" s="9"/>
      <c r="L920" s="9"/>
      <c r="M920" s="9"/>
      <c r="N920" s="9"/>
      <c r="O920" s="9"/>
      <c r="P920" s="9"/>
      <c r="Q920" s="9"/>
      <c r="R920" s="9"/>
    </row>
    <row r="921">
      <c r="A921" s="9"/>
      <c r="B921" s="9"/>
      <c r="C921" s="9"/>
      <c r="D921" s="9"/>
      <c r="E921" s="9"/>
      <c r="F921" s="9"/>
      <c r="G921" s="9"/>
      <c r="H921" s="9"/>
      <c r="I921" s="9"/>
      <c r="J921" s="9"/>
      <c r="K921" s="9"/>
      <c r="L921" s="9"/>
      <c r="M921" s="9"/>
      <c r="N921" s="9"/>
      <c r="O921" s="9"/>
      <c r="P921" s="9"/>
      <c r="Q921" s="9"/>
      <c r="R921" s="9"/>
    </row>
    <row r="922">
      <c r="A922" s="9"/>
      <c r="B922" s="9"/>
      <c r="C922" s="9"/>
      <c r="D922" s="9"/>
      <c r="E922" s="9"/>
      <c r="F922" s="9"/>
      <c r="G922" s="9"/>
      <c r="H922" s="9"/>
      <c r="I922" s="9"/>
      <c r="J922" s="9"/>
      <c r="K922" s="9"/>
      <c r="L922" s="9"/>
      <c r="M922" s="9"/>
      <c r="N922" s="9"/>
      <c r="O922" s="9"/>
      <c r="P922" s="9"/>
      <c r="Q922" s="9"/>
      <c r="R922" s="9"/>
    </row>
    <row r="923">
      <c r="A923" s="9"/>
      <c r="B923" s="9"/>
      <c r="C923" s="9"/>
      <c r="D923" s="9"/>
      <c r="E923" s="9"/>
      <c r="F923" s="9"/>
      <c r="G923" s="9"/>
      <c r="H923" s="9"/>
      <c r="I923" s="9"/>
      <c r="J923" s="9"/>
      <c r="K923" s="9"/>
      <c r="L923" s="9"/>
      <c r="M923" s="9"/>
      <c r="N923" s="9"/>
      <c r="O923" s="9"/>
      <c r="P923" s="9"/>
      <c r="Q923" s="9"/>
      <c r="R923" s="9"/>
    </row>
    <row r="924">
      <c r="A924" s="9"/>
      <c r="B924" s="9"/>
      <c r="C924" s="9"/>
      <c r="D924" s="9"/>
      <c r="E924" s="9"/>
      <c r="F924" s="9"/>
      <c r="G924" s="9"/>
      <c r="H924" s="9"/>
      <c r="I924" s="9"/>
      <c r="J924" s="9"/>
      <c r="K924" s="9"/>
      <c r="L924" s="9"/>
      <c r="M924" s="9"/>
      <c r="N924" s="9"/>
      <c r="O924" s="9"/>
      <c r="P924" s="9"/>
      <c r="Q924" s="9"/>
      <c r="R924" s="9"/>
    </row>
    <row r="925">
      <c r="A925" s="9"/>
      <c r="B925" s="9"/>
      <c r="C925" s="9"/>
      <c r="D925" s="9"/>
      <c r="E925" s="9"/>
      <c r="F925" s="9"/>
      <c r="G925" s="9"/>
      <c r="H925" s="9"/>
      <c r="I925" s="9"/>
      <c r="J925" s="9"/>
      <c r="K925" s="9"/>
      <c r="L925" s="9"/>
      <c r="M925" s="9"/>
      <c r="N925" s="9"/>
      <c r="O925" s="9"/>
      <c r="P925" s="9"/>
      <c r="Q925" s="9"/>
      <c r="R925" s="9"/>
    </row>
    <row r="926">
      <c r="A926" s="9"/>
      <c r="B926" s="9"/>
      <c r="C926" s="9"/>
      <c r="D926" s="9"/>
      <c r="E926" s="9"/>
      <c r="F926" s="9"/>
      <c r="G926" s="9"/>
      <c r="H926" s="9"/>
      <c r="I926" s="9"/>
      <c r="J926" s="9"/>
      <c r="K926" s="9"/>
      <c r="L926" s="9"/>
      <c r="M926" s="9"/>
      <c r="N926" s="9"/>
      <c r="O926" s="9"/>
      <c r="P926" s="9"/>
      <c r="Q926" s="9"/>
      <c r="R926" s="9"/>
    </row>
    <row r="927">
      <c r="A927" s="9"/>
      <c r="B927" s="9"/>
      <c r="C927" s="9"/>
      <c r="D927" s="9"/>
      <c r="E927" s="9"/>
      <c r="F927" s="9"/>
      <c r="G927" s="9"/>
      <c r="H927" s="9"/>
      <c r="I927" s="9"/>
      <c r="J927" s="9"/>
      <c r="K927" s="9"/>
      <c r="L927" s="9"/>
      <c r="M927" s="9"/>
      <c r="N927" s="9"/>
      <c r="O927" s="9"/>
      <c r="P927" s="9"/>
      <c r="Q927" s="9"/>
      <c r="R927" s="9"/>
    </row>
    <row r="928">
      <c r="A928" s="9"/>
      <c r="B928" s="9"/>
      <c r="C928" s="9"/>
      <c r="D928" s="9"/>
      <c r="E928" s="9"/>
      <c r="F928" s="9"/>
      <c r="G928" s="9"/>
      <c r="H928" s="9"/>
      <c r="I928" s="9"/>
      <c r="J928" s="9"/>
      <c r="K928" s="9"/>
      <c r="L928" s="9"/>
      <c r="M928" s="9"/>
      <c r="N928" s="9"/>
      <c r="O928" s="9"/>
      <c r="P928" s="9"/>
      <c r="Q928" s="9"/>
      <c r="R928" s="9"/>
    </row>
    <row r="929">
      <c r="A929" s="9"/>
      <c r="B929" s="9"/>
      <c r="C929" s="9"/>
      <c r="D929" s="9"/>
      <c r="E929" s="9"/>
      <c r="F929" s="9"/>
      <c r="G929" s="9"/>
      <c r="H929" s="9"/>
      <c r="I929" s="9"/>
      <c r="J929" s="9"/>
      <c r="K929" s="9"/>
      <c r="L929" s="9"/>
      <c r="M929" s="9"/>
      <c r="N929" s="9"/>
      <c r="O929" s="9"/>
      <c r="P929" s="9"/>
      <c r="Q929" s="9"/>
      <c r="R929" s="9"/>
    </row>
    <row r="930">
      <c r="A930" s="9"/>
      <c r="B930" s="9"/>
      <c r="C930" s="9"/>
      <c r="D930" s="9"/>
      <c r="E930" s="9"/>
      <c r="F930" s="9"/>
      <c r="G930" s="9"/>
      <c r="H930" s="9"/>
      <c r="I930" s="9"/>
      <c r="J930" s="9"/>
      <c r="K930" s="9"/>
      <c r="L930" s="9"/>
      <c r="M930" s="9"/>
      <c r="N930" s="9"/>
      <c r="O930" s="9"/>
      <c r="P930" s="9"/>
      <c r="Q930" s="9"/>
      <c r="R930" s="9"/>
    </row>
    <row r="931">
      <c r="A931" s="9"/>
      <c r="B931" s="9"/>
      <c r="C931" s="9"/>
      <c r="D931" s="9"/>
      <c r="E931" s="9"/>
      <c r="F931" s="9"/>
      <c r="G931" s="9"/>
      <c r="H931" s="9"/>
      <c r="I931" s="9"/>
      <c r="J931" s="9"/>
      <c r="K931" s="9"/>
      <c r="L931" s="9"/>
      <c r="M931" s="9"/>
      <c r="N931" s="9"/>
      <c r="O931" s="9"/>
      <c r="P931" s="9"/>
      <c r="Q931" s="9"/>
      <c r="R931" s="9"/>
    </row>
    <row r="932">
      <c r="A932" s="9"/>
      <c r="B932" s="9"/>
      <c r="C932" s="9"/>
      <c r="D932" s="9"/>
      <c r="E932" s="9"/>
      <c r="F932" s="9"/>
      <c r="G932" s="9"/>
      <c r="H932" s="9"/>
      <c r="I932" s="9"/>
      <c r="J932" s="9"/>
      <c r="K932" s="9"/>
      <c r="L932" s="9"/>
      <c r="M932" s="9"/>
      <c r="N932" s="9"/>
      <c r="O932" s="9"/>
      <c r="P932" s="9"/>
      <c r="Q932" s="9"/>
      <c r="R932" s="9"/>
    </row>
    <row r="933">
      <c r="A933" s="9"/>
      <c r="B933" s="9"/>
      <c r="C933" s="9"/>
      <c r="D933" s="9"/>
      <c r="E933" s="9"/>
      <c r="F933" s="9"/>
      <c r="G933" s="9"/>
      <c r="H933" s="9"/>
      <c r="I933" s="9"/>
      <c r="J933" s="9"/>
      <c r="K933" s="9"/>
      <c r="L933" s="9"/>
      <c r="M933" s="9"/>
      <c r="N933" s="9"/>
      <c r="O933" s="9"/>
      <c r="P933" s="9"/>
      <c r="Q933" s="9"/>
      <c r="R933" s="9"/>
    </row>
    <row r="934">
      <c r="A934" s="9"/>
      <c r="B934" s="9"/>
      <c r="C934" s="9"/>
      <c r="D934" s="9"/>
      <c r="E934" s="9"/>
      <c r="F934" s="9"/>
      <c r="G934" s="9"/>
      <c r="H934" s="9"/>
      <c r="I934" s="9"/>
      <c r="J934" s="9"/>
      <c r="K934" s="9"/>
      <c r="L934" s="9"/>
      <c r="M934" s="9"/>
      <c r="N934" s="9"/>
      <c r="O934" s="9"/>
      <c r="P934" s="9"/>
      <c r="Q934" s="9"/>
      <c r="R934" s="9"/>
    </row>
    <row r="935">
      <c r="A935" s="9"/>
      <c r="B935" s="9"/>
      <c r="C935" s="9"/>
      <c r="D935" s="9"/>
      <c r="E935" s="9"/>
      <c r="F935" s="9"/>
      <c r="G935" s="9"/>
      <c r="H935" s="9"/>
      <c r="I935" s="9"/>
      <c r="J935" s="9"/>
      <c r="K935" s="9"/>
      <c r="L935" s="9"/>
      <c r="M935" s="9"/>
      <c r="N935" s="9"/>
      <c r="O935" s="9"/>
      <c r="P935" s="9"/>
      <c r="Q935" s="9"/>
      <c r="R935" s="9"/>
    </row>
    <row r="936">
      <c r="A936" s="9"/>
      <c r="B936" s="9"/>
      <c r="C936" s="9"/>
      <c r="D936" s="9"/>
      <c r="E936" s="9"/>
      <c r="F936" s="9"/>
      <c r="G936" s="9"/>
      <c r="H936" s="9"/>
      <c r="I936" s="9"/>
      <c r="J936" s="9"/>
      <c r="K936" s="9"/>
      <c r="L936" s="9"/>
      <c r="M936" s="9"/>
      <c r="N936" s="9"/>
      <c r="O936" s="9"/>
      <c r="P936" s="9"/>
      <c r="Q936" s="9"/>
      <c r="R936" s="9"/>
    </row>
    <row r="937">
      <c r="A937" s="9"/>
      <c r="B937" s="9"/>
      <c r="C937" s="9"/>
      <c r="D937" s="9"/>
      <c r="E937" s="9"/>
      <c r="F937" s="9"/>
      <c r="G937" s="9"/>
      <c r="H937" s="9"/>
      <c r="I937" s="9"/>
      <c r="J937" s="9"/>
      <c r="K937" s="9"/>
      <c r="L937" s="9"/>
      <c r="M937" s="9"/>
      <c r="N937" s="9"/>
      <c r="O937" s="9"/>
      <c r="P937" s="9"/>
      <c r="Q937" s="9"/>
      <c r="R937" s="9"/>
    </row>
    <row r="938">
      <c r="A938" s="9"/>
      <c r="B938" s="9"/>
      <c r="C938" s="9"/>
      <c r="D938" s="9"/>
      <c r="E938" s="9"/>
      <c r="F938" s="9"/>
      <c r="G938" s="9"/>
      <c r="H938" s="9"/>
      <c r="I938" s="9"/>
      <c r="J938" s="9"/>
      <c r="K938" s="9"/>
      <c r="L938" s="9"/>
      <c r="M938" s="9"/>
      <c r="N938" s="9"/>
      <c r="O938" s="9"/>
      <c r="P938" s="9"/>
      <c r="Q938" s="9"/>
      <c r="R938" s="9"/>
    </row>
    <row r="939">
      <c r="A939" s="9"/>
      <c r="B939" s="9"/>
      <c r="C939" s="9"/>
      <c r="D939" s="9"/>
      <c r="E939" s="9"/>
      <c r="F939" s="9"/>
      <c r="G939" s="9"/>
      <c r="H939" s="9"/>
      <c r="I939" s="9"/>
      <c r="J939" s="9"/>
      <c r="K939" s="9"/>
      <c r="L939" s="9"/>
      <c r="M939" s="9"/>
      <c r="N939" s="9"/>
      <c r="O939" s="9"/>
      <c r="P939" s="9"/>
      <c r="Q939" s="9"/>
      <c r="R939" s="9"/>
    </row>
    <row r="940">
      <c r="A940" s="9"/>
      <c r="B940" s="9"/>
      <c r="C940" s="9"/>
      <c r="D940" s="9"/>
      <c r="E940" s="9"/>
      <c r="F940" s="9"/>
      <c r="G940" s="9"/>
      <c r="H940" s="9"/>
      <c r="I940" s="9"/>
      <c r="J940" s="9"/>
      <c r="K940" s="9"/>
      <c r="L940" s="9"/>
      <c r="M940" s="9"/>
      <c r="N940" s="9"/>
      <c r="O940" s="9"/>
      <c r="P940" s="9"/>
      <c r="Q940" s="9"/>
      <c r="R940" s="9"/>
    </row>
    <row r="941">
      <c r="A941" s="9"/>
      <c r="B941" s="9"/>
      <c r="C941" s="9"/>
      <c r="D941" s="9"/>
      <c r="E941" s="9"/>
      <c r="F941" s="9"/>
      <c r="G941" s="9"/>
      <c r="H941" s="9"/>
      <c r="I941" s="9"/>
      <c r="J941" s="9"/>
      <c r="K941" s="9"/>
      <c r="L941" s="9"/>
      <c r="M941" s="9"/>
      <c r="N941" s="9"/>
      <c r="O941" s="9"/>
      <c r="P941" s="9"/>
      <c r="Q941" s="9"/>
      <c r="R941" s="9"/>
    </row>
    <row r="942">
      <c r="A942" s="9"/>
      <c r="B942" s="9"/>
      <c r="C942" s="9"/>
      <c r="D942" s="9"/>
      <c r="E942" s="9"/>
      <c r="F942" s="9"/>
      <c r="G942" s="9"/>
      <c r="H942" s="9"/>
      <c r="I942" s="9"/>
      <c r="J942" s="9"/>
      <c r="K942" s="9"/>
      <c r="L942" s="9"/>
      <c r="M942" s="9"/>
      <c r="N942" s="9"/>
      <c r="O942" s="9"/>
      <c r="P942" s="9"/>
      <c r="Q942" s="9"/>
      <c r="R942" s="9"/>
    </row>
    <row r="943">
      <c r="A943" s="9"/>
      <c r="B943" s="9"/>
      <c r="C943" s="9"/>
      <c r="D943" s="9"/>
      <c r="E943" s="9"/>
      <c r="F943" s="9"/>
      <c r="G943" s="9"/>
      <c r="H943" s="9"/>
      <c r="I943" s="9"/>
      <c r="J943" s="9"/>
      <c r="K943" s="9"/>
      <c r="L943" s="9"/>
      <c r="M943" s="9"/>
      <c r="N943" s="9"/>
      <c r="O943" s="9"/>
      <c r="P943" s="9"/>
      <c r="Q943" s="9"/>
      <c r="R943" s="9"/>
    </row>
    <row r="944">
      <c r="A944" s="9"/>
      <c r="B944" s="9"/>
      <c r="C944" s="9"/>
      <c r="D944" s="9"/>
      <c r="E944" s="9"/>
      <c r="F944" s="9"/>
      <c r="G944" s="9"/>
      <c r="H944" s="9"/>
      <c r="I944" s="9"/>
      <c r="J944" s="9"/>
      <c r="K944" s="9"/>
      <c r="L944" s="9"/>
      <c r="M944" s="9"/>
      <c r="N944" s="9"/>
      <c r="O944" s="9"/>
      <c r="P944" s="9"/>
      <c r="Q944" s="9"/>
      <c r="R944" s="9"/>
    </row>
    <row r="945">
      <c r="A945" s="9"/>
      <c r="B945" s="9"/>
      <c r="C945" s="9"/>
      <c r="D945" s="9"/>
      <c r="E945" s="9"/>
      <c r="F945" s="9"/>
      <c r="G945" s="9"/>
      <c r="H945" s="9"/>
      <c r="I945" s="9"/>
      <c r="J945" s="9"/>
      <c r="K945" s="9"/>
      <c r="L945" s="9"/>
      <c r="M945" s="9"/>
      <c r="N945" s="9"/>
      <c r="O945" s="9"/>
      <c r="P945" s="9"/>
      <c r="Q945" s="9"/>
      <c r="R945" s="9"/>
    </row>
    <row r="946">
      <c r="A946" s="9"/>
      <c r="B946" s="9"/>
      <c r="C946" s="9"/>
      <c r="D946" s="9"/>
      <c r="E946" s="9"/>
      <c r="F946" s="9"/>
      <c r="G946" s="9"/>
      <c r="H946" s="9"/>
      <c r="I946" s="9"/>
      <c r="J946" s="9"/>
      <c r="K946" s="9"/>
      <c r="L946" s="9"/>
      <c r="M946" s="9"/>
      <c r="N946" s="9"/>
      <c r="O946" s="9"/>
      <c r="P946" s="9"/>
      <c r="Q946" s="9"/>
      <c r="R946" s="9"/>
    </row>
    <row r="947">
      <c r="A947" s="9"/>
      <c r="B947" s="9"/>
      <c r="C947" s="9"/>
      <c r="D947" s="9"/>
      <c r="E947" s="9"/>
      <c r="F947" s="9"/>
      <c r="G947" s="9"/>
      <c r="H947" s="9"/>
      <c r="I947" s="9"/>
      <c r="J947" s="9"/>
      <c r="K947" s="9"/>
      <c r="L947" s="9"/>
      <c r="M947" s="9"/>
      <c r="N947" s="9"/>
      <c r="O947" s="9"/>
      <c r="P947" s="9"/>
      <c r="Q947" s="9"/>
      <c r="R947" s="9"/>
    </row>
    <row r="948">
      <c r="A948" s="9"/>
      <c r="B948" s="9"/>
      <c r="C948" s="9"/>
      <c r="D948" s="9"/>
      <c r="E948" s="9"/>
      <c r="F948" s="9"/>
      <c r="G948" s="9"/>
      <c r="H948" s="9"/>
      <c r="I948" s="9"/>
      <c r="J948" s="9"/>
      <c r="K948" s="9"/>
      <c r="L948" s="9"/>
      <c r="M948" s="9"/>
      <c r="N948" s="9"/>
      <c r="O948" s="9"/>
      <c r="P948" s="9"/>
      <c r="Q948" s="9"/>
      <c r="R948" s="9"/>
    </row>
    <row r="949">
      <c r="A949" s="9"/>
      <c r="B949" s="9"/>
      <c r="C949" s="9"/>
      <c r="D949" s="9"/>
      <c r="E949" s="9"/>
      <c r="F949" s="9"/>
      <c r="G949" s="9"/>
      <c r="H949" s="9"/>
      <c r="I949" s="9"/>
      <c r="J949" s="9"/>
      <c r="K949" s="9"/>
      <c r="L949" s="9"/>
      <c r="M949" s="9"/>
      <c r="N949" s="9"/>
      <c r="O949" s="9"/>
      <c r="P949" s="9"/>
      <c r="Q949" s="9"/>
      <c r="R949" s="9"/>
    </row>
    <row r="950">
      <c r="A950" s="9"/>
      <c r="B950" s="9"/>
      <c r="C950" s="9"/>
      <c r="D950" s="9"/>
      <c r="E950" s="9"/>
      <c r="F950" s="9"/>
      <c r="G950" s="9"/>
      <c r="H950" s="9"/>
      <c r="I950" s="9"/>
      <c r="J950" s="9"/>
      <c r="K950" s="9"/>
      <c r="L950" s="9"/>
      <c r="M950" s="9"/>
      <c r="N950" s="9"/>
      <c r="O950" s="9"/>
      <c r="P950" s="9"/>
      <c r="Q950" s="9"/>
      <c r="R950" s="9"/>
    </row>
    <row r="951">
      <c r="A951" s="9"/>
      <c r="B951" s="9"/>
      <c r="C951" s="9"/>
      <c r="D951" s="9"/>
      <c r="E951" s="9"/>
      <c r="F951" s="9"/>
      <c r="G951" s="9"/>
      <c r="H951" s="9"/>
      <c r="I951" s="9"/>
      <c r="J951" s="9"/>
      <c r="K951" s="9"/>
      <c r="L951" s="9"/>
      <c r="M951" s="9"/>
      <c r="N951" s="9"/>
      <c r="O951" s="9"/>
      <c r="P951" s="9"/>
      <c r="Q951" s="9"/>
      <c r="R951" s="9"/>
    </row>
    <row r="952">
      <c r="A952" s="9"/>
      <c r="B952" s="9"/>
      <c r="C952" s="9"/>
      <c r="D952" s="9"/>
      <c r="E952" s="9"/>
      <c r="F952" s="9"/>
      <c r="G952" s="9"/>
      <c r="H952" s="9"/>
      <c r="I952" s="9"/>
      <c r="J952" s="9"/>
      <c r="K952" s="9"/>
      <c r="L952" s="9"/>
      <c r="M952" s="9"/>
      <c r="N952" s="9"/>
      <c r="O952" s="9"/>
      <c r="P952" s="9"/>
      <c r="Q952" s="9"/>
      <c r="R952" s="9"/>
    </row>
    <row r="953">
      <c r="A953" s="9"/>
      <c r="B953" s="9"/>
      <c r="C953" s="9"/>
      <c r="D953" s="9"/>
      <c r="E953" s="9"/>
      <c r="F953" s="9"/>
      <c r="G953" s="9"/>
      <c r="H953" s="9"/>
      <c r="I953" s="9"/>
      <c r="J953" s="9"/>
      <c r="K953" s="9"/>
      <c r="L953" s="9"/>
      <c r="M953" s="9"/>
      <c r="N953" s="9"/>
      <c r="O953" s="9"/>
      <c r="P953" s="9"/>
      <c r="Q953" s="9"/>
      <c r="R953" s="9"/>
    </row>
    <row r="954">
      <c r="A954" s="9"/>
      <c r="B954" s="9"/>
      <c r="C954" s="9"/>
      <c r="D954" s="9"/>
      <c r="E954" s="9"/>
      <c r="F954" s="9"/>
      <c r="G954" s="9"/>
      <c r="H954" s="9"/>
      <c r="I954" s="9"/>
      <c r="J954" s="9"/>
      <c r="K954" s="9"/>
      <c r="L954" s="9"/>
      <c r="M954" s="9"/>
      <c r="N954" s="9"/>
      <c r="O954" s="9"/>
      <c r="P954" s="9"/>
      <c r="Q954" s="9"/>
      <c r="R954" s="9"/>
    </row>
    <row r="955">
      <c r="A955" s="9"/>
      <c r="B955" s="9"/>
      <c r="C955" s="9"/>
      <c r="D955" s="9"/>
      <c r="E955" s="9"/>
      <c r="F955" s="9"/>
      <c r="G955" s="9"/>
      <c r="H955" s="9"/>
      <c r="I955" s="9"/>
      <c r="J955" s="9"/>
      <c r="K955" s="9"/>
      <c r="L955" s="9"/>
      <c r="M955" s="9"/>
      <c r="N955" s="9"/>
      <c r="O955" s="9"/>
      <c r="P955" s="9"/>
      <c r="Q955" s="9"/>
      <c r="R955" s="9"/>
    </row>
    <row r="956">
      <c r="A956" s="9"/>
      <c r="B956" s="9"/>
      <c r="C956" s="9"/>
      <c r="D956" s="9"/>
      <c r="E956" s="9"/>
      <c r="F956" s="9"/>
      <c r="G956" s="9"/>
      <c r="H956" s="9"/>
      <c r="I956" s="9"/>
      <c r="J956" s="9"/>
      <c r="K956" s="9"/>
      <c r="L956" s="9"/>
      <c r="M956" s="9"/>
      <c r="N956" s="9"/>
      <c r="O956" s="9"/>
      <c r="P956" s="9"/>
      <c r="Q956" s="9"/>
      <c r="R956" s="9"/>
    </row>
    <row r="957">
      <c r="A957" s="9"/>
      <c r="B957" s="9"/>
      <c r="C957" s="9"/>
      <c r="D957" s="9"/>
      <c r="E957" s="9"/>
      <c r="F957" s="9"/>
      <c r="G957" s="9"/>
      <c r="H957" s="9"/>
      <c r="I957" s="9"/>
      <c r="J957" s="9"/>
      <c r="K957" s="9"/>
      <c r="L957" s="9"/>
      <c r="M957" s="9"/>
      <c r="N957" s="9"/>
      <c r="O957" s="9"/>
      <c r="P957" s="9"/>
      <c r="Q957" s="9"/>
      <c r="R957" s="9"/>
    </row>
    <row r="958">
      <c r="A958" s="9"/>
      <c r="B958" s="9"/>
      <c r="C958" s="9"/>
      <c r="D958" s="9"/>
      <c r="E958" s="9"/>
      <c r="F958" s="9"/>
      <c r="G958" s="9"/>
      <c r="H958" s="9"/>
      <c r="I958" s="9"/>
      <c r="J958" s="9"/>
      <c r="K958" s="9"/>
      <c r="L958" s="9"/>
      <c r="M958" s="9"/>
      <c r="N958" s="9"/>
      <c r="O958" s="9"/>
      <c r="P958" s="9"/>
      <c r="Q958" s="9"/>
      <c r="R958" s="9"/>
    </row>
    <row r="959">
      <c r="A959" s="9"/>
      <c r="B959" s="9"/>
      <c r="C959" s="9"/>
      <c r="D959" s="9"/>
      <c r="E959" s="9"/>
      <c r="F959" s="9"/>
      <c r="G959" s="9"/>
      <c r="H959" s="9"/>
      <c r="I959" s="9"/>
      <c r="J959" s="9"/>
      <c r="K959" s="9"/>
      <c r="L959" s="9"/>
      <c r="M959" s="9"/>
      <c r="N959" s="9"/>
      <c r="O959" s="9"/>
      <c r="P959" s="9"/>
      <c r="Q959" s="9"/>
      <c r="R959" s="9"/>
    </row>
    <row r="960">
      <c r="A960" s="9"/>
      <c r="B960" s="9"/>
      <c r="C960" s="9"/>
      <c r="D960" s="9"/>
      <c r="E960" s="9"/>
      <c r="F960" s="9"/>
      <c r="G960" s="9"/>
      <c r="H960" s="9"/>
      <c r="I960" s="9"/>
      <c r="J960" s="9"/>
      <c r="K960" s="9"/>
      <c r="L960" s="9"/>
      <c r="M960" s="9"/>
      <c r="N960" s="9"/>
      <c r="O960" s="9"/>
      <c r="P960" s="9"/>
      <c r="Q960" s="9"/>
      <c r="R960" s="9"/>
    </row>
    <row r="961">
      <c r="A961" s="9"/>
      <c r="B961" s="9"/>
      <c r="C961" s="9"/>
      <c r="D961" s="9"/>
      <c r="E961" s="9"/>
      <c r="F961" s="9"/>
      <c r="G961" s="9"/>
      <c r="H961" s="9"/>
      <c r="I961" s="9"/>
      <c r="J961" s="9"/>
      <c r="K961" s="9"/>
      <c r="L961" s="9"/>
      <c r="M961" s="9"/>
      <c r="N961" s="9"/>
      <c r="O961" s="9"/>
      <c r="P961" s="9"/>
      <c r="Q961" s="9"/>
      <c r="R961" s="9"/>
    </row>
    <row r="962">
      <c r="A962" s="9"/>
      <c r="B962" s="9"/>
      <c r="C962" s="9"/>
      <c r="D962" s="9"/>
      <c r="E962" s="9"/>
      <c r="F962" s="9"/>
      <c r="G962" s="9"/>
      <c r="H962" s="9"/>
      <c r="I962" s="9"/>
      <c r="J962" s="9"/>
      <c r="K962" s="9"/>
      <c r="L962" s="9"/>
      <c r="M962" s="9"/>
      <c r="N962" s="9"/>
      <c r="O962" s="9"/>
      <c r="P962" s="9"/>
      <c r="Q962" s="9"/>
      <c r="R962" s="9"/>
    </row>
    <row r="963">
      <c r="A963" s="9"/>
      <c r="B963" s="9"/>
      <c r="C963" s="9"/>
      <c r="D963" s="9"/>
      <c r="E963" s="9"/>
      <c r="F963" s="9"/>
      <c r="G963" s="9"/>
      <c r="H963" s="9"/>
      <c r="I963" s="9"/>
      <c r="J963" s="9"/>
      <c r="K963" s="9"/>
      <c r="L963" s="9"/>
      <c r="M963" s="9"/>
      <c r="N963" s="9"/>
      <c r="O963" s="9"/>
      <c r="P963" s="9"/>
      <c r="Q963" s="9"/>
      <c r="R963" s="9"/>
    </row>
    <row r="964">
      <c r="A964" s="9"/>
      <c r="B964" s="9"/>
      <c r="C964" s="9"/>
      <c r="D964" s="9"/>
      <c r="E964" s="9"/>
      <c r="F964" s="9"/>
      <c r="G964" s="9"/>
      <c r="H964" s="9"/>
      <c r="I964" s="9"/>
      <c r="J964" s="9"/>
      <c r="K964" s="9"/>
      <c r="L964" s="9"/>
      <c r="M964" s="9"/>
      <c r="N964" s="9"/>
      <c r="O964" s="9"/>
      <c r="P964" s="9"/>
      <c r="Q964" s="9"/>
      <c r="R964" s="9"/>
    </row>
    <row r="965">
      <c r="A965" s="9"/>
      <c r="B965" s="9"/>
      <c r="C965" s="9"/>
      <c r="D965" s="9"/>
      <c r="E965" s="9"/>
      <c r="F965" s="9"/>
      <c r="G965" s="9"/>
      <c r="H965" s="9"/>
      <c r="I965" s="9"/>
      <c r="J965" s="9"/>
      <c r="K965" s="9"/>
      <c r="L965" s="9"/>
      <c r="M965" s="9"/>
      <c r="N965" s="9"/>
      <c r="O965" s="9"/>
      <c r="P965" s="9"/>
      <c r="Q965" s="9"/>
      <c r="R965" s="9"/>
    </row>
    <row r="966">
      <c r="A966" s="9"/>
      <c r="B966" s="9"/>
      <c r="C966" s="9"/>
      <c r="D966" s="9"/>
      <c r="E966" s="9"/>
      <c r="F966" s="9"/>
      <c r="G966" s="9"/>
      <c r="H966" s="9"/>
      <c r="I966" s="9"/>
      <c r="J966" s="9"/>
      <c r="K966" s="9"/>
      <c r="L966" s="9"/>
      <c r="M966" s="9"/>
      <c r="N966" s="9"/>
      <c r="O966" s="9"/>
      <c r="P966" s="9"/>
      <c r="Q966" s="9"/>
      <c r="R966" s="9"/>
    </row>
    <row r="967">
      <c r="A967" s="9"/>
      <c r="B967" s="9"/>
      <c r="C967" s="9"/>
      <c r="D967" s="9"/>
      <c r="E967" s="9"/>
      <c r="F967" s="9"/>
      <c r="G967" s="9"/>
      <c r="H967" s="9"/>
      <c r="I967" s="9"/>
      <c r="J967" s="9"/>
      <c r="K967" s="9"/>
      <c r="L967" s="9"/>
      <c r="M967" s="9"/>
      <c r="N967" s="9"/>
      <c r="O967" s="9"/>
      <c r="P967" s="9"/>
      <c r="Q967" s="9"/>
      <c r="R967" s="9"/>
    </row>
    <row r="968">
      <c r="A968" s="9"/>
      <c r="B968" s="9"/>
      <c r="C968" s="9"/>
      <c r="D968" s="9"/>
      <c r="E968" s="9"/>
      <c r="F968" s="9"/>
      <c r="G968" s="9"/>
      <c r="H968" s="9"/>
      <c r="I968" s="9"/>
      <c r="J968" s="9"/>
      <c r="K968" s="9"/>
      <c r="L968" s="9"/>
      <c r="M968" s="9"/>
      <c r="N968" s="9"/>
      <c r="O968" s="9"/>
      <c r="P968" s="9"/>
      <c r="Q968" s="9"/>
      <c r="R968" s="9"/>
    </row>
    <row r="969">
      <c r="A969" s="9"/>
      <c r="B969" s="9"/>
      <c r="C969" s="9"/>
      <c r="D969" s="9"/>
      <c r="E969" s="9"/>
      <c r="F969" s="9"/>
      <c r="G969" s="9"/>
      <c r="H969" s="9"/>
      <c r="I969" s="9"/>
      <c r="J969" s="9"/>
      <c r="K969" s="9"/>
      <c r="L969" s="9"/>
      <c r="M969" s="9"/>
      <c r="N969" s="9"/>
      <c r="O969" s="9"/>
      <c r="P969" s="9"/>
      <c r="Q969" s="9"/>
      <c r="R969" s="9"/>
    </row>
    <row r="970">
      <c r="A970" s="9"/>
      <c r="B970" s="9"/>
      <c r="C970" s="9"/>
      <c r="D970" s="9"/>
      <c r="E970" s="9"/>
      <c r="F970" s="9"/>
      <c r="G970" s="9"/>
      <c r="H970" s="9"/>
      <c r="I970" s="9"/>
      <c r="J970" s="9"/>
      <c r="K970" s="9"/>
      <c r="L970" s="9"/>
      <c r="M970" s="9"/>
      <c r="N970" s="9"/>
      <c r="O970" s="9"/>
      <c r="P970" s="9"/>
      <c r="Q970" s="9"/>
      <c r="R970" s="9"/>
    </row>
    <row r="971">
      <c r="A971" s="9"/>
      <c r="B971" s="9"/>
      <c r="C971" s="9"/>
      <c r="D971" s="9"/>
      <c r="E971" s="9"/>
      <c r="F971" s="9"/>
      <c r="G971" s="9"/>
      <c r="H971" s="9"/>
      <c r="I971" s="9"/>
      <c r="J971" s="9"/>
      <c r="K971" s="9"/>
      <c r="L971" s="9"/>
      <c r="M971" s="9"/>
      <c r="N971" s="9"/>
      <c r="O971" s="9"/>
      <c r="P971" s="9"/>
      <c r="Q971" s="9"/>
      <c r="R971" s="9"/>
    </row>
    <row r="972">
      <c r="A972" s="9"/>
      <c r="B972" s="9"/>
      <c r="C972" s="9"/>
      <c r="D972" s="9"/>
      <c r="E972" s="9"/>
      <c r="F972" s="9"/>
      <c r="G972" s="9"/>
      <c r="H972" s="9"/>
      <c r="I972" s="9"/>
      <c r="J972" s="9"/>
      <c r="K972" s="9"/>
      <c r="L972" s="9"/>
      <c r="M972" s="9"/>
      <c r="N972" s="9"/>
      <c r="O972" s="9"/>
      <c r="P972" s="9"/>
      <c r="Q972" s="9"/>
      <c r="R972" s="9"/>
    </row>
    <row r="973">
      <c r="A973" s="9"/>
      <c r="B973" s="9"/>
      <c r="C973" s="9"/>
      <c r="D973" s="9"/>
      <c r="E973" s="9"/>
      <c r="F973" s="9"/>
      <c r="G973" s="9"/>
      <c r="H973" s="9"/>
      <c r="I973" s="9"/>
      <c r="J973" s="9"/>
      <c r="K973" s="9"/>
      <c r="L973" s="9"/>
      <c r="M973" s="9"/>
      <c r="N973" s="9"/>
      <c r="O973" s="9"/>
      <c r="P973" s="9"/>
      <c r="Q973" s="9"/>
      <c r="R973" s="9"/>
    </row>
    <row r="974">
      <c r="A974" s="9"/>
      <c r="B974" s="9"/>
      <c r="C974" s="9"/>
      <c r="D974" s="9"/>
      <c r="E974" s="9"/>
      <c r="F974" s="9"/>
      <c r="G974" s="9"/>
      <c r="H974" s="9"/>
      <c r="I974" s="9"/>
      <c r="J974" s="9"/>
      <c r="K974" s="9"/>
      <c r="L974" s="9"/>
      <c r="M974" s="9"/>
      <c r="N974" s="9"/>
      <c r="O974" s="9"/>
      <c r="P974" s="9"/>
      <c r="Q974" s="9"/>
      <c r="R974" s="9"/>
    </row>
    <row r="975">
      <c r="A975" s="9"/>
      <c r="B975" s="9"/>
      <c r="C975" s="9"/>
      <c r="D975" s="9"/>
      <c r="E975" s="9"/>
      <c r="F975" s="9"/>
      <c r="G975" s="9"/>
      <c r="H975" s="9"/>
      <c r="I975" s="9"/>
      <c r="J975" s="9"/>
      <c r="K975" s="9"/>
      <c r="L975" s="9"/>
      <c r="M975" s="9"/>
      <c r="N975" s="9"/>
      <c r="O975" s="9"/>
      <c r="P975" s="9"/>
      <c r="Q975" s="9"/>
      <c r="R975" s="9"/>
    </row>
    <row r="976">
      <c r="A976" s="9"/>
      <c r="B976" s="9"/>
      <c r="C976" s="9"/>
      <c r="D976" s="9"/>
      <c r="E976" s="9"/>
      <c r="F976" s="9"/>
      <c r="G976" s="9"/>
      <c r="H976" s="9"/>
      <c r="I976" s="9"/>
      <c r="J976" s="9"/>
      <c r="K976" s="9"/>
      <c r="L976" s="9"/>
      <c r="M976" s="9"/>
      <c r="N976" s="9"/>
      <c r="O976" s="9"/>
      <c r="P976" s="9"/>
      <c r="Q976" s="9"/>
      <c r="R976" s="9"/>
    </row>
    <row r="977">
      <c r="A977" s="9"/>
      <c r="B977" s="9"/>
      <c r="C977" s="9"/>
      <c r="D977" s="9"/>
      <c r="E977" s="9"/>
      <c r="F977" s="9"/>
      <c r="G977" s="9"/>
      <c r="H977" s="9"/>
      <c r="I977" s="9"/>
      <c r="J977" s="9"/>
      <c r="K977" s="9"/>
      <c r="L977" s="9"/>
      <c r="M977" s="9"/>
      <c r="N977" s="9"/>
      <c r="O977" s="9"/>
      <c r="P977" s="9"/>
      <c r="Q977" s="9"/>
      <c r="R977" s="9"/>
    </row>
    <row r="978">
      <c r="A978" s="9"/>
      <c r="B978" s="9"/>
      <c r="C978" s="9"/>
      <c r="D978" s="9"/>
      <c r="E978" s="9"/>
      <c r="F978" s="9"/>
      <c r="G978" s="9"/>
      <c r="H978" s="9"/>
      <c r="I978" s="9"/>
      <c r="J978" s="9"/>
      <c r="K978" s="9"/>
      <c r="L978" s="9"/>
      <c r="M978" s="9"/>
      <c r="N978" s="9"/>
      <c r="O978" s="9"/>
      <c r="P978" s="9"/>
      <c r="Q978" s="9"/>
      <c r="R978" s="9"/>
    </row>
    <row r="979">
      <c r="A979" s="9"/>
      <c r="B979" s="9"/>
      <c r="C979" s="9"/>
      <c r="D979" s="9"/>
      <c r="E979" s="9"/>
      <c r="F979" s="9"/>
      <c r="G979" s="9"/>
      <c r="H979" s="9"/>
      <c r="I979" s="9"/>
      <c r="J979" s="9"/>
      <c r="K979" s="9"/>
      <c r="L979" s="9"/>
      <c r="M979" s="9"/>
      <c r="N979" s="9"/>
      <c r="O979" s="9"/>
      <c r="P979" s="9"/>
      <c r="Q979" s="9"/>
      <c r="R979" s="9"/>
    </row>
    <row r="980">
      <c r="A980" s="9"/>
      <c r="B980" s="9"/>
      <c r="C980" s="9"/>
      <c r="D980" s="9"/>
      <c r="E980" s="9"/>
      <c r="F980" s="9"/>
      <c r="G980" s="9"/>
      <c r="H980" s="9"/>
      <c r="I980" s="9"/>
      <c r="J980" s="9"/>
      <c r="K980" s="9"/>
      <c r="L980" s="9"/>
      <c r="M980" s="9"/>
      <c r="N980" s="9"/>
      <c r="O980" s="9"/>
      <c r="P980" s="9"/>
      <c r="Q980" s="9"/>
      <c r="R980" s="9"/>
    </row>
    <row r="981">
      <c r="A981" s="9"/>
      <c r="B981" s="9"/>
      <c r="C981" s="9"/>
      <c r="D981" s="9"/>
      <c r="E981" s="9"/>
      <c r="F981" s="9"/>
      <c r="G981" s="9"/>
      <c r="H981" s="9"/>
      <c r="I981" s="9"/>
      <c r="J981" s="9"/>
      <c r="K981" s="9"/>
      <c r="L981" s="9"/>
      <c r="M981" s="9"/>
      <c r="N981" s="9"/>
      <c r="O981" s="9"/>
      <c r="P981" s="9"/>
      <c r="Q981" s="9"/>
      <c r="R981" s="9"/>
    </row>
    <row r="982">
      <c r="A982" s="9"/>
      <c r="B982" s="9"/>
      <c r="C982" s="9"/>
      <c r="D982" s="9"/>
      <c r="E982" s="9"/>
      <c r="F982" s="9"/>
      <c r="G982" s="9"/>
      <c r="H982" s="9"/>
      <c r="I982" s="9"/>
      <c r="J982" s="9"/>
      <c r="K982" s="9"/>
      <c r="L982" s="9"/>
      <c r="M982" s="9"/>
      <c r="N982" s="9"/>
      <c r="O982" s="9"/>
      <c r="P982" s="9"/>
      <c r="Q982" s="9"/>
      <c r="R982" s="9"/>
    </row>
    <row r="983">
      <c r="A983" s="9"/>
      <c r="B983" s="9"/>
      <c r="C983" s="9"/>
      <c r="D983" s="9"/>
      <c r="E983" s="9"/>
      <c r="F983" s="9"/>
      <c r="G983" s="9"/>
      <c r="H983" s="9"/>
      <c r="I983" s="9"/>
      <c r="J983" s="9"/>
      <c r="K983" s="9"/>
      <c r="L983" s="9"/>
      <c r="M983" s="9"/>
      <c r="N983" s="9"/>
      <c r="O983" s="9"/>
      <c r="P983" s="9"/>
      <c r="Q983" s="9"/>
      <c r="R983" s="9"/>
    </row>
    <row r="984">
      <c r="A984" s="9"/>
      <c r="B984" s="9"/>
      <c r="C984" s="9"/>
      <c r="D984" s="9"/>
      <c r="E984" s="9"/>
      <c r="F984" s="9"/>
      <c r="G984" s="9"/>
      <c r="H984" s="9"/>
      <c r="I984" s="9"/>
      <c r="J984" s="9"/>
      <c r="K984" s="9"/>
      <c r="L984" s="9"/>
      <c r="M984" s="9"/>
      <c r="N984" s="9"/>
      <c r="O984" s="9"/>
      <c r="P984" s="9"/>
      <c r="Q984" s="9"/>
      <c r="R984" s="9"/>
    </row>
    <row r="985">
      <c r="A985" s="9"/>
      <c r="B985" s="9"/>
      <c r="C985" s="9"/>
      <c r="D985" s="9"/>
      <c r="E985" s="9"/>
      <c r="F985" s="9"/>
      <c r="G985" s="9"/>
      <c r="H985" s="9"/>
      <c r="I985" s="9"/>
      <c r="J985" s="9"/>
      <c r="K985" s="9"/>
      <c r="L985" s="9"/>
      <c r="M985" s="9"/>
      <c r="N985" s="9"/>
      <c r="O985" s="9"/>
      <c r="P985" s="9"/>
      <c r="Q985" s="9"/>
      <c r="R985" s="9"/>
    </row>
    <row r="986">
      <c r="A986" s="9"/>
      <c r="B986" s="9"/>
      <c r="C986" s="9"/>
      <c r="D986" s="9"/>
      <c r="E986" s="9"/>
      <c r="F986" s="9"/>
      <c r="G986" s="9"/>
      <c r="H986" s="9"/>
      <c r="I986" s="9"/>
      <c r="J986" s="9"/>
      <c r="K986" s="9"/>
      <c r="L986" s="9"/>
      <c r="M986" s="9"/>
      <c r="N986" s="9"/>
      <c r="O986" s="9"/>
      <c r="P986" s="9"/>
      <c r="Q986" s="9"/>
      <c r="R986" s="9"/>
    </row>
    <row r="987">
      <c r="A987" s="9"/>
      <c r="B987" s="9"/>
      <c r="C987" s="9"/>
      <c r="D987" s="9"/>
      <c r="E987" s="9"/>
      <c r="F987" s="9"/>
      <c r="G987" s="9"/>
      <c r="H987" s="9"/>
      <c r="I987" s="9"/>
      <c r="J987" s="9"/>
      <c r="K987" s="9"/>
      <c r="L987" s="9"/>
      <c r="M987" s="9"/>
      <c r="N987" s="9"/>
      <c r="O987" s="9"/>
      <c r="P987" s="9"/>
      <c r="Q987" s="9"/>
      <c r="R987" s="9"/>
    </row>
    <row r="988">
      <c r="A988" s="9"/>
      <c r="B988" s="9"/>
      <c r="C988" s="9"/>
      <c r="D988" s="9"/>
      <c r="E988" s="9"/>
      <c r="F988" s="9"/>
      <c r="G988" s="9"/>
      <c r="H988" s="9"/>
      <c r="I988" s="9"/>
      <c r="J988" s="9"/>
      <c r="K988" s="9"/>
      <c r="L988" s="9"/>
      <c r="M988" s="9"/>
      <c r="N988" s="9"/>
      <c r="O988" s="9"/>
      <c r="P988" s="9"/>
      <c r="Q988" s="9"/>
      <c r="R988" s="9"/>
    </row>
    <row r="989">
      <c r="A989" s="9"/>
      <c r="B989" s="9"/>
      <c r="C989" s="9"/>
      <c r="D989" s="9"/>
      <c r="E989" s="9"/>
      <c r="F989" s="9"/>
      <c r="G989" s="9"/>
      <c r="H989" s="9"/>
      <c r="I989" s="9"/>
      <c r="J989" s="9"/>
      <c r="K989" s="9"/>
      <c r="L989" s="9"/>
      <c r="M989" s="9"/>
      <c r="N989" s="9"/>
      <c r="O989" s="9"/>
      <c r="P989" s="9"/>
      <c r="Q989" s="9"/>
      <c r="R989" s="9"/>
    </row>
    <row r="990">
      <c r="A990" s="9"/>
      <c r="B990" s="9"/>
      <c r="C990" s="9"/>
      <c r="D990" s="9"/>
      <c r="E990" s="9"/>
      <c r="F990" s="9"/>
      <c r="G990" s="9"/>
      <c r="H990" s="9"/>
      <c r="I990" s="9"/>
      <c r="J990" s="9"/>
      <c r="K990" s="9"/>
      <c r="L990" s="9"/>
      <c r="M990" s="9"/>
      <c r="N990" s="9"/>
      <c r="O990" s="9"/>
      <c r="P990" s="9"/>
      <c r="Q990" s="9"/>
      <c r="R990" s="9"/>
    </row>
    <row r="991">
      <c r="A991" s="9"/>
      <c r="B991" s="9"/>
      <c r="C991" s="9"/>
      <c r="D991" s="9"/>
      <c r="E991" s="9"/>
      <c r="F991" s="9"/>
      <c r="G991" s="9"/>
      <c r="H991" s="9"/>
      <c r="I991" s="9"/>
      <c r="J991" s="9"/>
      <c r="K991" s="9"/>
      <c r="L991" s="9"/>
      <c r="M991" s="9"/>
      <c r="N991" s="9"/>
      <c r="O991" s="9"/>
      <c r="P991" s="9"/>
      <c r="Q991" s="9"/>
      <c r="R991" s="9"/>
    </row>
    <row r="992">
      <c r="A992" s="9"/>
      <c r="B992" s="9"/>
      <c r="C992" s="9"/>
      <c r="D992" s="9"/>
      <c r="E992" s="9"/>
      <c r="F992" s="9"/>
      <c r="G992" s="9"/>
      <c r="H992" s="9"/>
      <c r="I992" s="9"/>
      <c r="J992" s="9"/>
      <c r="K992" s="9"/>
      <c r="L992" s="9"/>
      <c r="M992" s="9"/>
      <c r="N992" s="9"/>
      <c r="O992" s="9"/>
      <c r="P992" s="9"/>
      <c r="Q992" s="9"/>
      <c r="R992" s="9"/>
    </row>
    <row r="993">
      <c r="A993" s="9"/>
      <c r="B993" s="9"/>
      <c r="C993" s="9"/>
      <c r="D993" s="9"/>
      <c r="E993" s="9"/>
      <c r="F993" s="9"/>
      <c r="G993" s="9"/>
      <c r="H993" s="9"/>
      <c r="I993" s="9"/>
      <c r="J993" s="9"/>
      <c r="K993" s="9"/>
      <c r="L993" s="9"/>
      <c r="M993" s="9"/>
      <c r="N993" s="9"/>
      <c r="O993" s="9"/>
      <c r="P993" s="9"/>
      <c r="Q993" s="9"/>
      <c r="R993" s="9"/>
    </row>
    <row r="994">
      <c r="A994" s="9"/>
      <c r="B994" s="9"/>
      <c r="C994" s="9"/>
      <c r="D994" s="9"/>
      <c r="E994" s="9"/>
      <c r="F994" s="9"/>
      <c r="G994" s="9"/>
      <c r="H994" s="9"/>
      <c r="I994" s="9"/>
      <c r="J994" s="9"/>
      <c r="K994" s="9"/>
      <c r="L994" s="9"/>
      <c r="M994" s="9"/>
      <c r="N994" s="9"/>
      <c r="O994" s="9"/>
      <c r="P994" s="9"/>
      <c r="Q994" s="9"/>
      <c r="R994" s="9"/>
    </row>
    <row r="995">
      <c r="A995" s="9"/>
      <c r="B995" s="9"/>
      <c r="C995" s="9"/>
      <c r="D995" s="9"/>
      <c r="E995" s="9"/>
      <c r="F995" s="9"/>
      <c r="G995" s="9"/>
      <c r="H995" s="9"/>
      <c r="I995" s="9"/>
      <c r="J995" s="9"/>
      <c r="K995" s="9"/>
      <c r="L995" s="9"/>
      <c r="M995" s="9"/>
      <c r="N995" s="9"/>
      <c r="O995" s="9"/>
      <c r="P995" s="9"/>
      <c r="Q995" s="9"/>
      <c r="R995" s="9"/>
    </row>
    <row r="996">
      <c r="A996" s="9"/>
      <c r="B996" s="9"/>
      <c r="C996" s="9"/>
      <c r="D996" s="9"/>
      <c r="E996" s="9"/>
      <c r="F996" s="9"/>
      <c r="G996" s="9"/>
      <c r="H996" s="9"/>
      <c r="I996" s="9"/>
      <c r="J996" s="9"/>
      <c r="K996" s="9"/>
      <c r="L996" s="9"/>
      <c r="M996" s="9"/>
      <c r="N996" s="9"/>
      <c r="O996" s="9"/>
      <c r="P996" s="9"/>
      <c r="Q996" s="9"/>
      <c r="R996" s="9"/>
    </row>
    <row r="997">
      <c r="A997" s="9"/>
      <c r="B997" s="9"/>
      <c r="C997" s="9"/>
      <c r="D997" s="9"/>
      <c r="E997" s="9"/>
      <c r="F997" s="9"/>
      <c r="G997" s="9"/>
      <c r="H997" s="9"/>
      <c r="I997" s="9"/>
      <c r="J997" s="9"/>
      <c r="K997" s="9"/>
      <c r="L997" s="9"/>
      <c r="M997" s="9"/>
      <c r="N997" s="9"/>
      <c r="O997" s="9"/>
      <c r="P997" s="9"/>
      <c r="Q997" s="9"/>
      <c r="R997" s="9"/>
    </row>
    <row r="998">
      <c r="A998" s="9"/>
      <c r="B998" s="9"/>
      <c r="C998" s="9"/>
      <c r="D998" s="9"/>
      <c r="E998" s="9"/>
      <c r="F998" s="9"/>
      <c r="G998" s="9"/>
      <c r="H998" s="9"/>
      <c r="I998" s="9"/>
      <c r="J998" s="9"/>
      <c r="K998" s="9"/>
      <c r="L998" s="9"/>
      <c r="M998" s="9"/>
      <c r="N998" s="9"/>
      <c r="O998" s="9"/>
      <c r="P998" s="9"/>
      <c r="Q998" s="9"/>
      <c r="R998" s="9"/>
    </row>
    <row r="999">
      <c r="A999" s="9"/>
      <c r="B999" s="9"/>
      <c r="C999" s="9"/>
      <c r="D999" s="9"/>
      <c r="E999" s="9"/>
      <c r="F999" s="9"/>
      <c r="G999" s="9"/>
      <c r="H999" s="9"/>
      <c r="I999" s="9"/>
      <c r="J999" s="9"/>
      <c r="K999" s="9"/>
      <c r="L999" s="9"/>
      <c r="M999" s="9"/>
      <c r="N999" s="9"/>
      <c r="O999" s="9"/>
      <c r="P999" s="9"/>
      <c r="Q999" s="9"/>
      <c r="R999" s="9"/>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038709083" ref="A26"/>
    <hyperlink r:id="rId4" ref="A37"/>
    <hyperlink r:id="rId5" location="gid=1264242332" ref="A43"/>
    <hyperlink r:id="rId6" ref="A66"/>
    <hyperlink r:id="rId7" location="gid=0" ref="A68"/>
  </hyperlinks>
  <drawing r:id="rId8"/>
  <legacy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6.25"/>
    <col customWidth="1" min="2" max="2" width="11.75"/>
    <col customWidth="1" min="3" max="6" width="10.25"/>
    <col customWidth="1" min="7" max="7" width="11.0"/>
    <col customWidth="1" min="8" max="13" width="10.25"/>
    <col customWidth="1" min="14" max="14" width="11.25"/>
    <col customWidth="1" min="15" max="24" width="10.25"/>
    <col customWidth="1" min="25" max="25" width="11.63"/>
    <col customWidth="1" min="26" max="31" width="10.25"/>
  </cols>
  <sheetData>
    <row r="1">
      <c r="A1" s="767">
        <v>45231.0</v>
      </c>
      <c r="B1" s="768">
        <v>45231.0</v>
      </c>
      <c r="C1" s="768">
        <v>45232.0</v>
      </c>
      <c r="D1" s="768">
        <v>45233.0</v>
      </c>
      <c r="E1" s="768">
        <v>45234.0</v>
      </c>
      <c r="F1" s="768">
        <v>45235.0</v>
      </c>
      <c r="G1" s="768">
        <v>45236.0</v>
      </c>
      <c r="H1" s="768">
        <v>45237.0</v>
      </c>
      <c r="I1" s="768">
        <v>45238.0</v>
      </c>
      <c r="J1" s="768">
        <v>45239.0</v>
      </c>
      <c r="K1" s="768">
        <v>45240.0</v>
      </c>
      <c r="L1" s="768">
        <v>45241.0</v>
      </c>
      <c r="M1" s="768">
        <v>45242.0</v>
      </c>
      <c r="N1" s="768">
        <v>45243.0</v>
      </c>
      <c r="O1" s="768">
        <v>45244.0</v>
      </c>
      <c r="P1" s="768">
        <v>45245.0</v>
      </c>
      <c r="Q1" s="768">
        <v>45246.0</v>
      </c>
      <c r="R1" s="768">
        <v>45247.0</v>
      </c>
      <c r="S1" s="768">
        <v>45248.0</v>
      </c>
      <c r="T1" s="768">
        <v>45249.0</v>
      </c>
      <c r="U1" s="768">
        <v>45250.0</v>
      </c>
      <c r="V1" s="768">
        <v>45251.0</v>
      </c>
      <c r="W1" s="768">
        <v>45252.0</v>
      </c>
      <c r="X1" s="768">
        <v>45253.0</v>
      </c>
      <c r="Y1" s="768">
        <v>45254.0</v>
      </c>
      <c r="Z1" s="768">
        <v>45255.0</v>
      </c>
      <c r="AA1" s="768">
        <v>45256.0</v>
      </c>
      <c r="AB1" s="768">
        <v>45257.0</v>
      </c>
      <c r="AC1" s="768">
        <v>45258.0</v>
      </c>
      <c r="AD1" s="768">
        <v>45259.0</v>
      </c>
      <c r="AE1" s="768">
        <v>45260.0</v>
      </c>
    </row>
    <row r="2">
      <c r="B2" s="11" t="s">
        <v>44</v>
      </c>
      <c r="C2" s="11" t="s">
        <v>45</v>
      </c>
      <c r="D2" s="11" t="s">
        <v>46</v>
      </c>
      <c r="E2" s="11" t="s">
        <v>47</v>
      </c>
      <c r="F2" s="11" t="s">
        <v>48</v>
      </c>
      <c r="G2" s="11" t="s">
        <v>49</v>
      </c>
      <c r="H2" s="11" t="s">
        <v>50</v>
      </c>
      <c r="I2" s="11" t="s">
        <v>44</v>
      </c>
      <c r="J2" s="11" t="s">
        <v>45</v>
      </c>
      <c r="K2" s="11" t="s">
        <v>46</v>
      </c>
      <c r="L2" s="11" t="s">
        <v>47</v>
      </c>
      <c r="M2" s="11" t="s">
        <v>48</v>
      </c>
      <c r="N2" s="11" t="s">
        <v>49</v>
      </c>
      <c r="O2" s="11" t="s">
        <v>50</v>
      </c>
      <c r="P2" s="11" t="s">
        <v>44</v>
      </c>
      <c r="Q2" s="11" t="s">
        <v>45</v>
      </c>
      <c r="R2" s="11" t="s">
        <v>46</v>
      </c>
      <c r="S2" s="11" t="s">
        <v>47</v>
      </c>
      <c r="T2" s="11" t="s">
        <v>48</v>
      </c>
      <c r="U2" s="11" t="s">
        <v>49</v>
      </c>
      <c r="V2" s="11" t="s">
        <v>50</v>
      </c>
      <c r="W2" s="11" t="s">
        <v>44</v>
      </c>
      <c r="X2" s="11" t="s">
        <v>45</v>
      </c>
      <c r="Y2" s="11" t="s">
        <v>46</v>
      </c>
      <c r="Z2" s="11" t="s">
        <v>47</v>
      </c>
      <c r="AA2" s="11" t="s">
        <v>48</v>
      </c>
      <c r="AB2" s="11" t="s">
        <v>49</v>
      </c>
      <c r="AC2" s="11" t="s">
        <v>50</v>
      </c>
      <c r="AD2" s="11" t="s">
        <v>44</v>
      </c>
      <c r="AE2" s="11" t="s">
        <v>45</v>
      </c>
    </row>
    <row r="3">
      <c r="A3" s="1" t="s">
        <v>64</v>
      </c>
      <c r="B3" s="1" t="s">
        <v>65</v>
      </c>
      <c r="D3" s="15"/>
      <c r="E3" s="15" t="s">
        <v>65</v>
      </c>
      <c r="F3" s="1" t="s">
        <v>65</v>
      </c>
      <c r="K3" s="15"/>
      <c r="L3" s="1" t="s">
        <v>68</v>
      </c>
      <c r="M3" s="1" t="s">
        <v>68</v>
      </c>
      <c r="S3" s="1" t="s">
        <v>65</v>
      </c>
      <c r="T3" s="1" t="s">
        <v>65</v>
      </c>
      <c r="Z3" s="15" t="s">
        <v>65</v>
      </c>
      <c r="AA3" s="1" t="s">
        <v>65</v>
      </c>
    </row>
    <row r="4">
      <c r="A4" s="995" t="s">
        <v>71</v>
      </c>
      <c r="B4" s="996" t="s">
        <v>72</v>
      </c>
      <c r="H4" s="865"/>
      <c r="I4" s="865"/>
      <c r="J4" s="865"/>
      <c r="K4" s="865"/>
      <c r="L4" s="865"/>
      <c r="M4" s="865"/>
      <c r="N4" s="996" t="s">
        <v>1288</v>
      </c>
      <c r="P4" s="865"/>
      <c r="Q4" s="865"/>
      <c r="R4" s="865"/>
      <c r="S4" s="865"/>
      <c r="T4" s="865"/>
      <c r="U4" s="865"/>
      <c r="V4" s="865"/>
      <c r="W4" s="865"/>
      <c r="X4" s="997"/>
      <c r="Y4" s="20" t="s">
        <v>75</v>
      </c>
      <c r="Z4" s="997"/>
      <c r="AA4" s="997"/>
      <c r="AB4" s="997"/>
      <c r="AC4" s="997"/>
      <c r="AD4" s="997"/>
      <c r="AE4" s="998"/>
    </row>
    <row r="5" ht="15.0" customHeight="1">
      <c r="B5" s="998"/>
      <c r="C5" s="999" t="s">
        <v>77</v>
      </c>
      <c r="D5" s="998"/>
      <c r="E5" s="998"/>
      <c r="G5" s="865"/>
      <c r="H5" s="996" t="s">
        <v>78</v>
      </c>
      <c r="K5" s="996" t="s">
        <v>79</v>
      </c>
      <c r="AD5" s="997"/>
      <c r="AE5" s="997"/>
    </row>
    <row r="6">
      <c r="B6" s="1000"/>
      <c r="C6" s="1000"/>
      <c r="D6" s="1000"/>
      <c r="E6" s="1000"/>
      <c r="F6" s="1000"/>
      <c r="G6" s="997"/>
      <c r="H6" s="997"/>
      <c r="I6" s="999" t="s">
        <v>82</v>
      </c>
      <c r="J6" s="999" t="s">
        <v>83</v>
      </c>
      <c r="K6" s="997"/>
      <c r="L6" s="20" t="s">
        <v>85</v>
      </c>
      <c r="M6" s="997"/>
      <c r="N6" s="997"/>
      <c r="O6" s="997"/>
      <c r="P6" s="997"/>
      <c r="Q6" s="997"/>
      <c r="R6" s="1000"/>
      <c r="S6" s="998"/>
      <c r="T6" s="1000"/>
      <c r="U6" s="1000"/>
      <c r="V6" s="1000"/>
      <c r="W6" s="20" t="s">
        <v>86</v>
      </c>
      <c r="X6" s="1000"/>
      <c r="Y6" s="20" t="s">
        <v>87</v>
      </c>
      <c r="Z6" s="20" t="s">
        <v>88</v>
      </c>
      <c r="AA6" s="20" t="s">
        <v>90</v>
      </c>
      <c r="AB6" s="20" t="s">
        <v>91</v>
      </c>
      <c r="AC6" s="20" t="s">
        <v>92</v>
      </c>
      <c r="AD6" s="997"/>
      <c r="AE6" s="997"/>
    </row>
    <row r="7">
      <c r="M7" s="865"/>
      <c r="N7" s="865"/>
      <c r="O7" s="865"/>
      <c r="P7" s="865"/>
      <c r="Q7" s="865"/>
      <c r="V7" s="997"/>
      <c r="W7" s="1001"/>
      <c r="X7" s="997"/>
      <c r="Y7" s="997"/>
      <c r="Z7" s="997"/>
    </row>
    <row r="8" collapsed="1">
      <c r="A8" s="853" t="s">
        <v>94</v>
      </c>
      <c r="B8" s="1002">
        <v>105020.72</v>
      </c>
      <c r="C8" s="1003">
        <v>113953.5</v>
      </c>
      <c r="D8" s="1003">
        <v>112373.95</v>
      </c>
      <c r="E8" s="1003">
        <v>122012.63</v>
      </c>
      <c r="F8" s="1003">
        <v>137621.08</v>
      </c>
      <c r="G8" s="1003">
        <v>129947.16</v>
      </c>
      <c r="H8" s="1003">
        <v>119378.74</v>
      </c>
      <c r="I8" s="1003">
        <v>123374.05</v>
      </c>
      <c r="J8" s="1003">
        <v>128107.05</v>
      </c>
      <c r="K8" s="1003">
        <v>125767.15</v>
      </c>
      <c r="L8" s="1002">
        <v>165764.54</v>
      </c>
      <c r="M8" s="1003">
        <v>163580.76</v>
      </c>
      <c r="N8" s="1003">
        <v>139679.41</v>
      </c>
      <c r="O8" s="1003">
        <v>146242.75</v>
      </c>
      <c r="P8" s="1003">
        <v>138299.56</v>
      </c>
      <c r="Q8" s="1004">
        <f>124209+657</f>
        <v>124866</v>
      </c>
      <c r="R8" s="1004">
        <v>132032.76</v>
      </c>
      <c r="S8" s="1003">
        <v>173798.84</v>
      </c>
      <c r="T8" s="1003">
        <v>178809.93</v>
      </c>
      <c r="U8" s="1003">
        <v>189422.75</v>
      </c>
      <c r="V8" s="1003">
        <v>192933.07</v>
      </c>
      <c r="W8" s="1003">
        <v>283585.27</v>
      </c>
      <c r="X8" s="1003">
        <v>337982.12</v>
      </c>
      <c r="Y8" s="1003">
        <v>931331.57</v>
      </c>
      <c r="Z8" s="1003">
        <v>576853.7</v>
      </c>
      <c r="AA8" s="1003">
        <v>430623.37</v>
      </c>
      <c r="AB8" s="1003">
        <v>664884.74</v>
      </c>
      <c r="AC8" s="1003">
        <v>471886.67</v>
      </c>
      <c r="AD8" s="1003">
        <v>100905.21</v>
      </c>
      <c r="AE8" s="1003">
        <v>92277.49</v>
      </c>
    </row>
    <row r="9" hidden="1" outlineLevel="1">
      <c r="A9" s="220" t="s">
        <v>96</v>
      </c>
      <c r="B9" s="1005">
        <v>85464.76</v>
      </c>
      <c r="C9" s="1005">
        <v>88820.66</v>
      </c>
      <c r="D9" s="1005">
        <v>90446.48</v>
      </c>
      <c r="E9" s="1005">
        <v>98153.77</v>
      </c>
      <c r="F9" s="1005">
        <v>112993.92</v>
      </c>
      <c r="G9" s="1005">
        <v>106383.84</v>
      </c>
      <c r="H9" s="1005">
        <v>97516.45</v>
      </c>
      <c r="I9" s="1005">
        <v>98167.57</v>
      </c>
      <c r="J9" s="1005">
        <v>101938.71</v>
      </c>
      <c r="K9" s="1005">
        <v>100639.74</v>
      </c>
      <c r="L9" s="1005">
        <v>131826.32</v>
      </c>
      <c r="M9" s="1005">
        <v>127839.47</v>
      </c>
      <c r="N9" s="1005">
        <v>101525.29</v>
      </c>
      <c r="O9" s="1005">
        <v>116599.9</v>
      </c>
      <c r="P9" s="1005">
        <v>110332.61</v>
      </c>
      <c r="Q9" s="1005">
        <v>101442.48</v>
      </c>
      <c r="R9" s="1005">
        <v>105209.97</v>
      </c>
      <c r="S9" s="1005">
        <v>139966.95</v>
      </c>
      <c r="T9" s="1005">
        <v>144607.97</v>
      </c>
      <c r="U9" s="1005">
        <v>151866.12</v>
      </c>
      <c r="V9" s="1005">
        <v>155893.26</v>
      </c>
      <c r="W9" s="1005">
        <v>227079.49</v>
      </c>
      <c r="X9" s="1005">
        <v>270370.34</v>
      </c>
      <c r="Y9" s="1005">
        <v>753806.68</v>
      </c>
      <c r="Z9" s="1005">
        <v>471507.63</v>
      </c>
      <c r="AA9" s="1005">
        <v>347284.27</v>
      </c>
      <c r="AB9" s="1005">
        <v>543319.84</v>
      </c>
      <c r="AC9" s="1005">
        <v>389262.7</v>
      </c>
      <c r="AD9" s="1005">
        <v>82929.83</v>
      </c>
      <c r="AE9" s="1005">
        <v>74695.21</v>
      </c>
    </row>
    <row r="10" hidden="1" outlineLevel="1">
      <c r="A10" s="220" t="s">
        <v>99</v>
      </c>
      <c r="B10" s="1005">
        <v>6707.54</v>
      </c>
      <c r="C10" s="1005">
        <v>10578.54</v>
      </c>
      <c r="D10" s="1005">
        <v>9279.32</v>
      </c>
      <c r="E10" s="1005">
        <v>10715.53</v>
      </c>
      <c r="F10" s="1005">
        <v>9847.38</v>
      </c>
      <c r="G10" s="1005">
        <v>9498.36</v>
      </c>
      <c r="H10" s="1005">
        <v>9096.2</v>
      </c>
      <c r="I10" s="1005">
        <v>10999.63</v>
      </c>
      <c r="J10" s="1005">
        <v>9876.86</v>
      </c>
      <c r="K10" s="1005">
        <v>9386.36</v>
      </c>
      <c r="L10" s="1005">
        <v>13683.98</v>
      </c>
      <c r="M10" s="1005">
        <v>15020.53</v>
      </c>
      <c r="N10" s="1005">
        <v>17668.76</v>
      </c>
      <c r="O10" s="1005">
        <v>10923.86</v>
      </c>
      <c r="P10" s="1005">
        <v>10034.39</v>
      </c>
      <c r="Q10" s="1005">
        <v>10184.52</v>
      </c>
      <c r="R10" s="1005">
        <v>9820.2</v>
      </c>
      <c r="S10" s="1005">
        <v>11848.7</v>
      </c>
      <c r="T10" s="1005">
        <v>11885.53</v>
      </c>
      <c r="U10" s="1005">
        <v>14021.88</v>
      </c>
      <c r="V10" s="1005">
        <v>13308.49</v>
      </c>
      <c r="W10" s="1005">
        <v>21821.66</v>
      </c>
      <c r="X10" s="1005">
        <v>25929.89</v>
      </c>
      <c r="Y10" s="1005">
        <v>63051.85</v>
      </c>
      <c r="Z10" s="1005">
        <v>34117.47</v>
      </c>
      <c r="AA10" s="1005">
        <v>30329.02</v>
      </c>
      <c r="AB10" s="1005">
        <v>39874.1</v>
      </c>
      <c r="AC10" s="1005">
        <v>25164.7</v>
      </c>
      <c r="AD10" s="1005">
        <v>7514.32</v>
      </c>
      <c r="AE10" s="1005">
        <v>7504.93</v>
      </c>
    </row>
    <row r="11" hidden="1" outlineLevel="1">
      <c r="A11" s="220" t="s">
        <v>101</v>
      </c>
      <c r="B11" s="1005">
        <v>0.0</v>
      </c>
      <c r="C11" s="1005">
        <v>0.0</v>
      </c>
      <c r="D11" s="1005">
        <v>0.0</v>
      </c>
      <c r="E11" s="1005">
        <v>0.0</v>
      </c>
      <c r="F11" s="1005">
        <v>0.0</v>
      </c>
      <c r="G11" s="1005">
        <v>0.0</v>
      </c>
      <c r="H11" s="1005">
        <v>0.0</v>
      </c>
      <c r="I11" s="1005">
        <v>0.0</v>
      </c>
      <c r="J11" s="1005">
        <v>517.02</v>
      </c>
      <c r="K11" s="1005">
        <v>356.89</v>
      </c>
      <c r="L11" s="1005">
        <v>281.81</v>
      </c>
      <c r="M11" s="1005">
        <v>164.95</v>
      </c>
      <c r="N11" s="1005">
        <v>0.0</v>
      </c>
      <c r="O11" s="1005">
        <v>681.63</v>
      </c>
      <c r="P11" s="1005">
        <v>662.92</v>
      </c>
      <c r="Q11" s="1005">
        <v>844.78</v>
      </c>
      <c r="R11" s="1005">
        <v>636.28</v>
      </c>
      <c r="S11" s="1005">
        <v>271.98</v>
      </c>
      <c r="T11" s="1005">
        <v>215.97</v>
      </c>
      <c r="U11" s="1005">
        <v>185.98</v>
      </c>
      <c r="V11" s="1005">
        <v>275.99</v>
      </c>
      <c r="W11" s="1005">
        <v>406.99</v>
      </c>
      <c r="X11" s="1005">
        <v>338.66</v>
      </c>
      <c r="Y11" s="1005">
        <v>832.65</v>
      </c>
      <c r="Z11" s="1005">
        <v>575.99</v>
      </c>
      <c r="AA11" s="1005">
        <v>256.01</v>
      </c>
      <c r="AB11" s="1005">
        <v>727.96</v>
      </c>
      <c r="AC11" s="1005">
        <v>788.98</v>
      </c>
      <c r="AD11" s="1005">
        <v>114.0</v>
      </c>
      <c r="AE11" s="1005">
        <v>114.0</v>
      </c>
    </row>
    <row r="12" hidden="1" outlineLevel="1">
      <c r="A12" s="220" t="s">
        <v>106</v>
      </c>
      <c r="B12" s="1005">
        <v>5548.42</v>
      </c>
      <c r="C12" s="1005">
        <v>6139.3</v>
      </c>
      <c r="D12" s="1005">
        <v>5888.15</v>
      </c>
      <c r="E12" s="1005">
        <v>6828.33</v>
      </c>
      <c r="F12" s="1005">
        <v>7709.78</v>
      </c>
      <c r="G12" s="1005">
        <v>7149.96</v>
      </c>
      <c r="H12" s="1005">
        <v>6456.09</v>
      </c>
      <c r="I12" s="1005">
        <v>6611.85</v>
      </c>
      <c r="J12" s="1005">
        <v>6621.46</v>
      </c>
      <c r="K12" s="1005">
        <v>6504.16</v>
      </c>
      <c r="L12" s="1005">
        <v>8704.43</v>
      </c>
      <c r="M12" s="1005">
        <v>8353.81</v>
      </c>
      <c r="N12" s="1005">
        <v>7160.36</v>
      </c>
      <c r="O12" s="1005">
        <v>7526.36</v>
      </c>
      <c r="P12" s="1005">
        <v>7261.66</v>
      </c>
      <c r="Q12" s="1005">
        <v>6527.8</v>
      </c>
      <c r="R12" s="1005">
        <v>6811.31</v>
      </c>
      <c r="S12" s="1005">
        <v>8611.21</v>
      </c>
      <c r="T12" s="1005">
        <v>9095.46</v>
      </c>
      <c r="U12" s="1005">
        <v>9403.77</v>
      </c>
      <c r="V12" s="1005">
        <v>9730.33</v>
      </c>
      <c r="W12" s="1005">
        <v>13957.13</v>
      </c>
      <c r="X12" s="1005">
        <v>17308.23</v>
      </c>
      <c r="Y12" s="1005">
        <v>49902.39</v>
      </c>
      <c r="Z12" s="1005">
        <v>31157.61</v>
      </c>
      <c r="AA12" s="1005">
        <v>22049.07</v>
      </c>
      <c r="AB12" s="1005">
        <v>36452.84</v>
      </c>
      <c r="AC12" s="1005">
        <v>25785.29</v>
      </c>
      <c r="AD12" s="1005">
        <v>5312.06</v>
      </c>
      <c r="AE12" s="1005">
        <v>5058.35</v>
      </c>
    </row>
    <row r="13" hidden="1" outlineLevel="1">
      <c r="A13" s="220" t="s">
        <v>108</v>
      </c>
      <c r="B13" s="1005">
        <v>7300.0</v>
      </c>
      <c r="C13" s="1005">
        <v>8415.0</v>
      </c>
      <c r="D13" s="1005">
        <v>6760.0</v>
      </c>
      <c r="E13" s="1005">
        <v>6315.0</v>
      </c>
      <c r="F13" s="1005">
        <v>7070.0</v>
      </c>
      <c r="G13" s="1005">
        <v>6915.0</v>
      </c>
      <c r="H13" s="1005">
        <v>6310.0</v>
      </c>
      <c r="I13" s="1005">
        <v>7595.0</v>
      </c>
      <c r="J13" s="1005">
        <v>9153.0</v>
      </c>
      <c r="K13" s="1005">
        <v>8880.0</v>
      </c>
      <c r="L13" s="1005">
        <v>11178.0</v>
      </c>
      <c r="M13" s="1005">
        <v>12202.0</v>
      </c>
      <c r="N13" s="1005">
        <v>13325.0</v>
      </c>
      <c r="O13" s="1005">
        <v>10511.0</v>
      </c>
      <c r="P13" s="1005">
        <v>10008.0</v>
      </c>
      <c r="Q13" s="1005">
        <v>9368.0</v>
      </c>
      <c r="R13" s="1005">
        <v>9555.0</v>
      </c>
      <c r="S13" s="1005">
        <v>13100.0</v>
      </c>
      <c r="T13" s="1005">
        <v>13005.0</v>
      </c>
      <c r="U13" s="1005">
        <v>13945.0</v>
      </c>
      <c r="V13" s="1005">
        <v>13725.0</v>
      </c>
      <c r="W13" s="1005">
        <v>20320.0</v>
      </c>
      <c r="X13" s="1005">
        <v>24035.0</v>
      </c>
      <c r="Y13" s="1005">
        <v>63738.0</v>
      </c>
      <c r="Z13" s="1005">
        <v>39495.0</v>
      </c>
      <c r="AA13" s="1005">
        <v>30705.0</v>
      </c>
      <c r="AB13" s="1005">
        <v>44510.0</v>
      </c>
      <c r="AC13" s="1005">
        <v>30885.0</v>
      </c>
      <c r="AD13" s="1005">
        <v>5035.0</v>
      </c>
      <c r="AE13" s="1005">
        <v>4905.0</v>
      </c>
    </row>
    <row r="14" collapsed="1">
      <c r="A14" s="853" t="s">
        <v>109</v>
      </c>
      <c r="B14" s="1002">
        <v>12580.0</v>
      </c>
      <c r="C14" s="1002">
        <v>10507.85</v>
      </c>
      <c r="D14" s="1002">
        <v>15542.85</v>
      </c>
      <c r="E14" s="1002">
        <v>17880.0</v>
      </c>
      <c r="F14" s="1002">
        <v>19835.85</v>
      </c>
      <c r="G14" s="1002">
        <v>16025.0</v>
      </c>
      <c r="H14" s="1002">
        <v>13308.85</v>
      </c>
      <c r="I14" s="1002">
        <v>15064.85</v>
      </c>
      <c r="J14" s="1002">
        <v>32012.0</v>
      </c>
      <c r="K14" s="1002">
        <v>33438.0</v>
      </c>
      <c r="L14" s="1002">
        <v>49243.85</v>
      </c>
      <c r="M14" s="1002">
        <v>48555.0</v>
      </c>
      <c r="N14" s="1002">
        <v>43877.0</v>
      </c>
      <c r="O14" s="1006">
        <v>47077.85</v>
      </c>
      <c r="P14" s="1002">
        <v>38422.39</v>
      </c>
      <c r="Q14" s="1002">
        <v>41146.2</v>
      </c>
      <c r="R14" s="1002">
        <v>50427.67</v>
      </c>
      <c r="S14" s="1002">
        <v>57317.48</v>
      </c>
      <c r="T14" s="1002">
        <v>39753.74</v>
      </c>
      <c r="U14" s="1002">
        <v>103621.99</v>
      </c>
      <c r="V14" s="1002">
        <v>104751.99</v>
      </c>
      <c r="W14" s="1002">
        <v>116035.0</v>
      </c>
      <c r="X14" s="1002">
        <v>186615.0</v>
      </c>
      <c r="Y14" s="1002">
        <v>695815.96</v>
      </c>
      <c r="Z14" s="1002">
        <v>242095.0</v>
      </c>
      <c r="AA14" s="1002">
        <v>236839.0</v>
      </c>
      <c r="AB14" s="1002">
        <v>4274.81</v>
      </c>
      <c r="AC14" s="1002">
        <v>55.0</v>
      </c>
      <c r="AD14" s="1002">
        <v>0.0</v>
      </c>
      <c r="AE14" s="1002">
        <v>507.0</v>
      </c>
    </row>
    <row r="15" hidden="1" outlineLevel="1">
      <c r="A15" s="19" t="s">
        <v>96</v>
      </c>
      <c r="B15" s="1007">
        <v>11026.0</v>
      </c>
      <c r="C15" s="1007">
        <v>9139.05</v>
      </c>
      <c r="D15" s="1007">
        <v>13852.05</v>
      </c>
      <c r="E15" s="1007">
        <v>13997.0</v>
      </c>
      <c r="F15" s="1007">
        <v>17747.05</v>
      </c>
      <c r="G15" s="1007">
        <v>14245.0</v>
      </c>
      <c r="H15" s="1007">
        <v>11702.05</v>
      </c>
      <c r="I15" s="1007">
        <v>12294.05</v>
      </c>
      <c r="J15" s="1007">
        <v>23918.0</v>
      </c>
      <c r="K15" s="1007">
        <v>25386.0</v>
      </c>
      <c r="L15" s="1007">
        <v>36717.05</v>
      </c>
      <c r="M15" s="1007">
        <v>35445.0</v>
      </c>
      <c r="N15" s="1007">
        <v>33869.0</v>
      </c>
      <c r="O15" s="1007">
        <v>35613.05</v>
      </c>
      <c r="P15" s="1007">
        <v>36580.42</v>
      </c>
      <c r="Q15" s="1007">
        <v>39916.21</v>
      </c>
      <c r="R15" s="1007">
        <v>49048.87</v>
      </c>
      <c r="S15" s="1007">
        <v>55751.49</v>
      </c>
      <c r="T15" s="1007">
        <v>37695.84</v>
      </c>
      <c r="U15" s="1007">
        <v>101993.49</v>
      </c>
      <c r="V15" s="1007">
        <v>103016.3</v>
      </c>
      <c r="W15" s="1007">
        <v>115159.5</v>
      </c>
      <c r="X15" s="1007">
        <v>183414.0</v>
      </c>
      <c r="Y15" s="1007">
        <v>686130.87</v>
      </c>
      <c r="Z15" s="1007">
        <v>238469.0</v>
      </c>
      <c r="AA15" s="1007">
        <v>233453.0</v>
      </c>
      <c r="AB15" s="1007">
        <v>3989.81</v>
      </c>
      <c r="AC15" s="1007">
        <v>0.0</v>
      </c>
      <c r="AD15" s="1007">
        <v>0.0</v>
      </c>
      <c r="AE15" s="1007">
        <v>478.0</v>
      </c>
    </row>
    <row r="16" hidden="1" outlineLevel="1">
      <c r="A16" s="19" t="s">
        <v>99</v>
      </c>
      <c r="B16" s="1007">
        <v>144.0</v>
      </c>
      <c r="C16" s="1007">
        <v>118.8</v>
      </c>
      <c r="D16" s="1007">
        <v>70.8</v>
      </c>
      <c r="E16" s="1007">
        <v>120.0</v>
      </c>
      <c r="F16" s="1007">
        <v>118.8</v>
      </c>
      <c r="G16" s="1007">
        <v>120.0</v>
      </c>
      <c r="H16" s="1007">
        <v>46.8</v>
      </c>
      <c r="I16" s="1007">
        <v>310.8</v>
      </c>
      <c r="J16" s="1007">
        <v>144.0</v>
      </c>
      <c r="K16" s="1007">
        <v>72.0</v>
      </c>
      <c r="L16" s="1007">
        <v>286.8</v>
      </c>
      <c r="M16" s="1007">
        <v>240.0</v>
      </c>
      <c r="N16" s="1007">
        <v>48.0</v>
      </c>
      <c r="O16" s="1007">
        <v>214.8</v>
      </c>
      <c r="P16" s="1007">
        <v>312.0</v>
      </c>
      <c r="Q16" s="1007">
        <v>480.0</v>
      </c>
      <c r="R16" s="1007">
        <v>598.8</v>
      </c>
      <c r="S16" s="1007">
        <v>576.0</v>
      </c>
      <c r="T16" s="1007">
        <v>677.9</v>
      </c>
      <c r="U16" s="1007">
        <v>911.5</v>
      </c>
      <c r="V16" s="1007">
        <v>928.69</v>
      </c>
      <c r="W16" s="1007">
        <v>815.5</v>
      </c>
      <c r="X16" s="1007">
        <v>1624.0</v>
      </c>
      <c r="Y16" s="1007">
        <v>4360.09</v>
      </c>
      <c r="Z16" s="1007">
        <v>192.0</v>
      </c>
      <c r="AA16" s="1007">
        <v>216.0</v>
      </c>
      <c r="AB16" s="1007">
        <v>0.0</v>
      </c>
      <c r="AC16" s="1007">
        <v>40.0</v>
      </c>
      <c r="AD16" s="1007">
        <v>0.0</v>
      </c>
      <c r="AE16" s="1007">
        <v>29.0</v>
      </c>
    </row>
    <row r="17" hidden="1" outlineLevel="1">
      <c r="A17" s="19" t="s">
        <v>110</v>
      </c>
      <c r="B17" s="1007">
        <v>778.49</v>
      </c>
      <c r="C17" s="1007">
        <v>673.23</v>
      </c>
      <c r="D17" s="1007">
        <v>982.76</v>
      </c>
      <c r="E17" s="1007">
        <v>1052.37</v>
      </c>
      <c r="F17" s="1007">
        <v>1270.94</v>
      </c>
      <c r="G17" s="1007">
        <v>861.92</v>
      </c>
      <c r="H17" s="1007">
        <v>797.33</v>
      </c>
      <c r="I17" s="1007">
        <v>888.51</v>
      </c>
      <c r="J17" s="1007">
        <v>1685.23</v>
      </c>
      <c r="K17" s="1007">
        <v>1807.14</v>
      </c>
      <c r="L17" s="1007">
        <v>2683.44</v>
      </c>
      <c r="M17" s="1007">
        <v>2399.78</v>
      </c>
      <c r="N17" s="1007">
        <v>2372.0</v>
      </c>
      <c r="O17" s="1007">
        <v>2487.86</v>
      </c>
      <c r="P17" s="1007">
        <v>2613.13</v>
      </c>
      <c r="Q17" s="1007">
        <v>2858.61</v>
      </c>
      <c r="R17" s="1007">
        <v>3389.52</v>
      </c>
      <c r="S17" s="1007">
        <v>3909.66</v>
      </c>
      <c r="T17" s="1007">
        <v>2714.32</v>
      </c>
      <c r="U17" s="1007">
        <v>7191.01</v>
      </c>
      <c r="V17" s="1007">
        <v>7296.11</v>
      </c>
      <c r="W17" s="1007">
        <v>8031.89</v>
      </c>
      <c r="X17" s="1007">
        <v>12933.48</v>
      </c>
      <c r="Y17" s="1007">
        <v>48364.59</v>
      </c>
      <c r="Z17" s="1007">
        <v>16947.62</v>
      </c>
      <c r="AA17" s="1007">
        <v>16638.88</v>
      </c>
      <c r="AB17" s="1007">
        <v>280.33</v>
      </c>
      <c r="AC17" s="1007">
        <v>3.71</v>
      </c>
      <c r="AD17" s="1007">
        <v>0.0</v>
      </c>
      <c r="AE17" s="1007">
        <v>33.1</v>
      </c>
    </row>
    <row r="18" hidden="1" outlineLevel="1">
      <c r="A18" s="19" t="s">
        <v>108</v>
      </c>
      <c r="B18" s="1007">
        <v>11.79</v>
      </c>
      <c r="C18" s="1007">
        <v>6.99</v>
      </c>
      <c r="D18" s="1007">
        <v>0.0</v>
      </c>
      <c r="E18" s="1007">
        <v>6.99</v>
      </c>
      <c r="F18" s="1007">
        <v>2.5</v>
      </c>
      <c r="G18" s="1007">
        <v>0.0</v>
      </c>
      <c r="H18" s="1007">
        <v>0.06</v>
      </c>
      <c r="I18" s="1007">
        <v>15.65</v>
      </c>
      <c r="J18" s="1007">
        <v>6.99</v>
      </c>
      <c r="K18" s="1007">
        <v>13.66</v>
      </c>
      <c r="L18" s="1007">
        <v>6.75</v>
      </c>
      <c r="M18" s="1007">
        <v>13.66</v>
      </c>
      <c r="N18" s="1007">
        <v>24.2</v>
      </c>
      <c r="O18" s="1007">
        <v>6.99</v>
      </c>
      <c r="P18" s="1007">
        <v>32.95</v>
      </c>
      <c r="Q18" s="1007">
        <v>0.0</v>
      </c>
      <c r="R18" s="1007">
        <v>13.81</v>
      </c>
      <c r="S18" s="1007">
        <v>19.32</v>
      </c>
      <c r="T18" s="1007">
        <v>61.1</v>
      </c>
      <c r="U18" s="1007">
        <v>50.82</v>
      </c>
      <c r="V18" s="1007">
        <v>206.64</v>
      </c>
      <c r="W18" s="1007">
        <v>73.98</v>
      </c>
      <c r="X18" s="1007">
        <v>152.27</v>
      </c>
      <c r="Y18" s="1007">
        <v>402.43</v>
      </c>
      <c r="Z18" s="1007">
        <v>113.32</v>
      </c>
      <c r="AA18" s="1007">
        <v>1116.9</v>
      </c>
      <c r="AB18" s="1007">
        <v>285.0</v>
      </c>
      <c r="AC18" s="1007">
        <v>15.0</v>
      </c>
      <c r="AD18" s="1007">
        <v>0.0</v>
      </c>
      <c r="AE18" s="1007">
        <v>0.0</v>
      </c>
    </row>
    <row r="19" hidden="1" outlineLevel="1">
      <c r="A19" s="19" t="s">
        <v>112</v>
      </c>
      <c r="B19" s="1007">
        <v>0.0</v>
      </c>
      <c r="C19" s="1007">
        <v>0.0</v>
      </c>
      <c r="D19" s="1007">
        <v>8.98</v>
      </c>
      <c r="E19" s="1007">
        <v>8.98</v>
      </c>
      <c r="F19" s="1007">
        <v>4.49</v>
      </c>
      <c r="G19" s="1007">
        <v>17.96</v>
      </c>
      <c r="H19" s="1007">
        <v>8.98</v>
      </c>
      <c r="I19" s="1007">
        <v>1.14</v>
      </c>
      <c r="J19" s="1007">
        <v>22.45</v>
      </c>
      <c r="K19" s="1007">
        <v>8.98</v>
      </c>
      <c r="L19" s="1007">
        <v>17.96</v>
      </c>
      <c r="M19" s="1007">
        <v>31.43</v>
      </c>
      <c r="N19" s="1007">
        <v>8.98</v>
      </c>
      <c r="O19" s="1007">
        <v>13.47</v>
      </c>
      <c r="P19" s="1007">
        <v>13.47</v>
      </c>
      <c r="Q19" s="1007">
        <v>17.96</v>
      </c>
      <c r="R19" s="1007">
        <v>44.4</v>
      </c>
      <c r="S19" s="1007">
        <v>17.96</v>
      </c>
      <c r="T19" s="1007">
        <v>17.96</v>
      </c>
      <c r="U19" s="1007">
        <v>94.29</v>
      </c>
      <c r="V19" s="1007">
        <v>71.34</v>
      </c>
      <c r="W19" s="1007">
        <v>67.35</v>
      </c>
      <c r="X19" s="1007">
        <v>170.12</v>
      </c>
      <c r="Y19" s="1007">
        <v>439.52</v>
      </c>
      <c r="Z19" s="1007">
        <v>269.4</v>
      </c>
      <c r="AA19" s="1007">
        <v>161.64</v>
      </c>
      <c r="AB19" s="1007">
        <v>0.0</v>
      </c>
      <c r="AC19" s="1007">
        <v>0.0</v>
      </c>
      <c r="AD19" s="1007">
        <v>0.0</v>
      </c>
      <c r="AE19" s="1007">
        <v>0.0</v>
      </c>
    </row>
    <row r="20" collapsed="1">
      <c r="A20" s="853" t="s">
        <v>141</v>
      </c>
      <c r="B20" s="1002">
        <v>484.0</v>
      </c>
      <c r="C20" s="1002">
        <v>948.0</v>
      </c>
      <c r="D20" s="1002">
        <v>773.0</v>
      </c>
      <c r="E20" s="1002">
        <v>2222.0</v>
      </c>
      <c r="F20" s="1002">
        <v>1645.0</v>
      </c>
      <c r="G20" s="1002">
        <v>1036.0</v>
      </c>
      <c r="H20" s="1002">
        <v>1064.0</v>
      </c>
      <c r="I20" s="1002">
        <v>1122.0</v>
      </c>
      <c r="J20" s="1002">
        <v>1527.0</v>
      </c>
      <c r="K20" s="1002">
        <v>1485.0</v>
      </c>
      <c r="L20" s="1002">
        <v>2049.0</v>
      </c>
      <c r="M20" s="1002">
        <v>2438.0</v>
      </c>
      <c r="N20" s="1002">
        <v>1340.0</v>
      </c>
      <c r="O20" s="1002">
        <v>1208.0</v>
      </c>
      <c r="P20" s="1002">
        <v>1240.0</v>
      </c>
      <c r="Q20" s="1002">
        <v>1301.0</v>
      </c>
      <c r="R20" s="1002">
        <v>1475.0</v>
      </c>
      <c r="S20" s="1002">
        <v>1932.0</v>
      </c>
      <c r="T20" s="1002">
        <v>2171.0</v>
      </c>
      <c r="U20" s="1002">
        <v>1184.0</v>
      </c>
      <c r="V20" s="1002">
        <v>1281.0</v>
      </c>
      <c r="W20" s="1002">
        <v>878.0</v>
      </c>
      <c r="X20" s="1002">
        <v>943.0</v>
      </c>
      <c r="Y20" s="1002">
        <v>1540.0</v>
      </c>
      <c r="Z20" s="1002">
        <v>2075.0</v>
      </c>
      <c r="AA20" s="1002">
        <v>2577.0</v>
      </c>
      <c r="AB20" s="1002">
        <v>1379.0</v>
      </c>
      <c r="AC20" s="1002">
        <v>929.0</v>
      </c>
      <c r="AD20" s="1002">
        <v>1719.0</v>
      </c>
      <c r="AE20" s="1002">
        <v>1731.0</v>
      </c>
    </row>
    <row r="21" hidden="1" outlineLevel="1">
      <c r="A21" s="220" t="s">
        <v>1289</v>
      </c>
      <c r="B21" s="1005">
        <v>348.0</v>
      </c>
      <c r="C21" s="1005">
        <v>675.0</v>
      </c>
      <c r="D21" s="1005">
        <v>538.0</v>
      </c>
      <c r="E21" s="1005">
        <v>1584.0</v>
      </c>
      <c r="F21" s="1005">
        <v>1169.0</v>
      </c>
      <c r="G21" s="1005">
        <v>713.0</v>
      </c>
      <c r="H21" s="1005">
        <v>759.0</v>
      </c>
      <c r="I21" s="1005">
        <v>801.0</v>
      </c>
      <c r="J21" s="1005">
        <v>1091.0</v>
      </c>
      <c r="K21" s="1005">
        <v>1045.0</v>
      </c>
      <c r="L21" s="1005">
        <v>1469.0</v>
      </c>
      <c r="M21" s="1005">
        <v>1736.0</v>
      </c>
      <c r="N21" s="1005">
        <v>967.0</v>
      </c>
      <c r="O21" s="1008">
        <v>881.0</v>
      </c>
      <c r="P21" s="1005">
        <v>877.0</v>
      </c>
      <c r="Q21" s="1005">
        <v>909.0</v>
      </c>
      <c r="R21" s="1005">
        <v>1058.0</v>
      </c>
      <c r="S21" s="1005">
        <v>1386.0</v>
      </c>
      <c r="T21" s="1005">
        <v>1570.0</v>
      </c>
      <c r="U21" s="1005">
        <v>852.0</v>
      </c>
      <c r="V21" s="1005">
        <v>931.0</v>
      </c>
      <c r="W21" s="1005">
        <v>622.0</v>
      </c>
      <c r="X21" s="1005">
        <v>672.0</v>
      </c>
      <c r="Y21" s="1005">
        <v>1106.0</v>
      </c>
      <c r="Z21" s="1005">
        <v>1486.0</v>
      </c>
      <c r="AA21" s="1005">
        <v>1864.0</v>
      </c>
      <c r="AB21" s="1005">
        <v>1003.0</v>
      </c>
      <c r="AC21" s="1005">
        <v>669.0</v>
      </c>
      <c r="AD21" s="1005">
        <v>1220.0</v>
      </c>
      <c r="AE21" s="1005">
        <v>1235.0</v>
      </c>
    </row>
    <row r="22" hidden="1" outlineLevel="1">
      <c r="A22" s="220" t="s">
        <v>110</v>
      </c>
      <c r="B22" s="1005">
        <v>1.0</v>
      </c>
      <c r="C22" s="1005">
        <v>12.0</v>
      </c>
      <c r="D22" s="1005">
        <v>13.0</v>
      </c>
      <c r="E22" s="1005">
        <v>30.0</v>
      </c>
      <c r="F22" s="1005">
        <v>22.0</v>
      </c>
      <c r="G22" s="1005">
        <v>30.0</v>
      </c>
      <c r="H22" s="1005">
        <v>12.0</v>
      </c>
      <c r="I22" s="1005">
        <v>34.0</v>
      </c>
      <c r="J22" s="1005">
        <v>30.0</v>
      </c>
      <c r="K22" s="1005">
        <v>39.0</v>
      </c>
      <c r="L22" s="1005">
        <v>25.0</v>
      </c>
      <c r="M22" s="1005">
        <v>26.0</v>
      </c>
      <c r="N22" s="1005">
        <v>24.0</v>
      </c>
      <c r="O22" s="1008">
        <v>20.0</v>
      </c>
      <c r="P22" s="1005">
        <v>30.0</v>
      </c>
      <c r="Q22" s="1005">
        <v>30.0</v>
      </c>
      <c r="R22" s="1005">
        <v>8.0</v>
      </c>
      <c r="S22" s="1005">
        <v>26.0</v>
      </c>
      <c r="T22" s="1005">
        <v>29.0</v>
      </c>
      <c r="U22" s="1005">
        <v>13.0</v>
      </c>
      <c r="V22" s="1005">
        <v>12.0</v>
      </c>
      <c r="W22" s="1005">
        <v>19.0</v>
      </c>
      <c r="X22" s="1005">
        <v>14.0</v>
      </c>
      <c r="Y22" s="1005">
        <v>19.0</v>
      </c>
      <c r="Z22" s="1005">
        <v>37.0</v>
      </c>
      <c r="AA22" s="1005">
        <v>59.0</v>
      </c>
      <c r="AB22" s="1005">
        <v>16.0</v>
      </c>
      <c r="AC22" s="1005">
        <v>9.0</v>
      </c>
      <c r="AD22" s="1005">
        <v>41.0</v>
      </c>
      <c r="AE22" s="1005">
        <v>7.0</v>
      </c>
    </row>
    <row r="23" hidden="1" outlineLevel="1">
      <c r="A23" s="220" t="s">
        <v>1290</v>
      </c>
      <c r="B23" s="1005">
        <v>135.0</v>
      </c>
      <c r="C23" s="1005">
        <v>262.0</v>
      </c>
      <c r="D23" s="1005">
        <v>222.0</v>
      </c>
      <c r="E23" s="1005">
        <v>609.0</v>
      </c>
      <c r="F23" s="1005">
        <v>453.0</v>
      </c>
      <c r="G23" s="1005">
        <v>292.0</v>
      </c>
      <c r="H23" s="1005">
        <v>293.0</v>
      </c>
      <c r="I23" s="1005">
        <v>287.0</v>
      </c>
      <c r="J23" s="1005">
        <v>407.0</v>
      </c>
      <c r="K23" s="1005">
        <v>401.0</v>
      </c>
      <c r="L23" s="1005">
        <v>556.0</v>
      </c>
      <c r="M23" s="1005">
        <v>676.0</v>
      </c>
      <c r="N23" s="1005">
        <v>349.0</v>
      </c>
      <c r="O23" s="1008">
        <v>307.0</v>
      </c>
      <c r="P23" s="1005">
        <v>333.0</v>
      </c>
      <c r="Q23" s="1005">
        <v>361.0</v>
      </c>
      <c r="R23" s="1005">
        <v>409.0</v>
      </c>
      <c r="S23" s="1005">
        <v>520.0</v>
      </c>
      <c r="T23" s="1005">
        <v>572.0</v>
      </c>
      <c r="U23" s="1005">
        <v>319.0</v>
      </c>
      <c r="V23" s="1005">
        <v>337.0</v>
      </c>
      <c r="W23" s="1005">
        <v>238.0</v>
      </c>
      <c r="X23" s="1005">
        <v>258.0</v>
      </c>
      <c r="Y23" s="1005">
        <v>415.0</v>
      </c>
      <c r="Z23" s="1005">
        <v>553.0</v>
      </c>
      <c r="AA23" s="1005">
        <v>654.0</v>
      </c>
      <c r="AB23" s="1005">
        <v>360.0</v>
      </c>
      <c r="AC23" s="1005">
        <v>252.0</v>
      </c>
      <c r="AD23" s="1005">
        <v>459.0</v>
      </c>
      <c r="AE23" s="1005">
        <v>490.0</v>
      </c>
    </row>
    <row r="24">
      <c r="A24" s="853" t="s">
        <v>1291</v>
      </c>
      <c r="B24" s="1002">
        <v>199.0</v>
      </c>
      <c r="C24" s="1002">
        <v>0.0</v>
      </c>
      <c r="D24" s="1002">
        <v>0.0</v>
      </c>
      <c r="E24" s="1002">
        <v>20699.29</v>
      </c>
      <c r="F24" s="1002">
        <v>10799.63</v>
      </c>
      <c r="G24" s="1002">
        <v>44338.5</v>
      </c>
      <c r="H24" s="1002">
        <v>6179.79</v>
      </c>
      <c r="I24" s="1002">
        <v>0.0</v>
      </c>
      <c r="J24" s="1002">
        <v>3239.89</v>
      </c>
      <c r="K24" s="1002">
        <v>899.97</v>
      </c>
      <c r="L24" s="1002">
        <v>899.97</v>
      </c>
      <c r="M24" s="1002">
        <v>1199.96</v>
      </c>
      <c r="N24" s="1002">
        <v>1199.96</v>
      </c>
      <c r="O24" s="1009">
        <v>0.0</v>
      </c>
      <c r="P24" s="1002">
        <v>1692.1</v>
      </c>
      <c r="Q24" s="1002">
        <v>10439.65</v>
      </c>
      <c r="R24" s="1002">
        <v>1739.94</v>
      </c>
      <c r="S24" s="1002">
        <v>2099.93</v>
      </c>
      <c r="T24" s="1002">
        <v>1578.52</v>
      </c>
      <c r="U24" s="1002">
        <v>1759.35</v>
      </c>
      <c r="V24" s="1002">
        <v>2299.92</v>
      </c>
      <c r="W24" s="1002">
        <v>2399.92</v>
      </c>
      <c r="X24" s="1002">
        <v>4655.63</v>
      </c>
      <c r="Y24" s="1002">
        <v>5519.81</v>
      </c>
      <c r="Z24" s="1002">
        <v>839.97</v>
      </c>
      <c r="AA24" s="1002">
        <v>15479.47</v>
      </c>
      <c r="AB24" s="1002">
        <v>25979.12</v>
      </c>
      <c r="AC24" s="1002">
        <v>9779.67</v>
      </c>
      <c r="AD24" s="1002">
        <v>826.16</v>
      </c>
      <c r="AE24" s="1002">
        <v>839.97</v>
      </c>
    </row>
    <row r="25">
      <c r="A25" s="853" t="s">
        <v>1292</v>
      </c>
      <c r="B25" s="1002">
        <v>408.0</v>
      </c>
      <c r="C25" s="1002">
        <f>319+698</f>
        <v>1017</v>
      </c>
      <c r="D25" s="1002">
        <v>566.0</v>
      </c>
      <c r="E25" s="1002">
        <v>497.0</v>
      </c>
      <c r="F25" s="1002">
        <f>902+603</f>
        <v>1505</v>
      </c>
      <c r="G25" s="1002">
        <v>1195.0</v>
      </c>
      <c r="H25" s="1002">
        <v>283.0</v>
      </c>
      <c r="I25" s="1002">
        <f>1025+403</f>
        <v>1428</v>
      </c>
      <c r="J25" s="1002">
        <v>319.0</v>
      </c>
      <c r="K25" s="1002">
        <v>0.0</v>
      </c>
      <c r="L25" s="1002">
        <v>1195.0</v>
      </c>
      <c r="M25" s="1002">
        <v>487.0</v>
      </c>
      <c r="N25" s="1002">
        <v>283.0</v>
      </c>
      <c r="O25" s="1002">
        <v>487.0</v>
      </c>
      <c r="P25" s="1002">
        <v>204.0</v>
      </c>
      <c r="Q25" s="1002">
        <v>283.0</v>
      </c>
      <c r="R25" s="1002">
        <v>0.0</v>
      </c>
      <c r="S25" s="1002">
        <v>0.0</v>
      </c>
      <c r="T25" s="1002">
        <v>418.0</v>
      </c>
      <c r="U25" s="1002">
        <v>991.0</v>
      </c>
      <c r="V25" s="1002">
        <v>0.0</v>
      </c>
      <c r="W25" s="1002">
        <v>1079.0</v>
      </c>
      <c r="X25" s="1002">
        <v>0.0</v>
      </c>
      <c r="Y25" s="1002">
        <v>1876.0</v>
      </c>
      <c r="Z25" s="1002">
        <v>2104.0</v>
      </c>
      <c r="AA25" s="1002">
        <f>770+283</f>
        <v>1053</v>
      </c>
      <c r="AB25" s="1002">
        <v>566.0</v>
      </c>
      <c r="AC25" s="1002">
        <v>378.0</v>
      </c>
      <c r="AD25" s="1002">
        <v>204.0</v>
      </c>
      <c r="AE25" s="1002">
        <v>487.0</v>
      </c>
    </row>
    <row r="26">
      <c r="A26" s="134" t="s">
        <v>129</v>
      </c>
      <c r="B26" s="1010">
        <f t="shared" ref="B26:AE26" si="1">SUM(B8+B14+B20+B24+B25)</f>
        <v>118691.72</v>
      </c>
      <c r="C26" s="1010">
        <f t="shared" si="1"/>
        <v>126426.35</v>
      </c>
      <c r="D26" s="1010">
        <f t="shared" si="1"/>
        <v>129255.8</v>
      </c>
      <c r="E26" s="1010">
        <f t="shared" si="1"/>
        <v>163310.92</v>
      </c>
      <c r="F26" s="1010">
        <f t="shared" si="1"/>
        <v>171406.56</v>
      </c>
      <c r="G26" s="1010">
        <f t="shared" si="1"/>
        <v>192541.66</v>
      </c>
      <c r="H26" s="1010">
        <f t="shared" si="1"/>
        <v>140214.38</v>
      </c>
      <c r="I26" s="1010">
        <f t="shared" si="1"/>
        <v>140988.9</v>
      </c>
      <c r="J26" s="1010">
        <f t="shared" si="1"/>
        <v>165204.94</v>
      </c>
      <c r="K26" s="1010">
        <f t="shared" si="1"/>
        <v>161590.12</v>
      </c>
      <c r="L26" s="1010">
        <f t="shared" si="1"/>
        <v>219152.36</v>
      </c>
      <c r="M26" s="1010">
        <f t="shared" si="1"/>
        <v>216260.72</v>
      </c>
      <c r="N26" s="1010">
        <f t="shared" si="1"/>
        <v>186379.37</v>
      </c>
      <c r="O26" s="1010">
        <f t="shared" si="1"/>
        <v>195015.6</v>
      </c>
      <c r="P26" s="1010">
        <f t="shared" si="1"/>
        <v>179858.05</v>
      </c>
      <c r="Q26" s="1010">
        <f t="shared" si="1"/>
        <v>178035.85</v>
      </c>
      <c r="R26" s="1010">
        <f t="shared" si="1"/>
        <v>185675.37</v>
      </c>
      <c r="S26" s="1010">
        <f t="shared" si="1"/>
        <v>235148.25</v>
      </c>
      <c r="T26" s="1010">
        <f t="shared" si="1"/>
        <v>222731.19</v>
      </c>
      <c r="U26" s="1010">
        <f t="shared" si="1"/>
        <v>296979.09</v>
      </c>
      <c r="V26" s="1010">
        <f t="shared" si="1"/>
        <v>301265.98</v>
      </c>
      <c r="W26" s="1010">
        <f t="shared" si="1"/>
        <v>403977.19</v>
      </c>
      <c r="X26" s="1010">
        <f t="shared" si="1"/>
        <v>530195.75</v>
      </c>
      <c r="Y26" s="1010">
        <f t="shared" si="1"/>
        <v>1636083.34</v>
      </c>
      <c r="Z26" s="1010">
        <f t="shared" si="1"/>
        <v>823967.67</v>
      </c>
      <c r="AA26" s="1010">
        <f t="shared" si="1"/>
        <v>686571.84</v>
      </c>
      <c r="AB26" s="1010">
        <f t="shared" si="1"/>
        <v>697083.67</v>
      </c>
      <c r="AC26" s="1010">
        <f t="shared" si="1"/>
        <v>483028.34</v>
      </c>
      <c r="AD26" s="1010">
        <f t="shared" si="1"/>
        <v>103654.37</v>
      </c>
      <c r="AE26" s="1010">
        <f t="shared" si="1"/>
        <v>95842.46</v>
      </c>
    </row>
    <row r="28">
      <c r="A28" s="853" t="s">
        <v>133</v>
      </c>
    </row>
    <row r="29">
      <c r="A29" s="19" t="s">
        <v>1293</v>
      </c>
      <c r="B29" s="1011"/>
      <c r="C29" s="1011"/>
      <c r="D29" s="1011"/>
      <c r="E29" s="1011"/>
      <c r="F29" s="1011"/>
      <c r="G29" s="1003">
        <v>480.0</v>
      </c>
      <c r="H29" s="1003">
        <v>420.0</v>
      </c>
      <c r="I29" s="1003">
        <v>210.0</v>
      </c>
      <c r="J29" s="1003">
        <v>1260.0</v>
      </c>
      <c r="K29" s="1003">
        <v>7140.0</v>
      </c>
      <c r="L29" s="1003">
        <v>5250.0</v>
      </c>
      <c r="M29" s="1003">
        <v>6923.0</v>
      </c>
      <c r="N29" s="1003">
        <v>4200.0</v>
      </c>
      <c r="O29" s="1003">
        <v>5450.0</v>
      </c>
      <c r="P29" s="1003">
        <v>3150.0</v>
      </c>
      <c r="Q29" s="1003">
        <v>1470.0</v>
      </c>
      <c r="R29" s="1003">
        <v>4410.0</v>
      </c>
      <c r="S29" s="1003">
        <v>2520.0</v>
      </c>
      <c r="T29" s="1003">
        <v>6720.0</v>
      </c>
      <c r="U29" s="1003">
        <v>4830.0</v>
      </c>
      <c r="V29" s="1003">
        <v>3360.0</v>
      </c>
      <c r="W29" s="1003">
        <v>7980.0</v>
      </c>
      <c r="X29" s="1003">
        <v>11339.0</v>
      </c>
      <c r="Y29" s="1003">
        <v>32758.0</v>
      </c>
      <c r="Z29" s="1003">
        <v>10500.0</v>
      </c>
      <c r="AA29" s="1003">
        <v>10500.0</v>
      </c>
      <c r="AB29" s="1003">
        <v>60477.0</v>
      </c>
      <c r="AC29" s="1003">
        <v>42208.0</v>
      </c>
      <c r="AD29" s="1003">
        <v>43258.0</v>
      </c>
      <c r="AE29" s="1003">
        <v>54597.0</v>
      </c>
    </row>
    <row r="30">
      <c r="A30" s="134" t="s">
        <v>129</v>
      </c>
      <c r="B30" s="1010" t="str">
        <f t="shared" ref="B30:AE30" si="2">B29</f>
        <v/>
      </c>
      <c r="C30" s="1010" t="str">
        <f t="shared" si="2"/>
        <v/>
      </c>
      <c r="D30" s="1010" t="str">
        <f t="shared" si="2"/>
        <v/>
      </c>
      <c r="E30" s="1010" t="str">
        <f t="shared" si="2"/>
        <v/>
      </c>
      <c r="F30" s="1010" t="str">
        <f t="shared" si="2"/>
        <v/>
      </c>
      <c r="G30" s="1010">
        <f t="shared" si="2"/>
        <v>480</v>
      </c>
      <c r="H30" s="1010">
        <f t="shared" si="2"/>
        <v>420</v>
      </c>
      <c r="I30" s="1010">
        <f t="shared" si="2"/>
        <v>210</v>
      </c>
      <c r="J30" s="1010">
        <f t="shared" si="2"/>
        <v>1260</v>
      </c>
      <c r="K30" s="1010">
        <f t="shared" si="2"/>
        <v>7140</v>
      </c>
      <c r="L30" s="1010">
        <f t="shared" si="2"/>
        <v>5250</v>
      </c>
      <c r="M30" s="1010">
        <f t="shared" si="2"/>
        <v>6923</v>
      </c>
      <c r="N30" s="1010">
        <f t="shared" si="2"/>
        <v>4200</v>
      </c>
      <c r="O30" s="1010">
        <f t="shared" si="2"/>
        <v>5450</v>
      </c>
      <c r="P30" s="1010">
        <f t="shared" si="2"/>
        <v>3150</v>
      </c>
      <c r="Q30" s="1010">
        <f t="shared" si="2"/>
        <v>1470</v>
      </c>
      <c r="R30" s="1010">
        <f t="shared" si="2"/>
        <v>4410</v>
      </c>
      <c r="S30" s="1010">
        <f t="shared" si="2"/>
        <v>2520</v>
      </c>
      <c r="T30" s="1010">
        <f t="shared" si="2"/>
        <v>6720</v>
      </c>
      <c r="U30" s="1010">
        <f t="shared" si="2"/>
        <v>4830</v>
      </c>
      <c r="V30" s="1010">
        <f t="shared" si="2"/>
        <v>3360</v>
      </c>
      <c r="W30" s="1010">
        <f t="shared" si="2"/>
        <v>7980</v>
      </c>
      <c r="X30" s="1010">
        <f t="shared" si="2"/>
        <v>11339</v>
      </c>
      <c r="Y30" s="1010">
        <f t="shared" si="2"/>
        <v>32758</v>
      </c>
      <c r="Z30" s="1010">
        <f t="shared" si="2"/>
        <v>10500</v>
      </c>
      <c r="AA30" s="1010">
        <f t="shared" si="2"/>
        <v>10500</v>
      </c>
      <c r="AB30" s="1010">
        <f t="shared" si="2"/>
        <v>60477</v>
      </c>
      <c r="AC30" s="1010">
        <f t="shared" si="2"/>
        <v>42208</v>
      </c>
      <c r="AD30" s="1010">
        <f t="shared" si="2"/>
        <v>43258</v>
      </c>
      <c r="AE30" s="1010">
        <f t="shared" si="2"/>
        <v>54597</v>
      </c>
    </row>
    <row r="32" collapsed="1">
      <c r="A32" s="32" t="s">
        <v>141</v>
      </c>
    </row>
    <row r="33" hidden="1" outlineLevel="1">
      <c r="A33" s="57" t="s">
        <v>143</v>
      </c>
      <c r="B33" s="1012">
        <f>'App - P&amp;L'!B90</f>
        <v>84.677</v>
      </c>
      <c r="C33" s="1012">
        <f>'App - P&amp;L'!C90</f>
        <v>140.998</v>
      </c>
      <c r="D33" s="1012">
        <f>'App - P&amp;L'!D90</f>
        <v>60.469</v>
      </c>
      <c r="E33" s="1012">
        <f>'App - P&amp;L'!E90</f>
        <v>349.6205</v>
      </c>
      <c r="F33" s="1012">
        <f>'App - P&amp;L'!F90</f>
        <v>241.919</v>
      </c>
      <c r="G33" s="1012">
        <f>'App - P&amp;L'!G90</f>
        <v>57.6675</v>
      </c>
      <c r="H33" s="1012">
        <f>'App - P&amp;L'!H90</f>
        <v>152.232</v>
      </c>
      <c r="I33" s="1012">
        <f>'App - P&amp;L'!I90</f>
        <v>254.7435</v>
      </c>
      <c r="J33" s="1012">
        <f>'App - P&amp;L'!J90</f>
        <v>269.949</v>
      </c>
      <c r="K33" s="1012">
        <f>'App - P&amp;L'!K90</f>
        <v>229.166</v>
      </c>
      <c r="L33" s="1012">
        <f>'App - P&amp;L'!L90</f>
        <v>352.5375</v>
      </c>
      <c r="M33" s="1012">
        <f>'App - P&amp;L'!M90</f>
        <v>327.3315</v>
      </c>
      <c r="N33" s="1012">
        <f>'App - P&amp;L'!N90</f>
        <v>291.0805</v>
      </c>
      <c r="O33" s="1012">
        <f>'App - P&amp;L'!O90</f>
        <v>292.367</v>
      </c>
      <c r="P33" s="1012">
        <f>'App - P&amp;L'!P90</f>
        <v>216.5385</v>
      </c>
      <c r="Q33" s="1012">
        <f>'App - P&amp;L'!Q90</f>
        <v>133.258</v>
      </c>
      <c r="R33" s="1012">
        <f>'App - P&amp;L'!R90</f>
        <v>243.0455</v>
      </c>
      <c r="S33" s="1012">
        <f>'App - P&amp;L'!S90</f>
        <v>322.1325</v>
      </c>
      <c r="T33" s="1012">
        <f>'App - P&amp;L'!T90</f>
        <v>461.412</v>
      </c>
      <c r="U33" s="1012">
        <f>'App - P&amp;L'!U90</f>
        <v>196.1465</v>
      </c>
      <c r="V33" s="1012">
        <f>'App - P&amp;L'!V90</f>
        <v>283.161</v>
      </c>
      <c r="W33" s="1012">
        <f>'App - P&amp;L'!W90</f>
        <v>135.495</v>
      </c>
      <c r="X33" s="1012">
        <f>'App - P&amp;L'!X90</f>
        <v>136.6635</v>
      </c>
      <c r="Y33" s="1012">
        <f>'App - P&amp;L'!Y90</f>
        <v>272.838</v>
      </c>
      <c r="Z33" s="1012">
        <f>'App - P&amp;L'!Z90</f>
        <v>413.1975</v>
      </c>
      <c r="AA33" s="1012">
        <f>'App - P&amp;L'!AA90</f>
        <v>629.359</v>
      </c>
      <c r="AB33" s="1012">
        <f>'App - P&amp;L'!AB90</f>
        <v>326.826</v>
      </c>
      <c r="AC33" s="1012">
        <f>'App - P&amp;L'!AC90</f>
        <v>171.634</v>
      </c>
      <c r="AD33" s="1012">
        <f>'App - P&amp;L'!AD90</f>
        <v>295.1415</v>
      </c>
      <c r="AE33" s="1012">
        <f>'App - P&amp;L'!AE90</f>
        <v>158.926</v>
      </c>
    </row>
    <row r="34" hidden="1" outlineLevel="1">
      <c r="A34" s="57" t="s">
        <v>149</v>
      </c>
      <c r="B34" s="1012">
        <f>'App - P&amp;L'!B91</f>
        <v>339.7382059</v>
      </c>
      <c r="C34" s="1012">
        <f>'App - P&amp;L'!C91</f>
        <v>558.3012557</v>
      </c>
      <c r="D34" s="1012">
        <f>'App - P&amp;L'!D91</f>
        <v>504.6811045</v>
      </c>
      <c r="E34" s="1012">
        <f>'App - P&amp;L'!E91</f>
        <v>1171.756405</v>
      </c>
      <c r="F34" s="1012">
        <f>'App - P&amp;L'!F91</f>
        <v>1080.935312</v>
      </c>
      <c r="G34" s="1012">
        <f>'App - P&amp;L'!G91</f>
        <v>715.339538</v>
      </c>
      <c r="H34" s="1012">
        <f>'App - P&amp;L'!H91</f>
        <v>540.2165514</v>
      </c>
      <c r="I34" s="1012">
        <f>'App - P&amp;L'!I91</f>
        <v>688.2393969</v>
      </c>
      <c r="J34" s="1012">
        <f>'App - P&amp;L'!J91</f>
        <v>743.6833889</v>
      </c>
      <c r="K34" s="1012">
        <f>'App - P&amp;L'!K91</f>
        <v>855.6526541</v>
      </c>
      <c r="L34" s="1012">
        <f>'App - P&amp;L'!L91</f>
        <v>1128.82615</v>
      </c>
      <c r="M34" s="1012">
        <f>'App - P&amp;L'!M91</f>
        <v>1502.735551</v>
      </c>
      <c r="N34" s="1012">
        <f>'App - P&amp;L'!N91</f>
        <v>581.3684127</v>
      </c>
      <c r="O34" s="1012">
        <f>'App - P&amp;L'!O91</f>
        <v>623.1038333</v>
      </c>
      <c r="P34" s="1012">
        <f>'App - P&amp;L'!P91</f>
        <v>724.6304912</v>
      </c>
      <c r="Q34" s="1012">
        <f>'App - P&amp;L'!Q91</f>
        <v>701.8698158</v>
      </c>
      <c r="R34" s="1012">
        <f>'App - P&amp;L'!R91</f>
        <v>880.2661757</v>
      </c>
      <c r="S34" s="1012">
        <f>'App - P&amp;L'!S91</f>
        <v>1006.083632</v>
      </c>
      <c r="T34" s="1012">
        <f>'App - P&amp;L'!T91</f>
        <v>1208.967071</v>
      </c>
      <c r="U34" s="1012">
        <f>'App - P&amp;L'!U91</f>
        <v>684.6731685</v>
      </c>
      <c r="V34" s="1012">
        <f>'App - P&amp;L'!V91</f>
        <v>640.395493</v>
      </c>
      <c r="W34" s="1012">
        <f>'App - P&amp;L'!W91</f>
        <v>400.8583878</v>
      </c>
      <c r="X34" s="1012">
        <f>'App - P&amp;L'!X91</f>
        <v>640.213215</v>
      </c>
      <c r="Y34" s="1012">
        <f>'App - P&amp;L'!Y91</f>
        <v>825.5590724</v>
      </c>
      <c r="Z34" s="1012">
        <f>'App - P&amp;L'!Z91</f>
        <v>1067.636103</v>
      </c>
      <c r="AA34" s="1012">
        <f>'App - P&amp;L'!AA91</f>
        <v>1269.466306</v>
      </c>
      <c r="AB34" s="1012">
        <f>'App - P&amp;L'!AB91</f>
        <v>639.4500922</v>
      </c>
      <c r="AC34" s="1012">
        <f>'App - P&amp;L'!AC91</f>
        <v>715.9623341</v>
      </c>
      <c r="AD34" s="1012">
        <f>'App - P&amp;L'!AD91</f>
        <v>757.491189</v>
      </c>
      <c r="AE34" s="1012">
        <f>'App - P&amp;L'!AE91</f>
        <v>1058.678625</v>
      </c>
    </row>
    <row r="35" hidden="1" outlineLevel="1">
      <c r="A35" s="57" t="s">
        <v>152</v>
      </c>
      <c r="B35" s="1013">
        <f>'App - P&amp;L'!B67</f>
        <v>161.0122311</v>
      </c>
      <c r="C35" s="1013">
        <f>'App - P&amp;L'!C67</f>
        <v>269.0953953</v>
      </c>
      <c r="D35" s="1013">
        <f>'App - P&amp;L'!D67</f>
        <v>232.5943305</v>
      </c>
      <c r="E35" s="1013">
        <f>'App - P&amp;L'!E67</f>
        <v>576.4636737</v>
      </c>
      <c r="F35" s="1013">
        <f>'App - P&amp;L'!F67</f>
        <v>512.6032764</v>
      </c>
      <c r="G35" s="1013">
        <f>'App - P&amp;L'!G67</f>
        <v>328.732302</v>
      </c>
      <c r="H35" s="1013">
        <f>'App - P&amp;L'!H67</f>
        <v>263.4379506</v>
      </c>
      <c r="I35" s="1013">
        <f>'App - P&amp;L'!I67</f>
        <v>349.7176701</v>
      </c>
      <c r="J35" s="1013">
        <f>'App - P&amp;L'!J67</f>
        <v>374.0367381</v>
      </c>
      <c r="K35" s="1013">
        <f>'App - P&amp;L'!K67</f>
        <v>419.6137089</v>
      </c>
      <c r="L35" s="1013">
        <f>'App - P&amp;L'!L67</f>
        <v>556.6194213</v>
      </c>
      <c r="M35" s="1013">
        <f>'App - P&amp;L'!M67</f>
        <v>712.7280219</v>
      </c>
      <c r="N35" s="1013">
        <f>'App - P&amp;L'!N67</f>
        <v>307.8702483</v>
      </c>
      <c r="O35" s="1013">
        <f>'App - P&amp;L'!O67</f>
        <v>322.5217857</v>
      </c>
      <c r="P35" s="1013">
        <f>'App - P&amp;L'!P67</f>
        <v>359.8474248</v>
      </c>
      <c r="Q35" s="1013">
        <f>'App - P&amp;L'!Q67</f>
        <v>335.8147782</v>
      </c>
      <c r="R35" s="1013">
        <f>'App - P&amp;L'!R67</f>
        <v>421.8585753</v>
      </c>
      <c r="S35" s="1013">
        <f>'App - P&amp;L'!S67</f>
        <v>495.3047709</v>
      </c>
      <c r="T35" s="1013">
        <f>'App - P&amp;L'!T67</f>
        <v>610.4310303</v>
      </c>
      <c r="U35" s="1013">
        <f>'App - P&amp;L'!U67</f>
        <v>331.6862865</v>
      </c>
      <c r="V35" s="1013">
        <f>'App - P&amp;L'!V67</f>
        <v>329.428497</v>
      </c>
      <c r="W35" s="1013">
        <f>'App - P&amp;L'!W67</f>
        <v>201.8671662</v>
      </c>
      <c r="X35" s="1013">
        <f>'App - P&amp;L'!X67</f>
        <v>302.580735</v>
      </c>
      <c r="Y35" s="1013">
        <f>'App - P&amp;L'!Y67</f>
        <v>408.5344596</v>
      </c>
      <c r="Z35" s="1013">
        <f>'App - P&amp;L'!Z67</f>
        <v>545.9222583</v>
      </c>
      <c r="AA35" s="1013">
        <f>'App - P&amp;L'!AA67</f>
        <v>670.4508456</v>
      </c>
      <c r="AB35" s="1013">
        <f>'App - P&amp;L'!AB67</f>
        <v>335.9297538</v>
      </c>
      <c r="AC35" s="1013">
        <f>'App - P&amp;L'!AC67</f>
        <v>339.3584289</v>
      </c>
      <c r="AD35" s="1013">
        <f>'App - P&amp;L'!AD67</f>
        <v>388.207581</v>
      </c>
      <c r="AE35" s="1013">
        <f>'App - P&amp;L'!AE67</f>
        <v>483.2976966</v>
      </c>
    </row>
    <row r="36" hidden="1" outlineLevel="1">
      <c r="A36" s="57" t="s">
        <v>157</v>
      </c>
      <c r="B36" s="1013">
        <f>'App - P&amp;L'!B68</f>
        <v>1.09</v>
      </c>
      <c r="C36" s="1013">
        <f>'App - P&amp;L'!C68</f>
        <v>11.53</v>
      </c>
      <c r="D36" s="1013">
        <f>'App - P&amp;L'!D68</f>
        <v>13.14</v>
      </c>
      <c r="E36" s="1013">
        <f>'App - P&amp;L'!E68</f>
        <v>30.07</v>
      </c>
      <c r="F36" s="1013">
        <f>'App - P&amp;L'!F68</f>
        <v>22.19</v>
      </c>
      <c r="G36" s="1013">
        <f>'App - P&amp;L'!G68</f>
        <v>34.61</v>
      </c>
      <c r="H36" s="1013">
        <f>'App - P&amp;L'!H68</f>
        <v>12.1</v>
      </c>
      <c r="I36" s="1013">
        <f>'App - P&amp;L'!I68</f>
        <v>34.28</v>
      </c>
      <c r="J36" s="1013">
        <f>'App - P&amp;L'!J68</f>
        <v>29.89</v>
      </c>
      <c r="K36" s="1013">
        <f>'App - P&amp;L'!K68</f>
        <v>39.26</v>
      </c>
      <c r="L36" s="1013">
        <f>'App - P&amp;L'!L68</f>
        <v>25.09</v>
      </c>
      <c r="M36" s="1013">
        <f>'App - P&amp;L'!M68</f>
        <v>26.26</v>
      </c>
      <c r="N36" s="1013">
        <f>'App - P&amp;L'!N68</f>
        <v>23.98</v>
      </c>
      <c r="O36" s="1013">
        <f>'App - P&amp;L'!O68</f>
        <v>19.69</v>
      </c>
      <c r="P36" s="1013">
        <f>'App - P&amp;L'!P68</f>
        <v>30.08</v>
      </c>
      <c r="Q36" s="1013">
        <f>'App - P&amp;L'!Q68</f>
        <v>30.48</v>
      </c>
      <c r="R36" s="1013">
        <f>'App - P&amp;L'!R68</f>
        <v>8.44</v>
      </c>
      <c r="S36" s="1013">
        <f>'App - P&amp;L'!S68</f>
        <v>25.62</v>
      </c>
      <c r="T36" s="1013">
        <f>'App - P&amp;L'!T68</f>
        <v>28.72</v>
      </c>
      <c r="U36" s="1013">
        <f>'App - P&amp;L'!U68</f>
        <v>12.76</v>
      </c>
      <c r="V36" s="1013">
        <f>'App - P&amp;L'!V68</f>
        <v>12.34</v>
      </c>
      <c r="W36" s="1013">
        <f>'App - P&amp;L'!W68</f>
        <v>18.62</v>
      </c>
      <c r="X36" s="1013">
        <f>'App - P&amp;L'!X68</f>
        <v>13.6</v>
      </c>
      <c r="Y36" s="1013">
        <f>'App - P&amp;L'!Y68</f>
        <v>18.99</v>
      </c>
      <c r="Z36" s="1013">
        <f>'App - P&amp;L'!Z68</f>
        <v>36.66</v>
      </c>
      <c r="AA36" s="1013">
        <f>'App - P&amp;L'!AA68</f>
        <v>58.93</v>
      </c>
      <c r="AB36" s="1013">
        <f>'App - P&amp;L'!AB68</f>
        <v>16.24</v>
      </c>
      <c r="AC36" s="1013">
        <f>'App - P&amp;L'!AC68</f>
        <v>8.76</v>
      </c>
      <c r="AD36" s="1013">
        <f>'App - P&amp;L'!AD68</f>
        <v>37.28</v>
      </c>
      <c r="AE36" s="1013">
        <f>'App - P&amp;L'!AE68</f>
        <v>6.67</v>
      </c>
    </row>
    <row r="37">
      <c r="A37" s="97" t="s">
        <v>129</v>
      </c>
      <c r="B37" s="1012">
        <f t="shared" ref="B37:AE37" si="3">sum(B33:B36)</f>
        <v>586.517437</v>
      </c>
      <c r="C37" s="1012">
        <f t="shared" si="3"/>
        <v>979.924651</v>
      </c>
      <c r="D37" s="1012">
        <f t="shared" si="3"/>
        <v>810.884435</v>
      </c>
      <c r="E37" s="1012">
        <f t="shared" si="3"/>
        <v>2127.910579</v>
      </c>
      <c r="F37" s="1012">
        <f t="shared" si="3"/>
        <v>1857.647588</v>
      </c>
      <c r="G37" s="1012">
        <f t="shared" si="3"/>
        <v>1136.34934</v>
      </c>
      <c r="H37" s="1012">
        <f t="shared" si="3"/>
        <v>967.986502</v>
      </c>
      <c r="I37" s="1012">
        <f t="shared" si="3"/>
        <v>1326.980567</v>
      </c>
      <c r="J37" s="1012">
        <f t="shared" si="3"/>
        <v>1417.559127</v>
      </c>
      <c r="K37" s="1012">
        <f t="shared" si="3"/>
        <v>1543.692363</v>
      </c>
      <c r="L37" s="1012">
        <f t="shared" si="3"/>
        <v>2063.073071</v>
      </c>
      <c r="M37" s="1012">
        <f t="shared" si="3"/>
        <v>2569.055073</v>
      </c>
      <c r="N37" s="1012">
        <f t="shared" si="3"/>
        <v>1204.299161</v>
      </c>
      <c r="O37" s="1012">
        <f t="shared" si="3"/>
        <v>1257.682619</v>
      </c>
      <c r="P37" s="1012">
        <f t="shared" si="3"/>
        <v>1331.096416</v>
      </c>
      <c r="Q37" s="1012">
        <f t="shared" si="3"/>
        <v>1201.422594</v>
      </c>
      <c r="R37" s="1012">
        <f t="shared" si="3"/>
        <v>1553.610251</v>
      </c>
      <c r="S37" s="1012">
        <f t="shared" si="3"/>
        <v>1849.140903</v>
      </c>
      <c r="T37" s="1012">
        <f t="shared" si="3"/>
        <v>2309.530101</v>
      </c>
      <c r="U37" s="1012">
        <f t="shared" si="3"/>
        <v>1225.265955</v>
      </c>
      <c r="V37" s="1012">
        <f t="shared" si="3"/>
        <v>1265.32499</v>
      </c>
      <c r="W37" s="1012">
        <f t="shared" si="3"/>
        <v>756.840554</v>
      </c>
      <c r="X37" s="1012">
        <f t="shared" si="3"/>
        <v>1093.05745</v>
      </c>
      <c r="Y37" s="1012">
        <f t="shared" si="3"/>
        <v>1525.921532</v>
      </c>
      <c r="Z37" s="1012">
        <f t="shared" si="3"/>
        <v>2063.415861</v>
      </c>
      <c r="AA37" s="1012">
        <f t="shared" si="3"/>
        <v>2628.206152</v>
      </c>
      <c r="AB37" s="1012">
        <f t="shared" si="3"/>
        <v>1318.445846</v>
      </c>
      <c r="AC37" s="1012">
        <f t="shared" si="3"/>
        <v>1235.714763</v>
      </c>
      <c r="AD37" s="1012">
        <f t="shared" si="3"/>
        <v>1478.12027</v>
      </c>
      <c r="AE37" s="1012">
        <f t="shared" si="3"/>
        <v>1707.572322</v>
      </c>
    </row>
    <row r="39" collapsed="1">
      <c r="A39" s="853" t="s">
        <v>169</v>
      </c>
      <c r="B39" s="1034">
        <v>446.0</v>
      </c>
      <c r="C39" s="1">
        <v>526.0</v>
      </c>
      <c r="D39" s="1">
        <v>509.0</v>
      </c>
      <c r="E39" s="1">
        <v>529.0</v>
      </c>
      <c r="F39" s="1">
        <v>596.0</v>
      </c>
      <c r="G39" s="1">
        <v>570.0</v>
      </c>
      <c r="H39" s="1">
        <v>516.0</v>
      </c>
      <c r="I39" s="1">
        <v>526.0</v>
      </c>
      <c r="J39" s="1">
        <v>561.0</v>
      </c>
      <c r="K39" s="1">
        <v>554.0</v>
      </c>
      <c r="L39" s="1">
        <v>684.0</v>
      </c>
      <c r="M39" s="1">
        <f>758-95</f>
        <v>663</v>
      </c>
      <c r="N39" s="1035">
        <f>962-420</f>
        <v>542</v>
      </c>
      <c r="O39" s="1">
        <v>623.0</v>
      </c>
      <c r="P39" s="1">
        <v>582.0</v>
      </c>
      <c r="Q39" s="1">
        <v>544.0</v>
      </c>
      <c r="R39" s="1">
        <v>578.0</v>
      </c>
      <c r="S39" s="1">
        <v>728.0</v>
      </c>
      <c r="T39" s="1">
        <v>751.0</v>
      </c>
      <c r="U39" s="1">
        <v>785.0</v>
      </c>
      <c r="V39" s="1">
        <v>822.0</v>
      </c>
      <c r="W39" s="1034">
        <v>1217.0</v>
      </c>
      <c r="X39" s="1034">
        <v>1412.0</v>
      </c>
      <c r="Y39" s="1034">
        <v>3921.0</v>
      </c>
      <c r="Z39" s="1034">
        <v>2450.0</v>
      </c>
      <c r="AA39" s="1034">
        <v>1814.0</v>
      </c>
      <c r="AB39" s="1034">
        <v>2787.0</v>
      </c>
      <c r="AC39" s="1034">
        <v>1954.0</v>
      </c>
      <c r="AD39" s="1">
        <v>332.0</v>
      </c>
      <c r="AE39" s="1">
        <v>313.0</v>
      </c>
    </row>
    <row r="40" hidden="1" outlineLevel="1">
      <c r="A40" s="220" t="s">
        <v>182</v>
      </c>
      <c r="B40" s="220">
        <v>419.0</v>
      </c>
      <c r="C40" s="220">
        <v>442.0</v>
      </c>
      <c r="D40" s="220">
        <v>452.0</v>
      </c>
      <c r="E40" s="220">
        <v>485.0</v>
      </c>
      <c r="F40" s="220">
        <v>567.0</v>
      </c>
      <c r="G40" s="220">
        <v>537.0</v>
      </c>
      <c r="H40" s="220">
        <v>484.0</v>
      </c>
      <c r="I40" s="220">
        <v>477.0</v>
      </c>
      <c r="J40" s="220">
        <v>497.0</v>
      </c>
      <c r="K40" s="220">
        <v>503.0</v>
      </c>
      <c r="L40" s="220">
        <v>632.0</v>
      </c>
      <c r="M40" s="220">
        <v>632.0</v>
      </c>
      <c r="N40" s="220">
        <v>498.0</v>
      </c>
      <c r="O40" s="220">
        <v>578.0</v>
      </c>
      <c r="P40" s="220">
        <v>541.0</v>
      </c>
      <c r="Q40" s="220">
        <v>511.0</v>
      </c>
      <c r="R40" s="220">
        <v>529.0</v>
      </c>
      <c r="S40" s="220">
        <v>701.0</v>
      </c>
      <c r="T40" s="220">
        <v>714.0</v>
      </c>
      <c r="U40" s="220">
        <v>747.0</v>
      </c>
      <c r="V40" s="220">
        <v>782.0</v>
      </c>
      <c r="W40" s="220">
        <v>1133.0</v>
      </c>
      <c r="X40" s="220">
        <v>1353.0</v>
      </c>
      <c r="Y40" s="220">
        <v>3769.0</v>
      </c>
      <c r="Z40" s="220">
        <v>2387.0</v>
      </c>
      <c r="AA40" s="220">
        <v>1742.0</v>
      </c>
      <c r="AB40" s="220">
        <v>2704.0</v>
      </c>
      <c r="AC40" s="220">
        <v>1891.0</v>
      </c>
      <c r="AD40" s="220">
        <v>295.0</v>
      </c>
      <c r="AE40" s="220">
        <v>268.0</v>
      </c>
    </row>
    <row r="41" hidden="1" outlineLevel="1">
      <c r="A41" s="220" t="s">
        <v>184</v>
      </c>
      <c r="B41" s="220">
        <v>581.0</v>
      </c>
      <c r="C41" s="220">
        <v>734.0</v>
      </c>
      <c r="D41" s="220">
        <v>693.0</v>
      </c>
      <c r="E41" s="220">
        <v>715.0</v>
      </c>
      <c r="F41" s="220">
        <v>757.0</v>
      </c>
      <c r="G41" s="220">
        <v>713.0</v>
      </c>
      <c r="H41" s="220">
        <v>695.0</v>
      </c>
      <c r="I41" s="220">
        <v>731.0</v>
      </c>
      <c r="J41" s="220">
        <v>722.0</v>
      </c>
      <c r="K41" s="220">
        <v>701.0</v>
      </c>
      <c r="L41" s="220">
        <v>953.0</v>
      </c>
      <c r="M41" s="220">
        <v>1027.0</v>
      </c>
      <c r="N41" s="220">
        <v>1134.0</v>
      </c>
      <c r="O41" s="220">
        <v>808.0</v>
      </c>
      <c r="P41" s="220">
        <v>734.0</v>
      </c>
      <c r="Q41" s="220">
        <v>714.0</v>
      </c>
      <c r="R41" s="220">
        <v>713.0</v>
      </c>
      <c r="S41" s="220">
        <v>929.0</v>
      </c>
      <c r="T41" s="220">
        <v>710.0</v>
      </c>
      <c r="U41" s="220">
        <v>952.0</v>
      </c>
      <c r="V41" s="220">
        <v>1000.0</v>
      </c>
      <c r="W41" s="220">
        <v>1543.0</v>
      </c>
      <c r="X41" s="220">
        <v>1895.0</v>
      </c>
      <c r="Y41" s="220">
        <v>4733.0</v>
      </c>
      <c r="Z41" s="220">
        <v>2745.0</v>
      </c>
      <c r="AA41" s="220">
        <v>2239.0</v>
      </c>
      <c r="AB41" s="220">
        <v>3084.0</v>
      </c>
      <c r="AC41" s="220">
        <v>1874.0</v>
      </c>
      <c r="AD41" s="220">
        <v>230.0</v>
      </c>
      <c r="AE41" s="220">
        <v>222.0</v>
      </c>
    </row>
    <row r="42" hidden="1" outlineLevel="1">
      <c r="A42" s="220" t="s">
        <v>1296</v>
      </c>
      <c r="B42" s="220">
        <v>0.0</v>
      </c>
      <c r="C42" s="220">
        <v>0.0</v>
      </c>
      <c r="D42" s="220">
        <v>0.0</v>
      </c>
      <c r="E42" s="220">
        <v>0.0</v>
      </c>
      <c r="F42" s="220">
        <v>0.0</v>
      </c>
      <c r="G42" s="220">
        <v>0.0</v>
      </c>
      <c r="H42" s="220">
        <v>0.0</v>
      </c>
      <c r="I42" s="220">
        <v>0.0</v>
      </c>
      <c r="J42" s="220">
        <v>15.0</v>
      </c>
      <c r="K42" s="220">
        <v>13.0</v>
      </c>
      <c r="L42" s="220">
        <v>12.0</v>
      </c>
      <c r="M42" s="220">
        <v>5.0</v>
      </c>
      <c r="N42" s="220">
        <v>0.0</v>
      </c>
      <c r="O42" s="220">
        <v>23.0</v>
      </c>
      <c r="P42" s="220">
        <v>23.0</v>
      </c>
      <c r="Q42" s="220">
        <v>27.0</v>
      </c>
      <c r="R42" s="220">
        <v>20.0</v>
      </c>
      <c r="S42" s="220">
        <v>9.0</v>
      </c>
      <c r="T42" s="220">
        <v>7.0</v>
      </c>
      <c r="U42" s="220">
        <v>6.0</v>
      </c>
      <c r="V42" s="220">
        <v>9.0</v>
      </c>
      <c r="W42" s="220">
        <v>14.0</v>
      </c>
      <c r="X42" s="220">
        <v>14.0</v>
      </c>
      <c r="Y42" s="220">
        <v>47.0</v>
      </c>
      <c r="Z42" s="220">
        <v>30.0</v>
      </c>
      <c r="AA42" s="220">
        <v>14.0</v>
      </c>
      <c r="AB42" s="220">
        <v>36.0</v>
      </c>
      <c r="AC42" s="220">
        <v>31.0</v>
      </c>
      <c r="AD42" s="220">
        <v>6.0</v>
      </c>
      <c r="AE42" s="220">
        <v>6.0</v>
      </c>
    </row>
    <row r="43" collapsed="1">
      <c r="A43" s="853" t="s">
        <v>123</v>
      </c>
      <c r="B43" s="1">
        <v>49.0</v>
      </c>
      <c r="C43" s="1">
        <v>41.0</v>
      </c>
      <c r="D43" s="1">
        <v>55.0</v>
      </c>
      <c r="E43" s="1">
        <v>65.0</v>
      </c>
      <c r="F43" s="1">
        <v>73.0</v>
      </c>
      <c r="G43" s="1">
        <v>57.0</v>
      </c>
      <c r="H43" s="1">
        <v>48.0</v>
      </c>
      <c r="I43" s="1">
        <v>66.0</v>
      </c>
      <c r="J43" s="1">
        <v>119.0</v>
      </c>
      <c r="K43" s="1">
        <v>118.0</v>
      </c>
      <c r="L43" s="1">
        <v>177.0</v>
      </c>
      <c r="M43" s="1">
        <v>175.0</v>
      </c>
      <c r="N43" s="1">
        <v>152.0</v>
      </c>
      <c r="O43" s="1">
        <v>168.0</v>
      </c>
      <c r="P43" s="1">
        <v>189.0</v>
      </c>
      <c r="Q43" s="1">
        <v>204.0</v>
      </c>
      <c r="R43" s="1">
        <v>243.0</v>
      </c>
      <c r="S43" s="1">
        <v>282.0</v>
      </c>
      <c r="T43" s="1">
        <v>197.0</v>
      </c>
      <c r="U43" s="1">
        <v>509.0</v>
      </c>
      <c r="V43" s="1">
        <v>521.0</v>
      </c>
      <c r="W43" s="1">
        <v>579.0</v>
      </c>
      <c r="X43" s="1035">
        <f>X44+X45</f>
        <v>953</v>
      </c>
      <c r="Y43" s="1034">
        <v>3488.0</v>
      </c>
      <c r="Z43" s="1034">
        <v>1165.0</v>
      </c>
      <c r="AA43" s="1034">
        <v>1099.0</v>
      </c>
      <c r="AB43" s="1">
        <v>19.0</v>
      </c>
      <c r="AC43" s="1">
        <v>1.0</v>
      </c>
      <c r="AD43" s="1">
        <v>0.0</v>
      </c>
      <c r="AE43" s="1">
        <v>3.0</v>
      </c>
    </row>
    <row r="44" hidden="1" outlineLevel="1">
      <c r="A44" s="220" t="s">
        <v>182</v>
      </c>
      <c r="B44" s="220">
        <v>44.0</v>
      </c>
      <c r="C44" s="220">
        <v>36.0</v>
      </c>
      <c r="D44" s="220">
        <v>53.0</v>
      </c>
      <c r="E44" s="220">
        <v>60.0</v>
      </c>
      <c r="F44" s="220">
        <v>68.0</v>
      </c>
      <c r="G44" s="220">
        <v>55.0</v>
      </c>
      <c r="H44" s="220">
        <v>46.0</v>
      </c>
      <c r="I44" s="220">
        <v>57.0</v>
      </c>
      <c r="J44" s="220">
        <v>113.0</v>
      </c>
      <c r="K44" s="220">
        <v>114.0</v>
      </c>
      <c r="L44" s="220">
        <v>168.0</v>
      </c>
      <c r="M44" s="220">
        <v>165.0</v>
      </c>
      <c r="N44" s="220">
        <v>152.0</v>
      </c>
      <c r="O44" s="220">
        <v>162.0</v>
      </c>
      <c r="P44" s="220">
        <v>178.0</v>
      </c>
      <c r="Q44" s="220">
        <v>192.0</v>
      </c>
      <c r="R44" s="220">
        <v>236.0</v>
      </c>
      <c r="S44" s="220">
        <v>268.0</v>
      </c>
      <c r="T44" s="220">
        <v>175.0</v>
      </c>
      <c r="U44" s="220">
        <v>492.0</v>
      </c>
      <c r="V44" s="220">
        <v>496.0</v>
      </c>
      <c r="W44" s="220">
        <v>554.0</v>
      </c>
      <c r="X44" s="220">
        <v>885.0</v>
      </c>
      <c r="Y44" s="1041">
        <v>3304.0</v>
      </c>
      <c r="Z44" s="1041">
        <v>1157.0</v>
      </c>
      <c r="AA44" s="1041">
        <v>1127.0</v>
      </c>
      <c r="AB44" s="220">
        <v>19.0</v>
      </c>
      <c r="AC44" s="220">
        <v>0.0</v>
      </c>
      <c r="AD44" s="220">
        <v>0.0</v>
      </c>
      <c r="AE44" s="220">
        <v>2.0</v>
      </c>
    </row>
    <row r="45" hidden="1" outlineLevel="1">
      <c r="A45" s="220" t="s">
        <v>184</v>
      </c>
      <c r="B45" s="220">
        <v>6.0</v>
      </c>
      <c r="C45" s="220">
        <v>5.0</v>
      </c>
      <c r="D45" s="220">
        <v>3.0</v>
      </c>
      <c r="E45" s="220">
        <v>5.0</v>
      </c>
      <c r="F45" s="220">
        <v>5.0</v>
      </c>
      <c r="G45" s="220">
        <v>5.0</v>
      </c>
      <c r="H45" s="220">
        <v>2.0</v>
      </c>
      <c r="I45" s="220">
        <v>13.0</v>
      </c>
      <c r="J45" s="220">
        <v>6.0</v>
      </c>
      <c r="K45" s="220">
        <v>4.0</v>
      </c>
      <c r="L45" s="220">
        <v>12.0</v>
      </c>
      <c r="M45" s="220">
        <v>11.0</v>
      </c>
      <c r="N45" s="220">
        <v>3.0</v>
      </c>
      <c r="O45" s="220">
        <v>9.0</v>
      </c>
      <c r="P45" s="220">
        <v>13.0</v>
      </c>
      <c r="Q45" s="220">
        <v>20.0</v>
      </c>
      <c r="R45" s="220">
        <v>25.0</v>
      </c>
      <c r="S45" s="220">
        <v>24.0</v>
      </c>
      <c r="T45" s="220">
        <v>32.0</v>
      </c>
      <c r="U45" s="220">
        <v>38.0</v>
      </c>
      <c r="V45" s="220">
        <v>40.0</v>
      </c>
      <c r="W45" s="220">
        <v>34.0</v>
      </c>
      <c r="X45" s="220">
        <v>68.0</v>
      </c>
      <c r="Y45" s="220">
        <v>184.0</v>
      </c>
      <c r="Z45" s="220">
        <v>8.0</v>
      </c>
      <c r="AA45" s="220">
        <v>9.0</v>
      </c>
      <c r="AB45" s="220">
        <v>0.0</v>
      </c>
      <c r="AC45" s="220">
        <v>1.0</v>
      </c>
      <c r="AD45" s="220">
        <v>0.0</v>
      </c>
      <c r="AE45" s="220">
        <v>1.0</v>
      </c>
    </row>
    <row r="46">
      <c r="A46" s="853" t="s">
        <v>206</v>
      </c>
      <c r="B46" s="1">
        <v>19.0</v>
      </c>
      <c r="C46" s="1">
        <v>32.0</v>
      </c>
      <c r="D46" s="1">
        <v>25.0</v>
      </c>
      <c r="E46" s="1">
        <v>79.0</v>
      </c>
      <c r="F46" s="1">
        <v>64.0</v>
      </c>
      <c r="G46" s="1">
        <v>41.0</v>
      </c>
      <c r="H46" s="1">
        <v>37.0</v>
      </c>
      <c r="I46" s="1">
        <v>39.0</v>
      </c>
      <c r="J46" s="1">
        <v>50.0</v>
      </c>
      <c r="K46" s="1">
        <v>57.0</v>
      </c>
      <c r="L46" s="1">
        <v>78.0</v>
      </c>
      <c r="M46" s="1">
        <v>90.0</v>
      </c>
      <c r="N46" s="1">
        <v>46.0</v>
      </c>
      <c r="O46" s="1">
        <v>44.0</v>
      </c>
      <c r="P46" s="1">
        <v>41.0</v>
      </c>
      <c r="Q46" s="1">
        <v>46.0</v>
      </c>
      <c r="R46" s="1">
        <v>53.0</v>
      </c>
      <c r="S46" s="1045">
        <v>72.0</v>
      </c>
      <c r="T46" s="1045">
        <v>79.0</v>
      </c>
      <c r="U46" s="1045">
        <v>40.0</v>
      </c>
      <c r="V46" s="1045">
        <v>50.0</v>
      </c>
      <c r="W46" s="1045">
        <v>32.0</v>
      </c>
      <c r="X46" s="1045">
        <v>39.0</v>
      </c>
      <c r="Y46" s="1">
        <v>62.0</v>
      </c>
      <c r="Z46" s="1">
        <v>79.0</v>
      </c>
      <c r="AA46" s="1">
        <v>85.0</v>
      </c>
      <c r="AB46" s="1">
        <v>48.0</v>
      </c>
      <c r="AC46" s="1">
        <v>34.0</v>
      </c>
      <c r="AD46" s="1">
        <v>56.0</v>
      </c>
      <c r="AE46" s="1">
        <v>59.0</v>
      </c>
    </row>
    <row r="47">
      <c r="A47" s="853" t="s">
        <v>187</v>
      </c>
      <c r="B47" s="1">
        <v>1.0</v>
      </c>
      <c r="C47" s="1">
        <v>0.0</v>
      </c>
      <c r="D47" s="1">
        <v>0.0</v>
      </c>
      <c r="E47" s="1">
        <v>70.0</v>
      </c>
      <c r="F47" s="1">
        <v>35.0</v>
      </c>
      <c r="G47" s="1">
        <v>150.0</v>
      </c>
      <c r="H47" s="1">
        <v>21.0</v>
      </c>
      <c r="I47" s="1">
        <v>0.0</v>
      </c>
      <c r="J47" s="1">
        <v>9.0</v>
      </c>
      <c r="K47" s="1">
        <v>3.0</v>
      </c>
      <c r="L47" s="1">
        <v>3.0</v>
      </c>
      <c r="M47" s="1">
        <v>4.0</v>
      </c>
      <c r="N47" s="1">
        <v>4.0</v>
      </c>
      <c r="O47" s="1">
        <v>0.0</v>
      </c>
      <c r="P47" s="1">
        <v>7.0</v>
      </c>
      <c r="Q47" s="1">
        <v>35.0</v>
      </c>
      <c r="R47" s="1">
        <v>6.0</v>
      </c>
      <c r="S47" s="1">
        <v>7.0</v>
      </c>
      <c r="T47" s="1">
        <v>7.0</v>
      </c>
      <c r="U47" s="1">
        <v>8.0</v>
      </c>
      <c r="V47" s="1">
        <v>10.0</v>
      </c>
      <c r="W47" s="1">
        <v>8.0</v>
      </c>
      <c r="X47" s="1">
        <v>15.0</v>
      </c>
      <c r="Y47" s="1">
        <v>18.0</v>
      </c>
      <c r="Z47" s="1">
        <v>3.0</v>
      </c>
      <c r="AA47" s="1">
        <v>52.0</v>
      </c>
      <c r="AB47" s="1">
        <v>87.0</v>
      </c>
      <c r="AC47" s="1">
        <v>33.0</v>
      </c>
      <c r="AD47" s="1">
        <v>4.0</v>
      </c>
      <c r="AE47" s="1">
        <v>3.0</v>
      </c>
    </row>
    <row r="48">
      <c r="A48" s="853" t="s">
        <v>191</v>
      </c>
      <c r="B48" s="1">
        <v>2.0</v>
      </c>
      <c r="C48" s="1">
        <v>1.0</v>
      </c>
      <c r="D48" s="1">
        <v>2.0</v>
      </c>
      <c r="E48" s="1">
        <v>1.0</v>
      </c>
      <c r="F48" s="1">
        <v>2.0</v>
      </c>
      <c r="G48" s="1">
        <v>3.0</v>
      </c>
      <c r="H48" s="1">
        <v>1.0</v>
      </c>
      <c r="I48" s="1">
        <v>4.0</v>
      </c>
      <c r="J48" s="1">
        <v>1.0</v>
      </c>
      <c r="K48" s="1">
        <v>0.0</v>
      </c>
      <c r="L48" s="1">
        <v>3.0</v>
      </c>
      <c r="M48" s="1">
        <v>2.0</v>
      </c>
      <c r="N48" s="1">
        <v>1.0</v>
      </c>
      <c r="O48" s="1">
        <v>2.0</v>
      </c>
      <c r="P48" s="1">
        <v>1.0</v>
      </c>
      <c r="Q48" s="1">
        <v>1.0</v>
      </c>
      <c r="R48" s="1">
        <v>0.0</v>
      </c>
      <c r="S48" s="1">
        <v>0.0</v>
      </c>
      <c r="T48" s="1">
        <v>2.0</v>
      </c>
      <c r="U48" s="1">
        <v>2.0</v>
      </c>
      <c r="V48" s="1">
        <v>0.0</v>
      </c>
      <c r="W48" s="1">
        <v>4.0</v>
      </c>
      <c r="X48" s="1">
        <v>0.0</v>
      </c>
      <c r="Y48" s="1">
        <v>6.0</v>
      </c>
      <c r="Z48" s="1">
        <v>6.0</v>
      </c>
      <c r="AA48" s="1">
        <v>4.0</v>
      </c>
      <c r="AB48" s="1">
        <v>2.0</v>
      </c>
      <c r="AC48" s="1">
        <v>1.0</v>
      </c>
      <c r="AD48" s="1">
        <v>1.0</v>
      </c>
      <c r="AE48" s="1">
        <v>2.0</v>
      </c>
    </row>
    <row r="49">
      <c r="A49" s="134" t="s">
        <v>196</v>
      </c>
      <c r="B49" s="1049">
        <f t="shared" ref="B49:AE49" si="4">SUM(B39+B43+B47+B48)</f>
        <v>498</v>
      </c>
      <c r="C49" s="134">
        <f t="shared" si="4"/>
        <v>568</v>
      </c>
      <c r="D49" s="134">
        <f t="shared" si="4"/>
        <v>566</v>
      </c>
      <c r="E49" s="134">
        <f t="shared" si="4"/>
        <v>665</v>
      </c>
      <c r="F49" s="134">
        <f t="shared" si="4"/>
        <v>706</v>
      </c>
      <c r="G49" s="134">
        <f t="shared" si="4"/>
        <v>780</v>
      </c>
      <c r="H49" s="134">
        <f t="shared" si="4"/>
        <v>586</v>
      </c>
      <c r="I49" s="134">
        <f t="shared" si="4"/>
        <v>596</v>
      </c>
      <c r="J49" s="134">
        <f t="shared" si="4"/>
        <v>690</v>
      </c>
      <c r="K49" s="134">
        <f t="shared" si="4"/>
        <v>675</v>
      </c>
      <c r="L49" s="134">
        <f t="shared" si="4"/>
        <v>867</v>
      </c>
      <c r="M49" s="134">
        <f t="shared" si="4"/>
        <v>844</v>
      </c>
      <c r="N49" s="134">
        <f t="shared" si="4"/>
        <v>699</v>
      </c>
      <c r="O49" s="134">
        <f t="shared" si="4"/>
        <v>793</v>
      </c>
      <c r="P49" s="134">
        <f t="shared" si="4"/>
        <v>779</v>
      </c>
      <c r="Q49" s="134">
        <f t="shared" si="4"/>
        <v>784</v>
      </c>
      <c r="R49" s="134">
        <f t="shared" si="4"/>
        <v>827</v>
      </c>
      <c r="S49" s="134">
        <f t="shared" si="4"/>
        <v>1017</v>
      </c>
      <c r="T49" s="134">
        <f t="shared" si="4"/>
        <v>957</v>
      </c>
      <c r="U49" s="134">
        <f t="shared" si="4"/>
        <v>1304</v>
      </c>
      <c r="V49" s="134">
        <f t="shared" si="4"/>
        <v>1353</v>
      </c>
      <c r="W49" s="1049">
        <f t="shared" si="4"/>
        <v>1808</v>
      </c>
      <c r="X49" s="1049">
        <f t="shared" si="4"/>
        <v>2380</v>
      </c>
      <c r="Y49" s="1049">
        <f t="shared" si="4"/>
        <v>7433</v>
      </c>
      <c r="Z49" s="1049">
        <f t="shared" si="4"/>
        <v>3624</v>
      </c>
      <c r="AA49" s="1049">
        <f t="shared" si="4"/>
        <v>2969</v>
      </c>
      <c r="AB49" s="1049">
        <f t="shared" si="4"/>
        <v>2895</v>
      </c>
      <c r="AC49" s="1049">
        <f t="shared" si="4"/>
        <v>1989</v>
      </c>
      <c r="AD49" s="134">
        <f t="shared" si="4"/>
        <v>337</v>
      </c>
      <c r="AE49" s="134">
        <f t="shared" si="4"/>
        <v>321</v>
      </c>
    </row>
    <row r="51">
      <c r="A51" s="853" t="s">
        <v>199</v>
      </c>
    </row>
    <row r="52">
      <c r="A52" s="19" t="s">
        <v>1293</v>
      </c>
      <c r="B52" s="780"/>
      <c r="C52" s="780"/>
      <c r="D52" s="780"/>
      <c r="E52" s="780"/>
      <c r="F52" s="780"/>
      <c r="G52" s="1">
        <v>2.0</v>
      </c>
      <c r="H52" s="1">
        <v>2.0</v>
      </c>
      <c r="I52" s="1">
        <v>1.0</v>
      </c>
      <c r="J52" s="1">
        <v>6.0</v>
      </c>
      <c r="K52" s="1">
        <v>34.0</v>
      </c>
      <c r="L52" s="1">
        <v>25.0</v>
      </c>
      <c r="M52" s="1">
        <v>33.0</v>
      </c>
      <c r="N52" s="1">
        <v>20.0</v>
      </c>
      <c r="O52" s="1">
        <v>26.0</v>
      </c>
      <c r="P52" s="1">
        <v>15.0</v>
      </c>
      <c r="Q52" s="1">
        <v>7.0</v>
      </c>
      <c r="R52" s="1">
        <v>21.0</v>
      </c>
      <c r="S52" s="1">
        <v>12.0</v>
      </c>
      <c r="T52" s="1">
        <v>32.0</v>
      </c>
      <c r="U52" s="1">
        <v>23.0</v>
      </c>
      <c r="V52" s="1">
        <v>16.0</v>
      </c>
      <c r="W52" s="1">
        <v>38.0</v>
      </c>
      <c r="X52" s="1">
        <v>54.0</v>
      </c>
      <c r="Y52" s="1">
        <v>155.0</v>
      </c>
      <c r="Z52" s="1">
        <v>50.0</v>
      </c>
      <c r="AA52" s="1">
        <v>50.0</v>
      </c>
      <c r="AB52" s="1">
        <v>288.0</v>
      </c>
      <c r="AC52" s="1">
        <v>201.0</v>
      </c>
      <c r="AD52" s="1">
        <v>206.0</v>
      </c>
      <c r="AE52" s="1">
        <v>260.0</v>
      </c>
    </row>
    <row r="53">
      <c r="A53" s="134" t="s">
        <v>129</v>
      </c>
      <c r="B53" s="1055" t="str">
        <f t="shared" ref="B53:AE53" si="5">B52</f>
        <v/>
      </c>
      <c r="C53" s="1055" t="str">
        <f t="shared" si="5"/>
        <v/>
      </c>
      <c r="D53" s="1055" t="str">
        <f t="shared" si="5"/>
        <v/>
      </c>
      <c r="E53" s="1055" t="str">
        <f t="shared" si="5"/>
        <v/>
      </c>
      <c r="F53" s="1055" t="str">
        <f t="shared" si="5"/>
        <v/>
      </c>
      <c r="G53" s="1055">
        <f t="shared" si="5"/>
        <v>2</v>
      </c>
      <c r="H53" s="1055">
        <f t="shared" si="5"/>
        <v>2</v>
      </c>
      <c r="I53" s="1055">
        <f t="shared" si="5"/>
        <v>1</v>
      </c>
      <c r="J53" s="1055">
        <f t="shared" si="5"/>
        <v>6</v>
      </c>
      <c r="K53" s="1055">
        <f t="shared" si="5"/>
        <v>34</v>
      </c>
      <c r="L53" s="1055">
        <f t="shared" si="5"/>
        <v>25</v>
      </c>
      <c r="M53" s="1055">
        <f t="shared" si="5"/>
        <v>33</v>
      </c>
      <c r="N53" s="1055">
        <f t="shared" si="5"/>
        <v>20</v>
      </c>
      <c r="O53" s="1055">
        <f t="shared" si="5"/>
        <v>26</v>
      </c>
      <c r="P53" s="1055">
        <f t="shared" si="5"/>
        <v>15</v>
      </c>
      <c r="Q53" s="1055">
        <f t="shared" si="5"/>
        <v>7</v>
      </c>
      <c r="R53" s="1055">
        <f t="shared" si="5"/>
        <v>21</v>
      </c>
      <c r="S53" s="1055">
        <f t="shared" si="5"/>
        <v>12</v>
      </c>
      <c r="T53" s="1055">
        <f t="shared" si="5"/>
        <v>32</v>
      </c>
      <c r="U53" s="1055">
        <f t="shared" si="5"/>
        <v>23</v>
      </c>
      <c r="V53" s="1055">
        <f t="shared" si="5"/>
        <v>16</v>
      </c>
      <c r="W53" s="1055">
        <f t="shared" si="5"/>
        <v>38</v>
      </c>
      <c r="X53" s="1055">
        <f t="shared" si="5"/>
        <v>54</v>
      </c>
      <c r="Y53" s="1055">
        <f t="shared" si="5"/>
        <v>155</v>
      </c>
      <c r="Z53" s="1055">
        <f t="shared" si="5"/>
        <v>50</v>
      </c>
      <c r="AA53" s="1055">
        <f t="shared" si="5"/>
        <v>50</v>
      </c>
      <c r="AB53" s="1055">
        <f t="shared" si="5"/>
        <v>288</v>
      </c>
      <c r="AC53" s="1055">
        <f t="shared" si="5"/>
        <v>201</v>
      </c>
      <c r="AD53" s="1055">
        <f t="shared" si="5"/>
        <v>206</v>
      </c>
      <c r="AE53" s="1055">
        <f t="shared" si="5"/>
        <v>260</v>
      </c>
    </row>
    <row r="55" collapsed="1">
      <c r="A55" s="32" t="s">
        <v>206</v>
      </c>
    </row>
    <row r="56" hidden="1" outlineLevel="1">
      <c r="A56" s="57" t="s">
        <v>143</v>
      </c>
      <c r="B56" s="1035">
        <f>'App - P&amp;L'!B17</f>
        <v>5</v>
      </c>
      <c r="C56" s="1035">
        <f>'App - P&amp;L'!C17</f>
        <v>7</v>
      </c>
      <c r="D56" s="1035">
        <f>'App - P&amp;L'!D17</f>
        <v>4</v>
      </c>
      <c r="E56" s="1035">
        <f>'App - P&amp;L'!E17</f>
        <v>19</v>
      </c>
      <c r="F56" s="1035">
        <f>'App - P&amp;L'!F17</f>
        <v>11</v>
      </c>
      <c r="G56" s="1035">
        <f>'App - P&amp;L'!G17</f>
        <v>8</v>
      </c>
      <c r="H56" s="1035">
        <f>'App - P&amp;L'!H17</f>
        <v>11</v>
      </c>
      <c r="I56" s="1035">
        <f>'App - P&amp;L'!I17</f>
        <v>17</v>
      </c>
      <c r="J56" s="1035">
        <f>'App - P&amp;L'!J17</f>
        <v>14</v>
      </c>
      <c r="K56" s="1035">
        <f>'App - P&amp;L'!K17</f>
        <v>10</v>
      </c>
      <c r="L56" s="1035">
        <f>'App - P&amp;L'!L17</f>
        <v>15</v>
      </c>
      <c r="M56" s="1035">
        <f>'App - P&amp;L'!M17</f>
        <v>15</v>
      </c>
      <c r="N56" s="1035">
        <f>'App - P&amp;L'!N17</f>
        <v>14</v>
      </c>
      <c r="O56" s="1035">
        <f>'App - P&amp;L'!O17</f>
        <v>13</v>
      </c>
      <c r="P56" s="1035">
        <f>'App - P&amp;L'!P17</f>
        <v>12</v>
      </c>
      <c r="Q56" s="1035">
        <f>'App - P&amp;L'!Q17</f>
        <v>8</v>
      </c>
      <c r="R56" s="1035">
        <f>'App - P&amp;L'!R17</f>
        <v>10</v>
      </c>
      <c r="S56" s="1035">
        <f>'App - P&amp;L'!S17</f>
        <v>17</v>
      </c>
      <c r="T56" s="1035">
        <f>'App - P&amp;L'!T17</f>
        <v>21</v>
      </c>
      <c r="U56" s="1035">
        <f>'App - P&amp;L'!U17</f>
        <v>12</v>
      </c>
      <c r="V56" s="1035">
        <f>'App - P&amp;L'!V17</f>
        <v>15</v>
      </c>
      <c r="W56" s="1035">
        <f>'App - P&amp;L'!W17</f>
        <v>8</v>
      </c>
      <c r="X56" s="1035">
        <f>'App - P&amp;L'!X17</f>
        <v>8</v>
      </c>
      <c r="Y56" s="1035">
        <f>'App - P&amp;L'!Y17</f>
        <v>13</v>
      </c>
      <c r="Z56" s="1035">
        <f>'App - P&amp;L'!Z17</f>
        <v>19</v>
      </c>
      <c r="AA56" s="1035">
        <f>'App - P&amp;L'!AA17</f>
        <v>29</v>
      </c>
      <c r="AB56" s="1035">
        <f>'App - P&amp;L'!AB17</f>
        <v>15</v>
      </c>
      <c r="AC56" s="1035">
        <f>'App - P&amp;L'!AC17</f>
        <v>12</v>
      </c>
      <c r="AD56" s="1035">
        <f>'App - P&amp;L'!AD17</f>
        <v>18</v>
      </c>
      <c r="AE56" s="1035">
        <f>'App - P&amp;L'!AE17</f>
        <v>9</v>
      </c>
    </row>
    <row r="57" hidden="1" outlineLevel="1">
      <c r="A57" s="57" t="s">
        <v>149</v>
      </c>
      <c r="B57" s="1035">
        <f>'App - P&amp;L'!B14</f>
        <v>25</v>
      </c>
      <c r="C57" s="1035">
        <f>'App - P&amp;L'!C14</f>
        <v>35</v>
      </c>
      <c r="D57" s="1035">
        <f>'App - P&amp;L'!D14</f>
        <v>36</v>
      </c>
      <c r="E57" s="1035">
        <f>'App - P&amp;L'!E14</f>
        <v>70</v>
      </c>
      <c r="F57" s="1035">
        <f>'App - P&amp;L'!F14</f>
        <v>70</v>
      </c>
      <c r="G57" s="1035">
        <f>'App - P&amp;L'!G14</f>
        <v>49</v>
      </c>
      <c r="H57" s="1035">
        <f>'App - P&amp;L'!H14</f>
        <v>43</v>
      </c>
      <c r="I57" s="1035">
        <f>'App - P&amp;L'!I14</f>
        <v>52</v>
      </c>
      <c r="J57" s="1035">
        <f>'App - P&amp;L'!J14</f>
        <v>51</v>
      </c>
      <c r="K57" s="1035">
        <f>'App - P&amp;L'!K14</f>
        <v>53</v>
      </c>
      <c r="L57" s="1035">
        <f>'App - P&amp;L'!L14</f>
        <v>65</v>
      </c>
      <c r="M57" s="1035">
        <f>'App - P&amp;L'!M14</f>
        <v>87</v>
      </c>
      <c r="N57" s="1035">
        <f>'App - P&amp;L'!N14</f>
        <v>38</v>
      </c>
      <c r="O57" s="1035">
        <f>'App - P&amp;L'!O14</f>
        <v>43</v>
      </c>
      <c r="P57" s="1035">
        <f>'App - P&amp;L'!P14</f>
        <v>44</v>
      </c>
      <c r="Q57" s="1035">
        <f>'App - P&amp;L'!Q14</f>
        <v>47</v>
      </c>
      <c r="R57" s="1035">
        <f>'App - P&amp;L'!R14</f>
        <v>50</v>
      </c>
      <c r="S57" s="1035">
        <f>'App - P&amp;L'!S14</f>
        <v>59</v>
      </c>
      <c r="T57" s="1035">
        <f>'App - P&amp;L'!T14</f>
        <v>68</v>
      </c>
      <c r="U57" s="1035">
        <f>'App - P&amp;L'!U14</f>
        <v>37</v>
      </c>
      <c r="V57" s="1035">
        <f>'App - P&amp;L'!V14</f>
        <v>38</v>
      </c>
      <c r="W57" s="1035">
        <f>'App - P&amp;L'!W14</f>
        <v>32</v>
      </c>
      <c r="X57" s="1035">
        <f>'App - P&amp;L'!X14</f>
        <v>39</v>
      </c>
      <c r="Y57" s="1035">
        <f>'App - P&amp;L'!Y14</f>
        <v>54</v>
      </c>
      <c r="Z57" s="1035">
        <f>'App - P&amp;L'!Z14</f>
        <v>76</v>
      </c>
      <c r="AA57" s="1035">
        <f>'App - P&amp;L'!AA14</f>
        <v>91</v>
      </c>
      <c r="AB57" s="1035">
        <f>'App - P&amp;L'!AB14</f>
        <v>45</v>
      </c>
      <c r="AC57" s="1035">
        <f>'App - P&amp;L'!AC14</f>
        <v>53</v>
      </c>
      <c r="AD57" s="1035">
        <f>'App - P&amp;L'!AD14</f>
        <v>50</v>
      </c>
      <c r="AE57" s="1035">
        <f>'App - P&amp;L'!AE14</f>
        <v>74</v>
      </c>
    </row>
    <row r="58">
      <c r="A58" s="97" t="s">
        <v>196</v>
      </c>
      <c r="B58" s="1">
        <f t="shared" ref="B58:AE58" si="6">sum(B56:B57)</f>
        <v>30</v>
      </c>
      <c r="C58" s="1">
        <f t="shared" si="6"/>
        <v>42</v>
      </c>
      <c r="D58" s="1">
        <f t="shared" si="6"/>
        <v>40</v>
      </c>
      <c r="E58" s="1">
        <f t="shared" si="6"/>
        <v>89</v>
      </c>
      <c r="F58" s="1">
        <f t="shared" si="6"/>
        <v>81</v>
      </c>
      <c r="G58" s="1">
        <f t="shared" si="6"/>
        <v>57</v>
      </c>
      <c r="H58" s="1">
        <f t="shared" si="6"/>
        <v>54</v>
      </c>
      <c r="I58" s="1">
        <f t="shared" si="6"/>
        <v>69</v>
      </c>
      <c r="J58" s="1">
        <f t="shared" si="6"/>
        <v>65</v>
      </c>
      <c r="K58" s="1">
        <f t="shared" si="6"/>
        <v>63</v>
      </c>
      <c r="L58" s="1">
        <f t="shared" si="6"/>
        <v>80</v>
      </c>
      <c r="M58" s="1">
        <f t="shared" si="6"/>
        <v>102</v>
      </c>
      <c r="N58" s="1">
        <f t="shared" si="6"/>
        <v>52</v>
      </c>
      <c r="O58" s="1">
        <f t="shared" si="6"/>
        <v>56</v>
      </c>
      <c r="P58" s="1">
        <f t="shared" si="6"/>
        <v>56</v>
      </c>
      <c r="Q58" s="1">
        <f t="shared" si="6"/>
        <v>55</v>
      </c>
      <c r="R58" s="1">
        <f t="shared" si="6"/>
        <v>60</v>
      </c>
      <c r="S58" s="1">
        <f t="shared" si="6"/>
        <v>76</v>
      </c>
      <c r="T58" s="1">
        <f t="shared" si="6"/>
        <v>89</v>
      </c>
      <c r="U58" s="1">
        <f t="shared" si="6"/>
        <v>49</v>
      </c>
      <c r="V58" s="1">
        <f t="shared" si="6"/>
        <v>53</v>
      </c>
      <c r="W58" s="1">
        <f t="shared" si="6"/>
        <v>40</v>
      </c>
      <c r="X58" s="1">
        <f t="shared" si="6"/>
        <v>47</v>
      </c>
      <c r="Y58" s="1">
        <f t="shared" si="6"/>
        <v>67</v>
      </c>
      <c r="Z58" s="1">
        <f t="shared" si="6"/>
        <v>95</v>
      </c>
      <c r="AA58" s="1">
        <f t="shared" si="6"/>
        <v>120</v>
      </c>
      <c r="AB58" s="1">
        <f t="shared" si="6"/>
        <v>60</v>
      </c>
      <c r="AC58" s="1">
        <f t="shared" si="6"/>
        <v>65</v>
      </c>
      <c r="AD58" s="1">
        <f t="shared" si="6"/>
        <v>68</v>
      </c>
      <c r="AE58" s="1">
        <f t="shared" si="6"/>
        <v>83</v>
      </c>
    </row>
    <row r="59">
      <c r="B59" s="1003"/>
      <c r="C59" s="1003"/>
      <c r="D59" s="1003"/>
      <c r="E59" s="1003"/>
      <c r="F59" s="1003"/>
      <c r="G59" s="1003"/>
      <c r="H59" s="1003"/>
      <c r="I59" s="1003"/>
      <c r="J59" s="1003"/>
      <c r="K59" s="1003"/>
      <c r="L59" s="1003"/>
      <c r="M59" s="1003"/>
      <c r="N59" s="1003"/>
      <c r="O59" s="1003"/>
      <c r="P59" s="1003"/>
      <c r="Q59" s="1002"/>
      <c r="R59" s="1003"/>
      <c r="S59" s="1003"/>
      <c r="T59" s="1003"/>
      <c r="U59" s="1003"/>
      <c r="V59" s="1003"/>
      <c r="W59" s="1003"/>
      <c r="X59" s="1003"/>
      <c r="Y59" s="1003"/>
      <c r="Z59" s="1003"/>
      <c r="AA59" s="1003"/>
      <c r="AB59" s="1003"/>
      <c r="AC59" s="1003"/>
      <c r="AD59" s="1003"/>
      <c r="AE59" s="1003"/>
    </row>
    <row r="60">
      <c r="A60" s="220" t="s">
        <v>220</v>
      </c>
      <c r="B60" s="1003">
        <v>32270.8</v>
      </c>
      <c r="C60" s="1003">
        <v>29009.15</v>
      </c>
      <c r="D60" s="1003">
        <v>31375.99</v>
      </c>
      <c r="E60" s="1003">
        <v>28062.23</v>
      </c>
      <c r="F60" s="1003">
        <v>28128.86</v>
      </c>
      <c r="G60" s="1003">
        <v>29578.13</v>
      </c>
      <c r="H60" s="1003">
        <v>25668.44</v>
      </c>
      <c r="I60" s="1003">
        <v>32604.58</v>
      </c>
      <c r="J60" s="1003">
        <v>38104.59</v>
      </c>
      <c r="K60" s="1003">
        <v>34229.39</v>
      </c>
      <c r="L60" s="1003">
        <v>26717.46</v>
      </c>
      <c r="M60" s="1003">
        <v>29868.0</v>
      </c>
      <c r="N60" s="1003">
        <v>26716.5</v>
      </c>
      <c r="O60" s="1003">
        <v>27787.46</v>
      </c>
      <c r="P60" s="1003">
        <v>30344.21</v>
      </c>
      <c r="Q60" s="1002">
        <v>28152.45</v>
      </c>
      <c r="R60" s="1003">
        <v>23954.07</v>
      </c>
      <c r="S60" s="1003">
        <v>26180.79</v>
      </c>
      <c r="T60" s="1003">
        <v>30123.57</v>
      </c>
      <c r="U60" s="1003">
        <v>34139.05</v>
      </c>
      <c r="V60" s="1003">
        <v>37577.71</v>
      </c>
      <c r="W60" s="1003">
        <v>45135.93</v>
      </c>
      <c r="X60" s="1003">
        <v>82938.07</v>
      </c>
      <c r="Y60" s="1003">
        <f>288128.54-131460.58</f>
        <v>156667.96</v>
      </c>
      <c r="Z60" s="1003">
        <f>70016.67+23765.66</f>
        <v>93782.33</v>
      </c>
      <c r="AA60" s="1003">
        <v>91456.91</v>
      </c>
      <c r="AB60" s="1003">
        <v>112718.4</v>
      </c>
      <c r="AC60" s="1003">
        <v>83839.03</v>
      </c>
      <c r="AD60" s="1003">
        <v>29510.93</v>
      </c>
      <c r="AE60" s="1003">
        <v>13568.62</v>
      </c>
    </row>
    <row r="61">
      <c r="A61" s="220" t="s">
        <v>222</v>
      </c>
      <c r="B61" s="1003">
        <v>4639.67</v>
      </c>
      <c r="C61" s="1003">
        <v>5334.54</v>
      </c>
      <c r="D61" s="1003">
        <v>6029.34</v>
      </c>
      <c r="E61" s="1003">
        <v>6892.12</v>
      </c>
      <c r="F61" s="1003">
        <v>8838.16</v>
      </c>
      <c r="G61" s="1003">
        <v>8605.53</v>
      </c>
      <c r="H61" s="1003">
        <v>7927.51</v>
      </c>
      <c r="I61" s="1003">
        <v>8939.45</v>
      </c>
      <c r="J61" s="1003">
        <v>10382.86</v>
      </c>
      <c r="K61" s="1003">
        <v>10981.67</v>
      </c>
      <c r="L61" s="1003">
        <v>9974.6</v>
      </c>
      <c r="M61" s="1003">
        <v>7719.21</v>
      </c>
      <c r="N61" s="1003">
        <v>8342.67</v>
      </c>
      <c r="O61" s="1003">
        <v>7518.8</v>
      </c>
      <c r="P61" s="1003">
        <v>7390.24</v>
      </c>
      <c r="Q61" s="1003">
        <v>8231.77</v>
      </c>
      <c r="R61" s="1003">
        <v>9100.99</v>
      </c>
      <c r="S61" s="1003">
        <v>9403.53</v>
      </c>
      <c r="T61" s="1003">
        <v>10517.85</v>
      </c>
      <c r="U61" s="1003">
        <v>10191.41</v>
      </c>
      <c r="V61" s="1003">
        <v>10645.43</v>
      </c>
      <c r="W61" s="1003">
        <v>9890.32</v>
      </c>
      <c r="X61" s="1003">
        <v>16381.42</v>
      </c>
      <c r="Y61" s="1003">
        <v>21374.36</v>
      </c>
      <c r="Z61" s="1003">
        <v>19571.66</v>
      </c>
      <c r="AA61" s="1003">
        <v>17193.4</v>
      </c>
      <c r="AB61" s="1003">
        <v>18114.09</v>
      </c>
      <c r="AC61" s="1003">
        <v>16152.42</v>
      </c>
      <c r="AD61" s="1003">
        <v>7994.65</v>
      </c>
      <c r="AE61" s="1003">
        <v>5438.57</v>
      </c>
    </row>
    <row r="62">
      <c r="A62" s="220" t="s">
        <v>224</v>
      </c>
      <c r="B62" s="1003">
        <v>222.16</v>
      </c>
      <c r="C62" s="1003">
        <v>254.7</v>
      </c>
      <c r="D62" s="1003">
        <v>277.25</v>
      </c>
      <c r="E62" s="1003">
        <v>309.46</v>
      </c>
      <c r="F62" s="1003">
        <v>253.45</v>
      </c>
      <c r="G62" s="1003">
        <v>398.68</v>
      </c>
      <c r="H62" s="1003">
        <v>376.76</v>
      </c>
      <c r="I62" s="1003">
        <v>415.9</v>
      </c>
      <c r="J62" s="1003">
        <v>424.32</v>
      </c>
      <c r="K62" s="1003">
        <v>415.8</v>
      </c>
      <c r="L62" s="1003">
        <v>349.18</v>
      </c>
      <c r="M62" s="1003">
        <v>382.43</v>
      </c>
      <c r="N62" s="1003">
        <v>360.89</v>
      </c>
      <c r="O62" s="1003">
        <v>422.46</v>
      </c>
      <c r="P62" s="1003">
        <v>427.45</v>
      </c>
      <c r="Q62" s="1003">
        <v>433.39</v>
      </c>
      <c r="R62" s="1003">
        <v>432.25</v>
      </c>
      <c r="S62" s="1003">
        <v>354.98</v>
      </c>
      <c r="T62" s="1003">
        <v>428.39</v>
      </c>
      <c r="U62" s="1003">
        <v>429.17</v>
      </c>
      <c r="V62" s="1003">
        <v>430.31</v>
      </c>
      <c r="W62" s="1003">
        <v>430.8</v>
      </c>
      <c r="X62" s="1003">
        <v>465.28</v>
      </c>
      <c r="Y62" s="1003">
        <v>578.08</v>
      </c>
      <c r="Z62" s="1003">
        <v>467.09</v>
      </c>
      <c r="AA62" s="1003">
        <v>602.67</v>
      </c>
      <c r="AB62" s="1003">
        <v>633.77</v>
      </c>
      <c r="AC62" s="1003">
        <v>352.82</v>
      </c>
      <c r="AD62" s="1003">
        <v>508.16</v>
      </c>
      <c r="AE62" s="1003">
        <v>349.07</v>
      </c>
    </row>
    <row r="63">
      <c r="A63" s="220" t="s">
        <v>226</v>
      </c>
      <c r="B63" s="1003">
        <v>0.0</v>
      </c>
      <c r="C63" s="1003">
        <v>0.0</v>
      </c>
      <c r="D63" s="1003">
        <v>0.0</v>
      </c>
      <c r="E63" s="1003">
        <v>0.0</v>
      </c>
      <c r="F63" s="1003">
        <v>0.0</v>
      </c>
      <c r="G63" s="1003">
        <v>0.0</v>
      </c>
      <c r="H63" s="1003">
        <v>0.0</v>
      </c>
      <c r="I63" s="1003">
        <v>0.0</v>
      </c>
      <c r="J63" s="1003">
        <v>0.0</v>
      </c>
      <c r="K63" s="1003">
        <v>0.0</v>
      </c>
      <c r="L63" s="1003">
        <v>0.0</v>
      </c>
      <c r="M63" s="1003">
        <v>0.0</v>
      </c>
      <c r="N63" s="1003">
        <v>0.0</v>
      </c>
      <c r="O63" s="1003">
        <v>0.0</v>
      </c>
      <c r="P63" s="1003">
        <v>159.15</v>
      </c>
      <c r="Q63" s="1003">
        <v>400.43</v>
      </c>
      <c r="R63" s="1003">
        <v>189.07</v>
      </c>
      <c r="S63" s="1003">
        <v>0.0</v>
      </c>
      <c r="T63" s="1003">
        <v>0.0</v>
      </c>
      <c r="U63" s="1003">
        <v>0.0</v>
      </c>
      <c r="V63" s="1003">
        <v>0.0</v>
      </c>
      <c r="W63" s="1003">
        <v>0.0</v>
      </c>
      <c r="X63" s="1003">
        <v>0.0</v>
      </c>
      <c r="Y63" s="1003">
        <v>0.0</v>
      </c>
      <c r="Z63" s="1003">
        <v>0.0</v>
      </c>
      <c r="AA63" s="1003">
        <v>0.0</v>
      </c>
      <c r="AB63" s="1003">
        <v>0.0</v>
      </c>
      <c r="AC63" s="1003">
        <v>0.0</v>
      </c>
      <c r="AD63" s="1003">
        <v>0.0</v>
      </c>
      <c r="AE63" s="1003">
        <v>0.0</v>
      </c>
    </row>
    <row r="64">
      <c r="A64" s="220" t="s">
        <v>113</v>
      </c>
      <c r="B64" s="1003">
        <v>3342.22</v>
      </c>
      <c r="C64" s="1002">
        <v>3305.62</v>
      </c>
      <c r="D64" s="1003">
        <v>3219.49</v>
      </c>
      <c r="E64" s="1003">
        <v>4981.96</v>
      </c>
      <c r="F64" s="1003">
        <v>5362.92</v>
      </c>
      <c r="G64" s="1003">
        <v>4001.06</v>
      </c>
      <c r="H64" s="1003">
        <v>4013.79</v>
      </c>
      <c r="I64" s="1003">
        <v>2780.51</v>
      </c>
      <c r="J64" s="1003">
        <v>4409.21</v>
      </c>
      <c r="K64" s="1003">
        <v>4932.36</v>
      </c>
      <c r="L64" s="1003">
        <v>6103.31</v>
      </c>
      <c r="M64" s="1003">
        <v>7253.93</v>
      </c>
      <c r="N64" s="1003">
        <v>7237.54</v>
      </c>
      <c r="O64" s="1003">
        <v>6127.83</v>
      </c>
      <c r="P64" s="1003">
        <v>6588.6</v>
      </c>
      <c r="Q64" s="1003">
        <v>8982.55</v>
      </c>
      <c r="R64" s="1003">
        <v>9392.78</v>
      </c>
      <c r="S64" s="1003">
        <v>11591.44</v>
      </c>
      <c r="T64" s="1003">
        <v>11126.7</v>
      </c>
      <c r="U64" s="1003">
        <v>17467.27</v>
      </c>
      <c r="V64" s="1003">
        <v>19867.53</v>
      </c>
      <c r="W64" s="1003">
        <v>22792.98</v>
      </c>
      <c r="X64" s="1003">
        <v>28816.4</v>
      </c>
      <c r="Y64" s="1003">
        <v>64502.73</v>
      </c>
      <c r="Z64" s="1003">
        <v>37752.85</v>
      </c>
      <c r="AA64" s="1003">
        <v>37544.76</v>
      </c>
      <c r="AB64" s="1003">
        <v>3627.98</v>
      </c>
      <c r="AC64" s="1003">
        <v>0.0</v>
      </c>
      <c r="AD64" s="1003">
        <v>0.0</v>
      </c>
      <c r="AE64" s="1003">
        <v>433.94</v>
      </c>
    </row>
    <row r="65">
      <c r="A65" s="220" t="s">
        <v>228</v>
      </c>
      <c r="B65" s="1003">
        <v>0.0</v>
      </c>
      <c r="C65" s="1003">
        <v>0.0</v>
      </c>
      <c r="D65" s="1003">
        <v>0.0</v>
      </c>
      <c r="E65" s="1003">
        <v>0.0</v>
      </c>
      <c r="F65" s="1003">
        <v>0.0</v>
      </c>
      <c r="G65" s="1003">
        <v>0.0</v>
      </c>
      <c r="H65" s="1003">
        <v>0.0</v>
      </c>
      <c r="I65" s="1003">
        <v>0.0</v>
      </c>
      <c r="J65" s="1003">
        <v>0.0</v>
      </c>
      <c r="K65" s="1003">
        <v>0.0</v>
      </c>
      <c r="L65" s="1003">
        <v>0.0</v>
      </c>
      <c r="M65" s="1003">
        <v>0.0</v>
      </c>
      <c r="N65" s="1003">
        <v>0.0</v>
      </c>
      <c r="O65" s="1003">
        <v>0.0</v>
      </c>
      <c r="P65" s="1003">
        <v>0.0</v>
      </c>
      <c r="Q65" s="1003">
        <v>0.0</v>
      </c>
      <c r="R65" s="1003">
        <v>192.23</v>
      </c>
      <c r="S65" s="1003">
        <v>303.11</v>
      </c>
      <c r="T65" s="1003">
        <v>300.88</v>
      </c>
      <c r="U65" s="1074">
        <v>660.39</v>
      </c>
      <c r="V65" s="1074">
        <v>481.73</v>
      </c>
      <c r="W65" s="1074">
        <v>187.74</v>
      </c>
      <c r="X65" s="1074">
        <v>143.11</v>
      </c>
      <c r="Y65" s="1074">
        <v>57.99</v>
      </c>
      <c r="Z65" s="1003">
        <v>136.47</v>
      </c>
      <c r="AA65" s="1074">
        <v>705.4</v>
      </c>
      <c r="AB65" s="1074">
        <v>834.58</v>
      </c>
      <c r="AC65" s="1074">
        <v>0.0</v>
      </c>
      <c r="AD65" s="1003">
        <v>0.0</v>
      </c>
      <c r="AE65" s="1003">
        <v>0.0</v>
      </c>
    </row>
    <row r="66">
      <c r="A66" s="220" t="s">
        <v>231</v>
      </c>
      <c r="B66" s="1003">
        <v>0.0</v>
      </c>
      <c r="C66" s="1003">
        <v>0.0</v>
      </c>
      <c r="D66" s="1003">
        <v>0.0</v>
      </c>
      <c r="E66" s="1003">
        <v>0.0</v>
      </c>
      <c r="F66" s="1003">
        <v>0.0</v>
      </c>
      <c r="G66" s="1003">
        <v>0.0</v>
      </c>
      <c r="H66" s="1003">
        <v>0.0</v>
      </c>
      <c r="I66" s="1003">
        <v>0.0</v>
      </c>
      <c r="J66" s="1003">
        <v>0.0</v>
      </c>
      <c r="K66" s="1003">
        <v>0.0</v>
      </c>
      <c r="L66" s="1003">
        <v>0.0</v>
      </c>
      <c r="M66" s="1003">
        <v>0.0</v>
      </c>
      <c r="N66" s="1003">
        <v>0.0</v>
      </c>
      <c r="O66" s="1003">
        <v>0.0</v>
      </c>
      <c r="P66" s="1003">
        <v>0.0</v>
      </c>
      <c r="Q66" s="1003">
        <v>0.0</v>
      </c>
      <c r="R66" s="1003">
        <v>0.0</v>
      </c>
      <c r="S66" s="1003">
        <v>0.0</v>
      </c>
      <c r="T66" s="1003">
        <v>0.0</v>
      </c>
      <c r="U66" s="1003">
        <v>0.0</v>
      </c>
      <c r="V66" s="1003">
        <v>0.0</v>
      </c>
      <c r="W66" s="1003">
        <v>0.0</v>
      </c>
      <c r="X66" s="1003">
        <v>0.0</v>
      </c>
      <c r="Y66" s="1003">
        <v>0.0</v>
      </c>
      <c r="Z66" s="1003">
        <v>0.0</v>
      </c>
      <c r="AA66" s="1003">
        <v>0.0</v>
      </c>
      <c r="AB66" s="1003">
        <v>0.0</v>
      </c>
      <c r="AC66" s="1003">
        <v>0.0</v>
      </c>
      <c r="AD66" s="1003">
        <v>0.0</v>
      </c>
      <c r="AE66" s="1003">
        <v>0.0</v>
      </c>
    </row>
    <row r="67">
      <c r="A67" s="220" t="s">
        <v>234</v>
      </c>
      <c r="B67" s="1003">
        <v>162.71</v>
      </c>
      <c r="C67" s="1003">
        <v>61.0</v>
      </c>
      <c r="D67" s="1003">
        <v>0.0</v>
      </c>
      <c r="E67" s="1003">
        <f>E24*0.2+115.73</f>
        <v>4255.588</v>
      </c>
      <c r="F67" s="1003">
        <f>F24*0.2+133.01</f>
        <v>2292.936</v>
      </c>
      <c r="G67" s="1003">
        <v>63.09</v>
      </c>
      <c r="H67" s="1003">
        <v>86.6</v>
      </c>
      <c r="I67" s="1003">
        <v>0.0</v>
      </c>
      <c r="J67" s="1003">
        <v>0.0</v>
      </c>
      <c r="K67" s="1003">
        <v>99.96</v>
      </c>
      <c r="L67" s="1003">
        <v>0.0</v>
      </c>
      <c r="M67" s="1003">
        <v>324.88</v>
      </c>
      <c r="N67" s="1003">
        <v>97.43</v>
      </c>
      <c r="O67" s="1003">
        <v>100.64</v>
      </c>
      <c r="P67" s="1003">
        <v>55.28</v>
      </c>
      <c r="Q67" s="1003">
        <v>0.0</v>
      </c>
      <c r="R67" s="1003">
        <v>105.32</v>
      </c>
      <c r="S67" s="1003">
        <v>0.0</v>
      </c>
      <c r="T67" s="1003">
        <v>0.0</v>
      </c>
      <c r="U67" s="1003">
        <v>0.0</v>
      </c>
      <c r="V67" s="1003">
        <v>32.38</v>
      </c>
      <c r="W67" s="1003">
        <v>105.6</v>
      </c>
      <c r="X67" s="1003">
        <v>266.9</v>
      </c>
      <c r="Y67" s="1003">
        <v>94.59</v>
      </c>
      <c r="Z67" s="1003">
        <v>123.15</v>
      </c>
      <c r="AA67" s="1003">
        <v>106.16</v>
      </c>
      <c r="AB67" s="1003">
        <v>497.95</v>
      </c>
      <c r="AC67" s="1003">
        <v>377.37</v>
      </c>
      <c r="AD67" s="1003">
        <v>68.6</v>
      </c>
      <c r="AE67" s="1003">
        <v>13.6</v>
      </c>
    </row>
    <row r="68">
      <c r="A68" s="220" t="s">
        <v>236</v>
      </c>
      <c r="B68" s="1003">
        <f t="shared" ref="B68:AE68" si="7">B24*0.2</f>
        <v>39.8</v>
      </c>
      <c r="C68" s="1003">
        <f t="shared" si="7"/>
        <v>0</v>
      </c>
      <c r="D68" s="1003">
        <f t="shared" si="7"/>
        <v>0</v>
      </c>
      <c r="E68" s="1003">
        <f t="shared" si="7"/>
        <v>4139.858</v>
      </c>
      <c r="F68" s="1003">
        <f t="shared" si="7"/>
        <v>2159.926</v>
      </c>
      <c r="G68" s="1003">
        <f t="shared" si="7"/>
        <v>8867.7</v>
      </c>
      <c r="H68" s="1003">
        <f t="shared" si="7"/>
        <v>1235.958</v>
      </c>
      <c r="I68" s="1003">
        <f t="shared" si="7"/>
        <v>0</v>
      </c>
      <c r="J68" s="1003">
        <f t="shared" si="7"/>
        <v>647.978</v>
      </c>
      <c r="K68" s="1003">
        <f t="shared" si="7"/>
        <v>179.994</v>
      </c>
      <c r="L68" s="1003">
        <f t="shared" si="7"/>
        <v>179.994</v>
      </c>
      <c r="M68" s="1003">
        <f t="shared" si="7"/>
        <v>239.992</v>
      </c>
      <c r="N68" s="1003">
        <f t="shared" si="7"/>
        <v>239.992</v>
      </c>
      <c r="O68" s="1003">
        <f t="shared" si="7"/>
        <v>0</v>
      </c>
      <c r="P68" s="1003">
        <f t="shared" si="7"/>
        <v>338.42</v>
      </c>
      <c r="Q68" s="1003">
        <f t="shared" si="7"/>
        <v>2087.93</v>
      </c>
      <c r="R68" s="1003">
        <f t="shared" si="7"/>
        <v>347.988</v>
      </c>
      <c r="S68" s="1003">
        <f t="shared" si="7"/>
        <v>419.986</v>
      </c>
      <c r="T68" s="1003">
        <f t="shared" si="7"/>
        <v>315.704</v>
      </c>
      <c r="U68" s="1003">
        <f t="shared" si="7"/>
        <v>351.87</v>
      </c>
      <c r="V68" s="1003">
        <f t="shared" si="7"/>
        <v>459.984</v>
      </c>
      <c r="W68" s="1003">
        <f t="shared" si="7"/>
        <v>479.984</v>
      </c>
      <c r="X68" s="1003">
        <f t="shared" si="7"/>
        <v>931.126</v>
      </c>
      <c r="Y68" s="1003">
        <f t="shared" si="7"/>
        <v>1103.962</v>
      </c>
      <c r="Z68" s="1003">
        <f t="shared" si="7"/>
        <v>167.994</v>
      </c>
      <c r="AA68" s="1003">
        <f t="shared" si="7"/>
        <v>3095.894</v>
      </c>
      <c r="AB68" s="1003">
        <f t="shared" si="7"/>
        <v>5195.824</v>
      </c>
      <c r="AC68" s="1003">
        <f t="shared" si="7"/>
        <v>1955.934</v>
      </c>
      <c r="AD68" s="1003">
        <f t="shared" si="7"/>
        <v>165.232</v>
      </c>
      <c r="AE68" s="1003">
        <f t="shared" si="7"/>
        <v>167.994</v>
      </c>
    </row>
    <row r="69">
      <c r="A69" s="1085" t="s">
        <v>240</v>
      </c>
      <c r="B69" s="1087">
        <f t="shared" ref="B69:AE69" si="8">B60+B61+B62+B63+B65+B67</f>
        <v>37295.34</v>
      </c>
      <c r="C69" s="1087">
        <f t="shared" si="8"/>
        <v>34659.39</v>
      </c>
      <c r="D69" s="1087">
        <f t="shared" si="8"/>
        <v>37682.58</v>
      </c>
      <c r="E69" s="1087">
        <f t="shared" si="8"/>
        <v>39519.398</v>
      </c>
      <c r="F69" s="1087">
        <f t="shared" si="8"/>
        <v>39513.406</v>
      </c>
      <c r="G69" s="1087">
        <f t="shared" si="8"/>
        <v>38645.43</v>
      </c>
      <c r="H69" s="1087">
        <f t="shared" si="8"/>
        <v>34059.31</v>
      </c>
      <c r="I69" s="1087">
        <f t="shared" si="8"/>
        <v>41959.93</v>
      </c>
      <c r="J69" s="1087">
        <f t="shared" si="8"/>
        <v>48911.77</v>
      </c>
      <c r="K69" s="1087">
        <f t="shared" si="8"/>
        <v>45726.82</v>
      </c>
      <c r="L69" s="1087">
        <f t="shared" si="8"/>
        <v>37041.24</v>
      </c>
      <c r="M69" s="1087">
        <f t="shared" si="8"/>
        <v>38294.52</v>
      </c>
      <c r="N69" s="1087">
        <f t="shared" si="8"/>
        <v>35517.49</v>
      </c>
      <c r="O69" s="1087">
        <f t="shared" si="8"/>
        <v>35829.36</v>
      </c>
      <c r="P69" s="1087">
        <f t="shared" si="8"/>
        <v>38376.33</v>
      </c>
      <c r="Q69" s="1087">
        <f t="shared" si="8"/>
        <v>37218.04</v>
      </c>
      <c r="R69" s="1087">
        <f t="shared" si="8"/>
        <v>33973.93</v>
      </c>
      <c r="S69" s="1087">
        <f t="shared" si="8"/>
        <v>36242.41</v>
      </c>
      <c r="T69" s="1087">
        <f t="shared" si="8"/>
        <v>41370.69</v>
      </c>
      <c r="U69" s="1087">
        <f t="shared" si="8"/>
        <v>45420.02</v>
      </c>
      <c r="V69" s="1087">
        <f t="shared" si="8"/>
        <v>49167.56</v>
      </c>
      <c r="W69" s="1087">
        <f t="shared" si="8"/>
        <v>55750.39</v>
      </c>
      <c r="X69" s="1087">
        <f t="shared" si="8"/>
        <v>100194.78</v>
      </c>
      <c r="Y69" s="1087">
        <f t="shared" si="8"/>
        <v>178772.98</v>
      </c>
      <c r="Z69" s="1087">
        <f t="shared" si="8"/>
        <v>114080.7</v>
      </c>
      <c r="AA69" s="1087">
        <f t="shared" si="8"/>
        <v>110064.54</v>
      </c>
      <c r="AB69" s="1087">
        <f t="shared" si="8"/>
        <v>132798.79</v>
      </c>
      <c r="AC69" s="1087">
        <f t="shared" si="8"/>
        <v>100721.64</v>
      </c>
      <c r="AD69" s="1087">
        <f t="shared" si="8"/>
        <v>38082.34</v>
      </c>
      <c r="AE69" s="1087">
        <f t="shared" si="8"/>
        <v>19369.86</v>
      </c>
    </row>
    <row r="70">
      <c r="A70" s="1088" t="s">
        <v>242</v>
      </c>
      <c r="B70" s="1089">
        <f t="shared" ref="B70:AE70" si="9">SUM(B60:B68)</f>
        <v>40677.36</v>
      </c>
      <c r="C70" s="1089">
        <f t="shared" si="9"/>
        <v>37965.01</v>
      </c>
      <c r="D70" s="1089">
        <f t="shared" si="9"/>
        <v>40902.07</v>
      </c>
      <c r="E70" s="1089">
        <f t="shared" si="9"/>
        <v>48641.216</v>
      </c>
      <c r="F70" s="1089">
        <f t="shared" si="9"/>
        <v>47036.252</v>
      </c>
      <c r="G70" s="1089">
        <f t="shared" si="9"/>
        <v>51514.19</v>
      </c>
      <c r="H70" s="1089">
        <f t="shared" si="9"/>
        <v>39309.058</v>
      </c>
      <c r="I70" s="1089">
        <f t="shared" si="9"/>
        <v>44740.44</v>
      </c>
      <c r="J70" s="1089">
        <f t="shared" si="9"/>
        <v>53968.958</v>
      </c>
      <c r="K70" s="1089">
        <f t="shared" si="9"/>
        <v>50839.174</v>
      </c>
      <c r="L70" s="1089">
        <f t="shared" si="9"/>
        <v>43324.544</v>
      </c>
      <c r="M70" s="1089">
        <f t="shared" si="9"/>
        <v>45788.442</v>
      </c>
      <c r="N70" s="1089">
        <f t="shared" si="9"/>
        <v>42995.022</v>
      </c>
      <c r="O70" s="1089">
        <f t="shared" si="9"/>
        <v>41957.19</v>
      </c>
      <c r="P70" s="1089">
        <f t="shared" si="9"/>
        <v>45303.35</v>
      </c>
      <c r="Q70" s="1089">
        <f t="shared" si="9"/>
        <v>48288.52</v>
      </c>
      <c r="R70" s="1089">
        <f t="shared" si="9"/>
        <v>43714.698</v>
      </c>
      <c r="S70" s="1089">
        <f t="shared" si="9"/>
        <v>48253.836</v>
      </c>
      <c r="T70" s="1089">
        <f t="shared" si="9"/>
        <v>52813.094</v>
      </c>
      <c r="U70" s="1089">
        <f t="shared" si="9"/>
        <v>63239.16</v>
      </c>
      <c r="V70" s="1089">
        <f t="shared" si="9"/>
        <v>69495.074</v>
      </c>
      <c r="W70" s="1089">
        <f t="shared" si="9"/>
        <v>79023.354</v>
      </c>
      <c r="X70" s="1089">
        <f t="shared" si="9"/>
        <v>129942.306</v>
      </c>
      <c r="Y70" s="1089">
        <f t="shared" si="9"/>
        <v>244379.672</v>
      </c>
      <c r="Z70" s="1089">
        <f t="shared" si="9"/>
        <v>152001.544</v>
      </c>
      <c r="AA70" s="1089">
        <f t="shared" si="9"/>
        <v>150705.194</v>
      </c>
      <c r="AB70" s="1089">
        <f t="shared" si="9"/>
        <v>141622.594</v>
      </c>
      <c r="AC70" s="1089">
        <f t="shared" si="9"/>
        <v>102677.574</v>
      </c>
      <c r="AD70" s="1089">
        <f t="shared" si="9"/>
        <v>38247.572</v>
      </c>
      <c r="AE70" s="1089">
        <f t="shared" si="9"/>
        <v>19971.794</v>
      </c>
    </row>
    <row r="72">
      <c r="A72" s="1090" t="s">
        <v>251</v>
      </c>
      <c r="B72" s="1091">
        <f t="shared" ref="B72:AE72" si="10">B26/B70</f>
        <v>2.917881593</v>
      </c>
      <c r="C72" s="1091">
        <f t="shared" si="10"/>
        <v>3.330075509</v>
      </c>
      <c r="D72" s="1091">
        <f t="shared" si="10"/>
        <v>3.160128571</v>
      </c>
      <c r="E72" s="1091">
        <f t="shared" si="10"/>
        <v>3.357459649</v>
      </c>
      <c r="F72" s="1091">
        <f t="shared" si="10"/>
        <v>3.644137292</v>
      </c>
      <c r="G72" s="1091">
        <f t="shared" si="10"/>
        <v>3.737643162</v>
      </c>
      <c r="H72" s="1091">
        <f t="shared" si="10"/>
        <v>3.5669738</v>
      </c>
      <c r="I72" s="1091">
        <f t="shared" si="10"/>
        <v>3.151263153</v>
      </c>
      <c r="J72" s="1091">
        <f t="shared" si="10"/>
        <v>3.061110426</v>
      </c>
      <c r="K72" s="1091">
        <f t="shared" si="10"/>
        <v>3.178456833</v>
      </c>
      <c r="L72" s="1091">
        <f t="shared" si="10"/>
        <v>5.058388151</v>
      </c>
      <c r="M72" s="1091">
        <f t="shared" si="10"/>
        <v>4.723041679</v>
      </c>
      <c r="N72" s="1091">
        <f t="shared" si="10"/>
        <v>4.334905794</v>
      </c>
      <c r="O72" s="1091">
        <f t="shared" si="10"/>
        <v>4.647966177</v>
      </c>
      <c r="P72" s="1091">
        <f t="shared" si="10"/>
        <v>3.970082786</v>
      </c>
      <c r="Q72" s="1091">
        <f t="shared" si="10"/>
        <v>3.686918754</v>
      </c>
      <c r="R72" s="1091">
        <f t="shared" si="10"/>
        <v>4.247435725</v>
      </c>
      <c r="S72" s="1091">
        <f t="shared" si="10"/>
        <v>4.873151432</v>
      </c>
      <c r="T72" s="1091">
        <f t="shared" si="10"/>
        <v>4.21734788</v>
      </c>
      <c r="U72" s="1091">
        <f t="shared" si="10"/>
        <v>4.696126419</v>
      </c>
      <c r="V72" s="1091">
        <f t="shared" si="10"/>
        <v>4.335069562</v>
      </c>
      <c r="W72" s="1091">
        <f t="shared" si="10"/>
        <v>5.112124069</v>
      </c>
      <c r="X72" s="1091">
        <f t="shared" si="10"/>
        <v>4.080239657</v>
      </c>
      <c r="Y72" s="1091">
        <f t="shared" si="10"/>
        <v>6.694842196</v>
      </c>
      <c r="Z72" s="1091">
        <f t="shared" si="10"/>
        <v>5.42078487</v>
      </c>
      <c r="AA72" s="1091">
        <f t="shared" si="10"/>
        <v>4.555727787</v>
      </c>
      <c r="AB72" s="1091">
        <f t="shared" si="10"/>
        <v>4.92212189</v>
      </c>
      <c r="AC72" s="1091">
        <f t="shared" si="10"/>
        <v>4.704321705</v>
      </c>
      <c r="AD72" s="1091">
        <f t="shared" si="10"/>
        <v>2.710090199</v>
      </c>
      <c r="AE72" s="1091">
        <f t="shared" si="10"/>
        <v>4.798890876</v>
      </c>
    </row>
    <row r="73">
      <c r="A73" s="220" t="s">
        <v>256</v>
      </c>
      <c r="B73" s="1091">
        <f t="shared" ref="B73:AE73" si="11">B8/B69</f>
        <v>2.815920702</v>
      </c>
      <c r="C73" s="1091">
        <f t="shared" si="11"/>
        <v>3.287810316</v>
      </c>
      <c r="D73" s="1091">
        <f t="shared" si="11"/>
        <v>2.982119324</v>
      </c>
      <c r="E73" s="1091">
        <f t="shared" si="11"/>
        <v>3.087411149</v>
      </c>
      <c r="F73" s="1091">
        <f t="shared" si="11"/>
        <v>3.482895906</v>
      </c>
      <c r="G73" s="1091">
        <f t="shared" si="11"/>
        <v>3.362549207</v>
      </c>
      <c r="H73" s="1091">
        <f t="shared" si="11"/>
        <v>3.505025205</v>
      </c>
      <c r="I73" s="1091">
        <f t="shared" si="11"/>
        <v>2.940282551</v>
      </c>
      <c r="J73" s="1091">
        <f t="shared" si="11"/>
        <v>2.619145658</v>
      </c>
      <c r="K73" s="1091">
        <f t="shared" si="11"/>
        <v>2.75040228</v>
      </c>
      <c r="L73" s="1091">
        <f t="shared" si="11"/>
        <v>4.475134742</v>
      </c>
      <c r="M73" s="1091">
        <f t="shared" si="11"/>
        <v>4.271649312</v>
      </c>
      <c r="N73" s="1091">
        <f t="shared" si="11"/>
        <v>3.932693724</v>
      </c>
      <c r="O73" s="1091">
        <f t="shared" si="11"/>
        <v>4.081645611</v>
      </c>
      <c r="P73" s="1091">
        <f t="shared" si="11"/>
        <v>3.60377243</v>
      </c>
      <c r="Q73" s="1091">
        <f t="shared" si="11"/>
        <v>3.354985915</v>
      </c>
      <c r="R73" s="1091">
        <f t="shared" si="11"/>
        <v>3.886296345</v>
      </c>
      <c r="S73" s="1091">
        <f t="shared" si="11"/>
        <v>4.795454828</v>
      </c>
      <c r="T73" s="1091">
        <f t="shared" si="11"/>
        <v>4.322140385</v>
      </c>
      <c r="U73" s="1091">
        <f t="shared" si="11"/>
        <v>4.170468221</v>
      </c>
      <c r="V73" s="1091">
        <f t="shared" si="11"/>
        <v>3.923991144</v>
      </c>
      <c r="W73" s="1091">
        <f t="shared" si="11"/>
        <v>5.086695716</v>
      </c>
      <c r="X73" s="1091">
        <f t="shared" si="11"/>
        <v>3.373250782</v>
      </c>
      <c r="Y73" s="1091">
        <f t="shared" si="11"/>
        <v>5.209576805</v>
      </c>
      <c r="Z73" s="1091">
        <f t="shared" si="11"/>
        <v>5.056540677</v>
      </c>
      <c r="AA73" s="1091">
        <f t="shared" si="11"/>
        <v>3.912462361</v>
      </c>
      <c r="AB73" s="1091">
        <f t="shared" si="11"/>
        <v>5.006707817</v>
      </c>
      <c r="AC73" s="1091">
        <f t="shared" si="11"/>
        <v>4.685057451</v>
      </c>
      <c r="AD73" s="1091">
        <f t="shared" si="11"/>
        <v>2.649658871</v>
      </c>
      <c r="AE73" s="1091">
        <f t="shared" si="11"/>
        <v>4.763972997</v>
      </c>
    </row>
    <row r="74">
      <c r="A74" s="220" t="s">
        <v>259</v>
      </c>
      <c r="B74" s="1091">
        <f t="shared" ref="B74:AE74" si="12">B14/B64</f>
        <v>3.763965269</v>
      </c>
      <c r="C74" s="1091">
        <f t="shared" si="12"/>
        <v>3.178783405</v>
      </c>
      <c r="D74" s="1091">
        <f t="shared" si="12"/>
        <v>4.827736691</v>
      </c>
      <c r="E74" s="1091">
        <f t="shared" si="12"/>
        <v>3.588948928</v>
      </c>
      <c r="F74" s="1091">
        <f t="shared" si="12"/>
        <v>3.698703318</v>
      </c>
      <c r="G74" s="1091">
        <f t="shared" si="12"/>
        <v>4.005188625</v>
      </c>
      <c r="H74" s="1091">
        <f t="shared" si="12"/>
        <v>3.315781344</v>
      </c>
      <c r="I74" s="1091">
        <f t="shared" si="12"/>
        <v>5.418016839</v>
      </c>
      <c r="J74" s="1091">
        <f t="shared" si="12"/>
        <v>7.260257506</v>
      </c>
      <c r="K74" s="1091">
        <f t="shared" si="12"/>
        <v>6.779310513</v>
      </c>
      <c r="L74" s="1091">
        <f t="shared" si="12"/>
        <v>8.068384205</v>
      </c>
      <c r="M74" s="1091">
        <f t="shared" si="12"/>
        <v>6.693612979</v>
      </c>
      <c r="N74" s="1091">
        <f t="shared" si="12"/>
        <v>6.062418999</v>
      </c>
      <c r="O74" s="1091">
        <f t="shared" si="12"/>
        <v>7.682629903</v>
      </c>
      <c r="P74" s="1091">
        <f t="shared" si="12"/>
        <v>5.831647087</v>
      </c>
      <c r="Q74" s="1091">
        <f t="shared" si="12"/>
        <v>4.580681432</v>
      </c>
      <c r="R74" s="1091">
        <f t="shared" si="12"/>
        <v>5.368769417</v>
      </c>
      <c r="S74" s="1091">
        <f t="shared" si="12"/>
        <v>4.944810998</v>
      </c>
      <c r="T74" s="1091">
        <f t="shared" si="12"/>
        <v>3.572823928</v>
      </c>
      <c r="U74" s="1091">
        <f t="shared" si="12"/>
        <v>5.932351764</v>
      </c>
      <c r="V74" s="1091">
        <f t="shared" si="12"/>
        <v>5.27252205</v>
      </c>
      <c r="W74" s="1091">
        <f t="shared" si="12"/>
        <v>5.090821823</v>
      </c>
      <c r="X74" s="1091">
        <f t="shared" si="12"/>
        <v>6.475999778</v>
      </c>
      <c r="Y74" s="1091">
        <f t="shared" si="12"/>
        <v>10.78738776</v>
      </c>
      <c r="Z74" s="1091">
        <f t="shared" si="12"/>
        <v>6.412628451</v>
      </c>
      <c r="AA74" s="1091">
        <f t="shared" si="12"/>
        <v>6.308177226</v>
      </c>
      <c r="AB74" s="1091">
        <f t="shared" si="12"/>
        <v>1.178289296</v>
      </c>
      <c r="AC74" s="1091" t="str">
        <f t="shared" si="12"/>
        <v>#DIV/0!</v>
      </c>
      <c r="AD74" s="1091" t="str">
        <f t="shared" si="12"/>
        <v>#DIV/0!</v>
      </c>
      <c r="AE74" s="1091">
        <f t="shared" si="12"/>
        <v>1.16836429</v>
      </c>
    </row>
    <row r="76">
      <c r="A76" s="1090" t="s">
        <v>1310</v>
      </c>
      <c r="B76" s="1012">
        <f t="shared" ref="B76:AE76" si="13">B70/B49</f>
        <v>81.68144578</v>
      </c>
      <c r="C76" s="1012">
        <f t="shared" si="13"/>
        <v>66.83980634</v>
      </c>
      <c r="D76" s="1012">
        <f t="shared" si="13"/>
        <v>72.26514134</v>
      </c>
      <c r="E76" s="1012">
        <f t="shared" si="13"/>
        <v>73.14468571</v>
      </c>
      <c r="F76" s="1012">
        <f t="shared" si="13"/>
        <v>66.6235864</v>
      </c>
      <c r="G76" s="1012">
        <f t="shared" si="13"/>
        <v>66.04383333</v>
      </c>
      <c r="H76" s="1012">
        <f t="shared" si="13"/>
        <v>67.08030375</v>
      </c>
      <c r="I76" s="1012">
        <f t="shared" si="13"/>
        <v>75.06785235</v>
      </c>
      <c r="J76" s="1012">
        <f t="shared" si="13"/>
        <v>78.21588116</v>
      </c>
      <c r="K76" s="1012">
        <f t="shared" si="13"/>
        <v>75.31729481</v>
      </c>
      <c r="L76" s="1012">
        <f t="shared" si="13"/>
        <v>49.97063899</v>
      </c>
      <c r="M76" s="1012">
        <f t="shared" si="13"/>
        <v>54.25170853</v>
      </c>
      <c r="N76" s="1012">
        <f t="shared" si="13"/>
        <v>61.50933047</v>
      </c>
      <c r="O76" s="1012">
        <f t="shared" si="13"/>
        <v>52.90944515</v>
      </c>
      <c r="P76" s="1012">
        <f t="shared" si="13"/>
        <v>58.15577664</v>
      </c>
      <c r="Q76" s="1012">
        <f t="shared" si="13"/>
        <v>61.5925</v>
      </c>
      <c r="R76" s="1012">
        <f t="shared" si="13"/>
        <v>52.8593688</v>
      </c>
      <c r="S76" s="1012">
        <f t="shared" si="13"/>
        <v>47.44723304</v>
      </c>
      <c r="T76" s="1012">
        <f t="shared" si="13"/>
        <v>55.18609613</v>
      </c>
      <c r="U76" s="1012">
        <f t="shared" si="13"/>
        <v>48.49628834</v>
      </c>
      <c r="V76" s="1012">
        <f t="shared" si="13"/>
        <v>51.36369106</v>
      </c>
      <c r="W76" s="1012">
        <f t="shared" si="13"/>
        <v>43.7076073</v>
      </c>
      <c r="X76" s="1012">
        <f t="shared" si="13"/>
        <v>54.59760756</v>
      </c>
      <c r="Y76" s="1012">
        <f t="shared" si="13"/>
        <v>32.87766339</v>
      </c>
      <c r="Z76" s="1012">
        <f t="shared" si="13"/>
        <v>41.94303091</v>
      </c>
      <c r="AA76" s="1012">
        <f t="shared" si="13"/>
        <v>50.75958033</v>
      </c>
      <c r="AB76" s="1012">
        <f t="shared" si="13"/>
        <v>48.91972159</v>
      </c>
      <c r="AC76" s="1012">
        <f t="shared" si="13"/>
        <v>51.62271192</v>
      </c>
      <c r="AD76" s="1012">
        <f t="shared" si="13"/>
        <v>113.4942789</v>
      </c>
      <c r="AE76" s="1012">
        <f t="shared" si="13"/>
        <v>62.21742679</v>
      </c>
    </row>
    <row r="77">
      <c r="A77" s="220" t="s">
        <v>1311</v>
      </c>
      <c r="B77" s="1012">
        <f t="shared" ref="B77:AE77" si="14">B69/B39</f>
        <v>83.62183857</v>
      </c>
      <c r="C77" s="1012">
        <f t="shared" si="14"/>
        <v>65.89237643</v>
      </c>
      <c r="D77" s="1012">
        <f t="shared" si="14"/>
        <v>74.03257367</v>
      </c>
      <c r="E77" s="1012">
        <f t="shared" si="14"/>
        <v>74.70585633</v>
      </c>
      <c r="F77" s="1012">
        <f t="shared" si="14"/>
        <v>66.29766107</v>
      </c>
      <c r="G77" s="1012">
        <f t="shared" si="14"/>
        <v>67.799</v>
      </c>
      <c r="H77" s="1012">
        <f t="shared" si="14"/>
        <v>66.00641473</v>
      </c>
      <c r="I77" s="1012">
        <f t="shared" si="14"/>
        <v>79.77173004</v>
      </c>
      <c r="J77" s="1012">
        <f t="shared" si="14"/>
        <v>87.18675579</v>
      </c>
      <c r="K77" s="1012">
        <f t="shared" si="14"/>
        <v>82.53938628</v>
      </c>
      <c r="L77" s="1012">
        <f t="shared" si="14"/>
        <v>54.15385965</v>
      </c>
      <c r="M77" s="1012">
        <f t="shared" si="14"/>
        <v>57.75945701</v>
      </c>
      <c r="N77" s="1012">
        <f t="shared" si="14"/>
        <v>65.53042435</v>
      </c>
      <c r="O77" s="1012">
        <f t="shared" si="14"/>
        <v>57.51101124</v>
      </c>
      <c r="P77" s="1012">
        <f t="shared" si="14"/>
        <v>65.93871134</v>
      </c>
      <c r="Q77" s="1012">
        <f t="shared" si="14"/>
        <v>68.41551471</v>
      </c>
      <c r="R77" s="1012">
        <f t="shared" si="14"/>
        <v>58.77842561</v>
      </c>
      <c r="S77" s="1012">
        <f t="shared" si="14"/>
        <v>49.78353022</v>
      </c>
      <c r="T77" s="1012">
        <f t="shared" si="14"/>
        <v>55.08747004</v>
      </c>
      <c r="U77" s="1012">
        <f t="shared" si="14"/>
        <v>57.85989809</v>
      </c>
      <c r="V77" s="1012">
        <f t="shared" si="14"/>
        <v>59.81454988</v>
      </c>
      <c r="W77" s="1012">
        <f t="shared" si="14"/>
        <v>45.80968776</v>
      </c>
      <c r="X77" s="1012">
        <f t="shared" si="14"/>
        <v>70.95947592</v>
      </c>
      <c r="Y77" s="1012">
        <f t="shared" si="14"/>
        <v>45.59372099</v>
      </c>
      <c r="Z77" s="1012">
        <f t="shared" si="14"/>
        <v>46.56355102</v>
      </c>
      <c r="AA77" s="1012">
        <f t="shared" si="14"/>
        <v>60.67504961</v>
      </c>
      <c r="AB77" s="1012">
        <f t="shared" si="14"/>
        <v>47.6493685</v>
      </c>
      <c r="AC77" s="1012">
        <f t="shared" si="14"/>
        <v>51.5463869</v>
      </c>
      <c r="AD77" s="1012">
        <f t="shared" si="14"/>
        <v>114.7058434</v>
      </c>
      <c r="AE77" s="1012">
        <f t="shared" si="14"/>
        <v>61.88453674</v>
      </c>
    </row>
    <row r="78">
      <c r="A78" s="220" t="s">
        <v>1312</v>
      </c>
      <c r="B78" s="1012">
        <f t="shared" ref="B78:AE78" si="15">B64/B43</f>
        <v>68.20857143</v>
      </c>
      <c r="C78" s="1012">
        <f t="shared" si="15"/>
        <v>80.62487805</v>
      </c>
      <c r="D78" s="1012">
        <f t="shared" si="15"/>
        <v>58.53618182</v>
      </c>
      <c r="E78" s="1012">
        <f t="shared" si="15"/>
        <v>76.64553846</v>
      </c>
      <c r="F78" s="1012">
        <f t="shared" si="15"/>
        <v>73.46465753</v>
      </c>
      <c r="G78" s="1012">
        <f t="shared" si="15"/>
        <v>70.19403509</v>
      </c>
      <c r="H78" s="1012">
        <f t="shared" si="15"/>
        <v>83.620625</v>
      </c>
      <c r="I78" s="1012">
        <f t="shared" si="15"/>
        <v>42.12893939</v>
      </c>
      <c r="J78" s="1012">
        <f t="shared" si="15"/>
        <v>37.05218487</v>
      </c>
      <c r="K78" s="1012">
        <f t="shared" si="15"/>
        <v>41.79966102</v>
      </c>
      <c r="L78" s="1012">
        <f t="shared" si="15"/>
        <v>34.4819774</v>
      </c>
      <c r="M78" s="1012">
        <f t="shared" si="15"/>
        <v>41.45102857</v>
      </c>
      <c r="N78" s="1012">
        <f t="shared" si="15"/>
        <v>47.61539474</v>
      </c>
      <c r="O78" s="1012">
        <f t="shared" si="15"/>
        <v>36.47517857</v>
      </c>
      <c r="P78" s="1012">
        <f t="shared" si="15"/>
        <v>34.86031746</v>
      </c>
      <c r="Q78" s="1012">
        <f t="shared" si="15"/>
        <v>44.03210784</v>
      </c>
      <c r="R78" s="1012">
        <f t="shared" si="15"/>
        <v>38.65341564</v>
      </c>
      <c r="S78" s="1012">
        <f t="shared" si="15"/>
        <v>41.10439716</v>
      </c>
      <c r="T78" s="1012">
        <f t="shared" si="15"/>
        <v>56.48071066</v>
      </c>
      <c r="U78" s="1012">
        <f t="shared" si="15"/>
        <v>34.31683694</v>
      </c>
      <c r="V78" s="1012">
        <f t="shared" si="15"/>
        <v>38.13345489</v>
      </c>
      <c r="W78" s="1012">
        <f t="shared" si="15"/>
        <v>39.36611399</v>
      </c>
      <c r="X78" s="1012">
        <f t="shared" si="15"/>
        <v>30.23756558</v>
      </c>
      <c r="Y78" s="1012">
        <f t="shared" si="15"/>
        <v>18.49275516</v>
      </c>
      <c r="Z78" s="1012">
        <f t="shared" si="15"/>
        <v>32.40587983</v>
      </c>
      <c r="AA78" s="1012">
        <f t="shared" si="15"/>
        <v>34.16265696</v>
      </c>
      <c r="AB78" s="1012">
        <f t="shared" si="15"/>
        <v>190.9463158</v>
      </c>
      <c r="AC78" s="1012">
        <f t="shared" si="15"/>
        <v>0</v>
      </c>
      <c r="AD78" s="1012" t="str">
        <f t="shared" si="15"/>
        <v>#DIV/0!</v>
      </c>
      <c r="AE78" s="1012">
        <f t="shared" si="15"/>
        <v>144.6466667</v>
      </c>
    </row>
    <row r="79">
      <c r="M79" s="865"/>
      <c r="N79" s="865"/>
      <c r="O79" s="865"/>
      <c r="P79" s="865"/>
      <c r="Q79" s="865"/>
    </row>
    <row r="80">
      <c r="A80" s="220" t="s">
        <v>301</v>
      </c>
      <c r="B80" s="1094">
        <v>0.024</v>
      </c>
      <c r="C80" s="1094">
        <v>0.0272</v>
      </c>
      <c r="D80" s="1094">
        <v>0.0243</v>
      </c>
      <c r="E80" s="1094">
        <v>0.0242</v>
      </c>
      <c r="F80" s="1094">
        <v>0.0223</v>
      </c>
      <c r="G80" s="1094">
        <v>0.02</v>
      </c>
      <c r="H80" s="1094">
        <v>0.0209</v>
      </c>
      <c r="I80" s="1094">
        <v>0.0176</v>
      </c>
      <c r="J80" s="1094">
        <v>0.0185</v>
      </c>
      <c r="K80" s="1094">
        <v>0.0195</v>
      </c>
      <c r="L80" s="1094">
        <v>0.0256</v>
      </c>
      <c r="M80" s="1094">
        <v>0.0235</v>
      </c>
      <c r="N80" s="1094">
        <v>0.0221</v>
      </c>
      <c r="O80" s="1094">
        <v>0.0233</v>
      </c>
      <c r="P80" s="1094">
        <v>0.0302</v>
      </c>
      <c r="Q80" s="1094">
        <v>0.0228</v>
      </c>
      <c r="R80" s="1094">
        <v>0.0262</v>
      </c>
      <c r="S80" s="1094">
        <v>0.0294</v>
      </c>
      <c r="T80" s="1094">
        <v>0.0271</v>
      </c>
      <c r="U80" s="1094">
        <v>0.0286</v>
      </c>
      <c r="V80" s="1094">
        <v>0.0262</v>
      </c>
      <c r="W80" s="1094">
        <v>0.0273</v>
      </c>
      <c r="X80" s="1094">
        <v>0.0249</v>
      </c>
      <c r="Y80" s="1094">
        <v>0.041</v>
      </c>
      <c r="Z80" s="1094">
        <v>0.0498</v>
      </c>
      <c r="AA80" s="1094">
        <v>0.031</v>
      </c>
      <c r="AB80" s="1094">
        <v>0.0557</v>
      </c>
      <c r="AC80" s="1094">
        <v>0.0437</v>
      </c>
      <c r="AD80" s="1094">
        <v>0.0102</v>
      </c>
      <c r="AE80" s="1094">
        <v>0.0144</v>
      </c>
    </row>
    <row r="81">
      <c r="A81" s="220" t="s">
        <v>303</v>
      </c>
      <c r="B81" s="1003">
        <f t="shared" ref="B81:AE81" si="16">B8/B39</f>
        <v>235.4724664</v>
      </c>
      <c r="C81" s="1003">
        <f t="shared" si="16"/>
        <v>216.641635</v>
      </c>
      <c r="D81" s="1003">
        <f t="shared" si="16"/>
        <v>220.7739686</v>
      </c>
      <c r="E81" s="1003">
        <f t="shared" si="16"/>
        <v>230.6476938</v>
      </c>
      <c r="F81" s="1003">
        <f t="shared" si="16"/>
        <v>230.9078523</v>
      </c>
      <c r="G81" s="1003">
        <f t="shared" si="16"/>
        <v>227.9774737</v>
      </c>
      <c r="H81" s="1003">
        <f t="shared" si="16"/>
        <v>231.3541473</v>
      </c>
      <c r="I81" s="1003">
        <f t="shared" si="16"/>
        <v>234.5514259</v>
      </c>
      <c r="J81" s="1003">
        <f t="shared" si="16"/>
        <v>228.3548128</v>
      </c>
      <c r="K81" s="1003">
        <f t="shared" si="16"/>
        <v>227.0165162</v>
      </c>
      <c r="L81" s="1003">
        <f t="shared" si="16"/>
        <v>242.3458187</v>
      </c>
      <c r="M81" s="1003">
        <f t="shared" si="16"/>
        <v>246.7281448</v>
      </c>
      <c r="N81" s="1003">
        <f t="shared" si="16"/>
        <v>257.7110886</v>
      </c>
      <c r="O81" s="1003">
        <f t="shared" si="16"/>
        <v>234.7395666</v>
      </c>
      <c r="P81" s="1003">
        <f t="shared" si="16"/>
        <v>237.62811</v>
      </c>
      <c r="Q81" s="1003">
        <f t="shared" si="16"/>
        <v>229.5330882</v>
      </c>
      <c r="R81" s="1003">
        <f t="shared" si="16"/>
        <v>228.4303806</v>
      </c>
      <c r="S81" s="1003">
        <f t="shared" si="16"/>
        <v>238.7346703</v>
      </c>
      <c r="T81" s="1003">
        <f t="shared" si="16"/>
        <v>238.095779</v>
      </c>
      <c r="U81" s="1003">
        <f t="shared" si="16"/>
        <v>241.3028662</v>
      </c>
      <c r="V81" s="1003">
        <f t="shared" si="16"/>
        <v>234.711764</v>
      </c>
      <c r="W81" s="1003">
        <f t="shared" si="16"/>
        <v>233.0199425</v>
      </c>
      <c r="X81" s="1003">
        <f t="shared" si="16"/>
        <v>239.3641076</v>
      </c>
      <c r="Y81" s="1003">
        <f t="shared" si="16"/>
        <v>237.5239913</v>
      </c>
      <c r="Z81" s="1003">
        <f t="shared" si="16"/>
        <v>235.4504898</v>
      </c>
      <c r="AA81" s="1003">
        <f t="shared" si="16"/>
        <v>237.3888479</v>
      </c>
      <c r="AB81" s="1003">
        <f t="shared" si="16"/>
        <v>238.5664657</v>
      </c>
      <c r="AC81" s="1003">
        <f t="shared" si="16"/>
        <v>241.497784</v>
      </c>
      <c r="AD81" s="1003">
        <f t="shared" si="16"/>
        <v>303.9313554</v>
      </c>
      <c r="AE81" s="1003">
        <f t="shared" si="16"/>
        <v>294.816262</v>
      </c>
    </row>
    <row r="82">
      <c r="A82" s="220" t="s">
        <v>306</v>
      </c>
      <c r="B82" s="1104">
        <v>206.32</v>
      </c>
      <c r="C82" s="1105">
        <v>189.8</v>
      </c>
      <c r="D82" s="1105">
        <v>194.25</v>
      </c>
      <c r="E82" s="1105">
        <v>203.72</v>
      </c>
      <c r="F82" s="1105">
        <v>202.65</v>
      </c>
      <c r="G82" s="1105">
        <v>201.03</v>
      </c>
      <c r="H82" s="1105">
        <v>204.17</v>
      </c>
      <c r="I82" s="1105">
        <v>204.79</v>
      </c>
      <c r="J82" s="1105">
        <v>201.84</v>
      </c>
      <c r="K82" s="1105">
        <v>204.9</v>
      </c>
      <c r="L82" s="1105">
        <v>216.59</v>
      </c>
      <c r="M82" s="1105">
        <v>190.66</v>
      </c>
      <c r="N82" s="1105">
        <v>205.01</v>
      </c>
      <c r="O82" s="1105">
        <v>207.14</v>
      </c>
      <c r="P82" s="1105">
        <v>206.85</v>
      </c>
      <c r="Q82" s="1105">
        <v>203.74</v>
      </c>
      <c r="R82" s="1109">
        <v>203.74</v>
      </c>
      <c r="S82" s="1105">
        <v>206.17</v>
      </c>
      <c r="T82" s="1105">
        <v>210.4</v>
      </c>
      <c r="U82" s="1105">
        <v>213.25</v>
      </c>
      <c r="V82" s="1105">
        <v>209.43</v>
      </c>
      <c r="W82" s="1105">
        <v>207.85</v>
      </c>
      <c r="X82" s="1105">
        <v>211.52</v>
      </c>
      <c r="Y82" s="1105">
        <v>209.55</v>
      </c>
      <c r="Z82" s="1105">
        <v>207.39</v>
      </c>
      <c r="AA82" s="1105">
        <v>208.64</v>
      </c>
      <c r="AB82" s="1105">
        <v>210.78</v>
      </c>
      <c r="AC82" s="1105">
        <v>214.22</v>
      </c>
      <c r="AD82" s="1105">
        <v>273.98</v>
      </c>
      <c r="AE82" s="1105">
        <v>269.23</v>
      </c>
    </row>
    <row r="83">
      <c r="A83" s="220" t="s">
        <v>308</v>
      </c>
      <c r="B83" s="1105">
        <v>90.28</v>
      </c>
      <c r="C83" s="1105">
        <v>73.06</v>
      </c>
      <c r="D83" s="1105">
        <v>130.77</v>
      </c>
      <c r="E83" s="1105">
        <v>137.43</v>
      </c>
      <c r="F83" s="1105">
        <v>123.96</v>
      </c>
      <c r="G83" s="1105">
        <v>97.6</v>
      </c>
      <c r="H83" s="1105">
        <v>167.67</v>
      </c>
      <c r="I83" s="1105">
        <v>167.0</v>
      </c>
      <c r="J83" s="1105">
        <v>167.11</v>
      </c>
      <c r="K83" s="1105">
        <v>74.37</v>
      </c>
      <c r="L83" s="1105">
        <v>152.95</v>
      </c>
      <c r="M83" s="1105">
        <v>119.71</v>
      </c>
      <c r="N83" s="1105">
        <v>208.5</v>
      </c>
      <c r="O83" s="1105">
        <v>127.93</v>
      </c>
      <c r="P83" s="1105">
        <v>84.82</v>
      </c>
      <c r="Q83" s="1118">
        <v>116.73</v>
      </c>
      <c r="R83" s="1105">
        <v>123.19</v>
      </c>
      <c r="S83" s="1105">
        <v>175.24</v>
      </c>
      <c r="T83" s="1105">
        <v>160.23</v>
      </c>
      <c r="U83" s="1105">
        <v>161.87</v>
      </c>
      <c r="V83" s="1105">
        <v>125.88</v>
      </c>
      <c r="W83" s="1105">
        <v>164.39</v>
      </c>
      <c r="X83" s="1105">
        <v>175.4</v>
      </c>
      <c r="Y83" s="1105">
        <v>179.69</v>
      </c>
      <c r="Z83" s="1105">
        <v>183.61</v>
      </c>
      <c r="AA83" s="1105">
        <v>196.62</v>
      </c>
      <c r="AB83" s="1105">
        <v>170.7</v>
      </c>
      <c r="AC83" s="1105">
        <v>161.53</v>
      </c>
      <c r="AD83" s="1105">
        <v>256.72</v>
      </c>
      <c r="AE83" s="1105">
        <v>138.95</v>
      </c>
    </row>
    <row r="85">
      <c r="A85" s="220" t="s">
        <v>309</v>
      </c>
    </row>
    <row r="86">
      <c r="A86" s="1121" t="s">
        <v>311</v>
      </c>
      <c r="B86" s="1094">
        <v>0.0359</v>
      </c>
      <c r="C86" s="1094">
        <v>0.0665</v>
      </c>
      <c r="D86" s="1094">
        <v>0.0588</v>
      </c>
      <c r="E86" s="1094">
        <v>0.0529</v>
      </c>
      <c r="F86" s="1094">
        <v>0.0386</v>
      </c>
      <c r="G86" s="1094">
        <v>0.0439</v>
      </c>
      <c r="H86" s="1094">
        <v>0.0465</v>
      </c>
      <c r="I86" s="1094">
        <v>0.0684</v>
      </c>
      <c r="J86" s="1094">
        <v>0.066</v>
      </c>
      <c r="K86" s="1094">
        <v>0.0433</v>
      </c>
      <c r="L86" s="1094">
        <v>0.0541</v>
      </c>
      <c r="M86" s="1094">
        <v>0.0317</v>
      </c>
      <c r="N86" s="1094">
        <v>0.0627</v>
      </c>
      <c r="O86" s="1094">
        <v>0.0241</v>
      </c>
      <c r="P86" s="1094">
        <v>0.0292</v>
      </c>
      <c r="Q86" s="1094">
        <v>0.0349</v>
      </c>
      <c r="R86" s="1094">
        <v>0.045</v>
      </c>
      <c r="S86" s="1094">
        <v>0.0343</v>
      </c>
      <c r="T86" s="1094">
        <v>0.0346</v>
      </c>
      <c r="U86" s="1094">
        <v>0.0382</v>
      </c>
      <c r="V86" s="1094">
        <v>0.0389</v>
      </c>
      <c r="W86" s="1094">
        <v>0.069</v>
      </c>
      <c r="X86" s="1094">
        <v>0.0439</v>
      </c>
      <c r="Y86" s="1094">
        <v>0.0405</v>
      </c>
      <c r="Z86" s="1094">
        <v>0.0408</v>
      </c>
      <c r="AA86" s="1094">
        <v>0.0369</v>
      </c>
      <c r="AB86" s="1094">
        <v>0.0359</v>
      </c>
      <c r="AC86" s="1094">
        <v>0.0328</v>
      </c>
      <c r="AD86" s="1094">
        <v>0.0633</v>
      </c>
      <c r="AE86" s="1094">
        <v>0.0479</v>
      </c>
    </row>
    <row r="87">
      <c r="A87" s="1" t="s">
        <v>314</v>
      </c>
      <c r="B87" s="1094">
        <f t="shared" ref="B87:AE87" si="17">1-B86</f>
        <v>0.9641</v>
      </c>
      <c r="C87" s="1094">
        <f t="shared" si="17"/>
        <v>0.9335</v>
      </c>
      <c r="D87" s="1094">
        <f t="shared" si="17"/>
        <v>0.9412</v>
      </c>
      <c r="E87" s="1094">
        <f t="shared" si="17"/>
        <v>0.9471</v>
      </c>
      <c r="F87" s="1094">
        <f t="shared" si="17"/>
        <v>0.9614</v>
      </c>
      <c r="G87" s="1094">
        <f t="shared" si="17"/>
        <v>0.9561</v>
      </c>
      <c r="H87" s="1094">
        <f t="shared" si="17"/>
        <v>0.9535</v>
      </c>
      <c r="I87" s="1094">
        <f t="shared" si="17"/>
        <v>0.9316</v>
      </c>
      <c r="J87" s="1094">
        <f t="shared" si="17"/>
        <v>0.934</v>
      </c>
      <c r="K87" s="1094">
        <f t="shared" si="17"/>
        <v>0.9567</v>
      </c>
      <c r="L87" s="1094">
        <f t="shared" si="17"/>
        <v>0.9459</v>
      </c>
      <c r="M87" s="1094">
        <f t="shared" si="17"/>
        <v>0.9683</v>
      </c>
      <c r="N87" s="1094">
        <f t="shared" si="17"/>
        <v>0.9373</v>
      </c>
      <c r="O87" s="1094">
        <f t="shared" si="17"/>
        <v>0.9759</v>
      </c>
      <c r="P87" s="1094">
        <f t="shared" si="17"/>
        <v>0.9708</v>
      </c>
      <c r="Q87" s="1094">
        <f t="shared" si="17"/>
        <v>0.9651</v>
      </c>
      <c r="R87" s="1094">
        <f t="shared" si="17"/>
        <v>0.955</v>
      </c>
      <c r="S87" s="1094">
        <f t="shared" si="17"/>
        <v>0.9657</v>
      </c>
      <c r="T87" s="1094">
        <f t="shared" si="17"/>
        <v>0.9654</v>
      </c>
      <c r="U87" s="1094">
        <f t="shared" si="17"/>
        <v>0.9618</v>
      </c>
      <c r="V87" s="1094">
        <f t="shared" si="17"/>
        <v>0.9611</v>
      </c>
      <c r="W87" s="1094">
        <f t="shared" si="17"/>
        <v>0.931</v>
      </c>
      <c r="X87" s="1094">
        <f t="shared" si="17"/>
        <v>0.9561</v>
      </c>
      <c r="Y87" s="1094">
        <f t="shared" si="17"/>
        <v>0.9595</v>
      </c>
      <c r="Z87" s="1094">
        <f t="shared" si="17"/>
        <v>0.9592</v>
      </c>
      <c r="AA87" s="1094">
        <f t="shared" si="17"/>
        <v>0.9631</v>
      </c>
      <c r="AB87" s="1094">
        <f t="shared" si="17"/>
        <v>0.9641</v>
      </c>
      <c r="AC87" s="1094">
        <f t="shared" si="17"/>
        <v>0.9672</v>
      </c>
      <c r="AD87" s="1094">
        <f t="shared" si="17"/>
        <v>0.9367</v>
      </c>
      <c r="AE87" s="1094">
        <f t="shared" si="17"/>
        <v>0.9521</v>
      </c>
    </row>
    <row r="89">
      <c r="B89" s="1135">
        <v>45231.0</v>
      </c>
      <c r="C89" s="1137" t="s">
        <v>317</v>
      </c>
      <c r="D89" s="1137" t="s">
        <v>318</v>
      </c>
    </row>
    <row r="90">
      <c r="A90" s="1" t="s">
        <v>105</v>
      </c>
      <c r="B90" s="1012">
        <f>SUM(B26:AE26)</f>
        <v>9386537.81</v>
      </c>
      <c r="C90" s="1139">
        <v>3000000.0</v>
      </c>
      <c r="D90" s="1141">
        <f t="shared" ref="D90:D92" si="18">B90/C90</f>
        <v>3.128845937</v>
      </c>
      <c r="X90" s="782"/>
      <c r="AA90" s="1091"/>
    </row>
    <row r="91">
      <c r="A91" s="1" t="s">
        <v>320</v>
      </c>
      <c r="B91" s="1012">
        <f>SUM(B70:AE70)</f>
        <v>2059338.262</v>
      </c>
      <c r="C91" s="1139">
        <v>600000.0</v>
      </c>
      <c r="D91" s="1141">
        <f t="shared" si="18"/>
        <v>3.432230437</v>
      </c>
      <c r="X91" s="782"/>
      <c r="AA91" s="1091"/>
    </row>
    <row r="92">
      <c r="A92" s="1" t="s">
        <v>323</v>
      </c>
      <c r="B92" s="1144">
        <f>B90/B91</f>
        <v>4.55803594</v>
      </c>
      <c r="C92" s="1146">
        <v>5.0</v>
      </c>
      <c r="D92" s="1141">
        <f t="shared" si="18"/>
        <v>0.9116071879</v>
      </c>
    </row>
    <row r="93">
      <c r="A93" s="1" t="s">
        <v>1338</v>
      </c>
      <c r="B93" s="1012">
        <f>SUM(B70:AE70)/SUM(B49:AE49)</f>
        <v>51.08752821</v>
      </c>
      <c r="C93" s="1149"/>
      <c r="D93" s="1141"/>
      <c r="W93" s="1" t="s">
        <v>327</v>
      </c>
    </row>
    <row r="94">
      <c r="A94" s="1" t="s">
        <v>328</v>
      </c>
      <c r="B94" s="782">
        <f>AVERAGE(B80:AE80)</f>
        <v>0.02671666667</v>
      </c>
      <c r="C94" s="1152"/>
      <c r="D94" s="1141"/>
    </row>
    <row r="95">
      <c r="A95" s="1" t="s">
        <v>329</v>
      </c>
      <c r="B95" s="1012">
        <f>B90/B98</f>
        <v>232.8587896</v>
      </c>
      <c r="C95" s="1149"/>
      <c r="D95" s="1141"/>
      <c r="E95" s="1012"/>
    </row>
    <row r="96">
      <c r="A96" s="1" t="s">
        <v>306</v>
      </c>
      <c r="B96" s="1158">
        <f t="shared" ref="B96:B97" si="19">AVERAGE(B82:AE82)</f>
        <v>209.987</v>
      </c>
    </row>
    <row r="97">
      <c r="A97" s="1" t="s">
        <v>308</v>
      </c>
      <c r="B97" s="1003">
        <f t="shared" si="19"/>
        <v>147.1303333</v>
      </c>
    </row>
    <row r="98">
      <c r="A98" s="1" t="s">
        <v>66</v>
      </c>
      <c r="B98" s="1160">
        <f>SUM(B49:AE49)</f>
        <v>40310</v>
      </c>
      <c r="C98" s="1161"/>
      <c r="D98" s="1141"/>
      <c r="L98" s="1" t="s">
        <v>327</v>
      </c>
    </row>
    <row r="99">
      <c r="A99" s="1" t="s">
        <v>332</v>
      </c>
      <c r="B99" s="1163">
        <f>'Detailed Report OLD'!AG149 +'AMAZON Detailed Report OLD'!AG45</f>
        <v>38475</v>
      </c>
      <c r="C99" s="1161">
        <v>12500.0</v>
      </c>
      <c r="D99" s="1141">
        <f>B99/C99</f>
        <v>3.078</v>
      </c>
    </row>
    <row r="100">
      <c r="A100" s="1" t="s">
        <v>334</v>
      </c>
      <c r="B100" s="1012">
        <f>B91/B99</f>
        <v>53.52406139</v>
      </c>
      <c r="C100" s="1149"/>
      <c r="D100" s="1141"/>
    </row>
    <row r="101">
      <c r="A101" s="1" t="s">
        <v>335</v>
      </c>
      <c r="B101" s="782">
        <f>AVERAGE(B87:AE87)</f>
        <v>0.9546833333</v>
      </c>
    </row>
    <row r="102">
      <c r="A102" s="1" t="s">
        <v>336</v>
      </c>
      <c r="B102" s="782">
        <f>AVERAGE(B86:AE86)</f>
        <v>0.04531666667</v>
      </c>
    </row>
    <row r="112">
      <c r="Y112" s="1094"/>
      <c r="Z112" s="1094"/>
      <c r="AA112" s="1094"/>
      <c r="AB112" s="1094"/>
      <c r="AC112" s="1094"/>
      <c r="AD112" s="1094"/>
      <c r="AE112" s="1094"/>
    </row>
    <row r="113">
      <c r="Y113" s="1094"/>
      <c r="Z113" s="1094"/>
      <c r="AA113" s="1094"/>
      <c r="AB113" s="1094"/>
      <c r="AC113" s="1094"/>
      <c r="AD113" s="1094"/>
      <c r="AE113" s="1094"/>
    </row>
    <row r="114">
      <c r="Y114" s="1094"/>
      <c r="Z114" s="1094"/>
      <c r="AA114" s="1094"/>
      <c r="AB114" s="1094"/>
      <c r="AC114" s="1094"/>
      <c r="AD114" s="1094"/>
      <c r="AE114" s="1094"/>
    </row>
    <row r="115">
      <c r="Y115" s="1165"/>
      <c r="AC115" s="1094"/>
      <c r="AD115" s="1094"/>
      <c r="AE115" s="1094"/>
    </row>
    <row r="120">
      <c r="Y120" s="1" t="s">
        <v>327</v>
      </c>
    </row>
    <row r="208">
      <c r="G208" s="810"/>
    </row>
    <row r="209">
      <c r="G209" s="810"/>
    </row>
  </sheetData>
  <mergeCells count="5">
    <mergeCell ref="A4:A6"/>
    <mergeCell ref="B4:G4"/>
    <mergeCell ref="N4:O4"/>
    <mergeCell ref="H5:J5"/>
    <mergeCell ref="K5:AC5"/>
  </mergeCells>
  <conditionalFormatting sqref="Y112:Y115 Z112:AB114 AC112:AE115">
    <cfRule type="colorScale" priority="1">
      <colorScale>
        <cfvo type="min"/>
        <cfvo type="max"/>
        <color rgb="FFFFFFFF"/>
        <color rgb="FF57BB8A"/>
      </colorScale>
    </cfRule>
  </conditionalFormatting>
  <conditionalFormatting sqref="B86:AE86">
    <cfRule type="colorScale" priority="2">
      <colorScale>
        <cfvo type="min"/>
        <cfvo type="max"/>
        <color rgb="FFFFFFFF"/>
        <color rgb="FF57BB8A"/>
      </colorScale>
    </cfRule>
  </conditionalFormatting>
  <conditionalFormatting sqref="B76:AE76">
    <cfRule type="colorScale" priority="3">
      <colorScale>
        <cfvo type="min"/>
        <cfvo type="max"/>
        <color rgb="FF57BB8A"/>
        <color rgb="FFFFFFFF"/>
      </colorScale>
    </cfRule>
  </conditionalFormatting>
  <conditionalFormatting sqref="B72:AE72">
    <cfRule type="colorScale" priority="4">
      <colorScale>
        <cfvo type="min"/>
        <cfvo type="max"/>
        <color rgb="FFFFFFFF"/>
        <color rgb="FF57BB8A"/>
      </colorScale>
    </cfRule>
  </conditionalFormatting>
  <conditionalFormatting sqref="B80:AE80">
    <cfRule type="colorScale" priority="5">
      <colorScale>
        <cfvo type="min"/>
        <cfvo type="max"/>
        <color rgb="FFFFFFFF"/>
        <color rgb="FF57BB8A"/>
      </colorScale>
    </cfRule>
  </conditionalFormatting>
  <conditionalFormatting sqref="B81:AE81">
    <cfRule type="colorScale" priority="6">
      <colorScale>
        <cfvo type="min"/>
        <cfvo type="max"/>
        <color rgb="FFFFFFFF"/>
        <color rgb="FF57BB8A"/>
      </colorScale>
    </cfRule>
  </conditionalFormatting>
  <conditionalFormatting sqref="G52:AE52 B58:AE58">
    <cfRule type="colorScale" priority="7">
      <colorScale>
        <cfvo type="min"/>
        <cfvo type="max"/>
        <color rgb="FFFFFFFF"/>
        <color rgb="FF57BB8A"/>
      </colorScale>
    </cfRule>
  </conditionalFormatting>
  <conditionalFormatting sqref="B39:AE39">
    <cfRule type="colorScale" priority="8">
      <colorScale>
        <cfvo type="min"/>
        <cfvo type="max"/>
        <color rgb="FFFFFFFF"/>
        <color rgb="FF57BB8A"/>
      </colorScale>
    </cfRule>
  </conditionalFormatting>
  <conditionalFormatting sqref="B46:AE46">
    <cfRule type="colorScale" priority="9">
      <colorScale>
        <cfvo type="min"/>
        <cfvo type="max"/>
        <color rgb="FFFFFFFF"/>
        <color rgb="FF57BB8A"/>
      </colorScale>
    </cfRule>
  </conditionalFormatting>
  <conditionalFormatting sqref="B47:AE47">
    <cfRule type="colorScale" priority="10">
      <colorScale>
        <cfvo type="min"/>
        <cfvo type="max"/>
        <color rgb="FFFFFFFF"/>
        <color rgb="FF57BB8A"/>
      </colorScale>
    </cfRule>
  </conditionalFormatting>
  <conditionalFormatting sqref="B43:AE43">
    <cfRule type="colorScale" priority="11">
      <colorScale>
        <cfvo type="min"/>
        <cfvo type="max"/>
        <color rgb="FFFFFFFF"/>
        <color rgb="FF57BB8A"/>
      </colorScale>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customWidth="1" min="2" max="18" width="16.13"/>
    <col customWidth="1" min="19" max="20" width="16.63"/>
    <col customWidth="1" min="21" max="32" width="16.13"/>
    <col customWidth="1" min="33" max="33" width="16.25"/>
  </cols>
  <sheetData>
    <row r="1">
      <c r="A1" s="68" t="s">
        <v>117</v>
      </c>
      <c r="B1" s="4">
        <v>45231.0</v>
      </c>
      <c r="C1" s="4">
        <v>45232.0</v>
      </c>
      <c r="D1" s="4">
        <v>45233.0</v>
      </c>
      <c r="E1" s="4">
        <v>45234.0</v>
      </c>
      <c r="F1" s="4">
        <v>45235.0</v>
      </c>
      <c r="G1" s="4">
        <v>45236.0</v>
      </c>
      <c r="H1" s="4">
        <v>45237.0</v>
      </c>
      <c r="I1" s="4">
        <v>45238.0</v>
      </c>
      <c r="J1" s="4">
        <v>45239.0</v>
      </c>
      <c r="K1" s="4">
        <v>45240.0</v>
      </c>
      <c r="L1" s="4">
        <v>45241.0</v>
      </c>
      <c r="M1" s="4">
        <v>45242.0</v>
      </c>
      <c r="N1" s="4">
        <v>45243.0</v>
      </c>
      <c r="O1" s="4">
        <v>45244.0</v>
      </c>
      <c r="P1" s="4">
        <v>45245.0</v>
      </c>
      <c r="Q1" s="4">
        <v>45246.0</v>
      </c>
      <c r="R1" s="4">
        <v>45247.0</v>
      </c>
      <c r="S1" s="4">
        <v>45248.0</v>
      </c>
      <c r="T1" s="4">
        <v>45249.0</v>
      </c>
      <c r="U1" s="4">
        <v>45250.0</v>
      </c>
      <c r="V1" s="4">
        <v>45251.0</v>
      </c>
      <c r="W1" s="4">
        <v>45252.0</v>
      </c>
      <c r="X1" s="4">
        <v>45253.0</v>
      </c>
      <c r="Y1" s="4">
        <v>45254.0</v>
      </c>
      <c r="Z1" s="4">
        <v>45255.0</v>
      </c>
      <c r="AA1" s="4">
        <v>45256.0</v>
      </c>
      <c r="AB1" s="4">
        <v>45257.0</v>
      </c>
      <c r="AC1" s="4">
        <v>45258.0</v>
      </c>
      <c r="AD1" s="4">
        <v>45259.0</v>
      </c>
      <c r="AE1" s="4">
        <v>45260.0</v>
      </c>
      <c r="AF1" s="4"/>
      <c r="AG1" s="576"/>
    </row>
    <row r="2">
      <c r="A2" s="72" t="s">
        <v>43</v>
      </c>
      <c r="B2" s="8" t="s">
        <v>44</v>
      </c>
      <c r="C2" s="8" t="s">
        <v>45</v>
      </c>
      <c r="D2" s="8" t="s">
        <v>46</v>
      </c>
      <c r="E2" s="8" t="s">
        <v>47</v>
      </c>
      <c r="F2" s="8" t="s">
        <v>48</v>
      </c>
      <c r="G2" s="8" t="s">
        <v>49</v>
      </c>
      <c r="H2" s="8" t="s">
        <v>50</v>
      </c>
      <c r="I2" s="8" t="s">
        <v>44</v>
      </c>
      <c r="J2" s="8" t="s">
        <v>45</v>
      </c>
      <c r="K2" s="8" t="s">
        <v>46</v>
      </c>
      <c r="L2" s="8" t="s">
        <v>47</v>
      </c>
      <c r="M2" s="8" t="s">
        <v>48</v>
      </c>
      <c r="N2" s="8" t="s">
        <v>49</v>
      </c>
      <c r="O2" s="8" t="s">
        <v>50</v>
      </c>
      <c r="P2" s="8" t="s">
        <v>44</v>
      </c>
      <c r="Q2" s="8" t="s">
        <v>45</v>
      </c>
      <c r="R2" s="8" t="s">
        <v>46</v>
      </c>
      <c r="S2" s="8" t="s">
        <v>47</v>
      </c>
      <c r="T2" s="8" t="s">
        <v>48</v>
      </c>
      <c r="U2" s="8" t="s">
        <v>49</v>
      </c>
      <c r="V2" s="8" t="s">
        <v>50</v>
      </c>
      <c r="W2" s="8" t="s">
        <v>44</v>
      </c>
      <c r="X2" s="8" t="s">
        <v>45</v>
      </c>
      <c r="Y2" s="8" t="s">
        <v>46</v>
      </c>
      <c r="Z2" s="8" t="s">
        <v>47</v>
      </c>
      <c r="AA2" s="8" t="s">
        <v>48</v>
      </c>
      <c r="AB2" s="8" t="s">
        <v>49</v>
      </c>
      <c r="AC2" s="8" t="s">
        <v>50</v>
      </c>
      <c r="AD2" s="8" t="s">
        <v>44</v>
      </c>
      <c r="AE2" s="8" t="s">
        <v>45</v>
      </c>
      <c r="AF2" s="8"/>
      <c r="AG2" s="576"/>
    </row>
    <row r="3">
      <c r="A3" s="577" t="s">
        <v>60</v>
      </c>
      <c r="B3" s="53"/>
      <c r="C3" s="53"/>
      <c r="D3" s="53"/>
      <c r="E3" s="53"/>
      <c r="F3" s="53"/>
      <c r="G3" s="53"/>
      <c r="H3" s="53"/>
      <c r="I3" s="53"/>
      <c r="J3" s="53"/>
      <c r="K3" s="53"/>
      <c r="L3" s="53"/>
      <c r="M3" s="53"/>
      <c r="N3" s="53"/>
      <c r="O3" s="53"/>
      <c r="P3" s="53"/>
      <c r="Q3" s="53"/>
      <c r="R3" s="53"/>
      <c r="S3" s="53"/>
      <c r="T3" s="53"/>
      <c r="U3" s="53"/>
      <c r="V3" s="53"/>
      <c r="W3" s="53"/>
      <c r="X3" s="53"/>
      <c r="Y3" s="53"/>
      <c r="Z3" s="53"/>
      <c r="AA3" s="53"/>
      <c r="AB3" s="120"/>
      <c r="AC3" s="53"/>
      <c r="AD3" s="53"/>
      <c r="AE3" s="53"/>
      <c r="AF3" s="53"/>
      <c r="AG3" s="576"/>
    </row>
    <row r="4">
      <c r="A4" s="578" t="s">
        <v>66</v>
      </c>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76"/>
    </row>
    <row r="5">
      <c r="A5" s="25" t="s">
        <v>861</v>
      </c>
      <c r="B5" s="579">
        <v>238.0</v>
      </c>
      <c r="C5" s="27">
        <v>263.0</v>
      </c>
      <c r="D5" s="27">
        <v>255.0</v>
      </c>
      <c r="E5" s="27">
        <v>261.0</v>
      </c>
      <c r="F5" s="27">
        <v>303.0</v>
      </c>
      <c r="G5" s="27">
        <v>276.0</v>
      </c>
      <c r="H5" s="27">
        <v>233.0</v>
      </c>
      <c r="I5" s="27">
        <v>214.0</v>
      </c>
      <c r="J5" s="27">
        <v>253.0</v>
      </c>
      <c r="K5" s="27">
        <v>263.0</v>
      </c>
      <c r="L5" s="27">
        <v>298.0</v>
      </c>
      <c r="M5" s="27">
        <v>228.0</v>
      </c>
      <c r="N5" s="27">
        <v>196.0</v>
      </c>
      <c r="O5" s="27">
        <v>222.0</v>
      </c>
      <c r="P5" s="27">
        <v>224.0</v>
      </c>
      <c r="Q5" s="27">
        <v>116.0</v>
      </c>
      <c r="R5" s="27">
        <v>210.0</v>
      </c>
      <c r="S5" s="580">
        <v>288.0</v>
      </c>
      <c r="T5" s="27">
        <v>280.0</v>
      </c>
      <c r="U5" s="580">
        <v>306.0</v>
      </c>
      <c r="V5" s="580">
        <v>313.0</v>
      </c>
      <c r="W5" s="580">
        <v>402.0</v>
      </c>
      <c r="X5" s="580">
        <v>592.0</v>
      </c>
      <c r="Y5" s="581">
        <v>1567.0</v>
      </c>
      <c r="Z5" s="581">
        <v>534.0</v>
      </c>
      <c r="AA5" s="580">
        <v>734.0</v>
      </c>
      <c r="AB5" s="580">
        <v>1061.0</v>
      </c>
      <c r="AC5" s="580">
        <v>761.0</v>
      </c>
      <c r="AD5" s="580">
        <v>116.0</v>
      </c>
      <c r="AE5" s="580">
        <v>81.0</v>
      </c>
      <c r="AF5" s="580"/>
      <c r="AG5" s="582">
        <f t="shared" ref="AG5:AG15" si="1">SUM(B5:AF5)</f>
        <v>11088</v>
      </c>
    </row>
    <row r="6">
      <c r="A6" s="583" t="s">
        <v>95</v>
      </c>
      <c r="B6" s="579">
        <v>96.0</v>
      </c>
      <c r="C6" s="27">
        <v>106.0</v>
      </c>
      <c r="D6" s="584">
        <v>112.0</v>
      </c>
      <c r="E6" s="584">
        <v>128.0</v>
      </c>
      <c r="F6" s="584">
        <v>143.0</v>
      </c>
      <c r="G6" s="27">
        <v>137.0</v>
      </c>
      <c r="H6" s="27">
        <v>124.0</v>
      </c>
      <c r="I6" s="27">
        <v>127.0</v>
      </c>
      <c r="J6" s="27">
        <v>166.0</v>
      </c>
      <c r="K6" s="27">
        <v>167.0</v>
      </c>
      <c r="L6" s="584">
        <v>185.0</v>
      </c>
      <c r="M6" s="27">
        <v>173.0</v>
      </c>
      <c r="N6" s="27">
        <v>175.0</v>
      </c>
      <c r="O6" s="27">
        <v>157.0</v>
      </c>
      <c r="P6" s="27">
        <v>149.0</v>
      </c>
      <c r="Q6" s="27">
        <v>154.0</v>
      </c>
      <c r="R6" s="27">
        <v>187.0</v>
      </c>
      <c r="S6" s="580">
        <v>230.0</v>
      </c>
      <c r="T6" s="27">
        <v>243.0</v>
      </c>
      <c r="U6" s="580">
        <v>227.0</v>
      </c>
      <c r="V6" s="580">
        <v>253.0</v>
      </c>
      <c r="W6" s="580">
        <v>251.0</v>
      </c>
      <c r="X6" s="580">
        <v>380.0</v>
      </c>
      <c r="Y6" s="580">
        <v>1076.0</v>
      </c>
      <c r="Z6" s="580">
        <v>253.0</v>
      </c>
      <c r="AA6" s="580">
        <v>543.0</v>
      </c>
      <c r="AB6" s="580">
        <v>261.0</v>
      </c>
      <c r="AC6" s="580">
        <v>192.0</v>
      </c>
      <c r="AD6" s="580">
        <v>79.0</v>
      </c>
      <c r="AE6" s="580">
        <v>24.0</v>
      </c>
      <c r="AF6" s="580"/>
      <c r="AG6" s="582">
        <f t="shared" si="1"/>
        <v>6498</v>
      </c>
    </row>
    <row r="7">
      <c r="A7" s="25" t="s">
        <v>97</v>
      </c>
      <c r="B7" s="27">
        <v>0.0</v>
      </c>
      <c r="C7" s="27">
        <v>0.0</v>
      </c>
      <c r="D7" s="27">
        <v>0.0</v>
      </c>
      <c r="E7" s="584">
        <v>0.0</v>
      </c>
      <c r="F7" s="27">
        <v>0.0</v>
      </c>
      <c r="G7" s="27">
        <v>0.0</v>
      </c>
      <c r="H7" s="27">
        <v>0.0</v>
      </c>
      <c r="I7" s="27">
        <v>0.0</v>
      </c>
      <c r="J7" s="27">
        <v>0.0</v>
      </c>
      <c r="K7" s="27">
        <v>0.0</v>
      </c>
      <c r="L7" s="27">
        <v>0.0</v>
      </c>
      <c r="M7" s="27">
        <v>0.0</v>
      </c>
      <c r="N7" s="27">
        <v>0.0</v>
      </c>
      <c r="O7" s="27">
        <v>0.0</v>
      </c>
      <c r="P7" s="27">
        <v>0.0</v>
      </c>
      <c r="Q7" s="27">
        <v>0.0</v>
      </c>
      <c r="R7" s="27">
        <v>0.0</v>
      </c>
      <c r="S7" s="27">
        <v>0.0</v>
      </c>
      <c r="T7" s="27">
        <v>0.0</v>
      </c>
      <c r="U7" s="27">
        <v>0.0</v>
      </c>
      <c r="V7" s="27">
        <v>0.0</v>
      </c>
      <c r="W7" s="27">
        <v>0.0</v>
      </c>
      <c r="X7" s="27">
        <v>0.0</v>
      </c>
      <c r="Y7" s="27">
        <v>0.0</v>
      </c>
      <c r="Z7" s="27">
        <v>0.0</v>
      </c>
      <c r="AA7" s="27">
        <v>0.0</v>
      </c>
      <c r="AB7" s="27">
        <v>0.0</v>
      </c>
      <c r="AC7" s="27">
        <v>0.0</v>
      </c>
      <c r="AD7" s="27">
        <v>0.0</v>
      </c>
      <c r="AE7" s="27">
        <v>0.0</v>
      </c>
      <c r="AF7" s="27"/>
      <c r="AG7" s="582">
        <f t="shared" si="1"/>
        <v>0</v>
      </c>
    </row>
    <row r="8">
      <c r="A8" s="583" t="s">
        <v>100</v>
      </c>
      <c r="B8" s="579">
        <v>24.0</v>
      </c>
      <c r="C8" s="27">
        <v>28.0</v>
      </c>
      <c r="D8" s="27">
        <v>24.0</v>
      </c>
      <c r="E8" s="584">
        <v>20.0</v>
      </c>
      <c r="F8" s="27">
        <v>18.0</v>
      </c>
      <c r="G8" s="27">
        <v>24.0</v>
      </c>
      <c r="H8" s="27">
        <v>22.0</v>
      </c>
      <c r="I8" s="27">
        <v>34.0</v>
      </c>
      <c r="J8" s="27">
        <v>16.0</v>
      </c>
      <c r="K8" s="27">
        <v>22.0</v>
      </c>
      <c r="L8" s="584">
        <v>30.0</v>
      </c>
      <c r="M8" s="27">
        <v>14.0</v>
      </c>
      <c r="N8" s="27">
        <v>8.0</v>
      </c>
      <c r="O8" s="27">
        <v>11.0</v>
      </c>
      <c r="P8" s="27">
        <v>12.0</v>
      </c>
      <c r="Q8" s="27">
        <v>7.0</v>
      </c>
      <c r="R8" s="27">
        <v>13.0</v>
      </c>
      <c r="S8" s="580">
        <v>7.0</v>
      </c>
      <c r="T8" s="27">
        <v>18.0</v>
      </c>
      <c r="U8" s="580">
        <v>11.0</v>
      </c>
      <c r="V8" s="580">
        <v>9.0</v>
      </c>
      <c r="W8" s="580">
        <v>11.0</v>
      </c>
      <c r="X8" s="580">
        <v>11.0</v>
      </c>
      <c r="Y8" s="580">
        <v>72.0</v>
      </c>
      <c r="Z8" s="580">
        <v>0.0</v>
      </c>
      <c r="AA8" s="580">
        <v>0.0</v>
      </c>
      <c r="AB8" s="580">
        <v>0.0</v>
      </c>
      <c r="AC8" s="580">
        <v>10.0</v>
      </c>
      <c r="AD8" s="580">
        <v>4.0</v>
      </c>
      <c r="AE8" s="580">
        <v>3.0</v>
      </c>
      <c r="AF8" s="580"/>
      <c r="AG8" s="582">
        <f t="shared" si="1"/>
        <v>483</v>
      </c>
    </row>
    <row r="9">
      <c r="A9" s="583" t="s">
        <v>863</v>
      </c>
      <c r="B9" s="585"/>
      <c r="C9" s="585"/>
      <c r="D9" s="585"/>
      <c r="E9" s="585"/>
      <c r="F9" s="585"/>
      <c r="G9" s="585"/>
      <c r="H9" s="585"/>
      <c r="I9" s="585"/>
      <c r="J9" s="585"/>
      <c r="K9" s="585"/>
      <c r="L9" s="585"/>
      <c r="M9" s="585"/>
      <c r="N9" s="585"/>
      <c r="O9" s="585"/>
      <c r="P9" s="585"/>
      <c r="Q9" s="585"/>
      <c r="R9" s="585"/>
      <c r="S9" s="585"/>
      <c r="T9" s="585"/>
      <c r="U9" s="585"/>
      <c r="V9" s="585"/>
      <c r="W9" s="585"/>
      <c r="X9" s="585"/>
      <c r="Y9" s="585"/>
      <c r="Z9" s="585"/>
      <c r="AA9" s="585"/>
      <c r="AB9" s="585"/>
      <c r="AC9" s="585"/>
      <c r="AD9" s="585"/>
      <c r="AE9" s="585"/>
      <c r="AF9" s="585"/>
      <c r="AG9" s="582">
        <f t="shared" si="1"/>
        <v>0</v>
      </c>
    </row>
    <row r="10">
      <c r="A10" s="583" t="s">
        <v>104</v>
      </c>
      <c r="B10" s="27">
        <v>3.0</v>
      </c>
      <c r="C10" s="27">
        <v>1.0</v>
      </c>
      <c r="D10" s="27">
        <v>0.0</v>
      </c>
      <c r="E10" s="27">
        <v>2.0</v>
      </c>
      <c r="F10" s="27">
        <v>3.0</v>
      </c>
      <c r="G10" s="27">
        <v>1.0</v>
      </c>
      <c r="H10" s="27">
        <v>1.0</v>
      </c>
      <c r="I10" s="27">
        <v>0.0</v>
      </c>
      <c r="J10" s="27">
        <v>0.0</v>
      </c>
      <c r="K10" s="27">
        <v>2.0</v>
      </c>
      <c r="L10" s="27">
        <v>0.0</v>
      </c>
      <c r="M10" s="27">
        <v>5.0</v>
      </c>
      <c r="N10" s="27">
        <v>2.0</v>
      </c>
      <c r="O10" s="27">
        <v>2.0</v>
      </c>
      <c r="P10" s="27">
        <v>2.0</v>
      </c>
      <c r="Q10" s="27">
        <v>0.0</v>
      </c>
      <c r="R10" s="27">
        <v>2.0</v>
      </c>
      <c r="S10" s="584">
        <v>0.0</v>
      </c>
      <c r="T10" s="584">
        <v>0.0</v>
      </c>
      <c r="U10" s="584">
        <v>0.0</v>
      </c>
      <c r="V10" s="584">
        <v>1.0</v>
      </c>
      <c r="W10" s="584">
        <v>2.0</v>
      </c>
      <c r="X10" s="584">
        <v>4.0</v>
      </c>
      <c r="Y10" s="584">
        <v>3.0</v>
      </c>
      <c r="Z10" s="584">
        <v>3.0</v>
      </c>
      <c r="AA10" s="584">
        <v>2.0</v>
      </c>
      <c r="AB10" s="584">
        <v>9.0</v>
      </c>
      <c r="AC10" s="584">
        <v>8.0</v>
      </c>
      <c r="AD10" s="584">
        <v>1.0</v>
      </c>
      <c r="AE10" s="584">
        <v>1.0</v>
      </c>
      <c r="AF10" s="584"/>
      <c r="AG10" s="582">
        <f t="shared" si="1"/>
        <v>60</v>
      </c>
    </row>
    <row r="11">
      <c r="A11" s="25" t="s">
        <v>864</v>
      </c>
      <c r="B11" s="586"/>
      <c r="C11" s="586"/>
      <c r="D11" s="586"/>
      <c r="E11" s="587"/>
      <c r="F11" s="587"/>
      <c r="G11" s="587"/>
      <c r="H11" s="587"/>
      <c r="I11" s="587"/>
      <c r="J11" s="587"/>
      <c r="K11" s="587"/>
      <c r="L11" s="587"/>
      <c r="M11" s="587"/>
      <c r="N11" s="587"/>
      <c r="O11" s="587"/>
      <c r="P11" s="587"/>
      <c r="Q11" s="587"/>
      <c r="R11" s="587"/>
      <c r="S11" s="587"/>
      <c r="T11" s="587"/>
      <c r="U11" s="587"/>
      <c r="V11" s="587"/>
      <c r="W11" s="587"/>
      <c r="X11" s="587"/>
      <c r="Y11" s="587"/>
      <c r="Z11" s="587"/>
      <c r="AA11" s="587"/>
      <c r="AB11" s="587"/>
      <c r="AC11" s="587"/>
      <c r="AD11" s="587"/>
      <c r="AE11" s="587"/>
      <c r="AF11" s="587"/>
      <c r="AG11" s="588">
        <f t="shared" si="1"/>
        <v>0</v>
      </c>
    </row>
    <row r="12">
      <c r="A12" s="25" t="s">
        <v>865</v>
      </c>
      <c r="B12" s="586"/>
      <c r="C12" s="586"/>
      <c r="D12" s="586"/>
      <c r="E12" s="587"/>
      <c r="F12" s="587"/>
      <c r="G12" s="587"/>
      <c r="H12" s="587"/>
      <c r="I12" s="587"/>
      <c r="J12" s="587"/>
      <c r="K12" s="587"/>
      <c r="L12" s="587"/>
      <c r="M12" s="587"/>
      <c r="N12" s="587"/>
      <c r="O12" s="587"/>
      <c r="P12" s="587"/>
      <c r="Q12" s="587"/>
      <c r="R12" s="587"/>
      <c r="S12" s="587"/>
      <c r="T12" s="587"/>
      <c r="U12" s="587"/>
      <c r="V12" s="587"/>
      <c r="W12" s="587"/>
      <c r="X12" s="587"/>
      <c r="Y12" s="587"/>
      <c r="Z12" s="587"/>
      <c r="AA12" s="586"/>
      <c r="AB12" s="587"/>
      <c r="AC12" s="587"/>
      <c r="AD12" s="587"/>
      <c r="AE12" s="587"/>
      <c r="AF12" s="587"/>
      <c r="AG12" s="588">
        <f t="shared" si="1"/>
        <v>0</v>
      </c>
    </row>
    <row r="13">
      <c r="A13" s="589" t="s">
        <v>107</v>
      </c>
      <c r="B13" s="27">
        <v>0.0</v>
      </c>
      <c r="C13" s="27">
        <v>57.0</v>
      </c>
      <c r="D13" s="27">
        <v>23.0</v>
      </c>
      <c r="E13" s="27">
        <v>6.0</v>
      </c>
      <c r="F13" s="584">
        <v>0.0</v>
      </c>
      <c r="G13" s="27">
        <v>0.0</v>
      </c>
      <c r="H13" s="27">
        <v>0.0</v>
      </c>
      <c r="I13" s="27">
        <v>0.0</v>
      </c>
      <c r="J13" s="27">
        <v>23.0</v>
      </c>
      <c r="K13" s="27">
        <v>14.0</v>
      </c>
      <c r="L13" s="584">
        <v>5.0</v>
      </c>
      <c r="M13" s="27">
        <v>0.0</v>
      </c>
      <c r="N13" s="27">
        <v>0.0</v>
      </c>
      <c r="O13" s="27">
        <v>19.0</v>
      </c>
      <c r="P13" s="27">
        <v>18.0</v>
      </c>
      <c r="Q13" s="27">
        <v>19.0</v>
      </c>
      <c r="R13" s="27">
        <v>8.0</v>
      </c>
      <c r="S13" s="27">
        <v>0.0</v>
      </c>
      <c r="T13" s="27">
        <v>0.0</v>
      </c>
      <c r="U13" s="27">
        <v>0.0</v>
      </c>
      <c r="V13" s="27">
        <v>0.0</v>
      </c>
      <c r="W13" s="27">
        <v>191.0</v>
      </c>
      <c r="X13" s="27">
        <v>122.0</v>
      </c>
      <c r="Y13" s="27">
        <v>169.0</v>
      </c>
      <c r="Z13" s="27">
        <v>71.0</v>
      </c>
      <c r="AA13" s="27">
        <v>38.0</v>
      </c>
      <c r="AB13" s="27">
        <v>24.0</v>
      </c>
      <c r="AC13" s="27">
        <v>11.0</v>
      </c>
      <c r="AD13" s="27">
        <v>4.0</v>
      </c>
      <c r="AE13" s="27">
        <v>2.0</v>
      </c>
      <c r="AF13" s="27"/>
      <c r="AG13" s="582">
        <f t="shared" si="1"/>
        <v>824</v>
      </c>
    </row>
    <row r="14">
      <c r="A14" s="591" t="s">
        <v>70</v>
      </c>
      <c r="B14" s="592"/>
      <c r="C14" s="592"/>
      <c r="D14" s="592"/>
      <c r="E14" s="593"/>
      <c r="F14" s="593"/>
      <c r="G14" s="593"/>
      <c r="H14" s="593"/>
      <c r="I14" s="593"/>
      <c r="J14" s="593"/>
      <c r="K14" s="593"/>
      <c r="L14" s="593"/>
      <c r="M14" s="593"/>
      <c r="N14" s="593"/>
      <c r="O14" s="593"/>
      <c r="P14" s="593"/>
      <c r="Q14" s="593"/>
      <c r="R14" s="593"/>
      <c r="S14" s="593"/>
      <c r="T14" s="593"/>
      <c r="U14" s="593"/>
      <c r="V14" s="593"/>
      <c r="W14" s="593"/>
      <c r="X14" s="593"/>
      <c r="Y14" s="593"/>
      <c r="Z14" s="593"/>
      <c r="AA14" s="592"/>
      <c r="AB14" s="593"/>
      <c r="AC14" s="593"/>
      <c r="AD14" s="593"/>
      <c r="AE14" s="593"/>
      <c r="AF14" s="587"/>
      <c r="AG14" s="588">
        <f t="shared" si="1"/>
        <v>0</v>
      </c>
    </row>
    <row r="15">
      <c r="A15" s="594" t="s">
        <v>98</v>
      </c>
      <c r="B15" s="44">
        <f t="shared" ref="B15:AF15" si="2">SUM(B5:B14)</f>
        <v>361</v>
      </c>
      <c r="C15" s="44">
        <f t="shared" si="2"/>
        <v>455</v>
      </c>
      <c r="D15" s="44">
        <f t="shared" si="2"/>
        <v>414</v>
      </c>
      <c r="E15" s="44">
        <f t="shared" si="2"/>
        <v>417</v>
      </c>
      <c r="F15" s="44">
        <f t="shared" si="2"/>
        <v>467</v>
      </c>
      <c r="G15" s="44">
        <f t="shared" si="2"/>
        <v>438</v>
      </c>
      <c r="H15" s="44">
        <f t="shared" si="2"/>
        <v>380</v>
      </c>
      <c r="I15" s="44">
        <f t="shared" si="2"/>
        <v>375</v>
      </c>
      <c r="J15" s="44">
        <f t="shared" si="2"/>
        <v>458</v>
      </c>
      <c r="K15" s="44">
        <f t="shared" si="2"/>
        <v>468</v>
      </c>
      <c r="L15" s="44">
        <f t="shared" si="2"/>
        <v>518</v>
      </c>
      <c r="M15" s="44">
        <f t="shared" si="2"/>
        <v>420</v>
      </c>
      <c r="N15" s="44">
        <f t="shared" si="2"/>
        <v>381</v>
      </c>
      <c r="O15" s="44">
        <f t="shared" si="2"/>
        <v>411</v>
      </c>
      <c r="P15" s="44">
        <f t="shared" si="2"/>
        <v>405</v>
      </c>
      <c r="Q15" s="44">
        <f t="shared" si="2"/>
        <v>296</v>
      </c>
      <c r="R15" s="44">
        <f t="shared" si="2"/>
        <v>420</v>
      </c>
      <c r="S15" s="44">
        <f t="shared" si="2"/>
        <v>525</v>
      </c>
      <c r="T15" s="44">
        <f t="shared" si="2"/>
        <v>541</v>
      </c>
      <c r="U15" s="44">
        <f t="shared" si="2"/>
        <v>544</v>
      </c>
      <c r="V15" s="44">
        <f t="shared" si="2"/>
        <v>576</v>
      </c>
      <c r="W15" s="44">
        <f t="shared" si="2"/>
        <v>857</v>
      </c>
      <c r="X15" s="44">
        <f t="shared" si="2"/>
        <v>1109</v>
      </c>
      <c r="Y15" s="44">
        <f t="shared" si="2"/>
        <v>2887</v>
      </c>
      <c r="Z15" s="44">
        <f t="shared" si="2"/>
        <v>861</v>
      </c>
      <c r="AA15" s="44">
        <f t="shared" si="2"/>
        <v>1317</v>
      </c>
      <c r="AB15" s="44">
        <f t="shared" si="2"/>
        <v>1355</v>
      </c>
      <c r="AC15" s="44">
        <f t="shared" si="2"/>
        <v>982</v>
      </c>
      <c r="AD15" s="44">
        <f t="shared" si="2"/>
        <v>204</v>
      </c>
      <c r="AE15" s="44">
        <f t="shared" si="2"/>
        <v>111</v>
      </c>
      <c r="AF15" s="44">
        <f t="shared" si="2"/>
        <v>0</v>
      </c>
      <c r="AG15" s="588">
        <f t="shared" si="1"/>
        <v>18953</v>
      </c>
    </row>
    <row r="16">
      <c r="A16" s="25"/>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82"/>
    </row>
    <row r="17">
      <c r="A17" s="595" t="s">
        <v>105</v>
      </c>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82"/>
    </row>
    <row r="18">
      <c r="A18" s="25" t="s">
        <v>861</v>
      </c>
      <c r="B18" s="596">
        <v>53737.12</v>
      </c>
      <c r="C18" s="64">
        <v>58868.67</v>
      </c>
      <c r="D18" s="64">
        <v>54443.09</v>
      </c>
      <c r="E18" s="64">
        <v>57095.98</v>
      </c>
      <c r="F18" s="64">
        <v>66247.5</v>
      </c>
      <c r="G18" s="64">
        <v>60680.81</v>
      </c>
      <c r="H18" s="64">
        <v>52676.07</v>
      </c>
      <c r="I18" s="64">
        <v>49042.67</v>
      </c>
      <c r="J18" s="64">
        <v>58203.03</v>
      </c>
      <c r="K18" s="64">
        <v>64530.47</v>
      </c>
      <c r="L18" s="64">
        <v>71475.57</v>
      </c>
      <c r="M18" s="64">
        <v>52095.99</v>
      </c>
      <c r="N18" s="64">
        <v>44759.95</v>
      </c>
      <c r="O18" s="64">
        <v>51824.82</v>
      </c>
      <c r="P18" s="64">
        <v>50938.37</v>
      </c>
      <c r="Q18" s="64">
        <v>36463.32</v>
      </c>
      <c r="R18" s="64">
        <v>46372.52</v>
      </c>
      <c r="S18" s="597">
        <v>63501.9</v>
      </c>
      <c r="T18" s="64">
        <v>63235.58</v>
      </c>
      <c r="U18" s="597">
        <v>70368.16</v>
      </c>
      <c r="V18" s="597">
        <v>69511.86</v>
      </c>
      <c r="W18" s="597">
        <v>90662.19</v>
      </c>
      <c r="X18" s="597">
        <v>131219.92</v>
      </c>
      <c r="Y18" s="598">
        <v>349864.1</v>
      </c>
      <c r="Z18" s="598">
        <v>116894.72</v>
      </c>
      <c r="AA18" s="597">
        <v>160780.67</v>
      </c>
      <c r="AB18" s="64">
        <v>236364.51</v>
      </c>
      <c r="AC18" s="64">
        <v>171241.09</v>
      </c>
      <c r="AD18" s="64">
        <v>32747.29</v>
      </c>
      <c r="AE18" s="64">
        <v>22381.96</v>
      </c>
      <c r="AF18" s="64"/>
      <c r="AG18" s="600">
        <f t="shared" ref="AG18:AG26" si="3">SUM(B18:AF18)</f>
        <v>2508229.9</v>
      </c>
    </row>
    <row r="19">
      <c r="A19" s="583" t="s">
        <v>95</v>
      </c>
      <c r="B19" s="596">
        <v>22113.61</v>
      </c>
      <c r="C19" s="64">
        <v>25412.8</v>
      </c>
      <c r="D19" s="64">
        <v>26211.16</v>
      </c>
      <c r="E19" s="73">
        <v>28888.01</v>
      </c>
      <c r="F19" s="73">
        <v>30491.14</v>
      </c>
      <c r="G19" s="64">
        <v>31282.18</v>
      </c>
      <c r="H19" s="64">
        <v>29429.36</v>
      </c>
      <c r="I19" s="64">
        <v>30479.66</v>
      </c>
      <c r="J19" s="64">
        <v>34161.55</v>
      </c>
      <c r="K19" s="64">
        <v>37413.68</v>
      </c>
      <c r="L19" s="73">
        <v>44752.39</v>
      </c>
      <c r="M19" s="64">
        <v>41150.47</v>
      </c>
      <c r="N19" s="64">
        <v>38332.4</v>
      </c>
      <c r="O19" s="64">
        <v>37089.78</v>
      </c>
      <c r="P19" s="64">
        <v>34739.5</v>
      </c>
      <c r="Q19" s="64">
        <v>37054.7</v>
      </c>
      <c r="R19" s="64">
        <v>43210.0</v>
      </c>
      <c r="S19" s="597">
        <v>54179.92</v>
      </c>
      <c r="T19" s="64">
        <v>58007.91</v>
      </c>
      <c r="U19" s="597">
        <v>54214.58</v>
      </c>
      <c r="V19" s="597">
        <v>59061.92</v>
      </c>
      <c r="W19" s="597">
        <v>56769.78</v>
      </c>
      <c r="X19" s="597">
        <v>91590.71</v>
      </c>
      <c r="Y19" s="597">
        <v>258125.54</v>
      </c>
      <c r="Z19" s="597">
        <v>58493.61</v>
      </c>
      <c r="AA19" s="597">
        <v>128747.87</v>
      </c>
      <c r="AB19" s="597">
        <v>61990.18</v>
      </c>
      <c r="AC19" s="597">
        <v>45258.43</v>
      </c>
      <c r="AD19" s="64">
        <v>23139.2</v>
      </c>
      <c r="AE19" s="597">
        <v>7487.07</v>
      </c>
      <c r="AF19" s="597"/>
      <c r="AG19" s="600">
        <f t="shared" si="3"/>
        <v>1529279.11</v>
      </c>
    </row>
    <row r="20">
      <c r="A20" s="25" t="s">
        <v>97</v>
      </c>
      <c r="B20" s="64">
        <v>0.0</v>
      </c>
      <c r="C20" s="64">
        <v>0.0</v>
      </c>
      <c r="D20" s="64">
        <v>0.0</v>
      </c>
      <c r="E20" s="73">
        <v>0.0</v>
      </c>
      <c r="F20" s="64">
        <v>0.0</v>
      </c>
      <c r="G20" s="64">
        <v>0.0</v>
      </c>
      <c r="H20" s="64">
        <v>0.0</v>
      </c>
      <c r="I20" s="64">
        <v>0.0</v>
      </c>
      <c r="J20" s="64">
        <v>0.0</v>
      </c>
      <c r="K20" s="64">
        <v>0.0</v>
      </c>
      <c r="L20" s="64">
        <v>0.0</v>
      </c>
      <c r="M20" s="64">
        <v>0.0</v>
      </c>
      <c r="N20" s="64">
        <v>0.0</v>
      </c>
      <c r="O20" s="64">
        <v>0.0</v>
      </c>
      <c r="P20" s="64">
        <v>0.0</v>
      </c>
      <c r="Q20" s="64">
        <v>0.0</v>
      </c>
      <c r="R20" s="64">
        <v>0.0</v>
      </c>
      <c r="S20" s="64">
        <v>0.0</v>
      </c>
      <c r="T20" s="64">
        <v>0.0</v>
      </c>
      <c r="U20" s="64">
        <v>0.0</v>
      </c>
      <c r="V20" s="64">
        <v>0.0</v>
      </c>
      <c r="W20" s="64">
        <v>0.0</v>
      </c>
      <c r="X20" s="64">
        <v>0.0</v>
      </c>
      <c r="Y20" s="64">
        <v>0.0</v>
      </c>
      <c r="Z20" s="64">
        <v>0.0</v>
      </c>
      <c r="AA20" s="64">
        <v>0.0</v>
      </c>
      <c r="AB20" s="64">
        <v>0.0</v>
      </c>
      <c r="AC20" s="64">
        <v>0.0</v>
      </c>
      <c r="AD20" s="64">
        <v>0.0</v>
      </c>
      <c r="AE20" s="64">
        <v>0.0</v>
      </c>
      <c r="AF20" s="64"/>
      <c r="AG20" s="600">
        <f t="shared" si="3"/>
        <v>0</v>
      </c>
    </row>
    <row r="21">
      <c r="A21" s="120" t="s">
        <v>100</v>
      </c>
      <c r="B21" s="596">
        <v>2507.59</v>
      </c>
      <c r="C21" s="64">
        <v>1942.19</v>
      </c>
      <c r="D21" s="64">
        <v>2386.4</v>
      </c>
      <c r="E21" s="73">
        <v>2490.12</v>
      </c>
      <c r="F21" s="64">
        <v>1828.45</v>
      </c>
      <c r="G21" s="64">
        <v>1536.48</v>
      </c>
      <c r="H21" s="64">
        <v>2697.73</v>
      </c>
      <c r="I21" s="64">
        <v>2878.58</v>
      </c>
      <c r="J21" s="64">
        <v>1449.27</v>
      </c>
      <c r="K21" s="64">
        <v>2761.0</v>
      </c>
      <c r="L21" s="73">
        <v>3765.0</v>
      </c>
      <c r="M21" s="64">
        <v>3398.62</v>
      </c>
      <c r="N21" s="64">
        <v>1984.58</v>
      </c>
      <c r="O21" s="64">
        <v>2586.64</v>
      </c>
      <c r="P21" s="64">
        <v>2691.38</v>
      </c>
      <c r="Q21" s="64">
        <v>1809.67</v>
      </c>
      <c r="R21" s="64">
        <v>3187.77</v>
      </c>
      <c r="S21" s="598">
        <v>1711.09</v>
      </c>
      <c r="T21" s="64">
        <v>4645.0</v>
      </c>
      <c r="U21" s="64">
        <v>2765.98</v>
      </c>
      <c r="V21" s="597">
        <v>1848.67</v>
      </c>
      <c r="W21" s="597">
        <v>2390.33</v>
      </c>
      <c r="X21" s="597">
        <v>2610.83</v>
      </c>
      <c r="Y21" s="597">
        <v>9036.0</v>
      </c>
      <c r="Z21" s="597">
        <v>0.0</v>
      </c>
      <c r="AA21" s="64">
        <v>0.0</v>
      </c>
      <c r="AB21" s="597">
        <v>0.0</v>
      </c>
      <c r="AC21" s="597">
        <v>2600.08</v>
      </c>
      <c r="AD21" s="597">
        <v>1143.47</v>
      </c>
      <c r="AE21" s="597">
        <v>556.25</v>
      </c>
      <c r="AF21" s="597"/>
      <c r="AG21" s="600">
        <f t="shared" si="3"/>
        <v>71209.17</v>
      </c>
    </row>
    <row r="22" ht="17.25" customHeight="1">
      <c r="A22" s="120" t="s">
        <v>863</v>
      </c>
      <c r="B22" s="611"/>
      <c r="C22" s="612"/>
      <c r="D22" s="613"/>
      <c r="E22" s="612"/>
      <c r="F22" s="612"/>
      <c r="G22" s="613"/>
      <c r="H22" s="613"/>
      <c r="I22" s="613"/>
      <c r="J22" s="613"/>
      <c r="K22" s="613"/>
      <c r="L22" s="613"/>
      <c r="M22" s="612"/>
      <c r="N22" s="612"/>
      <c r="O22" s="612"/>
      <c r="P22" s="612"/>
      <c r="Q22" s="612"/>
      <c r="R22" s="612"/>
      <c r="S22" s="612"/>
      <c r="T22" s="612"/>
      <c r="U22" s="612"/>
      <c r="V22" s="612"/>
      <c r="W22" s="612"/>
      <c r="X22" s="612"/>
      <c r="Y22" s="612"/>
      <c r="Z22" s="612"/>
      <c r="AA22" s="612"/>
      <c r="AB22" s="612"/>
      <c r="AC22" s="612"/>
      <c r="AD22" s="612"/>
      <c r="AE22" s="612"/>
      <c r="AF22" s="612"/>
      <c r="AG22" s="600">
        <f t="shared" si="3"/>
        <v>0</v>
      </c>
    </row>
    <row r="23">
      <c r="A23" s="583" t="s">
        <v>104</v>
      </c>
      <c r="B23" s="598">
        <v>813.55</v>
      </c>
      <c r="C23" s="598">
        <v>244.0</v>
      </c>
      <c r="D23" s="598">
        <v>0.0</v>
      </c>
      <c r="E23" s="598">
        <v>578.65</v>
      </c>
      <c r="F23" s="598">
        <v>606.54</v>
      </c>
      <c r="G23" s="598">
        <v>315.46</v>
      </c>
      <c r="H23" s="598">
        <v>433.0</v>
      </c>
      <c r="I23" s="598">
        <v>0.0</v>
      </c>
      <c r="J23" s="598">
        <v>0.0</v>
      </c>
      <c r="K23" s="598">
        <v>445.76</v>
      </c>
      <c r="L23" s="598">
        <v>0.0</v>
      </c>
      <c r="M23" s="598">
        <v>1624.44</v>
      </c>
      <c r="N23" s="598">
        <v>438.73</v>
      </c>
      <c r="O23" s="598">
        <v>503.23</v>
      </c>
      <c r="P23" s="598">
        <v>276.37</v>
      </c>
      <c r="Q23" s="64">
        <v>0.0</v>
      </c>
      <c r="R23" s="598">
        <v>526.56</v>
      </c>
      <c r="S23" s="64">
        <v>0.0</v>
      </c>
      <c r="T23" s="598">
        <v>0.0</v>
      </c>
      <c r="U23" s="598">
        <v>0.0</v>
      </c>
      <c r="V23" s="598">
        <v>161.91</v>
      </c>
      <c r="W23" s="598">
        <v>476.0</v>
      </c>
      <c r="X23" s="598">
        <v>1214.94</v>
      </c>
      <c r="Y23" s="598">
        <v>472.95</v>
      </c>
      <c r="Z23" s="598">
        <v>615.78</v>
      </c>
      <c r="AA23" s="598">
        <v>469.78</v>
      </c>
      <c r="AB23" s="598">
        <v>2370.19</v>
      </c>
      <c r="AC23" s="598">
        <v>1830.85</v>
      </c>
      <c r="AD23" s="598">
        <v>343.0</v>
      </c>
      <c r="AE23" s="598">
        <v>68.0</v>
      </c>
      <c r="AF23" s="598"/>
      <c r="AG23" s="600">
        <f t="shared" si="3"/>
        <v>14829.69</v>
      </c>
    </row>
    <row r="24">
      <c r="A24" s="25" t="s">
        <v>864</v>
      </c>
      <c r="B24" s="614"/>
      <c r="C24" s="614"/>
      <c r="D24" s="614"/>
      <c r="E24" s="615"/>
      <c r="F24" s="615"/>
      <c r="G24" s="615"/>
      <c r="H24" s="615"/>
      <c r="I24" s="615"/>
      <c r="J24" s="615"/>
      <c r="K24" s="615"/>
      <c r="L24" s="615"/>
      <c r="M24" s="615"/>
      <c r="N24" s="615"/>
      <c r="O24" s="615"/>
      <c r="P24" s="615"/>
      <c r="Q24" s="615"/>
      <c r="R24" s="615"/>
      <c r="S24" s="615"/>
      <c r="T24" s="615"/>
      <c r="U24" s="615"/>
      <c r="V24" s="615"/>
      <c r="W24" s="615"/>
      <c r="X24" s="615"/>
      <c r="Y24" s="615"/>
      <c r="Z24" s="615"/>
      <c r="AA24" s="615"/>
      <c r="AB24" s="615"/>
      <c r="AC24" s="615"/>
      <c r="AD24" s="615"/>
      <c r="AE24" s="615"/>
      <c r="AF24" s="615"/>
      <c r="AG24" s="600">
        <f t="shared" si="3"/>
        <v>0</v>
      </c>
    </row>
    <row r="25">
      <c r="A25" s="25" t="s">
        <v>865</v>
      </c>
      <c r="B25" s="616"/>
      <c r="C25" s="616"/>
      <c r="D25" s="616"/>
      <c r="E25" s="617"/>
      <c r="F25" s="617"/>
      <c r="G25" s="617"/>
      <c r="H25" s="617"/>
      <c r="I25" s="617"/>
      <c r="J25" s="616"/>
      <c r="K25" s="617"/>
      <c r="L25" s="617"/>
      <c r="M25" s="617"/>
      <c r="N25" s="617"/>
      <c r="O25" s="617"/>
      <c r="P25" s="617"/>
      <c r="Q25" s="617"/>
      <c r="R25" s="617"/>
      <c r="S25" s="617"/>
      <c r="T25" s="617"/>
      <c r="U25" s="617"/>
      <c r="V25" s="617"/>
      <c r="W25" s="617"/>
      <c r="X25" s="617"/>
      <c r="Y25" s="617"/>
      <c r="Z25" s="617"/>
      <c r="AA25" s="617"/>
      <c r="AB25" s="617"/>
      <c r="AC25" s="617"/>
      <c r="AD25" s="617"/>
      <c r="AE25" s="617"/>
      <c r="AF25" s="617"/>
      <c r="AG25" s="201">
        <f t="shared" si="3"/>
        <v>0</v>
      </c>
    </row>
    <row r="26">
      <c r="A26" s="583" t="s">
        <v>107</v>
      </c>
      <c r="B26" s="64">
        <v>0.0</v>
      </c>
      <c r="C26" s="64">
        <v>3667.35</v>
      </c>
      <c r="D26" s="598">
        <v>1510.38</v>
      </c>
      <c r="E26" s="64">
        <v>559.68</v>
      </c>
      <c r="F26" s="73">
        <v>0.0</v>
      </c>
      <c r="G26" s="64">
        <v>0.0</v>
      </c>
      <c r="H26" s="64">
        <v>0.0</v>
      </c>
      <c r="I26" s="64">
        <v>0.0</v>
      </c>
      <c r="J26" s="64">
        <v>3069.32</v>
      </c>
      <c r="K26" s="64">
        <v>1285.84</v>
      </c>
      <c r="L26" s="73">
        <v>1164.2</v>
      </c>
      <c r="M26" s="64">
        <v>0.0</v>
      </c>
      <c r="N26" s="64">
        <v>0.0</v>
      </c>
      <c r="O26" s="598">
        <v>2842.65</v>
      </c>
      <c r="P26" s="618">
        <v>1750.29</v>
      </c>
      <c r="Q26" s="618">
        <v>1606.27</v>
      </c>
      <c r="R26" s="64">
        <v>312.69</v>
      </c>
      <c r="S26" s="598">
        <v>0.0</v>
      </c>
      <c r="T26" s="619">
        <v>0.0</v>
      </c>
      <c r="U26" s="618">
        <v>0.0</v>
      </c>
      <c r="V26" s="618">
        <v>0.0</v>
      </c>
      <c r="W26" s="618">
        <v>43912.02</v>
      </c>
      <c r="X26" s="618">
        <v>28303.35</v>
      </c>
      <c r="Y26" s="618">
        <v>40391.88</v>
      </c>
      <c r="Z26" s="618">
        <v>15727.28</v>
      </c>
      <c r="AA26" s="618">
        <v>8244.38</v>
      </c>
      <c r="AB26" s="618">
        <v>4591.92</v>
      </c>
      <c r="AC26" s="618">
        <v>2453.14</v>
      </c>
      <c r="AD26" s="618">
        <v>793.51</v>
      </c>
      <c r="AE26" s="618">
        <v>159.73</v>
      </c>
      <c r="AF26" s="618"/>
      <c r="AG26" s="122">
        <f t="shared" si="3"/>
        <v>162345.88</v>
      </c>
    </row>
    <row r="27">
      <c r="A27" s="583" t="s">
        <v>70</v>
      </c>
      <c r="B27" s="620"/>
      <c r="C27" s="621"/>
      <c r="D27" s="621"/>
      <c r="E27" s="621"/>
      <c r="F27" s="621"/>
      <c r="G27" s="621"/>
      <c r="H27" s="621"/>
      <c r="I27" s="621"/>
      <c r="J27" s="621"/>
      <c r="K27" s="621"/>
      <c r="L27" s="621"/>
      <c r="M27" s="621"/>
      <c r="N27" s="621"/>
      <c r="O27" s="621"/>
      <c r="P27" s="621"/>
      <c r="Q27" s="621"/>
      <c r="R27" s="621"/>
      <c r="S27" s="621"/>
      <c r="T27" s="621"/>
      <c r="U27" s="621"/>
      <c r="V27" s="621"/>
      <c r="W27" s="621"/>
      <c r="X27" s="621"/>
      <c r="Y27" s="621"/>
      <c r="Z27" s="621"/>
      <c r="AA27" s="621"/>
      <c r="AB27" s="621"/>
      <c r="AC27" s="621"/>
      <c r="AD27" s="621"/>
      <c r="AE27" s="621"/>
      <c r="AF27" s="617"/>
      <c r="AG27" s="582"/>
    </row>
    <row r="28">
      <c r="A28" s="594" t="s">
        <v>98</v>
      </c>
      <c r="B28" s="60">
        <f t="shared" ref="B28:AF28" si="4">SUM(B18:B27)</f>
        <v>79171.87</v>
      </c>
      <c r="C28" s="60">
        <f t="shared" si="4"/>
        <v>90135.01</v>
      </c>
      <c r="D28" s="60">
        <f t="shared" si="4"/>
        <v>84551.03</v>
      </c>
      <c r="E28" s="60">
        <f t="shared" si="4"/>
        <v>89612.44</v>
      </c>
      <c r="F28" s="60">
        <f t="shared" si="4"/>
        <v>99173.63</v>
      </c>
      <c r="G28" s="60">
        <f t="shared" si="4"/>
        <v>93814.93</v>
      </c>
      <c r="H28" s="60">
        <f t="shared" si="4"/>
        <v>85236.16</v>
      </c>
      <c r="I28" s="60">
        <f t="shared" si="4"/>
        <v>82400.91</v>
      </c>
      <c r="J28" s="60">
        <f t="shared" si="4"/>
        <v>96883.17</v>
      </c>
      <c r="K28" s="60">
        <f t="shared" si="4"/>
        <v>106436.75</v>
      </c>
      <c r="L28" s="60">
        <f t="shared" si="4"/>
        <v>121157.16</v>
      </c>
      <c r="M28" s="60">
        <f t="shared" si="4"/>
        <v>98269.52</v>
      </c>
      <c r="N28" s="60">
        <f t="shared" si="4"/>
        <v>85515.66</v>
      </c>
      <c r="O28" s="60">
        <f t="shared" si="4"/>
        <v>94847.12</v>
      </c>
      <c r="P28" s="60">
        <f t="shared" si="4"/>
        <v>90395.91</v>
      </c>
      <c r="Q28" s="60">
        <f t="shared" si="4"/>
        <v>76933.96</v>
      </c>
      <c r="R28" s="60">
        <f t="shared" si="4"/>
        <v>93609.54</v>
      </c>
      <c r="S28" s="60">
        <f t="shared" si="4"/>
        <v>119392.91</v>
      </c>
      <c r="T28" s="60">
        <f t="shared" si="4"/>
        <v>125888.49</v>
      </c>
      <c r="U28" s="60">
        <f t="shared" si="4"/>
        <v>127348.72</v>
      </c>
      <c r="V28" s="60">
        <f t="shared" si="4"/>
        <v>130584.36</v>
      </c>
      <c r="W28" s="60">
        <f t="shared" si="4"/>
        <v>194210.32</v>
      </c>
      <c r="X28" s="60">
        <f t="shared" si="4"/>
        <v>254939.75</v>
      </c>
      <c r="Y28" s="60">
        <f t="shared" si="4"/>
        <v>657890.47</v>
      </c>
      <c r="Z28" s="60">
        <f t="shared" si="4"/>
        <v>191731.39</v>
      </c>
      <c r="AA28" s="60">
        <f t="shared" si="4"/>
        <v>298242.7</v>
      </c>
      <c r="AB28" s="60">
        <f t="shared" si="4"/>
        <v>305316.8</v>
      </c>
      <c r="AC28" s="60">
        <f t="shared" si="4"/>
        <v>223383.59</v>
      </c>
      <c r="AD28" s="60">
        <f t="shared" si="4"/>
        <v>58166.47</v>
      </c>
      <c r="AE28" s="60">
        <f t="shared" si="4"/>
        <v>30653.01</v>
      </c>
      <c r="AF28" s="60">
        <f t="shared" si="4"/>
        <v>0</v>
      </c>
      <c r="AG28" s="623">
        <f>SUM(B28:AF28)</f>
        <v>4285893.75</v>
      </c>
    </row>
    <row r="29">
      <c r="A29" s="25"/>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82"/>
    </row>
    <row r="30">
      <c r="A30" s="625" t="s">
        <v>111</v>
      </c>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82"/>
    </row>
    <row r="31">
      <c r="A31" s="25" t="s">
        <v>867</v>
      </c>
      <c r="B31" s="626">
        <f>'Sales OLD'!B60</f>
        <v>32270.8</v>
      </c>
      <c r="C31" s="626">
        <f>'Sales OLD'!C60</f>
        <v>29009.15</v>
      </c>
      <c r="D31" s="626">
        <f>'Sales OLD'!D60</f>
        <v>31375.99</v>
      </c>
      <c r="E31" s="626">
        <f>'Sales OLD'!E60</f>
        <v>28062.23</v>
      </c>
      <c r="F31" s="626">
        <f>'Sales OLD'!F60</f>
        <v>28128.86</v>
      </c>
      <c r="G31" s="626">
        <f>'Sales OLD'!G60</f>
        <v>29578.13</v>
      </c>
      <c r="H31" s="626">
        <f>'Sales OLD'!H60</f>
        <v>25668.44</v>
      </c>
      <c r="I31" s="626">
        <f>'Sales OLD'!I60</f>
        <v>32604.58</v>
      </c>
      <c r="J31" s="626">
        <f>'Sales OLD'!J60</f>
        <v>38104.59</v>
      </c>
      <c r="K31" s="626">
        <f>'Sales OLD'!K60</f>
        <v>34229.39</v>
      </c>
      <c r="L31" s="626">
        <f>'Sales OLD'!L60</f>
        <v>26717.46</v>
      </c>
      <c r="M31" s="626">
        <f>'Sales OLD'!M60</f>
        <v>29868</v>
      </c>
      <c r="N31" s="626">
        <f>'Sales OLD'!N60</f>
        <v>26716.5</v>
      </c>
      <c r="O31" s="626">
        <f>'Sales OLD'!O60</f>
        <v>27787.46</v>
      </c>
      <c r="P31" s="626">
        <f>'Sales OLD'!P60</f>
        <v>30344.21</v>
      </c>
      <c r="Q31" s="626">
        <f>'Sales OLD'!Q60</f>
        <v>28152.45</v>
      </c>
      <c r="R31" s="626">
        <f>'Sales OLD'!R60</f>
        <v>23954.07</v>
      </c>
      <c r="S31" s="626">
        <f>'Sales OLD'!S60</f>
        <v>26180.79</v>
      </c>
      <c r="T31" s="626">
        <f>'Sales OLD'!T60</f>
        <v>30123.57</v>
      </c>
      <c r="U31" s="626">
        <f>'Sales OLD'!U60</f>
        <v>34139.05</v>
      </c>
      <c r="V31" s="626">
        <f>'Sales OLD'!V60</f>
        <v>37577.71</v>
      </c>
      <c r="W31" s="626">
        <f>'Sales OLD'!W60</f>
        <v>45135.93</v>
      </c>
      <c r="X31" s="626">
        <f>'Sales OLD'!X60</f>
        <v>82938.07</v>
      </c>
      <c r="Y31" s="626">
        <f>'Sales OLD'!Y60</f>
        <v>156667.96</v>
      </c>
      <c r="Z31" s="626">
        <f>'Sales OLD'!Z60</f>
        <v>93782.33</v>
      </c>
      <c r="AA31" s="626">
        <f>'Sales OLD'!AA60</f>
        <v>91456.91</v>
      </c>
      <c r="AB31" s="626">
        <f>'Sales OLD'!AB60</f>
        <v>112718.4</v>
      </c>
      <c r="AC31" s="626">
        <f>'Sales OLD'!AC60</f>
        <v>83839.03</v>
      </c>
      <c r="AD31" s="626">
        <f>'Sales OLD'!AD60</f>
        <v>29510.93</v>
      </c>
      <c r="AE31" s="626">
        <f>'Sales OLD'!AE60</f>
        <v>13568.62</v>
      </c>
      <c r="AF31" s="626"/>
      <c r="AG31" s="623">
        <f t="shared" ref="AG31:AG42" si="5">SUM(B31:AF31)</f>
        <v>1340211.61</v>
      </c>
    </row>
    <row r="32">
      <c r="A32" s="583" t="s">
        <v>222</v>
      </c>
      <c r="B32" s="626">
        <f>'Sales OLD'!B61</f>
        <v>4639.67</v>
      </c>
      <c r="C32" s="626">
        <f>'Sales OLD'!C61</f>
        <v>5334.54</v>
      </c>
      <c r="D32" s="626">
        <f>'Sales OLD'!D61</f>
        <v>6029.34</v>
      </c>
      <c r="E32" s="626">
        <f>'Sales OLD'!E61</f>
        <v>6892.12</v>
      </c>
      <c r="F32" s="626">
        <f>'Sales OLD'!F61</f>
        <v>8838.16</v>
      </c>
      <c r="G32" s="626">
        <f>'Sales OLD'!G61</f>
        <v>8605.53</v>
      </c>
      <c r="H32" s="626">
        <f>'Sales OLD'!H61</f>
        <v>7927.51</v>
      </c>
      <c r="I32" s="626">
        <f>'Sales OLD'!I61</f>
        <v>8939.45</v>
      </c>
      <c r="J32" s="626">
        <f>'Sales OLD'!J61</f>
        <v>10382.86</v>
      </c>
      <c r="K32" s="626">
        <f>'Sales OLD'!K61</f>
        <v>10981.67</v>
      </c>
      <c r="L32" s="626">
        <f>'Sales OLD'!L61</f>
        <v>9974.6</v>
      </c>
      <c r="M32" s="626">
        <f>'Sales OLD'!M61</f>
        <v>7719.21</v>
      </c>
      <c r="N32" s="626">
        <f>'Sales OLD'!N61</f>
        <v>8342.67</v>
      </c>
      <c r="O32" s="626">
        <f>'Sales OLD'!O61</f>
        <v>7518.8</v>
      </c>
      <c r="P32" s="626">
        <f>'Sales OLD'!P61</f>
        <v>7390.24</v>
      </c>
      <c r="Q32" s="626">
        <f>'Sales OLD'!Q61</f>
        <v>8231.77</v>
      </c>
      <c r="R32" s="626">
        <f>'Sales OLD'!R61</f>
        <v>9100.99</v>
      </c>
      <c r="S32" s="626">
        <f>'Sales OLD'!S61</f>
        <v>9403.53</v>
      </c>
      <c r="T32" s="626">
        <f>'Sales OLD'!T61</f>
        <v>10517.85</v>
      </c>
      <c r="U32" s="626">
        <f>'Sales OLD'!U61</f>
        <v>10191.41</v>
      </c>
      <c r="V32" s="626">
        <f>'Sales OLD'!V61</f>
        <v>10645.43</v>
      </c>
      <c r="W32" s="626">
        <f>'Sales OLD'!W61</f>
        <v>9890.32</v>
      </c>
      <c r="X32" s="626">
        <f>'Sales OLD'!X61</f>
        <v>16381.42</v>
      </c>
      <c r="Y32" s="626">
        <f>'Sales OLD'!Y61</f>
        <v>21374.36</v>
      </c>
      <c r="Z32" s="626">
        <f>'Sales OLD'!Z61</f>
        <v>19571.66</v>
      </c>
      <c r="AA32" s="626">
        <f>'Sales OLD'!AA61</f>
        <v>17193.4</v>
      </c>
      <c r="AB32" s="626">
        <f>'Sales OLD'!AB61</f>
        <v>18114.09</v>
      </c>
      <c r="AC32" s="626">
        <f>'Sales OLD'!AC61</f>
        <v>16152.42</v>
      </c>
      <c r="AD32" s="626">
        <f>'Sales OLD'!AD61</f>
        <v>7994.65</v>
      </c>
      <c r="AE32" s="626">
        <f>'Sales OLD'!AE61</f>
        <v>5438.57</v>
      </c>
      <c r="AF32" s="626"/>
      <c r="AG32" s="623">
        <f t="shared" si="5"/>
        <v>309718.24</v>
      </c>
    </row>
    <row r="33">
      <c r="A33" s="25" t="s">
        <v>226</v>
      </c>
      <c r="B33" s="626">
        <f>'Sales OLD'!B63</f>
        <v>0</v>
      </c>
      <c r="C33" s="626">
        <f>'Sales OLD'!C63</f>
        <v>0</v>
      </c>
      <c r="D33" s="626">
        <f>'Sales OLD'!D63</f>
        <v>0</v>
      </c>
      <c r="E33" s="626">
        <f>'Sales OLD'!E63</f>
        <v>0</v>
      </c>
      <c r="F33" s="626">
        <f>'Sales OLD'!F63</f>
        <v>0</v>
      </c>
      <c r="G33" s="626">
        <f>'Sales OLD'!G63</f>
        <v>0</v>
      </c>
      <c r="H33" s="626">
        <f>'Sales OLD'!H63</f>
        <v>0</v>
      </c>
      <c r="I33" s="626">
        <f>'Sales OLD'!I63</f>
        <v>0</v>
      </c>
      <c r="J33" s="626">
        <f>'Sales OLD'!J63</f>
        <v>0</v>
      </c>
      <c r="K33" s="626">
        <f>'Sales OLD'!K63</f>
        <v>0</v>
      </c>
      <c r="L33" s="626">
        <f>'Sales OLD'!L63</f>
        <v>0</v>
      </c>
      <c r="M33" s="626">
        <f>'Sales OLD'!M63</f>
        <v>0</v>
      </c>
      <c r="N33" s="626">
        <f>'Sales OLD'!N63</f>
        <v>0</v>
      </c>
      <c r="O33" s="626">
        <f>'Sales OLD'!O63</f>
        <v>0</v>
      </c>
      <c r="P33" s="626">
        <f>'Sales OLD'!P64</f>
        <v>6588.6</v>
      </c>
      <c r="Q33" s="626">
        <f>'Sales OLD'!Q63</f>
        <v>400.43</v>
      </c>
      <c r="R33" s="626">
        <f>'Sales OLD'!R63</f>
        <v>189.07</v>
      </c>
      <c r="S33" s="626">
        <f>'Sales OLD'!S63</f>
        <v>0</v>
      </c>
      <c r="T33" s="626">
        <f>'Sales OLD'!T63</f>
        <v>0</v>
      </c>
      <c r="U33" s="626">
        <f>'Sales OLD'!U63</f>
        <v>0</v>
      </c>
      <c r="V33" s="626">
        <f>'Sales OLD'!V63</f>
        <v>0</v>
      </c>
      <c r="W33" s="626">
        <f>'Sales OLD'!W63</f>
        <v>0</v>
      </c>
      <c r="X33" s="626">
        <f>'Sales OLD'!X63</f>
        <v>0</v>
      </c>
      <c r="Y33" s="626">
        <f>'Sales OLD'!Y63</f>
        <v>0</v>
      </c>
      <c r="Z33" s="626">
        <f>'Sales OLD'!Z63</f>
        <v>0</v>
      </c>
      <c r="AA33" s="626">
        <f>'Sales OLD'!AA63</f>
        <v>0</v>
      </c>
      <c r="AB33" s="626">
        <f>'Sales OLD'!AB63</f>
        <v>0</v>
      </c>
      <c r="AC33" s="626">
        <f>'Sales OLD'!AC63</f>
        <v>0</v>
      </c>
      <c r="AD33" s="626">
        <f>'Sales OLD'!AD63</f>
        <v>0</v>
      </c>
      <c r="AE33" s="626">
        <f>'Sales OLD'!AE63</f>
        <v>0</v>
      </c>
      <c r="AF33" s="626"/>
      <c r="AG33" s="623">
        <f t="shared" si="5"/>
        <v>7178.1</v>
      </c>
    </row>
    <row r="34">
      <c r="A34" s="583" t="s">
        <v>224</v>
      </c>
      <c r="B34" s="626">
        <f>'Sales OLD'!B62</f>
        <v>222.16</v>
      </c>
      <c r="C34" s="626">
        <f>'Sales OLD'!C62</f>
        <v>254.7</v>
      </c>
      <c r="D34" s="626">
        <f>'Sales OLD'!D62</f>
        <v>277.25</v>
      </c>
      <c r="E34" s="626">
        <f>'Sales OLD'!E62</f>
        <v>309.46</v>
      </c>
      <c r="F34" s="626">
        <f>'Sales OLD'!F62</f>
        <v>253.45</v>
      </c>
      <c r="G34" s="626">
        <f>'Sales OLD'!G62</f>
        <v>398.68</v>
      </c>
      <c r="H34" s="626">
        <f>'Sales OLD'!H62</f>
        <v>376.76</v>
      </c>
      <c r="I34" s="626">
        <f>'Sales OLD'!I62</f>
        <v>415.9</v>
      </c>
      <c r="J34" s="626">
        <f>'Sales OLD'!J62</f>
        <v>424.32</v>
      </c>
      <c r="K34" s="626">
        <f>'Sales OLD'!K62</f>
        <v>415.8</v>
      </c>
      <c r="L34" s="626">
        <f>'Sales OLD'!L62</f>
        <v>349.18</v>
      </c>
      <c r="M34" s="626">
        <f>'Sales OLD'!M62</f>
        <v>382.43</v>
      </c>
      <c r="N34" s="626">
        <f>'Sales OLD'!N62</f>
        <v>360.89</v>
      </c>
      <c r="O34" s="626">
        <f>'Sales OLD'!O62</f>
        <v>422.46</v>
      </c>
      <c r="P34" s="626">
        <f>'Sales OLD'!P62</f>
        <v>427.45</v>
      </c>
      <c r="Q34" s="626">
        <f>'Sales OLD'!Q62</f>
        <v>433.39</v>
      </c>
      <c r="R34" s="626">
        <f>'Sales OLD'!R62</f>
        <v>432.25</v>
      </c>
      <c r="S34" s="626">
        <f>'Sales OLD'!S62</f>
        <v>354.98</v>
      </c>
      <c r="T34" s="626">
        <f>'Sales OLD'!T62</f>
        <v>428.39</v>
      </c>
      <c r="U34" s="626">
        <f>'Sales OLD'!U62</f>
        <v>429.17</v>
      </c>
      <c r="V34" s="626">
        <f>'Sales OLD'!V62</f>
        <v>430.31</v>
      </c>
      <c r="W34" s="626">
        <f>'Sales OLD'!W62</f>
        <v>430.8</v>
      </c>
      <c r="X34" s="626">
        <f>'Sales OLD'!X62</f>
        <v>465.28</v>
      </c>
      <c r="Y34" s="626">
        <f>'Sales OLD'!Y62</f>
        <v>578.08</v>
      </c>
      <c r="Z34" s="626">
        <f>'Sales OLD'!Z62</f>
        <v>467.09</v>
      </c>
      <c r="AA34" s="626">
        <f>'Sales OLD'!AA62</f>
        <v>602.67</v>
      </c>
      <c r="AB34" s="626">
        <f>'Sales OLD'!AB62</f>
        <v>633.77</v>
      </c>
      <c r="AC34" s="626">
        <f>'Sales OLD'!AC62</f>
        <v>352.82</v>
      </c>
      <c r="AD34" s="626">
        <f>'Sales OLD'!AD62</f>
        <v>508.16</v>
      </c>
      <c r="AE34" s="626">
        <f>'Sales OLD'!AE62</f>
        <v>349.07</v>
      </c>
      <c r="AF34" s="626"/>
      <c r="AG34" s="623">
        <f t="shared" si="5"/>
        <v>12187.12</v>
      </c>
    </row>
    <row r="35">
      <c r="A35" s="583" t="s">
        <v>863</v>
      </c>
      <c r="B35" s="629">
        <f>'Sales OLD'!B64</f>
        <v>3342.22</v>
      </c>
      <c r="C35" s="629">
        <f>'Sales OLD'!C64</f>
        <v>3305.62</v>
      </c>
      <c r="D35" s="629">
        <f>'Sales OLD'!D64</f>
        <v>3219.49</v>
      </c>
      <c r="E35" s="629">
        <f>'Sales OLD'!E64</f>
        <v>4981.96</v>
      </c>
      <c r="F35" s="629">
        <f>'Sales OLD'!F64</f>
        <v>5362.92</v>
      </c>
      <c r="G35" s="629">
        <f>'Sales OLD'!G64</f>
        <v>4001.06</v>
      </c>
      <c r="H35" s="629">
        <f>'Sales OLD'!H64</f>
        <v>4013.79</v>
      </c>
      <c r="I35" s="629">
        <f>'Sales OLD'!I64</f>
        <v>2780.51</v>
      </c>
      <c r="J35" s="629">
        <f>'Sales OLD'!J64</f>
        <v>4409.21</v>
      </c>
      <c r="K35" s="629">
        <f>'Sales OLD'!K64</f>
        <v>4932.36</v>
      </c>
      <c r="L35" s="629">
        <f>'Sales OLD'!L64</f>
        <v>6103.31</v>
      </c>
      <c r="M35" s="629">
        <f>'Sales OLD'!M64</f>
        <v>7253.93</v>
      </c>
      <c r="N35" s="629">
        <f>'Sales OLD'!N64</f>
        <v>7237.54</v>
      </c>
      <c r="O35" s="629">
        <f>'Sales OLD'!O64</f>
        <v>6127.83</v>
      </c>
      <c r="P35" s="629"/>
      <c r="Q35" s="629">
        <f>'Sales OLD'!Q64</f>
        <v>8982.55</v>
      </c>
      <c r="R35" s="629">
        <f>'Sales OLD'!R64</f>
        <v>9392.78</v>
      </c>
      <c r="S35" s="629">
        <f>'Sales OLD'!S64</f>
        <v>11591.44</v>
      </c>
      <c r="T35" s="629">
        <f>'Sales OLD'!T64</f>
        <v>11126.7</v>
      </c>
      <c r="U35" s="629">
        <f>'Sales OLD'!U64</f>
        <v>17467.27</v>
      </c>
      <c r="V35" s="629">
        <f>'Sales OLD'!V64</f>
        <v>19867.53</v>
      </c>
      <c r="W35" s="629">
        <f>'Sales OLD'!W64</f>
        <v>22792.98</v>
      </c>
      <c r="X35" s="629">
        <f>'Sales OLD'!X64</f>
        <v>28816.4</v>
      </c>
      <c r="Y35" s="629">
        <f>'Sales OLD'!Y64</f>
        <v>64502.73</v>
      </c>
      <c r="Z35" s="629">
        <f>'Sales OLD'!Z64</f>
        <v>37752.85</v>
      </c>
      <c r="AA35" s="629">
        <f>'Sales OLD'!AA64</f>
        <v>37544.76</v>
      </c>
      <c r="AB35" s="629">
        <f>'Sales OLD'!AB64</f>
        <v>3627.98</v>
      </c>
      <c r="AC35" s="629">
        <f>'Sales OLD'!AC64</f>
        <v>0</v>
      </c>
      <c r="AD35" s="629">
        <f>'Sales OLD'!AD64</f>
        <v>0</v>
      </c>
      <c r="AE35" s="629">
        <f>'Sales OLD'!AE64</f>
        <v>433.94</v>
      </c>
      <c r="AF35" s="629"/>
      <c r="AG35" s="623">
        <f t="shared" si="5"/>
        <v>340971.66</v>
      </c>
    </row>
    <row r="36">
      <c r="A36" s="583" t="s">
        <v>870</v>
      </c>
      <c r="B36" s="630">
        <f t="shared" ref="B36:S36" si="6">B22*0.15</f>
        <v>0</v>
      </c>
      <c r="C36" s="630">
        <f t="shared" si="6"/>
        <v>0</v>
      </c>
      <c r="D36" s="630">
        <f t="shared" si="6"/>
        <v>0</v>
      </c>
      <c r="E36" s="630">
        <f t="shared" si="6"/>
        <v>0</v>
      </c>
      <c r="F36" s="630">
        <f t="shared" si="6"/>
        <v>0</v>
      </c>
      <c r="G36" s="630">
        <f t="shared" si="6"/>
        <v>0</v>
      </c>
      <c r="H36" s="630">
        <f t="shared" si="6"/>
        <v>0</v>
      </c>
      <c r="I36" s="630">
        <f t="shared" si="6"/>
        <v>0</v>
      </c>
      <c r="J36" s="630">
        <f t="shared" si="6"/>
        <v>0</v>
      </c>
      <c r="K36" s="630">
        <f t="shared" si="6"/>
        <v>0</v>
      </c>
      <c r="L36" s="630">
        <f t="shared" si="6"/>
        <v>0</v>
      </c>
      <c r="M36" s="630">
        <f t="shared" si="6"/>
        <v>0</v>
      </c>
      <c r="N36" s="630">
        <f t="shared" si="6"/>
        <v>0</v>
      </c>
      <c r="O36" s="630">
        <f t="shared" si="6"/>
        <v>0</v>
      </c>
      <c r="P36" s="630">
        <f t="shared" si="6"/>
        <v>0</v>
      </c>
      <c r="Q36" s="630">
        <f t="shared" si="6"/>
        <v>0</v>
      </c>
      <c r="R36" s="630">
        <f t="shared" si="6"/>
        <v>0</v>
      </c>
      <c r="S36" s="630">
        <f t="shared" si="6"/>
        <v>0</v>
      </c>
      <c r="T36" s="630"/>
      <c r="U36" s="630">
        <f t="shared" ref="U36:AC36" si="7">U22*0.15</f>
        <v>0</v>
      </c>
      <c r="V36" s="630">
        <f t="shared" si="7"/>
        <v>0</v>
      </c>
      <c r="W36" s="630">
        <f t="shared" si="7"/>
        <v>0</v>
      </c>
      <c r="X36" s="630">
        <f t="shared" si="7"/>
        <v>0</v>
      </c>
      <c r="Y36" s="630">
        <f t="shared" si="7"/>
        <v>0</v>
      </c>
      <c r="Z36" s="630">
        <f t="shared" si="7"/>
        <v>0</v>
      </c>
      <c r="AA36" s="630">
        <f t="shared" si="7"/>
        <v>0</v>
      </c>
      <c r="AB36" s="630">
        <f t="shared" si="7"/>
        <v>0</v>
      </c>
      <c r="AC36" s="630">
        <f t="shared" si="7"/>
        <v>0</v>
      </c>
      <c r="AD36" s="630"/>
      <c r="AE36" s="630"/>
      <c r="AF36" s="630"/>
      <c r="AG36" s="623">
        <f t="shared" si="5"/>
        <v>0</v>
      </c>
    </row>
    <row r="37">
      <c r="A37" s="583" t="s">
        <v>872</v>
      </c>
      <c r="B37" s="629"/>
      <c r="C37" s="629"/>
      <c r="D37" s="629"/>
      <c r="E37" s="629"/>
      <c r="F37" s="629"/>
      <c r="G37" s="629"/>
      <c r="H37" s="629"/>
      <c r="I37" s="629"/>
      <c r="J37" s="629"/>
      <c r="K37" s="629"/>
      <c r="L37" s="629"/>
      <c r="M37" s="629"/>
      <c r="N37" s="629"/>
      <c r="O37" s="629"/>
      <c r="P37" s="629"/>
      <c r="Q37" s="629"/>
      <c r="R37" s="629"/>
      <c r="S37" s="629"/>
      <c r="T37" s="629"/>
      <c r="U37" s="629"/>
      <c r="V37" s="629"/>
      <c r="W37" s="629"/>
      <c r="X37" s="629"/>
      <c r="Y37" s="629"/>
      <c r="Z37" s="629"/>
      <c r="AA37" s="629"/>
      <c r="AB37" s="629"/>
      <c r="AC37" s="629"/>
      <c r="AD37" s="629"/>
      <c r="AE37" s="629"/>
      <c r="AF37" s="629"/>
      <c r="AG37" s="623">
        <f t="shared" si="5"/>
        <v>0</v>
      </c>
    </row>
    <row r="38">
      <c r="A38" s="633" t="s">
        <v>873</v>
      </c>
      <c r="B38" s="634"/>
      <c r="C38" s="629"/>
      <c r="D38" s="629"/>
      <c r="E38" s="629"/>
      <c r="F38" s="629"/>
      <c r="G38" s="629"/>
      <c r="H38" s="629"/>
      <c r="I38" s="629"/>
      <c r="J38" s="629"/>
      <c r="K38" s="629"/>
      <c r="L38" s="629"/>
      <c r="M38" s="629"/>
      <c r="N38" s="629"/>
      <c r="O38" s="629"/>
      <c r="P38" s="629"/>
      <c r="Q38" s="629"/>
      <c r="R38" s="629"/>
      <c r="S38" s="629"/>
      <c r="T38" s="629"/>
      <c r="U38" s="629"/>
      <c r="V38" s="629"/>
      <c r="W38" s="629"/>
      <c r="X38" s="629"/>
      <c r="Y38" s="629"/>
      <c r="Z38" s="629"/>
      <c r="AA38" s="629"/>
      <c r="AB38" s="629"/>
      <c r="AC38" s="629"/>
      <c r="AD38" s="629"/>
      <c r="AE38" s="629"/>
      <c r="AF38" s="629"/>
      <c r="AG38" s="623">
        <f t="shared" si="5"/>
        <v>0</v>
      </c>
    </row>
    <row r="39">
      <c r="A39" s="633" t="s">
        <v>874</v>
      </c>
      <c r="B39" s="635">
        <f>'Sales OLD'!B67</f>
        <v>162.71</v>
      </c>
      <c r="C39" s="636">
        <f>'Sales OLD'!C67</f>
        <v>61</v>
      </c>
      <c r="D39" s="636">
        <f>'Sales OLD'!D67</f>
        <v>0</v>
      </c>
      <c r="E39" s="636">
        <f>'Sales OLD'!E67</f>
        <v>4255.588</v>
      </c>
      <c r="F39" s="636">
        <f>'Sales OLD'!F67</f>
        <v>2292.936</v>
      </c>
      <c r="G39" s="636">
        <f>'Sales OLD'!G67</f>
        <v>63.09</v>
      </c>
      <c r="H39" s="636">
        <f>'Sales OLD'!H67</f>
        <v>86.6</v>
      </c>
      <c r="I39" s="636">
        <f>'Sales OLD'!I67</f>
        <v>0</v>
      </c>
      <c r="J39" s="636">
        <f>'Sales OLD'!J67</f>
        <v>0</v>
      </c>
      <c r="K39" s="636">
        <f>'Sales OLD'!K67</f>
        <v>99.96</v>
      </c>
      <c r="L39" s="636">
        <f>'Sales OLD'!L67</f>
        <v>0</v>
      </c>
      <c r="M39" s="636">
        <f>'Sales OLD'!M67</f>
        <v>324.88</v>
      </c>
      <c r="N39" s="636">
        <f>'Sales OLD'!N67</f>
        <v>97.43</v>
      </c>
      <c r="O39" s="636">
        <f>'Sales OLD'!O67</f>
        <v>100.64</v>
      </c>
      <c r="P39" s="636">
        <f>'Sales OLD'!P67</f>
        <v>55.28</v>
      </c>
      <c r="Q39" s="636">
        <f>'Sales OLD'!Q67</f>
        <v>0</v>
      </c>
      <c r="R39" s="636">
        <f>'Sales OLD'!R67</f>
        <v>105.32</v>
      </c>
      <c r="S39" s="636">
        <f>'Sales OLD'!S67</f>
        <v>0</v>
      </c>
      <c r="T39" s="636">
        <f>'Sales OLD'!T67</f>
        <v>0</v>
      </c>
      <c r="U39" s="636">
        <f>'Sales OLD'!U67</f>
        <v>0</v>
      </c>
      <c r="V39" s="636">
        <f>'Sales OLD'!V67</f>
        <v>32.38</v>
      </c>
      <c r="W39" s="636">
        <f>'Sales OLD'!W67</f>
        <v>105.6</v>
      </c>
      <c r="X39" s="636">
        <f>'Sales OLD'!X67</f>
        <v>266.9</v>
      </c>
      <c r="Y39" s="636">
        <f>'Sales OLD'!Y67</f>
        <v>94.59</v>
      </c>
      <c r="Z39" s="636">
        <f>'Sales OLD'!Z67</f>
        <v>123.15</v>
      </c>
      <c r="AA39" s="636">
        <f>'Sales OLD'!AA67</f>
        <v>106.16</v>
      </c>
      <c r="AB39" s="636">
        <f>'Sales OLD'!AB67</f>
        <v>497.95</v>
      </c>
      <c r="AC39" s="636">
        <f>'Sales OLD'!AC67</f>
        <v>377.37</v>
      </c>
      <c r="AD39" s="636">
        <f>'Sales OLD'!AD67</f>
        <v>68.6</v>
      </c>
      <c r="AE39" s="636">
        <f>'Sales OLD'!AE67</f>
        <v>13.6</v>
      </c>
      <c r="AF39" s="636"/>
      <c r="AG39" s="623">
        <f t="shared" si="5"/>
        <v>9391.734</v>
      </c>
    </row>
    <row r="40">
      <c r="A40" s="25" t="s">
        <v>875</v>
      </c>
      <c r="B40" s="629"/>
      <c r="C40" s="629"/>
      <c r="D40" s="629"/>
      <c r="E40" s="629"/>
      <c r="F40" s="629"/>
      <c r="G40" s="629"/>
      <c r="H40" s="629"/>
      <c r="I40" s="629"/>
      <c r="J40" s="629"/>
      <c r="K40" s="629"/>
      <c r="L40" s="629"/>
      <c r="M40" s="629"/>
      <c r="N40" s="629"/>
      <c r="O40" s="629"/>
      <c r="P40" s="629"/>
      <c r="Q40" s="629"/>
      <c r="R40" s="629"/>
      <c r="S40" s="629"/>
      <c r="T40" s="629"/>
      <c r="U40" s="629"/>
      <c r="V40" s="629"/>
      <c r="W40" s="629"/>
      <c r="X40" s="629"/>
      <c r="Y40" s="629"/>
      <c r="Z40" s="629"/>
      <c r="AA40" s="629"/>
      <c r="AB40" s="629"/>
      <c r="AC40" s="629"/>
      <c r="AD40" s="629"/>
      <c r="AE40" s="629"/>
      <c r="AF40" s="629"/>
      <c r="AG40" s="623">
        <f t="shared" si="5"/>
        <v>0</v>
      </c>
    </row>
    <row r="41">
      <c r="A41" s="25" t="s">
        <v>876</v>
      </c>
      <c r="B41" s="629"/>
      <c r="C41" s="629"/>
      <c r="D41" s="629"/>
      <c r="E41" s="629"/>
      <c r="F41" s="629"/>
      <c r="G41" s="629"/>
      <c r="H41" s="629"/>
      <c r="I41" s="629"/>
      <c r="J41" s="629"/>
      <c r="K41" s="629"/>
      <c r="L41" s="629"/>
      <c r="M41" s="629"/>
      <c r="N41" s="629"/>
      <c r="O41" s="629"/>
      <c r="P41" s="629"/>
      <c r="Q41" s="629"/>
      <c r="R41" s="629"/>
      <c r="S41" s="629"/>
      <c r="T41" s="629"/>
      <c r="U41" s="629"/>
      <c r="V41" s="629"/>
      <c r="W41" s="629"/>
      <c r="X41" s="629"/>
      <c r="Y41" s="629"/>
      <c r="Z41" s="629"/>
      <c r="AA41" s="629"/>
      <c r="AB41" s="629"/>
      <c r="AC41" s="629"/>
      <c r="AD41" s="629"/>
      <c r="AE41" s="629"/>
      <c r="AF41" s="629"/>
      <c r="AG41" s="623">
        <f t="shared" si="5"/>
        <v>0</v>
      </c>
    </row>
    <row r="42">
      <c r="A42" s="25" t="s">
        <v>877</v>
      </c>
      <c r="B42" s="629"/>
      <c r="C42" s="629"/>
      <c r="D42" s="629"/>
      <c r="E42" s="629"/>
      <c r="F42" s="629"/>
      <c r="G42" s="629"/>
      <c r="H42" s="629"/>
      <c r="I42" s="629"/>
      <c r="J42" s="629"/>
      <c r="K42" s="629"/>
      <c r="L42" s="629"/>
      <c r="M42" s="629"/>
      <c r="N42" s="629"/>
      <c r="O42" s="629"/>
      <c r="P42" s="629"/>
      <c r="Q42" s="629"/>
      <c r="R42" s="629"/>
      <c r="S42" s="629"/>
      <c r="T42" s="629"/>
      <c r="U42" s="629"/>
      <c r="V42" s="629"/>
      <c r="W42" s="629"/>
      <c r="X42" s="629"/>
      <c r="Y42" s="629"/>
      <c r="Z42" s="629"/>
      <c r="AA42" s="629"/>
      <c r="AB42" s="629"/>
      <c r="AC42" s="629"/>
      <c r="AD42" s="629"/>
      <c r="AE42" s="629"/>
      <c r="AF42" s="629"/>
      <c r="AG42" s="623">
        <f t="shared" si="5"/>
        <v>0</v>
      </c>
    </row>
    <row r="43">
      <c r="A43" s="583" t="s">
        <v>878</v>
      </c>
      <c r="B43" s="629"/>
      <c r="C43" s="629"/>
      <c r="D43" s="629"/>
      <c r="E43" s="629"/>
      <c r="F43" s="629"/>
      <c r="G43" s="629"/>
      <c r="H43" s="629"/>
      <c r="I43" s="629"/>
      <c r="J43" s="629"/>
      <c r="K43" s="629"/>
      <c r="L43" s="629"/>
      <c r="M43" s="629"/>
      <c r="N43" s="629"/>
      <c r="O43" s="629"/>
      <c r="P43" s="629"/>
      <c r="Q43" s="629"/>
      <c r="R43" s="629"/>
      <c r="S43" s="629"/>
      <c r="T43" s="629"/>
      <c r="U43" s="629"/>
      <c r="V43" s="629"/>
      <c r="W43" s="629"/>
      <c r="X43" s="629"/>
      <c r="Y43" s="629"/>
      <c r="Z43" s="629"/>
      <c r="AA43" s="629"/>
      <c r="AB43" s="629"/>
      <c r="AC43" s="629"/>
      <c r="AD43" s="629"/>
      <c r="AE43" s="629"/>
      <c r="AF43" s="629"/>
      <c r="AG43" s="582"/>
    </row>
    <row r="44">
      <c r="A44" s="583" t="s">
        <v>879</v>
      </c>
      <c r="B44" s="629">
        <f>B27*'OLD Formulas'!$C$41</f>
        <v>0</v>
      </c>
      <c r="C44" s="629">
        <f>C27*'OLD Formulas'!$C$41</f>
        <v>0</v>
      </c>
      <c r="D44" s="629">
        <f>D27*'OLD Formulas'!$C$41</f>
        <v>0</v>
      </c>
      <c r="E44" s="629">
        <f>E27*'OLD Formulas'!$C$41</f>
        <v>0</v>
      </c>
      <c r="F44" s="629">
        <f>F27*'OLD Formulas'!$C$41</f>
        <v>0</v>
      </c>
      <c r="G44" s="629">
        <f>G27*'OLD Formulas'!$C$41</f>
        <v>0</v>
      </c>
      <c r="H44" s="629">
        <f>H27*'OLD Formulas'!$C$41</f>
        <v>0</v>
      </c>
      <c r="I44" s="629">
        <f>I27*'OLD Formulas'!$C$41</f>
        <v>0</v>
      </c>
      <c r="J44" s="629">
        <f>J27*'OLD Formulas'!$C$41</f>
        <v>0</v>
      </c>
      <c r="K44" s="629">
        <f>K27*'OLD Formulas'!$C$41</f>
        <v>0</v>
      </c>
      <c r="L44" s="629">
        <f>L27*'OLD Formulas'!$C$41</f>
        <v>0</v>
      </c>
      <c r="M44" s="629">
        <f>M27*'OLD Formulas'!$C$41</f>
        <v>0</v>
      </c>
      <c r="N44" s="629">
        <f>N27*'OLD Formulas'!$C$41</f>
        <v>0</v>
      </c>
      <c r="O44" s="629">
        <f>O27*'OLD Formulas'!$C$41</f>
        <v>0</v>
      </c>
      <c r="P44" s="629">
        <f>P27*'OLD Formulas'!$C$41</f>
        <v>0</v>
      </c>
      <c r="Q44" s="629">
        <f>Q27*'OLD Formulas'!$C$41</f>
        <v>0</v>
      </c>
      <c r="R44" s="629">
        <f>R27*'OLD Formulas'!$C$41</f>
        <v>0</v>
      </c>
      <c r="S44" s="629">
        <f>S27*'OLD Formulas'!$C$41</f>
        <v>0</v>
      </c>
      <c r="T44" s="629">
        <f>T27*'OLD Formulas'!$C$41</f>
        <v>0</v>
      </c>
      <c r="U44" s="629">
        <f>U27*'OLD Formulas'!$C$41</f>
        <v>0</v>
      </c>
      <c r="V44" s="629">
        <f>V27*'OLD Formulas'!$C$41</f>
        <v>0</v>
      </c>
      <c r="W44" s="629">
        <f>W27*'OLD Formulas'!$C$41</f>
        <v>0</v>
      </c>
      <c r="X44" s="629">
        <f>X27*'OLD Formulas'!$C$41</f>
        <v>0</v>
      </c>
      <c r="Y44" s="629">
        <f>Y27*'OLD Formulas'!$C$41</f>
        <v>0</v>
      </c>
      <c r="Z44" s="629">
        <f>Z27*'OLD Formulas'!$C$41</f>
        <v>0</v>
      </c>
      <c r="AA44" s="629">
        <f>AA27*'OLD Formulas'!$C$41</f>
        <v>0</v>
      </c>
      <c r="AB44" s="629">
        <f>AB27*'OLD Formulas'!$C$41</f>
        <v>0</v>
      </c>
      <c r="AC44" s="629">
        <f>AC27*'OLD Formulas'!$C$41</f>
        <v>0</v>
      </c>
      <c r="AD44" s="629">
        <f>AD27*'OLD Formulas'!$C$41</f>
        <v>0</v>
      </c>
      <c r="AE44" s="629">
        <f>AE27*'OLD Formulas'!$C$41</f>
        <v>0</v>
      </c>
      <c r="AF44" s="629">
        <f>AF27*'OLD Formulas'!$C$41</f>
        <v>0</v>
      </c>
      <c r="AG44" s="582"/>
    </row>
    <row r="45">
      <c r="A45" s="78" t="s">
        <v>880</v>
      </c>
      <c r="B45" s="637"/>
      <c r="C45" s="637"/>
      <c r="D45" s="637"/>
      <c r="E45" s="637"/>
      <c r="F45" s="637"/>
      <c r="G45" s="637"/>
      <c r="H45" s="637"/>
      <c r="I45" s="637"/>
      <c r="J45" s="637"/>
      <c r="K45" s="637"/>
      <c r="L45" s="637"/>
      <c r="M45" s="637"/>
      <c r="N45" s="637"/>
      <c r="O45" s="637"/>
      <c r="P45" s="637"/>
      <c r="Q45" s="637"/>
      <c r="R45" s="637"/>
      <c r="S45" s="637"/>
      <c r="T45" s="637"/>
      <c r="U45" s="637"/>
      <c r="V45" s="637"/>
      <c r="W45" s="637"/>
      <c r="X45" s="637"/>
      <c r="Y45" s="637"/>
      <c r="Z45" s="637"/>
      <c r="AA45" s="637"/>
      <c r="AB45" s="637"/>
      <c r="AC45" s="637"/>
      <c r="AD45" s="629"/>
      <c r="AE45" s="629"/>
      <c r="AF45" s="629"/>
      <c r="AG45" s="623">
        <f t="shared" ref="AG45:AG46" si="9">SUM(B45:AF45)</f>
        <v>0</v>
      </c>
    </row>
    <row r="46">
      <c r="A46" s="594" t="s">
        <v>98</v>
      </c>
      <c r="B46" s="60">
        <f t="shared" ref="B46:AF46" si="8">SUM(B31:B45)</f>
        <v>40637.56</v>
      </c>
      <c r="C46" s="60">
        <f t="shared" si="8"/>
        <v>37965.01</v>
      </c>
      <c r="D46" s="60">
        <f t="shared" si="8"/>
        <v>40902.07</v>
      </c>
      <c r="E46" s="60">
        <f t="shared" si="8"/>
        <v>44501.358</v>
      </c>
      <c r="F46" s="60">
        <f t="shared" si="8"/>
        <v>44876.326</v>
      </c>
      <c r="G46" s="60">
        <f t="shared" si="8"/>
        <v>42646.49</v>
      </c>
      <c r="H46" s="60">
        <f t="shared" si="8"/>
        <v>38073.1</v>
      </c>
      <c r="I46" s="60">
        <f t="shared" si="8"/>
        <v>44740.44</v>
      </c>
      <c r="J46" s="60">
        <f t="shared" si="8"/>
        <v>53320.98</v>
      </c>
      <c r="K46" s="60">
        <f t="shared" si="8"/>
        <v>50659.18</v>
      </c>
      <c r="L46" s="60">
        <f t="shared" si="8"/>
        <v>43144.55</v>
      </c>
      <c r="M46" s="60">
        <f t="shared" si="8"/>
        <v>45548.45</v>
      </c>
      <c r="N46" s="60">
        <f t="shared" si="8"/>
        <v>42755.03</v>
      </c>
      <c r="O46" s="60">
        <f t="shared" si="8"/>
        <v>41957.19</v>
      </c>
      <c r="P46" s="60">
        <f t="shared" si="8"/>
        <v>44805.78</v>
      </c>
      <c r="Q46" s="60">
        <f t="shared" si="8"/>
        <v>46200.59</v>
      </c>
      <c r="R46" s="60">
        <f t="shared" si="8"/>
        <v>43174.48</v>
      </c>
      <c r="S46" s="60">
        <f t="shared" si="8"/>
        <v>47530.74</v>
      </c>
      <c r="T46" s="60">
        <f t="shared" si="8"/>
        <v>52196.51</v>
      </c>
      <c r="U46" s="60">
        <f t="shared" si="8"/>
        <v>62226.9</v>
      </c>
      <c r="V46" s="60">
        <f t="shared" si="8"/>
        <v>68553.36</v>
      </c>
      <c r="W46" s="60">
        <f t="shared" si="8"/>
        <v>78355.63</v>
      </c>
      <c r="X46" s="60">
        <f t="shared" si="8"/>
        <v>128868.07</v>
      </c>
      <c r="Y46" s="60">
        <f t="shared" si="8"/>
        <v>243217.72</v>
      </c>
      <c r="Z46" s="60">
        <f t="shared" si="8"/>
        <v>151697.08</v>
      </c>
      <c r="AA46" s="60">
        <f t="shared" si="8"/>
        <v>146903.9</v>
      </c>
      <c r="AB46" s="60">
        <f t="shared" si="8"/>
        <v>135592.19</v>
      </c>
      <c r="AC46" s="60">
        <f t="shared" si="8"/>
        <v>100721.64</v>
      </c>
      <c r="AD46" s="638">
        <f t="shared" si="8"/>
        <v>38082.34</v>
      </c>
      <c r="AE46" s="638">
        <f t="shared" si="8"/>
        <v>19803.8</v>
      </c>
      <c r="AF46" s="638">
        <f t="shared" si="8"/>
        <v>0</v>
      </c>
      <c r="AG46" s="623">
        <f t="shared" si="9"/>
        <v>2019658.464</v>
      </c>
    </row>
    <row r="47">
      <c r="A47" s="25"/>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82"/>
    </row>
    <row r="48">
      <c r="A48" s="625" t="s">
        <v>881</v>
      </c>
      <c r="B48" s="120"/>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82"/>
    </row>
    <row r="49">
      <c r="A49" s="583" t="s">
        <v>882</v>
      </c>
      <c r="B49" s="66">
        <f>B15*'OLD Formulas'!$J$3</f>
        <v>34755.60107</v>
      </c>
      <c r="C49" s="66">
        <f>C15*'OLD Formulas'!$J$3</f>
        <v>43805.53598</v>
      </c>
      <c r="D49" s="66">
        <f>D15*'OLD Formulas'!$J$3</f>
        <v>39858.22395</v>
      </c>
      <c r="E49" s="66">
        <f>E15*'OLD Formulas'!$J$3</f>
        <v>40147.05166</v>
      </c>
      <c r="F49" s="66">
        <f>F15*'OLD Formulas'!$J$3</f>
        <v>44960.84682</v>
      </c>
      <c r="G49" s="66">
        <f>G15*'OLD Formulas'!$J$3</f>
        <v>42168.84562</v>
      </c>
      <c r="H49" s="66">
        <f>H15*'OLD Formulas'!$J$3</f>
        <v>36584.84324</v>
      </c>
      <c r="I49" s="66">
        <f>I15*'OLD Formulas'!$J$3</f>
        <v>36103.46372</v>
      </c>
      <c r="J49" s="66">
        <f>J15*'OLD Formulas'!$J$3</f>
        <v>44094.36369</v>
      </c>
      <c r="K49" s="66">
        <f>K15*'OLD Formulas'!$J$3</f>
        <v>45057.12272</v>
      </c>
      <c r="L49" s="66">
        <f>L15*'OLD Formulas'!$J$3</f>
        <v>49870.91789</v>
      </c>
      <c r="M49" s="66">
        <f>M15*'OLD Formulas'!$J$3</f>
        <v>40435.87937</v>
      </c>
      <c r="N49" s="66">
        <f>N15*'OLD Formulas'!$J$3</f>
        <v>36681.11914</v>
      </c>
      <c r="O49" s="66">
        <f>O15*'OLD Formulas'!$J$3</f>
        <v>39569.39624</v>
      </c>
      <c r="P49" s="66">
        <f>P15*'OLD Formulas'!$J$3</f>
        <v>38991.74082</v>
      </c>
      <c r="Q49" s="66">
        <f>Q15*'OLD Formulas'!$J$3</f>
        <v>28497.66736</v>
      </c>
      <c r="R49" s="66">
        <f>R15*'OLD Formulas'!$J$3</f>
        <v>40435.87937</v>
      </c>
      <c r="S49" s="66">
        <f>S15*'OLD Formulas'!$J$3</f>
        <v>50544.84921</v>
      </c>
      <c r="T49" s="66">
        <f>T15*'OLD Formulas'!$J$3</f>
        <v>52085.26366</v>
      </c>
      <c r="U49" s="66">
        <f>U15*'OLD Formulas'!$J$3</f>
        <v>52374.09137</v>
      </c>
      <c r="V49" s="66">
        <f>V15*'OLD Formulas'!$J$3</f>
        <v>55454.92027</v>
      </c>
      <c r="W49" s="66">
        <f>W15*'OLD Formulas'!$J$3</f>
        <v>82508.44909</v>
      </c>
      <c r="X49" s="66">
        <f>X15*'OLD Formulas'!$J$3</f>
        <v>106769.9767</v>
      </c>
      <c r="Y49" s="66">
        <f>Y15*'OLD Formulas'!$J$3</f>
        <v>277948.5327</v>
      </c>
      <c r="Z49" s="66">
        <f>Z15*'OLD Formulas'!$J$3</f>
        <v>82893.5527</v>
      </c>
      <c r="AA49" s="66">
        <f>AA15*'OLD Formulas'!$J$3</f>
        <v>126795.3646</v>
      </c>
      <c r="AB49" s="66">
        <f>AB15*'OLD Formulas'!$J$3</f>
        <v>130453.8489</v>
      </c>
      <c r="AC49" s="66">
        <f>AC15*'OLD Formulas'!$J$3</f>
        <v>94542.93699</v>
      </c>
      <c r="AD49" s="66">
        <f>AD15*'OLD Formulas'!$J$3</f>
        <v>19640.28426</v>
      </c>
      <c r="AE49" s="66">
        <f>AE15*'OLD Formulas'!$J$3</f>
        <v>10686.62526</v>
      </c>
      <c r="AF49" s="66">
        <f>AF15*'OLD Formulas'!$J$3</f>
        <v>0</v>
      </c>
      <c r="AG49" s="623">
        <f t="shared" ref="AG49:AG57" si="10">SUM(B49:AF49)</f>
        <v>1824717.194</v>
      </c>
    </row>
    <row r="50">
      <c r="A50" s="120" t="s">
        <v>883</v>
      </c>
      <c r="B50" s="639">
        <f>B15*'OLD Formulas'!$I$4</f>
        <v>4714.4073</v>
      </c>
      <c r="C50" s="66">
        <f>C15*'OLD Formulas'!$I$4</f>
        <v>5941.9815</v>
      </c>
      <c r="D50" s="66">
        <f>D15*'OLD Formulas'!$I$4</f>
        <v>5406.5502</v>
      </c>
      <c r="E50" s="66">
        <f>E15*'OLD Formulas'!$I$4</f>
        <v>5445.7281</v>
      </c>
      <c r="F50" s="66">
        <f>F15*'OLD Formulas'!$I$4</f>
        <v>6098.6931</v>
      </c>
      <c r="G50" s="66">
        <f>G15*'OLD Formulas'!$I$4</f>
        <v>5719.9734</v>
      </c>
      <c r="H50" s="66">
        <f>H15*'OLD Formulas'!$I$4</f>
        <v>4962.534</v>
      </c>
      <c r="I50" s="66">
        <f>I15*'OLD Formulas'!$I$4</f>
        <v>4897.2375</v>
      </c>
      <c r="J50" s="66">
        <f>J15*'OLD Formulas'!$I$4</f>
        <v>5981.1594</v>
      </c>
      <c r="K50" s="66">
        <f>K15*'OLD Formulas'!$I$4</f>
        <v>6111.7524</v>
      </c>
      <c r="L50" s="66">
        <f>L15*'OLD Formulas'!$I$4</f>
        <v>6764.7174</v>
      </c>
      <c r="M50" s="66">
        <f>M15*'OLD Formulas'!$I$4</f>
        <v>5484.906</v>
      </c>
      <c r="N50" s="66">
        <f>N15*'OLD Formulas'!$I$4</f>
        <v>4975.5933</v>
      </c>
      <c r="O50" s="66">
        <f>O15*'OLD Formulas'!$I$4</f>
        <v>5367.3723</v>
      </c>
      <c r="P50" s="66">
        <f>P15*'OLD Formulas'!$I$4</f>
        <v>5289.0165</v>
      </c>
      <c r="Q50" s="66">
        <f>Q15*'OLD Formulas'!$I$4</f>
        <v>3865.5528</v>
      </c>
      <c r="R50" s="66">
        <f>R15*'OLD Formulas'!$I$4</f>
        <v>5484.906</v>
      </c>
      <c r="S50" s="66">
        <f>S15*'OLD Formulas'!$I$4</f>
        <v>6856.1325</v>
      </c>
      <c r="T50" s="66">
        <f>T15*'OLD Formulas'!$I$4</f>
        <v>7065.0813</v>
      </c>
      <c r="U50" s="66">
        <f>U15*'OLD Formulas'!$I$4</f>
        <v>7104.2592</v>
      </c>
      <c r="V50" s="66">
        <f>V15*'OLD Formulas'!$I$4</f>
        <v>7522.1568</v>
      </c>
      <c r="W50" s="66">
        <f>W15*'OLD Formulas'!$I$4</f>
        <v>11191.8201</v>
      </c>
      <c r="X50" s="66">
        <f>X15*'OLD Formulas'!$I$4</f>
        <v>14482.7637</v>
      </c>
      <c r="Y50" s="66">
        <f>Y15*'OLD Formulas'!$I$4</f>
        <v>37702.1991</v>
      </c>
      <c r="Z50" s="66">
        <f>Z15*'OLD Formulas'!$I$4</f>
        <v>11244.0573</v>
      </c>
      <c r="AA50" s="66">
        <f>AA15*'OLD Formulas'!$I$4</f>
        <v>17199.0981</v>
      </c>
      <c r="AB50" s="66">
        <f>AB15*'OLD Formulas'!$I$4</f>
        <v>17695.3515</v>
      </c>
      <c r="AC50" s="66">
        <f>AC15*'OLD Formulas'!$I$4</f>
        <v>12824.2326</v>
      </c>
      <c r="AD50" s="66">
        <f>AD15*'OLD Formulas'!$I$4</f>
        <v>2664.0972</v>
      </c>
      <c r="AE50" s="66">
        <f>AE15*'OLD Formulas'!$I$4</f>
        <v>1449.5823</v>
      </c>
      <c r="AF50" s="66">
        <f>AF15*'OLD Formulas'!$I$4</f>
        <v>0</v>
      </c>
      <c r="AG50" s="623">
        <f t="shared" si="10"/>
        <v>247512.9129</v>
      </c>
    </row>
    <row r="51">
      <c r="A51" s="120" t="s">
        <v>884</v>
      </c>
      <c r="B51" s="639">
        <f>B15*'OLD Formulas'!$I$5</f>
        <v>5436.66</v>
      </c>
      <c r="C51" s="66">
        <f>C15*'OLD Formulas'!$I$5</f>
        <v>6852.3</v>
      </c>
      <c r="D51" s="66">
        <f>D15*'OLD Formulas'!$I$5</f>
        <v>6234.84</v>
      </c>
      <c r="E51" s="66">
        <f>E15*'OLD Formulas'!$I$5</f>
        <v>6280.02</v>
      </c>
      <c r="F51" s="66">
        <f>F15*'OLD Formulas'!$I$5</f>
        <v>7033.02</v>
      </c>
      <c r="G51" s="66">
        <f>G15*'OLD Formulas'!$I$5</f>
        <v>6596.28</v>
      </c>
      <c r="H51" s="66">
        <f>H15*'OLD Formulas'!$I$5</f>
        <v>5722.8</v>
      </c>
      <c r="I51" s="66">
        <f>I15*'OLD Formulas'!$I$5</f>
        <v>5647.5</v>
      </c>
      <c r="J51" s="66">
        <f>J15*'OLD Formulas'!$I$5</f>
        <v>6897.48</v>
      </c>
      <c r="K51" s="66">
        <f>K15*'OLD Formulas'!$I$5</f>
        <v>7048.08</v>
      </c>
      <c r="L51" s="66">
        <f>L15*'OLD Formulas'!$I$5</f>
        <v>7801.08</v>
      </c>
      <c r="M51" s="66">
        <f>M15*'OLD Formulas'!$I$5</f>
        <v>6325.2</v>
      </c>
      <c r="N51" s="66">
        <f>N15*'OLD Formulas'!$I$5</f>
        <v>5737.86</v>
      </c>
      <c r="O51" s="66">
        <f>O15*'OLD Formulas'!$I$5</f>
        <v>6189.66</v>
      </c>
      <c r="P51" s="66">
        <f>P15*'OLD Formulas'!$I$5</f>
        <v>6099.3</v>
      </c>
      <c r="Q51" s="66">
        <f>Q15*'OLD Formulas'!$I$5</f>
        <v>4457.76</v>
      </c>
      <c r="R51" s="66">
        <f>R15*'OLD Formulas'!$I$5</f>
        <v>6325.2</v>
      </c>
      <c r="S51" s="66">
        <f>S15*'OLD Formulas'!$I$5</f>
        <v>7906.5</v>
      </c>
      <c r="T51" s="66">
        <f>T15*'OLD Formulas'!$I$5</f>
        <v>8147.46</v>
      </c>
      <c r="U51" s="66">
        <f>U15*'OLD Formulas'!$I$5</f>
        <v>8192.64</v>
      </c>
      <c r="V51" s="66">
        <f>V15*'OLD Formulas'!$I$5</f>
        <v>8674.56</v>
      </c>
      <c r="W51" s="66">
        <f>W15*'OLD Formulas'!$I$5</f>
        <v>12906.42</v>
      </c>
      <c r="X51" s="66">
        <f>X15*'OLD Formulas'!$I$5</f>
        <v>16701.54</v>
      </c>
      <c r="Y51" s="66">
        <f>Y15*'OLD Formulas'!$I$5</f>
        <v>43478.22</v>
      </c>
      <c r="Z51" s="66">
        <f>Z15*'OLD Formulas'!$I$5</f>
        <v>12966.66</v>
      </c>
      <c r="AA51" s="66">
        <f>AA15*'OLD Formulas'!$I$5</f>
        <v>19834.02</v>
      </c>
      <c r="AB51" s="66">
        <f>AB15*'OLD Formulas'!$I$5</f>
        <v>20406.3</v>
      </c>
      <c r="AC51" s="66">
        <f>AC15*'OLD Formulas'!$I$5</f>
        <v>14788.92</v>
      </c>
      <c r="AD51" s="66">
        <f>AD15*'OLD Formulas'!$I$5</f>
        <v>3072.24</v>
      </c>
      <c r="AE51" s="66">
        <f>AE15*'OLD Formulas'!$I$5</f>
        <v>1671.66</v>
      </c>
      <c r="AF51" s="66">
        <f>AF15*'OLD Formulas'!$I$5</f>
        <v>0</v>
      </c>
      <c r="AG51" s="623">
        <f t="shared" si="10"/>
        <v>285432.18</v>
      </c>
    </row>
    <row r="52">
      <c r="A52" s="120" t="s">
        <v>885</v>
      </c>
      <c r="B52" s="639">
        <f>B15*'OLD Formulas'!$I$6</f>
        <v>6068.41</v>
      </c>
      <c r="C52" s="66">
        <f>C15*'OLD Formulas'!$I$6</f>
        <v>7648.55</v>
      </c>
      <c r="D52" s="66">
        <f>D15*'OLD Formulas'!$I$6</f>
        <v>6959.34</v>
      </c>
      <c r="E52" s="66">
        <f>E15*'OLD Formulas'!$I$6</f>
        <v>7009.77</v>
      </c>
      <c r="F52" s="66">
        <f>F15*'OLD Formulas'!$I$6</f>
        <v>7850.27</v>
      </c>
      <c r="G52" s="66">
        <f>G15*'OLD Formulas'!$I$6</f>
        <v>7362.78</v>
      </c>
      <c r="H52" s="66">
        <f>H15*'OLD Formulas'!$I$6</f>
        <v>6387.8</v>
      </c>
      <c r="I52" s="66">
        <f>I15*'OLD Formulas'!$I$6</f>
        <v>6303.75</v>
      </c>
      <c r="J52" s="66">
        <f>J15*'OLD Formulas'!$I$6</f>
        <v>7698.98</v>
      </c>
      <c r="K52" s="66">
        <f>K15*'OLD Formulas'!$I$6</f>
        <v>7867.08</v>
      </c>
      <c r="L52" s="66">
        <f>L15*'OLD Formulas'!$I$6</f>
        <v>8707.58</v>
      </c>
      <c r="M52" s="66">
        <f>M15*'OLD Formulas'!$I$6</f>
        <v>7060.2</v>
      </c>
      <c r="N52" s="66">
        <f>N15*'OLD Formulas'!$I$6</f>
        <v>6404.61</v>
      </c>
      <c r="O52" s="66">
        <f>O15*'OLD Formulas'!$I$6</f>
        <v>6908.91</v>
      </c>
      <c r="P52" s="66">
        <f>P15*'OLD Formulas'!$I$6</f>
        <v>6808.05</v>
      </c>
      <c r="Q52" s="66">
        <f>Q15*'OLD Formulas'!$I$6</f>
        <v>4975.76</v>
      </c>
      <c r="R52" s="66">
        <f>R15*'OLD Formulas'!$I$6</f>
        <v>7060.2</v>
      </c>
      <c r="S52" s="66">
        <f>S15*'OLD Formulas'!$I$6</f>
        <v>8825.25</v>
      </c>
      <c r="T52" s="66">
        <f>T15*'OLD Formulas'!$I$6</f>
        <v>9094.21</v>
      </c>
      <c r="U52" s="66">
        <f>U15*'OLD Formulas'!$I$6</f>
        <v>9144.64</v>
      </c>
      <c r="V52" s="66">
        <f>V15*'OLD Formulas'!$I$6</f>
        <v>9682.56</v>
      </c>
      <c r="W52" s="66">
        <f>W15*'OLD Formulas'!$I$6</f>
        <v>14406.17</v>
      </c>
      <c r="X52" s="66">
        <f>X15*'OLD Formulas'!$I$6</f>
        <v>18642.29</v>
      </c>
      <c r="Y52" s="66">
        <f>Y15*'OLD Formulas'!$I$6</f>
        <v>48530.47</v>
      </c>
      <c r="Z52" s="66">
        <f>Z15*'OLD Formulas'!$I$6</f>
        <v>14473.41</v>
      </c>
      <c r="AA52" s="66">
        <f>AA15*'OLD Formulas'!$I$6</f>
        <v>22138.77</v>
      </c>
      <c r="AB52" s="66">
        <f>AB15*'OLD Formulas'!$I$6</f>
        <v>22777.55</v>
      </c>
      <c r="AC52" s="66">
        <f>AC15*'OLD Formulas'!$I$6</f>
        <v>16507.42</v>
      </c>
      <c r="AD52" s="66">
        <f>AD15*'OLD Formulas'!$I$6</f>
        <v>3429.24</v>
      </c>
      <c r="AE52" s="66">
        <f>AE15*'OLD Formulas'!$I$6</f>
        <v>1865.91</v>
      </c>
      <c r="AF52" s="66">
        <f>AF15*'OLD Formulas'!$I$6</f>
        <v>0</v>
      </c>
      <c r="AG52" s="623">
        <f t="shared" si="10"/>
        <v>318599.93</v>
      </c>
    </row>
    <row r="53">
      <c r="A53" s="583" t="s">
        <v>661</v>
      </c>
      <c r="B53" s="66">
        <f>B28*'OLD Formulas'!$L$3</f>
        <v>2295.98423</v>
      </c>
      <c r="C53" s="66">
        <f>C28*'OLD Formulas'!$L$3</f>
        <v>2613.91529</v>
      </c>
      <c r="D53" s="66">
        <f>D28*'OLD Formulas'!$L$3</f>
        <v>2451.97987</v>
      </c>
      <c r="E53" s="66">
        <f>E28*'OLD Formulas'!$L$3</f>
        <v>2598.76076</v>
      </c>
      <c r="F53" s="66">
        <f>F28*'OLD Formulas'!$L$3</f>
        <v>2876.03527</v>
      </c>
      <c r="G53" s="66">
        <f>G28*'OLD Formulas'!$L$3</f>
        <v>2720.63297</v>
      </c>
      <c r="H53" s="66">
        <f>H28*'OLD Formulas'!$L$3</f>
        <v>2471.84864</v>
      </c>
      <c r="I53" s="66">
        <f>I28*'OLD Formulas'!$L$3</f>
        <v>2389.62639</v>
      </c>
      <c r="J53" s="66">
        <f>J28*'OLD Formulas'!$L$3</f>
        <v>2809.61193</v>
      </c>
      <c r="K53" s="66">
        <f>K28*'OLD Formulas'!$L$3</f>
        <v>3086.66575</v>
      </c>
      <c r="L53" s="66">
        <f>L28*'OLD Formulas'!$L$3</f>
        <v>3513.55764</v>
      </c>
      <c r="M53" s="66">
        <f>M28*'OLD Formulas'!$L$3</f>
        <v>2849.81608</v>
      </c>
      <c r="N53" s="66">
        <f>N28*'OLD Formulas'!$L$3</f>
        <v>2479.95414</v>
      </c>
      <c r="O53" s="66">
        <f>O28*'OLD Formulas'!$L$3</f>
        <v>2750.56648</v>
      </c>
      <c r="P53" s="66">
        <f>P28*'OLD Formulas'!$L$3</f>
        <v>2621.48139</v>
      </c>
      <c r="Q53" s="66">
        <f>Q28*'OLD Formulas'!$L$3</f>
        <v>2231.08484</v>
      </c>
      <c r="R53" s="66">
        <f>R28*'OLD Formulas'!$L$3</f>
        <v>2714.67666</v>
      </c>
      <c r="S53" s="66">
        <f>S28*'OLD Formulas'!$L$3</f>
        <v>3462.39439</v>
      </c>
      <c r="T53" s="66">
        <f>T28*'OLD Formulas'!$L$3</f>
        <v>3650.76621</v>
      </c>
      <c r="U53" s="66">
        <f>U28*'OLD Formulas'!$L$3</f>
        <v>3693.11288</v>
      </c>
      <c r="V53" s="66">
        <f>V28*'OLD Formulas'!$L$3</f>
        <v>3786.94644</v>
      </c>
      <c r="W53" s="66">
        <f>W28*'OLD Formulas'!$L$3</f>
        <v>5632.09928</v>
      </c>
      <c r="X53" s="66">
        <f>X28*'OLD Formulas'!$L$3</f>
        <v>7393.25275</v>
      </c>
      <c r="Y53" s="66">
        <f>Y28*'OLD Formulas'!$L$3</f>
        <v>19078.82363</v>
      </c>
      <c r="Z53" s="66">
        <f>Z28*'OLD Formulas'!$L$3</f>
        <v>5560.21031</v>
      </c>
      <c r="AA53" s="66">
        <f>AA28*'OLD Formulas'!$L$3</f>
        <v>8649.0383</v>
      </c>
      <c r="AB53" s="66">
        <f>AB28*'OLD Formulas'!$L$3</f>
        <v>8854.1872</v>
      </c>
      <c r="AC53" s="66">
        <f>AC28*'OLD Formulas'!$L$3</f>
        <v>6478.12411</v>
      </c>
      <c r="AD53" s="66">
        <f>AD28*'OLD Formulas'!$L$3</f>
        <v>1686.82763</v>
      </c>
      <c r="AE53" s="66">
        <f>AE28*'OLD Formulas'!$L$3</f>
        <v>888.93729</v>
      </c>
      <c r="AF53" s="66">
        <f>AF28*'OLD Formulas'!$L$3</f>
        <v>0</v>
      </c>
      <c r="AG53" s="623">
        <f t="shared" si="10"/>
        <v>124290.9188</v>
      </c>
    </row>
    <row r="54">
      <c r="A54" s="591" t="s">
        <v>664</v>
      </c>
      <c r="B54" s="329">
        <f>B15*'OLD Formulas'!$I$10</f>
        <v>108.3</v>
      </c>
      <c r="C54" s="329">
        <f>C15*'OLD Formulas'!$I$10</f>
        <v>136.5</v>
      </c>
      <c r="D54" s="329">
        <f>D15*'OLD Formulas'!$I$10</f>
        <v>124.2</v>
      </c>
      <c r="E54" s="329">
        <f>E15*'OLD Formulas'!$I$10</f>
        <v>125.1</v>
      </c>
      <c r="F54" s="329">
        <f>F15*'OLD Formulas'!$I$10</f>
        <v>140.1</v>
      </c>
      <c r="G54" s="329">
        <f>G15*'OLD Formulas'!$I$10</f>
        <v>131.4</v>
      </c>
      <c r="H54" s="329">
        <f>H15*'OLD Formulas'!$I$10</f>
        <v>114</v>
      </c>
      <c r="I54" s="329">
        <f>I15*'OLD Formulas'!$I$10</f>
        <v>112.5</v>
      </c>
      <c r="J54" s="329">
        <f>J15*'OLD Formulas'!$I$10</f>
        <v>137.4</v>
      </c>
      <c r="K54" s="329">
        <f>K15*'OLD Formulas'!$I$10</f>
        <v>140.4</v>
      </c>
      <c r="L54" s="329">
        <f>L15*'OLD Formulas'!$I$10</f>
        <v>155.4</v>
      </c>
      <c r="M54" s="329">
        <f>M15*'OLD Formulas'!$I$10</f>
        <v>126</v>
      </c>
      <c r="N54" s="329">
        <f>N15*'OLD Formulas'!$I$10</f>
        <v>114.3</v>
      </c>
      <c r="O54" s="329">
        <f>O15*'OLD Formulas'!$I$10</f>
        <v>123.3</v>
      </c>
      <c r="P54" s="329">
        <f>P15*'OLD Formulas'!$I$10</f>
        <v>121.5</v>
      </c>
      <c r="Q54" s="329">
        <f>Q15*'OLD Formulas'!$I$10</f>
        <v>88.8</v>
      </c>
      <c r="R54" s="329">
        <f>R15*'OLD Formulas'!$I$10</f>
        <v>126</v>
      </c>
      <c r="S54" s="329">
        <f>S15*'OLD Formulas'!$I$10</f>
        <v>157.5</v>
      </c>
      <c r="T54" s="329">
        <f>T15*'OLD Formulas'!$I$10</f>
        <v>162.3</v>
      </c>
      <c r="U54" s="329">
        <f>U15*'OLD Formulas'!$I$10</f>
        <v>163.2</v>
      </c>
      <c r="V54" s="329">
        <f>V15*'OLD Formulas'!$I$10</f>
        <v>172.8</v>
      </c>
      <c r="W54" s="329">
        <f>W15*'OLD Formulas'!$I$10</f>
        <v>257.1</v>
      </c>
      <c r="X54" s="329">
        <f>X15*'OLD Formulas'!$I$10</f>
        <v>332.7</v>
      </c>
      <c r="Y54" s="329">
        <f>Y15*'OLD Formulas'!$I$10</f>
        <v>866.1</v>
      </c>
      <c r="Z54" s="329">
        <f>Z15*'OLD Formulas'!$I$10</f>
        <v>258.3</v>
      </c>
      <c r="AA54" s="329">
        <f>AA15*'OLD Formulas'!$I$10</f>
        <v>395.1</v>
      </c>
      <c r="AB54" s="329">
        <f>AB15*'OLD Formulas'!$I$10</f>
        <v>406.5</v>
      </c>
      <c r="AC54" s="329">
        <f>AC15*'OLD Formulas'!$I$10</f>
        <v>294.6</v>
      </c>
      <c r="AD54" s="329">
        <f>AD15*'OLD Formulas'!$I$10</f>
        <v>61.2</v>
      </c>
      <c r="AE54" s="329">
        <f>AE15*'OLD Formulas'!$I$10</f>
        <v>33.3</v>
      </c>
      <c r="AF54" s="329">
        <f>AF15*'OLD Formulas'!$I$10</f>
        <v>0</v>
      </c>
      <c r="AG54" s="623">
        <f t="shared" si="10"/>
        <v>5685.9</v>
      </c>
    </row>
    <row r="55">
      <c r="A55" s="594" t="s">
        <v>98</v>
      </c>
      <c r="B55" s="60">
        <f t="shared" ref="B55:AF55" si="11">SUM(B49:B54)</f>
        <v>53379.3626</v>
      </c>
      <c r="C55" s="60">
        <f t="shared" si="11"/>
        <v>66998.78277</v>
      </c>
      <c r="D55" s="60">
        <f t="shared" si="11"/>
        <v>61035.13402</v>
      </c>
      <c r="E55" s="60">
        <f t="shared" si="11"/>
        <v>61606.43052</v>
      </c>
      <c r="F55" s="60">
        <f t="shared" si="11"/>
        <v>68958.96519</v>
      </c>
      <c r="G55" s="60">
        <f t="shared" si="11"/>
        <v>64699.91199</v>
      </c>
      <c r="H55" s="60">
        <f t="shared" si="11"/>
        <v>56243.82588</v>
      </c>
      <c r="I55" s="60">
        <f t="shared" si="11"/>
        <v>55454.07761</v>
      </c>
      <c r="J55" s="60">
        <f t="shared" si="11"/>
        <v>67618.99502</v>
      </c>
      <c r="K55" s="60">
        <f t="shared" si="11"/>
        <v>69311.10087</v>
      </c>
      <c r="L55" s="60">
        <f t="shared" si="11"/>
        <v>76813.25293</v>
      </c>
      <c r="M55" s="60">
        <f t="shared" si="11"/>
        <v>62282.00145</v>
      </c>
      <c r="N55" s="60">
        <f t="shared" si="11"/>
        <v>56393.43658</v>
      </c>
      <c r="O55" s="60">
        <f t="shared" si="11"/>
        <v>60909.20502</v>
      </c>
      <c r="P55" s="60">
        <f t="shared" si="11"/>
        <v>59931.08871</v>
      </c>
      <c r="Q55" s="60">
        <f t="shared" si="11"/>
        <v>44116.625</v>
      </c>
      <c r="R55" s="60">
        <f t="shared" si="11"/>
        <v>62146.86203</v>
      </c>
      <c r="S55" s="60">
        <f t="shared" si="11"/>
        <v>77752.6261</v>
      </c>
      <c r="T55" s="60">
        <f t="shared" si="11"/>
        <v>80205.08117</v>
      </c>
      <c r="U55" s="60">
        <f t="shared" si="11"/>
        <v>80671.94345</v>
      </c>
      <c r="V55" s="60">
        <f t="shared" si="11"/>
        <v>85293.94351</v>
      </c>
      <c r="W55" s="60">
        <f t="shared" si="11"/>
        <v>126902.0585</v>
      </c>
      <c r="X55" s="60">
        <f t="shared" si="11"/>
        <v>164322.5232</v>
      </c>
      <c r="Y55" s="60">
        <f t="shared" si="11"/>
        <v>427604.3454</v>
      </c>
      <c r="Z55" s="60">
        <f t="shared" si="11"/>
        <v>127396.1903</v>
      </c>
      <c r="AA55" s="60">
        <f t="shared" si="11"/>
        <v>195011.391</v>
      </c>
      <c r="AB55" s="60">
        <f t="shared" si="11"/>
        <v>200593.7376</v>
      </c>
      <c r="AC55" s="60">
        <f t="shared" si="11"/>
        <v>145436.2337</v>
      </c>
      <c r="AD55" s="60">
        <f t="shared" si="11"/>
        <v>30553.88909</v>
      </c>
      <c r="AE55" s="60">
        <f t="shared" si="11"/>
        <v>16596.01485</v>
      </c>
      <c r="AF55" s="60">
        <f t="shared" si="11"/>
        <v>0</v>
      </c>
      <c r="AG55" s="623">
        <f t="shared" si="10"/>
        <v>2806239.036</v>
      </c>
    </row>
    <row r="56">
      <c r="A56" s="25"/>
      <c r="B56" s="640"/>
      <c r="C56" s="640"/>
      <c r="D56" s="640"/>
      <c r="E56" s="640"/>
      <c r="F56" s="640"/>
      <c r="G56" s="640"/>
      <c r="H56" s="640"/>
      <c r="I56" s="640"/>
      <c r="J56" s="640"/>
      <c r="K56" s="640"/>
      <c r="L56" s="640"/>
      <c r="M56" s="640"/>
      <c r="N56" s="640"/>
      <c r="O56" s="640"/>
      <c r="P56" s="640"/>
      <c r="Q56" s="640"/>
      <c r="R56" s="640"/>
      <c r="S56" s="640"/>
      <c r="T56" s="640"/>
      <c r="U56" s="640"/>
      <c r="V56" s="640"/>
      <c r="W56" s="640"/>
      <c r="X56" s="640"/>
      <c r="Y56" s="640"/>
      <c r="Z56" s="640"/>
      <c r="AA56" s="640"/>
      <c r="AB56" s="640"/>
      <c r="AC56" s="640"/>
      <c r="AD56" s="640"/>
      <c r="AE56" s="640"/>
      <c r="AF56" s="640"/>
      <c r="AG56" s="623">
        <f t="shared" si="10"/>
        <v>0</v>
      </c>
    </row>
    <row r="57">
      <c r="A57" s="595" t="s">
        <v>886</v>
      </c>
      <c r="B57" s="66">
        <f t="shared" ref="B57:AF57" si="12">B28-B46-B55</f>
        <v>-14845.0526</v>
      </c>
      <c r="C57" s="66">
        <f t="shared" si="12"/>
        <v>-14828.78277</v>
      </c>
      <c r="D57" s="66">
        <f t="shared" si="12"/>
        <v>-17386.17402</v>
      </c>
      <c r="E57" s="66">
        <f t="shared" si="12"/>
        <v>-16495.34852</v>
      </c>
      <c r="F57" s="66">
        <f t="shared" si="12"/>
        <v>-14661.66119</v>
      </c>
      <c r="G57" s="66">
        <f t="shared" si="12"/>
        <v>-13531.47199</v>
      </c>
      <c r="H57" s="66">
        <f t="shared" si="12"/>
        <v>-9080.765876</v>
      </c>
      <c r="I57" s="66">
        <f t="shared" si="12"/>
        <v>-17793.60761</v>
      </c>
      <c r="J57" s="66">
        <f t="shared" si="12"/>
        <v>-24056.80502</v>
      </c>
      <c r="K57" s="66">
        <f t="shared" si="12"/>
        <v>-13533.53087</v>
      </c>
      <c r="L57" s="66">
        <f t="shared" si="12"/>
        <v>1199.357075</v>
      </c>
      <c r="M57" s="66">
        <f t="shared" si="12"/>
        <v>-9560.931446</v>
      </c>
      <c r="N57" s="66">
        <f t="shared" si="12"/>
        <v>-13632.80658</v>
      </c>
      <c r="O57" s="66">
        <f t="shared" si="12"/>
        <v>-8019.275017</v>
      </c>
      <c r="P57" s="66">
        <f t="shared" si="12"/>
        <v>-14340.95871</v>
      </c>
      <c r="Q57" s="66">
        <f t="shared" si="12"/>
        <v>-13383.255</v>
      </c>
      <c r="R57" s="66">
        <f t="shared" si="12"/>
        <v>-11711.80203</v>
      </c>
      <c r="S57" s="66">
        <f t="shared" si="12"/>
        <v>-5890.456098</v>
      </c>
      <c r="T57" s="66">
        <f t="shared" si="12"/>
        <v>-6513.10117</v>
      </c>
      <c r="U57" s="66">
        <f t="shared" si="12"/>
        <v>-15550.12345</v>
      </c>
      <c r="V57" s="66">
        <f t="shared" si="12"/>
        <v>-23262.94351</v>
      </c>
      <c r="W57" s="66">
        <f t="shared" si="12"/>
        <v>-11047.36847</v>
      </c>
      <c r="X57" s="66">
        <f t="shared" si="12"/>
        <v>-38250.84316</v>
      </c>
      <c r="Y57" s="66">
        <f t="shared" si="12"/>
        <v>-12931.59542</v>
      </c>
      <c r="Z57" s="66">
        <f t="shared" si="12"/>
        <v>-87361.88031</v>
      </c>
      <c r="AA57" s="66">
        <f t="shared" si="12"/>
        <v>-43672.59098</v>
      </c>
      <c r="AB57" s="66">
        <f t="shared" si="12"/>
        <v>-30869.12761</v>
      </c>
      <c r="AC57" s="66">
        <f t="shared" si="12"/>
        <v>-22774.2837</v>
      </c>
      <c r="AD57" s="66">
        <f t="shared" si="12"/>
        <v>-10469.75909</v>
      </c>
      <c r="AE57" s="66">
        <f t="shared" si="12"/>
        <v>-5746.804851</v>
      </c>
      <c r="AF57" s="66">
        <f t="shared" si="12"/>
        <v>0</v>
      </c>
      <c r="AG57" s="623">
        <f t="shared" si="10"/>
        <v>-540003.75</v>
      </c>
    </row>
    <row r="58">
      <c r="A58" s="296">
        <f>SUM(B57:AC57)</f>
        <v>-523787.1861</v>
      </c>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76"/>
    </row>
    <row r="59">
      <c r="A59" s="25"/>
      <c r="B59" s="53"/>
      <c r="C59" s="53"/>
      <c r="D59" s="120"/>
      <c r="E59" s="53"/>
      <c r="F59" s="53"/>
      <c r="G59" s="53"/>
      <c r="H59" s="22"/>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76"/>
    </row>
    <row r="60">
      <c r="A60" s="641"/>
      <c r="B60" s="642"/>
      <c r="C60" s="642"/>
      <c r="D60" s="642"/>
      <c r="E60" s="642"/>
      <c r="F60" s="642"/>
      <c r="G60" s="642"/>
      <c r="H60" s="642"/>
      <c r="I60" s="642"/>
      <c r="J60" s="642"/>
      <c r="K60" s="642"/>
      <c r="L60" s="642"/>
      <c r="M60" s="642"/>
      <c r="N60" s="642"/>
      <c r="O60" s="642"/>
      <c r="P60" s="642"/>
      <c r="Q60" s="642"/>
      <c r="R60" s="642"/>
      <c r="S60" s="642"/>
      <c r="T60" s="642"/>
      <c r="U60" s="642"/>
      <c r="V60" s="642"/>
      <c r="W60" s="642"/>
      <c r="X60" s="642"/>
      <c r="Y60" s="642"/>
      <c r="Z60" s="642"/>
      <c r="AA60" s="642"/>
      <c r="AB60" s="642"/>
      <c r="AC60" s="642"/>
      <c r="AD60" s="642"/>
      <c r="AE60" s="642"/>
      <c r="AF60" s="642"/>
      <c r="AG60" s="643"/>
    </row>
    <row r="61">
      <c r="A61" s="25"/>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76"/>
    </row>
    <row r="62">
      <c r="A62" s="72" t="s">
        <v>887</v>
      </c>
      <c r="B62" s="53"/>
      <c r="C62" s="53"/>
      <c r="D62" s="53"/>
      <c r="E62" s="53"/>
      <c r="F62" s="53"/>
      <c r="G62" s="53"/>
      <c r="H62" s="53"/>
      <c r="I62" s="53"/>
      <c r="J62" s="53"/>
      <c r="K62" s="53"/>
      <c r="L62" s="53"/>
      <c r="M62" s="53"/>
      <c r="N62" s="53"/>
      <c r="O62" s="53"/>
      <c r="P62" s="53"/>
      <c r="Q62" s="53"/>
      <c r="R62" s="53"/>
      <c r="S62" s="53"/>
      <c r="T62" s="53"/>
      <c r="U62" s="53"/>
      <c r="V62" s="53"/>
      <c r="W62" s="53"/>
      <c r="X62" s="53"/>
      <c r="Y62" s="53"/>
      <c r="Z62" s="644">
        <v>3.11</v>
      </c>
      <c r="AA62" s="645">
        <v>1.8</v>
      </c>
      <c r="AB62" s="53"/>
      <c r="AC62" s="53"/>
      <c r="AD62" s="53"/>
      <c r="AE62" s="53"/>
      <c r="AF62" s="53"/>
      <c r="AG62" s="646"/>
    </row>
    <row r="63">
      <c r="A63" s="647" t="s">
        <v>888</v>
      </c>
      <c r="B63" s="66">
        <f>B18-(B5*'OLD Formulas'!$I$15)-B31</f>
        <v>-13898.24296</v>
      </c>
      <c r="C63" s="66">
        <f>C18-(C5*'OLD Formulas'!$I$15)-C31</f>
        <v>-9219.807974</v>
      </c>
      <c r="D63" s="66">
        <f>D18-(D5*'OLD Formulas'!$I$15)-D31</f>
        <v>-14823.50317</v>
      </c>
      <c r="E63" s="66">
        <f>E18-(E5*'OLD Formulas'!$I$15)-E31</f>
        <v>-9748.396773</v>
      </c>
      <c r="F63" s="66">
        <f>F18-(F5*'OLD Formulas'!$I$15)-F31</f>
        <v>-6904.312</v>
      </c>
      <c r="G63" s="66">
        <f>G18-(G5*'OLD Formulas'!$I$15)-G31</f>
        <v>-9908.325782</v>
      </c>
      <c r="H63" s="66">
        <f>H18-(H5*'OLD Formulas'!$I$15)-H31</f>
        <v>-7613.979954</v>
      </c>
      <c r="I63" s="66">
        <f>I18-(I5*'OLD Formulas'!$I$15)-I31</f>
        <v>-15360.29854</v>
      </c>
      <c r="J63" s="66">
        <f>J18-(J5*'OLD Formulas'!$I$15)-J31</f>
        <v>-17494.98197</v>
      </c>
      <c r="K63" s="66">
        <f>K18-(K5*'OLD Formulas'!$I$15)-K31</f>
        <v>-8778.247974</v>
      </c>
      <c r="L63" s="66">
        <f>L18-(L5*'OLD Formulas'!$I$15)-L31</f>
        <v>478.111003</v>
      </c>
      <c r="M63" s="66">
        <f>M18-(M5*'OLD Formulas'!$I$15)-M31</f>
        <v>-11650.66695</v>
      </c>
      <c r="N63" s="66">
        <f>N18-(N5*'OLD Formulas'!$I$15)-N31</f>
        <v>-11080.30773</v>
      </c>
      <c r="O63" s="66">
        <f>O18-(O5*'OLD Formulas'!$I$15)-O31</f>
        <v>-8949.753347</v>
      </c>
      <c r="P63" s="66">
        <f>P18-(P5*'OLD Formulas'!$I$15)-P31</f>
        <v>-12690.13455</v>
      </c>
      <c r="Q63" s="66">
        <f>Q18-(Q5*'OLD Formulas'!$I$15)-Q31</f>
        <v>-8925.639677</v>
      </c>
      <c r="R63" s="66">
        <f>R18-(R5*'OLD Formulas'!$I$15)-R31</f>
        <v>-8785.576139</v>
      </c>
      <c r="S63" s="66">
        <f>S18-(S5*'OLD Formulas'!$I$15)-S31</f>
        <v>-5472.98299</v>
      </c>
      <c r="T63" s="66">
        <f>T18-(T5*'OLD Formulas'!$I$15)-T31</f>
        <v>-8493.358185</v>
      </c>
      <c r="U63" s="66">
        <f>U18-(U5*'OLD Formulas'!$I$15)-U31</f>
        <v>-9239.613802</v>
      </c>
      <c r="V63" s="66">
        <f>V18-(V5*'OLD Formulas'!$I$15)-V31</f>
        <v>-14574.70801</v>
      </c>
      <c r="W63" s="66">
        <f>W18-(W5*'OLD Formulas'!$I$15)-W31</f>
        <v>-14207.16147</v>
      </c>
      <c r="X63" s="66">
        <f>X18-(X5*'OLD Formulas'!$I$15)-X31</f>
        <v>-39683.78559</v>
      </c>
      <c r="Y63" s="66">
        <f>Y18-(Y5*'OLD Formulas'!$I$15)-Y31</f>
        <v>-39645.33124</v>
      </c>
      <c r="Z63" s="66">
        <f>Z18-(Z5*'OLD Formulas'!$I$15)-Z31</f>
        <v>-56234.99075</v>
      </c>
      <c r="AA63" s="66">
        <f>AA18-(AA5*'OLD Formulas'!$I$15)-AA31</f>
        <v>-39741.74089</v>
      </c>
      <c r="AB63" s="66">
        <f>AB18-(AB5*'OLD Formulas'!$I$15)-AB31</f>
        <v>-34008.5173</v>
      </c>
      <c r="AC63" s="66">
        <f>AC18-(AC5*'OLD Formulas'!$I$15)-AC31</f>
        <v>-25675.3871</v>
      </c>
      <c r="AD63" s="66">
        <f>AD18-(AD5*'OLD Formulas'!$I$15)-AD31</f>
        <v>-14000.14968</v>
      </c>
      <c r="AE63" s="66">
        <f>AE18-(AE5*'OLD Formulas'!$I$15)-AE31</f>
        <v>-3222.498654</v>
      </c>
      <c r="AF63" s="66">
        <f>AF18-(AF5*'OLD Formulas'!$I$15)-AF31</f>
        <v>0</v>
      </c>
      <c r="AG63" s="646">
        <f>SUM(B63:AF63)</f>
        <v>-479554.2901</v>
      </c>
    </row>
    <row r="64">
      <c r="A64" s="647" t="s">
        <v>323</v>
      </c>
      <c r="B64" s="648">
        <f t="shared" ref="B64:AF64" si="13">B18/B31</f>
        <v>1.665193302</v>
      </c>
      <c r="C64" s="648">
        <f t="shared" si="13"/>
        <v>2.029313854</v>
      </c>
      <c r="D64" s="648">
        <f t="shared" si="13"/>
        <v>1.735183177</v>
      </c>
      <c r="E64" s="648">
        <f t="shared" si="13"/>
        <v>2.034620199</v>
      </c>
      <c r="F64" s="648">
        <f t="shared" si="13"/>
        <v>2.355143436</v>
      </c>
      <c r="G64" s="648">
        <f t="shared" si="13"/>
        <v>2.05154315</v>
      </c>
      <c r="H64" s="648">
        <f t="shared" si="13"/>
        <v>2.052172629</v>
      </c>
      <c r="I64" s="648">
        <f t="shared" si="13"/>
        <v>1.504165059</v>
      </c>
      <c r="J64" s="648">
        <f t="shared" si="13"/>
        <v>1.527454566</v>
      </c>
      <c r="K64" s="648">
        <f t="shared" si="13"/>
        <v>1.885235758</v>
      </c>
      <c r="L64" s="648">
        <f t="shared" si="13"/>
        <v>2.675238215</v>
      </c>
      <c r="M64" s="648">
        <f t="shared" si="13"/>
        <v>1.744207513</v>
      </c>
      <c r="N64" s="648">
        <f t="shared" si="13"/>
        <v>1.675367282</v>
      </c>
      <c r="O64" s="648">
        <f t="shared" si="13"/>
        <v>1.86504344</v>
      </c>
      <c r="P64" s="648">
        <f t="shared" si="13"/>
        <v>1.678684995</v>
      </c>
      <c r="Q64" s="648">
        <f t="shared" si="13"/>
        <v>1.295209476</v>
      </c>
      <c r="R64" s="648">
        <f t="shared" si="13"/>
        <v>1.935893149</v>
      </c>
      <c r="S64" s="648">
        <f t="shared" si="13"/>
        <v>2.425515044</v>
      </c>
      <c r="T64" s="648">
        <f t="shared" si="13"/>
        <v>2.099206037</v>
      </c>
      <c r="U64" s="648">
        <f t="shared" si="13"/>
        <v>2.061221973</v>
      </c>
      <c r="V64" s="648">
        <f t="shared" si="13"/>
        <v>1.849816287</v>
      </c>
      <c r="W64" s="648">
        <f t="shared" si="13"/>
        <v>2.008647878</v>
      </c>
      <c r="X64" s="648">
        <f t="shared" si="13"/>
        <v>1.582143399</v>
      </c>
      <c r="Y64" s="648">
        <f t="shared" si="13"/>
        <v>2.233156671</v>
      </c>
      <c r="Z64" s="648">
        <f t="shared" si="13"/>
        <v>1.246447172</v>
      </c>
      <c r="AA64" s="648">
        <f t="shared" si="13"/>
        <v>1.757993682</v>
      </c>
      <c r="AB64" s="648">
        <f t="shared" si="13"/>
        <v>2.096946994</v>
      </c>
      <c r="AC64" s="648">
        <f t="shared" si="13"/>
        <v>2.042498464</v>
      </c>
      <c r="AD64" s="648">
        <f t="shared" si="13"/>
        <v>1.109666486</v>
      </c>
      <c r="AE64" s="648">
        <f t="shared" si="13"/>
        <v>1.64953842</v>
      </c>
      <c r="AF64" s="648" t="str">
        <f t="shared" si="13"/>
        <v>#DIV/0!</v>
      </c>
      <c r="AG64" s="646"/>
    </row>
    <row r="65">
      <c r="A65" s="647" t="s">
        <v>889</v>
      </c>
      <c r="B65" s="649">
        <f t="shared" ref="B65:AF65" si="14">B31/B5</f>
        <v>135.5915966</v>
      </c>
      <c r="C65" s="649">
        <f t="shared" si="14"/>
        <v>110.3009506</v>
      </c>
      <c r="D65" s="649">
        <f t="shared" si="14"/>
        <v>123.043098</v>
      </c>
      <c r="E65" s="649">
        <f t="shared" si="14"/>
        <v>107.5181226</v>
      </c>
      <c r="F65" s="649">
        <f t="shared" si="14"/>
        <v>92.83452145</v>
      </c>
      <c r="G65" s="649">
        <f t="shared" si="14"/>
        <v>107.1671377</v>
      </c>
      <c r="H65" s="649">
        <f t="shared" si="14"/>
        <v>110.1649785</v>
      </c>
      <c r="I65" s="649">
        <f t="shared" si="14"/>
        <v>152.3578505</v>
      </c>
      <c r="J65" s="649">
        <f t="shared" si="14"/>
        <v>150.6110277</v>
      </c>
      <c r="K65" s="649">
        <f t="shared" si="14"/>
        <v>130.1497719</v>
      </c>
      <c r="L65" s="649">
        <f t="shared" si="14"/>
        <v>89.65590604</v>
      </c>
      <c r="M65" s="649">
        <f t="shared" si="14"/>
        <v>131</v>
      </c>
      <c r="N65" s="649">
        <f t="shared" si="14"/>
        <v>136.3086735</v>
      </c>
      <c r="O65" s="649">
        <f t="shared" si="14"/>
        <v>125.1687387</v>
      </c>
      <c r="P65" s="649">
        <f t="shared" si="14"/>
        <v>135.4652232</v>
      </c>
      <c r="Q65" s="649">
        <f t="shared" si="14"/>
        <v>242.6935345</v>
      </c>
      <c r="R65" s="649">
        <f t="shared" si="14"/>
        <v>114.067</v>
      </c>
      <c r="S65" s="649">
        <f t="shared" si="14"/>
        <v>90.90552083</v>
      </c>
      <c r="T65" s="649">
        <f t="shared" si="14"/>
        <v>107.5841786</v>
      </c>
      <c r="U65" s="649">
        <f t="shared" si="14"/>
        <v>111.5655229</v>
      </c>
      <c r="V65" s="649">
        <f t="shared" si="14"/>
        <v>120.0565815</v>
      </c>
      <c r="W65" s="649">
        <f t="shared" si="14"/>
        <v>112.2784328</v>
      </c>
      <c r="X65" s="649">
        <f t="shared" si="14"/>
        <v>140.0980912</v>
      </c>
      <c r="Y65" s="649">
        <f t="shared" si="14"/>
        <v>99.97955329</v>
      </c>
      <c r="Z65" s="649">
        <f t="shared" si="14"/>
        <v>175.6223408</v>
      </c>
      <c r="AA65" s="649">
        <f t="shared" si="14"/>
        <v>124.6006948</v>
      </c>
      <c r="AB65" s="649">
        <f t="shared" si="14"/>
        <v>106.2378888</v>
      </c>
      <c r="AC65" s="649">
        <f t="shared" si="14"/>
        <v>110.1695532</v>
      </c>
      <c r="AD65" s="649">
        <f t="shared" si="14"/>
        <v>254.404569</v>
      </c>
      <c r="AE65" s="649">
        <f t="shared" si="14"/>
        <v>167.5138272</v>
      </c>
      <c r="AF65" s="649" t="str">
        <f t="shared" si="14"/>
        <v>#DIV/0!</v>
      </c>
      <c r="AG65" s="646"/>
    </row>
    <row r="66">
      <c r="A66" s="650" t="s">
        <v>890</v>
      </c>
      <c r="B66" s="651">
        <f>B18/('OLD Formulas'!$I$15*B5+B31)</f>
        <v>0.7945121849</v>
      </c>
      <c r="C66" s="651">
        <f>C18/('OLD Formulas'!$I$15*C5+C31)</f>
        <v>0.8645907759</v>
      </c>
      <c r="D66" s="651">
        <f>D18/('OLD Formulas'!$I$15*D5+D31)</f>
        <v>0.7859934712</v>
      </c>
      <c r="E66" s="651">
        <f>E18/('OLD Formulas'!$I$15*E5+E31)</f>
        <v>0.8541627996</v>
      </c>
      <c r="F66" s="651">
        <f>F18/('OLD Formulas'!$I$15*F5+F31)</f>
        <v>0.9056166647</v>
      </c>
      <c r="G66" s="651">
        <f>G18/('OLD Formulas'!$I$15*G5+G31)</f>
        <v>0.8596338421</v>
      </c>
      <c r="H66" s="651">
        <f>H18/('OLD Formulas'!$I$15*H5+H31)</f>
        <v>0.8737108369</v>
      </c>
      <c r="I66" s="651">
        <f>I18/('OLD Formulas'!$I$15*I5+I31)</f>
        <v>0.7614970414</v>
      </c>
      <c r="J66" s="651">
        <f>J18/('OLD Formulas'!$I$15*J5+J31)</f>
        <v>0.7688845253</v>
      </c>
      <c r="K66" s="651">
        <f>K18/('OLD Formulas'!$I$15*K5+K31)</f>
        <v>0.8802564249</v>
      </c>
      <c r="L66" s="651">
        <f>L18/('OLD Formulas'!$I$15*L5+L31)</f>
        <v>1.006734199</v>
      </c>
      <c r="M66" s="651">
        <f>M18/('OLD Formulas'!$I$15*M5+M31)</f>
        <v>0.8172348558</v>
      </c>
      <c r="N66" s="651">
        <f>N18/('OLD Formulas'!$I$15*N5+N31)</f>
        <v>0.8015713362</v>
      </c>
      <c r="O66" s="651">
        <f>O18/('OLD Formulas'!$I$15*O5+O31)</f>
        <v>0.8527385245</v>
      </c>
      <c r="P66" s="651">
        <f>P18/('OLD Formulas'!$I$15*P5+P31)</f>
        <v>0.800558969</v>
      </c>
      <c r="Q66" s="651">
        <f>Q18/('OLD Formulas'!$I$15*Q5+Q31)</f>
        <v>0.8033521865</v>
      </c>
      <c r="R66" s="651">
        <f>R18/('OLD Formulas'!$I$15*R5+R31)</f>
        <v>0.8407200982</v>
      </c>
      <c r="S66" s="651">
        <f>S18/('OLD Formulas'!$I$15*S5+S31)</f>
        <v>0.9206525223</v>
      </c>
      <c r="T66" s="651">
        <f>T18/('OLD Formulas'!$I$15*T5+T31)</f>
        <v>0.8815909116</v>
      </c>
      <c r="U66" s="651">
        <f>U18/('OLD Formulas'!$I$15*U5+U31)</f>
        <v>0.8839357846</v>
      </c>
      <c r="V66" s="651">
        <f>V18/('OLD Formulas'!$I$15*V5+V31)</f>
        <v>0.8266702001</v>
      </c>
      <c r="W66" s="651">
        <f>W18/('OLD Formulas'!$I$15*W5+W31)</f>
        <v>0.8645251328</v>
      </c>
      <c r="X66" s="651">
        <f>X18/('OLD Formulas'!$I$15*X5+X31)</f>
        <v>0.7678003209</v>
      </c>
      <c r="Y66" s="651">
        <f>Y18/('OLD Formulas'!$I$15*Y5+Y31)</f>
        <v>0.8982172752</v>
      </c>
      <c r="Z66" s="651">
        <f>Z18/('OLD Formulas'!$I$15*Z5+Z31)</f>
        <v>0.675185787</v>
      </c>
      <c r="AA66" s="651">
        <f>AA18/('OLD Formulas'!$I$15*AA5+AA31)</f>
        <v>0.8018089813</v>
      </c>
      <c r="AB66" s="651">
        <f>AB18/('OLD Formulas'!$I$15*AB5+AB31)</f>
        <v>0.8742163091</v>
      </c>
      <c r="AC66" s="651">
        <f>AC18/('OLD Formulas'!$I$15*AC5+AC31)</f>
        <v>0.869612805</v>
      </c>
      <c r="AD66" s="651">
        <f>AD18/('OLD Formulas'!$I$15*AD5+AD31)</f>
        <v>0.700515156</v>
      </c>
      <c r="AE66" s="651">
        <f>AE18/('OLD Formulas'!$I$15*AE5+AE31)</f>
        <v>0.8741430664</v>
      </c>
      <c r="AF66" s="651" t="str">
        <f>AF18/('OLD Formulas'!$I$15*AF5+AF31)</f>
        <v>#DIV/0!</v>
      </c>
      <c r="AG66" s="646"/>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646"/>
    </row>
    <row r="68">
      <c r="A68" s="652" t="s">
        <v>892</v>
      </c>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120"/>
      <c r="AB68" s="53"/>
      <c r="AC68" s="53"/>
      <c r="AD68" s="53"/>
      <c r="AE68" s="53"/>
      <c r="AF68" s="53"/>
      <c r="AG68" s="576"/>
    </row>
    <row r="69">
      <c r="A69" s="653" t="s">
        <v>888</v>
      </c>
      <c r="B69" s="66">
        <f>B19-(B6*'OLD Formulas'!$I$15)-B32</f>
        <v>3209.242337</v>
      </c>
      <c r="C69" s="66">
        <f>C19-(C6*'OLD Formulas'!$I$15)-C32</f>
        <v>4327.65633</v>
      </c>
      <c r="D69" s="66">
        <f>D19-(D6*'OLD Formulas'!$I$15)-D32</f>
        <v>3539.672726</v>
      </c>
      <c r="E69" s="66">
        <f>E19-(E6*'OLD Formulas'!$I$15)-E32</f>
        <v>2976.293115</v>
      </c>
      <c r="F69" s="66">
        <f>F19-(F6*'OLD Formulas'!$I$15)-F32</f>
        <v>404.5241055</v>
      </c>
      <c r="G69" s="66">
        <f>G19-(G6*'OLD Formulas'!$I$15)-G32</f>
        <v>2319.737709</v>
      </c>
      <c r="H69" s="66">
        <f>H19-(H6*'OLD Formulas'!$I$15)-H32</f>
        <v>3076.615518</v>
      </c>
      <c r="I69" s="66">
        <f>I19-(I6*'OLD Formulas'!$I$15)-I32</f>
        <v>2669.203716</v>
      </c>
      <c r="J69" s="66">
        <f>J19-(J6*'OLD Formulas'!$I$15)-J32</f>
        <v>-887.3497098</v>
      </c>
      <c r="K69" s="66">
        <f>K19-(K6*'OLD Formulas'!$I$15)-K32</f>
        <v>1617.37969</v>
      </c>
      <c r="L69" s="66">
        <f>L19-(L6*'OLD Formulas'!$I$15)-L32</f>
        <v>7288.528878</v>
      </c>
      <c r="M69" s="66">
        <f>M19-(M6*'OLD Formulas'!$I$15)-M32</f>
        <v>7725.086086</v>
      </c>
      <c r="N69" s="66">
        <f>N19-(N6*'OLD Formulas'!$I$15)-N32</f>
        <v>3986.374884</v>
      </c>
      <c r="O69" s="66">
        <f>O19-(O6*'OLD Formulas'!$I$15)-O32</f>
        <v>6242.255696</v>
      </c>
      <c r="P69" s="66">
        <f>P19-(P6*'OLD Formulas'!$I$15)-P32</f>
        <v>5209.260501</v>
      </c>
      <c r="Q69" s="66">
        <f>Q19-(Q6*'OLD Formulas'!$I$15)-Q32</f>
        <v>5939.977498</v>
      </c>
      <c r="R69" s="66">
        <f>R19-(R6*'OLD Formulas'!$I$15)-R32</f>
        <v>6322.567676</v>
      </c>
      <c r="S69" s="66">
        <f>S19-(S6*'OLD Formulas'!$I$15)-S32</f>
        <v>10600.55185</v>
      </c>
      <c r="T69" s="66">
        <f>T19-(T6*'OLD Formulas'!$I$15)-T32</f>
        <v>11382.54404</v>
      </c>
      <c r="U69" s="66">
        <f>U19-(U6*'OLD Formulas'!$I$15)-U32</f>
        <v>10293.10365</v>
      </c>
      <c r="V69" s="66">
        <f>V19-(V6*'OLD Formulas'!$I$15)-V32</f>
        <v>10823.06803</v>
      </c>
      <c r="W69" s="66">
        <f>W19-(W6*'OLD Formulas'!$I$15)-W32</f>
        <v>9583.219234</v>
      </c>
      <c r="X69" s="66">
        <f>X19-(X6*'OLD Formulas'!$I$15)-X32</f>
        <v>18744.86175</v>
      </c>
      <c r="Y69" s="66">
        <f>Y19-(Y6*'OLD Formulas'!$I$15)-Y32</f>
        <v>76867.69369</v>
      </c>
      <c r="Z69" s="66">
        <f>Z19-(Z6*'OLD Formulas'!$I$15)-Z32</f>
        <v>1328.528033</v>
      </c>
      <c r="AA69" s="66">
        <f>AA19-(AA6*'OLD Formulas'!$I$15)-AA32</f>
        <v>30869.77384</v>
      </c>
      <c r="AB69" s="66">
        <f>AB19-(AB6*'OLD Formulas'!$I$15)-AB32</f>
        <v>5093.943227</v>
      </c>
      <c r="AC69" s="66">
        <f>AC19-(AC6*'OLD Formulas'!$I$15)-AC32</f>
        <v>576.6146731</v>
      </c>
      <c r="AD69" s="66">
        <f>AD19-(AD6*'OLD Formulas'!$I$15)-AD32</f>
        <v>3405.892548</v>
      </c>
      <c r="AE69" s="66">
        <f>AE19-(AE6*'OLD Formulas'!$I$15)-AE32</f>
        <v>-1517.674416</v>
      </c>
      <c r="AF69" s="66">
        <f>AF19-(AF6*'OLD Formulas'!$I$15)-AF32</f>
        <v>0</v>
      </c>
      <c r="AG69" s="646">
        <f>SUM(B69:AF69)</f>
        <v>254019.1469</v>
      </c>
    </row>
    <row r="70">
      <c r="A70" s="653" t="s">
        <v>323</v>
      </c>
      <c r="B70" s="648">
        <f t="shared" ref="B70:AF70" si="15">B19/B32</f>
        <v>4.7662032</v>
      </c>
      <c r="C70" s="648">
        <f t="shared" si="15"/>
        <v>4.763822185</v>
      </c>
      <c r="D70" s="648">
        <f t="shared" si="15"/>
        <v>4.347268524</v>
      </c>
      <c r="E70" s="648">
        <f t="shared" si="15"/>
        <v>4.191454879</v>
      </c>
      <c r="F70" s="648">
        <f t="shared" si="15"/>
        <v>3.449942069</v>
      </c>
      <c r="G70" s="648">
        <f t="shared" si="15"/>
        <v>3.635125321</v>
      </c>
      <c r="H70" s="648">
        <f t="shared" si="15"/>
        <v>3.712308152</v>
      </c>
      <c r="I70" s="648">
        <f t="shared" si="15"/>
        <v>3.409567703</v>
      </c>
      <c r="J70" s="648">
        <f t="shared" si="15"/>
        <v>3.290186904</v>
      </c>
      <c r="K70" s="648">
        <f t="shared" si="15"/>
        <v>3.406920805</v>
      </c>
      <c r="L70" s="648">
        <f t="shared" si="15"/>
        <v>4.486635053</v>
      </c>
      <c r="M70" s="648">
        <f t="shared" si="15"/>
        <v>5.330917283</v>
      </c>
      <c r="N70" s="648">
        <f t="shared" si="15"/>
        <v>4.594740053</v>
      </c>
      <c r="O70" s="648">
        <f t="shared" si="15"/>
        <v>4.932938767</v>
      </c>
      <c r="P70" s="648">
        <f t="shared" si="15"/>
        <v>4.700726905</v>
      </c>
      <c r="Q70" s="648">
        <f t="shared" si="15"/>
        <v>4.501425574</v>
      </c>
      <c r="R70" s="648">
        <f t="shared" si="15"/>
        <v>4.747835126</v>
      </c>
      <c r="S70" s="648">
        <f t="shared" si="15"/>
        <v>5.76165759</v>
      </c>
      <c r="T70" s="648">
        <f t="shared" si="15"/>
        <v>5.515187039</v>
      </c>
      <c r="U70" s="648">
        <f t="shared" si="15"/>
        <v>5.319634869</v>
      </c>
      <c r="V70" s="648">
        <f t="shared" si="15"/>
        <v>5.548100922</v>
      </c>
      <c r="W70" s="648">
        <f t="shared" si="15"/>
        <v>5.739933592</v>
      </c>
      <c r="X70" s="648">
        <f t="shared" si="15"/>
        <v>5.591133736</v>
      </c>
      <c r="Y70" s="648">
        <f t="shared" si="15"/>
        <v>12.07641024</v>
      </c>
      <c r="Z70" s="648">
        <f t="shared" si="15"/>
        <v>2.988689258</v>
      </c>
      <c r="AA70" s="648">
        <f t="shared" si="15"/>
        <v>7.488214664</v>
      </c>
      <c r="AB70" s="648">
        <f t="shared" si="15"/>
        <v>3.422207795</v>
      </c>
      <c r="AC70" s="648">
        <f t="shared" si="15"/>
        <v>2.801959706</v>
      </c>
      <c r="AD70" s="648">
        <f t="shared" si="15"/>
        <v>2.894335587</v>
      </c>
      <c r="AE70" s="648">
        <f t="shared" si="15"/>
        <v>1.376661512</v>
      </c>
      <c r="AF70" s="648" t="str">
        <f t="shared" si="15"/>
        <v>#DIV/0!</v>
      </c>
      <c r="AG70" s="646"/>
    </row>
    <row r="71">
      <c r="A71" s="653" t="s">
        <v>889</v>
      </c>
      <c r="B71" s="649">
        <f t="shared" ref="B71:AF71" si="16">B32/B6</f>
        <v>48.32989583</v>
      </c>
      <c r="C71" s="649">
        <f t="shared" si="16"/>
        <v>50.32584906</v>
      </c>
      <c r="D71" s="649">
        <f t="shared" si="16"/>
        <v>53.83339286</v>
      </c>
      <c r="E71" s="649">
        <f t="shared" si="16"/>
        <v>53.8446875</v>
      </c>
      <c r="F71" s="649">
        <f t="shared" si="16"/>
        <v>61.80531469</v>
      </c>
      <c r="G71" s="649">
        <f t="shared" si="16"/>
        <v>62.81408759</v>
      </c>
      <c r="H71" s="649">
        <f t="shared" si="16"/>
        <v>63.93153226</v>
      </c>
      <c r="I71" s="649">
        <f t="shared" si="16"/>
        <v>70.38937008</v>
      </c>
      <c r="J71" s="649">
        <f t="shared" si="16"/>
        <v>62.5473494</v>
      </c>
      <c r="K71" s="649">
        <f t="shared" si="16"/>
        <v>65.75850299</v>
      </c>
      <c r="L71" s="649">
        <f t="shared" si="16"/>
        <v>53.91675676</v>
      </c>
      <c r="M71" s="649">
        <f t="shared" si="16"/>
        <v>44.61971098</v>
      </c>
      <c r="N71" s="649">
        <f t="shared" si="16"/>
        <v>47.6724</v>
      </c>
      <c r="O71" s="649">
        <f t="shared" si="16"/>
        <v>47.89044586</v>
      </c>
      <c r="P71" s="649">
        <f t="shared" si="16"/>
        <v>49.59892617</v>
      </c>
      <c r="Q71" s="649">
        <f t="shared" si="16"/>
        <v>53.45305195</v>
      </c>
      <c r="R71" s="649">
        <f t="shared" si="16"/>
        <v>48.66839572</v>
      </c>
      <c r="S71" s="649">
        <f t="shared" si="16"/>
        <v>40.88491304</v>
      </c>
      <c r="T71" s="649">
        <f t="shared" si="16"/>
        <v>43.28333333</v>
      </c>
      <c r="U71" s="649">
        <f t="shared" si="16"/>
        <v>44.8960793</v>
      </c>
      <c r="V71" s="649">
        <f t="shared" si="16"/>
        <v>42.07679842</v>
      </c>
      <c r="W71" s="649">
        <f t="shared" si="16"/>
        <v>39.40366534</v>
      </c>
      <c r="X71" s="649">
        <f t="shared" si="16"/>
        <v>43.109</v>
      </c>
      <c r="Y71" s="649">
        <f t="shared" si="16"/>
        <v>19.86464684</v>
      </c>
      <c r="Z71" s="649">
        <f t="shared" si="16"/>
        <v>77.35833992</v>
      </c>
      <c r="AA71" s="649">
        <f t="shared" si="16"/>
        <v>31.66372007</v>
      </c>
      <c r="AB71" s="649">
        <f t="shared" si="16"/>
        <v>69.40264368</v>
      </c>
      <c r="AC71" s="649">
        <f t="shared" si="16"/>
        <v>84.1271875</v>
      </c>
      <c r="AD71" s="649">
        <f t="shared" si="16"/>
        <v>101.1981013</v>
      </c>
      <c r="AE71" s="649">
        <f t="shared" si="16"/>
        <v>226.6070833</v>
      </c>
      <c r="AF71" s="649" t="str">
        <f t="shared" si="16"/>
        <v>#DIV/0!</v>
      </c>
      <c r="AG71" s="646"/>
    </row>
    <row r="72">
      <c r="A72" s="657" t="s">
        <v>890</v>
      </c>
      <c r="B72" s="651">
        <f>B19/('OLD Formulas'!$I$15*B6+B32)</f>
        <v>1.169761951</v>
      </c>
      <c r="C72" s="651">
        <f>C19/('OLD Formulas'!$I$15*C6+C32)</f>
        <v>1.205246708</v>
      </c>
      <c r="D72" s="651">
        <f>D19/('OLD Formulas'!$I$15*D6+D32)</f>
        <v>1.156128828</v>
      </c>
      <c r="E72" s="651">
        <f>E19/('OLD Formulas'!$I$15*E6+E32)</f>
        <v>1.114862829</v>
      </c>
      <c r="F72" s="651">
        <f>F19/('OLD Formulas'!$I$15*F6+F32)</f>
        <v>1.013445318</v>
      </c>
      <c r="G72" s="651">
        <f>G19/('OLD Formulas'!$I$15*G6+G32)</f>
        <v>1.080094686</v>
      </c>
      <c r="H72" s="651">
        <f>H19/('OLD Formulas'!$I$15*H6+H32)</f>
        <v>1.116747442</v>
      </c>
      <c r="I72" s="651">
        <f>I19/('OLD Formulas'!$I$15*I6+I32)</f>
        <v>1.095978422</v>
      </c>
      <c r="J72" s="651">
        <f>J19/('OLD Formulas'!$I$15*J6+J32)</f>
        <v>0.9746825231</v>
      </c>
      <c r="K72" s="651">
        <f>K19/('OLD Formulas'!$I$15*K6+K32)</f>
        <v>1.045182873</v>
      </c>
      <c r="L72" s="651">
        <f>L19/('OLD Formulas'!$I$15*L6+L32)</f>
        <v>1.194548257</v>
      </c>
      <c r="M72" s="651">
        <f>M19/('OLD Formulas'!$I$15*M6+M32)</f>
        <v>1.231114356</v>
      </c>
      <c r="N72" s="651">
        <f>N19/('OLD Formulas'!$I$15*N6+N32)</f>
        <v>1.116065101</v>
      </c>
      <c r="O72" s="651">
        <f>O19/('OLD Formulas'!$I$15*O6+O32)</f>
        <v>1.202358401</v>
      </c>
      <c r="P72" s="651">
        <f>P19/('OLD Formulas'!$I$15*P6+P32)</f>
        <v>1.176404275</v>
      </c>
      <c r="Q72" s="651">
        <f>Q19/('OLD Formulas'!$I$15*Q6+Q32)</f>
        <v>1.190905688</v>
      </c>
      <c r="R72" s="651">
        <f>R19/('OLD Formulas'!$I$15*R6+R32)</f>
        <v>1.171401675</v>
      </c>
      <c r="S72" s="651">
        <f>S19/('OLD Formulas'!$I$15*S6+S32)</f>
        <v>1.243247029</v>
      </c>
      <c r="T72" s="651">
        <f>T19/('OLD Formulas'!$I$15*T6+T32)</f>
        <v>1.244127715</v>
      </c>
      <c r="U72" s="651">
        <f>U19/('OLD Formulas'!$I$15*U6+U32)</f>
        <v>1.234352406</v>
      </c>
      <c r="V72" s="651">
        <f>V19/('OLD Formulas'!$I$15*V6+V32)</f>
        <v>1.22436413</v>
      </c>
      <c r="W72" s="651">
        <f>W19/('OLD Formulas'!$I$15*W6+W32)</f>
        <v>1.203092132</v>
      </c>
      <c r="X72" s="651">
        <f>X19/('OLD Formulas'!$I$15*X6+X32)</f>
        <v>1.257322307</v>
      </c>
      <c r="Y72" s="651">
        <f>Y19/('OLD Formulas'!$I$15*Y6+Y32)</f>
        <v>1.424079262</v>
      </c>
      <c r="Z72" s="651">
        <f>Z19/('OLD Formulas'!$I$15*Z6+Z32)</f>
        <v>1.023240202</v>
      </c>
      <c r="AA72" s="651">
        <f>AA19/('OLD Formulas'!$I$15*AA6+AA32)</f>
        <v>1.315390011</v>
      </c>
      <c r="AB72" s="651">
        <f>AB19/('OLD Formulas'!$I$15*AB6+AB32)</f>
        <v>1.089530407</v>
      </c>
      <c r="AC72" s="651">
        <f>AC19/('OLD Formulas'!$I$15*AC6+AC32)</f>
        <v>1.012904907</v>
      </c>
      <c r="AD72" s="651">
        <f>AD19/('OLD Formulas'!$I$15*AD6+AD32)</f>
        <v>1.172596133</v>
      </c>
      <c r="AE72" s="651">
        <f>AE19/('OLD Formulas'!$I$15*AE6+AE32)</f>
        <v>0.8314583573</v>
      </c>
      <c r="AF72" s="651" t="str">
        <f>AF19/('OLD Formulas'!$I$15*AF6+AF32)</f>
        <v>#DIV/0!</v>
      </c>
      <c r="AG72" s="646"/>
    </row>
    <row r="73">
      <c r="A73" s="25"/>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646"/>
    </row>
    <row r="74">
      <c r="A74" s="659" t="s">
        <v>893</v>
      </c>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646"/>
    </row>
    <row r="75">
      <c r="A75" s="595" t="s">
        <v>888</v>
      </c>
      <c r="B75" s="66">
        <f>B20-(B7*'OLD Formulas'!$I$15)-B33</f>
        <v>0</v>
      </c>
      <c r="C75" s="66">
        <f>C20-(C7*'OLD Formulas'!$I$15)-C33</f>
        <v>0</v>
      </c>
      <c r="D75" s="66">
        <f>D20-(D7*'OLD Formulas'!$I$15)-D33</f>
        <v>0</v>
      </c>
      <c r="E75" s="66">
        <f>E20-(E7*'OLD Formulas'!$I$15)-E33</f>
        <v>0</v>
      </c>
      <c r="F75" s="66">
        <f>F20-(F7*'OLD Formulas'!$I$15)-F33</f>
        <v>0</v>
      </c>
      <c r="G75" s="66">
        <f>G20-(G7*'OLD Formulas'!$I$15)-G33</f>
        <v>0</v>
      </c>
      <c r="H75" s="66">
        <f>H20-(H7*'OLD Formulas'!$I$15)-H33</f>
        <v>0</v>
      </c>
      <c r="I75" s="66">
        <f>I20-(I7*'OLD Formulas'!$I$15)-I33</f>
        <v>0</v>
      </c>
      <c r="J75" s="66">
        <f>J20-(J8*'OLD Formulas'!$I$15)-J33</f>
        <v>-2377.449611</v>
      </c>
      <c r="K75" s="66">
        <f>K20-(K7*'OLD Formulas'!$I$15)-K33</f>
        <v>0</v>
      </c>
      <c r="L75" s="66">
        <f>L20-(L7*'OLD Formulas'!$I$15)-L33</f>
        <v>0</v>
      </c>
      <c r="M75" s="66">
        <f>M20-(M7*'OLD Formulas'!$I$15)-M33</f>
        <v>0</v>
      </c>
      <c r="N75" s="66">
        <f>N20-(N7*'OLD Formulas'!$I$15)-N33</f>
        <v>0</v>
      </c>
      <c r="O75" s="66">
        <f>O20-(O7*'OLD Formulas'!$I$15)-O33</f>
        <v>0</v>
      </c>
      <c r="P75" s="66">
        <f>P20-(P7*'OLD Formulas'!$I$15)-P33</f>
        <v>-6588.6</v>
      </c>
      <c r="Q75" s="66">
        <f>Q20-(Q7*'OLD Formulas'!$I$15)-Q33</f>
        <v>-400.43</v>
      </c>
      <c r="R75" s="66">
        <f>R20-(R7*'OLD Formulas'!$I$15)-R33</f>
        <v>-189.07</v>
      </c>
      <c r="S75" s="66">
        <f>S20-(S7*'OLD Formulas'!$I$15)-S33</f>
        <v>0</v>
      </c>
      <c r="T75" s="66">
        <f>T20-(T7*'OLD Formulas'!$I$15)-T33</f>
        <v>0</v>
      </c>
      <c r="U75" s="66">
        <f>U20-(U7*'OLD Formulas'!$I$15)-U33</f>
        <v>0</v>
      </c>
      <c r="V75" s="66">
        <f>V20-(V7*'OLD Formulas'!$I$15)-V33</f>
        <v>0</v>
      </c>
      <c r="W75" s="66">
        <f>W20-(W7*'OLD Formulas'!$I$15)-W33</f>
        <v>0</v>
      </c>
      <c r="X75" s="66">
        <f>X20-(X7*'OLD Formulas'!$I$15)-X33</f>
        <v>0</v>
      </c>
      <c r="Y75" s="66">
        <f>Y20-(Y7*'OLD Formulas'!$I$15)-Y33</f>
        <v>0</v>
      </c>
      <c r="Z75" s="66">
        <f>Z20-(Z7*'OLD Formulas'!$I$15)-Z33</f>
        <v>0</v>
      </c>
      <c r="AA75" s="66">
        <f>AA20-(AA7*'OLD Formulas'!$I$15)-AA33</f>
        <v>0</v>
      </c>
      <c r="AB75" s="66">
        <f>AB20-(AB7*'OLD Formulas'!$I$15)-AB33</f>
        <v>0</v>
      </c>
      <c r="AC75" s="66">
        <f>AC20-(AC7*'OLD Formulas'!$I$15)-AC33</f>
        <v>0</v>
      </c>
      <c r="AD75" s="66">
        <f>AD20-(AD7*'OLD Formulas'!$I$15)-AD33</f>
        <v>0</v>
      </c>
      <c r="AE75" s="66">
        <f>AE20-(AE7*'OLD Formulas'!$I$15)-AE33</f>
        <v>0</v>
      </c>
      <c r="AF75" s="66">
        <f>AF20-(AF7*'OLD Formulas'!$I$15)-AF33</f>
        <v>0</v>
      </c>
      <c r="AG75" s="646">
        <f>SUM(B75:AF75)</f>
        <v>-9555.549611</v>
      </c>
    </row>
    <row r="76">
      <c r="A76" s="595" t="s">
        <v>323</v>
      </c>
      <c r="B76" s="648" t="str">
        <f t="shared" ref="B76:AF76" si="17">B20/B33</f>
        <v>#DIV/0!</v>
      </c>
      <c r="C76" s="648" t="str">
        <f t="shared" si="17"/>
        <v>#DIV/0!</v>
      </c>
      <c r="D76" s="648" t="str">
        <f t="shared" si="17"/>
        <v>#DIV/0!</v>
      </c>
      <c r="E76" s="648" t="str">
        <f t="shared" si="17"/>
        <v>#DIV/0!</v>
      </c>
      <c r="F76" s="648" t="str">
        <f t="shared" si="17"/>
        <v>#DIV/0!</v>
      </c>
      <c r="G76" s="648" t="str">
        <f t="shared" si="17"/>
        <v>#DIV/0!</v>
      </c>
      <c r="H76" s="648" t="str">
        <f t="shared" si="17"/>
        <v>#DIV/0!</v>
      </c>
      <c r="I76" s="648" t="str">
        <f t="shared" si="17"/>
        <v>#DIV/0!</v>
      </c>
      <c r="J76" s="648" t="str">
        <f t="shared" si="17"/>
        <v>#DIV/0!</v>
      </c>
      <c r="K76" s="648" t="str">
        <f t="shared" si="17"/>
        <v>#DIV/0!</v>
      </c>
      <c r="L76" s="648" t="str">
        <f t="shared" si="17"/>
        <v>#DIV/0!</v>
      </c>
      <c r="M76" s="648" t="str">
        <f t="shared" si="17"/>
        <v>#DIV/0!</v>
      </c>
      <c r="N76" s="648" t="str">
        <f t="shared" si="17"/>
        <v>#DIV/0!</v>
      </c>
      <c r="O76" s="648" t="str">
        <f t="shared" si="17"/>
        <v>#DIV/0!</v>
      </c>
      <c r="P76" s="648">
        <f t="shared" si="17"/>
        <v>0</v>
      </c>
      <c r="Q76" s="648">
        <f t="shared" si="17"/>
        <v>0</v>
      </c>
      <c r="R76" s="648">
        <f t="shared" si="17"/>
        <v>0</v>
      </c>
      <c r="S76" s="648" t="str">
        <f t="shared" si="17"/>
        <v>#DIV/0!</v>
      </c>
      <c r="T76" s="648" t="str">
        <f t="shared" si="17"/>
        <v>#DIV/0!</v>
      </c>
      <c r="U76" s="648" t="str">
        <f t="shared" si="17"/>
        <v>#DIV/0!</v>
      </c>
      <c r="V76" s="648" t="str">
        <f t="shared" si="17"/>
        <v>#DIV/0!</v>
      </c>
      <c r="W76" s="648" t="str">
        <f t="shared" si="17"/>
        <v>#DIV/0!</v>
      </c>
      <c r="X76" s="648" t="str">
        <f t="shared" si="17"/>
        <v>#DIV/0!</v>
      </c>
      <c r="Y76" s="648" t="str">
        <f t="shared" si="17"/>
        <v>#DIV/0!</v>
      </c>
      <c r="Z76" s="648" t="str">
        <f t="shared" si="17"/>
        <v>#DIV/0!</v>
      </c>
      <c r="AA76" s="648" t="str">
        <f t="shared" si="17"/>
        <v>#DIV/0!</v>
      </c>
      <c r="AB76" s="648" t="str">
        <f t="shared" si="17"/>
        <v>#DIV/0!</v>
      </c>
      <c r="AC76" s="648" t="str">
        <f t="shared" si="17"/>
        <v>#DIV/0!</v>
      </c>
      <c r="AD76" s="648" t="str">
        <f t="shared" si="17"/>
        <v>#DIV/0!</v>
      </c>
      <c r="AE76" s="648" t="str">
        <f t="shared" si="17"/>
        <v>#DIV/0!</v>
      </c>
      <c r="AF76" s="648" t="str">
        <f t="shared" si="17"/>
        <v>#DIV/0!</v>
      </c>
      <c r="AG76" s="646"/>
    </row>
    <row r="77">
      <c r="A77" s="595" t="s">
        <v>889</v>
      </c>
      <c r="B77" s="649" t="str">
        <f t="shared" ref="B77:I77" si="18">B33/B7</f>
        <v>#DIV/0!</v>
      </c>
      <c r="C77" s="649" t="str">
        <f t="shared" si="18"/>
        <v>#DIV/0!</v>
      </c>
      <c r="D77" s="649" t="str">
        <f t="shared" si="18"/>
        <v>#DIV/0!</v>
      </c>
      <c r="E77" s="649" t="str">
        <f t="shared" si="18"/>
        <v>#DIV/0!</v>
      </c>
      <c r="F77" s="649" t="str">
        <f t="shared" si="18"/>
        <v>#DIV/0!</v>
      </c>
      <c r="G77" s="649" t="str">
        <f t="shared" si="18"/>
        <v>#DIV/0!</v>
      </c>
      <c r="H77" s="649" t="str">
        <f t="shared" si="18"/>
        <v>#DIV/0!</v>
      </c>
      <c r="I77" s="649" t="str">
        <f t="shared" si="18"/>
        <v>#DIV/0!</v>
      </c>
      <c r="J77" s="649">
        <f>J33/J8</f>
        <v>0</v>
      </c>
      <c r="K77" s="649" t="str">
        <f t="shared" ref="K77:AF77" si="19">K33/K7</f>
        <v>#DIV/0!</v>
      </c>
      <c r="L77" s="649" t="str">
        <f t="shared" si="19"/>
        <v>#DIV/0!</v>
      </c>
      <c r="M77" s="649" t="str">
        <f t="shared" si="19"/>
        <v>#DIV/0!</v>
      </c>
      <c r="N77" s="649" t="str">
        <f t="shared" si="19"/>
        <v>#DIV/0!</v>
      </c>
      <c r="O77" s="649" t="str">
        <f t="shared" si="19"/>
        <v>#DIV/0!</v>
      </c>
      <c r="P77" s="649" t="str">
        <f t="shared" si="19"/>
        <v>#DIV/0!</v>
      </c>
      <c r="Q77" s="649" t="str">
        <f t="shared" si="19"/>
        <v>#DIV/0!</v>
      </c>
      <c r="R77" s="649" t="str">
        <f t="shared" si="19"/>
        <v>#DIV/0!</v>
      </c>
      <c r="S77" s="649" t="str">
        <f t="shared" si="19"/>
        <v>#DIV/0!</v>
      </c>
      <c r="T77" s="649" t="str">
        <f t="shared" si="19"/>
        <v>#DIV/0!</v>
      </c>
      <c r="U77" s="649" t="str">
        <f t="shared" si="19"/>
        <v>#DIV/0!</v>
      </c>
      <c r="V77" s="649" t="str">
        <f t="shared" si="19"/>
        <v>#DIV/0!</v>
      </c>
      <c r="W77" s="649" t="str">
        <f t="shared" si="19"/>
        <v>#DIV/0!</v>
      </c>
      <c r="X77" s="649" t="str">
        <f t="shared" si="19"/>
        <v>#DIV/0!</v>
      </c>
      <c r="Y77" s="649" t="str">
        <f t="shared" si="19"/>
        <v>#DIV/0!</v>
      </c>
      <c r="Z77" s="649" t="str">
        <f t="shared" si="19"/>
        <v>#DIV/0!</v>
      </c>
      <c r="AA77" s="649" t="str">
        <f t="shared" si="19"/>
        <v>#DIV/0!</v>
      </c>
      <c r="AB77" s="649" t="str">
        <f t="shared" si="19"/>
        <v>#DIV/0!</v>
      </c>
      <c r="AC77" s="649" t="str">
        <f t="shared" si="19"/>
        <v>#DIV/0!</v>
      </c>
      <c r="AD77" s="649" t="str">
        <f t="shared" si="19"/>
        <v>#DIV/0!</v>
      </c>
      <c r="AE77" s="649" t="str">
        <f t="shared" si="19"/>
        <v>#DIV/0!</v>
      </c>
      <c r="AF77" s="649" t="str">
        <f t="shared" si="19"/>
        <v>#DIV/0!</v>
      </c>
      <c r="AG77" s="646"/>
    </row>
    <row r="78">
      <c r="A78" s="50" t="s">
        <v>890</v>
      </c>
      <c r="B78" s="651" t="str">
        <f>B20/('OLD Formulas'!$I$15*B7+B33)</f>
        <v>#DIV/0!</v>
      </c>
      <c r="C78" s="651" t="str">
        <f>C20/('OLD Formulas'!$I$15*C7+C33)</f>
        <v>#DIV/0!</v>
      </c>
      <c r="D78" s="651" t="str">
        <f>D20/('OLD Formulas'!$I$15*D7+D33)</f>
        <v>#DIV/0!</v>
      </c>
      <c r="E78" s="651" t="str">
        <f>E20/('OLD Formulas'!$I$15*E7+E33)</f>
        <v>#DIV/0!</v>
      </c>
      <c r="F78" s="651" t="str">
        <f>F20/('OLD Formulas'!$I$15*F7+F33)</f>
        <v>#DIV/0!</v>
      </c>
      <c r="G78" s="651" t="str">
        <f>G20/('OLD Formulas'!$I$15*G7+G33)</f>
        <v>#DIV/0!</v>
      </c>
      <c r="H78" s="651" t="str">
        <f>H20/('OLD Formulas'!$I$15*H7+H33)</f>
        <v>#DIV/0!</v>
      </c>
      <c r="I78" s="651" t="str">
        <f>I20/('OLD Formulas'!$I$15*I7+I33)</f>
        <v>#DIV/0!</v>
      </c>
      <c r="J78" s="651">
        <f>J20/('OLD Formulas'!$I$15*J8+J33)</f>
        <v>0</v>
      </c>
      <c r="K78" s="651" t="str">
        <f>K20/('OLD Formulas'!$I$15*K7+K33)</f>
        <v>#DIV/0!</v>
      </c>
      <c r="L78" s="651" t="str">
        <f>L20/('OLD Formulas'!$I$15*L7+L33)</f>
        <v>#DIV/0!</v>
      </c>
      <c r="M78" s="651" t="str">
        <f>M20/('OLD Formulas'!$I$15*M7+M33)</f>
        <v>#DIV/0!</v>
      </c>
      <c r="N78" s="651" t="str">
        <f>N20/('OLD Formulas'!$I$15*N7+N33)</f>
        <v>#DIV/0!</v>
      </c>
      <c r="O78" s="651" t="str">
        <f>O20/('OLD Formulas'!$I$15*O7+O33)</f>
        <v>#DIV/0!</v>
      </c>
      <c r="P78" s="651">
        <f>P20/('OLD Formulas'!$I$15*P7+P33)</f>
        <v>0</v>
      </c>
      <c r="Q78" s="651">
        <f>Q20/('OLD Formulas'!$I$15*Q7+Q33)</f>
        <v>0</v>
      </c>
      <c r="R78" s="651">
        <f>R20/('OLD Formulas'!$I$15*R7+R33)</f>
        <v>0</v>
      </c>
      <c r="S78" s="651" t="str">
        <f>S20/('OLD Formulas'!$I$15*S7+S33)</f>
        <v>#DIV/0!</v>
      </c>
      <c r="T78" s="651" t="str">
        <f>T20/('OLD Formulas'!$I$15*T7+T33)</f>
        <v>#DIV/0!</v>
      </c>
      <c r="U78" s="651" t="str">
        <f>U20/('OLD Formulas'!$I$15*U7+U33)</f>
        <v>#DIV/0!</v>
      </c>
      <c r="V78" s="651" t="str">
        <f>V20/('OLD Formulas'!$I$15*V7+V33)</f>
        <v>#DIV/0!</v>
      </c>
      <c r="W78" s="651" t="str">
        <f>W20/('OLD Formulas'!$I$15*W7+W33)</f>
        <v>#DIV/0!</v>
      </c>
      <c r="X78" s="651" t="str">
        <f>X20/('OLD Formulas'!$I$15*X7+X33)</f>
        <v>#DIV/0!</v>
      </c>
      <c r="Y78" s="651" t="str">
        <f>Y20/('OLD Formulas'!$I$15*Y7+Y33)</f>
        <v>#DIV/0!</v>
      </c>
      <c r="Z78" s="651" t="str">
        <f>Z20/('OLD Formulas'!$I$15*Z7+Z33)</f>
        <v>#DIV/0!</v>
      </c>
      <c r="AA78" s="651" t="str">
        <f>AA20/('OLD Formulas'!$I$15*AA7+AA33)</f>
        <v>#DIV/0!</v>
      </c>
      <c r="AB78" s="651" t="str">
        <f>AB20/('OLD Formulas'!$I$15*AB7+AB33)</f>
        <v>#DIV/0!</v>
      </c>
      <c r="AC78" s="651" t="str">
        <f>AC20/('OLD Formulas'!$I$15*AC7+AC33)</f>
        <v>#DIV/0!</v>
      </c>
      <c r="AD78" s="651" t="str">
        <f>AD20/('OLD Formulas'!$I$15*AD7+AD33)</f>
        <v>#DIV/0!</v>
      </c>
      <c r="AE78" s="651" t="str">
        <f>AE20/('OLD Formulas'!$I$15*AE7+AE33)</f>
        <v>#DIV/0!</v>
      </c>
      <c r="AF78" s="651" t="str">
        <f>AF20/('OLD Formulas'!$I$15*AF7+AF33)</f>
        <v>#DIV/0!</v>
      </c>
      <c r="AG78" s="646"/>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646"/>
    </row>
    <row r="80">
      <c r="A80" s="660" t="s">
        <v>895</v>
      </c>
      <c r="B80" s="661"/>
      <c r="C80" s="661"/>
      <c r="D80" s="661"/>
      <c r="E80" s="661"/>
      <c r="F80" s="661"/>
      <c r="G80" s="661"/>
      <c r="H80" s="661"/>
      <c r="I80" s="661"/>
      <c r="J80" s="661"/>
      <c r="K80" s="661"/>
      <c r="L80" s="661"/>
      <c r="M80" s="661"/>
      <c r="N80" s="661"/>
      <c r="O80" s="661"/>
      <c r="P80" s="661"/>
      <c r="Q80" s="661"/>
      <c r="R80" s="661"/>
      <c r="S80" s="661"/>
      <c r="T80" s="661"/>
      <c r="U80" s="661"/>
      <c r="V80" s="661"/>
      <c r="W80" s="661"/>
      <c r="X80" s="661"/>
      <c r="Y80" s="661"/>
      <c r="Z80" s="661"/>
      <c r="AA80" s="661"/>
      <c r="AB80" s="661"/>
      <c r="AC80" s="661"/>
      <c r="AD80" s="661"/>
      <c r="AE80" s="661"/>
      <c r="AF80" s="661"/>
      <c r="AG80" s="646"/>
    </row>
    <row r="81">
      <c r="A81" s="662" t="s">
        <v>888</v>
      </c>
      <c r="B81" s="66">
        <f>B21-(B8*'OLD Formulas'!$I$15)-B34</f>
        <v>-1280.744416</v>
      </c>
      <c r="C81" s="66">
        <f>C21-(C8*'OLD Formulas'!$I$15)-C34</f>
        <v>-2473.046819</v>
      </c>
      <c r="D81" s="66">
        <f>D21-(D8*'OLD Formulas'!$I$15)-D34</f>
        <v>-1457.024416</v>
      </c>
      <c r="E81" s="66">
        <f>E21-(E8*'OLD Formulas'!$I$15)-E34</f>
        <v>-791.1520132</v>
      </c>
      <c r="F81" s="66">
        <f>F21-(F8*'OLD Formulas'!$I$15)-F34</f>
        <v>-1099.630812</v>
      </c>
      <c r="G81" s="66">
        <f>G21-(G8*'OLD Formulas'!$I$15)-G34</f>
        <v>-2428.374416</v>
      </c>
      <c r="H81" s="66">
        <f>H21-(H8*'OLD Formulas'!$I$15)-H34</f>
        <v>-948.0232145</v>
      </c>
      <c r="I81" s="66">
        <f>I21-(I8*'OLD Formulas'!$I$15)-I34</f>
        <v>-2589.400422</v>
      </c>
      <c r="J81" s="66">
        <f>J21-(J8*'OLD Formulas'!$I$15)-J34</f>
        <v>-1352.499611</v>
      </c>
      <c r="K81" s="66">
        <f>K21-(K8*'OLD Formulas'!$I$15)-K34</f>
        <v>-923.7932145</v>
      </c>
      <c r="L81" s="66">
        <f>L21-(L8*'OLD Formulas'!$I$15)-L34</f>
        <v>-1041.89802</v>
      </c>
      <c r="M81" s="66">
        <f>M21-(M8*'OLD Formulas'!$I$15)-M34</f>
        <v>935.9215907</v>
      </c>
      <c r="N81" s="66">
        <f>N21-(N8*'OLD Formulas'!$I$15)-N34</f>
        <v>434.9651947</v>
      </c>
      <c r="O81" s="66">
        <f>O21-(O8*'OLD Formulas'!$I$15)-O34</f>
        <v>529.6833927</v>
      </c>
      <c r="P81" s="66">
        <f>P21-(P8*'OLD Formulas'!$I$15)-P34</f>
        <v>480.8427921</v>
      </c>
      <c r="Q81" s="66">
        <f>Q21-(Q8*'OLD Formulas'!$I$15)-Q34</f>
        <v>336.1457954</v>
      </c>
      <c r="R81" s="66">
        <f>R21-(R8*'OLD Formulas'!$I$15)-R34</f>
        <v>823.8421914</v>
      </c>
      <c r="S81" s="66">
        <f>S21-(S8*'OLD Formulas'!$I$15)-S34</f>
        <v>315.9757954</v>
      </c>
      <c r="T81" s="66">
        <f>T21-(T8*'OLD Formulas'!$I$15)-T34</f>
        <v>1541.979188</v>
      </c>
      <c r="U81" s="66">
        <f>U21-(U8*'OLD Formulas'!$I$15)-U34</f>
        <v>702.3133927</v>
      </c>
      <c r="V81" s="66">
        <f>V21-(V8*'OLD Formulas'!$I$15)-V34</f>
        <v>81.04459405</v>
      </c>
      <c r="W81" s="66">
        <f>W21-(W8*'OLD Formulas'!$I$15)-W34</f>
        <v>325.0333927</v>
      </c>
      <c r="X81" s="66">
        <f>X21-(X8*'OLD Formulas'!$I$15)-X34</f>
        <v>511.0533927</v>
      </c>
      <c r="Y81" s="66">
        <f>Y21-(Y8*'OLD Formulas'!$I$15)-Y34</f>
        <v>-2240.603248</v>
      </c>
      <c r="Z81" s="66">
        <f>Z21-(Z8*'OLD Formulas'!$I$15)-Z34</f>
        <v>-467.09</v>
      </c>
      <c r="AA81" s="66">
        <f>AA21-(AA8*'OLD Formulas'!$I$15)-AA34</f>
        <v>-602.67</v>
      </c>
      <c r="AB81" s="66">
        <f>AB21-(AB8*'OLD Formulas'!$I$15)-AB34</f>
        <v>-633.77</v>
      </c>
      <c r="AC81" s="66">
        <f>AC21-(AC8*'OLD Formulas'!$I$15)-AC34</f>
        <v>761.3539934</v>
      </c>
      <c r="AD81" s="66">
        <f>AD21-(AD8*'OLD Formulas'!$I$15)-AD34</f>
        <v>40.94759736</v>
      </c>
      <c r="AE81" s="66">
        <f>AE21-(AE8*'OLD Formulas'!$I$15)-AE34</f>
        <v>-238.591802</v>
      </c>
      <c r="AF81" s="66">
        <f>AF21-(AF8*'OLD Formulas'!$I$15)-AF34</f>
        <v>0</v>
      </c>
      <c r="AG81" s="646">
        <f>SUM(B81:AF81)</f>
        <v>-12747.21012</v>
      </c>
    </row>
    <row r="82">
      <c r="A82" s="662" t="s">
        <v>323</v>
      </c>
      <c r="B82" s="648">
        <f t="shared" ref="B82:AF82" si="20">B21/B34</f>
        <v>11.28731545</v>
      </c>
      <c r="C82" s="648">
        <f t="shared" si="20"/>
        <v>7.625402434</v>
      </c>
      <c r="D82" s="648">
        <f t="shared" si="20"/>
        <v>8.607394049</v>
      </c>
      <c r="E82" s="648">
        <f t="shared" si="20"/>
        <v>8.046661927</v>
      </c>
      <c r="F82" s="648">
        <f t="shared" si="20"/>
        <v>7.214243441</v>
      </c>
      <c r="G82" s="648">
        <f t="shared" si="20"/>
        <v>3.853917929</v>
      </c>
      <c r="H82" s="648">
        <f t="shared" si="20"/>
        <v>7.160340801</v>
      </c>
      <c r="I82" s="648">
        <f t="shared" si="20"/>
        <v>6.921327242</v>
      </c>
      <c r="J82" s="648">
        <f t="shared" si="20"/>
        <v>3.415511878</v>
      </c>
      <c r="K82" s="648">
        <f t="shared" si="20"/>
        <v>6.64021164</v>
      </c>
      <c r="L82" s="648">
        <f t="shared" si="20"/>
        <v>10.78240449</v>
      </c>
      <c r="M82" s="648">
        <f t="shared" si="20"/>
        <v>8.886907408</v>
      </c>
      <c r="N82" s="648">
        <f t="shared" si="20"/>
        <v>5.499127158</v>
      </c>
      <c r="O82" s="648">
        <f t="shared" si="20"/>
        <v>6.122804526</v>
      </c>
      <c r="P82" s="648">
        <f t="shared" si="20"/>
        <v>6.296362148</v>
      </c>
      <c r="Q82" s="648">
        <f t="shared" si="20"/>
        <v>4.175615496</v>
      </c>
      <c r="R82" s="648">
        <f t="shared" si="20"/>
        <v>7.374829381</v>
      </c>
      <c r="S82" s="648">
        <f t="shared" si="20"/>
        <v>4.820243394</v>
      </c>
      <c r="T82" s="648">
        <f t="shared" si="20"/>
        <v>10.8429235</v>
      </c>
      <c r="U82" s="648">
        <f t="shared" si="20"/>
        <v>6.444951884</v>
      </c>
      <c r="V82" s="648">
        <f t="shared" si="20"/>
        <v>4.296135344</v>
      </c>
      <c r="W82" s="648">
        <f t="shared" si="20"/>
        <v>5.54858403</v>
      </c>
      <c r="X82" s="648">
        <f t="shared" si="20"/>
        <v>5.611309319</v>
      </c>
      <c r="Y82" s="648">
        <f t="shared" si="20"/>
        <v>15.63105453</v>
      </c>
      <c r="Z82" s="648">
        <f t="shared" si="20"/>
        <v>0</v>
      </c>
      <c r="AA82" s="648">
        <f t="shared" si="20"/>
        <v>0</v>
      </c>
      <c r="AB82" s="648">
        <f t="shared" si="20"/>
        <v>0</v>
      </c>
      <c r="AC82" s="648">
        <f t="shared" si="20"/>
        <v>7.369423502</v>
      </c>
      <c r="AD82" s="648">
        <f t="shared" si="20"/>
        <v>2.250216467</v>
      </c>
      <c r="AE82" s="648">
        <f t="shared" si="20"/>
        <v>1.593519924</v>
      </c>
      <c r="AF82" s="648" t="str">
        <f t="shared" si="20"/>
        <v>#DIV/0!</v>
      </c>
      <c r="AG82" s="646"/>
    </row>
    <row r="83">
      <c r="A83" s="662" t="s">
        <v>889</v>
      </c>
      <c r="B83" s="649">
        <f t="shared" ref="B83:AF83" si="21">B34/B8</f>
        <v>9.256666667</v>
      </c>
      <c r="C83" s="649">
        <f t="shared" si="21"/>
        <v>9.096428571</v>
      </c>
      <c r="D83" s="649">
        <f t="shared" si="21"/>
        <v>11.55208333</v>
      </c>
      <c r="E83" s="649">
        <f t="shared" si="21"/>
        <v>15.473</v>
      </c>
      <c r="F83" s="649">
        <f t="shared" si="21"/>
        <v>14.08055556</v>
      </c>
      <c r="G83" s="649">
        <f t="shared" si="21"/>
        <v>16.61166667</v>
      </c>
      <c r="H83" s="649">
        <f t="shared" si="21"/>
        <v>17.12545455</v>
      </c>
      <c r="I83" s="649">
        <f t="shared" si="21"/>
        <v>12.23235294</v>
      </c>
      <c r="J83" s="649">
        <f t="shared" si="21"/>
        <v>26.52</v>
      </c>
      <c r="K83" s="649">
        <f t="shared" si="21"/>
        <v>18.9</v>
      </c>
      <c r="L83" s="649">
        <f t="shared" si="21"/>
        <v>11.63933333</v>
      </c>
      <c r="M83" s="649">
        <f t="shared" si="21"/>
        <v>27.31642857</v>
      </c>
      <c r="N83" s="649">
        <f t="shared" si="21"/>
        <v>45.11125</v>
      </c>
      <c r="O83" s="649">
        <f t="shared" si="21"/>
        <v>38.40545455</v>
      </c>
      <c r="P83" s="649">
        <f t="shared" si="21"/>
        <v>35.62083333</v>
      </c>
      <c r="Q83" s="649">
        <f t="shared" si="21"/>
        <v>61.91285714</v>
      </c>
      <c r="R83" s="649">
        <f t="shared" si="21"/>
        <v>33.25</v>
      </c>
      <c r="S83" s="649">
        <f t="shared" si="21"/>
        <v>50.71142857</v>
      </c>
      <c r="T83" s="649">
        <f t="shared" si="21"/>
        <v>23.79944444</v>
      </c>
      <c r="U83" s="649">
        <f t="shared" si="21"/>
        <v>39.01545455</v>
      </c>
      <c r="V83" s="649">
        <f t="shared" si="21"/>
        <v>47.81222222</v>
      </c>
      <c r="W83" s="649">
        <f t="shared" si="21"/>
        <v>39.16363636</v>
      </c>
      <c r="X83" s="649">
        <f t="shared" si="21"/>
        <v>42.29818182</v>
      </c>
      <c r="Y83" s="649">
        <f t="shared" si="21"/>
        <v>8.028888889</v>
      </c>
      <c r="Z83" s="649" t="str">
        <f t="shared" si="21"/>
        <v>#DIV/0!</v>
      </c>
      <c r="AA83" s="649" t="str">
        <f t="shared" si="21"/>
        <v>#DIV/0!</v>
      </c>
      <c r="AB83" s="649" t="str">
        <f t="shared" si="21"/>
        <v>#DIV/0!</v>
      </c>
      <c r="AC83" s="649">
        <f t="shared" si="21"/>
        <v>35.282</v>
      </c>
      <c r="AD83" s="649">
        <f t="shared" si="21"/>
        <v>127.04</v>
      </c>
      <c r="AE83" s="649">
        <f t="shared" si="21"/>
        <v>116.3566667</v>
      </c>
      <c r="AF83" s="649" t="str">
        <f t="shared" si="21"/>
        <v>#DIV/0!</v>
      </c>
      <c r="AG83" s="646"/>
    </row>
    <row r="84">
      <c r="A84" s="663" t="s">
        <v>890</v>
      </c>
      <c r="B84" s="651">
        <f>B21/('OLD Formulas'!$I$15*B8+B34)</f>
        <v>0.6619241399</v>
      </c>
      <c r="C84" s="651">
        <f>C21/('OLD Formulas'!$I$15*C8+C34)</f>
        <v>0.4398835396</v>
      </c>
      <c r="D84" s="651">
        <f>D21/('OLD Formulas'!$I$15*D8+D34)</f>
        <v>0.6209046261</v>
      </c>
      <c r="E84" s="651">
        <f>E21/('OLD Formulas'!$I$15*E8+E34)</f>
        <v>0.7588886231</v>
      </c>
      <c r="F84" s="651">
        <f>F21/('OLD Formulas'!$I$15*F8+F34)</f>
        <v>0.6244533937</v>
      </c>
      <c r="G84" s="651">
        <f>G21/('OLD Formulas'!$I$15*G8+G34)</f>
        <v>0.3875249477</v>
      </c>
      <c r="H84" s="651">
        <f>H21/('OLD Formulas'!$I$15*H8+H34)</f>
        <v>0.7399650611</v>
      </c>
      <c r="I84" s="651">
        <f>I21/('OLD Formulas'!$I$15*I8+I34)</f>
        <v>0.5264429968</v>
      </c>
      <c r="J84" s="651" t="str">
        <f>J21/('OLD Formulas'!$I$15*#REF!+J34)</f>
        <v>#REF!</v>
      </c>
      <c r="K84" s="651">
        <f>K21/('OLD Formulas'!$I$15*K8+K34)</f>
        <v>0.7492957784</v>
      </c>
      <c r="L84" s="651">
        <f>L21/('OLD Formulas'!$I$15*L8+L34)</f>
        <v>0.7832494021</v>
      </c>
      <c r="M84" s="651">
        <f>M21/('OLD Formulas'!$I$15*M8+M34)</f>
        <v>1.380039061</v>
      </c>
      <c r="N84" s="651">
        <f>N21/('OLD Formulas'!$I$15*N8+N34)</f>
        <v>1.280692462</v>
      </c>
      <c r="O84" s="651">
        <f>O21/('OLD Formulas'!$I$15*O8+O34)</f>
        <v>1.257508297</v>
      </c>
      <c r="P84" s="651">
        <f>P21/('OLD Formulas'!$I$15*P8+P34)</f>
        <v>1.217523048</v>
      </c>
      <c r="Q84" s="651">
        <f>Q21/('OLD Formulas'!$I$15*Q8+Q34)</f>
        <v>1.228123701</v>
      </c>
      <c r="R84" s="651">
        <f>R21/('OLD Formulas'!$I$15*R8+R34)</f>
        <v>1.348505647</v>
      </c>
      <c r="S84" s="651">
        <f>S21/('OLD Formulas'!$I$15*S8+S34)</f>
        <v>1.226487405</v>
      </c>
      <c r="T84" s="651">
        <f>T21/('OLD Formulas'!$I$15*T8+T34)</f>
        <v>1.496928407</v>
      </c>
      <c r="U84" s="651">
        <f>U21/('OLD Formulas'!$I$15*U8+U34)</f>
        <v>1.340323088</v>
      </c>
      <c r="V84" s="651">
        <f>V21/('OLD Formulas'!$I$15*V8+V34)</f>
        <v>1.045849417</v>
      </c>
      <c r="W84" s="651">
        <f>W21/('OLD Formulas'!$I$15*W8+W34)</f>
        <v>1.157378554</v>
      </c>
      <c r="X84" s="651">
        <f>X21/('OLD Formulas'!$I$15*X8+X34)</f>
        <v>1.243384649</v>
      </c>
      <c r="Y84" s="651">
        <f>Y21/('OLD Formulas'!$I$15*Y8+Y34)</f>
        <v>0.8013051272</v>
      </c>
      <c r="Z84" s="651">
        <f>Z21/('OLD Formulas'!$I$15*Z8+Z34)</f>
        <v>0</v>
      </c>
      <c r="AA84" s="651">
        <f>AA21/('OLD Formulas'!$I$15*AA8+AA34)</f>
        <v>0</v>
      </c>
      <c r="AB84" s="651">
        <f>AB21/('OLD Formulas'!$I$15*AB8+AB34)</f>
        <v>0</v>
      </c>
      <c r="AC84" s="651">
        <f>AC21/('OLD Formulas'!$I$15*AC8+AC34)</f>
        <v>1.414066038</v>
      </c>
      <c r="AD84" s="651">
        <f>AD21/('OLD Formulas'!$I$15*AD8+AD34)</f>
        <v>1.037139923</v>
      </c>
      <c r="AE84" s="649" t="str">
        <f t="shared" ref="AE84:AF84" si="22">AE35/AE9</f>
        <v>#DIV/0!</v>
      </c>
      <c r="AF84" s="649" t="str">
        <f t="shared" si="22"/>
        <v>#DIV/0!</v>
      </c>
      <c r="AG84" s="646"/>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646"/>
    </row>
    <row r="86">
      <c r="A86" s="349" t="s">
        <v>863</v>
      </c>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646"/>
    </row>
    <row r="87">
      <c r="A87" s="664" t="s">
        <v>888</v>
      </c>
      <c r="B87" s="66" t="str">
        <f t="shared" ref="B87:AF87" si="23">B22-(B9*Formulas!$C32)-B35</f>
        <v>#REF!</v>
      </c>
      <c r="C87" s="66" t="str">
        <f t="shared" si="23"/>
        <v>#REF!</v>
      </c>
      <c r="D87" s="66" t="str">
        <f t="shared" si="23"/>
        <v>#REF!</v>
      </c>
      <c r="E87" s="66" t="str">
        <f t="shared" si="23"/>
        <v>#REF!</v>
      </c>
      <c r="F87" s="66" t="str">
        <f t="shared" si="23"/>
        <v>#REF!</v>
      </c>
      <c r="G87" s="66" t="str">
        <f t="shared" si="23"/>
        <v>#REF!</v>
      </c>
      <c r="H87" s="66" t="str">
        <f t="shared" si="23"/>
        <v>#REF!</v>
      </c>
      <c r="I87" s="66" t="str">
        <f t="shared" si="23"/>
        <v>#REF!</v>
      </c>
      <c r="J87" s="66" t="str">
        <f t="shared" si="23"/>
        <v>#REF!</v>
      </c>
      <c r="K87" s="66" t="str">
        <f t="shared" si="23"/>
        <v>#REF!</v>
      </c>
      <c r="L87" s="66" t="str">
        <f t="shared" si="23"/>
        <v>#REF!</v>
      </c>
      <c r="M87" s="66" t="str">
        <f t="shared" si="23"/>
        <v>#REF!</v>
      </c>
      <c r="N87" s="66" t="str">
        <f t="shared" si="23"/>
        <v>#REF!</v>
      </c>
      <c r="O87" s="66" t="str">
        <f t="shared" si="23"/>
        <v>#REF!</v>
      </c>
      <c r="P87" s="66" t="str">
        <f t="shared" si="23"/>
        <v>#REF!</v>
      </c>
      <c r="Q87" s="66" t="str">
        <f t="shared" si="23"/>
        <v>#REF!</v>
      </c>
      <c r="R87" s="66" t="str">
        <f t="shared" si="23"/>
        <v>#REF!</v>
      </c>
      <c r="S87" s="66" t="str">
        <f t="shared" si="23"/>
        <v>#REF!</v>
      </c>
      <c r="T87" s="66" t="str">
        <f t="shared" si="23"/>
        <v>#REF!</v>
      </c>
      <c r="U87" s="66" t="str">
        <f t="shared" si="23"/>
        <v>#REF!</v>
      </c>
      <c r="V87" s="66" t="str">
        <f t="shared" si="23"/>
        <v>#REF!</v>
      </c>
      <c r="W87" s="66" t="str">
        <f t="shared" si="23"/>
        <v>#REF!</v>
      </c>
      <c r="X87" s="66" t="str">
        <f t="shared" si="23"/>
        <v>#REF!</v>
      </c>
      <c r="Y87" s="66" t="str">
        <f t="shared" si="23"/>
        <v>#REF!</v>
      </c>
      <c r="Z87" s="66" t="str">
        <f t="shared" si="23"/>
        <v>#REF!</v>
      </c>
      <c r="AA87" s="66" t="str">
        <f t="shared" si="23"/>
        <v>#REF!</v>
      </c>
      <c r="AB87" s="66" t="str">
        <f t="shared" si="23"/>
        <v>#REF!</v>
      </c>
      <c r="AC87" s="66" t="str">
        <f t="shared" si="23"/>
        <v>#REF!</v>
      </c>
      <c r="AD87" s="66" t="str">
        <f t="shared" si="23"/>
        <v>#REF!</v>
      </c>
      <c r="AE87" s="66" t="str">
        <f t="shared" si="23"/>
        <v>#REF!</v>
      </c>
      <c r="AF87" s="66" t="str">
        <f t="shared" si="23"/>
        <v>#REF!</v>
      </c>
      <c r="AG87" s="646" t="str">
        <f>SUM(B87:AF87)</f>
        <v>#REF!</v>
      </c>
    </row>
    <row r="88">
      <c r="A88" s="664" t="s">
        <v>323</v>
      </c>
      <c r="B88" s="648">
        <f t="shared" ref="B88:AF88" si="24">B22/B35</f>
        <v>0</v>
      </c>
      <c r="C88" s="648">
        <f t="shared" si="24"/>
        <v>0</v>
      </c>
      <c r="D88" s="648">
        <f t="shared" si="24"/>
        <v>0</v>
      </c>
      <c r="E88" s="648">
        <f t="shared" si="24"/>
        <v>0</v>
      </c>
      <c r="F88" s="648">
        <f t="shared" si="24"/>
        <v>0</v>
      </c>
      <c r="G88" s="648">
        <f t="shared" si="24"/>
        <v>0</v>
      </c>
      <c r="H88" s="648">
        <f t="shared" si="24"/>
        <v>0</v>
      </c>
      <c r="I88" s="648">
        <f t="shared" si="24"/>
        <v>0</v>
      </c>
      <c r="J88" s="648">
        <f t="shared" si="24"/>
        <v>0</v>
      </c>
      <c r="K88" s="648">
        <f t="shared" si="24"/>
        <v>0</v>
      </c>
      <c r="L88" s="648">
        <f t="shared" si="24"/>
        <v>0</v>
      </c>
      <c r="M88" s="648">
        <f t="shared" si="24"/>
        <v>0</v>
      </c>
      <c r="N88" s="648">
        <f t="shared" si="24"/>
        <v>0</v>
      </c>
      <c r="O88" s="648">
        <f t="shared" si="24"/>
        <v>0</v>
      </c>
      <c r="P88" s="648" t="str">
        <f t="shared" si="24"/>
        <v>#DIV/0!</v>
      </c>
      <c r="Q88" s="648">
        <f t="shared" si="24"/>
        <v>0</v>
      </c>
      <c r="R88" s="648">
        <f t="shared" si="24"/>
        <v>0</v>
      </c>
      <c r="S88" s="648">
        <f t="shared" si="24"/>
        <v>0</v>
      </c>
      <c r="T88" s="648">
        <f t="shared" si="24"/>
        <v>0</v>
      </c>
      <c r="U88" s="648">
        <f t="shared" si="24"/>
        <v>0</v>
      </c>
      <c r="V88" s="648">
        <f t="shared" si="24"/>
        <v>0</v>
      </c>
      <c r="W88" s="648">
        <f t="shared" si="24"/>
        <v>0</v>
      </c>
      <c r="X88" s="648">
        <f t="shared" si="24"/>
        <v>0</v>
      </c>
      <c r="Y88" s="648">
        <f t="shared" si="24"/>
        <v>0</v>
      </c>
      <c r="Z88" s="648">
        <f t="shared" si="24"/>
        <v>0</v>
      </c>
      <c r="AA88" s="648">
        <f t="shared" si="24"/>
        <v>0</v>
      </c>
      <c r="AB88" s="648">
        <f t="shared" si="24"/>
        <v>0</v>
      </c>
      <c r="AC88" s="648" t="str">
        <f t="shared" si="24"/>
        <v>#DIV/0!</v>
      </c>
      <c r="AD88" s="648" t="str">
        <f t="shared" si="24"/>
        <v>#DIV/0!</v>
      </c>
      <c r="AE88" s="648">
        <f t="shared" si="24"/>
        <v>0</v>
      </c>
      <c r="AF88" s="648" t="str">
        <f t="shared" si="24"/>
        <v>#DIV/0!</v>
      </c>
      <c r="AG88" s="646"/>
    </row>
    <row r="89">
      <c r="A89" s="664" t="s">
        <v>889</v>
      </c>
      <c r="B89" s="649" t="str">
        <f t="shared" ref="B89:AF89" si="25">B35/B9</f>
        <v>#DIV/0!</v>
      </c>
      <c r="C89" s="649" t="str">
        <f t="shared" si="25"/>
        <v>#DIV/0!</v>
      </c>
      <c r="D89" s="649" t="str">
        <f t="shared" si="25"/>
        <v>#DIV/0!</v>
      </c>
      <c r="E89" s="649" t="str">
        <f t="shared" si="25"/>
        <v>#DIV/0!</v>
      </c>
      <c r="F89" s="649" t="str">
        <f t="shared" si="25"/>
        <v>#DIV/0!</v>
      </c>
      <c r="G89" s="649" t="str">
        <f t="shared" si="25"/>
        <v>#DIV/0!</v>
      </c>
      <c r="H89" s="649" t="str">
        <f t="shared" si="25"/>
        <v>#DIV/0!</v>
      </c>
      <c r="I89" s="649" t="str">
        <f t="shared" si="25"/>
        <v>#DIV/0!</v>
      </c>
      <c r="J89" s="649" t="str">
        <f t="shared" si="25"/>
        <v>#DIV/0!</v>
      </c>
      <c r="K89" s="649" t="str">
        <f t="shared" si="25"/>
        <v>#DIV/0!</v>
      </c>
      <c r="L89" s="649" t="str">
        <f t="shared" si="25"/>
        <v>#DIV/0!</v>
      </c>
      <c r="M89" s="649" t="str">
        <f t="shared" si="25"/>
        <v>#DIV/0!</v>
      </c>
      <c r="N89" s="649" t="str">
        <f t="shared" si="25"/>
        <v>#DIV/0!</v>
      </c>
      <c r="O89" s="649" t="str">
        <f t="shared" si="25"/>
        <v>#DIV/0!</v>
      </c>
      <c r="P89" s="649" t="str">
        <f t="shared" si="25"/>
        <v>#DIV/0!</v>
      </c>
      <c r="Q89" s="649" t="str">
        <f t="shared" si="25"/>
        <v>#DIV/0!</v>
      </c>
      <c r="R89" s="649" t="str">
        <f t="shared" si="25"/>
        <v>#DIV/0!</v>
      </c>
      <c r="S89" s="649" t="str">
        <f t="shared" si="25"/>
        <v>#DIV/0!</v>
      </c>
      <c r="T89" s="649" t="str">
        <f t="shared" si="25"/>
        <v>#DIV/0!</v>
      </c>
      <c r="U89" s="649" t="str">
        <f t="shared" si="25"/>
        <v>#DIV/0!</v>
      </c>
      <c r="V89" s="649" t="str">
        <f t="shared" si="25"/>
        <v>#DIV/0!</v>
      </c>
      <c r="W89" s="649" t="str">
        <f t="shared" si="25"/>
        <v>#DIV/0!</v>
      </c>
      <c r="X89" s="649" t="str">
        <f t="shared" si="25"/>
        <v>#DIV/0!</v>
      </c>
      <c r="Y89" s="649" t="str">
        <f t="shared" si="25"/>
        <v>#DIV/0!</v>
      </c>
      <c r="Z89" s="649" t="str">
        <f t="shared" si="25"/>
        <v>#DIV/0!</v>
      </c>
      <c r="AA89" s="649" t="str">
        <f t="shared" si="25"/>
        <v>#DIV/0!</v>
      </c>
      <c r="AB89" s="649" t="str">
        <f t="shared" si="25"/>
        <v>#DIV/0!</v>
      </c>
      <c r="AC89" s="649" t="str">
        <f t="shared" si="25"/>
        <v>#DIV/0!</v>
      </c>
      <c r="AD89" s="649" t="str">
        <f t="shared" si="25"/>
        <v>#DIV/0!</v>
      </c>
      <c r="AE89" s="649" t="str">
        <f t="shared" si="25"/>
        <v>#DIV/0!</v>
      </c>
      <c r="AF89" s="649" t="str">
        <f t="shared" si="25"/>
        <v>#DIV/0!</v>
      </c>
      <c r="AG89" s="646"/>
    </row>
    <row r="90">
      <c r="A90" s="665" t="s">
        <v>890</v>
      </c>
      <c r="B90" s="651" t="str">
        <f t="shared" ref="B90:AF90" si="26">B22/(Formulas!$C32*B9+B35)</f>
        <v>#REF!</v>
      </c>
      <c r="C90" s="651" t="str">
        <f t="shared" si="26"/>
        <v>#REF!</v>
      </c>
      <c r="D90" s="651" t="str">
        <f t="shared" si="26"/>
        <v>#REF!</v>
      </c>
      <c r="E90" s="651" t="str">
        <f t="shared" si="26"/>
        <v>#REF!</v>
      </c>
      <c r="F90" s="651" t="str">
        <f t="shared" si="26"/>
        <v>#REF!</v>
      </c>
      <c r="G90" s="651" t="str">
        <f t="shared" si="26"/>
        <v>#REF!</v>
      </c>
      <c r="H90" s="651" t="str">
        <f t="shared" si="26"/>
        <v>#REF!</v>
      </c>
      <c r="I90" s="651" t="str">
        <f t="shared" si="26"/>
        <v>#REF!</v>
      </c>
      <c r="J90" s="651" t="str">
        <f t="shared" si="26"/>
        <v>#REF!</v>
      </c>
      <c r="K90" s="651" t="str">
        <f t="shared" si="26"/>
        <v>#REF!</v>
      </c>
      <c r="L90" s="651" t="str">
        <f t="shared" si="26"/>
        <v>#REF!</v>
      </c>
      <c r="M90" s="651" t="str">
        <f t="shared" si="26"/>
        <v>#REF!</v>
      </c>
      <c r="N90" s="651" t="str">
        <f t="shared" si="26"/>
        <v>#REF!</v>
      </c>
      <c r="O90" s="651" t="str">
        <f t="shared" si="26"/>
        <v>#REF!</v>
      </c>
      <c r="P90" s="651" t="str">
        <f t="shared" si="26"/>
        <v>#REF!</v>
      </c>
      <c r="Q90" s="651" t="str">
        <f t="shared" si="26"/>
        <v>#REF!</v>
      </c>
      <c r="R90" s="651" t="str">
        <f t="shared" si="26"/>
        <v>#REF!</v>
      </c>
      <c r="S90" s="651" t="str">
        <f t="shared" si="26"/>
        <v>#REF!</v>
      </c>
      <c r="T90" s="651" t="str">
        <f t="shared" si="26"/>
        <v>#REF!</v>
      </c>
      <c r="U90" s="651" t="str">
        <f t="shared" si="26"/>
        <v>#REF!</v>
      </c>
      <c r="V90" s="651" t="str">
        <f t="shared" si="26"/>
        <v>#REF!</v>
      </c>
      <c r="W90" s="651" t="str">
        <f t="shared" si="26"/>
        <v>#REF!</v>
      </c>
      <c r="X90" s="651" t="str">
        <f t="shared" si="26"/>
        <v>#REF!</v>
      </c>
      <c r="Y90" s="651" t="str">
        <f t="shared" si="26"/>
        <v>#REF!</v>
      </c>
      <c r="Z90" s="651" t="str">
        <f t="shared" si="26"/>
        <v>#REF!</v>
      </c>
      <c r="AA90" s="651" t="str">
        <f t="shared" si="26"/>
        <v>#REF!</v>
      </c>
      <c r="AB90" s="651" t="str">
        <f t="shared" si="26"/>
        <v>#REF!</v>
      </c>
      <c r="AC90" s="651" t="str">
        <f t="shared" si="26"/>
        <v>#REF!</v>
      </c>
      <c r="AD90" s="651" t="str">
        <f t="shared" si="26"/>
        <v>#REF!</v>
      </c>
      <c r="AE90" s="651" t="str">
        <f t="shared" si="26"/>
        <v>#REF!</v>
      </c>
      <c r="AF90" s="651" t="str">
        <f t="shared" si="26"/>
        <v>#REF!</v>
      </c>
      <c r="AG90" s="646"/>
    </row>
    <row r="91">
      <c r="A91" s="25"/>
      <c r="B91" s="53"/>
      <c r="C91" s="53"/>
      <c r="D91" s="53"/>
      <c r="E91" s="53"/>
      <c r="F91" s="53"/>
      <c r="G91" s="53"/>
      <c r="H91" s="53"/>
      <c r="I91" s="53"/>
      <c r="J91" s="53"/>
      <c r="K91" s="53"/>
      <c r="L91" s="53"/>
      <c r="M91" s="53"/>
      <c r="N91" s="53"/>
      <c r="O91" s="53"/>
      <c r="P91" s="53"/>
      <c r="Q91" s="53"/>
      <c r="R91" s="66"/>
      <c r="S91" s="53"/>
      <c r="T91" s="53"/>
      <c r="U91" s="53"/>
      <c r="V91" s="53"/>
      <c r="W91" s="53"/>
      <c r="X91" s="53"/>
      <c r="Y91" s="53"/>
      <c r="Z91" s="53"/>
      <c r="AA91" s="53"/>
      <c r="AB91" s="53"/>
      <c r="AC91" s="53"/>
      <c r="AD91" s="53"/>
      <c r="AE91" s="53"/>
      <c r="AF91" s="53"/>
      <c r="AG91" s="646"/>
    </row>
    <row r="92">
      <c r="A92" s="666" t="s">
        <v>900</v>
      </c>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646"/>
    </row>
    <row r="93">
      <c r="A93" s="667" t="s">
        <v>888</v>
      </c>
      <c r="B93" s="668"/>
      <c r="C93" s="668"/>
      <c r="D93" s="668"/>
      <c r="E93" s="668"/>
      <c r="F93" s="668"/>
      <c r="G93" s="668"/>
      <c r="H93" s="668"/>
      <c r="I93" s="668"/>
      <c r="J93" s="668"/>
      <c r="K93" s="668"/>
      <c r="L93" s="668"/>
      <c r="M93" s="668"/>
      <c r="N93" s="668"/>
      <c r="O93" s="668"/>
      <c r="P93" s="668"/>
      <c r="Q93" s="668"/>
      <c r="R93" s="668"/>
      <c r="S93" s="668"/>
      <c r="T93" s="668"/>
      <c r="U93" s="668"/>
      <c r="V93" s="668"/>
      <c r="W93" s="668"/>
      <c r="X93" s="668"/>
      <c r="Y93" s="668"/>
      <c r="Z93" s="668"/>
      <c r="AA93" s="668"/>
      <c r="AB93" s="668"/>
      <c r="AC93" s="668"/>
      <c r="AD93" s="668"/>
      <c r="AE93" s="668"/>
      <c r="AF93" s="668"/>
      <c r="AG93" s="646">
        <f>SUM(B93:AF93)</f>
        <v>0</v>
      </c>
    </row>
    <row r="94">
      <c r="A94" s="667" t="s">
        <v>323</v>
      </c>
      <c r="B94" s="668"/>
      <c r="C94" s="668"/>
      <c r="D94" s="668"/>
      <c r="E94" s="668"/>
      <c r="F94" s="668"/>
      <c r="G94" s="668"/>
      <c r="H94" s="668"/>
      <c r="I94" s="668"/>
      <c r="J94" s="668"/>
      <c r="K94" s="668"/>
      <c r="L94" s="668"/>
      <c r="M94" s="668"/>
      <c r="N94" s="668"/>
      <c r="O94" s="668"/>
      <c r="P94" s="668"/>
      <c r="Q94" s="668"/>
      <c r="R94" s="668"/>
      <c r="S94" s="668"/>
      <c r="T94" s="668"/>
      <c r="U94" s="668"/>
      <c r="V94" s="668"/>
      <c r="W94" s="668"/>
      <c r="X94" s="668"/>
      <c r="Y94" s="668"/>
      <c r="Z94" s="668"/>
      <c r="AA94" s="668"/>
      <c r="AB94" s="668"/>
      <c r="AC94" s="668"/>
      <c r="AD94" s="668"/>
      <c r="AE94" s="668"/>
      <c r="AF94" s="668"/>
      <c r="AG94" s="646"/>
    </row>
    <row r="95">
      <c r="A95" s="667" t="s">
        <v>889</v>
      </c>
      <c r="B95" s="668"/>
      <c r="C95" s="668"/>
      <c r="D95" s="668"/>
      <c r="E95" s="668"/>
      <c r="F95" s="668"/>
      <c r="G95" s="668"/>
      <c r="H95" s="668"/>
      <c r="I95" s="668"/>
      <c r="J95" s="668"/>
      <c r="K95" s="668"/>
      <c r="L95" s="668"/>
      <c r="M95" s="668"/>
      <c r="N95" s="668"/>
      <c r="O95" s="668"/>
      <c r="P95" s="668"/>
      <c r="Q95" s="668"/>
      <c r="R95" s="668"/>
      <c r="S95" s="668"/>
      <c r="T95" s="668"/>
      <c r="U95" s="668"/>
      <c r="V95" s="668"/>
      <c r="W95" s="668"/>
      <c r="X95" s="668"/>
      <c r="Y95" s="668"/>
      <c r="Z95" s="668"/>
      <c r="AA95" s="668"/>
      <c r="AB95" s="668"/>
      <c r="AC95" s="668"/>
      <c r="AD95" s="668"/>
      <c r="AE95" s="668"/>
      <c r="AF95" s="668"/>
      <c r="AG95" s="646"/>
    </row>
    <row r="96">
      <c r="A96" s="669" t="s">
        <v>890</v>
      </c>
      <c r="B96" s="668"/>
      <c r="C96" s="668"/>
      <c r="D96" s="668"/>
      <c r="E96" s="668"/>
      <c r="F96" s="668"/>
      <c r="G96" s="668"/>
      <c r="H96" s="668"/>
      <c r="I96" s="668"/>
      <c r="J96" s="668"/>
      <c r="K96" s="668"/>
      <c r="L96" s="668"/>
      <c r="M96" s="668"/>
      <c r="N96" s="668"/>
      <c r="O96" s="668"/>
      <c r="P96" s="668"/>
      <c r="Q96" s="668"/>
      <c r="R96" s="668"/>
      <c r="S96" s="668"/>
      <c r="T96" s="668"/>
      <c r="U96" s="668"/>
      <c r="V96" s="668"/>
      <c r="W96" s="668"/>
      <c r="X96" s="668"/>
      <c r="Y96" s="668"/>
      <c r="Z96" s="668"/>
      <c r="AA96" s="668"/>
      <c r="AB96" s="668"/>
      <c r="AC96" s="668"/>
      <c r="AD96" s="668"/>
      <c r="AE96" s="668"/>
      <c r="AF96" s="668"/>
      <c r="AG96" s="646"/>
    </row>
    <row r="97">
      <c r="A97" s="25"/>
      <c r="B97" s="661"/>
      <c r="C97" s="661"/>
      <c r="D97" s="661"/>
      <c r="E97" s="661"/>
      <c r="F97" s="661"/>
      <c r="G97" s="661"/>
      <c r="H97" s="661"/>
      <c r="I97" s="661"/>
      <c r="J97" s="661"/>
      <c r="K97" s="661"/>
      <c r="L97" s="661"/>
      <c r="M97" s="661"/>
      <c r="N97" s="661"/>
      <c r="O97" s="661"/>
      <c r="P97" s="661"/>
      <c r="Q97" s="661"/>
      <c r="R97" s="661"/>
      <c r="S97" s="661"/>
      <c r="T97" s="661"/>
      <c r="U97" s="661"/>
      <c r="V97" s="661"/>
      <c r="W97" s="661"/>
      <c r="X97" s="661"/>
      <c r="Y97" s="661"/>
      <c r="Z97" s="661"/>
      <c r="AA97" s="661"/>
      <c r="AB97" s="661"/>
      <c r="AC97" s="661"/>
      <c r="AD97" s="661"/>
      <c r="AE97" s="661"/>
      <c r="AF97" s="661"/>
      <c r="AG97" s="646"/>
    </row>
    <row r="98">
      <c r="A98" s="663" t="s">
        <v>902</v>
      </c>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646"/>
    </row>
    <row r="99">
      <c r="A99" s="670" t="s">
        <v>888</v>
      </c>
      <c r="B99" s="668"/>
      <c r="C99" s="668"/>
      <c r="D99" s="668"/>
      <c r="E99" s="668"/>
      <c r="F99" s="668"/>
      <c r="G99" s="668"/>
      <c r="H99" s="668"/>
      <c r="I99" s="668"/>
      <c r="J99" s="668"/>
      <c r="K99" s="668"/>
      <c r="L99" s="668"/>
      <c r="M99" s="668"/>
      <c r="N99" s="668"/>
      <c r="O99" s="668"/>
      <c r="P99" s="668"/>
      <c r="Q99" s="668"/>
      <c r="R99" s="668"/>
      <c r="S99" s="668"/>
      <c r="T99" s="668"/>
      <c r="U99" s="668"/>
      <c r="V99" s="668"/>
      <c r="W99" s="668"/>
      <c r="X99" s="668"/>
      <c r="Y99" s="668"/>
      <c r="Z99" s="668"/>
      <c r="AA99" s="668"/>
      <c r="AB99" s="668"/>
      <c r="AC99" s="668"/>
      <c r="AD99" s="668"/>
      <c r="AE99" s="668"/>
      <c r="AF99" s="668"/>
      <c r="AG99" s="646">
        <f>SUM(B99:AF99)</f>
        <v>0</v>
      </c>
    </row>
    <row r="100">
      <c r="A100" s="670" t="s">
        <v>323</v>
      </c>
      <c r="B100" s="671"/>
      <c r="C100" s="671"/>
      <c r="D100" s="671"/>
      <c r="E100" s="671"/>
      <c r="F100" s="671"/>
      <c r="G100" s="671"/>
      <c r="H100" s="671"/>
      <c r="I100" s="671"/>
      <c r="J100" s="671"/>
      <c r="K100" s="671"/>
      <c r="L100" s="671"/>
      <c r="M100" s="671"/>
      <c r="N100" s="671"/>
      <c r="O100" s="671"/>
      <c r="P100" s="671"/>
      <c r="Q100" s="671"/>
      <c r="R100" s="671"/>
      <c r="S100" s="671"/>
      <c r="T100" s="671"/>
      <c r="U100" s="671"/>
      <c r="V100" s="671"/>
      <c r="W100" s="671"/>
      <c r="X100" s="671"/>
      <c r="Y100" s="671"/>
      <c r="Z100" s="671"/>
      <c r="AA100" s="671"/>
      <c r="AB100" s="671"/>
      <c r="AC100" s="671"/>
      <c r="AD100" s="671"/>
      <c r="AE100" s="671"/>
      <c r="AF100" s="671"/>
      <c r="AG100" s="646"/>
    </row>
    <row r="101">
      <c r="A101" s="670" t="s">
        <v>889</v>
      </c>
      <c r="B101" s="672"/>
      <c r="C101" s="672"/>
      <c r="D101" s="672"/>
      <c r="E101" s="672"/>
      <c r="F101" s="672"/>
      <c r="G101" s="672"/>
      <c r="H101" s="672"/>
      <c r="I101" s="672"/>
      <c r="J101" s="672"/>
      <c r="K101" s="672"/>
      <c r="L101" s="672"/>
      <c r="M101" s="672"/>
      <c r="N101" s="672"/>
      <c r="O101" s="672"/>
      <c r="P101" s="672"/>
      <c r="Q101" s="672"/>
      <c r="R101" s="672"/>
      <c r="S101" s="672"/>
      <c r="T101" s="672"/>
      <c r="U101" s="672"/>
      <c r="V101" s="672"/>
      <c r="W101" s="672"/>
      <c r="X101" s="672"/>
      <c r="Y101" s="672"/>
      <c r="Z101" s="672"/>
      <c r="AA101" s="672"/>
      <c r="AB101" s="672"/>
      <c r="AC101" s="672"/>
      <c r="AD101" s="672"/>
      <c r="AE101" s="672"/>
      <c r="AF101" s="672"/>
      <c r="AG101" s="646"/>
    </row>
    <row r="102">
      <c r="A102" s="76" t="s">
        <v>890</v>
      </c>
      <c r="B102" s="671"/>
      <c r="C102" s="671"/>
      <c r="D102" s="671"/>
      <c r="E102" s="671"/>
      <c r="F102" s="671"/>
      <c r="G102" s="671"/>
      <c r="H102" s="671"/>
      <c r="I102" s="671"/>
      <c r="J102" s="671"/>
      <c r="K102" s="671"/>
      <c r="L102" s="671"/>
      <c r="M102" s="671"/>
      <c r="N102" s="671"/>
      <c r="O102" s="671"/>
      <c r="P102" s="671"/>
      <c r="Q102" s="671"/>
      <c r="R102" s="671"/>
      <c r="S102" s="671"/>
      <c r="T102" s="671"/>
      <c r="U102" s="671"/>
      <c r="V102" s="671"/>
      <c r="W102" s="671"/>
      <c r="X102" s="671"/>
      <c r="Y102" s="671"/>
      <c r="Z102" s="671"/>
      <c r="AA102" s="671"/>
      <c r="AB102" s="671"/>
      <c r="AC102" s="671"/>
      <c r="AD102" s="671"/>
      <c r="AE102" s="671"/>
      <c r="AF102" s="671"/>
      <c r="AG102" s="646"/>
    </row>
    <row r="103">
      <c r="A103" s="25"/>
      <c r="B103" s="673"/>
      <c r="C103" s="673"/>
      <c r="D103" s="673"/>
      <c r="E103" s="673"/>
      <c r="F103" s="673"/>
      <c r="G103" s="673"/>
      <c r="H103" s="673"/>
      <c r="I103" s="673"/>
      <c r="J103" s="673"/>
      <c r="K103" s="673"/>
      <c r="L103" s="673"/>
      <c r="M103" s="673"/>
      <c r="N103" s="673"/>
      <c r="O103" s="673"/>
      <c r="P103" s="673"/>
      <c r="Q103" s="673"/>
      <c r="R103" s="673"/>
      <c r="S103" s="673"/>
      <c r="T103" s="673"/>
      <c r="U103" s="673"/>
      <c r="V103" s="673"/>
      <c r="W103" s="673"/>
      <c r="X103" s="673"/>
      <c r="Y103" s="673"/>
      <c r="Z103" s="673"/>
      <c r="AA103" s="673"/>
      <c r="AB103" s="673"/>
      <c r="AC103" s="673"/>
      <c r="AD103" s="673"/>
      <c r="AE103" s="673"/>
      <c r="AF103" s="673"/>
      <c r="AG103" s="646"/>
    </row>
    <row r="104">
      <c r="A104" s="674" t="s">
        <v>904</v>
      </c>
      <c r="B104" s="661"/>
      <c r="C104" s="661"/>
      <c r="D104" s="661"/>
      <c r="E104" s="661"/>
      <c r="F104" s="661"/>
      <c r="G104" s="661"/>
      <c r="H104" s="661"/>
      <c r="I104" s="661"/>
      <c r="J104" s="661"/>
      <c r="K104" s="661"/>
      <c r="L104" s="661"/>
      <c r="M104" s="661"/>
      <c r="N104" s="661"/>
      <c r="O104" s="661"/>
      <c r="P104" s="661"/>
      <c r="Q104" s="661"/>
      <c r="R104" s="661"/>
      <c r="S104" s="661"/>
      <c r="T104" s="661"/>
      <c r="U104" s="661"/>
      <c r="V104" s="661"/>
      <c r="W104" s="661"/>
      <c r="X104" s="661"/>
      <c r="Y104" s="661"/>
      <c r="Z104" s="661"/>
      <c r="AA104" s="661"/>
      <c r="AB104" s="661"/>
      <c r="AC104" s="661"/>
      <c r="AD104" s="661"/>
      <c r="AE104" s="661"/>
      <c r="AF104" s="661"/>
      <c r="AG104" s="646"/>
    </row>
    <row r="105">
      <c r="A105" s="653" t="s">
        <v>888</v>
      </c>
      <c r="B105" s="668"/>
      <c r="C105" s="668"/>
      <c r="D105" s="668"/>
      <c r="E105" s="668"/>
      <c r="F105" s="668"/>
      <c r="G105" s="668"/>
      <c r="H105" s="668"/>
      <c r="I105" s="668"/>
      <c r="J105" s="668"/>
      <c r="K105" s="668"/>
      <c r="L105" s="668"/>
      <c r="M105" s="668"/>
      <c r="N105" s="668"/>
      <c r="O105" s="668"/>
      <c r="P105" s="668"/>
      <c r="Q105" s="668"/>
      <c r="R105" s="668"/>
      <c r="S105" s="668"/>
      <c r="T105" s="668"/>
      <c r="U105" s="668"/>
      <c r="V105" s="668"/>
      <c r="W105" s="668"/>
      <c r="X105" s="668"/>
      <c r="Y105" s="668"/>
      <c r="Z105" s="668"/>
      <c r="AA105" s="668"/>
      <c r="AB105" s="668"/>
      <c r="AC105" s="668"/>
      <c r="AD105" s="668"/>
      <c r="AE105" s="668"/>
      <c r="AF105" s="668"/>
      <c r="AG105" s="646">
        <f>SUM(B105:AF105)</f>
        <v>0</v>
      </c>
    </row>
    <row r="106">
      <c r="A106" s="653" t="s">
        <v>323</v>
      </c>
      <c r="B106" s="671"/>
      <c r="C106" s="671"/>
      <c r="D106" s="671"/>
      <c r="E106" s="671"/>
      <c r="F106" s="671"/>
      <c r="G106" s="671"/>
      <c r="H106" s="671"/>
      <c r="I106" s="671"/>
      <c r="J106" s="671"/>
      <c r="K106" s="671"/>
      <c r="L106" s="671"/>
      <c r="M106" s="671"/>
      <c r="N106" s="671"/>
      <c r="O106" s="671"/>
      <c r="P106" s="671"/>
      <c r="Q106" s="671"/>
      <c r="R106" s="671"/>
      <c r="S106" s="671"/>
      <c r="T106" s="671"/>
      <c r="U106" s="671"/>
      <c r="V106" s="671"/>
      <c r="W106" s="671"/>
      <c r="X106" s="671"/>
      <c r="Y106" s="671"/>
      <c r="Z106" s="671"/>
      <c r="AA106" s="671"/>
      <c r="AB106" s="671"/>
      <c r="AC106" s="671"/>
      <c r="AD106" s="671"/>
      <c r="AE106" s="671"/>
      <c r="AF106" s="671"/>
      <c r="AG106" s="646"/>
    </row>
    <row r="107">
      <c r="A107" s="653" t="s">
        <v>889</v>
      </c>
      <c r="B107" s="672"/>
      <c r="C107" s="672"/>
      <c r="D107" s="672"/>
      <c r="E107" s="672"/>
      <c r="F107" s="672"/>
      <c r="G107" s="672"/>
      <c r="H107" s="672"/>
      <c r="I107" s="672"/>
      <c r="J107" s="672"/>
      <c r="K107" s="672"/>
      <c r="L107" s="672"/>
      <c r="M107" s="672"/>
      <c r="N107" s="672"/>
      <c r="O107" s="672"/>
      <c r="P107" s="672"/>
      <c r="Q107" s="672"/>
      <c r="R107" s="672"/>
      <c r="S107" s="672"/>
      <c r="T107" s="672"/>
      <c r="U107" s="672"/>
      <c r="V107" s="672"/>
      <c r="W107" s="672"/>
      <c r="X107" s="672"/>
      <c r="Y107" s="672"/>
      <c r="Z107" s="672"/>
      <c r="AA107" s="672"/>
      <c r="AB107" s="672"/>
      <c r="AC107" s="672"/>
      <c r="AD107" s="672"/>
      <c r="AE107" s="672"/>
      <c r="AF107" s="672"/>
      <c r="AG107" s="646"/>
    </row>
    <row r="108">
      <c r="A108" s="657" t="s">
        <v>890</v>
      </c>
      <c r="B108" s="671"/>
      <c r="C108" s="671"/>
      <c r="D108" s="671"/>
      <c r="E108" s="671"/>
      <c r="F108" s="671"/>
      <c r="G108" s="671"/>
      <c r="H108" s="671"/>
      <c r="I108" s="671"/>
      <c r="J108" s="671"/>
      <c r="K108" s="671"/>
      <c r="L108" s="671"/>
      <c r="M108" s="671"/>
      <c r="N108" s="671"/>
      <c r="O108" s="671"/>
      <c r="P108" s="671"/>
      <c r="Q108" s="671"/>
      <c r="R108" s="671"/>
      <c r="S108" s="671"/>
      <c r="T108" s="671"/>
      <c r="U108" s="671"/>
      <c r="V108" s="671"/>
      <c r="W108" s="671"/>
      <c r="X108" s="671"/>
      <c r="Y108" s="671"/>
      <c r="Z108" s="671"/>
      <c r="AA108" s="671"/>
      <c r="AB108" s="671"/>
      <c r="AC108" s="671"/>
      <c r="AD108" s="671"/>
      <c r="AE108" s="671"/>
      <c r="AF108" s="671"/>
      <c r="AG108" s="646"/>
    </row>
    <row r="109">
      <c r="A109" s="675"/>
      <c r="B109" s="661"/>
      <c r="C109" s="661"/>
      <c r="D109" s="661"/>
      <c r="E109" s="661"/>
      <c r="F109" s="661"/>
      <c r="G109" s="661"/>
      <c r="H109" s="661"/>
      <c r="I109" s="661"/>
      <c r="J109" s="661"/>
      <c r="K109" s="661"/>
      <c r="L109" s="661"/>
      <c r="M109" s="661"/>
      <c r="N109" s="661"/>
      <c r="O109" s="661"/>
      <c r="P109" s="661"/>
      <c r="Q109" s="661"/>
      <c r="R109" s="661"/>
      <c r="S109" s="661"/>
      <c r="T109" s="661"/>
      <c r="U109" s="661"/>
      <c r="V109" s="661"/>
      <c r="W109" s="661"/>
      <c r="X109" s="661"/>
      <c r="Y109" s="661"/>
      <c r="Z109" s="661"/>
      <c r="AA109" s="661"/>
      <c r="AB109" s="661"/>
      <c r="AC109" s="661"/>
      <c r="AD109" s="661"/>
      <c r="AE109" s="661"/>
      <c r="AF109" s="661"/>
      <c r="AG109" s="646"/>
    </row>
    <row r="110">
      <c r="A110" s="675"/>
      <c r="B110" s="661"/>
      <c r="C110" s="661"/>
      <c r="D110" s="661"/>
      <c r="E110" s="661"/>
      <c r="F110" s="661"/>
      <c r="G110" s="661"/>
      <c r="H110" s="661"/>
      <c r="I110" s="661"/>
      <c r="J110" s="661"/>
      <c r="K110" s="661"/>
      <c r="L110" s="661"/>
      <c r="M110" s="661"/>
      <c r="N110" s="661"/>
      <c r="O110" s="661"/>
      <c r="P110" s="661"/>
      <c r="Q110" s="661"/>
      <c r="R110" s="661"/>
      <c r="S110" s="661"/>
      <c r="T110" s="661"/>
      <c r="U110" s="661"/>
      <c r="V110" s="661"/>
      <c r="W110" s="661"/>
      <c r="X110" s="661"/>
      <c r="Y110" s="661"/>
      <c r="Z110" s="661"/>
      <c r="AA110" s="661"/>
      <c r="AB110" s="661"/>
      <c r="AC110" s="661"/>
      <c r="AD110" s="661"/>
      <c r="AE110" s="661"/>
      <c r="AF110" s="661"/>
      <c r="AG110" s="646"/>
    </row>
    <row r="111">
      <c r="A111" s="676" t="s">
        <v>905</v>
      </c>
      <c r="B111" s="661"/>
      <c r="C111" s="661"/>
      <c r="D111" s="661"/>
      <c r="E111" s="661"/>
      <c r="F111" s="661"/>
      <c r="G111" s="661"/>
      <c r="H111" s="661"/>
      <c r="I111" s="661"/>
      <c r="J111" s="661"/>
      <c r="K111" s="661"/>
      <c r="L111" s="661"/>
      <c r="M111" s="661"/>
      <c r="N111" s="661"/>
      <c r="O111" s="661"/>
      <c r="P111" s="661"/>
      <c r="Q111" s="661"/>
      <c r="R111" s="661"/>
      <c r="S111" s="661"/>
      <c r="T111" s="661"/>
      <c r="U111" s="661"/>
      <c r="V111" s="661"/>
      <c r="W111" s="661"/>
      <c r="X111" s="661"/>
      <c r="Y111" s="661"/>
      <c r="Z111" s="661"/>
      <c r="AA111" s="661"/>
      <c r="AB111" s="661"/>
      <c r="AC111" s="661"/>
      <c r="AD111" s="661"/>
      <c r="AE111" s="661"/>
      <c r="AF111" s="661"/>
      <c r="AG111" s="646"/>
    </row>
    <row r="112">
      <c r="A112" s="652" t="s">
        <v>888</v>
      </c>
      <c r="B112" s="66">
        <f>B26-(B13*'OLD Formulas'!$I$15)</f>
        <v>0</v>
      </c>
      <c r="C112" s="66">
        <f>C26-(C13*'OLD Formulas'!$I$15)</f>
        <v>-4802.314238</v>
      </c>
      <c r="D112" s="66">
        <f>D26-(D13*'OLD Formulas'!$I$15)</f>
        <v>-1907.203815</v>
      </c>
      <c r="E112" s="66">
        <f>E26-(E13*'OLD Formulas'!$I$15)</f>
        <v>-331.863604</v>
      </c>
      <c r="F112" s="66">
        <f>F26-(F13*'OLD Formulas'!$I$15)</f>
        <v>0</v>
      </c>
      <c r="G112" s="66">
        <f>G26-(G13*'OLD Formulas'!$I$15)</f>
        <v>0</v>
      </c>
      <c r="H112" s="66">
        <f>H26-(H13*'OLD Formulas'!$I$15)</f>
        <v>0</v>
      </c>
      <c r="I112" s="66">
        <f>I26-(I13*'OLD Formulas'!$I$15)</f>
        <v>0</v>
      </c>
      <c r="J112" s="66">
        <f>J26-(J13*'OLD Formulas'!$I$15)</f>
        <v>-348.2638152</v>
      </c>
      <c r="K112" s="66">
        <f>K26-(K13*'OLD Formulas'!$I$15)</f>
        <v>-794.4284093</v>
      </c>
      <c r="L112" s="66">
        <f>L26-(L13*'OLD Formulas'!$I$15)</f>
        <v>421.2469967</v>
      </c>
      <c r="M112" s="66">
        <f>M26-(M13*'OLD Formulas'!$I$15)</f>
        <v>0</v>
      </c>
      <c r="N112" s="66">
        <f>N26-(N13*'OLD Formulas'!$I$15)</f>
        <v>0</v>
      </c>
      <c r="O112" s="66">
        <f>O26-(O13*'OLD Formulas'!$I$15)</f>
        <v>19.42858744</v>
      </c>
      <c r="P112" s="66">
        <f>P26-(P13*'OLD Formulas'!$I$15)</f>
        <v>-924.3408119</v>
      </c>
      <c r="Q112" s="66">
        <f>Q26-(Q13*'OLD Formulas'!$I$15)</f>
        <v>-1216.951413</v>
      </c>
      <c r="R112" s="66">
        <f>R26-(R13*'OLD Formulas'!$I$15)</f>
        <v>-876.0348053</v>
      </c>
      <c r="S112" s="66">
        <f>S26-(S13*'OLD Formulas'!$I$15)</f>
        <v>0</v>
      </c>
      <c r="T112" s="66">
        <f>T26-(T13*'OLD Formulas'!$I$15)</f>
        <v>0</v>
      </c>
      <c r="U112" s="66">
        <f>U26-(U13*'OLD Formulas'!$I$15)</f>
        <v>0</v>
      </c>
      <c r="V112" s="66">
        <f>V26-(V13*'OLD Formulas'!$I$15)</f>
        <v>0</v>
      </c>
      <c r="W112" s="66">
        <f>W26-(W13*'OLD Formulas'!$I$15)</f>
        <v>15531.21527</v>
      </c>
      <c r="X112" s="66">
        <f>X26-(X13*'OLD Formulas'!$I$15)</f>
        <v>10175.29672</v>
      </c>
      <c r="Y112" s="66">
        <f>Y26-(Y13*'OLD Formulas'!$I$15)</f>
        <v>15280.06849</v>
      </c>
      <c r="Z112" s="66">
        <f>Z26-(Z13*'OLD Formulas'!$I$15)</f>
        <v>5177.347353</v>
      </c>
      <c r="AA112" s="66">
        <f>AA26-(AA13*'OLD Formulas'!$I$15)</f>
        <v>2597.937175</v>
      </c>
      <c r="AB112" s="66">
        <f>AB26-(AB13*'OLD Formulas'!$I$15)</f>
        <v>1025.745584</v>
      </c>
      <c r="AC112" s="66">
        <f>AC26-(AC13*'OLD Formulas'!$I$15)</f>
        <v>818.6433927</v>
      </c>
      <c r="AD112" s="66">
        <f>AD26-(AD13*'OLD Formulas'!$I$15)</f>
        <v>199.1475974</v>
      </c>
      <c r="AE112" s="66">
        <f>AE26-(AE13*'OLD Formulas'!$I$15)</f>
        <v>-137.4512013</v>
      </c>
      <c r="AF112" s="66"/>
      <c r="AG112" s="646">
        <f>SUM(B112:AF112)</f>
        <v>39907.22506</v>
      </c>
    </row>
    <row r="113">
      <c r="A113" s="652" t="s">
        <v>323</v>
      </c>
      <c r="B113" s="671"/>
      <c r="C113" s="671"/>
      <c r="D113" s="671"/>
      <c r="E113" s="671"/>
      <c r="F113" s="671"/>
      <c r="G113" s="671"/>
      <c r="H113" s="671"/>
      <c r="I113" s="671"/>
      <c r="J113" s="671"/>
      <c r="K113" s="671"/>
      <c r="L113" s="671"/>
      <c r="M113" s="671"/>
      <c r="N113" s="671"/>
      <c r="O113" s="671"/>
      <c r="P113" s="671"/>
      <c r="Q113" s="671"/>
      <c r="R113" s="671"/>
      <c r="S113" s="671"/>
      <c r="T113" s="671"/>
      <c r="U113" s="671"/>
      <c r="V113" s="671"/>
      <c r="W113" s="671"/>
      <c r="X113" s="671"/>
      <c r="Y113" s="671"/>
      <c r="Z113" s="671"/>
      <c r="AA113" s="671"/>
      <c r="AB113" s="671"/>
      <c r="AC113" s="671"/>
      <c r="AD113" s="671"/>
      <c r="AE113" s="671"/>
      <c r="AF113" s="671"/>
      <c r="AG113" s="646"/>
    </row>
    <row r="114">
      <c r="A114" s="652" t="s">
        <v>889</v>
      </c>
      <c r="B114" s="672"/>
      <c r="C114" s="672"/>
      <c r="D114" s="672"/>
      <c r="E114" s="672"/>
      <c r="F114" s="672"/>
      <c r="G114" s="672"/>
      <c r="H114" s="672"/>
      <c r="I114" s="672"/>
      <c r="J114" s="672"/>
      <c r="K114" s="672"/>
      <c r="L114" s="672"/>
      <c r="M114" s="672"/>
      <c r="N114" s="672"/>
      <c r="O114" s="672"/>
      <c r="P114" s="672"/>
      <c r="Q114" s="672"/>
      <c r="R114" s="672"/>
      <c r="S114" s="672"/>
      <c r="T114" s="672"/>
      <c r="U114" s="672"/>
      <c r="V114" s="672"/>
      <c r="W114" s="672"/>
      <c r="X114" s="672"/>
      <c r="Y114" s="672"/>
      <c r="Z114" s="672"/>
      <c r="AA114" s="672"/>
      <c r="AB114" s="672"/>
      <c r="AC114" s="672"/>
      <c r="AD114" s="672"/>
      <c r="AE114" s="672"/>
      <c r="AF114" s="672"/>
      <c r="AG114" s="646"/>
    </row>
    <row r="115">
      <c r="A115" s="678" t="s">
        <v>890</v>
      </c>
      <c r="B115" s="679" t="str">
        <f>B26/('OLD Formulas'!$I$15*B13)</f>
        <v>#DIV/0!</v>
      </c>
      <c r="C115" s="679">
        <f>C26/('OLD Formulas'!$I$15*C13)</f>
        <v>0.4329982744</v>
      </c>
      <c r="D115" s="679">
        <f>D26/('OLD Formulas'!$I$15*D13)</f>
        <v>0.4419438064</v>
      </c>
      <c r="E115" s="679">
        <f>E26/('OLD Formulas'!$I$15*E13)</f>
        <v>0.6277651452</v>
      </c>
      <c r="F115" s="679" t="str">
        <f>F26/('OLD Formulas'!$I$15*F13)</f>
        <v>#DIV/0!</v>
      </c>
      <c r="G115" s="679" t="str">
        <f>G26/('OLD Formulas'!$I$15*G13)</f>
        <v>#DIV/0!</v>
      </c>
      <c r="H115" s="679" t="str">
        <f>H26/('OLD Formulas'!$I$15*H13)</f>
        <v>#DIV/0!</v>
      </c>
      <c r="I115" s="679" t="str">
        <f>I26/('OLD Formulas'!$I$15*I13)</f>
        <v>#DIV/0!</v>
      </c>
      <c r="J115" s="679">
        <f>J26/('OLD Formulas'!$I$15*J13)</f>
        <v>0.8980964816</v>
      </c>
      <c r="K115" s="679">
        <f>K26/('OLD Formulas'!$I$15*K13)</f>
        <v>0.6181125446</v>
      </c>
      <c r="L115" s="679">
        <f>L26/('OLD Formulas'!$I$15*L13)</f>
        <v>1.566990099</v>
      </c>
      <c r="M115" s="679" t="str">
        <f>M26/('OLD Formulas'!$I$15*M13)</f>
        <v>#DIV/0!</v>
      </c>
      <c r="N115" s="679" t="str">
        <f>N26/('OLD Formulas'!$I$15*N13)</f>
        <v>#DIV/0!</v>
      </c>
      <c r="O115" s="679">
        <f>O26/('OLD Formulas'!$I$15*O13)</f>
        <v>1.006881709</v>
      </c>
      <c r="P115" s="679">
        <f>P26/('OLD Formulas'!$I$15*P13)</f>
        <v>0.6544043358</v>
      </c>
      <c r="Q115" s="679">
        <f>Q26/('OLD Formulas'!$I$15*Q13)</f>
        <v>0.5689493544</v>
      </c>
      <c r="R115" s="679">
        <f>R26/('OLD Formulas'!$I$15*R13)</f>
        <v>0.2630465845</v>
      </c>
      <c r="S115" s="679" t="str">
        <f>S26/('OLD Formulas'!$I$15*S13)</f>
        <v>#DIV/0!</v>
      </c>
      <c r="T115" s="679" t="str">
        <f>T26/('OLD Formulas'!$I$15*T13)</f>
        <v>#DIV/0!</v>
      </c>
      <c r="U115" s="679" t="str">
        <f>U26/('OLD Formulas'!$I$15*U13)</f>
        <v>#DIV/0!</v>
      </c>
      <c r="V115" s="679" t="str">
        <f>V26/('OLD Formulas'!$I$15*V13)</f>
        <v>#DIV/0!</v>
      </c>
      <c r="W115" s="679">
        <f>W26/('OLD Formulas'!$I$15*W13)</f>
        <v>1.547243654</v>
      </c>
      <c r="X115" s="679">
        <f>X26/('OLD Formulas'!$I$15*X13)</f>
        <v>1.561301126</v>
      </c>
      <c r="Y115" s="679">
        <f>Y26/('OLD Formulas'!$I$15*Y13)</f>
        <v>1.608481331</v>
      </c>
      <c r="Z115" s="679">
        <f>Z26/('OLD Formulas'!$I$15*Z13)</f>
        <v>1.490746958</v>
      </c>
      <c r="AA115" s="679">
        <f>AA26/('OLD Formulas'!$I$15*AA13)</f>
        <v>1.460101564</v>
      </c>
      <c r="AB115" s="679">
        <f>AB26/('OLD Formulas'!$I$15*AB13)</f>
        <v>1.287631917</v>
      </c>
      <c r="AC115" s="679">
        <f>AC26/('OLD Formulas'!$I$15*AC13)</f>
        <v>1.500853528</v>
      </c>
      <c r="AD115" s="679">
        <f>AD26/('OLD Formulas'!$I$15*AD13)</f>
        <v>1.335060893</v>
      </c>
      <c r="AE115" s="679">
        <f>AE26/('OLD Formulas'!$I$15*AE13)</f>
        <v>0.5374835262</v>
      </c>
      <c r="AF115" s="679"/>
      <c r="AG115" s="646"/>
    </row>
    <row r="116">
      <c r="A116" s="675"/>
      <c r="B116" s="661"/>
      <c r="C116" s="661"/>
      <c r="D116" s="661"/>
      <c r="E116" s="661"/>
      <c r="F116" s="661"/>
      <c r="G116" s="661"/>
      <c r="H116" s="661"/>
      <c r="I116" s="661"/>
      <c r="J116" s="661"/>
      <c r="K116" s="661"/>
      <c r="L116" s="661"/>
      <c r="M116" s="661"/>
      <c r="N116" s="661"/>
      <c r="O116" s="661"/>
      <c r="P116" s="661"/>
      <c r="Q116" s="661"/>
      <c r="R116" s="661"/>
      <c r="S116" s="661"/>
      <c r="T116" s="661"/>
      <c r="U116" s="661"/>
      <c r="V116" s="661"/>
      <c r="W116" s="661"/>
      <c r="X116" s="661"/>
      <c r="Y116" s="661"/>
      <c r="Z116" s="661"/>
      <c r="AA116" s="661"/>
      <c r="AB116" s="661"/>
      <c r="AC116" s="661"/>
      <c r="AD116" s="661"/>
      <c r="AE116" s="661"/>
      <c r="AF116" s="661"/>
      <c r="AG116" s="680"/>
    </row>
    <row r="117">
      <c r="A117" s="677" t="s">
        <v>906</v>
      </c>
      <c r="B117" s="661"/>
      <c r="C117" s="661"/>
      <c r="D117" s="661"/>
      <c r="E117" s="661"/>
      <c r="F117" s="661"/>
      <c r="G117" s="661"/>
      <c r="H117" s="661"/>
      <c r="I117" s="661"/>
      <c r="J117" s="661"/>
      <c r="K117" s="661"/>
      <c r="L117" s="661"/>
      <c r="M117" s="661"/>
      <c r="N117" s="661"/>
      <c r="O117" s="661"/>
      <c r="P117" s="661"/>
      <c r="Q117" s="661"/>
      <c r="R117" s="661"/>
      <c r="S117" s="661"/>
      <c r="T117" s="661"/>
      <c r="U117" s="661"/>
      <c r="V117" s="661"/>
      <c r="W117" s="661"/>
      <c r="X117" s="661"/>
      <c r="Y117" s="661"/>
      <c r="Z117" s="661"/>
      <c r="AA117" s="661"/>
      <c r="AB117" s="661"/>
      <c r="AC117" s="661"/>
      <c r="AD117" s="661"/>
      <c r="AE117" s="661"/>
      <c r="AF117" s="661"/>
      <c r="AG117" s="680"/>
    </row>
    <row r="118">
      <c r="A118" s="682" t="s">
        <v>888</v>
      </c>
      <c r="B118" s="661">
        <f>B27-(B14*'OLD Formulas'!$A$43)-B43</f>
        <v>0</v>
      </c>
      <c r="C118" s="661">
        <f>C27-(C14*'OLD Formulas'!$A$43)-C43</f>
        <v>0</v>
      </c>
      <c r="D118" s="661">
        <f>D27-(D14*'OLD Formulas'!$A$43)-D43</f>
        <v>0</v>
      </c>
      <c r="E118" s="661">
        <f>E27-(E14*'OLD Formulas'!$A$43)-E43</f>
        <v>0</v>
      </c>
      <c r="F118" s="661">
        <f>F27-(F14*'OLD Formulas'!$A$43)-F43</f>
        <v>0</v>
      </c>
      <c r="G118" s="661">
        <f>G27-(G14*'OLD Formulas'!$A$43)-G43</f>
        <v>0</v>
      </c>
      <c r="H118" s="661">
        <f>H27-(H14*'OLD Formulas'!$A$43)-H43</f>
        <v>0</v>
      </c>
      <c r="I118" s="661">
        <f>I27-(I14*'OLD Formulas'!$A$43)-I43</f>
        <v>0</v>
      </c>
      <c r="J118" s="661">
        <f>J27-(J14*'OLD Formulas'!$A$43)-J43</f>
        <v>0</v>
      </c>
      <c r="K118" s="661">
        <f>K27-(K14*'OLD Formulas'!$A$43)-K43</f>
        <v>0</v>
      </c>
      <c r="L118" s="661">
        <f>L27-(L14*'OLD Formulas'!$A$43)-L43</f>
        <v>0</v>
      </c>
      <c r="M118" s="661">
        <f>M27-(M14*'OLD Formulas'!$A$43)-M43</f>
        <v>0</v>
      </c>
      <c r="N118" s="661">
        <f>N27-(N14*'OLD Formulas'!$A$43)-N43</f>
        <v>0</v>
      </c>
      <c r="O118" s="661">
        <f>O27-(O14*'OLD Formulas'!$A$43)-O43</f>
        <v>0</v>
      </c>
      <c r="P118" s="661">
        <f>P27-(P14*'OLD Formulas'!$A$43)-P43</f>
        <v>0</v>
      </c>
      <c r="Q118" s="661">
        <f>Q27-(Q14*'OLD Formulas'!$A$43)-Q43</f>
        <v>0</v>
      </c>
      <c r="R118" s="661">
        <f>R27-(R14*'OLD Formulas'!$A$43)-R43</f>
        <v>0</v>
      </c>
      <c r="S118" s="661">
        <f>S27-(S14*'OLD Formulas'!$A$43)-S43</f>
        <v>0</v>
      </c>
      <c r="T118" s="661">
        <f>T27-(T14*'OLD Formulas'!$A$43)-T43</f>
        <v>0</v>
      </c>
      <c r="U118" s="661">
        <f>U27-(U14*'OLD Formulas'!$A$43)-U43</f>
        <v>0</v>
      </c>
      <c r="V118" s="661">
        <f>V27-(V14*'OLD Formulas'!$A$43)-V43</f>
        <v>0</v>
      </c>
      <c r="W118" s="661">
        <f>W27-(W14*'OLD Formulas'!$A$43)-W43</f>
        <v>0</v>
      </c>
      <c r="X118" s="661">
        <f>X27-(X14*'OLD Formulas'!$A$43)-X43</f>
        <v>0</v>
      </c>
      <c r="Y118" s="661">
        <f>Y27-(Y14*'OLD Formulas'!$A$43)-Y43</f>
        <v>0</v>
      </c>
      <c r="Z118" s="661">
        <f>Z27-(Z14*'OLD Formulas'!$A$43)-Z43</f>
        <v>0</v>
      </c>
      <c r="AA118" s="661">
        <f>AA27-(AA14*'OLD Formulas'!$A$43)-AA43</f>
        <v>0</v>
      </c>
      <c r="AB118" s="661">
        <f>AB27-(AB14*'OLD Formulas'!$A$43)-AB43</f>
        <v>0</v>
      </c>
      <c r="AC118" s="661">
        <f>AC27-(AC14*'OLD Formulas'!$A$43)-AC43</f>
        <v>0</v>
      </c>
      <c r="AD118" s="661">
        <f>AD27-(AD14*'OLD Formulas'!$A$43)-AD43</f>
        <v>0</v>
      </c>
      <c r="AE118" s="661">
        <f>AE27-(AE14*'OLD Formulas'!$A$43)-AE43</f>
        <v>0</v>
      </c>
      <c r="AF118" s="661"/>
      <c r="AG118" s="680"/>
    </row>
    <row r="119">
      <c r="A119" s="682" t="s">
        <v>323</v>
      </c>
      <c r="B119" s="661" t="str">
        <f t="shared" ref="B119:AE119" si="27">B27/B43</f>
        <v>#DIV/0!</v>
      </c>
      <c r="C119" s="661" t="str">
        <f t="shared" si="27"/>
        <v>#DIV/0!</v>
      </c>
      <c r="D119" s="661" t="str">
        <f t="shared" si="27"/>
        <v>#DIV/0!</v>
      </c>
      <c r="E119" s="661" t="str">
        <f t="shared" si="27"/>
        <v>#DIV/0!</v>
      </c>
      <c r="F119" s="661" t="str">
        <f t="shared" si="27"/>
        <v>#DIV/0!</v>
      </c>
      <c r="G119" s="661" t="str">
        <f t="shared" si="27"/>
        <v>#DIV/0!</v>
      </c>
      <c r="H119" s="661" t="str">
        <f t="shared" si="27"/>
        <v>#DIV/0!</v>
      </c>
      <c r="I119" s="661" t="str">
        <f t="shared" si="27"/>
        <v>#DIV/0!</v>
      </c>
      <c r="J119" s="661" t="str">
        <f t="shared" si="27"/>
        <v>#DIV/0!</v>
      </c>
      <c r="K119" s="661" t="str">
        <f t="shared" si="27"/>
        <v>#DIV/0!</v>
      </c>
      <c r="L119" s="661" t="str">
        <f t="shared" si="27"/>
        <v>#DIV/0!</v>
      </c>
      <c r="M119" s="661" t="str">
        <f t="shared" si="27"/>
        <v>#DIV/0!</v>
      </c>
      <c r="N119" s="661" t="str">
        <f t="shared" si="27"/>
        <v>#DIV/0!</v>
      </c>
      <c r="O119" s="661" t="str">
        <f t="shared" si="27"/>
        <v>#DIV/0!</v>
      </c>
      <c r="P119" s="661" t="str">
        <f t="shared" si="27"/>
        <v>#DIV/0!</v>
      </c>
      <c r="Q119" s="661" t="str">
        <f t="shared" si="27"/>
        <v>#DIV/0!</v>
      </c>
      <c r="R119" s="661" t="str">
        <f t="shared" si="27"/>
        <v>#DIV/0!</v>
      </c>
      <c r="S119" s="661" t="str">
        <f t="shared" si="27"/>
        <v>#DIV/0!</v>
      </c>
      <c r="T119" s="661" t="str">
        <f t="shared" si="27"/>
        <v>#DIV/0!</v>
      </c>
      <c r="U119" s="661" t="str">
        <f t="shared" si="27"/>
        <v>#DIV/0!</v>
      </c>
      <c r="V119" s="661" t="str">
        <f t="shared" si="27"/>
        <v>#DIV/0!</v>
      </c>
      <c r="W119" s="661" t="str">
        <f t="shared" si="27"/>
        <v>#DIV/0!</v>
      </c>
      <c r="X119" s="661" t="str">
        <f t="shared" si="27"/>
        <v>#DIV/0!</v>
      </c>
      <c r="Y119" s="661" t="str">
        <f t="shared" si="27"/>
        <v>#DIV/0!</v>
      </c>
      <c r="Z119" s="661" t="str">
        <f t="shared" si="27"/>
        <v>#DIV/0!</v>
      </c>
      <c r="AA119" s="661" t="str">
        <f t="shared" si="27"/>
        <v>#DIV/0!</v>
      </c>
      <c r="AB119" s="661" t="str">
        <f t="shared" si="27"/>
        <v>#DIV/0!</v>
      </c>
      <c r="AC119" s="661" t="str">
        <f t="shared" si="27"/>
        <v>#DIV/0!</v>
      </c>
      <c r="AD119" s="661" t="str">
        <f t="shared" si="27"/>
        <v>#DIV/0!</v>
      </c>
      <c r="AE119" s="661" t="str">
        <f t="shared" si="27"/>
        <v>#DIV/0!</v>
      </c>
      <c r="AF119" s="661"/>
      <c r="AG119" s="680"/>
    </row>
    <row r="120">
      <c r="A120" s="682" t="s">
        <v>889</v>
      </c>
      <c r="B120" s="661" t="str">
        <f t="shared" ref="B120:AE120" si="28">B43/B14</f>
        <v>#DIV/0!</v>
      </c>
      <c r="C120" s="661" t="str">
        <f t="shared" si="28"/>
        <v>#DIV/0!</v>
      </c>
      <c r="D120" s="661" t="str">
        <f t="shared" si="28"/>
        <v>#DIV/0!</v>
      </c>
      <c r="E120" s="661" t="str">
        <f t="shared" si="28"/>
        <v>#DIV/0!</v>
      </c>
      <c r="F120" s="661" t="str">
        <f t="shared" si="28"/>
        <v>#DIV/0!</v>
      </c>
      <c r="G120" s="661" t="str">
        <f t="shared" si="28"/>
        <v>#DIV/0!</v>
      </c>
      <c r="H120" s="661" t="str">
        <f t="shared" si="28"/>
        <v>#DIV/0!</v>
      </c>
      <c r="I120" s="661" t="str">
        <f t="shared" si="28"/>
        <v>#DIV/0!</v>
      </c>
      <c r="J120" s="661" t="str">
        <f t="shared" si="28"/>
        <v>#DIV/0!</v>
      </c>
      <c r="K120" s="661" t="str">
        <f t="shared" si="28"/>
        <v>#DIV/0!</v>
      </c>
      <c r="L120" s="661" t="str">
        <f t="shared" si="28"/>
        <v>#DIV/0!</v>
      </c>
      <c r="M120" s="661" t="str">
        <f t="shared" si="28"/>
        <v>#DIV/0!</v>
      </c>
      <c r="N120" s="661" t="str">
        <f t="shared" si="28"/>
        <v>#DIV/0!</v>
      </c>
      <c r="O120" s="661" t="str">
        <f t="shared" si="28"/>
        <v>#DIV/0!</v>
      </c>
      <c r="P120" s="661" t="str">
        <f t="shared" si="28"/>
        <v>#DIV/0!</v>
      </c>
      <c r="Q120" s="661" t="str">
        <f t="shared" si="28"/>
        <v>#DIV/0!</v>
      </c>
      <c r="R120" s="661" t="str">
        <f t="shared" si="28"/>
        <v>#DIV/0!</v>
      </c>
      <c r="S120" s="661" t="str">
        <f t="shared" si="28"/>
        <v>#DIV/0!</v>
      </c>
      <c r="T120" s="661" t="str">
        <f t="shared" si="28"/>
        <v>#DIV/0!</v>
      </c>
      <c r="U120" s="661" t="str">
        <f t="shared" si="28"/>
        <v>#DIV/0!</v>
      </c>
      <c r="V120" s="661" t="str">
        <f t="shared" si="28"/>
        <v>#DIV/0!</v>
      </c>
      <c r="W120" s="661" t="str">
        <f t="shared" si="28"/>
        <v>#DIV/0!</v>
      </c>
      <c r="X120" s="661" t="str">
        <f t="shared" si="28"/>
        <v>#DIV/0!</v>
      </c>
      <c r="Y120" s="661" t="str">
        <f t="shared" si="28"/>
        <v>#DIV/0!</v>
      </c>
      <c r="Z120" s="661" t="str">
        <f t="shared" si="28"/>
        <v>#DIV/0!</v>
      </c>
      <c r="AA120" s="661" t="str">
        <f t="shared" si="28"/>
        <v>#DIV/0!</v>
      </c>
      <c r="AB120" s="661" t="str">
        <f t="shared" si="28"/>
        <v>#DIV/0!</v>
      </c>
      <c r="AC120" s="661" t="str">
        <f t="shared" si="28"/>
        <v>#DIV/0!</v>
      </c>
      <c r="AD120" s="661" t="str">
        <f t="shared" si="28"/>
        <v>#DIV/0!</v>
      </c>
      <c r="AE120" s="661" t="str">
        <f t="shared" si="28"/>
        <v>#DIV/0!</v>
      </c>
      <c r="AF120" s="661"/>
      <c r="AG120" s="680"/>
    </row>
    <row r="121">
      <c r="A121" s="684" t="s">
        <v>890</v>
      </c>
      <c r="B121" s="661" t="str">
        <f>B27/('OLD Formulas'!$A$43*B14+B43+B44)</f>
        <v>#DIV/0!</v>
      </c>
      <c r="C121" s="661" t="str">
        <f>C27/('OLD Formulas'!$A$43*C14+C43+C44)</f>
        <v>#DIV/0!</v>
      </c>
      <c r="D121" s="661" t="str">
        <f>D27/('OLD Formulas'!$A$43*D14+D43+D44)</f>
        <v>#DIV/0!</v>
      </c>
      <c r="E121" s="661" t="str">
        <f>E27/('OLD Formulas'!$A$43*E14+E43+E44)</f>
        <v>#DIV/0!</v>
      </c>
      <c r="F121" s="661" t="str">
        <f>F27/('OLD Formulas'!$A$43*F14+F43+F44)</f>
        <v>#DIV/0!</v>
      </c>
      <c r="G121" s="661" t="str">
        <f>G27/('OLD Formulas'!$A$43*G14+G43+G44)</f>
        <v>#DIV/0!</v>
      </c>
      <c r="H121" s="661" t="str">
        <f>H27/('OLD Formulas'!$A$43*H14+H43+H44)</f>
        <v>#DIV/0!</v>
      </c>
      <c r="I121" s="661" t="str">
        <f>I27/('OLD Formulas'!$A$43*I14+I43+I44)</f>
        <v>#DIV/0!</v>
      </c>
      <c r="J121" s="661" t="str">
        <f>J27/('OLD Formulas'!$A$43*J14+J43+J44)</f>
        <v>#DIV/0!</v>
      </c>
      <c r="K121" s="661" t="str">
        <f>K27/('OLD Formulas'!$A$43*K14+K43+K44)</f>
        <v>#DIV/0!</v>
      </c>
      <c r="L121" s="661" t="str">
        <f>L27/('OLD Formulas'!$A$43*L14+L43+L44)</f>
        <v>#DIV/0!</v>
      </c>
      <c r="M121" s="661" t="str">
        <f>M27/('OLD Formulas'!$A$43*M14+M43+M44)</f>
        <v>#DIV/0!</v>
      </c>
      <c r="N121" s="661" t="str">
        <f>N27/('OLD Formulas'!$A$43*N14+N43+N44)</f>
        <v>#DIV/0!</v>
      </c>
      <c r="O121" s="661" t="str">
        <f>O27/('OLD Formulas'!$A$43*O14+O43+O44)</f>
        <v>#DIV/0!</v>
      </c>
      <c r="P121" s="661" t="str">
        <f>P27/('OLD Formulas'!$A$43*P14+P43+P44)</f>
        <v>#DIV/0!</v>
      </c>
      <c r="Q121" s="661" t="str">
        <f>Q27/('OLD Formulas'!$A$43*Q14+Q43+Q44)</f>
        <v>#DIV/0!</v>
      </c>
      <c r="R121" s="661" t="str">
        <f>R27/('OLD Formulas'!$A$43*R14+R43+R44)</f>
        <v>#DIV/0!</v>
      </c>
      <c r="S121" s="661" t="str">
        <f>S27/('OLD Formulas'!$A$43*S14+S43+S44)</f>
        <v>#DIV/0!</v>
      </c>
      <c r="T121" s="661" t="str">
        <f>T27/('OLD Formulas'!$A$43*T14+T43+T44)</f>
        <v>#DIV/0!</v>
      </c>
      <c r="U121" s="661" t="str">
        <f>U27/('OLD Formulas'!$A$43*U14+U43+U44)</f>
        <v>#DIV/0!</v>
      </c>
      <c r="V121" s="661" t="str">
        <f>V27/('OLD Formulas'!$A$43*V14+V43+V44)</f>
        <v>#DIV/0!</v>
      </c>
      <c r="W121" s="661" t="str">
        <f>W27/('OLD Formulas'!$A$43*W14+W43+W44)</f>
        <v>#DIV/0!</v>
      </c>
      <c r="X121" s="661" t="str">
        <f>X27/('OLD Formulas'!$A$43*X14+X43+X44)</f>
        <v>#DIV/0!</v>
      </c>
      <c r="Y121" s="661" t="str">
        <f>Y27/('OLD Formulas'!$A$43*Y14+Y43+Y44)</f>
        <v>#DIV/0!</v>
      </c>
      <c r="Z121" s="661" t="str">
        <f>Z27/('OLD Formulas'!$A$43*Z14+Z43+Z44)</f>
        <v>#DIV/0!</v>
      </c>
      <c r="AA121" s="661" t="str">
        <f>AA27/('OLD Formulas'!$A$43*AA14+AA43+AA44)</f>
        <v>#DIV/0!</v>
      </c>
      <c r="AB121" s="661" t="str">
        <f>AB27/('OLD Formulas'!$A$43*AB14+AB43+AB44)</f>
        <v>#DIV/0!</v>
      </c>
      <c r="AC121" s="661" t="str">
        <f>AC27/('OLD Formulas'!$A$43*AC14+AC43+AC44)</f>
        <v>#DIV/0!</v>
      </c>
      <c r="AD121" s="661" t="str">
        <f>AD27/('OLD Formulas'!$A$43*AD14+AD43+AD44)</f>
        <v>#DIV/0!</v>
      </c>
      <c r="AE121" s="661" t="str">
        <f>AE27/('OLD Formulas'!$A$43*AE14+AE43+AE44)</f>
        <v>#DIV/0!</v>
      </c>
      <c r="AF121" s="661"/>
      <c r="AG121" s="680"/>
    </row>
    <row r="122">
      <c r="A122" s="685"/>
      <c r="B122" s="686"/>
      <c r="C122" s="686"/>
      <c r="D122" s="686"/>
      <c r="E122" s="686"/>
      <c r="F122" s="686"/>
      <c r="G122" s="686"/>
      <c r="H122" s="686"/>
      <c r="I122" s="686"/>
      <c r="J122" s="686"/>
      <c r="K122" s="686"/>
      <c r="L122" s="686"/>
      <c r="M122" s="686"/>
      <c r="N122" s="686"/>
      <c r="O122" s="686"/>
      <c r="P122" s="686"/>
      <c r="Q122" s="686"/>
      <c r="R122" s="686"/>
      <c r="S122" s="686"/>
      <c r="T122" s="686"/>
      <c r="U122" s="686"/>
      <c r="V122" s="686"/>
      <c r="W122" s="686"/>
      <c r="X122" s="686"/>
      <c r="Y122" s="686"/>
      <c r="Z122" s="686"/>
      <c r="AA122" s="686"/>
      <c r="AB122" s="686"/>
      <c r="AC122" s="686"/>
      <c r="AD122" s="686"/>
      <c r="AE122" s="686"/>
      <c r="AF122" s="686"/>
      <c r="AG122" s="687"/>
    </row>
    <row r="123">
      <c r="A123" s="688"/>
      <c r="B123" s="642"/>
      <c r="C123" s="642"/>
      <c r="D123" s="642"/>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3"/>
    </row>
    <row r="124">
      <c r="A124" s="25"/>
      <c r="B124" s="689"/>
      <c r="C124" s="689"/>
      <c r="D124" s="689"/>
      <c r="E124" s="689"/>
      <c r="F124" s="689"/>
      <c r="G124" s="689"/>
      <c r="H124" s="689"/>
      <c r="I124" s="689"/>
      <c r="J124" s="689"/>
      <c r="K124" s="689"/>
      <c r="L124" s="689"/>
      <c r="M124" s="689"/>
      <c r="N124" s="689"/>
      <c r="O124" s="689"/>
      <c r="P124" s="689"/>
      <c r="Q124" s="689"/>
      <c r="R124" s="689"/>
      <c r="S124" s="689"/>
      <c r="T124" s="689"/>
      <c r="U124" s="689"/>
      <c r="V124" s="689"/>
      <c r="W124" s="689"/>
      <c r="X124" s="689"/>
      <c r="Y124" s="689"/>
      <c r="Z124" s="689"/>
      <c r="AA124" s="689"/>
      <c r="AB124" s="689"/>
      <c r="AC124" s="689"/>
      <c r="AD124" s="689"/>
      <c r="AE124" s="689"/>
      <c r="AF124" s="689"/>
      <c r="AG124" s="576"/>
    </row>
    <row r="125">
      <c r="A125" s="75" t="s">
        <v>105</v>
      </c>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76"/>
    </row>
    <row r="126">
      <c r="A126" s="692" t="s">
        <v>183</v>
      </c>
      <c r="B126" s="66">
        <f>'Sales OLD'!B8</f>
        <v>105020.72</v>
      </c>
      <c r="C126" s="66">
        <f>'Sales OLD'!C8</f>
        <v>113953.5</v>
      </c>
      <c r="D126" s="66">
        <f>'Sales OLD'!D8</f>
        <v>112373.95</v>
      </c>
      <c r="E126" s="66">
        <f>'Sales OLD'!E8</f>
        <v>122012.63</v>
      </c>
      <c r="F126" s="66">
        <f>'Sales OLD'!F8</f>
        <v>137621.08</v>
      </c>
      <c r="G126" s="66">
        <f>'Sales OLD'!G8</f>
        <v>129947.16</v>
      </c>
      <c r="H126" s="66">
        <f>'Sales OLD'!H8</f>
        <v>119378.74</v>
      </c>
      <c r="I126" s="66">
        <f>'Sales OLD'!I8</f>
        <v>123374.05</v>
      </c>
      <c r="J126" s="66">
        <f>'Sales OLD'!J8</f>
        <v>128107.05</v>
      </c>
      <c r="K126" s="66">
        <f>'Sales OLD'!K8</f>
        <v>125767.15</v>
      </c>
      <c r="L126" s="66">
        <f>'Sales OLD'!L8</f>
        <v>165764.54</v>
      </c>
      <c r="M126" s="66">
        <f>'Sales OLD'!M8</f>
        <v>163580.76</v>
      </c>
      <c r="N126" s="66">
        <f>'Sales OLD'!N8</f>
        <v>139679.41</v>
      </c>
      <c r="O126" s="66">
        <f>'Sales OLD'!O8</f>
        <v>146242.75</v>
      </c>
      <c r="P126" s="66">
        <f>'Sales OLD'!P8</f>
        <v>138299.56</v>
      </c>
      <c r="Q126" s="66">
        <f>'Sales OLD'!Q8</f>
        <v>124866</v>
      </c>
      <c r="R126" s="66">
        <f>'Sales OLD'!R8</f>
        <v>132032.76</v>
      </c>
      <c r="S126" s="66">
        <f>'Sales OLD'!S8</f>
        <v>173798.84</v>
      </c>
      <c r="T126" s="66">
        <f>'Sales OLD'!T8</f>
        <v>178809.93</v>
      </c>
      <c r="U126" s="66">
        <f>'Sales OLD'!U8</f>
        <v>189422.75</v>
      </c>
      <c r="V126" s="66">
        <f>'Sales OLD'!V8</f>
        <v>192933.07</v>
      </c>
      <c r="W126" s="66">
        <f>'Sales OLD'!W8</f>
        <v>283585.27</v>
      </c>
      <c r="X126" s="66">
        <f>'Sales OLD'!X8</f>
        <v>337982.12</v>
      </c>
      <c r="Y126" s="66">
        <f>'Sales OLD'!Y8</f>
        <v>931331.57</v>
      </c>
      <c r="Z126" s="66">
        <f>'Sales OLD'!Z8</f>
        <v>576853.7</v>
      </c>
      <c r="AA126" s="66">
        <f>'Sales OLD'!AA8</f>
        <v>430623.37</v>
      </c>
      <c r="AB126" s="66">
        <f>'Sales OLD'!AB8</f>
        <v>664884.74</v>
      </c>
      <c r="AC126" s="66">
        <f>'Sales OLD'!AC8</f>
        <v>471886.67</v>
      </c>
      <c r="AD126" s="66">
        <f>'Sales OLD'!AD8</f>
        <v>100905.21</v>
      </c>
      <c r="AE126" s="66">
        <f>'Sales OLD'!AE8</f>
        <v>92277.49</v>
      </c>
      <c r="AF126" s="66"/>
      <c r="AG126" s="693">
        <f t="shared" ref="AG126:AG127" si="30">sum(B126:AF126)</f>
        <v>6853316.54</v>
      </c>
    </row>
    <row r="127">
      <c r="A127" s="162" t="s">
        <v>910</v>
      </c>
      <c r="B127" s="694">
        <f t="shared" ref="B127:AF127" si="29">SUM(B126)</f>
        <v>105020.72</v>
      </c>
      <c r="C127" s="694">
        <f t="shared" si="29"/>
        <v>113953.5</v>
      </c>
      <c r="D127" s="694">
        <f t="shared" si="29"/>
        <v>112373.95</v>
      </c>
      <c r="E127" s="694">
        <f t="shared" si="29"/>
        <v>122012.63</v>
      </c>
      <c r="F127" s="694">
        <f t="shared" si="29"/>
        <v>137621.08</v>
      </c>
      <c r="G127" s="694">
        <f t="shared" si="29"/>
        <v>129947.16</v>
      </c>
      <c r="H127" s="694">
        <f t="shared" si="29"/>
        <v>119378.74</v>
      </c>
      <c r="I127" s="694">
        <f t="shared" si="29"/>
        <v>123374.05</v>
      </c>
      <c r="J127" s="694">
        <f t="shared" si="29"/>
        <v>128107.05</v>
      </c>
      <c r="K127" s="694">
        <f t="shared" si="29"/>
        <v>125767.15</v>
      </c>
      <c r="L127" s="694">
        <f t="shared" si="29"/>
        <v>165764.54</v>
      </c>
      <c r="M127" s="694">
        <f t="shared" si="29"/>
        <v>163580.76</v>
      </c>
      <c r="N127" s="694">
        <f t="shared" si="29"/>
        <v>139679.41</v>
      </c>
      <c r="O127" s="694">
        <f t="shared" si="29"/>
        <v>146242.75</v>
      </c>
      <c r="P127" s="694">
        <f t="shared" si="29"/>
        <v>138299.56</v>
      </c>
      <c r="Q127" s="694">
        <f t="shared" si="29"/>
        <v>124866</v>
      </c>
      <c r="R127" s="694">
        <f t="shared" si="29"/>
        <v>132032.76</v>
      </c>
      <c r="S127" s="694">
        <f t="shared" si="29"/>
        <v>173798.84</v>
      </c>
      <c r="T127" s="694">
        <f t="shared" si="29"/>
        <v>178809.93</v>
      </c>
      <c r="U127" s="694">
        <f t="shared" si="29"/>
        <v>189422.75</v>
      </c>
      <c r="V127" s="694">
        <f t="shared" si="29"/>
        <v>192933.07</v>
      </c>
      <c r="W127" s="694">
        <f t="shared" si="29"/>
        <v>283585.27</v>
      </c>
      <c r="X127" s="694">
        <f t="shared" si="29"/>
        <v>337982.12</v>
      </c>
      <c r="Y127" s="694">
        <f t="shared" si="29"/>
        <v>931331.57</v>
      </c>
      <c r="Z127" s="694">
        <f t="shared" si="29"/>
        <v>576853.7</v>
      </c>
      <c r="AA127" s="694">
        <f t="shared" si="29"/>
        <v>430623.37</v>
      </c>
      <c r="AB127" s="694">
        <f t="shared" si="29"/>
        <v>664884.74</v>
      </c>
      <c r="AC127" s="694">
        <f t="shared" si="29"/>
        <v>471886.67</v>
      </c>
      <c r="AD127" s="694">
        <f t="shared" si="29"/>
        <v>100905.21</v>
      </c>
      <c r="AE127" s="694">
        <f t="shared" si="29"/>
        <v>92277.49</v>
      </c>
      <c r="AF127" s="694">
        <f t="shared" si="29"/>
        <v>0</v>
      </c>
      <c r="AG127" s="693">
        <f t="shared" si="30"/>
        <v>6853316.54</v>
      </c>
    </row>
    <row r="128">
      <c r="A128" s="2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691"/>
    </row>
    <row r="129">
      <c r="A129" s="349" t="s">
        <v>66</v>
      </c>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691"/>
    </row>
    <row r="130">
      <c r="A130" s="698" t="s">
        <v>200</v>
      </c>
      <c r="B130" s="121">
        <f>'Sales OLD'!B39</f>
        <v>446</v>
      </c>
      <c r="C130" s="99">
        <f>'Sales OLD'!C39</f>
        <v>526</v>
      </c>
      <c r="D130" s="99">
        <f>'Sales OLD'!D39</f>
        <v>509</v>
      </c>
      <c r="E130" s="99">
        <f>'Sales OLD'!E39</f>
        <v>529</v>
      </c>
      <c r="F130" s="99">
        <f>'Sales OLD'!F39</f>
        <v>596</v>
      </c>
      <c r="G130" s="99">
        <f>'Sales OLD'!G39</f>
        <v>570</v>
      </c>
      <c r="H130" s="99">
        <f>'Sales OLD'!H39</f>
        <v>516</v>
      </c>
      <c r="I130" s="99">
        <f>'Sales OLD'!I39</f>
        <v>526</v>
      </c>
      <c r="J130" s="99">
        <f>'Sales OLD'!J39</f>
        <v>561</v>
      </c>
      <c r="K130" s="99">
        <f>'Sales OLD'!K39</f>
        <v>554</v>
      </c>
      <c r="L130" s="99">
        <f>'Sales OLD'!L39</f>
        <v>684</v>
      </c>
      <c r="M130" s="99">
        <f>'Sales OLD'!M39</f>
        <v>663</v>
      </c>
      <c r="N130" s="99">
        <f>'Sales OLD'!N39</f>
        <v>542</v>
      </c>
      <c r="O130" s="99">
        <f>'Sales OLD'!O39</f>
        <v>623</v>
      </c>
      <c r="P130" s="99">
        <f>'Sales OLD'!P39</f>
        <v>582</v>
      </c>
      <c r="Q130" s="99">
        <f>'Sales OLD'!Q39</f>
        <v>544</v>
      </c>
      <c r="R130" s="99">
        <f>'Sales OLD'!R39</f>
        <v>578</v>
      </c>
      <c r="S130" s="99">
        <f>'Sales OLD'!S39</f>
        <v>728</v>
      </c>
      <c r="T130" s="99">
        <f>'Sales OLD'!T39</f>
        <v>751</v>
      </c>
      <c r="U130" s="99">
        <f>'Sales OLD'!U39</f>
        <v>785</v>
      </c>
      <c r="V130" s="99">
        <f>'Sales OLD'!V39</f>
        <v>822</v>
      </c>
      <c r="W130" s="172">
        <f>'Sales OLD'!W39</f>
        <v>1217</v>
      </c>
      <c r="X130" s="172">
        <f>'Sales OLD'!X39</f>
        <v>1412</v>
      </c>
      <c r="Y130" s="172">
        <f>'Sales OLD'!Y39</f>
        <v>3921</v>
      </c>
      <c r="Z130" s="172">
        <f>'Sales OLD'!Z39</f>
        <v>2450</v>
      </c>
      <c r="AA130" s="172">
        <f>'Sales OLD'!AA39</f>
        <v>1814</v>
      </c>
      <c r="AB130" s="172">
        <f>'Sales OLD'!AB39</f>
        <v>2787</v>
      </c>
      <c r="AC130" s="172">
        <f>'Sales OLD'!AC39</f>
        <v>1954</v>
      </c>
      <c r="AD130" s="172">
        <f>'Sales OLD'!AD39</f>
        <v>332</v>
      </c>
      <c r="AE130" s="172">
        <f>'Sales OLD'!AE39</f>
        <v>313</v>
      </c>
      <c r="AF130" s="172" t="str">
        <f>'Sales OLD'!AF39</f>
        <v/>
      </c>
      <c r="AG130" s="693">
        <f t="shared" ref="AG130:AG131" si="32">sum(B130:AF130)</f>
        <v>28835</v>
      </c>
    </row>
    <row r="131">
      <c r="A131" s="698" t="s">
        <v>912</v>
      </c>
      <c r="B131" s="703">
        <f t="shared" ref="B131:AF131" si="31">SUM(B130)</f>
        <v>446</v>
      </c>
      <c r="C131" s="704">
        <f t="shared" si="31"/>
        <v>526</v>
      </c>
      <c r="D131" s="704">
        <f t="shared" si="31"/>
        <v>509</v>
      </c>
      <c r="E131" s="704">
        <f t="shared" si="31"/>
        <v>529</v>
      </c>
      <c r="F131" s="704">
        <f t="shared" si="31"/>
        <v>596</v>
      </c>
      <c r="G131" s="704">
        <f t="shared" si="31"/>
        <v>570</v>
      </c>
      <c r="H131" s="704">
        <f t="shared" si="31"/>
        <v>516</v>
      </c>
      <c r="I131" s="704">
        <f t="shared" si="31"/>
        <v>526</v>
      </c>
      <c r="J131" s="704">
        <f t="shared" si="31"/>
        <v>561</v>
      </c>
      <c r="K131" s="704">
        <f t="shared" si="31"/>
        <v>554</v>
      </c>
      <c r="L131" s="704">
        <f t="shared" si="31"/>
        <v>684</v>
      </c>
      <c r="M131" s="704">
        <f t="shared" si="31"/>
        <v>663</v>
      </c>
      <c r="N131" s="704">
        <f t="shared" si="31"/>
        <v>542</v>
      </c>
      <c r="O131" s="704">
        <f t="shared" si="31"/>
        <v>623</v>
      </c>
      <c r="P131" s="704">
        <f t="shared" si="31"/>
        <v>582</v>
      </c>
      <c r="Q131" s="704">
        <f t="shared" si="31"/>
        <v>544</v>
      </c>
      <c r="R131" s="704">
        <f t="shared" si="31"/>
        <v>578</v>
      </c>
      <c r="S131" s="704">
        <f t="shared" si="31"/>
        <v>728</v>
      </c>
      <c r="T131" s="704">
        <f t="shared" si="31"/>
        <v>751</v>
      </c>
      <c r="U131" s="704">
        <f t="shared" si="31"/>
        <v>785</v>
      </c>
      <c r="V131" s="704">
        <f t="shared" si="31"/>
        <v>822</v>
      </c>
      <c r="W131" s="703">
        <f t="shared" si="31"/>
        <v>1217</v>
      </c>
      <c r="X131" s="703">
        <f t="shared" si="31"/>
        <v>1412</v>
      </c>
      <c r="Y131" s="703">
        <f t="shared" si="31"/>
        <v>3921</v>
      </c>
      <c r="Z131" s="703">
        <f t="shared" si="31"/>
        <v>2450</v>
      </c>
      <c r="AA131" s="703">
        <f t="shared" si="31"/>
        <v>1814</v>
      </c>
      <c r="AB131" s="703">
        <f t="shared" si="31"/>
        <v>2787</v>
      </c>
      <c r="AC131" s="703">
        <f t="shared" si="31"/>
        <v>1954</v>
      </c>
      <c r="AD131" s="703">
        <f t="shared" si="31"/>
        <v>332</v>
      </c>
      <c r="AE131" s="703">
        <f t="shared" si="31"/>
        <v>313</v>
      </c>
      <c r="AF131" s="703">
        <f t="shared" si="31"/>
        <v>0</v>
      </c>
      <c r="AG131" s="693">
        <f t="shared" si="32"/>
        <v>28835</v>
      </c>
    </row>
    <row r="132">
      <c r="A132" s="25"/>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691"/>
    </row>
    <row r="133">
      <c r="A133" s="349" t="s">
        <v>915</v>
      </c>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691"/>
    </row>
    <row r="134">
      <c r="A134" s="708" t="s">
        <v>917</v>
      </c>
      <c r="B134" s="709">
        <v>92009.0</v>
      </c>
      <c r="C134" s="709">
        <v>97600.0</v>
      </c>
      <c r="D134" s="710">
        <v>98285.0</v>
      </c>
      <c r="E134" s="709">
        <v>107184.0</v>
      </c>
      <c r="F134" s="709">
        <v>120663.0</v>
      </c>
      <c r="G134" s="709">
        <v>113997.0</v>
      </c>
      <c r="H134" s="709">
        <v>106019.0</v>
      </c>
      <c r="I134" s="711">
        <v>107887.0</v>
      </c>
      <c r="J134" s="128">
        <v>113850.68</v>
      </c>
      <c r="K134" s="128">
        <v>112104.89</v>
      </c>
      <c r="L134" s="709">
        <v>147511.81</v>
      </c>
      <c r="M134" s="709">
        <v>144955.95</v>
      </c>
      <c r="N134" s="709">
        <v>120800.0</v>
      </c>
      <c r="O134" s="709">
        <v>129500.79</v>
      </c>
      <c r="P134" s="709">
        <v>120217.92</v>
      </c>
      <c r="Q134" s="709">
        <v>111127.78</v>
      </c>
      <c r="R134" s="709">
        <v>117472.95</v>
      </c>
      <c r="S134" s="709">
        <v>151366.98</v>
      </c>
      <c r="T134" s="709">
        <v>159060.97</v>
      </c>
      <c r="U134" s="712">
        <v>168397.98</v>
      </c>
      <c r="V134" s="709">
        <v>172954.99</v>
      </c>
      <c r="W134" s="709">
        <v>254381.99</v>
      </c>
      <c r="X134" s="709">
        <v>299747.99</v>
      </c>
      <c r="Y134" s="712">
        <v>826240.96</v>
      </c>
      <c r="Z134" s="709">
        <v>513069.98</v>
      </c>
      <c r="AA134" s="709">
        <v>382661.0</v>
      </c>
      <c r="AB134" s="709">
        <v>592483.94</v>
      </c>
      <c r="AC134" s="709">
        <v>421027.98</v>
      </c>
      <c r="AD134" s="709">
        <v>92791.99</v>
      </c>
      <c r="AE134" s="709">
        <v>83763.0</v>
      </c>
      <c r="AF134" s="709"/>
      <c r="AG134" s="623">
        <f t="shared" ref="AG134:AG138" si="33">SUM(B134:AF134)</f>
        <v>6079136.52</v>
      </c>
    </row>
    <row r="135">
      <c r="A135" s="708" t="s">
        <v>920</v>
      </c>
      <c r="B135" s="709">
        <v>1845.7</v>
      </c>
      <c r="C135" s="709">
        <v>1848.8</v>
      </c>
      <c r="D135" s="709">
        <v>1108.2</v>
      </c>
      <c r="E135" s="709">
        <v>1272.7</v>
      </c>
      <c r="F135" s="709">
        <v>1695.7</v>
      </c>
      <c r="G135" s="709">
        <v>1993.8</v>
      </c>
      <c r="H135" s="709">
        <v>1541.35</v>
      </c>
      <c r="I135" s="709">
        <v>1528.8</v>
      </c>
      <c r="J135" s="709">
        <v>1906.1</v>
      </c>
      <c r="K135" s="709">
        <v>1721.9</v>
      </c>
      <c r="L135" s="709">
        <v>1719.7</v>
      </c>
      <c r="M135" s="709">
        <v>2138.0</v>
      </c>
      <c r="N135" s="709">
        <v>1605.95</v>
      </c>
      <c r="O135" s="709">
        <v>1642.05</v>
      </c>
      <c r="P135" s="709">
        <v>1906.0</v>
      </c>
      <c r="Q135" s="712">
        <v>1948.0</v>
      </c>
      <c r="R135" s="709">
        <v>1806.5</v>
      </c>
      <c r="S135" s="709">
        <v>2045.35</v>
      </c>
      <c r="T135" s="709">
        <v>2351.5</v>
      </c>
      <c r="U135" s="712">
        <v>2324.0</v>
      </c>
      <c r="V135" s="709">
        <v>3477.25</v>
      </c>
      <c r="W135" s="709">
        <v>5073.85</v>
      </c>
      <c r="X135" s="709">
        <v>3318.1</v>
      </c>
      <c r="Y135" s="709">
        <v>9345.8</v>
      </c>
      <c r="Z135" s="709">
        <v>7335.9</v>
      </c>
      <c r="AA135" s="709">
        <v>4791.7</v>
      </c>
      <c r="AB135" s="709">
        <v>8841.05</v>
      </c>
      <c r="AC135" s="709">
        <v>5811.6</v>
      </c>
      <c r="AD135" s="709">
        <v>2193.85</v>
      </c>
      <c r="AE135" s="709">
        <v>1448.86</v>
      </c>
      <c r="AF135" s="709"/>
      <c r="AG135" s="623">
        <f t="shared" si="33"/>
        <v>87588.06</v>
      </c>
    </row>
    <row r="136">
      <c r="A136" s="708" t="s">
        <v>922</v>
      </c>
      <c r="B136" s="709">
        <v>7070.0</v>
      </c>
      <c r="C136" s="714">
        <v>8055.0</v>
      </c>
      <c r="D136" s="709">
        <v>6455.0</v>
      </c>
      <c r="E136" s="709">
        <v>6175.0</v>
      </c>
      <c r="F136" s="709">
        <v>6890.0</v>
      </c>
      <c r="G136" s="709">
        <v>6645.0</v>
      </c>
      <c r="H136" s="709">
        <v>6200.0</v>
      </c>
      <c r="I136" s="709">
        <v>7195.0</v>
      </c>
      <c r="J136" s="709">
        <v>9038.0</v>
      </c>
      <c r="K136" s="709">
        <v>8825.0</v>
      </c>
      <c r="L136" s="709">
        <v>11178.0</v>
      </c>
      <c r="M136" s="709">
        <v>12147.0</v>
      </c>
      <c r="N136" s="709">
        <v>8570.0</v>
      </c>
      <c r="O136" s="709">
        <v>10401.0</v>
      </c>
      <c r="P136" s="709">
        <v>9708.0</v>
      </c>
      <c r="Q136" s="712">
        <v>9053.0</v>
      </c>
      <c r="R136" s="709">
        <v>9510.0</v>
      </c>
      <c r="S136" s="709">
        <v>12855.0</v>
      </c>
      <c r="T136" s="709">
        <v>12735.0</v>
      </c>
      <c r="U136" s="712">
        <v>13735.0</v>
      </c>
      <c r="V136" s="709">
        <v>13505.0</v>
      </c>
      <c r="W136" s="709">
        <v>20135.0</v>
      </c>
      <c r="X136" s="709">
        <v>23585.0</v>
      </c>
      <c r="Y136" s="709">
        <v>63268.0</v>
      </c>
      <c r="Z136" s="709">
        <v>38895.0</v>
      </c>
      <c r="AA136" s="709">
        <v>30321.0</v>
      </c>
      <c r="AB136" s="709">
        <v>44150.0</v>
      </c>
      <c r="AC136" s="709">
        <v>30220.0</v>
      </c>
      <c r="AD136" s="709">
        <v>4770.0</v>
      </c>
      <c r="AE136" s="709">
        <v>4573.0</v>
      </c>
      <c r="AF136" s="709"/>
      <c r="AG136" s="623">
        <f t="shared" si="33"/>
        <v>455862</v>
      </c>
    </row>
    <row r="137">
      <c r="A137" s="708" t="s">
        <v>924</v>
      </c>
      <c r="B137" s="709">
        <v>5691.54</v>
      </c>
      <c r="C137" s="709">
        <v>6175.9</v>
      </c>
      <c r="D137" s="709">
        <v>5859.93</v>
      </c>
      <c r="E137" s="709">
        <v>6887.39</v>
      </c>
      <c r="F137" s="709">
        <v>7704.01</v>
      </c>
      <c r="G137" s="709">
        <v>7145.76</v>
      </c>
      <c r="H137" s="709">
        <v>6522.84</v>
      </c>
      <c r="I137" s="709">
        <v>6552.64</v>
      </c>
      <c r="J137" s="709">
        <v>6924.48</v>
      </c>
      <c r="K137" s="709">
        <v>6809.09</v>
      </c>
      <c r="L137" s="709">
        <v>9122.97</v>
      </c>
      <c r="M137" s="709">
        <v>8816.21</v>
      </c>
      <c r="N137" s="709">
        <v>6660.83</v>
      </c>
      <c r="O137" s="709">
        <v>7790.0</v>
      </c>
      <c r="P137" s="709">
        <v>7432.01</v>
      </c>
      <c r="Q137" s="709">
        <v>6633.22</v>
      </c>
      <c r="R137" s="709">
        <v>7138.84</v>
      </c>
      <c r="S137" s="709">
        <v>8885.43</v>
      </c>
      <c r="T137" s="709">
        <v>9236.61</v>
      </c>
      <c r="U137" s="709">
        <v>9630.48</v>
      </c>
      <c r="V137" s="709">
        <v>10105.55</v>
      </c>
      <c r="W137" s="709">
        <v>14530.66</v>
      </c>
      <c r="X137" s="709">
        <v>17836.26</v>
      </c>
      <c r="Y137" s="709">
        <v>52161.36</v>
      </c>
      <c r="Z137" s="709">
        <v>32386.46</v>
      </c>
      <c r="AA137" s="709">
        <v>22827.55</v>
      </c>
      <c r="AB137" s="709">
        <v>37899.75</v>
      </c>
      <c r="AC137" s="709">
        <v>26503.8</v>
      </c>
      <c r="AD137" s="709">
        <v>5360.95</v>
      </c>
      <c r="AE137" s="709">
        <v>5050.93</v>
      </c>
      <c r="AF137" s="709"/>
      <c r="AG137" s="623">
        <f t="shared" si="33"/>
        <v>372283.45</v>
      </c>
    </row>
    <row r="138">
      <c r="A138" s="721" t="s">
        <v>926</v>
      </c>
      <c r="B138" s="108">
        <f t="shared" ref="B138:AF138" si="34">SUM(B134-B135+B136+B137)</f>
        <v>102924.84</v>
      </c>
      <c r="C138" s="108">
        <f t="shared" si="34"/>
        <v>109982.1</v>
      </c>
      <c r="D138" s="108">
        <f t="shared" si="34"/>
        <v>109491.73</v>
      </c>
      <c r="E138" s="108">
        <f t="shared" si="34"/>
        <v>118973.69</v>
      </c>
      <c r="F138" s="108">
        <f t="shared" si="34"/>
        <v>133561.31</v>
      </c>
      <c r="G138" s="108">
        <f t="shared" si="34"/>
        <v>125793.96</v>
      </c>
      <c r="H138" s="108">
        <f t="shared" si="34"/>
        <v>117200.49</v>
      </c>
      <c r="I138" s="108">
        <f t="shared" si="34"/>
        <v>120105.84</v>
      </c>
      <c r="J138" s="108">
        <f t="shared" si="34"/>
        <v>127907.06</v>
      </c>
      <c r="K138" s="108">
        <f t="shared" si="34"/>
        <v>126017.08</v>
      </c>
      <c r="L138" s="108">
        <f t="shared" si="34"/>
        <v>166093.08</v>
      </c>
      <c r="M138" s="108">
        <f t="shared" si="34"/>
        <v>163781.16</v>
      </c>
      <c r="N138" s="108">
        <f t="shared" si="34"/>
        <v>134424.88</v>
      </c>
      <c r="O138" s="108">
        <f t="shared" si="34"/>
        <v>146049.74</v>
      </c>
      <c r="P138" s="108">
        <f t="shared" si="34"/>
        <v>135451.93</v>
      </c>
      <c r="Q138" s="108">
        <f t="shared" si="34"/>
        <v>124866</v>
      </c>
      <c r="R138" s="108">
        <f t="shared" si="34"/>
        <v>132315.29</v>
      </c>
      <c r="S138" s="108">
        <f t="shared" si="34"/>
        <v>171062.06</v>
      </c>
      <c r="T138" s="108">
        <f t="shared" si="34"/>
        <v>178681.08</v>
      </c>
      <c r="U138" s="108">
        <f t="shared" si="34"/>
        <v>189439.46</v>
      </c>
      <c r="V138" s="108">
        <f t="shared" si="34"/>
        <v>193088.29</v>
      </c>
      <c r="W138" s="108">
        <f t="shared" si="34"/>
        <v>283973.8</v>
      </c>
      <c r="X138" s="108">
        <f t="shared" si="34"/>
        <v>337851.15</v>
      </c>
      <c r="Y138" s="108">
        <f t="shared" si="34"/>
        <v>932324.52</v>
      </c>
      <c r="Z138" s="108">
        <f t="shared" si="34"/>
        <v>577015.54</v>
      </c>
      <c r="AA138" s="108">
        <f t="shared" si="34"/>
        <v>431017.85</v>
      </c>
      <c r="AB138" s="108">
        <f t="shared" si="34"/>
        <v>665692.64</v>
      </c>
      <c r="AC138" s="108">
        <f t="shared" si="34"/>
        <v>471940.18</v>
      </c>
      <c r="AD138" s="108">
        <f t="shared" si="34"/>
        <v>100729.09</v>
      </c>
      <c r="AE138" s="108">
        <f t="shared" si="34"/>
        <v>91938.07</v>
      </c>
      <c r="AF138" s="108">
        <f t="shared" si="34"/>
        <v>0</v>
      </c>
      <c r="AG138" s="623">
        <f t="shared" si="33"/>
        <v>6819693.91</v>
      </c>
    </row>
    <row r="139">
      <c r="A139" s="25"/>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691"/>
    </row>
    <row r="140">
      <c r="A140" s="349" t="s">
        <v>928</v>
      </c>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691"/>
    </row>
    <row r="141">
      <c r="A141" s="721" t="s">
        <v>910</v>
      </c>
      <c r="B141" s="725">
        <f>'Sales OLD'!B8</f>
        <v>105020.72</v>
      </c>
      <c r="C141" s="725">
        <f>'Sales OLD'!C8</f>
        <v>113953.5</v>
      </c>
      <c r="D141" s="725">
        <f>'Sales OLD'!D8</f>
        <v>112373.95</v>
      </c>
      <c r="E141" s="725">
        <f>'Sales OLD'!E8</f>
        <v>122012.63</v>
      </c>
      <c r="F141" s="725">
        <f>'Sales OLD'!F8</f>
        <v>137621.08</v>
      </c>
      <c r="G141" s="725">
        <f>'Sales OLD'!G8</f>
        <v>129947.16</v>
      </c>
      <c r="H141" s="725">
        <f>'Sales OLD'!H8</f>
        <v>119378.74</v>
      </c>
      <c r="I141" s="725">
        <f>'Sales OLD'!I8</f>
        <v>123374.05</v>
      </c>
      <c r="J141" s="725">
        <f>'Sales OLD'!J8</f>
        <v>128107.05</v>
      </c>
      <c r="K141" s="725">
        <f>'Sales OLD'!K8</f>
        <v>125767.15</v>
      </c>
      <c r="L141" s="725">
        <f>'Sales OLD'!L8</f>
        <v>165764.54</v>
      </c>
      <c r="M141" s="725">
        <f>'Sales OLD'!M8</f>
        <v>163580.76</v>
      </c>
      <c r="N141" s="725">
        <f>'Sales OLD'!N8</f>
        <v>139679.41</v>
      </c>
      <c r="O141" s="725">
        <f>'Sales OLD'!O8</f>
        <v>146242.75</v>
      </c>
      <c r="P141" s="725">
        <f>'Sales OLD'!P8</f>
        <v>138299.56</v>
      </c>
      <c r="Q141" s="725">
        <f>'Sales OLD'!Q8</f>
        <v>124866</v>
      </c>
      <c r="R141" s="725">
        <f>'Sales OLD'!R8</f>
        <v>132032.76</v>
      </c>
      <c r="S141" s="725">
        <f>'Sales OLD'!S8</f>
        <v>173798.84</v>
      </c>
      <c r="T141" s="725">
        <f>'Sales OLD'!T8</f>
        <v>178809.93</v>
      </c>
      <c r="U141" s="725">
        <f>'Sales OLD'!U8</f>
        <v>189422.75</v>
      </c>
      <c r="V141" s="725">
        <f>'Sales OLD'!V8</f>
        <v>192933.07</v>
      </c>
      <c r="W141" s="725">
        <f>'Sales OLD'!W8</f>
        <v>283585.27</v>
      </c>
      <c r="X141" s="725">
        <f>'Sales OLD'!X8</f>
        <v>337982.12</v>
      </c>
      <c r="Y141" s="725">
        <f>'Sales OLD'!Y8</f>
        <v>931331.57</v>
      </c>
      <c r="Z141" s="725">
        <f>'Sales OLD'!Z8</f>
        <v>576853.7</v>
      </c>
      <c r="AA141" s="725">
        <f>'Sales OLD'!AA8</f>
        <v>430623.37</v>
      </c>
      <c r="AB141" s="725">
        <f>'Sales OLD'!AB8</f>
        <v>664884.74</v>
      </c>
      <c r="AC141" s="725">
        <f>'Sales OLD'!AC8</f>
        <v>471886.67</v>
      </c>
      <c r="AD141" s="725">
        <f>'Sales OLD'!AD8</f>
        <v>100905.21</v>
      </c>
      <c r="AE141" s="725">
        <f>'Sales OLD'!AE8</f>
        <v>92277.49</v>
      </c>
      <c r="AF141" s="725"/>
      <c r="AG141" s="623">
        <f t="shared" ref="AG141:AG142" si="35">SUM(B141:AF141)</f>
        <v>6853316.54</v>
      </c>
    </row>
    <row r="142">
      <c r="A142" s="721" t="s">
        <v>912</v>
      </c>
      <c r="B142" s="732">
        <f>'Sales OLD'!B39</f>
        <v>446</v>
      </c>
      <c r="C142" s="733">
        <f>'Sales OLD'!C39</f>
        <v>526</v>
      </c>
      <c r="D142" s="733">
        <f>'Sales OLD'!D39</f>
        <v>509</v>
      </c>
      <c r="E142" s="733">
        <f>'Sales OLD'!E39</f>
        <v>529</v>
      </c>
      <c r="F142" s="733">
        <f>'Sales OLD'!F39</f>
        <v>596</v>
      </c>
      <c r="G142" s="733">
        <f>'Sales OLD'!G39</f>
        <v>570</v>
      </c>
      <c r="H142" s="733">
        <f>'Sales OLD'!H39</f>
        <v>516</v>
      </c>
      <c r="I142" s="733">
        <f>'Sales OLD'!I39</f>
        <v>526</v>
      </c>
      <c r="J142" s="733">
        <f>'Sales OLD'!J39</f>
        <v>561</v>
      </c>
      <c r="K142" s="733">
        <f>'Sales OLD'!K39</f>
        <v>554</v>
      </c>
      <c r="L142" s="733">
        <f>'Sales OLD'!L39</f>
        <v>684</v>
      </c>
      <c r="M142" s="733">
        <f>'Sales OLD'!M39</f>
        <v>663</v>
      </c>
      <c r="N142" s="733">
        <f>'Sales OLD'!N39</f>
        <v>542</v>
      </c>
      <c r="O142" s="733">
        <f>'Sales OLD'!O39</f>
        <v>623</v>
      </c>
      <c r="P142" s="733">
        <f>'Sales OLD'!P39</f>
        <v>582</v>
      </c>
      <c r="Q142" s="733">
        <f>'Sales OLD'!Q39</f>
        <v>544</v>
      </c>
      <c r="R142" s="733">
        <f>'Sales OLD'!R39</f>
        <v>578</v>
      </c>
      <c r="S142" s="733">
        <f>'Sales OLD'!S39</f>
        <v>728</v>
      </c>
      <c r="T142" s="733">
        <f>'Sales OLD'!T39</f>
        <v>751</v>
      </c>
      <c r="U142" s="733">
        <f>'Sales OLD'!U39</f>
        <v>785</v>
      </c>
      <c r="V142" s="733">
        <f>'Sales OLD'!V39</f>
        <v>822</v>
      </c>
      <c r="W142" s="732">
        <f>'Sales OLD'!W39</f>
        <v>1217</v>
      </c>
      <c r="X142" s="732">
        <f>'Sales OLD'!X39</f>
        <v>1412</v>
      </c>
      <c r="Y142" s="733" t="str">
        <f>'Sales OLD'!Y38</f>
        <v/>
      </c>
      <c r="Z142" s="732">
        <f>'Sales OLD'!Z39</f>
        <v>2450</v>
      </c>
      <c r="AA142" s="732">
        <f>'Sales OLD'!AA39</f>
        <v>1814</v>
      </c>
      <c r="AB142" s="732">
        <f>'Sales OLD'!AB39</f>
        <v>2787</v>
      </c>
      <c r="AC142" s="732">
        <f>'Sales OLD'!AC39</f>
        <v>1954</v>
      </c>
      <c r="AD142" s="733">
        <f>'Sales OLD'!AD39</f>
        <v>332</v>
      </c>
      <c r="AE142" s="733">
        <f>'Sales OLD'!AE39</f>
        <v>313</v>
      </c>
      <c r="AF142" s="733"/>
      <c r="AG142" s="623">
        <f t="shared" si="35"/>
        <v>24914</v>
      </c>
    </row>
    <row r="143">
      <c r="A143" s="25"/>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691"/>
    </row>
    <row r="144">
      <c r="A144" s="349" t="s">
        <v>140</v>
      </c>
      <c r="B144" s="112"/>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693"/>
    </row>
    <row r="145">
      <c r="A145" s="670" t="s">
        <v>930</v>
      </c>
      <c r="B145" s="695">
        <v>143.0</v>
      </c>
      <c r="C145" s="112">
        <v>145.0</v>
      </c>
      <c r="D145" s="112">
        <v>150.0</v>
      </c>
      <c r="E145" s="112">
        <v>180.0</v>
      </c>
      <c r="F145" s="695">
        <v>208.0</v>
      </c>
      <c r="G145" s="112">
        <v>176.0</v>
      </c>
      <c r="H145" s="112">
        <v>156.0</v>
      </c>
      <c r="I145" s="119">
        <v>142.0</v>
      </c>
      <c r="J145" s="119">
        <v>166.0</v>
      </c>
      <c r="K145" s="119">
        <v>171.0</v>
      </c>
      <c r="L145" s="119">
        <v>159.0</v>
      </c>
      <c r="M145" s="119">
        <v>168.0</v>
      </c>
      <c r="N145" s="119">
        <v>149.0</v>
      </c>
      <c r="O145" s="121">
        <v>144.0</v>
      </c>
      <c r="P145" s="119">
        <v>150.0</v>
      </c>
      <c r="Q145" s="119">
        <v>138.0</v>
      </c>
      <c r="R145" s="119">
        <v>169.0</v>
      </c>
      <c r="S145" s="120">
        <v>207.0</v>
      </c>
      <c r="T145" s="120">
        <v>193.0</v>
      </c>
      <c r="U145" s="120">
        <v>203.0</v>
      </c>
      <c r="V145" s="120">
        <v>241.0</v>
      </c>
      <c r="W145" s="120">
        <v>343.0</v>
      </c>
      <c r="X145" s="120">
        <v>377.0</v>
      </c>
      <c r="Y145" s="120">
        <v>1211.0</v>
      </c>
      <c r="Z145" s="739">
        <v>811.0</v>
      </c>
      <c r="AA145" s="120">
        <v>558.0</v>
      </c>
      <c r="AB145" s="120">
        <v>763.0</v>
      </c>
      <c r="AC145" s="739">
        <v>570.0</v>
      </c>
      <c r="AD145" s="739">
        <v>34.0</v>
      </c>
      <c r="AE145" s="739">
        <v>39.0</v>
      </c>
      <c r="AF145" s="739"/>
      <c r="AG145" s="693">
        <f t="shared" ref="AG145:AG149" si="36">sum(B145:AF145)</f>
        <v>8264</v>
      </c>
    </row>
    <row r="146">
      <c r="A146" s="670" t="s">
        <v>931</v>
      </c>
      <c r="B146" s="695">
        <v>5.0</v>
      </c>
      <c r="C146" s="112">
        <v>9.0</v>
      </c>
      <c r="D146" s="112">
        <v>4.0</v>
      </c>
      <c r="E146" s="112">
        <v>7.0</v>
      </c>
      <c r="F146" s="695">
        <v>8.0</v>
      </c>
      <c r="G146" s="112">
        <v>10.0</v>
      </c>
      <c r="H146" s="112">
        <v>11.0</v>
      </c>
      <c r="I146" s="119">
        <v>5.0</v>
      </c>
      <c r="J146" s="119">
        <v>8.0</v>
      </c>
      <c r="K146" s="119">
        <v>9.0</v>
      </c>
      <c r="L146" s="119">
        <v>8.0</v>
      </c>
      <c r="M146" s="119">
        <v>16.0</v>
      </c>
      <c r="N146" s="119">
        <v>9.0</v>
      </c>
      <c r="O146" s="121">
        <v>9.0</v>
      </c>
      <c r="P146" s="119">
        <v>6.0</v>
      </c>
      <c r="Q146" s="119">
        <v>9.0</v>
      </c>
      <c r="R146" s="119">
        <v>17.0</v>
      </c>
      <c r="S146" s="120">
        <v>21.0</v>
      </c>
      <c r="T146" s="120">
        <v>20.0</v>
      </c>
      <c r="U146" s="120">
        <v>24.0</v>
      </c>
      <c r="V146" s="120">
        <v>28.0</v>
      </c>
      <c r="W146" s="120">
        <v>59.0</v>
      </c>
      <c r="X146" s="120">
        <v>53.0</v>
      </c>
      <c r="Y146" s="120">
        <v>173.0</v>
      </c>
      <c r="Z146" s="739">
        <v>106.0</v>
      </c>
      <c r="AA146" s="120">
        <v>68.0</v>
      </c>
      <c r="AB146" s="120">
        <v>93.0</v>
      </c>
      <c r="AC146" s="739">
        <v>105.0</v>
      </c>
      <c r="AD146" s="739">
        <v>44.0</v>
      </c>
      <c r="AE146" s="739">
        <v>41.0</v>
      </c>
      <c r="AF146" s="739"/>
      <c r="AG146" s="693">
        <f t="shared" si="36"/>
        <v>985</v>
      </c>
    </row>
    <row r="147">
      <c r="A147" s="670" t="s">
        <v>932</v>
      </c>
      <c r="B147" s="112">
        <v>260.0</v>
      </c>
      <c r="C147" s="112">
        <v>263.0</v>
      </c>
      <c r="D147" s="112">
        <v>262.0</v>
      </c>
      <c r="E147" s="112">
        <v>285.0</v>
      </c>
      <c r="F147" s="112">
        <v>324.0</v>
      </c>
      <c r="G147" s="112">
        <v>321.0</v>
      </c>
      <c r="H147" s="112">
        <v>305.0</v>
      </c>
      <c r="I147" s="119">
        <v>308.0</v>
      </c>
      <c r="J147" s="119">
        <v>322.0</v>
      </c>
      <c r="K147" s="119">
        <v>316.0</v>
      </c>
      <c r="L147" s="119">
        <v>474.0</v>
      </c>
      <c r="M147" s="119">
        <v>436.0</v>
      </c>
      <c r="N147" s="119">
        <v>334.0</v>
      </c>
      <c r="O147" s="121">
        <v>399.0</v>
      </c>
      <c r="P147" s="119">
        <v>360.0</v>
      </c>
      <c r="Q147" s="119">
        <v>343.0</v>
      </c>
      <c r="R147" s="119">
        <v>338.0</v>
      </c>
      <c r="S147" s="120">
        <v>453.0</v>
      </c>
      <c r="T147" s="120">
        <v>465.0</v>
      </c>
      <c r="U147" s="120">
        <v>487.0</v>
      </c>
      <c r="V147" s="120">
        <v>460.0</v>
      </c>
      <c r="W147" s="120">
        <v>676.0</v>
      </c>
      <c r="X147" s="120">
        <v>799.0</v>
      </c>
      <c r="Y147" s="120">
        <v>2225.0</v>
      </c>
      <c r="Z147" s="741">
        <v>1307.0</v>
      </c>
      <c r="AA147" s="120">
        <v>999.0</v>
      </c>
      <c r="AB147" s="120">
        <v>1715.0</v>
      </c>
      <c r="AC147" s="120">
        <v>1029.0</v>
      </c>
      <c r="AD147" s="120">
        <v>101.0</v>
      </c>
      <c r="AE147" s="120">
        <v>86.0</v>
      </c>
      <c r="AF147" s="120"/>
      <c r="AG147" s="693">
        <f t="shared" si="36"/>
        <v>16452</v>
      </c>
    </row>
    <row r="148">
      <c r="A148" s="670" t="s">
        <v>933</v>
      </c>
      <c r="B148" s="695">
        <v>24.0</v>
      </c>
      <c r="C148" s="112">
        <v>21.0</v>
      </c>
      <c r="D148" s="112">
        <v>33.0</v>
      </c>
      <c r="E148" s="112">
        <v>25.0</v>
      </c>
      <c r="F148" s="112">
        <v>31.0</v>
      </c>
      <c r="G148" s="112">
        <v>25.0</v>
      </c>
      <c r="H148" s="112">
        <v>23.0</v>
      </c>
      <c r="I148" s="119">
        <v>28.0</v>
      </c>
      <c r="J148" s="119">
        <v>29.0</v>
      </c>
      <c r="K148" s="119">
        <v>23.0</v>
      </c>
      <c r="L148" s="119">
        <v>28.0</v>
      </c>
      <c r="M148" s="119">
        <v>33.0</v>
      </c>
      <c r="N148" s="119">
        <v>26.0</v>
      </c>
      <c r="O148" s="121">
        <v>34.0</v>
      </c>
      <c r="P148" s="119">
        <v>34.0</v>
      </c>
      <c r="Q148" s="119">
        <v>15.0</v>
      </c>
      <c r="R148" s="119">
        <v>20.0</v>
      </c>
      <c r="S148" s="120">
        <v>28.0</v>
      </c>
      <c r="T148" s="120">
        <v>45.0</v>
      </c>
      <c r="U148" s="120">
        <v>51.0</v>
      </c>
      <c r="V148" s="120">
        <v>71.0</v>
      </c>
      <c r="W148" s="120">
        <v>99.0</v>
      </c>
      <c r="X148" s="120">
        <v>136.0</v>
      </c>
      <c r="Y148" s="120">
        <v>295.0</v>
      </c>
      <c r="Z148" s="741">
        <v>209.0</v>
      </c>
      <c r="AA148" s="120">
        <v>154.0</v>
      </c>
      <c r="AB148" s="120">
        <v>204.0</v>
      </c>
      <c r="AC148" s="120">
        <v>193.0</v>
      </c>
      <c r="AD148" s="120">
        <v>108.0</v>
      </c>
      <c r="AE148" s="120">
        <v>87.0</v>
      </c>
      <c r="AF148" s="120"/>
      <c r="AG148" s="693">
        <f t="shared" si="36"/>
        <v>2132</v>
      </c>
    </row>
    <row r="149">
      <c r="A149" s="697" t="s">
        <v>180</v>
      </c>
      <c r="B149" s="124">
        <f t="shared" ref="B149:AF149" si="37">SUM(B145:B148)</f>
        <v>432</v>
      </c>
      <c r="C149" s="124">
        <f t="shared" si="37"/>
        <v>438</v>
      </c>
      <c r="D149" s="124">
        <f t="shared" si="37"/>
        <v>449</v>
      </c>
      <c r="E149" s="124">
        <f t="shared" si="37"/>
        <v>497</v>
      </c>
      <c r="F149" s="124">
        <f t="shared" si="37"/>
        <v>571</v>
      </c>
      <c r="G149" s="124">
        <f t="shared" si="37"/>
        <v>532</v>
      </c>
      <c r="H149" s="124">
        <f t="shared" si="37"/>
        <v>495</v>
      </c>
      <c r="I149" s="124">
        <f t="shared" si="37"/>
        <v>483</v>
      </c>
      <c r="J149" s="124">
        <f t="shared" si="37"/>
        <v>525</v>
      </c>
      <c r="K149" s="124">
        <f t="shared" si="37"/>
        <v>519</v>
      </c>
      <c r="L149" s="124">
        <f t="shared" si="37"/>
        <v>669</v>
      </c>
      <c r="M149" s="124">
        <f t="shared" si="37"/>
        <v>653</v>
      </c>
      <c r="N149" s="124">
        <f t="shared" si="37"/>
        <v>518</v>
      </c>
      <c r="O149" s="124">
        <f t="shared" si="37"/>
        <v>586</v>
      </c>
      <c r="P149" s="124">
        <f t="shared" si="37"/>
        <v>550</v>
      </c>
      <c r="Q149" s="124">
        <f t="shared" si="37"/>
        <v>505</v>
      </c>
      <c r="R149" s="124">
        <f t="shared" si="37"/>
        <v>544</v>
      </c>
      <c r="S149" s="124">
        <f t="shared" si="37"/>
        <v>709</v>
      </c>
      <c r="T149" s="124">
        <f t="shared" si="37"/>
        <v>723</v>
      </c>
      <c r="U149" s="124">
        <f t="shared" si="37"/>
        <v>765</v>
      </c>
      <c r="V149" s="124">
        <f t="shared" si="37"/>
        <v>800</v>
      </c>
      <c r="W149" s="124">
        <f t="shared" si="37"/>
        <v>1177</v>
      </c>
      <c r="X149" s="124">
        <f t="shared" si="37"/>
        <v>1365</v>
      </c>
      <c r="Y149" s="124">
        <f t="shared" si="37"/>
        <v>3904</v>
      </c>
      <c r="Z149" s="124">
        <f t="shared" si="37"/>
        <v>2433</v>
      </c>
      <c r="AA149" s="124">
        <f t="shared" si="37"/>
        <v>1779</v>
      </c>
      <c r="AB149" s="124">
        <f t="shared" si="37"/>
        <v>2775</v>
      </c>
      <c r="AC149" s="124">
        <f t="shared" si="37"/>
        <v>1897</v>
      </c>
      <c r="AD149" s="124">
        <f t="shared" si="37"/>
        <v>287</v>
      </c>
      <c r="AE149" s="124">
        <f t="shared" si="37"/>
        <v>253</v>
      </c>
      <c r="AF149" s="124">
        <f t="shared" si="37"/>
        <v>0</v>
      </c>
      <c r="AG149" s="693">
        <f t="shared" si="36"/>
        <v>27833</v>
      </c>
    </row>
    <row r="150">
      <c r="A150" s="25"/>
      <c r="B150" s="699"/>
      <c r="C150" s="699"/>
      <c r="D150" s="699"/>
      <c r="E150" s="699"/>
      <c r="F150" s="699"/>
      <c r="G150" s="699"/>
      <c r="H150" s="699"/>
      <c r="I150" s="699"/>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700"/>
    </row>
    <row r="151">
      <c r="A151" s="670" t="s">
        <v>150</v>
      </c>
      <c r="B151" s="112">
        <v>73.0</v>
      </c>
      <c r="C151" s="112">
        <v>99.0</v>
      </c>
      <c r="D151" s="112">
        <v>88.0</v>
      </c>
      <c r="E151" s="112">
        <v>114.0</v>
      </c>
      <c r="F151" s="112">
        <v>126.0</v>
      </c>
      <c r="G151" s="112">
        <v>128.0</v>
      </c>
      <c r="H151" s="112">
        <v>122.0</v>
      </c>
      <c r="I151" s="119">
        <v>114.0</v>
      </c>
      <c r="J151" s="119">
        <v>136.0</v>
      </c>
      <c r="K151" s="119">
        <v>137.0</v>
      </c>
      <c r="L151" s="119">
        <v>202.0</v>
      </c>
      <c r="M151" s="119">
        <v>202.0</v>
      </c>
      <c r="N151" s="119">
        <v>130.0</v>
      </c>
      <c r="O151" s="119">
        <v>150.0</v>
      </c>
      <c r="P151" s="119">
        <v>141.0</v>
      </c>
      <c r="Q151" s="119">
        <v>129.0</v>
      </c>
      <c r="R151" s="119">
        <v>133.0</v>
      </c>
      <c r="S151" s="120">
        <v>159.0</v>
      </c>
      <c r="T151" s="120">
        <v>302.0</v>
      </c>
      <c r="U151" s="120">
        <v>191.0</v>
      </c>
      <c r="V151" s="120">
        <v>182.0</v>
      </c>
      <c r="W151" s="120">
        <v>277.0</v>
      </c>
      <c r="X151" s="120">
        <v>336.0</v>
      </c>
      <c r="Y151" s="120">
        <v>778.0</v>
      </c>
      <c r="Z151" s="696">
        <v>474.0</v>
      </c>
      <c r="AA151" s="120">
        <v>385.0</v>
      </c>
      <c r="AB151" s="120">
        <v>558.0</v>
      </c>
      <c r="AC151" s="696">
        <v>349.0</v>
      </c>
      <c r="AD151" s="696">
        <v>83.0</v>
      </c>
      <c r="AE151" s="696">
        <v>74.0</v>
      </c>
      <c r="AF151" s="696"/>
      <c r="AG151" s="693">
        <f t="shared" ref="AG151:AG160" si="38">sum(B151:AF151)</f>
        <v>6372</v>
      </c>
    </row>
    <row r="152">
      <c r="A152" s="670" t="s">
        <v>646</v>
      </c>
      <c r="B152" s="742"/>
      <c r="C152" s="742"/>
      <c r="D152" s="742"/>
      <c r="E152" s="742"/>
      <c r="F152" s="742"/>
      <c r="G152" s="742"/>
      <c r="H152" s="742"/>
      <c r="I152" s="742"/>
      <c r="J152" s="742"/>
      <c r="K152" s="742"/>
      <c r="L152" s="742"/>
      <c r="M152" s="742"/>
      <c r="N152" s="742"/>
      <c r="O152" s="742"/>
      <c r="P152" s="742"/>
      <c r="Q152" s="742"/>
      <c r="R152" s="742"/>
      <c r="S152" s="742"/>
      <c r="T152" s="742"/>
      <c r="U152" s="742"/>
      <c r="V152" s="742"/>
      <c r="W152" s="742"/>
      <c r="X152" s="742"/>
      <c r="Y152" s="742"/>
      <c r="Z152" s="742"/>
      <c r="AA152" s="742"/>
      <c r="AB152" s="742"/>
      <c r="AC152" s="742"/>
      <c r="AD152" s="742"/>
      <c r="AE152" s="742"/>
      <c r="AF152" s="742"/>
      <c r="AG152" s="693">
        <f t="shared" si="38"/>
        <v>0</v>
      </c>
    </row>
    <row r="153">
      <c r="A153" s="670" t="s">
        <v>151</v>
      </c>
      <c r="B153" s="112">
        <v>343.0</v>
      </c>
      <c r="C153" s="112">
        <v>353.0</v>
      </c>
      <c r="D153" s="112">
        <v>377.0</v>
      </c>
      <c r="E153" s="112">
        <v>374.0</v>
      </c>
      <c r="F153" s="112">
        <v>402.0</v>
      </c>
      <c r="G153" s="112">
        <v>359.0</v>
      </c>
      <c r="H153" s="112">
        <v>376.0</v>
      </c>
      <c r="I153" s="119">
        <v>350.0</v>
      </c>
      <c r="J153" s="119">
        <v>394.0</v>
      </c>
      <c r="K153" s="119">
        <v>386.0</v>
      </c>
      <c r="L153" s="119">
        <v>507.0</v>
      </c>
      <c r="M153" s="119">
        <f>556-95</f>
        <v>461</v>
      </c>
      <c r="N153" s="743">
        <v>325.0</v>
      </c>
      <c r="O153" s="744">
        <v>438.0</v>
      </c>
      <c r="P153" s="743">
        <v>386.0</v>
      </c>
      <c r="Q153" s="744">
        <v>358.0</v>
      </c>
      <c r="R153" s="744">
        <v>378.0</v>
      </c>
      <c r="S153" s="745">
        <v>504.0</v>
      </c>
      <c r="T153" s="745">
        <v>148.0</v>
      </c>
      <c r="U153" s="120">
        <v>473.0</v>
      </c>
      <c r="V153" s="120">
        <v>537.0</v>
      </c>
      <c r="W153" s="120">
        <v>827.0</v>
      </c>
      <c r="X153" s="120">
        <v>1028.0</v>
      </c>
      <c r="Y153" s="120">
        <v>2693.0</v>
      </c>
      <c r="Z153" s="739">
        <v>1587.0</v>
      </c>
      <c r="AA153" s="556">
        <v>1242.0</v>
      </c>
      <c r="AB153" s="120">
        <v>1740.0</v>
      </c>
      <c r="AC153" s="556">
        <v>996.0</v>
      </c>
      <c r="AD153" s="556">
        <v>0.0</v>
      </c>
      <c r="AE153" s="556">
        <v>0.0</v>
      </c>
      <c r="AF153" s="556"/>
      <c r="AG153" s="693">
        <f t="shared" si="38"/>
        <v>18342</v>
      </c>
    </row>
    <row r="154">
      <c r="A154" s="670" t="s">
        <v>934</v>
      </c>
      <c r="B154" s="112">
        <v>38.0</v>
      </c>
      <c r="C154" s="112">
        <v>93.0</v>
      </c>
      <c r="D154" s="112">
        <v>72.0</v>
      </c>
      <c r="E154" s="112">
        <v>73.0</v>
      </c>
      <c r="F154" s="112">
        <v>42.0</v>
      </c>
      <c r="G154" s="112">
        <v>55.0</v>
      </c>
      <c r="H154" s="112">
        <v>59.0</v>
      </c>
      <c r="I154" s="112">
        <v>89.0</v>
      </c>
      <c r="J154" s="112">
        <v>56.0</v>
      </c>
      <c r="K154" s="112">
        <v>46.0</v>
      </c>
      <c r="L154" s="112">
        <v>88.0</v>
      </c>
      <c r="M154" s="112">
        <v>85.0</v>
      </c>
      <c r="N154" s="112">
        <v>51.0</v>
      </c>
      <c r="O154" s="112">
        <v>60.0</v>
      </c>
      <c r="P154" s="112">
        <v>58.0</v>
      </c>
      <c r="Q154" s="112">
        <v>60.0</v>
      </c>
      <c r="R154" s="112">
        <v>60.0</v>
      </c>
      <c r="S154" s="112">
        <v>61.0</v>
      </c>
      <c r="T154" s="112">
        <v>84.0</v>
      </c>
      <c r="U154" s="112">
        <v>81.0</v>
      </c>
      <c r="V154" s="112">
        <v>77.0</v>
      </c>
      <c r="W154" s="112">
        <v>102.0</v>
      </c>
      <c r="X154" s="112">
        <v>133.0</v>
      </c>
      <c r="Y154" s="112">
        <v>362.0</v>
      </c>
      <c r="Z154" s="720">
        <v>165.0</v>
      </c>
      <c r="AA154" s="112">
        <v>155.0</v>
      </c>
      <c r="AB154" s="112">
        <v>219.0</v>
      </c>
      <c r="AC154" s="720">
        <v>109.0</v>
      </c>
      <c r="AD154" s="720">
        <v>21.0</v>
      </c>
      <c r="AE154" s="720">
        <v>21.0</v>
      </c>
      <c r="AF154" s="720"/>
      <c r="AG154" s="693">
        <f t="shared" si="38"/>
        <v>2675</v>
      </c>
    </row>
    <row r="155">
      <c r="A155" s="670" t="s">
        <v>935</v>
      </c>
      <c r="B155" s="695">
        <v>5.0</v>
      </c>
      <c r="C155" s="112">
        <v>19.0</v>
      </c>
      <c r="D155" s="112">
        <v>9.0</v>
      </c>
      <c r="E155" s="112">
        <v>7.0</v>
      </c>
      <c r="F155" s="112">
        <v>4.0</v>
      </c>
      <c r="G155" s="112">
        <v>5.0</v>
      </c>
      <c r="H155" s="112">
        <v>5.0</v>
      </c>
      <c r="I155" s="119">
        <v>12.0</v>
      </c>
      <c r="J155" s="119">
        <v>8.0</v>
      </c>
      <c r="K155" s="119">
        <v>2.0</v>
      </c>
      <c r="L155" s="119">
        <v>3.0</v>
      </c>
      <c r="M155" s="119">
        <v>7.0</v>
      </c>
      <c r="N155" s="119">
        <v>8.0</v>
      </c>
      <c r="O155" s="121">
        <v>9.0</v>
      </c>
      <c r="P155" s="119">
        <v>2.0</v>
      </c>
      <c r="Q155" s="119">
        <v>4.0</v>
      </c>
      <c r="R155" s="119">
        <v>2.0</v>
      </c>
      <c r="S155" s="120">
        <v>7.0</v>
      </c>
      <c r="T155" s="120">
        <v>7.0</v>
      </c>
      <c r="U155" s="112">
        <v>11.0</v>
      </c>
      <c r="V155" s="112">
        <v>10.0</v>
      </c>
      <c r="W155" s="112">
        <v>20.0</v>
      </c>
      <c r="X155" s="112">
        <v>29.0</v>
      </c>
      <c r="Y155" s="112">
        <v>50.0</v>
      </c>
      <c r="Z155" s="720">
        <v>28.0</v>
      </c>
      <c r="AA155" s="112">
        <v>28.0</v>
      </c>
      <c r="AB155" s="112">
        <v>27.0</v>
      </c>
      <c r="AC155" s="720">
        <v>25.0</v>
      </c>
      <c r="AD155" s="720">
        <v>18.0</v>
      </c>
      <c r="AE155" s="720">
        <v>25.0</v>
      </c>
      <c r="AF155" s="720"/>
      <c r="AG155" s="693">
        <f t="shared" si="38"/>
        <v>396</v>
      </c>
    </row>
    <row r="156">
      <c r="A156" s="670" t="s">
        <v>936</v>
      </c>
      <c r="B156" s="112">
        <v>12.0</v>
      </c>
      <c r="C156" s="112">
        <v>12.0</v>
      </c>
      <c r="D156" s="112">
        <v>13.0</v>
      </c>
      <c r="E156" s="112">
        <v>14.0</v>
      </c>
      <c r="F156" s="112">
        <v>20.0</v>
      </c>
      <c r="G156" s="112">
        <v>11.0</v>
      </c>
      <c r="H156" s="112">
        <v>9.0</v>
      </c>
      <c r="I156" s="112">
        <v>13.0</v>
      </c>
      <c r="J156" s="112">
        <v>12.0</v>
      </c>
      <c r="K156" s="112">
        <v>13.0</v>
      </c>
      <c r="L156" s="112">
        <v>10.0</v>
      </c>
      <c r="M156" s="112">
        <v>5.0</v>
      </c>
      <c r="N156" s="112">
        <v>14.0</v>
      </c>
      <c r="O156" s="112">
        <v>10.0</v>
      </c>
      <c r="P156" s="112">
        <v>11.0</v>
      </c>
      <c r="Q156" s="112">
        <v>9.0</v>
      </c>
      <c r="R156" s="112">
        <v>8.0</v>
      </c>
      <c r="S156" s="112">
        <v>14.0</v>
      </c>
      <c r="T156" s="112">
        <v>7.0</v>
      </c>
      <c r="U156" s="112">
        <v>15.0</v>
      </c>
      <c r="V156" s="112">
        <v>17.0</v>
      </c>
      <c r="W156" s="112">
        <v>33.0</v>
      </c>
      <c r="X156" s="112">
        <v>31.0</v>
      </c>
      <c r="Y156" s="112">
        <v>96.0</v>
      </c>
      <c r="Z156" s="112">
        <v>43.0</v>
      </c>
      <c r="AA156" s="120">
        <v>46.0</v>
      </c>
      <c r="AB156" s="112">
        <v>41.0</v>
      </c>
      <c r="AC156" s="720">
        <v>27.0</v>
      </c>
      <c r="AD156" s="720">
        <v>7.0</v>
      </c>
      <c r="AE156" s="720">
        <v>6.0</v>
      </c>
      <c r="AF156" s="720"/>
      <c r="AG156" s="693">
        <f t="shared" si="38"/>
        <v>579</v>
      </c>
    </row>
    <row r="157">
      <c r="A157" s="670" t="s">
        <v>937</v>
      </c>
      <c r="B157" s="695">
        <v>4.0</v>
      </c>
      <c r="C157" s="112">
        <v>2.0</v>
      </c>
      <c r="D157" s="112">
        <v>2.0</v>
      </c>
      <c r="E157" s="112">
        <v>3.0</v>
      </c>
      <c r="F157" s="112">
        <v>1.0</v>
      </c>
      <c r="G157" s="112">
        <v>4.0</v>
      </c>
      <c r="H157" s="112">
        <v>2.0</v>
      </c>
      <c r="I157" s="119">
        <v>0.0</v>
      </c>
      <c r="J157" s="119">
        <v>1.0</v>
      </c>
      <c r="K157" s="119">
        <v>3.0</v>
      </c>
      <c r="L157" s="119">
        <v>0.0</v>
      </c>
      <c r="M157" s="119">
        <v>0.0</v>
      </c>
      <c r="N157" s="119">
        <v>0.0</v>
      </c>
      <c r="O157" s="121">
        <v>1.0</v>
      </c>
      <c r="P157" s="119">
        <v>1.0</v>
      </c>
      <c r="Q157" s="119">
        <v>6.0</v>
      </c>
      <c r="R157" s="119">
        <v>2.0</v>
      </c>
      <c r="S157" s="120">
        <v>0.0</v>
      </c>
      <c r="T157" s="120">
        <v>3.0</v>
      </c>
      <c r="U157" s="112">
        <v>2.0</v>
      </c>
      <c r="V157" s="112">
        <v>0.0</v>
      </c>
      <c r="W157" s="112">
        <v>8.0</v>
      </c>
      <c r="X157" s="112">
        <v>6.0</v>
      </c>
      <c r="Y157" s="112">
        <v>16.0</v>
      </c>
      <c r="Z157" s="112">
        <v>7.0</v>
      </c>
      <c r="AA157" s="120">
        <v>11.0</v>
      </c>
      <c r="AB157" s="112">
        <v>11.0</v>
      </c>
      <c r="AC157" s="720">
        <v>6.0</v>
      </c>
      <c r="AD157" s="720">
        <v>4.0</v>
      </c>
      <c r="AE157" s="720">
        <v>4.0</v>
      </c>
      <c r="AF157" s="720"/>
      <c r="AG157" s="693">
        <f t="shared" si="38"/>
        <v>110</v>
      </c>
    </row>
    <row r="158">
      <c r="A158" s="670" t="s">
        <v>938</v>
      </c>
      <c r="B158" s="112">
        <v>86.0</v>
      </c>
      <c r="C158" s="112">
        <v>123.0</v>
      </c>
      <c r="D158" s="112">
        <v>107.0</v>
      </c>
      <c r="E158" s="112">
        <v>127.0</v>
      </c>
      <c r="F158" s="112">
        <v>132.0</v>
      </c>
      <c r="G158" s="112">
        <v>118.0</v>
      </c>
      <c r="H158" s="112">
        <v>111.0</v>
      </c>
      <c r="I158" s="112">
        <v>119.0</v>
      </c>
      <c r="J158" s="112">
        <v>113.0</v>
      </c>
      <c r="K158" s="112">
        <v>117.0</v>
      </c>
      <c r="L158" s="112">
        <v>164.0</v>
      </c>
      <c r="M158" s="112">
        <v>167.0</v>
      </c>
      <c r="N158" s="112">
        <v>123.0</v>
      </c>
      <c r="O158" s="112">
        <v>133.0</v>
      </c>
      <c r="P158" s="112">
        <v>122.0</v>
      </c>
      <c r="Q158" s="112">
        <v>117.0</v>
      </c>
      <c r="R158" s="112">
        <v>126.0</v>
      </c>
      <c r="S158" s="112">
        <v>159.0</v>
      </c>
      <c r="T158" s="112">
        <v>141.0</v>
      </c>
      <c r="U158" s="112">
        <v>152.0</v>
      </c>
      <c r="V158" s="112">
        <v>148.0</v>
      </c>
      <c r="W158" s="112">
        <v>240.0</v>
      </c>
      <c r="X158" s="112">
        <v>271.0</v>
      </c>
      <c r="Y158" s="112">
        <v>694.0</v>
      </c>
      <c r="Z158" s="112">
        <v>387.0</v>
      </c>
      <c r="AA158" s="120">
        <v>329.0</v>
      </c>
      <c r="AB158" s="112">
        <v>449.0</v>
      </c>
      <c r="AC158" s="720">
        <v>277.0</v>
      </c>
      <c r="AD158" s="720">
        <v>59.0</v>
      </c>
      <c r="AE158" s="720">
        <v>57.0</v>
      </c>
      <c r="AF158" s="720"/>
      <c r="AG158" s="693">
        <f t="shared" si="38"/>
        <v>5468</v>
      </c>
    </row>
    <row r="159">
      <c r="A159" s="670" t="s">
        <v>939</v>
      </c>
      <c r="B159" s="112">
        <v>14.0</v>
      </c>
      <c r="C159" s="112">
        <v>15.0</v>
      </c>
      <c r="D159" s="112">
        <v>13.0</v>
      </c>
      <c r="E159" s="112">
        <v>17.0</v>
      </c>
      <c r="F159" s="112">
        <v>18.0</v>
      </c>
      <c r="G159" s="112">
        <v>13.0</v>
      </c>
      <c r="H159" s="112">
        <v>10.0</v>
      </c>
      <c r="I159" s="112">
        <v>7.0</v>
      </c>
      <c r="J159" s="112">
        <v>15.0</v>
      </c>
      <c r="K159" s="112">
        <v>6.0</v>
      </c>
      <c r="L159" s="112">
        <v>14.0</v>
      </c>
      <c r="M159" s="112">
        <v>14.0</v>
      </c>
      <c r="N159" s="112">
        <v>15.0</v>
      </c>
      <c r="O159" s="112">
        <v>16.0</v>
      </c>
      <c r="P159" s="112">
        <v>14.0</v>
      </c>
      <c r="Q159" s="112">
        <v>7.0</v>
      </c>
      <c r="R159" s="112">
        <v>14.0</v>
      </c>
      <c r="S159" s="120">
        <v>12.0</v>
      </c>
      <c r="T159" s="120">
        <v>18.0</v>
      </c>
      <c r="U159" s="112">
        <v>23.0</v>
      </c>
      <c r="V159" s="112">
        <v>28.0</v>
      </c>
      <c r="W159" s="112">
        <v>58.0</v>
      </c>
      <c r="X159" s="112">
        <v>65.0</v>
      </c>
      <c r="Y159" s="112">
        <v>113.0</v>
      </c>
      <c r="Z159" s="112">
        <v>71.0</v>
      </c>
      <c r="AA159" s="120">
        <v>53.0</v>
      </c>
      <c r="AB159" s="112">
        <v>68.0</v>
      </c>
      <c r="AC159" s="720">
        <v>64.0</v>
      </c>
      <c r="AD159" s="720">
        <v>33.0</v>
      </c>
      <c r="AE159" s="720">
        <v>32.0</v>
      </c>
      <c r="AF159" s="720"/>
      <c r="AG159" s="693">
        <f t="shared" si="38"/>
        <v>860</v>
      </c>
    </row>
    <row r="160">
      <c r="A160" s="697" t="s">
        <v>98</v>
      </c>
      <c r="B160" s="124">
        <f t="shared" ref="B160:AF160" si="39">SUM(B151:B159)</f>
        <v>575</v>
      </c>
      <c r="C160" s="124">
        <f t="shared" si="39"/>
        <v>716</v>
      </c>
      <c r="D160" s="124">
        <f t="shared" si="39"/>
        <v>681</v>
      </c>
      <c r="E160" s="124">
        <f t="shared" si="39"/>
        <v>729</v>
      </c>
      <c r="F160" s="124">
        <f t="shared" si="39"/>
        <v>745</v>
      </c>
      <c r="G160" s="124">
        <f t="shared" si="39"/>
        <v>693</v>
      </c>
      <c r="H160" s="124">
        <f t="shared" si="39"/>
        <v>694</v>
      </c>
      <c r="I160" s="124">
        <f t="shared" si="39"/>
        <v>704</v>
      </c>
      <c r="J160" s="124">
        <f t="shared" si="39"/>
        <v>735</v>
      </c>
      <c r="K160" s="124">
        <f t="shared" si="39"/>
        <v>710</v>
      </c>
      <c r="L160" s="124">
        <f t="shared" si="39"/>
        <v>988</v>
      </c>
      <c r="M160" s="124">
        <f t="shared" si="39"/>
        <v>941</v>
      </c>
      <c r="N160" s="124">
        <f t="shared" si="39"/>
        <v>666</v>
      </c>
      <c r="O160" s="124">
        <f t="shared" si="39"/>
        <v>817</v>
      </c>
      <c r="P160" s="124">
        <f t="shared" si="39"/>
        <v>735</v>
      </c>
      <c r="Q160" s="124">
        <f t="shared" si="39"/>
        <v>690</v>
      </c>
      <c r="R160" s="124">
        <f t="shared" si="39"/>
        <v>723</v>
      </c>
      <c r="S160" s="124">
        <f t="shared" si="39"/>
        <v>916</v>
      </c>
      <c r="T160" s="124">
        <f t="shared" si="39"/>
        <v>710</v>
      </c>
      <c r="U160" s="124">
        <f t="shared" si="39"/>
        <v>948</v>
      </c>
      <c r="V160" s="124">
        <f t="shared" si="39"/>
        <v>999</v>
      </c>
      <c r="W160" s="124">
        <f t="shared" si="39"/>
        <v>1565</v>
      </c>
      <c r="X160" s="124">
        <f t="shared" si="39"/>
        <v>1899</v>
      </c>
      <c r="Y160" s="124">
        <f t="shared" si="39"/>
        <v>4802</v>
      </c>
      <c r="Z160" s="124">
        <f t="shared" si="39"/>
        <v>2762</v>
      </c>
      <c r="AA160" s="124">
        <f t="shared" si="39"/>
        <v>2249</v>
      </c>
      <c r="AB160" s="124">
        <f t="shared" si="39"/>
        <v>3113</v>
      </c>
      <c r="AC160" s="124">
        <f t="shared" si="39"/>
        <v>1853</v>
      </c>
      <c r="AD160" s="124">
        <f t="shared" si="39"/>
        <v>225</v>
      </c>
      <c r="AE160" s="124">
        <f t="shared" si="39"/>
        <v>219</v>
      </c>
      <c r="AF160" s="124">
        <f t="shared" si="39"/>
        <v>0</v>
      </c>
      <c r="AG160" s="693">
        <f t="shared" si="38"/>
        <v>34802</v>
      </c>
    </row>
    <row r="161">
      <c r="A161" s="723"/>
      <c r="AG161" s="693"/>
    </row>
    <row r="162">
      <c r="A162" s="349" t="s">
        <v>279</v>
      </c>
      <c r="AG162" s="693"/>
    </row>
    <row r="163">
      <c r="A163" s="749" t="s">
        <v>282</v>
      </c>
      <c r="B163" s="750"/>
      <c r="C163" s="750"/>
      <c r="D163" s="750"/>
      <c r="E163" s="750"/>
      <c r="F163" s="750"/>
      <c r="G163" s="750"/>
      <c r="H163" s="750"/>
      <c r="I163" s="750"/>
      <c r="J163" s="751">
        <v>20.0</v>
      </c>
      <c r="K163" s="751">
        <v>13.0</v>
      </c>
      <c r="L163" s="751">
        <v>12.0</v>
      </c>
      <c r="M163" s="751">
        <v>5.0</v>
      </c>
      <c r="N163" s="751">
        <v>0.0</v>
      </c>
      <c r="O163" s="751">
        <v>25.0</v>
      </c>
      <c r="P163" s="751">
        <v>24.0</v>
      </c>
      <c r="Q163" s="751">
        <v>29.0</v>
      </c>
      <c r="R163" s="751">
        <v>22.0</v>
      </c>
      <c r="S163" s="751">
        <v>10.0</v>
      </c>
      <c r="T163" s="751">
        <v>0.0</v>
      </c>
      <c r="U163" s="751">
        <v>6.0</v>
      </c>
      <c r="V163" s="751">
        <v>10.0</v>
      </c>
      <c r="W163" s="751">
        <v>14.0</v>
      </c>
      <c r="X163" s="751">
        <v>14.0</v>
      </c>
      <c r="Y163" s="751">
        <v>49.0</v>
      </c>
      <c r="Z163" s="751">
        <v>31.0</v>
      </c>
      <c r="AA163" s="751">
        <v>14.0</v>
      </c>
      <c r="AB163" s="751">
        <v>38.0</v>
      </c>
      <c r="AC163" s="751">
        <v>39.0</v>
      </c>
      <c r="AD163" s="751">
        <v>0.0</v>
      </c>
      <c r="AE163" s="751">
        <v>6.0</v>
      </c>
      <c r="AF163" s="751">
        <v>0.0</v>
      </c>
      <c r="AG163" s="752">
        <f>sum(B163:AF163)</f>
        <v>381</v>
      </c>
    </row>
    <row r="164">
      <c r="A164" s="723"/>
      <c r="AG164" s="693"/>
    </row>
    <row r="165">
      <c r="A165" s="670" t="s">
        <v>940</v>
      </c>
      <c r="B165" s="753"/>
      <c r="C165" s="753"/>
      <c r="D165" s="753"/>
      <c r="E165" s="753"/>
      <c r="F165" s="753"/>
      <c r="G165" s="753"/>
      <c r="H165" s="753"/>
      <c r="I165" s="753"/>
      <c r="J165" s="753"/>
      <c r="K165" s="753"/>
      <c r="L165" s="753"/>
      <c r="M165" s="754"/>
      <c r="N165" s="753"/>
      <c r="O165" s="753"/>
      <c r="P165" s="753"/>
      <c r="Q165" s="753"/>
      <c r="R165" s="753"/>
      <c r="S165" s="753"/>
      <c r="T165" s="753"/>
      <c r="U165" s="753"/>
      <c r="V165" s="753"/>
      <c r="W165" s="753"/>
      <c r="X165" s="753"/>
      <c r="Y165" s="753"/>
      <c r="Z165" s="753"/>
      <c r="AA165" s="753"/>
      <c r="AB165" s="753"/>
      <c r="AC165" s="753"/>
      <c r="AD165" s="753"/>
      <c r="AE165" s="753"/>
      <c r="AF165" s="753"/>
      <c r="AG165" s="693">
        <f t="shared" ref="AG165:AG167" si="40">sum(B165:AF165)</f>
        <v>0</v>
      </c>
    </row>
    <row r="166">
      <c r="A166" s="670" t="s">
        <v>941</v>
      </c>
      <c r="B166" s="753"/>
      <c r="C166" s="753"/>
      <c r="D166" s="753"/>
      <c r="E166" s="753"/>
      <c r="F166" s="753"/>
      <c r="G166" s="753"/>
      <c r="H166" s="753"/>
      <c r="I166" s="753"/>
      <c r="J166" s="753"/>
      <c r="K166" s="753"/>
      <c r="L166" s="753"/>
      <c r="M166" s="753"/>
      <c r="N166" s="753"/>
      <c r="O166" s="753"/>
      <c r="P166" s="753"/>
      <c r="Q166" s="753"/>
      <c r="R166" s="753"/>
      <c r="S166" s="753"/>
      <c r="T166" s="753"/>
      <c r="U166" s="753"/>
      <c r="V166" s="753"/>
      <c r="W166" s="753"/>
      <c r="X166" s="753"/>
      <c r="Y166" s="753"/>
      <c r="Z166" s="753"/>
      <c r="AA166" s="753"/>
      <c r="AB166" s="753"/>
      <c r="AC166" s="753"/>
      <c r="AD166" s="753"/>
      <c r="AE166" s="753"/>
      <c r="AF166" s="753"/>
      <c r="AG166" s="693">
        <f t="shared" si="40"/>
        <v>0</v>
      </c>
    </row>
    <row r="167">
      <c r="A167" s="697" t="s">
        <v>98</v>
      </c>
      <c r="B167" s="124">
        <f t="shared" ref="B167:AF167" si="41">SUM(B165:B166)</f>
        <v>0</v>
      </c>
      <c r="C167" s="124">
        <f t="shared" si="41"/>
        <v>0</v>
      </c>
      <c r="D167" s="124">
        <f t="shared" si="41"/>
        <v>0</v>
      </c>
      <c r="E167" s="124">
        <f t="shared" si="41"/>
        <v>0</v>
      </c>
      <c r="F167" s="124">
        <f t="shared" si="41"/>
        <v>0</v>
      </c>
      <c r="G167" s="124">
        <f t="shared" si="41"/>
        <v>0</v>
      </c>
      <c r="H167" s="124">
        <f t="shared" si="41"/>
        <v>0</v>
      </c>
      <c r="I167" s="124">
        <f t="shared" si="41"/>
        <v>0</v>
      </c>
      <c r="J167" s="124">
        <f t="shared" si="41"/>
        <v>0</v>
      </c>
      <c r="K167" s="124">
        <f t="shared" si="41"/>
        <v>0</v>
      </c>
      <c r="L167" s="124">
        <f t="shared" si="41"/>
        <v>0</v>
      </c>
      <c r="M167" s="124">
        <f t="shared" si="41"/>
        <v>0</v>
      </c>
      <c r="N167" s="124">
        <f t="shared" si="41"/>
        <v>0</v>
      </c>
      <c r="O167" s="124">
        <f t="shared" si="41"/>
        <v>0</v>
      </c>
      <c r="P167" s="124">
        <f t="shared" si="41"/>
        <v>0</v>
      </c>
      <c r="Q167" s="124">
        <f t="shared" si="41"/>
        <v>0</v>
      </c>
      <c r="R167" s="124">
        <f t="shared" si="41"/>
        <v>0</v>
      </c>
      <c r="S167" s="124">
        <f t="shared" si="41"/>
        <v>0</v>
      </c>
      <c r="T167" s="124">
        <f t="shared" si="41"/>
        <v>0</v>
      </c>
      <c r="U167" s="124">
        <f t="shared" si="41"/>
        <v>0</v>
      </c>
      <c r="V167" s="124">
        <f t="shared" si="41"/>
        <v>0</v>
      </c>
      <c r="W167" s="124">
        <f t="shared" si="41"/>
        <v>0</v>
      </c>
      <c r="X167" s="124">
        <f t="shared" si="41"/>
        <v>0</v>
      </c>
      <c r="Y167" s="124">
        <f t="shared" si="41"/>
        <v>0</v>
      </c>
      <c r="Z167" s="124">
        <f t="shared" si="41"/>
        <v>0</v>
      </c>
      <c r="AA167" s="124">
        <f t="shared" si="41"/>
        <v>0</v>
      </c>
      <c r="AB167" s="124">
        <f t="shared" si="41"/>
        <v>0</v>
      </c>
      <c r="AC167" s="124">
        <f t="shared" si="41"/>
        <v>0</v>
      </c>
      <c r="AD167" s="124">
        <f t="shared" si="41"/>
        <v>0</v>
      </c>
      <c r="AE167" s="124">
        <f t="shared" si="41"/>
        <v>0</v>
      </c>
      <c r="AF167" s="124">
        <f t="shared" si="41"/>
        <v>0</v>
      </c>
      <c r="AG167" s="693">
        <f t="shared" si="40"/>
        <v>0</v>
      </c>
    </row>
    <row r="168">
      <c r="A168" s="723"/>
      <c r="AG168" s="693"/>
    </row>
    <row r="169">
      <c r="A169" s="723"/>
      <c r="AG169" s="693"/>
    </row>
    <row r="170">
      <c r="A170" s="349" t="s">
        <v>287</v>
      </c>
      <c r="AG170" s="693"/>
    </row>
    <row r="171">
      <c r="A171" s="670" t="s">
        <v>942</v>
      </c>
      <c r="B171" s="746">
        <f t="shared" ref="B171:AF171" si="42">B145-B189</f>
        <v>139</v>
      </c>
      <c r="C171" s="746">
        <f t="shared" si="42"/>
        <v>142</v>
      </c>
      <c r="D171" s="746">
        <f t="shared" si="42"/>
        <v>148</v>
      </c>
      <c r="E171" s="746">
        <f t="shared" si="42"/>
        <v>175</v>
      </c>
      <c r="F171" s="746">
        <f t="shared" si="42"/>
        <v>204</v>
      </c>
      <c r="G171" s="746">
        <f t="shared" si="42"/>
        <v>174</v>
      </c>
      <c r="H171" s="746">
        <f t="shared" si="42"/>
        <v>148</v>
      </c>
      <c r="I171" s="746">
        <f t="shared" si="42"/>
        <v>135</v>
      </c>
      <c r="J171" s="746">
        <f t="shared" si="42"/>
        <v>161</v>
      </c>
      <c r="K171" s="746">
        <f t="shared" si="42"/>
        <v>169</v>
      </c>
      <c r="L171" s="746">
        <f t="shared" si="42"/>
        <v>155</v>
      </c>
      <c r="M171" s="746">
        <f t="shared" si="42"/>
        <v>166</v>
      </c>
      <c r="N171" s="746">
        <f t="shared" si="42"/>
        <v>142</v>
      </c>
      <c r="O171" s="746">
        <f t="shared" si="42"/>
        <v>141</v>
      </c>
      <c r="P171" s="746">
        <f t="shared" si="42"/>
        <v>150</v>
      </c>
      <c r="Q171" s="746">
        <f t="shared" si="42"/>
        <v>137</v>
      </c>
      <c r="R171" s="746">
        <f t="shared" si="42"/>
        <v>166</v>
      </c>
      <c r="S171" s="746">
        <f t="shared" si="42"/>
        <v>203</v>
      </c>
      <c r="T171" s="746">
        <f t="shared" si="42"/>
        <v>186</v>
      </c>
      <c r="U171" s="746">
        <f t="shared" si="42"/>
        <v>199</v>
      </c>
      <c r="V171" s="746">
        <f t="shared" si="42"/>
        <v>239</v>
      </c>
      <c r="W171" s="746">
        <f t="shared" si="42"/>
        <v>325</v>
      </c>
      <c r="X171" s="746">
        <f t="shared" si="42"/>
        <v>374</v>
      </c>
      <c r="Y171" s="746">
        <f t="shared" si="42"/>
        <v>1178</v>
      </c>
      <c r="Z171" s="746">
        <f t="shared" si="42"/>
        <v>794</v>
      </c>
      <c r="AA171" s="746">
        <f t="shared" si="42"/>
        <v>535</v>
      </c>
      <c r="AB171" s="746">
        <f t="shared" si="42"/>
        <v>744</v>
      </c>
      <c r="AC171" s="746">
        <f t="shared" si="42"/>
        <v>558</v>
      </c>
      <c r="AD171" s="746">
        <f t="shared" si="42"/>
        <v>32</v>
      </c>
      <c r="AE171" s="746">
        <f t="shared" si="42"/>
        <v>37</v>
      </c>
      <c r="AF171" s="746">
        <f t="shared" si="42"/>
        <v>0</v>
      </c>
      <c r="AG171" s="693">
        <f t="shared" ref="AG171:AG175" si="44">sum(B171:AF171)</f>
        <v>8056</v>
      </c>
    </row>
    <row r="172">
      <c r="A172" s="670" t="s">
        <v>943</v>
      </c>
      <c r="B172" s="746">
        <f t="shared" ref="B172:AF172" si="43">B146-B190</f>
        <v>4</v>
      </c>
      <c r="C172" s="746">
        <f t="shared" si="43"/>
        <v>9</v>
      </c>
      <c r="D172" s="746">
        <f t="shared" si="43"/>
        <v>4</v>
      </c>
      <c r="E172" s="746">
        <f t="shared" si="43"/>
        <v>6</v>
      </c>
      <c r="F172" s="746">
        <f t="shared" si="43"/>
        <v>7</v>
      </c>
      <c r="G172" s="746">
        <f t="shared" si="43"/>
        <v>9</v>
      </c>
      <c r="H172" s="746">
        <f t="shared" si="43"/>
        <v>11</v>
      </c>
      <c r="I172" s="746">
        <f t="shared" si="43"/>
        <v>5</v>
      </c>
      <c r="J172" s="746">
        <f t="shared" si="43"/>
        <v>8</v>
      </c>
      <c r="K172" s="746">
        <f t="shared" si="43"/>
        <v>9</v>
      </c>
      <c r="L172" s="746">
        <f t="shared" si="43"/>
        <v>8</v>
      </c>
      <c r="M172" s="746">
        <f t="shared" si="43"/>
        <v>16</v>
      </c>
      <c r="N172" s="746">
        <f t="shared" si="43"/>
        <v>8</v>
      </c>
      <c r="O172" s="746">
        <f t="shared" si="43"/>
        <v>8</v>
      </c>
      <c r="P172" s="746">
        <f t="shared" si="43"/>
        <v>6</v>
      </c>
      <c r="Q172" s="746">
        <f t="shared" si="43"/>
        <v>9</v>
      </c>
      <c r="R172" s="746">
        <f t="shared" si="43"/>
        <v>17</v>
      </c>
      <c r="S172" s="746">
        <f t="shared" si="43"/>
        <v>20</v>
      </c>
      <c r="T172" s="746">
        <f t="shared" si="43"/>
        <v>20</v>
      </c>
      <c r="U172" s="746">
        <f t="shared" si="43"/>
        <v>24</v>
      </c>
      <c r="V172" s="746">
        <f t="shared" si="43"/>
        <v>27</v>
      </c>
      <c r="W172" s="746">
        <f t="shared" si="43"/>
        <v>55</v>
      </c>
      <c r="X172" s="746">
        <f t="shared" si="43"/>
        <v>52</v>
      </c>
      <c r="Y172" s="746">
        <f t="shared" si="43"/>
        <v>161</v>
      </c>
      <c r="Z172" s="746">
        <f t="shared" si="43"/>
        <v>103</v>
      </c>
      <c r="AA172" s="746">
        <f t="shared" si="43"/>
        <v>64</v>
      </c>
      <c r="AB172" s="746">
        <f t="shared" si="43"/>
        <v>91</v>
      </c>
      <c r="AC172" s="746">
        <f t="shared" si="43"/>
        <v>101</v>
      </c>
      <c r="AD172" s="746">
        <f t="shared" si="43"/>
        <v>41</v>
      </c>
      <c r="AE172" s="746">
        <f t="shared" si="43"/>
        <v>39</v>
      </c>
      <c r="AF172" s="746">
        <f t="shared" si="43"/>
        <v>0</v>
      </c>
      <c r="AG172" s="693">
        <f t="shared" si="44"/>
        <v>942</v>
      </c>
    </row>
    <row r="173">
      <c r="A173" s="670" t="s">
        <v>944</v>
      </c>
      <c r="B173" s="746">
        <f t="shared" ref="B173:AF173" si="45">B147-B191</f>
        <v>258</v>
      </c>
      <c r="C173" s="746">
        <f t="shared" si="45"/>
        <v>259</v>
      </c>
      <c r="D173" s="746">
        <f t="shared" si="45"/>
        <v>250</v>
      </c>
      <c r="E173" s="746">
        <f t="shared" si="45"/>
        <v>275</v>
      </c>
      <c r="F173" s="746">
        <f t="shared" si="45"/>
        <v>318</v>
      </c>
      <c r="G173" s="746">
        <f t="shared" si="45"/>
        <v>315</v>
      </c>
      <c r="H173" s="746">
        <f t="shared" si="45"/>
        <v>296</v>
      </c>
      <c r="I173" s="746">
        <f t="shared" si="45"/>
        <v>297</v>
      </c>
      <c r="J173" s="746">
        <f t="shared" si="45"/>
        <v>302</v>
      </c>
      <c r="K173" s="746">
        <f t="shared" si="45"/>
        <v>313</v>
      </c>
      <c r="L173" s="746">
        <f t="shared" si="45"/>
        <v>457</v>
      </c>
      <c r="M173" s="746">
        <f t="shared" si="45"/>
        <v>426</v>
      </c>
      <c r="N173" s="746">
        <f t="shared" si="45"/>
        <v>310</v>
      </c>
      <c r="O173" s="746">
        <f t="shared" si="45"/>
        <v>394</v>
      </c>
      <c r="P173" s="746">
        <f t="shared" si="45"/>
        <v>355</v>
      </c>
      <c r="Q173" s="746">
        <f t="shared" si="45"/>
        <v>336</v>
      </c>
      <c r="R173" s="746">
        <f t="shared" si="45"/>
        <v>330</v>
      </c>
      <c r="S173" s="746">
        <f t="shared" si="45"/>
        <v>443</v>
      </c>
      <c r="T173" s="746">
        <f t="shared" si="45"/>
        <v>457</v>
      </c>
      <c r="U173" s="746">
        <f t="shared" si="45"/>
        <v>473</v>
      </c>
      <c r="V173" s="746">
        <f t="shared" si="45"/>
        <v>450</v>
      </c>
      <c r="W173" s="746">
        <f t="shared" si="45"/>
        <v>647</v>
      </c>
      <c r="X173" s="746">
        <f t="shared" si="45"/>
        <v>767</v>
      </c>
      <c r="Y173" s="746">
        <f t="shared" si="45"/>
        <v>2160</v>
      </c>
      <c r="Z173" s="746">
        <f t="shared" si="45"/>
        <v>1254</v>
      </c>
      <c r="AA173" s="746">
        <f t="shared" si="45"/>
        <v>976</v>
      </c>
      <c r="AB173" s="746">
        <f t="shared" si="45"/>
        <v>1674</v>
      </c>
      <c r="AC173" s="746">
        <f t="shared" si="45"/>
        <v>1007</v>
      </c>
      <c r="AD173" s="746">
        <f t="shared" si="45"/>
        <v>98</v>
      </c>
      <c r="AE173" s="746">
        <f t="shared" si="45"/>
        <v>85</v>
      </c>
      <c r="AF173" s="746">
        <f t="shared" si="45"/>
        <v>0</v>
      </c>
      <c r="AG173" s="693">
        <f t="shared" si="44"/>
        <v>15982</v>
      </c>
    </row>
    <row r="174">
      <c r="A174" s="670" t="s">
        <v>945</v>
      </c>
      <c r="B174" s="746">
        <f t="shared" ref="B174:AF174" si="46">B148-B192</f>
        <v>24</v>
      </c>
      <c r="C174" s="746">
        <f t="shared" si="46"/>
        <v>20</v>
      </c>
      <c r="D174" s="746">
        <f t="shared" si="46"/>
        <v>30</v>
      </c>
      <c r="E174" s="746">
        <f t="shared" si="46"/>
        <v>24</v>
      </c>
      <c r="F174" s="746">
        <f t="shared" si="46"/>
        <v>30</v>
      </c>
      <c r="G174" s="746">
        <f t="shared" si="46"/>
        <v>25</v>
      </c>
      <c r="H174" s="746">
        <f t="shared" si="46"/>
        <v>22</v>
      </c>
      <c r="I174" s="746">
        <f t="shared" si="46"/>
        <v>26</v>
      </c>
      <c r="J174" s="746">
        <f t="shared" si="46"/>
        <v>27</v>
      </c>
      <c r="K174" s="746">
        <f t="shared" si="46"/>
        <v>22</v>
      </c>
      <c r="L174" s="746">
        <f t="shared" si="46"/>
        <v>27</v>
      </c>
      <c r="M174" s="746">
        <f t="shared" si="46"/>
        <v>33</v>
      </c>
      <c r="N174" s="746">
        <f t="shared" si="46"/>
        <v>26</v>
      </c>
      <c r="O174" s="746">
        <f t="shared" si="46"/>
        <v>34</v>
      </c>
      <c r="P174" s="746">
        <f t="shared" si="46"/>
        <v>34</v>
      </c>
      <c r="Q174" s="746">
        <f t="shared" si="46"/>
        <v>15</v>
      </c>
      <c r="R174" s="746">
        <f t="shared" si="46"/>
        <v>20</v>
      </c>
      <c r="S174" s="746">
        <f t="shared" si="46"/>
        <v>28</v>
      </c>
      <c r="T174" s="746">
        <f t="shared" si="46"/>
        <v>42</v>
      </c>
      <c r="U174" s="746">
        <f t="shared" si="46"/>
        <v>50</v>
      </c>
      <c r="V174" s="746">
        <f t="shared" si="46"/>
        <v>68</v>
      </c>
      <c r="W174" s="746">
        <f t="shared" si="46"/>
        <v>90</v>
      </c>
      <c r="X174" s="746">
        <f t="shared" si="46"/>
        <v>127</v>
      </c>
      <c r="Y174" s="746">
        <f t="shared" si="46"/>
        <v>282</v>
      </c>
      <c r="Z174" s="746">
        <f t="shared" si="46"/>
        <v>199</v>
      </c>
      <c r="AA174" s="746">
        <f t="shared" si="46"/>
        <v>146</v>
      </c>
      <c r="AB174" s="746">
        <f t="shared" si="46"/>
        <v>193</v>
      </c>
      <c r="AC174" s="746">
        <f t="shared" si="46"/>
        <v>188</v>
      </c>
      <c r="AD174" s="746">
        <f t="shared" si="46"/>
        <v>101</v>
      </c>
      <c r="AE174" s="746">
        <f t="shared" si="46"/>
        <v>86</v>
      </c>
      <c r="AF174" s="746">
        <f t="shared" si="46"/>
        <v>0</v>
      </c>
      <c r="AG174" s="693">
        <f t="shared" si="44"/>
        <v>2039</v>
      </c>
    </row>
    <row r="175">
      <c r="A175" s="697" t="s">
        <v>180</v>
      </c>
      <c r="B175" s="731">
        <f t="shared" ref="B175:AF175" si="47">SUM(B171:B174)</f>
        <v>425</v>
      </c>
      <c r="C175" s="731">
        <f t="shared" si="47"/>
        <v>430</v>
      </c>
      <c r="D175" s="731">
        <f t="shared" si="47"/>
        <v>432</v>
      </c>
      <c r="E175" s="731">
        <f t="shared" si="47"/>
        <v>480</v>
      </c>
      <c r="F175" s="731">
        <f t="shared" si="47"/>
        <v>559</v>
      </c>
      <c r="G175" s="731">
        <f t="shared" si="47"/>
        <v>523</v>
      </c>
      <c r="H175" s="731">
        <f t="shared" si="47"/>
        <v>477</v>
      </c>
      <c r="I175" s="731">
        <f t="shared" si="47"/>
        <v>463</v>
      </c>
      <c r="J175" s="731">
        <f t="shared" si="47"/>
        <v>498</v>
      </c>
      <c r="K175" s="731">
        <f t="shared" si="47"/>
        <v>513</v>
      </c>
      <c r="L175" s="731">
        <f t="shared" si="47"/>
        <v>647</v>
      </c>
      <c r="M175" s="731">
        <f t="shared" si="47"/>
        <v>641</v>
      </c>
      <c r="N175" s="731">
        <f t="shared" si="47"/>
        <v>486</v>
      </c>
      <c r="O175" s="731">
        <f t="shared" si="47"/>
        <v>577</v>
      </c>
      <c r="P175" s="731">
        <f t="shared" si="47"/>
        <v>545</v>
      </c>
      <c r="Q175" s="731">
        <f t="shared" si="47"/>
        <v>497</v>
      </c>
      <c r="R175" s="731">
        <f t="shared" si="47"/>
        <v>533</v>
      </c>
      <c r="S175" s="731">
        <f t="shared" si="47"/>
        <v>694</v>
      </c>
      <c r="T175" s="731">
        <f t="shared" si="47"/>
        <v>705</v>
      </c>
      <c r="U175" s="731">
        <f t="shared" si="47"/>
        <v>746</v>
      </c>
      <c r="V175" s="731">
        <f t="shared" si="47"/>
        <v>784</v>
      </c>
      <c r="W175" s="731">
        <f t="shared" si="47"/>
        <v>1117</v>
      </c>
      <c r="X175" s="731">
        <f t="shared" si="47"/>
        <v>1320</v>
      </c>
      <c r="Y175" s="731">
        <f t="shared" si="47"/>
        <v>3781</v>
      </c>
      <c r="Z175" s="731">
        <f t="shared" si="47"/>
        <v>2350</v>
      </c>
      <c r="AA175" s="731">
        <f t="shared" si="47"/>
        <v>1721</v>
      </c>
      <c r="AB175" s="731">
        <f t="shared" si="47"/>
        <v>2702</v>
      </c>
      <c r="AC175" s="731">
        <f t="shared" si="47"/>
        <v>1854</v>
      </c>
      <c r="AD175" s="731">
        <f t="shared" si="47"/>
        <v>272</v>
      </c>
      <c r="AE175" s="731">
        <f t="shared" si="47"/>
        <v>247</v>
      </c>
      <c r="AF175" s="731">
        <f t="shared" si="47"/>
        <v>0</v>
      </c>
      <c r="AG175" s="693">
        <f t="shared" si="44"/>
        <v>27019</v>
      </c>
    </row>
    <row r="176">
      <c r="A176" s="25"/>
      <c r="AG176" s="693"/>
    </row>
    <row r="177">
      <c r="A177" s="670" t="s">
        <v>150</v>
      </c>
      <c r="B177" s="746">
        <f t="shared" ref="B177:AF177" si="48">B151-B195</f>
        <v>72</v>
      </c>
      <c r="C177" s="746">
        <f t="shared" si="48"/>
        <v>98</v>
      </c>
      <c r="D177" s="746">
        <f t="shared" si="48"/>
        <v>86</v>
      </c>
      <c r="E177" s="746">
        <f t="shared" si="48"/>
        <v>110</v>
      </c>
      <c r="F177" s="746">
        <f t="shared" si="48"/>
        <v>124</v>
      </c>
      <c r="G177" s="746">
        <f t="shared" si="48"/>
        <v>124</v>
      </c>
      <c r="H177" s="746">
        <f t="shared" si="48"/>
        <v>118</v>
      </c>
      <c r="I177" s="746">
        <f t="shared" si="48"/>
        <v>110</v>
      </c>
      <c r="J177" s="746">
        <f t="shared" si="48"/>
        <v>127</v>
      </c>
      <c r="K177" s="746">
        <f t="shared" si="48"/>
        <v>131</v>
      </c>
      <c r="L177" s="746">
        <f t="shared" si="48"/>
        <v>190</v>
      </c>
      <c r="M177" s="746">
        <f t="shared" si="48"/>
        <v>197</v>
      </c>
      <c r="N177" s="746">
        <f t="shared" si="48"/>
        <v>125</v>
      </c>
      <c r="O177" s="746">
        <f t="shared" si="48"/>
        <v>148</v>
      </c>
      <c r="P177" s="746">
        <f t="shared" si="48"/>
        <v>137</v>
      </c>
      <c r="Q177" s="746">
        <f t="shared" si="48"/>
        <v>126</v>
      </c>
      <c r="R177" s="746">
        <f t="shared" si="48"/>
        <v>126</v>
      </c>
      <c r="S177" s="746">
        <f t="shared" si="48"/>
        <v>158</v>
      </c>
      <c r="T177" s="746">
        <f t="shared" si="48"/>
        <v>299</v>
      </c>
      <c r="U177" s="746">
        <f t="shared" si="48"/>
        <v>186</v>
      </c>
      <c r="V177" s="746">
        <f t="shared" si="48"/>
        <v>178</v>
      </c>
      <c r="W177" s="746">
        <f t="shared" si="48"/>
        <v>263</v>
      </c>
      <c r="X177" s="746">
        <f t="shared" si="48"/>
        <v>320</v>
      </c>
      <c r="Y177" s="746">
        <f t="shared" si="48"/>
        <v>752</v>
      </c>
      <c r="Z177" s="746">
        <f t="shared" si="48"/>
        <v>457</v>
      </c>
      <c r="AA177" s="746">
        <f t="shared" si="48"/>
        <v>374</v>
      </c>
      <c r="AB177" s="746">
        <f t="shared" si="48"/>
        <v>544</v>
      </c>
      <c r="AC177" s="746">
        <f t="shared" si="48"/>
        <v>335</v>
      </c>
      <c r="AD177" s="746">
        <f t="shared" si="48"/>
        <v>77</v>
      </c>
      <c r="AE177" s="746">
        <f t="shared" si="48"/>
        <v>70</v>
      </c>
      <c r="AF177" s="746">
        <f t="shared" si="48"/>
        <v>0</v>
      </c>
      <c r="AG177" s="693">
        <f t="shared" ref="AG177:AG186" si="49">sum(B177:AF177)</f>
        <v>6162</v>
      </c>
    </row>
    <row r="178">
      <c r="A178" s="670" t="s">
        <v>646</v>
      </c>
      <c r="B178" s="742"/>
      <c r="C178" s="742"/>
      <c r="D178" s="742"/>
      <c r="E178" s="742"/>
      <c r="F178" s="742"/>
      <c r="G178" s="742"/>
      <c r="H178" s="742"/>
      <c r="I178" s="742"/>
      <c r="J178" s="742"/>
      <c r="K178" s="742"/>
      <c r="L178" s="742"/>
      <c r="M178" s="742"/>
      <c r="N178" s="742"/>
      <c r="O178" s="742"/>
      <c r="P178" s="742"/>
      <c r="Q178" s="742"/>
      <c r="R178" s="742"/>
      <c r="S178" s="742"/>
      <c r="T178" s="742"/>
      <c r="U178" s="742"/>
      <c r="V178" s="742"/>
      <c r="W178" s="742"/>
      <c r="X178" s="742"/>
      <c r="Y178" s="742"/>
      <c r="Z178" s="742"/>
      <c r="AA178" s="742"/>
      <c r="AB178" s="742"/>
      <c r="AC178" s="742"/>
      <c r="AD178" s="742"/>
      <c r="AE178" s="742"/>
      <c r="AF178" s="742"/>
      <c r="AG178" s="693">
        <f t="shared" si="49"/>
        <v>0</v>
      </c>
    </row>
    <row r="179">
      <c r="A179" s="670" t="s">
        <v>151</v>
      </c>
      <c r="B179" s="746">
        <f t="shared" ref="B179:AF179" si="50">B153-B197</f>
        <v>335</v>
      </c>
      <c r="C179" s="746">
        <f t="shared" si="50"/>
        <v>344</v>
      </c>
      <c r="D179" s="746">
        <f t="shared" si="50"/>
        <v>362</v>
      </c>
      <c r="E179" s="746">
        <f t="shared" si="50"/>
        <v>362</v>
      </c>
      <c r="F179" s="746">
        <f t="shared" si="50"/>
        <v>394</v>
      </c>
      <c r="G179" s="746">
        <f t="shared" si="50"/>
        <v>353</v>
      </c>
      <c r="H179" s="746">
        <f t="shared" si="50"/>
        <v>366</v>
      </c>
      <c r="I179" s="746">
        <f t="shared" si="50"/>
        <v>331</v>
      </c>
      <c r="J179" s="746">
        <f t="shared" si="50"/>
        <v>374</v>
      </c>
      <c r="K179" s="746">
        <f t="shared" si="50"/>
        <v>378</v>
      </c>
      <c r="L179" s="746">
        <f t="shared" si="50"/>
        <v>492</v>
      </c>
      <c r="M179" s="746">
        <f t="shared" si="50"/>
        <v>454</v>
      </c>
      <c r="N179" s="746">
        <f t="shared" si="50"/>
        <v>307</v>
      </c>
      <c r="O179" s="746">
        <f t="shared" si="50"/>
        <v>433</v>
      </c>
      <c r="P179" s="746">
        <f t="shared" si="50"/>
        <v>381</v>
      </c>
      <c r="Q179" s="746">
        <f t="shared" si="50"/>
        <v>353</v>
      </c>
      <c r="R179" s="746">
        <f t="shared" si="50"/>
        <v>371</v>
      </c>
      <c r="S179" s="746">
        <f t="shared" si="50"/>
        <v>498</v>
      </c>
      <c r="T179" s="746">
        <f t="shared" si="50"/>
        <v>132</v>
      </c>
      <c r="U179" s="746">
        <f t="shared" si="50"/>
        <v>461</v>
      </c>
      <c r="V179" s="746">
        <f t="shared" si="50"/>
        <v>523</v>
      </c>
      <c r="W179" s="746">
        <f t="shared" si="50"/>
        <v>773</v>
      </c>
      <c r="X179" s="746">
        <f t="shared" si="50"/>
        <v>986</v>
      </c>
      <c r="Y179" s="746">
        <f t="shared" si="50"/>
        <v>2616</v>
      </c>
      <c r="Z179" s="746">
        <f t="shared" si="50"/>
        <v>1539</v>
      </c>
      <c r="AA179" s="746">
        <f t="shared" si="50"/>
        <v>1207</v>
      </c>
      <c r="AB179" s="746">
        <f t="shared" si="50"/>
        <v>1688</v>
      </c>
      <c r="AC179" s="746">
        <f t="shared" si="50"/>
        <v>980</v>
      </c>
      <c r="AD179" s="746">
        <f t="shared" si="50"/>
        <v>0</v>
      </c>
      <c r="AE179" s="746">
        <f t="shared" si="50"/>
        <v>0</v>
      </c>
      <c r="AF179" s="746">
        <f t="shared" si="50"/>
        <v>0</v>
      </c>
      <c r="AG179" s="693">
        <f t="shared" si="49"/>
        <v>17793</v>
      </c>
    </row>
    <row r="180">
      <c r="A180" s="670" t="s">
        <v>946</v>
      </c>
      <c r="B180" s="746">
        <f t="shared" ref="B180:AF180" si="51">B154-B198</f>
        <v>38</v>
      </c>
      <c r="C180" s="746">
        <f t="shared" si="51"/>
        <v>78</v>
      </c>
      <c r="D180" s="746">
        <f t="shared" si="51"/>
        <v>64</v>
      </c>
      <c r="E180" s="746">
        <f t="shared" si="51"/>
        <v>68</v>
      </c>
      <c r="F180" s="746">
        <f t="shared" si="51"/>
        <v>41</v>
      </c>
      <c r="G180" s="746">
        <f t="shared" si="51"/>
        <v>49</v>
      </c>
      <c r="H180" s="746">
        <f t="shared" si="51"/>
        <v>53</v>
      </c>
      <c r="I180" s="746">
        <f t="shared" si="51"/>
        <v>78</v>
      </c>
      <c r="J180" s="746">
        <f t="shared" si="51"/>
        <v>51</v>
      </c>
      <c r="K180" s="746">
        <f t="shared" si="51"/>
        <v>44</v>
      </c>
      <c r="L180" s="746">
        <f t="shared" si="51"/>
        <v>80</v>
      </c>
      <c r="M180" s="746">
        <f t="shared" si="51"/>
        <v>82</v>
      </c>
      <c r="N180" s="746">
        <f t="shared" si="51"/>
        <v>48</v>
      </c>
      <c r="O180" s="746">
        <f t="shared" si="51"/>
        <v>60</v>
      </c>
      <c r="P180" s="746">
        <f t="shared" si="51"/>
        <v>57</v>
      </c>
      <c r="Q180" s="746">
        <f t="shared" si="51"/>
        <v>57</v>
      </c>
      <c r="R180" s="746">
        <f t="shared" si="51"/>
        <v>56</v>
      </c>
      <c r="S180" s="746">
        <f t="shared" si="51"/>
        <v>58</v>
      </c>
      <c r="T180" s="746">
        <f t="shared" si="51"/>
        <v>80</v>
      </c>
      <c r="U180" s="746">
        <f t="shared" si="51"/>
        <v>74</v>
      </c>
      <c r="V180" s="746">
        <f t="shared" si="51"/>
        <v>73</v>
      </c>
      <c r="W180" s="746">
        <f t="shared" si="51"/>
        <v>95</v>
      </c>
      <c r="X180" s="746">
        <f t="shared" si="51"/>
        <v>126</v>
      </c>
      <c r="Y180" s="746">
        <f t="shared" si="51"/>
        <v>347</v>
      </c>
      <c r="Z180" s="746">
        <f t="shared" si="51"/>
        <v>159</v>
      </c>
      <c r="AA180" s="746">
        <f t="shared" si="51"/>
        <v>147</v>
      </c>
      <c r="AB180" s="746">
        <f t="shared" si="51"/>
        <v>211</v>
      </c>
      <c r="AC180" s="746">
        <f t="shared" si="51"/>
        <v>104</v>
      </c>
      <c r="AD180" s="746">
        <f t="shared" si="51"/>
        <v>21</v>
      </c>
      <c r="AE180" s="746">
        <f t="shared" si="51"/>
        <v>19</v>
      </c>
      <c r="AF180" s="746">
        <f t="shared" si="51"/>
        <v>0</v>
      </c>
      <c r="AG180" s="693">
        <f t="shared" si="49"/>
        <v>2518</v>
      </c>
    </row>
    <row r="181">
      <c r="A181" s="670" t="s">
        <v>947</v>
      </c>
      <c r="B181" s="746">
        <f t="shared" ref="B181:AF181" si="52">B155-B199</f>
        <v>5</v>
      </c>
      <c r="C181" s="746">
        <f t="shared" si="52"/>
        <v>14</v>
      </c>
      <c r="D181" s="746">
        <f t="shared" si="52"/>
        <v>8</v>
      </c>
      <c r="E181" s="746">
        <f t="shared" si="52"/>
        <v>5</v>
      </c>
      <c r="F181" s="746">
        <f t="shared" si="52"/>
        <v>3</v>
      </c>
      <c r="G181" s="746">
        <f t="shared" si="52"/>
        <v>5</v>
      </c>
      <c r="H181" s="746">
        <f t="shared" si="52"/>
        <v>5</v>
      </c>
      <c r="I181" s="746">
        <f t="shared" si="52"/>
        <v>10</v>
      </c>
      <c r="J181" s="746">
        <f t="shared" si="52"/>
        <v>7</v>
      </c>
      <c r="K181" s="746">
        <f t="shared" si="52"/>
        <v>1</v>
      </c>
      <c r="L181" s="746">
        <f t="shared" si="52"/>
        <v>3</v>
      </c>
      <c r="M181" s="746">
        <f t="shared" si="52"/>
        <v>7</v>
      </c>
      <c r="N181" s="746">
        <f t="shared" si="52"/>
        <v>8</v>
      </c>
      <c r="O181" s="746">
        <f t="shared" si="52"/>
        <v>9</v>
      </c>
      <c r="P181" s="746">
        <f t="shared" si="52"/>
        <v>2</v>
      </c>
      <c r="Q181" s="746">
        <f t="shared" si="52"/>
        <v>4</v>
      </c>
      <c r="R181" s="746">
        <f t="shared" si="52"/>
        <v>2</v>
      </c>
      <c r="S181" s="746">
        <f t="shared" si="52"/>
        <v>7</v>
      </c>
      <c r="T181" s="746">
        <f t="shared" si="52"/>
        <v>6</v>
      </c>
      <c r="U181" s="746">
        <f t="shared" si="52"/>
        <v>11</v>
      </c>
      <c r="V181" s="746">
        <f t="shared" si="52"/>
        <v>9</v>
      </c>
      <c r="W181" s="746">
        <f t="shared" si="52"/>
        <v>18</v>
      </c>
      <c r="X181" s="746">
        <f t="shared" si="52"/>
        <v>29</v>
      </c>
      <c r="Y181" s="746">
        <f t="shared" si="52"/>
        <v>46</v>
      </c>
      <c r="Z181" s="746">
        <f t="shared" si="52"/>
        <v>25</v>
      </c>
      <c r="AA181" s="746">
        <f t="shared" si="52"/>
        <v>24</v>
      </c>
      <c r="AB181" s="746">
        <f t="shared" si="52"/>
        <v>26</v>
      </c>
      <c r="AC181" s="746">
        <f t="shared" si="52"/>
        <v>24</v>
      </c>
      <c r="AD181" s="746">
        <f t="shared" si="52"/>
        <v>17</v>
      </c>
      <c r="AE181" s="746">
        <f t="shared" si="52"/>
        <v>25</v>
      </c>
      <c r="AF181" s="746">
        <f t="shared" si="52"/>
        <v>0</v>
      </c>
      <c r="AG181" s="693">
        <f t="shared" si="49"/>
        <v>365</v>
      </c>
    </row>
    <row r="182">
      <c r="A182" s="670" t="s">
        <v>948</v>
      </c>
      <c r="B182" s="746">
        <f t="shared" ref="B182:AF182" si="53">B156-B200</f>
        <v>10</v>
      </c>
      <c r="C182" s="746">
        <f t="shared" si="53"/>
        <v>9</v>
      </c>
      <c r="D182" s="746">
        <f t="shared" si="53"/>
        <v>13</v>
      </c>
      <c r="E182" s="746">
        <f t="shared" si="53"/>
        <v>13</v>
      </c>
      <c r="F182" s="746">
        <f t="shared" si="53"/>
        <v>19</v>
      </c>
      <c r="G182" s="746">
        <f t="shared" si="53"/>
        <v>10</v>
      </c>
      <c r="H182" s="746">
        <f t="shared" si="53"/>
        <v>9</v>
      </c>
      <c r="I182" s="746">
        <f t="shared" si="53"/>
        <v>9</v>
      </c>
      <c r="J182" s="746">
        <f t="shared" si="53"/>
        <v>11</v>
      </c>
      <c r="K182" s="746">
        <f t="shared" si="53"/>
        <v>12</v>
      </c>
      <c r="L182" s="746">
        <f t="shared" si="53"/>
        <v>7</v>
      </c>
      <c r="M182" s="746">
        <f t="shared" si="53"/>
        <v>4</v>
      </c>
      <c r="N182" s="746">
        <f t="shared" si="53"/>
        <v>12</v>
      </c>
      <c r="O182" s="746">
        <f t="shared" si="53"/>
        <v>9</v>
      </c>
      <c r="P182" s="746">
        <f t="shared" si="53"/>
        <v>10</v>
      </c>
      <c r="Q182" s="746">
        <f t="shared" si="53"/>
        <v>7</v>
      </c>
      <c r="R182" s="746">
        <f t="shared" si="53"/>
        <v>7</v>
      </c>
      <c r="S182" s="746">
        <f t="shared" si="53"/>
        <v>9</v>
      </c>
      <c r="T182" s="746">
        <f t="shared" si="53"/>
        <v>5</v>
      </c>
      <c r="U182" s="746">
        <f t="shared" si="53"/>
        <v>12</v>
      </c>
      <c r="V182" s="746">
        <f t="shared" si="53"/>
        <v>17</v>
      </c>
      <c r="W182" s="746">
        <f t="shared" si="53"/>
        <v>27</v>
      </c>
      <c r="X182" s="746">
        <f t="shared" si="53"/>
        <v>27</v>
      </c>
      <c r="Y182" s="746">
        <f t="shared" si="53"/>
        <v>86</v>
      </c>
      <c r="Z182" s="746">
        <f t="shared" si="53"/>
        <v>37</v>
      </c>
      <c r="AA182" s="746">
        <f t="shared" si="53"/>
        <v>39</v>
      </c>
      <c r="AB182" s="746">
        <f t="shared" si="53"/>
        <v>33</v>
      </c>
      <c r="AC182" s="746">
        <f t="shared" si="53"/>
        <v>24</v>
      </c>
      <c r="AD182" s="746">
        <f t="shared" si="53"/>
        <v>5</v>
      </c>
      <c r="AE182" s="746">
        <f t="shared" si="53"/>
        <v>5</v>
      </c>
      <c r="AF182" s="746">
        <f t="shared" si="53"/>
        <v>0</v>
      </c>
      <c r="AG182" s="693">
        <f t="shared" si="49"/>
        <v>497</v>
      </c>
    </row>
    <row r="183">
      <c r="A183" s="670" t="s">
        <v>949</v>
      </c>
      <c r="B183" s="746">
        <f t="shared" ref="B183:AF183" si="54">B157-B201</f>
        <v>4</v>
      </c>
      <c r="C183" s="746">
        <f t="shared" si="54"/>
        <v>2</v>
      </c>
      <c r="D183" s="746">
        <f t="shared" si="54"/>
        <v>2</v>
      </c>
      <c r="E183" s="746">
        <f t="shared" si="54"/>
        <v>3</v>
      </c>
      <c r="F183" s="746">
        <f t="shared" si="54"/>
        <v>1</v>
      </c>
      <c r="G183" s="746">
        <f t="shared" si="54"/>
        <v>4</v>
      </c>
      <c r="H183" s="746">
        <f t="shared" si="54"/>
        <v>2</v>
      </c>
      <c r="I183" s="746">
        <f t="shared" si="54"/>
        <v>0</v>
      </c>
      <c r="J183" s="746">
        <f t="shared" si="54"/>
        <v>1</v>
      </c>
      <c r="K183" s="746">
        <f t="shared" si="54"/>
        <v>3</v>
      </c>
      <c r="L183" s="746">
        <f t="shared" si="54"/>
        <v>0</v>
      </c>
      <c r="M183" s="746">
        <f t="shared" si="54"/>
        <v>0</v>
      </c>
      <c r="N183" s="746">
        <f t="shared" si="54"/>
        <v>0</v>
      </c>
      <c r="O183" s="746">
        <f t="shared" si="54"/>
        <v>0</v>
      </c>
      <c r="P183" s="746">
        <f t="shared" si="54"/>
        <v>1</v>
      </c>
      <c r="Q183" s="746">
        <f t="shared" si="54"/>
        <v>5</v>
      </c>
      <c r="R183" s="746">
        <f t="shared" si="54"/>
        <v>1</v>
      </c>
      <c r="S183" s="746">
        <f t="shared" si="54"/>
        <v>0</v>
      </c>
      <c r="T183" s="746">
        <f t="shared" si="54"/>
        <v>3</v>
      </c>
      <c r="U183" s="746">
        <f t="shared" si="54"/>
        <v>2</v>
      </c>
      <c r="V183" s="746">
        <f t="shared" si="54"/>
        <v>0</v>
      </c>
      <c r="W183" s="746">
        <f t="shared" si="54"/>
        <v>7</v>
      </c>
      <c r="X183" s="746">
        <f t="shared" si="54"/>
        <v>5</v>
      </c>
      <c r="Y183" s="746">
        <f t="shared" si="54"/>
        <v>14</v>
      </c>
      <c r="Z183" s="746">
        <f t="shared" si="54"/>
        <v>6</v>
      </c>
      <c r="AA183" s="746">
        <f t="shared" si="54"/>
        <v>7</v>
      </c>
      <c r="AB183" s="746">
        <f t="shared" si="54"/>
        <v>9</v>
      </c>
      <c r="AC183" s="746">
        <f t="shared" si="54"/>
        <v>6</v>
      </c>
      <c r="AD183" s="746">
        <f t="shared" si="54"/>
        <v>4</v>
      </c>
      <c r="AE183" s="746">
        <f t="shared" si="54"/>
        <v>3</v>
      </c>
      <c r="AF183" s="746">
        <f t="shared" si="54"/>
        <v>0</v>
      </c>
      <c r="AG183" s="693">
        <f t="shared" si="49"/>
        <v>95</v>
      </c>
    </row>
    <row r="184">
      <c r="A184" s="670" t="s">
        <v>952</v>
      </c>
      <c r="B184" s="746">
        <f t="shared" ref="B184:AF184" si="55">B158-B202</f>
        <v>84</v>
      </c>
      <c r="C184" s="746">
        <f t="shared" si="55"/>
        <v>116</v>
      </c>
      <c r="D184" s="746">
        <f t="shared" si="55"/>
        <v>97</v>
      </c>
      <c r="E184" s="746">
        <f t="shared" si="55"/>
        <v>123</v>
      </c>
      <c r="F184" s="746">
        <f t="shared" si="55"/>
        <v>126</v>
      </c>
      <c r="G184" s="746">
        <f t="shared" si="55"/>
        <v>107</v>
      </c>
      <c r="H184" s="746">
        <f t="shared" si="55"/>
        <v>107</v>
      </c>
      <c r="I184" s="746">
        <f t="shared" si="55"/>
        <v>111</v>
      </c>
      <c r="J184" s="746">
        <f t="shared" si="55"/>
        <v>104</v>
      </c>
      <c r="K184" s="746">
        <f t="shared" si="55"/>
        <v>109</v>
      </c>
      <c r="L184" s="746">
        <f t="shared" si="55"/>
        <v>152</v>
      </c>
      <c r="M184" s="746">
        <f t="shared" si="55"/>
        <v>160</v>
      </c>
      <c r="N184" s="746">
        <f t="shared" si="55"/>
        <v>115</v>
      </c>
      <c r="O184" s="746">
        <f t="shared" si="55"/>
        <v>133</v>
      </c>
      <c r="P184" s="746">
        <f t="shared" si="55"/>
        <v>119</v>
      </c>
      <c r="Q184" s="746">
        <f t="shared" si="55"/>
        <v>114</v>
      </c>
      <c r="R184" s="746">
        <f t="shared" si="55"/>
        <v>115</v>
      </c>
      <c r="S184" s="746">
        <f t="shared" si="55"/>
        <v>150</v>
      </c>
      <c r="T184" s="746">
        <f t="shared" si="55"/>
        <v>135</v>
      </c>
      <c r="U184" s="746">
        <f t="shared" si="55"/>
        <v>137</v>
      </c>
      <c r="V184" s="746">
        <f t="shared" si="55"/>
        <v>137</v>
      </c>
      <c r="W184" s="746">
        <f t="shared" si="55"/>
        <v>216</v>
      </c>
      <c r="X184" s="746">
        <f t="shared" si="55"/>
        <v>250</v>
      </c>
      <c r="Y184" s="746">
        <f t="shared" si="55"/>
        <v>652</v>
      </c>
      <c r="Z184" s="746">
        <f t="shared" si="55"/>
        <v>367</v>
      </c>
      <c r="AA184" s="746">
        <f t="shared" si="55"/>
        <v>310</v>
      </c>
      <c r="AB184" s="746">
        <f t="shared" si="55"/>
        <v>434</v>
      </c>
      <c r="AC184" s="746">
        <f t="shared" si="55"/>
        <v>264</v>
      </c>
      <c r="AD184" s="746">
        <f t="shared" si="55"/>
        <v>56</v>
      </c>
      <c r="AE184" s="746">
        <f t="shared" si="55"/>
        <v>52</v>
      </c>
      <c r="AF184" s="746">
        <f t="shared" si="55"/>
        <v>0</v>
      </c>
      <c r="AG184" s="693">
        <f t="shared" si="49"/>
        <v>5152</v>
      </c>
    </row>
    <row r="185">
      <c r="A185" s="670" t="s">
        <v>955</v>
      </c>
      <c r="B185" s="746">
        <f t="shared" ref="B185:AF185" si="56">B159-B203</f>
        <v>12</v>
      </c>
      <c r="C185" s="746">
        <f t="shared" si="56"/>
        <v>15</v>
      </c>
      <c r="D185" s="746">
        <f t="shared" si="56"/>
        <v>12</v>
      </c>
      <c r="E185" s="746">
        <f t="shared" si="56"/>
        <v>15</v>
      </c>
      <c r="F185" s="746">
        <f t="shared" si="56"/>
        <v>15</v>
      </c>
      <c r="G185" s="746">
        <f t="shared" si="56"/>
        <v>12</v>
      </c>
      <c r="H185" s="746">
        <f t="shared" si="56"/>
        <v>9</v>
      </c>
      <c r="I185" s="746">
        <f t="shared" si="56"/>
        <v>6</v>
      </c>
      <c r="J185" s="746">
        <f t="shared" si="56"/>
        <v>14</v>
      </c>
      <c r="K185" s="746">
        <f t="shared" si="56"/>
        <v>5</v>
      </c>
      <c r="L185" s="746">
        <f t="shared" si="56"/>
        <v>12</v>
      </c>
      <c r="M185" s="746">
        <f t="shared" si="56"/>
        <v>13</v>
      </c>
      <c r="N185" s="746">
        <f t="shared" si="56"/>
        <v>15</v>
      </c>
      <c r="O185" s="746">
        <f t="shared" si="56"/>
        <v>16</v>
      </c>
      <c r="P185" s="746">
        <f t="shared" si="56"/>
        <v>13</v>
      </c>
      <c r="Q185" s="746">
        <f t="shared" si="56"/>
        <v>7</v>
      </c>
      <c r="R185" s="746">
        <f t="shared" si="56"/>
        <v>13</v>
      </c>
      <c r="S185" s="746">
        <f t="shared" si="56"/>
        <v>12</v>
      </c>
      <c r="T185" s="746">
        <f t="shared" si="56"/>
        <v>14</v>
      </c>
      <c r="U185" s="746">
        <f t="shared" si="56"/>
        <v>23</v>
      </c>
      <c r="V185" s="746">
        <f t="shared" si="56"/>
        <v>26</v>
      </c>
      <c r="W185" s="746">
        <f t="shared" si="56"/>
        <v>51</v>
      </c>
      <c r="X185" s="746">
        <f t="shared" si="56"/>
        <v>60</v>
      </c>
      <c r="Y185" s="746">
        <f t="shared" si="56"/>
        <v>102</v>
      </c>
      <c r="Z185" s="746">
        <f t="shared" si="56"/>
        <v>66</v>
      </c>
      <c r="AA185" s="746">
        <f t="shared" si="56"/>
        <v>48</v>
      </c>
      <c r="AB185" s="746">
        <f t="shared" si="56"/>
        <v>61</v>
      </c>
      <c r="AC185" s="746">
        <f t="shared" si="56"/>
        <v>62</v>
      </c>
      <c r="AD185" s="746">
        <f t="shared" si="56"/>
        <v>32</v>
      </c>
      <c r="AE185" s="746">
        <f t="shared" si="56"/>
        <v>31</v>
      </c>
      <c r="AF185" s="746">
        <f t="shared" si="56"/>
        <v>0</v>
      </c>
      <c r="AG185" s="693">
        <f t="shared" si="49"/>
        <v>792</v>
      </c>
    </row>
    <row r="186">
      <c r="A186" s="697" t="s">
        <v>98</v>
      </c>
      <c r="B186" s="731">
        <f t="shared" ref="B186:AF186" si="57">SUM(B177:B185)</f>
        <v>560</v>
      </c>
      <c r="C186" s="731">
        <f t="shared" si="57"/>
        <v>676</v>
      </c>
      <c r="D186" s="731">
        <f t="shared" si="57"/>
        <v>644</v>
      </c>
      <c r="E186" s="731">
        <f t="shared" si="57"/>
        <v>699</v>
      </c>
      <c r="F186" s="731">
        <f t="shared" si="57"/>
        <v>723</v>
      </c>
      <c r="G186" s="731">
        <f t="shared" si="57"/>
        <v>664</v>
      </c>
      <c r="H186" s="731">
        <f t="shared" si="57"/>
        <v>669</v>
      </c>
      <c r="I186" s="731">
        <f t="shared" si="57"/>
        <v>655</v>
      </c>
      <c r="J186" s="731">
        <f t="shared" si="57"/>
        <v>689</v>
      </c>
      <c r="K186" s="731">
        <f t="shared" si="57"/>
        <v>683</v>
      </c>
      <c r="L186" s="731">
        <f t="shared" si="57"/>
        <v>936</v>
      </c>
      <c r="M186" s="731">
        <f t="shared" si="57"/>
        <v>917</v>
      </c>
      <c r="N186" s="731">
        <f t="shared" si="57"/>
        <v>630</v>
      </c>
      <c r="O186" s="731">
        <f t="shared" si="57"/>
        <v>808</v>
      </c>
      <c r="P186" s="731">
        <f t="shared" si="57"/>
        <v>720</v>
      </c>
      <c r="Q186" s="731">
        <f t="shared" si="57"/>
        <v>673</v>
      </c>
      <c r="R186" s="731">
        <f t="shared" si="57"/>
        <v>691</v>
      </c>
      <c r="S186" s="731">
        <f t="shared" si="57"/>
        <v>892</v>
      </c>
      <c r="T186" s="731">
        <f t="shared" si="57"/>
        <v>674</v>
      </c>
      <c r="U186" s="731">
        <f t="shared" si="57"/>
        <v>906</v>
      </c>
      <c r="V186" s="731">
        <f t="shared" si="57"/>
        <v>963</v>
      </c>
      <c r="W186" s="731">
        <f t="shared" si="57"/>
        <v>1450</v>
      </c>
      <c r="X186" s="731">
        <f t="shared" si="57"/>
        <v>1803</v>
      </c>
      <c r="Y186" s="731">
        <f t="shared" si="57"/>
        <v>4615</v>
      </c>
      <c r="Z186" s="731">
        <f t="shared" si="57"/>
        <v>2656</v>
      </c>
      <c r="AA186" s="731">
        <f t="shared" si="57"/>
        <v>2156</v>
      </c>
      <c r="AB186" s="731">
        <f t="shared" si="57"/>
        <v>3006</v>
      </c>
      <c r="AC186" s="731">
        <f t="shared" si="57"/>
        <v>1799</v>
      </c>
      <c r="AD186" s="731">
        <f t="shared" si="57"/>
        <v>212</v>
      </c>
      <c r="AE186" s="731">
        <f t="shared" si="57"/>
        <v>205</v>
      </c>
      <c r="AF186" s="731">
        <f t="shared" si="57"/>
        <v>0</v>
      </c>
      <c r="AG186" s="693">
        <f t="shared" si="49"/>
        <v>33374</v>
      </c>
    </row>
    <row r="187">
      <c r="A187" s="723"/>
      <c r="AG187" s="693"/>
    </row>
    <row r="188">
      <c r="A188" s="349" t="s">
        <v>337</v>
      </c>
      <c r="AG188" s="693"/>
    </row>
    <row r="189">
      <c r="A189" s="670" t="s">
        <v>963</v>
      </c>
      <c r="B189" s="746">
        <v>4.0</v>
      </c>
      <c r="C189" s="746">
        <v>3.0</v>
      </c>
      <c r="D189" s="746">
        <v>2.0</v>
      </c>
      <c r="E189" s="746">
        <v>5.0</v>
      </c>
      <c r="F189" s="746">
        <v>4.0</v>
      </c>
      <c r="G189" s="746">
        <v>2.0</v>
      </c>
      <c r="H189" s="746">
        <v>8.0</v>
      </c>
      <c r="I189" s="746">
        <v>7.0</v>
      </c>
      <c r="J189" s="746">
        <v>5.0</v>
      </c>
      <c r="K189" s="746">
        <v>2.0</v>
      </c>
      <c r="L189" s="746">
        <v>4.0</v>
      </c>
      <c r="M189" s="746">
        <v>2.0</v>
      </c>
      <c r="N189" s="746">
        <v>7.0</v>
      </c>
      <c r="O189" s="746">
        <v>3.0</v>
      </c>
      <c r="P189" s="746">
        <v>0.0</v>
      </c>
      <c r="Q189" s="119">
        <v>1.0</v>
      </c>
      <c r="R189" s="746">
        <v>3.0</v>
      </c>
      <c r="S189" s="746">
        <v>4.0</v>
      </c>
      <c r="T189" s="746">
        <v>7.0</v>
      </c>
      <c r="U189" s="746">
        <v>4.0</v>
      </c>
      <c r="V189" s="746">
        <v>2.0</v>
      </c>
      <c r="W189" s="746">
        <v>18.0</v>
      </c>
      <c r="X189" s="746">
        <v>3.0</v>
      </c>
      <c r="Y189" s="746">
        <v>33.0</v>
      </c>
      <c r="Z189" s="746">
        <v>17.0</v>
      </c>
      <c r="AA189" s="748">
        <v>23.0</v>
      </c>
      <c r="AB189" s="746">
        <v>19.0</v>
      </c>
      <c r="AC189" s="746">
        <v>12.0</v>
      </c>
      <c r="AD189" s="746">
        <v>2.0</v>
      </c>
      <c r="AE189" s="746">
        <v>2.0</v>
      </c>
      <c r="AF189" s="746"/>
      <c r="AG189" s="693">
        <f t="shared" ref="AG189:AG193" si="58">sum(B189:AF189)</f>
        <v>208</v>
      </c>
    </row>
    <row r="190">
      <c r="A190" s="670" t="s">
        <v>965</v>
      </c>
      <c r="B190" s="112">
        <v>1.0</v>
      </c>
      <c r="C190" s="112">
        <v>0.0</v>
      </c>
      <c r="D190" s="112">
        <v>0.0</v>
      </c>
      <c r="E190" s="112">
        <v>1.0</v>
      </c>
      <c r="F190" s="112">
        <v>1.0</v>
      </c>
      <c r="G190" s="112">
        <v>1.0</v>
      </c>
      <c r="H190" s="112">
        <v>0.0</v>
      </c>
      <c r="I190" s="112">
        <v>0.0</v>
      </c>
      <c r="J190" s="112">
        <v>0.0</v>
      </c>
      <c r="K190" s="112">
        <v>0.0</v>
      </c>
      <c r="L190" s="112">
        <v>0.0</v>
      </c>
      <c r="M190" s="112">
        <v>0.0</v>
      </c>
      <c r="N190" s="112">
        <v>1.0</v>
      </c>
      <c r="O190" s="112">
        <v>1.0</v>
      </c>
      <c r="P190" s="112">
        <v>0.0</v>
      </c>
      <c r="Q190" s="119">
        <v>0.0</v>
      </c>
      <c r="R190" s="112">
        <v>0.0</v>
      </c>
      <c r="S190" s="120">
        <v>1.0</v>
      </c>
      <c r="T190" s="120">
        <v>0.0</v>
      </c>
      <c r="U190" s="746">
        <v>0.0</v>
      </c>
      <c r="V190" s="746">
        <v>1.0</v>
      </c>
      <c r="W190" s="746">
        <v>4.0</v>
      </c>
      <c r="X190" s="746">
        <v>1.0</v>
      </c>
      <c r="Y190" s="746">
        <v>12.0</v>
      </c>
      <c r="Z190" s="746">
        <v>3.0</v>
      </c>
      <c r="AA190" s="748">
        <v>4.0</v>
      </c>
      <c r="AB190" s="746">
        <v>2.0</v>
      </c>
      <c r="AC190" s="746">
        <v>4.0</v>
      </c>
      <c r="AD190" s="746">
        <v>3.0</v>
      </c>
      <c r="AE190" s="746">
        <v>2.0</v>
      </c>
      <c r="AF190" s="746"/>
      <c r="AG190" s="693">
        <f t="shared" si="58"/>
        <v>43</v>
      </c>
    </row>
    <row r="191">
      <c r="A191" s="670" t="s">
        <v>966</v>
      </c>
      <c r="B191" s="746">
        <v>2.0</v>
      </c>
      <c r="C191" s="746">
        <v>4.0</v>
      </c>
      <c r="D191" s="746">
        <v>12.0</v>
      </c>
      <c r="E191" s="746">
        <v>10.0</v>
      </c>
      <c r="F191" s="746">
        <v>6.0</v>
      </c>
      <c r="G191" s="746">
        <v>6.0</v>
      </c>
      <c r="H191" s="746">
        <v>9.0</v>
      </c>
      <c r="I191" s="746">
        <v>11.0</v>
      </c>
      <c r="J191" s="746">
        <v>20.0</v>
      </c>
      <c r="K191" s="746">
        <v>3.0</v>
      </c>
      <c r="L191" s="746">
        <v>17.0</v>
      </c>
      <c r="M191" s="746">
        <v>10.0</v>
      </c>
      <c r="N191" s="746">
        <v>24.0</v>
      </c>
      <c r="O191" s="746">
        <v>5.0</v>
      </c>
      <c r="P191" s="746">
        <v>5.0</v>
      </c>
      <c r="Q191" s="119">
        <v>7.0</v>
      </c>
      <c r="R191" s="746">
        <v>8.0</v>
      </c>
      <c r="S191" s="746">
        <v>10.0</v>
      </c>
      <c r="T191" s="746">
        <v>8.0</v>
      </c>
      <c r="U191" s="746">
        <v>14.0</v>
      </c>
      <c r="V191" s="746">
        <v>10.0</v>
      </c>
      <c r="W191" s="746">
        <v>29.0</v>
      </c>
      <c r="X191" s="746">
        <v>32.0</v>
      </c>
      <c r="Y191" s="746">
        <v>65.0</v>
      </c>
      <c r="Z191" s="746">
        <v>53.0</v>
      </c>
      <c r="AA191" s="748">
        <v>23.0</v>
      </c>
      <c r="AB191" s="746">
        <v>41.0</v>
      </c>
      <c r="AC191" s="746">
        <v>22.0</v>
      </c>
      <c r="AD191" s="746">
        <v>3.0</v>
      </c>
      <c r="AE191" s="746">
        <v>1.0</v>
      </c>
      <c r="AF191" s="746"/>
      <c r="AG191" s="693">
        <f t="shared" si="58"/>
        <v>470</v>
      </c>
    </row>
    <row r="192">
      <c r="A192" s="670" t="s">
        <v>967</v>
      </c>
      <c r="B192" s="112">
        <v>0.0</v>
      </c>
      <c r="C192" s="112">
        <v>1.0</v>
      </c>
      <c r="D192" s="112">
        <v>3.0</v>
      </c>
      <c r="E192" s="112">
        <v>1.0</v>
      </c>
      <c r="F192" s="112">
        <v>1.0</v>
      </c>
      <c r="G192" s="112">
        <v>0.0</v>
      </c>
      <c r="H192" s="112">
        <v>1.0</v>
      </c>
      <c r="I192" s="112">
        <v>2.0</v>
      </c>
      <c r="J192" s="112">
        <v>2.0</v>
      </c>
      <c r="K192" s="112">
        <v>1.0</v>
      </c>
      <c r="L192" s="112">
        <v>1.0</v>
      </c>
      <c r="M192" s="112">
        <v>0.0</v>
      </c>
      <c r="N192" s="112">
        <v>0.0</v>
      </c>
      <c r="O192" s="112">
        <v>0.0</v>
      </c>
      <c r="P192" s="112">
        <v>0.0</v>
      </c>
      <c r="Q192" s="119">
        <v>0.0</v>
      </c>
      <c r="R192" s="112">
        <v>0.0</v>
      </c>
      <c r="S192" s="120">
        <v>0.0</v>
      </c>
      <c r="T192" s="120">
        <v>3.0</v>
      </c>
      <c r="U192" s="746">
        <v>1.0</v>
      </c>
      <c r="V192" s="746">
        <v>3.0</v>
      </c>
      <c r="W192" s="746">
        <v>9.0</v>
      </c>
      <c r="X192" s="746">
        <v>9.0</v>
      </c>
      <c r="Y192" s="746">
        <v>13.0</v>
      </c>
      <c r="Z192" s="746">
        <v>10.0</v>
      </c>
      <c r="AA192" s="748">
        <v>8.0</v>
      </c>
      <c r="AB192" s="746">
        <v>11.0</v>
      </c>
      <c r="AC192" s="746">
        <v>5.0</v>
      </c>
      <c r="AD192" s="746">
        <v>7.0</v>
      </c>
      <c r="AE192" s="746">
        <v>1.0</v>
      </c>
      <c r="AF192" s="746"/>
      <c r="AG192" s="693">
        <f t="shared" si="58"/>
        <v>93</v>
      </c>
    </row>
    <row r="193">
      <c r="A193" s="697" t="s">
        <v>180</v>
      </c>
      <c r="B193" s="731">
        <f t="shared" ref="B193:AF193" si="59">SUM(B189:B192)</f>
        <v>7</v>
      </c>
      <c r="C193" s="731">
        <f t="shared" si="59"/>
        <v>8</v>
      </c>
      <c r="D193" s="731">
        <f t="shared" si="59"/>
        <v>17</v>
      </c>
      <c r="E193" s="731">
        <f t="shared" si="59"/>
        <v>17</v>
      </c>
      <c r="F193" s="731">
        <f t="shared" si="59"/>
        <v>12</v>
      </c>
      <c r="G193" s="731">
        <f t="shared" si="59"/>
        <v>9</v>
      </c>
      <c r="H193" s="731">
        <f t="shared" si="59"/>
        <v>18</v>
      </c>
      <c r="I193" s="731">
        <f t="shared" si="59"/>
        <v>20</v>
      </c>
      <c r="J193" s="731">
        <f t="shared" si="59"/>
        <v>27</v>
      </c>
      <c r="K193" s="731">
        <f t="shared" si="59"/>
        <v>6</v>
      </c>
      <c r="L193" s="731">
        <f t="shared" si="59"/>
        <v>22</v>
      </c>
      <c r="M193" s="731">
        <f t="shared" si="59"/>
        <v>12</v>
      </c>
      <c r="N193" s="731">
        <f t="shared" si="59"/>
        <v>32</v>
      </c>
      <c r="O193" s="731">
        <f t="shared" si="59"/>
        <v>9</v>
      </c>
      <c r="P193" s="731">
        <f t="shared" si="59"/>
        <v>5</v>
      </c>
      <c r="Q193" s="731">
        <f t="shared" si="59"/>
        <v>8</v>
      </c>
      <c r="R193" s="731">
        <f t="shared" si="59"/>
        <v>11</v>
      </c>
      <c r="S193" s="731">
        <f t="shared" si="59"/>
        <v>15</v>
      </c>
      <c r="T193" s="731">
        <f t="shared" si="59"/>
        <v>18</v>
      </c>
      <c r="U193" s="731">
        <f t="shared" si="59"/>
        <v>19</v>
      </c>
      <c r="V193" s="731">
        <f t="shared" si="59"/>
        <v>16</v>
      </c>
      <c r="W193" s="731">
        <f t="shared" si="59"/>
        <v>60</v>
      </c>
      <c r="X193" s="731">
        <f t="shared" si="59"/>
        <v>45</v>
      </c>
      <c r="Y193" s="731">
        <f t="shared" si="59"/>
        <v>123</v>
      </c>
      <c r="Z193" s="731">
        <f t="shared" si="59"/>
        <v>83</v>
      </c>
      <c r="AA193" s="731">
        <f t="shared" si="59"/>
        <v>58</v>
      </c>
      <c r="AB193" s="731">
        <f t="shared" si="59"/>
        <v>73</v>
      </c>
      <c r="AC193" s="731">
        <f t="shared" si="59"/>
        <v>43</v>
      </c>
      <c r="AD193" s="731">
        <f t="shared" si="59"/>
        <v>15</v>
      </c>
      <c r="AE193" s="731">
        <f t="shared" si="59"/>
        <v>6</v>
      </c>
      <c r="AF193" s="731">
        <f t="shared" si="59"/>
        <v>0</v>
      </c>
      <c r="AG193" s="693">
        <f t="shared" si="58"/>
        <v>814</v>
      </c>
    </row>
    <row r="194">
      <c r="A194" s="25"/>
      <c r="AB194" s="758"/>
      <c r="AC194" s="758"/>
      <c r="AG194" s="693"/>
    </row>
    <row r="195">
      <c r="A195" s="670" t="s">
        <v>150</v>
      </c>
      <c r="B195" s="746">
        <v>1.0</v>
      </c>
      <c r="C195" s="746">
        <v>1.0</v>
      </c>
      <c r="D195" s="746">
        <v>2.0</v>
      </c>
      <c r="E195" s="746">
        <v>4.0</v>
      </c>
      <c r="F195" s="746">
        <v>2.0</v>
      </c>
      <c r="G195" s="746">
        <v>4.0</v>
      </c>
      <c r="H195" s="746">
        <v>4.0</v>
      </c>
      <c r="I195" s="746">
        <v>4.0</v>
      </c>
      <c r="J195" s="746">
        <v>9.0</v>
      </c>
      <c r="K195" s="746">
        <v>6.0</v>
      </c>
      <c r="L195" s="746">
        <v>12.0</v>
      </c>
      <c r="M195" s="746">
        <v>5.0</v>
      </c>
      <c r="N195" s="746">
        <v>5.0</v>
      </c>
      <c r="O195" s="746">
        <v>2.0</v>
      </c>
      <c r="P195" s="746">
        <v>4.0</v>
      </c>
      <c r="Q195" s="119">
        <v>3.0</v>
      </c>
      <c r="R195" s="746">
        <v>7.0</v>
      </c>
      <c r="S195" s="746">
        <v>1.0</v>
      </c>
      <c r="T195" s="746">
        <v>3.0</v>
      </c>
      <c r="U195" s="746">
        <v>5.0</v>
      </c>
      <c r="V195" s="746">
        <v>4.0</v>
      </c>
      <c r="W195" s="746">
        <v>14.0</v>
      </c>
      <c r="X195" s="746">
        <v>16.0</v>
      </c>
      <c r="Y195" s="746">
        <v>26.0</v>
      </c>
      <c r="Z195" s="746">
        <v>17.0</v>
      </c>
      <c r="AA195" s="746">
        <v>11.0</v>
      </c>
      <c r="AB195" s="746">
        <v>14.0</v>
      </c>
      <c r="AC195" s="746">
        <v>14.0</v>
      </c>
      <c r="AD195" s="746">
        <v>6.0</v>
      </c>
      <c r="AE195" s="746">
        <v>4.0</v>
      </c>
      <c r="AF195" s="746"/>
      <c r="AG195" s="693">
        <f t="shared" ref="AG195:AG204" si="60">sum(B195:AF195)</f>
        <v>210</v>
      </c>
    </row>
    <row r="196">
      <c r="A196" s="670" t="s">
        <v>646</v>
      </c>
      <c r="B196" s="742"/>
      <c r="C196" s="742"/>
      <c r="D196" s="742"/>
      <c r="E196" s="742"/>
      <c r="F196" s="742"/>
      <c r="G196" s="742"/>
      <c r="H196" s="742"/>
      <c r="I196" s="742"/>
      <c r="J196" s="742"/>
      <c r="K196" s="742"/>
      <c r="L196" s="742"/>
      <c r="M196" s="742"/>
      <c r="N196" s="742"/>
      <c r="O196" s="742"/>
      <c r="P196" s="742"/>
      <c r="Q196" s="742"/>
      <c r="R196" s="742"/>
      <c r="S196" s="742"/>
      <c r="T196" s="742"/>
      <c r="U196" s="742"/>
      <c r="V196" s="742"/>
      <c r="W196" s="742"/>
      <c r="X196" s="742"/>
      <c r="Y196" s="742"/>
      <c r="Z196" s="742"/>
      <c r="AA196" s="742"/>
      <c r="AB196" s="742"/>
      <c r="AC196" s="742"/>
      <c r="AD196" s="742"/>
      <c r="AE196" s="742"/>
      <c r="AF196" s="742"/>
      <c r="AG196" s="693">
        <f t="shared" si="60"/>
        <v>0</v>
      </c>
    </row>
    <row r="197">
      <c r="A197" s="670" t="s">
        <v>151</v>
      </c>
      <c r="B197" s="746">
        <v>8.0</v>
      </c>
      <c r="C197" s="746">
        <v>9.0</v>
      </c>
      <c r="D197" s="746">
        <v>15.0</v>
      </c>
      <c r="E197" s="746">
        <v>12.0</v>
      </c>
      <c r="F197" s="746">
        <v>8.0</v>
      </c>
      <c r="G197" s="746">
        <v>6.0</v>
      </c>
      <c r="H197" s="746">
        <v>10.0</v>
      </c>
      <c r="I197" s="746">
        <v>19.0</v>
      </c>
      <c r="J197" s="746">
        <v>20.0</v>
      </c>
      <c r="K197" s="746">
        <v>8.0</v>
      </c>
      <c r="L197" s="746">
        <v>15.0</v>
      </c>
      <c r="M197" s="746">
        <v>7.0</v>
      </c>
      <c r="N197" s="746">
        <v>18.0</v>
      </c>
      <c r="O197" s="746">
        <v>5.0</v>
      </c>
      <c r="P197" s="746">
        <v>5.0</v>
      </c>
      <c r="Q197" s="119">
        <v>5.0</v>
      </c>
      <c r="R197" s="746">
        <v>7.0</v>
      </c>
      <c r="S197" s="746">
        <v>6.0</v>
      </c>
      <c r="T197" s="746">
        <v>16.0</v>
      </c>
      <c r="U197" s="746">
        <v>12.0</v>
      </c>
      <c r="V197" s="746">
        <v>14.0</v>
      </c>
      <c r="W197" s="746">
        <v>54.0</v>
      </c>
      <c r="X197" s="746">
        <v>42.0</v>
      </c>
      <c r="Y197" s="746">
        <v>77.0</v>
      </c>
      <c r="Z197" s="746">
        <v>48.0</v>
      </c>
      <c r="AA197" s="746">
        <v>35.0</v>
      </c>
      <c r="AB197" s="746">
        <v>52.0</v>
      </c>
      <c r="AC197" s="746">
        <v>16.0</v>
      </c>
      <c r="AD197" s="746">
        <v>0.0</v>
      </c>
      <c r="AE197" s="746">
        <v>0.0</v>
      </c>
      <c r="AF197" s="746"/>
      <c r="AG197" s="693">
        <f t="shared" si="60"/>
        <v>549</v>
      </c>
    </row>
    <row r="198">
      <c r="A198" s="670" t="s">
        <v>968</v>
      </c>
      <c r="B198" s="746">
        <v>0.0</v>
      </c>
      <c r="C198" s="746">
        <v>15.0</v>
      </c>
      <c r="D198" s="746">
        <v>8.0</v>
      </c>
      <c r="E198" s="746">
        <v>5.0</v>
      </c>
      <c r="F198" s="746">
        <v>1.0</v>
      </c>
      <c r="G198" s="746">
        <v>6.0</v>
      </c>
      <c r="H198" s="746">
        <v>6.0</v>
      </c>
      <c r="I198" s="746">
        <v>11.0</v>
      </c>
      <c r="J198" s="746">
        <v>5.0</v>
      </c>
      <c r="K198" s="746">
        <v>2.0</v>
      </c>
      <c r="L198" s="746">
        <v>8.0</v>
      </c>
      <c r="M198" s="746">
        <v>3.0</v>
      </c>
      <c r="N198" s="746">
        <v>3.0</v>
      </c>
      <c r="O198" s="746">
        <v>0.0</v>
      </c>
      <c r="P198" s="746">
        <v>1.0</v>
      </c>
      <c r="Q198" s="112">
        <v>3.0</v>
      </c>
      <c r="R198" s="746">
        <v>4.0</v>
      </c>
      <c r="S198" s="746">
        <v>3.0</v>
      </c>
      <c r="T198" s="746">
        <v>4.0</v>
      </c>
      <c r="U198" s="746">
        <v>7.0</v>
      </c>
      <c r="V198" s="746">
        <v>4.0</v>
      </c>
      <c r="W198" s="746">
        <v>7.0</v>
      </c>
      <c r="X198" s="746">
        <v>7.0</v>
      </c>
      <c r="Y198" s="746">
        <v>15.0</v>
      </c>
      <c r="Z198" s="746">
        <v>6.0</v>
      </c>
      <c r="AA198" s="746">
        <v>8.0</v>
      </c>
      <c r="AB198" s="746">
        <v>8.0</v>
      </c>
      <c r="AC198" s="746">
        <v>5.0</v>
      </c>
      <c r="AD198" s="746">
        <v>0.0</v>
      </c>
      <c r="AE198" s="746">
        <v>2.0</v>
      </c>
      <c r="AF198" s="746"/>
      <c r="AG198" s="693">
        <f t="shared" si="60"/>
        <v>157</v>
      </c>
    </row>
    <row r="199">
      <c r="A199" s="670" t="s">
        <v>969</v>
      </c>
      <c r="B199" s="112">
        <v>0.0</v>
      </c>
      <c r="C199" s="112">
        <v>5.0</v>
      </c>
      <c r="D199" s="112">
        <v>1.0</v>
      </c>
      <c r="E199" s="112">
        <v>2.0</v>
      </c>
      <c r="F199" s="112">
        <v>1.0</v>
      </c>
      <c r="G199" s="112">
        <v>0.0</v>
      </c>
      <c r="H199" s="112">
        <v>0.0</v>
      </c>
      <c r="I199" s="112">
        <v>2.0</v>
      </c>
      <c r="J199" s="112">
        <v>1.0</v>
      </c>
      <c r="K199" s="112">
        <v>1.0</v>
      </c>
      <c r="L199" s="112">
        <v>0.0</v>
      </c>
      <c r="M199" s="112">
        <v>0.0</v>
      </c>
      <c r="N199" s="112">
        <v>0.0</v>
      </c>
      <c r="O199" s="112">
        <v>0.0</v>
      </c>
      <c r="P199" s="112">
        <v>0.0</v>
      </c>
      <c r="Q199" s="119">
        <v>0.0</v>
      </c>
      <c r="R199" s="112">
        <v>0.0</v>
      </c>
      <c r="S199" s="120">
        <v>0.0</v>
      </c>
      <c r="T199" s="120">
        <v>1.0</v>
      </c>
      <c r="U199" s="746">
        <v>0.0</v>
      </c>
      <c r="V199" s="746">
        <v>1.0</v>
      </c>
      <c r="W199" s="746">
        <v>2.0</v>
      </c>
      <c r="X199" s="746">
        <v>0.0</v>
      </c>
      <c r="Y199" s="746">
        <v>4.0</v>
      </c>
      <c r="Z199" s="746">
        <v>3.0</v>
      </c>
      <c r="AA199" s="746">
        <v>4.0</v>
      </c>
      <c r="AB199" s="746">
        <v>1.0</v>
      </c>
      <c r="AC199" s="746">
        <v>1.0</v>
      </c>
      <c r="AD199" s="746">
        <v>1.0</v>
      </c>
      <c r="AE199" s="746">
        <v>0.0</v>
      </c>
      <c r="AF199" s="746"/>
      <c r="AG199" s="693">
        <f t="shared" si="60"/>
        <v>31</v>
      </c>
    </row>
    <row r="200">
      <c r="A200" s="670" t="s">
        <v>970</v>
      </c>
      <c r="B200" s="746">
        <v>2.0</v>
      </c>
      <c r="C200" s="746">
        <v>3.0</v>
      </c>
      <c r="D200" s="746">
        <v>0.0</v>
      </c>
      <c r="E200" s="746">
        <v>1.0</v>
      </c>
      <c r="F200" s="746">
        <v>1.0</v>
      </c>
      <c r="G200" s="746">
        <v>1.0</v>
      </c>
      <c r="H200" s="746">
        <v>0.0</v>
      </c>
      <c r="I200" s="746">
        <v>4.0</v>
      </c>
      <c r="J200" s="746">
        <v>1.0</v>
      </c>
      <c r="K200" s="746">
        <v>1.0</v>
      </c>
      <c r="L200" s="746">
        <v>3.0</v>
      </c>
      <c r="M200" s="746">
        <v>1.0</v>
      </c>
      <c r="N200" s="746">
        <v>2.0</v>
      </c>
      <c r="O200" s="746">
        <v>1.0</v>
      </c>
      <c r="P200" s="746">
        <v>1.0</v>
      </c>
      <c r="Q200" s="112">
        <v>2.0</v>
      </c>
      <c r="R200" s="746">
        <v>1.0</v>
      </c>
      <c r="S200" s="746">
        <v>5.0</v>
      </c>
      <c r="T200" s="746">
        <v>2.0</v>
      </c>
      <c r="U200" s="746">
        <v>3.0</v>
      </c>
      <c r="V200" s="746">
        <v>0.0</v>
      </c>
      <c r="W200" s="746">
        <v>6.0</v>
      </c>
      <c r="X200" s="746">
        <v>4.0</v>
      </c>
      <c r="Y200" s="746">
        <v>10.0</v>
      </c>
      <c r="Z200" s="746">
        <v>6.0</v>
      </c>
      <c r="AA200" s="746">
        <v>7.0</v>
      </c>
      <c r="AB200" s="746">
        <v>8.0</v>
      </c>
      <c r="AC200" s="746">
        <v>3.0</v>
      </c>
      <c r="AD200" s="746">
        <v>2.0</v>
      </c>
      <c r="AE200" s="746">
        <v>1.0</v>
      </c>
      <c r="AF200" s="746"/>
      <c r="AG200" s="693">
        <f t="shared" si="60"/>
        <v>82</v>
      </c>
    </row>
    <row r="201">
      <c r="A201" s="670" t="s">
        <v>971</v>
      </c>
      <c r="B201" s="112">
        <v>0.0</v>
      </c>
      <c r="C201" s="112">
        <v>0.0</v>
      </c>
      <c r="D201" s="112">
        <v>0.0</v>
      </c>
      <c r="E201" s="112">
        <v>0.0</v>
      </c>
      <c r="F201" s="112">
        <v>0.0</v>
      </c>
      <c r="G201" s="112">
        <v>0.0</v>
      </c>
      <c r="H201" s="112">
        <v>0.0</v>
      </c>
      <c r="I201" s="112">
        <v>0.0</v>
      </c>
      <c r="J201" s="112">
        <v>0.0</v>
      </c>
      <c r="K201" s="112">
        <v>0.0</v>
      </c>
      <c r="L201" s="112">
        <v>0.0</v>
      </c>
      <c r="M201" s="112">
        <v>0.0</v>
      </c>
      <c r="N201" s="112">
        <v>0.0</v>
      </c>
      <c r="O201" s="112">
        <v>1.0</v>
      </c>
      <c r="P201" s="112">
        <v>0.0</v>
      </c>
      <c r="Q201" s="119">
        <v>1.0</v>
      </c>
      <c r="R201" s="112">
        <v>1.0</v>
      </c>
      <c r="S201" s="120">
        <v>0.0</v>
      </c>
      <c r="T201" s="120">
        <v>0.0</v>
      </c>
      <c r="U201" s="746">
        <v>0.0</v>
      </c>
      <c r="V201" s="746">
        <v>0.0</v>
      </c>
      <c r="W201" s="746">
        <v>1.0</v>
      </c>
      <c r="X201" s="746">
        <v>1.0</v>
      </c>
      <c r="Y201" s="746">
        <v>2.0</v>
      </c>
      <c r="Z201" s="746">
        <v>1.0</v>
      </c>
      <c r="AA201" s="746">
        <v>4.0</v>
      </c>
      <c r="AB201" s="746">
        <v>2.0</v>
      </c>
      <c r="AC201" s="746">
        <v>0.0</v>
      </c>
      <c r="AD201" s="746">
        <v>0.0</v>
      </c>
      <c r="AE201" s="746">
        <v>1.0</v>
      </c>
      <c r="AF201" s="746"/>
      <c r="AG201" s="693">
        <f t="shared" si="60"/>
        <v>15</v>
      </c>
    </row>
    <row r="202">
      <c r="A202" s="670" t="s">
        <v>972</v>
      </c>
      <c r="B202" s="746">
        <v>2.0</v>
      </c>
      <c r="C202" s="746">
        <v>7.0</v>
      </c>
      <c r="D202" s="746">
        <v>10.0</v>
      </c>
      <c r="E202" s="746">
        <v>4.0</v>
      </c>
      <c r="F202" s="746">
        <v>6.0</v>
      </c>
      <c r="G202" s="746">
        <v>11.0</v>
      </c>
      <c r="H202" s="746">
        <v>4.0</v>
      </c>
      <c r="I202" s="746">
        <v>8.0</v>
      </c>
      <c r="J202" s="746">
        <v>9.0</v>
      </c>
      <c r="K202" s="746">
        <v>8.0</v>
      </c>
      <c r="L202" s="746">
        <v>12.0</v>
      </c>
      <c r="M202" s="746">
        <v>7.0</v>
      </c>
      <c r="N202" s="746">
        <v>8.0</v>
      </c>
      <c r="O202" s="746">
        <v>0.0</v>
      </c>
      <c r="P202" s="746">
        <v>3.0</v>
      </c>
      <c r="Q202" s="112">
        <v>3.0</v>
      </c>
      <c r="R202" s="746">
        <v>11.0</v>
      </c>
      <c r="S202" s="746">
        <v>9.0</v>
      </c>
      <c r="T202" s="746">
        <v>6.0</v>
      </c>
      <c r="U202" s="746">
        <v>15.0</v>
      </c>
      <c r="V202" s="746">
        <v>11.0</v>
      </c>
      <c r="W202" s="746">
        <v>24.0</v>
      </c>
      <c r="X202" s="746">
        <v>21.0</v>
      </c>
      <c r="Y202" s="746">
        <v>42.0</v>
      </c>
      <c r="Z202" s="746">
        <v>20.0</v>
      </c>
      <c r="AA202" s="746">
        <v>19.0</v>
      </c>
      <c r="AB202" s="746">
        <v>15.0</v>
      </c>
      <c r="AC202" s="746">
        <v>13.0</v>
      </c>
      <c r="AD202" s="746">
        <v>3.0</v>
      </c>
      <c r="AE202" s="746">
        <v>5.0</v>
      </c>
      <c r="AF202" s="746"/>
      <c r="AG202" s="693">
        <f t="shared" si="60"/>
        <v>316</v>
      </c>
    </row>
    <row r="203">
      <c r="A203" s="670" t="s">
        <v>973</v>
      </c>
      <c r="B203" s="746">
        <v>2.0</v>
      </c>
      <c r="C203" s="746">
        <v>0.0</v>
      </c>
      <c r="D203" s="746">
        <v>1.0</v>
      </c>
      <c r="E203" s="746">
        <v>2.0</v>
      </c>
      <c r="F203" s="746">
        <v>3.0</v>
      </c>
      <c r="G203" s="746">
        <v>1.0</v>
      </c>
      <c r="H203" s="746">
        <v>1.0</v>
      </c>
      <c r="I203" s="746">
        <v>1.0</v>
      </c>
      <c r="J203" s="746">
        <v>1.0</v>
      </c>
      <c r="K203" s="746">
        <v>1.0</v>
      </c>
      <c r="L203" s="746">
        <v>2.0</v>
      </c>
      <c r="M203" s="746">
        <v>1.0</v>
      </c>
      <c r="N203" s="746">
        <v>0.0</v>
      </c>
      <c r="O203" s="746">
        <v>0.0</v>
      </c>
      <c r="P203" s="746">
        <v>1.0</v>
      </c>
      <c r="Q203" s="112">
        <v>0.0</v>
      </c>
      <c r="R203" s="746">
        <v>1.0</v>
      </c>
      <c r="S203" s="120">
        <v>0.0</v>
      </c>
      <c r="T203" s="120">
        <v>4.0</v>
      </c>
      <c r="U203" s="746">
        <v>0.0</v>
      </c>
      <c r="V203" s="746">
        <v>2.0</v>
      </c>
      <c r="W203" s="746">
        <v>7.0</v>
      </c>
      <c r="X203" s="746">
        <v>5.0</v>
      </c>
      <c r="Y203" s="746">
        <v>11.0</v>
      </c>
      <c r="Z203" s="746">
        <v>5.0</v>
      </c>
      <c r="AA203" s="746">
        <v>5.0</v>
      </c>
      <c r="AB203" s="746">
        <v>7.0</v>
      </c>
      <c r="AC203" s="746">
        <v>2.0</v>
      </c>
      <c r="AD203" s="746">
        <v>1.0</v>
      </c>
      <c r="AE203" s="746">
        <v>1.0</v>
      </c>
      <c r="AF203" s="746"/>
      <c r="AG203" s="693">
        <f t="shared" si="60"/>
        <v>68</v>
      </c>
    </row>
    <row r="204">
      <c r="A204" s="697" t="s">
        <v>98</v>
      </c>
      <c r="B204" s="731">
        <f t="shared" ref="B204:AF204" si="61">SUM(B195:B203)</f>
        <v>15</v>
      </c>
      <c r="C204" s="731">
        <f t="shared" si="61"/>
        <v>40</v>
      </c>
      <c r="D204" s="731">
        <f t="shared" si="61"/>
        <v>37</v>
      </c>
      <c r="E204" s="731">
        <f t="shared" si="61"/>
        <v>30</v>
      </c>
      <c r="F204" s="731">
        <f t="shared" si="61"/>
        <v>22</v>
      </c>
      <c r="G204" s="731">
        <f t="shared" si="61"/>
        <v>29</v>
      </c>
      <c r="H204" s="731">
        <f t="shared" si="61"/>
        <v>25</v>
      </c>
      <c r="I204" s="731">
        <f t="shared" si="61"/>
        <v>49</v>
      </c>
      <c r="J204" s="731">
        <f t="shared" si="61"/>
        <v>46</v>
      </c>
      <c r="K204" s="731">
        <f t="shared" si="61"/>
        <v>27</v>
      </c>
      <c r="L204" s="731">
        <f t="shared" si="61"/>
        <v>52</v>
      </c>
      <c r="M204" s="731">
        <f t="shared" si="61"/>
        <v>24</v>
      </c>
      <c r="N204" s="731">
        <f t="shared" si="61"/>
        <v>36</v>
      </c>
      <c r="O204" s="731">
        <f t="shared" si="61"/>
        <v>9</v>
      </c>
      <c r="P204" s="731">
        <f t="shared" si="61"/>
        <v>15</v>
      </c>
      <c r="Q204" s="731">
        <f t="shared" si="61"/>
        <v>17</v>
      </c>
      <c r="R204" s="731">
        <f t="shared" si="61"/>
        <v>32</v>
      </c>
      <c r="S204" s="731">
        <f t="shared" si="61"/>
        <v>24</v>
      </c>
      <c r="T204" s="731">
        <f t="shared" si="61"/>
        <v>36</v>
      </c>
      <c r="U204" s="731">
        <f t="shared" si="61"/>
        <v>42</v>
      </c>
      <c r="V204" s="731">
        <f t="shared" si="61"/>
        <v>36</v>
      </c>
      <c r="W204" s="731">
        <f t="shared" si="61"/>
        <v>115</v>
      </c>
      <c r="X204" s="731">
        <f t="shared" si="61"/>
        <v>96</v>
      </c>
      <c r="Y204" s="731">
        <f t="shared" si="61"/>
        <v>187</v>
      </c>
      <c r="Z204" s="731">
        <f t="shared" si="61"/>
        <v>106</v>
      </c>
      <c r="AA204" s="731">
        <f t="shared" si="61"/>
        <v>93</v>
      </c>
      <c r="AB204" s="731">
        <f t="shared" si="61"/>
        <v>107</v>
      </c>
      <c r="AC204" s="731">
        <f t="shared" si="61"/>
        <v>54</v>
      </c>
      <c r="AD204" s="731">
        <f t="shared" si="61"/>
        <v>13</v>
      </c>
      <c r="AE204" s="731">
        <f t="shared" si="61"/>
        <v>14</v>
      </c>
      <c r="AF204" s="731">
        <f t="shared" si="61"/>
        <v>0</v>
      </c>
      <c r="AG204" s="693">
        <f t="shared" si="60"/>
        <v>1428</v>
      </c>
    </row>
    <row r="205">
      <c r="A205" s="723"/>
      <c r="AG205" s="693"/>
    </row>
    <row r="206">
      <c r="A206" s="349" t="s">
        <v>361</v>
      </c>
      <c r="B206" s="112"/>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693"/>
    </row>
    <row r="207">
      <c r="A207" s="670" t="s">
        <v>977</v>
      </c>
      <c r="B207" s="756">
        <f t="shared" ref="B207:AF207" si="62">B145-(B348+B352+B356)</f>
        <v>142</v>
      </c>
      <c r="C207" s="756">
        <f t="shared" si="62"/>
        <v>145</v>
      </c>
      <c r="D207" s="756">
        <f t="shared" si="62"/>
        <v>145</v>
      </c>
      <c r="E207" s="756">
        <f t="shared" si="62"/>
        <v>180</v>
      </c>
      <c r="F207" s="756">
        <f t="shared" si="62"/>
        <v>208</v>
      </c>
      <c r="G207" s="756">
        <f t="shared" si="62"/>
        <v>175</v>
      </c>
      <c r="H207" s="756">
        <f t="shared" si="62"/>
        <v>156</v>
      </c>
      <c r="I207" s="756">
        <f t="shared" si="62"/>
        <v>139</v>
      </c>
      <c r="J207" s="756">
        <f t="shared" si="62"/>
        <v>166</v>
      </c>
      <c r="K207" s="756">
        <f t="shared" si="62"/>
        <v>168</v>
      </c>
      <c r="L207" s="756">
        <f t="shared" si="62"/>
        <v>159</v>
      </c>
      <c r="M207" s="756">
        <f t="shared" si="62"/>
        <v>168</v>
      </c>
      <c r="N207" s="756">
        <f t="shared" si="62"/>
        <v>146</v>
      </c>
      <c r="O207" s="757">
        <f t="shared" si="62"/>
        <v>144</v>
      </c>
      <c r="P207" s="756">
        <f t="shared" si="62"/>
        <v>150</v>
      </c>
      <c r="Q207" s="756">
        <f t="shared" si="62"/>
        <v>137</v>
      </c>
      <c r="R207" s="756">
        <f t="shared" si="62"/>
        <v>169</v>
      </c>
      <c r="S207" s="756">
        <f t="shared" si="62"/>
        <v>207</v>
      </c>
      <c r="T207" s="756">
        <f t="shared" si="62"/>
        <v>192</v>
      </c>
      <c r="U207" s="756">
        <f t="shared" si="62"/>
        <v>203</v>
      </c>
      <c r="V207" s="756">
        <f t="shared" si="62"/>
        <v>236</v>
      </c>
      <c r="W207" s="756">
        <f t="shared" si="62"/>
        <v>338</v>
      </c>
      <c r="X207" s="756">
        <f t="shared" si="62"/>
        <v>372</v>
      </c>
      <c r="Y207" s="756">
        <f t="shared" si="62"/>
        <v>1201</v>
      </c>
      <c r="Z207" s="757">
        <f t="shared" si="62"/>
        <v>804</v>
      </c>
      <c r="AA207" s="756">
        <f t="shared" si="62"/>
        <v>549</v>
      </c>
      <c r="AB207" s="756">
        <f t="shared" si="62"/>
        <v>763</v>
      </c>
      <c r="AC207" s="757">
        <f t="shared" si="62"/>
        <v>554</v>
      </c>
      <c r="AD207" s="757">
        <f t="shared" si="62"/>
        <v>33</v>
      </c>
      <c r="AE207" s="757">
        <f t="shared" si="62"/>
        <v>32</v>
      </c>
      <c r="AF207" s="757">
        <f t="shared" si="62"/>
        <v>0</v>
      </c>
      <c r="AG207" s="693">
        <f t="shared" ref="AG207:AG211" si="65">sum(B207:AF207)</f>
        <v>8181</v>
      </c>
    </row>
    <row r="208">
      <c r="A208" s="670" t="s">
        <v>978</v>
      </c>
      <c r="B208" s="756">
        <f t="shared" ref="B208:E208" si="63">B146-(B349+B353+B357)</f>
        <v>5</v>
      </c>
      <c r="C208" s="756">
        <f t="shared" si="63"/>
        <v>9</v>
      </c>
      <c r="D208" s="756">
        <f t="shared" si="63"/>
        <v>4</v>
      </c>
      <c r="E208" s="756">
        <f t="shared" si="63"/>
        <v>7</v>
      </c>
      <c r="F208" s="756">
        <f>F148-(F349+F353+F357)</f>
        <v>31</v>
      </c>
      <c r="G208" s="756">
        <f t="shared" ref="G208:AF208" si="64">G146-(G349+G353+G357)</f>
        <v>10</v>
      </c>
      <c r="H208" s="756">
        <f t="shared" si="64"/>
        <v>11</v>
      </c>
      <c r="I208" s="756">
        <f t="shared" si="64"/>
        <v>5</v>
      </c>
      <c r="J208" s="756">
        <f t="shared" si="64"/>
        <v>8</v>
      </c>
      <c r="K208" s="756">
        <f t="shared" si="64"/>
        <v>9</v>
      </c>
      <c r="L208" s="756">
        <f t="shared" si="64"/>
        <v>8</v>
      </c>
      <c r="M208" s="756">
        <f t="shared" si="64"/>
        <v>16</v>
      </c>
      <c r="N208" s="756">
        <f t="shared" si="64"/>
        <v>9</v>
      </c>
      <c r="O208" s="757">
        <f t="shared" si="64"/>
        <v>9</v>
      </c>
      <c r="P208" s="756">
        <f t="shared" si="64"/>
        <v>6</v>
      </c>
      <c r="Q208" s="756">
        <f t="shared" si="64"/>
        <v>9</v>
      </c>
      <c r="R208" s="756">
        <f t="shared" si="64"/>
        <v>17</v>
      </c>
      <c r="S208" s="756">
        <f t="shared" si="64"/>
        <v>21</v>
      </c>
      <c r="T208" s="756">
        <f t="shared" si="64"/>
        <v>20</v>
      </c>
      <c r="U208" s="756">
        <f t="shared" si="64"/>
        <v>23</v>
      </c>
      <c r="V208" s="756">
        <f t="shared" si="64"/>
        <v>28</v>
      </c>
      <c r="W208" s="756">
        <f t="shared" si="64"/>
        <v>59</v>
      </c>
      <c r="X208" s="756">
        <f t="shared" si="64"/>
        <v>52</v>
      </c>
      <c r="Y208" s="756">
        <f t="shared" si="64"/>
        <v>172</v>
      </c>
      <c r="Z208" s="757">
        <f t="shared" si="64"/>
        <v>104</v>
      </c>
      <c r="AA208" s="756">
        <f t="shared" si="64"/>
        <v>66</v>
      </c>
      <c r="AB208" s="756">
        <f t="shared" si="64"/>
        <v>93</v>
      </c>
      <c r="AC208" s="757">
        <f t="shared" si="64"/>
        <v>103</v>
      </c>
      <c r="AD208" s="757">
        <f t="shared" si="64"/>
        <v>43</v>
      </c>
      <c r="AE208" s="757">
        <f t="shared" si="64"/>
        <v>40</v>
      </c>
      <c r="AF208" s="757">
        <f t="shared" si="64"/>
        <v>0</v>
      </c>
      <c r="AG208" s="693">
        <f t="shared" si="65"/>
        <v>997</v>
      </c>
    </row>
    <row r="209">
      <c r="A209" s="670" t="s">
        <v>980</v>
      </c>
      <c r="B209" s="756">
        <f t="shared" ref="B209:AF209" si="66">B147-(B350+B354+B358)</f>
        <v>259</v>
      </c>
      <c r="C209" s="756">
        <f t="shared" si="66"/>
        <v>263</v>
      </c>
      <c r="D209" s="756">
        <f t="shared" si="66"/>
        <v>262</v>
      </c>
      <c r="E209" s="756">
        <f t="shared" si="66"/>
        <v>285</v>
      </c>
      <c r="F209" s="756">
        <f t="shared" si="66"/>
        <v>324</v>
      </c>
      <c r="G209" s="756">
        <f t="shared" si="66"/>
        <v>320</v>
      </c>
      <c r="H209" s="756">
        <f t="shared" si="66"/>
        <v>305</v>
      </c>
      <c r="I209" s="756">
        <f t="shared" si="66"/>
        <v>307</v>
      </c>
      <c r="J209" s="756">
        <f t="shared" si="66"/>
        <v>321</v>
      </c>
      <c r="K209" s="756">
        <f t="shared" si="66"/>
        <v>316</v>
      </c>
      <c r="L209" s="756">
        <f t="shared" si="66"/>
        <v>474</v>
      </c>
      <c r="M209" s="756">
        <f t="shared" si="66"/>
        <v>436</v>
      </c>
      <c r="N209" s="756">
        <f t="shared" si="66"/>
        <v>334</v>
      </c>
      <c r="O209" s="757">
        <f t="shared" si="66"/>
        <v>398</v>
      </c>
      <c r="P209" s="756">
        <f t="shared" si="66"/>
        <v>357</v>
      </c>
      <c r="Q209" s="756">
        <f t="shared" si="66"/>
        <v>343</v>
      </c>
      <c r="R209" s="756">
        <f t="shared" si="66"/>
        <v>338</v>
      </c>
      <c r="S209" s="756">
        <f t="shared" si="66"/>
        <v>453</v>
      </c>
      <c r="T209" s="756">
        <f t="shared" si="66"/>
        <v>460</v>
      </c>
      <c r="U209" s="756">
        <f t="shared" si="66"/>
        <v>481</v>
      </c>
      <c r="V209" s="756">
        <f t="shared" si="66"/>
        <v>454</v>
      </c>
      <c r="W209" s="756">
        <f t="shared" si="66"/>
        <v>674</v>
      </c>
      <c r="X209" s="756">
        <f t="shared" si="66"/>
        <v>792</v>
      </c>
      <c r="Y209" s="756">
        <f t="shared" si="66"/>
        <v>2215</v>
      </c>
      <c r="Z209" s="756">
        <f t="shared" si="66"/>
        <v>1293</v>
      </c>
      <c r="AA209" s="756">
        <f t="shared" si="66"/>
        <v>984</v>
      </c>
      <c r="AB209" s="756">
        <f t="shared" si="66"/>
        <v>1715</v>
      </c>
      <c r="AC209" s="756">
        <f t="shared" si="66"/>
        <v>1017</v>
      </c>
      <c r="AD209" s="756">
        <f t="shared" si="66"/>
        <v>93</v>
      </c>
      <c r="AE209" s="756">
        <f t="shared" si="66"/>
        <v>82</v>
      </c>
      <c r="AF209" s="756">
        <f t="shared" si="66"/>
        <v>0</v>
      </c>
      <c r="AG209" s="693">
        <f t="shared" si="65"/>
        <v>16355</v>
      </c>
    </row>
    <row r="210">
      <c r="A210" s="670" t="s">
        <v>981</v>
      </c>
      <c r="B210" s="756">
        <f t="shared" ref="B210:AF210" si="67">B148-(B351+B355+B359)</f>
        <v>24</v>
      </c>
      <c r="C210" s="756">
        <f t="shared" si="67"/>
        <v>20</v>
      </c>
      <c r="D210" s="756">
        <f t="shared" si="67"/>
        <v>33</v>
      </c>
      <c r="E210" s="756">
        <f t="shared" si="67"/>
        <v>25</v>
      </c>
      <c r="F210" s="756">
        <f t="shared" si="67"/>
        <v>31</v>
      </c>
      <c r="G210" s="756">
        <f t="shared" si="67"/>
        <v>25</v>
      </c>
      <c r="H210" s="756">
        <f t="shared" si="67"/>
        <v>23</v>
      </c>
      <c r="I210" s="756">
        <f t="shared" si="67"/>
        <v>28</v>
      </c>
      <c r="J210" s="756">
        <f t="shared" si="67"/>
        <v>29</v>
      </c>
      <c r="K210" s="756">
        <f t="shared" si="67"/>
        <v>23</v>
      </c>
      <c r="L210" s="756">
        <f t="shared" si="67"/>
        <v>28</v>
      </c>
      <c r="M210" s="756">
        <f t="shared" si="67"/>
        <v>33</v>
      </c>
      <c r="N210" s="756">
        <f t="shared" si="67"/>
        <v>26</v>
      </c>
      <c r="O210" s="757">
        <f t="shared" si="67"/>
        <v>34</v>
      </c>
      <c r="P210" s="756">
        <f t="shared" si="67"/>
        <v>34</v>
      </c>
      <c r="Q210" s="756">
        <f t="shared" si="67"/>
        <v>15</v>
      </c>
      <c r="R210" s="756">
        <f t="shared" si="67"/>
        <v>20</v>
      </c>
      <c r="S210" s="756">
        <f t="shared" si="67"/>
        <v>28</v>
      </c>
      <c r="T210" s="756">
        <f t="shared" si="67"/>
        <v>45</v>
      </c>
      <c r="U210" s="756">
        <f t="shared" si="67"/>
        <v>51</v>
      </c>
      <c r="V210" s="756">
        <f t="shared" si="67"/>
        <v>71</v>
      </c>
      <c r="W210" s="756">
        <f t="shared" si="67"/>
        <v>99</v>
      </c>
      <c r="X210" s="756">
        <f t="shared" si="67"/>
        <v>136</v>
      </c>
      <c r="Y210" s="756">
        <f t="shared" si="67"/>
        <v>294</v>
      </c>
      <c r="Z210" s="756">
        <f t="shared" si="67"/>
        <v>206</v>
      </c>
      <c r="AA210" s="756">
        <f t="shared" si="67"/>
        <v>152</v>
      </c>
      <c r="AB210" s="756">
        <f t="shared" si="67"/>
        <v>204</v>
      </c>
      <c r="AC210" s="756">
        <f t="shared" si="67"/>
        <v>189</v>
      </c>
      <c r="AD210" s="756">
        <f t="shared" si="67"/>
        <v>107</v>
      </c>
      <c r="AE210" s="756">
        <f t="shared" si="67"/>
        <v>86</v>
      </c>
      <c r="AF210" s="756">
        <f t="shared" si="67"/>
        <v>0</v>
      </c>
      <c r="AG210" s="693">
        <f t="shared" si="65"/>
        <v>2119</v>
      </c>
    </row>
    <row r="211">
      <c r="A211" s="697" t="s">
        <v>180</v>
      </c>
      <c r="B211" s="124">
        <f t="shared" ref="B211:AF211" si="68">SUM(B207:B210)</f>
        <v>430</v>
      </c>
      <c r="C211" s="124">
        <f t="shared" si="68"/>
        <v>437</v>
      </c>
      <c r="D211" s="124">
        <f t="shared" si="68"/>
        <v>444</v>
      </c>
      <c r="E211" s="124">
        <f t="shared" si="68"/>
        <v>497</v>
      </c>
      <c r="F211" s="124">
        <f t="shared" si="68"/>
        <v>594</v>
      </c>
      <c r="G211" s="124">
        <f t="shared" si="68"/>
        <v>530</v>
      </c>
      <c r="H211" s="124">
        <f t="shared" si="68"/>
        <v>495</v>
      </c>
      <c r="I211" s="124">
        <f t="shared" si="68"/>
        <v>479</v>
      </c>
      <c r="J211" s="124">
        <f t="shared" si="68"/>
        <v>524</v>
      </c>
      <c r="K211" s="124">
        <f t="shared" si="68"/>
        <v>516</v>
      </c>
      <c r="L211" s="124">
        <f t="shared" si="68"/>
        <v>669</v>
      </c>
      <c r="M211" s="124">
        <f t="shared" si="68"/>
        <v>653</v>
      </c>
      <c r="N211" s="124">
        <f t="shared" si="68"/>
        <v>515</v>
      </c>
      <c r="O211" s="124">
        <f t="shared" si="68"/>
        <v>585</v>
      </c>
      <c r="P211" s="124">
        <f t="shared" si="68"/>
        <v>547</v>
      </c>
      <c r="Q211" s="124">
        <f t="shared" si="68"/>
        <v>504</v>
      </c>
      <c r="R211" s="124">
        <f t="shared" si="68"/>
        <v>544</v>
      </c>
      <c r="S211" s="124">
        <f t="shared" si="68"/>
        <v>709</v>
      </c>
      <c r="T211" s="124">
        <f t="shared" si="68"/>
        <v>717</v>
      </c>
      <c r="U211" s="124">
        <f t="shared" si="68"/>
        <v>758</v>
      </c>
      <c r="V211" s="124">
        <f t="shared" si="68"/>
        <v>789</v>
      </c>
      <c r="W211" s="124">
        <f t="shared" si="68"/>
        <v>1170</v>
      </c>
      <c r="X211" s="124">
        <f t="shared" si="68"/>
        <v>1352</v>
      </c>
      <c r="Y211" s="124">
        <f t="shared" si="68"/>
        <v>3882</v>
      </c>
      <c r="Z211" s="124">
        <f t="shared" si="68"/>
        <v>2407</v>
      </c>
      <c r="AA211" s="124">
        <f t="shared" si="68"/>
        <v>1751</v>
      </c>
      <c r="AB211" s="124">
        <f t="shared" si="68"/>
        <v>2775</v>
      </c>
      <c r="AC211" s="124">
        <f t="shared" si="68"/>
        <v>1863</v>
      </c>
      <c r="AD211" s="124">
        <f t="shared" si="68"/>
        <v>276</v>
      </c>
      <c r="AE211" s="124">
        <f t="shared" si="68"/>
        <v>240</v>
      </c>
      <c r="AF211" s="124">
        <f t="shared" si="68"/>
        <v>0</v>
      </c>
      <c r="AG211" s="693">
        <f t="shared" si="65"/>
        <v>27652</v>
      </c>
    </row>
    <row r="212">
      <c r="A212" s="25"/>
      <c r="B212" s="699"/>
      <c r="C212" s="699"/>
      <c r="D212" s="699"/>
      <c r="E212" s="699"/>
      <c r="F212" s="699"/>
      <c r="G212" s="699"/>
      <c r="H212" s="699"/>
      <c r="I212" s="699"/>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693"/>
    </row>
    <row r="213">
      <c r="A213" s="670" t="s">
        <v>150</v>
      </c>
      <c r="B213" s="21">
        <f t="shared" ref="B213:AF213" si="69">B151-(B363+B374+B385)</f>
        <v>73</v>
      </c>
      <c r="C213" s="21">
        <f t="shared" si="69"/>
        <v>98</v>
      </c>
      <c r="D213" s="21">
        <f t="shared" si="69"/>
        <v>86</v>
      </c>
      <c r="E213" s="21">
        <f t="shared" si="69"/>
        <v>114</v>
      </c>
      <c r="F213" s="21">
        <f t="shared" si="69"/>
        <v>126</v>
      </c>
      <c r="G213" s="21">
        <f t="shared" si="69"/>
        <v>126</v>
      </c>
      <c r="H213" s="21">
        <f t="shared" si="69"/>
        <v>122</v>
      </c>
      <c r="I213" s="21">
        <f t="shared" si="69"/>
        <v>113</v>
      </c>
      <c r="J213" s="21">
        <f t="shared" si="69"/>
        <v>136</v>
      </c>
      <c r="K213" s="21">
        <f t="shared" si="69"/>
        <v>137</v>
      </c>
      <c r="L213" s="21">
        <f t="shared" si="69"/>
        <v>202</v>
      </c>
      <c r="M213" s="21">
        <f t="shared" si="69"/>
        <v>202</v>
      </c>
      <c r="N213" s="21">
        <f t="shared" si="69"/>
        <v>129</v>
      </c>
      <c r="O213" s="21">
        <f t="shared" si="69"/>
        <v>150</v>
      </c>
      <c r="P213" s="21">
        <f t="shared" si="69"/>
        <v>141</v>
      </c>
      <c r="Q213" s="21">
        <f t="shared" si="69"/>
        <v>129</v>
      </c>
      <c r="R213" s="21">
        <f t="shared" si="69"/>
        <v>133</v>
      </c>
      <c r="S213" s="21">
        <f t="shared" si="69"/>
        <v>159</v>
      </c>
      <c r="T213" s="21">
        <f t="shared" si="69"/>
        <v>301</v>
      </c>
      <c r="U213" s="21">
        <f t="shared" si="69"/>
        <v>188</v>
      </c>
      <c r="V213" s="21">
        <f t="shared" si="69"/>
        <v>181</v>
      </c>
      <c r="W213" s="21">
        <f t="shared" si="69"/>
        <v>276</v>
      </c>
      <c r="X213" s="21">
        <f t="shared" si="69"/>
        <v>333</v>
      </c>
      <c r="Y213" s="21">
        <f t="shared" si="69"/>
        <v>774</v>
      </c>
      <c r="Z213" s="21">
        <f t="shared" si="69"/>
        <v>468</v>
      </c>
      <c r="AA213" s="21">
        <f t="shared" si="69"/>
        <v>383</v>
      </c>
      <c r="AB213" s="21">
        <f t="shared" si="69"/>
        <v>558</v>
      </c>
      <c r="AC213" s="21">
        <f t="shared" si="69"/>
        <v>340</v>
      </c>
      <c r="AD213" s="21">
        <f t="shared" si="69"/>
        <v>81</v>
      </c>
      <c r="AE213" s="21">
        <f t="shared" si="69"/>
        <v>70</v>
      </c>
      <c r="AF213" s="21">
        <f t="shared" si="69"/>
        <v>0</v>
      </c>
      <c r="AG213" s="693">
        <f t="shared" ref="AG213:AG222" si="70">sum(B213:AF213)</f>
        <v>6329</v>
      </c>
    </row>
    <row r="214">
      <c r="A214" s="670" t="s">
        <v>646</v>
      </c>
      <c r="B214" s="341"/>
      <c r="C214" s="341"/>
      <c r="D214" s="341"/>
      <c r="E214" s="341"/>
      <c r="F214" s="341"/>
      <c r="G214" s="341"/>
      <c r="H214" s="341"/>
      <c r="I214" s="341"/>
      <c r="J214" s="341"/>
      <c r="K214" s="341"/>
      <c r="L214" s="341"/>
      <c r="M214" s="341"/>
      <c r="N214" s="341"/>
      <c r="O214" s="341"/>
      <c r="P214" s="341"/>
      <c r="Q214" s="341"/>
      <c r="R214" s="341"/>
      <c r="S214" s="341"/>
      <c r="T214" s="341"/>
      <c r="U214" s="341"/>
      <c r="V214" s="341"/>
      <c r="W214" s="341"/>
      <c r="X214" s="341"/>
      <c r="Y214" s="341"/>
      <c r="Z214" s="341"/>
      <c r="AA214" s="341"/>
      <c r="AB214" s="341"/>
      <c r="AC214" s="341"/>
      <c r="AD214" s="341"/>
      <c r="AE214" s="341"/>
      <c r="AF214" s="341"/>
      <c r="AG214" s="693">
        <f t="shared" si="70"/>
        <v>0</v>
      </c>
    </row>
    <row r="215">
      <c r="A215" s="670" t="s">
        <v>151</v>
      </c>
      <c r="B215" s="21">
        <f t="shared" ref="B215:AF215" si="71">B153-(B365+B376+B387)</f>
        <v>342</v>
      </c>
      <c r="C215" s="21">
        <f t="shared" si="71"/>
        <v>353</v>
      </c>
      <c r="D215" s="21">
        <f t="shared" si="71"/>
        <v>373</v>
      </c>
      <c r="E215" s="21">
        <f t="shared" si="71"/>
        <v>374</v>
      </c>
      <c r="F215" s="21">
        <f t="shared" si="71"/>
        <v>402</v>
      </c>
      <c r="G215" s="21">
        <f t="shared" si="71"/>
        <v>358</v>
      </c>
      <c r="H215" s="21">
        <f t="shared" si="71"/>
        <v>376</v>
      </c>
      <c r="I215" s="21">
        <f t="shared" si="71"/>
        <v>347</v>
      </c>
      <c r="J215" s="21">
        <f t="shared" si="71"/>
        <v>393</v>
      </c>
      <c r="K215" s="21">
        <f t="shared" si="71"/>
        <v>385</v>
      </c>
      <c r="L215" s="21">
        <f t="shared" si="71"/>
        <v>507</v>
      </c>
      <c r="M215" s="21">
        <f t="shared" si="71"/>
        <v>461</v>
      </c>
      <c r="N215" s="21">
        <f t="shared" si="71"/>
        <v>324</v>
      </c>
      <c r="O215" s="21">
        <f t="shared" si="71"/>
        <v>437</v>
      </c>
      <c r="P215" s="21">
        <f t="shared" si="71"/>
        <v>386</v>
      </c>
      <c r="Q215" s="21">
        <f t="shared" si="71"/>
        <v>357</v>
      </c>
      <c r="R215" s="21">
        <f t="shared" si="71"/>
        <v>378</v>
      </c>
      <c r="S215" s="21">
        <f t="shared" si="71"/>
        <v>504</v>
      </c>
      <c r="T215" s="21">
        <f t="shared" si="71"/>
        <v>144</v>
      </c>
      <c r="U215" s="21">
        <f t="shared" si="71"/>
        <v>468</v>
      </c>
      <c r="V215" s="21">
        <f t="shared" si="71"/>
        <v>531</v>
      </c>
      <c r="W215" s="21">
        <f t="shared" si="71"/>
        <v>824</v>
      </c>
      <c r="X215" s="21">
        <f t="shared" si="71"/>
        <v>1022</v>
      </c>
      <c r="Y215" s="21">
        <f t="shared" si="71"/>
        <v>2677</v>
      </c>
      <c r="Z215" s="21">
        <f t="shared" si="71"/>
        <v>1574</v>
      </c>
      <c r="AA215" s="21">
        <f t="shared" si="71"/>
        <v>1225</v>
      </c>
      <c r="AB215" s="21">
        <f t="shared" si="71"/>
        <v>1740</v>
      </c>
      <c r="AC215" s="21">
        <f t="shared" si="71"/>
        <v>971</v>
      </c>
      <c r="AD215" s="21">
        <f t="shared" si="71"/>
        <v>-9</v>
      </c>
      <c r="AE215" s="21">
        <f t="shared" si="71"/>
        <v>-6</v>
      </c>
      <c r="AF215" s="21">
        <f t="shared" si="71"/>
        <v>0</v>
      </c>
      <c r="AG215" s="693">
        <f t="shared" si="70"/>
        <v>18218</v>
      </c>
    </row>
    <row r="216">
      <c r="A216" s="670" t="s">
        <v>989</v>
      </c>
      <c r="B216" s="21">
        <f t="shared" ref="B216:AF216" si="72">B154-(B366+B377+B388)</f>
        <v>38</v>
      </c>
      <c r="C216" s="21">
        <f t="shared" si="72"/>
        <v>93</v>
      </c>
      <c r="D216" s="21">
        <f t="shared" si="72"/>
        <v>71</v>
      </c>
      <c r="E216" s="21">
        <f t="shared" si="72"/>
        <v>73</v>
      </c>
      <c r="F216" s="21">
        <f t="shared" si="72"/>
        <v>42</v>
      </c>
      <c r="G216" s="21">
        <f t="shared" si="72"/>
        <v>55</v>
      </c>
      <c r="H216" s="21">
        <f t="shared" si="72"/>
        <v>59</v>
      </c>
      <c r="I216" s="21">
        <f t="shared" si="72"/>
        <v>87</v>
      </c>
      <c r="J216" s="21">
        <f t="shared" si="72"/>
        <v>56</v>
      </c>
      <c r="K216" s="21">
        <f t="shared" si="72"/>
        <v>46</v>
      </c>
      <c r="L216" s="21">
        <f t="shared" si="72"/>
        <v>88</v>
      </c>
      <c r="M216" s="21">
        <f t="shared" si="72"/>
        <v>85</v>
      </c>
      <c r="N216" s="21">
        <f t="shared" si="72"/>
        <v>51</v>
      </c>
      <c r="O216" s="21">
        <f t="shared" si="72"/>
        <v>60</v>
      </c>
      <c r="P216" s="21">
        <f t="shared" si="72"/>
        <v>58</v>
      </c>
      <c r="Q216" s="21">
        <f t="shared" si="72"/>
        <v>60</v>
      </c>
      <c r="R216" s="21">
        <f t="shared" si="72"/>
        <v>60</v>
      </c>
      <c r="S216" s="21">
        <f t="shared" si="72"/>
        <v>61</v>
      </c>
      <c r="T216" s="21">
        <f t="shared" si="72"/>
        <v>84</v>
      </c>
      <c r="U216" s="21">
        <f t="shared" si="72"/>
        <v>80</v>
      </c>
      <c r="V216" s="21">
        <f t="shared" si="72"/>
        <v>76</v>
      </c>
      <c r="W216" s="21">
        <f t="shared" si="72"/>
        <v>102</v>
      </c>
      <c r="X216" s="21">
        <f t="shared" si="72"/>
        <v>130</v>
      </c>
      <c r="Y216" s="21">
        <f t="shared" si="72"/>
        <v>361</v>
      </c>
      <c r="Z216" s="21">
        <f t="shared" si="72"/>
        <v>164</v>
      </c>
      <c r="AA216" s="21">
        <f t="shared" si="72"/>
        <v>155</v>
      </c>
      <c r="AB216" s="21">
        <f t="shared" si="72"/>
        <v>219</v>
      </c>
      <c r="AC216" s="21">
        <f t="shared" si="72"/>
        <v>107</v>
      </c>
      <c r="AD216" s="21">
        <f t="shared" si="72"/>
        <v>19</v>
      </c>
      <c r="AE216" s="21">
        <f t="shared" si="72"/>
        <v>19</v>
      </c>
      <c r="AF216" s="21">
        <f t="shared" si="72"/>
        <v>0</v>
      </c>
      <c r="AG216" s="693">
        <f t="shared" si="70"/>
        <v>2659</v>
      </c>
    </row>
    <row r="217">
      <c r="A217" s="670" t="s">
        <v>992</v>
      </c>
      <c r="B217" s="21">
        <f t="shared" ref="B217:AF217" si="73">B155-(B367+B378+B389)</f>
        <v>5</v>
      </c>
      <c r="C217" s="21">
        <f t="shared" si="73"/>
        <v>19</v>
      </c>
      <c r="D217" s="21">
        <f t="shared" si="73"/>
        <v>9</v>
      </c>
      <c r="E217" s="21">
        <f t="shared" si="73"/>
        <v>7</v>
      </c>
      <c r="F217" s="21">
        <f t="shared" si="73"/>
        <v>4</v>
      </c>
      <c r="G217" s="21">
        <f t="shared" si="73"/>
        <v>5</v>
      </c>
      <c r="H217" s="21">
        <f t="shared" si="73"/>
        <v>5</v>
      </c>
      <c r="I217" s="21">
        <f t="shared" si="73"/>
        <v>12</v>
      </c>
      <c r="J217" s="21">
        <f t="shared" si="73"/>
        <v>8</v>
      </c>
      <c r="K217" s="21">
        <f t="shared" si="73"/>
        <v>2</v>
      </c>
      <c r="L217" s="21">
        <f t="shared" si="73"/>
        <v>3</v>
      </c>
      <c r="M217" s="21">
        <f t="shared" si="73"/>
        <v>7</v>
      </c>
      <c r="N217" s="21">
        <f t="shared" si="73"/>
        <v>8</v>
      </c>
      <c r="O217" s="21">
        <f t="shared" si="73"/>
        <v>9</v>
      </c>
      <c r="P217" s="21">
        <f t="shared" si="73"/>
        <v>2</v>
      </c>
      <c r="Q217" s="21">
        <f t="shared" si="73"/>
        <v>4</v>
      </c>
      <c r="R217" s="21">
        <f t="shared" si="73"/>
        <v>2</v>
      </c>
      <c r="S217" s="21">
        <f t="shared" si="73"/>
        <v>7</v>
      </c>
      <c r="T217" s="21">
        <f t="shared" si="73"/>
        <v>7</v>
      </c>
      <c r="U217" s="21">
        <f t="shared" si="73"/>
        <v>11</v>
      </c>
      <c r="V217" s="21">
        <f t="shared" si="73"/>
        <v>10</v>
      </c>
      <c r="W217" s="21">
        <f t="shared" si="73"/>
        <v>20</v>
      </c>
      <c r="X217" s="21">
        <f t="shared" si="73"/>
        <v>29</v>
      </c>
      <c r="Y217" s="21">
        <f t="shared" si="73"/>
        <v>50</v>
      </c>
      <c r="Z217" s="21">
        <f t="shared" si="73"/>
        <v>28</v>
      </c>
      <c r="AA217" s="21">
        <f t="shared" si="73"/>
        <v>28</v>
      </c>
      <c r="AB217" s="21">
        <f t="shared" si="73"/>
        <v>27</v>
      </c>
      <c r="AC217" s="21">
        <f t="shared" si="73"/>
        <v>24</v>
      </c>
      <c r="AD217" s="21">
        <f t="shared" si="73"/>
        <v>18</v>
      </c>
      <c r="AE217" s="21">
        <f t="shared" si="73"/>
        <v>25</v>
      </c>
      <c r="AF217" s="21">
        <f t="shared" si="73"/>
        <v>0</v>
      </c>
      <c r="AG217" s="693">
        <f t="shared" si="70"/>
        <v>395</v>
      </c>
    </row>
    <row r="218">
      <c r="A218" s="670" t="s">
        <v>994</v>
      </c>
      <c r="B218" s="21">
        <f t="shared" ref="B218:AF218" si="74">B156-(B368+B379+B390)</f>
        <v>12</v>
      </c>
      <c r="C218" s="21">
        <f t="shared" si="74"/>
        <v>12</v>
      </c>
      <c r="D218" s="21">
        <f t="shared" si="74"/>
        <v>13</v>
      </c>
      <c r="E218" s="21">
        <f t="shared" si="74"/>
        <v>14</v>
      </c>
      <c r="F218" s="21">
        <f t="shared" si="74"/>
        <v>20</v>
      </c>
      <c r="G218" s="21">
        <f t="shared" si="74"/>
        <v>11</v>
      </c>
      <c r="H218" s="21">
        <f t="shared" si="74"/>
        <v>9</v>
      </c>
      <c r="I218" s="21">
        <f t="shared" si="74"/>
        <v>13</v>
      </c>
      <c r="J218" s="21">
        <f t="shared" si="74"/>
        <v>12</v>
      </c>
      <c r="K218" s="21">
        <f t="shared" si="74"/>
        <v>13</v>
      </c>
      <c r="L218" s="21">
        <f t="shared" si="74"/>
        <v>10</v>
      </c>
      <c r="M218" s="21">
        <f t="shared" si="74"/>
        <v>5</v>
      </c>
      <c r="N218" s="21">
        <f t="shared" si="74"/>
        <v>14</v>
      </c>
      <c r="O218" s="21">
        <f t="shared" si="74"/>
        <v>10</v>
      </c>
      <c r="P218" s="21">
        <f t="shared" si="74"/>
        <v>11</v>
      </c>
      <c r="Q218" s="21">
        <f t="shared" si="74"/>
        <v>9</v>
      </c>
      <c r="R218" s="21">
        <f t="shared" si="74"/>
        <v>8</v>
      </c>
      <c r="S218" s="21">
        <f t="shared" si="74"/>
        <v>14</v>
      </c>
      <c r="T218" s="21">
        <f t="shared" si="74"/>
        <v>6</v>
      </c>
      <c r="U218" s="21">
        <f t="shared" si="74"/>
        <v>14</v>
      </c>
      <c r="V218" s="21">
        <f t="shared" si="74"/>
        <v>17</v>
      </c>
      <c r="W218" s="21">
        <f t="shared" si="74"/>
        <v>32</v>
      </c>
      <c r="X218" s="21">
        <f t="shared" si="74"/>
        <v>31</v>
      </c>
      <c r="Y218" s="21">
        <f t="shared" si="74"/>
        <v>95</v>
      </c>
      <c r="Z218" s="21">
        <f t="shared" si="74"/>
        <v>43</v>
      </c>
      <c r="AA218" s="21">
        <f t="shared" si="74"/>
        <v>46</v>
      </c>
      <c r="AB218" s="21">
        <f t="shared" si="74"/>
        <v>41</v>
      </c>
      <c r="AC218" s="21">
        <f t="shared" si="74"/>
        <v>27</v>
      </c>
      <c r="AD218" s="21">
        <f t="shared" si="74"/>
        <v>6</v>
      </c>
      <c r="AE218" s="21">
        <f t="shared" si="74"/>
        <v>6</v>
      </c>
      <c r="AF218" s="21">
        <f t="shared" si="74"/>
        <v>0</v>
      </c>
      <c r="AG218" s="693">
        <f t="shared" si="70"/>
        <v>574</v>
      </c>
    </row>
    <row r="219">
      <c r="A219" s="670" t="s">
        <v>995</v>
      </c>
      <c r="B219" s="21">
        <f t="shared" ref="B219:AF219" si="75">B157-(B369+B380+B391)</f>
        <v>4</v>
      </c>
      <c r="C219" s="21">
        <f t="shared" si="75"/>
        <v>2</v>
      </c>
      <c r="D219" s="21">
        <f t="shared" si="75"/>
        <v>2</v>
      </c>
      <c r="E219" s="21">
        <f t="shared" si="75"/>
        <v>3</v>
      </c>
      <c r="F219" s="21">
        <f t="shared" si="75"/>
        <v>1</v>
      </c>
      <c r="G219" s="21">
        <f t="shared" si="75"/>
        <v>4</v>
      </c>
      <c r="H219" s="21">
        <f t="shared" si="75"/>
        <v>2</v>
      </c>
      <c r="I219" s="21">
        <f t="shared" si="75"/>
        <v>0</v>
      </c>
      <c r="J219" s="21">
        <f t="shared" si="75"/>
        <v>1</v>
      </c>
      <c r="K219" s="21">
        <f t="shared" si="75"/>
        <v>3</v>
      </c>
      <c r="L219" s="21">
        <f t="shared" si="75"/>
        <v>0</v>
      </c>
      <c r="M219" s="21">
        <f t="shared" si="75"/>
        <v>0</v>
      </c>
      <c r="N219" s="21">
        <f t="shared" si="75"/>
        <v>0</v>
      </c>
      <c r="O219" s="21">
        <f t="shared" si="75"/>
        <v>1</v>
      </c>
      <c r="P219" s="21">
        <f t="shared" si="75"/>
        <v>1</v>
      </c>
      <c r="Q219" s="21">
        <f t="shared" si="75"/>
        <v>6</v>
      </c>
      <c r="R219" s="21">
        <f t="shared" si="75"/>
        <v>2</v>
      </c>
      <c r="S219" s="21">
        <f t="shared" si="75"/>
        <v>0</v>
      </c>
      <c r="T219" s="21">
        <f t="shared" si="75"/>
        <v>3</v>
      </c>
      <c r="U219" s="21">
        <f t="shared" si="75"/>
        <v>1</v>
      </c>
      <c r="V219" s="21">
        <f t="shared" si="75"/>
        <v>0</v>
      </c>
      <c r="W219" s="21">
        <f t="shared" si="75"/>
        <v>8</v>
      </c>
      <c r="X219" s="21">
        <f t="shared" si="75"/>
        <v>6</v>
      </c>
      <c r="Y219" s="21">
        <f t="shared" si="75"/>
        <v>16</v>
      </c>
      <c r="Z219" s="21">
        <f t="shared" si="75"/>
        <v>7</v>
      </c>
      <c r="AA219" s="21">
        <f t="shared" si="75"/>
        <v>10</v>
      </c>
      <c r="AB219" s="21">
        <f t="shared" si="75"/>
        <v>11</v>
      </c>
      <c r="AC219" s="21">
        <f t="shared" si="75"/>
        <v>6</v>
      </c>
      <c r="AD219" s="21">
        <f t="shared" si="75"/>
        <v>4</v>
      </c>
      <c r="AE219" s="21">
        <f t="shared" si="75"/>
        <v>4</v>
      </c>
      <c r="AF219" s="21">
        <f t="shared" si="75"/>
        <v>0</v>
      </c>
      <c r="AG219" s="693">
        <f t="shared" si="70"/>
        <v>108</v>
      </c>
    </row>
    <row r="220">
      <c r="A220" s="670" t="s">
        <v>996</v>
      </c>
      <c r="B220" s="21">
        <f t="shared" ref="B220:AF220" si="76">B158-(B370+B381+B392)</f>
        <v>86</v>
      </c>
      <c r="C220" s="21">
        <f t="shared" si="76"/>
        <v>122</v>
      </c>
      <c r="D220" s="21">
        <f t="shared" si="76"/>
        <v>106</v>
      </c>
      <c r="E220" s="21">
        <f t="shared" si="76"/>
        <v>127</v>
      </c>
      <c r="F220" s="21">
        <f t="shared" si="76"/>
        <v>132</v>
      </c>
      <c r="G220" s="21">
        <f t="shared" si="76"/>
        <v>116</v>
      </c>
      <c r="H220" s="21">
        <f t="shared" si="76"/>
        <v>111</v>
      </c>
      <c r="I220" s="21">
        <f t="shared" si="76"/>
        <v>119</v>
      </c>
      <c r="J220" s="21">
        <f t="shared" si="76"/>
        <v>113</v>
      </c>
      <c r="K220" s="21">
        <f t="shared" si="76"/>
        <v>115</v>
      </c>
      <c r="L220" s="21">
        <f t="shared" si="76"/>
        <v>164</v>
      </c>
      <c r="M220" s="21">
        <f t="shared" si="76"/>
        <v>167</v>
      </c>
      <c r="N220" s="21">
        <f t="shared" si="76"/>
        <v>123</v>
      </c>
      <c r="O220" s="21">
        <f t="shared" si="76"/>
        <v>133</v>
      </c>
      <c r="P220" s="21">
        <f t="shared" si="76"/>
        <v>122</v>
      </c>
      <c r="Q220" s="21">
        <f t="shared" si="76"/>
        <v>117</v>
      </c>
      <c r="R220" s="21">
        <f t="shared" si="76"/>
        <v>126</v>
      </c>
      <c r="S220" s="21">
        <f t="shared" si="76"/>
        <v>159</v>
      </c>
      <c r="T220" s="21">
        <f t="shared" si="76"/>
        <v>140</v>
      </c>
      <c r="U220" s="21">
        <f t="shared" si="76"/>
        <v>151</v>
      </c>
      <c r="V220" s="21">
        <f t="shared" si="76"/>
        <v>146</v>
      </c>
      <c r="W220" s="21">
        <f t="shared" si="76"/>
        <v>240</v>
      </c>
      <c r="X220" s="21">
        <f t="shared" si="76"/>
        <v>267</v>
      </c>
      <c r="Y220" s="21">
        <f t="shared" si="76"/>
        <v>690</v>
      </c>
      <c r="Z220" s="21">
        <f t="shared" si="76"/>
        <v>382</v>
      </c>
      <c r="AA220" s="21">
        <f t="shared" si="76"/>
        <v>327</v>
      </c>
      <c r="AB220" s="21">
        <f t="shared" si="76"/>
        <v>449</v>
      </c>
      <c r="AC220" s="21">
        <f t="shared" si="76"/>
        <v>272</v>
      </c>
      <c r="AD220" s="21">
        <f t="shared" si="76"/>
        <v>58</v>
      </c>
      <c r="AE220" s="21">
        <f t="shared" si="76"/>
        <v>55</v>
      </c>
      <c r="AF220" s="21">
        <f t="shared" si="76"/>
        <v>0</v>
      </c>
      <c r="AG220" s="693">
        <f t="shared" si="70"/>
        <v>5435</v>
      </c>
    </row>
    <row r="221">
      <c r="A221" s="670" t="s">
        <v>998</v>
      </c>
      <c r="B221" s="21">
        <f t="shared" ref="B221:AF221" si="77">B159-(B371+B382+B393)</f>
        <v>14</v>
      </c>
      <c r="C221" s="21">
        <f t="shared" si="77"/>
        <v>13</v>
      </c>
      <c r="D221" s="21">
        <f t="shared" si="77"/>
        <v>13</v>
      </c>
      <c r="E221" s="21">
        <f t="shared" si="77"/>
        <v>17</v>
      </c>
      <c r="F221" s="21">
        <f t="shared" si="77"/>
        <v>18</v>
      </c>
      <c r="G221" s="21">
        <f t="shared" si="77"/>
        <v>13</v>
      </c>
      <c r="H221" s="21">
        <f t="shared" si="77"/>
        <v>10</v>
      </c>
      <c r="I221" s="21">
        <f t="shared" si="77"/>
        <v>7</v>
      </c>
      <c r="J221" s="21">
        <f t="shared" si="77"/>
        <v>15</v>
      </c>
      <c r="K221" s="21">
        <f t="shared" si="77"/>
        <v>6</v>
      </c>
      <c r="L221" s="21">
        <f t="shared" si="77"/>
        <v>14</v>
      </c>
      <c r="M221" s="21">
        <f t="shared" si="77"/>
        <v>14</v>
      </c>
      <c r="N221" s="21">
        <f t="shared" si="77"/>
        <v>15</v>
      </c>
      <c r="O221" s="21">
        <f t="shared" si="77"/>
        <v>16</v>
      </c>
      <c r="P221" s="21">
        <f t="shared" si="77"/>
        <v>14</v>
      </c>
      <c r="Q221" s="21">
        <f t="shared" si="77"/>
        <v>7</v>
      </c>
      <c r="R221" s="21">
        <f t="shared" si="77"/>
        <v>14</v>
      </c>
      <c r="S221" s="21">
        <f t="shared" si="77"/>
        <v>12</v>
      </c>
      <c r="T221" s="21">
        <f t="shared" si="77"/>
        <v>17</v>
      </c>
      <c r="U221" s="21">
        <f t="shared" si="77"/>
        <v>23</v>
      </c>
      <c r="V221" s="21">
        <f t="shared" si="77"/>
        <v>28</v>
      </c>
      <c r="W221" s="21">
        <f t="shared" si="77"/>
        <v>58</v>
      </c>
      <c r="X221" s="21">
        <f t="shared" si="77"/>
        <v>65</v>
      </c>
      <c r="Y221" s="21">
        <f t="shared" si="77"/>
        <v>113</v>
      </c>
      <c r="Z221" s="21">
        <f t="shared" si="77"/>
        <v>71</v>
      </c>
      <c r="AA221" s="21">
        <f t="shared" si="77"/>
        <v>53</v>
      </c>
      <c r="AB221" s="21">
        <f t="shared" si="77"/>
        <v>68</v>
      </c>
      <c r="AC221" s="21">
        <f t="shared" si="77"/>
        <v>61</v>
      </c>
      <c r="AD221" s="21">
        <f t="shared" si="77"/>
        <v>33</v>
      </c>
      <c r="AE221" s="21">
        <f t="shared" si="77"/>
        <v>32</v>
      </c>
      <c r="AF221" s="21">
        <f t="shared" si="77"/>
        <v>0</v>
      </c>
      <c r="AG221" s="693">
        <f t="shared" si="70"/>
        <v>854</v>
      </c>
    </row>
    <row r="222">
      <c r="A222" s="697" t="s">
        <v>98</v>
      </c>
      <c r="B222" s="124">
        <f t="shared" ref="B222:AF222" si="78">SUM(B213:B221)</f>
        <v>574</v>
      </c>
      <c r="C222" s="124">
        <f t="shared" si="78"/>
        <v>712</v>
      </c>
      <c r="D222" s="124">
        <f t="shared" si="78"/>
        <v>673</v>
      </c>
      <c r="E222" s="124">
        <f t="shared" si="78"/>
        <v>729</v>
      </c>
      <c r="F222" s="124">
        <f t="shared" si="78"/>
        <v>745</v>
      </c>
      <c r="G222" s="124">
        <f t="shared" si="78"/>
        <v>688</v>
      </c>
      <c r="H222" s="124">
        <f t="shared" si="78"/>
        <v>694</v>
      </c>
      <c r="I222" s="124">
        <f t="shared" si="78"/>
        <v>698</v>
      </c>
      <c r="J222" s="124">
        <f t="shared" si="78"/>
        <v>734</v>
      </c>
      <c r="K222" s="124">
        <f t="shared" si="78"/>
        <v>707</v>
      </c>
      <c r="L222" s="124">
        <f t="shared" si="78"/>
        <v>988</v>
      </c>
      <c r="M222" s="124">
        <f t="shared" si="78"/>
        <v>941</v>
      </c>
      <c r="N222" s="124">
        <f t="shared" si="78"/>
        <v>664</v>
      </c>
      <c r="O222" s="124">
        <f t="shared" si="78"/>
        <v>816</v>
      </c>
      <c r="P222" s="124">
        <f t="shared" si="78"/>
        <v>735</v>
      </c>
      <c r="Q222" s="124">
        <f t="shared" si="78"/>
        <v>689</v>
      </c>
      <c r="R222" s="124">
        <f t="shared" si="78"/>
        <v>723</v>
      </c>
      <c r="S222" s="124">
        <f t="shared" si="78"/>
        <v>916</v>
      </c>
      <c r="T222" s="124">
        <f t="shared" si="78"/>
        <v>702</v>
      </c>
      <c r="U222" s="124">
        <f t="shared" si="78"/>
        <v>936</v>
      </c>
      <c r="V222" s="124">
        <f t="shared" si="78"/>
        <v>989</v>
      </c>
      <c r="W222" s="124">
        <f t="shared" si="78"/>
        <v>1560</v>
      </c>
      <c r="X222" s="124">
        <f t="shared" si="78"/>
        <v>1883</v>
      </c>
      <c r="Y222" s="124">
        <f t="shared" si="78"/>
        <v>4776</v>
      </c>
      <c r="Z222" s="124">
        <f t="shared" si="78"/>
        <v>2737</v>
      </c>
      <c r="AA222" s="124">
        <f t="shared" si="78"/>
        <v>2227</v>
      </c>
      <c r="AB222" s="124">
        <f t="shared" si="78"/>
        <v>3113</v>
      </c>
      <c r="AC222" s="124">
        <f t="shared" si="78"/>
        <v>1808</v>
      </c>
      <c r="AD222" s="124">
        <f t="shared" si="78"/>
        <v>210</v>
      </c>
      <c r="AE222" s="124">
        <f t="shared" si="78"/>
        <v>205</v>
      </c>
      <c r="AF222" s="124">
        <f t="shared" si="78"/>
        <v>0</v>
      </c>
      <c r="AG222" s="693">
        <f t="shared" si="70"/>
        <v>34572</v>
      </c>
    </row>
    <row r="223">
      <c r="A223" s="723"/>
      <c r="AG223" s="693"/>
    </row>
    <row r="224">
      <c r="A224" s="670" t="s">
        <v>940</v>
      </c>
      <c r="B224" s="699">
        <f>'Sales OLD'!B46</f>
        <v>19</v>
      </c>
      <c r="C224" s="699">
        <f>'Sales OLD'!C46</f>
        <v>32</v>
      </c>
      <c r="D224" s="699">
        <f>'Sales OLD'!D46</f>
        <v>25</v>
      </c>
      <c r="E224" s="699">
        <f>'Sales OLD'!E46</f>
        <v>79</v>
      </c>
      <c r="F224" s="699">
        <f>'Sales OLD'!F46</f>
        <v>64</v>
      </c>
      <c r="G224" s="699">
        <f>'Sales OLD'!G46</f>
        <v>41</v>
      </c>
      <c r="H224" s="699">
        <f>'Sales OLD'!H46</f>
        <v>37</v>
      </c>
      <c r="I224" s="699">
        <f>'Sales OLD'!I46</f>
        <v>39</v>
      </c>
      <c r="J224" s="699">
        <f>'Sales OLD'!J46</f>
        <v>50</v>
      </c>
      <c r="K224" s="699">
        <f>'Sales OLD'!K46</f>
        <v>57</v>
      </c>
      <c r="L224" s="699">
        <f>'Sales OLD'!L46</f>
        <v>78</v>
      </c>
      <c r="M224" s="699">
        <f>'Sales OLD'!M46</f>
        <v>90</v>
      </c>
      <c r="N224" s="699">
        <f>'Sales OLD'!N46</f>
        <v>46</v>
      </c>
      <c r="O224" s="699">
        <f>'Sales OLD'!O46</f>
        <v>44</v>
      </c>
      <c r="P224" s="699">
        <f>'Sales OLD'!P46</f>
        <v>41</v>
      </c>
      <c r="Q224" s="699">
        <f>'Sales OLD'!Q46</f>
        <v>46</v>
      </c>
      <c r="R224" s="699">
        <f>'Sales OLD'!R46</f>
        <v>53</v>
      </c>
      <c r="S224" s="699">
        <f>'Sales OLD'!S46</f>
        <v>72</v>
      </c>
      <c r="T224" s="699">
        <f>'Sales OLD'!T46</f>
        <v>79</v>
      </c>
      <c r="U224" s="699">
        <f>'Sales OLD'!U46</f>
        <v>40</v>
      </c>
      <c r="V224" s="699">
        <f>'Sales OLD'!V46</f>
        <v>50</v>
      </c>
      <c r="W224" s="699">
        <f>'Sales OLD'!W46</f>
        <v>32</v>
      </c>
      <c r="X224" s="699">
        <f>'Sales OLD'!X46</f>
        <v>39</v>
      </c>
      <c r="Y224" s="699">
        <f>'Sales OLD'!Y46</f>
        <v>62</v>
      </c>
      <c r="Z224" s="699">
        <f>'Sales OLD'!Z46</f>
        <v>79</v>
      </c>
      <c r="AA224" s="699">
        <f>'Sales OLD'!AA46</f>
        <v>85</v>
      </c>
      <c r="AB224" s="699">
        <f>'Sales OLD'!AB46</f>
        <v>48</v>
      </c>
      <c r="AC224" s="699">
        <f>'Sales OLD'!AC46</f>
        <v>34</v>
      </c>
      <c r="AD224" s="699">
        <f>'Sales OLD'!AD46</f>
        <v>56</v>
      </c>
      <c r="AE224" s="699">
        <f>'Sales OLD'!AE46</f>
        <v>59</v>
      </c>
      <c r="AF224" s="699" t="str">
        <f>'Sales OLD'!AF46</f>
        <v/>
      </c>
      <c r="AG224" s="693">
        <f t="shared" ref="AG224:AG226" si="79">sum(B224:AF224)</f>
        <v>1576</v>
      </c>
    </row>
    <row r="225">
      <c r="A225" s="670" t="s">
        <v>941</v>
      </c>
      <c r="B225" s="754"/>
      <c r="C225" s="754"/>
      <c r="D225" s="754"/>
      <c r="E225" s="754"/>
      <c r="F225" s="754"/>
      <c r="G225" s="754"/>
      <c r="H225" s="754"/>
      <c r="I225" s="754"/>
      <c r="J225" s="754"/>
      <c r="K225" s="754"/>
      <c r="L225" s="754"/>
      <c r="M225" s="754"/>
      <c r="N225" s="754"/>
      <c r="O225" s="754"/>
      <c r="P225" s="754"/>
      <c r="Q225" s="754"/>
      <c r="R225" s="754"/>
      <c r="S225" s="754"/>
      <c r="T225" s="754"/>
      <c r="U225" s="754"/>
      <c r="V225" s="754"/>
      <c r="W225" s="754"/>
      <c r="X225" s="754"/>
      <c r="Y225" s="754"/>
      <c r="Z225" s="754"/>
      <c r="AA225" s="754"/>
      <c r="AB225" s="754"/>
      <c r="AC225" s="754"/>
      <c r="AD225" s="754"/>
      <c r="AE225" s="754"/>
      <c r="AF225" s="754"/>
      <c r="AG225" s="693">
        <f t="shared" si="79"/>
        <v>0</v>
      </c>
    </row>
    <row r="226">
      <c r="A226" s="697" t="s">
        <v>98</v>
      </c>
      <c r="B226" s="124">
        <f t="shared" ref="B226:AF226" si="80">SUM(B224:B225)</f>
        <v>19</v>
      </c>
      <c r="C226" s="124">
        <f t="shared" si="80"/>
        <v>32</v>
      </c>
      <c r="D226" s="124">
        <f t="shared" si="80"/>
        <v>25</v>
      </c>
      <c r="E226" s="124">
        <f t="shared" si="80"/>
        <v>79</v>
      </c>
      <c r="F226" s="124">
        <f t="shared" si="80"/>
        <v>64</v>
      </c>
      <c r="G226" s="124">
        <f t="shared" si="80"/>
        <v>41</v>
      </c>
      <c r="H226" s="124">
        <f t="shared" si="80"/>
        <v>37</v>
      </c>
      <c r="I226" s="124">
        <f t="shared" si="80"/>
        <v>39</v>
      </c>
      <c r="J226" s="124">
        <f t="shared" si="80"/>
        <v>50</v>
      </c>
      <c r="K226" s="124">
        <f t="shared" si="80"/>
        <v>57</v>
      </c>
      <c r="L226" s="124">
        <f t="shared" si="80"/>
        <v>78</v>
      </c>
      <c r="M226" s="124">
        <f t="shared" si="80"/>
        <v>90</v>
      </c>
      <c r="N226" s="124">
        <f t="shared" si="80"/>
        <v>46</v>
      </c>
      <c r="O226" s="124">
        <f t="shared" si="80"/>
        <v>44</v>
      </c>
      <c r="P226" s="124">
        <f t="shared" si="80"/>
        <v>41</v>
      </c>
      <c r="Q226" s="124">
        <f t="shared" si="80"/>
        <v>46</v>
      </c>
      <c r="R226" s="124">
        <f t="shared" si="80"/>
        <v>53</v>
      </c>
      <c r="S226" s="124">
        <f t="shared" si="80"/>
        <v>72</v>
      </c>
      <c r="T226" s="124">
        <f t="shared" si="80"/>
        <v>79</v>
      </c>
      <c r="U226" s="124">
        <f t="shared" si="80"/>
        <v>40</v>
      </c>
      <c r="V226" s="124">
        <f t="shared" si="80"/>
        <v>50</v>
      </c>
      <c r="W226" s="124">
        <f t="shared" si="80"/>
        <v>32</v>
      </c>
      <c r="X226" s="124">
        <f t="shared" si="80"/>
        <v>39</v>
      </c>
      <c r="Y226" s="124">
        <f t="shared" si="80"/>
        <v>62</v>
      </c>
      <c r="Z226" s="124">
        <f t="shared" si="80"/>
        <v>79</v>
      </c>
      <c r="AA226" s="124">
        <f t="shared" si="80"/>
        <v>85</v>
      </c>
      <c r="AB226" s="124">
        <f t="shared" si="80"/>
        <v>48</v>
      </c>
      <c r="AC226" s="124">
        <f t="shared" si="80"/>
        <v>34</v>
      </c>
      <c r="AD226" s="124">
        <f t="shared" si="80"/>
        <v>56</v>
      </c>
      <c r="AE226" s="124">
        <f t="shared" si="80"/>
        <v>59</v>
      </c>
      <c r="AF226" s="124">
        <f t="shared" si="80"/>
        <v>0</v>
      </c>
      <c r="AG226" s="693">
        <f t="shared" si="79"/>
        <v>1576</v>
      </c>
    </row>
    <row r="227">
      <c r="A227" s="723"/>
      <c r="AG227" s="453"/>
    </row>
    <row r="228">
      <c r="A228" s="723"/>
      <c r="AG228" s="453"/>
    </row>
    <row r="229">
      <c r="A229" s="769" t="s">
        <v>974</v>
      </c>
      <c r="B229" s="661"/>
      <c r="C229" s="661"/>
      <c r="D229" s="661"/>
      <c r="E229" s="661"/>
      <c r="F229" s="661"/>
      <c r="G229" s="661"/>
      <c r="H229" s="661"/>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693"/>
    </row>
    <row r="230">
      <c r="A230" s="790" t="s">
        <v>1000</v>
      </c>
      <c r="B230" s="791"/>
      <c r="C230" s="791"/>
      <c r="D230" s="792"/>
      <c r="E230" s="792"/>
      <c r="F230" s="792"/>
      <c r="G230" s="792"/>
      <c r="H230" s="792"/>
      <c r="I230" s="792"/>
      <c r="J230" s="792"/>
      <c r="K230" s="791"/>
      <c r="L230" s="791"/>
      <c r="M230" s="791"/>
      <c r="N230" s="791"/>
      <c r="O230" s="791"/>
      <c r="P230" s="791"/>
      <c r="Q230" s="791"/>
      <c r="R230" s="791"/>
      <c r="S230" s="791"/>
      <c r="T230" s="791"/>
      <c r="U230" s="791"/>
      <c r="V230" s="791"/>
      <c r="W230" s="791"/>
      <c r="X230" s="791"/>
      <c r="Y230" s="791"/>
      <c r="Z230" s="791"/>
      <c r="AA230" s="791"/>
      <c r="AB230" s="791"/>
      <c r="AC230" s="791"/>
      <c r="AD230" s="791"/>
      <c r="AE230" s="791"/>
      <c r="AF230" s="791"/>
      <c r="AG230" s="693"/>
    </row>
    <row r="231" outlineLevel="1">
      <c r="A231" s="790" t="s">
        <v>1002</v>
      </c>
      <c r="B231" s="114">
        <v>137.0</v>
      </c>
      <c r="C231" s="114">
        <v>137.0</v>
      </c>
      <c r="D231" s="114">
        <v>143.0</v>
      </c>
      <c r="E231" s="114">
        <v>176.0</v>
      </c>
      <c r="F231" s="114">
        <v>202.0</v>
      </c>
      <c r="G231" s="114">
        <v>171.0</v>
      </c>
      <c r="H231" s="114">
        <v>152.0</v>
      </c>
      <c r="I231" s="114">
        <v>143.0</v>
      </c>
      <c r="J231" s="114">
        <v>161.0</v>
      </c>
      <c r="K231" s="114">
        <v>164.0</v>
      </c>
      <c r="L231" s="114">
        <v>152.0</v>
      </c>
      <c r="M231" s="114">
        <v>161.0</v>
      </c>
      <c r="N231" s="114">
        <v>139.0</v>
      </c>
      <c r="O231" s="114">
        <v>138.0</v>
      </c>
      <c r="P231" s="114">
        <v>141.0</v>
      </c>
      <c r="Q231" s="114">
        <v>134.0</v>
      </c>
      <c r="R231" s="114">
        <v>163.0</v>
      </c>
      <c r="S231" s="114">
        <v>193.0</v>
      </c>
      <c r="T231" s="114">
        <v>185.0</v>
      </c>
      <c r="U231" s="114">
        <v>192.0</v>
      </c>
      <c r="V231" s="114">
        <v>226.0</v>
      </c>
      <c r="W231" s="114">
        <v>310.0</v>
      </c>
      <c r="X231" s="114">
        <v>351.0</v>
      </c>
      <c r="Y231" s="114">
        <v>1162.0</v>
      </c>
      <c r="Z231" s="114">
        <v>612.0</v>
      </c>
      <c r="AA231" s="114">
        <v>531.0</v>
      </c>
      <c r="AB231" s="114">
        <v>738.0</v>
      </c>
      <c r="AC231" s="114">
        <v>578.0</v>
      </c>
      <c r="AD231" s="114">
        <v>36.0</v>
      </c>
      <c r="AE231" s="114">
        <v>45.0</v>
      </c>
      <c r="AF231" s="114"/>
      <c r="AG231" s="693">
        <f t="shared" ref="AG231:AG234" si="81">sum(B231:AF231)</f>
        <v>7773</v>
      </c>
    </row>
    <row r="232" outlineLevel="1">
      <c r="A232" s="790" t="s">
        <v>1004</v>
      </c>
      <c r="B232" s="746">
        <v>4.0</v>
      </c>
      <c r="C232" s="746">
        <v>9.0</v>
      </c>
      <c r="D232" s="793">
        <v>1.0</v>
      </c>
      <c r="E232" s="793">
        <v>4.0</v>
      </c>
      <c r="F232" s="793">
        <v>7.0</v>
      </c>
      <c r="G232" s="793">
        <v>7.0</v>
      </c>
      <c r="H232" s="746">
        <v>8.0</v>
      </c>
      <c r="I232" s="746">
        <v>4.0</v>
      </c>
      <c r="J232" s="746">
        <v>7.0</v>
      </c>
      <c r="K232" s="746">
        <v>6.0</v>
      </c>
      <c r="L232" s="746">
        <v>7.0</v>
      </c>
      <c r="M232" s="746">
        <v>12.0</v>
      </c>
      <c r="N232" s="746">
        <v>7.0</v>
      </c>
      <c r="O232" s="746">
        <v>7.0</v>
      </c>
      <c r="P232" s="746">
        <v>5.0</v>
      </c>
      <c r="Q232" s="746">
        <v>7.0</v>
      </c>
      <c r="R232" s="746">
        <v>9.0</v>
      </c>
      <c r="S232" s="120">
        <v>13.0</v>
      </c>
      <c r="T232" s="120">
        <v>16.0</v>
      </c>
      <c r="U232" s="114">
        <v>17.0</v>
      </c>
      <c r="V232" s="114">
        <v>18.0</v>
      </c>
      <c r="W232" s="114">
        <v>41.0</v>
      </c>
      <c r="X232" s="114">
        <v>36.0</v>
      </c>
      <c r="Y232" s="114">
        <v>111.0</v>
      </c>
      <c r="Z232" s="114">
        <v>71.0</v>
      </c>
      <c r="AA232" s="114">
        <v>63.0</v>
      </c>
      <c r="AB232" s="114">
        <v>54.0</v>
      </c>
      <c r="AC232" s="114">
        <v>48.0</v>
      </c>
      <c r="AD232" s="114">
        <v>13.0</v>
      </c>
      <c r="AE232" s="114">
        <v>9.0</v>
      </c>
      <c r="AF232" s="114"/>
      <c r="AG232" s="693">
        <f t="shared" si="81"/>
        <v>621</v>
      </c>
    </row>
    <row r="233" outlineLevel="1">
      <c r="A233" s="790" t="s">
        <v>1006</v>
      </c>
      <c r="B233" s="114">
        <v>213.0</v>
      </c>
      <c r="C233" s="796">
        <v>225.0</v>
      </c>
      <c r="D233" s="796">
        <v>232.0</v>
      </c>
      <c r="E233" s="796">
        <v>230.0</v>
      </c>
      <c r="F233" s="796">
        <v>243.0</v>
      </c>
      <c r="G233" s="796">
        <v>251.0</v>
      </c>
      <c r="H233" s="796">
        <v>241.0</v>
      </c>
      <c r="I233" s="796">
        <v>246.0</v>
      </c>
      <c r="J233" s="796">
        <v>251.0</v>
      </c>
      <c r="K233" s="114">
        <v>254.0</v>
      </c>
      <c r="L233" s="114">
        <v>401.0</v>
      </c>
      <c r="M233" s="114">
        <v>348.0</v>
      </c>
      <c r="N233" s="114">
        <v>258.0</v>
      </c>
      <c r="O233" s="114">
        <v>314.0</v>
      </c>
      <c r="P233" s="114">
        <v>266.0</v>
      </c>
      <c r="Q233" s="114">
        <v>251.0</v>
      </c>
      <c r="R233" s="114">
        <v>251.0</v>
      </c>
      <c r="S233" s="114">
        <v>341.0</v>
      </c>
      <c r="T233" s="114">
        <v>248.0</v>
      </c>
      <c r="U233" s="114">
        <v>321.0</v>
      </c>
      <c r="V233" s="114">
        <v>332.0</v>
      </c>
      <c r="W233" s="114">
        <v>481.0</v>
      </c>
      <c r="X233" s="114">
        <v>618.0</v>
      </c>
      <c r="Y233" s="114">
        <v>1634.0</v>
      </c>
      <c r="Z233" s="114">
        <v>750.0</v>
      </c>
      <c r="AA233" s="114">
        <v>923.0</v>
      </c>
      <c r="AB233" s="114">
        <v>1245.0</v>
      </c>
      <c r="AC233" s="114">
        <v>689.0</v>
      </c>
      <c r="AD233" s="114">
        <v>47.0</v>
      </c>
      <c r="AE233" s="114">
        <v>37.0</v>
      </c>
      <c r="AF233" s="114"/>
      <c r="AG233" s="693">
        <f t="shared" si="81"/>
        <v>12141</v>
      </c>
    </row>
    <row r="234" outlineLevel="1">
      <c r="A234" s="790" t="s">
        <v>1007</v>
      </c>
      <c r="B234" s="746">
        <v>21.0</v>
      </c>
      <c r="C234" s="746">
        <v>22.0</v>
      </c>
      <c r="D234" s="793">
        <v>31.0</v>
      </c>
      <c r="E234" s="793">
        <v>25.0</v>
      </c>
      <c r="F234" s="793">
        <v>28.0</v>
      </c>
      <c r="G234" s="793">
        <v>25.0</v>
      </c>
      <c r="H234" s="746">
        <v>23.0</v>
      </c>
      <c r="I234" s="746">
        <v>30.0</v>
      </c>
      <c r="J234" s="746">
        <v>27.0</v>
      </c>
      <c r="K234" s="746">
        <v>22.0</v>
      </c>
      <c r="L234" s="746">
        <v>27.0</v>
      </c>
      <c r="M234" s="746">
        <v>32.0</v>
      </c>
      <c r="N234" s="746">
        <v>24.0</v>
      </c>
      <c r="O234" s="746">
        <v>31.0</v>
      </c>
      <c r="P234" s="746">
        <v>32.0</v>
      </c>
      <c r="Q234" s="746">
        <v>15.0</v>
      </c>
      <c r="R234" s="746">
        <v>20.0</v>
      </c>
      <c r="S234" s="120">
        <v>27.0</v>
      </c>
      <c r="T234" s="120">
        <v>45.0</v>
      </c>
      <c r="U234" s="114">
        <v>49.0</v>
      </c>
      <c r="V234" s="114">
        <v>68.0</v>
      </c>
      <c r="W234" s="114">
        <v>88.0</v>
      </c>
      <c r="X234" s="114">
        <v>122.0</v>
      </c>
      <c r="Y234" s="114">
        <v>278.0</v>
      </c>
      <c r="Z234" s="114">
        <v>168.0</v>
      </c>
      <c r="AA234" s="114">
        <v>140.0</v>
      </c>
      <c r="AB234" s="114">
        <v>198.0</v>
      </c>
      <c r="AC234" s="114">
        <v>191.0</v>
      </c>
      <c r="AD234" s="114">
        <v>106.0</v>
      </c>
      <c r="AE234" s="114">
        <v>81.0</v>
      </c>
      <c r="AF234" s="114"/>
      <c r="AG234" s="693">
        <f t="shared" si="81"/>
        <v>1996</v>
      </c>
    </row>
    <row r="235">
      <c r="A235" s="790" t="s">
        <v>1008</v>
      </c>
      <c r="B235" s="791"/>
      <c r="C235" s="791"/>
      <c r="D235" s="792"/>
      <c r="E235" s="792"/>
      <c r="F235" s="792"/>
      <c r="G235" s="792"/>
      <c r="H235" s="792"/>
      <c r="I235" s="792"/>
      <c r="J235" s="792"/>
      <c r="K235" s="791"/>
      <c r="L235" s="791"/>
      <c r="M235" s="791"/>
      <c r="N235" s="791"/>
      <c r="O235" s="791"/>
      <c r="P235" s="791"/>
      <c r="Q235" s="791"/>
      <c r="R235" s="791"/>
      <c r="S235" s="791"/>
      <c r="T235" s="791"/>
      <c r="U235" s="791"/>
      <c r="V235" s="791"/>
      <c r="W235" s="791"/>
      <c r="X235" s="791"/>
      <c r="Y235" s="791"/>
      <c r="Z235" s="791"/>
      <c r="AA235" s="791"/>
      <c r="AB235" s="791"/>
      <c r="AC235" s="791"/>
      <c r="AD235" s="791"/>
      <c r="AE235" s="791"/>
      <c r="AF235" s="791"/>
      <c r="AG235" s="693"/>
    </row>
    <row r="236" outlineLevel="1">
      <c r="A236" s="790" t="s">
        <v>1010</v>
      </c>
      <c r="B236" s="796">
        <v>7.0</v>
      </c>
      <c r="C236" s="796">
        <v>11.0</v>
      </c>
      <c r="D236" s="796">
        <v>7.0</v>
      </c>
      <c r="E236" s="796">
        <v>4.0</v>
      </c>
      <c r="F236" s="796">
        <v>5.0</v>
      </c>
      <c r="G236" s="796">
        <v>7.0</v>
      </c>
      <c r="H236" s="114">
        <v>4.0</v>
      </c>
      <c r="I236" s="114">
        <v>2.0</v>
      </c>
      <c r="J236" s="114">
        <v>5.0</v>
      </c>
      <c r="K236" s="114">
        <v>9.0</v>
      </c>
      <c r="L236" s="114">
        <v>7.0</v>
      </c>
      <c r="M236" s="114">
        <v>8.0</v>
      </c>
      <c r="N236" s="114">
        <v>9.0</v>
      </c>
      <c r="O236" s="114">
        <v>6.0</v>
      </c>
      <c r="P236" s="114">
        <v>9.0</v>
      </c>
      <c r="Q236" s="114">
        <v>5.0</v>
      </c>
      <c r="R236" s="114">
        <v>6.0</v>
      </c>
      <c r="S236" s="114">
        <v>15.0</v>
      </c>
      <c r="T236" s="114">
        <v>14.0</v>
      </c>
      <c r="U236" s="114">
        <v>14.0</v>
      </c>
      <c r="V236" s="114">
        <v>17.0</v>
      </c>
      <c r="W236" s="114">
        <v>36.0</v>
      </c>
      <c r="X236" s="114">
        <v>30.0</v>
      </c>
      <c r="Y236" s="114">
        <v>43.0</v>
      </c>
      <c r="Z236" s="114">
        <v>23.0</v>
      </c>
      <c r="AA236" s="114">
        <v>31.0</v>
      </c>
      <c r="AB236" s="114">
        <v>31.0</v>
      </c>
      <c r="AC236" s="114">
        <v>5.0</v>
      </c>
      <c r="AD236" s="114">
        <v>1.0</v>
      </c>
      <c r="AE236" s="114">
        <v>3.0</v>
      </c>
      <c r="AF236" s="114"/>
      <c r="AG236" s="693">
        <f t="shared" ref="AG236:AG240" si="82">sum(B236:AF236)</f>
        <v>374</v>
      </c>
    </row>
    <row r="237" outlineLevel="1">
      <c r="A237" s="790" t="s">
        <v>1011</v>
      </c>
      <c r="B237" s="793">
        <v>1.0</v>
      </c>
      <c r="C237" s="793">
        <v>0.0</v>
      </c>
      <c r="D237" s="793">
        <v>1.0</v>
      </c>
      <c r="E237" s="793">
        <v>2.0</v>
      </c>
      <c r="F237" s="793">
        <v>1.0</v>
      </c>
      <c r="G237" s="793">
        <v>0.0</v>
      </c>
      <c r="H237" s="746">
        <v>2.0</v>
      </c>
      <c r="I237" s="746">
        <v>0.0</v>
      </c>
      <c r="J237" s="746">
        <v>0.0</v>
      </c>
      <c r="K237" s="746">
        <v>0.0</v>
      </c>
      <c r="L237" s="746">
        <v>0.0</v>
      </c>
      <c r="M237" s="746">
        <v>1.0</v>
      </c>
      <c r="N237" s="746">
        <v>1.0</v>
      </c>
      <c r="O237" s="746">
        <v>0.0</v>
      </c>
      <c r="P237" s="746">
        <v>0.0</v>
      </c>
      <c r="Q237" s="746">
        <v>0.0</v>
      </c>
      <c r="R237" s="746">
        <v>1.0</v>
      </c>
      <c r="S237" s="120">
        <v>1.0</v>
      </c>
      <c r="T237" s="120">
        <v>0.0</v>
      </c>
      <c r="U237" s="114">
        <v>2.0</v>
      </c>
      <c r="V237" s="114">
        <v>4.0</v>
      </c>
      <c r="W237" s="114">
        <v>8.0</v>
      </c>
      <c r="X237" s="114">
        <v>11.0</v>
      </c>
      <c r="Y237" s="114">
        <v>14.0</v>
      </c>
      <c r="Z237" s="114">
        <v>2.0</v>
      </c>
      <c r="AA237" s="114">
        <v>7.0</v>
      </c>
      <c r="AB237" s="114">
        <v>4.0</v>
      </c>
      <c r="AC237" s="114">
        <v>3.0</v>
      </c>
      <c r="AD237" s="114">
        <v>0.0</v>
      </c>
      <c r="AE237" s="114">
        <v>3.0</v>
      </c>
      <c r="AF237" s="114"/>
      <c r="AG237" s="693">
        <f t="shared" si="82"/>
        <v>69</v>
      </c>
    </row>
    <row r="238" outlineLevel="1">
      <c r="A238" s="790" t="s">
        <v>1012</v>
      </c>
      <c r="B238" s="796">
        <v>21.0</v>
      </c>
      <c r="C238" s="796">
        <v>13.0</v>
      </c>
      <c r="D238" s="796">
        <v>14.0</v>
      </c>
      <c r="E238" s="796">
        <v>15.0</v>
      </c>
      <c r="F238" s="796">
        <v>17.0</v>
      </c>
      <c r="G238" s="796">
        <v>14.0</v>
      </c>
      <c r="H238" s="114">
        <v>17.0</v>
      </c>
      <c r="I238" s="114">
        <v>8.0</v>
      </c>
      <c r="J238" s="114">
        <v>14.0</v>
      </c>
      <c r="K238" s="114">
        <v>9.0</v>
      </c>
      <c r="L238" s="114">
        <v>4.0</v>
      </c>
      <c r="M238" s="114">
        <v>17.0</v>
      </c>
      <c r="N238" s="114">
        <v>19.0</v>
      </c>
      <c r="O238" s="114">
        <v>23.0</v>
      </c>
      <c r="P238" s="114">
        <v>30.0</v>
      </c>
      <c r="Q238" s="114">
        <v>30.0</v>
      </c>
      <c r="R238" s="114">
        <v>22.0</v>
      </c>
      <c r="S238" s="114">
        <v>37.0</v>
      </c>
      <c r="T238" s="114">
        <v>36.0</v>
      </c>
      <c r="U238" s="114">
        <v>49.0</v>
      </c>
      <c r="V238" s="114">
        <v>44.0</v>
      </c>
      <c r="W238" s="114">
        <v>86.0</v>
      </c>
      <c r="X238" s="114">
        <v>57.0</v>
      </c>
      <c r="Y238" s="114">
        <v>114.0</v>
      </c>
      <c r="Z238" s="114">
        <v>53.0</v>
      </c>
      <c r="AA238" s="114">
        <v>77.0</v>
      </c>
      <c r="AB238" s="114">
        <v>59.0</v>
      </c>
      <c r="AC238" s="114">
        <v>20.0</v>
      </c>
      <c r="AD238" s="114">
        <v>6.0</v>
      </c>
      <c r="AE238" s="114">
        <v>3.0</v>
      </c>
      <c r="AF238" s="114"/>
      <c r="AG238" s="693">
        <f t="shared" si="82"/>
        <v>928</v>
      </c>
    </row>
    <row r="239" outlineLevel="1">
      <c r="A239" s="790" t="s">
        <v>1013</v>
      </c>
      <c r="B239" s="793">
        <v>3.0</v>
      </c>
      <c r="C239" s="793">
        <v>1.0</v>
      </c>
      <c r="D239" s="793">
        <v>2.0</v>
      </c>
      <c r="E239" s="793">
        <v>0.0</v>
      </c>
      <c r="F239" s="793">
        <v>3.0</v>
      </c>
      <c r="G239" s="793">
        <v>0.0</v>
      </c>
      <c r="H239" s="746">
        <v>0.0</v>
      </c>
      <c r="I239" s="746">
        <v>2.0</v>
      </c>
      <c r="J239" s="746">
        <v>2.0</v>
      </c>
      <c r="K239" s="746">
        <v>1.0</v>
      </c>
      <c r="L239" s="746">
        <v>1.0</v>
      </c>
      <c r="M239" s="746">
        <v>1.0</v>
      </c>
      <c r="N239" s="746">
        <v>2.0</v>
      </c>
      <c r="O239" s="746">
        <v>3.0</v>
      </c>
      <c r="P239" s="746">
        <v>2.0</v>
      </c>
      <c r="Q239" s="746">
        <v>0.0</v>
      </c>
      <c r="R239" s="746">
        <v>0.0</v>
      </c>
      <c r="S239" s="120">
        <v>1.0</v>
      </c>
      <c r="T239" s="120">
        <v>2.0</v>
      </c>
      <c r="U239" s="114">
        <v>2.0</v>
      </c>
      <c r="V239" s="114">
        <v>4.0</v>
      </c>
      <c r="W239" s="114">
        <v>11.0</v>
      </c>
      <c r="X239" s="114">
        <v>13.0</v>
      </c>
      <c r="Y239" s="114">
        <v>17.0</v>
      </c>
      <c r="Z239" s="114">
        <v>7.0</v>
      </c>
      <c r="AA239" s="114">
        <v>16.0</v>
      </c>
      <c r="AB239" s="114">
        <v>7.0</v>
      </c>
      <c r="AC239" s="114">
        <v>6.0</v>
      </c>
      <c r="AD239" s="114">
        <v>3.0</v>
      </c>
      <c r="AE239" s="114">
        <v>7.0</v>
      </c>
      <c r="AF239" s="114"/>
      <c r="AG239" s="693">
        <f t="shared" si="82"/>
        <v>119</v>
      </c>
    </row>
    <row r="240" collapsed="1">
      <c r="A240" s="790" t="s">
        <v>1014</v>
      </c>
      <c r="B240" s="661"/>
      <c r="C240" s="661"/>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c r="AA240" s="114"/>
      <c r="AB240" s="114"/>
      <c r="AC240" s="114"/>
      <c r="AD240" s="114"/>
      <c r="AE240" s="114"/>
      <c r="AF240" s="114"/>
      <c r="AG240" s="693">
        <f t="shared" si="82"/>
        <v>0</v>
      </c>
    </row>
    <row r="241" hidden="1" outlineLevel="1">
      <c r="A241" s="790" t="s">
        <v>1016</v>
      </c>
      <c r="B241" s="753"/>
      <c r="C241" s="753"/>
      <c r="D241" s="777"/>
      <c r="E241" s="777"/>
      <c r="F241" s="777"/>
      <c r="G241" s="777"/>
      <c r="H241" s="777"/>
      <c r="I241" s="777"/>
      <c r="J241" s="777"/>
      <c r="K241" s="777"/>
      <c r="L241" s="777"/>
      <c r="M241" s="777"/>
      <c r="N241" s="777"/>
      <c r="O241" s="777"/>
      <c r="P241" s="777"/>
      <c r="Q241" s="777"/>
      <c r="R241" s="777"/>
      <c r="S241" s="777"/>
      <c r="T241" s="777"/>
      <c r="U241" s="777"/>
      <c r="V241" s="777"/>
      <c r="W241" s="777"/>
      <c r="X241" s="777"/>
      <c r="Y241" s="777"/>
      <c r="Z241" s="777"/>
      <c r="AA241" s="777"/>
      <c r="AB241" s="777"/>
      <c r="AC241" s="777"/>
      <c r="AD241" s="777"/>
      <c r="AE241" s="777"/>
      <c r="AF241" s="777"/>
      <c r="AG241" s="693">
        <f>sum(B241:AE241)</f>
        <v>0</v>
      </c>
    </row>
    <row r="242" hidden="1" outlineLevel="1">
      <c r="A242" s="790" t="s">
        <v>1017</v>
      </c>
      <c r="B242" s="753"/>
      <c r="C242" s="753"/>
      <c r="D242" s="777"/>
      <c r="E242" s="777"/>
      <c r="F242" s="777"/>
      <c r="G242" s="777"/>
      <c r="H242" s="777"/>
      <c r="I242" s="777"/>
      <c r="J242" s="777"/>
      <c r="K242" s="777"/>
      <c r="L242" s="777"/>
      <c r="M242" s="777"/>
      <c r="N242" s="777"/>
      <c r="O242" s="777"/>
      <c r="P242" s="777"/>
      <c r="Q242" s="777"/>
      <c r="R242" s="777"/>
      <c r="S242" s="777"/>
      <c r="T242" s="777"/>
      <c r="U242" s="777"/>
      <c r="V242" s="777"/>
      <c r="W242" s="777"/>
      <c r="X242" s="777"/>
      <c r="Y242" s="777"/>
      <c r="Z242" s="777"/>
      <c r="AA242" s="777"/>
      <c r="AB242" s="777"/>
      <c r="AC242" s="777"/>
      <c r="AD242" s="777"/>
      <c r="AE242" s="777"/>
      <c r="AF242" s="777"/>
      <c r="AG242" s="693"/>
    </row>
    <row r="243" hidden="1" outlineLevel="1">
      <c r="A243" s="790" t="s">
        <v>1018</v>
      </c>
      <c r="B243" s="754"/>
      <c r="C243" s="777"/>
      <c r="D243" s="753"/>
      <c r="E243" s="777"/>
      <c r="F243" s="777"/>
      <c r="G243" s="777"/>
      <c r="H243" s="777"/>
      <c r="I243" s="777"/>
      <c r="J243" s="777"/>
      <c r="K243" s="777"/>
      <c r="L243" s="777"/>
      <c r="M243" s="777"/>
      <c r="N243" s="777"/>
      <c r="O243" s="777"/>
      <c r="P243" s="777"/>
      <c r="Q243" s="777"/>
      <c r="R243" s="777"/>
      <c r="S243" s="777"/>
      <c r="T243" s="777"/>
      <c r="U243" s="777"/>
      <c r="V243" s="777"/>
      <c r="W243" s="777"/>
      <c r="X243" s="777"/>
      <c r="Y243" s="777"/>
      <c r="Z243" s="777"/>
      <c r="AA243" s="777"/>
      <c r="AB243" s="777"/>
      <c r="AC243" s="777"/>
      <c r="AD243" s="777"/>
      <c r="AE243" s="777"/>
      <c r="AF243" s="777"/>
      <c r="AG243" s="693">
        <f>sum(B243:AE243)</f>
        <v>0</v>
      </c>
    </row>
    <row r="244" hidden="1" outlineLevel="1">
      <c r="A244" s="790" t="s">
        <v>1019</v>
      </c>
      <c r="B244" s="754"/>
      <c r="C244" s="777"/>
      <c r="D244" s="753"/>
      <c r="E244" s="777"/>
      <c r="F244" s="777"/>
      <c r="G244" s="777"/>
      <c r="H244" s="777"/>
      <c r="I244" s="777"/>
      <c r="J244" s="777"/>
      <c r="K244" s="777"/>
      <c r="L244" s="777"/>
      <c r="M244" s="777"/>
      <c r="N244" s="777"/>
      <c r="O244" s="777"/>
      <c r="P244" s="777"/>
      <c r="Q244" s="777"/>
      <c r="R244" s="777"/>
      <c r="S244" s="777"/>
      <c r="T244" s="777"/>
      <c r="U244" s="777"/>
      <c r="V244" s="777"/>
      <c r="W244" s="777"/>
      <c r="X244" s="777"/>
      <c r="Y244" s="777"/>
      <c r="Z244" s="777"/>
      <c r="AA244" s="777"/>
      <c r="AB244" s="777"/>
      <c r="AC244" s="777"/>
      <c r="AD244" s="777"/>
      <c r="AE244" s="777"/>
      <c r="AF244" s="777"/>
      <c r="AG244" s="693"/>
    </row>
    <row r="245">
      <c r="A245" s="800" t="s">
        <v>180</v>
      </c>
      <c r="B245" s="160">
        <f t="shared" ref="B245:AF245" si="83">B231+B236+B241+B232+B237+B242</f>
        <v>149</v>
      </c>
      <c r="C245" s="160">
        <f t="shared" si="83"/>
        <v>157</v>
      </c>
      <c r="D245" s="160">
        <f t="shared" si="83"/>
        <v>152</v>
      </c>
      <c r="E245" s="160">
        <f t="shared" si="83"/>
        <v>186</v>
      </c>
      <c r="F245" s="160">
        <f t="shared" si="83"/>
        <v>215</v>
      </c>
      <c r="G245" s="160">
        <f t="shared" si="83"/>
        <v>185</v>
      </c>
      <c r="H245" s="160">
        <f t="shared" si="83"/>
        <v>166</v>
      </c>
      <c r="I245" s="160">
        <f t="shared" si="83"/>
        <v>149</v>
      </c>
      <c r="J245" s="160">
        <f t="shared" si="83"/>
        <v>173</v>
      </c>
      <c r="K245" s="160">
        <f t="shared" si="83"/>
        <v>179</v>
      </c>
      <c r="L245" s="160">
        <f t="shared" si="83"/>
        <v>166</v>
      </c>
      <c r="M245" s="160">
        <f t="shared" si="83"/>
        <v>182</v>
      </c>
      <c r="N245" s="160">
        <f t="shared" si="83"/>
        <v>156</v>
      </c>
      <c r="O245" s="160">
        <f t="shared" si="83"/>
        <v>151</v>
      </c>
      <c r="P245" s="160">
        <f t="shared" si="83"/>
        <v>155</v>
      </c>
      <c r="Q245" s="160">
        <f t="shared" si="83"/>
        <v>146</v>
      </c>
      <c r="R245" s="160">
        <f t="shared" si="83"/>
        <v>179</v>
      </c>
      <c r="S245" s="160">
        <f t="shared" si="83"/>
        <v>222</v>
      </c>
      <c r="T245" s="160">
        <f t="shared" si="83"/>
        <v>215</v>
      </c>
      <c r="U245" s="160">
        <f t="shared" si="83"/>
        <v>225</v>
      </c>
      <c r="V245" s="160">
        <f t="shared" si="83"/>
        <v>265</v>
      </c>
      <c r="W245" s="160">
        <f t="shared" si="83"/>
        <v>395</v>
      </c>
      <c r="X245" s="160">
        <f t="shared" si="83"/>
        <v>428</v>
      </c>
      <c r="Y245" s="160">
        <f t="shared" si="83"/>
        <v>1330</v>
      </c>
      <c r="Z245" s="160">
        <f t="shared" si="83"/>
        <v>708</v>
      </c>
      <c r="AA245" s="160">
        <f t="shared" si="83"/>
        <v>632</v>
      </c>
      <c r="AB245" s="160">
        <f t="shared" si="83"/>
        <v>827</v>
      </c>
      <c r="AC245" s="160">
        <f t="shared" si="83"/>
        <v>634</v>
      </c>
      <c r="AD245" s="160">
        <f t="shared" si="83"/>
        <v>50</v>
      </c>
      <c r="AE245" s="160">
        <f t="shared" si="83"/>
        <v>60</v>
      </c>
      <c r="AF245" s="160">
        <f t="shared" si="83"/>
        <v>0</v>
      </c>
      <c r="AG245" s="693">
        <f t="shared" ref="AG245:AG246" si="85">sum(B245:AF245)</f>
        <v>8837</v>
      </c>
    </row>
    <row r="246">
      <c r="A246" s="800" t="s">
        <v>185</v>
      </c>
      <c r="B246" s="160">
        <f t="shared" ref="B246:AF246" si="84">B233+B238+B243+B234+B239+B244</f>
        <v>258</v>
      </c>
      <c r="C246" s="160">
        <f t="shared" si="84"/>
        <v>261</v>
      </c>
      <c r="D246" s="160">
        <f t="shared" si="84"/>
        <v>279</v>
      </c>
      <c r="E246" s="160">
        <f t="shared" si="84"/>
        <v>270</v>
      </c>
      <c r="F246" s="160">
        <f t="shared" si="84"/>
        <v>291</v>
      </c>
      <c r="G246" s="160">
        <f t="shared" si="84"/>
        <v>290</v>
      </c>
      <c r="H246" s="160">
        <f t="shared" si="84"/>
        <v>281</v>
      </c>
      <c r="I246" s="160">
        <f t="shared" si="84"/>
        <v>286</v>
      </c>
      <c r="J246" s="160">
        <f t="shared" si="84"/>
        <v>294</v>
      </c>
      <c r="K246" s="160">
        <f t="shared" si="84"/>
        <v>286</v>
      </c>
      <c r="L246" s="160">
        <f t="shared" si="84"/>
        <v>433</v>
      </c>
      <c r="M246" s="160">
        <f t="shared" si="84"/>
        <v>398</v>
      </c>
      <c r="N246" s="160">
        <f t="shared" si="84"/>
        <v>303</v>
      </c>
      <c r="O246" s="160">
        <f t="shared" si="84"/>
        <v>371</v>
      </c>
      <c r="P246" s="160">
        <f t="shared" si="84"/>
        <v>330</v>
      </c>
      <c r="Q246" s="160">
        <f t="shared" si="84"/>
        <v>296</v>
      </c>
      <c r="R246" s="160">
        <f t="shared" si="84"/>
        <v>293</v>
      </c>
      <c r="S246" s="160">
        <f t="shared" si="84"/>
        <v>406</v>
      </c>
      <c r="T246" s="160">
        <f t="shared" si="84"/>
        <v>331</v>
      </c>
      <c r="U246" s="160">
        <f t="shared" si="84"/>
        <v>421</v>
      </c>
      <c r="V246" s="160">
        <f t="shared" si="84"/>
        <v>448</v>
      </c>
      <c r="W246" s="160">
        <f t="shared" si="84"/>
        <v>666</v>
      </c>
      <c r="X246" s="160">
        <f t="shared" si="84"/>
        <v>810</v>
      </c>
      <c r="Y246" s="160">
        <f t="shared" si="84"/>
        <v>2043</v>
      </c>
      <c r="Z246" s="160">
        <f t="shared" si="84"/>
        <v>978</v>
      </c>
      <c r="AA246" s="160">
        <f t="shared" si="84"/>
        <v>1156</v>
      </c>
      <c r="AB246" s="160">
        <f t="shared" si="84"/>
        <v>1509</v>
      </c>
      <c r="AC246" s="160">
        <f t="shared" si="84"/>
        <v>906</v>
      </c>
      <c r="AD246" s="160">
        <f t="shared" si="84"/>
        <v>162</v>
      </c>
      <c r="AE246" s="160">
        <f t="shared" si="84"/>
        <v>128</v>
      </c>
      <c r="AF246" s="160">
        <f t="shared" si="84"/>
        <v>0</v>
      </c>
      <c r="AG246" s="693">
        <f t="shared" si="85"/>
        <v>15184</v>
      </c>
    </row>
    <row r="247" ht="21.0" customHeight="1">
      <c r="A247" s="25"/>
      <c r="B247" s="661"/>
      <c r="C247" s="661"/>
      <c r="D247" s="661"/>
      <c r="E247" s="661"/>
      <c r="F247" s="661"/>
      <c r="G247" s="661"/>
      <c r="H247" s="661"/>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693"/>
    </row>
    <row r="248">
      <c r="A248" s="790" t="s">
        <v>1026</v>
      </c>
      <c r="B248" s="791"/>
      <c r="C248" s="791"/>
      <c r="D248" s="792"/>
      <c r="E248" s="792"/>
      <c r="F248" s="792"/>
      <c r="G248" s="792"/>
      <c r="H248" s="792"/>
      <c r="I248" s="792"/>
      <c r="J248" s="792"/>
      <c r="K248" s="791"/>
      <c r="L248" s="791"/>
      <c r="M248" s="791"/>
      <c r="N248" s="791"/>
      <c r="O248" s="791"/>
      <c r="P248" s="791"/>
      <c r="Q248" s="791"/>
      <c r="R248" s="791"/>
      <c r="S248" s="791"/>
      <c r="T248" s="791"/>
      <c r="U248" s="791"/>
      <c r="V248" s="791"/>
      <c r="W248" s="791"/>
      <c r="X248" s="791"/>
      <c r="Y248" s="791"/>
      <c r="Z248" s="791"/>
      <c r="AA248" s="791"/>
      <c r="AB248" s="791"/>
      <c r="AC248" s="791"/>
      <c r="AD248" s="791"/>
      <c r="AE248" s="791"/>
      <c r="AF248" s="791"/>
      <c r="AG248" s="693"/>
    </row>
    <row r="249" outlineLevel="1">
      <c r="A249" s="790" t="s">
        <v>1028</v>
      </c>
      <c r="B249" s="796">
        <v>56.0</v>
      </c>
      <c r="C249" s="796">
        <v>90.0</v>
      </c>
      <c r="D249" s="796">
        <v>81.0</v>
      </c>
      <c r="E249" s="796">
        <v>107.0</v>
      </c>
      <c r="F249" s="796">
        <v>111.0</v>
      </c>
      <c r="G249" s="796">
        <v>122.0</v>
      </c>
      <c r="H249" s="796">
        <v>113.0</v>
      </c>
      <c r="I249" s="796">
        <v>110.0</v>
      </c>
      <c r="J249" s="796">
        <v>130.0</v>
      </c>
      <c r="K249" s="114">
        <v>132.0</v>
      </c>
      <c r="L249" s="114">
        <v>197.0</v>
      </c>
      <c r="M249" s="114">
        <v>193.0</v>
      </c>
      <c r="N249" s="114">
        <v>120.0</v>
      </c>
      <c r="O249" s="114">
        <v>141.0</v>
      </c>
      <c r="P249" s="114">
        <v>124.0</v>
      </c>
      <c r="Q249" s="114">
        <v>113.0</v>
      </c>
      <c r="R249" s="114">
        <v>123.0</v>
      </c>
      <c r="S249" s="114">
        <v>133.0</v>
      </c>
      <c r="T249" s="114">
        <v>130.0</v>
      </c>
      <c r="U249" s="120">
        <v>171.0</v>
      </c>
      <c r="V249" s="120">
        <v>164.0</v>
      </c>
      <c r="W249" s="120">
        <v>247.0</v>
      </c>
      <c r="X249" s="120">
        <v>299.0</v>
      </c>
      <c r="Y249" s="114">
        <v>712.0</v>
      </c>
      <c r="Z249" s="114">
        <v>343.0</v>
      </c>
      <c r="AA249" s="114">
        <v>338.0</v>
      </c>
      <c r="AB249" s="114">
        <v>537.0</v>
      </c>
      <c r="AC249" s="114">
        <v>347.0</v>
      </c>
      <c r="AD249" s="114">
        <v>82.0</v>
      </c>
      <c r="AE249" s="114">
        <v>73.0</v>
      </c>
      <c r="AF249" s="114"/>
      <c r="AG249" s="693">
        <f t="shared" ref="AG249:AG258" si="86">sum(B249:AF249)</f>
        <v>5639</v>
      </c>
    </row>
    <row r="250" outlineLevel="1">
      <c r="A250" s="790" t="s">
        <v>1029</v>
      </c>
      <c r="B250" s="342"/>
      <c r="C250" s="342"/>
      <c r="D250" s="342"/>
      <c r="E250" s="342"/>
      <c r="F250" s="342"/>
      <c r="G250" s="342"/>
      <c r="H250" s="342"/>
      <c r="I250" s="342"/>
      <c r="J250" s="342"/>
      <c r="K250" s="342"/>
      <c r="L250" s="342"/>
      <c r="M250" s="342"/>
      <c r="N250" s="342"/>
      <c r="O250" s="342"/>
      <c r="P250" s="342"/>
      <c r="Q250" s="342"/>
      <c r="R250" s="342"/>
      <c r="S250" s="342"/>
      <c r="T250" s="342"/>
      <c r="U250" s="342"/>
      <c r="V250" s="342"/>
      <c r="W250" s="342"/>
      <c r="X250" s="342"/>
      <c r="Y250" s="342"/>
      <c r="Z250" s="342"/>
      <c r="AA250" s="342"/>
      <c r="AB250" s="342"/>
      <c r="AC250" s="342"/>
      <c r="AD250" s="342"/>
      <c r="AE250" s="342"/>
      <c r="AF250" s="342"/>
      <c r="AG250" s="693">
        <f t="shared" si="86"/>
        <v>0</v>
      </c>
    </row>
    <row r="251" outlineLevel="1">
      <c r="A251" s="790" t="s">
        <v>1030</v>
      </c>
      <c r="B251" s="796">
        <v>314.0</v>
      </c>
      <c r="C251" s="796">
        <v>335.0</v>
      </c>
      <c r="D251" s="796">
        <v>362.0</v>
      </c>
      <c r="E251" s="796">
        <v>359.0</v>
      </c>
      <c r="F251" s="796">
        <v>384.0</v>
      </c>
      <c r="G251" s="796">
        <v>345.0</v>
      </c>
      <c r="H251" s="796">
        <v>359.0</v>
      </c>
      <c r="I251" s="796">
        <v>345.0</v>
      </c>
      <c r="J251" s="796">
        <v>373.0</v>
      </c>
      <c r="K251" s="114">
        <v>370.0</v>
      </c>
      <c r="L251" s="114">
        <v>496.0</v>
      </c>
      <c r="M251" s="114">
        <v>533.0</v>
      </c>
      <c r="N251" s="809">
        <v>727.0</v>
      </c>
      <c r="O251" s="809">
        <v>414.0</v>
      </c>
      <c r="P251" s="809">
        <v>350.0</v>
      </c>
      <c r="Q251" s="809">
        <v>330.0</v>
      </c>
      <c r="R251" s="809">
        <v>358.0</v>
      </c>
      <c r="S251" s="809">
        <v>461.0</v>
      </c>
      <c r="T251" s="809">
        <v>286.0</v>
      </c>
      <c r="U251" s="120">
        <v>429.0</v>
      </c>
      <c r="V251" s="120">
        <v>502.0</v>
      </c>
      <c r="W251" s="120">
        <v>751.0</v>
      </c>
      <c r="X251" s="120">
        <v>959.0</v>
      </c>
      <c r="Y251" s="114">
        <v>2545.0</v>
      </c>
      <c r="Z251" s="114">
        <v>1990.0</v>
      </c>
      <c r="AA251" s="114">
        <v>1148.0</v>
      </c>
      <c r="AB251" s="114">
        <v>1680.0</v>
      </c>
      <c r="AC251" s="114">
        <v>1000.0</v>
      </c>
      <c r="AD251" s="114">
        <v>0.0</v>
      </c>
      <c r="AE251" s="114">
        <v>0.0</v>
      </c>
      <c r="AF251" s="114"/>
      <c r="AG251" s="693">
        <f t="shared" si="86"/>
        <v>18505</v>
      </c>
    </row>
    <row r="252" outlineLevel="1">
      <c r="A252" s="790" t="s">
        <v>1031</v>
      </c>
      <c r="B252" s="796">
        <v>31.0</v>
      </c>
      <c r="C252" s="796">
        <v>84.0</v>
      </c>
      <c r="D252" s="796">
        <v>64.0</v>
      </c>
      <c r="E252" s="796">
        <v>66.0</v>
      </c>
      <c r="F252" s="796">
        <v>39.0</v>
      </c>
      <c r="G252" s="796">
        <v>50.0</v>
      </c>
      <c r="H252" s="796">
        <v>55.0</v>
      </c>
      <c r="I252" s="796">
        <v>85.0</v>
      </c>
      <c r="J252" s="796">
        <v>52.0</v>
      </c>
      <c r="K252" s="114">
        <v>44.0</v>
      </c>
      <c r="L252" s="114">
        <v>86.0</v>
      </c>
      <c r="M252" s="114">
        <v>77.0</v>
      </c>
      <c r="N252" s="114">
        <v>46.0</v>
      </c>
      <c r="O252" s="114">
        <v>58.0</v>
      </c>
      <c r="P252" s="114">
        <v>52.0</v>
      </c>
      <c r="Q252" s="114">
        <v>52.0</v>
      </c>
      <c r="R252" s="114">
        <v>52.0</v>
      </c>
      <c r="S252" s="114">
        <v>50.0</v>
      </c>
      <c r="T252" s="114">
        <v>73.0</v>
      </c>
      <c r="U252" s="112">
        <v>75.0</v>
      </c>
      <c r="V252" s="112">
        <v>70.0</v>
      </c>
      <c r="W252" s="112">
        <v>92.0</v>
      </c>
      <c r="X252" s="112">
        <v>128.0</v>
      </c>
      <c r="Y252" s="114">
        <v>340.0</v>
      </c>
      <c r="Z252" s="120">
        <v>126.0</v>
      </c>
      <c r="AA252" s="114">
        <v>135.0</v>
      </c>
      <c r="AB252" s="114">
        <v>207.0</v>
      </c>
      <c r="AC252" s="114">
        <v>107.0</v>
      </c>
      <c r="AD252" s="114">
        <v>22.0</v>
      </c>
      <c r="AE252" s="114">
        <v>20.0</v>
      </c>
      <c r="AF252" s="114"/>
      <c r="AG252" s="693">
        <f t="shared" si="86"/>
        <v>2438</v>
      </c>
    </row>
    <row r="253" outlineLevel="1">
      <c r="A253" s="790" t="s">
        <v>1032</v>
      </c>
      <c r="B253" s="796">
        <v>4.0</v>
      </c>
      <c r="C253" s="796">
        <v>17.0</v>
      </c>
      <c r="D253" s="796">
        <v>8.0</v>
      </c>
      <c r="E253" s="796">
        <v>6.0</v>
      </c>
      <c r="F253" s="796">
        <v>4.0</v>
      </c>
      <c r="G253" s="796">
        <v>5.0</v>
      </c>
      <c r="H253" s="796">
        <v>5.0</v>
      </c>
      <c r="I253" s="796">
        <v>14.0</v>
      </c>
      <c r="J253" s="796">
        <v>8.0</v>
      </c>
      <c r="K253" s="114">
        <v>1.0</v>
      </c>
      <c r="L253" s="114">
        <v>3.0</v>
      </c>
      <c r="M253" s="114">
        <v>6.0</v>
      </c>
      <c r="N253" s="114">
        <v>6.0</v>
      </c>
      <c r="O253" s="114">
        <v>9.0</v>
      </c>
      <c r="P253" s="114">
        <v>2.0</v>
      </c>
      <c r="Q253" s="114">
        <v>4.0</v>
      </c>
      <c r="R253" s="114">
        <v>2.0</v>
      </c>
      <c r="S253" s="120">
        <v>7.0</v>
      </c>
      <c r="T253" s="120">
        <v>7.0</v>
      </c>
      <c r="U253" s="695">
        <v>11.0</v>
      </c>
      <c r="V253" s="112">
        <v>10.0</v>
      </c>
      <c r="W253" s="112">
        <v>20.0</v>
      </c>
      <c r="X253" s="112">
        <v>26.0</v>
      </c>
      <c r="Y253" s="114">
        <v>44.0</v>
      </c>
      <c r="Z253" s="120">
        <v>22.0</v>
      </c>
      <c r="AA253" s="114">
        <v>24.0</v>
      </c>
      <c r="AB253" s="114">
        <v>27.0</v>
      </c>
      <c r="AC253" s="114">
        <v>25.0</v>
      </c>
      <c r="AD253" s="114">
        <v>18.0</v>
      </c>
      <c r="AE253" s="114">
        <v>21.0</v>
      </c>
      <c r="AF253" s="114"/>
      <c r="AG253" s="693">
        <f t="shared" si="86"/>
        <v>366</v>
      </c>
    </row>
    <row r="254" outlineLevel="1">
      <c r="A254" s="790" t="s">
        <v>1033</v>
      </c>
      <c r="B254" s="796">
        <v>10.0</v>
      </c>
      <c r="C254" s="796">
        <v>12.0</v>
      </c>
      <c r="D254" s="796">
        <v>13.0</v>
      </c>
      <c r="E254" s="796">
        <v>12.0</v>
      </c>
      <c r="F254" s="796">
        <v>20.0</v>
      </c>
      <c r="G254" s="796">
        <v>10.0</v>
      </c>
      <c r="H254" s="796">
        <v>9.0</v>
      </c>
      <c r="I254" s="796">
        <v>12.0</v>
      </c>
      <c r="J254" s="796">
        <v>10.0</v>
      </c>
      <c r="K254" s="114">
        <v>11.0</v>
      </c>
      <c r="L254" s="114">
        <v>7.0</v>
      </c>
      <c r="M254" s="114">
        <v>6.0</v>
      </c>
      <c r="N254" s="114">
        <v>13.0</v>
      </c>
      <c r="O254" s="114">
        <v>10.0</v>
      </c>
      <c r="P254" s="114">
        <v>8.0</v>
      </c>
      <c r="Q254" s="114">
        <v>7.0</v>
      </c>
      <c r="R254" s="114">
        <v>8.0</v>
      </c>
      <c r="S254" s="114">
        <v>14.0</v>
      </c>
      <c r="T254" s="114">
        <v>8.0</v>
      </c>
      <c r="U254" s="112">
        <v>15.0</v>
      </c>
      <c r="V254" s="112">
        <v>17.0</v>
      </c>
      <c r="W254" s="112">
        <v>28.0</v>
      </c>
      <c r="X254" s="112">
        <v>27.0</v>
      </c>
      <c r="Y254" s="114">
        <v>85.0</v>
      </c>
      <c r="Z254" s="114">
        <v>29.0</v>
      </c>
      <c r="AA254" s="114">
        <v>42.0</v>
      </c>
      <c r="AB254" s="114">
        <v>40.0</v>
      </c>
      <c r="AC254" s="114">
        <v>27.0</v>
      </c>
      <c r="AD254" s="114">
        <v>8.0</v>
      </c>
      <c r="AE254" s="114">
        <v>6.0</v>
      </c>
      <c r="AF254" s="114"/>
      <c r="AG254" s="693">
        <f t="shared" si="86"/>
        <v>524</v>
      </c>
    </row>
    <row r="255" outlineLevel="1">
      <c r="A255" s="790" t="s">
        <v>1034</v>
      </c>
      <c r="B255" s="796">
        <v>2.0</v>
      </c>
      <c r="C255" s="796">
        <v>2.0</v>
      </c>
      <c r="D255" s="796">
        <v>1.0</v>
      </c>
      <c r="E255" s="796">
        <v>3.0</v>
      </c>
      <c r="F255" s="796">
        <v>1.0</v>
      </c>
      <c r="G255" s="796">
        <v>3.0</v>
      </c>
      <c r="H255" s="796">
        <v>2.0</v>
      </c>
      <c r="I255" s="796">
        <v>0.0</v>
      </c>
      <c r="J255" s="796">
        <v>1.0</v>
      </c>
      <c r="K255" s="114">
        <v>2.0</v>
      </c>
      <c r="L255" s="114">
        <v>0.0</v>
      </c>
      <c r="M255" s="114">
        <v>0.0</v>
      </c>
      <c r="N255" s="114">
        <v>0.0</v>
      </c>
      <c r="O255" s="114">
        <v>1.0</v>
      </c>
      <c r="P255" s="114">
        <v>1.0</v>
      </c>
      <c r="Q255" s="114">
        <v>5.0</v>
      </c>
      <c r="R255" s="114">
        <v>1.0</v>
      </c>
      <c r="S255" s="120">
        <v>0.0</v>
      </c>
      <c r="T255" s="120">
        <v>3.0</v>
      </c>
      <c r="U255" s="112">
        <v>2.0</v>
      </c>
      <c r="V255" s="112">
        <v>0.0</v>
      </c>
      <c r="W255" s="112">
        <v>7.0</v>
      </c>
      <c r="X255" s="112">
        <v>5.0</v>
      </c>
      <c r="Y255" s="114">
        <v>16.0</v>
      </c>
      <c r="Z255" s="114">
        <v>5.0</v>
      </c>
      <c r="AA255" s="114">
        <v>10.0</v>
      </c>
      <c r="AB255" s="114">
        <v>11.0</v>
      </c>
      <c r="AC255" s="114">
        <v>6.0</v>
      </c>
      <c r="AD255" s="114">
        <v>4.0</v>
      </c>
      <c r="AE255" s="114">
        <v>4.0</v>
      </c>
      <c r="AF255" s="114"/>
      <c r="AG255" s="693">
        <f t="shared" si="86"/>
        <v>98</v>
      </c>
    </row>
    <row r="256" outlineLevel="1">
      <c r="A256" s="790" t="s">
        <v>1035</v>
      </c>
      <c r="B256" s="796">
        <v>73.0</v>
      </c>
      <c r="C256" s="796">
        <v>117.0</v>
      </c>
      <c r="D256" s="796">
        <v>93.0</v>
      </c>
      <c r="E256" s="796">
        <v>118.0</v>
      </c>
      <c r="F256" s="796">
        <v>114.0</v>
      </c>
      <c r="G256" s="796">
        <v>115.0</v>
      </c>
      <c r="H256" s="796">
        <v>101.0</v>
      </c>
      <c r="I256" s="796">
        <v>115.0</v>
      </c>
      <c r="J256" s="796">
        <v>106.0</v>
      </c>
      <c r="K256" s="114">
        <v>113.0</v>
      </c>
      <c r="L256" s="114">
        <v>159.0</v>
      </c>
      <c r="M256" s="114">
        <v>161.0</v>
      </c>
      <c r="N256" s="114">
        <v>108.0</v>
      </c>
      <c r="O256" s="114">
        <v>123.0</v>
      </c>
      <c r="P256" s="114">
        <v>115.0</v>
      </c>
      <c r="Q256" s="114">
        <v>106.0</v>
      </c>
      <c r="R256" s="114">
        <v>112.0</v>
      </c>
      <c r="S256" s="114">
        <v>142.0</v>
      </c>
      <c r="T256" s="114">
        <v>129.0</v>
      </c>
      <c r="U256" s="112">
        <v>135.0</v>
      </c>
      <c r="V256" s="112">
        <v>135.0</v>
      </c>
      <c r="W256" s="112">
        <v>220.0</v>
      </c>
      <c r="X256" s="112">
        <v>253.0</v>
      </c>
      <c r="Y256" s="114">
        <v>654.0</v>
      </c>
      <c r="Z256" s="114">
        <v>299.0</v>
      </c>
      <c r="AA256" s="114">
        <v>304.0</v>
      </c>
      <c r="AB256" s="114">
        <v>429.0</v>
      </c>
      <c r="AC256" s="114">
        <v>273.0</v>
      </c>
      <c r="AD256" s="114">
        <v>55.0</v>
      </c>
      <c r="AE256" s="114">
        <v>54.0</v>
      </c>
      <c r="AF256" s="114"/>
      <c r="AG256" s="693">
        <f t="shared" si="86"/>
        <v>5031</v>
      </c>
    </row>
    <row r="257" outlineLevel="1">
      <c r="A257" s="790" t="s">
        <v>1036</v>
      </c>
      <c r="B257" s="796">
        <v>12.0</v>
      </c>
      <c r="C257" s="796">
        <v>15.0</v>
      </c>
      <c r="D257" s="796">
        <v>12.0</v>
      </c>
      <c r="E257" s="796">
        <v>16.0</v>
      </c>
      <c r="F257" s="796">
        <v>18.0</v>
      </c>
      <c r="G257" s="796">
        <v>13.0</v>
      </c>
      <c r="H257" s="796">
        <v>10.0</v>
      </c>
      <c r="I257" s="796">
        <v>9.0</v>
      </c>
      <c r="J257" s="796">
        <v>14.0</v>
      </c>
      <c r="K257" s="114">
        <v>5.0</v>
      </c>
      <c r="L257" s="114">
        <v>13.0</v>
      </c>
      <c r="M257" s="114">
        <v>13.0</v>
      </c>
      <c r="N257" s="114">
        <v>13.0</v>
      </c>
      <c r="O257" s="114">
        <v>13.0</v>
      </c>
      <c r="P257" s="114">
        <v>11.0</v>
      </c>
      <c r="Q257" s="114">
        <v>7.0</v>
      </c>
      <c r="R257" s="114">
        <v>13.0</v>
      </c>
      <c r="S257" s="120">
        <v>11.0</v>
      </c>
      <c r="T257" s="120">
        <v>20.0</v>
      </c>
      <c r="U257" s="112">
        <v>22.0</v>
      </c>
      <c r="V257" s="112">
        <v>25.0</v>
      </c>
      <c r="W257" s="112">
        <v>55.0</v>
      </c>
      <c r="X257" s="112">
        <v>57.0</v>
      </c>
      <c r="Y257" s="114">
        <v>105.0</v>
      </c>
      <c r="Z257" s="114">
        <v>57.0</v>
      </c>
      <c r="AA257" s="114">
        <v>46.0</v>
      </c>
      <c r="AB257" s="114">
        <v>66.0</v>
      </c>
      <c r="AC257" s="114">
        <v>65.0</v>
      </c>
      <c r="AD257" s="114">
        <v>32.0</v>
      </c>
      <c r="AE257" s="114">
        <v>27.0</v>
      </c>
      <c r="AF257" s="114"/>
      <c r="AG257" s="693">
        <f t="shared" si="86"/>
        <v>795</v>
      </c>
    </row>
    <row r="258">
      <c r="A258" s="800" t="s">
        <v>602</v>
      </c>
      <c r="B258" s="160">
        <f t="shared" ref="B258:AF258" si="87">SUM(B249:B257)</f>
        <v>502</v>
      </c>
      <c r="C258" s="160">
        <f t="shared" si="87"/>
        <v>672</v>
      </c>
      <c r="D258" s="160">
        <f t="shared" si="87"/>
        <v>634</v>
      </c>
      <c r="E258" s="160">
        <f t="shared" si="87"/>
        <v>687</v>
      </c>
      <c r="F258" s="160">
        <f t="shared" si="87"/>
        <v>691</v>
      </c>
      <c r="G258" s="160">
        <f t="shared" si="87"/>
        <v>663</v>
      </c>
      <c r="H258" s="160">
        <f t="shared" si="87"/>
        <v>654</v>
      </c>
      <c r="I258" s="160">
        <f t="shared" si="87"/>
        <v>690</v>
      </c>
      <c r="J258" s="160">
        <f t="shared" si="87"/>
        <v>694</v>
      </c>
      <c r="K258" s="160">
        <f t="shared" si="87"/>
        <v>678</v>
      </c>
      <c r="L258" s="160">
        <f t="shared" si="87"/>
        <v>961</v>
      </c>
      <c r="M258" s="160">
        <f t="shared" si="87"/>
        <v>989</v>
      </c>
      <c r="N258" s="160">
        <f t="shared" si="87"/>
        <v>1033</v>
      </c>
      <c r="O258" s="160">
        <f t="shared" si="87"/>
        <v>769</v>
      </c>
      <c r="P258" s="160">
        <f t="shared" si="87"/>
        <v>663</v>
      </c>
      <c r="Q258" s="160">
        <f t="shared" si="87"/>
        <v>624</v>
      </c>
      <c r="R258" s="160">
        <f t="shared" si="87"/>
        <v>669</v>
      </c>
      <c r="S258" s="160">
        <f t="shared" si="87"/>
        <v>818</v>
      </c>
      <c r="T258" s="160">
        <f t="shared" si="87"/>
        <v>656</v>
      </c>
      <c r="U258" s="160">
        <f t="shared" si="87"/>
        <v>860</v>
      </c>
      <c r="V258" s="160">
        <f t="shared" si="87"/>
        <v>923</v>
      </c>
      <c r="W258" s="160">
        <f t="shared" si="87"/>
        <v>1420</v>
      </c>
      <c r="X258" s="160">
        <f t="shared" si="87"/>
        <v>1754</v>
      </c>
      <c r="Y258" s="160">
        <f t="shared" si="87"/>
        <v>4501</v>
      </c>
      <c r="Z258" s="160">
        <f t="shared" si="87"/>
        <v>2871</v>
      </c>
      <c r="AA258" s="160">
        <f t="shared" si="87"/>
        <v>2047</v>
      </c>
      <c r="AB258" s="160">
        <f t="shared" si="87"/>
        <v>2997</v>
      </c>
      <c r="AC258" s="160">
        <f t="shared" si="87"/>
        <v>1850</v>
      </c>
      <c r="AD258" s="160">
        <f t="shared" si="87"/>
        <v>221</v>
      </c>
      <c r="AE258" s="160">
        <f t="shared" si="87"/>
        <v>205</v>
      </c>
      <c r="AF258" s="160">
        <f t="shared" si="87"/>
        <v>0</v>
      </c>
      <c r="AG258" s="693">
        <f t="shared" si="86"/>
        <v>33396</v>
      </c>
    </row>
    <row r="259">
      <c r="A259" s="25"/>
      <c r="B259" s="661"/>
      <c r="C259" s="661"/>
      <c r="D259" s="661"/>
      <c r="E259" s="661"/>
      <c r="F259" s="661"/>
      <c r="G259" s="661"/>
      <c r="H259" s="661"/>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693"/>
    </row>
    <row r="260">
      <c r="A260" s="790" t="s">
        <v>1037</v>
      </c>
      <c r="B260" s="791"/>
      <c r="C260" s="791"/>
      <c r="D260" s="792"/>
      <c r="E260" s="792"/>
      <c r="F260" s="792"/>
      <c r="G260" s="792"/>
      <c r="H260" s="792"/>
      <c r="I260" s="792"/>
      <c r="J260" s="792"/>
      <c r="K260" s="791"/>
      <c r="L260" s="791"/>
      <c r="M260" s="791"/>
      <c r="N260" s="791"/>
      <c r="O260" s="791"/>
      <c r="P260" s="791"/>
      <c r="Q260" s="791"/>
      <c r="R260" s="791"/>
      <c r="S260" s="791"/>
      <c r="T260" s="791"/>
      <c r="U260" s="791"/>
      <c r="V260" s="791"/>
      <c r="W260" s="791"/>
      <c r="X260" s="791"/>
      <c r="Y260" s="791"/>
      <c r="Z260" s="791"/>
      <c r="AA260" s="791"/>
      <c r="AB260" s="791"/>
      <c r="AC260" s="791"/>
      <c r="AD260" s="791"/>
      <c r="AE260" s="791"/>
      <c r="AF260" s="791"/>
      <c r="AG260" s="693"/>
    </row>
    <row r="261" outlineLevel="1">
      <c r="A261" s="790" t="s">
        <v>1038</v>
      </c>
      <c r="B261" s="796">
        <v>16.0</v>
      </c>
      <c r="C261" s="796">
        <v>11.0</v>
      </c>
      <c r="D261" s="796">
        <v>9.0</v>
      </c>
      <c r="E261" s="796">
        <v>7.0</v>
      </c>
      <c r="F261" s="796">
        <v>13.0</v>
      </c>
      <c r="G261" s="796">
        <v>0.0</v>
      </c>
      <c r="H261" s="796">
        <v>9.0</v>
      </c>
      <c r="I261" s="796">
        <v>8.0</v>
      </c>
      <c r="J261" s="796">
        <v>6.0</v>
      </c>
      <c r="K261" s="114">
        <v>5.0</v>
      </c>
      <c r="L261" s="114">
        <v>5.0</v>
      </c>
      <c r="M261" s="114">
        <v>9.0</v>
      </c>
      <c r="N261" s="114">
        <v>11.0</v>
      </c>
      <c r="O261" s="114">
        <v>11.0</v>
      </c>
      <c r="P261" s="114">
        <v>18.0</v>
      </c>
      <c r="Q261" s="114">
        <v>16.0</v>
      </c>
      <c r="R261" s="114">
        <v>11.0</v>
      </c>
      <c r="S261" s="114">
        <v>26.0</v>
      </c>
      <c r="T261" s="695">
        <v>19.0</v>
      </c>
      <c r="U261" s="114">
        <v>24.0</v>
      </c>
      <c r="V261" s="114">
        <v>19.0</v>
      </c>
      <c r="W261" s="114">
        <v>32.0</v>
      </c>
      <c r="X261" s="114">
        <v>41.0</v>
      </c>
      <c r="Y261" s="114">
        <v>62.0</v>
      </c>
      <c r="Z261" s="114">
        <v>28.0</v>
      </c>
      <c r="AA261" s="114">
        <v>47.0</v>
      </c>
      <c r="AB261" s="114">
        <v>25.0</v>
      </c>
      <c r="AC261" s="114">
        <v>12.0</v>
      </c>
      <c r="AD261" s="114">
        <v>3.0</v>
      </c>
      <c r="AE261" s="114">
        <v>7.0</v>
      </c>
      <c r="AF261" s="114"/>
      <c r="AG261" s="693">
        <f t="shared" ref="AG261:AG270" si="88">sum(B261:AF261)</f>
        <v>510</v>
      </c>
    </row>
    <row r="262" outlineLevel="1">
      <c r="A262" s="790" t="s">
        <v>1040</v>
      </c>
      <c r="B262" s="342"/>
      <c r="C262" s="342"/>
      <c r="D262" s="342"/>
      <c r="E262" s="342"/>
      <c r="F262" s="342"/>
      <c r="G262" s="342"/>
      <c r="H262" s="342"/>
      <c r="I262" s="342"/>
      <c r="J262" s="342"/>
      <c r="K262" s="342"/>
      <c r="L262" s="342"/>
      <c r="M262" s="342"/>
      <c r="N262" s="342"/>
      <c r="O262" s="342"/>
      <c r="P262" s="342"/>
      <c r="Q262" s="342"/>
      <c r="R262" s="342"/>
      <c r="S262" s="342"/>
      <c r="T262" s="342"/>
      <c r="U262" s="342"/>
      <c r="V262" s="342"/>
      <c r="W262" s="342"/>
      <c r="X262" s="342"/>
      <c r="Y262" s="342"/>
      <c r="Z262" s="342"/>
      <c r="AA262" s="342"/>
      <c r="AB262" s="342"/>
      <c r="AC262" s="342"/>
      <c r="AD262" s="342"/>
      <c r="AE262" s="342"/>
      <c r="AF262" s="342"/>
      <c r="AG262" s="693">
        <f t="shared" si="88"/>
        <v>0</v>
      </c>
    </row>
    <row r="263" outlineLevel="1">
      <c r="A263" s="790" t="s">
        <v>1042</v>
      </c>
      <c r="B263" s="796">
        <v>26.0</v>
      </c>
      <c r="C263" s="796">
        <v>19.0</v>
      </c>
      <c r="D263" s="796">
        <v>18.0</v>
      </c>
      <c r="E263" s="796">
        <v>15.0</v>
      </c>
      <c r="F263" s="796">
        <v>17.0</v>
      </c>
      <c r="G263" s="796">
        <v>16.0</v>
      </c>
      <c r="H263" s="796">
        <v>17.0</v>
      </c>
      <c r="I263" s="796">
        <v>9.0</v>
      </c>
      <c r="J263" s="796">
        <v>17.0</v>
      </c>
      <c r="K263" s="114">
        <v>17.0</v>
      </c>
      <c r="L263" s="114">
        <v>8.0</v>
      </c>
      <c r="M263" s="114">
        <v>21.0</v>
      </c>
      <c r="N263" s="114">
        <v>24.0</v>
      </c>
      <c r="O263" s="114">
        <v>25.0</v>
      </c>
      <c r="P263" s="114">
        <v>33.0</v>
      </c>
      <c r="Q263" s="114">
        <v>28.0</v>
      </c>
      <c r="R263" s="114">
        <v>21.0</v>
      </c>
      <c r="S263" s="114">
        <v>40.0</v>
      </c>
      <c r="T263" s="114">
        <v>20.0</v>
      </c>
      <c r="U263" s="114">
        <v>51.0</v>
      </c>
      <c r="V263" s="114">
        <v>35.0</v>
      </c>
      <c r="W263" s="114">
        <v>72.0</v>
      </c>
      <c r="X263" s="114">
        <v>74.0</v>
      </c>
      <c r="Y263" s="114">
        <v>131.0</v>
      </c>
      <c r="Z263" s="114">
        <v>49.0</v>
      </c>
      <c r="AA263" s="114">
        <v>94.0</v>
      </c>
      <c r="AB263" s="114">
        <v>70.0</v>
      </c>
      <c r="AC263" s="114">
        <v>18.0</v>
      </c>
      <c r="AD263" s="114">
        <v>0.0</v>
      </c>
      <c r="AE263" s="114">
        <v>0.0</v>
      </c>
      <c r="AF263" s="114"/>
      <c r="AG263" s="693">
        <f t="shared" si="88"/>
        <v>985</v>
      </c>
    </row>
    <row r="264" outlineLevel="1">
      <c r="A264" s="790" t="s">
        <v>1043</v>
      </c>
      <c r="B264" s="796">
        <v>7.0</v>
      </c>
      <c r="C264" s="796">
        <v>9.0</v>
      </c>
      <c r="D264" s="796">
        <v>9.0</v>
      </c>
      <c r="E264" s="796">
        <v>7.0</v>
      </c>
      <c r="F264" s="796">
        <v>3.0</v>
      </c>
      <c r="G264" s="796">
        <v>5.0</v>
      </c>
      <c r="H264" s="796">
        <v>4.0</v>
      </c>
      <c r="I264" s="796">
        <v>5.0</v>
      </c>
      <c r="J264" s="796">
        <v>4.0</v>
      </c>
      <c r="K264" s="114">
        <v>2.0</v>
      </c>
      <c r="L264" s="114">
        <v>2.0</v>
      </c>
      <c r="M264" s="114">
        <v>8.0</v>
      </c>
      <c r="N264" s="114">
        <v>5.0</v>
      </c>
      <c r="O264" s="114">
        <v>3.0</v>
      </c>
      <c r="P264" s="114">
        <v>6.0</v>
      </c>
      <c r="Q264" s="114">
        <v>8.0</v>
      </c>
      <c r="R264" s="114">
        <v>8.0</v>
      </c>
      <c r="S264" s="114">
        <v>11.0</v>
      </c>
      <c r="T264" s="114">
        <v>11.0</v>
      </c>
      <c r="U264" s="114">
        <v>7.0</v>
      </c>
      <c r="V264" s="114">
        <v>8.0</v>
      </c>
      <c r="W264" s="114">
        <v>8.0</v>
      </c>
      <c r="X264" s="114">
        <v>10.0</v>
      </c>
      <c r="Y264" s="114">
        <v>21.0</v>
      </c>
      <c r="Z264" s="114">
        <v>10.0</v>
      </c>
      <c r="AA264" s="114">
        <v>21.0</v>
      </c>
      <c r="AB264" s="114">
        <v>13.0</v>
      </c>
      <c r="AC264" s="114">
        <v>3.0</v>
      </c>
      <c r="AD264" s="114">
        <v>1.0</v>
      </c>
      <c r="AE264" s="114">
        <v>3.0</v>
      </c>
      <c r="AF264" s="114"/>
      <c r="AG264" s="693">
        <f t="shared" si="88"/>
        <v>222</v>
      </c>
    </row>
    <row r="265" outlineLevel="1">
      <c r="A265" s="790" t="s">
        <v>1044</v>
      </c>
      <c r="B265" s="796">
        <v>1.0</v>
      </c>
      <c r="C265" s="796">
        <v>2.0</v>
      </c>
      <c r="D265" s="796">
        <v>1.0</v>
      </c>
      <c r="E265" s="796">
        <v>1.0</v>
      </c>
      <c r="F265" s="796">
        <v>0.0</v>
      </c>
      <c r="G265" s="796">
        <v>0.0</v>
      </c>
      <c r="H265" s="796">
        <v>0.0</v>
      </c>
      <c r="I265" s="796">
        <v>0.0</v>
      </c>
      <c r="J265" s="796">
        <v>0.0</v>
      </c>
      <c r="K265" s="114">
        <v>1.0</v>
      </c>
      <c r="L265" s="114">
        <v>0.0</v>
      </c>
      <c r="M265" s="114">
        <v>1.0</v>
      </c>
      <c r="N265" s="114">
        <v>2.0</v>
      </c>
      <c r="O265" s="114">
        <v>0.0</v>
      </c>
      <c r="P265" s="114">
        <v>0.0</v>
      </c>
      <c r="Q265" s="114">
        <v>0.0</v>
      </c>
      <c r="R265" s="114">
        <v>0.0</v>
      </c>
      <c r="S265" s="120">
        <v>0.0</v>
      </c>
      <c r="T265" s="120">
        <v>0.0</v>
      </c>
      <c r="U265" s="114">
        <v>0.0</v>
      </c>
      <c r="V265" s="114">
        <v>0.0</v>
      </c>
      <c r="W265" s="114">
        <v>0.0</v>
      </c>
      <c r="X265" s="114">
        <v>3.0</v>
      </c>
      <c r="Y265" s="114">
        <v>6.0</v>
      </c>
      <c r="Z265" s="114">
        <v>1.0</v>
      </c>
      <c r="AA265" s="114">
        <v>4.0</v>
      </c>
      <c r="AB265" s="114">
        <v>0.0</v>
      </c>
      <c r="AC265" s="114">
        <v>1.0</v>
      </c>
      <c r="AD265" s="114">
        <v>0.0</v>
      </c>
      <c r="AE265" s="114">
        <v>4.0</v>
      </c>
      <c r="AF265" s="114"/>
      <c r="AG265" s="693">
        <f t="shared" si="88"/>
        <v>28</v>
      </c>
    </row>
    <row r="266" outlineLevel="1">
      <c r="A266" s="790" t="s">
        <v>1045</v>
      </c>
      <c r="B266" s="796">
        <v>1.0</v>
      </c>
      <c r="C266" s="796">
        <v>0.0</v>
      </c>
      <c r="D266" s="796">
        <v>1.0</v>
      </c>
      <c r="E266" s="796">
        <v>2.0</v>
      </c>
      <c r="F266" s="796">
        <v>0.0</v>
      </c>
      <c r="G266" s="796">
        <v>1.0</v>
      </c>
      <c r="H266" s="796">
        <v>0.0</v>
      </c>
      <c r="I266" s="796">
        <v>1.0</v>
      </c>
      <c r="J266" s="796">
        <v>2.0</v>
      </c>
      <c r="K266" s="114">
        <v>2.0</v>
      </c>
      <c r="L266" s="114">
        <v>3.0</v>
      </c>
      <c r="M266" s="114">
        <v>0.0</v>
      </c>
      <c r="N266" s="114">
        <v>1.0</v>
      </c>
      <c r="O266" s="114">
        <v>0.0</v>
      </c>
      <c r="P266" s="114">
        <v>3.0</v>
      </c>
      <c r="Q266" s="114">
        <v>2.0</v>
      </c>
      <c r="R266" s="114">
        <v>0.0</v>
      </c>
      <c r="S266" s="114">
        <v>0.0</v>
      </c>
      <c r="T266" s="114">
        <v>0.0</v>
      </c>
      <c r="U266" s="114">
        <v>0.0</v>
      </c>
      <c r="V266" s="114">
        <v>0.0</v>
      </c>
      <c r="W266" s="114">
        <v>6.0</v>
      </c>
      <c r="X266" s="114">
        <v>4.0</v>
      </c>
      <c r="Y266" s="114">
        <v>10.0</v>
      </c>
      <c r="Z266" s="695">
        <v>3.0</v>
      </c>
      <c r="AA266" s="114">
        <v>4.0</v>
      </c>
      <c r="AB266" s="114">
        <v>1.0</v>
      </c>
      <c r="AC266" s="114">
        <v>0.0</v>
      </c>
      <c r="AD266" s="114">
        <v>0.0</v>
      </c>
      <c r="AE266" s="114">
        <v>0.0</v>
      </c>
      <c r="AF266" s="114"/>
      <c r="AG266" s="693">
        <f t="shared" si="88"/>
        <v>47</v>
      </c>
    </row>
    <row r="267" outlineLevel="1">
      <c r="A267" s="790" t="s">
        <v>1046</v>
      </c>
      <c r="B267" s="796">
        <v>2.0</v>
      </c>
      <c r="C267" s="796">
        <v>0.0</v>
      </c>
      <c r="D267" s="796">
        <v>1.0</v>
      </c>
      <c r="E267" s="796">
        <v>0.0</v>
      </c>
      <c r="F267" s="796">
        <v>0.0</v>
      </c>
      <c r="G267" s="796">
        <v>1.0</v>
      </c>
      <c r="H267" s="796">
        <v>0.0</v>
      </c>
      <c r="I267" s="796">
        <v>0.0</v>
      </c>
      <c r="J267" s="796">
        <v>0.0</v>
      </c>
      <c r="K267" s="114">
        <v>1.0</v>
      </c>
      <c r="L267" s="114">
        <v>0.0</v>
      </c>
      <c r="M267" s="114">
        <v>0.0</v>
      </c>
      <c r="N267" s="114">
        <v>0.0</v>
      </c>
      <c r="O267" s="114">
        <v>0.0</v>
      </c>
      <c r="P267" s="114">
        <v>0.0</v>
      </c>
      <c r="Q267" s="114">
        <v>0.0</v>
      </c>
      <c r="R267" s="114">
        <v>1.0</v>
      </c>
      <c r="S267" s="120">
        <v>0.0</v>
      </c>
      <c r="T267" s="120">
        <v>0.0</v>
      </c>
      <c r="U267" s="114">
        <v>1.0</v>
      </c>
      <c r="V267" s="114">
        <v>0.0</v>
      </c>
      <c r="W267" s="114">
        <v>1.0</v>
      </c>
      <c r="X267" s="114">
        <v>1.0</v>
      </c>
      <c r="Y267" s="114">
        <v>0.0</v>
      </c>
      <c r="Z267" s="114">
        <v>0.0</v>
      </c>
      <c r="AA267" s="114">
        <v>1.0</v>
      </c>
      <c r="AB267" s="114">
        <v>1.0</v>
      </c>
      <c r="AC267" s="114">
        <v>0.0</v>
      </c>
      <c r="AD267" s="114">
        <v>0.0</v>
      </c>
      <c r="AE267" s="114">
        <v>0.0</v>
      </c>
      <c r="AF267" s="114"/>
      <c r="AG267" s="693">
        <f t="shared" si="88"/>
        <v>11</v>
      </c>
    </row>
    <row r="268" outlineLevel="1">
      <c r="A268" s="790" t="s">
        <v>1048</v>
      </c>
      <c r="B268" s="796">
        <v>13.0</v>
      </c>
      <c r="C268" s="796">
        <v>7.0</v>
      </c>
      <c r="D268" s="796">
        <v>15.0</v>
      </c>
      <c r="E268" s="796">
        <v>9.0</v>
      </c>
      <c r="F268" s="796">
        <v>16.0</v>
      </c>
      <c r="G268" s="796">
        <v>5.0</v>
      </c>
      <c r="H268" s="796">
        <v>10.0</v>
      </c>
      <c r="I268" s="796">
        <v>6.0</v>
      </c>
      <c r="J268" s="796">
        <v>7.0</v>
      </c>
      <c r="K268" s="114">
        <v>5.0</v>
      </c>
      <c r="L268" s="114">
        <v>5.0</v>
      </c>
      <c r="M268" s="114">
        <v>7.0</v>
      </c>
      <c r="N268" s="114">
        <v>15.0</v>
      </c>
      <c r="O268" s="114">
        <v>11.0</v>
      </c>
      <c r="P268" s="114">
        <v>7.0</v>
      </c>
      <c r="Q268" s="114">
        <v>11.0</v>
      </c>
      <c r="R268" s="114">
        <v>14.0</v>
      </c>
      <c r="S268" s="114">
        <v>18.0</v>
      </c>
      <c r="T268" s="114">
        <v>13.0</v>
      </c>
      <c r="U268" s="114">
        <v>19.0</v>
      </c>
      <c r="V268" s="114">
        <v>16.0</v>
      </c>
      <c r="W268" s="114">
        <v>19.0</v>
      </c>
      <c r="X268" s="114">
        <v>25.0</v>
      </c>
      <c r="Y268" s="114">
        <v>37.0</v>
      </c>
      <c r="Z268" s="114">
        <v>20.0</v>
      </c>
      <c r="AA268" s="114">
        <v>26.0</v>
      </c>
      <c r="AB268" s="114">
        <v>23.0</v>
      </c>
      <c r="AC268" s="114">
        <v>7.0</v>
      </c>
      <c r="AD268" s="114">
        <v>6.0</v>
      </c>
      <c r="AE268" s="114">
        <v>5.0</v>
      </c>
      <c r="AF268" s="114"/>
      <c r="AG268" s="693">
        <f t="shared" si="88"/>
        <v>397</v>
      </c>
    </row>
    <row r="269" outlineLevel="1">
      <c r="A269" s="790" t="s">
        <v>1050</v>
      </c>
      <c r="B269" s="796">
        <v>2.0</v>
      </c>
      <c r="C269" s="796">
        <v>2.0</v>
      </c>
      <c r="D269" s="796">
        <v>1.0</v>
      </c>
      <c r="E269" s="796">
        <v>1.0</v>
      </c>
      <c r="F269" s="796">
        <v>0.0</v>
      </c>
      <c r="G269" s="796">
        <v>0.0</v>
      </c>
      <c r="H269" s="796">
        <v>0.0</v>
      </c>
      <c r="I269" s="796">
        <v>0.0</v>
      </c>
      <c r="J269" s="796">
        <v>1.0</v>
      </c>
      <c r="K269" s="114">
        <v>1.0</v>
      </c>
      <c r="L269" s="114">
        <v>1.0</v>
      </c>
      <c r="M269" s="114">
        <v>1.0</v>
      </c>
      <c r="N269" s="114">
        <v>2.0</v>
      </c>
      <c r="O269" s="114">
        <v>3.0</v>
      </c>
      <c r="P269" s="114">
        <v>3.0</v>
      </c>
      <c r="Q269" s="114">
        <v>0.0</v>
      </c>
      <c r="R269" s="114">
        <v>1.0</v>
      </c>
      <c r="S269" s="120">
        <v>1.0</v>
      </c>
      <c r="T269" s="120">
        <v>0.0</v>
      </c>
      <c r="U269" s="114">
        <v>1.0</v>
      </c>
      <c r="V269" s="114">
        <v>3.0</v>
      </c>
      <c r="W269" s="114">
        <v>4.0</v>
      </c>
      <c r="X269" s="114">
        <v>8.0</v>
      </c>
      <c r="Y269" s="114">
        <v>8.0</v>
      </c>
      <c r="Z269" s="114">
        <v>2.0</v>
      </c>
      <c r="AA269" s="114">
        <v>8.0</v>
      </c>
      <c r="AB269" s="114">
        <v>2.0</v>
      </c>
      <c r="AC269" s="114">
        <v>2.0</v>
      </c>
      <c r="AD269" s="114">
        <v>1.0</v>
      </c>
      <c r="AE269" s="114">
        <v>5.0</v>
      </c>
      <c r="AF269" s="114"/>
      <c r="AG269" s="693">
        <f t="shared" si="88"/>
        <v>64</v>
      </c>
    </row>
    <row r="270">
      <c r="A270" s="811" t="s">
        <v>1052</v>
      </c>
      <c r="B270" s="160">
        <f t="shared" ref="B270:AF270" si="89">SUM(B261:B269)</f>
        <v>68</v>
      </c>
      <c r="C270" s="160">
        <f t="shared" si="89"/>
        <v>50</v>
      </c>
      <c r="D270" s="160">
        <f t="shared" si="89"/>
        <v>55</v>
      </c>
      <c r="E270" s="160">
        <f t="shared" si="89"/>
        <v>42</v>
      </c>
      <c r="F270" s="160">
        <f t="shared" si="89"/>
        <v>49</v>
      </c>
      <c r="G270" s="160">
        <f t="shared" si="89"/>
        <v>28</v>
      </c>
      <c r="H270" s="160">
        <f t="shared" si="89"/>
        <v>40</v>
      </c>
      <c r="I270" s="160">
        <f t="shared" si="89"/>
        <v>29</v>
      </c>
      <c r="J270" s="160">
        <f t="shared" si="89"/>
        <v>37</v>
      </c>
      <c r="K270" s="160">
        <f t="shared" si="89"/>
        <v>34</v>
      </c>
      <c r="L270" s="160">
        <f t="shared" si="89"/>
        <v>24</v>
      </c>
      <c r="M270" s="160">
        <f t="shared" si="89"/>
        <v>47</v>
      </c>
      <c r="N270" s="160">
        <f t="shared" si="89"/>
        <v>60</v>
      </c>
      <c r="O270" s="160">
        <f t="shared" si="89"/>
        <v>53</v>
      </c>
      <c r="P270" s="160">
        <f t="shared" si="89"/>
        <v>70</v>
      </c>
      <c r="Q270" s="160">
        <f t="shared" si="89"/>
        <v>65</v>
      </c>
      <c r="R270" s="160">
        <f t="shared" si="89"/>
        <v>56</v>
      </c>
      <c r="S270" s="160">
        <f t="shared" si="89"/>
        <v>96</v>
      </c>
      <c r="T270" s="160">
        <f t="shared" si="89"/>
        <v>63</v>
      </c>
      <c r="U270" s="160">
        <f t="shared" si="89"/>
        <v>103</v>
      </c>
      <c r="V270" s="160">
        <f t="shared" si="89"/>
        <v>81</v>
      </c>
      <c r="W270" s="160">
        <f t="shared" si="89"/>
        <v>142</v>
      </c>
      <c r="X270" s="160">
        <f t="shared" si="89"/>
        <v>166</v>
      </c>
      <c r="Y270" s="160">
        <f t="shared" si="89"/>
        <v>275</v>
      </c>
      <c r="Z270" s="160">
        <f t="shared" si="89"/>
        <v>113</v>
      </c>
      <c r="AA270" s="160">
        <f t="shared" si="89"/>
        <v>205</v>
      </c>
      <c r="AB270" s="160">
        <f t="shared" si="89"/>
        <v>135</v>
      </c>
      <c r="AC270" s="160">
        <f t="shared" si="89"/>
        <v>43</v>
      </c>
      <c r="AD270" s="160">
        <f t="shared" si="89"/>
        <v>11</v>
      </c>
      <c r="AE270" s="160">
        <f t="shared" si="89"/>
        <v>24</v>
      </c>
      <c r="AF270" s="160">
        <f t="shared" si="89"/>
        <v>0</v>
      </c>
      <c r="AG270" s="693">
        <f t="shared" si="88"/>
        <v>2264</v>
      </c>
    </row>
    <row r="271">
      <c r="A271" s="25"/>
      <c r="B271" s="661"/>
      <c r="C271" s="661"/>
      <c r="D271" s="661"/>
      <c r="E271" s="661"/>
      <c r="F271" s="661"/>
      <c r="G271" s="661"/>
      <c r="H271" s="661"/>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693"/>
    </row>
    <row r="272" collapsed="1">
      <c r="A272" s="790" t="s">
        <v>1053</v>
      </c>
      <c r="B272" s="754"/>
      <c r="C272" s="342"/>
      <c r="D272" s="342"/>
      <c r="E272" s="342"/>
      <c r="F272" s="342"/>
      <c r="G272" s="342"/>
      <c r="H272" s="342"/>
      <c r="I272" s="342"/>
      <c r="J272" s="342"/>
      <c r="K272" s="342"/>
      <c r="L272" s="342"/>
      <c r="M272" s="342"/>
      <c r="N272" s="342"/>
      <c r="O272" s="342"/>
      <c r="P272" s="342"/>
      <c r="Q272" s="342"/>
      <c r="R272" s="342"/>
      <c r="S272" s="342"/>
      <c r="T272" s="342"/>
      <c r="U272" s="342"/>
      <c r="V272" s="342"/>
      <c r="W272" s="342"/>
      <c r="X272" s="342"/>
      <c r="Y272" s="342"/>
      <c r="Z272" s="342"/>
      <c r="AA272" s="342"/>
      <c r="AB272" s="342"/>
      <c r="AC272" s="342"/>
      <c r="AD272" s="342"/>
      <c r="AE272" s="342"/>
      <c r="AF272" s="342"/>
      <c r="AG272" s="693"/>
    </row>
    <row r="273" hidden="1" outlineLevel="1">
      <c r="A273" s="790" t="s">
        <v>1054</v>
      </c>
      <c r="B273" s="754"/>
      <c r="C273" s="342"/>
      <c r="D273" s="342"/>
      <c r="E273" s="342"/>
      <c r="F273" s="342"/>
      <c r="G273" s="342"/>
      <c r="H273" s="342"/>
      <c r="I273" s="342"/>
      <c r="J273" s="342"/>
      <c r="K273" s="342"/>
      <c r="L273" s="342"/>
      <c r="M273" s="342"/>
      <c r="N273" s="342"/>
      <c r="O273" s="342"/>
      <c r="P273" s="342"/>
      <c r="Q273" s="342"/>
      <c r="R273" s="342"/>
      <c r="S273" s="342"/>
      <c r="T273" s="342"/>
      <c r="U273" s="342"/>
      <c r="V273" s="342"/>
      <c r="W273" s="342"/>
      <c r="X273" s="342"/>
      <c r="Y273" s="342"/>
      <c r="Z273" s="342"/>
      <c r="AA273" s="342"/>
      <c r="AB273" s="342"/>
      <c r="AC273" s="342"/>
      <c r="AD273" s="342"/>
      <c r="AE273" s="342"/>
      <c r="AF273" s="342"/>
      <c r="AG273" s="693">
        <f t="shared" ref="AG273:AG276" si="90">sum(B273:AE273)</f>
        <v>0</v>
      </c>
    </row>
    <row r="274" hidden="1" outlineLevel="1">
      <c r="A274" s="790" t="s">
        <v>1056</v>
      </c>
      <c r="B274" s="754"/>
      <c r="C274" s="444"/>
      <c r="D274" s="342"/>
      <c r="E274" s="342"/>
      <c r="F274" s="342"/>
      <c r="G274" s="342"/>
      <c r="H274" s="342"/>
      <c r="I274" s="342"/>
      <c r="J274" s="342"/>
      <c r="K274" s="342"/>
      <c r="L274" s="342"/>
      <c r="M274" s="342"/>
      <c r="N274" s="342"/>
      <c r="O274" s="342"/>
      <c r="P274" s="342"/>
      <c r="Q274" s="342"/>
      <c r="R274" s="342"/>
      <c r="S274" s="342"/>
      <c r="T274" s="342"/>
      <c r="U274" s="342"/>
      <c r="V274" s="342"/>
      <c r="W274" s="342"/>
      <c r="X274" s="342"/>
      <c r="Y274" s="342"/>
      <c r="Z274" s="342"/>
      <c r="AA274" s="342"/>
      <c r="AB274" s="342"/>
      <c r="AC274" s="342"/>
      <c r="AD274" s="342"/>
      <c r="AE274" s="342"/>
      <c r="AF274" s="342"/>
      <c r="AG274" s="693">
        <f t="shared" si="90"/>
        <v>0</v>
      </c>
    </row>
    <row r="275" hidden="1" outlineLevel="1">
      <c r="A275" s="790" t="s">
        <v>1057</v>
      </c>
      <c r="B275" s="754"/>
      <c r="C275" s="342"/>
      <c r="D275" s="342"/>
      <c r="E275" s="342"/>
      <c r="F275" s="342"/>
      <c r="G275" s="342"/>
      <c r="H275" s="342"/>
      <c r="I275" s="342"/>
      <c r="J275" s="342"/>
      <c r="K275" s="342"/>
      <c r="L275" s="342"/>
      <c r="M275" s="342"/>
      <c r="N275" s="342"/>
      <c r="O275" s="342"/>
      <c r="P275" s="342"/>
      <c r="Q275" s="342"/>
      <c r="R275" s="342"/>
      <c r="S275" s="342"/>
      <c r="T275" s="342"/>
      <c r="U275" s="342"/>
      <c r="V275" s="342"/>
      <c r="W275" s="342"/>
      <c r="X275" s="342"/>
      <c r="Y275" s="342"/>
      <c r="Z275" s="342"/>
      <c r="AA275" s="342"/>
      <c r="AB275" s="342"/>
      <c r="AC275" s="342"/>
      <c r="AD275" s="342"/>
      <c r="AE275" s="342"/>
      <c r="AF275" s="342"/>
      <c r="AG275" s="693">
        <f t="shared" si="90"/>
        <v>0</v>
      </c>
    </row>
    <row r="276" hidden="1" outlineLevel="1">
      <c r="A276" s="790" t="s">
        <v>1058</v>
      </c>
      <c r="B276" s="754"/>
      <c r="C276" s="342"/>
      <c r="D276" s="342"/>
      <c r="E276" s="342"/>
      <c r="F276" s="342"/>
      <c r="G276" s="342"/>
      <c r="H276" s="342"/>
      <c r="I276" s="342"/>
      <c r="J276" s="342"/>
      <c r="K276" s="342"/>
      <c r="L276" s="342"/>
      <c r="M276" s="342"/>
      <c r="N276" s="342"/>
      <c r="O276" s="342"/>
      <c r="P276" s="342"/>
      <c r="Q276" s="342"/>
      <c r="R276" s="342"/>
      <c r="S276" s="342"/>
      <c r="T276" s="342"/>
      <c r="U276" s="342"/>
      <c r="V276" s="342"/>
      <c r="W276" s="342"/>
      <c r="X276" s="342"/>
      <c r="Y276" s="342"/>
      <c r="Z276" s="342"/>
      <c r="AA276" s="342"/>
      <c r="AB276" s="342"/>
      <c r="AC276" s="342"/>
      <c r="AD276" s="342"/>
      <c r="AE276" s="342"/>
      <c r="AF276" s="342"/>
      <c r="AG276" s="693">
        <f t="shared" si="90"/>
        <v>0</v>
      </c>
    </row>
    <row r="277" hidden="1" outlineLevel="1">
      <c r="A277" s="790" t="s">
        <v>1059</v>
      </c>
      <c r="B277" s="754"/>
      <c r="C277" s="342"/>
      <c r="D277" s="342"/>
      <c r="E277" s="342"/>
      <c r="F277" s="342"/>
      <c r="G277" s="342"/>
      <c r="H277" s="342"/>
      <c r="I277" s="342"/>
      <c r="J277" s="342"/>
      <c r="K277" s="342"/>
      <c r="L277" s="342"/>
      <c r="M277" s="342"/>
      <c r="N277" s="342"/>
      <c r="O277" s="342"/>
      <c r="P277" s="342"/>
      <c r="Q277" s="342"/>
      <c r="R277" s="342"/>
      <c r="S277" s="342"/>
      <c r="T277" s="342"/>
      <c r="U277" s="342"/>
      <c r="V277" s="342"/>
      <c r="W277" s="342"/>
      <c r="X277" s="342"/>
      <c r="Y277" s="342"/>
      <c r="Z277" s="342"/>
      <c r="AA277" s="342"/>
      <c r="AB277" s="342"/>
      <c r="AC277" s="342"/>
      <c r="AD277" s="342"/>
      <c r="AE277" s="342"/>
      <c r="AF277" s="342"/>
      <c r="AG277" s="693"/>
    </row>
    <row r="278" hidden="1" outlineLevel="1">
      <c r="A278" s="790" t="s">
        <v>1060</v>
      </c>
      <c r="B278" s="342"/>
      <c r="C278" s="444"/>
      <c r="D278" s="342"/>
      <c r="E278" s="342"/>
      <c r="F278" s="342"/>
      <c r="G278" s="342"/>
      <c r="H278" s="342"/>
      <c r="I278" s="342"/>
      <c r="J278" s="342"/>
      <c r="K278" s="342"/>
      <c r="L278" s="342"/>
      <c r="M278" s="342"/>
      <c r="N278" s="342"/>
      <c r="O278" s="342"/>
      <c r="P278" s="342"/>
      <c r="Q278" s="342"/>
      <c r="R278" s="342"/>
      <c r="S278" s="342"/>
      <c r="T278" s="342"/>
      <c r="U278" s="342"/>
      <c r="V278" s="342"/>
      <c r="W278" s="342"/>
      <c r="X278" s="342"/>
      <c r="Y278" s="342"/>
      <c r="Z278" s="342"/>
      <c r="AA278" s="342"/>
      <c r="AB278" s="342"/>
      <c r="AC278" s="342"/>
      <c r="AD278" s="342"/>
      <c r="AE278" s="342"/>
      <c r="AF278" s="342"/>
      <c r="AG278" s="693">
        <f>sum(B278:AE278)</f>
        <v>0</v>
      </c>
    </row>
    <row r="279" hidden="1" outlineLevel="1">
      <c r="A279" s="790" t="s">
        <v>1062</v>
      </c>
      <c r="B279" s="342"/>
      <c r="C279" s="444"/>
      <c r="D279" s="342"/>
      <c r="E279" s="342"/>
      <c r="F279" s="342"/>
      <c r="G279" s="342"/>
      <c r="H279" s="342"/>
      <c r="I279" s="342"/>
      <c r="J279" s="342"/>
      <c r="K279" s="342"/>
      <c r="L279" s="342"/>
      <c r="M279" s="342"/>
      <c r="N279" s="342"/>
      <c r="O279" s="342"/>
      <c r="P279" s="342"/>
      <c r="Q279" s="342"/>
      <c r="R279" s="342"/>
      <c r="S279" s="342"/>
      <c r="T279" s="342"/>
      <c r="U279" s="342"/>
      <c r="V279" s="342"/>
      <c r="W279" s="342"/>
      <c r="X279" s="342"/>
      <c r="Y279" s="342"/>
      <c r="Z279" s="342"/>
      <c r="AA279" s="342"/>
      <c r="AB279" s="342"/>
      <c r="AC279" s="342"/>
      <c r="AD279" s="342"/>
      <c r="AE279" s="342"/>
      <c r="AF279" s="342"/>
      <c r="AG279" s="693"/>
    </row>
    <row r="280" hidden="1" outlineLevel="1">
      <c r="A280" s="819" t="s">
        <v>1063</v>
      </c>
      <c r="B280" s="342"/>
      <c r="C280" s="444"/>
      <c r="D280" s="342"/>
      <c r="E280" s="342"/>
      <c r="F280" s="342"/>
      <c r="G280" s="342"/>
      <c r="H280" s="342"/>
      <c r="I280" s="342"/>
      <c r="J280" s="342"/>
      <c r="K280" s="342"/>
      <c r="L280" s="342"/>
      <c r="M280" s="342"/>
      <c r="N280" s="342"/>
      <c r="O280" s="342"/>
      <c r="P280" s="342"/>
      <c r="Q280" s="342"/>
      <c r="R280" s="342"/>
      <c r="S280" s="342"/>
      <c r="T280" s="342"/>
      <c r="U280" s="342"/>
      <c r="V280" s="342"/>
      <c r="W280" s="342"/>
      <c r="X280" s="342"/>
      <c r="Y280" s="342"/>
      <c r="Z280" s="342"/>
      <c r="AA280" s="342"/>
      <c r="AB280" s="342"/>
      <c r="AC280" s="342"/>
      <c r="AD280" s="342"/>
      <c r="AE280" s="342"/>
      <c r="AF280" s="342"/>
      <c r="AG280" s="693"/>
    </row>
    <row r="281" hidden="1" outlineLevel="1">
      <c r="A281" s="819" t="s">
        <v>1064</v>
      </c>
      <c r="B281" s="342"/>
      <c r="C281" s="444"/>
      <c r="D281" s="342"/>
      <c r="E281" s="342"/>
      <c r="F281" s="342"/>
      <c r="G281" s="342"/>
      <c r="H281" s="342"/>
      <c r="I281" s="342"/>
      <c r="J281" s="342"/>
      <c r="K281" s="342"/>
      <c r="L281" s="342"/>
      <c r="M281" s="342"/>
      <c r="N281" s="342"/>
      <c r="O281" s="342"/>
      <c r="P281" s="342"/>
      <c r="Q281" s="342"/>
      <c r="R281" s="342"/>
      <c r="S281" s="342"/>
      <c r="T281" s="342"/>
      <c r="U281" s="342"/>
      <c r="V281" s="342"/>
      <c r="W281" s="342"/>
      <c r="X281" s="342"/>
      <c r="Y281" s="342"/>
      <c r="Z281" s="342"/>
      <c r="AA281" s="342"/>
      <c r="AB281" s="342"/>
      <c r="AC281" s="342"/>
      <c r="AD281" s="342"/>
      <c r="AE281" s="342"/>
      <c r="AF281" s="342"/>
      <c r="AG281" s="693"/>
    </row>
    <row r="282">
      <c r="A282" s="811" t="s">
        <v>1066</v>
      </c>
      <c r="B282" s="160">
        <f t="shared" ref="B282:AF282" si="91">SUM(B273:B281)</f>
        <v>0</v>
      </c>
      <c r="C282" s="160">
        <f t="shared" si="91"/>
        <v>0</v>
      </c>
      <c r="D282" s="160">
        <f t="shared" si="91"/>
        <v>0</v>
      </c>
      <c r="E282" s="160">
        <f t="shared" si="91"/>
        <v>0</v>
      </c>
      <c r="F282" s="160">
        <f t="shared" si="91"/>
        <v>0</v>
      </c>
      <c r="G282" s="160">
        <f t="shared" si="91"/>
        <v>0</v>
      </c>
      <c r="H282" s="160">
        <f t="shared" si="91"/>
        <v>0</v>
      </c>
      <c r="I282" s="160">
        <f t="shared" si="91"/>
        <v>0</v>
      </c>
      <c r="J282" s="160">
        <f t="shared" si="91"/>
        <v>0</v>
      </c>
      <c r="K282" s="160">
        <f t="shared" si="91"/>
        <v>0</v>
      </c>
      <c r="L282" s="160">
        <f t="shared" si="91"/>
        <v>0</v>
      </c>
      <c r="M282" s="160">
        <f t="shared" si="91"/>
        <v>0</v>
      </c>
      <c r="N282" s="160">
        <f t="shared" si="91"/>
        <v>0</v>
      </c>
      <c r="O282" s="160">
        <f t="shared" si="91"/>
        <v>0</v>
      </c>
      <c r="P282" s="160">
        <f t="shared" si="91"/>
        <v>0</v>
      </c>
      <c r="Q282" s="160">
        <f t="shared" si="91"/>
        <v>0</v>
      </c>
      <c r="R282" s="160">
        <f t="shared" si="91"/>
        <v>0</v>
      </c>
      <c r="S282" s="160">
        <f t="shared" si="91"/>
        <v>0</v>
      </c>
      <c r="T282" s="160">
        <f t="shared" si="91"/>
        <v>0</v>
      </c>
      <c r="U282" s="160">
        <f t="shared" si="91"/>
        <v>0</v>
      </c>
      <c r="V282" s="160">
        <f t="shared" si="91"/>
        <v>0</v>
      </c>
      <c r="W282" s="160">
        <f t="shared" si="91"/>
        <v>0</v>
      </c>
      <c r="X282" s="160">
        <f t="shared" si="91"/>
        <v>0</v>
      </c>
      <c r="Y282" s="160">
        <f t="shared" si="91"/>
        <v>0</v>
      </c>
      <c r="Z282" s="160">
        <f t="shared" si="91"/>
        <v>0</v>
      </c>
      <c r="AA282" s="160">
        <f t="shared" si="91"/>
        <v>0</v>
      </c>
      <c r="AB282" s="160">
        <f t="shared" si="91"/>
        <v>0</v>
      </c>
      <c r="AC282" s="160">
        <f t="shared" si="91"/>
        <v>0</v>
      </c>
      <c r="AD282" s="160">
        <f t="shared" si="91"/>
        <v>0</v>
      </c>
      <c r="AE282" s="160">
        <f t="shared" si="91"/>
        <v>0</v>
      </c>
      <c r="AF282" s="160">
        <f t="shared" si="91"/>
        <v>0</v>
      </c>
      <c r="AG282" s="693">
        <f>sum(B282:AF282)</f>
        <v>0</v>
      </c>
    </row>
    <row r="283">
      <c r="A283" s="25"/>
      <c r="B283" s="661"/>
      <c r="C283" s="661"/>
      <c r="D283" s="661"/>
      <c r="E283" s="661"/>
      <c r="F283" s="661"/>
      <c r="G283" s="661"/>
      <c r="H283" s="661"/>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693"/>
    </row>
    <row r="284">
      <c r="A284" s="25"/>
      <c r="B284" s="661"/>
      <c r="C284" s="661"/>
      <c r="D284" s="661"/>
      <c r="E284" s="661"/>
      <c r="F284" s="661"/>
      <c r="G284" s="661"/>
      <c r="H284" s="661"/>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693"/>
    </row>
    <row r="285">
      <c r="A285" s="349" t="s">
        <v>1003</v>
      </c>
      <c r="B285" s="248"/>
      <c r="C285" s="243"/>
      <c r="D285" s="243"/>
      <c r="E285" s="243"/>
      <c r="F285" s="243"/>
      <c r="G285" s="243"/>
      <c r="H285" s="243"/>
      <c r="I285" s="243"/>
      <c r="J285" s="243"/>
      <c r="K285" s="243"/>
      <c r="L285" s="243"/>
      <c r="M285" s="243"/>
      <c r="N285" s="243"/>
      <c r="O285" s="243"/>
      <c r="P285" s="243"/>
      <c r="Q285" s="243"/>
      <c r="R285" s="243"/>
      <c r="S285" s="243"/>
      <c r="T285" s="243"/>
      <c r="U285" s="243"/>
      <c r="V285" s="243"/>
      <c r="W285" s="243"/>
      <c r="X285" s="243"/>
      <c r="Y285" s="243"/>
      <c r="Z285" s="243"/>
      <c r="AA285" s="243"/>
      <c r="AB285" s="243"/>
      <c r="AC285" s="243"/>
      <c r="AD285" s="243"/>
      <c r="AE285" s="243"/>
      <c r="AF285" s="243"/>
      <c r="AG285" s="693"/>
    </row>
    <row r="286">
      <c r="A286" s="790" t="s">
        <v>1070</v>
      </c>
      <c r="B286" s="791"/>
      <c r="C286" s="791"/>
      <c r="D286" s="792"/>
      <c r="E286" s="792"/>
      <c r="F286" s="792"/>
      <c r="G286" s="792"/>
      <c r="H286" s="792"/>
      <c r="I286" s="792"/>
      <c r="J286" s="792"/>
      <c r="K286" s="791"/>
      <c r="L286" s="791"/>
      <c r="M286" s="791"/>
      <c r="N286" s="791"/>
      <c r="O286" s="791"/>
      <c r="P286" s="791"/>
      <c r="Q286" s="791"/>
      <c r="R286" s="791"/>
      <c r="S286" s="791"/>
      <c r="T286" s="791"/>
      <c r="U286" s="791"/>
      <c r="V286" s="791"/>
      <c r="W286" s="791"/>
      <c r="X286" s="791"/>
      <c r="Y286" s="791"/>
      <c r="Z286" s="791"/>
      <c r="AA286" s="791"/>
      <c r="AB286" s="791"/>
      <c r="AC286" s="791"/>
      <c r="AD286" s="791"/>
      <c r="AE286" s="791"/>
      <c r="AF286" s="791"/>
      <c r="AG286" s="600"/>
    </row>
    <row r="287" outlineLevel="1">
      <c r="A287" s="790" t="s">
        <v>1072</v>
      </c>
      <c r="B287" s="248">
        <v>22750.5</v>
      </c>
      <c r="C287" s="248">
        <v>22852.3</v>
      </c>
      <c r="D287" s="248">
        <v>23987.0</v>
      </c>
      <c r="E287" s="248">
        <v>29491.66</v>
      </c>
      <c r="F287" s="248">
        <v>33784.66</v>
      </c>
      <c r="G287" s="248">
        <v>28403.53</v>
      </c>
      <c r="H287" s="248">
        <v>25362.99</v>
      </c>
      <c r="I287" s="248">
        <v>23902.0</v>
      </c>
      <c r="J287" s="248">
        <v>26899.83</v>
      </c>
      <c r="K287" s="248">
        <v>27451.0</v>
      </c>
      <c r="L287" s="248">
        <v>25254.65</v>
      </c>
      <c r="M287" s="248">
        <v>26868.99</v>
      </c>
      <c r="N287" s="248">
        <v>23131.0</v>
      </c>
      <c r="O287" s="248">
        <v>23008.66</v>
      </c>
      <c r="P287" s="248">
        <v>23463.99</v>
      </c>
      <c r="Q287" s="248">
        <v>22172.0</v>
      </c>
      <c r="R287" s="248">
        <v>27000.33</v>
      </c>
      <c r="S287" s="248">
        <v>32016.99</v>
      </c>
      <c r="T287" s="248">
        <v>30786.65</v>
      </c>
      <c r="U287" s="248">
        <v>31951.33</v>
      </c>
      <c r="V287" s="248">
        <v>37600.2</v>
      </c>
      <c r="W287" s="248">
        <v>51827.98</v>
      </c>
      <c r="X287" s="248">
        <v>58884.0</v>
      </c>
      <c r="Y287" s="248">
        <v>194179.18</v>
      </c>
      <c r="Z287" s="248">
        <v>102190.63</v>
      </c>
      <c r="AA287" s="248">
        <v>88652.13</v>
      </c>
      <c r="AB287" s="248">
        <v>122840.24</v>
      </c>
      <c r="AC287" s="248">
        <v>97902.15</v>
      </c>
      <c r="AD287" s="248">
        <v>8494.0</v>
      </c>
      <c r="AE287" s="248">
        <v>10591.6</v>
      </c>
      <c r="AF287" s="248"/>
      <c r="AG287" s="600">
        <f t="shared" ref="AG287:AG290" si="92">SUM(B287:AF287)</f>
        <v>1303702.17</v>
      </c>
    </row>
    <row r="288" outlineLevel="1">
      <c r="A288" s="790" t="s">
        <v>1074</v>
      </c>
      <c r="B288" s="248">
        <v>676.0</v>
      </c>
      <c r="C288" s="248">
        <v>1511.0</v>
      </c>
      <c r="D288" s="248">
        <v>169.0</v>
      </c>
      <c r="E288" s="248">
        <v>669.33</v>
      </c>
      <c r="F288" s="248">
        <v>1179.66</v>
      </c>
      <c r="G288" s="248">
        <v>1173.0</v>
      </c>
      <c r="H288" s="248">
        <v>1352.0</v>
      </c>
      <c r="I288" s="248">
        <v>676.0</v>
      </c>
      <c r="J288" s="248">
        <v>1183.0</v>
      </c>
      <c r="K288" s="248">
        <v>1004.0</v>
      </c>
      <c r="L288" s="248">
        <v>1183.0</v>
      </c>
      <c r="M288" s="248">
        <v>2026.34</v>
      </c>
      <c r="N288" s="248">
        <v>1183.0</v>
      </c>
      <c r="O288" s="248">
        <v>1183.0</v>
      </c>
      <c r="P288" s="248">
        <v>835.0</v>
      </c>
      <c r="Q288" s="248">
        <v>1173.0</v>
      </c>
      <c r="R288" s="248">
        <v>1501.0</v>
      </c>
      <c r="S288" s="248">
        <v>2170.33</v>
      </c>
      <c r="T288" s="248">
        <v>2704.0</v>
      </c>
      <c r="U288" s="248">
        <v>2873.0</v>
      </c>
      <c r="V288" s="248">
        <v>3022.0</v>
      </c>
      <c r="W288" s="248">
        <v>6912.33</v>
      </c>
      <c r="X288" s="248">
        <v>6046.0</v>
      </c>
      <c r="Y288" s="248">
        <v>18691.5</v>
      </c>
      <c r="Z288" s="248">
        <v>11989.0</v>
      </c>
      <c r="AA288" s="248">
        <v>10497.0</v>
      </c>
      <c r="AB288" s="248">
        <v>9106.0</v>
      </c>
      <c r="AC288" s="248">
        <v>8637.0</v>
      </c>
      <c r="AD288" s="248">
        <v>3077.0</v>
      </c>
      <c r="AE288" s="248">
        <v>2108.48</v>
      </c>
      <c r="AF288" s="248"/>
      <c r="AG288" s="600">
        <f t="shared" si="92"/>
        <v>106510.97</v>
      </c>
    </row>
    <row r="289" outlineLevel="1">
      <c r="A289" s="790" t="s">
        <v>1075</v>
      </c>
      <c r="B289" s="248">
        <v>44009.94</v>
      </c>
      <c r="C289" s="823">
        <v>46507.44</v>
      </c>
      <c r="D289" s="823">
        <v>48238.82</v>
      </c>
      <c r="E289" s="823">
        <v>47896.49</v>
      </c>
      <c r="F289" s="823">
        <v>50569.14</v>
      </c>
      <c r="G289" s="823">
        <v>52111.98</v>
      </c>
      <c r="H289" s="823">
        <v>50105.8</v>
      </c>
      <c r="I289" s="824">
        <v>51133.27</v>
      </c>
      <c r="J289" s="823">
        <v>52222.32</v>
      </c>
      <c r="K289" s="248">
        <v>52875.98</v>
      </c>
      <c r="L289" s="248">
        <v>83523.57</v>
      </c>
      <c r="M289" s="248">
        <v>72435.49</v>
      </c>
      <c r="N289" s="248">
        <v>53705.49</v>
      </c>
      <c r="O289" s="248">
        <v>65445.98</v>
      </c>
      <c r="P289" s="248">
        <v>55336.43</v>
      </c>
      <c r="Q289" s="248">
        <v>52299.83</v>
      </c>
      <c r="R289" s="248">
        <v>52310.82</v>
      </c>
      <c r="S289" s="248">
        <v>71068.8</v>
      </c>
      <c r="T289" s="248">
        <v>51618.66</v>
      </c>
      <c r="U289" s="248">
        <v>66764.3</v>
      </c>
      <c r="V289" s="248">
        <v>69169.66</v>
      </c>
      <c r="W289" s="248">
        <v>100280.33</v>
      </c>
      <c r="X289" s="248">
        <v>128710.46</v>
      </c>
      <c r="Y289" s="248">
        <v>340784.5</v>
      </c>
      <c r="Z289" s="248">
        <v>155781.19</v>
      </c>
      <c r="AA289" s="248">
        <v>191291.75</v>
      </c>
      <c r="AB289" s="248">
        <v>259142.85</v>
      </c>
      <c r="AC289" s="248">
        <v>144911.24</v>
      </c>
      <c r="AD289" s="248">
        <v>13979.83</v>
      </c>
      <c r="AE289" s="248">
        <v>11006.5</v>
      </c>
      <c r="AF289" s="248"/>
      <c r="AG289" s="600">
        <f t="shared" si="92"/>
        <v>2535238.86</v>
      </c>
    </row>
    <row r="290" outlineLevel="1">
      <c r="A290" s="790" t="s">
        <v>1076</v>
      </c>
      <c r="B290" s="248">
        <v>4325.66</v>
      </c>
      <c r="C290" s="823">
        <v>4495.3</v>
      </c>
      <c r="D290" s="823">
        <v>6429.0</v>
      </c>
      <c r="E290" s="823">
        <v>5135.0</v>
      </c>
      <c r="F290" s="823">
        <v>5763.66</v>
      </c>
      <c r="G290" s="823">
        <v>5189.0</v>
      </c>
      <c r="H290" s="823">
        <v>4712.0</v>
      </c>
      <c r="I290" s="823">
        <v>6161.0</v>
      </c>
      <c r="J290" s="823">
        <v>5611.0</v>
      </c>
      <c r="K290" s="248">
        <v>4524.66</v>
      </c>
      <c r="L290" s="248">
        <v>5587.1</v>
      </c>
      <c r="M290" s="248">
        <v>6550.65</v>
      </c>
      <c r="N290" s="248">
        <v>4921.0</v>
      </c>
      <c r="O290" s="248">
        <v>6410.66</v>
      </c>
      <c r="P290" s="248">
        <v>6616.33</v>
      </c>
      <c r="Q290" s="248">
        <v>3051.66</v>
      </c>
      <c r="R290" s="248">
        <v>4111.66</v>
      </c>
      <c r="S290" s="248">
        <v>5543.0</v>
      </c>
      <c r="T290" s="248">
        <v>9312.66</v>
      </c>
      <c r="U290" s="248">
        <v>10144.33</v>
      </c>
      <c r="V290" s="248">
        <v>14127.15</v>
      </c>
      <c r="W290" s="248">
        <v>18320.66</v>
      </c>
      <c r="X290" s="248">
        <v>25332.65</v>
      </c>
      <c r="Y290" s="248">
        <v>57473.62</v>
      </c>
      <c r="Z290" s="248">
        <v>34735.93</v>
      </c>
      <c r="AA290" s="248">
        <v>28896.59</v>
      </c>
      <c r="AB290" s="248">
        <v>40914.65</v>
      </c>
      <c r="AC290" s="248">
        <v>45647.28</v>
      </c>
      <c r="AD290" s="248">
        <v>30924.1</v>
      </c>
      <c r="AE290" s="248">
        <v>23874.3</v>
      </c>
      <c r="AF290" s="248"/>
      <c r="AG290" s="600">
        <f t="shared" si="92"/>
        <v>434842.26</v>
      </c>
    </row>
    <row r="291" collapsed="1">
      <c r="A291" s="790" t="s">
        <v>1077</v>
      </c>
      <c r="B291" s="791"/>
      <c r="C291" s="791"/>
      <c r="D291" s="792"/>
      <c r="E291" s="792"/>
      <c r="F291" s="792"/>
      <c r="G291" s="792"/>
      <c r="H291" s="792"/>
      <c r="I291" s="792"/>
      <c r="J291" s="792"/>
      <c r="K291" s="791"/>
      <c r="L291" s="791"/>
      <c r="M291" s="791"/>
      <c r="N291" s="791"/>
      <c r="O291" s="791"/>
      <c r="P291" s="791"/>
      <c r="Q291" s="791"/>
      <c r="R291" s="791"/>
      <c r="S291" s="791"/>
      <c r="T291" s="791"/>
      <c r="U291" s="791"/>
      <c r="V291" s="791"/>
      <c r="W291" s="791"/>
      <c r="X291" s="791"/>
      <c r="Y291" s="791"/>
      <c r="Z291" s="791"/>
      <c r="AA291" s="791"/>
      <c r="AB291" s="791"/>
      <c r="AC291" s="791"/>
      <c r="AD291" s="791"/>
      <c r="AE291" s="791"/>
      <c r="AF291" s="791"/>
      <c r="AG291" s="600"/>
    </row>
    <row r="292" hidden="1" outlineLevel="1">
      <c r="A292" s="790" t="s">
        <v>1078</v>
      </c>
      <c r="B292" s="823">
        <v>1178.0</v>
      </c>
      <c r="C292" s="823">
        <v>1588.0</v>
      </c>
      <c r="D292" s="823">
        <v>1333.0</v>
      </c>
      <c r="E292" s="823">
        <v>676.0</v>
      </c>
      <c r="F292" s="823">
        <v>784.3</v>
      </c>
      <c r="G292" s="823">
        <v>1153.0</v>
      </c>
      <c r="H292" s="248">
        <v>656.0</v>
      </c>
      <c r="I292" s="248">
        <v>338.0</v>
      </c>
      <c r="J292" s="248">
        <v>835.0</v>
      </c>
      <c r="K292" s="248">
        <v>1368.9</v>
      </c>
      <c r="L292" s="248">
        <v>1143.0</v>
      </c>
      <c r="M292" s="248">
        <v>1352.0</v>
      </c>
      <c r="N292" s="825">
        <v>1471.0</v>
      </c>
      <c r="O292" s="248">
        <v>933.3</v>
      </c>
      <c r="P292" s="248">
        <v>1501.0</v>
      </c>
      <c r="Q292" s="248">
        <v>845.0</v>
      </c>
      <c r="R292" s="248">
        <v>994.0</v>
      </c>
      <c r="S292" s="248">
        <v>2535.0</v>
      </c>
      <c r="T292" s="248">
        <v>2316.0</v>
      </c>
      <c r="U292" s="248">
        <v>2167.66</v>
      </c>
      <c r="V292" s="248">
        <v>2524.15</v>
      </c>
      <c r="W292" s="248">
        <v>5334.9</v>
      </c>
      <c r="X292" s="248">
        <v>4772.2</v>
      </c>
      <c r="Y292" s="248">
        <v>6998.23</v>
      </c>
      <c r="Z292" s="248">
        <v>3467.8</v>
      </c>
      <c r="AA292" s="248">
        <v>4976.2</v>
      </c>
      <c r="AB292" s="248">
        <v>5148.3</v>
      </c>
      <c r="AC292" s="248">
        <v>915.0</v>
      </c>
      <c r="AD292" s="248">
        <v>219.0</v>
      </c>
      <c r="AE292" s="248">
        <v>697.0</v>
      </c>
      <c r="AF292" s="248"/>
      <c r="AG292" s="600">
        <f t="shared" ref="AG292:AG295" si="93">SUM(B292:AF292)</f>
        <v>60220.94</v>
      </c>
    </row>
    <row r="293" hidden="1" outlineLevel="1">
      <c r="A293" s="790" t="s">
        <v>1079</v>
      </c>
      <c r="B293" s="823">
        <v>169.0</v>
      </c>
      <c r="C293" s="823">
        <v>0.0</v>
      </c>
      <c r="D293" s="823">
        <v>169.0</v>
      </c>
      <c r="E293" s="823">
        <v>338.0</v>
      </c>
      <c r="F293" s="823">
        <v>169.0</v>
      </c>
      <c r="G293" s="823">
        <v>0.0</v>
      </c>
      <c r="H293" s="248">
        <v>338.0</v>
      </c>
      <c r="I293" s="248">
        <v>0.0</v>
      </c>
      <c r="J293" s="248">
        <v>0.0</v>
      </c>
      <c r="K293" s="248">
        <v>0.0</v>
      </c>
      <c r="L293" s="248">
        <v>0.0</v>
      </c>
      <c r="M293" s="248">
        <v>169.0</v>
      </c>
      <c r="N293" s="248">
        <v>159.0</v>
      </c>
      <c r="O293" s="248">
        <v>0.0</v>
      </c>
      <c r="P293" s="248">
        <v>0.0</v>
      </c>
      <c r="Q293" s="248">
        <v>0.0</v>
      </c>
      <c r="R293" s="248">
        <v>118.3</v>
      </c>
      <c r="S293" s="248">
        <v>159.0</v>
      </c>
      <c r="T293" s="248">
        <v>0.0</v>
      </c>
      <c r="U293" s="248">
        <v>338.0</v>
      </c>
      <c r="V293" s="248">
        <v>653.5</v>
      </c>
      <c r="W293" s="248">
        <v>1274.63</v>
      </c>
      <c r="X293" s="248">
        <v>1819.0</v>
      </c>
      <c r="Y293" s="248">
        <v>2316.0</v>
      </c>
      <c r="Z293" s="248">
        <v>328.0</v>
      </c>
      <c r="AA293" s="248">
        <v>1183.0</v>
      </c>
      <c r="AB293" s="248">
        <v>656.0</v>
      </c>
      <c r="AC293" s="248">
        <v>577.0</v>
      </c>
      <c r="AD293" s="248">
        <v>0.0</v>
      </c>
      <c r="AE293" s="248">
        <v>717.0</v>
      </c>
      <c r="AF293" s="248"/>
      <c r="AG293" s="600">
        <f t="shared" si="93"/>
        <v>11650.43</v>
      </c>
    </row>
    <row r="294" hidden="1" outlineLevel="1">
      <c r="A294" s="790" t="s">
        <v>1080</v>
      </c>
      <c r="B294" s="823">
        <v>4274.56</v>
      </c>
      <c r="C294" s="823">
        <v>2703.66</v>
      </c>
      <c r="D294" s="823">
        <v>2912.66</v>
      </c>
      <c r="E294" s="823">
        <v>3032.3</v>
      </c>
      <c r="F294" s="823">
        <v>3493.0</v>
      </c>
      <c r="G294" s="823">
        <v>2904.33</v>
      </c>
      <c r="H294" s="248">
        <v>3551.0</v>
      </c>
      <c r="I294" s="248">
        <v>1662.0</v>
      </c>
      <c r="J294" s="248">
        <v>2670.56</v>
      </c>
      <c r="K294" s="248">
        <v>1856.0</v>
      </c>
      <c r="L294" s="248">
        <v>836.0</v>
      </c>
      <c r="M294" s="248">
        <v>3473.0</v>
      </c>
      <c r="N294" s="248">
        <v>3927.5</v>
      </c>
      <c r="O294" s="248">
        <v>4746.0</v>
      </c>
      <c r="P294" s="248">
        <v>6208.0</v>
      </c>
      <c r="Q294" s="248">
        <v>6190.0</v>
      </c>
      <c r="R294" s="248">
        <v>4569.66</v>
      </c>
      <c r="S294" s="825">
        <v>7623.83</v>
      </c>
      <c r="T294" s="248">
        <v>7369.0</v>
      </c>
      <c r="U294" s="248">
        <v>10148.5</v>
      </c>
      <c r="V294" s="248">
        <v>8359.6</v>
      </c>
      <c r="W294" s="248">
        <v>16100.7</v>
      </c>
      <c r="X294" s="248">
        <v>11616.73</v>
      </c>
      <c r="Y294" s="248">
        <v>23295.55</v>
      </c>
      <c r="Z294" s="248">
        <v>10897.6</v>
      </c>
      <c r="AA294" s="248">
        <v>15586.3</v>
      </c>
      <c r="AB294" s="248">
        <v>12079.8</v>
      </c>
      <c r="AC294" s="248">
        <v>4310.0</v>
      </c>
      <c r="AD294" s="248">
        <v>1784.0</v>
      </c>
      <c r="AE294" s="248">
        <v>877.0</v>
      </c>
      <c r="AF294" s="248"/>
      <c r="AG294" s="600">
        <f t="shared" si="93"/>
        <v>189058.84</v>
      </c>
    </row>
    <row r="295" hidden="1" outlineLevel="1">
      <c r="A295" s="790" t="s">
        <v>1081</v>
      </c>
      <c r="B295" s="823">
        <v>564.3</v>
      </c>
      <c r="C295" s="823">
        <v>205.66</v>
      </c>
      <c r="D295" s="823">
        <v>413.0</v>
      </c>
      <c r="E295" s="823">
        <v>0.0</v>
      </c>
      <c r="F295" s="823">
        <v>617.0</v>
      </c>
      <c r="G295" s="823">
        <v>0.0</v>
      </c>
      <c r="H295" s="248">
        <v>0.0</v>
      </c>
      <c r="I295" s="248">
        <v>418.0</v>
      </c>
      <c r="J295" s="248">
        <v>418.0</v>
      </c>
      <c r="K295" s="248">
        <v>209.0</v>
      </c>
      <c r="L295" s="248">
        <v>209.0</v>
      </c>
      <c r="M295" s="248">
        <v>209.0</v>
      </c>
      <c r="N295" s="248">
        <v>418.0</v>
      </c>
      <c r="O295" s="248">
        <v>617.0</v>
      </c>
      <c r="P295" s="248">
        <v>414.66</v>
      </c>
      <c r="Q295" s="248">
        <v>0.0</v>
      </c>
      <c r="R295" s="248">
        <v>0.0</v>
      </c>
      <c r="S295" s="248">
        <v>209.0</v>
      </c>
      <c r="T295" s="248">
        <v>418.0</v>
      </c>
      <c r="U295" s="248">
        <v>398.0</v>
      </c>
      <c r="V295" s="248">
        <v>806.0</v>
      </c>
      <c r="W295" s="248">
        <v>2226.3</v>
      </c>
      <c r="X295" s="248">
        <v>2644.3</v>
      </c>
      <c r="Y295" s="248">
        <v>3417.6</v>
      </c>
      <c r="Z295" s="248">
        <v>1370.3</v>
      </c>
      <c r="AA295" s="248">
        <v>3236.3</v>
      </c>
      <c r="AB295" s="248">
        <v>1453.0</v>
      </c>
      <c r="AC295" s="248">
        <v>1337.33</v>
      </c>
      <c r="AD295" s="248">
        <v>877.0</v>
      </c>
      <c r="AE295" s="248">
        <v>2086.33</v>
      </c>
      <c r="AF295" s="248"/>
      <c r="AG295" s="600">
        <f t="shared" si="93"/>
        <v>25192.08</v>
      </c>
    </row>
    <row r="296" ht="20.25" customHeight="1" collapsed="1">
      <c r="A296" s="790" t="s">
        <v>1082</v>
      </c>
      <c r="B296" s="799"/>
      <c r="C296" s="597"/>
      <c r="D296" s="597"/>
      <c r="E296" s="597"/>
      <c r="F296" s="597"/>
      <c r="G296" s="597"/>
      <c r="H296" s="597"/>
      <c r="I296" s="597"/>
      <c r="J296" s="799"/>
      <c r="K296" s="799"/>
      <c r="L296" s="799"/>
      <c r="M296" s="799"/>
      <c r="N296" s="799"/>
      <c r="O296" s="799"/>
      <c r="P296" s="799"/>
      <c r="Q296" s="799"/>
      <c r="R296" s="799"/>
      <c r="S296" s="799"/>
      <c r="T296" s="799"/>
      <c r="U296" s="799"/>
      <c r="V296" s="799"/>
      <c r="W296" s="597"/>
      <c r="X296" s="799"/>
      <c r="Y296" s="799"/>
      <c r="Z296" s="799"/>
      <c r="AA296" s="799"/>
      <c r="AB296" s="799"/>
      <c r="AC296" s="799"/>
      <c r="AD296" s="799"/>
      <c r="AE296" s="799"/>
      <c r="AF296" s="799"/>
      <c r="AG296" s="600"/>
    </row>
    <row r="297" ht="20.25" hidden="1" customHeight="1" outlineLevel="1">
      <c r="A297" s="790" t="s">
        <v>1083</v>
      </c>
      <c r="B297" s="799"/>
      <c r="C297" s="597"/>
      <c r="D297" s="597"/>
      <c r="E297" s="597"/>
      <c r="F297" s="597"/>
      <c r="G297" s="597"/>
      <c r="H297" s="597"/>
      <c r="I297" s="597"/>
      <c r="J297" s="799"/>
      <c r="K297" s="799"/>
      <c r="L297" s="799"/>
      <c r="M297" s="799"/>
      <c r="N297" s="799"/>
      <c r="O297" s="799"/>
      <c r="P297" s="799"/>
      <c r="Q297" s="799"/>
      <c r="R297" s="799"/>
      <c r="S297" s="799"/>
      <c r="T297" s="799"/>
      <c r="U297" s="799"/>
      <c r="V297" s="799"/>
      <c r="W297" s="597"/>
      <c r="X297" s="799"/>
      <c r="Y297" s="799"/>
      <c r="Z297" s="799"/>
      <c r="AA297" s="799"/>
      <c r="AB297" s="799"/>
      <c r="AC297" s="799"/>
      <c r="AD297" s="799"/>
      <c r="AE297" s="799"/>
      <c r="AF297" s="799"/>
      <c r="AG297" s="600">
        <f>SUM(B297:AE297)</f>
        <v>0</v>
      </c>
    </row>
    <row r="298" ht="20.25" hidden="1" customHeight="1" outlineLevel="1">
      <c r="A298" s="790" t="s">
        <v>1084</v>
      </c>
      <c r="B298" s="799"/>
      <c r="C298" s="597"/>
      <c r="D298" s="597"/>
      <c r="E298" s="597"/>
      <c r="F298" s="597"/>
      <c r="G298" s="597"/>
      <c r="H298" s="597"/>
      <c r="I298" s="597"/>
      <c r="J298" s="799"/>
      <c r="K298" s="799"/>
      <c r="L298" s="799"/>
      <c r="M298" s="799"/>
      <c r="N298" s="799"/>
      <c r="O298" s="799"/>
      <c r="P298" s="799"/>
      <c r="Q298" s="799"/>
      <c r="R298" s="799"/>
      <c r="S298" s="799"/>
      <c r="T298" s="799"/>
      <c r="U298" s="799"/>
      <c r="V298" s="799"/>
      <c r="W298" s="597"/>
      <c r="X298" s="799"/>
      <c r="Y298" s="799"/>
      <c r="Z298" s="799"/>
      <c r="AA298" s="799"/>
      <c r="AB298" s="799"/>
      <c r="AC298" s="799"/>
      <c r="AD298" s="799"/>
      <c r="AE298" s="799"/>
      <c r="AF298" s="799"/>
      <c r="AG298" s="600"/>
    </row>
    <row r="299" hidden="1" outlineLevel="1">
      <c r="A299" s="790" t="s">
        <v>1085</v>
      </c>
      <c r="B299" s="799"/>
      <c r="C299" s="597"/>
      <c r="D299" s="799"/>
      <c r="E299" s="597"/>
      <c r="F299" s="597"/>
      <c r="G299" s="597"/>
      <c r="H299" s="597"/>
      <c r="I299" s="597"/>
      <c r="J299" s="799"/>
      <c r="K299" s="799"/>
      <c r="L299" s="799"/>
      <c r="M299" s="799"/>
      <c r="N299" s="799"/>
      <c r="O299" s="799"/>
      <c r="P299" s="799"/>
      <c r="Q299" s="799"/>
      <c r="R299" s="799"/>
      <c r="S299" s="799"/>
      <c r="T299" s="799"/>
      <c r="U299" s="799"/>
      <c r="V299" s="799"/>
      <c r="W299" s="799"/>
      <c r="X299" s="799"/>
      <c r="Y299" s="799"/>
      <c r="Z299" s="799"/>
      <c r="AA299" s="799"/>
      <c r="AB299" s="799"/>
      <c r="AC299" s="799"/>
      <c r="AD299" s="799"/>
      <c r="AE299" s="799"/>
      <c r="AF299" s="799"/>
      <c r="AG299" s="600">
        <f>SUM(B299:AE299)</f>
        <v>0</v>
      </c>
    </row>
    <row r="300" hidden="1" outlineLevel="1">
      <c r="A300" s="790" t="s">
        <v>1086</v>
      </c>
      <c r="B300" s="799"/>
      <c r="C300" s="597"/>
      <c r="D300" s="799"/>
      <c r="E300" s="597"/>
      <c r="F300" s="597"/>
      <c r="G300" s="597"/>
      <c r="H300" s="597"/>
      <c r="I300" s="597"/>
      <c r="J300" s="799"/>
      <c r="K300" s="799"/>
      <c r="L300" s="799"/>
      <c r="M300" s="799"/>
      <c r="N300" s="799"/>
      <c r="O300" s="799"/>
      <c r="P300" s="799"/>
      <c r="Q300" s="799"/>
      <c r="R300" s="799"/>
      <c r="S300" s="799"/>
      <c r="T300" s="799"/>
      <c r="U300" s="799"/>
      <c r="V300" s="799"/>
      <c r="W300" s="799"/>
      <c r="X300" s="799"/>
      <c r="Y300" s="799"/>
      <c r="Z300" s="799"/>
      <c r="AA300" s="799"/>
      <c r="AB300" s="799"/>
      <c r="AC300" s="799"/>
      <c r="AD300" s="799"/>
      <c r="AE300" s="799"/>
      <c r="AF300" s="799"/>
      <c r="AG300" s="600"/>
    </row>
    <row r="301">
      <c r="A301" s="800" t="s">
        <v>180</v>
      </c>
      <c r="B301" s="194">
        <f t="shared" ref="B301:AF301" si="94">B287+B292+B297+B288+B293+B298</f>
        <v>24773.5</v>
      </c>
      <c r="C301" s="194">
        <f t="shared" si="94"/>
        <v>25951.3</v>
      </c>
      <c r="D301" s="194">
        <f t="shared" si="94"/>
        <v>25658</v>
      </c>
      <c r="E301" s="194">
        <f t="shared" si="94"/>
        <v>31174.99</v>
      </c>
      <c r="F301" s="194">
        <f t="shared" si="94"/>
        <v>35917.62</v>
      </c>
      <c r="G301" s="194">
        <f t="shared" si="94"/>
        <v>30729.53</v>
      </c>
      <c r="H301" s="194">
        <f t="shared" si="94"/>
        <v>27708.99</v>
      </c>
      <c r="I301" s="194">
        <f t="shared" si="94"/>
        <v>24916</v>
      </c>
      <c r="J301" s="194">
        <f t="shared" si="94"/>
        <v>28917.83</v>
      </c>
      <c r="K301" s="194">
        <f t="shared" si="94"/>
        <v>29823.9</v>
      </c>
      <c r="L301" s="194">
        <f t="shared" si="94"/>
        <v>27580.65</v>
      </c>
      <c r="M301" s="194">
        <f t="shared" si="94"/>
        <v>30416.33</v>
      </c>
      <c r="N301" s="194">
        <f t="shared" si="94"/>
        <v>25944</v>
      </c>
      <c r="O301" s="194">
        <f t="shared" si="94"/>
        <v>25124.96</v>
      </c>
      <c r="P301" s="194">
        <f t="shared" si="94"/>
        <v>25799.99</v>
      </c>
      <c r="Q301" s="194">
        <f t="shared" si="94"/>
        <v>24190</v>
      </c>
      <c r="R301" s="194">
        <f t="shared" si="94"/>
        <v>29613.63</v>
      </c>
      <c r="S301" s="194">
        <f t="shared" si="94"/>
        <v>36881.32</v>
      </c>
      <c r="T301" s="194">
        <f t="shared" si="94"/>
        <v>35806.65</v>
      </c>
      <c r="U301" s="194">
        <f t="shared" si="94"/>
        <v>37329.99</v>
      </c>
      <c r="V301" s="194">
        <f t="shared" si="94"/>
        <v>43799.85</v>
      </c>
      <c r="W301" s="194">
        <f t="shared" si="94"/>
        <v>65349.84</v>
      </c>
      <c r="X301" s="194">
        <f t="shared" si="94"/>
        <v>71521.2</v>
      </c>
      <c r="Y301" s="194">
        <f t="shared" si="94"/>
        <v>222184.91</v>
      </c>
      <c r="Z301" s="194">
        <f t="shared" si="94"/>
        <v>117975.43</v>
      </c>
      <c r="AA301" s="194">
        <f t="shared" si="94"/>
        <v>105308.33</v>
      </c>
      <c r="AB301" s="194">
        <f t="shared" si="94"/>
        <v>137750.54</v>
      </c>
      <c r="AC301" s="194">
        <f t="shared" si="94"/>
        <v>108031.15</v>
      </c>
      <c r="AD301" s="194">
        <f t="shared" si="94"/>
        <v>11790</v>
      </c>
      <c r="AE301" s="194">
        <f t="shared" si="94"/>
        <v>14114.08</v>
      </c>
      <c r="AF301" s="194">
        <f t="shared" si="94"/>
        <v>0</v>
      </c>
      <c r="AG301" s="600">
        <f t="shared" ref="AG301:AG302" si="96">SUM(B301:AF301)</f>
        <v>1482084.51</v>
      </c>
    </row>
    <row r="302">
      <c r="A302" s="800" t="s">
        <v>1087</v>
      </c>
      <c r="B302" s="194">
        <f t="shared" ref="B302:AF302" si="95">B289+B294+B299+B290+B295+B300</f>
        <v>53174.46</v>
      </c>
      <c r="C302" s="194">
        <f t="shared" si="95"/>
        <v>53912.06</v>
      </c>
      <c r="D302" s="194">
        <f t="shared" si="95"/>
        <v>57993.48</v>
      </c>
      <c r="E302" s="194">
        <f t="shared" si="95"/>
        <v>56063.79</v>
      </c>
      <c r="F302" s="194">
        <f t="shared" si="95"/>
        <v>60442.8</v>
      </c>
      <c r="G302" s="194">
        <f t="shared" si="95"/>
        <v>60205.31</v>
      </c>
      <c r="H302" s="194">
        <f t="shared" si="95"/>
        <v>58368.8</v>
      </c>
      <c r="I302" s="194">
        <f t="shared" si="95"/>
        <v>59374.27</v>
      </c>
      <c r="J302" s="194">
        <f t="shared" si="95"/>
        <v>60921.88</v>
      </c>
      <c r="K302" s="194">
        <f t="shared" si="95"/>
        <v>59465.64</v>
      </c>
      <c r="L302" s="194">
        <f t="shared" si="95"/>
        <v>90155.67</v>
      </c>
      <c r="M302" s="194">
        <f t="shared" si="95"/>
        <v>82668.14</v>
      </c>
      <c r="N302" s="194">
        <f t="shared" si="95"/>
        <v>62971.99</v>
      </c>
      <c r="O302" s="194">
        <f t="shared" si="95"/>
        <v>77219.64</v>
      </c>
      <c r="P302" s="194">
        <f t="shared" si="95"/>
        <v>68575.42</v>
      </c>
      <c r="Q302" s="194">
        <f t="shared" si="95"/>
        <v>61541.49</v>
      </c>
      <c r="R302" s="194">
        <f t="shared" si="95"/>
        <v>60992.14</v>
      </c>
      <c r="S302" s="194">
        <f t="shared" si="95"/>
        <v>84444.63</v>
      </c>
      <c r="T302" s="194">
        <f t="shared" si="95"/>
        <v>68718.32</v>
      </c>
      <c r="U302" s="194">
        <f t="shared" si="95"/>
        <v>87455.13</v>
      </c>
      <c r="V302" s="194">
        <f t="shared" si="95"/>
        <v>92462.41</v>
      </c>
      <c r="W302" s="194">
        <f t="shared" si="95"/>
        <v>136927.99</v>
      </c>
      <c r="X302" s="194">
        <f t="shared" si="95"/>
        <v>168304.14</v>
      </c>
      <c r="Y302" s="194">
        <f t="shared" si="95"/>
        <v>424971.27</v>
      </c>
      <c r="Z302" s="194">
        <f t="shared" si="95"/>
        <v>202785.02</v>
      </c>
      <c r="AA302" s="194">
        <f t="shared" si="95"/>
        <v>239010.94</v>
      </c>
      <c r="AB302" s="194">
        <f t="shared" si="95"/>
        <v>313590.3</v>
      </c>
      <c r="AC302" s="194">
        <f t="shared" si="95"/>
        <v>196205.85</v>
      </c>
      <c r="AD302" s="194">
        <f t="shared" si="95"/>
        <v>47564.93</v>
      </c>
      <c r="AE302" s="194">
        <f t="shared" si="95"/>
        <v>37844.13</v>
      </c>
      <c r="AF302" s="194">
        <f t="shared" si="95"/>
        <v>0</v>
      </c>
      <c r="AG302" s="600">
        <f t="shared" si="96"/>
        <v>3184332.04</v>
      </c>
    </row>
    <row r="303" ht="16.5" customHeight="1">
      <c r="A303" s="25"/>
      <c r="B303" s="243"/>
      <c r="C303" s="243"/>
      <c r="D303" s="243"/>
      <c r="E303" s="243"/>
      <c r="F303" s="243"/>
      <c r="G303" s="243"/>
      <c r="H303" s="243"/>
      <c r="I303" s="243"/>
      <c r="J303" s="243"/>
      <c r="K303" s="243"/>
      <c r="L303" s="243"/>
      <c r="M303" s="243"/>
      <c r="N303" s="243"/>
      <c r="O303" s="243"/>
      <c r="P303" s="243"/>
      <c r="Q303" s="243"/>
      <c r="R303" s="243"/>
      <c r="S303" s="243"/>
      <c r="T303" s="243"/>
      <c r="U303" s="243"/>
      <c r="V303" s="243"/>
      <c r="W303" s="243"/>
      <c r="X303" s="243"/>
      <c r="Y303" s="243"/>
      <c r="Z303" s="243"/>
      <c r="AA303" s="243"/>
      <c r="AB303" s="243"/>
      <c r="AC303" s="243"/>
      <c r="AD303" s="243"/>
      <c r="AE303" s="243"/>
      <c r="AF303" s="243"/>
      <c r="AG303" s="600"/>
    </row>
    <row r="304" collapsed="1">
      <c r="A304" s="790" t="s">
        <v>1089</v>
      </c>
      <c r="B304" s="791"/>
      <c r="C304" s="791"/>
      <c r="D304" s="792"/>
      <c r="E304" s="792"/>
      <c r="F304" s="792"/>
      <c r="G304" s="792"/>
      <c r="H304" s="792"/>
      <c r="I304" s="792"/>
      <c r="J304" s="792"/>
      <c r="K304" s="791"/>
      <c r="L304" s="791"/>
      <c r="M304" s="791"/>
      <c r="N304" s="791"/>
      <c r="O304" s="791"/>
      <c r="P304" s="791"/>
      <c r="Q304" s="791"/>
      <c r="R304" s="791"/>
      <c r="S304" s="791"/>
      <c r="T304" s="791"/>
      <c r="U304" s="791"/>
      <c r="V304" s="791"/>
      <c r="W304" s="791"/>
      <c r="X304" s="791"/>
      <c r="Y304" s="791"/>
      <c r="Z304" s="791"/>
      <c r="AA304" s="791"/>
      <c r="AB304" s="791"/>
      <c r="AC304" s="791"/>
      <c r="AD304" s="791"/>
      <c r="AE304" s="791"/>
      <c r="AF304" s="791"/>
      <c r="AG304" s="600"/>
    </row>
    <row r="305" hidden="1" outlineLevel="1">
      <c r="A305" s="790" t="s">
        <v>1028</v>
      </c>
      <c r="B305" s="828">
        <v>1261.19</v>
      </c>
      <c r="C305" s="829">
        <v>2061.61</v>
      </c>
      <c r="D305" s="828">
        <v>1881.5</v>
      </c>
      <c r="E305" s="828">
        <v>2438.85</v>
      </c>
      <c r="F305" s="828">
        <v>2554.0</v>
      </c>
      <c r="G305" s="828">
        <v>2754.68</v>
      </c>
      <c r="H305" s="828">
        <v>2603.24</v>
      </c>
      <c r="I305" s="829">
        <v>2560.73</v>
      </c>
      <c r="J305" s="828">
        <v>3022.18</v>
      </c>
      <c r="K305" s="830">
        <v>3054.67</v>
      </c>
      <c r="L305" s="830">
        <v>4580.72</v>
      </c>
      <c r="M305" s="830">
        <v>4423.26</v>
      </c>
      <c r="N305" s="830">
        <v>2774.34</v>
      </c>
      <c r="O305" s="830">
        <v>3280.67</v>
      </c>
      <c r="P305" s="830">
        <v>2861.19</v>
      </c>
      <c r="Q305" s="830">
        <v>2625.51</v>
      </c>
      <c r="R305" s="830">
        <v>2857.17</v>
      </c>
      <c r="S305" s="830">
        <v>3094.58</v>
      </c>
      <c r="T305" s="830">
        <v>3017.68</v>
      </c>
      <c r="U305" s="830">
        <v>3954.35</v>
      </c>
      <c r="V305" s="830">
        <v>3789.83</v>
      </c>
      <c r="W305" s="830">
        <v>5844.69</v>
      </c>
      <c r="X305" s="830">
        <v>7001.52</v>
      </c>
      <c r="Y305" s="830">
        <v>16722.32</v>
      </c>
      <c r="Z305" s="830">
        <v>7959.44</v>
      </c>
      <c r="AA305" s="830">
        <v>7936.33</v>
      </c>
      <c r="AB305" s="830">
        <v>12439.4</v>
      </c>
      <c r="AC305" s="830">
        <v>8322.29</v>
      </c>
      <c r="AD305" s="830">
        <v>2272.39</v>
      </c>
      <c r="AE305" s="830">
        <v>2064.49</v>
      </c>
      <c r="AF305" s="830"/>
      <c r="AG305" s="600">
        <f t="shared" ref="AG305:AG314" si="97">SUM(B305:AF305)</f>
        <v>132014.82</v>
      </c>
    </row>
    <row r="306" hidden="1" outlineLevel="1">
      <c r="A306" s="790" t="s">
        <v>1029</v>
      </c>
      <c r="B306" s="342"/>
      <c r="C306" s="342"/>
      <c r="D306" s="342"/>
      <c r="E306" s="342"/>
      <c r="F306" s="342"/>
      <c r="G306" s="342"/>
      <c r="H306" s="342"/>
      <c r="I306" s="342"/>
      <c r="J306" s="342"/>
      <c r="K306" s="342"/>
      <c r="L306" s="342"/>
      <c r="M306" s="342"/>
      <c r="N306" s="342"/>
      <c r="O306" s="342"/>
      <c r="P306" s="342"/>
      <c r="Q306" s="342"/>
      <c r="R306" s="342"/>
      <c r="S306" s="342"/>
      <c r="T306" s="342"/>
      <c r="U306" s="342"/>
      <c r="V306" s="342"/>
      <c r="W306" s="342"/>
      <c r="X306" s="342"/>
      <c r="Y306" s="342"/>
      <c r="Z306" s="342"/>
      <c r="AA306" s="342"/>
      <c r="AB306" s="342"/>
      <c r="AC306" s="342"/>
      <c r="AD306" s="342"/>
      <c r="AE306" s="342"/>
      <c r="AF306" s="342"/>
      <c r="AG306" s="600">
        <f t="shared" si="97"/>
        <v>0</v>
      </c>
    </row>
    <row r="307" hidden="1" outlineLevel="1">
      <c r="A307" s="790" t="s">
        <v>1030</v>
      </c>
      <c r="B307" s="828">
        <v>164.0</v>
      </c>
      <c r="C307" s="828">
        <v>268.0</v>
      </c>
      <c r="D307" s="828">
        <v>293.54</v>
      </c>
      <c r="E307" s="828">
        <v>596.67</v>
      </c>
      <c r="F307" s="828">
        <v>202.01</v>
      </c>
      <c r="G307" s="828">
        <v>212.0</v>
      </c>
      <c r="H307" s="828">
        <v>440.49</v>
      </c>
      <c r="I307" s="828">
        <v>598.3</v>
      </c>
      <c r="J307" s="829">
        <v>670.17</v>
      </c>
      <c r="K307" s="830">
        <v>584.0</v>
      </c>
      <c r="L307" s="830">
        <v>1116.92</v>
      </c>
      <c r="M307" s="830">
        <v>2671.45</v>
      </c>
      <c r="N307" s="830">
        <v>7564.5</v>
      </c>
      <c r="O307" s="830">
        <v>726.0</v>
      </c>
      <c r="P307" s="830">
        <v>518.0</v>
      </c>
      <c r="Q307" s="830">
        <v>627.0</v>
      </c>
      <c r="R307" s="830">
        <v>615.34</v>
      </c>
      <c r="S307" s="830">
        <v>486.33</v>
      </c>
      <c r="T307" s="830">
        <v>715.34</v>
      </c>
      <c r="U307" s="830">
        <v>923.0</v>
      </c>
      <c r="V307" s="830">
        <v>843.2</v>
      </c>
      <c r="W307" s="830">
        <v>1192.67</v>
      </c>
      <c r="X307" s="830">
        <v>1466.67</v>
      </c>
      <c r="Y307" s="830">
        <v>3902.17</v>
      </c>
      <c r="Z307" s="830">
        <v>1878.6</v>
      </c>
      <c r="AA307" s="830">
        <v>1662.68</v>
      </c>
      <c r="AB307" s="830">
        <v>2681.1</v>
      </c>
      <c r="AC307" s="830">
        <v>1051.98</v>
      </c>
      <c r="AD307" s="830">
        <v>0.0</v>
      </c>
      <c r="AE307" s="830">
        <v>0.0</v>
      </c>
      <c r="AF307" s="830"/>
      <c r="AG307" s="600">
        <f t="shared" si="97"/>
        <v>34672.13</v>
      </c>
    </row>
    <row r="308" hidden="1" outlineLevel="1">
      <c r="A308" s="790" t="s">
        <v>1091</v>
      </c>
      <c r="B308" s="828">
        <v>981.01</v>
      </c>
      <c r="C308" s="828">
        <v>2713.67</v>
      </c>
      <c r="D308" s="828">
        <v>2105.4</v>
      </c>
      <c r="E308" s="828">
        <v>2142.83</v>
      </c>
      <c r="F308" s="828">
        <v>1266.0</v>
      </c>
      <c r="G308" s="828">
        <v>1607.66</v>
      </c>
      <c r="H308" s="828">
        <v>1781.55</v>
      </c>
      <c r="I308" s="828">
        <v>2780.05</v>
      </c>
      <c r="J308" s="828">
        <v>1637.17</v>
      </c>
      <c r="K308" s="830">
        <v>1422.0</v>
      </c>
      <c r="L308" s="830">
        <v>2805.1</v>
      </c>
      <c r="M308" s="830">
        <v>2496.23</v>
      </c>
      <c r="N308" s="830">
        <v>1499.0</v>
      </c>
      <c r="O308" s="830">
        <v>1884.83</v>
      </c>
      <c r="P308" s="830">
        <v>1689.5</v>
      </c>
      <c r="Q308" s="830">
        <v>1692.0</v>
      </c>
      <c r="R308" s="830">
        <v>1699.5</v>
      </c>
      <c r="S308" s="830">
        <v>1617.88</v>
      </c>
      <c r="T308" s="830">
        <v>2340.66</v>
      </c>
      <c r="U308" s="830">
        <v>2443.67</v>
      </c>
      <c r="V308" s="830">
        <v>2267.0</v>
      </c>
      <c r="W308" s="830">
        <v>2995.66</v>
      </c>
      <c r="X308" s="830">
        <v>4168.16</v>
      </c>
      <c r="Y308" s="830">
        <v>11065.16</v>
      </c>
      <c r="Z308" s="830">
        <v>4071.03</v>
      </c>
      <c r="AA308" s="830">
        <v>4399.82</v>
      </c>
      <c r="AB308" s="830">
        <v>6717.63</v>
      </c>
      <c r="AC308" s="830">
        <v>3544.7</v>
      </c>
      <c r="AD308" s="830">
        <v>821.5</v>
      </c>
      <c r="AE308" s="830">
        <v>753.5</v>
      </c>
      <c r="AF308" s="830"/>
      <c r="AG308" s="600">
        <f t="shared" si="97"/>
        <v>79409.87</v>
      </c>
    </row>
    <row r="309" hidden="1" outlineLevel="1">
      <c r="A309" s="790" t="s">
        <v>1092</v>
      </c>
      <c r="B309" s="823">
        <v>123.67</v>
      </c>
      <c r="C309" s="823">
        <v>551.1</v>
      </c>
      <c r="D309" s="823">
        <v>264.0</v>
      </c>
      <c r="E309" s="823">
        <v>198.0</v>
      </c>
      <c r="F309" s="823">
        <v>123.67</v>
      </c>
      <c r="G309" s="823">
        <v>163.0</v>
      </c>
      <c r="H309" s="823">
        <v>160.0</v>
      </c>
      <c r="I309" s="823">
        <v>458.0</v>
      </c>
      <c r="J309" s="823">
        <v>262.0</v>
      </c>
      <c r="K309" s="248">
        <v>33.0</v>
      </c>
      <c r="L309" s="248">
        <v>94.0</v>
      </c>
      <c r="M309" s="248">
        <v>187.33</v>
      </c>
      <c r="N309" s="248">
        <v>198.0</v>
      </c>
      <c r="O309" s="248">
        <v>297.0</v>
      </c>
      <c r="P309" s="248">
        <v>62.67</v>
      </c>
      <c r="Q309" s="248">
        <v>132.0</v>
      </c>
      <c r="R309" s="248">
        <v>66.0</v>
      </c>
      <c r="S309" s="248">
        <v>231.0</v>
      </c>
      <c r="T309" s="248">
        <v>227.0</v>
      </c>
      <c r="U309" s="830">
        <v>356.33</v>
      </c>
      <c r="V309" s="830">
        <v>323.5</v>
      </c>
      <c r="W309" s="830">
        <v>647.0</v>
      </c>
      <c r="X309" s="830">
        <v>849.33</v>
      </c>
      <c r="Y309" s="830">
        <v>1412.16</v>
      </c>
      <c r="Z309" s="830">
        <v>716.0</v>
      </c>
      <c r="AA309" s="830">
        <v>779.0</v>
      </c>
      <c r="AB309" s="830">
        <v>865.34</v>
      </c>
      <c r="AC309" s="830">
        <v>867.77</v>
      </c>
      <c r="AD309" s="830">
        <v>658.8</v>
      </c>
      <c r="AE309" s="830">
        <v>801.48</v>
      </c>
      <c r="AF309" s="830"/>
      <c r="AG309" s="600">
        <f t="shared" si="97"/>
        <v>12108.15</v>
      </c>
    </row>
    <row r="310" hidden="1" outlineLevel="1">
      <c r="A310" s="790" t="s">
        <v>1093</v>
      </c>
      <c r="B310" s="828">
        <v>687.5</v>
      </c>
      <c r="C310" s="828">
        <v>805.5</v>
      </c>
      <c r="D310" s="828">
        <v>900.0</v>
      </c>
      <c r="E310" s="828">
        <v>896.67</v>
      </c>
      <c r="F310" s="828">
        <v>1480.0</v>
      </c>
      <c r="G310" s="828">
        <v>740.0</v>
      </c>
      <c r="H310" s="828">
        <v>620.0</v>
      </c>
      <c r="I310" s="828">
        <v>855.0</v>
      </c>
      <c r="J310" s="828">
        <v>743.33</v>
      </c>
      <c r="K310" s="830">
        <v>825.0</v>
      </c>
      <c r="L310" s="830">
        <v>525.0</v>
      </c>
      <c r="M310" s="830">
        <v>450.0</v>
      </c>
      <c r="N310" s="830">
        <v>948.75</v>
      </c>
      <c r="O310" s="830">
        <v>715.0</v>
      </c>
      <c r="P310" s="830">
        <v>577.5</v>
      </c>
      <c r="Q310" s="830">
        <v>525.0</v>
      </c>
      <c r="R310" s="830">
        <v>580.0</v>
      </c>
      <c r="S310" s="830">
        <v>1040.0</v>
      </c>
      <c r="T310" s="830">
        <v>600.0</v>
      </c>
      <c r="U310" s="830">
        <v>1125.0</v>
      </c>
      <c r="V310" s="830">
        <v>1275.0</v>
      </c>
      <c r="W310" s="830">
        <v>2100.0</v>
      </c>
      <c r="X310" s="830">
        <v>2025.0</v>
      </c>
      <c r="Y310" s="830">
        <v>6255.59</v>
      </c>
      <c r="Z310" s="830">
        <v>2100.0</v>
      </c>
      <c r="AA310" s="830">
        <v>3150.0</v>
      </c>
      <c r="AB310" s="830">
        <v>2901.25</v>
      </c>
      <c r="AC310" s="830">
        <v>2064.34</v>
      </c>
      <c r="AD310" s="830">
        <v>721.0</v>
      </c>
      <c r="AE310" s="830">
        <v>499.29</v>
      </c>
      <c r="AF310" s="830"/>
      <c r="AG310" s="600">
        <f t="shared" si="97"/>
        <v>38730.72</v>
      </c>
    </row>
    <row r="311" hidden="1" outlineLevel="1">
      <c r="A311" s="790" t="s">
        <v>1094</v>
      </c>
      <c r="B311" s="823">
        <v>150.0</v>
      </c>
      <c r="C311" s="823">
        <v>150.0</v>
      </c>
      <c r="D311" s="823">
        <v>76.0</v>
      </c>
      <c r="E311" s="823">
        <v>218.33</v>
      </c>
      <c r="F311" s="823">
        <v>65.0</v>
      </c>
      <c r="G311" s="823">
        <v>225.0</v>
      </c>
      <c r="H311" s="823">
        <v>140.0</v>
      </c>
      <c r="I311" s="823">
        <v>0.0</v>
      </c>
      <c r="J311" s="823">
        <v>75.0</v>
      </c>
      <c r="K311" s="248">
        <v>140.0</v>
      </c>
      <c r="L311" s="248">
        <v>0.0</v>
      </c>
      <c r="M311" s="248">
        <v>0.0</v>
      </c>
      <c r="N311" s="248">
        <v>0.0</v>
      </c>
      <c r="O311" s="248">
        <v>75.0</v>
      </c>
      <c r="P311" s="248">
        <v>75.0</v>
      </c>
      <c r="Q311" s="248">
        <v>375.0</v>
      </c>
      <c r="R311" s="248">
        <v>60.0</v>
      </c>
      <c r="S311" s="248">
        <v>0.0</v>
      </c>
      <c r="T311" s="248">
        <v>202.5</v>
      </c>
      <c r="U311" s="830">
        <v>135.0</v>
      </c>
      <c r="V311" s="830">
        <v>0.0</v>
      </c>
      <c r="W311" s="830">
        <v>518.33</v>
      </c>
      <c r="X311" s="830">
        <v>375.0</v>
      </c>
      <c r="Y311" s="830">
        <v>1180.0</v>
      </c>
      <c r="Z311" s="830">
        <v>375.0</v>
      </c>
      <c r="AA311" s="830">
        <v>745.0</v>
      </c>
      <c r="AB311" s="830">
        <v>825.0</v>
      </c>
      <c r="AC311" s="830">
        <v>520.0</v>
      </c>
      <c r="AD311" s="830">
        <v>346.0</v>
      </c>
      <c r="AE311" s="830">
        <v>356.0</v>
      </c>
      <c r="AF311" s="830"/>
      <c r="AG311" s="600">
        <f t="shared" si="97"/>
        <v>7402.16</v>
      </c>
    </row>
    <row r="312" hidden="1" outlineLevel="1">
      <c r="A312" s="790" t="s">
        <v>1095</v>
      </c>
      <c r="B312" s="828">
        <v>1660.86</v>
      </c>
      <c r="C312" s="828">
        <v>2720.68</v>
      </c>
      <c r="D312" s="828">
        <v>2165.54</v>
      </c>
      <c r="E312" s="828">
        <v>2739.17</v>
      </c>
      <c r="F312" s="828">
        <v>2620.86</v>
      </c>
      <c r="G312" s="828">
        <v>2617.01</v>
      </c>
      <c r="H312" s="828">
        <v>2338.58</v>
      </c>
      <c r="I312" s="828">
        <v>2608.55</v>
      </c>
      <c r="J312" s="828">
        <v>2395.67</v>
      </c>
      <c r="K312" s="830">
        <v>2601.02</v>
      </c>
      <c r="L312" s="248">
        <v>3692.14</v>
      </c>
      <c r="M312" s="830">
        <v>3717.58</v>
      </c>
      <c r="N312" s="830">
        <v>2509.67</v>
      </c>
      <c r="O312" s="830">
        <v>2863.69</v>
      </c>
      <c r="P312" s="830">
        <v>2616.86</v>
      </c>
      <c r="Q312" s="830">
        <v>2468.33</v>
      </c>
      <c r="R312" s="830">
        <v>2593.18</v>
      </c>
      <c r="S312" s="830">
        <v>3279.74</v>
      </c>
      <c r="T312" s="830">
        <v>2982.68</v>
      </c>
      <c r="U312" s="830">
        <v>3140.35</v>
      </c>
      <c r="V312" s="830">
        <v>3105.68</v>
      </c>
      <c r="W312" s="830">
        <v>5111.33</v>
      </c>
      <c r="X312" s="830">
        <v>5960.36</v>
      </c>
      <c r="Y312" s="830">
        <v>15277.07</v>
      </c>
      <c r="Z312" s="830">
        <v>6914.48</v>
      </c>
      <c r="AA312" s="830">
        <v>7135.19</v>
      </c>
      <c r="AB312" s="830">
        <v>9903.91</v>
      </c>
      <c r="AC312" s="830">
        <v>6448.13</v>
      </c>
      <c r="AD312" s="830">
        <v>1526.83</v>
      </c>
      <c r="AE312" s="830">
        <v>1509.5</v>
      </c>
      <c r="AF312" s="830"/>
      <c r="AG312" s="600">
        <f t="shared" si="97"/>
        <v>117224.64</v>
      </c>
    </row>
    <row r="313" hidden="1" outlineLevel="1">
      <c r="A313" s="790" t="s">
        <v>1096</v>
      </c>
      <c r="B313" s="828">
        <v>279.67</v>
      </c>
      <c r="C313" s="828">
        <v>342.8</v>
      </c>
      <c r="D313" s="828">
        <v>288.0</v>
      </c>
      <c r="E313" s="828">
        <v>374.0</v>
      </c>
      <c r="F313" s="828">
        <v>400.34</v>
      </c>
      <c r="G313" s="828">
        <v>283.34</v>
      </c>
      <c r="H313" s="828">
        <v>235.0</v>
      </c>
      <c r="I313" s="828">
        <v>207.0</v>
      </c>
      <c r="J313" s="828">
        <v>334.0</v>
      </c>
      <c r="K313" s="830">
        <v>116.67</v>
      </c>
      <c r="L313" s="830">
        <v>299.6</v>
      </c>
      <c r="M313" s="830">
        <v>284.68</v>
      </c>
      <c r="N313" s="830">
        <v>302.0</v>
      </c>
      <c r="O313" s="830">
        <v>298.67</v>
      </c>
      <c r="P313" s="830">
        <v>247.33</v>
      </c>
      <c r="Q313" s="830">
        <v>154.67</v>
      </c>
      <c r="R313" s="830">
        <v>293.67</v>
      </c>
      <c r="S313" s="248">
        <v>264.0</v>
      </c>
      <c r="T313" s="248">
        <v>457.67</v>
      </c>
      <c r="U313" s="830">
        <v>511.34</v>
      </c>
      <c r="V313" s="830">
        <v>570.18</v>
      </c>
      <c r="W313" s="830">
        <v>1283.67</v>
      </c>
      <c r="X313" s="830">
        <v>1345.18</v>
      </c>
      <c r="Y313" s="830">
        <v>2444.36</v>
      </c>
      <c r="Z313" s="830">
        <v>1349.0</v>
      </c>
      <c r="AA313" s="830">
        <v>1086.0</v>
      </c>
      <c r="AB313" s="830">
        <v>1501.67</v>
      </c>
      <c r="AC313" s="830">
        <v>1588.82</v>
      </c>
      <c r="AD313" s="830">
        <v>857.8</v>
      </c>
      <c r="AE313" s="830">
        <v>778.0</v>
      </c>
      <c r="AF313" s="830"/>
      <c r="AG313" s="600">
        <f t="shared" si="97"/>
        <v>18779.13</v>
      </c>
    </row>
    <row r="314">
      <c r="A314" s="832" t="s">
        <v>98</v>
      </c>
      <c r="B314" s="194">
        <f t="shared" ref="B314:AF314" si="98">SUM(B305:B313)</f>
        <v>5307.9</v>
      </c>
      <c r="C314" s="194">
        <f t="shared" si="98"/>
        <v>9613.36</v>
      </c>
      <c r="D314" s="194">
        <f t="shared" si="98"/>
        <v>7973.98</v>
      </c>
      <c r="E314" s="194">
        <f t="shared" si="98"/>
        <v>9604.52</v>
      </c>
      <c r="F314" s="194">
        <f t="shared" si="98"/>
        <v>8711.88</v>
      </c>
      <c r="G314" s="194">
        <f t="shared" si="98"/>
        <v>8602.69</v>
      </c>
      <c r="H314" s="194">
        <f t="shared" si="98"/>
        <v>8318.86</v>
      </c>
      <c r="I314" s="194">
        <f t="shared" si="98"/>
        <v>10067.63</v>
      </c>
      <c r="J314" s="194">
        <f t="shared" si="98"/>
        <v>9139.52</v>
      </c>
      <c r="K314" s="194">
        <f t="shared" si="98"/>
        <v>8776.36</v>
      </c>
      <c r="L314" s="194">
        <f t="shared" si="98"/>
        <v>13113.48</v>
      </c>
      <c r="M314" s="194">
        <f t="shared" si="98"/>
        <v>14230.53</v>
      </c>
      <c r="N314" s="194">
        <f t="shared" si="98"/>
        <v>15796.26</v>
      </c>
      <c r="O314" s="194">
        <f t="shared" si="98"/>
        <v>10140.86</v>
      </c>
      <c r="P314" s="194">
        <f t="shared" si="98"/>
        <v>8648.05</v>
      </c>
      <c r="Q314" s="194">
        <f t="shared" si="98"/>
        <v>8599.51</v>
      </c>
      <c r="R314" s="194">
        <f t="shared" si="98"/>
        <v>8764.86</v>
      </c>
      <c r="S314" s="194">
        <f t="shared" si="98"/>
        <v>10013.53</v>
      </c>
      <c r="T314" s="194">
        <f t="shared" si="98"/>
        <v>10543.53</v>
      </c>
      <c r="U314" s="194">
        <f t="shared" si="98"/>
        <v>12589.04</v>
      </c>
      <c r="V314" s="194">
        <f t="shared" si="98"/>
        <v>12174.39</v>
      </c>
      <c r="W314" s="194">
        <f t="shared" si="98"/>
        <v>19693.35</v>
      </c>
      <c r="X314" s="194">
        <f t="shared" si="98"/>
        <v>23191.22</v>
      </c>
      <c r="Y314" s="194">
        <f t="shared" si="98"/>
        <v>58258.83</v>
      </c>
      <c r="Z314" s="194">
        <f t="shared" si="98"/>
        <v>25363.55</v>
      </c>
      <c r="AA314" s="194">
        <f t="shared" si="98"/>
        <v>26894.02</v>
      </c>
      <c r="AB314" s="194">
        <f t="shared" si="98"/>
        <v>37835.3</v>
      </c>
      <c r="AC314" s="194">
        <f t="shared" si="98"/>
        <v>24408.03</v>
      </c>
      <c r="AD314" s="194">
        <f t="shared" si="98"/>
        <v>7204.32</v>
      </c>
      <c r="AE314" s="194">
        <f t="shared" si="98"/>
        <v>6762.26</v>
      </c>
      <c r="AF314" s="194">
        <f t="shared" si="98"/>
        <v>0</v>
      </c>
      <c r="AG314" s="600">
        <f t="shared" si="97"/>
        <v>440341.62</v>
      </c>
    </row>
    <row r="315">
      <c r="A315" s="25"/>
      <c r="B315" s="243"/>
      <c r="C315" s="243"/>
      <c r="D315" s="243"/>
      <c r="E315" s="243"/>
      <c r="F315" s="243"/>
      <c r="G315" s="243"/>
      <c r="H315" s="243"/>
      <c r="I315" s="243"/>
      <c r="J315" s="243"/>
      <c r="K315" s="243"/>
      <c r="L315" s="243"/>
      <c r="M315" s="243"/>
      <c r="N315" s="243"/>
      <c r="O315" s="243"/>
      <c r="P315" s="243"/>
      <c r="Q315" s="243"/>
      <c r="R315" s="243"/>
      <c r="S315" s="243"/>
      <c r="T315" s="243"/>
      <c r="U315" s="243"/>
      <c r="V315" s="243"/>
      <c r="W315" s="243"/>
      <c r="X315" s="243"/>
      <c r="Y315" s="243"/>
      <c r="Z315" s="243"/>
      <c r="AA315" s="243"/>
      <c r="AB315" s="243"/>
      <c r="AC315" s="243"/>
      <c r="AD315" s="243"/>
      <c r="AE315" s="243"/>
      <c r="AF315" s="243"/>
      <c r="AG315" s="600"/>
    </row>
    <row r="316" collapsed="1">
      <c r="A316" s="790" t="s">
        <v>1097</v>
      </c>
      <c r="B316" s="791"/>
      <c r="C316" s="791"/>
      <c r="D316" s="792"/>
      <c r="E316" s="792"/>
      <c r="F316" s="792"/>
      <c r="G316" s="792"/>
      <c r="H316" s="792"/>
      <c r="I316" s="792"/>
      <c r="J316" s="792"/>
      <c r="K316" s="791"/>
      <c r="L316" s="791"/>
      <c r="M316" s="791"/>
      <c r="N316" s="791"/>
      <c r="O316" s="791"/>
      <c r="P316" s="791"/>
      <c r="Q316" s="791"/>
      <c r="R316" s="791"/>
      <c r="S316" s="791"/>
      <c r="T316" s="791"/>
      <c r="U316" s="791"/>
      <c r="V316" s="791"/>
      <c r="W316" s="791"/>
      <c r="X316" s="791"/>
      <c r="Y316" s="791"/>
      <c r="Z316" s="791"/>
      <c r="AA316" s="791"/>
      <c r="AB316" s="791"/>
      <c r="AC316" s="791"/>
      <c r="AD316" s="791"/>
      <c r="AE316" s="791"/>
      <c r="AF316" s="791"/>
      <c r="AG316" s="600"/>
    </row>
    <row r="317" hidden="1" outlineLevel="1">
      <c r="A317" s="790" t="s">
        <v>1038</v>
      </c>
      <c r="B317" s="823">
        <v>358.17</v>
      </c>
      <c r="C317" s="829">
        <v>253.17</v>
      </c>
      <c r="D317" s="823">
        <v>214.33</v>
      </c>
      <c r="E317" s="828">
        <v>158.0</v>
      </c>
      <c r="F317" s="823">
        <v>297.0</v>
      </c>
      <c r="G317" s="828">
        <v>0.0</v>
      </c>
      <c r="H317" s="823">
        <v>194.0</v>
      </c>
      <c r="I317" s="823">
        <v>192.0</v>
      </c>
      <c r="J317" s="823">
        <v>136.67</v>
      </c>
      <c r="K317" s="248">
        <v>115.0</v>
      </c>
      <c r="L317" s="248">
        <v>120.0</v>
      </c>
      <c r="M317" s="248">
        <v>206.0</v>
      </c>
      <c r="N317" s="248">
        <v>255.5</v>
      </c>
      <c r="O317" s="248">
        <v>253.0</v>
      </c>
      <c r="P317" s="248">
        <v>401.67</v>
      </c>
      <c r="Q317" s="248">
        <v>364.0</v>
      </c>
      <c r="R317" s="248">
        <v>255.67</v>
      </c>
      <c r="S317" s="248">
        <v>604.83</v>
      </c>
      <c r="T317" s="833">
        <v>426.0</v>
      </c>
      <c r="U317" s="248">
        <v>560.17</v>
      </c>
      <c r="V317" s="248">
        <v>422.9</v>
      </c>
      <c r="W317" s="248">
        <v>703.14</v>
      </c>
      <c r="X317" s="248">
        <v>936.43</v>
      </c>
      <c r="Y317" s="248">
        <v>1450.66</v>
      </c>
      <c r="Z317" s="248">
        <v>625.8</v>
      </c>
      <c r="AA317" s="248">
        <v>1078.1</v>
      </c>
      <c r="AB317" s="248">
        <v>561.0</v>
      </c>
      <c r="AC317" s="248">
        <v>298.0</v>
      </c>
      <c r="AD317" s="248">
        <v>77.0</v>
      </c>
      <c r="AE317" s="248">
        <v>186.33</v>
      </c>
      <c r="AF317" s="248"/>
      <c r="AG317" s="600">
        <f t="shared" ref="AG317:AG326" si="99">SUM(B317:AF317)</f>
        <v>11704.54</v>
      </c>
    </row>
    <row r="318" hidden="1" outlineLevel="1">
      <c r="A318" s="790" t="s">
        <v>1040</v>
      </c>
      <c r="B318" s="342"/>
      <c r="C318" s="342"/>
      <c r="D318" s="342"/>
      <c r="E318" s="342"/>
      <c r="F318" s="342"/>
      <c r="G318" s="342"/>
      <c r="H318" s="342"/>
      <c r="I318" s="342"/>
      <c r="J318" s="342"/>
      <c r="K318" s="342"/>
      <c r="L318" s="342"/>
      <c r="M318" s="342"/>
      <c r="N318" s="342"/>
      <c r="O318" s="342"/>
      <c r="P318" s="342"/>
      <c r="Q318" s="342"/>
      <c r="R318" s="342"/>
      <c r="S318" s="342"/>
      <c r="T318" s="342"/>
      <c r="U318" s="342"/>
      <c r="V318" s="342"/>
      <c r="W318" s="342"/>
      <c r="X318" s="342"/>
      <c r="Y318" s="342"/>
      <c r="Z318" s="342"/>
      <c r="AA318" s="342"/>
      <c r="AB318" s="342"/>
      <c r="AC318" s="342"/>
      <c r="AD318" s="342"/>
      <c r="AE318" s="342"/>
      <c r="AF318" s="342"/>
      <c r="AG318" s="600">
        <f t="shared" si="99"/>
        <v>0</v>
      </c>
    </row>
    <row r="319" hidden="1" outlineLevel="1">
      <c r="A319" s="790" t="s">
        <v>1042</v>
      </c>
      <c r="B319" s="823">
        <v>89.3</v>
      </c>
      <c r="C319" s="828">
        <v>54.5</v>
      </c>
      <c r="D319" s="823">
        <v>55.34</v>
      </c>
      <c r="E319" s="828">
        <v>57.0</v>
      </c>
      <c r="F319" s="823">
        <v>19.0</v>
      </c>
      <c r="G319" s="828">
        <v>57.0</v>
      </c>
      <c r="H319" s="823">
        <v>17.0</v>
      </c>
      <c r="I319" s="823">
        <v>0.0</v>
      </c>
      <c r="J319" s="823">
        <v>53.0</v>
      </c>
      <c r="K319" s="248">
        <v>66.34</v>
      </c>
      <c r="L319" s="248">
        <v>38.0</v>
      </c>
      <c r="M319" s="248">
        <v>57.0</v>
      </c>
      <c r="N319" s="248">
        <v>89.0</v>
      </c>
      <c r="O319" s="248">
        <v>127.0</v>
      </c>
      <c r="P319" s="248">
        <v>69.0</v>
      </c>
      <c r="Q319" s="248">
        <v>57.0</v>
      </c>
      <c r="R319" s="248">
        <v>89.17</v>
      </c>
      <c r="S319" s="248">
        <v>95.0</v>
      </c>
      <c r="T319" s="248">
        <v>95.0</v>
      </c>
      <c r="U319" s="248">
        <v>95.0</v>
      </c>
      <c r="V319" s="248">
        <v>62.1</v>
      </c>
      <c r="W319" s="248">
        <v>45.6</v>
      </c>
      <c r="X319" s="248">
        <v>205.0</v>
      </c>
      <c r="Y319" s="830">
        <v>326.34</v>
      </c>
      <c r="Z319" s="248">
        <v>85.3</v>
      </c>
      <c r="AA319" s="248">
        <v>337.3</v>
      </c>
      <c r="AB319" s="248">
        <v>200.0</v>
      </c>
      <c r="AC319" s="248">
        <v>19.0</v>
      </c>
      <c r="AD319" s="248">
        <v>0.0</v>
      </c>
      <c r="AE319" s="248">
        <v>0.0</v>
      </c>
      <c r="AF319" s="248"/>
      <c r="AG319" s="600">
        <f t="shared" si="99"/>
        <v>2560.29</v>
      </c>
    </row>
    <row r="320" hidden="1" outlineLevel="1">
      <c r="A320" s="790" t="s">
        <v>1098</v>
      </c>
      <c r="B320" s="823">
        <v>228.5</v>
      </c>
      <c r="C320" s="828">
        <v>291.17</v>
      </c>
      <c r="D320" s="823">
        <v>295.33</v>
      </c>
      <c r="E320" s="828">
        <v>231.0</v>
      </c>
      <c r="F320" s="823">
        <v>99.0</v>
      </c>
      <c r="G320" s="828">
        <v>165.0</v>
      </c>
      <c r="H320" s="823">
        <v>130.0</v>
      </c>
      <c r="I320" s="823">
        <v>165.0</v>
      </c>
      <c r="J320" s="823">
        <v>128.0</v>
      </c>
      <c r="K320" s="248">
        <v>61.0</v>
      </c>
      <c r="L320" s="248">
        <v>66.0</v>
      </c>
      <c r="M320" s="248">
        <v>264.0</v>
      </c>
      <c r="N320" s="248">
        <v>156.5</v>
      </c>
      <c r="O320" s="248">
        <v>93.0</v>
      </c>
      <c r="P320" s="248">
        <v>191.0</v>
      </c>
      <c r="Q320" s="248">
        <v>264.0</v>
      </c>
      <c r="R320" s="248">
        <v>259.0</v>
      </c>
      <c r="S320" s="248">
        <v>360.5</v>
      </c>
      <c r="T320" s="248">
        <v>353.0</v>
      </c>
      <c r="U320" s="248">
        <v>228.5</v>
      </c>
      <c r="V320" s="248">
        <v>240.2</v>
      </c>
      <c r="W320" s="248">
        <v>244.2</v>
      </c>
      <c r="X320" s="248">
        <v>323.5</v>
      </c>
      <c r="Y320" s="248">
        <v>387.33</v>
      </c>
      <c r="Z320" s="248">
        <v>311.1</v>
      </c>
      <c r="AA320" s="248">
        <v>652.7</v>
      </c>
      <c r="AB320" s="248">
        <v>425.0</v>
      </c>
      <c r="AC320" s="248">
        <v>99.0</v>
      </c>
      <c r="AD320" s="248">
        <v>39.0</v>
      </c>
      <c r="AE320" s="248">
        <v>117.0</v>
      </c>
      <c r="AF320" s="248"/>
      <c r="AG320" s="600">
        <f t="shared" si="99"/>
        <v>6868.53</v>
      </c>
    </row>
    <row r="321" hidden="1" outlineLevel="1">
      <c r="A321" s="790" t="s">
        <v>1099</v>
      </c>
      <c r="B321" s="823">
        <v>33.0</v>
      </c>
      <c r="C321" s="823">
        <v>66.0</v>
      </c>
      <c r="D321" s="823">
        <v>33.0</v>
      </c>
      <c r="E321" s="823">
        <v>33.0</v>
      </c>
      <c r="F321" s="823">
        <v>0.0</v>
      </c>
      <c r="G321" s="823">
        <v>0.0</v>
      </c>
      <c r="H321" s="823">
        <v>0.0</v>
      </c>
      <c r="I321" s="823">
        <v>0.0</v>
      </c>
      <c r="J321" s="823">
        <v>0.0</v>
      </c>
      <c r="K321" s="248">
        <v>23.33</v>
      </c>
      <c r="L321" s="248">
        <v>0.0</v>
      </c>
      <c r="M321" s="248">
        <v>33.0</v>
      </c>
      <c r="N321" s="248">
        <v>66.0</v>
      </c>
      <c r="O321" s="248">
        <v>0.0</v>
      </c>
      <c r="P321" s="248">
        <v>0.0</v>
      </c>
      <c r="Q321" s="248">
        <v>0.0</v>
      </c>
      <c r="R321" s="248">
        <v>0.0</v>
      </c>
      <c r="S321" s="248">
        <v>0.0</v>
      </c>
      <c r="T321" s="248">
        <v>0.0</v>
      </c>
      <c r="U321" s="248">
        <v>0.0</v>
      </c>
      <c r="V321" s="248">
        <v>0.0</v>
      </c>
      <c r="W321" s="248">
        <v>0.0</v>
      </c>
      <c r="X321" s="248">
        <v>89.1</v>
      </c>
      <c r="Y321" s="248">
        <v>198.0</v>
      </c>
      <c r="Z321" s="248">
        <v>33.0</v>
      </c>
      <c r="AA321" s="248">
        <v>132.0</v>
      </c>
      <c r="AB321" s="248">
        <v>0.0</v>
      </c>
      <c r="AC321" s="248">
        <v>26.33</v>
      </c>
      <c r="AD321" s="248">
        <v>0.0</v>
      </c>
      <c r="AE321" s="248">
        <v>156.0</v>
      </c>
      <c r="AF321" s="248"/>
      <c r="AG321" s="600">
        <f t="shared" si="99"/>
        <v>921.76</v>
      </c>
    </row>
    <row r="322" hidden="1" outlineLevel="1">
      <c r="A322" s="790" t="s">
        <v>1100</v>
      </c>
      <c r="B322" s="823">
        <v>75.0</v>
      </c>
      <c r="C322" s="828">
        <v>0.0</v>
      </c>
      <c r="D322" s="823">
        <v>75.0</v>
      </c>
      <c r="E322" s="828">
        <v>150.0</v>
      </c>
      <c r="F322" s="823">
        <v>0.0</v>
      </c>
      <c r="G322" s="828">
        <v>75.0</v>
      </c>
      <c r="H322" s="823">
        <v>0.0</v>
      </c>
      <c r="I322" s="823">
        <v>75.0</v>
      </c>
      <c r="J322" s="823">
        <v>150.0</v>
      </c>
      <c r="K322" s="248">
        <v>150.0</v>
      </c>
      <c r="L322" s="248">
        <v>202.5</v>
      </c>
      <c r="M322" s="248">
        <v>0.0</v>
      </c>
      <c r="N322" s="248">
        <v>75.0</v>
      </c>
      <c r="O322" s="248">
        <v>0.0</v>
      </c>
      <c r="P322" s="248">
        <v>225.0</v>
      </c>
      <c r="Q322" s="248">
        <v>140.0</v>
      </c>
      <c r="R322" s="248">
        <v>0.0</v>
      </c>
      <c r="S322" s="248">
        <v>0.0</v>
      </c>
      <c r="T322" s="248">
        <v>0.0</v>
      </c>
      <c r="U322" s="248">
        <v>0.0</v>
      </c>
      <c r="V322" s="248">
        <v>0.0</v>
      </c>
      <c r="W322" s="248">
        <v>427.5</v>
      </c>
      <c r="X322" s="248">
        <v>300.0</v>
      </c>
      <c r="Y322" s="248">
        <v>750.0</v>
      </c>
      <c r="Z322" s="248">
        <v>215.0</v>
      </c>
      <c r="AA322" s="248">
        <v>295.0</v>
      </c>
      <c r="AB322" s="248">
        <v>75.0</v>
      </c>
      <c r="AC322" s="248">
        <v>0.0</v>
      </c>
      <c r="AD322" s="248">
        <v>0.0</v>
      </c>
      <c r="AE322" s="248">
        <v>0.0</v>
      </c>
      <c r="AF322" s="248"/>
      <c r="AG322" s="600">
        <f t="shared" si="99"/>
        <v>3455</v>
      </c>
    </row>
    <row r="323" hidden="1" outlineLevel="1">
      <c r="A323" s="790" t="s">
        <v>1101</v>
      </c>
      <c r="B323" s="823">
        <v>150.0</v>
      </c>
      <c r="C323" s="823">
        <v>0.0</v>
      </c>
      <c r="D323" s="823">
        <v>75.0</v>
      </c>
      <c r="E323" s="823">
        <v>0.0</v>
      </c>
      <c r="F323" s="823">
        <v>0.0</v>
      </c>
      <c r="G323" s="823">
        <v>75.0</v>
      </c>
      <c r="H323" s="823">
        <v>0.0</v>
      </c>
      <c r="I323" s="823">
        <v>0.0</v>
      </c>
      <c r="J323" s="823">
        <v>0.0</v>
      </c>
      <c r="K323" s="248">
        <v>75.0</v>
      </c>
      <c r="L323" s="248">
        <v>0.0</v>
      </c>
      <c r="M323" s="248">
        <v>0.0</v>
      </c>
      <c r="N323" s="248">
        <v>0.0</v>
      </c>
      <c r="O323" s="248">
        <v>0.0</v>
      </c>
      <c r="P323" s="248">
        <v>0.0</v>
      </c>
      <c r="Q323" s="248">
        <v>0.0</v>
      </c>
      <c r="R323" s="248">
        <v>75.0</v>
      </c>
      <c r="S323" s="248">
        <v>0.0</v>
      </c>
      <c r="T323" s="248">
        <v>0.0</v>
      </c>
      <c r="U323" s="248">
        <v>75.0</v>
      </c>
      <c r="V323" s="248">
        <v>0.0</v>
      </c>
      <c r="W323" s="248">
        <v>75.0</v>
      </c>
      <c r="X323" s="248">
        <v>75.0</v>
      </c>
      <c r="Y323" s="248">
        <v>0.0</v>
      </c>
      <c r="Z323" s="248">
        <v>0.0</v>
      </c>
      <c r="AA323" s="248">
        <v>75.0</v>
      </c>
      <c r="AB323" s="248">
        <v>75.0</v>
      </c>
      <c r="AC323" s="248">
        <v>0.0</v>
      </c>
      <c r="AD323" s="248">
        <v>0.0</v>
      </c>
      <c r="AE323" s="248">
        <v>0.0</v>
      </c>
      <c r="AF323" s="248"/>
      <c r="AG323" s="600">
        <f t="shared" si="99"/>
        <v>825</v>
      </c>
    </row>
    <row r="324" hidden="1" outlineLevel="1">
      <c r="A324" s="790" t="s">
        <v>1102</v>
      </c>
      <c r="B324" s="823">
        <v>296.17</v>
      </c>
      <c r="C324" s="828">
        <v>164.67</v>
      </c>
      <c r="D324" s="823">
        <v>353.34</v>
      </c>
      <c r="E324" s="828">
        <v>216.0</v>
      </c>
      <c r="F324" s="823">
        <v>379.0</v>
      </c>
      <c r="G324" s="828">
        <v>113.34</v>
      </c>
      <c r="H324" s="823">
        <v>238.0</v>
      </c>
      <c r="I324" s="823">
        <v>134.0</v>
      </c>
      <c r="J324" s="823">
        <v>160.67</v>
      </c>
      <c r="K324" s="248">
        <v>105.0</v>
      </c>
      <c r="L324" s="248">
        <v>120.0</v>
      </c>
      <c r="M324" s="248">
        <v>168.0</v>
      </c>
      <c r="N324" s="248">
        <v>346.5</v>
      </c>
      <c r="O324" s="248">
        <v>248.0</v>
      </c>
      <c r="P324" s="248">
        <v>151.0</v>
      </c>
      <c r="Q324" s="248">
        <v>264.0</v>
      </c>
      <c r="R324" s="248">
        <v>328.5</v>
      </c>
      <c r="S324" s="248">
        <v>402.84</v>
      </c>
      <c r="T324" s="248">
        <v>297.0</v>
      </c>
      <c r="U324" s="248">
        <v>450.17</v>
      </c>
      <c r="V324" s="248">
        <v>339.4</v>
      </c>
      <c r="W324" s="248">
        <v>427.2</v>
      </c>
      <c r="X324" s="248">
        <v>586.84</v>
      </c>
      <c r="Y324" s="248">
        <v>817.69</v>
      </c>
      <c r="Z324" s="248">
        <v>446.6</v>
      </c>
      <c r="AA324" s="248">
        <v>594.1</v>
      </c>
      <c r="AB324" s="248">
        <v>530.8</v>
      </c>
      <c r="AC324" s="248">
        <v>163.0</v>
      </c>
      <c r="AD324" s="248">
        <v>174.0</v>
      </c>
      <c r="AE324" s="248">
        <v>145.0</v>
      </c>
      <c r="AF324" s="248"/>
      <c r="AG324" s="600">
        <f t="shared" si="99"/>
        <v>9160.83</v>
      </c>
    </row>
    <row r="325" hidden="1" outlineLevel="1">
      <c r="A325" s="790" t="s">
        <v>1104</v>
      </c>
      <c r="B325" s="823">
        <v>48.0</v>
      </c>
      <c r="C325" s="828">
        <v>44.67</v>
      </c>
      <c r="D325" s="823">
        <v>24.0</v>
      </c>
      <c r="E325" s="828">
        <v>24.0</v>
      </c>
      <c r="F325" s="823">
        <v>0.0</v>
      </c>
      <c r="G325" s="828">
        <v>0.0</v>
      </c>
      <c r="H325" s="823">
        <v>0.0</v>
      </c>
      <c r="I325" s="823">
        <v>0.0</v>
      </c>
      <c r="J325" s="823">
        <v>24.0</v>
      </c>
      <c r="K325" s="248">
        <v>14.33</v>
      </c>
      <c r="L325" s="248">
        <v>24.0</v>
      </c>
      <c r="M325" s="248">
        <v>24.0</v>
      </c>
      <c r="N325" s="248">
        <v>48.0</v>
      </c>
      <c r="O325" s="248">
        <v>62.0</v>
      </c>
      <c r="P325" s="248">
        <v>68.67</v>
      </c>
      <c r="Q325" s="248">
        <v>0.0</v>
      </c>
      <c r="R325" s="248">
        <v>24.0</v>
      </c>
      <c r="S325" s="248">
        <v>24.0</v>
      </c>
      <c r="T325" s="248">
        <v>0.0</v>
      </c>
      <c r="U325" s="248">
        <v>24.0</v>
      </c>
      <c r="V325" s="248">
        <v>69.5</v>
      </c>
      <c r="W325" s="248">
        <v>79.33</v>
      </c>
      <c r="X325" s="248">
        <v>174.8</v>
      </c>
      <c r="Y325" s="248">
        <v>192.0</v>
      </c>
      <c r="Z325" s="248">
        <v>48.0</v>
      </c>
      <c r="AA325" s="248">
        <v>184.8</v>
      </c>
      <c r="AB325" s="248">
        <v>48.0</v>
      </c>
      <c r="AC325" s="248">
        <v>41.34</v>
      </c>
      <c r="AD325" s="248">
        <v>29.0</v>
      </c>
      <c r="AE325" s="248">
        <v>138.34</v>
      </c>
      <c r="AF325" s="248"/>
      <c r="AG325" s="600">
        <f t="shared" si="99"/>
        <v>1482.78</v>
      </c>
    </row>
    <row r="326">
      <c r="A326" s="832" t="s">
        <v>98</v>
      </c>
      <c r="B326" s="194">
        <f t="shared" ref="B326:AF326" si="100">SUM(B317:B325)</f>
        <v>1278.14</v>
      </c>
      <c r="C326" s="194">
        <f t="shared" si="100"/>
        <v>874.18</v>
      </c>
      <c r="D326" s="194">
        <f t="shared" si="100"/>
        <v>1125.34</v>
      </c>
      <c r="E326" s="194">
        <f t="shared" si="100"/>
        <v>869</v>
      </c>
      <c r="F326" s="194">
        <f t="shared" si="100"/>
        <v>794</v>
      </c>
      <c r="G326" s="194">
        <f t="shared" si="100"/>
        <v>485.34</v>
      </c>
      <c r="H326" s="194">
        <f t="shared" si="100"/>
        <v>579</v>
      </c>
      <c r="I326" s="194">
        <f t="shared" si="100"/>
        <v>566</v>
      </c>
      <c r="J326" s="194">
        <f t="shared" si="100"/>
        <v>652.34</v>
      </c>
      <c r="K326" s="194">
        <f t="shared" si="100"/>
        <v>610</v>
      </c>
      <c r="L326" s="194">
        <f t="shared" si="100"/>
        <v>570.5</v>
      </c>
      <c r="M326" s="194">
        <f t="shared" si="100"/>
        <v>752</v>
      </c>
      <c r="N326" s="194">
        <f t="shared" si="100"/>
        <v>1036.5</v>
      </c>
      <c r="O326" s="194">
        <f t="shared" si="100"/>
        <v>783</v>
      </c>
      <c r="P326" s="194">
        <f t="shared" si="100"/>
        <v>1106.34</v>
      </c>
      <c r="Q326" s="194">
        <f t="shared" si="100"/>
        <v>1089</v>
      </c>
      <c r="R326" s="194">
        <f t="shared" si="100"/>
        <v>1031.34</v>
      </c>
      <c r="S326" s="194">
        <f t="shared" si="100"/>
        <v>1487.17</v>
      </c>
      <c r="T326" s="194">
        <f t="shared" si="100"/>
        <v>1171</v>
      </c>
      <c r="U326" s="194">
        <f t="shared" si="100"/>
        <v>1432.84</v>
      </c>
      <c r="V326" s="194">
        <f t="shared" si="100"/>
        <v>1134.1</v>
      </c>
      <c r="W326" s="194">
        <f t="shared" si="100"/>
        <v>2001.97</v>
      </c>
      <c r="X326" s="194">
        <f t="shared" si="100"/>
        <v>2690.67</v>
      </c>
      <c r="Y326" s="194">
        <f t="shared" si="100"/>
        <v>4122.02</v>
      </c>
      <c r="Z326" s="194">
        <f t="shared" si="100"/>
        <v>1764.8</v>
      </c>
      <c r="AA326" s="194">
        <f t="shared" si="100"/>
        <v>3349</v>
      </c>
      <c r="AB326" s="194">
        <f t="shared" si="100"/>
        <v>1914.8</v>
      </c>
      <c r="AC326" s="194">
        <f t="shared" si="100"/>
        <v>646.67</v>
      </c>
      <c r="AD326" s="194">
        <f t="shared" si="100"/>
        <v>319</v>
      </c>
      <c r="AE326" s="194">
        <f t="shared" si="100"/>
        <v>742.67</v>
      </c>
      <c r="AF326" s="194">
        <f t="shared" si="100"/>
        <v>0</v>
      </c>
      <c r="AG326" s="600">
        <f t="shared" si="99"/>
        <v>36978.73</v>
      </c>
    </row>
    <row r="327">
      <c r="A327" s="25"/>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c r="AA327" s="243"/>
      <c r="AB327" s="243"/>
      <c r="AC327" s="243"/>
      <c r="AD327" s="243"/>
      <c r="AE327" s="243"/>
      <c r="AF327" s="243"/>
      <c r="AG327" s="600"/>
    </row>
    <row r="328" collapsed="1">
      <c r="A328" s="790" t="s">
        <v>1105</v>
      </c>
      <c r="B328" s="799"/>
      <c r="C328" s="597"/>
      <c r="D328" s="799"/>
      <c r="E328" s="597"/>
      <c r="F328" s="597"/>
      <c r="G328" s="597"/>
      <c r="H328" s="597"/>
      <c r="I328" s="597"/>
      <c r="J328" s="799"/>
      <c r="K328" s="799"/>
      <c r="L328" s="799"/>
      <c r="M328" s="799"/>
      <c r="N328" s="799"/>
      <c r="O328" s="799"/>
      <c r="P328" s="799"/>
      <c r="Q328" s="799"/>
      <c r="R328" s="799"/>
      <c r="S328" s="799"/>
      <c r="T328" s="799"/>
      <c r="U328" s="799"/>
      <c r="V328" s="799"/>
      <c r="W328" s="799"/>
      <c r="X328" s="799"/>
      <c r="Y328" s="799"/>
      <c r="Z328" s="799"/>
      <c r="AA328" s="799"/>
      <c r="AB328" s="799"/>
      <c r="AC328" s="799"/>
      <c r="AD328" s="799"/>
      <c r="AE328" s="799"/>
      <c r="AF328" s="799"/>
      <c r="AG328" s="600"/>
    </row>
    <row r="329" hidden="1" outlineLevel="1">
      <c r="A329" s="790" t="s">
        <v>1054</v>
      </c>
      <c r="B329" s="799"/>
      <c r="C329" s="597"/>
      <c r="D329" s="799"/>
      <c r="E329" s="597"/>
      <c r="F329" s="597"/>
      <c r="G329" s="597"/>
      <c r="H329" s="597"/>
      <c r="I329" s="597"/>
      <c r="J329" s="799"/>
      <c r="K329" s="799"/>
      <c r="L329" s="799"/>
      <c r="M329" s="799"/>
      <c r="N329" s="799"/>
      <c r="O329" s="799"/>
      <c r="P329" s="799"/>
      <c r="Q329" s="799"/>
      <c r="R329" s="799"/>
      <c r="S329" s="799"/>
      <c r="T329" s="799"/>
      <c r="U329" s="799"/>
      <c r="V329" s="799"/>
      <c r="W329" s="799"/>
      <c r="X329" s="799"/>
      <c r="Y329" s="799"/>
      <c r="Z329" s="799"/>
      <c r="AA329" s="799"/>
      <c r="AB329" s="799"/>
      <c r="AC329" s="799"/>
      <c r="AD329" s="799"/>
      <c r="AE329" s="799"/>
      <c r="AF329" s="799"/>
      <c r="AG329" s="600">
        <f t="shared" ref="AG329:AG332" si="101">SUM(B329:AE329)</f>
        <v>0</v>
      </c>
    </row>
    <row r="330" hidden="1" outlineLevel="1">
      <c r="A330" s="790" t="s">
        <v>1056</v>
      </c>
      <c r="B330" s="799"/>
      <c r="C330" s="799"/>
      <c r="D330" s="597"/>
      <c r="E330" s="597"/>
      <c r="F330" s="597"/>
      <c r="G330" s="597"/>
      <c r="H330" s="597"/>
      <c r="I330" s="597"/>
      <c r="J330" s="799"/>
      <c r="K330" s="799"/>
      <c r="L330" s="799"/>
      <c r="M330" s="799"/>
      <c r="N330" s="799"/>
      <c r="O330" s="799"/>
      <c r="P330" s="799"/>
      <c r="Q330" s="799"/>
      <c r="R330" s="799"/>
      <c r="S330" s="799"/>
      <c r="T330" s="799"/>
      <c r="U330" s="799"/>
      <c r="V330" s="799"/>
      <c r="W330" s="799"/>
      <c r="X330" s="799"/>
      <c r="Y330" s="799"/>
      <c r="Z330" s="799"/>
      <c r="AA330" s="799"/>
      <c r="AB330" s="799"/>
      <c r="AC330" s="799"/>
      <c r="AD330" s="799"/>
      <c r="AE330" s="799"/>
      <c r="AF330" s="799"/>
      <c r="AG330" s="600">
        <f t="shared" si="101"/>
        <v>0</v>
      </c>
    </row>
    <row r="331" hidden="1" outlineLevel="1">
      <c r="A331" s="790" t="s">
        <v>1057</v>
      </c>
      <c r="B331" s="799"/>
      <c r="C331" s="597"/>
      <c r="D331" s="799"/>
      <c r="E331" s="597"/>
      <c r="F331" s="597"/>
      <c r="G331" s="597"/>
      <c r="H331" s="597"/>
      <c r="I331" s="597"/>
      <c r="J331" s="799"/>
      <c r="K331" s="799"/>
      <c r="L331" s="799"/>
      <c r="M331" s="799"/>
      <c r="N331" s="799"/>
      <c r="O331" s="799"/>
      <c r="P331" s="799"/>
      <c r="Q331" s="799"/>
      <c r="R331" s="799"/>
      <c r="S331" s="799"/>
      <c r="T331" s="799"/>
      <c r="U331" s="799"/>
      <c r="V331" s="799"/>
      <c r="W331" s="799"/>
      <c r="X331" s="799"/>
      <c r="Y331" s="799"/>
      <c r="Z331" s="799"/>
      <c r="AA331" s="799"/>
      <c r="AB331" s="799"/>
      <c r="AC331" s="799"/>
      <c r="AD331" s="799"/>
      <c r="AE331" s="799"/>
      <c r="AF331" s="799"/>
      <c r="AG331" s="600">
        <f t="shared" si="101"/>
        <v>0</v>
      </c>
    </row>
    <row r="332" hidden="1" outlineLevel="1">
      <c r="A332" s="790" t="s">
        <v>1106</v>
      </c>
      <c r="B332" s="799"/>
      <c r="C332" s="597"/>
      <c r="D332" s="799"/>
      <c r="E332" s="597"/>
      <c r="F332" s="597"/>
      <c r="G332" s="597"/>
      <c r="H332" s="597"/>
      <c r="I332" s="597"/>
      <c r="J332" s="799"/>
      <c r="K332" s="799"/>
      <c r="L332" s="799"/>
      <c r="M332" s="799"/>
      <c r="N332" s="799"/>
      <c r="O332" s="799"/>
      <c r="P332" s="799"/>
      <c r="Q332" s="799"/>
      <c r="R332" s="799"/>
      <c r="S332" s="799"/>
      <c r="T332" s="799"/>
      <c r="U332" s="799"/>
      <c r="V332" s="799"/>
      <c r="W332" s="799"/>
      <c r="X332" s="799"/>
      <c r="Y332" s="799"/>
      <c r="Z332" s="799"/>
      <c r="AA332" s="799"/>
      <c r="AB332" s="799"/>
      <c r="AC332" s="799"/>
      <c r="AD332" s="799"/>
      <c r="AE332" s="799"/>
      <c r="AF332" s="799"/>
      <c r="AG332" s="600">
        <f t="shared" si="101"/>
        <v>0</v>
      </c>
    </row>
    <row r="333" hidden="1" outlineLevel="1">
      <c r="A333" s="790" t="s">
        <v>1107</v>
      </c>
      <c r="B333" s="799"/>
      <c r="C333" s="597"/>
      <c r="D333" s="799"/>
      <c r="E333" s="597"/>
      <c r="F333" s="597"/>
      <c r="G333" s="597"/>
      <c r="H333" s="597"/>
      <c r="I333" s="597"/>
      <c r="J333" s="799"/>
      <c r="K333" s="799"/>
      <c r="L333" s="799"/>
      <c r="M333" s="799"/>
      <c r="N333" s="799"/>
      <c r="O333" s="799"/>
      <c r="P333" s="799"/>
      <c r="Q333" s="799"/>
      <c r="R333" s="799"/>
      <c r="S333" s="799"/>
      <c r="T333" s="799"/>
      <c r="U333" s="799"/>
      <c r="V333" s="799"/>
      <c r="W333" s="799"/>
      <c r="X333" s="799"/>
      <c r="Y333" s="799"/>
      <c r="Z333" s="799"/>
      <c r="AA333" s="799"/>
      <c r="AB333" s="799"/>
      <c r="AC333" s="799"/>
      <c r="AD333" s="799"/>
      <c r="AE333" s="799"/>
      <c r="AF333" s="799"/>
      <c r="AG333" s="600"/>
    </row>
    <row r="334" hidden="1" outlineLevel="1">
      <c r="A334" s="790" t="s">
        <v>1108</v>
      </c>
      <c r="B334" s="597"/>
      <c r="C334" s="799"/>
      <c r="D334" s="799"/>
      <c r="E334" s="597"/>
      <c r="F334" s="597"/>
      <c r="G334" s="597"/>
      <c r="H334" s="597"/>
      <c r="I334" s="597"/>
      <c r="J334" s="799"/>
      <c r="K334" s="799"/>
      <c r="L334" s="799"/>
      <c r="M334" s="799"/>
      <c r="N334" s="799"/>
      <c r="O334" s="799"/>
      <c r="P334" s="799"/>
      <c r="Q334" s="799"/>
      <c r="R334" s="799"/>
      <c r="S334" s="799"/>
      <c r="T334" s="799"/>
      <c r="U334" s="799"/>
      <c r="V334" s="799"/>
      <c r="W334" s="597"/>
      <c r="X334" s="799"/>
      <c r="Y334" s="799"/>
      <c r="Z334" s="799"/>
      <c r="AA334" s="799"/>
      <c r="AB334" s="799"/>
      <c r="AC334" s="799"/>
      <c r="AD334" s="799"/>
      <c r="AE334" s="799"/>
      <c r="AF334" s="799"/>
      <c r="AG334" s="600">
        <f>SUM(B334:AE334)</f>
        <v>0</v>
      </c>
    </row>
    <row r="335" hidden="1" outlineLevel="1">
      <c r="A335" s="790" t="s">
        <v>1109</v>
      </c>
      <c r="B335" s="597"/>
      <c r="C335" s="799"/>
      <c r="D335" s="799"/>
      <c r="E335" s="597"/>
      <c r="F335" s="597"/>
      <c r="G335" s="597"/>
      <c r="H335" s="597"/>
      <c r="I335" s="597"/>
      <c r="J335" s="799"/>
      <c r="K335" s="799"/>
      <c r="L335" s="799"/>
      <c r="M335" s="799"/>
      <c r="N335" s="799"/>
      <c r="O335" s="799"/>
      <c r="P335" s="799"/>
      <c r="Q335" s="799"/>
      <c r="R335" s="799"/>
      <c r="S335" s="799"/>
      <c r="T335" s="799"/>
      <c r="U335" s="799"/>
      <c r="V335" s="799"/>
      <c r="W335" s="597"/>
      <c r="X335" s="799"/>
      <c r="Y335" s="799"/>
      <c r="Z335" s="799"/>
      <c r="AA335" s="799"/>
      <c r="AB335" s="799"/>
      <c r="AC335" s="799"/>
      <c r="AD335" s="799"/>
      <c r="AE335" s="799"/>
      <c r="AF335" s="799"/>
      <c r="AG335" s="600"/>
    </row>
    <row r="336" hidden="1" outlineLevel="1">
      <c r="A336" s="819" t="s">
        <v>1110</v>
      </c>
      <c r="B336" s="597"/>
      <c r="C336" s="799"/>
      <c r="D336" s="799"/>
      <c r="E336" s="597"/>
      <c r="F336" s="597"/>
      <c r="G336" s="597"/>
      <c r="H336" s="597"/>
      <c r="I336" s="597"/>
      <c r="J336" s="799"/>
      <c r="K336" s="799"/>
      <c r="L336" s="799"/>
      <c r="M336" s="799"/>
      <c r="N336" s="799"/>
      <c r="O336" s="799"/>
      <c r="P336" s="799"/>
      <c r="Q336" s="799"/>
      <c r="R336" s="799"/>
      <c r="S336" s="799"/>
      <c r="T336" s="799"/>
      <c r="U336" s="799"/>
      <c r="V336" s="799"/>
      <c r="W336" s="597"/>
      <c r="X336" s="799"/>
      <c r="Y336" s="799"/>
      <c r="Z336" s="799"/>
      <c r="AA336" s="799"/>
      <c r="AB336" s="799"/>
      <c r="AC336" s="799"/>
      <c r="AD336" s="799"/>
      <c r="AE336" s="799"/>
      <c r="AF336" s="799"/>
      <c r="AG336" s="600"/>
    </row>
    <row r="337" hidden="1" outlineLevel="1">
      <c r="A337" s="819" t="s">
        <v>1111</v>
      </c>
      <c r="B337" s="597"/>
      <c r="C337" s="799"/>
      <c r="D337" s="799"/>
      <c r="E337" s="597"/>
      <c r="F337" s="597"/>
      <c r="G337" s="597"/>
      <c r="H337" s="597"/>
      <c r="I337" s="597"/>
      <c r="J337" s="799"/>
      <c r="K337" s="799"/>
      <c r="L337" s="799"/>
      <c r="M337" s="799"/>
      <c r="N337" s="799"/>
      <c r="O337" s="799"/>
      <c r="P337" s="799"/>
      <c r="Q337" s="799"/>
      <c r="R337" s="799"/>
      <c r="S337" s="799"/>
      <c r="T337" s="799"/>
      <c r="U337" s="799"/>
      <c r="V337" s="799"/>
      <c r="W337" s="597"/>
      <c r="X337" s="799"/>
      <c r="Y337" s="799"/>
      <c r="Z337" s="799"/>
      <c r="AA337" s="799"/>
      <c r="AB337" s="799"/>
      <c r="AC337" s="799"/>
      <c r="AD337" s="799"/>
      <c r="AE337" s="799"/>
      <c r="AF337" s="799"/>
      <c r="AG337" s="600"/>
    </row>
    <row r="338">
      <c r="A338" s="832" t="s">
        <v>98</v>
      </c>
      <c r="B338" s="194">
        <f t="shared" ref="B338:AF338" si="102">SUM(B329:B337)</f>
        <v>0</v>
      </c>
      <c r="C338" s="194">
        <f t="shared" si="102"/>
        <v>0</v>
      </c>
      <c r="D338" s="194">
        <f t="shared" si="102"/>
        <v>0</v>
      </c>
      <c r="E338" s="194">
        <f t="shared" si="102"/>
        <v>0</v>
      </c>
      <c r="F338" s="194">
        <f t="shared" si="102"/>
        <v>0</v>
      </c>
      <c r="G338" s="194">
        <f t="shared" si="102"/>
        <v>0</v>
      </c>
      <c r="H338" s="194">
        <f t="shared" si="102"/>
        <v>0</v>
      </c>
      <c r="I338" s="194">
        <f t="shared" si="102"/>
        <v>0</v>
      </c>
      <c r="J338" s="194">
        <f t="shared" si="102"/>
        <v>0</v>
      </c>
      <c r="K338" s="194">
        <f t="shared" si="102"/>
        <v>0</v>
      </c>
      <c r="L338" s="194">
        <f t="shared" si="102"/>
        <v>0</v>
      </c>
      <c r="M338" s="194">
        <f t="shared" si="102"/>
        <v>0</v>
      </c>
      <c r="N338" s="194">
        <f t="shared" si="102"/>
        <v>0</v>
      </c>
      <c r="O338" s="194">
        <f t="shared" si="102"/>
        <v>0</v>
      </c>
      <c r="P338" s="194">
        <f t="shared" si="102"/>
        <v>0</v>
      </c>
      <c r="Q338" s="194">
        <f t="shared" si="102"/>
        <v>0</v>
      </c>
      <c r="R338" s="194">
        <f t="shared" si="102"/>
        <v>0</v>
      </c>
      <c r="S338" s="194">
        <f t="shared" si="102"/>
        <v>0</v>
      </c>
      <c r="T338" s="194">
        <f t="shared" si="102"/>
        <v>0</v>
      </c>
      <c r="U338" s="194">
        <f t="shared" si="102"/>
        <v>0</v>
      </c>
      <c r="V338" s="194">
        <f t="shared" si="102"/>
        <v>0</v>
      </c>
      <c r="W338" s="194">
        <f t="shared" si="102"/>
        <v>0</v>
      </c>
      <c r="X338" s="194">
        <f t="shared" si="102"/>
        <v>0</v>
      </c>
      <c r="Y338" s="194">
        <f t="shared" si="102"/>
        <v>0</v>
      </c>
      <c r="Z338" s="194">
        <f t="shared" si="102"/>
        <v>0</v>
      </c>
      <c r="AA338" s="194">
        <f t="shared" si="102"/>
        <v>0</v>
      </c>
      <c r="AB338" s="194">
        <f t="shared" si="102"/>
        <v>0</v>
      </c>
      <c r="AC338" s="194">
        <f t="shared" si="102"/>
        <v>0</v>
      </c>
      <c r="AD338" s="194">
        <f t="shared" si="102"/>
        <v>0</v>
      </c>
      <c r="AE338" s="194">
        <f t="shared" si="102"/>
        <v>0</v>
      </c>
      <c r="AF338" s="194">
        <f t="shared" si="102"/>
        <v>0</v>
      </c>
      <c r="AG338" s="600">
        <f>SUM(B338:AF338)</f>
        <v>0</v>
      </c>
    </row>
    <row r="339">
      <c r="A339" s="723"/>
      <c r="B339" s="758"/>
      <c r="C339" s="758"/>
      <c r="D339" s="758"/>
      <c r="E339" s="758"/>
      <c r="F339" s="758"/>
      <c r="G339" s="758"/>
      <c r="H339" s="758"/>
      <c r="I339" s="758"/>
      <c r="J339" s="758"/>
      <c r="K339" s="758"/>
      <c r="L339" s="758"/>
      <c r="M339" s="758"/>
      <c r="N339" s="758"/>
      <c r="O339" s="758"/>
      <c r="P339" s="758"/>
      <c r="Q339" s="758"/>
      <c r="R339" s="758"/>
      <c r="S339" s="758"/>
      <c r="T339" s="758"/>
      <c r="U339" s="758"/>
      <c r="V339" s="758"/>
      <c r="W339" s="758"/>
      <c r="X339" s="758"/>
      <c r="Y339" s="758"/>
      <c r="Z339" s="758"/>
      <c r="AA339" s="758"/>
      <c r="AB339" s="758"/>
      <c r="AC339" s="758"/>
      <c r="AD339" s="758"/>
      <c r="AE339" s="758"/>
      <c r="AF339" s="758"/>
      <c r="AG339" s="600"/>
    </row>
    <row r="340">
      <c r="A340" s="790" t="s">
        <v>1113</v>
      </c>
      <c r="B340" s="799"/>
      <c r="C340" s="799"/>
      <c r="D340" s="799"/>
      <c r="E340" s="799"/>
      <c r="F340" s="799"/>
      <c r="G340" s="799"/>
      <c r="H340" s="799"/>
      <c r="I340" s="799"/>
      <c r="J340" s="799"/>
      <c r="K340" s="799"/>
      <c r="L340" s="799"/>
      <c r="M340" s="597"/>
      <c r="N340" s="597"/>
      <c r="O340" s="597"/>
      <c r="P340" s="597"/>
      <c r="Q340" s="597"/>
      <c r="R340" s="597"/>
      <c r="S340" s="799"/>
      <c r="T340" s="799"/>
      <c r="U340" s="799"/>
      <c r="V340" s="799"/>
      <c r="W340" s="799"/>
      <c r="X340" s="799"/>
      <c r="Y340" s="799"/>
      <c r="Z340" s="799"/>
      <c r="AA340" s="799"/>
      <c r="AB340" s="799"/>
      <c r="AC340" s="799"/>
      <c r="AD340" s="799"/>
      <c r="AE340" s="799"/>
      <c r="AF340" s="799"/>
      <c r="AG340" s="600">
        <f t="shared" ref="AG340:AG342" si="103">SUM(B340:AF340)</f>
        <v>0</v>
      </c>
    </row>
    <row r="341">
      <c r="A341" s="790" t="s">
        <v>1115</v>
      </c>
      <c r="B341" s="799"/>
      <c r="C341" s="799"/>
      <c r="D341" s="799"/>
      <c r="E341" s="799"/>
      <c r="F341" s="799"/>
      <c r="G341" s="799"/>
      <c r="H341" s="799"/>
      <c r="I341" s="799"/>
      <c r="J341" s="799"/>
      <c r="K341" s="799"/>
      <c r="L341" s="799"/>
      <c r="M341" s="799"/>
      <c r="N341" s="799"/>
      <c r="O341" s="799"/>
      <c r="P341" s="799"/>
      <c r="Q341" s="799"/>
      <c r="R341" s="799"/>
      <c r="S341" s="799"/>
      <c r="T341" s="799"/>
      <c r="U341" s="799"/>
      <c r="V341" s="799"/>
      <c r="W341" s="799"/>
      <c r="X341" s="799"/>
      <c r="Y341" s="799"/>
      <c r="Z341" s="799"/>
      <c r="AA341" s="799"/>
      <c r="AB341" s="799"/>
      <c r="AC341" s="799"/>
      <c r="AD341" s="799"/>
      <c r="AE341" s="799"/>
      <c r="AF341" s="799"/>
      <c r="AG341" s="600">
        <f t="shared" si="103"/>
        <v>0</v>
      </c>
    </row>
    <row r="342">
      <c r="A342" s="832" t="s">
        <v>98</v>
      </c>
      <c r="B342" s="194">
        <f t="shared" ref="B342:AF342" si="104">SUM(B340:B341)</f>
        <v>0</v>
      </c>
      <c r="C342" s="194">
        <f t="shared" si="104"/>
        <v>0</v>
      </c>
      <c r="D342" s="194">
        <f t="shared" si="104"/>
        <v>0</v>
      </c>
      <c r="E342" s="194">
        <f t="shared" si="104"/>
        <v>0</v>
      </c>
      <c r="F342" s="194">
        <f t="shared" si="104"/>
        <v>0</v>
      </c>
      <c r="G342" s="194">
        <f t="shared" si="104"/>
        <v>0</v>
      </c>
      <c r="H342" s="194">
        <f t="shared" si="104"/>
        <v>0</v>
      </c>
      <c r="I342" s="194">
        <f t="shared" si="104"/>
        <v>0</v>
      </c>
      <c r="J342" s="194">
        <f t="shared" si="104"/>
        <v>0</v>
      </c>
      <c r="K342" s="194">
        <f t="shared" si="104"/>
        <v>0</v>
      </c>
      <c r="L342" s="194">
        <f t="shared" si="104"/>
        <v>0</v>
      </c>
      <c r="M342" s="194">
        <f t="shared" si="104"/>
        <v>0</v>
      </c>
      <c r="N342" s="194">
        <f t="shared" si="104"/>
        <v>0</v>
      </c>
      <c r="O342" s="194">
        <f t="shared" si="104"/>
        <v>0</v>
      </c>
      <c r="P342" s="194">
        <f t="shared" si="104"/>
        <v>0</v>
      </c>
      <c r="Q342" s="194">
        <f t="shared" si="104"/>
        <v>0</v>
      </c>
      <c r="R342" s="194">
        <f t="shared" si="104"/>
        <v>0</v>
      </c>
      <c r="S342" s="194">
        <f t="shared" si="104"/>
        <v>0</v>
      </c>
      <c r="T342" s="194">
        <f t="shared" si="104"/>
        <v>0</v>
      </c>
      <c r="U342" s="194">
        <f t="shared" si="104"/>
        <v>0</v>
      </c>
      <c r="V342" s="194">
        <f t="shared" si="104"/>
        <v>0</v>
      </c>
      <c r="W342" s="194">
        <f t="shared" si="104"/>
        <v>0</v>
      </c>
      <c r="X342" s="194">
        <f t="shared" si="104"/>
        <v>0</v>
      </c>
      <c r="Y342" s="194">
        <f t="shared" si="104"/>
        <v>0</v>
      </c>
      <c r="Z342" s="194">
        <f t="shared" si="104"/>
        <v>0</v>
      </c>
      <c r="AA342" s="194">
        <f t="shared" si="104"/>
        <v>0</v>
      </c>
      <c r="AB342" s="194">
        <f t="shared" si="104"/>
        <v>0</v>
      </c>
      <c r="AC342" s="194">
        <f t="shared" si="104"/>
        <v>0</v>
      </c>
      <c r="AD342" s="194">
        <f t="shared" si="104"/>
        <v>0</v>
      </c>
      <c r="AE342" s="194">
        <f t="shared" si="104"/>
        <v>0</v>
      </c>
      <c r="AF342" s="194">
        <f t="shared" si="104"/>
        <v>0</v>
      </c>
      <c r="AG342" s="600">
        <f t="shared" si="103"/>
        <v>0</v>
      </c>
    </row>
    <row r="343">
      <c r="A343" s="723"/>
      <c r="B343" s="758"/>
      <c r="C343" s="758"/>
      <c r="D343" s="758"/>
      <c r="E343" s="758"/>
      <c r="F343" s="758"/>
      <c r="G343" s="758"/>
      <c r="H343" s="758"/>
      <c r="I343" s="758"/>
      <c r="J343" s="758"/>
      <c r="K343" s="758"/>
      <c r="L343" s="758"/>
      <c r="M343" s="758"/>
      <c r="N343" s="758"/>
      <c r="O343" s="758"/>
      <c r="P343" s="758"/>
      <c r="Q343" s="758"/>
      <c r="R343" s="758"/>
      <c r="S343" s="758"/>
      <c r="T343" s="758"/>
      <c r="U343" s="758"/>
      <c r="V343" s="758"/>
      <c r="W343" s="758"/>
      <c r="X343" s="758"/>
      <c r="Y343" s="758"/>
      <c r="Z343" s="758"/>
      <c r="AA343" s="758"/>
      <c r="AB343" s="758"/>
      <c r="AC343" s="758"/>
      <c r="AD343" s="758"/>
      <c r="AE343" s="758"/>
      <c r="AF343" s="758"/>
      <c r="AG343" s="453"/>
    </row>
    <row r="344">
      <c r="A344" s="837" t="s">
        <v>1117</v>
      </c>
      <c r="B344" s="838"/>
      <c r="C344" s="838"/>
      <c r="D344" s="839"/>
      <c r="E344" s="839"/>
      <c r="F344" s="839"/>
      <c r="G344" s="839"/>
      <c r="H344" s="839"/>
      <c r="I344" s="839"/>
      <c r="J344" s="839"/>
      <c r="K344" s="838"/>
      <c r="L344" s="838"/>
      <c r="M344" s="838"/>
      <c r="N344" s="838"/>
      <c r="O344" s="838"/>
      <c r="P344" s="838"/>
      <c r="Q344" s="838"/>
      <c r="R344" s="838"/>
      <c r="S344" s="838"/>
      <c r="T344" s="838"/>
      <c r="U344" s="838"/>
      <c r="V344" s="838"/>
      <c r="W344" s="838"/>
      <c r="X344" s="838"/>
      <c r="Y344" s="838"/>
      <c r="Z344" s="838"/>
      <c r="AA344" s="838"/>
      <c r="AB344" s="838"/>
      <c r="AC344" s="838"/>
      <c r="AD344" s="838"/>
      <c r="AE344" s="838"/>
      <c r="AF344" s="838"/>
      <c r="AG344" s="840"/>
    </row>
    <row r="345">
      <c r="A345" s="841" t="s">
        <v>98</v>
      </c>
      <c r="B345" s="842"/>
      <c r="C345" s="842"/>
      <c r="D345" s="842"/>
      <c r="E345" s="842"/>
      <c r="F345" s="842"/>
      <c r="G345" s="842"/>
      <c r="H345" s="842"/>
      <c r="I345" s="842"/>
      <c r="J345" s="843">
        <v>552.01</v>
      </c>
      <c r="K345" s="843">
        <v>356.89</v>
      </c>
      <c r="L345" s="843">
        <v>281.81</v>
      </c>
      <c r="M345" s="843">
        <v>164.95</v>
      </c>
      <c r="N345" s="843">
        <v>0.0</v>
      </c>
      <c r="O345" s="843">
        <v>681.63</v>
      </c>
      <c r="P345" s="843">
        <v>662.92</v>
      </c>
      <c r="Q345" s="843">
        <v>844.78</v>
      </c>
      <c r="R345" s="843">
        <v>636.28</v>
      </c>
      <c r="S345" s="843">
        <v>271.98</v>
      </c>
      <c r="T345" s="843">
        <v>215.97</v>
      </c>
      <c r="U345" s="843">
        <v>185.98</v>
      </c>
      <c r="V345" s="843">
        <v>275.99</v>
      </c>
      <c r="W345" s="843">
        <v>406.99</v>
      </c>
      <c r="X345" s="843">
        <v>338.66</v>
      </c>
      <c r="Y345" s="843">
        <v>892.63</v>
      </c>
      <c r="Z345" s="843">
        <v>605.98</v>
      </c>
      <c r="AA345" s="843">
        <v>256.01</v>
      </c>
      <c r="AB345" s="843">
        <v>757.95</v>
      </c>
      <c r="AC345" s="843">
        <v>750.98</v>
      </c>
      <c r="AD345" s="843">
        <v>0.0</v>
      </c>
      <c r="AE345" s="843">
        <v>114.0</v>
      </c>
      <c r="AF345" s="842"/>
      <c r="AG345" s="844">
        <f>SUM(B345:AF345)</f>
        <v>9254.39</v>
      </c>
    </row>
    <row r="346">
      <c r="A346" s="723"/>
      <c r="J346" s="1" t="s">
        <v>327</v>
      </c>
      <c r="T346" s="758"/>
      <c r="U346" s="758"/>
      <c r="V346" s="758"/>
      <c r="W346" s="758"/>
      <c r="X346" s="758"/>
      <c r="Y346" s="758"/>
      <c r="Z346" s="758"/>
      <c r="AA346" s="758"/>
      <c r="AB346" s="758"/>
      <c r="AC346" s="758"/>
      <c r="AD346" s="758"/>
      <c r="AE346" s="758"/>
      <c r="AF346" s="758"/>
      <c r="AG346" s="453"/>
    </row>
    <row r="347">
      <c r="A347" s="349" t="s">
        <v>250</v>
      </c>
      <c r="B347" s="661"/>
      <c r="C347" s="661"/>
      <c r="D347" s="661"/>
      <c r="E347" s="661"/>
      <c r="F347" s="661"/>
      <c r="G347" s="661"/>
      <c r="H347" s="661"/>
      <c r="I347" s="53"/>
      <c r="J347" s="53"/>
      <c r="K347" s="53"/>
      <c r="L347" s="53"/>
      <c r="M347" s="53"/>
      <c r="N347" s="53"/>
      <c r="O347" s="53"/>
      <c r="P347" s="53"/>
      <c r="Q347" s="53"/>
      <c r="R347" s="53"/>
      <c r="S347" s="53"/>
      <c r="T347" s="53"/>
      <c r="U347" s="53"/>
      <c r="V347" s="53"/>
      <c r="W347" s="53"/>
      <c r="X347" s="53"/>
      <c r="Y347" s="53"/>
      <c r="Z347" s="53"/>
      <c r="AA347" s="53"/>
      <c r="AB347" s="53"/>
      <c r="AC347" s="53"/>
      <c r="AD347" s="53"/>
      <c r="AE347" s="53"/>
      <c r="AF347" s="53"/>
      <c r="AG347" s="453"/>
    </row>
    <row r="348">
      <c r="A348" s="352" t="s">
        <v>1118</v>
      </c>
      <c r="B348" s="114">
        <v>1.0</v>
      </c>
      <c r="C348" s="114">
        <v>0.0</v>
      </c>
      <c r="D348" s="114">
        <v>4.0</v>
      </c>
      <c r="E348" s="114">
        <v>0.0</v>
      </c>
      <c r="F348" s="114">
        <v>0.0</v>
      </c>
      <c r="G348" s="114">
        <v>1.0</v>
      </c>
      <c r="H348" s="114">
        <v>0.0</v>
      </c>
      <c r="I348" s="114">
        <v>3.0</v>
      </c>
      <c r="J348" s="114">
        <v>0.0</v>
      </c>
      <c r="K348" s="114">
        <v>3.0</v>
      </c>
      <c r="L348" s="114">
        <v>0.0</v>
      </c>
      <c r="M348" s="114">
        <v>0.0</v>
      </c>
      <c r="N348" s="114">
        <v>3.0</v>
      </c>
      <c r="O348" s="114">
        <v>0.0</v>
      </c>
      <c r="P348" s="114">
        <v>0.0</v>
      </c>
      <c r="Q348" s="114">
        <v>1.0</v>
      </c>
      <c r="R348" s="114">
        <v>0.0</v>
      </c>
      <c r="S348" s="114">
        <v>0.0</v>
      </c>
      <c r="T348" s="114">
        <v>1.0</v>
      </c>
      <c r="U348" s="114">
        <v>0.0</v>
      </c>
      <c r="V348" s="114">
        <v>5.0</v>
      </c>
      <c r="W348" s="114">
        <v>3.0</v>
      </c>
      <c r="X348" s="114">
        <v>5.0</v>
      </c>
      <c r="Y348" s="114">
        <v>10.0</v>
      </c>
      <c r="Z348" s="114">
        <v>7.0</v>
      </c>
      <c r="AA348" s="114">
        <v>9.0</v>
      </c>
      <c r="AB348" s="114">
        <v>0.0</v>
      </c>
      <c r="AC348" s="114">
        <v>16.0</v>
      </c>
      <c r="AD348" s="114">
        <v>1.0</v>
      </c>
      <c r="AE348" s="114">
        <v>7.0</v>
      </c>
      <c r="AF348" s="114"/>
      <c r="AG348" s="693">
        <f t="shared" ref="AG348:AG361" si="105">SUM(B348:AF348)</f>
        <v>80</v>
      </c>
    </row>
    <row r="349">
      <c r="A349" s="352" t="s">
        <v>1119</v>
      </c>
      <c r="B349" s="114">
        <v>0.0</v>
      </c>
      <c r="C349" s="114">
        <v>0.0</v>
      </c>
      <c r="D349" s="114">
        <v>0.0</v>
      </c>
      <c r="E349" s="114">
        <v>0.0</v>
      </c>
      <c r="F349" s="114">
        <v>0.0</v>
      </c>
      <c r="G349" s="114">
        <v>0.0</v>
      </c>
      <c r="H349" s="114">
        <v>0.0</v>
      </c>
      <c r="I349" s="114">
        <v>0.0</v>
      </c>
      <c r="J349" s="114">
        <v>0.0</v>
      </c>
      <c r="K349" s="114">
        <v>0.0</v>
      </c>
      <c r="L349" s="114">
        <v>0.0</v>
      </c>
      <c r="M349" s="114">
        <v>0.0</v>
      </c>
      <c r="N349" s="114">
        <v>0.0</v>
      </c>
      <c r="O349" s="114">
        <v>0.0</v>
      </c>
      <c r="P349" s="114">
        <v>0.0</v>
      </c>
      <c r="Q349" s="114">
        <v>0.0</v>
      </c>
      <c r="R349" s="114">
        <v>0.0</v>
      </c>
      <c r="S349" s="114">
        <v>0.0</v>
      </c>
      <c r="T349" s="114">
        <v>0.0</v>
      </c>
      <c r="U349" s="114">
        <v>0.0</v>
      </c>
      <c r="V349" s="114">
        <v>0.0</v>
      </c>
      <c r="W349" s="114">
        <v>0.0</v>
      </c>
      <c r="X349" s="114">
        <v>1.0</v>
      </c>
      <c r="Y349" s="114">
        <v>1.0</v>
      </c>
      <c r="Z349" s="114">
        <v>1.0</v>
      </c>
      <c r="AA349" s="114">
        <v>2.0</v>
      </c>
      <c r="AB349" s="114">
        <v>0.0</v>
      </c>
      <c r="AC349" s="114">
        <v>2.0</v>
      </c>
      <c r="AD349" s="114">
        <v>1.0</v>
      </c>
      <c r="AE349" s="114">
        <v>1.0</v>
      </c>
      <c r="AF349" s="114"/>
      <c r="AG349" s="693">
        <f t="shared" si="105"/>
        <v>9</v>
      </c>
    </row>
    <row r="350">
      <c r="A350" s="352" t="s">
        <v>1121</v>
      </c>
      <c r="B350" s="695">
        <v>1.0</v>
      </c>
      <c r="C350" s="695">
        <v>0.0</v>
      </c>
      <c r="D350" s="695">
        <v>0.0</v>
      </c>
      <c r="E350" s="695">
        <v>0.0</v>
      </c>
      <c r="F350" s="695">
        <v>0.0</v>
      </c>
      <c r="G350" s="114">
        <v>1.0</v>
      </c>
      <c r="H350" s="114">
        <v>0.0</v>
      </c>
      <c r="I350" s="114">
        <v>1.0</v>
      </c>
      <c r="J350" s="114">
        <v>1.0</v>
      </c>
      <c r="K350" s="114">
        <v>0.0</v>
      </c>
      <c r="L350" s="114">
        <v>0.0</v>
      </c>
      <c r="M350" s="114">
        <v>0.0</v>
      </c>
      <c r="N350" s="114">
        <v>0.0</v>
      </c>
      <c r="O350" s="114">
        <v>1.0</v>
      </c>
      <c r="P350" s="114">
        <v>3.0</v>
      </c>
      <c r="Q350" s="114">
        <v>0.0</v>
      </c>
      <c r="R350" s="114">
        <v>0.0</v>
      </c>
      <c r="S350" s="114">
        <v>0.0</v>
      </c>
      <c r="T350" s="114">
        <v>5.0</v>
      </c>
      <c r="U350" s="114">
        <v>6.0</v>
      </c>
      <c r="V350" s="114">
        <v>5.0</v>
      </c>
      <c r="W350" s="114">
        <v>1.0</v>
      </c>
      <c r="X350" s="114">
        <v>7.0</v>
      </c>
      <c r="Y350" s="114">
        <v>10.0</v>
      </c>
      <c r="Z350" s="114">
        <v>14.0</v>
      </c>
      <c r="AA350" s="114">
        <v>15.0</v>
      </c>
      <c r="AB350" s="114">
        <v>0.0</v>
      </c>
      <c r="AC350" s="114">
        <v>12.0</v>
      </c>
      <c r="AD350" s="114">
        <v>8.0</v>
      </c>
      <c r="AE350" s="114">
        <v>4.0</v>
      </c>
      <c r="AF350" s="114"/>
      <c r="AG350" s="693">
        <f t="shared" si="105"/>
        <v>95</v>
      </c>
    </row>
    <row r="351">
      <c r="A351" s="352" t="s">
        <v>1123</v>
      </c>
      <c r="B351" s="695">
        <v>0.0</v>
      </c>
      <c r="C351" s="695">
        <v>1.0</v>
      </c>
      <c r="D351" s="695">
        <v>0.0</v>
      </c>
      <c r="E351" s="695">
        <v>0.0</v>
      </c>
      <c r="F351" s="695">
        <v>0.0</v>
      </c>
      <c r="G351" s="114">
        <v>0.0</v>
      </c>
      <c r="H351" s="114">
        <v>0.0</v>
      </c>
      <c r="I351" s="114">
        <v>0.0</v>
      </c>
      <c r="J351" s="114">
        <v>0.0</v>
      </c>
      <c r="K351" s="114">
        <v>0.0</v>
      </c>
      <c r="L351" s="114">
        <v>0.0</v>
      </c>
      <c r="M351" s="114">
        <v>0.0</v>
      </c>
      <c r="N351" s="114">
        <v>0.0</v>
      </c>
      <c r="O351" s="114">
        <v>0.0</v>
      </c>
      <c r="P351" s="114">
        <v>0.0</v>
      </c>
      <c r="Q351" s="114">
        <v>0.0</v>
      </c>
      <c r="R351" s="114">
        <v>0.0</v>
      </c>
      <c r="S351" s="114">
        <v>0.0</v>
      </c>
      <c r="T351" s="114">
        <v>0.0</v>
      </c>
      <c r="U351" s="114">
        <v>0.0</v>
      </c>
      <c r="V351" s="114">
        <v>0.0</v>
      </c>
      <c r="W351" s="114">
        <v>0.0</v>
      </c>
      <c r="X351" s="114">
        <v>0.0</v>
      </c>
      <c r="Y351" s="114">
        <v>1.0</v>
      </c>
      <c r="Z351" s="114">
        <v>3.0</v>
      </c>
      <c r="AA351" s="114">
        <v>2.0</v>
      </c>
      <c r="AB351" s="114">
        <v>0.0</v>
      </c>
      <c r="AC351" s="114">
        <v>4.0</v>
      </c>
      <c r="AD351" s="114">
        <v>1.0</v>
      </c>
      <c r="AE351" s="114">
        <v>1.0</v>
      </c>
      <c r="AF351" s="114"/>
      <c r="AG351" s="693">
        <f t="shared" si="105"/>
        <v>13</v>
      </c>
    </row>
    <row r="352">
      <c r="A352" s="846" t="s">
        <v>1125</v>
      </c>
      <c r="B352" s="847">
        <v>0.0</v>
      </c>
      <c r="C352" s="847">
        <v>0.0</v>
      </c>
      <c r="D352" s="847">
        <v>1.0</v>
      </c>
      <c r="E352" s="847">
        <v>0.0</v>
      </c>
      <c r="F352" s="847">
        <v>0.0</v>
      </c>
      <c r="G352" s="847">
        <v>0.0</v>
      </c>
      <c r="H352" s="847">
        <v>0.0</v>
      </c>
      <c r="I352" s="847">
        <v>0.0</v>
      </c>
      <c r="J352" s="847">
        <v>0.0</v>
      </c>
      <c r="K352" s="847">
        <v>0.0</v>
      </c>
      <c r="L352" s="847">
        <v>0.0</v>
      </c>
      <c r="M352" s="847">
        <v>0.0</v>
      </c>
      <c r="N352" s="847">
        <v>0.0</v>
      </c>
      <c r="O352" s="847">
        <v>0.0</v>
      </c>
      <c r="P352" s="847">
        <v>0.0</v>
      </c>
      <c r="Q352" s="847">
        <v>0.0</v>
      </c>
      <c r="R352" s="847">
        <v>0.0</v>
      </c>
      <c r="S352" s="847">
        <v>0.0</v>
      </c>
      <c r="T352" s="847">
        <v>0.0</v>
      </c>
      <c r="U352" s="847">
        <v>0.0</v>
      </c>
      <c r="V352" s="847">
        <v>0.0</v>
      </c>
      <c r="W352" s="847">
        <v>2.0</v>
      </c>
      <c r="X352" s="847">
        <v>0.0</v>
      </c>
      <c r="Y352" s="847">
        <v>0.0</v>
      </c>
      <c r="Z352" s="847">
        <v>0.0</v>
      </c>
      <c r="AA352" s="847">
        <v>0.0</v>
      </c>
      <c r="AB352" s="847">
        <v>0.0</v>
      </c>
      <c r="AC352" s="847">
        <v>0.0</v>
      </c>
      <c r="AD352" s="847">
        <v>0.0</v>
      </c>
      <c r="AE352" s="847">
        <v>0.0</v>
      </c>
      <c r="AF352" s="847"/>
      <c r="AG352" s="848">
        <f t="shared" si="105"/>
        <v>3</v>
      </c>
    </row>
    <row r="353">
      <c r="A353" s="352" t="s">
        <v>1127</v>
      </c>
      <c r="B353" s="114">
        <v>0.0</v>
      </c>
      <c r="C353" s="114">
        <v>0.0</v>
      </c>
      <c r="D353" s="114">
        <v>0.0</v>
      </c>
      <c r="E353" s="114">
        <v>0.0</v>
      </c>
      <c r="F353" s="114">
        <v>0.0</v>
      </c>
      <c r="G353" s="114">
        <v>0.0</v>
      </c>
      <c r="H353" s="114">
        <v>0.0</v>
      </c>
      <c r="I353" s="114">
        <v>0.0</v>
      </c>
      <c r="J353" s="114">
        <v>0.0</v>
      </c>
      <c r="K353" s="114">
        <v>0.0</v>
      </c>
      <c r="L353" s="114">
        <v>0.0</v>
      </c>
      <c r="M353" s="114">
        <v>0.0</v>
      </c>
      <c r="N353" s="114">
        <v>0.0</v>
      </c>
      <c r="O353" s="114">
        <v>0.0</v>
      </c>
      <c r="P353" s="114">
        <v>0.0</v>
      </c>
      <c r="Q353" s="114">
        <v>0.0</v>
      </c>
      <c r="R353" s="114">
        <v>0.0</v>
      </c>
      <c r="S353" s="114">
        <v>0.0</v>
      </c>
      <c r="T353" s="114">
        <v>0.0</v>
      </c>
      <c r="U353" s="114">
        <v>1.0</v>
      </c>
      <c r="V353" s="114">
        <v>0.0</v>
      </c>
      <c r="W353" s="114">
        <v>0.0</v>
      </c>
      <c r="X353" s="114">
        <v>0.0</v>
      </c>
      <c r="Y353" s="114">
        <v>0.0</v>
      </c>
      <c r="Z353" s="114">
        <v>1.0</v>
      </c>
      <c r="AA353" s="114">
        <v>0.0</v>
      </c>
      <c r="AB353" s="114">
        <v>0.0</v>
      </c>
      <c r="AC353" s="114">
        <v>0.0</v>
      </c>
      <c r="AD353" s="114">
        <v>0.0</v>
      </c>
      <c r="AE353" s="114">
        <v>0.0</v>
      </c>
      <c r="AF353" s="114"/>
      <c r="AG353" s="693">
        <f t="shared" si="105"/>
        <v>2</v>
      </c>
    </row>
    <row r="354">
      <c r="A354" s="352" t="s">
        <v>1130</v>
      </c>
      <c r="B354" s="114">
        <v>0.0</v>
      </c>
      <c r="C354" s="114">
        <v>0.0</v>
      </c>
      <c r="D354" s="114">
        <v>0.0</v>
      </c>
      <c r="E354" s="114">
        <v>0.0</v>
      </c>
      <c r="F354" s="114">
        <v>0.0</v>
      </c>
      <c r="G354" s="114">
        <v>0.0</v>
      </c>
      <c r="H354" s="114">
        <v>0.0</v>
      </c>
      <c r="I354" s="114">
        <v>0.0</v>
      </c>
      <c r="J354" s="114">
        <v>0.0</v>
      </c>
      <c r="K354" s="114">
        <v>0.0</v>
      </c>
      <c r="L354" s="114">
        <v>0.0</v>
      </c>
      <c r="M354" s="114">
        <v>0.0</v>
      </c>
      <c r="N354" s="114">
        <v>0.0</v>
      </c>
      <c r="O354" s="114">
        <v>0.0</v>
      </c>
      <c r="P354" s="114">
        <v>0.0</v>
      </c>
      <c r="Q354" s="114">
        <v>0.0</v>
      </c>
      <c r="R354" s="114">
        <v>0.0</v>
      </c>
      <c r="S354" s="114">
        <v>0.0</v>
      </c>
      <c r="T354" s="114">
        <v>0.0</v>
      </c>
      <c r="U354" s="114">
        <v>0.0</v>
      </c>
      <c r="V354" s="114">
        <v>1.0</v>
      </c>
      <c r="W354" s="114">
        <v>1.0</v>
      </c>
      <c r="X354" s="114">
        <v>0.0</v>
      </c>
      <c r="Y354" s="114">
        <v>0.0</v>
      </c>
      <c r="Z354" s="114">
        <v>0.0</v>
      </c>
      <c r="AA354" s="114">
        <v>0.0</v>
      </c>
      <c r="AB354" s="114">
        <v>0.0</v>
      </c>
      <c r="AC354" s="114">
        <v>0.0</v>
      </c>
      <c r="AD354" s="114">
        <v>0.0</v>
      </c>
      <c r="AE354" s="114">
        <v>0.0</v>
      </c>
      <c r="AF354" s="114"/>
      <c r="AG354" s="693">
        <f t="shared" si="105"/>
        <v>2</v>
      </c>
    </row>
    <row r="355">
      <c r="A355" s="352" t="s">
        <v>1133</v>
      </c>
      <c r="B355" s="114">
        <v>0.0</v>
      </c>
      <c r="C355" s="114">
        <v>0.0</v>
      </c>
      <c r="D355" s="114">
        <v>0.0</v>
      </c>
      <c r="E355" s="114">
        <v>0.0</v>
      </c>
      <c r="F355" s="114">
        <v>0.0</v>
      </c>
      <c r="G355" s="114">
        <v>0.0</v>
      </c>
      <c r="H355" s="114">
        <v>0.0</v>
      </c>
      <c r="I355" s="114">
        <v>0.0</v>
      </c>
      <c r="J355" s="114">
        <v>0.0</v>
      </c>
      <c r="K355" s="114">
        <v>0.0</v>
      </c>
      <c r="L355" s="114">
        <v>0.0</v>
      </c>
      <c r="M355" s="114">
        <v>0.0</v>
      </c>
      <c r="N355" s="114">
        <v>0.0</v>
      </c>
      <c r="O355" s="114">
        <v>0.0</v>
      </c>
      <c r="P355" s="114">
        <v>0.0</v>
      </c>
      <c r="Q355" s="114">
        <v>0.0</v>
      </c>
      <c r="R355" s="114">
        <v>0.0</v>
      </c>
      <c r="S355" s="114">
        <v>0.0</v>
      </c>
      <c r="T355" s="114">
        <v>0.0</v>
      </c>
      <c r="U355" s="114">
        <v>0.0</v>
      </c>
      <c r="V355" s="114">
        <v>0.0</v>
      </c>
      <c r="W355" s="114">
        <v>0.0</v>
      </c>
      <c r="X355" s="114">
        <v>0.0</v>
      </c>
      <c r="Y355" s="114">
        <v>0.0</v>
      </c>
      <c r="Z355" s="114">
        <v>0.0</v>
      </c>
      <c r="AA355" s="114">
        <v>0.0</v>
      </c>
      <c r="AB355" s="114">
        <v>0.0</v>
      </c>
      <c r="AC355" s="114">
        <v>0.0</v>
      </c>
      <c r="AD355" s="114">
        <v>0.0</v>
      </c>
      <c r="AE355" s="114">
        <v>0.0</v>
      </c>
      <c r="AF355" s="114"/>
      <c r="AG355" s="693">
        <f t="shared" si="105"/>
        <v>0</v>
      </c>
    </row>
    <row r="356">
      <c r="A356" s="846" t="s">
        <v>1134</v>
      </c>
      <c r="B356" s="849"/>
      <c r="C356" s="849"/>
      <c r="D356" s="849"/>
      <c r="E356" s="849"/>
      <c r="F356" s="849"/>
      <c r="G356" s="850"/>
      <c r="H356" s="850"/>
      <c r="I356" s="850"/>
      <c r="J356" s="850"/>
      <c r="K356" s="849"/>
      <c r="L356" s="850"/>
      <c r="M356" s="850"/>
      <c r="N356" s="850"/>
      <c r="O356" s="850"/>
      <c r="P356" s="850"/>
      <c r="Q356" s="850"/>
      <c r="R356" s="850"/>
      <c r="S356" s="850"/>
      <c r="T356" s="850"/>
      <c r="U356" s="850"/>
      <c r="V356" s="850"/>
      <c r="W356" s="850"/>
      <c r="X356" s="850"/>
      <c r="Y356" s="850"/>
      <c r="Z356" s="850"/>
      <c r="AA356" s="850"/>
      <c r="AB356" s="850"/>
      <c r="AC356" s="850"/>
      <c r="AD356" s="850"/>
      <c r="AE356" s="850"/>
      <c r="AF356" s="850"/>
      <c r="AG356" s="848">
        <f t="shared" si="105"/>
        <v>0</v>
      </c>
    </row>
    <row r="357">
      <c r="A357" s="352" t="s">
        <v>1135</v>
      </c>
      <c r="B357" s="777"/>
      <c r="C357" s="777"/>
      <c r="D357" s="777"/>
      <c r="E357" s="777"/>
      <c r="F357" s="777"/>
      <c r="G357" s="448"/>
      <c r="H357" s="448"/>
      <c r="I357" s="448"/>
      <c r="J357" s="448"/>
      <c r="K357" s="777"/>
      <c r="L357" s="448"/>
      <c r="M357" s="448"/>
      <c r="N357" s="448"/>
      <c r="O357" s="448"/>
      <c r="P357" s="448"/>
      <c r="Q357" s="448"/>
      <c r="R357" s="448"/>
      <c r="S357" s="448"/>
      <c r="T357" s="448"/>
      <c r="U357" s="448"/>
      <c r="V357" s="448"/>
      <c r="W357" s="448"/>
      <c r="X357" s="448"/>
      <c r="Y357" s="448"/>
      <c r="Z357" s="448"/>
      <c r="AA357" s="448"/>
      <c r="AB357" s="448"/>
      <c r="AC357" s="448"/>
      <c r="AD357" s="448"/>
      <c r="AE357" s="448"/>
      <c r="AF357" s="448"/>
      <c r="AG357" s="693">
        <f t="shared" si="105"/>
        <v>0</v>
      </c>
    </row>
    <row r="358">
      <c r="A358" s="352" t="s">
        <v>1136</v>
      </c>
      <c r="B358" s="777"/>
      <c r="C358" s="777"/>
      <c r="D358" s="777"/>
      <c r="E358" s="777"/>
      <c r="F358" s="777"/>
      <c r="G358" s="448"/>
      <c r="H358" s="448"/>
      <c r="I358" s="448"/>
      <c r="J358" s="448"/>
      <c r="K358" s="448"/>
      <c r="L358" s="448"/>
      <c r="M358" s="448"/>
      <c r="N358" s="448"/>
      <c r="O358" s="448"/>
      <c r="P358" s="448"/>
      <c r="Q358" s="448"/>
      <c r="R358" s="448"/>
      <c r="S358" s="448"/>
      <c r="T358" s="448"/>
      <c r="U358" s="448"/>
      <c r="V358" s="448"/>
      <c r="W358" s="448"/>
      <c r="X358" s="448"/>
      <c r="Y358" s="448"/>
      <c r="Z358" s="448"/>
      <c r="AA358" s="448"/>
      <c r="AB358" s="448"/>
      <c r="AC358" s="448"/>
      <c r="AD358" s="448"/>
      <c r="AE358" s="448"/>
      <c r="AF358" s="448"/>
      <c r="AG358" s="693">
        <f t="shared" si="105"/>
        <v>0</v>
      </c>
    </row>
    <row r="359">
      <c r="A359" s="352" t="s">
        <v>1138</v>
      </c>
      <c r="B359" s="777"/>
      <c r="C359" s="777"/>
      <c r="D359" s="777"/>
      <c r="E359" s="777"/>
      <c r="F359" s="777"/>
      <c r="G359" s="448"/>
      <c r="H359" s="448"/>
      <c r="I359" s="448"/>
      <c r="J359" s="448"/>
      <c r="K359" s="448"/>
      <c r="L359" s="448"/>
      <c r="M359" s="448"/>
      <c r="N359" s="448"/>
      <c r="O359" s="448"/>
      <c r="P359" s="448"/>
      <c r="Q359" s="448"/>
      <c r="R359" s="448"/>
      <c r="S359" s="448"/>
      <c r="T359" s="448"/>
      <c r="U359" s="448"/>
      <c r="V359" s="448"/>
      <c r="W359" s="448"/>
      <c r="X359" s="448"/>
      <c r="Y359" s="448"/>
      <c r="Z359" s="448"/>
      <c r="AA359" s="448"/>
      <c r="AB359" s="448"/>
      <c r="AC359" s="448"/>
      <c r="AD359" s="448"/>
      <c r="AE359" s="448"/>
      <c r="AF359" s="448"/>
      <c r="AG359" s="693">
        <f t="shared" si="105"/>
        <v>0</v>
      </c>
    </row>
    <row r="360">
      <c r="A360" s="818" t="s">
        <v>180</v>
      </c>
      <c r="B360" s="219">
        <f t="shared" ref="B360:AF360" si="106">SUM(B348,B349,B352,B353,B356,B357)</f>
        <v>1</v>
      </c>
      <c r="C360" s="219">
        <f t="shared" si="106"/>
        <v>0</v>
      </c>
      <c r="D360" s="219">
        <f t="shared" si="106"/>
        <v>5</v>
      </c>
      <c r="E360" s="219">
        <f t="shared" si="106"/>
        <v>0</v>
      </c>
      <c r="F360" s="219">
        <f t="shared" si="106"/>
        <v>0</v>
      </c>
      <c r="G360" s="219">
        <f t="shared" si="106"/>
        <v>1</v>
      </c>
      <c r="H360" s="219">
        <f t="shared" si="106"/>
        <v>0</v>
      </c>
      <c r="I360" s="219">
        <f t="shared" si="106"/>
        <v>3</v>
      </c>
      <c r="J360" s="219">
        <f t="shared" si="106"/>
        <v>0</v>
      </c>
      <c r="K360" s="219">
        <f t="shared" si="106"/>
        <v>3</v>
      </c>
      <c r="L360" s="219">
        <f t="shared" si="106"/>
        <v>0</v>
      </c>
      <c r="M360" s="219">
        <f t="shared" si="106"/>
        <v>0</v>
      </c>
      <c r="N360" s="219">
        <f t="shared" si="106"/>
        <v>3</v>
      </c>
      <c r="O360" s="219">
        <f t="shared" si="106"/>
        <v>0</v>
      </c>
      <c r="P360" s="219">
        <f t="shared" si="106"/>
        <v>0</v>
      </c>
      <c r="Q360" s="219">
        <f t="shared" si="106"/>
        <v>1</v>
      </c>
      <c r="R360" s="219">
        <f t="shared" si="106"/>
        <v>0</v>
      </c>
      <c r="S360" s="219">
        <f t="shared" si="106"/>
        <v>0</v>
      </c>
      <c r="T360" s="219">
        <f t="shared" si="106"/>
        <v>1</v>
      </c>
      <c r="U360" s="219">
        <f t="shared" si="106"/>
        <v>1</v>
      </c>
      <c r="V360" s="219">
        <f t="shared" si="106"/>
        <v>5</v>
      </c>
      <c r="W360" s="219">
        <f t="shared" si="106"/>
        <v>5</v>
      </c>
      <c r="X360" s="219">
        <f t="shared" si="106"/>
        <v>6</v>
      </c>
      <c r="Y360" s="219">
        <f t="shared" si="106"/>
        <v>11</v>
      </c>
      <c r="Z360" s="219">
        <f t="shared" si="106"/>
        <v>9</v>
      </c>
      <c r="AA360" s="219">
        <f t="shared" si="106"/>
        <v>11</v>
      </c>
      <c r="AB360" s="219">
        <f t="shared" si="106"/>
        <v>0</v>
      </c>
      <c r="AC360" s="219">
        <f t="shared" si="106"/>
        <v>18</v>
      </c>
      <c r="AD360" s="219">
        <f t="shared" si="106"/>
        <v>2</v>
      </c>
      <c r="AE360" s="219">
        <f t="shared" si="106"/>
        <v>8</v>
      </c>
      <c r="AF360" s="219">
        <f t="shared" si="106"/>
        <v>0</v>
      </c>
      <c r="AG360" s="693">
        <f t="shared" si="105"/>
        <v>94</v>
      </c>
    </row>
    <row r="361">
      <c r="A361" s="818" t="s">
        <v>185</v>
      </c>
      <c r="B361" s="219">
        <f t="shared" ref="B361:AF361" si="107">SUM(B350,B351,B354,B355,B358,B359)</f>
        <v>1</v>
      </c>
      <c r="C361" s="219">
        <f t="shared" si="107"/>
        <v>1</v>
      </c>
      <c r="D361" s="219">
        <f t="shared" si="107"/>
        <v>0</v>
      </c>
      <c r="E361" s="219">
        <f t="shared" si="107"/>
        <v>0</v>
      </c>
      <c r="F361" s="219">
        <f t="shared" si="107"/>
        <v>0</v>
      </c>
      <c r="G361" s="219">
        <f t="shared" si="107"/>
        <v>1</v>
      </c>
      <c r="H361" s="219">
        <f t="shared" si="107"/>
        <v>0</v>
      </c>
      <c r="I361" s="219">
        <f t="shared" si="107"/>
        <v>1</v>
      </c>
      <c r="J361" s="219">
        <f t="shared" si="107"/>
        <v>1</v>
      </c>
      <c r="K361" s="219">
        <f t="shared" si="107"/>
        <v>0</v>
      </c>
      <c r="L361" s="219">
        <f t="shared" si="107"/>
        <v>0</v>
      </c>
      <c r="M361" s="219">
        <f t="shared" si="107"/>
        <v>0</v>
      </c>
      <c r="N361" s="219">
        <f t="shared" si="107"/>
        <v>0</v>
      </c>
      <c r="O361" s="219">
        <f t="shared" si="107"/>
        <v>1</v>
      </c>
      <c r="P361" s="219">
        <f t="shared" si="107"/>
        <v>3</v>
      </c>
      <c r="Q361" s="219">
        <f t="shared" si="107"/>
        <v>0</v>
      </c>
      <c r="R361" s="219">
        <f t="shared" si="107"/>
        <v>0</v>
      </c>
      <c r="S361" s="219">
        <f t="shared" si="107"/>
        <v>0</v>
      </c>
      <c r="T361" s="219">
        <f t="shared" si="107"/>
        <v>5</v>
      </c>
      <c r="U361" s="219">
        <f t="shared" si="107"/>
        <v>6</v>
      </c>
      <c r="V361" s="219">
        <f t="shared" si="107"/>
        <v>6</v>
      </c>
      <c r="W361" s="219">
        <f t="shared" si="107"/>
        <v>2</v>
      </c>
      <c r="X361" s="219">
        <f t="shared" si="107"/>
        <v>7</v>
      </c>
      <c r="Y361" s="219">
        <f t="shared" si="107"/>
        <v>11</v>
      </c>
      <c r="Z361" s="219">
        <f t="shared" si="107"/>
        <v>17</v>
      </c>
      <c r="AA361" s="219">
        <f t="shared" si="107"/>
        <v>17</v>
      </c>
      <c r="AB361" s="219">
        <f t="shared" si="107"/>
        <v>0</v>
      </c>
      <c r="AC361" s="219">
        <f t="shared" si="107"/>
        <v>16</v>
      </c>
      <c r="AD361" s="219">
        <f t="shared" si="107"/>
        <v>9</v>
      </c>
      <c r="AE361" s="219">
        <f t="shared" si="107"/>
        <v>5</v>
      </c>
      <c r="AF361" s="219">
        <f t="shared" si="107"/>
        <v>0</v>
      </c>
      <c r="AG361" s="693">
        <f t="shared" si="105"/>
        <v>110</v>
      </c>
    </row>
    <row r="362">
      <c r="A362" s="25"/>
      <c r="B362" s="661"/>
      <c r="C362" s="661"/>
      <c r="D362" s="661"/>
      <c r="E362" s="661"/>
      <c r="F362" s="661"/>
      <c r="G362" s="661"/>
      <c r="H362" s="661"/>
      <c r="I362" s="53"/>
      <c r="J362" s="53"/>
      <c r="K362" s="53"/>
      <c r="L362" s="53"/>
      <c r="M362" s="53"/>
      <c r="N362" s="53"/>
      <c r="O362" s="53"/>
      <c r="P362" s="53"/>
      <c r="Q362" s="53"/>
      <c r="R362" s="53"/>
      <c r="S362" s="53"/>
      <c r="T362" s="53"/>
      <c r="U362" s="53"/>
      <c r="V362" s="53"/>
      <c r="W362" s="53"/>
      <c r="X362" s="53"/>
      <c r="Y362" s="53"/>
      <c r="Z362" s="53"/>
      <c r="AA362" s="53"/>
      <c r="AB362" s="53"/>
      <c r="AC362" s="53"/>
      <c r="AD362" s="53"/>
      <c r="AE362" s="53"/>
      <c r="AF362" s="53"/>
      <c r="AG362" s="693"/>
    </row>
    <row r="363">
      <c r="A363" s="352" t="s">
        <v>1028</v>
      </c>
      <c r="B363" s="114">
        <v>0.0</v>
      </c>
      <c r="C363" s="114">
        <v>1.0</v>
      </c>
      <c r="D363" s="114">
        <v>1.0</v>
      </c>
      <c r="E363" s="114">
        <v>0.0</v>
      </c>
      <c r="F363" s="114">
        <v>0.0</v>
      </c>
      <c r="G363" s="114">
        <v>2.0</v>
      </c>
      <c r="H363" s="114">
        <v>0.0</v>
      </c>
      <c r="I363" s="114">
        <v>1.0</v>
      </c>
      <c r="J363" s="114">
        <v>0.0</v>
      </c>
      <c r="K363" s="114">
        <v>0.0</v>
      </c>
      <c r="L363" s="114">
        <v>0.0</v>
      </c>
      <c r="M363" s="114">
        <v>0.0</v>
      </c>
      <c r="N363" s="114">
        <v>1.0</v>
      </c>
      <c r="O363" s="114">
        <v>0.0</v>
      </c>
      <c r="P363" s="114">
        <v>0.0</v>
      </c>
      <c r="Q363" s="114">
        <v>0.0</v>
      </c>
      <c r="R363" s="114">
        <v>0.0</v>
      </c>
      <c r="S363" s="114">
        <v>0.0</v>
      </c>
      <c r="T363" s="114">
        <v>1.0</v>
      </c>
      <c r="U363" s="114">
        <v>2.0</v>
      </c>
      <c r="V363" s="114">
        <v>1.0</v>
      </c>
      <c r="W363" s="114">
        <v>1.0</v>
      </c>
      <c r="X363" s="114">
        <v>3.0</v>
      </c>
      <c r="Y363" s="114">
        <v>4.0</v>
      </c>
      <c r="Z363" s="114">
        <v>6.0</v>
      </c>
      <c r="AA363" s="114">
        <v>2.0</v>
      </c>
      <c r="AB363" s="114">
        <v>0.0</v>
      </c>
      <c r="AC363" s="114">
        <v>9.0</v>
      </c>
      <c r="AD363" s="114">
        <v>2.0</v>
      </c>
      <c r="AE363" s="114">
        <v>4.0</v>
      </c>
      <c r="AF363" s="114"/>
      <c r="AG363" s="693">
        <f t="shared" ref="AG363:AG372" si="108">SUM(B363:AF363)</f>
        <v>41</v>
      </c>
    </row>
    <row r="364">
      <c r="A364" s="352" t="s">
        <v>1029</v>
      </c>
      <c r="B364" s="777"/>
      <c r="C364" s="777"/>
      <c r="D364" s="777"/>
      <c r="E364" s="777"/>
      <c r="F364" s="777"/>
      <c r="G364" s="448"/>
      <c r="H364" s="448"/>
      <c r="I364" s="448"/>
      <c r="J364" s="777"/>
      <c r="K364" s="777"/>
      <c r="L364" s="448"/>
      <c r="M364" s="448"/>
      <c r="N364" s="448"/>
      <c r="O364" s="448"/>
      <c r="P364" s="448"/>
      <c r="Q364" s="448"/>
      <c r="R364" s="448"/>
      <c r="S364" s="448"/>
      <c r="T364" s="777"/>
      <c r="U364" s="448"/>
      <c r="V364" s="448"/>
      <c r="W364" s="448"/>
      <c r="X364" s="777"/>
      <c r="Y364" s="448"/>
      <c r="Z364" s="448"/>
      <c r="AA364" s="448"/>
      <c r="AB364" s="448"/>
      <c r="AC364" s="448"/>
      <c r="AD364" s="448"/>
      <c r="AE364" s="448"/>
      <c r="AF364" s="448"/>
      <c r="AG364" s="693">
        <f t="shared" si="108"/>
        <v>0</v>
      </c>
    </row>
    <row r="365">
      <c r="A365" s="352" t="s">
        <v>1030</v>
      </c>
      <c r="B365" s="114">
        <v>1.0</v>
      </c>
      <c r="C365" s="114">
        <v>0.0</v>
      </c>
      <c r="D365" s="114">
        <v>3.0</v>
      </c>
      <c r="E365" s="114">
        <v>0.0</v>
      </c>
      <c r="F365" s="114">
        <v>0.0</v>
      </c>
      <c r="G365" s="114">
        <v>1.0</v>
      </c>
      <c r="H365" s="114">
        <v>0.0</v>
      </c>
      <c r="I365" s="114">
        <v>3.0</v>
      </c>
      <c r="J365" s="114">
        <v>1.0</v>
      </c>
      <c r="K365" s="114">
        <v>1.0</v>
      </c>
      <c r="L365" s="114">
        <v>0.0</v>
      </c>
      <c r="M365" s="114">
        <v>0.0</v>
      </c>
      <c r="N365" s="114">
        <v>1.0</v>
      </c>
      <c r="O365" s="114">
        <v>1.0</v>
      </c>
      <c r="P365" s="114">
        <v>0.0</v>
      </c>
      <c r="Q365" s="114">
        <v>1.0</v>
      </c>
      <c r="R365" s="114">
        <v>0.0</v>
      </c>
      <c r="S365" s="114">
        <v>0.0</v>
      </c>
      <c r="T365" s="114">
        <v>4.0</v>
      </c>
      <c r="U365" s="114">
        <v>4.0</v>
      </c>
      <c r="V365" s="114">
        <v>5.0</v>
      </c>
      <c r="W365" s="114">
        <v>2.0</v>
      </c>
      <c r="X365" s="114">
        <v>6.0</v>
      </c>
      <c r="Y365" s="114">
        <v>16.0</v>
      </c>
      <c r="Z365" s="114">
        <v>13.0</v>
      </c>
      <c r="AA365" s="114">
        <v>17.0</v>
      </c>
      <c r="AB365" s="114">
        <v>0.0</v>
      </c>
      <c r="AC365" s="114">
        <v>25.0</v>
      </c>
      <c r="AD365" s="114">
        <v>9.0</v>
      </c>
      <c r="AE365" s="114">
        <v>6.0</v>
      </c>
      <c r="AF365" s="114"/>
      <c r="AG365" s="693">
        <f t="shared" si="108"/>
        <v>120</v>
      </c>
    </row>
    <row r="366">
      <c r="A366" s="352" t="s">
        <v>1145</v>
      </c>
      <c r="B366" s="114">
        <v>0.0</v>
      </c>
      <c r="C366" s="114">
        <v>0.0</v>
      </c>
      <c r="D366" s="114">
        <v>1.0</v>
      </c>
      <c r="E366" s="114">
        <v>0.0</v>
      </c>
      <c r="F366" s="114">
        <v>0.0</v>
      </c>
      <c r="G366" s="114">
        <v>0.0</v>
      </c>
      <c r="H366" s="114">
        <v>0.0</v>
      </c>
      <c r="I366" s="114">
        <v>2.0</v>
      </c>
      <c r="J366" s="114">
        <v>0.0</v>
      </c>
      <c r="K366" s="114">
        <v>0.0</v>
      </c>
      <c r="L366" s="114">
        <v>0.0</v>
      </c>
      <c r="M366" s="114">
        <v>0.0</v>
      </c>
      <c r="N366" s="114">
        <v>0.0</v>
      </c>
      <c r="O366" s="114">
        <v>0.0</v>
      </c>
      <c r="P366" s="114">
        <v>0.0</v>
      </c>
      <c r="Q366" s="114">
        <v>0.0</v>
      </c>
      <c r="R366" s="114">
        <v>0.0</v>
      </c>
      <c r="S366" s="114">
        <v>0.0</v>
      </c>
      <c r="T366" s="114">
        <v>0.0</v>
      </c>
      <c r="U366" s="114">
        <v>1.0</v>
      </c>
      <c r="V366" s="114">
        <v>1.0</v>
      </c>
      <c r="W366" s="114">
        <v>0.0</v>
      </c>
      <c r="X366" s="114">
        <v>3.0</v>
      </c>
      <c r="Y366" s="114">
        <v>1.0</v>
      </c>
      <c r="Z366" s="114">
        <v>1.0</v>
      </c>
      <c r="AA366" s="114">
        <v>0.0</v>
      </c>
      <c r="AB366" s="114">
        <v>0.0</v>
      </c>
      <c r="AC366" s="114">
        <v>2.0</v>
      </c>
      <c r="AD366" s="114">
        <v>2.0</v>
      </c>
      <c r="AE366" s="114">
        <v>2.0</v>
      </c>
      <c r="AF366" s="114"/>
      <c r="AG366" s="693">
        <f t="shared" si="108"/>
        <v>16</v>
      </c>
    </row>
    <row r="367">
      <c r="A367" s="352" t="s">
        <v>1147</v>
      </c>
      <c r="B367" s="114">
        <v>0.0</v>
      </c>
      <c r="C367" s="114">
        <v>0.0</v>
      </c>
      <c r="D367" s="114">
        <v>0.0</v>
      </c>
      <c r="E367" s="114">
        <v>0.0</v>
      </c>
      <c r="F367" s="114">
        <v>0.0</v>
      </c>
      <c r="G367" s="114">
        <v>0.0</v>
      </c>
      <c r="H367" s="114">
        <v>0.0</v>
      </c>
      <c r="I367" s="114">
        <v>0.0</v>
      </c>
      <c r="J367" s="114">
        <v>0.0</v>
      </c>
      <c r="K367" s="114">
        <v>0.0</v>
      </c>
      <c r="L367" s="114">
        <v>0.0</v>
      </c>
      <c r="M367" s="114">
        <v>0.0</v>
      </c>
      <c r="N367" s="114">
        <v>0.0</v>
      </c>
      <c r="O367" s="114">
        <v>0.0</v>
      </c>
      <c r="P367" s="114">
        <v>0.0</v>
      </c>
      <c r="Q367" s="114">
        <v>0.0</v>
      </c>
      <c r="R367" s="114">
        <v>0.0</v>
      </c>
      <c r="S367" s="114">
        <v>0.0</v>
      </c>
      <c r="T367" s="114">
        <v>0.0</v>
      </c>
      <c r="U367" s="114">
        <v>0.0</v>
      </c>
      <c r="V367" s="114">
        <v>0.0</v>
      </c>
      <c r="W367" s="114">
        <v>0.0</v>
      </c>
      <c r="X367" s="114">
        <v>0.0</v>
      </c>
      <c r="Y367" s="114">
        <v>0.0</v>
      </c>
      <c r="Z367" s="114">
        <v>0.0</v>
      </c>
      <c r="AA367" s="114">
        <v>0.0</v>
      </c>
      <c r="AB367" s="114">
        <v>0.0</v>
      </c>
      <c r="AC367" s="114">
        <v>1.0</v>
      </c>
      <c r="AD367" s="114">
        <v>0.0</v>
      </c>
      <c r="AE367" s="114">
        <v>0.0</v>
      </c>
      <c r="AF367" s="114"/>
      <c r="AG367" s="693">
        <f t="shared" si="108"/>
        <v>1</v>
      </c>
    </row>
    <row r="368">
      <c r="A368" s="352" t="s">
        <v>1148</v>
      </c>
      <c r="B368" s="114">
        <v>0.0</v>
      </c>
      <c r="C368" s="114">
        <v>0.0</v>
      </c>
      <c r="D368" s="114">
        <v>0.0</v>
      </c>
      <c r="E368" s="114">
        <v>0.0</v>
      </c>
      <c r="F368" s="114">
        <v>0.0</v>
      </c>
      <c r="G368" s="114">
        <v>0.0</v>
      </c>
      <c r="H368" s="114">
        <v>0.0</v>
      </c>
      <c r="I368" s="114">
        <v>0.0</v>
      </c>
      <c r="J368" s="114">
        <v>0.0</v>
      </c>
      <c r="K368" s="114">
        <v>0.0</v>
      </c>
      <c r="L368" s="114">
        <v>0.0</v>
      </c>
      <c r="M368" s="114">
        <v>0.0</v>
      </c>
      <c r="N368" s="114">
        <v>0.0</v>
      </c>
      <c r="O368" s="114">
        <v>0.0</v>
      </c>
      <c r="P368" s="114">
        <v>0.0</v>
      </c>
      <c r="Q368" s="114">
        <v>0.0</v>
      </c>
      <c r="R368" s="114">
        <v>0.0</v>
      </c>
      <c r="S368" s="114">
        <v>0.0</v>
      </c>
      <c r="T368" s="114">
        <v>1.0</v>
      </c>
      <c r="U368" s="114">
        <v>1.0</v>
      </c>
      <c r="V368" s="114">
        <v>0.0</v>
      </c>
      <c r="W368" s="114">
        <v>1.0</v>
      </c>
      <c r="X368" s="114">
        <v>0.0</v>
      </c>
      <c r="Y368" s="114">
        <v>1.0</v>
      </c>
      <c r="Z368" s="114">
        <v>0.0</v>
      </c>
      <c r="AA368" s="114">
        <v>0.0</v>
      </c>
      <c r="AB368" s="114">
        <v>0.0</v>
      </c>
      <c r="AC368" s="114">
        <v>0.0</v>
      </c>
      <c r="AD368" s="114">
        <v>1.0</v>
      </c>
      <c r="AE368" s="114">
        <v>0.0</v>
      </c>
      <c r="AF368" s="114"/>
      <c r="AG368" s="693">
        <f t="shared" si="108"/>
        <v>5</v>
      </c>
    </row>
    <row r="369">
      <c r="A369" s="352" t="s">
        <v>1149</v>
      </c>
      <c r="B369" s="114">
        <v>0.0</v>
      </c>
      <c r="C369" s="114">
        <v>0.0</v>
      </c>
      <c r="D369" s="114">
        <v>0.0</v>
      </c>
      <c r="E369" s="114">
        <v>0.0</v>
      </c>
      <c r="F369" s="114">
        <v>0.0</v>
      </c>
      <c r="G369" s="114">
        <v>0.0</v>
      </c>
      <c r="H369" s="114">
        <v>0.0</v>
      </c>
      <c r="I369" s="114">
        <v>0.0</v>
      </c>
      <c r="J369" s="114">
        <v>0.0</v>
      </c>
      <c r="K369" s="114">
        <v>0.0</v>
      </c>
      <c r="L369" s="114">
        <v>0.0</v>
      </c>
      <c r="M369" s="114">
        <v>0.0</v>
      </c>
      <c r="N369" s="114">
        <v>0.0</v>
      </c>
      <c r="O369" s="114">
        <v>0.0</v>
      </c>
      <c r="P369" s="114">
        <v>0.0</v>
      </c>
      <c r="Q369" s="114">
        <v>0.0</v>
      </c>
      <c r="R369" s="114">
        <v>0.0</v>
      </c>
      <c r="S369" s="114">
        <v>0.0</v>
      </c>
      <c r="T369" s="114">
        <v>0.0</v>
      </c>
      <c r="U369" s="114">
        <v>0.0</v>
      </c>
      <c r="V369" s="114">
        <v>0.0</v>
      </c>
      <c r="W369" s="114">
        <v>0.0</v>
      </c>
      <c r="X369" s="114">
        <v>0.0</v>
      </c>
      <c r="Y369" s="114">
        <v>0.0</v>
      </c>
      <c r="Z369" s="114">
        <v>0.0</v>
      </c>
      <c r="AA369" s="114">
        <v>1.0</v>
      </c>
      <c r="AB369" s="114">
        <v>0.0</v>
      </c>
      <c r="AC369" s="114">
        <v>0.0</v>
      </c>
      <c r="AD369" s="114">
        <v>0.0</v>
      </c>
      <c r="AE369" s="114">
        <v>0.0</v>
      </c>
      <c r="AF369" s="114"/>
      <c r="AG369" s="693">
        <f t="shared" si="108"/>
        <v>1</v>
      </c>
    </row>
    <row r="370">
      <c r="A370" s="352" t="s">
        <v>1150</v>
      </c>
      <c r="B370" s="114">
        <v>0.0</v>
      </c>
      <c r="C370" s="114">
        <v>1.0</v>
      </c>
      <c r="D370" s="114">
        <v>1.0</v>
      </c>
      <c r="E370" s="114">
        <v>0.0</v>
      </c>
      <c r="F370" s="114">
        <v>0.0</v>
      </c>
      <c r="G370" s="114">
        <v>2.0</v>
      </c>
      <c r="H370" s="114">
        <v>0.0</v>
      </c>
      <c r="I370" s="114">
        <v>0.0</v>
      </c>
      <c r="J370" s="114">
        <v>0.0</v>
      </c>
      <c r="K370" s="114">
        <v>1.0</v>
      </c>
      <c r="L370" s="114">
        <v>0.0</v>
      </c>
      <c r="M370" s="114">
        <v>0.0</v>
      </c>
      <c r="N370" s="114">
        <v>0.0</v>
      </c>
      <c r="O370" s="114">
        <v>0.0</v>
      </c>
      <c r="P370" s="114">
        <v>0.0</v>
      </c>
      <c r="Q370" s="114">
        <v>0.0</v>
      </c>
      <c r="R370" s="114">
        <v>0.0</v>
      </c>
      <c r="S370" s="114">
        <v>0.0</v>
      </c>
      <c r="T370" s="114">
        <v>1.0</v>
      </c>
      <c r="U370" s="114">
        <v>1.0</v>
      </c>
      <c r="V370" s="114">
        <v>1.0</v>
      </c>
      <c r="W370" s="114">
        <v>0.0</v>
      </c>
      <c r="X370" s="114">
        <v>4.0</v>
      </c>
      <c r="Y370" s="114">
        <v>4.0</v>
      </c>
      <c r="Z370" s="114">
        <v>5.0</v>
      </c>
      <c r="AA370" s="114">
        <v>2.0</v>
      </c>
      <c r="AB370" s="114">
        <v>0.0</v>
      </c>
      <c r="AC370" s="114">
        <v>5.0</v>
      </c>
      <c r="AD370" s="114">
        <v>1.0</v>
      </c>
      <c r="AE370" s="114">
        <v>2.0</v>
      </c>
      <c r="AF370" s="114"/>
      <c r="AG370" s="693">
        <f t="shared" si="108"/>
        <v>31</v>
      </c>
    </row>
    <row r="371">
      <c r="A371" s="352" t="s">
        <v>1151</v>
      </c>
      <c r="B371" s="114">
        <v>0.0</v>
      </c>
      <c r="C371" s="114">
        <v>2.0</v>
      </c>
      <c r="D371" s="114">
        <v>0.0</v>
      </c>
      <c r="E371" s="114">
        <v>0.0</v>
      </c>
      <c r="F371" s="114">
        <v>0.0</v>
      </c>
      <c r="G371" s="114">
        <v>0.0</v>
      </c>
      <c r="H371" s="114">
        <v>0.0</v>
      </c>
      <c r="I371" s="114">
        <v>0.0</v>
      </c>
      <c r="J371" s="114">
        <v>0.0</v>
      </c>
      <c r="K371" s="114">
        <v>0.0</v>
      </c>
      <c r="L371" s="114">
        <v>0.0</v>
      </c>
      <c r="M371" s="114">
        <v>0.0</v>
      </c>
      <c r="N371" s="114">
        <v>0.0</v>
      </c>
      <c r="O371" s="114">
        <v>0.0</v>
      </c>
      <c r="P371" s="114">
        <v>0.0</v>
      </c>
      <c r="Q371" s="114">
        <v>0.0</v>
      </c>
      <c r="R371" s="114">
        <v>0.0</v>
      </c>
      <c r="S371" s="114">
        <v>0.0</v>
      </c>
      <c r="T371" s="114">
        <v>1.0</v>
      </c>
      <c r="U371" s="114">
        <v>0.0</v>
      </c>
      <c r="V371" s="114">
        <v>0.0</v>
      </c>
      <c r="W371" s="114">
        <v>0.0</v>
      </c>
      <c r="X371" s="114">
        <v>0.0</v>
      </c>
      <c r="Y371" s="114">
        <v>0.0</v>
      </c>
      <c r="Z371" s="114">
        <v>0.0</v>
      </c>
      <c r="AA371" s="114">
        <v>0.0</v>
      </c>
      <c r="AB371" s="114">
        <v>0.0</v>
      </c>
      <c r="AC371" s="114">
        <v>3.0</v>
      </c>
      <c r="AD371" s="114">
        <v>0.0</v>
      </c>
      <c r="AE371" s="114">
        <v>0.0</v>
      </c>
      <c r="AF371" s="114"/>
      <c r="AG371" s="693">
        <f t="shared" si="108"/>
        <v>6</v>
      </c>
    </row>
    <row r="372">
      <c r="A372" s="836" t="s">
        <v>602</v>
      </c>
      <c r="B372" s="219">
        <f t="shared" ref="B372:AF372" si="109">SUM(B363:B371)</f>
        <v>1</v>
      </c>
      <c r="C372" s="219">
        <f t="shared" si="109"/>
        <v>4</v>
      </c>
      <c r="D372" s="219">
        <f t="shared" si="109"/>
        <v>6</v>
      </c>
      <c r="E372" s="219">
        <f t="shared" si="109"/>
        <v>0</v>
      </c>
      <c r="F372" s="219">
        <f t="shared" si="109"/>
        <v>0</v>
      </c>
      <c r="G372" s="219">
        <f t="shared" si="109"/>
        <v>5</v>
      </c>
      <c r="H372" s="219">
        <f t="shared" si="109"/>
        <v>0</v>
      </c>
      <c r="I372" s="219">
        <f t="shared" si="109"/>
        <v>6</v>
      </c>
      <c r="J372" s="219">
        <f t="shared" si="109"/>
        <v>1</v>
      </c>
      <c r="K372" s="219">
        <f t="shared" si="109"/>
        <v>2</v>
      </c>
      <c r="L372" s="219">
        <f t="shared" si="109"/>
        <v>0</v>
      </c>
      <c r="M372" s="219">
        <f t="shared" si="109"/>
        <v>0</v>
      </c>
      <c r="N372" s="219">
        <f t="shared" si="109"/>
        <v>2</v>
      </c>
      <c r="O372" s="219">
        <f t="shared" si="109"/>
        <v>1</v>
      </c>
      <c r="P372" s="219">
        <f t="shared" si="109"/>
        <v>0</v>
      </c>
      <c r="Q372" s="219">
        <f t="shared" si="109"/>
        <v>1</v>
      </c>
      <c r="R372" s="219">
        <f t="shared" si="109"/>
        <v>0</v>
      </c>
      <c r="S372" s="219">
        <f t="shared" si="109"/>
        <v>0</v>
      </c>
      <c r="T372" s="219">
        <f t="shared" si="109"/>
        <v>8</v>
      </c>
      <c r="U372" s="219">
        <f t="shared" si="109"/>
        <v>9</v>
      </c>
      <c r="V372" s="219">
        <f t="shared" si="109"/>
        <v>8</v>
      </c>
      <c r="W372" s="219">
        <f t="shared" si="109"/>
        <v>4</v>
      </c>
      <c r="X372" s="219">
        <f t="shared" si="109"/>
        <v>16</v>
      </c>
      <c r="Y372" s="219">
        <f t="shared" si="109"/>
        <v>26</v>
      </c>
      <c r="Z372" s="219">
        <f t="shared" si="109"/>
        <v>25</v>
      </c>
      <c r="AA372" s="219">
        <f t="shared" si="109"/>
        <v>22</v>
      </c>
      <c r="AB372" s="219">
        <f t="shared" si="109"/>
        <v>0</v>
      </c>
      <c r="AC372" s="219">
        <f t="shared" si="109"/>
        <v>45</v>
      </c>
      <c r="AD372" s="219">
        <f t="shared" si="109"/>
        <v>15</v>
      </c>
      <c r="AE372" s="219">
        <f t="shared" si="109"/>
        <v>14</v>
      </c>
      <c r="AF372" s="219">
        <f t="shared" si="109"/>
        <v>0</v>
      </c>
      <c r="AG372" s="693">
        <f t="shared" si="108"/>
        <v>221</v>
      </c>
    </row>
    <row r="373">
      <c r="A373" s="25"/>
      <c r="B373" s="661"/>
      <c r="C373" s="661"/>
      <c r="D373" s="661"/>
      <c r="E373" s="661"/>
      <c r="F373" s="661"/>
      <c r="G373" s="661"/>
      <c r="H373" s="661"/>
      <c r="I373" s="53"/>
      <c r="J373" s="53"/>
      <c r="K373" s="53"/>
      <c r="L373" s="53"/>
      <c r="M373" s="53"/>
      <c r="N373" s="53"/>
      <c r="O373" s="53"/>
      <c r="P373" s="53"/>
      <c r="Q373" s="53"/>
      <c r="R373" s="53"/>
      <c r="S373" s="53"/>
      <c r="T373" s="53"/>
      <c r="U373" s="53"/>
      <c r="V373" s="53"/>
      <c r="W373" s="53"/>
      <c r="X373" s="53"/>
      <c r="Y373" s="53"/>
      <c r="Z373" s="53"/>
      <c r="AA373" s="53"/>
      <c r="AB373" s="53"/>
      <c r="AC373" s="53"/>
      <c r="AD373" s="53"/>
      <c r="AE373" s="53"/>
      <c r="AF373" s="53"/>
      <c r="AG373" s="693"/>
    </row>
    <row r="374">
      <c r="A374" s="352" t="s">
        <v>1038</v>
      </c>
      <c r="B374" s="114">
        <v>0.0</v>
      </c>
      <c r="C374" s="114">
        <v>0.0</v>
      </c>
      <c r="D374" s="114">
        <v>1.0</v>
      </c>
      <c r="E374" s="114">
        <v>0.0</v>
      </c>
      <c r="F374" s="114">
        <v>0.0</v>
      </c>
      <c r="G374" s="114">
        <v>0.0</v>
      </c>
      <c r="H374" s="114">
        <v>0.0</v>
      </c>
      <c r="I374" s="114">
        <v>0.0</v>
      </c>
      <c r="J374" s="114">
        <v>0.0</v>
      </c>
      <c r="K374" s="114">
        <v>0.0</v>
      </c>
      <c r="L374" s="114">
        <v>0.0</v>
      </c>
      <c r="M374" s="114">
        <v>0.0</v>
      </c>
      <c r="N374" s="114">
        <v>0.0</v>
      </c>
      <c r="O374" s="114">
        <v>0.0</v>
      </c>
      <c r="P374" s="114">
        <v>0.0</v>
      </c>
      <c r="Q374" s="114">
        <v>0.0</v>
      </c>
      <c r="R374" s="114">
        <v>0.0</v>
      </c>
      <c r="S374" s="114">
        <v>0.0</v>
      </c>
      <c r="T374" s="114">
        <v>0.0</v>
      </c>
      <c r="U374" s="114">
        <v>1.0</v>
      </c>
      <c r="V374" s="114">
        <v>0.0</v>
      </c>
      <c r="W374" s="114">
        <v>0.0</v>
      </c>
      <c r="X374" s="114">
        <v>0.0</v>
      </c>
      <c r="Y374" s="114">
        <v>0.0</v>
      </c>
      <c r="Z374" s="114">
        <v>0.0</v>
      </c>
      <c r="AA374" s="114">
        <v>0.0</v>
      </c>
      <c r="AB374" s="114">
        <v>0.0</v>
      </c>
      <c r="AC374" s="114">
        <v>0.0</v>
      </c>
      <c r="AD374" s="114">
        <v>0.0</v>
      </c>
      <c r="AE374" s="114">
        <v>0.0</v>
      </c>
      <c r="AF374" s="114"/>
      <c r="AG374" s="693">
        <f t="shared" ref="AG374:AG383" si="110">SUM(B374:AF374)</f>
        <v>2</v>
      </c>
    </row>
    <row r="375">
      <c r="A375" s="352" t="s">
        <v>1040</v>
      </c>
      <c r="B375" s="777"/>
      <c r="C375" s="777">
        <v>1.0</v>
      </c>
      <c r="D375" s="777"/>
      <c r="E375" s="777"/>
      <c r="F375" s="777"/>
      <c r="G375" s="777"/>
      <c r="H375" s="777"/>
      <c r="I375" s="777"/>
      <c r="J375" s="777"/>
      <c r="K375" s="777"/>
      <c r="L375" s="448"/>
      <c r="M375" s="448"/>
      <c r="N375" s="448"/>
      <c r="O375" s="448"/>
      <c r="P375" s="448"/>
      <c r="Q375" s="448"/>
      <c r="R375" s="448"/>
      <c r="S375" s="448"/>
      <c r="T375" s="777"/>
      <c r="U375" s="448"/>
      <c r="V375" s="777">
        <v>1.0</v>
      </c>
      <c r="W375" s="448"/>
      <c r="X375" s="448"/>
      <c r="Y375" s="448"/>
      <c r="Z375" s="448"/>
      <c r="AA375" s="448"/>
      <c r="AB375" s="448"/>
      <c r="AC375" s="448"/>
      <c r="AD375" s="448"/>
      <c r="AE375" s="448"/>
      <c r="AF375" s="448"/>
      <c r="AG375" s="693">
        <f t="shared" si="110"/>
        <v>2</v>
      </c>
    </row>
    <row r="376">
      <c r="A376" s="352" t="s">
        <v>1042</v>
      </c>
      <c r="B376" s="114">
        <v>0.0</v>
      </c>
      <c r="C376" s="114">
        <v>0.0</v>
      </c>
      <c r="D376" s="114">
        <v>1.0</v>
      </c>
      <c r="E376" s="114">
        <v>0.0</v>
      </c>
      <c r="F376" s="114">
        <v>0.0</v>
      </c>
      <c r="G376" s="114">
        <v>0.0</v>
      </c>
      <c r="H376" s="114">
        <v>0.0</v>
      </c>
      <c r="I376" s="114">
        <v>0.0</v>
      </c>
      <c r="J376" s="114">
        <v>0.0</v>
      </c>
      <c r="K376" s="114">
        <v>0.0</v>
      </c>
      <c r="L376" s="114">
        <v>0.0</v>
      </c>
      <c r="M376" s="114">
        <v>0.0</v>
      </c>
      <c r="N376" s="114">
        <v>0.0</v>
      </c>
      <c r="O376" s="114">
        <v>0.0</v>
      </c>
      <c r="P376" s="114">
        <v>0.0</v>
      </c>
      <c r="Q376" s="114">
        <v>0.0</v>
      </c>
      <c r="R376" s="114">
        <v>0.0</v>
      </c>
      <c r="S376" s="114">
        <v>0.0</v>
      </c>
      <c r="T376" s="114">
        <v>0.0</v>
      </c>
      <c r="U376" s="114">
        <v>1.0</v>
      </c>
      <c r="V376" s="114">
        <v>1.0</v>
      </c>
      <c r="W376" s="114">
        <v>1.0</v>
      </c>
      <c r="X376" s="114">
        <v>0.0</v>
      </c>
      <c r="Y376" s="114">
        <v>0.0</v>
      </c>
      <c r="Z376" s="114">
        <v>0.0</v>
      </c>
      <c r="AA376" s="114">
        <v>0.0</v>
      </c>
      <c r="AB376" s="114">
        <v>0.0</v>
      </c>
      <c r="AC376" s="114">
        <v>0.0</v>
      </c>
      <c r="AD376" s="114">
        <v>0.0</v>
      </c>
      <c r="AE376" s="114">
        <v>0.0</v>
      </c>
      <c r="AF376" s="114"/>
      <c r="AG376" s="693">
        <f t="shared" si="110"/>
        <v>4</v>
      </c>
    </row>
    <row r="377">
      <c r="A377" s="352" t="s">
        <v>1152</v>
      </c>
      <c r="B377" s="114">
        <v>0.0</v>
      </c>
      <c r="C377" s="114">
        <v>0.0</v>
      </c>
      <c r="D377" s="114">
        <v>0.0</v>
      </c>
      <c r="E377" s="114">
        <v>0.0</v>
      </c>
      <c r="F377" s="114">
        <v>0.0</v>
      </c>
      <c r="G377" s="114">
        <v>0.0</v>
      </c>
      <c r="H377" s="114">
        <v>0.0</v>
      </c>
      <c r="I377" s="114">
        <v>0.0</v>
      </c>
      <c r="J377" s="114">
        <v>0.0</v>
      </c>
      <c r="K377" s="114">
        <v>0.0</v>
      </c>
      <c r="L377" s="114">
        <v>0.0</v>
      </c>
      <c r="M377" s="114">
        <v>0.0</v>
      </c>
      <c r="N377" s="114">
        <v>0.0</v>
      </c>
      <c r="O377" s="114">
        <v>0.0</v>
      </c>
      <c r="P377" s="114">
        <v>0.0</v>
      </c>
      <c r="Q377" s="114">
        <v>0.0</v>
      </c>
      <c r="R377" s="114">
        <v>0.0</v>
      </c>
      <c r="S377" s="114">
        <v>0.0</v>
      </c>
      <c r="T377" s="114">
        <v>0.0</v>
      </c>
      <c r="U377" s="114">
        <v>0.0</v>
      </c>
      <c r="V377" s="114">
        <v>0.0</v>
      </c>
      <c r="W377" s="114">
        <v>0.0</v>
      </c>
      <c r="X377" s="114">
        <v>0.0</v>
      </c>
      <c r="Y377" s="114">
        <v>0.0</v>
      </c>
      <c r="Z377" s="114">
        <v>0.0</v>
      </c>
      <c r="AA377" s="114">
        <v>0.0</v>
      </c>
      <c r="AB377" s="114">
        <v>0.0</v>
      </c>
      <c r="AC377" s="114">
        <v>0.0</v>
      </c>
      <c r="AD377" s="114">
        <v>0.0</v>
      </c>
      <c r="AE377" s="114">
        <v>0.0</v>
      </c>
      <c r="AF377" s="114"/>
      <c r="AG377" s="693">
        <f t="shared" si="110"/>
        <v>0</v>
      </c>
    </row>
    <row r="378">
      <c r="A378" s="352" t="s">
        <v>1153</v>
      </c>
      <c r="B378" s="114">
        <v>0.0</v>
      </c>
      <c r="C378" s="114">
        <v>0.0</v>
      </c>
      <c r="D378" s="114">
        <v>0.0</v>
      </c>
      <c r="E378" s="114">
        <v>0.0</v>
      </c>
      <c r="F378" s="114">
        <v>0.0</v>
      </c>
      <c r="G378" s="114">
        <v>0.0</v>
      </c>
      <c r="H378" s="114">
        <v>0.0</v>
      </c>
      <c r="I378" s="114">
        <v>0.0</v>
      </c>
      <c r="J378" s="114">
        <v>0.0</v>
      </c>
      <c r="K378" s="114">
        <v>0.0</v>
      </c>
      <c r="L378" s="114">
        <v>0.0</v>
      </c>
      <c r="M378" s="114">
        <v>0.0</v>
      </c>
      <c r="N378" s="114">
        <v>0.0</v>
      </c>
      <c r="O378" s="114">
        <v>0.0</v>
      </c>
      <c r="P378" s="114">
        <v>0.0</v>
      </c>
      <c r="Q378" s="114">
        <v>0.0</v>
      </c>
      <c r="R378" s="114">
        <v>0.0</v>
      </c>
      <c r="S378" s="114">
        <v>0.0</v>
      </c>
      <c r="T378" s="114">
        <v>0.0</v>
      </c>
      <c r="U378" s="114">
        <v>0.0</v>
      </c>
      <c r="V378" s="114">
        <v>0.0</v>
      </c>
      <c r="W378" s="114">
        <v>0.0</v>
      </c>
      <c r="X378" s="114">
        <v>0.0</v>
      </c>
      <c r="Y378" s="114">
        <v>0.0</v>
      </c>
      <c r="Z378" s="114">
        <v>0.0</v>
      </c>
      <c r="AA378" s="114">
        <v>0.0</v>
      </c>
      <c r="AB378" s="114">
        <v>0.0</v>
      </c>
      <c r="AC378" s="114">
        <v>0.0</v>
      </c>
      <c r="AD378" s="114">
        <v>0.0</v>
      </c>
      <c r="AE378" s="114">
        <v>0.0</v>
      </c>
      <c r="AF378" s="114"/>
      <c r="AG378" s="693">
        <f t="shared" si="110"/>
        <v>0</v>
      </c>
    </row>
    <row r="379">
      <c r="A379" s="352" t="s">
        <v>1154</v>
      </c>
      <c r="B379" s="114">
        <v>0.0</v>
      </c>
      <c r="C379" s="114">
        <v>0.0</v>
      </c>
      <c r="D379" s="114">
        <v>0.0</v>
      </c>
      <c r="E379" s="114">
        <v>0.0</v>
      </c>
      <c r="F379" s="114">
        <v>0.0</v>
      </c>
      <c r="G379" s="114">
        <v>0.0</v>
      </c>
      <c r="H379" s="114">
        <v>0.0</v>
      </c>
      <c r="I379" s="114">
        <v>0.0</v>
      </c>
      <c r="J379" s="114">
        <v>0.0</v>
      </c>
      <c r="K379" s="114">
        <v>0.0</v>
      </c>
      <c r="L379" s="114">
        <v>0.0</v>
      </c>
      <c r="M379" s="114">
        <v>0.0</v>
      </c>
      <c r="N379" s="114">
        <v>0.0</v>
      </c>
      <c r="O379" s="114">
        <v>0.0</v>
      </c>
      <c r="P379" s="114">
        <v>0.0</v>
      </c>
      <c r="Q379" s="114">
        <v>0.0</v>
      </c>
      <c r="R379" s="114">
        <v>0.0</v>
      </c>
      <c r="S379" s="114">
        <v>0.0</v>
      </c>
      <c r="T379" s="114">
        <v>0.0</v>
      </c>
      <c r="U379" s="114">
        <v>0.0</v>
      </c>
      <c r="V379" s="114">
        <v>0.0</v>
      </c>
      <c r="W379" s="114">
        <v>0.0</v>
      </c>
      <c r="X379" s="114">
        <v>0.0</v>
      </c>
      <c r="Y379" s="114">
        <v>0.0</v>
      </c>
      <c r="Z379" s="114">
        <v>0.0</v>
      </c>
      <c r="AA379" s="114">
        <v>0.0</v>
      </c>
      <c r="AB379" s="114">
        <v>0.0</v>
      </c>
      <c r="AC379" s="114">
        <v>0.0</v>
      </c>
      <c r="AD379" s="114">
        <v>0.0</v>
      </c>
      <c r="AE379" s="114">
        <v>0.0</v>
      </c>
      <c r="AF379" s="114"/>
      <c r="AG379" s="693">
        <f t="shared" si="110"/>
        <v>0</v>
      </c>
    </row>
    <row r="380">
      <c r="A380" s="352" t="s">
        <v>1155</v>
      </c>
      <c r="B380" s="114">
        <v>0.0</v>
      </c>
      <c r="C380" s="114">
        <v>0.0</v>
      </c>
      <c r="D380" s="114">
        <v>0.0</v>
      </c>
      <c r="E380" s="114">
        <v>0.0</v>
      </c>
      <c r="F380" s="114">
        <v>0.0</v>
      </c>
      <c r="G380" s="114">
        <v>0.0</v>
      </c>
      <c r="H380" s="114">
        <v>0.0</v>
      </c>
      <c r="I380" s="114">
        <v>0.0</v>
      </c>
      <c r="J380" s="114">
        <v>0.0</v>
      </c>
      <c r="K380" s="114">
        <v>0.0</v>
      </c>
      <c r="L380" s="114">
        <v>0.0</v>
      </c>
      <c r="M380" s="114">
        <v>0.0</v>
      </c>
      <c r="N380" s="114">
        <v>0.0</v>
      </c>
      <c r="O380" s="114">
        <v>0.0</v>
      </c>
      <c r="P380" s="114">
        <v>0.0</v>
      </c>
      <c r="Q380" s="114">
        <v>0.0</v>
      </c>
      <c r="R380" s="114">
        <v>0.0</v>
      </c>
      <c r="S380" s="114">
        <v>0.0</v>
      </c>
      <c r="T380" s="114">
        <v>0.0</v>
      </c>
      <c r="U380" s="114">
        <v>1.0</v>
      </c>
      <c r="V380" s="114">
        <v>0.0</v>
      </c>
      <c r="W380" s="114">
        <v>0.0</v>
      </c>
      <c r="X380" s="114">
        <v>0.0</v>
      </c>
      <c r="Y380" s="114">
        <v>0.0</v>
      </c>
      <c r="Z380" s="114">
        <v>0.0</v>
      </c>
      <c r="AA380" s="114">
        <v>0.0</v>
      </c>
      <c r="AB380" s="114">
        <v>0.0</v>
      </c>
      <c r="AC380" s="114">
        <v>0.0</v>
      </c>
      <c r="AD380" s="114">
        <v>0.0</v>
      </c>
      <c r="AE380" s="114">
        <v>0.0</v>
      </c>
      <c r="AF380" s="114"/>
      <c r="AG380" s="693">
        <f t="shared" si="110"/>
        <v>1</v>
      </c>
    </row>
    <row r="381">
      <c r="A381" s="352" t="s">
        <v>1156</v>
      </c>
      <c r="B381" s="114">
        <v>0.0</v>
      </c>
      <c r="C381" s="114">
        <v>0.0</v>
      </c>
      <c r="D381" s="114">
        <v>0.0</v>
      </c>
      <c r="E381" s="114">
        <v>0.0</v>
      </c>
      <c r="F381" s="114">
        <v>0.0</v>
      </c>
      <c r="G381" s="114">
        <v>0.0</v>
      </c>
      <c r="H381" s="114">
        <v>0.0</v>
      </c>
      <c r="I381" s="114">
        <v>0.0</v>
      </c>
      <c r="J381" s="114">
        <v>0.0</v>
      </c>
      <c r="K381" s="114">
        <v>1.0</v>
      </c>
      <c r="L381" s="114">
        <v>0.0</v>
      </c>
      <c r="M381" s="114">
        <v>0.0</v>
      </c>
      <c r="N381" s="114">
        <v>0.0</v>
      </c>
      <c r="O381" s="114">
        <v>0.0</v>
      </c>
      <c r="P381" s="114">
        <v>0.0</v>
      </c>
      <c r="Q381" s="114">
        <v>0.0</v>
      </c>
      <c r="R381" s="114">
        <v>0.0</v>
      </c>
      <c r="S381" s="114">
        <v>0.0</v>
      </c>
      <c r="T381" s="114">
        <v>0.0</v>
      </c>
      <c r="U381" s="114">
        <v>0.0</v>
      </c>
      <c r="V381" s="114">
        <v>1.0</v>
      </c>
      <c r="W381" s="114">
        <v>0.0</v>
      </c>
      <c r="X381" s="114">
        <v>0.0</v>
      </c>
      <c r="Y381" s="114">
        <v>0.0</v>
      </c>
      <c r="Z381" s="114">
        <v>0.0</v>
      </c>
      <c r="AA381" s="114">
        <v>0.0</v>
      </c>
      <c r="AB381" s="114">
        <v>0.0</v>
      </c>
      <c r="AC381" s="114">
        <v>0.0</v>
      </c>
      <c r="AD381" s="114">
        <v>0.0</v>
      </c>
      <c r="AE381" s="114">
        <v>0.0</v>
      </c>
      <c r="AF381" s="114"/>
      <c r="AG381" s="693">
        <f t="shared" si="110"/>
        <v>2</v>
      </c>
    </row>
    <row r="382">
      <c r="A382" s="352" t="s">
        <v>1157</v>
      </c>
      <c r="B382" s="114">
        <v>0.0</v>
      </c>
      <c r="C382" s="114">
        <v>0.0</v>
      </c>
      <c r="D382" s="114">
        <v>0.0</v>
      </c>
      <c r="E382" s="114">
        <v>0.0</v>
      </c>
      <c r="F382" s="114">
        <v>0.0</v>
      </c>
      <c r="G382" s="114">
        <v>0.0</v>
      </c>
      <c r="H382" s="114">
        <v>0.0</v>
      </c>
      <c r="I382" s="114">
        <v>0.0</v>
      </c>
      <c r="J382" s="114">
        <v>0.0</v>
      </c>
      <c r="K382" s="114">
        <v>0.0</v>
      </c>
      <c r="L382" s="114">
        <v>0.0</v>
      </c>
      <c r="M382" s="114">
        <v>0.0</v>
      </c>
      <c r="N382" s="114">
        <v>0.0</v>
      </c>
      <c r="O382" s="114">
        <v>0.0</v>
      </c>
      <c r="P382" s="114">
        <v>0.0</v>
      </c>
      <c r="Q382" s="114">
        <v>0.0</v>
      </c>
      <c r="R382" s="114">
        <v>0.0</v>
      </c>
      <c r="S382" s="114">
        <v>0.0</v>
      </c>
      <c r="T382" s="114">
        <v>0.0</v>
      </c>
      <c r="U382" s="114">
        <v>0.0</v>
      </c>
      <c r="V382" s="114">
        <v>0.0</v>
      </c>
      <c r="W382" s="114">
        <v>0.0</v>
      </c>
      <c r="X382" s="114">
        <v>0.0</v>
      </c>
      <c r="Y382" s="114">
        <v>0.0</v>
      </c>
      <c r="Z382" s="114">
        <v>0.0</v>
      </c>
      <c r="AA382" s="114">
        <v>0.0</v>
      </c>
      <c r="AB382" s="114">
        <v>0.0</v>
      </c>
      <c r="AC382" s="114">
        <v>0.0</v>
      </c>
      <c r="AD382" s="114">
        <v>0.0</v>
      </c>
      <c r="AE382" s="114">
        <v>0.0</v>
      </c>
      <c r="AF382" s="114"/>
      <c r="AG382" s="693">
        <f t="shared" si="110"/>
        <v>0</v>
      </c>
    </row>
    <row r="383">
      <c r="A383" s="836" t="s">
        <v>1052</v>
      </c>
      <c r="B383" s="219">
        <f t="shared" ref="B383:AF383" si="111">SUM(B374:B382)</f>
        <v>0</v>
      </c>
      <c r="C383" s="219">
        <f t="shared" si="111"/>
        <v>1</v>
      </c>
      <c r="D383" s="219">
        <f t="shared" si="111"/>
        <v>2</v>
      </c>
      <c r="E383" s="219">
        <f t="shared" si="111"/>
        <v>0</v>
      </c>
      <c r="F383" s="219">
        <f t="shared" si="111"/>
        <v>0</v>
      </c>
      <c r="G383" s="219">
        <f t="shared" si="111"/>
        <v>0</v>
      </c>
      <c r="H383" s="219">
        <f t="shared" si="111"/>
        <v>0</v>
      </c>
      <c r="I383" s="219">
        <f t="shared" si="111"/>
        <v>0</v>
      </c>
      <c r="J383" s="219">
        <f t="shared" si="111"/>
        <v>0</v>
      </c>
      <c r="K383" s="219">
        <f t="shared" si="111"/>
        <v>1</v>
      </c>
      <c r="L383" s="219">
        <f t="shared" si="111"/>
        <v>0</v>
      </c>
      <c r="M383" s="219">
        <f t="shared" si="111"/>
        <v>0</v>
      </c>
      <c r="N383" s="219">
        <f t="shared" si="111"/>
        <v>0</v>
      </c>
      <c r="O383" s="219">
        <f t="shared" si="111"/>
        <v>0</v>
      </c>
      <c r="P383" s="219">
        <f t="shared" si="111"/>
        <v>0</v>
      </c>
      <c r="Q383" s="219">
        <f t="shared" si="111"/>
        <v>0</v>
      </c>
      <c r="R383" s="219">
        <f t="shared" si="111"/>
        <v>0</v>
      </c>
      <c r="S383" s="219">
        <f t="shared" si="111"/>
        <v>0</v>
      </c>
      <c r="T383" s="219">
        <f t="shared" si="111"/>
        <v>0</v>
      </c>
      <c r="U383" s="219">
        <f t="shared" si="111"/>
        <v>3</v>
      </c>
      <c r="V383" s="219">
        <f t="shared" si="111"/>
        <v>3</v>
      </c>
      <c r="W383" s="219">
        <f t="shared" si="111"/>
        <v>1</v>
      </c>
      <c r="X383" s="219">
        <f t="shared" si="111"/>
        <v>0</v>
      </c>
      <c r="Y383" s="219">
        <f t="shared" si="111"/>
        <v>0</v>
      </c>
      <c r="Z383" s="219">
        <f t="shared" si="111"/>
        <v>0</v>
      </c>
      <c r="AA383" s="219">
        <f t="shared" si="111"/>
        <v>0</v>
      </c>
      <c r="AB383" s="219">
        <f t="shared" si="111"/>
        <v>0</v>
      </c>
      <c r="AC383" s="219">
        <f t="shared" si="111"/>
        <v>0</v>
      </c>
      <c r="AD383" s="219">
        <f t="shared" si="111"/>
        <v>0</v>
      </c>
      <c r="AE383" s="219">
        <f t="shared" si="111"/>
        <v>0</v>
      </c>
      <c r="AF383" s="219">
        <f t="shared" si="111"/>
        <v>0</v>
      </c>
      <c r="AG383" s="693">
        <f t="shared" si="110"/>
        <v>11</v>
      </c>
    </row>
    <row r="384">
      <c r="A384" s="25"/>
      <c r="B384" s="661"/>
      <c r="C384" s="661"/>
      <c r="D384" s="661"/>
      <c r="E384" s="661"/>
      <c r="F384" s="661"/>
      <c r="G384" s="661"/>
      <c r="H384" s="661"/>
      <c r="I384" s="53"/>
      <c r="J384" s="53"/>
      <c r="K384" s="53"/>
      <c r="L384" s="53"/>
      <c r="M384" s="53"/>
      <c r="N384" s="53"/>
      <c r="O384" s="53"/>
      <c r="P384" s="53"/>
      <c r="Q384" s="53"/>
      <c r="R384" s="53"/>
      <c r="S384" s="53"/>
      <c r="T384" s="53"/>
      <c r="U384" s="53"/>
      <c r="V384" s="53"/>
      <c r="W384" s="53"/>
      <c r="X384" s="53"/>
      <c r="Y384" s="53"/>
      <c r="Z384" s="53"/>
      <c r="AA384" s="53"/>
      <c r="AB384" s="53"/>
      <c r="AC384" s="53"/>
      <c r="AD384" s="53"/>
      <c r="AE384" s="53"/>
      <c r="AF384" s="53"/>
      <c r="AG384" s="693"/>
    </row>
    <row r="385">
      <c r="A385" s="352" t="s">
        <v>1054</v>
      </c>
      <c r="B385" s="777"/>
      <c r="C385" s="777"/>
      <c r="D385" s="777"/>
      <c r="E385" s="777"/>
      <c r="F385" s="777"/>
      <c r="G385" s="448"/>
      <c r="H385" s="448"/>
      <c r="I385" s="448"/>
      <c r="J385" s="448"/>
      <c r="K385" s="777"/>
      <c r="L385" s="448"/>
      <c r="M385" s="448"/>
      <c r="N385" s="448"/>
      <c r="O385" s="448"/>
      <c r="P385" s="448"/>
      <c r="Q385" s="448"/>
      <c r="R385" s="448"/>
      <c r="S385" s="448"/>
      <c r="T385" s="448"/>
      <c r="U385" s="448"/>
      <c r="V385" s="448"/>
      <c r="W385" s="448"/>
      <c r="X385" s="448"/>
      <c r="Y385" s="448"/>
      <c r="Z385" s="448"/>
      <c r="AA385" s="448"/>
      <c r="AB385" s="448"/>
      <c r="AC385" s="448"/>
      <c r="AD385" s="448"/>
      <c r="AE385" s="448"/>
      <c r="AF385" s="448"/>
      <c r="AG385" s="693">
        <f t="shared" ref="AG385:AG394" si="112">SUM(B385:AF385)</f>
        <v>0</v>
      </c>
    </row>
    <row r="386">
      <c r="A386" s="352" t="s">
        <v>1056</v>
      </c>
      <c r="B386" s="777"/>
      <c r="C386" s="777"/>
      <c r="D386" s="777"/>
      <c r="E386" s="777"/>
      <c r="F386" s="777"/>
      <c r="G386" s="448"/>
      <c r="H386" s="448"/>
      <c r="I386" s="448"/>
      <c r="J386" s="448"/>
      <c r="K386" s="777"/>
      <c r="L386" s="448"/>
      <c r="M386" s="448"/>
      <c r="N386" s="448"/>
      <c r="O386" s="448"/>
      <c r="P386" s="448"/>
      <c r="Q386" s="448"/>
      <c r="R386" s="448"/>
      <c r="S386" s="448"/>
      <c r="T386" s="448"/>
      <c r="U386" s="448"/>
      <c r="V386" s="448"/>
      <c r="W386" s="448"/>
      <c r="X386" s="448"/>
      <c r="Y386" s="448"/>
      <c r="Z386" s="448"/>
      <c r="AA386" s="448"/>
      <c r="AB386" s="448"/>
      <c r="AC386" s="448"/>
      <c r="AD386" s="448"/>
      <c r="AE386" s="448"/>
      <c r="AF386" s="448"/>
      <c r="AG386" s="693">
        <f t="shared" si="112"/>
        <v>0</v>
      </c>
    </row>
    <row r="387">
      <c r="A387" s="352" t="s">
        <v>1057</v>
      </c>
      <c r="B387" s="342"/>
      <c r="C387" s="342"/>
      <c r="D387" s="342"/>
      <c r="E387" s="342"/>
      <c r="F387" s="444"/>
      <c r="G387" s="444"/>
      <c r="H387" s="444"/>
      <c r="I387" s="444"/>
      <c r="J387" s="342"/>
      <c r="K387" s="444"/>
      <c r="L387" s="342"/>
      <c r="M387" s="342"/>
      <c r="N387" s="342"/>
      <c r="O387" s="448"/>
      <c r="P387" s="448"/>
      <c r="Q387" s="448"/>
      <c r="R387" s="448"/>
      <c r="S387" s="448"/>
      <c r="T387" s="448"/>
      <c r="U387" s="448"/>
      <c r="V387" s="448"/>
      <c r="W387" s="448"/>
      <c r="X387" s="448"/>
      <c r="Y387" s="448"/>
      <c r="Z387" s="448"/>
      <c r="AA387" s="448"/>
      <c r="AB387" s="448"/>
      <c r="AC387" s="448"/>
      <c r="AD387" s="448"/>
      <c r="AE387" s="448"/>
      <c r="AF387" s="448"/>
      <c r="AG387" s="693">
        <f t="shared" si="112"/>
        <v>0</v>
      </c>
    </row>
    <row r="388">
      <c r="A388" s="352" t="s">
        <v>1159</v>
      </c>
      <c r="B388" s="342"/>
      <c r="C388" s="342"/>
      <c r="D388" s="342"/>
      <c r="E388" s="342"/>
      <c r="F388" s="444"/>
      <c r="G388" s="444"/>
      <c r="H388" s="444"/>
      <c r="I388" s="444"/>
      <c r="J388" s="444"/>
      <c r="K388" s="444"/>
      <c r="L388" s="444"/>
      <c r="M388" s="444"/>
      <c r="N388" s="444"/>
      <c r="O388" s="448"/>
      <c r="P388" s="448"/>
      <c r="Q388" s="448"/>
      <c r="R388" s="448"/>
      <c r="S388" s="448"/>
      <c r="T388" s="448"/>
      <c r="U388" s="448"/>
      <c r="V388" s="448"/>
      <c r="W388" s="448"/>
      <c r="X388" s="448"/>
      <c r="Y388" s="448"/>
      <c r="Z388" s="448"/>
      <c r="AA388" s="448"/>
      <c r="AB388" s="448"/>
      <c r="AC388" s="448"/>
      <c r="AD388" s="448"/>
      <c r="AE388" s="448"/>
      <c r="AF388" s="448"/>
      <c r="AG388" s="693">
        <f t="shared" si="112"/>
        <v>0</v>
      </c>
    </row>
    <row r="389">
      <c r="A389" s="352" t="s">
        <v>1160</v>
      </c>
      <c r="B389" s="342"/>
      <c r="C389" s="342"/>
      <c r="D389" s="342"/>
      <c r="E389" s="342"/>
      <c r="F389" s="444"/>
      <c r="G389" s="444"/>
      <c r="H389" s="444"/>
      <c r="I389" s="444"/>
      <c r="J389" s="444"/>
      <c r="K389" s="444"/>
      <c r="L389" s="444"/>
      <c r="M389" s="444"/>
      <c r="N389" s="444"/>
      <c r="O389" s="448"/>
      <c r="P389" s="448"/>
      <c r="Q389" s="448"/>
      <c r="R389" s="448"/>
      <c r="S389" s="448"/>
      <c r="T389" s="448"/>
      <c r="U389" s="448"/>
      <c r="V389" s="448"/>
      <c r="W389" s="448"/>
      <c r="X389" s="448"/>
      <c r="Y389" s="448"/>
      <c r="Z389" s="448"/>
      <c r="AA389" s="448"/>
      <c r="AB389" s="448"/>
      <c r="AC389" s="448"/>
      <c r="AD389" s="448"/>
      <c r="AE389" s="448"/>
      <c r="AF389" s="448"/>
      <c r="AG389" s="693">
        <f t="shared" si="112"/>
        <v>0</v>
      </c>
    </row>
    <row r="390">
      <c r="A390" s="352" t="s">
        <v>1161</v>
      </c>
      <c r="B390" s="777"/>
      <c r="C390" s="777"/>
      <c r="D390" s="777"/>
      <c r="E390" s="777"/>
      <c r="F390" s="448"/>
      <c r="G390" s="448"/>
      <c r="H390" s="448"/>
      <c r="I390" s="448"/>
      <c r="J390" s="448"/>
      <c r="K390" s="448"/>
      <c r="L390" s="448"/>
      <c r="M390" s="448"/>
      <c r="N390" s="448"/>
      <c r="O390" s="448"/>
      <c r="P390" s="448"/>
      <c r="Q390" s="448"/>
      <c r="R390" s="448"/>
      <c r="S390" s="448"/>
      <c r="T390" s="448"/>
      <c r="U390" s="448"/>
      <c r="V390" s="448"/>
      <c r="W390" s="448"/>
      <c r="X390" s="448"/>
      <c r="Y390" s="448"/>
      <c r="Z390" s="448"/>
      <c r="AA390" s="448"/>
      <c r="AB390" s="448"/>
      <c r="AC390" s="448"/>
      <c r="AD390" s="448"/>
      <c r="AE390" s="448"/>
      <c r="AF390" s="448"/>
      <c r="AG390" s="693">
        <f t="shared" si="112"/>
        <v>0</v>
      </c>
    </row>
    <row r="391">
      <c r="A391" s="352" t="s">
        <v>1162</v>
      </c>
      <c r="B391" s="777"/>
      <c r="C391" s="777"/>
      <c r="D391" s="777"/>
      <c r="E391" s="777"/>
      <c r="F391" s="448"/>
      <c r="G391" s="448"/>
      <c r="H391" s="448"/>
      <c r="I391" s="448"/>
      <c r="J391" s="448"/>
      <c r="K391" s="448"/>
      <c r="L391" s="448"/>
      <c r="M391" s="448"/>
      <c r="N391" s="448"/>
      <c r="O391" s="448"/>
      <c r="P391" s="448"/>
      <c r="Q391" s="448"/>
      <c r="R391" s="448"/>
      <c r="S391" s="448"/>
      <c r="T391" s="448"/>
      <c r="U391" s="448"/>
      <c r="V391" s="448"/>
      <c r="W391" s="448"/>
      <c r="X391" s="448"/>
      <c r="Y391" s="448"/>
      <c r="Z391" s="448"/>
      <c r="AA391" s="448"/>
      <c r="AB391" s="448"/>
      <c r="AC391" s="448"/>
      <c r="AD391" s="448"/>
      <c r="AE391" s="448"/>
      <c r="AF391" s="448"/>
      <c r="AG391" s="693">
        <f t="shared" si="112"/>
        <v>0</v>
      </c>
    </row>
    <row r="392">
      <c r="A392" s="352" t="s">
        <v>1163</v>
      </c>
      <c r="B392" s="777"/>
      <c r="C392" s="777"/>
      <c r="D392" s="777"/>
      <c r="E392" s="777"/>
      <c r="F392" s="448"/>
      <c r="G392" s="448"/>
      <c r="H392" s="448"/>
      <c r="I392" s="448"/>
      <c r="J392" s="448"/>
      <c r="K392" s="448"/>
      <c r="L392" s="448"/>
      <c r="M392" s="448"/>
      <c r="N392" s="448"/>
      <c r="O392" s="448"/>
      <c r="P392" s="448"/>
      <c r="Q392" s="448"/>
      <c r="R392" s="448"/>
      <c r="S392" s="448"/>
      <c r="T392" s="448"/>
      <c r="U392" s="448"/>
      <c r="V392" s="448"/>
      <c r="W392" s="448"/>
      <c r="X392" s="448"/>
      <c r="Y392" s="448"/>
      <c r="Z392" s="448"/>
      <c r="AA392" s="448"/>
      <c r="AB392" s="448"/>
      <c r="AC392" s="448"/>
      <c r="AD392" s="448"/>
      <c r="AE392" s="448"/>
      <c r="AF392" s="448"/>
      <c r="AG392" s="693">
        <f t="shared" si="112"/>
        <v>0</v>
      </c>
    </row>
    <row r="393">
      <c r="A393" s="352" t="s">
        <v>1165</v>
      </c>
      <c r="B393" s="777"/>
      <c r="C393" s="777"/>
      <c r="D393" s="777"/>
      <c r="E393" s="777"/>
      <c r="F393" s="448"/>
      <c r="G393" s="448"/>
      <c r="H393" s="448"/>
      <c r="I393" s="448"/>
      <c r="J393" s="448"/>
      <c r="K393" s="448"/>
      <c r="L393" s="448"/>
      <c r="M393" s="448"/>
      <c r="N393" s="448"/>
      <c r="O393" s="448"/>
      <c r="P393" s="448"/>
      <c r="Q393" s="448"/>
      <c r="R393" s="448"/>
      <c r="S393" s="448"/>
      <c r="T393" s="448"/>
      <c r="U393" s="448"/>
      <c r="V393" s="448"/>
      <c r="W393" s="448"/>
      <c r="X393" s="448"/>
      <c r="Y393" s="448"/>
      <c r="Z393" s="448"/>
      <c r="AA393" s="448"/>
      <c r="AB393" s="448"/>
      <c r="AC393" s="448"/>
      <c r="AD393" s="448"/>
      <c r="AE393" s="448"/>
      <c r="AF393" s="448"/>
      <c r="AG393" s="693">
        <f t="shared" si="112"/>
        <v>0</v>
      </c>
    </row>
    <row r="394">
      <c r="A394" s="836" t="s">
        <v>1066</v>
      </c>
      <c r="B394" s="219">
        <f t="shared" ref="B394:AF394" si="113">SUM(B385:B393)</f>
        <v>0</v>
      </c>
      <c r="C394" s="219">
        <f t="shared" si="113"/>
        <v>0</v>
      </c>
      <c r="D394" s="219">
        <f t="shared" si="113"/>
        <v>0</v>
      </c>
      <c r="E394" s="219">
        <f t="shared" si="113"/>
        <v>0</v>
      </c>
      <c r="F394" s="219">
        <f t="shared" si="113"/>
        <v>0</v>
      </c>
      <c r="G394" s="219">
        <f t="shared" si="113"/>
        <v>0</v>
      </c>
      <c r="H394" s="219">
        <f t="shared" si="113"/>
        <v>0</v>
      </c>
      <c r="I394" s="219">
        <f t="shared" si="113"/>
        <v>0</v>
      </c>
      <c r="J394" s="219">
        <f t="shared" si="113"/>
        <v>0</v>
      </c>
      <c r="K394" s="219">
        <f t="shared" si="113"/>
        <v>0</v>
      </c>
      <c r="L394" s="219">
        <f t="shared" si="113"/>
        <v>0</v>
      </c>
      <c r="M394" s="219">
        <f t="shared" si="113"/>
        <v>0</v>
      </c>
      <c r="N394" s="219">
        <f t="shared" si="113"/>
        <v>0</v>
      </c>
      <c r="O394" s="219">
        <f t="shared" si="113"/>
        <v>0</v>
      </c>
      <c r="P394" s="219">
        <f t="shared" si="113"/>
        <v>0</v>
      </c>
      <c r="Q394" s="219">
        <f t="shared" si="113"/>
        <v>0</v>
      </c>
      <c r="R394" s="219">
        <f t="shared" si="113"/>
        <v>0</v>
      </c>
      <c r="S394" s="219">
        <f t="shared" si="113"/>
        <v>0</v>
      </c>
      <c r="T394" s="219">
        <f t="shared" si="113"/>
        <v>0</v>
      </c>
      <c r="U394" s="219">
        <f t="shared" si="113"/>
        <v>0</v>
      </c>
      <c r="V394" s="219">
        <f t="shared" si="113"/>
        <v>0</v>
      </c>
      <c r="W394" s="219">
        <f t="shared" si="113"/>
        <v>0</v>
      </c>
      <c r="X394" s="219">
        <f t="shared" si="113"/>
        <v>0</v>
      </c>
      <c r="Y394" s="219">
        <f t="shared" si="113"/>
        <v>0</v>
      </c>
      <c r="Z394" s="219">
        <f t="shared" si="113"/>
        <v>0</v>
      </c>
      <c r="AA394" s="219">
        <f t="shared" si="113"/>
        <v>0</v>
      </c>
      <c r="AB394" s="219">
        <f t="shared" si="113"/>
        <v>0</v>
      </c>
      <c r="AC394" s="219">
        <f t="shared" si="113"/>
        <v>0</v>
      </c>
      <c r="AD394" s="219">
        <f t="shared" si="113"/>
        <v>0</v>
      </c>
      <c r="AE394" s="219">
        <f t="shared" si="113"/>
        <v>0</v>
      </c>
      <c r="AF394" s="219">
        <f t="shared" si="113"/>
        <v>0</v>
      </c>
      <c r="AG394" s="693">
        <f t="shared" si="112"/>
        <v>0</v>
      </c>
    </row>
    <row r="395">
      <c r="A395" s="723"/>
      <c r="B395" s="555"/>
      <c r="T395" s="758"/>
      <c r="U395" s="758"/>
      <c r="V395" s="758"/>
      <c r="W395" s="758"/>
      <c r="X395" s="758"/>
      <c r="Y395" s="758"/>
      <c r="Z395" s="758"/>
      <c r="AA395" s="758"/>
      <c r="AB395" s="758"/>
      <c r="AC395" s="758"/>
      <c r="AD395" s="758"/>
      <c r="AE395" s="758"/>
      <c r="AF395" s="758"/>
      <c r="AG395" s="693"/>
    </row>
    <row r="396">
      <c r="A396" s="723"/>
      <c r="B396" s="555"/>
      <c r="T396" s="758"/>
      <c r="U396" s="758"/>
      <c r="V396" s="758"/>
      <c r="W396" s="758"/>
      <c r="X396" s="758"/>
      <c r="Y396" s="758"/>
      <c r="Z396" s="758"/>
      <c r="AA396" s="758"/>
      <c r="AB396" s="758"/>
      <c r="AC396" s="758"/>
      <c r="AD396" s="758"/>
      <c r="AE396" s="758"/>
      <c r="AF396" s="758"/>
      <c r="AG396" s="453"/>
    </row>
    <row r="397">
      <c r="A397" s="723"/>
      <c r="T397" s="758"/>
      <c r="U397" s="758"/>
      <c r="V397" s="758"/>
      <c r="W397" s="758"/>
      <c r="X397" s="758"/>
      <c r="Y397" s="758"/>
      <c r="Z397" s="758"/>
      <c r="AA397" s="758"/>
      <c r="AB397" s="758"/>
      <c r="AC397" s="758"/>
      <c r="AD397" s="758"/>
      <c r="AE397" s="758"/>
      <c r="AF397" s="758"/>
      <c r="AG397" s="453"/>
    </row>
    <row r="398">
      <c r="A398" s="349" t="s">
        <v>1088</v>
      </c>
      <c r="T398" s="758"/>
      <c r="U398" s="758"/>
      <c r="V398" s="758"/>
      <c r="W398" s="758"/>
      <c r="X398" s="758"/>
      <c r="Y398" s="758"/>
      <c r="Z398" s="758"/>
      <c r="AA398" s="758"/>
      <c r="AB398" s="758"/>
      <c r="AC398" s="758"/>
      <c r="AD398" s="758"/>
      <c r="AE398" s="758"/>
      <c r="AF398" s="758"/>
      <c r="AG398" s="453"/>
    </row>
    <row r="399">
      <c r="A399" s="352" t="s">
        <v>1167</v>
      </c>
      <c r="B399" s="114">
        <v>1.0</v>
      </c>
      <c r="C399" s="114">
        <v>3.0</v>
      </c>
      <c r="D399" s="114">
        <v>0.0</v>
      </c>
      <c r="E399" s="114">
        <v>0.0</v>
      </c>
      <c r="F399" s="114">
        <v>0.0</v>
      </c>
      <c r="G399" s="114">
        <v>0.0</v>
      </c>
      <c r="H399" s="114">
        <v>0.0</v>
      </c>
      <c r="I399" s="114">
        <v>2.0</v>
      </c>
      <c r="J399" s="114">
        <v>0.0</v>
      </c>
      <c r="K399" s="114">
        <v>0.0</v>
      </c>
      <c r="L399" s="114">
        <v>0.0</v>
      </c>
      <c r="M399" s="114">
        <v>0.0</v>
      </c>
      <c r="N399" s="114">
        <v>0.0</v>
      </c>
      <c r="O399" s="114">
        <v>1.0</v>
      </c>
      <c r="P399" s="114">
        <v>0.0</v>
      </c>
      <c r="Q399" s="114">
        <v>0.0</v>
      </c>
      <c r="R399" s="114">
        <v>0.0</v>
      </c>
      <c r="S399" s="114">
        <v>0.0</v>
      </c>
      <c r="T399" s="114">
        <v>3.0</v>
      </c>
      <c r="U399" s="114">
        <v>3.0</v>
      </c>
      <c r="V399" s="114">
        <v>3.0</v>
      </c>
      <c r="W399" s="114">
        <v>0.0</v>
      </c>
      <c r="X399" s="114">
        <v>3.0</v>
      </c>
      <c r="Y399" s="114">
        <v>0.0</v>
      </c>
      <c r="Z399" s="114">
        <v>0.0</v>
      </c>
      <c r="AA399" s="114">
        <v>0.0</v>
      </c>
      <c r="AB399" s="114">
        <v>0.0</v>
      </c>
      <c r="AC399" s="114">
        <v>2.0</v>
      </c>
      <c r="AD399" s="114">
        <v>1.0</v>
      </c>
      <c r="AE399" s="114">
        <v>3.0</v>
      </c>
      <c r="AF399" s="114"/>
      <c r="AG399" s="693">
        <f t="shared" ref="AG399:AG412" si="114">SUM(B399:AF399)</f>
        <v>25</v>
      </c>
    </row>
    <row r="400">
      <c r="A400" s="352" t="s">
        <v>1168</v>
      </c>
      <c r="B400" s="114">
        <v>0.0</v>
      </c>
      <c r="C400" s="114">
        <v>2.0</v>
      </c>
      <c r="D400" s="114">
        <v>0.0</v>
      </c>
      <c r="E400" s="114">
        <v>0.0</v>
      </c>
      <c r="F400" s="114">
        <v>0.0</v>
      </c>
      <c r="G400" s="114">
        <v>0.0</v>
      </c>
      <c r="H400" s="114">
        <v>1.0</v>
      </c>
      <c r="I400" s="114">
        <v>2.0</v>
      </c>
      <c r="J400" s="114">
        <v>0.0</v>
      </c>
      <c r="K400" s="114">
        <v>0.0</v>
      </c>
      <c r="L400" s="114">
        <v>0.0</v>
      </c>
      <c r="M400" s="114">
        <v>0.0</v>
      </c>
      <c r="N400" s="114">
        <v>0.0</v>
      </c>
      <c r="O400" s="114">
        <v>0.0</v>
      </c>
      <c r="P400" s="114">
        <v>0.0</v>
      </c>
      <c r="Q400" s="114">
        <v>0.0</v>
      </c>
      <c r="R400" s="114">
        <v>0.0</v>
      </c>
      <c r="S400" s="114">
        <v>0.0</v>
      </c>
      <c r="T400" s="114">
        <v>0.0</v>
      </c>
      <c r="U400" s="114">
        <v>0.0</v>
      </c>
      <c r="V400" s="114">
        <v>0.0</v>
      </c>
      <c r="W400" s="114">
        <v>0.0</v>
      </c>
      <c r="X400" s="114">
        <v>2.0</v>
      </c>
      <c r="Y400" s="114">
        <v>0.0</v>
      </c>
      <c r="Z400" s="114">
        <v>0.0</v>
      </c>
      <c r="AA400" s="114">
        <v>0.0</v>
      </c>
      <c r="AB400" s="114">
        <v>0.0</v>
      </c>
      <c r="AC400" s="114">
        <v>0.0</v>
      </c>
      <c r="AD400" s="114">
        <v>0.0</v>
      </c>
      <c r="AE400" s="114">
        <v>0.0</v>
      </c>
      <c r="AF400" s="114"/>
      <c r="AG400" s="693">
        <f t="shared" si="114"/>
        <v>7</v>
      </c>
    </row>
    <row r="401">
      <c r="A401" s="352" t="s">
        <v>1169</v>
      </c>
      <c r="B401" s="114">
        <v>0.0</v>
      </c>
      <c r="C401" s="695">
        <v>1.0</v>
      </c>
      <c r="D401" s="114">
        <v>1.0</v>
      </c>
      <c r="E401" s="114">
        <v>0.0</v>
      </c>
      <c r="F401" s="114">
        <v>1.0</v>
      </c>
      <c r="G401" s="114">
        <v>0.0</v>
      </c>
      <c r="H401" s="114">
        <v>0.0</v>
      </c>
      <c r="I401" s="114">
        <v>4.0</v>
      </c>
      <c r="J401" s="114">
        <v>0.0</v>
      </c>
      <c r="K401" s="114">
        <v>0.0</v>
      </c>
      <c r="L401" s="114">
        <v>0.0</v>
      </c>
      <c r="M401" s="114">
        <v>0.0</v>
      </c>
      <c r="N401" s="114">
        <v>1.0</v>
      </c>
      <c r="O401" s="114">
        <v>2.0</v>
      </c>
      <c r="P401" s="114">
        <v>1.0</v>
      </c>
      <c r="Q401" s="114">
        <v>1.0</v>
      </c>
      <c r="R401" s="114">
        <v>1.0</v>
      </c>
      <c r="S401" s="114">
        <v>0.0</v>
      </c>
      <c r="T401" s="114">
        <v>7.0</v>
      </c>
      <c r="U401" s="114">
        <v>4.0</v>
      </c>
      <c r="V401" s="114">
        <v>4.0</v>
      </c>
      <c r="W401" s="114">
        <v>2.0</v>
      </c>
      <c r="X401" s="114">
        <v>6.0</v>
      </c>
      <c r="Y401" s="114">
        <v>0.0</v>
      </c>
      <c r="Z401" s="114">
        <v>0.0</v>
      </c>
      <c r="AA401" s="114">
        <v>0.0</v>
      </c>
      <c r="AB401" s="114">
        <v>0.0</v>
      </c>
      <c r="AC401" s="114">
        <v>1.0</v>
      </c>
      <c r="AD401" s="114">
        <v>0.0</v>
      </c>
      <c r="AE401" s="114">
        <v>1.0</v>
      </c>
      <c r="AF401" s="114"/>
      <c r="AG401" s="693">
        <f t="shared" si="114"/>
        <v>38</v>
      </c>
    </row>
    <row r="402">
      <c r="A402" s="352" t="s">
        <v>1170</v>
      </c>
      <c r="B402" s="114">
        <v>0.0</v>
      </c>
      <c r="C402" s="695">
        <v>2.0</v>
      </c>
      <c r="D402" s="114">
        <v>0.0</v>
      </c>
      <c r="E402" s="114">
        <v>0.0</v>
      </c>
      <c r="F402" s="114">
        <v>0.0</v>
      </c>
      <c r="G402" s="114">
        <v>0.0</v>
      </c>
      <c r="H402" s="114">
        <v>0.0</v>
      </c>
      <c r="I402" s="114">
        <v>3.0</v>
      </c>
      <c r="J402" s="114">
        <v>0.0</v>
      </c>
      <c r="K402" s="114">
        <v>0.0</v>
      </c>
      <c r="L402" s="114">
        <v>0.0</v>
      </c>
      <c r="M402" s="114">
        <v>0.0</v>
      </c>
      <c r="N402" s="114">
        <v>0.0</v>
      </c>
      <c r="O402" s="114">
        <v>0.0</v>
      </c>
      <c r="P402" s="114">
        <v>0.0</v>
      </c>
      <c r="Q402" s="114">
        <v>0.0</v>
      </c>
      <c r="R402" s="114">
        <v>0.0</v>
      </c>
      <c r="S402" s="114">
        <v>0.0</v>
      </c>
      <c r="T402" s="114">
        <v>3.0</v>
      </c>
      <c r="U402" s="114">
        <v>0.0</v>
      </c>
      <c r="V402" s="114">
        <v>1.0</v>
      </c>
      <c r="W402" s="114">
        <v>0.0</v>
      </c>
      <c r="X402" s="114">
        <v>1.0</v>
      </c>
      <c r="Y402" s="114">
        <v>0.0</v>
      </c>
      <c r="Z402" s="114">
        <v>0.0</v>
      </c>
      <c r="AA402" s="114">
        <v>0.0</v>
      </c>
      <c r="AB402" s="114">
        <v>1.0</v>
      </c>
      <c r="AC402" s="114">
        <v>0.0</v>
      </c>
      <c r="AD402" s="114">
        <v>0.0</v>
      </c>
      <c r="AE402" s="114">
        <v>0.0</v>
      </c>
      <c r="AF402" s="114"/>
      <c r="AG402" s="693">
        <f t="shared" si="114"/>
        <v>11</v>
      </c>
    </row>
    <row r="403">
      <c r="A403" s="846" t="s">
        <v>1171</v>
      </c>
      <c r="B403" s="847">
        <v>0.0</v>
      </c>
      <c r="C403" s="847">
        <v>0.0</v>
      </c>
      <c r="D403" s="847">
        <v>0.0</v>
      </c>
      <c r="E403" s="847">
        <v>0.0</v>
      </c>
      <c r="F403" s="847">
        <v>0.0</v>
      </c>
      <c r="G403" s="847">
        <v>0.0</v>
      </c>
      <c r="H403" s="847">
        <v>0.0</v>
      </c>
      <c r="I403" s="847">
        <v>0.0</v>
      </c>
      <c r="J403" s="847">
        <v>1.0</v>
      </c>
      <c r="K403" s="847">
        <v>0.0</v>
      </c>
      <c r="L403" s="847">
        <v>0.0</v>
      </c>
      <c r="M403" s="847">
        <v>0.0</v>
      </c>
      <c r="N403" s="847">
        <v>0.0</v>
      </c>
      <c r="O403" s="847">
        <v>0.0</v>
      </c>
      <c r="P403" s="847">
        <v>0.0</v>
      </c>
      <c r="Q403" s="847">
        <v>0.0</v>
      </c>
      <c r="R403" s="847">
        <v>0.0</v>
      </c>
      <c r="S403" s="847">
        <v>0.0</v>
      </c>
      <c r="T403" s="847">
        <v>0.0</v>
      </c>
      <c r="U403" s="847">
        <v>0.0</v>
      </c>
      <c r="V403" s="847">
        <v>0.0</v>
      </c>
      <c r="W403" s="847">
        <v>0.0</v>
      </c>
      <c r="X403" s="847">
        <v>0.0</v>
      </c>
      <c r="Y403" s="847">
        <v>0.0</v>
      </c>
      <c r="Z403" s="847">
        <v>0.0</v>
      </c>
      <c r="AA403" s="847">
        <v>0.0</v>
      </c>
      <c r="AB403" s="847">
        <v>0.0</v>
      </c>
      <c r="AC403" s="847">
        <v>0.0</v>
      </c>
      <c r="AD403" s="847">
        <v>0.0</v>
      </c>
      <c r="AE403" s="847">
        <v>0.0</v>
      </c>
      <c r="AF403" s="847"/>
      <c r="AG403" s="848">
        <f t="shared" si="114"/>
        <v>1</v>
      </c>
    </row>
    <row r="404">
      <c r="A404" s="352" t="s">
        <v>1172</v>
      </c>
      <c r="B404" s="114">
        <v>0.0</v>
      </c>
      <c r="C404" s="114">
        <v>1.0</v>
      </c>
      <c r="D404" s="114">
        <v>0.0</v>
      </c>
      <c r="E404" s="114">
        <v>0.0</v>
      </c>
      <c r="F404" s="114">
        <v>0.0</v>
      </c>
      <c r="G404" s="114">
        <v>0.0</v>
      </c>
      <c r="H404" s="114">
        <v>0.0</v>
      </c>
      <c r="I404" s="114">
        <v>0.0</v>
      </c>
      <c r="J404" s="114">
        <v>0.0</v>
      </c>
      <c r="K404" s="114">
        <v>0.0</v>
      </c>
      <c r="L404" s="114">
        <v>0.0</v>
      </c>
      <c r="M404" s="114">
        <v>0.0</v>
      </c>
      <c r="N404" s="114">
        <v>0.0</v>
      </c>
      <c r="O404" s="114">
        <v>0.0</v>
      </c>
      <c r="P404" s="114">
        <v>0.0</v>
      </c>
      <c r="Q404" s="114">
        <v>0.0</v>
      </c>
      <c r="R404" s="114">
        <v>0.0</v>
      </c>
      <c r="S404" s="114">
        <v>0.0</v>
      </c>
      <c r="T404" s="114">
        <v>0.0</v>
      </c>
      <c r="U404" s="114">
        <v>0.0</v>
      </c>
      <c r="V404" s="114">
        <v>0.0</v>
      </c>
      <c r="W404" s="114">
        <v>0.0</v>
      </c>
      <c r="X404" s="114">
        <v>0.0</v>
      </c>
      <c r="Y404" s="114">
        <v>0.0</v>
      </c>
      <c r="Z404" s="114">
        <v>0.0</v>
      </c>
      <c r="AA404" s="114">
        <v>0.0</v>
      </c>
      <c r="AB404" s="114">
        <v>0.0</v>
      </c>
      <c r="AC404" s="114">
        <v>0.0</v>
      </c>
      <c r="AD404" s="114">
        <v>0.0</v>
      </c>
      <c r="AE404" s="114">
        <v>0.0</v>
      </c>
      <c r="AF404" s="114"/>
      <c r="AG404" s="693">
        <f t="shared" si="114"/>
        <v>1</v>
      </c>
    </row>
    <row r="405">
      <c r="A405" s="352" t="s">
        <v>1173</v>
      </c>
      <c r="B405" s="114">
        <v>0.0</v>
      </c>
      <c r="C405" s="114">
        <v>1.0</v>
      </c>
      <c r="D405" s="114">
        <v>0.0</v>
      </c>
      <c r="E405" s="114">
        <v>0.0</v>
      </c>
      <c r="F405" s="114">
        <v>0.0</v>
      </c>
      <c r="G405" s="114">
        <v>0.0</v>
      </c>
      <c r="H405" s="114">
        <v>0.0</v>
      </c>
      <c r="I405" s="114">
        <v>0.0</v>
      </c>
      <c r="J405" s="114">
        <v>0.0</v>
      </c>
      <c r="K405" s="114">
        <v>0.0</v>
      </c>
      <c r="L405" s="114">
        <v>0.0</v>
      </c>
      <c r="M405" s="114">
        <v>0.0</v>
      </c>
      <c r="N405" s="114">
        <v>0.0</v>
      </c>
      <c r="O405" s="114">
        <v>2.0</v>
      </c>
      <c r="P405" s="114">
        <v>0.0</v>
      </c>
      <c r="Q405" s="114">
        <v>0.0</v>
      </c>
      <c r="R405" s="114">
        <v>0.0</v>
      </c>
      <c r="S405" s="114">
        <v>0.0</v>
      </c>
      <c r="T405" s="114">
        <v>0.0</v>
      </c>
      <c r="U405" s="114">
        <v>2.0</v>
      </c>
      <c r="V405" s="114">
        <v>0.0</v>
      </c>
      <c r="W405" s="114">
        <v>0.0</v>
      </c>
      <c r="X405" s="114">
        <v>0.0</v>
      </c>
      <c r="Y405" s="114">
        <v>0.0</v>
      </c>
      <c r="Z405" s="114">
        <v>0.0</v>
      </c>
      <c r="AA405" s="114">
        <v>0.0</v>
      </c>
      <c r="AB405" s="114">
        <v>0.0</v>
      </c>
      <c r="AC405" s="114">
        <v>0.0</v>
      </c>
      <c r="AD405" s="114">
        <v>0.0</v>
      </c>
      <c r="AE405" s="114">
        <v>0.0</v>
      </c>
      <c r="AF405" s="114"/>
      <c r="AG405" s="693">
        <f t="shared" si="114"/>
        <v>5</v>
      </c>
    </row>
    <row r="406">
      <c r="A406" s="352" t="s">
        <v>1174</v>
      </c>
      <c r="B406" s="114">
        <v>0.0</v>
      </c>
      <c r="C406" s="114">
        <v>0.0</v>
      </c>
      <c r="D406" s="114">
        <v>0.0</v>
      </c>
      <c r="E406" s="114">
        <v>0.0</v>
      </c>
      <c r="F406" s="114">
        <v>0.0</v>
      </c>
      <c r="G406" s="114">
        <v>0.0</v>
      </c>
      <c r="H406" s="114">
        <v>0.0</v>
      </c>
      <c r="I406" s="114">
        <v>0.0</v>
      </c>
      <c r="J406" s="114">
        <v>0.0</v>
      </c>
      <c r="K406" s="114">
        <v>0.0</v>
      </c>
      <c r="L406" s="114">
        <v>0.0</v>
      </c>
      <c r="M406" s="114">
        <v>0.0</v>
      </c>
      <c r="N406" s="114">
        <v>0.0</v>
      </c>
      <c r="O406" s="114">
        <v>0.0</v>
      </c>
      <c r="P406" s="114">
        <v>0.0</v>
      </c>
      <c r="Q406" s="114">
        <v>0.0</v>
      </c>
      <c r="R406" s="114">
        <v>0.0</v>
      </c>
      <c r="S406" s="114">
        <v>0.0</v>
      </c>
      <c r="T406" s="114">
        <v>0.0</v>
      </c>
      <c r="U406" s="114">
        <v>0.0</v>
      </c>
      <c r="V406" s="114">
        <v>0.0</v>
      </c>
      <c r="W406" s="114">
        <v>0.0</v>
      </c>
      <c r="X406" s="114">
        <v>0.0</v>
      </c>
      <c r="Y406" s="114">
        <v>0.0</v>
      </c>
      <c r="Z406" s="114">
        <v>0.0</v>
      </c>
      <c r="AA406" s="114">
        <v>0.0</v>
      </c>
      <c r="AB406" s="114">
        <v>0.0</v>
      </c>
      <c r="AC406" s="114">
        <v>0.0</v>
      </c>
      <c r="AD406" s="114">
        <v>0.0</v>
      </c>
      <c r="AE406" s="114">
        <v>0.0</v>
      </c>
      <c r="AF406" s="114"/>
      <c r="AG406" s="693">
        <f t="shared" si="114"/>
        <v>0</v>
      </c>
    </row>
    <row r="407">
      <c r="A407" s="846" t="s">
        <v>1175</v>
      </c>
      <c r="B407" s="881"/>
      <c r="C407" s="881"/>
      <c r="D407" s="881"/>
      <c r="E407" s="882"/>
      <c r="F407" s="882"/>
      <c r="G407" s="882"/>
      <c r="H407" s="881"/>
      <c r="I407" s="881"/>
      <c r="J407" s="881"/>
      <c r="K407" s="881"/>
      <c r="L407" s="881"/>
      <c r="M407" s="881"/>
      <c r="N407" s="881"/>
      <c r="O407" s="881"/>
      <c r="P407" s="881"/>
      <c r="Q407" s="881"/>
      <c r="R407" s="881"/>
      <c r="S407" s="881"/>
      <c r="T407" s="881"/>
      <c r="U407" s="881"/>
      <c r="V407" s="881"/>
      <c r="W407" s="881"/>
      <c r="X407" s="881"/>
      <c r="Y407" s="881"/>
      <c r="Z407" s="881"/>
      <c r="AA407" s="881"/>
      <c r="AB407" s="881"/>
      <c r="AC407" s="881"/>
      <c r="AD407" s="881"/>
      <c r="AE407" s="881"/>
      <c r="AF407" s="881"/>
      <c r="AG407" s="848">
        <f t="shared" si="114"/>
        <v>0</v>
      </c>
    </row>
    <row r="408">
      <c r="A408" s="352" t="s">
        <v>1176</v>
      </c>
      <c r="B408" s="342"/>
      <c r="C408" s="342"/>
      <c r="D408" s="342"/>
      <c r="E408" s="771"/>
      <c r="F408" s="771"/>
      <c r="G408" s="771"/>
      <c r="H408" s="342"/>
      <c r="I408" s="342"/>
      <c r="J408" s="342"/>
      <c r="K408" s="342"/>
      <c r="L408" s="342"/>
      <c r="M408" s="342"/>
      <c r="N408" s="342"/>
      <c r="O408" s="342"/>
      <c r="P408" s="342"/>
      <c r="Q408" s="342"/>
      <c r="R408" s="342"/>
      <c r="S408" s="342"/>
      <c r="T408" s="342"/>
      <c r="U408" s="342"/>
      <c r="V408" s="342"/>
      <c r="W408" s="342"/>
      <c r="X408" s="342"/>
      <c r="Y408" s="342"/>
      <c r="Z408" s="342"/>
      <c r="AA408" s="342"/>
      <c r="AB408" s="342"/>
      <c r="AC408" s="342"/>
      <c r="AD408" s="342"/>
      <c r="AE408" s="342"/>
      <c r="AF408" s="342"/>
      <c r="AG408" s="693">
        <f t="shared" si="114"/>
        <v>0</v>
      </c>
    </row>
    <row r="409">
      <c r="A409" s="352" t="s">
        <v>1177</v>
      </c>
      <c r="B409" s="342"/>
      <c r="C409" s="342"/>
      <c r="D409" s="342"/>
      <c r="E409" s="771"/>
      <c r="F409" s="771"/>
      <c r="G409" s="771"/>
      <c r="H409" s="342"/>
      <c r="I409" s="342"/>
      <c r="J409" s="342"/>
      <c r="K409" s="342"/>
      <c r="L409" s="342"/>
      <c r="M409" s="342"/>
      <c r="N409" s="342"/>
      <c r="O409" s="342"/>
      <c r="P409" s="342"/>
      <c r="Q409" s="342"/>
      <c r="R409" s="342"/>
      <c r="S409" s="342"/>
      <c r="T409" s="342"/>
      <c r="U409" s="342"/>
      <c r="V409" s="342"/>
      <c r="W409" s="342"/>
      <c r="X409" s="342"/>
      <c r="Y409" s="342"/>
      <c r="Z409" s="342"/>
      <c r="AA409" s="342"/>
      <c r="AB409" s="342"/>
      <c r="AC409" s="342"/>
      <c r="AD409" s="342"/>
      <c r="AE409" s="342"/>
      <c r="AF409" s="342"/>
      <c r="AG409" s="693">
        <f t="shared" si="114"/>
        <v>0</v>
      </c>
    </row>
    <row r="410">
      <c r="A410" s="352" t="s">
        <v>1178</v>
      </c>
      <c r="B410" s="342"/>
      <c r="C410" s="342"/>
      <c r="D410" s="342"/>
      <c r="E410" s="771"/>
      <c r="F410" s="771"/>
      <c r="G410" s="771"/>
      <c r="H410" s="342"/>
      <c r="I410" s="342"/>
      <c r="J410" s="342"/>
      <c r="K410" s="342"/>
      <c r="L410" s="342"/>
      <c r="M410" s="342"/>
      <c r="N410" s="342"/>
      <c r="O410" s="342"/>
      <c r="P410" s="342"/>
      <c r="Q410" s="342"/>
      <c r="R410" s="342"/>
      <c r="S410" s="342"/>
      <c r="T410" s="342"/>
      <c r="U410" s="342"/>
      <c r="V410" s="342"/>
      <c r="W410" s="342"/>
      <c r="X410" s="342"/>
      <c r="Y410" s="342"/>
      <c r="Z410" s="342"/>
      <c r="AA410" s="342"/>
      <c r="AB410" s="342"/>
      <c r="AC410" s="342"/>
      <c r="AD410" s="342"/>
      <c r="AE410" s="342"/>
      <c r="AF410" s="342"/>
      <c r="AG410" s="693">
        <f t="shared" si="114"/>
        <v>0</v>
      </c>
    </row>
    <row r="411">
      <c r="A411" s="818" t="s">
        <v>180</v>
      </c>
      <c r="B411" s="219">
        <f t="shared" ref="B411:AF411" si="115">SUM(B399,B400,B403,B404,B407,B408)</f>
        <v>1</v>
      </c>
      <c r="C411" s="219">
        <f t="shared" si="115"/>
        <v>6</v>
      </c>
      <c r="D411" s="219">
        <f t="shared" si="115"/>
        <v>0</v>
      </c>
      <c r="E411" s="219">
        <f t="shared" si="115"/>
        <v>0</v>
      </c>
      <c r="F411" s="219">
        <f t="shared" si="115"/>
        <v>0</v>
      </c>
      <c r="G411" s="219">
        <f t="shared" si="115"/>
        <v>0</v>
      </c>
      <c r="H411" s="219">
        <f t="shared" si="115"/>
        <v>1</v>
      </c>
      <c r="I411" s="219">
        <f t="shared" si="115"/>
        <v>4</v>
      </c>
      <c r="J411" s="219">
        <f t="shared" si="115"/>
        <v>1</v>
      </c>
      <c r="K411" s="219">
        <f t="shared" si="115"/>
        <v>0</v>
      </c>
      <c r="L411" s="219">
        <f t="shared" si="115"/>
        <v>0</v>
      </c>
      <c r="M411" s="219">
        <f t="shared" si="115"/>
        <v>0</v>
      </c>
      <c r="N411" s="219">
        <f t="shared" si="115"/>
        <v>0</v>
      </c>
      <c r="O411" s="219">
        <f t="shared" si="115"/>
        <v>1</v>
      </c>
      <c r="P411" s="219">
        <f t="shared" si="115"/>
        <v>0</v>
      </c>
      <c r="Q411" s="219">
        <f t="shared" si="115"/>
        <v>0</v>
      </c>
      <c r="R411" s="219">
        <f t="shared" si="115"/>
        <v>0</v>
      </c>
      <c r="S411" s="219">
        <f t="shared" si="115"/>
        <v>0</v>
      </c>
      <c r="T411" s="219">
        <f t="shared" si="115"/>
        <v>3</v>
      </c>
      <c r="U411" s="219">
        <f t="shared" si="115"/>
        <v>3</v>
      </c>
      <c r="V411" s="219">
        <f t="shared" si="115"/>
        <v>3</v>
      </c>
      <c r="W411" s="219">
        <f t="shared" si="115"/>
        <v>0</v>
      </c>
      <c r="X411" s="219">
        <f t="shared" si="115"/>
        <v>5</v>
      </c>
      <c r="Y411" s="219">
        <f t="shared" si="115"/>
        <v>0</v>
      </c>
      <c r="Z411" s="219">
        <f t="shared" si="115"/>
        <v>0</v>
      </c>
      <c r="AA411" s="219">
        <f t="shared" si="115"/>
        <v>0</v>
      </c>
      <c r="AB411" s="219">
        <f t="shared" si="115"/>
        <v>0</v>
      </c>
      <c r="AC411" s="219">
        <f t="shared" si="115"/>
        <v>2</v>
      </c>
      <c r="AD411" s="219">
        <f t="shared" si="115"/>
        <v>1</v>
      </c>
      <c r="AE411" s="219">
        <f t="shared" si="115"/>
        <v>3</v>
      </c>
      <c r="AF411" s="219">
        <f t="shared" si="115"/>
        <v>0</v>
      </c>
      <c r="AG411" s="693">
        <f t="shared" si="114"/>
        <v>34</v>
      </c>
    </row>
    <row r="412">
      <c r="A412" s="818" t="s">
        <v>185</v>
      </c>
      <c r="B412" s="219">
        <f t="shared" ref="B412:AF412" si="116">SUM(B401,B402,B405,B406,B409,B410)</f>
        <v>0</v>
      </c>
      <c r="C412" s="219">
        <f t="shared" si="116"/>
        <v>4</v>
      </c>
      <c r="D412" s="219">
        <f t="shared" si="116"/>
        <v>1</v>
      </c>
      <c r="E412" s="219">
        <f t="shared" si="116"/>
        <v>0</v>
      </c>
      <c r="F412" s="219">
        <f t="shared" si="116"/>
        <v>1</v>
      </c>
      <c r="G412" s="219">
        <f t="shared" si="116"/>
        <v>0</v>
      </c>
      <c r="H412" s="219">
        <f t="shared" si="116"/>
        <v>0</v>
      </c>
      <c r="I412" s="219">
        <f t="shared" si="116"/>
        <v>7</v>
      </c>
      <c r="J412" s="219">
        <f t="shared" si="116"/>
        <v>0</v>
      </c>
      <c r="K412" s="219">
        <f t="shared" si="116"/>
        <v>0</v>
      </c>
      <c r="L412" s="219">
        <f t="shared" si="116"/>
        <v>0</v>
      </c>
      <c r="M412" s="219">
        <f t="shared" si="116"/>
        <v>0</v>
      </c>
      <c r="N412" s="219">
        <f t="shared" si="116"/>
        <v>1</v>
      </c>
      <c r="O412" s="219">
        <f t="shared" si="116"/>
        <v>4</v>
      </c>
      <c r="P412" s="219">
        <f t="shared" si="116"/>
        <v>1</v>
      </c>
      <c r="Q412" s="219">
        <f t="shared" si="116"/>
        <v>1</v>
      </c>
      <c r="R412" s="219">
        <f t="shared" si="116"/>
        <v>1</v>
      </c>
      <c r="S412" s="219">
        <f t="shared" si="116"/>
        <v>0</v>
      </c>
      <c r="T412" s="219">
        <f t="shared" si="116"/>
        <v>10</v>
      </c>
      <c r="U412" s="219">
        <f t="shared" si="116"/>
        <v>6</v>
      </c>
      <c r="V412" s="219">
        <f t="shared" si="116"/>
        <v>5</v>
      </c>
      <c r="W412" s="219">
        <f t="shared" si="116"/>
        <v>2</v>
      </c>
      <c r="X412" s="219">
        <f t="shared" si="116"/>
        <v>7</v>
      </c>
      <c r="Y412" s="219">
        <f t="shared" si="116"/>
        <v>0</v>
      </c>
      <c r="Z412" s="219">
        <f t="shared" si="116"/>
        <v>0</v>
      </c>
      <c r="AA412" s="219">
        <f t="shared" si="116"/>
        <v>0</v>
      </c>
      <c r="AB412" s="219">
        <f t="shared" si="116"/>
        <v>1</v>
      </c>
      <c r="AC412" s="219">
        <f t="shared" si="116"/>
        <v>1</v>
      </c>
      <c r="AD412" s="219">
        <f t="shared" si="116"/>
        <v>0</v>
      </c>
      <c r="AE412" s="219">
        <f t="shared" si="116"/>
        <v>1</v>
      </c>
      <c r="AF412" s="219">
        <f t="shared" si="116"/>
        <v>0</v>
      </c>
      <c r="AG412" s="693">
        <f t="shared" si="114"/>
        <v>54</v>
      </c>
    </row>
    <row r="413">
      <c r="A413" s="25"/>
      <c r="B413" s="758"/>
      <c r="C413" s="758"/>
      <c r="D413" s="758"/>
      <c r="E413" s="758"/>
      <c r="F413" s="758"/>
      <c r="G413" s="758"/>
      <c r="H413" s="758"/>
      <c r="I413" s="758"/>
      <c r="J413" s="758"/>
      <c r="K413" s="758"/>
      <c r="L413" s="758"/>
      <c r="M413" s="758"/>
      <c r="N413" s="758"/>
      <c r="O413" s="758"/>
      <c r="P413" s="758"/>
      <c r="Q413" s="758"/>
      <c r="R413" s="758"/>
      <c r="S413" s="758"/>
      <c r="T413" s="758"/>
      <c r="U413" s="758"/>
      <c r="V413" s="758"/>
      <c r="W413" s="758"/>
      <c r="X413" s="758"/>
      <c r="Y413" s="758"/>
      <c r="Z413" s="758"/>
      <c r="AA413" s="758"/>
      <c r="AB413" s="758"/>
      <c r="AC413" s="758"/>
      <c r="AD413" s="758"/>
      <c r="AE413" s="758"/>
      <c r="AF413" s="758"/>
      <c r="AG413" s="453"/>
    </row>
    <row r="414">
      <c r="A414" s="352" t="s">
        <v>1028</v>
      </c>
      <c r="B414" s="114">
        <v>0.0</v>
      </c>
      <c r="C414" s="114">
        <v>1.0</v>
      </c>
      <c r="D414" s="114">
        <v>0.0</v>
      </c>
      <c r="E414" s="114">
        <v>0.0</v>
      </c>
      <c r="F414" s="114">
        <v>1.0</v>
      </c>
      <c r="G414" s="114">
        <v>0.0</v>
      </c>
      <c r="H414" s="114">
        <v>1.0</v>
      </c>
      <c r="I414" s="114">
        <v>4.0</v>
      </c>
      <c r="J414" s="114">
        <v>0.0</v>
      </c>
      <c r="K414" s="114">
        <v>0.0</v>
      </c>
      <c r="L414" s="114">
        <v>0.0</v>
      </c>
      <c r="M414" s="114">
        <v>0.0</v>
      </c>
      <c r="N414" s="114">
        <v>0.0</v>
      </c>
      <c r="O414" s="114">
        <v>1.0</v>
      </c>
      <c r="P414" s="114">
        <v>1.0</v>
      </c>
      <c r="Q414" s="114">
        <v>0.0</v>
      </c>
      <c r="R414" s="114">
        <v>1.0</v>
      </c>
      <c r="S414" s="114">
        <v>0.0</v>
      </c>
      <c r="T414" s="114">
        <v>4.0</v>
      </c>
      <c r="U414" s="114">
        <v>2.0</v>
      </c>
      <c r="V414" s="114">
        <v>2.0</v>
      </c>
      <c r="W414" s="114">
        <v>1.0</v>
      </c>
      <c r="X414" s="114">
        <v>5.0</v>
      </c>
      <c r="Y414" s="114">
        <v>0.0</v>
      </c>
      <c r="Z414" s="114">
        <v>0.0</v>
      </c>
      <c r="AA414" s="114">
        <v>0.0</v>
      </c>
      <c r="AB414" s="114">
        <v>0.0</v>
      </c>
      <c r="AC414" s="114">
        <v>1.0</v>
      </c>
      <c r="AD414" s="114">
        <v>0.0</v>
      </c>
      <c r="AE414" s="114">
        <v>2.0</v>
      </c>
      <c r="AF414" s="114"/>
      <c r="AG414" s="693">
        <f t="shared" ref="AG414:AG423" si="117">SUM(B414:AF414)</f>
        <v>27</v>
      </c>
    </row>
    <row r="415">
      <c r="A415" s="352" t="s">
        <v>1029</v>
      </c>
      <c r="B415" s="777"/>
      <c r="C415" s="777"/>
      <c r="D415" s="777"/>
      <c r="E415" s="777"/>
      <c r="F415" s="777"/>
      <c r="G415" s="448"/>
      <c r="H415" s="448"/>
      <c r="I415" s="448"/>
      <c r="J415" s="448"/>
      <c r="K415" s="448"/>
      <c r="L415" s="448"/>
      <c r="M415" s="448"/>
      <c r="N415" s="448"/>
      <c r="O415" s="448"/>
      <c r="P415" s="448"/>
      <c r="Q415" s="448"/>
      <c r="R415" s="448"/>
      <c r="S415" s="448"/>
      <c r="T415" s="448"/>
      <c r="U415" s="448"/>
      <c r="V415" s="448"/>
      <c r="W415" s="777"/>
      <c r="X415" s="448"/>
      <c r="Y415" s="448"/>
      <c r="Z415" s="448"/>
      <c r="AA415" s="448"/>
      <c r="AB415" s="448"/>
      <c r="AC415" s="448"/>
      <c r="AD415" s="448"/>
      <c r="AE415" s="448"/>
      <c r="AF415" s="448"/>
      <c r="AG415" s="693">
        <f t="shared" si="117"/>
        <v>0</v>
      </c>
    </row>
    <row r="416">
      <c r="A416" s="352" t="s">
        <v>1030</v>
      </c>
      <c r="B416" s="114">
        <v>0.0</v>
      </c>
      <c r="C416" s="114">
        <v>1.0</v>
      </c>
      <c r="D416" s="114">
        <v>0.0</v>
      </c>
      <c r="E416" s="114">
        <v>0.0</v>
      </c>
      <c r="F416" s="114">
        <v>1.0</v>
      </c>
      <c r="G416" s="114">
        <v>0.0</v>
      </c>
      <c r="H416" s="114">
        <v>0.0</v>
      </c>
      <c r="I416" s="114">
        <v>6.0</v>
      </c>
      <c r="J416" s="114">
        <v>0.0</v>
      </c>
      <c r="K416" s="114">
        <v>0.0</v>
      </c>
      <c r="L416" s="114">
        <v>0.0</v>
      </c>
      <c r="M416" s="114">
        <v>0.0</v>
      </c>
      <c r="N416" s="114">
        <v>0.0</v>
      </c>
      <c r="O416" s="114">
        <v>1.0</v>
      </c>
      <c r="P416" s="114">
        <v>0.0</v>
      </c>
      <c r="Q416" s="114">
        <v>1.0</v>
      </c>
      <c r="R416" s="114">
        <v>1.0</v>
      </c>
      <c r="S416" s="114">
        <v>0.0</v>
      </c>
      <c r="T416" s="114">
        <v>5.0</v>
      </c>
      <c r="U416" s="114">
        <v>3.0</v>
      </c>
      <c r="V416" s="114">
        <v>3.0</v>
      </c>
      <c r="W416" s="114">
        <v>1.0</v>
      </c>
      <c r="X416" s="114">
        <v>7.0</v>
      </c>
      <c r="Y416" s="114">
        <v>0.0</v>
      </c>
      <c r="Z416" s="114">
        <v>0.0</v>
      </c>
      <c r="AA416" s="114">
        <v>0.0</v>
      </c>
      <c r="AB416" s="114">
        <v>0.0</v>
      </c>
      <c r="AC416" s="114">
        <v>1.0</v>
      </c>
      <c r="AD416" s="114">
        <v>0.0</v>
      </c>
      <c r="AE416" s="114">
        <v>1.0</v>
      </c>
      <c r="AF416" s="114"/>
      <c r="AG416" s="693">
        <f t="shared" si="117"/>
        <v>32</v>
      </c>
    </row>
    <row r="417">
      <c r="A417" s="352" t="s">
        <v>1179</v>
      </c>
      <c r="B417" s="114">
        <v>0.0</v>
      </c>
      <c r="C417" s="114">
        <v>0.0</v>
      </c>
      <c r="D417" s="114">
        <v>1.0</v>
      </c>
      <c r="E417" s="114">
        <v>0.0</v>
      </c>
      <c r="F417" s="114">
        <v>0.0</v>
      </c>
      <c r="G417" s="114">
        <v>0.0</v>
      </c>
      <c r="H417" s="114">
        <v>0.0</v>
      </c>
      <c r="I417" s="114">
        <v>1.0</v>
      </c>
      <c r="J417" s="114">
        <v>0.0</v>
      </c>
      <c r="K417" s="114">
        <v>0.0</v>
      </c>
      <c r="L417" s="114">
        <v>0.0</v>
      </c>
      <c r="M417" s="114">
        <v>0.0</v>
      </c>
      <c r="N417" s="114">
        <v>0.0</v>
      </c>
      <c r="O417" s="114">
        <v>0.0</v>
      </c>
      <c r="P417" s="114">
        <v>0.0</v>
      </c>
      <c r="Q417" s="114">
        <v>0.0</v>
      </c>
      <c r="R417" s="114">
        <v>0.0</v>
      </c>
      <c r="S417" s="114">
        <v>0.0</v>
      </c>
      <c r="T417" s="114">
        <v>0.0</v>
      </c>
      <c r="U417" s="114">
        <v>0.0</v>
      </c>
      <c r="V417" s="114">
        <v>0.0</v>
      </c>
      <c r="W417" s="114">
        <v>0.0</v>
      </c>
      <c r="X417" s="114">
        <v>2.0</v>
      </c>
      <c r="Y417" s="114">
        <v>0.0</v>
      </c>
      <c r="Z417" s="114">
        <v>0.0</v>
      </c>
      <c r="AA417" s="114">
        <v>0.0</v>
      </c>
      <c r="AB417" s="114">
        <v>0.0</v>
      </c>
      <c r="AC417" s="114">
        <v>0.0</v>
      </c>
      <c r="AD417" s="114">
        <v>0.0</v>
      </c>
      <c r="AE417" s="114">
        <v>0.0</v>
      </c>
      <c r="AF417" s="114"/>
      <c r="AG417" s="693">
        <f t="shared" si="117"/>
        <v>4</v>
      </c>
    </row>
    <row r="418">
      <c r="A418" s="352" t="s">
        <v>1180</v>
      </c>
      <c r="B418" s="114">
        <v>0.0</v>
      </c>
      <c r="C418" s="114">
        <v>1.0</v>
      </c>
      <c r="D418" s="114">
        <v>0.0</v>
      </c>
      <c r="E418" s="114">
        <v>0.0</v>
      </c>
      <c r="F418" s="114">
        <v>0.0</v>
      </c>
      <c r="G418" s="114">
        <v>0.0</v>
      </c>
      <c r="H418" s="114">
        <v>0.0</v>
      </c>
      <c r="I418" s="114">
        <v>2.0</v>
      </c>
      <c r="J418" s="114">
        <v>0.0</v>
      </c>
      <c r="K418" s="114">
        <v>0.0</v>
      </c>
      <c r="L418" s="114">
        <v>0.0</v>
      </c>
      <c r="M418" s="114">
        <v>0.0</v>
      </c>
      <c r="N418" s="114">
        <v>0.0</v>
      </c>
      <c r="O418" s="114">
        <v>0.0</v>
      </c>
      <c r="P418" s="114">
        <v>0.0</v>
      </c>
      <c r="Q418" s="114">
        <v>0.0</v>
      </c>
      <c r="R418" s="114">
        <v>0.0</v>
      </c>
      <c r="S418" s="114">
        <v>0.0</v>
      </c>
      <c r="T418" s="114">
        <v>0.0</v>
      </c>
      <c r="U418" s="114">
        <v>0.0</v>
      </c>
      <c r="V418" s="114">
        <v>0.0</v>
      </c>
      <c r="W418" s="114">
        <v>0.0</v>
      </c>
      <c r="X418" s="114">
        <v>3.0</v>
      </c>
      <c r="Y418" s="114">
        <v>0.0</v>
      </c>
      <c r="Z418" s="114">
        <v>0.0</v>
      </c>
      <c r="AA418" s="114">
        <v>0.0</v>
      </c>
      <c r="AB418" s="114">
        <v>0.0</v>
      </c>
      <c r="AC418" s="114">
        <v>0.0</v>
      </c>
      <c r="AD418" s="114">
        <v>0.0</v>
      </c>
      <c r="AE418" s="114">
        <v>0.0</v>
      </c>
      <c r="AF418" s="114"/>
      <c r="AG418" s="693">
        <f t="shared" si="117"/>
        <v>6</v>
      </c>
    </row>
    <row r="419">
      <c r="A419" s="352" t="s">
        <v>1182</v>
      </c>
      <c r="B419" s="114">
        <v>0.0</v>
      </c>
      <c r="C419" s="114">
        <v>0.0</v>
      </c>
      <c r="D419" s="114">
        <v>0.0</v>
      </c>
      <c r="E419" s="114">
        <v>0.0</v>
      </c>
      <c r="F419" s="114">
        <v>0.0</v>
      </c>
      <c r="G419" s="114">
        <v>0.0</v>
      </c>
      <c r="H419" s="114">
        <v>0.0</v>
      </c>
      <c r="I419" s="114">
        <v>0.0</v>
      </c>
      <c r="J419" s="114">
        <v>0.0</v>
      </c>
      <c r="K419" s="114">
        <v>0.0</v>
      </c>
      <c r="L419" s="114">
        <v>0.0</v>
      </c>
      <c r="M419" s="114">
        <v>1.0</v>
      </c>
      <c r="N419" s="114">
        <v>1.0</v>
      </c>
      <c r="O419" s="114">
        <v>0.0</v>
      </c>
      <c r="P419" s="114">
        <v>0.0</v>
      </c>
      <c r="Q419" s="114">
        <v>0.0</v>
      </c>
      <c r="R419" s="114">
        <v>0.0</v>
      </c>
      <c r="S419" s="114">
        <v>0.0</v>
      </c>
      <c r="T419" s="114">
        <v>0.0</v>
      </c>
      <c r="U419" s="114">
        <v>1.0</v>
      </c>
      <c r="V419" s="114">
        <v>1.0</v>
      </c>
      <c r="W419" s="114">
        <v>0.0</v>
      </c>
      <c r="X419" s="114">
        <v>0.0</v>
      </c>
      <c r="Y419" s="114">
        <v>0.0</v>
      </c>
      <c r="Z419" s="114">
        <v>0.0</v>
      </c>
      <c r="AA419" s="114">
        <v>0.0</v>
      </c>
      <c r="AB419" s="114">
        <v>0.0</v>
      </c>
      <c r="AC419" s="114">
        <v>0.0</v>
      </c>
      <c r="AD419" s="114">
        <v>0.0</v>
      </c>
      <c r="AE419" s="114">
        <v>0.0</v>
      </c>
      <c r="AF419" s="114"/>
      <c r="AG419" s="693">
        <f t="shared" si="117"/>
        <v>4</v>
      </c>
    </row>
    <row r="420">
      <c r="A420" s="352" t="s">
        <v>1183</v>
      </c>
      <c r="B420" s="114">
        <v>0.0</v>
      </c>
      <c r="C420" s="114">
        <v>0.0</v>
      </c>
      <c r="D420" s="114">
        <v>0.0</v>
      </c>
      <c r="E420" s="114">
        <v>0.0</v>
      </c>
      <c r="F420" s="114">
        <v>0.0</v>
      </c>
      <c r="G420" s="114">
        <v>0.0</v>
      </c>
      <c r="H420" s="114">
        <v>0.0</v>
      </c>
      <c r="I420" s="114">
        <v>0.0</v>
      </c>
      <c r="J420" s="114">
        <v>0.0</v>
      </c>
      <c r="K420" s="114">
        <v>0.0</v>
      </c>
      <c r="L420" s="114">
        <v>0.0</v>
      </c>
      <c r="M420" s="114">
        <v>0.0</v>
      </c>
      <c r="N420" s="114">
        <v>0.0</v>
      </c>
      <c r="O420" s="114">
        <v>0.0</v>
      </c>
      <c r="P420" s="114">
        <v>0.0</v>
      </c>
      <c r="Q420" s="114">
        <v>0.0</v>
      </c>
      <c r="R420" s="114">
        <v>0.0</v>
      </c>
      <c r="S420" s="114">
        <v>0.0</v>
      </c>
      <c r="T420" s="114">
        <v>1.0</v>
      </c>
      <c r="U420" s="114">
        <v>0.0</v>
      </c>
      <c r="V420" s="114">
        <v>0.0</v>
      </c>
      <c r="W420" s="114">
        <v>0.0</v>
      </c>
      <c r="X420" s="114">
        <v>0.0</v>
      </c>
      <c r="Y420" s="114">
        <v>0.0</v>
      </c>
      <c r="Z420" s="114">
        <v>0.0</v>
      </c>
      <c r="AA420" s="114">
        <v>0.0</v>
      </c>
      <c r="AB420" s="114">
        <v>0.0</v>
      </c>
      <c r="AC420" s="114">
        <v>0.0</v>
      </c>
      <c r="AD420" s="114">
        <v>0.0</v>
      </c>
      <c r="AE420" s="114">
        <v>0.0</v>
      </c>
      <c r="AF420" s="114"/>
      <c r="AG420" s="693">
        <f t="shared" si="117"/>
        <v>1</v>
      </c>
    </row>
    <row r="421">
      <c r="A421" s="352" t="s">
        <v>1184</v>
      </c>
      <c r="B421" s="114">
        <v>0.0</v>
      </c>
      <c r="C421" s="114">
        <v>0.0</v>
      </c>
      <c r="D421" s="114">
        <v>0.0</v>
      </c>
      <c r="E421" s="114">
        <v>0.0</v>
      </c>
      <c r="F421" s="114">
        <v>0.0</v>
      </c>
      <c r="G421" s="114">
        <v>0.0</v>
      </c>
      <c r="H421" s="114">
        <v>0.0</v>
      </c>
      <c r="I421" s="114">
        <v>2.0</v>
      </c>
      <c r="J421" s="114">
        <v>0.0</v>
      </c>
      <c r="K421" s="114">
        <v>0.0</v>
      </c>
      <c r="L421" s="114">
        <v>0.0</v>
      </c>
      <c r="M421" s="114">
        <v>0.0</v>
      </c>
      <c r="N421" s="114">
        <v>0.0</v>
      </c>
      <c r="O421" s="114">
        <v>0.0</v>
      </c>
      <c r="P421" s="114">
        <v>0.0</v>
      </c>
      <c r="Q421" s="114">
        <v>0.0</v>
      </c>
      <c r="R421" s="114">
        <v>0.0</v>
      </c>
      <c r="S421" s="114">
        <v>1.0</v>
      </c>
      <c r="T421" s="114">
        <v>1.0</v>
      </c>
      <c r="U421" s="114">
        <v>1.0</v>
      </c>
      <c r="V421" s="114">
        <v>2.0</v>
      </c>
      <c r="W421" s="114">
        <v>1.0</v>
      </c>
      <c r="X421" s="114">
        <v>0.0</v>
      </c>
      <c r="Y421" s="114">
        <v>0.0</v>
      </c>
      <c r="Z421" s="114">
        <v>0.0</v>
      </c>
      <c r="AA421" s="114">
        <v>0.0</v>
      </c>
      <c r="AB421" s="114">
        <v>1.0</v>
      </c>
      <c r="AC421" s="114">
        <v>0.0</v>
      </c>
      <c r="AD421" s="114">
        <v>0.0</v>
      </c>
      <c r="AE421" s="114">
        <v>0.0</v>
      </c>
      <c r="AF421" s="114"/>
      <c r="AG421" s="693">
        <f t="shared" si="117"/>
        <v>9</v>
      </c>
    </row>
    <row r="422">
      <c r="A422" s="352" t="s">
        <v>1185</v>
      </c>
      <c r="B422" s="114">
        <v>0.0</v>
      </c>
      <c r="C422" s="114">
        <v>0.0</v>
      </c>
      <c r="D422" s="114">
        <v>0.0</v>
      </c>
      <c r="E422" s="114">
        <v>0.0</v>
      </c>
      <c r="F422" s="114">
        <v>0.0</v>
      </c>
      <c r="G422" s="114">
        <v>0.0</v>
      </c>
      <c r="H422" s="114">
        <v>0.0</v>
      </c>
      <c r="I422" s="114">
        <v>2.0</v>
      </c>
      <c r="J422" s="114">
        <v>0.0</v>
      </c>
      <c r="K422" s="114">
        <v>0.0</v>
      </c>
      <c r="L422" s="114">
        <v>0.0</v>
      </c>
      <c r="M422" s="114">
        <v>0.0</v>
      </c>
      <c r="N422" s="114">
        <v>0.0</v>
      </c>
      <c r="O422" s="114">
        <v>0.0</v>
      </c>
      <c r="P422" s="114">
        <v>0.0</v>
      </c>
      <c r="Q422" s="114">
        <v>0.0</v>
      </c>
      <c r="R422" s="114">
        <v>0.0</v>
      </c>
      <c r="S422" s="114">
        <v>0.0</v>
      </c>
      <c r="T422" s="114">
        <v>1.0</v>
      </c>
      <c r="U422" s="114">
        <v>0.0</v>
      </c>
      <c r="V422" s="114">
        <v>0.0</v>
      </c>
      <c r="W422" s="114">
        <v>0.0</v>
      </c>
      <c r="X422" s="114">
        <v>0.0</v>
      </c>
      <c r="Y422" s="114">
        <v>0.0</v>
      </c>
      <c r="Z422" s="114">
        <v>0.0</v>
      </c>
      <c r="AA422" s="114">
        <v>0.0</v>
      </c>
      <c r="AB422" s="114">
        <v>0.0</v>
      </c>
      <c r="AC422" s="114">
        <v>0.0</v>
      </c>
      <c r="AD422" s="114">
        <v>0.0</v>
      </c>
      <c r="AE422" s="114">
        <v>0.0</v>
      </c>
      <c r="AF422" s="114"/>
      <c r="AG422" s="693">
        <f t="shared" si="117"/>
        <v>3</v>
      </c>
    </row>
    <row r="423">
      <c r="A423" s="836" t="s">
        <v>602</v>
      </c>
      <c r="B423" s="219">
        <f t="shared" ref="B423:AF423" si="118">SUM(B414:B422)</f>
        <v>0</v>
      </c>
      <c r="C423" s="219">
        <f t="shared" si="118"/>
        <v>3</v>
      </c>
      <c r="D423" s="219">
        <f t="shared" si="118"/>
        <v>1</v>
      </c>
      <c r="E423" s="219">
        <f t="shared" si="118"/>
        <v>0</v>
      </c>
      <c r="F423" s="219">
        <f t="shared" si="118"/>
        <v>2</v>
      </c>
      <c r="G423" s="219">
        <f t="shared" si="118"/>
        <v>0</v>
      </c>
      <c r="H423" s="219">
        <f t="shared" si="118"/>
        <v>1</v>
      </c>
      <c r="I423" s="219">
        <f t="shared" si="118"/>
        <v>17</v>
      </c>
      <c r="J423" s="219">
        <f t="shared" si="118"/>
        <v>0</v>
      </c>
      <c r="K423" s="219">
        <f t="shared" si="118"/>
        <v>0</v>
      </c>
      <c r="L423" s="219">
        <f t="shared" si="118"/>
        <v>0</v>
      </c>
      <c r="M423" s="219">
        <f t="shared" si="118"/>
        <v>1</v>
      </c>
      <c r="N423" s="219">
        <f t="shared" si="118"/>
        <v>1</v>
      </c>
      <c r="O423" s="219">
        <f t="shared" si="118"/>
        <v>2</v>
      </c>
      <c r="P423" s="219">
        <f t="shared" si="118"/>
        <v>1</v>
      </c>
      <c r="Q423" s="219">
        <f t="shared" si="118"/>
        <v>1</v>
      </c>
      <c r="R423" s="219">
        <f t="shared" si="118"/>
        <v>2</v>
      </c>
      <c r="S423" s="219">
        <f t="shared" si="118"/>
        <v>1</v>
      </c>
      <c r="T423" s="219">
        <f t="shared" si="118"/>
        <v>12</v>
      </c>
      <c r="U423" s="219">
        <f t="shared" si="118"/>
        <v>7</v>
      </c>
      <c r="V423" s="219">
        <f t="shared" si="118"/>
        <v>8</v>
      </c>
      <c r="W423" s="219">
        <f t="shared" si="118"/>
        <v>3</v>
      </c>
      <c r="X423" s="219">
        <f t="shared" si="118"/>
        <v>17</v>
      </c>
      <c r="Y423" s="219">
        <f t="shared" si="118"/>
        <v>0</v>
      </c>
      <c r="Z423" s="219">
        <f t="shared" si="118"/>
        <v>0</v>
      </c>
      <c r="AA423" s="219">
        <f t="shared" si="118"/>
        <v>0</v>
      </c>
      <c r="AB423" s="219">
        <f t="shared" si="118"/>
        <v>1</v>
      </c>
      <c r="AC423" s="219">
        <f t="shared" si="118"/>
        <v>2</v>
      </c>
      <c r="AD423" s="219">
        <f t="shared" si="118"/>
        <v>0</v>
      </c>
      <c r="AE423" s="219">
        <f t="shared" si="118"/>
        <v>3</v>
      </c>
      <c r="AF423" s="219">
        <f t="shared" si="118"/>
        <v>0</v>
      </c>
      <c r="AG423" s="693">
        <f t="shared" si="117"/>
        <v>86</v>
      </c>
    </row>
    <row r="424">
      <c r="A424" s="25"/>
      <c r="B424" s="758"/>
      <c r="C424" s="758"/>
      <c r="D424" s="758"/>
      <c r="E424" s="758"/>
      <c r="F424" s="758"/>
      <c r="G424" s="758"/>
      <c r="H424" s="758"/>
      <c r="I424" s="758"/>
      <c r="J424" s="758"/>
      <c r="K424" s="758"/>
      <c r="L424" s="758"/>
      <c r="M424" s="758"/>
      <c r="N424" s="758"/>
      <c r="O424" s="758"/>
      <c r="P424" s="758"/>
      <c r="Q424" s="758"/>
      <c r="R424" s="758"/>
      <c r="S424" s="758"/>
      <c r="T424" s="758"/>
      <c r="U424" s="758"/>
      <c r="V424" s="758"/>
      <c r="W424" s="758"/>
      <c r="X424" s="758"/>
      <c r="Y424" s="758"/>
      <c r="Z424" s="695" t="s">
        <v>327</v>
      </c>
      <c r="AA424" s="758"/>
      <c r="AB424" s="758"/>
      <c r="AC424" s="758"/>
      <c r="AD424" s="758"/>
      <c r="AE424" s="758"/>
      <c r="AF424" s="758"/>
      <c r="AG424" s="453"/>
    </row>
    <row r="425">
      <c r="A425" s="352" t="s">
        <v>1038</v>
      </c>
      <c r="B425" s="114">
        <v>0.0</v>
      </c>
      <c r="C425" s="114">
        <v>0.0</v>
      </c>
      <c r="D425" s="114">
        <v>0.0</v>
      </c>
      <c r="E425" s="114">
        <v>0.0</v>
      </c>
      <c r="F425" s="114">
        <v>0.0</v>
      </c>
      <c r="G425" s="114">
        <v>0.0</v>
      </c>
      <c r="H425" s="114">
        <v>0.0</v>
      </c>
      <c r="I425" s="114">
        <v>0.0</v>
      </c>
      <c r="J425" s="114">
        <v>0.0</v>
      </c>
      <c r="K425" s="114">
        <v>0.0</v>
      </c>
      <c r="L425" s="114">
        <v>0.0</v>
      </c>
      <c r="M425" s="114">
        <v>0.0</v>
      </c>
      <c r="N425" s="114">
        <v>0.0</v>
      </c>
      <c r="O425" s="114">
        <v>1.0</v>
      </c>
      <c r="P425" s="114">
        <v>0.0</v>
      </c>
      <c r="Q425" s="114">
        <v>0.0</v>
      </c>
      <c r="R425" s="114">
        <v>0.0</v>
      </c>
      <c r="S425" s="114">
        <v>0.0</v>
      </c>
      <c r="T425" s="114">
        <v>0.0</v>
      </c>
      <c r="U425" s="114">
        <v>1.0</v>
      </c>
      <c r="V425" s="114">
        <v>0.0</v>
      </c>
      <c r="W425" s="114">
        <v>0.0</v>
      </c>
      <c r="X425" s="114">
        <v>0.0</v>
      </c>
      <c r="Y425" s="114">
        <v>0.0</v>
      </c>
      <c r="Z425" s="114">
        <v>0.0</v>
      </c>
      <c r="AA425" s="114">
        <v>0.0</v>
      </c>
      <c r="AB425" s="114">
        <v>0.0</v>
      </c>
      <c r="AC425" s="114">
        <v>0.0</v>
      </c>
      <c r="AD425" s="114">
        <v>0.0</v>
      </c>
      <c r="AE425" s="114">
        <v>0.0</v>
      </c>
      <c r="AF425" s="114"/>
      <c r="AG425" s="693">
        <f t="shared" ref="AG425:AG434" si="119">SUM(B425:AF425)</f>
        <v>2</v>
      </c>
    </row>
    <row r="426">
      <c r="A426" s="352" t="s">
        <v>1040</v>
      </c>
      <c r="B426" s="777"/>
      <c r="C426" s="777"/>
      <c r="D426" s="777"/>
      <c r="E426" s="777"/>
      <c r="F426" s="777"/>
      <c r="G426" s="777"/>
      <c r="H426" s="777"/>
      <c r="I426" s="777"/>
      <c r="J426" s="448"/>
      <c r="K426" s="448"/>
      <c r="L426" s="448"/>
      <c r="M426" s="448"/>
      <c r="N426" s="448"/>
      <c r="O426" s="448"/>
      <c r="P426" s="448"/>
      <c r="Q426" s="448"/>
      <c r="R426" s="448"/>
      <c r="S426" s="448"/>
      <c r="T426" s="448"/>
      <c r="U426" s="448"/>
      <c r="V426" s="448"/>
      <c r="W426" s="448"/>
      <c r="X426" s="448"/>
      <c r="Y426" s="448"/>
      <c r="Z426" s="448"/>
      <c r="AA426" s="448"/>
      <c r="AB426" s="448"/>
      <c r="AC426" s="448"/>
      <c r="AD426" s="448"/>
      <c r="AE426" s="448"/>
      <c r="AF426" s="448"/>
      <c r="AG426" s="693">
        <f t="shared" si="119"/>
        <v>0</v>
      </c>
    </row>
    <row r="427">
      <c r="A427" s="352" t="s">
        <v>1042</v>
      </c>
      <c r="B427" s="114">
        <v>0.0</v>
      </c>
      <c r="C427" s="114">
        <v>0.0</v>
      </c>
      <c r="D427" s="114">
        <v>0.0</v>
      </c>
      <c r="E427" s="114">
        <v>0.0</v>
      </c>
      <c r="F427" s="114">
        <v>0.0</v>
      </c>
      <c r="G427" s="114">
        <v>0.0</v>
      </c>
      <c r="H427" s="114">
        <v>0.0</v>
      </c>
      <c r="I427" s="114">
        <v>0.0</v>
      </c>
      <c r="J427" s="114">
        <v>0.0</v>
      </c>
      <c r="K427" s="114">
        <v>0.0</v>
      </c>
      <c r="L427" s="114">
        <v>0.0</v>
      </c>
      <c r="M427" s="114">
        <v>0.0</v>
      </c>
      <c r="N427" s="114">
        <v>0.0</v>
      </c>
      <c r="O427" s="114">
        <v>0.0</v>
      </c>
      <c r="P427" s="114">
        <v>0.0</v>
      </c>
      <c r="Q427" s="114">
        <v>0.0</v>
      </c>
      <c r="R427" s="114">
        <v>0.0</v>
      </c>
      <c r="S427" s="114">
        <v>0.0</v>
      </c>
      <c r="T427" s="114">
        <v>0.0</v>
      </c>
      <c r="U427" s="114">
        <v>1.0</v>
      </c>
      <c r="V427" s="114">
        <v>0.0</v>
      </c>
      <c r="W427" s="114">
        <v>0.0</v>
      </c>
      <c r="X427" s="114">
        <v>0.0</v>
      </c>
      <c r="Y427" s="114">
        <v>0.0</v>
      </c>
      <c r="Z427" s="114">
        <v>0.0</v>
      </c>
      <c r="AA427" s="114">
        <v>0.0</v>
      </c>
      <c r="AB427" s="114">
        <v>0.0</v>
      </c>
      <c r="AC427" s="114">
        <v>0.0</v>
      </c>
      <c r="AD427" s="114">
        <v>0.0</v>
      </c>
      <c r="AE427" s="114">
        <v>0.0</v>
      </c>
      <c r="AF427" s="114"/>
      <c r="AG427" s="693">
        <f t="shared" si="119"/>
        <v>1</v>
      </c>
    </row>
    <row r="428">
      <c r="A428" s="352" t="s">
        <v>1188</v>
      </c>
      <c r="B428" s="114">
        <v>0.0</v>
      </c>
      <c r="C428" s="114">
        <v>0.0</v>
      </c>
      <c r="D428" s="114">
        <v>0.0</v>
      </c>
      <c r="E428" s="114">
        <v>0.0</v>
      </c>
      <c r="F428" s="114">
        <v>0.0</v>
      </c>
      <c r="G428" s="114">
        <v>0.0</v>
      </c>
      <c r="H428" s="114">
        <v>0.0</v>
      </c>
      <c r="I428" s="114">
        <v>0.0</v>
      </c>
      <c r="J428" s="114">
        <v>0.0</v>
      </c>
      <c r="K428" s="114">
        <v>0.0</v>
      </c>
      <c r="L428" s="114">
        <v>0.0</v>
      </c>
      <c r="M428" s="114">
        <v>0.0</v>
      </c>
      <c r="N428" s="114">
        <v>0.0</v>
      </c>
      <c r="O428" s="114">
        <v>1.0</v>
      </c>
      <c r="P428" s="114">
        <v>0.0</v>
      </c>
      <c r="Q428" s="114">
        <v>0.0</v>
      </c>
      <c r="R428" s="114">
        <v>0.0</v>
      </c>
      <c r="S428" s="114">
        <v>0.0</v>
      </c>
      <c r="T428" s="114">
        <v>0.0</v>
      </c>
      <c r="U428" s="114">
        <v>0.0</v>
      </c>
      <c r="V428" s="114">
        <v>0.0</v>
      </c>
      <c r="W428" s="114">
        <v>0.0</v>
      </c>
      <c r="X428" s="114">
        <v>0.0</v>
      </c>
      <c r="Y428" s="114">
        <v>0.0</v>
      </c>
      <c r="Z428" s="114">
        <v>0.0</v>
      </c>
      <c r="AA428" s="114">
        <v>0.0</v>
      </c>
      <c r="AB428" s="114">
        <v>0.0</v>
      </c>
      <c r="AC428" s="114">
        <v>0.0</v>
      </c>
      <c r="AD428" s="114">
        <v>0.0</v>
      </c>
      <c r="AE428" s="114">
        <v>0.0</v>
      </c>
      <c r="AF428" s="114"/>
      <c r="AG428" s="693">
        <f t="shared" si="119"/>
        <v>1</v>
      </c>
    </row>
    <row r="429">
      <c r="A429" s="352" t="s">
        <v>1189</v>
      </c>
      <c r="B429" s="114">
        <v>0.0</v>
      </c>
      <c r="C429" s="114">
        <v>0.0</v>
      </c>
      <c r="D429" s="114">
        <v>0.0</v>
      </c>
      <c r="E429" s="114">
        <v>0.0</v>
      </c>
      <c r="F429" s="114">
        <v>0.0</v>
      </c>
      <c r="G429" s="114">
        <v>0.0</v>
      </c>
      <c r="H429" s="114">
        <v>0.0</v>
      </c>
      <c r="I429" s="114">
        <v>0.0</v>
      </c>
      <c r="J429" s="114">
        <v>0.0</v>
      </c>
      <c r="K429" s="114">
        <v>0.0</v>
      </c>
      <c r="L429" s="114">
        <v>0.0</v>
      </c>
      <c r="M429" s="114">
        <v>0.0</v>
      </c>
      <c r="N429" s="114">
        <v>0.0</v>
      </c>
      <c r="O429" s="114">
        <v>0.0</v>
      </c>
      <c r="P429" s="114">
        <v>0.0</v>
      </c>
      <c r="Q429" s="114">
        <v>0.0</v>
      </c>
      <c r="R429" s="114">
        <v>0.0</v>
      </c>
      <c r="S429" s="114">
        <v>0.0</v>
      </c>
      <c r="T429" s="114">
        <v>0.0</v>
      </c>
      <c r="U429" s="114">
        <v>0.0</v>
      </c>
      <c r="V429" s="114">
        <v>0.0</v>
      </c>
      <c r="W429" s="114">
        <v>0.0</v>
      </c>
      <c r="X429" s="114">
        <v>0.0</v>
      </c>
      <c r="Y429" s="114">
        <v>0.0</v>
      </c>
      <c r="Z429" s="114">
        <v>0.0</v>
      </c>
      <c r="AA429" s="114">
        <v>0.0</v>
      </c>
      <c r="AB429" s="114">
        <v>0.0</v>
      </c>
      <c r="AC429" s="114">
        <v>0.0</v>
      </c>
      <c r="AD429" s="114">
        <v>0.0</v>
      </c>
      <c r="AE429" s="114">
        <v>0.0</v>
      </c>
      <c r="AF429" s="114"/>
      <c r="AG429" s="693">
        <f t="shared" si="119"/>
        <v>0</v>
      </c>
    </row>
    <row r="430">
      <c r="A430" s="352" t="s">
        <v>1190</v>
      </c>
      <c r="B430" s="114">
        <v>0.0</v>
      </c>
      <c r="C430" s="114">
        <v>0.0</v>
      </c>
      <c r="D430" s="114">
        <v>0.0</v>
      </c>
      <c r="E430" s="114">
        <v>0.0</v>
      </c>
      <c r="F430" s="114">
        <v>0.0</v>
      </c>
      <c r="G430" s="114">
        <v>0.0</v>
      </c>
      <c r="H430" s="114">
        <v>0.0</v>
      </c>
      <c r="I430" s="114">
        <v>0.0</v>
      </c>
      <c r="J430" s="114">
        <v>0.0</v>
      </c>
      <c r="K430" s="114">
        <v>0.0</v>
      </c>
      <c r="L430" s="114">
        <v>0.0</v>
      </c>
      <c r="M430" s="114">
        <v>0.0</v>
      </c>
      <c r="N430" s="114">
        <v>0.0</v>
      </c>
      <c r="O430" s="114">
        <v>0.0</v>
      </c>
      <c r="P430" s="114">
        <v>0.0</v>
      </c>
      <c r="Q430" s="114">
        <v>0.0</v>
      </c>
      <c r="R430" s="114">
        <v>0.0</v>
      </c>
      <c r="S430" s="114">
        <v>0.0</v>
      </c>
      <c r="T430" s="114">
        <v>0.0</v>
      </c>
      <c r="U430" s="114">
        <v>0.0</v>
      </c>
      <c r="V430" s="114">
        <v>0.0</v>
      </c>
      <c r="W430" s="114">
        <v>0.0</v>
      </c>
      <c r="X430" s="114">
        <v>0.0</v>
      </c>
      <c r="Y430" s="114">
        <v>0.0</v>
      </c>
      <c r="Z430" s="114">
        <v>0.0</v>
      </c>
      <c r="AA430" s="114">
        <v>0.0</v>
      </c>
      <c r="AB430" s="114">
        <v>0.0</v>
      </c>
      <c r="AC430" s="114">
        <v>0.0</v>
      </c>
      <c r="AD430" s="114">
        <v>0.0</v>
      </c>
      <c r="AE430" s="114">
        <v>0.0</v>
      </c>
      <c r="AF430" s="114"/>
      <c r="AG430" s="693">
        <f t="shared" si="119"/>
        <v>0</v>
      </c>
    </row>
    <row r="431">
      <c r="A431" s="352" t="s">
        <v>1191</v>
      </c>
      <c r="B431" s="114">
        <v>0.0</v>
      </c>
      <c r="C431" s="114">
        <v>0.0</v>
      </c>
      <c r="D431" s="114">
        <v>0.0</v>
      </c>
      <c r="E431" s="114">
        <v>0.0</v>
      </c>
      <c r="F431" s="114">
        <v>0.0</v>
      </c>
      <c r="G431" s="114">
        <v>0.0</v>
      </c>
      <c r="H431" s="114">
        <v>0.0</v>
      </c>
      <c r="I431" s="114">
        <v>0.0</v>
      </c>
      <c r="J431" s="114">
        <v>0.0</v>
      </c>
      <c r="K431" s="114">
        <v>0.0</v>
      </c>
      <c r="L431" s="114">
        <v>0.0</v>
      </c>
      <c r="M431" s="114">
        <v>0.0</v>
      </c>
      <c r="N431" s="114">
        <v>0.0</v>
      </c>
      <c r="O431" s="114">
        <v>0.0</v>
      </c>
      <c r="P431" s="114">
        <v>0.0</v>
      </c>
      <c r="Q431" s="114">
        <v>0.0</v>
      </c>
      <c r="R431" s="114">
        <v>0.0</v>
      </c>
      <c r="S431" s="114">
        <v>0.0</v>
      </c>
      <c r="T431" s="114">
        <v>0.0</v>
      </c>
      <c r="U431" s="114">
        <v>0.0</v>
      </c>
      <c r="V431" s="114">
        <v>0.0</v>
      </c>
      <c r="W431" s="114">
        <v>0.0</v>
      </c>
      <c r="X431" s="114">
        <v>0.0</v>
      </c>
      <c r="Y431" s="114">
        <v>0.0</v>
      </c>
      <c r="Z431" s="114">
        <v>0.0</v>
      </c>
      <c r="AA431" s="114">
        <v>0.0</v>
      </c>
      <c r="AB431" s="114">
        <v>0.0</v>
      </c>
      <c r="AC431" s="114">
        <v>0.0</v>
      </c>
      <c r="AD431" s="114">
        <v>0.0</v>
      </c>
      <c r="AE431" s="114">
        <v>0.0</v>
      </c>
      <c r="AF431" s="114"/>
      <c r="AG431" s="693">
        <f t="shared" si="119"/>
        <v>0</v>
      </c>
    </row>
    <row r="432">
      <c r="A432" s="352" t="s">
        <v>1192</v>
      </c>
      <c r="B432" s="114">
        <v>0.0</v>
      </c>
      <c r="C432" s="114">
        <v>0.0</v>
      </c>
      <c r="D432" s="114">
        <v>0.0</v>
      </c>
      <c r="E432" s="114">
        <v>0.0</v>
      </c>
      <c r="F432" s="114">
        <v>0.0</v>
      </c>
      <c r="G432" s="114">
        <v>0.0</v>
      </c>
      <c r="H432" s="114">
        <v>0.0</v>
      </c>
      <c r="I432" s="114">
        <v>0.0</v>
      </c>
      <c r="J432" s="114">
        <v>0.0</v>
      </c>
      <c r="K432" s="114">
        <v>0.0</v>
      </c>
      <c r="L432" s="114">
        <v>0.0</v>
      </c>
      <c r="M432" s="114">
        <v>0.0</v>
      </c>
      <c r="N432" s="114">
        <v>0.0</v>
      </c>
      <c r="O432" s="114">
        <v>0.0</v>
      </c>
      <c r="P432" s="114">
        <v>0.0</v>
      </c>
      <c r="Q432" s="114">
        <v>0.0</v>
      </c>
      <c r="R432" s="114">
        <v>0.0</v>
      </c>
      <c r="S432" s="114">
        <v>0.0</v>
      </c>
      <c r="T432" s="114">
        <v>0.0</v>
      </c>
      <c r="U432" s="114">
        <v>0.0</v>
      </c>
      <c r="V432" s="114">
        <v>0.0</v>
      </c>
      <c r="W432" s="114">
        <v>0.0</v>
      </c>
      <c r="X432" s="114">
        <v>0.0</v>
      </c>
      <c r="Y432" s="114">
        <v>0.0</v>
      </c>
      <c r="Z432" s="114">
        <v>0.0</v>
      </c>
      <c r="AA432" s="114">
        <v>0.0</v>
      </c>
      <c r="AB432" s="114">
        <v>0.0</v>
      </c>
      <c r="AC432" s="114">
        <v>0.0</v>
      </c>
      <c r="AD432" s="114">
        <v>0.0</v>
      </c>
      <c r="AE432" s="114">
        <v>0.0</v>
      </c>
      <c r="AF432" s="114"/>
      <c r="AG432" s="693">
        <f t="shared" si="119"/>
        <v>0</v>
      </c>
    </row>
    <row r="433">
      <c r="A433" s="352" t="s">
        <v>1193</v>
      </c>
      <c r="B433" s="114">
        <v>0.0</v>
      </c>
      <c r="C433" s="114">
        <v>0.0</v>
      </c>
      <c r="D433" s="114">
        <v>0.0</v>
      </c>
      <c r="E433" s="114">
        <v>0.0</v>
      </c>
      <c r="F433" s="114">
        <v>0.0</v>
      </c>
      <c r="G433" s="114">
        <v>0.0</v>
      </c>
      <c r="H433" s="114">
        <v>0.0</v>
      </c>
      <c r="I433" s="114">
        <v>0.0</v>
      </c>
      <c r="J433" s="114">
        <v>0.0</v>
      </c>
      <c r="K433" s="114">
        <v>0.0</v>
      </c>
      <c r="L433" s="114">
        <v>0.0</v>
      </c>
      <c r="M433" s="114">
        <v>0.0</v>
      </c>
      <c r="N433" s="114">
        <v>0.0</v>
      </c>
      <c r="O433" s="114">
        <v>0.0</v>
      </c>
      <c r="P433" s="114">
        <v>0.0</v>
      </c>
      <c r="Q433" s="114">
        <v>0.0</v>
      </c>
      <c r="R433" s="114">
        <v>0.0</v>
      </c>
      <c r="S433" s="114">
        <v>0.0</v>
      </c>
      <c r="T433" s="114">
        <v>0.0</v>
      </c>
      <c r="U433" s="114">
        <v>0.0</v>
      </c>
      <c r="V433" s="114">
        <v>0.0</v>
      </c>
      <c r="W433" s="114">
        <v>0.0</v>
      </c>
      <c r="X433" s="114">
        <v>0.0</v>
      </c>
      <c r="Y433" s="114">
        <v>0.0</v>
      </c>
      <c r="Z433" s="114">
        <v>0.0</v>
      </c>
      <c r="AA433" s="114">
        <v>0.0</v>
      </c>
      <c r="AB433" s="114">
        <v>0.0</v>
      </c>
      <c r="AC433" s="114">
        <v>0.0</v>
      </c>
      <c r="AD433" s="114">
        <v>0.0</v>
      </c>
      <c r="AE433" s="114">
        <v>0.0</v>
      </c>
      <c r="AF433" s="114"/>
      <c r="AG433" s="693">
        <f t="shared" si="119"/>
        <v>0</v>
      </c>
    </row>
    <row r="434">
      <c r="A434" s="836" t="s">
        <v>1052</v>
      </c>
      <c r="B434" s="219">
        <f t="shared" ref="B434:AF434" si="120">SUM(B425:B433)</f>
        <v>0</v>
      </c>
      <c r="C434" s="219">
        <f t="shared" si="120"/>
        <v>0</v>
      </c>
      <c r="D434" s="219">
        <f t="shared" si="120"/>
        <v>0</v>
      </c>
      <c r="E434" s="219">
        <f t="shared" si="120"/>
        <v>0</v>
      </c>
      <c r="F434" s="219">
        <f t="shared" si="120"/>
        <v>0</v>
      </c>
      <c r="G434" s="219">
        <f t="shared" si="120"/>
        <v>0</v>
      </c>
      <c r="H434" s="219">
        <f t="shared" si="120"/>
        <v>0</v>
      </c>
      <c r="I434" s="219">
        <f t="shared" si="120"/>
        <v>0</v>
      </c>
      <c r="J434" s="219">
        <f t="shared" si="120"/>
        <v>0</v>
      </c>
      <c r="K434" s="219">
        <f t="shared" si="120"/>
        <v>0</v>
      </c>
      <c r="L434" s="219">
        <f t="shared" si="120"/>
        <v>0</v>
      </c>
      <c r="M434" s="219">
        <f t="shared" si="120"/>
        <v>0</v>
      </c>
      <c r="N434" s="219">
        <f t="shared" si="120"/>
        <v>0</v>
      </c>
      <c r="O434" s="219">
        <f t="shared" si="120"/>
        <v>2</v>
      </c>
      <c r="P434" s="219">
        <f t="shared" si="120"/>
        <v>0</v>
      </c>
      <c r="Q434" s="219">
        <f t="shared" si="120"/>
        <v>0</v>
      </c>
      <c r="R434" s="219">
        <f t="shared" si="120"/>
        <v>0</v>
      </c>
      <c r="S434" s="219">
        <f t="shared" si="120"/>
        <v>0</v>
      </c>
      <c r="T434" s="219">
        <f t="shared" si="120"/>
        <v>0</v>
      </c>
      <c r="U434" s="219">
        <f t="shared" si="120"/>
        <v>2</v>
      </c>
      <c r="V434" s="219">
        <f t="shared" si="120"/>
        <v>0</v>
      </c>
      <c r="W434" s="219">
        <f t="shared" si="120"/>
        <v>0</v>
      </c>
      <c r="X434" s="219">
        <f t="shared" si="120"/>
        <v>0</v>
      </c>
      <c r="Y434" s="219">
        <f t="shared" si="120"/>
        <v>0</v>
      </c>
      <c r="Z434" s="219">
        <f t="shared" si="120"/>
        <v>0</v>
      </c>
      <c r="AA434" s="219">
        <f t="shared" si="120"/>
        <v>0</v>
      </c>
      <c r="AB434" s="219">
        <f t="shared" si="120"/>
        <v>0</v>
      </c>
      <c r="AC434" s="219">
        <f t="shared" si="120"/>
        <v>0</v>
      </c>
      <c r="AD434" s="219">
        <f t="shared" si="120"/>
        <v>0</v>
      </c>
      <c r="AE434" s="219">
        <f t="shared" si="120"/>
        <v>0</v>
      </c>
      <c r="AF434" s="219">
        <f t="shared" si="120"/>
        <v>0</v>
      </c>
      <c r="AG434" s="693">
        <f t="shared" si="119"/>
        <v>4</v>
      </c>
    </row>
    <row r="435">
      <c r="A435" s="25"/>
      <c r="B435" s="758"/>
      <c r="C435" s="758"/>
      <c r="D435" s="758"/>
      <c r="E435" s="758"/>
      <c r="F435" s="758"/>
      <c r="G435" s="758"/>
      <c r="H435" s="758"/>
      <c r="I435" s="758"/>
      <c r="J435" s="758"/>
      <c r="K435" s="758"/>
      <c r="L435" s="758"/>
      <c r="M435" s="758"/>
      <c r="N435" s="758"/>
      <c r="O435" s="758"/>
      <c r="P435" s="758"/>
      <c r="Q435" s="758"/>
      <c r="R435" s="758"/>
      <c r="S435" s="695"/>
      <c r="T435" s="758"/>
      <c r="U435" s="758"/>
      <c r="V435" s="758"/>
      <c r="W435" s="758"/>
      <c r="X435" s="758"/>
      <c r="Y435" s="758"/>
      <c r="Z435" s="758"/>
      <c r="AA435" s="758"/>
      <c r="AB435" s="758"/>
      <c r="AC435" s="758"/>
      <c r="AD435" s="758"/>
      <c r="AE435" s="758"/>
      <c r="AF435" s="758"/>
      <c r="AG435" s="453"/>
    </row>
    <row r="436">
      <c r="A436" s="352" t="s">
        <v>1054</v>
      </c>
      <c r="B436" s="777"/>
      <c r="C436" s="777"/>
      <c r="D436" s="777"/>
      <c r="E436" s="777"/>
      <c r="F436" s="777"/>
      <c r="G436" s="448"/>
      <c r="H436" s="448"/>
      <c r="I436" s="448"/>
      <c r="J436" s="448"/>
      <c r="K436" s="777"/>
      <c r="L436" s="448"/>
      <c r="M436" s="448"/>
      <c r="N436" s="448"/>
      <c r="O436" s="448"/>
      <c r="P436" s="448"/>
      <c r="Q436" s="448"/>
      <c r="R436" s="448"/>
      <c r="S436" s="448"/>
      <c r="T436" s="448"/>
      <c r="U436" s="448"/>
      <c r="V436" s="448"/>
      <c r="W436" s="448"/>
      <c r="X436" s="448"/>
      <c r="Y436" s="448"/>
      <c r="Z436" s="448"/>
      <c r="AA436" s="448"/>
      <c r="AB436" s="448"/>
      <c r="AC436" s="448"/>
      <c r="AD436" s="448"/>
      <c r="AE436" s="448"/>
      <c r="AF436" s="448"/>
      <c r="AG436" s="693">
        <f t="shared" ref="AG436:AG445" si="121">SUM(B436:AF436)</f>
        <v>0</v>
      </c>
    </row>
    <row r="437">
      <c r="A437" s="352" t="s">
        <v>1056</v>
      </c>
      <c r="B437" s="777"/>
      <c r="C437" s="777"/>
      <c r="D437" s="777"/>
      <c r="E437" s="777"/>
      <c r="F437" s="777"/>
      <c r="G437" s="448"/>
      <c r="H437" s="448"/>
      <c r="I437" s="448"/>
      <c r="J437" s="448"/>
      <c r="K437" s="777"/>
      <c r="L437" s="448"/>
      <c r="M437" s="448"/>
      <c r="N437" s="448"/>
      <c r="O437" s="448"/>
      <c r="P437" s="448"/>
      <c r="Q437" s="448"/>
      <c r="R437" s="448"/>
      <c r="S437" s="448"/>
      <c r="T437" s="448"/>
      <c r="U437" s="448"/>
      <c r="V437" s="448"/>
      <c r="W437" s="448"/>
      <c r="X437" s="448"/>
      <c r="Y437" s="448"/>
      <c r="Z437" s="448"/>
      <c r="AA437" s="448"/>
      <c r="AB437" s="448"/>
      <c r="AC437" s="448"/>
      <c r="AD437" s="448"/>
      <c r="AE437" s="448"/>
      <c r="AF437" s="448"/>
      <c r="AG437" s="693">
        <f t="shared" si="121"/>
        <v>0</v>
      </c>
    </row>
    <row r="438">
      <c r="A438" s="352" t="s">
        <v>1057</v>
      </c>
      <c r="B438" s="342"/>
      <c r="C438" s="342"/>
      <c r="D438" s="342"/>
      <c r="E438" s="342"/>
      <c r="F438" s="444"/>
      <c r="G438" s="444"/>
      <c r="H438" s="444"/>
      <c r="I438" s="444"/>
      <c r="J438" s="342"/>
      <c r="K438" s="444"/>
      <c r="L438" s="342"/>
      <c r="M438" s="342"/>
      <c r="N438" s="342"/>
      <c r="O438" s="448"/>
      <c r="P438" s="448"/>
      <c r="Q438" s="448"/>
      <c r="R438" s="448"/>
      <c r="S438" s="448"/>
      <c r="T438" s="448"/>
      <c r="U438" s="448"/>
      <c r="V438" s="448"/>
      <c r="W438" s="448"/>
      <c r="X438" s="448"/>
      <c r="Y438" s="448"/>
      <c r="Z438" s="448"/>
      <c r="AA438" s="448"/>
      <c r="AB438" s="448"/>
      <c r="AC438" s="448"/>
      <c r="AD438" s="448"/>
      <c r="AE438" s="448"/>
      <c r="AF438" s="448"/>
      <c r="AG438" s="693">
        <f t="shared" si="121"/>
        <v>0</v>
      </c>
    </row>
    <row r="439">
      <c r="A439" s="352" t="s">
        <v>1194</v>
      </c>
      <c r="B439" s="342"/>
      <c r="C439" s="342"/>
      <c r="D439" s="342"/>
      <c r="E439" s="342"/>
      <c r="F439" s="444"/>
      <c r="G439" s="444"/>
      <c r="H439" s="444"/>
      <c r="I439" s="444"/>
      <c r="J439" s="444"/>
      <c r="K439" s="444"/>
      <c r="L439" s="444"/>
      <c r="M439" s="444"/>
      <c r="N439" s="444"/>
      <c r="O439" s="448"/>
      <c r="P439" s="448"/>
      <c r="Q439" s="448"/>
      <c r="R439" s="448"/>
      <c r="S439" s="448"/>
      <c r="T439" s="448"/>
      <c r="U439" s="448"/>
      <c r="V439" s="448"/>
      <c r="W439" s="448"/>
      <c r="X439" s="448"/>
      <c r="Y439" s="448"/>
      <c r="Z439" s="448"/>
      <c r="AA439" s="448"/>
      <c r="AB439" s="448"/>
      <c r="AC439" s="448"/>
      <c r="AD439" s="448"/>
      <c r="AE439" s="448"/>
      <c r="AF439" s="448"/>
      <c r="AG439" s="693">
        <f t="shared" si="121"/>
        <v>0</v>
      </c>
    </row>
    <row r="440">
      <c r="A440" s="352" t="s">
        <v>1195</v>
      </c>
      <c r="B440" s="342"/>
      <c r="C440" s="342"/>
      <c r="D440" s="342"/>
      <c r="E440" s="342"/>
      <c r="F440" s="444"/>
      <c r="G440" s="444"/>
      <c r="H440" s="444"/>
      <c r="I440" s="444"/>
      <c r="J440" s="444"/>
      <c r="K440" s="444"/>
      <c r="L440" s="444"/>
      <c r="M440" s="444"/>
      <c r="N440" s="444"/>
      <c r="O440" s="448"/>
      <c r="P440" s="448"/>
      <c r="Q440" s="448"/>
      <c r="R440" s="448"/>
      <c r="S440" s="448"/>
      <c r="T440" s="448"/>
      <c r="U440" s="448"/>
      <c r="V440" s="448"/>
      <c r="W440" s="448"/>
      <c r="X440" s="448"/>
      <c r="Y440" s="448"/>
      <c r="Z440" s="448"/>
      <c r="AA440" s="448"/>
      <c r="AB440" s="448"/>
      <c r="AC440" s="448"/>
      <c r="AD440" s="448"/>
      <c r="AE440" s="448"/>
      <c r="AF440" s="448"/>
      <c r="AG440" s="693">
        <f t="shared" si="121"/>
        <v>0</v>
      </c>
    </row>
    <row r="441">
      <c r="A441" s="352" t="s">
        <v>1196</v>
      </c>
      <c r="B441" s="777"/>
      <c r="C441" s="777"/>
      <c r="D441" s="777"/>
      <c r="E441" s="777"/>
      <c r="F441" s="448"/>
      <c r="G441" s="448"/>
      <c r="H441" s="448"/>
      <c r="I441" s="448"/>
      <c r="J441" s="448"/>
      <c r="K441" s="448"/>
      <c r="L441" s="448"/>
      <c r="M441" s="448"/>
      <c r="N441" s="448"/>
      <c r="O441" s="448"/>
      <c r="P441" s="448"/>
      <c r="Q441" s="448"/>
      <c r="R441" s="448"/>
      <c r="S441" s="448"/>
      <c r="T441" s="448"/>
      <c r="U441" s="448"/>
      <c r="V441" s="448"/>
      <c r="W441" s="448"/>
      <c r="X441" s="448"/>
      <c r="Y441" s="448"/>
      <c r="Z441" s="448"/>
      <c r="AA441" s="448"/>
      <c r="AB441" s="448"/>
      <c r="AC441" s="448"/>
      <c r="AD441" s="448"/>
      <c r="AE441" s="448"/>
      <c r="AF441" s="448"/>
      <c r="AG441" s="693">
        <f t="shared" si="121"/>
        <v>0</v>
      </c>
    </row>
    <row r="442">
      <c r="A442" s="352" t="s">
        <v>1197</v>
      </c>
      <c r="B442" s="777"/>
      <c r="C442" s="777"/>
      <c r="D442" s="777"/>
      <c r="E442" s="777"/>
      <c r="F442" s="448"/>
      <c r="G442" s="448"/>
      <c r="H442" s="448"/>
      <c r="I442" s="448"/>
      <c r="J442" s="448"/>
      <c r="K442" s="448"/>
      <c r="L442" s="448"/>
      <c r="M442" s="448"/>
      <c r="N442" s="448"/>
      <c r="O442" s="448"/>
      <c r="P442" s="448"/>
      <c r="Q442" s="448"/>
      <c r="R442" s="448"/>
      <c r="S442" s="448"/>
      <c r="T442" s="448"/>
      <c r="U442" s="448"/>
      <c r="V442" s="448"/>
      <c r="W442" s="448"/>
      <c r="X442" s="448"/>
      <c r="Y442" s="448"/>
      <c r="Z442" s="448"/>
      <c r="AA442" s="448"/>
      <c r="AB442" s="448"/>
      <c r="AC442" s="448"/>
      <c r="AD442" s="448"/>
      <c r="AE442" s="448"/>
      <c r="AF442" s="448"/>
      <c r="AG442" s="693">
        <f t="shared" si="121"/>
        <v>0</v>
      </c>
    </row>
    <row r="443">
      <c r="A443" s="352" t="s">
        <v>1198</v>
      </c>
      <c r="B443" s="777"/>
      <c r="C443" s="777"/>
      <c r="D443" s="777"/>
      <c r="E443" s="777"/>
      <c r="F443" s="448"/>
      <c r="G443" s="448"/>
      <c r="H443" s="448"/>
      <c r="I443" s="448"/>
      <c r="J443" s="448"/>
      <c r="K443" s="448"/>
      <c r="L443" s="448"/>
      <c r="M443" s="448"/>
      <c r="N443" s="448"/>
      <c r="O443" s="448"/>
      <c r="P443" s="448"/>
      <c r="Q443" s="448"/>
      <c r="R443" s="448"/>
      <c r="S443" s="448"/>
      <c r="T443" s="448"/>
      <c r="U443" s="448"/>
      <c r="V443" s="448"/>
      <c r="W443" s="448"/>
      <c r="X443" s="448"/>
      <c r="Y443" s="448"/>
      <c r="Z443" s="448"/>
      <c r="AA443" s="448"/>
      <c r="AB443" s="448"/>
      <c r="AC443" s="448"/>
      <c r="AD443" s="448"/>
      <c r="AE443" s="448"/>
      <c r="AF443" s="448"/>
      <c r="AG443" s="693">
        <f t="shared" si="121"/>
        <v>0</v>
      </c>
    </row>
    <row r="444">
      <c r="A444" s="352" t="s">
        <v>1199</v>
      </c>
      <c r="B444" s="777"/>
      <c r="C444" s="777"/>
      <c r="D444" s="777"/>
      <c r="E444" s="777"/>
      <c r="F444" s="448"/>
      <c r="G444" s="448"/>
      <c r="H444" s="448"/>
      <c r="I444" s="448"/>
      <c r="J444" s="448"/>
      <c r="K444" s="448"/>
      <c r="L444" s="448"/>
      <c r="M444" s="448"/>
      <c r="N444" s="448"/>
      <c r="O444" s="448"/>
      <c r="P444" s="448"/>
      <c r="Q444" s="448"/>
      <c r="R444" s="448"/>
      <c r="S444" s="448"/>
      <c r="T444" s="448"/>
      <c r="U444" s="448"/>
      <c r="V444" s="448"/>
      <c r="W444" s="448"/>
      <c r="X444" s="448"/>
      <c r="Y444" s="448"/>
      <c r="Z444" s="448"/>
      <c r="AA444" s="448"/>
      <c r="AB444" s="448"/>
      <c r="AC444" s="448"/>
      <c r="AD444" s="448"/>
      <c r="AE444" s="448"/>
      <c r="AF444" s="448"/>
      <c r="AG444" s="693">
        <f t="shared" si="121"/>
        <v>0</v>
      </c>
    </row>
    <row r="445">
      <c r="A445" s="836" t="s">
        <v>1066</v>
      </c>
      <c r="B445" s="219">
        <f t="shared" ref="B445:AF445" si="122">SUM(B436:B444)</f>
        <v>0</v>
      </c>
      <c r="C445" s="219">
        <f t="shared" si="122"/>
        <v>0</v>
      </c>
      <c r="D445" s="219">
        <f t="shared" si="122"/>
        <v>0</v>
      </c>
      <c r="E445" s="219">
        <f t="shared" si="122"/>
        <v>0</v>
      </c>
      <c r="F445" s="219">
        <f t="shared" si="122"/>
        <v>0</v>
      </c>
      <c r="G445" s="219">
        <f t="shared" si="122"/>
        <v>0</v>
      </c>
      <c r="H445" s="219">
        <f t="shared" si="122"/>
        <v>0</v>
      </c>
      <c r="I445" s="219">
        <f t="shared" si="122"/>
        <v>0</v>
      </c>
      <c r="J445" s="219">
        <f t="shared" si="122"/>
        <v>0</v>
      </c>
      <c r="K445" s="219">
        <f t="shared" si="122"/>
        <v>0</v>
      </c>
      <c r="L445" s="219">
        <f t="shared" si="122"/>
        <v>0</v>
      </c>
      <c r="M445" s="219">
        <f t="shared" si="122"/>
        <v>0</v>
      </c>
      <c r="N445" s="219">
        <f t="shared" si="122"/>
        <v>0</v>
      </c>
      <c r="O445" s="219">
        <f t="shared" si="122"/>
        <v>0</v>
      </c>
      <c r="P445" s="219">
        <f t="shared" si="122"/>
        <v>0</v>
      </c>
      <c r="Q445" s="219">
        <f t="shared" si="122"/>
        <v>0</v>
      </c>
      <c r="R445" s="219">
        <f t="shared" si="122"/>
        <v>0</v>
      </c>
      <c r="S445" s="219">
        <f t="shared" si="122"/>
        <v>0</v>
      </c>
      <c r="T445" s="219">
        <f t="shared" si="122"/>
        <v>0</v>
      </c>
      <c r="U445" s="219">
        <f t="shared" si="122"/>
        <v>0</v>
      </c>
      <c r="V445" s="219">
        <f t="shared" si="122"/>
        <v>0</v>
      </c>
      <c r="W445" s="219">
        <f t="shared" si="122"/>
        <v>0</v>
      </c>
      <c r="X445" s="219">
        <f t="shared" si="122"/>
        <v>0</v>
      </c>
      <c r="Y445" s="219">
        <f t="shared" si="122"/>
        <v>0</v>
      </c>
      <c r="Z445" s="219">
        <f t="shared" si="122"/>
        <v>0</v>
      </c>
      <c r="AA445" s="219">
        <f t="shared" si="122"/>
        <v>0</v>
      </c>
      <c r="AB445" s="219">
        <f t="shared" si="122"/>
        <v>0</v>
      </c>
      <c r="AC445" s="219">
        <f t="shared" si="122"/>
        <v>0</v>
      </c>
      <c r="AD445" s="219">
        <f t="shared" si="122"/>
        <v>0</v>
      </c>
      <c r="AE445" s="219">
        <f t="shared" si="122"/>
        <v>0</v>
      </c>
      <c r="AF445" s="219">
        <f t="shared" si="122"/>
        <v>0</v>
      </c>
      <c r="AG445" s="693">
        <f t="shared" si="121"/>
        <v>0</v>
      </c>
    </row>
    <row r="446">
      <c r="A446" s="723"/>
      <c r="B446" s="758"/>
      <c r="C446" s="758"/>
      <c r="D446" s="758"/>
      <c r="E446" s="758"/>
      <c r="F446" s="758"/>
      <c r="G446" s="758"/>
      <c r="H446" s="758"/>
      <c r="I446" s="758"/>
      <c r="J446" s="758"/>
      <c r="K446" s="758"/>
      <c r="L446" s="758"/>
      <c r="M446" s="758"/>
      <c r="N446" s="758"/>
      <c r="O446" s="758"/>
      <c r="P446" s="758"/>
      <c r="Q446" s="758"/>
      <c r="R446" s="758"/>
      <c r="S446" s="758"/>
      <c r="T446" s="758"/>
      <c r="U446" s="758"/>
      <c r="V446" s="758"/>
      <c r="W446" s="758"/>
      <c r="X446" s="758"/>
      <c r="Y446" s="758"/>
      <c r="Z446" s="758"/>
      <c r="AA446" s="758"/>
      <c r="AB446" s="758"/>
      <c r="AC446" s="758"/>
      <c r="AD446" s="758"/>
      <c r="AE446" s="758"/>
      <c r="AF446" s="758"/>
      <c r="AG446" s="453"/>
    </row>
    <row r="447">
      <c r="A447" s="352" t="s">
        <v>1200</v>
      </c>
      <c r="B447" s="777"/>
      <c r="C447" s="777"/>
      <c r="D447" s="777"/>
      <c r="E447" s="777"/>
      <c r="F447" s="448"/>
      <c r="G447" s="342"/>
      <c r="H447" s="444"/>
      <c r="I447" s="342"/>
      <c r="J447" s="444"/>
      <c r="K447" s="444"/>
      <c r="L447" s="444"/>
      <c r="M447" s="444"/>
      <c r="N447" s="342"/>
      <c r="O447" s="448"/>
      <c r="P447" s="448"/>
      <c r="Q447" s="448"/>
      <c r="R447" s="448"/>
      <c r="S447" s="448"/>
      <c r="T447" s="448"/>
      <c r="U447" s="448"/>
      <c r="V447" s="448"/>
      <c r="W447" s="448"/>
      <c r="X447" s="448"/>
      <c r="Y447" s="448"/>
      <c r="Z447" s="448"/>
      <c r="AA447" s="448"/>
      <c r="AB447" s="448"/>
      <c r="AC447" s="448"/>
      <c r="AD447" s="448"/>
      <c r="AE447" s="448"/>
      <c r="AF447" s="448"/>
      <c r="AG447" s="693">
        <f t="shared" ref="AG447:AG449" si="123">SUM(B447:AF447)</f>
        <v>0</v>
      </c>
    </row>
    <row r="448">
      <c r="A448" s="352" t="s">
        <v>1115</v>
      </c>
      <c r="B448" s="777"/>
      <c r="C448" s="777"/>
      <c r="D448" s="777"/>
      <c r="E448" s="777"/>
      <c r="F448" s="448"/>
      <c r="G448" s="444"/>
      <c r="H448" s="444"/>
      <c r="I448" s="444"/>
      <c r="J448" s="444"/>
      <c r="K448" s="444"/>
      <c r="L448" s="444"/>
      <c r="M448" s="444"/>
      <c r="N448" s="444"/>
      <c r="O448" s="448"/>
      <c r="P448" s="448"/>
      <c r="Q448" s="448"/>
      <c r="R448" s="448"/>
      <c r="S448" s="448"/>
      <c r="T448" s="448"/>
      <c r="U448" s="448"/>
      <c r="V448" s="448"/>
      <c r="W448" s="448"/>
      <c r="X448" s="448"/>
      <c r="Y448" s="448"/>
      <c r="Z448" s="448"/>
      <c r="AA448" s="448"/>
      <c r="AB448" s="448"/>
      <c r="AC448" s="448"/>
      <c r="AD448" s="448"/>
      <c r="AE448" s="448"/>
      <c r="AF448" s="448"/>
      <c r="AG448" s="693">
        <f t="shared" si="123"/>
        <v>0</v>
      </c>
    </row>
    <row r="449">
      <c r="A449" s="836" t="s">
        <v>98</v>
      </c>
      <c r="B449" s="219">
        <f t="shared" ref="B449:AF449" si="124">SUM(B447:B448)</f>
        <v>0</v>
      </c>
      <c r="C449" s="219">
        <f t="shared" si="124"/>
        <v>0</v>
      </c>
      <c r="D449" s="219">
        <f t="shared" si="124"/>
        <v>0</v>
      </c>
      <c r="E449" s="219">
        <f t="shared" si="124"/>
        <v>0</v>
      </c>
      <c r="F449" s="219">
        <f t="shared" si="124"/>
        <v>0</v>
      </c>
      <c r="G449" s="219">
        <f t="shared" si="124"/>
        <v>0</v>
      </c>
      <c r="H449" s="219">
        <f t="shared" si="124"/>
        <v>0</v>
      </c>
      <c r="I449" s="219">
        <f t="shared" si="124"/>
        <v>0</v>
      </c>
      <c r="J449" s="219">
        <f t="shared" si="124"/>
        <v>0</v>
      </c>
      <c r="K449" s="219">
        <f t="shared" si="124"/>
        <v>0</v>
      </c>
      <c r="L449" s="219">
        <f t="shared" si="124"/>
        <v>0</v>
      </c>
      <c r="M449" s="219">
        <f t="shared" si="124"/>
        <v>0</v>
      </c>
      <c r="N449" s="219">
        <f t="shared" si="124"/>
        <v>0</v>
      </c>
      <c r="O449" s="219">
        <f t="shared" si="124"/>
        <v>0</v>
      </c>
      <c r="P449" s="219">
        <f t="shared" si="124"/>
        <v>0</v>
      </c>
      <c r="Q449" s="219">
        <f t="shared" si="124"/>
        <v>0</v>
      </c>
      <c r="R449" s="219">
        <f t="shared" si="124"/>
        <v>0</v>
      </c>
      <c r="S449" s="219">
        <f t="shared" si="124"/>
        <v>0</v>
      </c>
      <c r="T449" s="219">
        <f t="shared" si="124"/>
        <v>0</v>
      </c>
      <c r="U449" s="219">
        <f t="shared" si="124"/>
        <v>0</v>
      </c>
      <c r="V449" s="219">
        <f t="shared" si="124"/>
        <v>0</v>
      </c>
      <c r="W449" s="219">
        <f t="shared" si="124"/>
        <v>0</v>
      </c>
      <c r="X449" s="219">
        <f t="shared" si="124"/>
        <v>0</v>
      </c>
      <c r="Y449" s="219">
        <f t="shared" si="124"/>
        <v>0</v>
      </c>
      <c r="Z449" s="219">
        <f t="shared" si="124"/>
        <v>0</v>
      </c>
      <c r="AA449" s="219">
        <f t="shared" si="124"/>
        <v>0</v>
      </c>
      <c r="AB449" s="219">
        <f t="shared" si="124"/>
        <v>0</v>
      </c>
      <c r="AC449" s="219">
        <f t="shared" si="124"/>
        <v>0</v>
      </c>
      <c r="AD449" s="219">
        <f t="shared" si="124"/>
        <v>0</v>
      </c>
      <c r="AE449" s="219">
        <f t="shared" si="124"/>
        <v>0</v>
      </c>
      <c r="AF449" s="219">
        <f t="shared" si="124"/>
        <v>0</v>
      </c>
      <c r="AG449" s="693">
        <f t="shared" si="123"/>
        <v>0</v>
      </c>
    </row>
    <row r="450">
      <c r="A450" s="723"/>
      <c r="B450" s="758"/>
      <c r="C450" s="758"/>
      <c r="D450" s="758"/>
      <c r="E450" s="758"/>
      <c r="F450" s="758"/>
      <c r="G450" s="758"/>
      <c r="H450" s="758"/>
      <c r="I450" s="758"/>
      <c r="J450" s="758"/>
      <c r="K450" s="758"/>
      <c r="L450" s="758"/>
      <c r="M450" s="758"/>
      <c r="N450" s="758"/>
      <c r="O450" s="758"/>
      <c r="P450" s="758"/>
      <c r="Q450" s="758"/>
      <c r="R450" s="758"/>
      <c r="S450" s="758"/>
      <c r="T450" s="758"/>
      <c r="U450" s="758"/>
      <c r="V450" s="758"/>
      <c r="W450" s="758"/>
      <c r="X450" s="758"/>
      <c r="Y450" s="758"/>
      <c r="Z450" s="758"/>
      <c r="AA450" s="758"/>
      <c r="AB450" s="758"/>
      <c r="AC450" s="758"/>
      <c r="AD450" s="758"/>
      <c r="AE450" s="758"/>
      <c r="AF450" s="758"/>
      <c r="AG450" s="693"/>
    </row>
    <row r="451">
      <c r="A451" s="723"/>
      <c r="B451" s="758"/>
      <c r="C451" s="758"/>
      <c r="D451" s="758"/>
      <c r="E451" s="758"/>
      <c r="F451" s="758"/>
      <c r="G451" s="758"/>
      <c r="H451" s="758"/>
      <c r="I451" s="758"/>
      <c r="J451" s="758"/>
      <c r="K451" s="758"/>
      <c r="L451" s="758"/>
      <c r="M451" s="695"/>
      <c r="N451" s="758"/>
      <c r="O451" s="758"/>
      <c r="P451" s="758"/>
      <c r="Q451" s="758"/>
      <c r="R451" s="758"/>
      <c r="S451" s="758"/>
      <c r="T451" s="758"/>
      <c r="U451" s="758"/>
      <c r="V451" s="758"/>
      <c r="W451" s="758"/>
      <c r="X451" s="758"/>
      <c r="Y451" s="758"/>
      <c r="Z451" s="758"/>
      <c r="AA451" s="758"/>
      <c r="AB451" s="758"/>
      <c r="AC451" s="758"/>
      <c r="AD451" s="758"/>
      <c r="AE451" s="758"/>
      <c r="AF451" s="758"/>
      <c r="AG451" s="693"/>
    </row>
    <row r="452">
      <c r="A452" s="352" t="s">
        <v>1201</v>
      </c>
      <c r="B452" s="114">
        <v>0.0</v>
      </c>
      <c r="C452" s="114">
        <v>7.0</v>
      </c>
      <c r="D452" s="114">
        <v>2.0</v>
      </c>
      <c r="E452" s="114">
        <v>0.0</v>
      </c>
      <c r="F452" s="114">
        <v>1.0</v>
      </c>
      <c r="G452" s="114">
        <v>0.0</v>
      </c>
      <c r="H452" s="114">
        <v>1.0</v>
      </c>
      <c r="I452" s="114">
        <v>4.0</v>
      </c>
      <c r="J452" s="114">
        <v>1.0</v>
      </c>
      <c r="K452" s="114">
        <v>3.0</v>
      </c>
      <c r="L452" s="114">
        <v>0.0</v>
      </c>
      <c r="M452" s="114">
        <v>1.0</v>
      </c>
      <c r="N452" s="114">
        <v>1.0</v>
      </c>
      <c r="O452" s="114">
        <v>4.0</v>
      </c>
      <c r="P452" s="114">
        <v>2.0</v>
      </c>
      <c r="Q452" s="114">
        <v>2.0</v>
      </c>
      <c r="R452" s="114">
        <v>1.0</v>
      </c>
      <c r="S452" s="114">
        <v>1.0</v>
      </c>
      <c r="T452" s="114">
        <v>13.0</v>
      </c>
      <c r="U452" s="114">
        <v>6.0</v>
      </c>
      <c r="V452" s="114">
        <v>9.0</v>
      </c>
      <c r="W452" s="114">
        <v>2.0</v>
      </c>
      <c r="X452" s="114">
        <v>12.0</v>
      </c>
      <c r="Y452" s="114">
        <v>0.0</v>
      </c>
      <c r="Z452" s="114">
        <v>0.0</v>
      </c>
      <c r="AA452" s="114">
        <v>0.0</v>
      </c>
      <c r="AB452" s="114">
        <v>2.0</v>
      </c>
      <c r="AC452" s="114">
        <v>3.0</v>
      </c>
      <c r="AD452" s="114">
        <v>1.0</v>
      </c>
      <c r="AE452" s="114">
        <v>3.0</v>
      </c>
      <c r="AF452" s="114"/>
      <c r="AG452" s="693">
        <f t="shared" ref="AG452:AG455" si="125">SUM(B452:AF452)</f>
        <v>82</v>
      </c>
    </row>
    <row r="453">
      <c r="A453" s="352" t="s">
        <v>1202</v>
      </c>
      <c r="B453" s="114">
        <v>1.0</v>
      </c>
      <c r="C453" s="114">
        <v>1.0</v>
      </c>
      <c r="D453" s="114">
        <v>0.0</v>
      </c>
      <c r="E453" s="114">
        <v>0.0</v>
      </c>
      <c r="F453" s="114">
        <v>0.0</v>
      </c>
      <c r="G453" s="114">
        <v>0.0</v>
      </c>
      <c r="H453" s="114">
        <v>0.0</v>
      </c>
      <c r="I453" s="114">
        <v>0.0</v>
      </c>
      <c r="J453" s="114">
        <v>0.0</v>
      </c>
      <c r="K453" s="114">
        <v>1.0</v>
      </c>
      <c r="L453" s="114">
        <v>0.0</v>
      </c>
      <c r="M453" s="114">
        <v>0.0</v>
      </c>
      <c r="N453" s="114">
        <v>0.0</v>
      </c>
      <c r="O453" s="114">
        <v>2.0</v>
      </c>
      <c r="P453" s="114">
        <v>0.0</v>
      </c>
      <c r="Q453" s="114">
        <v>0.0</v>
      </c>
      <c r="R453" s="114">
        <v>0.0</v>
      </c>
      <c r="S453" s="114">
        <v>0.0</v>
      </c>
      <c r="T453" s="114">
        <v>0.0</v>
      </c>
      <c r="U453" s="114">
        <v>2.0</v>
      </c>
      <c r="V453" s="114">
        <v>0.0</v>
      </c>
      <c r="W453" s="114">
        <v>0.0</v>
      </c>
      <c r="X453" s="114">
        <v>0.0</v>
      </c>
      <c r="Y453" s="114">
        <v>0.0</v>
      </c>
      <c r="Z453" s="114">
        <v>0.0</v>
      </c>
      <c r="AA453" s="114">
        <v>0.0</v>
      </c>
      <c r="AB453" s="114">
        <v>0.0</v>
      </c>
      <c r="AC453" s="114">
        <v>0.0</v>
      </c>
      <c r="AD453" s="114">
        <v>0.0</v>
      </c>
      <c r="AE453" s="114">
        <v>0.0</v>
      </c>
      <c r="AF453" s="114"/>
      <c r="AG453" s="693">
        <f t="shared" si="125"/>
        <v>7</v>
      </c>
    </row>
    <row r="454">
      <c r="A454" s="352" t="s">
        <v>1203</v>
      </c>
      <c r="B454" s="114">
        <v>0.0</v>
      </c>
      <c r="C454" s="114">
        <v>0.0</v>
      </c>
      <c r="D454" s="114">
        <v>0.0</v>
      </c>
      <c r="E454" s="114">
        <v>0.0</v>
      </c>
      <c r="F454" s="114">
        <v>0.0</v>
      </c>
      <c r="G454" s="114">
        <v>0.0</v>
      </c>
      <c r="H454" s="114">
        <v>0.0</v>
      </c>
      <c r="I454" s="114">
        <v>0.0</v>
      </c>
      <c r="J454" s="114">
        <v>0.0</v>
      </c>
      <c r="K454" s="114">
        <v>0.0</v>
      </c>
      <c r="L454" s="114">
        <v>0.0</v>
      </c>
      <c r="M454" s="114">
        <v>0.0</v>
      </c>
      <c r="N454" s="114">
        <v>0.0</v>
      </c>
      <c r="O454" s="114">
        <v>0.0</v>
      </c>
      <c r="P454" s="114">
        <v>0.0</v>
      </c>
      <c r="Q454" s="114">
        <v>0.0</v>
      </c>
      <c r="R454" s="114">
        <v>0.0</v>
      </c>
      <c r="S454" s="114">
        <v>0.0</v>
      </c>
      <c r="T454" s="114">
        <v>0.0</v>
      </c>
      <c r="U454" s="114">
        <v>0.0</v>
      </c>
      <c r="V454" s="114">
        <v>0.0</v>
      </c>
      <c r="W454" s="114">
        <v>0.0</v>
      </c>
      <c r="X454" s="114">
        <v>0.0</v>
      </c>
      <c r="Y454" s="114">
        <v>0.0</v>
      </c>
      <c r="Z454" s="114">
        <v>0.0</v>
      </c>
      <c r="AA454" s="114">
        <v>0.0</v>
      </c>
      <c r="AB454" s="114">
        <v>0.0</v>
      </c>
      <c r="AC454" s="114">
        <v>0.0</v>
      </c>
      <c r="AD454" s="114">
        <v>0.0</v>
      </c>
      <c r="AE454" s="114">
        <v>0.0</v>
      </c>
      <c r="AF454" s="114"/>
      <c r="AG454" s="693">
        <f t="shared" si="125"/>
        <v>0</v>
      </c>
    </row>
    <row r="455">
      <c r="A455" s="836" t="s">
        <v>433</v>
      </c>
      <c r="B455" s="219">
        <f t="shared" ref="B455:AF455" si="126">SUM(B452:B454)</f>
        <v>1</v>
      </c>
      <c r="C455" s="219">
        <f t="shared" si="126"/>
        <v>8</v>
      </c>
      <c r="D455" s="219">
        <f t="shared" si="126"/>
        <v>2</v>
      </c>
      <c r="E455" s="219">
        <f t="shared" si="126"/>
        <v>0</v>
      </c>
      <c r="F455" s="219">
        <f t="shared" si="126"/>
        <v>1</v>
      </c>
      <c r="G455" s="219">
        <f t="shared" si="126"/>
        <v>0</v>
      </c>
      <c r="H455" s="219">
        <f t="shared" si="126"/>
        <v>1</v>
      </c>
      <c r="I455" s="219">
        <f t="shared" si="126"/>
        <v>4</v>
      </c>
      <c r="J455" s="219">
        <f t="shared" si="126"/>
        <v>1</v>
      </c>
      <c r="K455" s="219">
        <f t="shared" si="126"/>
        <v>4</v>
      </c>
      <c r="L455" s="219">
        <f t="shared" si="126"/>
        <v>0</v>
      </c>
      <c r="M455" s="219">
        <f t="shared" si="126"/>
        <v>1</v>
      </c>
      <c r="N455" s="219">
        <f t="shared" si="126"/>
        <v>1</v>
      </c>
      <c r="O455" s="219">
        <f t="shared" si="126"/>
        <v>6</v>
      </c>
      <c r="P455" s="219">
        <f t="shared" si="126"/>
        <v>2</v>
      </c>
      <c r="Q455" s="219">
        <f t="shared" si="126"/>
        <v>2</v>
      </c>
      <c r="R455" s="219">
        <f t="shared" si="126"/>
        <v>1</v>
      </c>
      <c r="S455" s="219">
        <f t="shared" si="126"/>
        <v>1</v>
      </c>
      <c r="T455" s="219">
        <f t="shared" si="126"/>
        <v>13</v>
      </c>
      <c r="U455" s="219">
        <f t="shared" si="126"/>
        <v>8</v>
      </c>
      <c r="V455" s="219">
        <f t="shared" si="126"/>
        <v>9</v>
      </c>
      <c r="W455" s="219">
        <f t="shared" si="126"/>
        <v>2</v>
      </c>
      <c r="X455" s="219">
        <f t="shared" si="126"/>
        <v>12</v>
      </c>
      <c r="Y455" s="219">
        <f t="shared" si="126"/>
        <v>0</v>
      </c>
      <c r="Z455" s="219">
        <f t="shared" si="126"/>
        <v>0</v>
      </c>
      <c r="AA455" s="219">
        <f t="shared" si="126"/>
        <v>0</v>
      </c>
      <c r="AB455" s="219">
        <f t="shared" si="126"/>
        <v>2</v>
      </c>
      <c r="AC455" s="219">
        <f t="shared" si="126"/>
        <v>3</v>
      </c>
      <c r="AD455" s="219">
        <f t="shared" si="126"/>
        <v>1</v>
      </c>
      <c r="AE455" s="219">
        <f t="shared" si="126"/>
        <v>3</v>
      </c>
      <c r="AF455" s="219">
        <f t="shared" si="126"/>
        <v>0</v>
      </c>
      <c r="AG455" s="693">
        <f t="shared" si="125"/>
        <v>89</v>
      </c>
    </row>
    <row r="456">
      <c r="A456" s="723"/>
      <c r="B456" s="911"/>
      <c r="C456" s="758"/>
      <c r="D456" s="758"/>
      <c r="E456" s="758"/>
      <c r="F456" s="758"/>
      <c r="G456" s="758"/>
      <c r="H456" s="758"/>
      <c r="I456" s="758"/>
      <c r="J456" s="758"/>
      <c r="K456" s="758"/>
      <c r="L456" s="758"/>
      <c r="M456" s="758"/>
      <c r="N456" s="758"/>
      <c r="O456" s="758"/>
      <c r="P456" s="758"/>
      <c r="Q456" s="758"/>
      <c r="R456" s="758"/>
      <c r="S456" s="758"/>
      <c r="T456" s="758"/>
      <c r="U456" s="758"/>
      <c r="V456" s="758"/>
      <c r="W456" s="758"/>
      <c r="X456" s="758"/>
      <c r="Y456" s="758"/>
      <c r="Z456" s="758"/>
      <c r="AA456" s="758"/>
      <c r="AB456" s="758"/>
      <c r="AC456" s="758"/>
      <c r="AD456" s="758"/>
      <c r="AE456" s="758"/>
      <c r="AF456" s="758"/>
      <c r="AG456" s="453"/>
    </row>
    <row r="457">
      <c r="A457" s="349" t="s">
        <v>310</v>
      </c>
      <c r="B457" s="661"/>
      <c r="C457" s="661"/>
      <c r="D457" s="661"/>
      <c r="E457" s="661"/>
      <c r="F457" s="661"/>
      <c r="G457" s="248"/>
      <c r="H457" s="661"/>
      <c r="I457" s="53"/>
      <c r="J457" s="53"/>
      <c r="K457" s="53"/>
      <c r="L457" s="53"/>
      <c r="M457" s="53"/>
      <c r="N457" s="53"/>
      <c r="O457" s="53"/>
      <c r="P457" s="53"/>
      <c r="Q457" s="53"/>
      <c r="R457" s="53"/>
      <c r="S457" s="53"/>
      <c r="T457" s="53"/>
      <c r="U457" s="53"/>
      <c r="V457" s="53"/>
      <c r="W457" s="53"/>
      <c r="X457" s="53"/>
      <c r="Y457" s="53"/>
      <c r="Z457" s="53"/>
      <c r="AA457" s="53"/>
      <c r="AB457" s="53"/>
      <c r="AC457" s="53"/>
      <c r="AD457" s="53"/>
      <c r="AE457" s="53"/>
      <c r="AF457" s="53"/>
      <c r="AG457" s="453"/>
    </row>
    <row r="458">
      <c r="A458" s="352" t="s">
        <v>1204</v>
      </c>
      <c r="B458" s="248">
        <v>378.0</v>
      </c>
      <c r="C458" s="248">
        <v>310.0</v>
      </c>
      <c r="D458" s="248">
        <v>936.0</v>
      </c>
      <c r="E458" s="248">
        <v>0.0</v>
      </c>
      <c r="F458" s="248">
        <v>0.0</v>
      </c>
      <c r="G458" s="248">
        <v>435.0</v>
      </c>
      <c r="H458" s="248">
        <v>0.0</v>
      </c>
      <c r="I458" s="248">
        <v>677.0</v>
      </c>
      <c r="J458" s="248">
        <v>209.0</v>
      </c>
      <c r="K458" s="248">
        <v>826.68</v>
      </c>
      <c r="L458" s="248">
        <v>0.0</v>
      </c>
      <c r="M458" s="248">
        <v>0.0</v>
      </c>
      <c r="N458" s="248">
        <v>418.0</v>
      </c>
      <c r="O458" s="248">
        <v>681.63</v>
      </c>
      <c r="P458" s="248">
        <v>627.0</v>
      </c>
      <c r="Q458" s="248">
        <v>492.07</v>
      </c>
      <c r="R458" s="248">
        <v>0.0</v>
      </c>
      <c r="S458" s="248">
        <v>0.0</v>
      </c>
      <c r="T458" s="248">
        <v>1361.0</v>
      </c>
      <c r="U458" s="248">
        <v>2782.04</v>
      </c>
      <c r="V458" s="248">
        <v>4025.22</v>
      </c>
      <c r="W458" s="248">
        <v>1637.5</v>
      </c>
      <c r="X458" s="248">
        <v>3103.86</v>
      </c>
      <c r="Y458" s="248">
        <v>5159.14</v>
      </c>
      <c r="Z458" s="248">
        <v>6329.7</v>
      </c>
      <c r="AA458" s="248">
        <v>5470.58</v>
      </c>
      <c r="AB458" s="248">
        <v>5121.37</v>
      </c>
      <c r="AC458" s="248">
        <v>8090.99</v>
      </c>
      <c r="AD458" s="248">
        <v>3379.91</v>
      </c>
      <c r="AE458" s="248">
        <v>3596.12</v>
      </c>
      <c r="AF458" s="248"/>
      <c r="AG458" s="600">
        <f t="shared" ref="AG458:AG461" si="127">SUM(B458:AF458)</f>
        <v>56047.81</v>
      </c>
    </row>
    <row r="459">
      <c r="A459" s="352" t="s">
        <v>1205</v>
      </c>
      <c r="B459" s="597"/>
      <c r="C459" s="597"/>
      <c r="D459" s="597"/>
      <c r="E459" s="597"/>
      <c r="F459" s="597"/>
      <c r="G459" s="597"/>
      <c r="H459" s="597"/>
      <c r="I459" s="597"/>
      <c r="J459" s="597"/>
      <c r="K459" s="597"/>
      <c r="L459" s="597"/>
      <c r="M459" s="597"/>
      <c r="N459" s="597"/>
      <c r="O459" s="597"/>
      <c r="P459" s="597"/>
      <c r="Q459" s="597"/>
      <c r="R459" s="597"/>
      <c r="S459" s="597"/>
      <c r="T459" s="597"/>
      <c r="U459" s="597"/>
      <c r="V459" s="597"/>
      <c r="W459" s="597"/>
      <c r="X459" s="597"/>
      <c r="Y459" s="597"/>
      <c r="Z459" s="597"/>
      <c r="AA459" s="597"/>
      <c r="AB459" s="597"/>
      <c r="AC459" s="597"/>
      <c r="AD459" s="597"/>
      <c r="AE459" s="597"/>
      <c r="AF459" s="597"/>
      <c r="AG459" s="600">
        <f t="shared" si="127"/>
        <v>0</v>
      </c>
    </row>
    <row r="460">
      <c r="A460" s="352" t="s">
        <v>1206</v>
      </c>
      <c r="B460" s="597"/>
      <c r="C460" s="597"/>
      <c r="D460" s="597"/>
      <c r="E460" s="597"/>
      <c r="F460" s="597"/>
      <c r="G460" s="597"/>
      <c r="H460" s="597"/>
      <c r="I460" s="597"/>
      <c r="J460" s="597"/>
      <c r="K460" s="597"/>
      <c r="L460" s="597"/>
      <c r="M460" s="597"/>
      <c r="N460" s="597"/>
      <c r="O460" s="597"/>
      <c r="P460" s="597"/>
      <c r="Q460" s="597"/>
      <c r="R460" s="597"/>
      <c r="S460" s="597"/>
      <c r="T460" s="597"/>
      <c r="U460" s="597"/>
      <c r="V460" s="597"/>
      <c r="W460" s="597"/>
      <c r="X460" s="597"/>
      <c r="Y460" s="597"/>
      <c r="Z460" s="597"/>
      <c r="AA460" s="597"/>
      <c r="AB460" s="597"/>
      <c r="AC460" s="597"/>
      <c r="AD460" s="597"/>
      <c r="AE460" s="597"/>
      <c r="AF460" s="597"/>
      <c r="AG460" s="600">
        <f t="shared" si="127"/>
        <v>0</v>
      </c>
    </row>
    <row r="461">
      <c r="A461" s="826" t="s">
        <v>602</v>
      </c>
      <c r="B461" s="254">
        <f t="shared" ref="B461:AF461" si="128">SUM(B458:B460)</f>
        <v>378</v>
      </c>
      <c r="C461" s="254">
        <f t="shared" si="128"/>
        <v>310</v>
      </c>
      <c r="D461" s="254">
        <f t="shared" si="128"/>
        <v>936</v>
      </c>
      <c r="E461" s="254">
        <f t="shared" si="128"/>
        <v>0</v>
      </c>
      <c r="F461" s="254">
        <f t="shared" si="128"/>
        <v>0</v>
      </c>
      <c r="G461" s="254">
        <f t="shared" si="128"/>
        <v>435</v>
      </c>
      <c r="H461" s="254">
        <f t="shared" si="128"/>
        <v>0</v>
      </c>
      <c r="I461" s="254">
        <f t="shared" si="128"/>
        <v>677</v>
      </c>
      <c r="J461" s="254">
        <f t="shared" si="128"/>
        <v>209</v>
      </c>
      <c r="K461" s="254">
        <f t="shared" si="128"/>
        <v>826.68</v>
      </c>
      <c r="L461" s="254">
        <f t="shared" si="128"/>
        <v>0</v>
      </c>
      <c r="M461" s="254">
        <f t="shared" si="128"/>
        <v>0</v>
      </c>
      <c r="N461" s="254">
        <f t="shared" si="128"/>
        <v>418</v>
      </c>
      <c r="O461" s="254">
        <f t="shared" si="128"/>
        <v>681.63</v>
      </c>
      <c r="P461" s="254">
        <f t="shared" si="128"/>
        <v>627</v>
      </c>
      <c r="Q461" s="254">
        <f t="shared" si="128"/>
        <v>492.07</v>
      </c>
      <c r="R461" s="254">
        <f t="shared" si="128"/>
        <v>0</v>
      </c>
      <c r="S461" s="254">
        <f t="shared" si="128"/>
        <v>0</v>
      </c>
      <c r="T461" s="254">
        <f t="shared" si="128"/>
        <v>1361</v>
      </c>
      <c r="U461" s="254">
        <f t="shared" si="128"/>
        <v>2782.04</v>
      </c>
      <c r="V461" s="254">
        <f t="shared" si="128"/>
        <v>4025.22</v>
      </c>
      <c r="W461" s="254">
        <f t="shared" si="128"/>
        <v>1637.5</v>
      </c>
      <c r="X461" s="254">
        <f t="shared" si="128"/>
        <v>3103.86</v>
      </c>
      <c r="Y461" s="254">
        <f t="shared" si="128"/>
        <v>5159.14</v>
      </c>
      <c r="Z461" s="254">
        <f t="shared" si="128"/>
        <v>6329.7</v>
      </c>
      <c r="AA461" s="254">
        <f t="shared" si="128"/>
        <v>5470.58</v>
      </c>
      <c r="AB461" s="254">
        <f t="shared" si="128"/>
        <v>5121.37</v>
      </c>
      <c r="AC461" s="254">
        <f t="shared" si="128"/>
        <v>8090.99</v>
      </c>
      <c r="AD461" s="254">
        <f t="shared" si="128"/>
        <v>3379.91</v>
      </c>
      <c r="AE461" s="254">
        <f t="shared" si="128"/>
        <v>3596.12</v>
      </c>
      <c r="AF461" s="254">
        <f t="shared" si="128"/>
        <v>0</v>
      </c>
      <c r="AG461" s="600">
        <f t="shared" si="127"/>
        <v>56047.81</v>
      </c>
    </row>
    <row r="462">
      <c r="A462" s="723"/>
      <c r="B462" s="758"/>
      <c r="C462" s="758"/>
      <c r="D462" s="758"/>
      <c r="E462" s="758"/>
      <c r="F462" s="758"/>
      <c r="G462" s="758"/>
      <c r="H462" s="758"/>
      <c r="I462" s="758"/>
      <c r="J462" s="758"/>
      <c r="K462" s="758"/>
      <c r="L462" s="758"/>
      <c r="M462" s="758"/>
      <c r="N462" s="758"/>
      <c r="O462" s="758"/>
      <c r="P462" s="758"/>
      <c r="Q462" s="758"/>
      <c r="R462" s="758"/>
      <c r="S462" s="758"/>
      <c r="T462" s="758"/>
      <c r="U462" s="758"/>
      <c r="V462" s="758"/>
      <c r="W462" s="758"/>
      <c r="X462" s="758"/>
      <c r="Y462" s="758"/>
      <c r="Z462" s="758"/>
      <c r="AA462" s="758"/>
      <c r="AB462" s="758"/>
      <c r="AC462" s="758"/>
      <c r="AD462" s="758"/>
      <c r="AE462" s="758"/>
      <c r="AF462" s="758"/>
      <c r="AG462" s="600"/>
    </row>
    <row r="463">
      <c r="A463" s="352" t="s">
        <v>484</v>
      </c>
      <c r="B463" s="248">
        <v>0.0</v>
      </c>
      <c r="C463" s="248">
        <v>18.0</v>
      </c>
      <c r="D463" s="248">
        <v>233.0</v>
      </c>
      <c r="E463" s="248">
        <v>0.0</v>
      </c>
      <c r="F463" s="248">
        <v>0.0</v>
      </c>
      <c r="G463" s="248">
        <v>0.0</v>
      </c>
      <c r="H463" s="248">
        <v>0.0</v>
      </c>
      <c r="I463" s="248">
        <v>0.0</v>
      </c>
      <c r="J463" s="248">
        <v>0.0</v>
      </c>
      <c r="K463" s="248">
        <v>24.0</v>
      </c>
      <c r="L463" s="248">
        <v>0.0</v>
      </c>
      <c r="M463" s="248">
        <v>0.0</v>
      </c>
      <c r="N463" s="248">
        <v>0.0</v>
      </c>
      <c r="O463" s="248">
        <v>0.0</v>
      </c>
      <c r="P463" s="248">
        <v>0.0</v>
      </c>
      <c r="Q463" s="248">
        <v>0.0</v>
      </c>
      <c r="R463" s="248">
        <v>0.0</v>
      </c>
      <c r="S463" s="248">
        <v>0.0</v>
      </c>
      <c r="T463" s="248">
        <v>0.0</v>
      </c>
      <c r="U463" s="248">
        <v>268.0</v>
      </c>
      <c r="V463" s="248">
        <v>256.2</v>
      </c>
      <c r="W463" s="248">
        <v>378.0</v>
      </c>
      <c r="X463" s="248">
        <v>0.0</v>
      </c>
      <c r="Y463" s="248">
        <v>0.0</v>
      </c>
      <c r="Z463" s="248">
        <v>169.0</v>
      </c>
      <c r="AA463" s="248">
        <v>0.0</v>
      </c>
      <c r="AB463" s="248">
        <v>0.0</v>
      </c>
      <c r="AC463" s="248">
        <v>0.0</v>
      </c>
      <c r="AD463" s="248">
        <v>0.0</v>
      </c>
      <c r="AE463" s="248">
        <v>0.0</v>
      </c>
      <c r="AF463" s="248"/>
      <c r="AG463" s="600">
        <f t="shared" ref="AG463:AG466" si="129">SUM(B463:AF463)</f>
        <v>1346.2</v>
      </c>
    </row>
    <row r="464">
      <c r="A464" s="352" t="s">
        <v>486</v>
      </c>
      <c r="B464" s="248">
        <v>0.0</v>
      </c>
      <c r="C464" s="248">
        <v>32.0</v>
      </c>
      <c r="D464" s="248">
        <v>35.0</v>
      </c>
      <c r="E464" s="248">
        <v>0.0</v>
      </c>
      <c r="F464" s="248">
        <v>0.0</v>
      </c>
      <c r="G464" s="248">
        <v>0.0</v>
      </c>
      <c r="H464" s="248">
        <v>0.0</v>
      </c>
      <c r="I464" s="248">
        <v>0.0</v>
      </c>
      <c r="J464" s="248">
        <v>0.0</v>
      </c>
      <c r="K464" s="248">
        <v>10.0</v>
      </c>
      <c r="L464" s="248">
        <v>0.0</v>
      </c>
      <c r="M464" s="248">
        <v>0.0</v>
      </c>
      <c r="N464" s="248">
        <v>0.0</v>
      </c>
      <c r="O464" s="248">
        <v>0.0</v>
      </c>
      <c r="P464" s="248">
        <v>0.0</v>
      </c>
      <c r="Q464" s="248">
        <v>0.0</v>
      </c>
      <c r="R464" s="248">
        <v>0.0</v>
      </c>
      <c r="S464" s="248">
        <v>0.0</v>
      </c>
      <c r="T464" s="248">
        <v>0.0</v>
      </c>
      <c r="U464" s="248">
        <v>35.0</v>
      </c>
      <c r="V464" s="248">
        <f>35+10+13.4</f>
        <v>58.4</v>
      </c>
      <c r="W464" s="248">
        <f>70</f>
        <v>70</v>
      </c>
      <c r="X464" s="248">
        <v>0.0</v>
      </c>
      <c r="Y464" s="248">
        <v>0.0</v>
      </c>
      <c r="Z464" s="248">
        <v>35.0</v>
      </c>
      <c r="AA464" s="248">
        <v>0.0</v>
      </c>
      <c r="AB464" s="248">
        <v>0.0</v>
      </c>
      <c r="AC464" s="248">
        <v>0.0</v>
      </c>
      <c r="AD464" s="248">
        <v>0.0</v>
      </c>
      <c r="AE464" s="248">
        <v>0.0</v>
      </c>
      <c r="AF464" s="248"/>
      <c r="AG464" s="600">
        <f t="shared" si="129"/>
        <v>275.4</v>
      </c>
    </row>
    <row r="465">
      <c r="A465" s="352" t="s">
        <v>487</v>
      </c>
      <c r="B465" s="248">
        <f t="shared" ref="B465:AF465" si="130">B463*0.22</f>
        <v>0</v>
      </c>
      <c r="C465" s="248">
        <f t="shared" si="130"/>
        <v>3.96</v>
      </c>
      <c r="D465" s="248">
        <f t="shared" si="130"/>
        <v>51.26</v>
      </c>
      <c r="E465" s="248">
        <f t="shared" si="130"/>
        <v>0</v>
      </c>
      <c r="F465" s="248">
        <f t="shared" si="130"/>
        <v>0</v>
      </c>
      <c r="G465" s="248">
        <f t="shared" si="130"/>
        <v>0</v>
      </c>
      <c r="H465" s="248">
        <f t="shared" si="130"/>
        <v>0</v>
      </c>
      <c r="I465" s="248">
        <f t="shared" si="130"/>
        <v>0</v>
      </c>
      <c r="J465" s="248">
        <f t="shared" si="130"/>
        <v>0</v>
      </c>
      <c r="K465" s="248">
        <f t="shared" si="130"/>
        <v>5.28</v>
      </c>
      <c r="L465" s="248">
        <f t="shared" si="130"/>
        <v>0</v>
      </c>
      <c r="M465" s="248">
        <f t="shared" si="130"/>
        <v>0</v>
      </c>
      <c r="N465" s="248">
        <f t="shared" si="130"/>
        <v>0</v>
      </c>
      <c r="O465" s="248">
        <f t="shared" si="130"/>
        <v>0</v>
      </c>
      <c r="P465" s="248">
        <f t="shared" si="130"/>
        <v>0</v>
      </c>
      <c r="Q465" s="248">
        <f t="shared" si="130"/>
        <v>0</v>
      </c>
      <c r="R465" s="248">
        <f t="shared" si="130"/>
        <v>0</v>
      </c>
      <c r="S465" s="248">
        <f t="shared" si="130"/>
        <v>0</v>
      </c>
      <c r="T465" s="248">
        <f t="shared" si="130"/>
        <v>0</v>
      </c>
      <c r="U465" s="248">
        <f t="shared" si="130"/>
        <v>58.96</v>
      </c>
      <c r="V465" s="248">
        <f t="shared" si="130"/>
        <v>56.364</v>
      </c>
      <c r="W465" s="248">
        <f t="shared" si="130"/>
        <v>83.16</v>
      </c>
      <c r="X465" s="248">
        <f t="shared" si="130"/>
        <v>0</v>
      </c>
      <c r="Y465" s="248">
        <f t="shared" si="130"/>
        <v>0</v>
      </c>
      <c r="Z465" s="248">
        <f t="shared" si="130"/>
        <v>37.18</v>
      </c>
      <c r="AA465" s="248">
        <f t="shared" si="130"/>
        <v>0</v>
      </c>
      <c r="AB465" s="248">
        <f t="shared" si="130"/>
        <v>0</v>
      </c>
      <c r="AC465" s="248">
        <f t="shared" si="130"/>
        <v>0</v>
      </c>
      <c r="AD465" s="248">
        <f t="shared" si="130"/>
        <v>0</v>
      </c>
      <c r="AE465" s="248">
        <f t="shared" si="130"/>
        <v>0</v>
      </c>
      <c r="AF465" s="248">
        <f t="shared" si="130"/>
        <v>0</v>
      </c>
      <c r="AG465" s="600">
        <f t="shared" si="129"/>
        <v>296.164</v>
      </c>
    </row>
    <row r="466">
      <c r="A466" s="826" t="s">
        <v>1052</v>
      </c>
      <c r="B466" s="254">
        <f t="shared" ref="B466:AF466" si="131">B463+B464</f>
        <v>0</v>
      </c>
      <c r="C466" s="254">
        <f t="shared" si="131"/>
        <v>50</v>
      </c>
      <c r="D466" s="254">
        <f t="shared" si="131"/>
        <v>268</v>
      </c>
      <c r="E466" s="254">
        <f t="shared" si="131"/>
        <v>0</v>
      </c>
      <c r="F466" s="254">
        <f t="shared" si="131"/>
        <v>0</v>
      </c>
      <c r="G466" s="254">
        <f t="shared" si="131"/>
        <v>0</v>
      </c>
      <c r="H466" s="254">
        <f t="shared" si="131"/>
        <v>0</v>
      </c>
      <c r="I466" s="254">
        <f t="shared" si="131"/>
        <v>0</v>
      </c>
      <c r="J466" s="254">
        <f t="shared" si="131"/>
        <v>0</v>
      </c>
      <c r="K466" s="254">
        <f t="shared" si="131"/>
        <v>34</v>
      </c>
      <c r="L466" s="254">
        <f t="shared" si="131"/>
        <v>0</v>
      </c>
      <c r="M466" s="254">
        <f t="shared" si="131"/>
        <v>0</v>
      </c>
      <c r="N466" s="254">
        <f t="shared" si="131"/>
        <v>0</v>
      </c>
      <c r="O466" s="254">
        <f t="shared" si="131"/>
        <v>0</v>
      </c>
      <c r="P466" s="254">
        <f t="shared" si="131"/>
        <v>0</v>
      </c>
      <c r="Q466" s="254">
        <f t="shared" si="131"/>
        <v>0</v>
      </c>
      <c r="R466" s="254">
        <f t="shared" si="131"/>
        <v>0</v>
      </c>
      <c r="S466" s="254">
        <f t="shared" si="131"/>
        <v>0</v>
      </c>
      <c r="T466" s="254">
        <f t="shared" si="131"/>
        <v>0</v>
      </c>
      <c r="U466" s="254">
        <f t="shared" si="131"/>
        <v>303</v>
      </c>
      <c r="V466" s="254">
        <f t="shared" si="131"/>
        <v>314.6</v>
      </c>
      <c r="W466" s="254">
        <f t="shared" si="131"/>
        <v>448</v>
      </c>
      <c r="X466" s="254">
        <f t="shared" si="131"/>
        <v>0</v>
      </c>
      <c r="Y466" s="254">
        <f t="shared" si="131"/>
        <v>0</v>
      </c>
      <c r="Z466" s="254">
        <f t="shared" si="131"/>
        <v>204</v>
      </c>
      <c r="AA466" s="254">
        <f t="shared" si="131"/>
        <v>0</v>
      </c>
      <c r="AB466" s="254">
        <f t="shared" si="131"/>
        <v>0</v>
      </c>
      <c r="AC466" s="254">
        <f t="shared" si="131"/>
        <v>0</v>
      </c>
      <c r="AD466" s="254">
        <f t="shared" si="131"/>
        <v>0</v>
      </c>
      <c r="AE466" s="254">
        <f t="shared" si="131"/>
        <v>0</v>
      </c>
      <c r="AF466" s="254">
        <f t="shared" si="131"/>
        <v>0</v>
      </c>
      <c r="AG466" s="600">
        <f t="shared" si="129"/>
        <v>1621.6</v>
      </c>
    </row>
    <row r="467">
      <c r="A467" s="723"/>
      <c r="B467" s="114"/>
      <c r="C467" s="114"/>
      <c r="D467" s="114"/>
      <c r="E467" s="114"/>
      <c r="F467" s="114"/>
      <c r="G467" s="114"/>
      <c r="H467" s="114"/>
      <c r="I467" s="114"/>
      <c r="J467" s="114"/>
      <c r="K467" s="114"/>
      <c r="L467" s="114"/>
      <c r="M467" s="114"/>
      <c r="N467" s="114"/>
      <c r="O467" s="699"/>
      <c r="P467" s="699"/>
      <c r="Q467" s="699"/>
      <c r="R467" s="699"/>
      <c r="S467" s="699"/>
      <c r="T467" s="699"/>
      <c r="U467" s="699"/>
      <c r="V467" s="699"/>
      <c r="W467" s="699"/>
      <c r="X467" s="699"/>
      <c r="Y467" s="699"/>
      <c r="Z467" s="699"/>
      <c r="AA467" s="699"/>
      <c r="AB467" s="699"/>
      <c r="AC467" s="699"/>
      <c r="AD467" s="699"/>
      <c r="AE467" s="699"/>
      <c r="AF467" s="699"/>
      <c r="AG467" s="600"/>
    </row>
    <row r="468">
      <c r="A468" s="352" t="s">
        <v>1207</v>
      </c>
      <c r="B468" s="597"/>
      <c r="C468" s="597"/>
      <c r="D468" s="597"/>
      <c r="E468" s="597"/>
      <c r="F468" s="597"/>
      <c r="G468" s="597"/>
      <c r="H468" s="597"/>
      <c r="I468" s="597"/>
      <c r="J468" s="597"/>
      <c r="K468" s="597"/>
      <c r="L468" s="597"/>
      <c r="M468" s="597"/>
      <c r="N468" s="597"/>
      <c r="O468" s="597"/>
      <c r="P468" s="597"/>
      <c r="Q468" s="597"/>
      <c r="R468" s="597"/>
      <c r="S468" s="597"/>
      <c r="T468" s="597"/>
      <c r="U468" s="597"/>
      <c r="V468" s="597"/>
      <c r="W468" s="597"/>
      <c r="X468" s="597"/>
      <c r="Y468" s="597"/>
      <c r="Z468" s="597"/>
      <c r="AA468" s="597"/>
      <c r="AB468" s="597"/>
      <c r="AC468" s="597"/>
      <c r="AD468" s="597"/>
      <c r="AE468" s="597"/>
      <c r="AF468" s="597"/>
      <c r="AG468" s="600">
        <f t="shared" ref="AG468:AG471" si="132">SUM(B468:AF468)</f>
        <v>0</v>
      </c>
    </row>
    <row r="469">
      <c r="A469" s="352" t="s">
        <v>1209</v>
      </c>
      <c r="B469" s="597"/>
      <c r="C469" s="597"/>
      <c r="D469" s="597"/>
      <c r="E469" s="597"/>
      <c r="F469" s="597"/>
      <c r="G469" s="597"/>
      <c r="H469" s="597"/>
      <c r="I469" s="597"/>
      <c r="J469" s="597"/>
      <c r="K469" s="597"/>
      <c r="L469" s="597"/>
      <c r="M469" s="597"/>
      <c r="N469" s="597"/>
      <c r="O469" s="597"/>
      <c r="P469" s="597"/>
      <c r="Q469" s="597"/>
      <c r="R469" s="597"/>
      <c r="S469" s="597"/>
      <c r="T469" s="597"/>
      <c r="U469" s="597"/>
      <c r="V469" s="597"/>
      <c r="W469" s="597"/>
      <c r="X469" s="597"/>
      <c r="Y469" s="597"/>
      <c r="Z469" s="597"/>
      <c r="AA469" s="597"/>
      <c r="AB469" s="597"/>
      <c r="AC469" s="597"/>
      <c r="AD469" s="597"/>
      <c r="AE469" s="597"/>
      <c r="AF469" s="597"/>
      <c r="AG469" s="600">
        <f t="shared" si="132"/>
        <v>0</v>
      </c>
    </row>
    <row r="470">
      <c r="A470" s="352" t="s">
        <v>1210</v>
      </c>
      <c r="B470" s="597"/>
      <c r="C470" s="597"/>
      <c r="D470" s="597"/>
      <c r="E470" s="597"/>
      <c r="F470" s="597"/>
      <c r="G470" s="597"/>
      <c r="H470" s="597"/>
      <c r="I470" s="597"/>
      <c r="J470" s="597"/>
      <c r="K470" s="597"/>
      <c r="L470" s="597"/>
      <c r="M470" s="597"/>
      <c r="N470" s="597"/>
      <c r="O470" s="597"/>
      <c r="P470" s="597"/>
      <c r="Q470" s="597"/>
      <c r="R470" s="597"/>
      <c r="S470" s="597"/>
      <c r="T470" s="597"/>
      <c r="U470" s="597"/>
      <c r="V470" s="597"/>
      <c r="W470" s="597"/>
      <c r="X470" s="597"/>
      <c r="Y470" s="597"/>
      <c r="Z470" s="597"/>
      <c r="AA470" s="597"/>
      <c r="AB470" s="597"/>
      <c r="AC470" s="597"/>
      <c r="AD470" s="597"/>
      <c r="AE470" s="597"/>
      <c r="AF470" s="597"/>
      <c r="AG470" s="600">
        <f t="shared" si="132"/>
        <v>0</v>
      </c>
    </row>
    <row r="471">
      <c r="A471" s="826" t="s">
        <v>1066</v>
      </c>
      <c r="B471" s="254">
        <f t="shared" ref="B471:AF471" si="133">B468+B469+B470</f>
        <v>0</v>
      </c>
      <c r="C471" s="254">
        <f t="shared" si="133"/>
        <v>0</v>
      </c>
      <c r="D471" s="254">
        <f t="shared" si="133"/>
        <v>0</v>
      </c>
      <c r="E471" s="254">
        <f t="shared" si="133"/>
        <v>0</v>
      </c>
      <c r="F471" s="254">
        <f t="shared" si="133"/>
        <v>0</v>
      </c>
      <c r="G471" s="254">
        <f t="shared" si="133"/>
        <v>0</v>
      </c>
      <c r="H471" s="254">
        <f t="shared" si="133"/>
        <v>0</v>
      </c>
      <c r="I471" s="254">
        <f t="shared" si="133"/>
        <v>0</v>
      </c>
      <c r="J471" s="254">
        <f t="shared" si="133"/>
        <v>0</v>
      </c>
      <c r="K471" s="254">
        <f t="shared" si="133"/>
        <v>0</v>
      </c>
      <c r="L471" s="254">
        <f t="shared" si="133"/>
        <v>0</v>
      </c>
      <c r="M471" s="254">
        <f t="shared" si="133"/>
        <v>0</v>
      </c>
      <c r="N471" s="254">
        <f t="shared" si="133"/>
        <v>0</v>
      </c>
      <c r="O471" s="254">
        <f t="shared" si="133"/>
        <v>0</v>
      </c>
      <c r="P471" s="254">
        <f t="shared" si="133"/>
        <v>0</v>
      </c>
      <c r="Q471" s="254">
        <f t="shared" si="133"/>
        <v>0</v>
      </c>
      <c r="R471" s="254">
        <f t="shared" si="133"/>
        <v>0</v>
      </c>
      <c r="S471" s="254">
        <f t="shared" si="133"/>
        <v>0</v>
      </c>
      <c r="T471" s="254">
        <f t="shared" si="133"/>
        <v>0</v>
      </c>
      <c r="U471" s="254">
        <f t="shared" si="133"/>
        <v>0</v>
      </c>
      <c r="V471" s="254">
        <f t="shared" si="133"/>
        <v>0</v>
      </c>
      <c r="W471" s="254">
        <f t="shared" si="133"/>
        <v>0</v>
      </c>
      <c r="X471" s="254">
        <f t="shared" si="133"/>
        <v>0</v>
      </c>
      <c r="Y471" s="254">
        <f t="shared" si="133"/>
        <v>0</v>
      </c>
      <c r="Z471" s="254">
        <f t="shared" si="133"/>
        <v>0</v>
      </c>
      <c r="AA471" s="254">
        <f t="shared" si="133"/>
        <v>0</v>
      </c>
      <c r="AB471" s="254">
        <f t="shared" si="133"/>
        <v>0</v>
      </c>
      <c r="AC471" s="254">
        <f t="shared" si="133"/>
        <v>0</v>
      </c>
      <c r="AD471" s="254">
        <f t="shared" si="133"/>
        <v>0</v>
      </c>
      <c r="AE471" s="254">
        <f t="shared" si="133"/>
        <v>0</v>
      </c>
      <c r="AF471" s="254">
        <f t="shared" si="133"/>
        <v>0</v>
      </c>
      <c r="AG471" s="600">
        <f t="shared" si="132"/>
        <v>0</v>
      </c>
    </row>
    <row r="472">
      <c r="A472" s="723"/>
      <c r="B472" s="758"/>
      <c r="C472" s="758"/>
      <c r="D472" s="758"/>
      <c r="E472" s="758"/>
      <c r="F472" s="758"/>
      <c r="G472" s="758"/>
      <c r="H472" s="758"/>
      <c r="I472" s="758"/>
      <c r="J472" s="758"/>
      <c r="K472" s="758"/>
      <c r="L472" s="758"/>
      <c r="M472" s="758"/>
      <c r="N472" s="758"/>
      <c r="O472" s="758"/>
      <c r="P472" s="758"/>
      <c r="Q472" s="758"/>
      <c r="R472" s="758"/>
      <c r="S472" s="758"/>
      <c r="T472" s="758"/>
      <c r="U472" s="758"/>
      <c r="V472" s="758"/>
      <c r="W472" s="758"/>
      <c r="X472" s="758"/>
      <c r="Y472" s="758"/>
      <c r="Z472" s="758"/>
      <c r="AA472" s="758"/>
      <c r="AB472" s="758"/>
      <c r="AC472" s="758"/>
      <c r="AD472" s="758"/>
      <c r="AE472" s="758"/>
      <c r="AF472" s="758"/>
      <c r="AG472" s="453"/>
    </row>
    <row r="473">
      <c r="A473" s="349" t="s">
        <v>1142</v>
      </c>
      <c r="B473" s="758"/>
      <c r="C473" s="758"/>
      <c r="D473" s="758"/>
      <c r="E473" s="758"/>
      <c r="F473" s="758"/>
      <c r="G473" s="758"/>
      <c r="H473" s="758"/>
      <c r="I473" s="758"/>
      <c r="J473" s="758"/>
      <c r="K473" s="758"/>
      <c r="L473" s="758"/>
      <c r="M473" s="758"/>
      <c r="N473" s="758"/>
      <c r="O473" s="758"/>
      <c r="P473" s="758"/>
      <c r="Q473" s="758"/>
      <c r="R473" s="758"/>
      <c r="S473" s="758"/>
      <c r="T473" s="758"/>
      <c r="U473" s="758"/>
      <c r="V473" s="758"/>
      <c r="W473" s="758"/>
      <c r="X473" s="758"/>
      <c r="Y473" s="758"/>
      <c r="Z473" s="758"/>
      <c r="AA473" s="758"/>
      <c r="AB473" s="758"/>
      <c r="AC473" s="758"/>
      <c r="AD473" s="758"/>
      <c r="AE473" s="758"/>
      <c r="AF473" s="758"/>
      <c r="AG473" s="453"/>
    </row>
    <row r="474">
      <c r="A474" s="352" t="s">
        <v>1204</v>
      </c>
      <c r="B474" s="248">
        <v>0.0</v>
      </c>
      <c r="C474" s="248">
        <v>1548.95</v>
      </c>
      <c r="D474" s="248">
        <v>271.1</v>
      </c>
      <c r="E474" s="852">
        <v>0.0</v>
      </c>
      <c r="F474" s="852">
        <v>201.8</v>
      </c>
      <c r="G474" s="852">
        <v>0.0</v>
      </c>
      <c r="H474" s="852">
        <v>223.0</v>
      </c>
      <c r="I474" s="852">
        <v>3063.65</v>
      </c>
      <c r="J474" s="852">
        <v>0.0</v>
      </c>
      <c r="K474" s="852">
        <v>0.0</v>
      </c>
      <c r="L474" s="248">
        <v>0.0</v>
      </c>
      <c r="M474" s="852">
        <v>70.0</v>
      </c>
      <c r="N474" s="852">
        <v>259.0</v>
      </c>
      <c r="O474" s="852">
        <v>841.0</v>
      </c>
      <c r="P474" s="852">
        <v>293.0</v>
      </c>
      <c r="Q474" s="852">
        <v>468.0</v>
      </c>
      <c r="R474" s="852">
        <v>271.11</v>
      </c>
      <c r="S474" s="852">
        <v>24.0</v>
      </c>
      <c r="T474" s="852">
        <v>3122.0</v>
      </c>
      <c r="U474" s="852">
        <v>1430.65</v>
      </c>
      <c r="V474" s="852">
        <v>1947.65</v>
      </c>
      <c r="W474" s="852">
        <v>566.0</v>
      </c>
      <c r="X474" s="248">
        <v>2761.75</v>
      </c>
      <c r="Y474" s="852">
        <v>0.0</v>
      </c>
      <c r="Z474" s="852">
        <v>0.0</v>
      </c>
      <c r="AA474" s="852">
        <v>0.0</v>
      </c>
      <c r="AB474" s="852">
        <v>100.0</v>
      </c>
      <c r="AC474" s="852">
        <v>571.0</v>
      </c>
      <c r="AD474" s="248">
        <v>169.0</v>
      </c>
      <c r="AE474" s="852">
        <v>625.0</v>
      </c>
      <c r="AF474" s="852"/>
      <c r="AG474" s="600">
        <f t="shared" ref="AG474:AG477" si="134">SUM(B474:AF474)</f>
        <v>18827.66</v>
      </c>
    </row>
    <row r="475">
      <c r="A475" s="352" t="s">
        <v>1205</v>
      </c>
      <c r="B475" s="777"/>
      <c r="C475" s="777"/>
      <c r="D475" s="777"/>
      <c r="E475" s="777"/>
      <c r="F475" s="777"/>
      <c r="G475" s="448"/>
      <c r="H475" s="448"/>
      <c r="I475" s="448"/>
      <c r="J475" s="448"/>
      <c r="K475" s="777"/>
      <c r="L475" s="448"/>
      <c r="M475" s="448"/>
      <c r="N475" s="448"/>
      <c r="O475" s="448"/>
      <c r="P475" s="448"/>
      <c r="Q475" s="448"/>
      <c r="R475" s="448"/>
      <c r="S475" s="448"/>
      <c r="T475" s="448"/>
      <c r="U475" s="448"/>
      <c r="V475" s="448"/>
      <c r="W475" s="448"/>
      <c r="X475" s="448"/>
      <c r="Y475" s="448"/>
      <c r="Z475" s="448"/>
      <c r="AA475" s="448"/>
      <c r="AB475" s="448"/>
      <c r="AC475" s="448"/>
      <c r="AD475" s="448"/>
      <c r="AE475" s="448"/>
      <c r="AF475" s="448"/>
      <c r="AG475" s="600">
        <f t="shared" si="134"/>
        <v>0</v>
      </c>
    </row>
    <row r="476">
      <c r="A476" s="352" t="s">
        <v>1206</v>
      </c>
      <c r="B476" s="777"/>
      <c r="C476" s="777"/>
      <c r="D476" s="777"/>
      <c r="E476" s="777"/>
      <c r="F476" s="777"/>
      <c r="G476" s="448"/>
      <c r="H476" s="448"/>
      <c r="I476" s="448"/>
      <c r="J476" s="448"/>
      <c r="K476" s="777"/>
      <c r="L476" s="448"/>
      <c r="M476" s="448"/>
      <c r="N476" s="448"/>
      <c r="O476" s="448"/>
      <c r="P476" s="448"/>
      <c r="Q476" s="448"/>
      <c r="R476" s="448"/>
      <c r="S476" s="448"/>
      <c r="T476" s="448"/>
      <c r="U476" s="448"/>
      <c r="V476" s="448"/>
      <c r="W476" s="448"/>
      <c r="X476" s="448"/>
      <c r="Y476" s="448"/>
      <c r="Z476" s="448"/>
      <c r="AA476" s="448"/>
      <c r="AB476" s="448"/>
      <c r="AC476" s="448"/>
      <c r="AD476" s="448"/>
      <c r="AE476" s="448"/>
      <c r="AF476" s="448"/>
      <c r="AG476" s="600">
        <f t="shared" si="134"/>
        <v>0</v>
      </c>
    </row>
    <row r="477">
      <c r="A477" s="826" t="s">
        <v>602</v>
      </c>
      <c r="B477" s="855">
        <f t="shared" ref="B477:AF477" si="135">sum(B474:B476)</f>
        <v>0</v>
      </c>
      <c r="C477" s="855">
        <f t="shared" si="135"/>
        <v>1548.95</v>
      </c>
      <c r="D477" s="855">
        <f t="shared" si="135"/>
        <v>271.1</v>
      </c>
      <c r="E477" s="855">
        <f t="shared" si="135"/>
        <v>0</v>
      </c>
      <c r="F477" s="855">
        <f t="shared" si="135"/>
        <v>201.8</v>
      </c>
      <c r="G477" s="855">
        <f t="shared" si="135"/>
        <v>0</v>
      </c>
      <c r="H477" s="855">
        <f t="shared" si="135"/>
        <v>223</v>
      </c>
      <c r="I477" s="855">
        <f t="shared" si="135"/>
        <v>3063.65</v>
      </c>
      <c r="J477" s="855">
        <f t="shared" si="135"/>
        <v>0</v>
      </c>
      <c r="K477" s="855">
        <f t="shared" si="135"/>
        <v>0</v>
      </c>
      <c r="L477" s="855">
        <f t="shared" si="135"/>
        <v>0</v>
      </c>
      <c r="M477" s="855">
        <f t="shared" si="135"/>
        <v>70</v>
      </c>
      <c r="N477" s="855">
        <f t="shared" si="135"/>
        <v>259</v>
      </c>
      <c r="O477" s="855">
        <f t="shared" si="135"/>
        <v>841</v>
      </c>
      <c r="P477" s="855">
        <f t="shared" si="135"/>
        <v>293</v>
      </c>
      <c r="Q477" s="855">
        <f t="shared" si="135"/>
        <v>468</v>
      </c>
      <c r="R477" s="855">
        <f t="shared" si="135"/>
        <v>271.11</v>
      </c>
      <c r="S477" s="855">
        <f t="shared" si="135"/>
        <v>24</v>
      </c>
      <c r="T477" s="855">
        <f t="shared" si="135"/>
        <v>3122</v>
      </c>
      <c r="U477" s="855">
        <f t="shared" si="135"/>
        <v>1430.65</v>
      </c>
      <c r="V477" s="855">
        <f t="shared" si="135"/>
        <v>1947.65</v>
      </c>
      <c r="W477" s="855">
        <f t="shared" si="135"/>
        <v>566</v>
      </c>
      <c r="X477" s="855">
        <f t="shared" si="135"/>
        <v>2761.75</v>
      </c>
      <c r="Y477" s="855">
        <f t="shared" si="135"/>
        <v>0</v>
      </c>
      <c r="Z477" s="855">
        <f t="shared" si="135"/>
        <v>0</v>
      </c>
      <c r="AA477" s="855">
        <f t="shared" si="135"/>
        <v>0</v>
      </c>
      <c r="AB477" s="855">
        <f t="shared" si="135"/>
        <v>100</v>
      </c>
      <c r="AC477" s="855">
        <f t="shared" si="135"/>
        <v>571</v>
      </c>
      <c r="AD477" s="855">
        <f t="shared" si="135"/>
        <v>169</v>
      </c>
      <c r="AE477" s="855">
        <f t="shared" si="135"/>
        <v>625</v>
      </c>
      <c r="AF477" s="855">
        <f t="shared" si="135"/>
        <v>0</v>
      </c>
      <c r="AG477" s="600">
        <f t="shared" si="134"/>
        <v>18827.66</v>
      </c>
    </row>
    <row r="478">
      <c r="A478" s="723"/>
      <c r="B478" s="922"/>
      <c r="C478" s="922"/>
      <c r="D478" s="922"/>
      <c r="E478" s="922"/>
      <c r="F478" s="922"/>
      <c r="G478" s="922"/>
      <c r="H478" s="922"/>
      <c r="I478" s="922"/>
      <c r="J478" s="922"/>
      <c r="K478" s="922"/>
      <c r="L478" s="922"/>
      <c r="M478" s="922"/>
      <c r="N478" s="922"/>
      <c r="O478" s="922"/>
      <c r="P478" s="922"/>
      <c r="Q478" s="922"/>
      <c r="R478" s="922"/>
      <c r="S478" s="922"/>
      <c r="T478" s="922"/>
      <c r="U478" s="922"/>
      <c r="V478" s="922"/>
      <c r="W478" s="922"/>
      <c r="X478" s="922"/>
      <c r="Y478" s="922"/>
      <c r="Z478" s="922"/>
      <c r="AA478" s="922"/>
      <c r="AB478" s="922"/>
      <c r="AC478" s="922"/>
      <c r="AD478" s="922"/>
      <c r="AE478" s="922"/>
      <c r="AF478" s="922"/>
      <c r="AG478" s="453"/>
    </row>
    <row r="479">
      <c r="A479" s="352" t="s">
        <v>484</v>
      </c>
      <c r="B479" s="248">
        <v>199.0</v>
      </c>
      <c r="C479" s="248">
        <v>188.0</v>
      </c>
      <c r="D479" s="248">
        <v>0.0</v>
      </c>
      <c r="E479" s="852">
        <v>0.0</v>
      </c>
      <c r="F479" s="248">
        <v>0.0</v>
      </c>
      <c r="G479" s="248">
        <v>0.0</v>
      </c>
      <c r="H479" s="852">
        <v>0.0</v>
      </c>
      <c r="I479" s="852">
        <v>0.0</v>
      </c>
      <c r="J479" s="852">
        <v>299.0</v>
      </c>
      <c r="K479" s="852">
        <v>0.0</v>
      </c>
      <c r="L479" s="852">
        <v>0.0</v>
      </c>
      <c r="M479" s="852">
        <v>0.0</v>
      </c>
      <c r="N479" s="852">
        <v>0.0</v>
      </c>
      <c r="O479" s="852">
        <v>609.0</v>
      </c>
      <c r="P479" s="852">
        <v>0.0</v>
      </c>
      <c r="Q479" s="852">
        <v>0.0</v>
      </c>
      <c r="R479" s="248">
        <v>0.0</v>
      </c>
      <c r="S479" s="248">
        <v>0.0</v>
      </c>
      <c r="T479" s="852">
        <v>0.0</v>
      </c>
      <c r="U479" s="852">
        <v>500.8</v>
      </c>
      <c r="V479" s="852">
        <v>0.0</v>
      </c>
      <c r="W479" s="852">
        <v>0.0</v>
      </c>
      <c r="X479" s="852">
        <v>0.0</v>
      </c>
      <c r="Y479" s="852">
        <v>0.0</v>
      </c>
      <c r="Z479" s="852">
        <v>0.0</v>
      </c>
      <c r="AA479" s="852">
        <v>0.0</v>
      </c>
      <c r="AB479" s="852">
        <v>0.0</v>
      </c>
      <c r="AC479" s="852">
        <v>0.0</v>
      </c>
      <c r="AD479" s="852">
        <v>0.0</v>
      </c>
      <c r="AE479" s="852">
        <v>0.0</v>
      </c>
      <c r="AF479" s="852"/>
      <c r="AG479" s="600">
        <f t="shared" ref="AG479:AG482" si="136">SUM(B479:AF479)</f>
        <v>1795.8</v>
      </c>
    </row>
    <row r="480">
      <c r="A480" s="352" t="s">
        <v>486</v>
      </c>
      <c r="B480" s="248">
        <v>35.0</v>
      </c>
      <c r="C480" s="248">
        <v>13.4</v>
      </c>
      <c r="D480" s="248">
        <v>0.0</v>
      </c>
      <c r="E480" s="852">
        <v>0.0</v>
      </c>
      <c r="F480" s="248">
        <v>0.0</v>
      </c>
      <c r="G480" s="248">
        <v>0.0</v>
      </c>
      <c r="H480" s="852">
        <v>0.0</v>
      </c>
      <c r="I480" s="852">
        <v>0.0</v>
      </c>
      <c r="J480" s="852">
        <v>15.0</v>
      </c>
      <c r="K480" s="852">
        <v>0.0</v>
      </c>
      <c r="L480" s="852">
        <v>0.0</v>
      </c>
      <c r="M480" s="852">
        <v>0.0</v>
      </c>
      <c r="N480" s="852">
        <v>0.0</v>
      </c>
      <c r="O480" s="852">
        <f>35+35</f>
        <v>70</v>
      </c>
      <c r="P480" s="852">
        <v>0.0</v>
      </c>
      <c r="Q480" s="852">
        <v>0.0</v>
      </c>
      <c r="R480" s="248">
        <v>0.0</v>
      </c>
      <c r="S480" s="248">
        <v>0.0</v>
      </c>
      <c r="T480" s="852">
        <v>0.0</v>
      </c>
      <c r="U480" s="852">
        <f>35+11.9</f>
        <v>46.9</v>
      </c>
      <c r="V480" s="852">
        <v>0.0</v>
      </c>
      <c r="W480" s="852">
        <v>0.0</v>
      </c>
      <c r="X480" s="852">
        <v>0.0</v>
      </c>
      <c r="Y480" s="852">
        <v>0.0</v>
      </c>
      <c r="Z480" s="852">
        <v>0.0</v>
      </c>
      <c r="AA480" s="852">
        <v>0.0</v>
      </c>
      <c r="AB480" s="852">
        <v>0.0</v>
      </c>
      <c r="AC480" s="852">
        <v>0.0</v>
      </c>
      <c r="AD480" s="852">
        <v>0.0</v>
      </c>
      <c r="AE480" s="852">
        <v>0.0</v>
      </c>
      <c r="AF480" s="852"/>
      <c r="AG480" s="600">
        <f t="shared" si="136"/>
        <v>180.3</v>
      </c>
    </row>
    <row r="481">
      <c r="A481" s="352" t="s">
        <v>487</v>
      </c>
      <c r="B481" s="248">
        <f t="shared" ref="B481:AF481" si="137">B479*0.22</f>
        <v>43.78</v>
      </c>
      <c r="C481" s="248">
        <f t="shared" si="137"/>
        <v>41.36</v>
      </c>
      <c r="D481" s="248">
        <f t="shared" si="137"/>
        <v>0</v>
      </c>
      <c r="E481" s="248">
        <f t="shared" si="137"/>
        <v>0</v>
      </c>
      <c r="F481" s="248">
        <f t="shared" si="137"/>
        <v>0</v>
      </c>
      <c r="G481" s="248">
        <f t="shared" si="137"/>
        <v>0</v>
      </c>
      <c r="H481" s="248">
        <f t="shared" si="137"/>
        <v>0</v>
      </c>
      <c r="I481" s="248">
        <f t="shared" si="137"/>
        <v>0</v>
      </c>
      <c r="J481" s="248">
        <f t="shared" si="137"/>
        <v>65.78</v>
      </c>
      <c r="K481" s="248">
        <f t="shared" si="137"/>
        <v>0</v>
      </c>
      <c r="L481" s="248">
        <f t="shared" si="137"/>
        <v>0</v>
      </c>
      <c r="M481" s="248">
        <f t="shared" si="137"/>
        <v>0</v>
      </c>
      <c r="N481" s="248">
        <f t="shared" si="137"/>
        <v>0</v>
      </c>
      <c r="O481" s="248">
        <f t="shared" si="137"/>
        <v>133.98</v>
      </c>
      <c r="P481" s="248">
        <f t="shared" si="137"/>
        <v>0</v>
      </c>
      <c r="Q481" s="248">
        <f t="shared" si="137"/>
        <v>0</v>
      </c>
      <c r="R481" s="248">
        <f t="shared" si="137"/>
        <v>0</v>
      </c>
      <c r="S481" s="248">
        <f t="shared" si="137"/>
        <v>0</v>
      </c>
      <c r="T481" s="248">
        <f t="shared" si="137"/>
        <v>0</v>
      </c>
      <c r="U481" s="248">
        <f t="shared" si="137"/>
        <v>110.176</v>
      </c>
      <c r="V481" s="248">
        <f t="shared" si="137"/>
        <v>0</v>
      </c>
      <c r="W481" s="248">
        <f t="shared" si="137"/>
        <v>0</v>
      </c>
      <c r="X481" s="248">
        <f t="shared" si="137"/>
        <v>0</v>
      </c>
      <c r="Y481" s="248">
        <f t="shared" si="137"/>
        <v>0</v>
      </c>
      <c r="Z481" s="248">
        <f t="shared" si="137"/>
        <v>0</v>
      </c>
      <c r="AA481" s="248">
        <f t="shared" si="137"/>
        <v>0</v>
      </c>
      <c r="AB481" s="248">
        <f t="shared" si="137"/>
        <v>0</v>
      </c>
      <c r="AC481" s="248">
        <f t="shared" si="137"/>
        <v>0</v>
      </c>
      <c r="AD481" s="248">
        <f t="shared" si="137"/>
        <v>0</v>
      </c>
      <c r="AE481" s="248">
        <f t="shared" si="137"/>
        <v>0</v>
      </c>
      <c r="AF481" s="248">
        <f t="shared" si="137"/>
        <v>0</v>
      </c>
      <c r="AG481" s="600">
        <f t="shared" si="136"/>
        <v>395.076</v>
      </c>
    </row>
    <row r="482">
      <c r="A482" s="836" t="s">
        <v>1052</v>
      </c>
      <c r="B482" s="254">
        <f t="shared" ref="B482:AF482" si="138">SUM(B479+B480)</f>
        <v>234</v>
      </c>
      <c r="C482" s="254">
        <f t="shared" si="138"/>
        <v>201.4</v>
      </c>
      <c r="D482" s="254">
        <f t="shared" si="138"/>
        <v>0</v>
      </c>
      <c r="E482" s="254">
        <f t="shared" si="138"/>
        <v>0</v>
      </c>
      <c r="F482" s="254">
        <f t="shared" si="138"/>
        <v>0</v>
      </c>
      <c r="G482" s="254">
        <f t="shared" si="138"/>
        <v>0</v>
      </c>
      <c r="H482" s="254">
        <f t="shared" si="138"/>
        <v>0</v>
      </c>
      <c r="I482" s="254">
        <f t="shared" si="138"/>
        <v>0</v>
      </c>
      <c r="J482" s="254">
        <f t="shared" si="138"/>
        <v>314</v>
      </c>
      <c r="K482" s="254">
        <f t="shared" si="138"/>
        <v>0</v>
      </c>
      <c r="L482" s="254">
        <f t="shared" si="138"/>
        <v>0</v>
      </c>
      <c r="M482" s="254">
        <f t="shared" si="138"/>
        <v>0</v>
      </c>
      <c r="N482" s="254">
        <f t="shared" si="138"/>
        <v>0</v>
      </c>
      <c r="O482" s="254">
        <f t="shared" si="138"/>
        <v>679</v>
      </c>
      <c r="P482" s="254">
        <f t="shared" si="138"/>
        <v>0</v>
      </c>
      <c r="Q482" s="254">
        <f t="shared" si="138"/>
        <v>0</v>
      </c>
      <c r="R482" s="254">
        <f t="shared" si="138"/>
        <v>0</v>
      </c>
      <c r="S482" s="254">
        <f t="shared" si="138"/>
        <v>0</v>
      </c>
      <c r="T482" s="254">
        <f t="shared" si="138"/>
        <v>0</v>
      </c>
      <c r="U482" s="254">
        <f t="shared" si="138"/>
        <v>547.7</v>
      </c>
      <c r="V482" s="254">
        <f t="shared" si="138"/>
        <v>0</v>
      </c>
      <c r="W482" s="254">
        <f t="shared" si="138"/>
        <v>0</v>
      </c>
      <c r="X482" s="254">
        <f t="shared" si="138"/>
        <v>0</v>
      </c>
      <c r="Y482" s="254">
        <f t="shared" si="138"/>
        <v>0</v>
      </c>
      <c r="Z482" s="254">
        <f t="shared" si="138"/>
        <v>0</v>
      </c>
      <c r="AA482" s="254">
        <f t="shared" si="138"/>
        <v>0</v>
      </c>
      <c r="AB482" s="254">
        <f t="shared" si="138"/>
        <v>0</v>
      </c>
      <c r="AC482" s="254">
        <f t="shared" si="138"/>
        <v>0</v>
      </c>
      <c r="AD482" s="254">
        <f t="shared" si="138"/>
        <v>0</v>
      </c>
      <c r="AE482" s="254">
        <f t="shared" si="138"/>
        <v>0</v>
      </c>
      <c r="AF482" s="254">
        <f t="shared" si="138"/>
        <v>0</v>
      </c>
      <c r="AG482" s="600">
        <f t="shared" si="136"/>
        <v>1976.1</v>
      </c>
    </row>
    <row r="483">
      <c r="A483" s="723"/>
      <c r="B483" s="922"/>
      <c r="C483" s="922"/>
      <c r="D483" s="922"/>
      <c r="E483" s="922"/>
      <c r="F483" s="922"/>
      <c r="G483" s="922"/>
      <c r="H483" s="922"/>
      <c r="I483" s="922"/>
      <c r="J483" s="922"/>
      <c r="K483" s="922"/>
      <c r="L483" s="922"/>
      <c r="M483" s="922"/>
      <c r="N483" s="922"/>
      <c r="O483" s="922"/>
      <c r="P483" s="922"/>
      <c r="Q483" s="922"/>
      <c r="R483" s="922"/>
      <c r="S483" s="922"/>
      <c r="T483" s="922"/>
      <c r="U483" s="922"/>
      <c r="V483" s="922"/>
      <c r="W483" s="922"/>
      <c r="X483" s="922"/>
      <c r="Y483" s="922"/>
      <c r="Z483" s="922"/>
      <c r="AA483" s="922"/>
      <c r="AB483" s="922"/>
      <c r="AC483" s="922"/>
      <c r="AD483" s="922"/>
      <c r="AE483" s="922"/>
      <c r="AF483" s="922"/>
      <c r="AG483" s="453"/>
    </row>
    <row r="484">
      <c r="A484" s="352" t="s">
        <v>1207</v>
      </c>
      <c r="B484" s="777"/>
      <c r="C484" s="777"/>
      <c r="D484" s="777"/>
      <c r="E484" s="777"/>
      <c r="F484" s="777"/>
      <c r="G484" s="448"/>
      <c r="H484" s="448"/>
      <c r="I484" s="448"/>
      <c r="J484" s="448"/>
      <c r="K484" s="777"/>
      <c r="L484" s="448"/>
      <c r="M484" s="448"/>
      <c r="N484" s="448"/>
      <c r="O484" s="448"/>
      <c r="P484" s="448"/>
      <c r="Q484" s="448"/>
      <c r="R484" s="448"/>
      <c r="S484" s="448"/>
      <c r="T484" s="448"/>
      <c r="U484" s="448"/>
      <c r="V484" s="448"/>
      <c r="W484" s="448"/>
      <c r="X484" s="448"/>
      <c r="Y484" s="448"/>
      <c r="Z484" s="448"/>
      <c r="AA484" s="448"/>
      <c r="AB484" s="448"/>
      <c r="AC484" s="448"/>
      <c r="AD484" s="448"/>
      <c r="AE484" s="448"/>
      <c r="AF484" s="448"/>
      <c r="AG484" s="600">
        <f t="shared" ref="AG484:AG487" si="139">SUM(B484:AF484)</f>
        <v>0</v>
      </c>
    </row>
    <row r="485">
      <c r="A485" s="352" t="s">
        <v>1209</v>
      </c>
      <c r="B485" s="777"/>
      <c r="C485" s="777"/>
      <c r="D485" s="777"/>
      <c r="E485" s="777"/>
      <c r="F485" s="777"/>
      <c r="G485" s="448"/>
      <c r="H485" s="448"/>
      <c r="I485" s="448"/>
      <c r="J485" s="448"/>
      <c r="K485" s="777"/>
      <c r="L485" s="448"/>
      <c r="M485" s="448"/>
      <c r="N485" s="448"/>
      <c r="O485" s="448"/>
      <c r="P485" s="448"/>
      <c r="Q485" s="448"/>
      <c r="R485" s="448"/>
      <c r="S485" s="448"/>
      <c r="T485" s="448"/>
      <c r="U485" s="448"/>
      <c r="V485" s="448"/>
      <c r="W485" s="448"/>
      <c r="X485" s="448"/>
      <c r="Y485" s="448"/>
      <c r="Z485" s="448"/>
      <c r="AA485" s="448"/>
      <c r="AB485" s="448"/>
      <c r="AC485" s="448"/>
      <c r="AD485" s="448"/>
      <c r="AE485" s="448"/>
      <c r="AF485" s="448"/>
      <c r="AG485" s="600">
        <f t="shared" si="139"/>
        <v>0</v>
      </c>
    </row>
    <row r="486">
      <c r="A486" s="352" t="s">
        <v>1210</v>
      </c>
      <c r="B486" s="777"/>
      <c r="C486" s="777"/>
      <c r="D486" s="777"/>
      <c r="E486" s="777"/>
      <c r="F486" s="777"/>
      <c r="G486" s="448"/>
      <c r="H486" s="448"/>
      <c r="I486" s="448"/>
      <c r="J486" s="448"/>
      <c r="K486" s="777"/>
      <c r="L486" s="448"/>
      <c r="M486" s="448"/>
      <c r="N486" s="448"/>
      <c r="O486" s="448"/>
      <c r="P486" s="448"/>
      <c r="Q486" s="448"/>
      <c r="R486" s="448"/>
      <c r="S486" s="448"/>
      <c r="T486" s="448"/>
      <c r="U486" s="448"/>
      <c r="V486" s="448"/>
      <c r="W486" s="448"/>
      <c r="X486" s="448"/>
      <c r="Y486" s="448"/>
      <c r="Z486" s="448"/>
      <c r="AA486" s="448"/>
      <c r="AB486" s="448"/>
      <c r="AC486" s="448"/>
      <c r="AD486" s="448"/>
      <c r="AE486" s="448"/>
      <c r="AF486" s="448"/>
      <c r="AG486" s="600">
        <f t="shared" si="139"/>
        <v>0</v>
      </c>
    </row>
    <row r="487">
      <c r="A487" s="826" t="s">
        <v>1066</v>
      </c>
      <c r="B487" s="254">
        <f t="shared" ref="B487:AF487" si="140">SUM(B484:B486)</f>
        <v>0</v>
      </c>
      <c r="C487" s="254">
        <f t="shared" si="140"/>
        <v>0</v>
      </c>
      <c r="D487" s="254">
        <f t="shared" si="140"/>
        <v>0</v>
      </c>
      <c r="E487" s="254">
        <f t="shared" si="140"/>
        <v>0</v>
      </c>
      <c r="F487" s="254">
        <f t="shared" si="140"/>
        <v>0</v>
      </c>
      <c r="G487" s="254">
        <f t="shared" si="140"/>
        <v>0</v>
      </c>
      <c r="H487" s="254">
        <f t="shared" si="140"/>
        <v>0</v>
      </c>
      <c r="I487" s="254">
        <f t="shared" si="140"/>
        <v>0</v>
      </c>
      <c r="J487" s="254">
        <f t="shared" si="140"/>
        <v>0</v>
      </c>
      <c r="K487" s="254">
        <f t="shared" si="140"/>
        <v>0</v>
      </c>
      <c r="L487" s="254">
        <f t="shared" si="140"/>
        <v>0</v>
      </c>
      <c r="M487" s="254">
        <f t="shared" si="140"/>
        <v>0</v>
      </c>
      <c r="N487" s="254">
        <f t="shared" si="140"/>
        <v>0</v>
      </c>
      <c r="O487" s="254">
        <f t="shared" si="140"/>
        <v>0</v>
      </c>
      <c r="P487" s="254">
        <f t="shared" si="140"/>
        <v>0</v>
      </c>
      <c r="Q487" s="254">
        <f t="shared" si="140"/>
        <v>0</v>
      </c>
      <c r="R487" s="254">
        <f t="shared" si="140"/>
        <v>0</v>
      </c>
      <c r="S487" s="254">
        <f t="shared" si="140"/>
        <v>0</v>
      </c>
      <c r="T487" s="254">
        <f t="shared" si="140"/>
        <v>0</v>
      </c>
      <c r="U487" s="254">
        <f t="shared" si="140"/>
        <v>0</v>
      </c>
      <c r="V487" s="254">
        <f t="shared" si="140"/>
        <v>0</v>
      </c>
      <c r="W487" s="254">
        <f t="shared" si="140"/>
        <v>0</v>
      </c>
      <c r="X487" s="254">
        <f t="shared" si="140"/>
        <v>0</v>
      </c>
      <c r="Y487" s="254">
        <f t="shared" si="140"/>
        <v>0</v>
      </c>
      <c r="Z487" s="254">
        <f t="shared" si="140"/>
        <v>0</v>
      </c>
      <c r="AA487" s="254">
        <f t="shared" si="140"/>
        <v>0</v>
      </c>
      <c r="AB487" s="254">
        <f t="shared" si="140"/>
        <v>0</v>
      </c>
      <c r="AC487" s="254">
        <f t="shared" si="140"/>
        <v>0</v>
      </c>
      <c r="AD487" s="254">
        <f t="shared" si="140"/>
        <v>0</v>
      </c>
      <c r="AE487" s="254">
        <f t="shared" si="140"/>
        <v>0</v>
      </c>
      <c r="AF487" s="254">
        <f t="shared" si="140"/>
        <v>0</v>
      </c>
      <c r="AG487" s="600">
        <f t="shared" si="139"/>
        <v>0</v>
      </c>
    </row>
    <row r="488">
      <c r="A488" s="723"/>
      <c r="B488" s="758"/>
      <c r="C488" s="758"/>
      <c r="D488" s="758"/>
      <c r="E488" s="758"/>
      <c r="F488" s="758"/>
      <c r="G488" s="758"/>
      <c r="H488" s="758"/>
      <c r="I488" s="758"/>
      <c r="J488" s="758"/>
      <c r="K488" s="758"/>
      <c r="L488" s="758"/>
      <c r="M488" s="758"/>
      <c r="N488" s="758"/>
      <c r="O488" s="758"/>
      <c r="P488" s="758"/>
      <c r="Q488" s="758"/>
      <c r="R488" s="758"/>
      <c r="S488" s="758"/>
      <c r="T488" s="758"/>
      <c r="U488" s="758"/>
      <c r="V488" s="758"/>
      <c r="W488" s="758"/>
      <c r="X488" s="758"/>
      <c r="Y488" s="758"/>
      <c r="Z488" s="758"/>
      <c r="AA488" s="758"/>
      <c r="AB488" s="758"/>
      <c r="AC488" s="758"/>
      <c r="AD488" s="758"/>
      <c r="AE488" s="758"/>
      <c r="AF488" s="758"/>
      <c r="AG488" s="453"/>
    </row>
    <row r="489" collapsed="1">
      <c r="A489" s="349" t="s">
        <v>1158</v>
      </c>
      <c r="B489" s="758"/>
      <c r="C489" s="758"/>
      <c r="D489" s="758"/>
      <c r="E489" s="758"/>
      <c r="F489" s="758"/>
      <c r="G489" s="758"/>
      <c r="H489" s="758"/>
      <c r="I489" s="758"/>
      <c r="J489" s="758"/>
      <c r="K489" s="758"/>
      <c r="L489" s="758"/>
      <c r="M489" s="758"/>
      <c r="N489" s="758"/>
      <c r="O489" s="758"/>
      <c r="P489" s="758"/>
      <c r="Q489" s="758"/>
      <c r="R489" s="758"/>
      <c r="S489" s="758"/>
      <c r="T489" s="758"/>
      <c r="U489" s="758"/>
      <c r="V489" s="758"/>
      <c r="W489" s="758"/>
      <c r="X489" s="758"/>
      <c r="Y489" s="758"/>
      <c r="Z489" s="758"/>
      <c r="AA489" s="758"/>
      <c r="AB489" s="758"/>
      <c r="AC489" s="758"/>
      <c r="AD489" s="758"/>
      <c r="AE489" s="758"/>
      <c r="AF489" s="758"/>
      <c r="AG489" s="453"/>
    </row>
    <row r="490" hidden="1" outlineLevel="1">
      <c r="A490" s="352" t="s">
        <v>1211</v>
      </c>
      <c r="B490" s="114">
        <v>0.0</v>
      </c>
      <c r="C490" s="114">
        <v>0.0</v>
      </c>
      <c r="D490" s="114">
        <v>0.0</v>
      </c>
      <c r="E490" s="114">
        <v>0.0</v>
      </c>
      <c r="F490" s="114">
        <v>0.0</v>
      </c>
      <c r="G490" s="114">
        <v>0.0</v>
      </c>
      <c r="H490" s="114">
        <v>0.0</v>
      </c>
      <c r="I490" s="114">
        <v>0.0</v>
      </c>
      <c r="J490" s="114">
        <v>0.0</v>
      </c>
      <c r="K490" s="114">
        <v>0.0</v>
      </c>
      <c r="L490" s="114">
        <v>0.0</v>
      </c>
      <c r="M490" s="114">
        <v>0.0</v>
      </c>
      <c r="N490" s="114">
        <v>0.0</v>
      </c>
      <c r="O490" s="114">
        <v>0.0</v>
      </c>
      <c r="P490" s="114">
        <v>0.0</v>
      </c>
      <c r="Q490" s="114">
        <v>0.0</v>
      </c>
      <c r="R490" s="114">
        <v>0.0</v>
      </c>
      <c r="S490" s="114">
        <v>0.0</v>
      </c>
      <c r="T490" s="114">
        <v>0.0</v>
      </c>
      <c r="U490" s="114">
        <v>0.0</v>
      </c>
      <c r="V490" s="114">
        <v>0.0</v>
      </c>
      <c r="W490" s="114">
        <v>0.0</v>
      </c>
      <c r="X490" s="114">
        <v>0.0</v>
      </c>
      <c r="Y490" s="114"/>
      <c r="Z490" s="114"/>
      <c r="AA490" s="114"/>
      <c r="AB490" s="114"/>
      <c r="AC490" s="114"/>
      <c r="AD490" s="114"/>
      <c r="AE490" s="114"/>
      <c r="AF490" s="114"/>
      <c r="AG490" s="693">
        <f t="shared" ref="AG490:AG497" si="141">SUM(B490:AF490)</f>
        <v>0</v>
      </c>
    </row>
    <row r="491" hidden="1" outlineLevel="1">
      <c r="A491" s="352" t="s">
        <v>1212</v>
      </c>
      <c r="B491" s="114">
        <v>0.0</v>
      </c>
      <c r="C491" s="114">
        <v>0.0</v>
      </c>
      <c r="D491" s="114">
        <v>0.0</v>
      </c>
      <c r="E491" s="114">
        <v>0.0</v>
      </c>
      <c r="F491" s="114">
        <v>0.0</v>
      </c>
      <c r="G491" s="114">
        <v>0.0</v>
      </c>
      <c r="H491" s="114">
        <v>0.0</v>
      </c>
      <c r="I491" s="114">
        <v>0.0</v>
      </c>
      <c r="J491" s="114">
        <v>0.0</v>
      </c>
      <c r="K491" s="114">
        <v>0.0</v>
      </c>
      <c r="L491" s="114">
        <v>0.0</v>
      </c>
      <c r="M491" s="114">
        <v>0.0</v>
      </c>
      <c r="N491" s="114">
        <v>0.0</v>
      </c>
      <c r="O491" s="114">
        <v>0.0</v>
      </c>
      <c r="P491" s="114">
        <v>0.0</v>
      </c>
      <c r="Q491" s="114">
        <v>0.0</v>
      </c>
      <c r="R491" s="114">
        <v>0.0</v>
      </c>
      <c r="S491" s="114">
        <v>0.0</v>
      </c>
      <c r="T491" s="114">
        <v>0.0</v>
      </c>
      <c r="U491" s="114">
        <v>0.0</v>
      </c>
      <c r="V491" s="114">
        <v>0.0</v>
      </c>
      <c r="W491" s="114">
        <v>0.0</v>
      </c>
      <c r="X491" s="114">
        <v>0.0</v>
      </c>
      <c r="Y491" s="114"/>
      <c r="Z491" s="114"/>
      <c r="AA491" s="114"/>
      <c r="AB491" s="114"/>
      <c r="AC491" s="114"/>
      <c r="AD491" s="114"/>
      <c r="AE491" s="114"/>
      <c r="AF491" s="114"/>
      <c r="AG491" s="693">
        <f t="shared" si="141"/>
        <v>0</v>
      </c>
    </row>
    <row r="492" hidden="1" outlineLevel="1">
      <c r="A492" s="352" t="s">
        <v>1213</v>
      </c>
      <c r="B492" s="114">
        <v>0.0</v>
      </c>
      <c r="C492" s="114">
        <v>0.0</v>
      </c>
      <c r="D492" s="114">
        <v>0.0</v>
      </c>
      <c r="E492" s="114">
        <v>0.0</v>
      </c>
      <c r="F492" s="114">
        <v>0.0</v>
      </c>
      <c r="G492" s="114">
        <v>0.0</v>
      </c>
      <c r="H492" s="114">
        <v>0.0</v>
      </c>
      <c r="I492" s="114">
        <v>0.0</v>
      </c>
      <c r="J492" s="114">
        <v>0.0</v>
      </c>
      <c r="K492" s="114">
        <v>0.0</v>
      </c>
      <c r="L492" s="114">
        <v>0.0</v>
      </c>
      <c r="M492" s="114">
        <v>0.0</v>
      </c>
      <c r="N492" s="114">
        <v>0.0</v>
      </c>
      <c r="O492" s="114">
        <v>0.0</v>
      </c>
      <c r="P492" s="114">
        <v>0.0</v>
      </c>
      <c r="Q492" s="114">
        <v>0.0</v>
      </c>
      <c r="R492" s="114">
        <v>0.0</v>
      </c>
      <c r="S492" s="114">
        <v>0.0</v>
      </c>
      <c r="T492" s="114">
        <v>0.0</v>
      </c>
      <c r="U492" s="114">
        <v>0.0</v>
      </c>
      <c r="V492" s="114">
        <v>0.0</v>
      </c>
      <c r="W492" s="114">
        <v>0.0</v>
      </c>
      <c r="X492" s="114">
        <v>0.0</v>
      </c>
      <c r="Y492" s="114"/>
      <c r="Z492" s="114"/>
      <c r="AA492" s="114"/>
      <c r="AB492" s="114"/>
      <c r="AC492" s="114"/>
      <c r="AD492" s="114"/>
      <c r="AE492" s="114"/>
      <c r="AF492" s="114"/>
      <c r="AG492" s="693">
        <f t="shared" si="141"/>
        <v>0</v>
      </c>
    </row>
    <row r="493" hidden="1" outlineLevel="1">
      <c r="A493" s="352" t="s">
        <v>1214</v>
      </c>
      <c r="B493" s="114">
        <v>0.0</v>
      </c>
      <c r="C493" s="114">
        <v>0.0</v>
      </c>
      <c r="D493" s="114">
        <v>0.0</v>
      </c>
      <c r="E493" s="114">
        <v>0.0</v>
      </c>
      <c r="F493" s="114">
        <v>0.0</v>
      </c>
      <c r="G493" s="114">
        <v>0.0</v>
      </c>
      <c r="H493" s="114">
        <v>0.0</v>
      </c>
      <c r="I493" s="114">
        <v>0.0</v>
      </c>
      <c r="J493" s="114">
        <v>0.0</v>
      </c>
      <c r="K493" s="114">
        <v>0.0</v>
      </c>
      <c r="L493" s="114">
        <v>0.0</v>
      </c>
      <c r="M493" s="114">
        <v>0.0</v>
      </c>
      <c r="N493" s="114">
        <v>0.0</v>
      </c>
      <c r="O493" s="114">
        <v>0.0</v>
      </c>
      <c r="P493" s="114">
        <v>0.0</v>
      </c>
      <c r="Q493" s="114">
        <v>0.0</v>
      </c>
      <c r="R493" s="114">
        <v>0.0</v>
      </c>
      <c r="S493" s="114">
        <v>0.0</v>
      </c>
      <c r="T493" s="114">
        <v>0.0</v>
      </c>
      <c r="U493" s="114">
        <v>0.0</v>
      </c>
      <c r="V493" s="114">
        <v>0.0</v>
      </c>
      <c r="W493" s="114">
        <v>0.0</v>
      </c>
      <c r="X493" s="114">
        <v>0.0</v>
      </c>
      <c r="Y493" s="114"/>
      <c r="Z493" s="114"/>
      <c r="AA493" s="114"/>
      <c r="AB493" s="114"/>
      <c r="AC493" s="114"/>
      <c r="AD493" s="114"/>
      <c r="AE493" s="114"/>
      <c r="AF493" s="114"/>
      <c r="AG493" s="693">
        <f t="shared" si="141"/>
        <v>0</v>
      </c>
    </row>
    <row r="494" hidden="1" outlineLevel="1">
      <c r="A494" s="352" t="s">
        <v>1215</v>
      </c>
      <c r="B494" s="114">
        <v>0.0</v>
      </c>
      <c r="C494" s="114">
        <v>0.0</v>
      </c>
      <c r="D494" s="114">
        <v>0.0</v>
      </c>
      <c r="E494" s="114">
        <v>0.0</v>
      </c>
      <c r="F494" s="114">
        <v>0.0</v>
      </c>
      <c r="G494" s="114">
        <v>0.0</v>
      </c>
      <c r="H494" s="114">
        <v>0.0</v>
      </c>
      <c r="I494" s="114">
        <v>0.0</v>
      </c>
      <c r="J494" s="114">
        <v>0.0</v>
      </c>
      <c r="K494" s="114">
        <v>0.0</v>
      </c>
      <c r="L494" s="114">
        <v>0.0</v>
      </c>
      <c r="M494" s="114">
        <v>0.0</v>
      </c>
      <c r="N494" s="114">
        <v>0.0</v>
      </c>
      <c r="O494" s="114">
        <v>0.0</v>
      </c>
      <c r="P494" s="114">
        <v>0.0</v>
      </c>
      <c r="Q494" s="114">
        <v>0.0</v>
      </c>
      <c r="R494" s="114">
        <v>0.0</v>
      </c>
      <c r="S494" s="114">
        <v>0.0</v>
      </c>
      <c r="T494" s="114">
        <v>0.0</v>
      </c>
      <c r="U494" s="114">
        <v>0.0</v>
      </c>
      <c r="V494" s="114">
        <v>0.0</v>
      </c>
      <c r="W494" s="114">
        <v>0.0</v>
      </c>
      <c r="X494" s="114">
        <v>0.0</v>
      </c>
      <c r="Y494" s="114"/>
      <c r="Z494" s="114"/>
      <c r="AA494" s="114"/>
      <c r="AB494" s="114"/>
      <c r="AC494" s="114"/>
      <c r="AD494" s="114"/>
      <c r="AE494" s="114"/>
      <c r="AF494" s="114"/>
      <c r="AG494" s="693">
        <f t="shared" si="141"/>
        <v>0</v>
      </c>
    </row>
    <row r="495" hidden="1" outlineLevel="1">
      <c r="A495" s="352" t="s">
        <v>1216</v>
      </c>
      <c r="B495" s="114">
        <v>0.0</v>
      </c>
      <c r="C495" s="114">
        <v>0.0</v>
      </c>
      <c r="D495" s="114">
        <v>0.0</v>
      </c>
      <c r="E495" s="114">
        <v>0.0</v>
      </c>
      <c r="F495" s="114">
        <v>0.0</v>
      </c>
      <c r="G495" s="114">
        <v>0.0</v>
      </c>
      <c r="H495" s="114">
        <v>0.0</v>
      </c>
      <c r="I495" s="114">
        <v>0.0</v>
      </c>
      <c r="J495" s="114">
        <v>0.0</v>
      </c>
      <c r="K495" s="114">
        <v>0.0</v>
      </c>
      <c r="L495" s="114">
        <v>0.0</v>
      </c>
      <c r="M495" s="114">
        <v>0.0</v>
      </c>
      <c r="N495" s="114">
        <v>0.0</v>
      </c>
      <c r="O495" s="114">
        <v>0.0</v>
      </c>
      <c r="P495" s="114">
        <v>0.0</v>
      </c>
      <c r="Q495" s="114">
        <v>0.0</v>
      </c>
      <c r="R495" s="114">
        <v>0.0</v>
      </c>
      <c r="S495" s="114">
        <v>0.0</v>
      </c>
      <c r="T495" s="114">
        <v>0.0</v>
      </c>
      <c r="U495" s="114">
        <v>0.0</v>
      </c>
      <c r="V495" s="114">
        <v>0.0</v>
      </c>
      <c r="W495" s="114">
        <v>0.0</v>
      </c>
      <c r="X495" s="114">
        <v>0.0</v>
      </c>
      <c r="Y495" s="114"/>
      <c r="Z495" s="114"/>
      <c r="AA495" s="114"/>
      <c r="AB495" s="114"/>
      <c r="AC495" s="114"/>
      <c r="AD495" s="114"/>
      <c r="AE495" s="114"/>
      <c r="AF495" s="114"/>
      <c r="AG495" s="693">
        <f t="shared" si="141"/>
        <v>0</v>
      </c>
    </row>
    <row r="496" hidden="1" outlineLevel="1">
      <c r="A496" s="871" t="s">
        <v>180</v>
      </c>
      <c r="B496" s="873">
        <f t="shared" ref="B496:AF496" si="142">B490+B492+B494</f>
        <v>0</v>
      </c>
      <c r="C496" s="874">
        <f t="shared" si="142"/>
        <v>0</v>
      </c>
      <c r="D496" s="874">
        <f t="shared" si="142"/>
        <v>0</v>
      </c>
      <c r="E496" s="874">
        <f t="shared" si="142"/>
        <v>0</v>
      </c>
      <c r="F496" s="874">
        <f t="shared" si="142"/>
        <v>0</v>
      </c>
      <c r="G496" s="874">
        <f t="shared" si="142"/>
        <v>0</v>
      </c>
      <c r="H496" s="874">
        <f t="shared" si="142"/>
        <v>0</v>
      </c>
      <c r="I496" s="874">
        <f t="shared" si="142"/>
        <v>0</v>
      </c>
      <c r="J496" s="874">
        <f t="shared" si="142"/>
        <v>0</v>
      </c>
      <c r="K496" s="874">
        <f t="shared" si="142"/>
        <v>0</v>
      </c>
      <c r="L496" s="874">
        <f t="shared" si="142"/>
        <v>0</v>
      </c>
      <c r="M496" s="874">
        <f t="shared" si="142"/>
        <v>0</v>
      </c>
      <c r="N496" s="874">
        <f t="shared" si="142"/>
        <v>0</v>
      </c>
      <c r="O496" s="874">
        <f t="shared" si="142"/>
        <v>0</v>
      </c>
      <c r="P496" s="874">
        <f t="shared" si="142"/>
        <v>0</v>
      </c>
      <c r="Q496" s="874">
        <f t="shared" si="142"/>
        <v>0</v>
      </c>
      <c r="R496" s="874">
        <f t="shared" si="142"/>
        <v>0</v>
      </c>
      <c r="S496" s="874">
        <f t="shared" si="142"/>
        <v>0</v>
      </c>
      <c r="T496" s="874">
        <f t="shared" si="142"/>
        <v>0</v>
      </c>
      <c r="U496" s="874">
        <f t="shared" si="142"/>
        <v>0</v>
      </c>
      <c r="V496" s="874">
        <f t="shared" si="142"/>
        <v>0</v>
      </c>
      <c r="W496" s="874">
        <f t="shared" si="142"/>
        <v>0</v>
      </c>
      <c r="X496" s="874">
        <f t="shared" si="142"/>
        <v>0</v>
      </c>
      <c r="Y496" s="874">
        <f t="shared" si="142"/>
        <v>0</v>
      </c>
      <c r="Z496" s="874">
        <f t="shared" si="142"/>
        <v>0</v>
      </c>
      <c r="AA496" s="874">
        <f t="shared" si="142"/>
        <v>0</v>
      </c>
      <c r="AB496" s="874">
        <f t="shared" si="142"/>
        <v>0</v>
      </c>
      <c r="AC496" s="874">
        <f t="shared" si="142"/>
        <v>0</v>
      </c>
      <c r="AD496" s="874">
        <f t="shared" si="142"/>
        <v>0</v>
      </c>
      <c r="AE496" s="874">
        <f t="shared" si="142"/>
        <v>0</v>
      </c>
      <c r="AF496" s="874">
        <f t="shared" si="142"/>
        <v>0</v>
      </c>
      <c r="AG496" s="693">
        <f t="shared" si="141"/>
        <v>0</v>
      </c>
    </row>
    <row r="497" hidden="1" outlineLevel="1">
      <c r="A497" s="871" t="s">
        <v>185</v>
      </c>
      <c r="B497" s="873">
        <f t="shared" ref="B497:AF497" si="143">B491+B493+B495</f>
        <v>0</v>
      </c>
      <c r="C497" s="874">
        <f t="shared" si="143"/>
        <v>0</v>
      </c>
      <c r="D497" s="874">
        <f t="shared" si="143"/>
        <v>0</v>
      </c>
      <c r="E497" s="874">
        <f t="shared" si="143"/>
        <v>0</v>
      </c>
      <c r="F497" s="874">
        <f t="shared" si="143"/>
        <v>0</v>
      </c>
      <c r="G497" s="874">
        <f t="shared" si="143"/>
        <v>0</v>
      </c>
      <c r="H497" s="874">
        <f t="shared" si="143"/>
        <v>0</v>
      </c>
      <c r="I497" s="874">
        <f t="shared" si="143"/>
        <v>0</v>
      </c>
      <c r="J497" s="874">
        <f t="shared" si="143"/>
        <v>0</v>
      </c>
      <c r="K497" s="874">
        <f t="shared" si="143"/>
        <v>0</v>
      </c>
      <c r="L497" s="874">
        <f t="shared" si="143"/>
        <v>0</v>
      </c>
      <c r="M497" s="874">
        <f t="shared" si="143"/>
        <v>0</v>
      </c>
      <c r="N497" s="874">
        <f t="shared" si="143"/>
        <v>0</v>
      </c>
      <c r="O497" s="874">
        <f t="shared" si="143"/>
        <v>0</v>
      </c>
      <c r="P497" s="874">
        <f t="shared" si="143"/>
        <v>0</v>
      </c>
      <c r="Q497" s="874">
        <f t="shared" si="143"/>
        <v>0</v>
      </c>
      <c r="R497" s="874">
        <f t="shared" si="143"/>
        <v>0</v>
      </c>
      <c r="S497" s="874">
        <f t="shared" si="143"/>
        <v>0</v>
      </c>
      <c r="T497" s="874">
        <f t="shared" si="143"/>
        <v>0</v>
      </c>
      <c r="U497" s="874">
        <f t="shared" si="143"/>
        <v>0</v>
      </c>
      <c r="V497" s="874">
        <f t="shared" si="143"/>
        <v>0</v>
      </c>
      <c r="W497" s="874">
        <f t="shared" si="143"/>
        <v>0</v>
      </c>
      <c r="X497" s="874">
        <f t="shared" si="143"/>
        <v>0</v>
      </c>
      <c r="Y497" s="874">
        <f t="shared" si="143"/>
        <v>0</v>
      </c>
      <c r="Z497" s="874">
        <f t="shared" si="143"/>
        <v>0</v>
      </c>
      <c r="AA497" s="874">
        <f t="shared" si="143"/>
        <v>0</v>
      </c>
      <c r="AB497" s="874">
        <f t="shared" si="143"/>
        <v>0</v>
      </c>
      <c r="AC497" s="874">
        <f t="shared" si="143"/>
        <v>0</v>
      </c>
      <c r="AD497" s="874">
        <f t="shared" si="143"/>
        <v>0</v>
      </c>
      <c r="AE497" s="874">
        <f t="shared" si="143"/>
        <v>0</v>
      </c>
      <c r="AF497" s="874">
        <f t="shared" si="143"/>
        <v>0</v>
      </c>
      <c r="AG497" s="693">
        <f t="shared" si="141"/>
        <v>0</v>
      </c>
    </row>
    <row r="498" hidden="1" outlineLevel="1">
      <c r="A498" s="25"/>
      <c r="B498" s="758"/>
      <c r="C498" s="758"/>
      <c r="D498" s="758"/>
      <c r="E498" s="758"/>
      <c r="F498" s="758"/>
      <c r="G498" s="758"/>
      <c r="H498" s="758"/>
      <c r="I498" s="758"/>
      <c r="J498" s="758"/>
      <c r="K498" s="758"/>
      <c r="L498" s="758"/>
      <c r="M498" s="758"/>
      <c r="N498" s="758"/>
      <c r="O498" s="758"/>
      <c r="P498" s="758"/>
      <c r="Q498" s="758"/>
      <c r="R498" s="758"/>
      <c r="S498" s="758"/>
      <c r="T498" s="758"/>
      <c r="U498" s="758"/>
      <c r="V498" s="758"/>
      <c r="W498" s="758"/>
      <c r="X498" s="758"/>
      <c r="Y498" s="758"/>
      <c r="Z498" s="758"/>
      <c r="AA498" s="758"/>
      <c r="AB498" s="758"/>
      <c r="AC498" s="695"/>
      <c r="AD498" s="758"/>
      <c r="AE498" s="758"/>
      <c r="AF498" s="758"/>
      <c r="AG498" s="453"/>
    </row>
    <row r="499" hidden="1" outlineLevel="1">
      <c r="A499" s="352" t="s">
        <v>1028</v>
      </c>
      <c r="B499" s="114">
        <v>0.0</v>
      </c>
      <c r="C499" s="114">
        <v>0.0</v>
      </c>
      <c r="D499" s="114">
        <v>0.0</v>
      </c>
      <c r="E499" s="114">
        <v>0.0</v>
      </c>
      <c r="F499" s="114">
        <v>0.0</v>
      </c>
      <c r="G499" s="114">
        <v>0.0</v>
      </c>
      <c r="H499" s="114">
        <v>0.0</v>
      </c>
      <c r="I499" s="114">
        <v>0.0</v>
      </c>
      <c r="J499" s="114">
        <v>0.0</v>
      </c>
      <c r="K499" s="114">
        <v>0.0</v>
      </c>
      <c r="L499" s="114">
        <v>0.0</v>
      </c>
      <c r="M499" s="114">
        <v>0.0</v>
      </c>
      <c r="N499" s="114">
        <v>0.0</v>
      </c>
      <c r="O499" s="114">
        <v>0.0</v>
      </c>
      <c r="P499" s="114">
        <v>0.0</v>
      </c>
      <c r="Q499" s="114">
        <v>0.0</v>
      </c>
      <c r="R499" s="114">
        <v>0.0</v>
      </c>
      <c r="S499" s="114">
        <v>0.0</v>
      </c>
      <c r="T499" s="114">
        <v>0.0</v>
      </c>
      <c r="U499" s="114">
        <v>0.0</v>
      </c>
      <c r="V499" s="114">
        <v>0.0</v>
      </c>
      <c r="W499" s="114">
        <v>0.0</v>
      </c>
      <c r="X499" s="114">
        <v>0.0</v>
      </c>
      <c r="Y499" s="114"/>
      <c r="Z499" s="114"/>
      <c r="AA499" s="114"/>
      <c r="AB499" s="114"/>
      <c r="AC499" s="114"/>
      <c r="AD499" s="114"/>
      <c r="AE499" s="114"/>
      <c r="AF499" s="114"/>
      <c r="AG499" s="693">
        <f t="shared" ref="AG499:AG505" si="144">SUM(B499:AF499)</f>
        <v>0</v>
      </c>
    </row>
    <row r="500" hidden="1" outlineLevel="1">
      <c r="A500" s="352" t="s">
        <v>1029</v>
      </c>
      <c r="B500" s="777"/>
      <c r="C500" s="777"/>
      <c r="D500" s="777"/>
      <c r="E500" s="777"/>
      <c r="F500" s="777"/>
      <c r="G500" s="777"/>
      <c r="H500" s="777"/>
      <c r="I500" s="777"/>
      <c r="J500" s="777"/>
      <c r="K500" s="777"/>
      <c r="L500" s="777"/>
      <c r="M500" s="777"/>
      <c r="N500" s="777"/>
      <c r="O500" s="777"/>
      <c r="P500" s="777"/>
      <c r="Q500" s="777"/>
      <c r="R500" s="777"/>
      <c r="S500" s="777"/>
      <c r="T500" s="777"/>
      <c r="U500" s="777"/>
      <c r="V500" s="777"/>
      <c r="W500" s="777"/>
      <c r="X500" s="777"/>
      <c r="Y500" s="448"/>
      <c r="Z500" s="448"/>
      <c r="AA500" s="448"/>
      <c r="AB500" s="448"/>
      <c r="AC500" s="448"/>
      <c r="AD500" s="448"/>
      <c r="AE500" s="448"/>
      <c r="AF500" s="448"/>
      <c r="AG500" s="693">
        <f t="shared" si="144"/>
        <v>0</v>
      </c>
    </row>
    <row r="501" hidden="1" outlineLevel="1">
      <c r="A501" s="352" t="s">
        <v>1030</v>
      </c>
      <c r="B501" s="114">
        <v>0.0</v>
      </c>
      <c r="C501" s="114">
        <v>0.0</v>
      </c>
      <c r="D501" s="114">
        <v>0.0</v>
      </c>
      <c r="E501" s="114">
        <v>0.0</v>
      </c>
      <c r="F501" s="114">
        <v>0.0</v>
      </c>
      <c r="G501" s="114">
        <v>0.0</v>
      </c>
      <c r="H501" s="114">
        <v>0.0</v>
      </c>
      <c r="I501" s="114">
        <v>0.0</v>
      </c>
      <c r="J501" s="114">
        <v>0.0</v>
      </c>
      <c r="K501" s="114">
        <v>0.0</v>
      </c>
      <c r="L501" s="114">
        <v>0.0</v>
      </c>
      <c r="M501" s="114">
        <v>0.0</v>
      </c>
      <c r="N501" s="114">
        <v>0.0</v>
      </c>
      <c r="O501" s="114">
        <v>0.0</v>
      </c>
      <c r="P501" s="114">
        <v>0.0</v>
      </c>
      <c r="Q501" s="114">
        <v>0.0</v>
      </c>
      <c r="R501" s="114">
        <v>0.0</v>
      </c>
      <c r="S501" s="114">
        <v>0.0</v>
      </c>
      <c r="T501" s="114">
        <v>0.0</v>
      </c>
      <c r="U501" s="114">
        <v>0.0</v>
      </c>
      <c r="V501" s="114">
        <v>0.0</v>
      </c>
      <c r="W501" s="114">
        <v>0.0</v>
      </c>
      <c r="X501" s="114">
        <v>0.0</v>
      </c>
      <c r="Y501" s="114"/>
      <c r="Z501" s="114"/>
      <c r="AA501" s="114"/>
      <c r="AB501" s="114"/>
      <c r="AC501" s="114"/>
      <c r="AD501" s="114"/>
      <c r="AE501" s="114"/>
      <c r="AF501" s="114"/>
      <c r="AG501" s="693">
        <f t="shared" si="144"/>
        <v>0</v>
      </c>
    </row>
    <row r="502" hidden="1" outlineLevel="1">
      <c r="A502" s="352" t="s">
        <v>1218</v>
      </c>
      <c r="B502" s="114">
        <v>0.0</v>
      </c>
      <c r="C502" s="114">
        <v>0.0</v>
      </c>
      <c r="D502" s="114">
        <v>0.0</v>
      </c>
      <c r="E502" s="114">
        <v>0.0</v>
      </c>
      <c r="F502" s="114">
        <v>0.0</v>
      </c>
      <c r="G502" s="114">
        <v>0.0</v>
      </c>
      <c r="H502" s="114">
        <v>0.0</v>
      </c>
      <c r="I502" s="114">
        <v>0.0</v>
      </c>
      <c r="J502" s="114">
        <v>0.0</v>
      </c>
      <c r="K502" s="114">
        <v>0.0</v>
      </c>
      <c r="L502" s="114">
        <v>0.0</v>
      </c>
      <c r="M502" s="114">
        <v>0.0</v>
      </c>
      <c r="N502" s="114">
        <v>0.0</v>
      </c>
      <c r="O502" s="114">
        <v>0.0</v>
      </c>
      <c r="P502" s="114">
        <v>0.0</v>
      </c>
      <c r="Q502" s="114">
        <v>0.0</v>
      </c>
      <c r="R502" s="114">
        <v>0.0</v>
      </c>
      <c r="S502" s="114">
        <v>0.0</v>
      </c>
      <c r="T502" s="114">
        <v>0.0</v>
      </c>
      <c r="U502" s="114">
        <v>0.0</v>
      </c>
      <c r="V502" s="114">
        <v>0.0</v>
      </c>
      <c r="W502" s="114">
        <v>0.0</v>
      </c>
      <c r="X502" s="114">
        <v>0.0</v>
      </c>
      <c r="Y502" s="114"/>
      <c r="Z502" s="114"/>
      <c r="AA502" s="114"/>
      <c r="AB502" s="114"/>
      <c r="AC502" s="114"/>
      <c r="AD502" s="114"/>
      <c r="AE502" s="114"/>
      <c r="AF502" s="114"/>
      <c r="AG502" s="693">
        <f t="shared" si="144"/>
        <v>0</v>
      </c>
    </row>
    <row r="503" hidden="1" outlineLevel="1">
      <c r="A503" s="352" t="s">
        <v>1219</v>
      </c>
      <c r="B503" s="114">
        <v>0.0</v>
      </c>
      <c r="C503" s="114">
        <v>0.0</v>
      </c>
      <c r="D503" s="114">
        <v>0.0</v>
      </c>
      <c r="E503" s="114">
        <v>0.0</v>
      </c>
      <c r="F503" s="114">
        <v>0.0</v>
      </c>
      <c r="G503" s="114">
        <v>0.0</v>
      </c>
      <c r="H503" s="114">
        <v>0.0</v>
      </c>
      <c r="I503" s="114">
        <v>0.0</v>
      </c>
      <c r="J503" s="114">
        <v>0.0</v>
      </c>
      <c r="K503" s="114">
        <v>0.0</v>
      </c>
      <c r="L503" s="114">
        <v>0.0</v>
      </c>
      <c r="M503" s="114">
        <v>0.0</v>
      </c>
      <c r="N503" s="114">
        <v>0.0</v>
      </c>
      <c r="O503" s="114">
        <v>0.0</v>
      </c>
      <c r="P503" s="114">
        <v>0.0</v>
      </c>
      <c r="Q503" s="114">
        <v>0.0</v>
      </c>
      <c r="R503" s="114">
        <v>0.0</v>
      </c>
      <c r="S503" s="114">
        <v>0.0</v>
      </c>
      <c r="T503" s="114">
        <v>0.0</v>
      </c>
      <c r="U503" s="114">
        <v>0.0</v>
      </c>
      <c r="V503" s="114">
        <v>0.0</v>
      </c>
      <c r="W503" s="114">
        <v>0.0</v>
      </c>
      <c r="X503" s="114">
        <v>0.0</v>
      </c>
      <c r="Y503" s="114"/>
      <c r="Z503" s="114"/>
      <c r="AA503" s="114"/>
      <c r="AB503" s="114"/>
      <c r="AC503" s="114"/>
      <c r="AD503" s="114"/>
      <c r="AE503" s="114"/>
      <c r="AF503" s="114"/>
      <c r="AG503" s="693">
        <f t="shared" si="144"/>
        <v>0</v>
      </c>
    </row>
    <row r="504" hidden="1" outlineLevel="1">
      <c r="A504" s="352" t="s">
        <v>1220</v>
      </c>
      <c r="B504" s="114">
        <v>0.0</v>
      </c>
      <c r="C504" s="114">
        <v>0.0</v>
      </c>
      <c r="D504" s="114">
        <v>0.0</v>
      </c>
      <c r="E504" s="114">
        <v>0.0</v>
      </c>
      <c r="F504" s="114">
        <v>0.0</v>
      </c>
      <c r="G504" s="114">
        <v>0.0</v>
      </c>
      <c r="H504" s="114">
        <v>0.0</v>
      </c>
      <c r="I504" s="114">
        <v>0.0</v>
      </c>
      <c r="J504" s="114">
        <v>0.0</v>
      </c>
      <c r="K504" s="114">
        <v>0.0</v>
      </c>
      <c r="L504" s="114">
        <v>0.0</v>
      </c>
      <c r="M504" s="114">
        <v>0.0</v>
      </c>
      <c r="N504" s="114">
        <v>0.0</v>
      </c>
      <c r="O504" s="114">
        <v>0.0</v>
      </c>
      <c r="P504" s="114">
        <v>0.0</v>
      </c>
      <c r="Q504" s="114">
        <v>0.0</v>
      </c>
      <c r="R504" s="114">
        <v>0.0</v>
      </c>
      <c r="S504" s="114">
        <v>0.0</v>
      </c>
      <c r="T504" s="114">
        <v>0.0</v>
      </c>
      <c r="U504" s="114">
        <v>0.0</v>
      </c>
      <c r="V504" s="114">
        <v>0.0</v>
      </c>
      <c r="W504" s="114">
        <v>0.0</v>
      </c>
      <c r="X504" s="114">
        <v>0.0</v>
      </c>
      <c r="Y504" s="114"/>
      <c r="Z504" s="114"/>
      <c r="AA504" s="114"/>
      <c r="AB504" s="114"/>
      <c r="AC504" s="114"/>
      <c r="AD504" s="114"/>
      <c r="AE504" s="114"/>
      <c r="AF504" s="114"/>
      <c r="AG504" s="693">
        <f t="shared" si="144"/>
        <v>0</v>
      </c>
    </row>
    <row r="505" hidden="1" outlineLevel="1">
      <c r="A505" s="836" t="s">
        <v>602</v>
      </c>
      <c r="B505" s="874">
        <f t="shared" ref="B505:C505" si="145">SUM(B499:B504)</f>
        <v>0</v>
      </c>
      <c r="C505" s="874">
        <f t="shared" si="145"/>
        <v>0</v>
      </c>
      <c r="D505" s="874">
        <f>SUM(D499:D503)</f>
        <v>0</v>
      </c>
      <c r="E505" s="874">
        <f>SUM(E499:E504)</f>
        <v>0</v>
      </c>
      <c r="F505" s="874">
        <f t="shared" ref="F505:P505" si="146">SUM(F499:F503)</f>
        <v>0</v>
      </c>
      <c r="G505" s="874">
        <f t="shared" si="146"/>
        <v>0</v>
      </c>
      <c r="H505" s="874">
        <f t="shared" si="146"/>
        <v>0</v>
      </c>
      <c r="I505" s="874">
        <f t="shared" si="146"/>
        <v>0</v>
      </c>
      <c r="J505" s="874">
        <f t="shared" si="146"/>
        <v>0</v>
      </c>
      <c r="K505" s="874">
        <f t="shared" si="146"/>
        <v>0</v>
      </c>
      <c r="L505" s="874">
        <f t="shared" si="146"/>
        <v>0</v>
      </c>
      <c r="M505" s="874">
        <f t="shared" si="146"/>
        <v>0</v>
      </c>
      <c r="N505" s="874">
        <f t="shared" si="146"/>
        <v>0</v>
      </c>
      <c r="O505" s="874">
        <f t="shared" si="146"/>
        <v>0</v>
      </c>
      <c r="P505" s="874">
        <f t="shared" si="146"/>
        <v>0</v>
      </c>
      <c r="Q505" s="874">
        <f t="shared" ref="Q505:S505" si="147">SUM(Q499:Q504)</f>
        <v>0</v>
      </c>
      <c r="R505" s="874">
        <f t="shared" si="147"/>
        <v>0</v>
      </c>
      <c r="S505" s="874">
        <f t="shared" si="147"/>
        <v>0</v>
      </c>
      <c r="T505" s="874">
        <f t="shared" ref="T505:V505" si="148">SUM(T499:T503)</f>
        <v>0</v>
      </c>
      <c r="U505" s="874">
        <f t="shared" si="148"/>
        <v>0</v>
      </c>
      <c r="V505" s="874">
        <f t="shared" si="148"/>
        <v>0</v>
      </c>
      <c r="W505" s="874">
        <f t="shared" ref="W505:X505" si="149">SUM(W499:W504)</f>
        <v>0</v>
      </c>
      <c r="X505" s="874">
        <f t="shared" si="149"/>
        <v>0</v>
      </c>
      <c r="Y505" s="874">
        <f>SUM(Y499:Y503)</f>
        <v>0</v>
      </c>
      <c r="Z505" s="874">
        <f>SUM(Z499:Z504)</f>
        <v>0</v>
      </c>
      <c r="AA505" s="874">
        <f t="shared" ref="AA505:AF505" si="150">SUM(AA499:AA503)</f>
        <v>0</v>
      </c>
      <c r="AB505" s="874">
        <f t="shared" si="150"/>
        <v>0</v>
      </c>
      <c r="AC505" s="874">
        <f t="shared" si="150"/>
        <v>0</v>
      </c>
      <c r="AD505" s="874">
        <f t="shared" si="150"/>
        <v>0</v>
      </c>
      <c r="AE505" s="874">
        <f t="shared" si="150"/>
        <v>0</v>
      </c>
      <c r="AF505" s="874">
        <f t="shared" si="150"/>
        <v>0</v>
      </c>
      <c r="AG505" s="693">
        <f t="shared" si="144"/>
        <v>0</v>
      </c>
    </row>
    <row r="506" hidden="1" outlineLevel="1">
      <c r="A506" s="25"/>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c r="AA506" s="114"/>
      <c r="AB506" s="114"/>
      <c r="AC506" s="114"/>
      <c r="AD506" s="114"/>
      <c r="AE506" s="114"/>
      <c r="AF506" s="114"/>
      <c r="AG506" s="693"/>
    </row>
    <row r="507" hidden="1" outlineLevel="1">
      <c r="A507" s="352" t="s">
        <v>1038</v>
      </c>
      <c r="B507" s="114">
        <v>0.0</v>
      </c>
      <c r="C507" s="114">
        <v>0.0</v>
      </c>
      <c r="D507" s="114">
        <v>0.0</v>
      </c>
      <c r="E507" s="114">
        <v>0.0</v>
      </c>
      <c r="F507" s="114">
        <v>0.0</v>
      </c>
      <c r="G507" s="114">
        <v>0.0</v>
      </c>
      <c r="H507" s="114">
        <v>0.0</v>
      </c>
      <c r="I507" s="114">
        <v>0.0</v>
      </c>
      <c r="J507" s="114">
        <v>0.0</v>
      </c>
      <c r="K507" s="114">
        <v>0.0</v>
      </c>
      <c r="L507" s="114">
        <v>0.0</v>
      </c>
      <c r="M507" s="114">
        <v>0.0</v>
      </c>
      <c r="N507" s="114">
        <v>0.0</v>
      </c>
      <c r="O507" s="114">
        <v>0.0</v>
      </c>
      <c r="P507" s="114">
        <v>0.0</v>
      </c>
      <c r="Q507" s="114">
        <v>0.0</v>
      </c>
      <c r="R507" s="114">
        <v>0.0</v>
      </c>
      <c r="S507" s="114">
        <v>0.0</v>
      </c>
      <c r="T507" s="114">
        <v>0.0</v>
      </c>
      <c r="U507" s="114">
        <v>0.0</v>
      </c>
      <c r="V507" s="114">
        <v>0.0</v>
      </c>
      <c r="W507" s="114">
        <v>0.0</v>
      </c>
      <c r="X507" s="114">
        <v>0.0</v>
      </c>
      <c r="Y507" s="114"/>
      <c r="Z507" s="114"/>
      <c r="AA507" s="114"/>
      <c r="AB507" s="114"/>
      <c r="AC507" s="114"/>
      <c r="AD507" s="114"/>
      <c r="AE507" s="114"/>
      <c r="AF507" s="114"/>
      <c r="AG507" s="693">
        <f t="shared" ref="AG507:AG513" si="151">SUM(B507:AF507)</f>
        <v>0</v>
      </c>
    </row>
    <row r="508" hidden="1" outlineLevel="1">
      <c r="A508" s="352" t="s">
        <v>1040</v>
      </c>
      <c r="B508" s="777"/>
      <c r="C508" s="777"/>
      <c r="D508" s="777"/>
      <c r="E508" s="777"/>
      <c r="F508" s="777"/>
      <c r="G508" s="777"/>
      <c r="H508" s="777"/>
      <c r="I508" s="777"/>
      <c r="J508" s="777"/>
      <c r="K508" s="777"/>
      <c r="L508" s="777"/>
      <c r="M508" s="777"/>
      <c r="N508" s="777"/>
      <c r="O508" s="777"/>
      <c r="P508" s="777"/>
      <c r="Q508" s="777"/>
      <c r="R508" s="777"/>
      <c r="S508" s="777"/>
      <c r="T508" s="777"/>
      <c r="U508" s="777"/>
      <c r="V508" s="777"/>
      <c r="W508" s="777"/>
      <c r="X508" s="777"/>
      <c r="Y508" s="777"/>
      <c r="Z508" s="777"/>
      <c r="AA508" s="448"/>
      <c r="AB508" s="448"/>
      <c r="AC508" s="448"/>
      <c r="AD508" s="448"/>
      <c r="AE508" s="448"/>
      <c r="AF508" s="448"/>
      <c r="AG508" s="693">
        <f t="shared" si="151"/>
        <v>0</v>
      </c>
    </row>
    <row r="509" hidden="1" outlineLevel="1">
      <c r="A509" s="352" t="s">
        <v>1042</v>
      </c>
      <c r="B509" s="114">
        <v>0.0</v>
      </c>
      <c r="C509" s="114">
        <v>0.0</v>
      </c>
      <c r="D509" s="114">
        <v>0.0</v>
      </c>
      <c r="E509" s="114">
        <v>0.0</v>
      </c>
      <c r="F509" s="114">
        <v>0.0</v>
      </c>
      <c r="G509" s="114">
        <v>0.0</v>
      </c>
      <c r="H509" s="114">
        <v>0.0</v>
      </c>
      <c r="I509" s="114">
        <v>0.0</v>
      </c>
      <c r="J509" s="114">
        <v>0.0</v>
      </c>
      <c r="K509" s="114">
        <v>0.0</v>
      </c>
      <c r="L509" s="114">
        <v>0.0</v>
      </c>
      <c r="M509" s="114">
        <v>0.0</v>
      </c>
      <c r="N509" s="114">
        <v>0.0</v>
      </c>
      <c r="O509" s="114">
        <v>0.0</v>
      </c>
      <c r="P509" s="114">
        <v>0.0</v>
      </c>
      <c r="Q509" s="114">
        <v>0.0</v>
      </c>
      <c r="R509" s="114">
        <v>0.0</v>
      </c>
      <c r="S509" s="114">
        <v>0.0</v>
      </c>
      <c r="T509" s="114">
        <v>0.0</v>
      </c>
      <c r="U509" s="114">
        <v>0.0</v>
      </c>
      <c r="V509" s="114">
        <v>0.0</v>
      </c>
      <c r="W509" s="114">
        <v>0.0</v>
      </c>
      <c r="X509" s="114">
        <v>0.0</v>
      </c>
      <c r="Y509" s="114"/>
      <c r="Z509" s="114"/>
      <c r="AA509" s="114"/>
      <c r="AB509" s="114"/>
      <c r="AC509" s="114"/>
      <c r="AD509" s="114"/>
      <c r="AE509" s="114"/>
      <c r="AF509" s="114"/>
      <c r="AG509" s="693">
        <f t="shared" si="151"/>
        <v>0</v>
      </c>
    </row>
    <row r="510" hidden="1" outlineLevel="1">
      <c r="A510" s="352" t="s">
        <v>1222</v>
      </c>
      <c r="B510" s="114">
        <v>0.0</v>
      </c>
      <c r="C510" s="114">
        <v>0.0</v>
      </c>
      <c r="D510" s="114">
        <v>0.0</v>
      </c>
      <c r="E510" s="114">
        <v>0.0</v>
      </c>
      <c r="F510" s="114">
        <v>0.0</v>
      </c>
      <c r="G510" s="114">
        <v>0.0</v>
      </c>
      <c r="H510" s="114">
        <v>0.0</v>
      </c>
      <c r="I510" s="114">
        <v>0.0</v>
      </c>
      <c r="J510" s="114">
        <v>0.0</v>
      </c>
      <c r="K510" s="114">
        <v>0.0</v>
      </c>
      <c r="L510" s="114">
        <v>0.0</v>
      </c>
      <c r="M510" s="114">
        <v>0.0</v>
      </c>
      <c r="N510" s="114">
        <v>0.0</v>
      </c>
      <c r="O510" s="114">
        <v>0.0</v>
      </c>
      <c r="P510" s="114">
        <v>0.0</v>
      </c>
      <c r="Q510" s="114">
        <v>0.0</v>
      </c>
      <c r="R510" s="114">
        <v>0.0</v>
      </c>
      <c r="S510" s="114">
        <v>0.0</v>
      </c>
      <c r="T510" s="114">
        <v>0.0</v>
      </c>
      <c r="U510" s="114">
        <v>0.0</v>
      </c>
      <c r="V510" s="114">
        <v>0.0</v>
      </c>
      <c r="W510" s="114">
        <v>0.0</v>
      </c>
      <c r="X510" s="114">
        <v>0.0</v>
      </c>
      <c r="Y510" s="114"/>
      <c r="Z510" s="114"/>
      <c r="AA510" s="114"/>
      <c r="AB510" s="114"/>
      <c r="AC510" s="114"/>
      <c r="AD510" s="114"/>
      <c r="AE510" s="114"/>
      <c r="AF510" s="114"/>
      <c r="AG510" s="693">
        <f t="shared" si="151"/>
        <v>0</v>
      </c>
    </row>
    <row r="511" hidden="1" outlineLevel="1">
      <c r="A511" s="352" t="s">
        <v>1223</v>
      </c>
      <c r="B511" s="114">
        <v>0.0</v>
      </c>
      <c r="C511" s="114">
        <v>0.0</v>
      </c>
      <c r="D511" s="114">
        <v>0.0</v>
      </c>
      <c r="E511" s="114">
        <v>0.0</v>
      </c>
      <c r="F511" s="114">
        <v>0.0</v>
      </c>
      <c r="G511" s="114">
        <v>0.0</v>
      </c>
      <c r="H511" s="114">
        <v>0.0</v>
      </c>
      <c r="I511" s="114">
        <v>0.0</v>
      </c>
      <c r="J511" s="114">
        <v>0.0</v>
      </c>
      <c r="K511" s="114">
        <v>0.0</v>
      </c>
      <c r="L511" s="114">
        <v>0.0</v>
      </c>
      <c r="M511" s="114">
        <v>0.0</v>
      </c>
      <c r="N511" s="114">
        <v>0.0</v>
      </c>
      <c r="O511" s="114">
        <v>0.0</v>
      </c>
      <c r="P511" s="114">
        <v>0.0</v>
      </c>
      <c r="Q511" s="114">
        <v>0.0</v>
      </c>
      <c r="R511" s="114">
        <v>0.0</v>
      </c>
      <c r="S511" s="114">
        <v>0.0</v>
      </c>
      <c r="T511" s="114">
        <v>0.0</v>
      </c>
      <c r="U511" s="114">
        <v>0.0</v>
      </c>
      <c r="V511" s="114">
        <v>0.0</v>
      </c>
      <c r="W511" s="114">
        <v>0.0</v>
      </c>
      <c r="X511" s="114">
        <v>0.0</v>
      </c>
      <c r="Y511" s="114"/>
      <c r="Z511" s="114"/>
      <c r="AA511" s="114"/>
      <c r="AB511" s="114"/>
      <c r="AC511" s="114"/>
      <c r="AD511" s="114"/>
      <c r="AE511" s="114"/>
      <c r="AF511" s="114"/>
      <c r="AG511" s="693">
        <f t="shared" si="151"/>
        <v>0</v>
      </c>
    </row>
    <row r="512" hidden="1" outlineLevel="1">
      <c r="A512" s="352" t="s">
        <v>1225</v>
      </c>
      <c r="B512" s="114">
        <v>0.0</v>
      </c>
      <c r="C512" s="114">
        <v>0.0</v>
      </c>
      <c r="D512" s="114">
        <v>0.0</v>
      </c>
      <c r="E512" s="114">
        <v>0.0</v>
      </c>
      <c r="F512" s="114">
        <v>0.0</v>
      </c>
      <c r="G512" s="114">
        <v>0.0</v>
      </c>
      <c r="H512" s="114">
        <v>0.0</v>
      </c>
      <c r="I512" s="114">
        <v>0.0</v>
      </c>
      <c r="J512" s="114">
        <v>0.0</v>
      </c>
      <c r="K512" s="114">
        <v>0.0</v>
      </c>
      <c r="L512" s="114">
        <v>0.0</v>
      </c>
      <c r="M512" s="114">
        <v>0.0</v>
      </c>
      <c r="N512" s="114">
        <v>0.0</v>
      </c>
      <c r="O512" s="114">
        <v>0.0</v>
      </c>
      <c r="P512" s="114">
        <v>0.0</v>
      </c>
      <c r="Q512" s="114">
        <v>0.0</v>
      </c>
      <c r="R512" s="114">
        <v>0.0</v>
      </c>
      <c r="S512" s="114">
        <v>0.0</v>
      </c>
      <c r="T512" s="114">
        <v>0.0</v>
      </c>
      <c r="U512" s="114">
        <v>0.0</v>
      </c>
      <c r="V512" s="114">
        <v>0.0</v>
      </c>
      <c r="W512" s="114">
        <v>0.0</v>
      </c>
      <c r="X512" s="114">
        <v>0.0</v>
      </c>
      <c r="Y512" s="114"/>
      <c r="Z512" s="114"/>
      <c r="AA512" s="114"/>
      <c r="AB512" s="114"/>
      <c r="AC512" s="114"/>
      <c r="AD512" s="114"/>
      <c r="AE512" s="114"/>
      <c r="AF512" s="114"/>
      <c r="AG512" s="693">
        <f t="shared" si="151"/>
        <v>0</v>
      </c>
    </row>
    <row r="513" hidden="1" outlineLevel="1">
      <c r="A513" s="836" t="s">
        <v>1052</v>
      </c>
      <c r="B513" s="874">
        <f t="shared" ref="B513:C513" si="152">SUM(B507:B512)</f>
        <v>0</v>
      </c>
      <c r="C513" s="874">
        <f t="shared" si="152"/>
        <v>0</v>
      </c>
      <c r="D513" s="874">
        <f>SUM(D507:D511)</f>
        <v>0</v>
      </c>
      <c r="E513" s="874">
        <f>SUM(E507:E512)</f>
        <v>0</v>
      </c>
      <c r="F513" s="874">
        <f t="shared" ref="F513:P513" si="153">SUM(F507:F511)</f>
        <v>0</v>
      </c>
      <c r="G513" s="874">
        <f t="shared" si="153"/>
        <v>0</v>
      </c>
      <c r="H513" s="874">
        <f t="shared" si="153"/>
        <v>0</v>
      </c>
      <c r="I513" s="874">
        <f t="shared" si="153"/>
        <v>0</v>
      </c>
      <c r="J513" s="874">
        <f t="shared" si="153"/>
        <v>0</v>
      </c>
      <c r="K513" s="874">
        <f t="shared" si="153"/>
        <v>0</v>
      </c>
      <c r="L513" s="874">
        <f t="shared" si="153"/>
        <v>0</v>
      </c>
      <c r="M513" s="874">
        <f t="shared" si="153"/>
        <v>0</v>
      </c>
      <c r="N513" s="874">
        <f t="shared" si="153"/>
        <v>0</v>
      </c>
      <c r="O513" s="874">
        <f t="shared" si="153"/>
        <v>0</v>
      </c>
      <c r="P513" s="874">
        <f t="shared" si="153"/>
        <v>0</v>
      </c>
      <c r="Q513" s="874">
        <f t="shared" ref="Q513:S513" si="154">SUM(Q507:Q512)</f>
        <v>0</v>
      </c>
      <c r="R513" s="874">
        <f t="shared" si="154"/>
        <v>0</v>
      </c>
      <c r="S513" s="874">
        <f t="shared" si="154"/>
        <v>0</v>
      </c>
      <c r="T513" s="874">
        <f t="shared" ref="T513:V513" si="155">SUM(T507:T511)</f>
        <v>0</v>
      </c>
      <c r="U513" s="874">
        <f t="shared" si="155"/>
        <v>0</v>
      </c>
      <c r="V513" s="874">
        <f t="shared" si="155"/>
        <v>0</v>
      </c>
      <c r="W513" s="874">
        <f t="shared" ref="W513:X513" si="156">SUM(W507:W512)</f>
        <v>0</v>
      </c>
      <c r="X513" s="874">
        <f t="shared" si="156"/>
        <v>0</v>
      </c>
      <c r="Y513" s="874">
        <f t="shared" ref="Y513:AF513" si="157">SUM(Y507:Y511)</f>
        <v>0</v>
      </c>
      <c r="Z513" s="874">
        <f t="shared" si="157"/>
        <v>0</v>
      </c>
      <c r="AA513" s="874">
        <f t="shared" si="157"/>
        <v>0</v>
      </c>
      <c r="AB513" s="874">
        <f t="shared" si="157"/>
        <v>0</v>
      </c>
      <c r="AC513" s="874">
        <f t="shared" si="157"/>
        <v>0</v>
      </c>
      <c r="AD513" s="874">
        <f t="shared" si="157"/>
        <v>0</v>
      </c>
      <c r="AE513" s="874">
        <f t="shared" si="157"/>
        <v>0</v>
      </c>
      <c r="AF513" s="874">
        <f t="shared" si="157"/>
        <v>0</v>
      </c>
      <c r="AG513" s="693">
        <f t="shared" si="151"/>
        <v>0</v>
      </c>
    </row>
    <row r="514" hidden="1" outlineLevel="1">
      <c r="A514" s="25"/>
      <c r="B514" s="758"/>
      <c r="C514" s="758"/>
      <c r="D514" s="758"/>
      <c r="E514" s="758"/>
      <c r="F514" s="758"/>
      <c r="G514" s="758"/>
      <c r="H514" s="758"/>
      <c r="I514" s="758"/>
      <c r="J514" s="758"/>
      <c r="K514" s="758"/>
      <c r="L514" s="758"/>
      <c r="M514" s="758"/>
      <c r="N514" s="758"/>
      <c r="O514" s="758"/>
      <c r="P514" s="758"/>
      <c r="Q514" s="758"/>
      <c r="R514" s="758"/>
      <c r="S514" s="758"/>
      <c r="T514" s="758"/>
      <c r="U514" s="758"/>
      <c r="V514" s="758"/>
      <c r="W514" s="758"/>
      <c r="X514" s="758"/>
      <c r="Y514" s="758"/>
      <c r="Z514" s="758"/>
      <c r="AA514" s="758"/>
      <c r="AB514" s="758"/>
      <c r="AC514" s="758"/>
      <c r="AD514" s="758"/>
      <c r="AE514" s="758"/>
      <c r="AF514" s="758"/>
      <c r="AG514" s="453"/>
    </row>
    <row r="515" hidden="1" outlineLevel="1">
      <c r="A515" s="352" t="s">
        <v>1054</v>
      </c>
      <c r="B515" s="342"/>
      <c r="C515" s="342"/>
      <c r="D515" s="342"/>
      <c r="E515" s="342"/>
      <c r="F515" s="342"/>
      <c r="G515" s="342"/>
      <c r="H515" s="342"/>
      <c r="I515" s="342"/>
      <c r="J515" s="342"/>
      <c r="K515" s="342"/>
      <c r="L515" s="342"/>
      <c r="M515" s="342"/>
      <c r="N515" s="342"/>
      <c r="O515" s="342"/>
      <c r="P515" s="342"/>
      <c r="Q515" s="342"/>
      <c r="R515" s="342"/>
      <c r="S515" s="342"/>
      <c r="T515" s="342"/>
      <c r="U515" s="342"/>
      <c r="V515" s="342"/>
      <c r="W515" s="342"/>
      <c r="X515" s="342"/>
      <c r="Y515" s="342"/>
      <c r="Z515" s="342"/>
      <c r="AA515" s="342"/>
      <c r="AB515" s="342"/>
      <c r="AC515" s="342"/>
      <c r="AD515" s="342"/>
      <c r="AE515" s="342"/>
      <c r="AF515" s="342"/>
      <c r="AG515" s="693">
        <f t="shared" ref="AG515:AG521" si="158">SUM(B515:AF515)</f>
        <v>0</v>
      </c>
    </row>
    <row r="516" hidden="1" outlineLevel="1">
      <c r="A516" s="352" t="s">
        <v>1056</v>
      </c>
      <c r="B516" s="342"/>
      <c r="C516" s="342"/>
      <c r="D516" s="342"/>
      <c r="E516" s="342"/>
      <c r="F516" s="342"/>
      <c r="G516" s="342"/>
      <c r="H516" s="342"/>
      <c r="I516" s="342"/>
      <c r="J516" s="342"/>
      <c r="K516" s="342"/>
      <c r="L516" s="342"/>
      <c r="M516" s="342"/>
      <c r="N516" s="342"/>
      <c r="O516" s="342"/>
      <c r="P516" s="444"/>
      <c r="Q516" s="444"/>
      <c r="R516" s="444"/>
      <c r="S516" s="444"/>
      <c r="T516" s="444"/>
      <c r="U516" s="444"/>
      <c r="V516" s="444"/>
      <c r="W516" s="444"/>
      <c r="X516" s="444"/>
      <c r="Y516" s="444"/>
      <c r="Z516" s="444"/>
      <c r="AA516" s="444"/>
      <c r="AB516" s="444"/>
      <c r="AC516" s="444"/>
      <c r="AD516" s="444"/>
      <c r="AE516" s="444"/>
      <c r="AF516" s="444"/>
      <c r="AG516" s="693">
        <f t="shared" si="158"/>
        <v>0</v>
      </c>
    </row>
    <row r="517" hidden="1" outlineLevel="1">
      <c r="A517" s="352" t="s">
        <v>1057</v>
      </c>
      <c r="B517" s="342"/>
      <c r="C517" s="342"/>
      <c r="D517" s="342"/>
      <c r="E517" s="342"/>
      <c r="F517" s="342"/>
      <c r="G517" s="342"/>
      <c r="H517" s="342"/>
      <c r="I517" s="342"/>
      <c r="J517" s="342"/>
      <c r="K517" s="342"/>
      <c r="L517" s="342"/>
      <c r="M517" s="342"/>
      <c r="N517" s="342"/>
      <c r="O517" s="342"/>
      <c r="P517" s="342"/>
      <c r="Q517" s="342"/>
      <c r="R517" s="342"/>
      <c r="S517" s="342"/>
      <c r="T517" s="342"/>
      <c r="U517" s="342"/>
      <c r="V517" s="342"/>
      <c r="W517" s="342"/>
      <c r="X517" s="342"/>
      <c r="Y517" s="342"/>
      <c r="Z517" s="342"/>
      <c r="AA517" s="342"/>
      <c r="AB517" s="342"/>
      <c r="AC517" s="342"/>
      <c r="AD517" s="342"/>
      <c r="AE517" s="342"/>
      <c r="AF517" s="342"/>
      <c r="AG517" s="693">
        <f t="shared" si="158"/>
        <v>0</v>
      </c>
    </row>
    <row r="518" hidden="1" outlineLevel="1">
      <c r="A518" s="352" t="s">
        <v>1228</v>
      </c>
      <c r="B518" s="342"/>
      <c r="C518" s="342"/>
      <c r="D518" s="342"/>
      <c r="E518" s="342"/>
      <c r="F518" s="342"/>
      <c r="G518" s="342"/>
      <c r="H518" s="342"/>
      <c r="I518" s="342"/>
      <c r="J518" s="342"/>
      <c r="K518" s="342"/>
      <c r="L518" s="342"/>
      <c r="M518" s="342"/>
      <c r="N518" s="342"/>
      <c r="O518" s="342"/>
      <c r="P518" s="342"/>
      <c r="Q518" s="342"/>
      <c r="R518" s="342"/>
      <c r="S518" s="342"/>
      <c r="T518" s="342"/>
      <c r="U518" s="342"/>
      <c r="V518" s="342"/>
      <c r="W518" s="342"/>
      <c r="X518" s="342"/>
      <c r="Y518" s="342"/>
      <c r="Z518" s="342"/>
      <c r="AA518" s="342"/>
      <c r="AB518" s="342"/>
      <c r="AC518" s="342"/>
      <c r="AD518" s="342"/>
      <c r="AE518" s="342"/>
      <c r="AF518" s="342"/>
      <c r="AG518" s="693">
        <f t="shared" si="158"/>
        <v>0</v>
      </c>
    </row>
    <row r="519" hidden="1" outlineLevel="1">
      <c r="A519" s="352" t="s">
        <v>1229</v>
      </c>
      <c r="B519" s="342"/>
      <c r="C519" s="342"/>
      <c r="D519" s="342"/>
      <c r="E519" s="342"/>
      <c r="F519" s="342"/>
      <c r="G519" s="342"/>
      <c r="H519" s="342"/>
      <c r="I519" s="342"/>
      <c r="J519" s="342"/>
      <c r="K519" s="342"/>
      <c r="L519" s="342"/>
      <c r="M519" s="342"/>
      <c r="N519" s="342"/>
      <c r="O519" s="342"/>
      <c r="P519" s="342"/>
      <c r="Q519" s="342"/>
      <c r="R519" s="342"/>
      <c r="S519" s="342"/>
      <c r="T519" s="342"/>
      <c r="U519" s="342"/>
      <c r="V519" s="342"/>
      <c r="W519" s="342"/>
      <c r="X519" s="342"/>
      <c r="Y519" s="342"/>
      <c r="Z519" s="342"/>
      <c r="AA519" s="342"/>
      <c r="AB519" s="342"/>
      <c r="AC519" s="342"/>
      <c r="AD519" s="342"/>
      <c r="AE519" s="342"/>
      <c r="AF519" s="342"/>
      <c r="AG519" s="693">
        <f t="shared" si="158"/>
        <v>0</v>
      </c>
    </row>
    <row r="520" hidden="1" outlineLevel="1">
      <c r="A520" s="352" t="s">
        <v>1231</v>
      </c>
      <c r="B520" s="342"/>
      <c r="C520" s="342"/>
      <c r="D520" s="342"/>
      <c r="E520" s="342"/>
      <c r="F520" s="342"/>
      <c r="G520" s="342"/>
      <c r="H520" s="342"/>
      <c r="I520" s="342"/>
      <c r="J520" s="342"/>
      <c r="K520" s="342"/>
      <c r="L520" s="342"/>
      <c r="M520" s="342"/>
      <c r="N520" s="342"/>
      <c r="O520" s="342"/>
      <c r="P520" s="342"/>
      <c r="Q520" s="342"/>
      <c r="R520" s="342"/>
      <c r="S520" s="342"/>
      <c r="T520" s="342"/>
      <c r="U520" s="342"/>
      <c r="V520" s="342"/>
      <c r="W520" s="342"/>
      <c r="X520" s="342"/>
      <c r="Y520" s="342"/>
      <c r="Z520" s="342"/>
      <c r="AA520" s="342"/>
      <c r="AB520" s="342"/>
      <c r="AC520" s="342"/>
      <c r="AD520" s="342"/>
      <c r="AE520" s="342"/>
      <c r="AF520" s="342"/>
      <c r="AG520" s="693">
        <f t="shared" si="158"/>
        <v>0</v>
      </c>
    </row>
    <row r="521" hidden="1" outlineLevel="1">
      <c r="A521" s="836" t="s">
        <v>1066</v>
      </c>
      <c r="B521" s="874">
        <f t="shared" ref="B521:R521" si="159">SUM(B515:B519)</f>
        <v>0</v>
      </c>
      <c r="C521" s="874">
        <f t="shared" si="159"/>
        <v>0</v>
      </c>
      <c r="D521" s="874">
        <f t="shared" si="159"/>
        <v>0</v>
      </c>
      <c r="E521" s="874">
        <f t="shared" si="159"/>
        <v>0</v>
      </c>
      <c r="F521" s="874">
        <f t="shared" si="159"/>
        <v>0</v>
      </c>
      <c r="G521" s="874">
        <f t="shared" si="159"/>
        <v>0</v>
      </c>
      <c r="H521" s="874">
        <f t="shared" si="159"/>
        <v>0</v>
      </c>
      <c r="I521" s="874">
        <f t="shared" si="159"/>
        <v>0</v>
      </c>
      <c r="J521" s="874">
        <f t="shared" si="159"/>
        <v>0</v>
      </c>
      <c r="K521" s="874">
        <f t="shared" si="159"/>
        <v>0</v>
      </c>
      <c r="L521" s="874">
        <f t="shared" si="159"/>
        <v>0</v>
      </c>
      <c r="M521" s="874">
        <f t="shared" si="159"/>
        <v>0</v>
      </c>
      <c r="N521" s="874">
        <f t="shared" si="159"/>
        <v>0</v>
      </c>
      <c r="O521" s="874">
        <f t="shared" si="159"/>
        <v>0</v>
      </c>
      <c r="P521" s="874">
        <f t="shared" si="159"/>
        <v>0</v>
      </c>
      <c r="Q521" s="874">
        <f t="shared" si="159"/>
        <v>0</v>
      </c>
      <c r="R521" s="874">
        <f t="shared" si="159"/>
        <v>0</v>
      </c>
      <c r="S521" s="874">
        <f>SUM(S515:S520)</f>
        <v>0</v>
      </c>
      <c r="T521" s="874">
        <f t="shared" ref="T521:V521" si="160">SUM(T515:T519)</f>
        <v>0</v>
      </c>
      <c r="U521" s="874">
        <f t="shared" si="160"/>
        <v>0</v>
      </c>
      <c r="V521" s="874">
        <f t="shared" si="160"/>
        <v>0</v>
      </c>
      <c r="W521" s="874">
        <f t="shared" ref="W521:X521" si="161">SUM(W515:W520)</f>
        <v>0</v>
      </c>
      <c r="X521" s="874">
        <f t="shared" si="161"/>
        <v>0</v>
      </c>
      <c r="Y521" s="874">
        <f t="shared" ref="Y521:AF521" si="162">SUM(Y515:Y519)</f>
        <v>0</v>
      </c>
      <c r="Z521" s="874">
        <f t="shared" si="162"/>
        <v>0</v>
      </c>
      <c r="AA521" s="874">
        <f t="shared" si="162"/>
        <v>0</v>
      </c>
      <c r="AB521" s="874">
        <f t="shared" si="162"/>
        <v>0</v>
      </c>
      <c r="AC521" s="874">
        <f t="shared" si="162"/>
        <v>0</v>
      </c>
      <c r="AD521" s="874">
        <f t="shared" si="162"/>
        <v>0</v>
      </c>
      <c r="AE521" s="874">
        <f t="shared" si="162"/>
        <v>0</v>
      </c>
      <c r="AF521" s="874">
        <f t="shared" si="162"/>
        <v>0</v>
      </c>
      <c r="AG521" s="693">
        <f t="shared" si="158"/>
        <v>0</v>
      </c>
    </row>
    <row r="522">
      <c r="A522" s="723"/>
      <c r="AG522" s="453"/>
    </row>
    <row r="523">
      <c r="A523" s="723"/>
      <c r="AG523" s="453"/>
    </row>
    <row r="524">
      <c r="A524" s="936" t="s">
        <v>1232</v>
      </c>
      <c r="B524" s="937">
        <f t="shared" ref="B524:AE524" si="163">B603</f>
        <v>234</v>
      </c>
      <c r="C524" s="937">
        <f t="shared" si="163"/>
        <v>1750.35</v>
      </c>
      <c r="D524" s="937">
        <f t="shared" si="163"/>
        <v>271.1</v>
      </c>
      <c r="E524" s="937">
        <f t="shared" si="163"/>
        <v>0</v>
      </c>
      <c r="F524" s="937">
        <f t="shared" si="163"/>
        <v>201.8</v>
      </c>
      <c r="G524" s="937">
        <f t="shared" si="163"/>
        <v>0</v>
      </c>
      <c r="H524" s="937">
        <f t="shared" si="163"/>
        <v>223</v>
      </c>
      <c r="I524" s="937">
        <f t="shared" si="163"/>
        <v>3063.65</v>
      </c>
      <c r="J524" s="937">
        <f t="shared" si="163"/>
        <v>314</v>
      </c>
      <c r="K524" s="937">
        <f t="shared" si="163"/>
        <v>0</v>
      </c>
      <c r="L524" s="937">
        <f t="shared" si="163"/>
        <v>0</v>
      </c>
      <c r="M524" s="937">
        <f t="shared" si="163"/>
        <v>70</v>
      </c>
      <c r="N524" s="937">
        <f t="shared" si="163"/>
        <v>259</v>
      </c>
      <c r="O524" s="937">
        <f t="shared" si="163"/>
        <v>1520</v>
      </c>
      <c r="P524" s="937">
        <f t="shared" si="163"/>
        <v>293</v>
      </c>
      <c r="Q524" s="937">
        <f t="shared" si="163"/>
        <v>468</v>
      </c>
      <c r="R524" s="937">
        <f t="shared" si="163"/>
        <v>271.11</v>
      </c>
      <c r="S524" s="937">
        <f t="shared" si="163"/>
        <v>24</v>
      </c>
      <c r="T524" s="937">
        <f t="shared" si="163"/>
        <v>3122</v>
      </c>
      <c r="U524" s="937">
        <f t="shared" si="163"/>
        <v>1978.35</v>
      </c>
      <c r="V524" s="937">
        <f t="shared" si="163"/>
        <v>1947.65</v>
      </c>
      <c r="W524" s="937">
        <f t="shared" si="163"/>
        <v>566</v>
      </c>
      <c r="X524" s="937">
        <f t="shared" si="163"/>
        <v>2761.75</v>
      </c>
      <c r="Y524" s="937">
        <f t="shared" si="163"/>
        <v>0</v>
      </c>
      <c r="Z524" s="937">
        <f t="shared" si="163"/>
        <v>0</v>
      </c>
      <c r="AA524" s="937">
        <f t="shared" si="163"/>
        <v>0</v>
      </c>
      <c r="AB524" s="937">
        <f t="shared" si="163"/>
        <v>100</v>
      </c>
      <c r="AC524" s="937">
        <f t="shared" si="163"/>
        <v>571</v>
      </c>
      <c r="AD524" s="937">
        <f t="shared" si="163"/>
        <v>169</v>
      </c>
      <c r="AE524" s="937">
        <f t="shared" si="163"/>
        <v>625</v>
      </c>
      <c r="AF524" s="758"/>
      <c r="AG524" s="576"/>
    </row>
    <row r="525">
      <c r="A525" s="936" t="s">
        <v>830</v>
      </c>
      <c r="B525" s="938">
        <f t="shared" ref="B525:AE525" si="164">B602</f>
        <v>378</v>
      </c>
      <c r="C525" s="938">
        <f t="shared" si="164"/>
        <v>360</v>
      </c>
      <c r="D525" s="938">
        <f t="shared" si="164"/>
        <v>1204</v>
      </c>
      <c r="E525" s="938">
        <f t="shared" si="164"/>
        <v>0</v>
      </c>
      <c r="F525" s="938">
        <f t="shared" si="164"/>
        <v>0</v>
      </c>
      <c r="G525" s="938">
        <f t="shared" si="164"/>
        <v>435</v>
      </c>
      <c r="H525" s="938">
        <f t="shared" si="164"/>
        <v>0</v>
      </c>
      <c r="I525" s="938">
        <f t="shared" si="164"/>
        <v>677</v>
      </c>
      <c r="J525" s="938">
        <f t="shared" si="164"/>
        <v>209</v>
      </c>
      <c r="K525" s="938">
        <f t="shared" si="164"/>
        <v>860.68</v>
      </c>
      <c r="L525" s="938">
        <f t="shared" si="164"/>
        <v>0</v>
      </c>
      <c r="M525" s="938">
        <f t="shared" si="164"/>
        <v>0</v>
      </c>
      <c r="N525" s="938">
        <f t="shared" si="164"/>
        <v>418</v>
      </c>
      <c r="O525" s="938">
        <f t="shared" si="164"/>
        <v>681.63</v>
      </c>
      <c r="P525" s="938">
        <f t="shared" si="164"/>
        <v>627</v>
      </c>
      <c r="Q525" s="938">
        <f t="shared" si="164"/>
        <v>492.07</v>
      </c>
      <c r="R525" s="938">
        <f t="shared" si="164"/>
        <v>0</v>
      </c>
      <c r="S525" s="938">
        <f t="shared" si="164"/>
        <v>0</v>
      </c>
      <c r="T525" s="938">
        <f t="shared" si="164"/>
        <v>1361</v>
      </c>
      <c r="U525" s="938">
        <f t="shared" si="164"/>
        <v>3085.04</v>
      </c>
      <c r="V525" s="938">
        <f t="shared" si="164"/>
        <v>4339.82</v>
      </c>
      <c r="W525" s="938">
        <f t="shared" si="164"/>
        <v>2085.5</v>
      </c>
      <c r="X525" s="938">
        <f t="shared" si="164"/>
        <v>3103.86</v>
      </c>
      <c r="Y525" s="938">
        <f t="shared" si="164"/>
        <v>5159.14</v>
      </c>
      <c r="Z525" s="938">
        <f t="shared" si="164"/>
        <v>6533.7</v>
      </c>
      <c r="AA525" s="938">
        <f t="shared" si="164"/>
        <v>5470.58</v>
      </c>
      <c r="AB525" s="938">
        <f t="shared" si="164"/>
        <v>5121.37</v>
      </c>
      <c r="AC525" s="938">
        <f t="shared" si="164"/>
        <v>8090.99</v>
      </c>
      <c r="AD525" s="938">
        <f t="shared" si="164"/>
        <v>3379.91</v>
      </c>
      <c r="AE525" s="938">
        <f t="shared" si="164"/>
        <v>3596.12</v>
      </c>
      <c r="AF525" s="758"/>
      <c r="AG525" s="576"/>
    </row>
    <row r="526">
      <c r="A526" s="936" t="s">
        <v>1234</v>
      </c>
      <c r="B526" s="943">
        <f t="shared" ref="B526:AE526" si="165">B667</f>
        <v>-0.01791656424</v>
      </c>
      <c r="C526" s="943">
        <f t="shared" si="165"/>
        <v>0.04801840378</v>
      </c>
      <c r="D526" s="943">
        <f t="shared" si="165"/>
        <v>0.01381263228</v>
      </c>
      <c r="E526" s="943">
        <f t="shared" si="165"/>
        <v>0.0150523876</v>
      </c>
      <c r="F526" s="943">
        <f t="shared" si="165"/>
        <v>0.03896020938</v>
      </c>
      <c r="G526" s="943">
        <f t="shared" si="165"/>
        <v>0.0560748921</v>
      </c>
      <c r="H526" s="943">
        <f t="shared" si="165"/>
        <v>0.05340642047</v>
      </c>
      <c r="I526" s="943">
        <f t="shared" si="165"/>
        <v>0.01530770584</v>
      </c>
      <c r="J526" s="943">
        <f t="shared" si="165"/>
        <v>-0.03663992339</v>
      </c>
      <c r="K526" s="943">
        <f t="shared" si="165"/>
        <v>-0.03061529021</v>
      </c>
      <c r="L526" s="943">
        <f t="shared" si="165"/>
        <v>0.1250593233</v>
      </c>
      <c r="M526" s="943">
        <f t="shared" si="165"/>
        <v>0.1136585197</v>
      </c>
      <c r="N526" s="943">
        <f t="shared" si="165"/>
        <v>0.1199787114</v>
      </c>
      <c r="O526" s="943">
        <f t="shared" si="165"/>
        <v>0.0899707103</v>
      </c>
      <c r="P526" s="943">
        <f t="shared" si="165"/>
        <v>0.06689577302</v>
      </c>
      <c r="Q526" s="943">
        <f t="shared" si="165"/>
        <v>0.005333928476</v>
      </c>
      <c r="R526" s="943">
        <f t="shared" si="165"/>
        <v>0.05116870344</v>
      </c>
      <c r="S526" s="943">
        <f t="shared" si="165"/>
        <v>0.1113927819</v>
      </c>
      <c r="T526" s="943">
        <f t="shared" si="165"/>
        <v>0.09650097736</v>
      </c>
      <c r="U526" s="943">
        <f t="shared" si="165"/>
        <v>0.04479117722</v>
      </c>
      <c r="V526" s="943">
        <f t="shared" si="165"/>
        <v>0.001831793811</v>
      </c>
      <c r="W526" s="943">
        <f t="shared" si="165"/>
        <v>0.09287770214</v>
      </c>
      <c r="X526" s="943">
        <f t="shared" si="165"/>
        <v>-0.001912780362</v>
      </c>
      <c r="Y526" s="943">
        <f t="shared" si="165"/>
        <v>0.1192372925</v>
      </c>
      <c r="Z526" s="943">
        <f t="shared" si="165"/>
        <v>0.135948959</v>
      </c>
      <c r="AA526" s="943">
        <f t="shared" si="165"/>
        <v>0.02712332867</v>
      </c>
      <c r="AB526" s="943">
        <f t="shared" si="165"/>
        <v>0.1763826801</v>
      </c>
      <c r="AC526" s="943">
        <f t="shared" si="165"/>
        <v>0.2025974492</v>
      </c>
      <c r="AD526" s="943">
        <f t="shared" si="165"/>
        <v>0.1988927662</v>
      </c>
      <c r="AE526" s="943">
        <f t="shared" si="165"/>
        <v>0.3580494022</v>
      </c>
      <c r="AF526" s="758"/>
      <c r="AG526" s="576"/>
    </row>
    <row r="527">
      <c r="A527" s="723"/>
      <c r="AG527" s="453"/>
    </row>
    <row r="528">
      <c r="A528" s="349" t="s">
        <v>1186</v>
      </c>
      <c r="B528" s="661"/>
      <c r="C528" s="661"/>
      <c r="D528" s="661"/>
      <c r="E528" s="661"/>
      <c r="F528" s="661"/>
      <c r="G528" s="661"/>
      <c r="H528" s="661"/>
      <c r="I528" s="53"/>
      <c r="J528" s="53"/>
      <c r="K528" s="53"/>
      <c r="L528" s="53"/>
      <c r="M528" s="53"/>
      <c r="N528" s="53"/>
      <c r="O528" s="53"/>
      <c r="P528" s="53"/>
      <c r="Q528" s="53"/>
      <c r="R528" s="53"/>
      <c r="S528" s="53"/>
      <c r="T528" s="53"/>
      <c r="U528" s="53"/>
      <c r="V528" s="53"/>
      <c r="W528" s="53"/>
      <c r="X528" s="53"/>
      <c r="Y528" s="53"/>
      <c r="Z528" s="53"/>
      <c r="AA528" s="53"/>
      <c r="AB528" s="53"/>
      <c r="AC528" s="53"/>
      <c r="AD528" s="53"/>
      <c r="AE528" s="53"/>
      <c r="AF528" s="53"/>
      <c r="AG528" s="453"/>
    </row>
    <row r="529">
      <c r="A529" s="895" t="s">
        <v>1211</v>
      </c>
      <c r="B529" s="114">
        <f t="shared" ref="B529:AF529" si="166">B231-B348</f>
        <v>136</v>
      </c>
      <c r="C529" s="114">
        <f t="shared" si="166"/>
        <v>137</v>
      </c>
      <c r="D529" s="114">
        <f t="shared" si="166"/>
        <v>139</v>
      </c>
      <c r="E529" s="114">
        <f t="shared" si="166"/>
        <v>176</v>
      </c>
      <c r="F529" s="114">
        <f t="shared" si="166"/>
        <v>202</v>
      </c>
      <c r="G529" s="114">
        <f t="shared" si="166"/>
        <v>170</v>
      </c>
      <c r="H529" s="114">
        <f t="shared" si="166"/>
        <v>152</v>
      </c>
      <c r="I529" s="114">
        <f t="shared" si="166"/>
        <v>140</v>
      </c>
      <c r="J529" s="114">
        <f t="shared" si="166"/>
        <v>161</v>
      </c>
      <c r="K529" s="114">
        <f t="shared" si="166"/>
        <v>161</v>
      </c>
      <c r="L529" s="114">
        <f t="shared" si="166"/>
        <v>152</v>
      </c>
      <c r="M529" s="114">
        <f t="shared" si="166"/>
        <v>161</v>
      </c>
      <c r="N529" s="114">
        <f t="shared" si="166"/>
        <v>136</v>
      </c>
      <c r="O529" s="114">
        <f t="shared" si="166"/>
        <v>138</v>
      </c>
      <c r="P529" s="114">
        <f t="shared" si="166"/>
        <v>141</v>
      </c>
      <c r="Q529" s="114">
        <f t="shared" si="166"/>
        <v>133</v>
      </c>
      <c r="R529" s="114">
        <f t="shared" si="166"/>
        <v>163</v>
      </c>
      <c r="S529" s="114">
        <f t="shared" si="166"/>
        <v>193</v>
      </c>
      <c r="T529" s="114">
        <f t="shared" si="166"/>
        <v>184</v>
      </c>
      <c r="U529" s="114">
        <f t="shared" si="166"/>
        <v>192</v>
      </c>
      <c r="V529" s="114">
        <f t="shared" si="166"/>
        <v>221</v>
      </c>
      <c r="W529" s="114">
        <f t="shared" si="166"/>
        <v>307</v>
      </c>
      <c r="X529" s="114">
        <f t="shared" si="166"/>
        <v>346</v>
      </c>
      <c r="Y529" s="114">
        <f t="shared" si="166"/>
        <v>1152</v>
      </c>
      <c r="Z529" s="114">
        <f t="shared" si="166"/>
        <v>605</v>
      </c>
      <c r="AA529" s="114">
        <f t="shared" si="166"/>
        <v>522</v>
      </c>
      <c r="AB529" s="114">
        <f t="shared" si="166"/>
        <v>738</v>
      </c>
      <c r="AC529" s="114">
        <f t="shared" si="166"/>
        <v>562</v>
      </c>
      <c r="AD529" s="114">
        <f t="shared" si="166"/>
        <v>35</v>
      </c>
      <c r="AE529" s="114">
        <f t="shared" si="166"/>
        <v>38</v>
      </c>
      <c r="AF529" s="114">
        <f t="shared" si="166"/>
        <v>0</v>
      </c>
      <c r="AG529" s="693">
        <f t="shared" ref="AG529:AG536" si="168">SUM(B529:AF529)</f>
        <v>7693</v>
      </c>
    </row>
    <row r="530">
      <c r="A530" s="895" t="s">
        <v>1212</v>
      </c>
      <c r="B530" s="114">
        <f t="shared" ref="B530:AF530" si="167">B233-B350</f>
        <v>212</v>
      </c>
      <c r="C530" s="114">
        <f t="shared" si="167"/>
        <v>225</v>
      </c>
      <c r="D530" s="114">
        <f t="shared" si="167"/>
        <v>232</v>
      </c>
      <c r="E530" s="114">
        <f t="shared" si="167"/>
        <v>230</v>
      </c>
      <c r="F530" s="114">
        <f t="shared" si="167"/>
        <v>243</v>
      </c>
      <c r="G530" s="114">
        <f t="shared" si="167"/>
        <v>250</v>
      </c>
      <c r="H530" s="114">
        <f t="shared" si="167"/>
        <v>241</v>
      </c>
      <c r="I530" s="114">
        <f t="shared" si="167"/>
        <v>245</v>
      </c>
      <c r="J530" s="114">
        <f t="shared" si="167"/>
        <v>250</v>
      </c>
      <c r="K530" s="114">
        <f t="shared" si="167"/>
        <v>254</v>
      </c>
      <c r="L530" s="114">
        <f t="shared" si="167"/>
        <v>401</v>
      </c>
      <c r="M530" s="114">
        <f t="shared" si="167"/>
        <v>348</v>
      </c>
      <c r="N530" s="114">
        <f t="shared" si="167"/>
        <v>258</v>
      </c>
      <c r="O530" s="114">
        <f t="shared" si="167"/>
        <v>313</v>
      </c>
      <c r="P530" s="114">
        <f t="shared" si="167"/>
        <v>263</v>
      </c>
      <c r="Q530" s="114">
        <f t="shared" si="167"/>
        <v>251</v>
      </c>
      <c r="R530" s="114">
        <f t="shared" si="167"/>
        <v>251</v>
      </c>
      <c r="S530" s="114">
        <f t="shared" si="167"/>
        <v>341</v>
      </c>
      <c r="T530" s="114">
        <f t="shared" si="167"/>
        <v>243</v>
      </c>
      <c r="U530" s="114">
        <f t="shared" si="167"/>
        <v>315</v>
      </c>
      <c r="V530" s="114">
        <f t="shared" si="167"/>
        <v>327</v>
      </c>
      <c r="W530" s="114">
        <f t="shared" si="167"/>
        <v>480</v>
      </c>
      <c r="X530" s="114">
        <f t="shared" si="167"/>
        <v>611</v>
      </c>
      <c r="Y530" s="114">
        <f t="shared" si="167"/>
        <v>1624</v>
      </c>
      <c r="Z530" s="114">
        <f t="shared" si="167"/>
        <v>736</v>
      </c>
      <c r="AA530" s="114">
        <f t="shared" si="167"/>
        <v>908</v>
      </c>
      <c r="AB530" s="114">
        <f t="shared" si="167"/>
        <v>1245</v>
      </c>
      <c r="AC530" s="114">
        <f t="shared" si="167"/>
        <v>677</v>
      </c>
      <c r="AD530" s="114">
        <f t="shared" si="167"/>
        <v>39</v>
      </c>
      <c r="AE530" s="114">
        <f t="shared" si="167"/>
        <v>33</v>
      </c>
      <c r="AF530" s="114">
        <f t="shared" si="167"/>
        <v>0</v>
      </c>
      <c r="AG530" s="693">
        <f t="shared" si="168"/>
        <v>12046</v>
      </c>
    </row>
    <row r="531">
      <c r="A531" s="895" t="s">
        <v>1213</v>
      </c>
      <c r="B531" s="114">
        <f t="shared" ref="B531:M531" si="169">B236-B352</f>
        <v>7</v>
      </c>
      <c r="C531" s="114">
        <f t="shared" si="169"/>
        <v>11</v>
      </c>
      <c r="D531" s="114">
        <f t="shared" si="169"/>
        <v>6</v>
      </c>
      <c r="E531" s="114">
        <f t="shared" si="169"/>
        <v>4</v>
      </c>
      <c r="F531" s="114">
        <f t="shared" si="169"/>
        <v>5</v>
      </c>
      <c r="G531" s="114">
        <f t="shared" si="169"/>
        <v>7</v>
      </c>
      <c r="H531" s="114">
        <f t="shared" si="169"/>
        <v>4</v>
      </c>
      <c r="I531" s="114">
        <f t="shared" si="169"/>
        <v>2</v>
      </c>
      <c r="J531" s="114">
        <f t="shared" si="169"/>
        <v>5</v>
      </c>
      <c r="K531" s="114">
        <f t="shared" si="169"/>
        <v>9</v>
      </c>
      <c r="L531" s="114">
        <f t="shared" si="169"/>
        <v>7</v>
      </c>
      <c r="M531" s="114">
        <f t="shared" si="169"/>
        <v>8</v>
      </c>
      <c r="N531" s="114">
        <f>N236-N348</f>
        <v>6</v>
      </c>
      <c r="O531" s="114">
        <f t="shared" ref="O531:AF531" si="170">O236-O352</f>
        <v>6</v>
      </c>
      <c r="P531" s="114">
        <f t="shared" si="170"/>
        <v>9</v>
      </c>
      <c r="Q531" s="114">
        <f t="shared" si="170"/>
        <v>5</v>
      </c>
      <c r="R531" s="114">
        <f t="shared" si="170"/>
        <v>6</v>
      </c>
      <c r="S531" s="114">
        <f t="shared" si="170"/>
        <v>15</v>
      </c>
      <c r="T531" s="114">
        <f t="shared" si="170"/>
        <v>14</v>
      </c>
      <c r="U531" s="114">
        <f t="shared" si="170"/>
        <v>14</v>
      </c>
      <c r="V531" s="114">
        <f t="shared" si="170"/>
        <v>17</v>
      </c>
      <c r="W531" s="114">
        <f t="shared" si="170"/>
        <v>34</v>
      </c>
      <c r="X531" s="114">
        <f t="shared" si="170"/>
        <v>30</v>
      </c>
      <c r="Y531" s="114">
        <f t="shared" si="170"/>
        <v>43</v>
      </c>
      <c r="Z531" s="114">
        <f t="shared" si="170"/>
        <v>23</v>
      </c>
      <c r="AA531" s="114">
        <f t="shared" si="170"/>
        <v>31</v>
      </c>
      <c r="AB531" s="114">
        <f t="shared" si="170"/>
        <v>31</v>
      </c>
      <c r="AC531" s="114">
        <f t="shared" si="170"/>
        <v>5</v>
      </c>
      <c r="AD531" s="114">
        <f t="shared" si="170"/>
        <v>1</v>
      </c>
      <c r="AE531" s="114">
        <f t="shared" si="170"/>
        <v>3</v>
      </c>
      <c r="AF531" s="114">
        <f t="shared" si="170"/>
        <v>0</v>
      </c>
      <c r="AG531" s="693">
        <f t="shared" si="168"/>
        <v>368</v>
      </c>
    </row>
    <row r="532">
      <c r="A532" s="895" t="s">
        <v>1214</v>
      </c>
      <c r="B532" s="114">
        <f t="shared" ref="B532:AF532" si="171">B238-B354</f>
        <v>21</v>
      </c>
      <c r="C532" s="114">
        <f t="shared" si="171"/>
        <v>13</v>
      </c>
      <c r="D532" s="114">
        <f t="shared" si="171"/>
        <v>14</v>
      </c>
      <c r="E532" s="114">
        <f t="shared" si="171"/>
        <v>15</v>
      </c>
      <c r="F532" s="114">
        <f t="shared" si="171"/>
        <v>17</v>
      </c>
      <c r="G532" s="114">
        <f t="shared" si="171"/>
        <v>14</v>
      </c>
      <c r="H532" s="114">
        <f t="shared" si="171"/>
        <v>17</v>
      </c>
      <c r="I532" s="114">
        <f t="shared" si="171"/>
        <v>8</v>
      </c>
      <c r="J532" s="114">
        <f t="shared" si="171"/>
        <v>14</v>
      </c>
      <c r="K532" s="114">
        <f t="shared" si="171"/>
        <v>9</v>
      </c>
      <c r="L532" s="114">
        <f t="shared" si="171"/>
        <v>4</v>
      </c>
      <c r="M532" s="114">
        <f t="shared" si="171"/>
        <v>17</v>
      </c>
      <c r="N532" s="114">
        <f t="shared" si="171"/>
        <v>19</v>
      </c>
      <c r="O532" s="114">
        <f t="shared" si="171"/>
        <v>23</v>
      </c>
      <c r="P532" s="114">
        <f t="shared" si="171"/>
        <v>30</v>
      </c>
      <c r="Q532" s="114">
        <f t="shared" si="171"/>
        <v>30</v>
      </c>
      <c r="R532" s="114">
        <f t="shared" si="171"/>
        <v>22</v>
      </c>
      <c r="S532" s="114">
        <f t="shared" si="171"/>
        <v>37</v>
      </c>
      <c r="T532" s="114">
        <f t="shared" si="171"/>
        <v>36</v>
      </c>
      <c r="U532" s="114">
        <f t="shared" si="171"/>
        <v>49</v>
      </c>
      <c r="V532" s="114">
        <f t="shared" si="171"/>
        <v>43</v>
      </c>
      <c r="W532" s="114">
        <f t="shared" si="171"/>
        <v>85</v>
      </c>
      <c r="X532" s="114">
        <f t="shared" si="171"/>
        <v>57</v>
      </c>
      <c r="Y532" s="114">
        <f t="shared" si="171"/>
        <v>114</v>
      </c>
      <c r="Z532" s="114">
        <f t="shared" si="171"/>
        <v>53</v>
      </c>
      <c r="AA532" s="114">
        <f t="shared" si="171"/>
        <v>77</v>
      </c>
      <c r="AB532" s="114">
        <f t="shared" si="171"/>
        <v>59</v>
      </c>
      <c r="AC532" s="114">
        <f t="shared" si="171"/>
        <v>20</v>
      </c>
      <c r="AD532" s="114">
        <f t="shared" si="171"/>
        <v>6</v>
      </c>
      <c r="AE532" s="114">
        <f t="shared" si="171"/>
        <v>3</v>
      </c>
      <c r="AF532" s="114">
        <f t="shared" si="171"/>
        <v>0</v>
      </c>
      <c r="AG532" s="693">
        <f t="shared" si="168"/>
        <v>926</v>
      </c>
    </row>
    <row r="533">
      <c r="A533" s="895" t="s">
        <v>1215</v>
      </c>
      <c r="B533" s="699">
        <f t="shared" ref="B533:AF533" si="172">B241-B356</f>
        <v>0</v>
      </c>
      <c r="C533" s="699">
        <f t="shared" si="172"/>
        <v>0</v>
      </c>
      <c r="D533" s="699">
        <f t="shared" si="172"/>
        <v>0</v>
      </c>
      <c r="E533" s="699">
        <f t="shared" si="172"/>
        <v>0</v>
      </c>
      <c r="F533" s="699">
        <f t="shared" si="172"/>
        <v>0</v>
      </c>
      <c r="G533" s="699">
        <f t="shared" si="172"/>
        <v>0</v>
      </c>
      <c r="H533" s="699">
        <f t="shared" si="172"/>
        <v>0</v>
      </c>
      <c r="I533" s="699">
        <f t="shared" si="172"/>
        <v>0</v>
      </c>
      <c r="J533" s="699">
        <f t="shared" si="172"/>
        <v>0</v>
      </c>
      <c r="K533" s="699">
        <f t="shared" si="172"/>
        <v>0</v>
      </c>
      <c r="L533" s="699">
        <f t="shared" si="172"/>
        <v>0</v>
      </c>
      <c r="M533" s="699">
        <f t="shared" si="172"/>
        <v>0</v>
      </c>
      <c r="N533" s="699">
        <f t="shared" si="172"/>
        <v>0</v>
      </c>
      <c r="O533" s="699">
        <f t="shared" si="172"/>
        <v>0</v>
      </c>
      <c r="P533" s="699">
        <f t="shared" si="172"/>
        <v>0</v>
      </c>
      <c r="Q533" s="699">
        <f t="shared" si="172"/>
        <v>0</v>
      </c>
      <c r="R533" s="699">
        <f t="shared" si="172"/>
        <v>0</v>
      </c>
      <c r="S533" s="699">
        <f t="shared" si="172"/>
        <v>0</v>
      </c>
      <c r="T533" s="699">
        <f t="shared" si="172"/>
        <v>0</v>
      </c>
      <c r="U533" s="699">
        <f t="shared" si="172"/>
        <v>0</v>
      </c>
      <c r="V533" s="699">
        <f t="shared" si="172"/>
        <v>0</v>
      </c>
      <c r="W533" s="699">
        <f t="shared" si="172"/>
        <v>0</v>
      </c>
      <c r="X533" s="699">
        <f t="shared" si="172"/>
        <v>0</v>
      </c>
      <c r="Y533" s="699">
        <f t="shared" si="172"/>
        <v>0</v>
      </c>
      <c r="Z533" s="699">
        <f t="shared" si="172"/>
        <v>0</v>
      </c>
      <c r="AA533" s="699">
        <f t="shared" si="172"/>
        <v>0</v>
      </c>
      <c r="AB533" s="699">
        <f t="shared" si="172"/>
        <v>0</v>
      </c>
      <c r="AC533" s="699">
        <f t="shared" si="172"/>
        <v>0</v>
      </c>
      <c r="AD533" s="699">
        <f t="shared" si="172"/>
        <v>0</v>
      </c>
      <c r="AE533" s="699">
        <f t="shared" si="172"/>
        <v>0</v>
      </c>
      <c r="AF533" s="699">
        <f t="shared" si="172"/>
        <v>0</v>
      </c>
      <c r="AG533" s="693">
        <f t="shared" si="168"/>
        <v>0</v>
      </c>
    </row>
    <row r="534">
      <c r="A534" s="895" t="s">
        <v>1216</v>
      </c>
      <c r="B534" s="699">
        <f t="shared" ref="B534:AF534" si="173">B243-B358</f>
        <v>0</v>
      </c>
      <c r="C534" s="699">
        <f t="shared" si="173"/>
        <v>0</v>
      </c>
      <c r="D534" s="699">
        <f t="shared" si="173"/>
        <v>0</v>
      </c>
      <c r="E534" s="699">
        <f t="shared" si="173"/>
        <v>0</v>
      </c>
      <c r="F534" s="699">
        <f t="shared" si="173"/>
        <v>0</v>
      </c>
      <c r="G534" s="699">
        <f t="shared" si="173"/>
        <v>0</v>
      </c>
      <c r="H534" s="699">
        <f t="shared" si="173"/>
        <v>0</v>
      </c>
      <c r="I534" s="699">
        <f t="shared" si="173"/>
        <v>0</v>
      </c>
      <c r="J534" s="699">
        <f t="shared" si="173"/>
        <v>0</v>
      </c>
      <c r="K534" s="699">
        <f t="shared" si="173"/>
        <v>0</v>
      </c>
      <c r="L534" s="699">
        <f t="shared" si="173"/>
        <v>0</v>
      </c>
      <c r="M534" s="699">
        <f t="shared" si="173"/>
        <v>0</v>
      </c>
      <c r="N534" s="699">
        <f t="shared" si="173"/>
        <v>0</v>
      </c>
      <c r="O534" s="699">
        <f t="shared" si="173"/>
        <v>0</v>
      </c>
      <c r="P534" s="699">
        <f t="shared" si="173"/>
        <v>0</v>
      </c>
      <c r="Q534" s="699">
        <f t="shared" si="173"/>
        <v>0</v>
      </c>
      <c r="R534" s="699">
        <f t="shared" si="173"/>
        <v>0</v>
      </c>
      <c r="S534" s="699">
        <f t="shared" si="173"/>
        <v>0</v>
      </c>
      <c r="T534" s="699">
        <f t="shared" si="173"/>
        <v>0</v>
      </c>
      <c r="U534" s="699">
        <f t="shared" si="173"/>
        <v>0</v>
      </c>
      <c r="V534" s="699">
        <f t="shared" si="173"/>
        <v>0</v>
      </c>
      <c r="W534" s="699">
        <f t="shared" si="173"/>
        <v>0</v>
      </c>
      <c r="X534" s="699">
        <f t="shared" si="173"/>
        <v>0</v>
      </c>
      <c r="Y534" s="699">
        <f t="shared" si="173"/>
        <v>0</v>
      </c>
      <c r="Z534" s="699">
        <f t="shared" si="173"/>
        <v>0</v>
      </c>
      <c r="AA534" s="699">
        <f t="shared" si="173"/>
        <v>0</v>
      </c>
      <c r="AB534" s="699">
        <f t="shared" si="173"/>
        <v>0</v>
      </c>
      <c r="AC534" s="699">
        <f t="shared" si="173"/>
        <v>0</v>
      </c>
      <c r="AD534" s="699">
        <f t="shared" si="173"/>
        <v>0</v>
      </c>
      <c r="AE534" s="699">
        <f t="shared" si="173"/>
        <v>0</v>
      </c>
      <c r="AF534" s="699">
        <f t="shared" si="173"/>
        <v>0</v>
      </c>
      <c r="AG534" s="693">
        <f t="shared" si="168"/>
        <v>0</v>
      </c>
    </row>
    <row r="535">
      <c r="A535" s="905" t="s">
        <v>180</v>
      </c>
      <c r="B535" s="906">
        <f t="shared" ref="B535:AF535" si="174">B529+B531+B533</f>
        <v>143</v>
      </c>
      <c r="C535" s="906">
        <f t="shared" si="174"/>
        <v>148</v>
      </c>
      <c r="D535" s="906">
        <f t="shared" si="174"/>
        <v>145</v>
      </c>
      <c r="E535" s="906">
        <f t="shared" si="174"/>
        <v>180</v>
      </c>
      <c r="F535" s="906">
        <f t="shared" si="174"/>
        <v>207</v>
      </c>
      <c r="G535" s="906">
        <f t="shared" si="174"/>
        <v>177</v>
      </c>
      <c r="H535" s="906">
        <f t="shared" si="174"/>
        <v>156</v>
      </c>
      <c r="I535" s="906">
        <f t="shared" si="174"/>
        <v>142</v>
      </c>
      <c r="J535" s="906">
        <f t="shared" si="174"/>
        <v>166</v>
      </c>
      <c r="K535" s="906">
        <f t="shared" si="174"/>
        <v>170</v>
      </c>
      <c r="L535" s="906">
        <f t="shared" si="174"/>
        <v>159</v>
      </c>
      <c r="M535" s="906">
        <f t="shared" si="174"/>
        <v>169</v>
      </c>
      <c r="N535" s="906">
        <f t="shared" si="174"/>
        <v>142</v>
      </c>
      <c r="O535" s="906">
        <f t="shared" si="174"/>
        <v>144</v>
      </c>
      <c r="P535" s="906">
        <f t="shared" si="174"/>
        <v>150</v>
      </c>
      <c r="Q535" s="906">
        <f t="shared" si="174"/>
        <v>138</v>
      </c>
      <c r="R535" s="906">
        <f t="shared" si="174"/>
        <v>169</v>
      </c>
      <c r="S535" s="906">
        <f t="shared" si="174"/>
        <v>208</v>
      </c>
      <c r="T535" s="906">
        <f t="shared" si="174"/>
        <v>198</v>
      </c>
      <c r="U535" s="906">
        <f t="shared" si="174"/>
        <v>206</v>
      </c>
      <c r="V535" s="906">
        <f t="shared" si="174"/>
        <v>238</v>
      </c>
      <c r="W535" s="906">
        <f t="shared" si="174"/>
        <v>341</v>
      </c>
      <c r="X535" s="906">
        <f t="shared" si="174"/>
        <v>376</v>
      </c>
      <c r="Y535" s="906">
        <f t="shared" si="174"/>
        <v>1195</v>
      </c>
      <c r="Z535" s="906">
        <f t="shared" si="174"/>
        <v>628</v>
      </c>
      <c r="AA535" s="906">
        <f t="shared" si="174"/>
        <v>553</v>
      </c>
      <c r="AB535" s="906">
        <f t="shared" si="174"/>
        <v>769</v>
      </c>
      <c r="AC535" s="906">
        <f t="shared" si="174"/>
        <v>567</v>
      </c>
      <c r="AD535" s="906">
        <f t="shared" si="174"/>
        <v>36</v>
      </c>
      <c r="AE535" s="906">
        <f t="shared" si="174"/>
        <v>41</v>
      </c>
      <c r="AF535" s="906">
        <f t="shared" si="174"/>
        <v>0</v>
      </c>
      <c r="AG535" s="693">
        <f t="shared" si="168"/>
        <v>8061</v>
      </c>
    </row>
    <row r="536">
      <c r="A536" s="905" t="s">
        <v>1087</v>
      </c>
      <c r="B536" s="906">
        <f t="shared" ref="B536:AF536" si="175">B530+B532+B534</f>
        <v>233</v>
      </c>
      <c r="C536" s="906">
        <f t="shared" si="175"/>
        <v>238</v>
      </c>
      <c r="D536" s="906">
        <f t="shared" si="175"/>
        <v>246</v>
      </c>
      <c r="E536" s="906">
        <f t="shared" si="175"/>
        <v>245</v>
      </c>
      <c r="F536" s="906">
        <f t="shared" si="175"/>
        <v>260</v>
      </c>
      <c r="G536" s="906">
        <f t="shared" si="175"/>
        <v>264</v>
      </c>
      <c r="H536" s="906">
        <f t="shared" si="175"/>
        <v>258</v>
      </c>
      <c r="I536" s="906">
        <f t="shared" si="175"/>
        <v>253</v>
      </c>
      <c r="J536" s="906">
        <f t="shared" si="175"/>
        <v>264</v>
      </c>
      <c r="K536" s="906">
        <f t="shared" si="175"/>
        <v>263</v>
      </c>
      <c r="L536" s="906">
        <f t="shared" si="175"/>
        <v>405</v>
      </c>
      <c r="M536" s="906">
        <f t="shared" si="175"/>
        <v>365</v>
      </c>
      <c r="N536" s="906">
        <f t="shared" si="175"/>
        <v>277</v>
      </c>
      <c r="O536" s="906">
        <f t="shared" si="175"/>
        <v>336</v>
      </c>
      <c r="P536" s="906">
        <f t="shared" si="175"/>
        <v>293</v>
      </c>
      <c r="Q536" s="906">
        <f t="shared" si="175"/>
        <v>281</v>
      </c>
      <c r="R536" s="906">
        <f t="shared" si="175"/>
        <v>273</v>
      </c>
      <c r="S536" s="906">
        <f t="shared" si="175"/>
        <v>378</v>
      </c>
      <c r="T536" s="906">
        <f t="shared" si="175"/>
        <v>279</v>
      </c>
      <c r="U536" s="906">
        <f t="shared" si="175"/>
        <v>364</v>
      </c>
      <c r="V536" s="906">
        <f t="shared" si="175"/>
        <v>370</v>
      </c>
      <c r="W536" s="906">
        <f t="shared" si="175"/>
        <v>565</v>
      </c>
      <c r="X536" s="906">
        <f t="shared" si="175"/>
        <v>668</v>
      </c>
      <c r="Y536" s="906">
        <f t="shared" si="175"/>
        <v>1738</v>
      </c>
      <c r="Z536" s="906">
        <f t="shared" si="175"/>
        <v>789</v>
      </c>
      <c r="AA536" s="906">
        <f t="shared" si="175"/>
        <v>985</v>
      </c>
      <c r="AB536" s="906">
        <f t="shared" si="175"/>
        <v>1304</v>
      </c>
      <c r="AC536" s="906">
        <f t="shared" si="175"/>
        <v>697</v>
      </c>
      <c r="AD536" s="906">
        <f t="shared" si="175"/>
        <v>45</v>
      </c>
      <c r="AE536" s="906">
        <f t="shared" si="175"/>
        <v>36</v>
      </c>
      <c r="AF536" s="906">
        <f t="shared" si="175"/>
        <v>0</v>
      </c>
      <c r="AG536" s="693">
        <f t="shared" si="168"/>
        <v>12972</v>
      </c>
    </row>
    <row r="537">
      <c r="A537" s="25"/>
      <c r="B537" s="661"/>
      <c r="C537" s="661"/>
      <c r="D537" s="661"/>
      <c r="E537" s="661"/>
      <c r="F537" s="661"/>
      <c r="G537" s="661"/>
      <c r="H537" s="661"/>
      <c r="I537" s="661"/>
      <c r="J537" s="661"/>
      <c r="K537" s="661"/>
      <c r="L537" s="661"/>
      <c r="M537" s="661"/>
      <c r="N537" s="661"/>
      <c r="O537" s="661"/>
      <c r="P537" s="661"/>
      <c r="Q537" s="661"/>
      <c r="R537" s="661"/>
      <c r="S537" s="661"/>
      <c r="T537" s="661"/>
      <c r="U537" s="661"/>
      <c r="V537" s="661"/>
      <c r="W537" s="661"/>
      <c r="X537" s="661"/>
      <c r="Y537" s="661"/>
      <c r="Z537" s="661"/>
      <c r="AA537" s="661"/>
      <c r="AB537" s="661"/>
      <c r="AC537" s="661"/>
      <c r="AD537" s="661"/>
      <c r="AE537" s="661"/>
      <c r="AF537" s="661"/>
      <c r="AG537" s="693"/>
    </row>
    <row r="538">
      <c r="A538" s="895" t="s">
        <v>1028</v>
      </c>
      <c r="B538" s="114">
        <f t="shared" ref="B538:AF538" si="176">B249-B363</f>
        <v>56</v>
      </c>
      <c r="C538" s="114">
        <f t="shared" si="176"/>
        <v>89</v>
      </c>
      <c r="D538" s="114">
        <f t="shared" si="176"/>
        <v>80</v>
      </c>
      <c r="E538" s="114">
        <f t="shared" si="176"/>
        <v>107</v>
      </c>
      <c r="F538" s="114">
        <f t="shared" si="176"/>
        <v>111</v>
      </c>
      <c r="G538" s="114">
        <f t="shared" si="176"/>
        <v>120</v>
      </c>
      <c r="H538" s="114">
        <f t="shared" si="176"/>
        <v>113</v>
      </c>
      <c r="I538" s="114">
        <f t="shared" si="176"/>
        <v>109</v>
      </c>
      <c r="J538" s="114">
        <f t="shared" si="176"/>
        <v>130</v>
      </c>
      <c r="K538" s="114">
        <f t="shared" si="176"/>
        <v>132</v>
      </c>
      <c r="L538" s="114">
        <f t="shared" si="176"/>
        <v>197</v>
      </c>
      <c r="M538" s="114">
        <f t="shared" si="176"/>
        <v>193</v>
      </c>
      <c r="N538" s="114">
        <f t="shared" si="176"/>
        <v>119</v>
      </c>
      <c r="O538" s="114">
        <f t="shared" si="176"/>
        <v>141</v>
      </c>
      <c r="P538" s="114">
        <f t="shared" si="176"/>
        <v>124</v>
      </c>
      <c r="Q538" s="114">
        <f t="shared" si="176"/>
        <v>113</v>
      </c>
      <c r="R538" s="114">
        <f t="shared" si="176"/>
        <v>123</v>
      </c>
      <c r="S538" s="114">
        <f t="shared" si="176"/>
        <v>133</v>
      </c>
      <c r="T538" s="114">
        <f t="shared" si="176"/>
        <v>129</v>
      </c>
      <c r="U538" s="114">
        <f t="shared" si="176"/>
        <v>169</v>
      </c>
      <c r="V538" s="114">
        <f t="shared" si="176"/>
        <v>163</v>
      </c>
      <c r="W538" s="114">
        <f t="shared" si="176"/>
        <v>246</v>
      </c>
      <c r="X538" s="114">
        <f t="shared" si="176"/>
        <v>296</v>
      </c>
      <c r="Y538" s="114">
        <f t="shared" si="176"/>
        <v>708</v>
      </c>
      <c r="Z538" s="114">
        <f t="shared" si="176"/>
        <v>337</v>
      </c>
      <c r="AA538" s="114">
        <f t="shared" si="176"/>
        <v>336</v>
      </c>
      <c r="AB538" s="114">
        <f t="shared" si="176"/>
        <v>537</v>
      </c>
      <c r="AC538" s="114">
        <f t="shared" si="176"/>
        <v>338</v>
      </c>
      <c r="AD538" s="114">
        <f t="shared" si="176"/>
        <v>80</v>
      </c>
      <c r="AE538" s="114">
        <f t="shared" si="176"/>
        <v>69</v>
      </c>
      <c r="AF538" s="114">
        <f t="shared" si="176"/>
        <v>0</v>
      </c>
      <c r="AG538" s="693">
        <f t="shared" ref="AG538:AG544" si="178">SUM(B538:AF538)</f>
        <v>5598</v>
      </c>
    </row>
    <row r="539">
      <c r="A539" s="895" t="s">
        <v>1029</v>
      </c>
      <c r="B539" s="114">
        <f t="shared" ref="B539:AF539" si="177">B250-B364</f>
        <v>0</v>
      </c>
      <c r="C539" s="114">
        <f t="shared" si="177"/>
        <v>0</v>
      </c>
      <c r="D539" s="114">
        <f t="shared" si="177"/>
        <v>0</v>
      </c>
      <c r="E539" s="114">
        <f t="shared" si="177"/>
        <v>0</v>
      </c>
      <c r="F539" s="114">
        <f t="shared" si="177"/>
        <v>0</v>
      </c>
      <c r="G539" s="114">
        <f t="shared" si="177"/>
        <v>0</v>
      </c>
      <c r="H539" s="114">
        <f t="shared" si="177"/>
        <v>0</v>
      </c>
      <c r="I539" s="114">
        <f t="shared" si="177"/>
        <v>0</v>
      </c>
      <c r="J539" s="114">
        <f t="shared" si="177"/>
        <v>0</v>
      </c>
      <c r="K539" s="114">
        <f t="shared" si="177"/>
        <v>0</v>
      </c>
      <c r="L539" s="114">
        <f t="shared" si="177"/>
        <v>0</v>
      </c>
      <c r="M539" s="114">
        <f t="shared" si="177"/>
        <v>0</v>
      </c>
      <c r="N539" s="114">
        <f t="shared" si="177"/>
        <v>0</v>
      </c>
      <c r="O539" s="114">
        <f t="shared" si="177"/>
        <v>0</v>
      </c>
      <c r="P539" s="114">
        <f t="shared" si="177"/>
        <v>0</v>
      </c>
      <c r="Q539" s="114">
        <f t="shared" si="177"/>
        <v>0</v>
      </c>
      <c r="R539" s="114">
        <f t="shared" si="177"/>
        <v>0</v>
      </c>
      <c r="S539" s="114">
        <f t="shared" si="177"/>
        <v>0</v>
      </c>
      <c r="T539" s="114">
        <f t="shared" si="177"/>
        <v>0</v>
      </c>
      <c r="U539" s="114">
        <f t="shared" si="177"/>
        <v>0</v>
      </c>
      <c r="V539" s="114">
        <f t="shared" si="177"/>
        <v>0</v>
      </c>
      <c r="W539" s="114">
        <f t="shared" si="177"/>
        <v>0</v>
      </c>
      <c r="X539" s="114">
        <f t="shared" si="177"/>
        <v>0</v>
      </c>
      <c r="Y539" s="114">
        <f t="shared" si="177"/>
        <v>0</v>
      </c>
      <c r="Z539" s="114">
        <f t="shared" si="177"/>
        <v>0</v>
      </c>
      <c r="AA539" s="114">
        <f t="shared" si="177"/>
        <v>0</v>
      </c>
      <c r="AB539" s="114">
        <f t="shared" si="177"/>
        <v>0</v>
      </c>
      <c r="AC539" s="114">
        <f t="shared" si="177"/>
        <v>0</v>
      </c>
      <c r="AD539" s="114">
        <f t="shared" si="177"/>
        <v>0</v>
      </c>
      <c r="AE539" s="114">
        <f t="shared" si="177"/>
        <v>0</v>
      </c>
      <c r="AF539" s="114">
        <f t="shared" si="177"/>
        <v>0</v>
      </c>
      <c r="AG539" s="693">
        <f t="shared" si="178"/>
        <v>0</v>
      </c>
    </row>
    <row r="540">
      <c r="A540" s="895" t="s">
        <v>1030</v>
      </c>
      <c r="B540" s="114">
        <f t="shared" ref="B540:AF540" si="179">B251-B365</f>
        <v>313</v>
      </c>
      <c r="C540" s="114">
        <f t="shared" si="179"/>
        <v>335</v>
      </c>
      <c r="D540" s="114">
        <f t="shared" si="179"/>
        <v>359</v>
      </c>
      <c r="E540" s="114">
        <f t="shared" si="179"/>
        <v>359</v>
      </c>
      <c r="F540" s="114">
        <f t="shared" si="179"/>
        <v>384</v>
      </c>
      <c r="G540" s="114">
        <f t="shared" si="179"/>
        <v>344</v>
      </c>
      <c r="H540" s="114">
        <f t="shared" si="179"/>
        <v>359</v>
      </c>
      <c r="I540" s="114">
        <f t="shared" si="179"/>
        <v>342</v>
      </c>
      <c r="J540" s="114">
        <f t="shared" si="179"/>
        <v>372</v>
      </c>
      <c r="K540" s="114">
        <f t="shared" si="179"/>
        <v>369</v>
      </c>
      <c r="L540" s="114">
        <f t="shared" si="179"/>
        <v>496</v>
      </c>
      <c r="M540" s="114">
        <f t="shared" si="179"/>
        <v>533</v>
      </c>
      <c r="N540" s="114">
        <f t="shared" si="179"/>
        <v>726</v>
      </c>
      <c r="O540" s="114">
        <f t="shared" si="179"/>
        <v>413</v>
      </c>
      <c r="P540" s="114">
        <f t="shared" si="179"/>
        <v>350</v>
      </c>
      <c r="Q540" s="114">
        <f t="shared" si="179"/>
        <v>329</v>
      </c>
      <c r="R540" s="114">
        <f t="shared" si="179"/>
        <v>358</v>
      </c>
      <c r="S540" s="114">
        <f t="shared" si="179"/>
        <v>461</v>
      </c>
      <c r="T540" s="114">
        <f t="shared" si="179"/>
        <v>282</v>
      </c>
      <c r="U540" s="114">
        <f t="shared" si="179"/>
        <v>425</v>
      </c>
      <c r="V540" s="114">
        <f t="shared" si="179"/>
        <v>497</v>
      </c>
      <c r="W540" s="114">
        <f t="shared" si="179"/>
        <v>749</v>
      </c>
      <c r="X540" s="114">
        <f t="shared" si="179"/>
        <v>953</v>
      </c>
      <c r="Y540" s="114">
        <f t="shared" si="179"/>
        <v>2529</v>
      </c>
      <c r="Z540" s="114">
        <f t="shared" si="179"/>
        <v>1977</v>
      </c>
      <c r="AA540" s="114">
        <f t="shared" si="179"/>
        <v>1131</v>
      </c>
      <c r="AB540" s="114">
        <f t="shared" si="179"/>
        <v>1680</v>
      </c>
      <c r="AC540" s="114">
        <f t="shared" si="179"/>
        <v>975</v>
      </c>
      <c r="AD540" s="114">
        <f t="shared" si="179"/>
        <v>-9</v>
      </c>
      <c r="AE540" s="114">
        <f t="shared" si="179"/>
        <v>-6</v>
      </c>
      <c r="AF540" s="114">
        <f t="shared" si="179"/>
        <v>0</v>
      </c>
      <c r="AG540" s="693">
        <f t="shared" si="178"/>
        <v>18385</v>
      </c>
    </row>
    <row r="541">
      <c r="A541" s="895" t="s">
        <v>1218</v>
      </c>
      <c r="B541" s="114">
        <f t="shared" ref="B541:AF541" si="180">B252-B366</f>
        <v>31</v>
      </c>
      <c r="C541" s="114">
        <f t="shared" si="180"/>
        <v>84</v>
      </c>
      <c r="D541" s="114">
        <f t="shared" si="180"/>
        <v>63</v>
      </c>
      <c r="E541" s="114">
        <f t="shared" si="180"/>
        <v>66</v>
      </c>
      <c r="F541" s="114">
        <f t="shared" si="180"/>
        <v>39</v>
      </c>
      <c r="G541" s="114">
        <f t="shared" si="180"/>
        <v>50</v>
      </c>
      <c r="H541" s="114">
        <f t="shared" si="180"/>
        <v>55</v>
      </c>
      <c r="I541" s="114">
        <f t="shared" si="180"/>
        <v>83</v>
      </c>
      <c r="J541" s="114">
        <f t="shared" si="180"/>
        <v>52</v>
      </c>
      <c r="K541" s="114">
        <f t="shared" si="180"/>
        <v>44</v>
      </c>
      <c r="L541" s="114">
        <f t="shared" si="180"/>
        <v>86</v>
      </c>
      <c r="M541" s="114">
        <f t="shared" si="180"/>
        <v>77</v>
      </c>
      <c r="N541" s="114">
        <f t="shared" si="180"/>
        <v>46</v>
      </c>
      <c r="O541" s="114">
        <f t="shared" si="180"/>
        <v>58</v>
      </c>
      <c r="P541" s="114">
        <f t="shared" si="180"/>
        <v>52</v>
      </c>
      <c r="Q541" s="114">
        <f t="shared" si="180"/>
        <v>52</v>
      </c>
      <c r="R541" s="114">
        <f t="shared" si="180"/>
        <v>52</v>
      </c>
      <c r="S541" s="114">
        <f t="shared" si="180"/>
        <v>50</v>
      </c>
      <c r="T541" s="114">
        <f t="shared" si="180"/>
        <v>73</v>
      </c>
      <c r="U541" s="114">
        <f t="shared" si="180"/>
        <v>74</v>
      </c>
      <c r="V541" s="114">
        <f t="shared" si="180"/>
        <v>69</v>
      </c>
      <c r="W541" s="114">
        <f t="shared" si="180"/>
        <v>92</v>
      </c>
      <c r="X541" s="114">
        <f t="shared" si="180"/>
        <v>125</v>
      </c>
      <c r="Y541" s="114">
        <f t="shared" si="180"/>
        <v>339</v>
      </c>
      <c r="Z541" s="114">
        <f t="shared" si="180"/>
        <v>125</v>
      </c>
      <c r="AA541" s="114">
        <f t="shared" si="180"/>
        <v>135</v>
      </c>
      <c r="AB541" s="114">
        <f t="shared" si="180"/>
        <v>207</v>
      </c>
      <c r="AC541" s="114">
        <f t="shared" si="180"/>
        <v>105</v>
      </c>
      <c r="AD541" s="114">
        <f t="shared" si="180"/>
        <v>20</v>
      </c>
      <c r="AE541" s="114">
        <f t="shared" si="180"/>
        <v>18</v>
      </c>
      <c r="AF541" s="114">
        <f t="shared" si="180"/>
        <v>0</v>
      </c>
      <c r="AG541" s="693">
        <f t="shared" si="178"/>
        <v>2422</v>
      </c>
    </row>
    <row r="542">
      <c r="A542" s="895" t="s">
        <v>1219</v>
      </c>
      <c r="B542" s="114">
        <f t="shared" ref="B542:AF542" si="181">B254-B368</f>
        <v>10</v>
      </c>
      <c r="C542" s="114">
        <f t="shared" si="181"/>
        <v>12</v>
      </c>
      <c r="D542" s="114">
        <f t="shared" si="181"/>
        <v>13</v>
      </c>
      <c r="E542" s="114">
        <f t="shared" si="181"/>
        <v>12</v>
      </c>
      <c r="F542" s="114">
        <f t="shared" si="181"/>
        <v>20</v>
      </c>
      <c r="G542" s="114">
        <f t="shared" si="181"/>
        <v>10</v>
      </c>
      <c r="H542" s="114">
        <f t="shared" si="181"/>
        <v>9</v>
      </c>
      <c r="I542" s="114">
        <f t="shared" si="181"/>
        <v>12</v>
      </c>
      <c r="J542" s="114">
        <f t="shared" si="181"/>
        <v>10</v>
      </c>
      <c r="K542" s="114">
        <f t="shared" si="181"/>
        <v>11</v>
      </c>
      <c r="L542" s="114">
        <f t="shared" si="181"/>
        <v>7</v>
      </c>
      <c r="M542" s="114">
        <f t="shared" si="181"/>
        <v>6</v>
      </c>
      <c r="N542" s="114">
        <f t="shared" si="181"/>
        <v>13</v>
      </c>
      <c r="O542" s="114">
        <f t="shared" si="181"/>
        <v>10</v>
      </c>
      <c r="P542" s="114">
        <f t="shared" si="181"/>
        <v>8</v>
      </c>
      <c r="Q542" s="114">
        <f t="shared" si="181"/>
        <v>7</v>
      </c>
      <c r="R542" s="114">
        <f t="shared" si="181"/>
        <v>8</v>
      </c>
      <c r="S542" s="114">
        <f t="shared" si="181"/>
        <v>14</v>
      </c>
      <c r="T542" s="114">
        <f t="shared" si="181"/>
        <v>7</v>
      </c>
      <c r="U542" s="114">
        <f t="shared" si="181"/>
        <v>14</v>
      </c>
      <c r="V542" s="114">
        <f t="shared" si="181"/>
        <v>17</v>
      </c>
      <c r="W542" s="114">
        <f t="shared" si="181"/>
        <v>27</v>
      </c>
      <c r="X542" s="114">
        <f t="shared" si="181"/>
        <v>27</v>
      </c>
      <c r="Y542" s="114">
        <f t="shared" si="181"/>
        <v>84</v>
      </c>
      <c r="Z542" s="114">
        <f t="shared" si="181"/>
        <v>29</v>
      </c>
      <c r="AA542" s="114">
        <f t="shared" si="181"/>
        <v>42</v>
      </c>
      <c r="AB542" s="114">
        <f t="shared" si="181"/>
        <v>40</v>
      </c>
      <c r="AC542" s="114">
        <f t="shared" si="181"/>
        <v>27</v>
      </c>
      <c r="AD542" s="114">
        <f t="shared" si="181"/>
        <v>7</v>
      </c>
      <c r="AE542" s="114">
        <f t="shared" si="181"/>
        <v>6</v>
      </c>
      <c r="AF542" s="114">
        <f t="shared" si="181"/>
        <v>0</v>
      </c>
      <c r="AG542" s="693">
        <f t="shared" si="178"/>
        <v>519</v>
      </c>
    </row>
    <row r="543">
      <c r="A543" s="895" t="s">
        <v>1220</v>
      </c>
      <c r="B543" s="114">
        <f t="shared" ref="B543:AF543" si="182">B256-B370</f>
        <v>73</v>
      </c>
      <c r="C543" s="114">
        <f t="shared" si="182"/>
        <v>116</v>
      </c>
      <c r="D543" s="114">
        <f t="shared" si="182"/>
        <v>92</v>
      </c>
      <c r="E543" s="114">
        <f t="shared" si="182"/>
        <v>118</v>
      </c>
      <c r="F543" s="114">
        <f t="shared" si="182"/>
        <v>114</v>
      </c>
      <c r="G543" s="114">
        <f t="shared" si="182"/>
        <v>113</v>
      </c>
      <c r="H543" s="114">
        <f t="shared" si="182"/>
        <v>101</v>
      </c>
      <c r="I543" s="114">
        <f t="shared" si="182"/>
        <v>115</v>
      </c>
      <c r="J543" s="114">
        <f t="shared" si="182"/>
        <v>106</v>
      </c>
      <c r="K543" s="114">
        <f t="shared" si="182"/>
        <v>112</v>
      </c>
      <c r="L543" s="114">
        <f t="shared" si="182"/>
        <v>159</v>
      </c>
      <c r="M543" s="114">
        <f t="shared" si="182"/>
        <v>161</v>
      </c>
      <c r="N543" s="114">
        <f t="shared" si="182"/>
        <v>108</v>
      </c>
      <c r="O543" s="114">
        <f t="shared" si="182"/>
        <v>123</v>
      </c>
      <c r="P543" s="114">
        <f t="shared" si="182"/>
        <v>115</v>
      </c>
      <c r="Q543" s="114">
        <f t="shared" si="182"/>
        <v>106</v>
      </c>
      <c r="R543" s="114">
        <f t="shared" si="182"/>
        <v>112</v>
      </c>
      <c r="S543" s="114">
        <f t="shared" si="182"/>
        <v>142</v>
      </c>
      <c r="T543" s="114">
        <f t="shared" si="182"/>
        <v>128</v>
      </c>
      <c r="U543" s="114">
        <f t="shared" si="182"/>
        <v>134</v>
      </c>
      <c r="V543" s="114">
        <f t="shared" si="182"/>
        <v>134</v>
      </c>
      <c r="W543" s="114">
        <f t="shared" si="182"/>
        <v>220</v>
      </c>
      <c r="X543" s="114">
        <f t="shared" si="182"/>
        <v>249</v>
      </c>
      <c r="Y543" s="114">
        <f t="shared" si="182"/>
        <v>650</v>
      </c>
      <c r="Z543" s="114">
        <f t="shared" si="182"/>
        <v>294</v>
      </c>
      <c r="AA543" s="114">
        <f t="shared" si="182"/>
        <v>302</v>
      </c>
      <c r="AB543" s="114">
        <f t="shared" si="182"/>
        <v>429</v>
      </c>
      <c r="AC543" s="114">
        <f t="shared" si="182"/>
        <v>268</v>
      </c>
      <c r="AD543" s="114">
        <f t="shared" si="182"/>
        <v>54</v>
      </c>
      <c r="AE543" s="114">
        <f t="shared" si="182"/>
        <v>52</v>
      </c>
      <c r="AF543" s="114">
        <f t="shared" si="182"/>
        <v>0</v>
      </c>
      <c r="AG543" s="693">
        <f t="shared" si="178"/>
        <v>5000</v>
      </c>
    </row>
    <row r="544">
      <c r="A544" s="946" t="s">
        <v>602</v>
      </c>
      <c r="B544" s="906">
        <f t="shared" ref="B544:AF544" si="183">SUM(B538:B542)</f>
        <v>410</v>
      </c>
      <c r="C544" s="906">
        <f t="shared" si="183"/>
        <v>520</v>
      </c>
      <c r="D544" s="906">
        <f t="shared" si="183"/>
        <v>515</v>
      </c>
      <c r="E544" s="906">
        <f t="shared" si="183"/>
        <v>544</v>
      </c>
      <c r="F544" s="906">
        <f t="shared" si="183"/>
        <v>554</v>
      </c>
      <c r="G544" s="906">
        <f t="shared" si="183"/>
        <v>524</v>
      </c>
      <c r="H544" s="906">
        <f t="shared" si="183"/>
        <v>536</v>
      </c>
      <c r="I544" s="906">
        <f t="shared" si="183"/>
        <v>546</v>
      </c>
      <c r="J544" s="906">
        <f t="shared" si="183"/>
        <v>564</v>
      </c>
      <c r="K544" s="906">
        <f t="shared" si="183"/>
        <v>556</v>
      </c>
      <c r="L544" s="906">
        <f t="shared" si="183"/>
        <v>786</v>
      </c>
      <c r="M544" s="906">
        <f t="shared" si="183"/>
        <v>809</v>
      </c>
      <c r="N544" s="906">
        <f t="shared" si="183"/>
        <v>904</v>
      </c>
      <c r="O544" s="906">
        <f t="shared" si="183"/>
        <v>622</v>
      </c>
      <c r="P544" s="906">
        <f t="shared" si="183"/>
        <v>534</v>
      </c>
      <c r="Q544" s="906">
        <f t="shared" si="183"/>
        <v>501</v>
      </c>
      <c r="R544" s="906">
        <f t="shared" si="183"/>
        <v>541</v>
      </c>
      <c r="S544" s="906">
        <f t="shared" si="183"/>
        <v>658</v>
      </c>
      <c r="T544" s="906">
        <f t="shared" si="183"/>
        <v>491</v>
      </c>
      <c r="U544" s="906">
        <f t="shared" si="183"/>
        <v>682</v>
      </c>
      <c r="V544" s="906">
        <f t="shared" si="183"/>
        <v>746</v>
      </c>
      <c r="W544" s="906">
        <f t="shared" si="183"/>
        <v>1114</v>
      </c>
      <c r="X544" s="906">
        <f t="shared" si="183"/>
        <v>1401</v>
      </c>
      <c r="Y544" s="906">
        <f t="shared" si="183"/>
        <v>3660</v>
      </c>
      <c r="Z544" s="906">
        <f t="shared" si="183"/>
        <v>2468</v>
      </c>
      <c r="AA544" s="906">
        <f t="shared" si="183"/>
        <v>1644</v>
      </c>
      <c r="AB544" s="906">
        <f t="shared" si="183"/>
        <v>2464</v>
      </c>
      <c r="AC544" s="906">
        <f t="shared" si="183"/>
        <v>1445</v>
      </c>
      <c r="AD544" s="906">
        <f t="shared" si="183"/>
        <v>98</v>
      </c>
      <c r="AE544" s="906">
        <f t="shared" si="183"/>
        <v>87</v>
      </c>
      <c r="AF544" s="906">
        <f t="shared" si="183"/>
        <v>0</v>
      </c>
      <c r="AG544" s="693">
        <f t="shared" si="178"/>
        <v>26924</v>
      </c>
    </row>
    <row r="545">
      <c r="A545" s="25"/>
      <c r="B545" s="661"/>
      <c r="C545" s="661"/>
      <c r="D545" s="661"/>
      <c r="E545" s="661"/>
      <c r="F545" s="661"/>
      <c r="G545" s="661"/>
      <c r="H545" s="661"/>
      <c r="I545" s="661"/>
      <c r="J545" s="661"/>
      <c r="K545" s="661"/>
      <c r="L545" s="661"/>
      <c r="M545" s="661"/>
      <c r="N545" s="661"/>
      <c r="O545" s="661"/>
      <c r="P545" s="661"/>
      <c r="Q545" s="661"/>
      <c r="R545" s="661"/>
      <c r="S545" s="661"/>
      <c r="T545" s="661"/>
      <c r="U545" s="661"/>
      <c r="V545" s="661"/>
      <c r="W545" s="661"/>
      <c r="X545" s="661"/>
      <c r="Y545" s="661"/>
      <c r="Z545" s="661"/>
      <c r="AA545" s="661"/>
      <c r="AB545" s="661"/>
      <c r="AC545" s="661"/>
      <c r="AD545" s="661"/>
      <c r="AE545" s="661"/>
      <c r="AF545" s="661"/>
      <c r="AG545" s="693"/>
    </row>
    <row r="546">
      <c r="A546" s="895" t="s">
        <v>1038</v>
      </c>
      <c r="B546" s="114">
        <f t="shared" ref="B546:S546" si="184">B261-B374</f>
        <v>16</v>
      </c>
      <c r="C546" s="114">
        <f t="shared" si="184"/>
        <v>11</v>
      </c>
      <c r="D546" s="114">
        <f t="shared" si="184"/>
        <v>8</v>
      </c>
      <c r="E546" s="114">
        <f t="shared" si="184"/>
        <v>7</v>
      </c>
      <c r="F546" s="114">
        <f t="shared" si="184"/>
        <v>13</v>
      </c>
      <c r="G546" s="114">
        <f t="shared" si="184"/>
        <v>0</v>
      </c>
      <c r="H546" s="114">
        <f t="shared" si="184"/>
        <v>9</v>
      </c>
      <c r="I546" s="114">
        <f t="shared" si="184"/>
        <v>8</v>
      </c>
      <c r="J546" s="114">
        <f t="shared" si="184"/>
        <v>6</v>
      </c>
      <c r="K546" s="114">
        <f t="shared" si="184"/>
        <v>5</v>
      </c>
      <c r="L546" s="114">
        <f t="shared" si="184"/>
        <v>5</v>
      </c>
      <c r="M546" s="114">
        <f t="shared" si="184"/>
        <v>9</v>
      </c>
      <c r="N546" s="114">
        <f t="shared" si="184"/>
        <v>11</v>
      </c>
      <c r="O546" s="114">
        <f t="shared" si="184"/>
        <v>11</v>
      </c>
      <c r="P546" s="114">
        <f t="shared" si="184"/>
        <v>18</v>
      </c>
      <c r="Q546" s="114">
        <f t="shared" si="184"/>
        <v>16</v>
      </c>
      <c r="R546" s="114">
        <f t="shared" si="184"/>
        <v>11</v>
      </c>
      <c r="S546" s="114">
        <f t="shared" si="184"/>
        <v>26</v>
      </c>
      <c r="T546" s="114">
        <f>T236-T374</f>
        <v>14</v>
      </c>
      <c r="U546" s="114">
        <f t="shared" ref="U546:AF546" si="185">U261-U374</f>
        <v>23</v>
      </c>
      <c r="V546" s="114">
        <f t="shared" si="185"/>
        <v>19</v>
      </c>
      <c r="W546" s="114">
        <f t="shared" si="185"/>
        <v>32</v>
      </c>
      <c r="X546" s="114">
        <f t="shared" si="185"/>
        <v>41</v>
      </c>
      <c r="Y546" s="114">
        <f t="shared" si="185"/>
        <v>62</v>
      </c>
      <c r="Z546" s="114">
        <f t="shared" si="185"/>
        <v>28</v>
      </c>
      <c r="AA546" s="114">
        <f t="shared" si="185"/>
        <v>47</v>
      </c>
      <c r="AB546" s="114">
        <f t="shared" si="185"/>
        <v>25</v>
      </c>
      <c r="AC546" s="114">
        <f t="shared" si="185"/>
        <v>12</v>
      </c>
      <c r="AD546" s="114">
        <f t="shared" si="185"/>
        <v>3</v>
      </c>
      <c r="AE546" s="114">
        <f t="shared" si="185"/>
        <v>7</v>
      </c>
      <c r="AF546" s="114">
        <f t="shared" si="185"/>
        <v>0</v>
      </c>
      <c r="AG546" s="693">
        <f t="shared" ref="AG546:AG552" si="187">SUM(B546:AF546)</f>
        <v>503</v>
      </c>
    </row>
    <row r="547">
      <c r="A547" s="895" t="s">
        <v>1040</v>
      </c>
      <c r="B547" s="114">
        <f t="shared" ref="B547:AF547" si="186">B262-B375</f>
        <v>0</v>
      </c>
      <c r="C547" s="114">
        <f t="shared" si="186"/>
        <v>-1</v>
      </c>
      <c r="D547" s="114">
        <f t="shared" si="186"/>
        <v>0</v>
      </c>
      <c r="E547" s="114">
        <f t="shared" si="186"/>
        <v>0</v>
      </c>
      <c r="F547" s="114">
        <f t="shared" si="186"/>
        <v>0</v>
      </c>
      <c r="G547" s="114">
        <f t="shared" si="186"/>
        <v>0</v>
      </c>
      <c r="H547" s="114">
        <f t="shared" si="186"/>
        <v>0</v>
      </c>
      <c r="I547" s="114">
        <f t="shared" si="186"/>
        <v>0</v>
      </c>
      <c r="J547" s="114">
        <f t="shared" si="186"/>
        <v>0</v>
      </c>
      <c r="K547" s="114">
        <f t="shared" si="186"/>
        <v>0</v>
      </c>
      <c r="L547" s="114">
        <f t="shared" si="186"/>
        <v>0</v>
      </c>
      <c r="M547" s="114">
        <f t="shared" si="186"/>
        <v>0</v>
      </c>
      <c r="N547" s="114">
        <f t="shared" si="186"/>
        <v>0</v>
      </c>
      <c r="O547" s="114">
        <f t="shared" si="186"/>
        <v>0</v>
      </c>
      <c r="P547" s="114">
        <f t="shared" si="186"/>
        <v>0</v>
      </c>
      <c r="Q547" s="114">
        <f t="shared" si="186"/>
        <v>0</v>
      </c>
      <c r="R547" s="114">
        <f t="shared" si="186"/>
        <v>0</v>
      </c>
      <c r="S547" s="114">
        <f t="shared" si="186"/>
        <v>0</v>
      </c>
      <c r="T547" s="114">
        <f t="shared" si="186"/>
        <v>0</v>
      </c>
      <c r="U547" s="114">
        <f t="shared" si="186"/>
        <v>0</v>
      </c>
      <c r="V547" s="114">
        <f t="shared" si="186"/>
        <v>-1</v>
      </c>
      <c r="W547" s="114">
        <f t="shared" si="186"/>
        <v>0</v>
      </c>
      <c r="X547" s="114">
        <f t="shared" si="186"/>
        <v>0</v>
      </c>
      <c r="Y547" s="114">
        <f t="shared" si="186"/>
        <v>0</v>
      </c>
      <c r="Z547" s="114">
        <f t="shared" si="186"/>
        <v>0</v>
      </c>
      <c r="AA547" s="114">
        <f t="shared" si="186"/>
        <v>0</v>
      </c>
      <c r="AB547" s="114">
        <f t="shared" si="186"/>
        <v>0</v>
      </c>
      <c r="AC547" s="114">
        <f t="shared" si="186"/>
        <v>0</v>
      </c>
      <c r="AD547" s="114">
        <f t="shared" si="186"/>
        <v>0</v>
      </c>
      <c r="AE547" s="114">
        <f t="shared" si="186"/>
        <v>0</v>
      </c>
      <c r="AF547" s="114">
        <f t="shared" si="186"/>
        <v>0</v>
      </c>
      <c r="AG547" s="693">
        <f t="shared" si="187"/>
        <v>-2</v>
      </c>
    </row>
    <row r="548">
      <c r="A548" s="895" t="s">
        <v>1042</v>
      </c>
      <c r="B548" s="114">
        <f t="shared" ref="B548:AF548" si="188">B263-B376</f>
        <v>26</v>
      </c>
      <c r="C548" s="114">
        <f t="shared" si="188"/>
        <v>19</v>
      </c>
      <c r="D548" s="114">
        <f t="shared" si="188"/>
        <v>17</v>
      </c>
      <c r="E548" s="114">
        <f t="shared" si="188"/>
        <v>15</v>
      </c>
      <c r="F548" s="114">
        <f t="shared" si="188"/>
        <v>17</v>
      </c>
      <c r="G548" s="114">
        <f t="shared" si="188"/>
        <v>16</v>
      </c>
      <c r="H548" s="114">
        <f t="shared" si="188"/>
        <v>17</v>
      </c>
      <c r="I548" s="114">
        <f t="shared" si="188"/>
        <v>9</v>
      </c>
      <c r="J548" s="114">
        <f t="shared" si="188"/>
        <v>17</v>
      </c>
      <c r="K548" s="114">
        <f t="shared" si="188"/>
        <v>17</v>
      </c>
      <c r="L548" s="114">
        <f t="shared" si="188"/>
        <v>8</v>
      </c>
      <c r="M548" s="114">
        <f t="shared" si="188"/>
        <v>21</v>
      </c>
      <c r="N548" s="114">
        <f t="shared" si="188"/>
        <v>24</v>
      </c>
      <c r="O548" s="114">
        <f t="shared" si="188"/>
        <v>25</v>
      </c>
      <c r="P548" s="114">
        <f t="shared" si="188"/>
        <v>33</v>
      </c>
      <c r="Q548" s="114">
        <f t="shared" si="188"/>
        <v>28</v>
      </c>
      <c r="R548" s="114">
        <f t="shared" si="188"/>
        <v>21</v>
      </c>
      <c r="S548" s="114">
        <f t="shared" si="188"/>
        <v>40</v>
      </c>
      <c r="T548" s="114">
        <f t="shared" si="188"/>
        <v>20</v>
      </c>
      <c r="U548" s="114">
        <f t="shared" si="188"/>
        <v>50</v>
      </c>
      <c r="V548" s="114">
        <f t="shared" si="188"/>
        <v>34</v>
      </c>
      <c r="W548" s="114">
        <f t="shared" si="188"/>
        <v>71</v>
      </c>
      <c r="X548" s="114">
        <f t="shared" si="188"/>
        <v>74</v>
      </c>
      <c r="Y548" s="114">
        <f t="shared" si="188"/>
        <v>131</v>
      </c>
      <c r="Z548" s="114">
        <f t="shared" si="188"/>
        <v>49</v>
      </c>
      <c r="AA548" s="114">
        <f t="shared" si="188"/>
        <v>94</v>
      </c>
      <c r="AB548" s="114">
        <f t="shared" si="188"/>
        <v>70</v>
      </c>
      <c r="AC548" s="114">
        <f t="shared" si="188"/>
        <v>18</v>
      </c>
      <c r="AD548" s="114">
        <f t="shared" si="188"/>
        <v>0</v>
      </c>
      <c r="AE548" s="114">
        <f t="shared" si="188"/>
        <v>0</v>
      </c>
      <c r="AF548" s="114">
        <f t="shared" si="188"/>
        <v>0</v>
      </c>
      <c r="AG548" s="693">
        <f t="shared" si="187"/>
        <v>981</v>
      </c>
    </row>
    <row r="549">
      <c r="A549" s="895" t="s">
        <v>1222</v>
      </c>
      <c r="B549" s="114">
        <f t="shared" ref="B549:AF549" si="189">B264-B377</f>
        <v>7</v>
      </c>
      <c r="C549" s="114">
        <f t="shared" si="189"/>
        <v>9</v>
      </c>
      <c r="D549" s="114">
        <f t="shared" si="189"/>
        <v>9</v>
      </c>
      <c r="E549" s="114">
        <f t="shared" si="189"/>
        <v>7</v>
      </c>
      <c r="F549" s="114">
        <f t="shared" si="189"/>
        <v>3</v>
      </c>
      <c r="G549" s="114">
        <f t="shared" si="189"/>
        <v>5</v>
      </c>
      <c r="H549" s="114">
        <f t="shared" si="189"/>
        <v>4</v>
      </c>
      <c r="I549" s="114">
        <f t="shared" si="189"/>
        <v>5</v>
      </c>
      <c r="J549" s="114">
        <f t="shared" si="189"/>
        <v>4</v>
      </c>
      <c r="K549" s="114">
        <f t="shared" si="189"/>
        <v>2</v>
      </c>
      <c r="L549" s="114">
        <f t="shared" si="189"/>
        <v>2</v>
      </c>
      <c r="M549" s="114">
        <f t="shared" si="189"/>
        <v>8</v>
      </c>
      <c r="N549" s="114">
        <f t="shared" si="189"/>
        <v>5</v>
      </c>
      <c r="O549" s="114">
        <f t="shared" si="189"/>
        <v>3</v>
      </c>
      <c r="P549" s="114">
        <f t="shared" si="189"/>
        <v>6</v>
      </c>
      <c r="Q549" s="114">
        <f t="shared" si="189"/>
        <v>8</v>
      </c>
      <c r="R549" s="114">
        <f t="shared" si="189"/>
        <v>8</v>
      </c>
      <c r="S549" s="114">
        <f t="shared" si="189"/>
        <v>11</v>
      </c>
      <c r="T549" s="114">
        <f t="shared" si="189"/>
        <v>11</v>
      </c>
      <c r="U549" s="114">
        <f t="shared" si="189"/>
        <v>7</v>
      </c>
      <c r="V549" s="114">
        <f t="shared" si="189"/>
        <v>8</v>
      </c>
      <c r="W549" s="114">
        <f t="shared" si="189"/>
        <v>8</v>
      </c>
      <c r="X549" s="114">
        <f t="shared" si="189"/>
        <v>10</v>
      </c>
      <c r="Y549" s="114">
        <f t="shared" si="189"/>
        <v>21</v>
      </c>
      <c r="Z549" s="114">
        <f t="shared" si="189"/>
        <v>10</v>
      </c>
      <c r="AA549" s="114">
        <f t="shared" si="189"/>
        <v>21</v>
      </c>
      <c r="AB549" s="114">
        <f t="shared" si="189"/>
        <v>13</v>
      </c>
      <c r="AC549" s="114">
        <f t="shared" si="189"/>
        <v>3</v>
      </c>
      <c r="AD549" s="114">
        <f t="shared" si="189"/>
        <v>1</v>
      </c>
      <c r="AE549" s="114">
        <f t="shared" si="189"/>
        <v>3</v>
      </c>
      <c r="AF549" s="114">
        <f t="shared" si="189"/>
        <v>0</v>
      </c>
      <c r="AG549" s="693">
        <f t="shared" si="187"/>
        <v>222</v>
      </c>
    </row>
    <row r="550">
      <c r="A550" s="895" t="s">
        <v>1223</v>
      </c>
      <c r="B550" s="114">
        <f t="shared" ref="B550:W550" si="190">B266-B379</f>
        <v>1</v>
      </c>
      <c r="C550" s="114">
        <f t="shared" si="190"/>
        <v>0</v>
      </c>
      <c r="D550" s="114">
        <f t="shared" si="190"/>
        <v>1</v>
      </c>
      <c r="E550" s="114">
        <f t="shared" si="190"/>
        <v>2</v>
      </c>
      <c r="F550" s="114">
        <f t="shared" si="190"/>
        <v>0</v>
      </c>
      <c r="G550" s="114">
        <f t="shared" si="190"/>
        <v>1</v>
      </c>
      <c r="H550" s="114">
        <f t="shared" si="190"/>
        <v>0</v>
      </c>
      <c r="I550" s="114">
        <f t="shared" si="190"/>
        <v>1</v>
      </c>
      <c r="J550" s="114">
        <f t="shared" si="190"/>
        <v>2</v>
      </c>
      <c r="K550" s="114">
        <f t="shared" si="190"/>
        <v>2</v>
      </c>
      <c r="L550" s="114">
        <f t="shared" si="190"/>
        <v>3</v>
      </c>
      <c r="M550" s="114">
        <f t="shared" si="190"/>
        <v>0</v>
      </c>
      <c r="N550" s="114">
        <f t="shared" si="190"/>
        <v>1</v>
      </c>
      <c r="O550" s="114">
        <f t="shared" si="190"/>
        <v>0</v>
      </c>
      <c r="P550" s="114">
        <f t="shared" si="190"/>
        <v>3</v>
      </c>
      <c r="Q550" s="114">
        <f t="shared" si="190"/>
        <v>2</v>
      </c>
      <c r="R550" s="114">
        <f t="shared" si="190"/>
        <v>0</v>
      </c>
      <c r="S550" s="114">
        <f t="shared" si="190"/>
        <v>0</v>
      </c>
      <c r="T550" s="114">
        <f t="shared" si="190"/>
        <v>0</v>
      </c>
      <c r="U550" s="114">
        <f t="shared" si="190"/>
        <v>0</v>
      </c>
      <c r="V550" s="114">
        <f t="shared" si="190"/>
        <v>0</v>
      </c>
      <c r="W550" s="114">
        <f t="shared" si="190"/>
        <v>6</v>
      </c>
      <c r="X550" s="114">
        <f>X265-X379</f>
        <v>3</v>
      </c>
      <c r="Y550" s="114">
        <f t="shared" ref="Y550:AF550" si="191">Y266-Y379</f>
        <v>10</v>
      </c>
      <c r="Z550" s="114">
        <f t="shared" si="191"/>
        <v>3</v>
      </c>
      <c r="AA550" s="114">
        <f t="shared" si="191"/>
        <v>4</v>
      </c>
      <c r="AB550" s="114">
        <f t="shared" si="191"/>
        <v>1</v>
      </c>
      <c r="AC550" s="114">
        <f t="shared" si="191"/>
        <v>0</v>
      </c>
      <c r="AD550" s="114">
        <f t="shared" si="191"/>
        <v>0</v>
      </c>
      <c r="AE550" s="114">
        <f t="shared" si="191"/>
        <v>0</v>
      </c>
      <c r="AF550" s="114">
        <f t="shared" si="191"/>
        <v>0</v>
      </c>
      <c r="AG550" s="693">
        <f t="shared" si="187"/>
        <v>46</v>
      </c>
    </row>
    <row r="551">
      <c r="A551" s="895" t="s">
        <v>1225</v>
      </c>
      <c r="B551" s="114">
        <f t="shared" ref="B551:AF551" si="192">B268-B381</f>
        <v>13</v>
      </c>
      <c r="C551" s="114">
        <f t="shared" si="192"/>
        <v>7</v>
      </c>
      <c r="D551" s="114">
        <f t="shared" si="192"/>
        <v>15</v>
      </c>
      <c r="E551" s="114">
        <f t="shared" si="192"/>
        <v>9</v>
      </c>
      <c r="F551" s="114">
        <f t="shared" si="192"/>
        <v>16</v>
      </c>
      <c r="G551" s="114">
        <f t="shared" si="192"/>
        <v>5</v>
      </c>
      <c r="H551" s="114">
        <f t="shared" si="192"/>
        <v>10</v>
      </c>
      <c r="I551" s="114">
        <f t="shared" si="192"/>
        <v>6</v>
      </c>
      <c r="J551" s="114">
        <f t="shared" si="192"/>
        <v>7</v>
      </c>
      <c r="K551" s="114">
        <f t="shared" si="192"/>
        <v>4</v>
      </c>
      <c r="L551" s="114">
        <f t="shared" si="192"/>
        <v>5</v>
      </c>
      <c r="M551" s="114">
        <f t="shared" si="192"/>
        <v>7</v>
      </c>
      <c r="N551" s="114">
        <f t="shared" si="192"/>
        <v>15</v>
      </c>
      <c r="O551" s="114">
        <f t="shared" si="192"/>
        <v>11</v>
      </c>
      <c r="P551" s="114">
        <f t="shared" si="192"/>
        <v>7</v>
      </c>
      <c r="Q551" s="114">
        <f t="shared" si="192"/>
        <v>11</v>
      </c>
      <c r="R551" s="114">
        <f t="shared" si="192"/>
        <v>14</v>
      </c>
      <c r="S551" s="114">
        <f t="shared" si="192"/>
        <v>18</v>
      </c>
      <c r="T551" s="114">
        <f t="shared" si="192"/>
        <v>13</v>
      </c>
      <c r="U551" s="114">
        <f t="shared" si="192"/>
        <v>19</v>
      </c>
      <c r="V551" s="114">
        <f t="shared" si="192"/>
        <v>15</v>
      </c>
      <c r="W551" s="114">
        <f t="shared" si="192"/>
        <v>19</v>
      </c>
      <c r="X551" s="114">
        <f t="shared" si="192"/>
        <v>25</v>
      </c>
      <c r="Y551" s="114">
        <f t="shared" si="192"/>
        <v>37</v>
      </c>
      <c r="Z551" s="114">
        <f t="shared" si="192"/>
        <v>20</v>
      </c>
      <c r="AA551" s="114">
        <f t="shared" si="192"/>
        <v>26</v>
      </c>
      <c r="AB551" s="114">
        <f t="shared" si="192"/>
        <v>23</v>
      </c>
      <c r="AC551" s="114">
        <f t="shared" si="192"/>
        <v>7</v>
      </c>
      <c r="AD551" s="114">
        <f t="shared" si="192"/>
        <v>6</v>
      </c>
      <c r="AE551" s="114">
        <f t="shared" si="192"/>
        <v>5</v>
      </c>
      <c r="AF551" s="114">
        <f t="shared" si="192"/>
        <v>0</v>
      </c>
      <c r="AG551" s="693">
        <f t="shared" si="187"/>
        <v>395</v>
      </c>
    </row>
    <row r="552">
      <c r="A552" s="946" t="s">
        <v>1052</v>
      </c>
      <c r="B552" s="921">
        <f t="shared" ref="B552:AF552" si="193">SUM(B546:B550)</f>
        <v>50</v>
      </c>
      <c r="C552" s="906">
        <f t="shared" si="193"/>
        <v>38</v>
      </c>
      <c r="D552" s="906">
        <f t="shared" si="193"/>
        <v>35</v>
      </c>
      <c r="E552" s="906">
        <f t="shared" si="193"/>
        <v>31</v>
      </c>
      <c r="F552" s="906">
        <f t="shared" si="193"/>
        <v>33</v>
      </c>
      <c r="G552" s="906">
        <f t="shared" si="193"/>
        <v>22</v>
      </c>
      <c r="H552" s="906">
        <f t="shared" si="193"/>
        <v>30</v>
      </c>
      <c r="I552" s="906">
        <f t="shared" si="193"/>
        <v>23</v>
      </c>
      <c r="J552" s="906">
        <f t="shared" si="193"/>
        <v>29</v>
      </c>
      <c r="K552" s="906">
        <f t="shared" si="193"/>
        <v>26</v>
      </c>
      <c r="L552" s="906">
        <f t="shared" si="193"/>
        <v>18</v>
      </c>
      <c r="M552" s="906">
        <f t="shared" si="193"/>
        <v>38</v>
      </c>
      <c r="N552" s="906">
        <f t="shared" si="193"/>
        <v>41</v>
      </c>
      <c r="O552" s="906">
        <f t="shared" si="193"/>
        <v>39</v>
      </c>
      <c r="P552" s="906">
        <f t="shared" si="193"/>
        <v>60</v>
      </c>
      <c r="Q552" s="906">
        <f t="shared" si="193"/>
        <v>54</v>
      </c>
      <c r="R552" s="906">
        <f t="shared" si="193"/>
        <v>40</v>
      </c>
      <c r="S552" s="906">
        <f t="shared" si="193"/>
        <v>77</v>
      </c>
      <c r="T552" s="906">
        <f t="shared" si="193"/>
        <v>45</v>
      </c>
      <c r="U552" s="906">
        <f t="shared" si="193"/>
        <v>80</v>
      </c>
      <c r="V552" s="906">
        <f t="shared" si="193"/>
        <v>60</v>
      </c>
      <c r="W552" s="906">
        <f t="shared" si="193"/>
        <v>117</v>
      </c>
      <c r="X552" s="906">
        <f t="shared" si="193"/>
        <v>128</v>
      </c>
      <c r="Y552" s="906">
        <f t="shared" si="193"/>
        <v>224</v>
      </c>
      <c r="Z552" s="906">
        <f t="shared" si="193"/>
        <v>90</v>
      </c>
      <c r="AA552" s="906">
        <f t="shared" si="193"/>
        <v>166</v>
      </c>
      <c r="AB552" s="906">
        <f t="shared" si="193"/>
        <v>109</v>
      </c>
      <c r="AC552" s="906">
        <f t="shared" si="193"/>
        <v>33</v>
      </c>
      <c r="AD552" s="906">
        <f t="shared" si="193"/>
        <v>4</v>
      </c>
      <c r="AE552" s="906">
        <f t="shared" si="193"/>
        <v>10</v>
      </c>
      <c r="AF552" s="906">
        <f t="shared" si="193"/>
        <v>0</v>
      </c>
      <c r="AG552" s="693">
        <f t="shared" si="187"/>
        <v>1750</v>
      </c>
    </row>
    <row r="553">
      <c r="A553" s="25"/>
      <c r="B553" s="661"/>
      <c r="C553" s="661"/>
      <c r="D553" s="661"/>
      <c r="E553" s="661"/>
      <c r="F553" s="661"/>
      <c r="G553" s="661"/>
      <c r="H553" s="661"/>
      <c r="I553" s="661"/>
      <c r="J553" s="661"/>
      <c r="K553" s="661"/>
      <c r="L553" s="661"/>
      <c r="M553" s="661"/>
      <c r="N553" s="661"/>
      <c r="O553" s="661"/>
      <c r="P553" s="661"/>
      <c r="Q553" s="661"/>
      <c r="R553" s="661"/>
      <c r="S553" s="661"/>
      <c r="T553" s="661"/>
      <c r="U553" s="661"/>
      <c r="V553" s="661"/>
      <c r="W553" s="661"/>
      <c r="X553" s="661"/>
      <c r="Y553" s="661"/>
      <c r="Z553" s="661"/>
      <c r="AA553" s="661"/>
      <c r="AB553" s="661"/>
      <c r="AC553" s="661"/>
      <c r="AD553" s="661"/>
      <c r="AE553" s="661"/>
      <c r="AF553" s="661"/>
      <c r="AG553" s="693"/>
    </row>
    <row r="554">
      <c r="A554" s="895" t="s">
        <v>1054</v>
      </c>
      <c r="B554" s="448">
        <f t="shared" ref="B554:AF554" si="194">B273-B385</f>
        <v>0</v>
      </c>
      <c r="C554" s="448">
        <f t="shared" si="194"/>
        <v>0</v>
      </c>
      <c r="D554" s="448">
        <f t="shared" si="194"/>
        <v>0</v>
      </c>
      <c r="E554" s="448">
        <f t="shared" si="194"/>
        <v>0</v>
      </c>
      <c r="F554" s="448">
        <f t="shared" si="194"/>
        <v>0</v>
      </c>
      <c r="G554" s="448">
        <f t="shared" si="194"/>
        <v>0</v>
      </c>
      <c r="H554" s="448">
        <f t="shared" si="194"/>
        <v>0</v>
      </c>
      <c r="I554" s="448">
        <f t="shared" si="194"/>
        <v>0</v>
      </c>
      <c r="J554" s="448">
        <f t="shared" si="194"/>
        <v>0</v>
      </c>
      <c r="K554" s="448">
        <f t="shared" si="194"/>
        <v>0</v>
      </c>
      <c r="L554" s="448">
        <f t="shared" si="194"/>
        <v>0</v>
      </c>
      <c r="M554" s="448">
        <f t="shared" si="194"/>
        <v>0</v>
      </c>
      <c r="N554" s="448">
        <f t="shared" si="194"/>
        <v>0</v>
      </c>
      <c r="O554" s="448">
        <f t="shared" si="194"/>
        <v>0</v>
      </c>
      <c r="P554" s="448">
        <f t="shared" si="194"/>
        <v>0</v>
      </c>
      <c r="Q554" s="448">
        <f t="shared" si="194"/>
        <v>0</v>
      </c>
      <c r="R554" s="448">
        <f t="shared" si="194"/>
        <v>0</v>
      </c>
      <c r="S554" s="448">
        <f t="shared" si="194"/>
        <v>0</v>
      </c>
      <c r="T554" s="448">
        <f t="shared" si="194"/>
        <v>0</v>
      </c>
      <c r="U554" s="448">
        <f t="shared" si="194"/>
        <v>0</v>
      </c>
      <c r="V554" s="448">
        <f t="shared" si="194"/>
        <v>0</v>
      </c>
      <c r="W554" s="448">
        <f t="shared" si="194"/>
        <v>0</v>
      </c>
      <c r="X554" s="448">
        <f t="shared" si="194"/>
        <v>0</v>
      </c>
      <c r="Y554" s="448">
        <f t="shared" si="194"/>
        <v>0</v>
      </c>
      <c r="Z554" s="448">
        <f t="shared" si="194"/>
        <v>0</v>
      </c>
      <c r="AA554" s="448">
        <f t="shared" si="194"/>
        <v>0</v>
      </c>
      <c r="AB554" s="448">
        <f t="shared" si="194"/>
        <v>0</v>
      </c>
      <c r="AC554" s="448">
        <f t="shared" si="194"/>
        <v>0</v>
      </c>
      <c r="AD554" s="448">
        <f t="shared" si="194"/>
        <v>0</v>
      </c>
      <c r="AE554" s="448">
        <f t="shared" si="194"/>
        <v>0</v>
      </c>
      <c r="AF554" s="448">
        <f t="shared" si="194"/>
        <v>0</v>
      </c>
      <c r="AG554" s="693">
        <f t="shared" ref="AG554:AG560" si="196">SUM(B554:AF554)</f>
        <v>0</v>
      </c>
    </row>
    <row r="555">
      <c r="A555" s="895" t="s">
        <v>1056</v>
      </c>
      <c r="B555" s="448">
        <f t="shared" ref="B555:AF555" si="195">B274-B386</f>
        <v>0</v>
      </c>
      <c r="C555" s="448">
        <f t="shared" si="195"/>
        <v>0</v>
      </c>
      <c r="D555" s="448">
        <f t="shared" si="195"/>
        <v>0</v>
      </c>
      <c r="E555" s="448">
        <f t="shared" si="195"/>
        <v>0</v>
      </c>
      <c r="F555" s="448">
        <f t="shared" si="195"/>
        <v>0</v>
      </c>
      <c r="G555" s="448">
        <f t="shared" si="195"/>
        <v>0</v>
      </c>
      <c r="H555" s="448">
        <f t="shared" si="195"/>
        <v>0</v>
      </c>
      <c r="I555" s="448">
        <f t="shared" si="195"/>
        <v>0</v>
      </c>
      <c r="J555" s="448">
        <f t="shared" si="195"/>
        <v>0</v>
      </c>
      <c r="K555" s="448">
        <f t="shared" si="195"/>
        <v>0</v>
      </c>
      <c r="L555" s="448">
        <f t="shared" si="195"/>
        <v>0</v>
      </c>
      <c r="M555" s="448">
        <f t="shared" si="195"/>
        <v>0</v>
      </c>
      <c r="N555" s="448">
        <f t="shared" si="195"/>
        <v>0</v>
      </c>
      <c r="O555" s="448">
        <f t="shared" si="195"/>
        <v>0</v>
      </c>
      <c r="P555" s="448">
        <f t="shared" si="195"/>
        <v>0</v>
      </c>
      <c r="Q555" s="448">
        <f t="shared" si="195"/>
        <v>0</v>
      </c>
      <c r="R555" s="448">
        <f t="shared" si="195"/>
        <v>0</v>
      </c>
      <c r="S555" s="448">
        <f t="shared" si="195"/>
        <v>0</v>
      </c>
      <c r="T555" s="448">
        <f t="shared" si="195"/>
        <v>0</v>
      </c>
      <c r="U555" s="448">
        <f t="shared" si="195"/>
        <v>0</v>
      </c>
      <c r="V555" s="448">
        <f t="shared" si="195"/>
        <v>0</v>
      </c>
      <c r="W555" s="448">
        <f t="shared" si="195"/>
        <v>0</v>
      </c>
      <c r="X555" s="448">
        <f t="shared" si="195"/>
        <v>0</v>
      </c>
      <c r="Y555" s="448">
        <f t="shared" si="195"/>
        <v>0</v>
      </c>
      <c r="Z555" s="448">
        <f t="shared" si="195"/>
        <v>0</v>
      </c>
      <c r="AA555" s="448">
        <f t="shared" si="195"/>
        <v>0</v>
      </c>
      <c r="AB555" s="448">
        <f t="shared" si="195"/>
        <v>0</v>
      </c>
      <c r="AC555" s="448">
        <f t="shared" si="195"/>
        <v>0</v>
      </c>
      <c r="AD555" s="448">
        <f t="shared" si="195"/>
        <v>0</v>
      </c>
      <c r="AE555" s="448">
        <f t="shared" si="195"/>
        <v>0</v>
      </c>
      <c r="AF555" s="448">
        <f t="shared" si="195"/>
        <v>0</v>
      </c>
      <c r="AG555" s="693">
        <f t="shared" si="196"/>
        <v>0</v>
      </c>
    </row>
    <row r="556">
      <c r="A556" s="895" t="s">
        <v>1057</v>
      </c>
      <c r="B556" s="448">
        <f t="shared" ref="B556:AF556" si="197">B275-B387</f>
        <v>0</v>
      </c>
      <c r="C556" s="448">
        <f t="shared" si="197"/>
        <v>0</v>
      </c>
      <c r="D556" s="448">
        <f t="shared" si="197"/>
        <v>0</v>
      </c>
      <c r="E556" s="448">
        <f t="shared" si="197"/>
        <v>0</v>
      </c>
      <c r="F556" s="448">
        <f t="shared" si="197"/>
        <v>0</v>
      </c>
      <c r="G556" s="448">
        <f t="shared" si="197"/>
        <v>0</v>
      </c>
      <c r="H556" s="448">
        <f t="shared" si="197"/>
        <v>0</v>
      </c>
      <c r="I556" s="448">
        <f t="shared" si="197"/>
        <v>0</v>
      </c>
      <c r="J556" s="448">
        <f t="shared" si="197"/>
        <v>0</v>
      </c>
      <c r="K556" s="448">
        <f t="shared" si="197"/>
        <v>0</v>
      </c>
      <c r="L556" s="448">
        <f t="shared" si="197"/>
        <v>0</v>
      </c>
      <c r="M556" s="448">
        <f t="shared" si="197"/>
        <v>0</v>
      </c>
      <c r="N556" s="448">
        <f t="shared" si="197"/>
        <v>0</v>
      </c>
      <c r="O556" s="448">
        <f t="shared" si="197"/>
        <v>0</v>
      </c>
      <c r="P556" s="448">
        <f t="shared" si="197"/>
        <v>0</v>
      </c>
      <c r="Q556" s="448">
        <f t="shared" si="197"/>
        <v>0</v>
      </c>
      <c r="R556" s="448">
        <f t="shared" si="197"/>
        <v>0</v>
      </c>
      <c r="S556" s="448">
        <f t="shared" si="197"/>
        <v>0</v>
      </c>
      <c r="T556" s="448">
        <f t="shared" si="197"/>
        <v>0</v>
      </c>
      <c r="U556" s="448">
        <f t="shared" si="197"/>
        <v>0</v>
      </c>
      <c r="V556" s="448">
        <f t="shared" si="197"/>
        <v>0</v>
      </c>
      <c r="W556" s="448">
        <f t="shared" si="197"/>
        <v>0</v>
      </c>
      <c r="X556" s="448">
        <f t="shared" si="197"/>
        <v>0</v>
      </c>
      <c r="Y556" s="448">
        <f t="shared" si="197"/>
        <v>0</v>
      </c>
      <c r="Z556" s="448">
        <f t="shared" si="197"/>
        <v>0</v>
      </c>
      <c r="AA556" s="448">
        <f t="shared" si="197"/>
        <v>0</v>
      </c>
      <c r="AB556" s="448">
        <f t="shared" si="197"/>
        <v>0</v>
      </c>
      <c r="AC556" s="448">
        <f t="shared" si="197"/>
        <v>0</v>
      </c>
      <c r="AD556" s="448">
        <f t="shared" si="197"/>
        <v>0</v>
      </c>
      <c r="AE556" s="448">
        <f t="shared" si="197"/>
        <v>0</v>
      </c>
      <c r="AF556" s="448">
        <f t="shared" si="197"/>
        <v>0</v>
      </c>
      <c r="AG556" s="693">
        <f t="shared" si="196"/>
        <v>0</v>
      </c>
    </row>
    <row r="557">
      <c r="A557" s="895" t="s">
        <v>1228</v>
      </c>
      <c r="B557" s="448">
        <f t="shared" ref="B557:AF557" si="198">B276-B388</f>
        <v>0</v>
      </c>
      <c r="C557" s="448">
        <f t="shared" si="198"/>
        <v>0</v>
      </c>
      <c r="D557" s="448">
        <f t="shared" si="198"/>
        <v>0</v>
      </c>
      <c r="E557" s="448">
        <f t="shared" si="198"/>
        <v>0</v>
      </c>
      <c r="F557" s="448">
        <f t="shared" si="198"/>
        <v>0</v>
      </c>
      <c r="G557" s="448">
        <f t="shared" si="198"/>
        <v>0</v>
      </c>
      <c r="H557" s="448">
        <f t="shared" si="198"/>
        <v>0</v>
      </c>
      <c r="I557" s="448">
        <f t="shared" si="198"/>
        <v>0</v>
      </c>
      <c r="J557" s="448">
        <f t="shared" si="198"/>
        <v>0</v>
      </c>
      <c r="K557" s="448">
        <f t="shared" si="198"/>
        <v>0</v>
      </c>
      <c r="L557" s="448">
        <f t="shared" si="198"/>
        <v>0</v>
      </c>
      <c r="M557" s="448">
        <f t="shared" si="198"/>
        <v>0</v>
      </c>
      <c r="N557" s="448">
        <f t="shared" si="198"/>
        <v>0</v>
      </c>
      <c r="O557" s="448">
        <f t="shared" si="198"/>
        <v>0</v>
      </c>
      <c r="P557" s="448">
        <f t="shared" si="198"/>
        <v>0</v>
      </c>
      <c r="Q557" s="448">
        <f t="shared" si="198"/>
        <v>0</v>
      </c>
      <c r="R557" s="448">
        <f t="shared" si="198"/>
        <v>0</v>
      </c>
      <c r="S557" s="448">
        <f t="shared" si="198"/>
        <v>0</v>
      </c>
      <c r="T557" s="448">
        <f t="shared" si="198"/>
        <v>0</v>
      </c>
      <c r="U557" s="448">
        <f t="shared" si="198"/>
        <v>0</v>
      </c>
      <c r="V557" s="448">
        <f t="shared" si="198"/>
        <v>0</v>
      </c>
      <c r="W557" s="448">
        <f t="shared" si="198"/>
        <v>0</v>
      </c>
      <c r="X557" s="448">
        <f t="shared" si="198"/>
        <v>0</v>
      </c>
      <c r="Y557" s="448">
        <f t="shared" si="198"/>
        <v>0</v>
      </c>
      <c r="Z557" s="448">
        <f t="shared" si="198"/>
        <v>0</v>
      </c>
      <c r="AA557" s="448">
        <f t="shared" si="198"/>
        <v>0</v>
      </c>
      <c r="AB557" s="448">
        <f t="shared" si="198"/>
        <v>0</v>
      </c>
      <c r="AC557" s="448">
        <f t="shared" si="198"/>
        <v>0</v>
      </c>
      <c r="AD557" s="448">
        <f t="shared" si="198"/>
        <v>0</v>
      </c>
      <c r="AE557" s="448">
        <f t="shared" si="198"/>
        <v>0</v>
      </c>
      <c r="AF557" s="448">
        <f t="shared" si="198"/>
        <v>0</v>
      </c>
      <c r="AG557" s="693">
        <f t="shared" si="196"/>
        <v>0</v>
      </c>
    </row>
    <row r="558">
      <c r="A558" s="895" t="s">
        <v>1229</v>
      </c>
      <c r="B558" s="448">
        <f t="shared" ref="B558:AF558" si="199">B278-B390</f>
        <v>0</v>
      </c>
      <c r="C558" s="448">
        <f t="shared" si="199"/>
        <v>0</v>
      </c>
      <c r="D558" s="448">
        <f t="shared" si="199"/>
        <v>0</v>
      </c>
      <c r="E558" s="448">
        <f t="shared" si="199"/>
        <v>0</v>
      </c>
      <c r="F558" s="448">
        <f t="shared" si="199"/>
        <v>0</v>
      </c>
      <c r="G558" s="448">
        <f t="shared" si="199"/>
        <v>0</v>
      </c>
      <c r="H558" s="448">
        <f t="shared" si="199"/>
        <v>0</v>
      </c>
      <c r="I558" s="448">
        <f t="shared" si="199"/>
        <v>0</v>
      </c>
      <c r="J558" s="448">
        <f t="shared" si="199"/>
        <v>0</v>
      </c>
      <c r="K558" s="448">
        <f t="shared" si="199"/>
        <v>0</v>
      </c>
      <c r="L558" s="448">
        <f t="shared" si="199"/>
        <v>0</v>
      </c>
      <c r="M558" s="448">
        <f t="shared" si="199"/>
        <v>0</v>
      </c>
      <c r="N558" s="448">
        <f t="shared" si="199"/>
        <v>0</v>
      </c>
      <c r="O558" s="448">
        <f t="shared" si="199"/>
        <v>0</v>
      </c>
      <c r="P558" s="448">
        <f t="shared" si="199"/>
        <v>0</v>
      </c>
      <c r="Q558" s="448">
        <f t="shared" si="199"/>
        <v>0</v>
      </c>
      <c r="R558" s="448">
        <f t="shared" si="199"/>
        <v>0</v>
      </c>
      <c r="S558" s="448">
        <f t="shared" si="199"/>
        <v>0</v>
      </c>
      <c r="T558" s="448">
        <f t="shared" si="199"/>
        <v>0</v>
      </c>
      <c r="U558" s="448">
        <f t="shared" si="199"/>
        <v>0</v>
      </c>
      <c r="V558" s="448">
        <f t="shared" si="199"/>
        <v>0</v>
      </c>
      <c r="W558" s="448">
        <f t="shared" si="199"/>
        <v>0</v>
      </c>
      <c r="X558" s="448">
        <f t="shared" si="199"/>
        <v>0</v>
      </c>
      <c r="Y558" s="448">
        <f t="shared" si="199"/>
        <v>0</v>
      </c>
      <c r="Z558" s="448">
        <f t="shared" si="199"/>
        <v>0</v>
      </c>
      <c r="AA558" s="448">
        <f t="shared" si="199"/>
        <v>0</v>
      </c>
      <c r="AB558" s="448">
        <f t="shared" si="199"/>
        <v>0</v>
      </c>
      <c r="AC558" s="448">
        <f t="shared" si="199"/>
        <v>0</v>
      </c>
      <c r="AD558" s="448">
        <f t="shared" si="199"/>
        <v>0</v>
      </c>
      <c r="AE558" s="448">
        <f t="shared" si="199"/>
        <v>0</v>
      </c>
      <c r="AF558" s="448">
        <f t="shared" si="199"/>
        <v>0</v>
      </c>
      <c r="AG558" s="693">
        <f t="shared" si="196"/>
        <v>0</v>
      </c>
    </row>
    <row r="559">
      <c r="A559" s="895" t="s">
        <v>1231</v>
      </c>
      <c r="B559" s="448">
        <f t="shared" ref="B559:AF559" si="200">B280-B393</f>
        <v>0</v>
      </c>
      <c r="C559" s="448">
        <f t="shared" si="200"/>
        <v>0</v>
      </c>
      <c r="D559" s="448">
        <f t="shared" si="200"/>
        <v>0</v>
      </c>
      <c r="E559" s="448">
        <f t="shared" si="200"/>
        <v>0</v>
      </c>
      <c r="F559" s="448">
        <f t="shared" si="200"/>
        <v>0</v>
      </c>
      <c r="G559" s="448">
        <f t="shared" si="200"/>
        <v>0</v>
      </c>
      <c r="H559" s="448">
        <f t="shared" si="200"/>
        <v>0</v>
      </c>
      <c r="I559" s="448">
        <f t="shared" si="200"/>
        <v>0</v>
      </c>
      <c r="J559" s="448">
        <f t="shared" si="200"/>
        <v>0</v>
      </c>
      <c r="K559" s="448">
        <f t="shared" si="200"/>
        <v>0</v>
      </c>
      <c r="L559" s="448">
        <f t="shared" si="200"/>
        <v>0</v>
      </c>
      <c r="M559" s="448">
        <f t="shared" si="200"/>
        <v>0</v>
      </c>
      <c r="N559" s="448">
        <f t="shared" si="200"/>
        <v>0</v>
      </c>
      <c r="O559" s="448">
        <f t="shared" si="200"/>
        <v>0</v>
      </c>
      <c r="P559" s="448">
        <f t="shared" si="200"/>
        <v>0</v>
      </c>
      <c r="Q559" s="448">
        <f t="shared" si="200"/>
        <v>0</v>
      </c>
      <c r="R559" s="448">
        <f t="shared" si="200"/>
        <v>0</v>
      </c>
      <c r="S559" s="448">
        <f t="shared" si="200"/>
        <v>0</v>
      </c>
      <c r="T559" s="448">
        <f t="shared" si="200"/>
        <v>0</v>
      </c>
      <c r="U559" s="448">
        <f t="shared" si="200"/>
        <v>0</v>
      </c>
      <c r="V559" s="448">
        <f t="shared" si="200"/>
        <v>0</v>
      </c>
      <c r="W559" s="448">
        <f t="shared" si="200"/>
        <v>0</v>
      </c>
      <c r="X559" s="448">
        <f t="shared" si="200"/>
        <v>0</v>
      </c>
      <c r="Y559" s="448">
        <f t="shared" si="200"/>
        <v>0</v>
      </c>
      <c r="Z559" s="448">
        <f t="shared" si="200"/>
        <v>0</v>
      </c>
      <c r="AA559" s="448">
        <f t="shared" si="200"/>
        <v>0</v>
      </c>
      <c r="AB559" s="448">
        <f t="shared" si="200"/>
        <v>0</v>
      </c>
      <c r="AC559" s="448">
        <f t="shared" si="200"/>
        <v>0</v>
      </c>
      <c r="AD559" s="448">
        <f t="shared" si="200"/>
        <v>0</v>
      </c>
      <c r="AE559" s="448">
        <f t="shared" si="200"/>
        <v>0</v>
      </c>
      <c r="AF559" s="448">
        <f t="shared" si="200"/>
        <v>0</v>
      </c>
      <c r="AG559" s="693">
        <f t="shared" si="196"/>
        <v>0</v>
      </c>
    </row>
    <row r="560">
      <c r="A560" s="946" t="s">
        <v>1066</v>
      </c>
      <c r="B560" s="921">
        <f t="shared" ref="B560:AF560" si="201">SUM(B554:B558)</f>
        <v>0</v>
      </c>
      <c r="C560" s="906">
        <f t="shared" si="201"/>
        <v>0</v>
      </c>
      <c r="D560" s="906">
        <f t="shared" si="201"/>
        <v>0</v>
      </c>
      <c r="E560" s="906">
        <f t="shared" si="201"/>
        <v>0</v>
      </c>
      <c r="F560" s="906">
        <f t="shared" si="201"/>
        <v>0</v>
      </c>
      <c r="G560" s="906">
        <f t="shared" si="201"/>
        <v>0</v>
      </c>
      <c r="H560" s="906">
        <f t="shared" si="201"/>
        <v>0</v>
      </c>
      <c r="I560" s="906">
        <f t="shared" si="201"/>
        <v>0</v>
      </c>
      <c r="J560" s="906">
        <f t="shared" si="201"/>
        <v>0</v>
      </c>
      <c r="K560" s="906">
        <f t="shared" si="201"/>
        <v>0</v>
      </c>
      <c r="L560" s="906">
        <f t="shared" si="201"/>
        <v>0</v>
      </c>
      <c r="M560" s="906">
        <f t="shared" si="201"/>
        <v>0</v>
      </c>
      <c r="N560" s="906">
        <f t="shared" si="201"/>
        <v>0</v>
      </c>
      <c r="O560" s="906">
        <f t="shared" si="201"/>
        <v>0</v>
      </c>
      <c r="P560" s="906">
        <f t="shared" si="201"/>
        <v>0</v>
      </c>
      <c r="Q560" s="906">
        <f t="shared" si="201"/>
        <v>0</v>
      </c>
      <c r="R560" s="906">
        <f t="shared" si="201"/>
        <v>0</v>
      </c>
      <c r="S560" s="906">
        <f t="shared" si="201"/>
        <v>0</v>
      </c>
      <c r="T560" s="906">
        <f t="shared" si="201"/>
        <v>0</v>
      </c>
      <c r="U560" s="906">
        <f t="shared" si="201"/>
        <v>0</v>
      </c>
      <c r="V560" s="906">
        <f t="shared" si="201"/>
        <v>0</v>
      </c>
      <c r="W560" s="906">
        <f t="shared" si="201"/>
        <v>0</v>
      </c>
      <c r="X560" s="906">
        <f t="shared" si="201"/>
        <v>0</v>
      </c>
      <c r="Y560" s="906">
        <f t="shared" si="201"/>
        <v>0</v>
      </c>
      <c r="Z560" s="906">
        <f t="shared" si="201"/>
        <v>0</v>
      </c>
      <c r="AA560" s="906">
        <f t="shared" si="201"/>
        <v>0</v>
      </c>
      <c r="AB560" s="906">
        <f t="shared" si="201"/>
        <v>0</v>
      </c>
      <c r="AC560" s="906">
        <f t="shared" si="201"/>
        <v>0</v>
      </c>
      <c r="AD560" s="906">
        <f t="shared" si="201"/>
        <v>0</v>
      </c>
      <c r="AE560" s="906">
        <f t="shared" si="201"/>
        <v>0</v>
      </c>
      <c r="AF560" s="906">
        <f t="shared" si="201"/>
        <v>0</v>
      </c>
      <c r="AG560" s="693">
        <f t="shared" si="196"/>
        <v>0</v>
      </c>
    </row>
    <row r="561">
      <c r="A561" s="723"/>
      <c r="B561" s="555"/>
      <c r="AG561" s="693"/>
    </row>
    <row r="562">
      <c r="A562" s="895" t="s">
        <v>1113</v>
      </c>
      <c r="B562" s="114">
        <f t="shared" ref="B562:AF562" si="202">B224:AF224</f>
        <v>19</v>
      </c>
      <c r="C562" s="114">
        <f t="shared" si="202"/>
        <v>32</v>
      </c>
      <c r="D562" s="114">
        <f t="shared" si="202"/>
        <v>25</v>
      </c>
      <c r="E562" s="114">
        <f t="shared" si="202"/>
        <v>79</v>
      </c>
      <c r="F562" s="114">
        <f t="shared" si="202"/>
        <v>64</v>
      </c>
      <c r="G562" s="114">
        <f t="shared" si="202"/>
        <v>41</v>
      </c>
      <c r="H562" s="114">
        <f t="shared" si="202"/>
        <v>37</v>
      </c>
      <c r="I562" s="114">
        <f t="shared" si="202"/>
        <v>39</v>
      </c>
      <c r="J562" s="114">
        <f t="shared" si="202"/>
        <v>50</v>
      </c>
      <c r="K562" s="114">
        <f t="shared" si="202"/>
        <v>57</v>
      </c>
      <c r="L562" s="114">
        <f t="shared" si="202"/>
        <v>78</v>
      </c>
      <c r="M562" s="114">
        <f t="shared" si="202"/>
        <v>90</v>
      </c>
      <c r="N562" s="114">
        <f t="shared" si="202"/>
        <v>46</v>
      </c>
      <c r="O562" s="114">
        <f t="shared" si="202"/>
        <v>44</v>
      </c>
      <c r="P562" s="114">
        <f t="shared" si="202"/>
        <v>41</v>
      </c>
      <c r="Q562" s="114">
        <f t="shared" si="202"/>
        <v>46</v>
      </c>
      <c r="R562" s="114">
        <f t="shared" si="202"/>
        <v>53</v>
      </c>
      <c r="S562" s="114">
        <f t="shared" si="202"/>
        <v>72</v>
      </c>
      <c r="T562" s="114">
        <f t="shared" si="202"/>
        <v>79</v>
      </c>
      <c r="U562" s="114">
        <f t="shared" si="202"/>
        <v>40</v>
      </c>
      <c r="V562" s="114">
        <f t="shared" si="202"/>
        <v>50</v>
      </c>
      <c r="W562" s="114">
        <f t="shared" si="202"/>
        <v>32</v>
      </c>
      <c r="X562" s="114">
        <f t="shared" si="202"/>
        <v>39</v>
      </c>
      <c r="Y562" s="114">
        <f t="shared" si="202"/>
        <v>62</v>
      </c>
      <c r="Z562" s="114">
        <f t="shared" si="202"/>
        <v>79</v>
      </c>
      <c r="AA562" s="114">
        <f t="shared" si="202"/>
        <v>85</v>
      </c>
      <c r="AB562" s="114">
        <f t="shared" si="202"/>
        <v>48</v>
      </c>
      <c r="AC562" s="114">
        <f t="shared" si="202"/>
        <v>34</v>
      </c>
      <c r="AD562" s="114">
        <f t="shared" si="202"/>
        <v>56</v>
      </c>
      <c r="AE562" s="114">
        <f t="shared" si="202"/>
        <v>59</v>
      </c>
      <c r="AF562" s="114" t="str">
        <f t="shared" si="202"/>
        <v/>
      </c>
      <c r="AG562" s="693">
        <f t="shared" ref="AG562:AG564" si="204">SUM(B562:AF562)</f>
        <v>1576</v>
      </c>
    </row>
    <row r="563">
      <c r="A563" s="895" t="s">
        <v>1115</v>
      </c>
      <c r="B563" s="777" t="str">
        <f t="shared" ref="B563:AF563" si="203">B166</f>
        <v/>
      </c>
      <c r="C563" s="777" t="str">
        <f t="shared" si="203"/>
        <v/>
      </c>
      <c r="D563" s="777" t="str">
        <f t="shared" si="203"/>
        <v/>
      </c>
      <c r="E563" s="777" t="str">
        <f t="shared" si="203"/>
        <v/>
      </c>
      <c r="F563" s="777" t="str">
        <f t="shared" si="203"/>
        <v/>
      </c>
      <c r="G563" s="777" t="str">
        <f t="shared" si="203"/>
        <v/>
      </c>
      <c r="H563" s="777" t="str">
        <f t="shared" si="203"/>
        <v/>
      </c>
      <c r="I563" s="777" t="str">
        <f t="shared" si="203"/>
        <v/>
      </c>
      <c r="J563" s="777" t="str">
        <f t="shared" si="203"/>
        <v/>
      </c>
      <c r="K563" s="777" t="str">
        <f t="shared" si="203"/>
        <v/>
      </c>
      <c r="L563" s="777" t="str">
        <f t="shared" si="203"/>
        <v/>
      </c>
      <c r="M563" s="777" t="str">
        <f t="shared" si="203"/>
        <v/>
      </c>
      <c r="N563" s="777" t="str">
        <f t="shared" si="203"/>
        <v/>
      </c>
      <c r="O563" s="777" t="str">
        <f t="shared" si="203"/>
        <v/>
      </c>
      <c r="P563" s="777" t="str">
        <f t="shared" si="203"/>
        <v/>
      </c>
      <c r="Q563" s="777" t="str">
        <f t="shared" si="203"/>
        <v/>
      </c>
      <c r="R563" s="777" t="str">
        <f t="shared" si="203"/>
        <v/>
      </c>
      <c r="S563" s="777" t="str">
        <f t="shared" si="203"/>
        <v/>
      </c>
      <c r="T563" s="777" t="str">
        <f t="shared" si="203"/>
        <v/>
      </c>
      <c r="U563" s="777" t="str">
        <f t="shared" si="203"/>
        <v/>
      </c>
      <c r="V563" s="777" t="str">
        <f t="shared" si="203"/>
        <v/>
      </c>
      <c r="W563" s="777" t="str">
        <f t="shared" si="203"/>
        <v/>
      </c>
      <c r="X563" s="777" t="str">
        <f t="shared" si="203"/>
        <v/>
      </c>
      <c r="Y563" s="777" t="str">
        <f t="shared" si="203"/>
        <v/>
      </c>
      <c r="Z563" s="777" t="str">
        <f t="shared" si="203"/>
        <v/>
      </c>
      <c r="AA563" s="777" t="str">
        <f t="shared" si="203"/>
        <v/>
      </c>
      <c r="AB563" s="777" t="str">
        <f t="shared" si="203"/>
        <v/>
      </c>
      <c r="AC563" s="777" t="str">
        <f t="shared" si="203"/>
        <v/>
      </c>
      <c r="AD563" s="777" t="str">
        <f t="shared" si="203"/>
        <v/>
      </c>
      <c r="AE563" s="777" t="str">
        <f t="shared" si="203"/>
        <v/>
      </c>
      <c r="AF563" s="777" t="str">
        <f t="shared" si="203"/>
        <v/>
      </c>
      <c r="AG563" s="693">
        <f t="shared" si="204"/>
        <v>0</v>
      </c>
    </row>
    <row r="564">
      <c r="A564" s="946" t="s">
        <v>98</v>
      </c>
      <c r="B564" s="906">
        <f t="shared" ref="B564:AF564" si="205">SUM(B562:B563)</f>
        <v>19</v>
      </c>
      <c r="C564" s="906">
        <f t="shared" si="205"/>
        <v>32</v>
      </c>
      <c r="D564" s="906">
        <f t="shared" si="205"/>
        <v>25</v>
      </c>
      <c r="E564" s="906">
        <f t="shared" si="205"/>
        <v>79</v>
      </c>
      <c r="F564" s="906">
        <f t="shared" si="205"/>
        <v>64</v>
      </c>
      <c r="G564" s="906">
        <f t="shared" si="205"/>
        <v>41</v>
      </c>
      <c r="H564" s="906">
        <f t="shared" si="205"/>
        <v>37</v>
      </c>
      <c r="I564" s="906">
        <f t="shared" si="205"/>
        <v>39</v>
      </c>
      <c r="J564" s="906">
        <f t="shared" si="205"/>
        <v>50</v>
      </c>
      <c r="K564" s="906">
        <f t="shared" si="205"/>
        <v>57</v>
      </c>
      <c r="L564" s="906">
        <f t="shared" si="205"/>
        <v>78</v>
      </c>
      <c r="M564" s="906">
        <f t="shared" si="205"/>
        <v>90</v>
      </c>
      <c r="N564" s="906">
        <f t="shared" si="205"/>
        <v>46</v>
      </c>
      <c r="O564" s="906">
        <f t="shared" si="205"/>
        <v>44</v>
      </c>
      <c r="P564" s="906">
        <f t="shared" si="205"/>
        <v>41</v>
      </c>
      <c r="Q564" s="906">
        <f t="shared" si="205"/>
        <v>46</v>
      </c>
      <c r="R564" s="906">
        <f t="shared" si="205"/>
        <v>53</v>
      </c>
      <c r="S564" s="906">
        <f t="shared" si="205"/>
        <v>72</v>
      </c>
      <c r="T564" s="906">
        <f t="shared" si="205"/>
        <v>79</v>
      </c>
      <c r="U564" s="906">
        <f t="shared" si="205"/>
        <v>40</v>
      </c>
      <c r="V564" s="906">
        <f t="shared" si="205"/>
        <v>50</v>
      </c>
      <c r="W564" s="906">
        <f t="shared" si="205"/>
        <v>32</v>
      </c>
      <c r="X564" s="906">
        <f t="shared" si="205"/>
        <v>39</v>
      </c>
      <c r="Y564" s="906">
        <f t="shared" si="205"/>
        <v>62</v>
      </c>
      <c r="Z564" s="906">
        <f t="shared" si="205"/>
        <v>79</v>
      </c>
      <c r="AA564" s="906">
        <f t="shared" si="205"/>
        <v>85</v>
      </c>
      <c r="AB564" s="906">
        <f t="shared" si="205"/>
        <v>48</v>
      </c>
      <c r="AC564" s="906">
        <f t="shared" si="205"/>
        <v>34</v>
      </c>
      <c r="AD564" s="906">
        <f t="shared" si="205"/>
        <v>56</v>
      </c>
      <c r="AE564" s="906">
        <f t="shared" si="205"/>
        <v>59</v>
      </c>
      <c r="AF564" s="906">
        <f t="shared" si="205"/>
        <v>0</v>
      </c>
      <c r="AG564" s="693">
        <f t="shared" si="204"/>
        <v>1576</v>
      </c>
    </row>
    <row r="565">
      <c r="A565" s="723"/>
      <c r="AG565" s="453"/>
    </row>
    <row r="566">
      <c r="A566" s="723"/>
      <c r="AG566" s="453"/>
    </row>
    <row r="567">
      <c r="A567" s="625" t="s">
        <v>881</v>
      </c>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c r="AB567" s="53"/>
      <c r="AC567" s="53"/>
      <c r="AD567" s="53"/>
      <c r="AE567" s="53"/>
      <c r="AF567" s="53"/>
      <c r="AG567" s="453"/>
    </row>
    <row r="568">
      <c r="A568" s="583" t="s">
        <v>379</v>
      </c>
      <c r="B568" s="925">
        <f t="shared" ref="B568:AF568" si="206">B32+B38+B35+B40+B31+B33+B41+B34+B42</f>
        <v>40474.85</v>
      </c>
      <c r="C568" s="947">
        <f t="shared" si="206"/>
        <v>37904.01</v>
      </c>
      <c r="D568" s="948">
        <f t="shared" si="206"/>
        <v>40902.07</v>
      </c>
      <c r="E568" s="949">
        <f t="shared" si="206"/>
        <v>40245.77</v>
      </c>
      <c r="F568" s="950">
        <f t="shared" si="206"/>
        <v>42583.39</v>
      </c>
      <c r="G568" s="951">
        <f t="shared" si="206"/>
        <v>42583.4</v>
      </c>
      <c r="H568" s="952">
        <f t="shared" si="206"/>
        <v>37986.5</v>
      </c>
      <c r="I568" s="953">
        <f t="shared" si="206"/>
        <v>44740.44</v>
      </c>
      <c r="J568" s="954">
        <f t="shared" si="206"/>
        <v>53320.98</v>
      </c>
      <c r="K568" s="955">
        <f t="shared" si="206"/>
        <v>50559.22</v>
      </c>
      <c r="L568" s="956">
        <f t="shared" si="206"/>
        <v>43144.55</v>
      </c>
      <c r="M568" s="957">
        <f t="shared" si="206"/>
        <v>45223.57</v>
      </c>
      <c r="N568" s="958">
        <f t="shared" si="206"/>
        <v>42657.6</v>
      </c>
      <c r="O568" s="959">
        <f t="shared" si="206"/>
        <v>41856.55</v>
      </c>
      <c r="P568" s="960">
        <f t="shared" si="206"/>
        <v>44750.5</v>
      </c>
      <c r="Q568" s="961">
        <f t="shared" si="206"/>
        <v>46200.59</v>
      </c>
      <c r="R568" s="962">
        <f t="shared" si="206"/>
        <v>43069.16</v>
      </c>
      <c r="S568" s="963">
        <f t="shared" si="206"/>
        <v>47530.74</v>
      </c>
      <c r="T568" s="963">
        <f t="shared" si="206"/>
        <v>52196.51</v>
      </c>
      <c r="U568" s="963">
        <f t="shared" si="206"/>
        <v>62226.9</v>
      </c>
      <c r="V568" s="963">
        <f t="shared" si="206"/>
        <v>68520.98</v>
      </c>
      <c r="W568" s="963">
        <f t="shared" si="206"/>
        <v>78250.03</v>
      </c>
      <c r="X568" s="963">
        <f t="shared" si="206"/>
        <v>128601.17</v>
      </c>
      <c r="Y568" s="963">
        <f t="shared" si="206"/>
        <v>243123.13</v>
      </c>
      <c r="Z568" s="963">
        <f t="shared" si="206"/>
        <v>151573.93</v>
      </c>
      <c r="AA568" s="963">
        <f t="shared" si="206"/>
        <v>146797.74</v>
      </c>
      <c r="AB568" s="963">
        <f t="shared" si="206"/>
        <v>135094.24</v>
      </c>
      <c r="AC568" s="963">
        <f t="shared" si="206"/>
        <v>100344.27</v>
      </c>
      <c r="AD568" s="963">
        <f t="shared" si="206"/>
        <v>38013.74</v>
      </c>
      <c r="AE568" s="963">
        <f t="shared" si="206"/>
        <v>19790.2</v>
      </c>
      <c r="AF568" s="963">
        <f t="shared" si="206"/>
        <v>0</v>
      </c>
      <c r="AG568" s="623">
        <f t="shared" ref="AG568:AG590" si="208">SUM(B568:AF568)</f>
        <v>2010266.73</v>
      </c>
    </row>
    <row r="569">
      <c r="A569" s="583" t="s">
        <v>552</v>
      </c>
      <c r="B569" s="66">
        <f t="shared" ref="B569:AF569" si="207">B37+B39+B36+B45</f>
        <v>162.71</v>
      </c>
      <c r="C569" s="66">
        <f t="shared" si="207"/>
        <v>61</v>
      </c>
      <c r="D569" s="66">
        <f t="shared" si="207"/>
        <v>0</v>
      </c>
      <c r="E569" s="66">
        <f t="shared" si="207"/>
        <v>4255.588</v>
      </c>
      <c r="F569" s="66">
        <f t="shared" si="207"/>
        <v>2292.936</v>
      </c>
      <c r="G569" s="66">
        <f t="shared" si="207"/>
        <v>63.09</v>
      </c>
      <c r="H569" s="66">
        <f t="shared" si="207"/>
        <v>86.6</v>
      </c>
      <c r="I569" s="66">
        <f t="shared" si="207"/>
        <v>0</v>
      </c>
      <c r="J569" s="66">
        <f t="shared" si="207"/>
        <v>0</v>
      </c>
      <c r="K569" s="66">
        <f t="shared" si="207"/>
        <v>99.96</v>
      </c>
      <c r="L569" s="66">
        <f t="shared" si="207"/>
        <v>0</v>
      </c>
      <c r="M569" s="66">
        <f t="shared" si="207"/>
        <v>324.88</v>
      </c>
      <c r="N569" s="66">
        <f t="shared" si="207"/>
        <v>97.43</v>
      </c>
      <c r="O569" s="66">
        <f t="shared" si="207"/>
        <v>100.64</v>
      </c>
      <c r="P569" s="66">
        <f t="shared" si="207"/>
        <v>55.28</v>
      </c>
      <c r="Q569" s="66">
        <f t="shared" si="207"/>
        <v>0</v>
      </c>
      <c r="R569" s="66">
        <f t="shared" si="207"/>
        <v>105.32</v>
      </c>
      <c r="S569" s="66">
        <f t="shared" si="207"/>
        <v>0</v>
      </c>
      <c r="T569" s="66">
        <f t="shared" si="207"/>
        <v>0</v>
      </c>
      <c r="U569" s="66">
        <f t="shared" si="207"/>
        <v>0</v>
      </c>
      <c r="V569" s="66">
        <f t="shared" si="207"/>
        <v>32.38</v>
      </c>
      <c r="W569" s="66">
        <f t="shared" si="207"/>
        <v>105.6</v>
      </c>
      <c r="X569" s="66">
        <f t="shared" si="207"/>
        <v>266.9</v>
      </c>
      <c r="Y569" s="66">
        <f t="shared" si="207"/>
        <v>94.59</v>
      </c>
      <c r="Z569" s="66">
        <f t="shared" si="207"/>
        <v>123.15</v>
      </c>
      <c r="AA569" s="66">
        <f t="shared" si="207"/>
        <v>106.16</v>
      </c>
      <c r="AB569" s="66">
        <f t="shared" si="207"/>
        <v>497.95</v>
      </c>
      <c r="AC569" s="66">
        <f t="shared" si="207"/>
        <v>377.37</v>
      </c>
      <c r="AD569" s="66">
        <f t="shared" si="207"/>
        <v>68.6</v>
      </c>
      <c r="AE569" s="66">
        <f t="shared" si="207"/>
        <v>13.6</v>
      </c>
      <c r="AF569" s="66">
        <f t="shared" si="207"/>
        <v>0</v>
      </c>
      <c r="AG569" s="623">
        <f t="shared" si="208"/>
        <v>9391.734</v>
      </c>
    </row>
    <row r="570">
      <c r="A570" s="926" t="s">
        <v>1217</v>
      </c>
      <c r="B570" s="66">
        <f>(B207+B208)*'OLD Formulas'!$C$3</f>
        <v>11939.34</v>
      </c>
      <c r="C570" s="66">
        <f>(C207+C208)*'OLD Formulas'!$C$3</f>
        <v>12507.88</v>
      </c>
      <c r="D570" s="66">
        <f>(D207+D208)*'OLD Formulas'!$C$3</f>
        <v>12101.78</v>
      </c>
      <c r="E570" s="66">
        <f>(E207+E208)*'OLD Formulas'!$C$3</f>
        <v>15188.14</v>
      </c>
      <c r="F570" s="66">
        <f>(F207+F208)*'OLD Formulas'!$C$3</f>
        <v>19411.58</v>
      </c>
      <c r="G570" s="66">
        <f>(G207+G208)*'OLD Formulas'!$C$3</f>
        <v>15025.7</v>
      </c>
      <c r="H570" s="66">
        <f>(H207+H208)*'OLD Formulas'!$C$3</f>
        <v>13563.74</v>
      </c>
      <c r="I570" s="66">
        <f>(I207+I208)*'OLD Formulas'!$C$3</f>
        <v>11695.68</v>
      </c>
      <c r="J570" s="66">
        <f>(J207+J208)*'OLD Formulas'!$C$3</f>
        <v>14132.28</v>
      </c>
      <c r="K570" s="66">
        <f>(K207+K208)*'OLD Formulas'!$C$3</f>
        <v>14375.94</v>
      </c>
      <c r="L570" s="66">
        <f>(L207+L208)*'OLD Formulas'!$C$3</f>
        <v>13563.74</v>
      </c>
      <c r="M570" s="66">
        <f>(M207+M208)*'OLD Formulas'!$C$3</f>
        <v>14944.48</v>
      </c>
      <c r="N570" s="66">
        <f>(N207+N208)*'OLD Formulas'!$C$3</f>
        <v>12589.1</v>
      </c>
      <c r="O570" s="66">
        <f>(O207+O208)*'OLD Formulas'!$C$3</f>
        <v>12426.66</v>
      </c>
      <c r="P570" s="66">
        <f>(P207+P208)*'OLD Formulas'!$C$3</f>
        <v>12670.32</v>
      </c>
      <c r="Q570" s="66">
        <f>(Q207+Q208)*'OLD Formulas'!$C$3</f>
        <v>11858.12</v>
      </c>
      <c r="R570" s="66">
        <f>(R207+R208)*'OLD Formulas'!$C$3</f>
        <v>15106.92</v>
      </c>
      <c r="S570" s="66">
        <f>(S207+S208)*'OLD Formulas'!$C$3</f>
        <v>18518.16</v>
      </c>
      <c r="T570" s="66">
        <f>(T207+T208)*'OLD Formulas'!$C$3</f>
        <v>17218.64</v>
      </c>
      <c r="U570" s="66">
        <f>(U207+U208)*'OLD Formulas'!$C$3</f>
        <v>18355.72</v>
      </c>
      <c r="V570" s="66">
        <f>(V207+V208)*'OLD Formulas'!$C$3</f>
        <v>21442.08</v>
      </c>
      <c r="W570" s="66">
        <f>(W207+W208)*'OLD Formulas'!$C$3</f>
        <v>32244.34</v>
      </c>
      <c r="X570" s="66">
        <f>(X207+X208)*'OLD Formulas'!$C$3</f>
        <v>34437.28</v>
      </c>
      <c r="Y570" s="66">
        <f>(Y207+Y208)*'OLD Formulas'!$C$3</f>
        <v>111515.06</v>
      </c>
      <c r="Z570" s="66">
        <f>(Z207+Z208)*'OLD Formulas'!$C$3</f>
        <v>73747.76</v>
      </c>
      <c r="AA570" s="66">
        <f>(AA207+AA208)*'OLD Formulas'!$C$3</f>
        <v>49950.3</v>
      </c>
      <c r="AB570" s="66">
        <f>(AB207+AB208)*'OLD Formulas'!$C$3</f>
        <v>69524.32</v>
      </c>
      <c r="AC570" s="66">
        <f>(AC207+AC208)*'OLD Formulas'!$C$3</f>
        <v>53361.54</v>
      </c>
      <c r="AD570" s="66">
        <f>(AD207+AD208)*'OLD Formulas'!$C$3</f>
        <v>6172.72</v>
      </c>
      <c r="AE570" s="66">
        <f>(AE207+AE208)*'OLD Formulas'!$C$3</f>
        <v>5847.84</v>
      </c>
      <c r="AF570" s="66">
        <f>(AF207+AF208)*'OLD Formulas'!$C$3</f>
        <v>0</v>
      </c>
      <c r="AG570" s="623">
        <f t="shared" si="208"/>
        <v>745437.16</v>
      </c>
    </row>
    <row r="571">
      <c r="A571" s="928" t="s">
        <v>1221</v>
      </c>
      <c r="B571" s="66">
        <f>(B570)*'OLD Formulas'!$L$5</f>
        <v>895.4505</v>
      </c>
      <c r="C571" s="66">
        <f>(C570)*'OLD Formulas'!$L$5</f>
        <v>938.091</v>
      </c>
      <c r="D571" s="66">
        <f>(D570)*'OLD Formulas'!$L$5</f>
        <v>907.6335</v>
      </c>
      <c r="E571" s="66">
        <f>(E570)*'OLD Formulas'!$L$5</f>
        <v>1139.1105</v>
      </c>
      <c r="F571" s="66">
        <f>(F570)*'OLD Formulas'!$L$5</f>
        <v>1455.8685</v>
      </c>
      <c r="G571" s="66">
        <f>(G570)*'OLD Formulas'!$L$5</f>
        <v>1126.9275</v>
      </c>
      <c r="H571" s="66">
        <f>(H570)*'OLD Formulas'!$L$5</f>
        <v>1017.2805</v>
      </c>
      <c r="I571" s="66">
        <f>(I570)*'OLD Formulas'!$L$5</f>
        <v>877.176</v>
      </c>
      <c r="J571" s="66">
        <f>(J570)*'OLD Formulas'!$L$5</f>
        <v>1059.921</v>
      </c>
      <c r="K571" s="66">
        <f>(K570)*'OLD Formulas'!$L$5</f>
        <v>1078.1955</v>
      </c>
      <c r="L571" s="66">
        <f>(L570)*'OLD Formulas'!$L$5</f>
        <v>1017.2805</v>
      </c>
      <c r="M571" s="66">
        <f>(M570)*'OLD Formulas'!$L$5</f>
        <v>1120.836</v>
      </c>
      <c r="N571" s="66">
        <f>(N570)*'OLD Formulas'!$L$5</f>
        <v>944.1825</v>
      </c>
      <c r="O571" s="66">
        <f>(O570)*'OLD Formulas'!$L$5</f>
        <v>931.9995</v>
      </c>
      <c r="P571" s="66">
        <f>(P570)*'OLD Formulas'!$L$5</f>
        <v>950.274</v>
      </c>
      <c r="Q571" s="66">
        <f>(Q570)*'OLD Formulas'!$L$5</f>
        <v>889.359</v>
      </c>
      <c r="R571" s="66">
        <f>(R570)*'OLD Formulas'!$L$5</f>
        <v>1133.019</v>
      </c>
      <c r="S571" s="66">
        <f>(S570)*'OLD Formulas'!$L$5</f>
        <v>1388.862</v>
      </c>
      <c r="T571" s="66">
        <f>(T570)*'OLD Formulas'!$L$5</f>
        <v>1291.398</v>
      </c>
      <c r="U571" s="66">
        <f>(U570)*'OLD Formulas'!$L$5</f>
        <v>1376.679</v>
      </c>
      <c r="V571" s="66">
        <f>(V570)*'OLD Formulas'!$L$5</f>
        <v>1608.156</v>
      </c>
      <c r="W571" s="66">
        <f>(W570)*'OLD Formulas'!$L$5</f>
        <v>2418.3255</v>
      </c>
      <c r="X571" s="66">
        <f>(X570)*'OLD Formulas'!$L$5</f>
        <v>2582.796</v>
      </c>
      <c r="Y571" s="66">
        <f>(Y570)*'OLD Formulas'!$L$5</f>
        <v>8363.6295</v>
      </c>
      <c r="Z571" s="66">
        <f>(Z570)*'OLD Formulas'!$L$5</f>
        <v>5531.082</v>
      </c>
      <c r="AA571" s="66">
        <f>(AA570)*'OLD Formulas'!$L$5</f>
        <v>3746.2725</v>
      </c>
      <c r="AB571" s="66">
        <f>(AB570)*'OLD Formulas'!$L$5</f>
        <v>5214.324</v>
      </c>
      <c r="AC571" s="66">
        <f>(AC570)*'OLD Formulas'!$L$5</f>
        <v>4002.1155</v>
      </c>
      <c r="AD571" s="66">
        <f>(AD570)*'OLD Formulas'!$L$5</f>
        <v>462.954</v>
      </c>
      <c r="AE571" s="66">
        <f>(AE570)*'OLD Formulas'!$L$5</f>
        <v>438.588</v>
      </c>
      <c r="AF571" s="66">
        <f>(AF570)*'OLD Formulas'!$L$5</f>
        <v>0</v>
      </c>
      <c r="AG571" s="623">
        <f t="shared" si="208"/>
        <v>55907.787</v>
      </c>
    </row>
    <row r="572">
      <c r="A572" s="926" t="s">
        <v>1224</v>
      </c>
      <c r="B572" s="66">
        <f>(B209+B210)*'OLD Formulas'!$C$4</f>
        <v>25792.62</v>
      </c>
      <c r="C572" s="66">
        <f>(C209+C210)*'OLD Formulas'!$C$4</f>
        <v>25792.62</v>
      </c>
      <c r="D572" s="66">
        <f>(D209+D210)*'OLD Formulas'!$C$4</f>
        <v>26886.3</v>
      </c>
      <c r="E572" s="66">
        <f>(E209+E210)*'OLD Formulas'!$C$4</f>
        <v>28253.4</v>
      </c>
      <c r="F572" s="66">
        <f>(F209+F210)*'OLD Formulas'!$C$4</f>
        <v>32354.7</v>
      </c>
      <c r="G572" s="66">
        <f>(G209+G210)*'OLD Formulas'!$C$4</f>
        <v>31443.3</v>
      </c>
      <c r="H572" s="66">
        <f>(H209+H210)*'OLD Formulas'!$C$4</f>
        <v>29893.92</v>
      </c>
      <c r="I572" s="66">
        <f>(I209+I210)*'OLD Formulas'!$C$4</f>
        <v>30531.9</v>
      </c>
      <c r="J572" s="66">
        <f>(J209+J210)*'OLD Formulas'!$C$4</f>
        <v>31899</v>
      </c>
      <c r="K572" s="66">
        <f>(K209+K210)*'OLD Formulas'!$C$4</f>
        <v>30896.46</v>
      </c>
      <c r="L572" s="66">
        <f>(L209+L210)*'OLD Formulas'!$C$4</f>
        <v>45752.28</v>
      </c>
      <c r="M572" s="66">
        <f>(M209+M210)*'OLD Formulas'!$C$4</f>
        <v>42744.66</v>
      </c>
      <c r="N572" s="66">
        <f>(N209+N210)*'OLD Formulas'!$C$4</f>
        <v>32810.4</v>
      </c>
      <c r="O572" s="66">
        <f>(O209+O210)*'OLD Formulas'!$C$4</f>
        <v>39372.48</v>
      </c>
      <c r="P572" s="66">
        <f>(P209+P210)*'OLD Formulas'!$C$4</f>
        <v>35635.74</v>
      </c>
      <c r="Q572" s="66">
        <f>(Q209+Q210)*'OLD Formulas'!$C$4</f>
        <v>32628.12</v>
      </c>
      <c r="R572" s="66">
        <f>(R209+R210)*'OLD Formulas'!$C$4</f>
        <v>32628.12</v>
      </c>
      <c r="S572" s="66">
        <f>(S209+S210)*'OLD Formulas'!$C$4</f>
        <v>43838.34</v>
      </c>
      <c r="T572" s="66">
        <f>(T209+T210)*'OLD Formulas'!$C$4</f>
        <v>46025.7</v>
      </c>
      <c r="U572" s="66">
        <f>(U209+U210)*'OLD Formulas'!$C$4</f>
        <v>48486.48</v>
      </c>
      <c r="V572" s="66">
        <f>(V209+V210)*'OLD Formulas'!$C$4</f>
        <v>47848.5</v>
      </c>
      <c r="W572" s="66">
        <f>(W209+W210)*'OLD Formulas'!$C$4</f>
        <v>70451.22</v>
      </c>
      <c r="X572" s="66">
        <f>(X209+X210)*'OLD Formulas'!$C$4</f>
        <v>84577.92</v>
      </c>
      <c r="Y572" s="66">
        <f>(Y209+Y210)*'OLD Formulas'!$C$4</f>
        <v>228670.26</v>
      </c>
      <c r="Z572" s="66">
        <f>(Z209+Z210)*'OLD Formulas'!$C$4</f>
        <v>136618.86</v>
      </c>
      <c r="AA572" s="66">
        <f>(AA209+AA210)*'OLD Formulas'!$C$4</f>
        <v>103535.04</v>
      </c>
      <c r="AB572" s="66">
        <f>(AB209+AB210)*'OLD Formulas'!$C$4</f>
        <v>174897.66</v>
      </c>
      <c r="AC572" s="66">
        <f>(AC209+AC210)*'OLD Formulas'!$C$4</f>
        <v>109914.84</v>
      </c>
      <c r="AD572" s="66">
        <f>(AD209+AD210)*'OLD Formulas'!$C$4</f>
        <v>18228</v>
      </c>
      <c r="AE572" s="66">
        <f>(AE209+AE210)*'OLD Formulas'!$C$4</f>
        <v>15311.52</v>
      </c>
      <c r="AF572" s="66">
        <f>(AF209+AF210)*'OLD Formulas'!$C$4</f>
        <v>0</v>
      </c>
      <c r="AG572" s="623">
        <f t="shared" si="208"/>
        <v>1683720.36</v>
      </c>
    </row>
    <row r="573">
      <c r="A573" s="928" t="s">
        <v>1227</v>
      </c>
      <c r="B573" s="66">
        <f>(B572)*'OLD Formulas'!$L$5</f>
        <v>1934.4465</v>
      </c>
      <c r="C573" s="66">
        <f>(C572)*'OLD Formulas'!$L$5</f>
        <v>1934.4465</v>
      </c>
      <c r="D573" s="66">
        <f>(D572)*'OLD Formulas'!$L$5</f>
        <v>2016.4725</v>
      </c>
      <c r="E573" s="66">
        <f>(E572)*'OLD Formulas'!$L$5</f>
        <v>2119.005</v>
      </c>
      <c r="F573" s="66">
        <f>(F572)*'OLD Formulas'!$L$5</f>
        <v>2426.6025</v>
      </c>
      <c r="G573" s="66">
        <f>(G572)*'OLD Formulas'!$L$5</f>
        <v>2358.2475</v>
      </c>
      <c r="H573" s="66">
        <f>(H572)*'OLD Formulas'!$L$5</f>
        <v>2242.044</v>
      </c>
      <c r="I573" s="66">
        <f>(I572)*'OLD Formulas'!$L$5</f>
        <v>2289.8925</v>
      </c>
      <c r="J573" s="66">
        <f>(J572)*'OLD Formulas'!$L$5</f>
        <v>2392.425</v>
      </c>
      <c r="K573" s="66">
        <f>(K572)*'OLD Formulas'!$L$5</f>
        <v>2317.2345</v>
      </c>
      <c r="L573" s="66">
        <f>(L572)*'OLD Formulas'!$L$5</f>
        <v>3431.421</v>
      </c>
      <c r="M573" s="66">
        <f>(M572)*'OLD Formulas'!$L$5</f>
        <v>3205.8495</v>
      </c>
      <c r="N573" s="66">
        <f>(N572)*'OLD Formulas'!$L$5</f>
        <v>2460.78</v>
      </c>
      <c r="O573" s="66">
        <f>(O572)*'OLD Formulas'!$L$5</f>
        <v>2952.936</v>
      </c>
      <c r="P573" s="66">
        <f>(P572)*'OLD Formulas'!$L$5</f>
        <v>2672.6805</v>
      </c>
      <c r="Q573" s="66">
        <f>(Q572)*'OLD Formulas'!$L$5</f>
        <v>2447.109</v>
      </c>
      <c r="R573" s="66">
        <f>(R572)*'OLD Formulas'!$L$5</f>
        <v>2447.109</v>
      </c>
      <c r="S573" s="66">
        <f>(S572)*'OLD Formulas'!$L$5</f>
        <v>3287.8755</v>
      </c>
      <c r="T573" s="66">
        <f>(T572)*'OLD Formulas'!$L$5</f>
        <v>3451.9275</v>
      </c>
      <c r="U573" s="66">
        <f>(U572)*'OLD Formulas'!$L$5</f>
        <v>3636.486</v>
      </c>
      <c r="V573" s="66">
        <f>(V572)*'OLD Formulas'!$L$5</f>
        <v>3588.6375</v>
      </c>
      <c r="W573" s="66">
        <f>(W572)*'OLD Formulas'!$L$5</f>
        <v>5283.8415</v>
      </c>
      <c r="X573" s="66">
        <f>(X572)*'OLD Formulas'!$L$5</f>
        <v>6343.344</v>
      </c>
      <c r="Y573" s="66">
        <f>(Y572)*'OLD Formulas'!$L$5</f>
        <v>17150.2695</v>
      </c>
      <c r="Z573" s="66">
        <f>(Z572)*'OLD Formulas'!$L$5</f>
        <v>10246.4145</v>
      </c>
      <c r="AA573" s="66">
        <f>(AA572)*'OLD Formulas'!$L$5</f>
        <v>7765.128</v>
      </c>
      <c r="AB573" s="66">
        <f>(AB572)*'OLD Formulas'!$L$5</f>
        <v>13117.3245</v>
      </c>
      <c r="AC573" s="66">
        <f>(AC572)*'OLD Formulas'!$L$5</f>
        <v>8243.613</v>
      </c>
      <c r="AD573" s="66">
        <f>(AD572)*'OLD Formulas'!$L$5</f>
        <v>1367.1</v>
      </c>
      <c r="AE573" s="66">
        <f>(AE572)*'OLD Formulas'!$L$5</f>
        <v>1148.364</v>
      </c>
      <c r="AF573" s="66">
        <f>(AF572)*'OLD Formulas'!$L$5</f>
        <v>0</v>
      </c>
      <c r="AG573" s="623">
        <f t="shared" si="208"/>
        <v>126279.027</v>
      </c>
    </row>
    <row r="574">
      <c r="A574" s="926" t="s">
        <v>1233</v>
      </c>
      <c r="B574" s="66">
        <f>B214*'OLD Formulas'!$C$7</f>
        <v>0</v>
      </c>
      <c r="C574" s="66">
        <f>C214*'OLD Formulas'!$C$7</f>
        <v>0</v>
      </c>
      <c r="D574" s="66">
        <f>D214*'OLD Formulas'!$C$7</f>
        <v>0</v>
      </c>
      <c r="E574" s="66">
        <f>E214*'OLD Formulas'!$C$7</f>
        <v>0</v>
      </c>
      <c r="F574" s="66">
        <f>F214*'OLD Formulas'!$C$7</f>
        <v>0</v>
      </c>
      <c r="G574" s="66">
        <f>G214*'OLD Formulas'!$C$7</f>
        <v>0</v>
      </c>
      <c r="H574" s="66">
        <f>H214*'OLD Formulas'!$C$7</f>
        <v>0</v>
      </c>
      <c r="I574" s="66">
        <f>I214*'OLD Formulas'!$C$7</f>
        <v>0</v>
      </c>
      <c r="J574" s="66">
        <f>J214*'OLD Formulas'!$C$7</f>
        <v>0</v>
      </c>
      <c r="K574" s="66">
        <f>K214*'OLD Formulas'!$C$7</f>
        <v>0</v>
      </c>
      <c r="L574" s="66">
        <f>L214*'OLD Formulas'!$C$7</f>
        <v>0</v>
      </c>
      <c r="M574" s="66">
        <f>M214*'OLD Formulas'!$C$7</f>
        <v>0</v>
      </c>
      <c r="N574" s="66">
        <f>N214*'OLD Formulas'!$C$7</f>
        <v>0</v>
      </c>
      <c r="O574" s="66">
        <f>O214*'OLD Formulas'!$C$7</f>
        <v>0</v>
      </c>
      <c r="P574" s="66">
        <f>P214*'OLD Formulas'!$C$7</f>
        <v>0</v>
      </c>
      <c r="Q574" s="66">
        <f>Q214*'OLD Formulas'!$C$7</f>
        <v>0</v>
      </c>
      <c r="R574" s="66">
        <f>R214*'OLD Formulas'!$C$7</f>
        <v>0</v>
      </c>
      <c r="S574" s="66">
        <f>S214*'OLD Formulas'!$C$7</f>
        <v>0</v>
      </c>
      <c r="T574" s="66">
        <f>T214*'OLD Formulas'!$C$7</f>
        <v>0</v>
      </c>
      <c r="U574" s="66">
        <f>U214*'OLD Formulas'!$C$7</f>
        <v>0</v>
      </c>
      <c r="V574" s="66">
        <f>V214*'OLD Formulas'!$C$7</f>
        <v>0</v>
      </c>
      <c r="W574" s="66">
        <f>W214*'OLD Formulas'!$C$7</f>
        <v>0</v>
      </c>
      <c r="X574" s="66">
        <f>X214*'OLD Formulas'!$C$7</f>
        <v>0</v>
      </c>
      <c r="Y574" s="66">
        <f>Y214*'OLD Formulas'!$C$7</f>
        <v>0</v>
      </c>
      <c r="Z574" s="66">
        <f>Z214*'OLD Formulas'!$C$7</f>
        <v>0</v>
      </c>
      <c r="AA574" s="66">
        <f>AA214*'OLD Formulas'!$C$7</f>
        <v>0</v>
      </c>
      <c r="AB574" s="66">
        <f>AB214*'OLD Formulas'!$C$7</f>
        <v>0</v>
      </c>
      <c r="AC574" s="66">
        <f>AC214*'OLD Formulas'!$C$7</f>
        <v>0</v>
      </c>
      <c r="AD574" s="66">
        <f>AD214*'OLD Formulas'!$C$7</f>
        <v>0</v>
      </c>
      <c r="AE574" s="66">
        <f>AE214*'OLD Formulas'!$C$7</f>
        <v>0</v>
      </c>
      <c r="AF574" s="66">
        <f>AF214*'OLD Formulas'!$C$7</f>
        <v>0</v>
      </c>
      <c r="AG574" s="623">
        <f t="shared" si="208"/>
        <v>0</v>
      </c>
    </row>
    <row r="575">
      <c r="A575" s="928" t="s">
        <v>1235</v>
      </c>
      <c r="B575" s="66">
        <f>B574*'OLD Formulas'!$L$5</f>
        <v>0</v>
      </c>
      <c r="C575" s="66">
        <f>C574*'OLD Formulas'!$L$5</f>
        <v>0</v>
      </c>
      <c r="D575" s="66">
        <f>D574*'OLD Formulas'!$L$5</f>
        <v>0</v>
      </c>
      <c r="E575" s="66">
        <f>E574*'OLD Formulas'!$L$5</f>
        <v>0</v>
      </c>
      <c r="F575" s="66">
        <f>F574*'OLD Formulas'!$L$5</f>
        <v>0</v>
      </c>
      <c r="G575" s="66">
        <f>G574*'OLD Formulas'!$L$5</f>
        <v>0</v>
      </c>
      <c r="H575" s="66">
        <f>H574*'OLD Formulas'!$L$5</f>
        <v>0</v>
      </c>
      <c r="I575" s="66">
        <f>I574*'OLD Formulas'!$L$5</f>
        <v>0</v>
      </c>
      <c r="J575" s="66">
        <f>J574*'OLD Formulas'!$L$5</f>
        <v>0</v>
      </c>
      <c r="K575" s="66">
        <f>K574*'OLD Formulas'!$L$5</f>
        <v>0</v>
      </c>
      <c r="L575" s="66">
        <f>L574*'OLD Formulas'!$L$5</f>
        <v>0</v>
      </c>
      <c r="M575" s="66">
        <f>M574*'OLD Formulas'!$L$5</f>
        <v>0</v>
      </c>
      <c r="N575" s="66">
        <f>N574*'OLD Formulas'!$L$5</f>
        <v>0</v>
      </c>
      <c r="O575" s="66">
        <f>O574*'OLD Formulas'!$L$5</f>
        <v>0</v>
      </c>
      <c r="P575" s="66">
        <f>P574*'OLD Formulas'!$L$5</f>
        <v>0</v>
      </c>
      <c r="Q575" s="66">
        <f>Q574*'OLD Formulas'!$L$5</f>
        <v>0</v>
      </c>
      <c r="R575" s="66">
        <f>R574*'OLD Formulas'!$L$5</f>
        <v>0</v>
      </c>
      <c r="S575" s="66">
        <f>S574*'OLD Formulas'!$L$5</f>
        <v>0</v>
      </c>
      <c r="T575" s="66">
        <f>T574*'OLD Formulas'!$L$5</f>
        <v>0</v>
      </c>
      <c r="U575" s="66">
        <f>U574*'OLD Formulas'!$L$5</f>
        <v>0</v>
      </c>
      <c r="V575" s="66">
        <f>V574*'OLD Formulas'!$L$5</f>
        <v>0</v>
      </c>
      <c r="W575" s="66">
        <f>W574*'OLD Formulas'!$L$5</f>
        <v>0</v>
      </c>
      <c r="X575" s="66">
        <f>X574*'OLD Formulas'!$L$5</f>
        <v>0</v>
      </c>
      <c r="Y575" s="66">
        <f>Y574*'OLD Formulas'!$L$5</f>
        <v>0</v>
      </c>
      <c r="Z575" s="66">
        <f>Z574*'OLD Formulas'!$L$5</f>
        <v>0</v>
      </c>
      <c r="AA575" s="66">
        <f>AA574*'OLD Formulas'!$L$5</f>
        <v>0</v>
      </c>
      <c r="AB575" s="66">
        <f>AB574*'OLD Formulas'!$L$5</f>
        <v>0</v>
      </c>
      <c r="AC575" s="66">
        <f>AC574*'OLD Formulas'!$L$5</f>
        <v>0</v>
      </c>
      <c r="AD575" s="66">
        <f>AD574*'OLD Formulas'!$L$5</f>
        <v>0</v>
      </c>
      <c r="AE575" s="66">
        <f>AE574*'OLD Formulas'!$L$5</f>
        <v>0</v>
      </c>
      <c r="AF575" s="66">
        <f>AF574*'OLD Formulas'!$L$5</f>
        <v>0</v>
      </c>
      <c r="AG575" s="623">
        <f t="shared" si="208"/>
        <v>0</v>
      </c>
    </row>
    <row r="576">
      <c r="A576" s="928" t="s">
        <v>1236</v>
      </c>
      <c r="B576" s="66">
        <f>B574*'OLD Formulas'!$L$4</f>
        <v>0</v>
      </c>
      <c r="C576" s="66">
        <f>C574*'OLD Formulas'!$L$4</f>
        <v>0</v>
      </c>
      <c r="D576" s="66">
        <f>D574*'OLD Formulas'!$L$4</f>
        <v>0</v>
      </c>
      <c r="E576" s="66">
        <f>E574*'OLD Formulas'!$L$4</f>
        <v>0</v>
      </c>
      <c r="F576" s="66">
        <f>F574*'OLD Formulas'!$L$4</f>
        <v>0</v>
      </c>
      <c r="G576" s="66">
        <f>G574*'OLD Formulas'!$L$4</f>
        <v>0</v>
      </c>
      <c r="H576" s="66">
        <f>H574*'OLD Formulas'!$L$4</f>
        <v>0</v>
      </c>
      <c r="I576" s="66">
        <f>I574*'OLD Formulas'!$L$4</f>
        <v>0</v>
      </c>
      <c r="J576" s="66">
        <f>J574*'OLD Formulas'!$L$4</f>
        <v>0</v>
      </c>
      <c r="K576" s="66">
        <f>K574*'OLD Formulas'!$L$4</f>
        <v>0</v>
      </c>
      <c r="L576" s="66">
        <f>L574*'OLD Formulas'!$L$4</f>
        <v>0</v>
      </c>
      <c r="M576" s="66">
        <f>M574*'OLD Formulas'!$L$4</f>
        <v>0</v>
      </c>
      <c r="N576" s="66">
        <f>N574*'OLD Formulas'!$L$4</f>
        <v>0</v>
      </c>
      <c r="O576" s="66">
        <f>O574*'OLD Formulas'!$L$4</f>
        <v>0</v>
      </c>
      <c r="P576" s="66">
        <f>P574*'OLD Formulas'!$L$4</f>
        <v>0</v>
      </c>
      <c r="Q576" s="66">
        <f>Q574*'OLD Formulas'!$L$4</f>
        <v>0</v>
      </c>
      <c r="R576" s="66">
        <f>R574*'OLD Formulas'!$L$4</f>
        <v>0</v>
      </c>
      <c r="S576" s="66">
        <f>S574*'OLD Formulas'!$L$4</f>
        <v>0</v>
      </c>
      <c r="T576" s="66">
        <f>T574*'OLD Formulas'!$L$4</f>
        <v>0</v>
      </c>
      <c r="U576" s="66">
        <f>U574*'OLD Formulas'!$L$4</f>
        <v>0</v>
      </c>
      <c r="V576" s="66">
        <f>V574*'OLD Formulas'!$L$4</f>
        <v>0</v>
      </c>
      <c r="W576" s="66">
        <f>W574*'OLD Formulas'!$L$4</f>
        <v>0</v>
      </c>
      <c r="X576" s="66">
        <f>X574*'OLD Formulas'!$L$4</f>
        <v>0</v>
      </c>
      <c r="Y576" s="66">
        <f>Y574*'OLD Formulas'!$L$4</f>
        <v>0</v>
      </c>
      <c r="Z576" s="66">
        <f>Z574*'OLD Formulas'!$L$4</f>
        <v>0</v>
      </c>
      <c r="AA576" s="66">
        <f>AA574*'OLD Formulas'!$L$4</f>
        <v>0</v>
      </c>
      <c r="AB576" s="66">
        <f>AB574*'OLD Formulas'!$L$4</f>
        <v>0</v>
      </c>
      <c r="AC576" s="66">
        <f>AC574*'OLD Formulas'!$L$4</f>
        <v>0</v>
      </c>
      <c r="AD576" s="66">
        <f>AD574*'OLD Formulas'!$L$4</f>
        <v>0</v>
      </c>
      <c r="AE576" s="66">
        <f>AE574*'OLD Formulas'!$L$4</f>
        <v>0</v>
      </c>
      <c r="AF576" s="66">
        <f>AF574*'OLD Formulas'!$L$4</f>
        <v>0</v>
      </c>
      <c r="AG576" s="623">
        <f t="shared" si="208"/>
        <v>0</v>
      </c>
    </row>
    <row r="577">
      <c r="A577" s="926" t="s">
        <v>1237</v>
      </c>
      <c r="B577" s="66">
        <f>B213*'OLD Formulas'!$C$6</f>
        <v>359.89</v>
      </c>
      <c r="C577" s="66">
        <f>C213*'OLD Formulas'!$C$6</f>
        <v>483.14</v>
      </c>
      <c r="D577" s="66">
        <f>D213*'OLD Formulas'!$C$6</f>
        <v>423.98</v>
      </c>
      <c r="E577" s="66">
        <f>E213*'OLD Formulas'!$C$6</f>
        <v>562.02</v>
      </c>
      <c r="F577" s="66">
        <f>F213*'OLD Formulas'!$C$6</f>
        <v>621.18</v>
      </c>
      <c r="G577" s="66">
        <f>G213*'OLD Formulas'!$C$6</f>
        <v>621.18</v>
      </c>
      <c r="H577" s="66">
        <f>H213*'OLD Formulas'!$C$6</f>
        <v>601.46</v>
      </c>
      <c r="I577" s="66">
        <f>I213*'OLD Formulas'!$C$6</f>
        <v>557.09</v>
      </c>
      <c r="J577" s="66">
        <f>J213*'OLD Formulas'!$C$6</f>
        <v>670.48</v>
      </c>
      <c r="K577" s="66">
        <f>K213*'OLD Formulas'!$C$6</f>
        <v>675.41</v>
      </c>
      <c r="L577" s="66">
        <f>L213*'OLD Formulas'!$C$6</f>
        <v>995.86</v>
      </c>
      <c r="M577" s="66">
        <f>M213*'OLD Formulas'!$C$6</f>
        <v>995.86</v>
      </c>
      <c r="N577" s="66">
        <f>N213*'OLD Formulas'!$C$6</f>
        <v>635.97</v>
      </c>
      <c r="O577" s="66">
        <f>O213*'OLD Formulas'!$C$6</f>
        <v>739.5</v>
      </c>
      <c r="P577" s="66">
        <f>P213*'OLD Formulas'!$C$6</f>
        <v>695.13</v>
      </c>
      <c r="Q577" s="66">
        <f>Q213*'OLD Formulas'!$C$6</f>
        <v>635.97</v>
      </c>
      <c r="R577" s="66">
        <f>R213*'OLD Formulas'!$C$6</f>
        <v>655.69</v>
      </c>
      <c r="S577" s="66">
        <f>S213*'OLD Formulas'!$C$6</f>
        <v>783.87</v>
      </c>
      <c r="T577" s="66">
        <f>T213*'OLD Formulas'!$C$6</f>
        <v>1483.93</v>
      </c>
      <c r="U577" s="66">
        <f>U213*'OLD Formulas'!$C$6</f>
        <v>926.84</v>
      </c>
      <c r="V577" s="66">
        <f>V213*'OLD Formulas'!$C$6</f>
        <v>892.33</v>
      </c>
      <c r="W577" s="66">
        <f>W213*'OLD Formulas'!$C$6</f>
        <v>1360.68</v>
      </c>
      <c r="X577" s="66">
        <f>X213*'OLD Formulas'!$C$6</f>
        <v>1641.69</v>
      </c>
      <c r="Y577" s="66">
        <f>Y213*'OLD Formulas'!$C$6</f>
        <v>3815.82</v>
      </c>
      <c r="Z577" s="66">
        <f>Z213*'OLD Formulas'!$C$6</f>
        <v>2307.24</v>
      </c>
      <c r="AA577" s="66">
        <f>AA213*'OLD Formulas'!$C$6</f>
        <v>1888.19</v>
      </c>
      <c r="AB577" s="66">
        <f>AB213*'OLD Formulas'!$C$6</f>
        <v>2750.94</v>
      </c>
      <c r="AC577" s="66">
        <f>AC213*'OLD Formulas'!$C$6</f>
        <v>1676.2</v>
      </c>
      <c r="AD577" s="66">
        <f>AD213*'OLD Formulas'!$C$6</f>
        <v>399.33</v>
      </c>
      <c r="AE577" s="66">
        <f>AE213*'OLD Formulas'!$C$6</f>
        <v>345.1</v>
      </c>
      <c r="AF577" s="66">
        <f>AF213*'OLD Formulas'!$C$6</f>
        <v>0</v>
      </c>
      <c r="AG577" s="623">
        <f t="shared" si="208"/>
        <v>31201.97</v>
      </c>
    </row>
    <row r="578">
      <c r="A578" s="928" t="s">
        <v>1238</v>
      </c>
      <c r="B578" s="66">
        <f>B577*'OLD Formulas'!$L$5</f>
        <v>26.99175</v>
      </c>
      <c r="C578" s="66">
        <f>C577*'OLD Formulas'!$L$5</f>
        <v>36.2355</v>
      </c>
      <c r="D578" s="66">
        <f>D577*'OLD Formulas'!$L$5</f>
        <v>31.7985</v>
      </c>
      <c r="E578" s="66">
        <f>E577*'OLD Formulas'!$L$5</f>
        <v>42.1515</v>
      </c>
      <c r="F578" s="66">
        <f>F577*'OLD Formulas'!$L$5</f>
        <v>46.5885</v>
      </c>
      <c r="G578" s="66">
        <f>G577*'OLD Formulas'!$L$5</f>
        <v>46.5885</v>
      </c>
      <c r="H578" s="66">
        <f>H577*'OLD Formulas'!$L$5</f>
        <v>45.1095</v>
      </c>
      <c r="I578" s="66">
        <f>I577*'OLD Formulas'!$L$5</f>
        <v>41.78175</v>
      </c>
      <c r="J578" s="66">
        <f>J577*'OLD Formulas'!$L$5</f>
        <v>50.286</v>
      </c>
      <c r="K578" s="66">
        <f>K577*'OLD Formulas'!$L$5</f>
        <v>50.65575</v>
      </c>
      <c r="L578" s="66">
        <f>L577*'OLD Formulas'!$L$5</f>
        <v>74.6895</v>
      </c>
      <c r="M578" s="66">
        <f>M577*'OLD Formulas'!$L$5</f>
        <v>74.6895</v>
      </c>
      <c r="N578" s="66">
        <f>N577*'OLD Formulas'!$L$5</f>
        <v>47.69775</v>
      </c>
      <c r="O578" s="66">
        <f>O577*'OLD Formulas'!$L$5</f>
        <v>55.4625</v>
      </c>
      <c r="P578" s="66">
        <f>P577*'OLD Formulas'!$L$5</f>
        <v>52.13475</v>
      </c>
      <c r="Q578" s="66">
        <f>Q577*'OLD Formulas'!$L$5</f>
        <v>47.69775</v>
      </c>
      <c r="R578" s="66">
        <f>R577*'OLD Formulas'!$L$5</f>
        <v>49.17675</v>
      </c>
      <c r="S578" s="66">
        <f>S577*'OLD Formulas'!$L$5</f>
        <v>58.79025</v>
      </c>
      <c r="T578" s="66">
        <f>T577*'OLD Formulas'!$L$5</f>
        <v>111.29475</v>
      </c>
      <c r="U578" s="66">
        <f>U577*'OLD Formulas'!$L$5</f>
        <v>69.513</v>
      </c>
      <c r="V578" s="66">
        <f>V577*'OLD Formulas'!$L$5</f>
        <v>66.92475</v>
      </c>
      <c r="W578" s="66">
        <f>W577*'OLD Formulas'!$L$5</f>
        <v>102.051</v>
      </c>
      <c r="X578" s="66">
        <f>X577*'OLD Formulas'!$L$5</f>
        <v>123.12675</v>
      </c>
      <c r="Y578" s="66">
        <f>Y577*'OLD Formulas'!$L$5</f>
        <v>286.1865</v>
      </c>
      <c r="Z578" s="66">
        <f>Z577*'OLD Formulas'!$L$5</f>
        <v>173.043</v>
      </c>
      <c r="AA578" s="66">
        <f>AA577*'OLD Formulas'!$L$5</f>
        <v>141.61425</v>
      </c>
      <c r="AB578" s="66">
        <f>AB577*'OLD Formulas'!$L$5</f>
        <v>206.3205</v>
      </c>
      <c r="AC578" s="66">
        <f>AC577*'OLD Formulas'!$L$5</f>
        <v>125.715</v>
      </c>
      <c r="AD578" s="66">
        <f>AD577*'OLD Formulas'!$L$5</f>
        <v>29.94975</v>
      </c>
      <c r="AE578" s="66">
        <f>AE577*'OLD Formulas'!$L$5</f>
        <v>25.8825</v>
      </c>
      <c r="AF578" s="66">
        <f>AF577*'OLD Formulas'!$L$5</f>
        <v>0</v>
      </c>
      <c r="AG578" s="623">
        <f t="shared" si="208"/>
        <v>2340.14775</v>
      </c>
    </row>
    <row r="579">
      <c r="A579" s="928" t="s">
        <v>1239</v>
      </c>
      <c r="B579" s="66">
        <f>B577*'OLD Formulas'!$L$4</f>
        <v>12.23626</v>
      </c>
      <c r="C579" s="66">
        <f>C577*'OLD Formulas'!$L$4</f>
        <v>16.42676</v>
      </c>
      <c r="D579" s="66">
        <f>D577*'OLD Formulas'!$L$4</f>
        <v>14.41532</v>
      </c>
      <c r="E579" s="66">
        <f>E577*'OLD Formulas'!$L$4</f>
        <v>19.10868</v>
      </c>
      <c r="F579" s="66">
        <f>F577*'OLD Formulas'!$L$4</f>
        <v>21.12012</v>
      </c>
      <c r="G579" s="66">
        <f>G577*'OLD Formulas'!$L$4</f>
        <v>21.12012</v>
      </c>
      <c r="H579" s="66">
        <f>H577*'OLD Formulas'!$L$4</f>
        <v>20.44964</v>
      </c>
      <c r="I579" s="66">
        <f>I577*'OLD Formulas'!$L$4</f>
        <v>18.94106</v>
      </c>
      <c r="J579" s="66">
        <f>J577*'OLD Formulas'!$L$4</f>
        <v>22.79632</v>
      </c>
      <c r="K579" s="66">
        <f>K577*'OLD Formulas'!$L$4</f>
        <v>22.96394</v>
      </c>
      <c r="L579" s="66">
        <f>L577*'OLD Formulas'!$L$4</f>
        <v>33.85924</v>
      </c>
      <c r="M579" s="66">
        <f>M577*'OLD Formulas'!$L$4</f>
        <v>33.85924</v>
      </c>
      <c r="N579" s="66">
        <f>N577*'OLD Formulas'!$L$4</f>
        <v>21.62298</v>
      </c>
      <c r="O579" s="66">
        <f>O577*'OLD Formulas'!$L$4</f>
        <v>25.143</v>
      </c>
      <c r="P579" s="66">
        <f>P577*'OLD Formulas'!$L$4</f>
        <v>23.63442</v>
      </c>
      <c r="Q579" s="66">
        <f>Q577*'OLD Formulas'!$L$4</f>
        <v>21.62298</v>
      </c>
      <c r="R579" s="66">
        <f>R577*'OLD Formulas'!$L$4</f>
        <v>22.29346</v>
      </c>
      <c r="S579" s="66">
        <f>S577*'OLD Formulas'!$L$4</f>
        <v>26.65158</v>
      </c>
      <c r="T579" s="66">
        <f>T577*'OLD Formulas'!$L$4</f>
        <v>50.45362</v>
      </c>
      <c r="U579" s="66">
        <f>U577*'OLD Formulas'!$L$4</f>
        <v>31.51256</v>
      </c>
      <c r="V579" s="66">
        <f>V577*'OLD Formulas'!$L$4</f>
        <v>30.33922</v>
      </c>
      <c r="W579" s="66">
        <f>W577*'OLD Formulas'!$L$4</f>
        <v>46.26312</v>
      </c>
      <c r="X579" s="66">
        <f>X577*'OLD Formulas'!$L$4</f>
        <v>55.81746</v>
      </c>
      <c r="Y579" s="66">
        <f>Y577*'OLD Formulas'!$L$4</f>
        <v>129.73788</v>
      </c>
      <c r="Z579" s="66">
        <f>Z577*'OLD Formulas'!$L$4</f>
        <v>78.44616</v>
      </c>
      <c r="AA579" s="66">
        <f>AA577*'OLD Formulas'!$L$4</f>
        <v>64.19846</v>
      </c>
      <c r="AB579" s="66">
        <f>AB577*'OLD Formulas'!$L$4</f>
        <v>93.53196</v>
      </c>
      <c r="AC579" s="66">
        <f>AC577*'OLD Formulas'!$L$4</f>
        <v>56.9908</v>
      </c>
      <c r="AD579" s="66">
        <f>AD577*'OLD Formulas'!$L$4</f>
        <v>13.57722</v>
      </c>
      <c r="AE579" s="66">
        <f>AE577*'OLD Formulas'!$L$4</f>
        <v>11.7334</v>
      </c>
      <c r="AF579" s="66">
        <f>AF577*'OLD Formulas'!$L$4</f>
        <v>0</v>
      </c>
      <c r="AG579" s="623">
        <f t="shared" si="208"/>
        <v>1060.86698</v>
      </c>
    </row>
    <row r="580">
      <c r="A580" s="926" t="s">
        <v>1240</v>
      </c>
      <c r="B580" s="66">
        <f>B215*'OLD Formulas'!$C$8</f>
        <v>365.94</v>
      </c>
      <c r="C580" s="66">
        <f>C215*'OLD Formulas'!$C$8</f>
        <v>377.71</v>
      </c>
      <c r="D580" s="66">
        <f>D215*'OLD Formulas'!$C$8</f>
        <v>399.11</v>
      </c>
      <c r="E580" s="66">
        <f>E215*'OLD Formulas'!$C$8</f>
        <v>400.18</v>
      </c>
      <c r="F580" s="66">
        <f>F215*'OLD Formulas'!$C$8</f>
        <v>430.14</v>
      </c>
      <c r="G580" s="66">
        <f>G215*'OLD Formulas'!$C$8</f>
        <v>383.06</v>
      </c>
      <c r="H580" s="66">
        <f>H215*'OLD Formulas'!$C$8</f>
        <v>402.32</v>
      </c>
      <c r="I580" s="66">
        <f>I215*'OLD Formulas'!$C$8</f>
        <v>371.29</v>
      </c>
      <c r="J580" s="66">
        <f>J215*'OLD Formulas'!$C$8</f>
        <v>420.51</v>
      </c>
      <c r="K580" s="66">
        <f>K215*'OLD Formulas'!$C$8</f>
        <v>411.95</v>
      </c>
      <c r="L580" s="66">
        <f>L215*'OLD Formulas'!$C$8</f>
        <v>542.49</v>
      </c>
      <c r="M580" s="66">
        <f>M215*'OLD Formulas'!$C$8</f>
        <v>493.27</v>
      </c>
      <c r="N580" s="66">
        <f>N215*'OLD Formulas'!$C$8</f>
        <v>346.68</v>
      </c>
      <c r="O580" s="66">
        <f>O215*'OLD Formulas'!$C$8</f>
        <v>467.59</v>
      </c>
      <c r="P580" s="66">
        <f>P215*'OLD Formulas'!$C$8</f>
        <v>413.02</v>
      </c>
      <c r="Q580" s="66">
        <f>Q215*'OLD Formulas'!$C$8</f>
        <v>381.99</v>
      </c>
      <c r="R580" s="66">
        <f>R215*'OLD Formulas'!$C$8</f>
        <v>404.46</v>
      </c>
      <c r="S580" s="66">
        <f>S215*'OLD Formulas'!$C$8</f>
        <v>539.28</v>
      </c>
      <c r="T580" s="66">
        <f>T215*'OLD Formulas'!$C$8</f>
        <v>154.08</v>
      </c>
      <c r="U580" s="66">
        <f>U215*'OLD Formulas'!$C$8</f>
        <v>500.76</v>
      </c>
      <c r="V580" s="66">
        <f>V215*'OLD Formulas'!$C$8</f>
        <v>568.17</v>
      </c>
      <c r="W580" s="66">
        <f>W215*'OLD Formulas'!$C$8</f>
        <v>881.68</v>
      </c>
      <c r="X580" s="66">
        <f>X215*'OLD Formulas'!$C$8</f>
        <v>1093.54</v>
      </c>
      <c r="Y580" s="66">
        <f>Y215*'OLD Formulas'!$C$8</f>
        <v>2864.39</v>
      </c>
      <c r="Z580" s="66">
        <f>Z215*'OLD Formulas'!$C$8</f>
        <v>1684.18</v>
      </c>
      <c r="AA580" s="66">
        <f>AA215*'OLD Formulas'!$C$8</f>
        <v>1310.75</v>
      </c>
      <c r="AB580" s="66">
        <f>AB215*'OLD Formulas'!$C$8</f>
        <v>1861.8</v>
      </c>
      <c r="AC580" s="66">
        <f>AC215*'OLD Formulas'!$C$8</f>
        <v>1038.97</v>
      </c>
      <c r="AD580" s="66">
        <f>AD215*'OLD Formulas'!$C$8</f>
        <v>-9.63</v>
      </c>
      <c r="AE580" s="66">
        <f>AE215*'OLD Formulas'!$C$8</f>
        <v>-6.42</v>
      </c>
      <c r="AF580" s="66">
        <f>AF215*'OLD Formulas'!$C$8</f>
        <v>0</v>
      </c>
      <c r="AG580" s="623">
        <f t="shared" si="208"/>
        <v>19493.26</v>
      </c>
    </row>
    <row r="581">
      <c r="A581" s="928" t="s">
        <v>1241</v>
      </c>
      <c r="B581" s="66">
        <f>B580*'OLD Formulas'!$L$5</f>
        <v>27.4455</v>
      </c>
      <c r="C581" s="66">
        <f>C580*'OLD Formulas'!$L$5</f>
        <v>28.32825</v>
      </c>
      <c r="D581" s="66">
        <f>D580*'OLD Formulas'!$L$5</f>
        <v>29.93325</v>
      </c>
      <c r="E581" s="66">
        <f>E580*'OLD Formulas'!$L$5</f>
        <v>30.0135</v>
      </c>
      <c r="F581" s="66">
        <f>F580*'OLD Formulas'!$L$5</f>
        <v>32.2605</v>
      </c>
      <c r="G581" s="66">
        <f>G580*'OLD Formulas'!$L$5</f>
        <v>28.7295</v>
      </c>
      <c r="H581" s="66">
        <f>H580*'OLD Formulas'!$L$5</f>
        <v>30.174</v>
      </c>
      <c r="I581" s="66">
        <f>I580*'OLD Formulas'!$L$5</f>
        <v>27.84675</v>
      </c>
      <c r="J581" s="66">
        <f>J580*'OLD Formulas'!$L$5</f>
        <v>31.53825</v>
      </c>
      <c r="K581" s="66">
        <f>K580*'OLD Formulas'!$L$5</f>
        <v>30.89625</v>
      </c>
      <c r="L581" s="66">
        <f>L580*'OLD Formulas'!$L$5</f>
        <v>40.68675</v>
      </c>
      <c r="M581" s="66">
        <f>M580*'OLD Formulas'!$L$5</f>
        <v>36.99525</v>
      </c>
      <c r="N581" s="66">
        <f>N580*'OLD Formulas'!$L$5</f>
        <v>26.001</v>
      </c>
      <c r="O581" s="66">
        <f>O580*'OLD Formulas'!$L$5</f>
        <v>35.06925</v>
      </c>
      <c r="P581" s="66">
        <f>P580*'OLD Formulas'!$L$5</f>
        <v>30.9765</v>
      </c>
      <c r="Q581" s="66">
        <f>Q580*'OLD Formulas'!$L$5</f>
        <v>28.64925</v>
      </c>
      <c r="R581" s="66">
        <f>R580*'OLD Formulas'!$L$5</f>
        <v>30.3345</v>
      </c>
      <c r="S581" s="66">
        <f>S580*'OLD Formulas'!$L$5</f>
        <v>40.446</v>
      </c>
      <c r="T581" s="66">
        <f>T580*'OLD Formulas'!$L$5</f>
        <v>11.556</v>
      </c>
      <c r="U581" s="66">
        <f>U580*'OLD Formulas'!$L$5</f>
        <v>37.557</v>
      </c>
      <c r="V581" s="66">
        <f>V580*'OLD Formulas'!$L$5</f>
        <v>42.61275</v>
      </c>
      <c r="W581" s="66">
        <f>W580*'OLD Formulas'!$L$5</f>
        <v>66.126</v>
      </c>
      <c r="X581" s="66">
        <f>X580*'OLD Formulas'!$L$5</f>
        <v>82.0155</v>
      </c>
      <c r="Y581" s="66">
        <f>Y580*'OLD Formulas'!$L$5</f>
        <v>214.82925</v>
      </c>
      <c r="Z581" s="66">
        <f>Z580*'OLD Formulas'!$L$5</f>
        <v>126.3135</v>
      </c>
      <c r="AA581" s="66">
        <f>AA580*'OLD Formulas'!$L$5</f>
        <v>98.30625</v>
      </c>
      <c r="AB581" s="66">
        <f>AB580*'OLD Formulas'!$L$5</f>
        <v>139.635</v>
      </c>
      <c r="AC581" s="66">
        <f>AC580*'OLD Formulas'!$L$5</f>
        <v>77.92275</v>
      </c>
      <c r="AD581" s="66">
        <f>AD580*'OLD Formulas'!$L$5</f>
        <v>-0.72225</v>
      </c>
      <c r="AE581" s="66">
        <f>AE580*'OLD Formulas'!$L$5</f>
        <v>-0.4815</v>
      </c>
      <c r="AF581" s="66">
        <f>AF580*'OLD Formulas'!$L$5</f>
        <v>0</v>
      </c>
      <c r="AG581" s="623">
        <f t="shared" si="208"/>
        <v>1461.9945</v>
      </c>
    </row>
    <row r="582">
      <c r="A582" s="928" t="s">
        <v>1242</v>
      </c>
      <c r="B582" s="66">
        <f>B580*'OLD Formulas'!$L$4</f>
        <v>12.44196</v>
      </c>
      <c r="C582" s="66">
        <f>C580*'OLD Formulas'!$L$4</f>
        <v>12.84214</v>
      </c>
      <c r="D582" s="66">
        <f>D580*'OLD Formulas'!$L$4</f>
        <v>13.56974</v>
      </c>
      <c r="E582" s="66">
        <f>E580*'OLD Formulas'!$L$4</f>
        <v>13.60612</v>
      </c>
      <c r="F582" s="66">
        <f>F580*'OLD Formulas'!$L$4</f>
        <v>14.62476</v>
      </c>
      <c r="G582" s="66">
        <f>G580*'OLD Formulas'!$L$4</f>
        <v>13.02404</v>
      </c>
      <c r="H582" s="66">
        <f>H580*'OLD Formulas'!$L$4</f>
        <v>13.67888</v>
      </c>
      <c r="I582" s="66">
        <f>I580*'OLD Formulas'!$L$4</f>
        <v>12.62386</v>
      </c>
      <c r="J582" s="66">
        <f>J580*'OLD Formulas'!$L$4</f>
        <v>14.29734</v>
      </c>
      <c r="K582" s="66">
        <f>K580*'OLD Formulas'!$L$4</f>
        <v>14.0063</v>
      </c>
      <c r="L582" s="66">
        <f>L580*'OLD Formulas'!$L$4</f>
        <v>18.44466</v>
      </c>
      <c r="M582" s="66">
        <f>M580*'OLD Formulas'!$L$4</f>
        <v>16.77118</v>
      </c>
      <c r="N582" s="66">
        <f>N580*'OLD Formulas'!$L$4</f>
        <v>11.78712</v>
      </c>
      <c r="O582" s="66">
        <f>O580*'OLD Formulas'!$L$4</f>
        <v>15.89806</v>
      </c>
      <c r="P582" s="66">
        <f>P580*'OLD Formulas'!$L$4</f>
        <v>14.04268</v>
      </c>
      <c r="Q582" s="66">
        <f>Q580*'OLD Formulas'!$L$4</f>
        <v>12.98766</v>
      </c>
      <c r="R582" s="66">
        <f>R580*'OLD Formulas'!$L$4</f>
        <v>13.75164</v>
      </c>
      <c r="S582" s="66">
        <f>S580*'OLD Formulas'!$L$4</f>
        <v>18.33552</v>
      </c>
      <c r="T582" s="66">
        <f>T580*'OLD Formulas'!$L$4</f>
        <v>5.23872</v>
      </c>
      <c r="U582" s="66">
        <f>U580*'OLD Formulas'!$L$4</f>
        <v>17.02584</v>
      </c>
      <c r="V582" s="66">
        <f>V580*'OLD Formulas'!$L$4</f>
        <v>19.31778</v>
      </c>
      <c r="W582" s="66">
        <f>W580*'OLD Formulas'!$L$4</f>
        <v>29.97712</v>
      </c>
      <c r="X582" s="66">
        <f>X580*'OLD Formulas'!$L$4</f>
        <v>37.18036</v>
      </c>
      <c r="Y582" s="66">
        <f>Y580*'OLD Formulas'!$L$4</f>
        <v>97.38926</v>
      </c>
      <c r="Z582" s="66">
        <f>Z580*'OLD Formulas'!$L$4</f>
        <v>57.26212</v>
      </c>
      <c r="AA582" s="66">
        <f>AA580*'OLD Formulas'!$L$4</f>
        <v>44.5655</v>
      </c>
      <c r="AB582" s="66">
        <f>AB580*'OLD Formulas'!$L$4</f>
        <v>63.3012</v>
      </c>
      <c r="AC582" s="66">
        <f>AC580*'OLD Formulas'!$L$4</f>
        <v>35.32498</v>
      </c>
      <c r="AD582" s="66">
        <f>AD580*'OLD Formulas'!$L$4</f>
        <v>-0.32742</v>
      </c>
      <c r="AE582" s="66">
        <f>AE580*'OLD Formulas'!$L$4</f>
        <v>-0.21828</v>
      </c>
      <c r="AF582" s="66">
        <f>AF580*'OLD Formulas'!$L$4</f>
        <v>0</v>
      </c>
      <c r="AG582" s="623">
        <f t="shared" si="208"/>
        <v>662.77084</v>
      </c>
    </row>
    <row r="583">
      <c r="A583" s="926" t="s">
        <v>1243</v>
      </c>
      <c r="B583" s="66">
        <f>(B216+B217)*'OLD Formulas'!$C$9</f>
        <v>257.14</v>
      </c>
      <c r="C583" s="66">
        <f>(C216+C217)*'OLD Formulas'!$C$9</f>
        <v>669.76</v>
      </c>
      <c r="D583" s="66">
        <f>(D216+D217)*'OLD Formulas'!$C$9</f>
        <v>478.4</v>
      </c>
      <c r="E583" s="66">
        <f>(E216+E217)*'OLD Formulas'!$C$9</f>
        <v>478.4</v>
      </c>
      <c r="F583" s="66">
        <f>(F216+F217)*'OLD Formulas'!$C$9</f>
        <v>275.08</v>
      </c>
      <c r="G583" s="66">
        <f>(G216+G217)*'OLD Formulas'!$C$9</f>
        <v>358.8</v>
      </c>
      <c r="H583" s="66">
        <f>(H216+H217)*'OLD Formulas'!$C$9</f>
        <v>382.72</v>
      </c>
      <c r="I583" s="66">
        <f>(I216+I217)*'OLD Formulas'!$C$9</f>
        <v>592.02</v>
      </c>
      <c r="J583" s="66">
        <f>(J216+J217)*'OLD Formulas'!$C$9</f>
        <v>382.72</v>
      </c>
      <c r="K583" s="66">
        <f>(K216+K217)*'OLD Formulas'!$C$9</f>
        <v>287.04</v>
      </c>
      <c r="L583" s="66">
        <f>(L216+L217)*'OLD Formulas'!$C$9</f>
        <v>544.18</v>
      </c>
      <c r="M583" s="66">
        <f>(M216+M217)*'OLD Formulas'!$C$9</f>
        <v>550.16</v>
      </c>
      <c r="N583" s="66">
        <f>(N216+N217)*'OLD Formulas'!$C$9</f>
        <v>352.82</v>
      </c>
      <c r="O583" s="66">
        <f>(O216+O217)*'OLD Formulas'!$C$9</f>
        <v>412.62</v>
      </c>
      <c r="P583" s="66">
        <f>(P216+P217)*'OLD Formulas'!$C$9</f>
        <v>358.8</v>
      </c>
      <c r="Q583" s="66">
        <f>(Q216+Q217)*'OLD Formulas'!$C$9</f>
        <v>382.72</v>
      </c>
      <c r="R583" s="66">
        <f>(R216+R217)*'OLD Formulas'!$C$9</f>
        <v>370.76</v>
      </c>
      <c r="S583" s="66">
        <f>(S216+S217)*'OLD Formulas'!$C$9</f>
        <v>406.64</v>
      </c>
      <c r="T583" s="66">
        <f>(T216+T217)*'OLD Formulas'!$C$9</f>
        <v>544.18</v>
      </c>
      <c r="U583" s="66">
        <f>(U216+U217)*'OLD Formulas'!$C$9</f>
        <v>544.18</v>
      </c>
      <c r="V583" s="66">
        <f>(V216+V217)*'OLD Formulas'!$C$9</f>
        <v>514.28</v>
      </c>
      <c r="W583" s="66">
        <f>(W216+W217)*'OLD Formulas'!$C$9</f>
        <v>729.56</v>
      </c>
      <c r="X583" s="66">
        <f>(X216+X217)*'OLD Formulas'!$C$9</f>
        <v>950.82</v>
      </c>
      <c r="Y583" s="66">
        <f>(Y216+Y217)*'OLD Formulas'!$C$9</f>
        <v>2457.78</v>
      </c>
      <c r="Z583" s="66">
        <f>(Z216+Z217)*'OLD Formulas'!$C$9</f>
        <v>1148.16</v>
      </c>
      <c r="AA583" s="66">
        <f>(AA216+AA217)*'OLD Formulas'!$C$9</f>
        <v>1094.34</v>
      </c>
      <c r="AB583" s="66">
        <f>(AB216+AB217)*'OLD Formulas'!$C$9</f>
        <v>1471.08</v>
      </c>
      <c r="AC583" s="66">
        <f>(AC216+AC217)*'OLD Formulas'!$C$9</f>
        <v>783.38</v>
      </c>
      <c r="AD583" s="66">
        <f>(AD216+AD217)*'OLD Formulas'!$C$9</f>
        <v>221.26</v>
      </c>
      <c r="AE583" s="66">
        <f>(AE216+AE217)*'OLD Formulas'!$C$9</f>
        <v>263.12</v>
      </c>
      <c r="AF583" s="66">
        <f>(AF216+AF217)*'OLD Formulas'!$C$9</f>
        <v>0</v>
      </c>
      <c r="AG583" s="623">
        <f t="shared" si="208"/>
        <v>18262.92</v>
      </c>
    </row>
    <row r="584">
      <c r="A584" s="928" t="s">
        <v>1244</v>
      </c>
      <c r="B584" s="66">
        <f>B583*'OLD Formulas'!$L$5</f>
        <v>19.2855</v>
      </c>
      <c r="C584" s="66">
        <f>C583*'OLD Formulas'!$L$5</f>
        <v>50.232</v>
      </c>
      <c r="D584" s="66">
        <f>D583*'OLD Formulas'!$L$5</f>
        <v>35.88</v>
      </c>
      <c r="E584" s="66">
        <f>E583*'OLD Formulas'!$L$5</f>
        <v>35.88</v>
      </c>
      <c r="F584" s="66">
        <f>F583*'OLD Formulas'!$L$5</f>
        <v>20.631</v>
      </c>
      <c r="G584" s="66">
        <f>G583*'OLD Formulas'!$L$5</f>
        <v>26.91</v>
      </c>
      <c r="H584" s="66">
        <f>H583*'OLD Formulas'!$L$5</f>
        <v>28.704</v>
      </c>
      <c r="I584" s="66">
        <f>I583*'OLD Formulas'!$L$5</f>
        <v>44.4015</v>
      </c>
      <c r="J584" s="66">
        <f>J583*'OLD Formulas'!$L$5</f>
        <v>28.704</v>
      </c>
      <c r="K584" s="66">
        <f>K583*'OLD Formulas'!$L$5</f>
        <v>21.528</v>
      </c>
      <c r="L584" s="66">
        <f>L583*'OLD Formulas'!$L$5</f>
        <v>40.8135</v>
      </c>
      <c r="M584" s="66">
        <f>M583*'OLD Formulas'!$L$5</f>
        <v>41.262</v>
      </c>
      <c r="N584" s="66">
        <f>N583*'OLD Formulas'!$L$5</f>
        <v>26.4615</v>
      </c>
      <c r="O584" s="66">
        <f>O583*'OLD Formulas'!$L$5</f>
        <v>30.9465</v>
      </c>
      <c r="P584" s="66">
        <f>P583*'OLD Formulas'!$L$5</f>
        <v>26.91</v>
      </c>
      <c r="Q584" s="66">
        <f>Q583*'OLD Formulas'!$L$5</f>
        <v>28.704</v>
      </c>
      <c r="R584" s="66">
        <f>R583*'OLD Formulas'!$L$5</f>
        <v>27.807</v>
      </c>
      <c r="S584" s="66">
        <f>S583*'OLD Formulas'!$L$5</f>
        <v>30.498</v>
      </c>
      <c r="T584" s="66">
        <f>T583*'OLD Formulas'!$L$5</f>
        <v>40.8135</v>
      </c>
      <c r="U584" s="66">
        <f>U583*'OLD Formulas'!$L$5</f>
        <v>40.8135</v>
      </c>
      <c r="V584" s="66">
        <f>V583*'OLD Formulas'!$L$5</f>
        <v>38.571</v>
      </c>
      <c r="W584" s="66">
        <f>W583*'OLD Formulas'!$L$5</f>
        <v>54.717</v>
      </c>
      <c r="X584" s="66">
        <f>X583*'OLD Formulas'!$L$5</f>
        <v>71.3115</v>
      </c>
      <c r="Y584" s="66">
        <f>Y583*'OLD Formulas'!$L$5</f>
        <v>184.3335</v>
      </c>
      <c r="Z584" s="66">
        <f>Z583*'OLD Formulas'!$L$5</f>
        <v>86.112</v>
      </c>
      <c r="AA584" s="66">
        <f>AA583*'OLD Formulas'!$L$5</f>
        <v>82.0755</v>
      </c>
      <c r="AB584" s="66">
        <f>AB583*'OLD Formulas'!$L$5</f>
        <v>110.331</v>
      </c>
      <c r="AC584" s="66">
        <f>AC583*'OLD Formulas'!$L$5</f>
        <v>58.7535</v>
      </c>
      <c r="AD584" s="66">
        <f>AD583*'OLD Formulas'!$L$5</f>
        <v>16.5945</v>
      </c>
      <c r="AE584" s="66">
        <f>AE583*'OLD Formulas'!$L$5</f>
        <v>19.734</v>
      </c>
      <c r="AF584" s="66">
        <f>AF583*'OLD Formulas'!$L$5</f>
        <v>0</v>
      </c>
      <c r="AG584" s="623">
        <f t="shared" si="208"/>
        <v>1369.719</v>
      </c>
    </row>
    <row r="585">
      <c r="A585" s="928" t="s">
        <v>1245</v>
      </c>
      <c r="B585" s="66">
        <f>B583*'OLD Formulas'!$L$4</f>
        <v>8.74276</v>
      </c>
      <c r="C585" s="66">
        <f>C583*'OLD Formulas'!$L$4</f>
        <v>22.77184</v>
      </c>
      <c r="D585" s="66">
        <f>D583*'OLD Formulas'!$L$4</f>
        <v>16.2656</v>
      </c>
      <c r="E585" s="66">
        <f>E583*'OLD Formulas'!$L$4</f>
        <v>16.2656</v>
      </c>
      <c r="F585" s="66">
        <f>F583*'OLD Formulas'!$L$4</f>
        <v>9.35272</v>
      </c>
      <c r="G585" s="66">
        <f>G583*'OLD Formulas'!$L$4</f>
        <v>12.1992</v>
      </c>
      <c r="H585" s="66">
        <f>H583*'OLD Formulas'!$L$4</f>
        <v>13.01248</v>
      </c>
      <c r="I585" s="66">
        <f>I583*'OLD Formulas'!$L$4</f>
        <v>20.12868</v>
      </c>
      <c r="J585" s="66">
        <f>J583*'OLD Formulas'!$L$4</f>
        <v>13.01248</v>
      </c>
      <c r="K585" s="66">
        <f>K583*'OLD Formulas'!$L$4</f>
        <v>9.75936</v>
      </c>
      <c r="L585" s="66">
        <f>L583*'OLD Formulas'!$L$4</f>
        <v>18.50212</v>
      </c>
      <c r="M585" s="66">
        <f>M583*'OLD Formulas'!$L$4</f>
        <v>18.70544</v>
      </c>
      <c r="N585" s="66">
        <f>N583*'OLD Formulas'!$L$4</f>
        <v>11.99588</v>
      </c>
      <c r="O585" s="66">
        <f>O583*'OLD Formulas'!$L$4</f>
        <v>14.02908</v>
      </c>
      <c r="P585" s="66">
        <f>P583*'OLD Formulas'!$L$4</f>
        <v>12.1992</v>
      </c>
      <c r="Q585" s="66">
        <f>Q583*'OLD Formulas'!$L$4</f>
        <v>13.01248</v>
      </c>
      <c r="R585" s="66">
        <f>R583*'OLD Formulas'!$L$4</f>
        <v>12.60584</v>
      </c>
      <c r="S585" s="66">
        <f>S583*'OLD Formulas'!$L$4</f>
        <v>13.82576</v>
      </c>
      <c r="T585" s="66">
        <f>T583*'OLD Formulas'!$L$4</f>
        <v>18.50212</v>
      </c>
      <c r="U585" s="66">
        <f>U583*'OLD Formulas'!$L$4</f>
        <v>18.50212</v>
      </c>
      <c r="V585" s="66">
        <f>V583*'OLD Formulas'!$L$4</f>
        <v>17.48552</v>
      </c>
      <c r="W585" s="66">
        <f>W583*'OLD Formulas'!$L$4</f>
        <v>24.80504</v>
      </c>
      <c r="X585" s="66">
        <f>X583*'OLD Formulas'!$L$4</f>
        <v>32.32788</v>
      </c>
      <c r="Y585" s="66">
        <f>Y583*'OLD Formulas'!$L$4</f>
        <v>83.56452</v>
      </c>
      <c r="Z585" s="66">
        <f>Z583*'OLD Formulas'!$L$4</f>
        <v>39.03744</v>
      </c>
      <c r="AA585" s="66">
        <f>AA583*'OLD Formulas'!$L$4</f>
        <v>37.20756</v>
      </c>
      <c r="AB585" s="66">
        <f>AB583*'OLD Formulas'!$L$4</f>
        <v>50.01672</v>
      </c>
      <c r="AC585" s="66">
        <f>AC583*'OLD Formulas'!$L$4</f>
        <v>26.63492</v>
      </c>
      <c r="AD585" s="66">
        <f>AD583*'OLD Formulas'!$L$4</f>
        <v>7.52284</v>
      </c>
      <c r="AE585" s="66">
        <f>AE583*'OLD Formulas'!$L$4</f>
        <v>8.94608</v>
      </c>
      <c r="AF585" s="66">
        <f>AF583*'OLD Formulas'!$L$4</f>
        <v>0</v>
      </c>
      <c r="AG585" s="623">
        <f t="shared" si="208"/>
        <v>620.93928</v>
      </c>
    </row>
    <row r="586">
      <c r="A586" s="926" t="s">
        <v>1246</v>
      </c>
      <c r="B586" s="66">
        <f>(B218+B219)*'OLD Formulas'!$C$5</f>
        <v>168</v>
      </c>
      <c r="C586" s="66">
        <f>(C218+C219)*'OLD Formulas'!$C$5</f>
        <v>147</v>
      </c>
      <c r="D586" s="66">
        <f>(D218+D219)*'OLD Formulas'!$C$5</f>
        <v>157.5</v>
      </c>
      <c r="E586" s="66">
        <f>(E218+E219)*'OLD Formulas'!$C$5</f>
        <v>178.5</v>
      </c>
      <c r="F586" s="66">
        <f>(F218+F219)*'OLD Formulas'!$C$5</f>
        <v>220.5</v>
      </c>
      <c r="G586" s="66">
        <f>(G218+G219)*'OLD Formulas'!$C$5</f>
        <v>157.5</v>
      </c>
      <c r="H586" s="66">
        <f>(H218+H219)*'OLD Formulas'!$C$5</f>
        <v>115.5</v>
      </c>
      <c r="I586" s="66">
        <f>(I218+I219)*'OLD Formulas'!$C$5</f>
        <v>136.5</v>
      </c>
      <c r="J586" s="66">
        <f>(J218+J219)*'OLD Formulas'!$C$5</f>
        <v>136.5</v>
      </c>
      <c r="K586" s="66">
        <f>(K218+K219)*'OLD Formulas'!$C$5</f>
        <v>168</v>
      </c>
      <c r="L586" s="66">
        <f>(L218+L219)*'OLD Formulas'!$C$5</f>
        <v>105</v>
      </c>
      <c r="M586" s="66">
        <f>(M218+M219)*'OLD Formulas'!$C$5</f>
        <v>52.5</v>
      </c>
      <c r="N586" s="66">
        <f>(N218+N219)*'OLD Formulas'!$C$5</f>
        <v>147</v>
      </c>
      <c r="O586" s="66">
        <f>(O218+O219)*'OLD Formulas'!$C$5</f>
        <v>115.5</v>
      </c>
      <c r="P586" s="66">
        <f>(P218+P219)*'OLD Formulas'!$C$5</f>
        <v>126</v>
      </c>
      <c r="Q586" s="66">
        <f>(Q218+Q219)*'OLD Formulas'!$C$5</f>
        <v>157.5</v>
      </c>
      <c r="R586" s="66">
        <f>(R218+R219)*'OLD Formulas'!$C$5</f>
        <v>105</v>
      </c>
      <c r="S586" s="66">
        <f>(S218+S219)*'OLD Formulas'!$C$5</f>
        <v>147</v>
      </c>
      <c r="T586" s="66">
        <f>(T218+T219)*'OLD Formulas'!$C$5</f>
        <v>94.5</v>
      </c>
      <c r="U586" s="66">
        <f>(U218+U219)*'OLD Formulas'!$C$5</f>
        <v>157.5</v>
      </c>
      <c r="V586" s="66">
        <f>(V218+V219)*'OLD Formulas'!$C$5</f>
        <v>178.5</v>
      </c>
      <c r="W586" s="66">
        <f>(W218+W219)*'OLD Formulas'!$C$5</f>
        <v>420</v>
      </c>
      <c r="X586" s="66">
        <f>(X218+X219)*'OLD Formulas'!$C$5</f>
        <v>388.5</v>
      </c>
      <c r="Y586" s="66">
        <f>(Y218+Y219)*'OLD Formulas'!$C$5</f>
        <v>1165.5</v>
      </c>
      <c r="Z586" s="66">
        <f>(Z218+Z219)*'OLD Formulas'!$C$5</f>
        <v>525</v>
      </c>
      <c r="AA586" s="66">
        <f>(AA218+AA219)*'OLD Formulas'!$C$5</f>
        <v>588</v>
      </c>
      <c r="AB586" s="66">
        <f>(AB218+AB219)*'OLD Formulas'!$C$5</f>
        <v>546</v>
      </c>
      <c r="AC586" s="66">
        <f>(AC218+AC219)*'OLD Formulas'!$C$5</f>
        <v>346.5</v>
      </c>
      <c r="AD586" s="66">
        <f>(AD218+AD219)*'OLD Formulas'!$C$5</f>
        <v>105</v>
      </c>
      <c r="AE586" s="66">
        <f>(AE218+AE219)*'OLD Formulas'!$C$5</f>
        <v>105</v>
      </c>
      <c r="AF586" s="66">
        <f>(AF218+AF219)*'OLD Formulas'!$C$5</f>
        <v>0</v>
      </c>
      <c r="AG586" s="623">
        <f t="shared" si="208"/>
        <v>7161</v>
      </c>
    </row>
    <row r="587">
      <c r="A587" s="928" t="s">
        <v>1247</v>
      </c>
      <c r="B587" s="66">
        <f>B586*'OLD Formulas'!$L$8</f>
        <v>12.6</v>
      </c>
      <c r="C587" s="66">
        <f>C586*'OLD Formulas'!$L$8</f>
        <v>11.025</v>
      </c>
      <c r="D587" s="66">
        <f>D586*'OLD Formulas'!$L$8</f>
        <v>11.8125</v>
      </c>
      <c r="E587" s="66">
        <f>E586*'OLD Formulas'!$L$8</f>
        <v>13.3875</v>
      </c>
      <c r="F587" s="66">
        <f>F586*'OLD Formulas'!$L$8</f>
        <v>16.5375</v>
      </c>
      <c r="G587" s="66">
        <f>G586*'OLD Formulas'!$L$8</f>
        <v>11.8125</v>
      </c>
      <c r="H587" s="66">
        <f>H586*'OLD Formulas'!$L$8</f>
        <v>8.6625</v>
      </c>
      <c r="I587" s="66">
        <f>I586*'OLD Formulas'!$L$8</f>
        <v>10.2375</v>
      </c>
      <c r="J587" s="66">
        <f>J586*'OLD Formulas'!$L$8</f>
        <v>10.2375</v>
      </c>
      <c r="K587" s="66">
        <f>K586*'OLD Formulas'!$L$8</f>
        <v>12.6</v>
      </c>
      <c r="L587" s="66">
        <f>L586*'OLD Formulas'!$L$8</f>
        <v>7.875</v>
      </c>
      <c r="M587" s="66">
        <f>M586*'OLD Formulas'!$L$8</f>
        <v>3.9375</v>
      </c>
      <c r="N587" s="66">
        <f>N586*'OLD Formulas'!$L$8</f>
        <v>11.025</v>
      </c>
      <c r="O587" s="66">
        <f>O586*'OLD Formulas'!$L$8</f>
        <v>8.6625</v>
      </c>
      <c r="P587" s="66">
        <f>P586*'OLD Formulas'!$L$8</f>
        <v>9.45</v>
      </c>
      <c r="Q587" s="66">
        <f>Q586*'OLD Formulas'!$L$8</f>
        <v>11.8125</v>
      </c>
      <c r="R587" s="66">
        <f>R586*'OLD Formulas'!$L$8</f>
        <v>7.875</v>
      </c>
      <c r="S587" s="66">
        <f>S586*'OLD Formulas'!$L$8</f>
        <v>11.025</v>
      </c>
      <c r="T587" s="66">
        <f>T586*'OLD Formulas'!$L$8</f>
        <v>7.0875</v>
      </c>
      <c r="U587" s="66">
        <f>U586*'OLD Formulas'!$L$8</f>
        <v>11.8125</v>
      </c>
      <c r="V587" s="66">
        <f>V586*'OLD Formulas'!$L$8</f>
        <v>13.3875</v>
      </c>
      <c r="W587" s="66">
        <f>W586*'OLD Formulas'!$L$8</f>
        <v>31.5</v>
      </c>
      <c r="X587" s="66">
        <f>X586*'OLD Formulas'!$L$8</f>
        <v>29.1375</v>
      </c>
      <c r="Y587" s="66">
        <f>Y586*'OLD Formulas'!$L$8</f>
        <v>87.4125</v>
      </c>
      <c r="Z587" s="66">
        <f>Z586*'OLD Formulas'!$L$8</f>
        <v>39.375</v>
      </c>
      <c r="AA587" s="66">
        <f>AA586*'OLD Formulas'!$L$8</f>
        <v>44.1</v>
      </c>
      <c r="AB587" s="66">
        <f>AB586*'OLD Formulas'!$L$8</f>
        <v>40.95</v>
      </c>
      <c r="AC587" s="66">
        <f>AC586*'OLD Formulas'!$L$8</f>
        <v>25.9875</v>
      </c>
      <c r="AD587" s="66">
        <f>AD586*'OLD Formulas'!$L$8</f>
        <v>7.875</v>
      </c>
      <c r="AE587" s="66">
        <f>AE586*'OLD Formulas'!$L$8</f>
        <v>7.875</v>
      </c>
      <c r="AF587" s="66">
        <f>AF586*'OLD Formulas'!$L$8</f>
        <v>0</v>
      </c>
      <c r="AG587" s="623">
        <f t="shared" si="208"/>
        <v>537.075</v>
      </c>
    </row>
    <row r="588">
      <c r="A588" s="928" t="s">
        <v>1248</v>
      </c>
      <c r="B588" s="66">
        <f>B586*'OLD Formulas'!$L$9</f>
        <v>4.2</v>
      </c>
      <c r="C588" s="66">
        <f>C586*'OLD Formulas'!$L$9</f>
        <v>3.675</v>
      </c>
      <c r="D588" s="66">
        <f>D586*'OLD Formulas'!$L$9</f>
        <v>3.9375</v>
      </c>
      <c r="E588" s="66">
        <f>E586*'OLD Formulas'!$L$9</f>
        <v>4.4625</v>
      </c>
      <c r="F588" s="66">
        <f>F586*'OLD Formulas'!$L$9</f>
        <v>5.5125</v>
      </c>
      <c r="G588" s="66">
        <f>G586*'OLD Formulas'!$L$9</f>
        <v>3.9375</v>
      </c>
      <c r="H588" s="66">
        <f>H586*'OLD Formulas'!$L$9</f>
        <v>2.8875</v>
      </c>
      <c r="I588" s="66">
        <f>I586*'OLD Formulas'!$L$9</f>
        <v>3.4125</v>
      </c>
      <c r="J588" s="66">
        <f>J586*'OLD Formulas'!$L$9</f>
        <v>3.4125</v>
      </c>
      <c r="K588" s="66">
        <f>K586*'OLD Formulas'!$L$9</f>
        <v>4.2</v>
      </c>
      <c r="L588" s="66">
        <f>L586*'OLD Formulas'!$L$9</f>
        <v>2.625</v>
      </c>
      <c r="M588" s="66">
        <f>M586*'OLD Formulas'!$L$9</f>
        <v>1.3125</v>
      </c>
      <c r="N588" s="66">
        <f>N586*'OLD Formulas'!$L$9</f>
        <v>3.675</v>
      </c>
      <c r="O588" s="66">
        <f>O586*'OLD Formulas'!$L$9</f>
        <v>2.8875</v>
      </c>
      <c r="P588" s="66">
        <f>P586*'OLD Formulas'!$L$9</f>
        <v>3.15</v>
      </c>
      <c r="Q588" s="66">
        <f>Q586*'OLD Formulas'!$L$9</f>
        <v>3.9375</v>
      </c>
      <c r="R588" s="66">
        <f>R586*'OLD Formulas'!$L$9</f>
        <v>2.625</v>
      </c>
      <c r="S588" s="66">
        <f>S586*'OLD Formulas'!$L$9</f>
        <v>3.675</v>
      </c>
      <c r="T588" s="66">
        <f>T586*'OLD Formulas'!$L$9</f>
        <v>2.3625</v>
      </c>
      <c r="U588" s="66">
        <f>U586*'OLD Formulas'!$L$9</f>
        <v>3.9375</v>
      </c>
      <c r="V588" s="66">
        <f>V586*'OLD Formulas'!$L$9</f>
        <v>4.4625</v>
      </c>
      <c r="W588" s="66">
        <f>W586*'OLD Formulas'!$L$9</f>
        <v>10.5</v>
      </c>
      <c r="X588" s="66">
        <f>X586*'OLD Formulas'!$L$9</f>
        <v>9.7125</v>
      </c>
      <c r="Y588" s="66">
        <f>Y586*'OLD Formulas'!$L$9</f>
        <v>29.1375</v>
      </c>
      <c r="Z588" s="66">
        <f>Z586*'OLD Formulas'!$L$9</f>
        <v>13.125</v>
      </c>
      <c r="AA588" s="66">
        <f>AA586*'OLD Formulas'!$L$9</f>
        <v>14.7</v>
      </c>
      <c r="AB588" s="66">
        <f>AB586*'OLD Formulas'!$L$9</f>
        <v>13.65</v>
      </c>
      <c r="AC588" s="66">
        <f>AC586*'OLD Formulas'!$L$9</f>
        <v>8.6625</v>
      </c>
      <c r="AD588" s="66">
        <f>AD586*'OLD Formulas'!$L$9</f>
        <v>2.625</v>
      </c>
      <c r="AE588" s="66">
        <f>AE586*'OLD Formulas'!$L$9</f>
        <v>2.625</v>
      </c>
      <c r="AF588" s="66">
        <f>AF586*'OLD Formulas'!$L$9</f>
        <v>0</v>
      </c>
      <c r="AG588" s="623">
        <f t="shared" si="208"/>
        <v>179.025</v>
      </c>
    </row>
    <row r="589">
      <c r="A589" s="926" t="s">
        <v>1260</v>
      </c>
      <c r="B589" s="964">
        <f>(B220+B221)*'OLD Formulas'!$C$10</f>
        <v>400</v>
      </c>
      <c r="C589" s="964">
        <f>(C220+C221)*'OLD Formulas'!$C$10</f>
        <v>540</v>
      </c>
      <c r="D589" s="964">
        <f>(D220+D221)*'OLD Formulas'!$C$10</f>
        <v>476</v>
      </c>
      <c r="E589" s="964">
        <f>(E220+E221)*'OLD Formulas'!$C$10</f>
        <v>576</v>
      </c>
      <c r="F589" s="964">
        <f>(F220+F221)*'OLD Formulas'!$C$10</f>
        <v>600</v>
      </c>
      <c r="G589" s="964">
        <f>(G220+G221)*'OLD Formulas'!$C$10</f>
        <v>516</v>
      </c>
      <c r="H589" s="964">
        <f>(H220+H221)*'OLD Formulas'!$C$10</f>
        <v>484</v>
      </c>
      <c r="I589" s="964">
        <f>(I220+I221)*'OLD Formulas'!$C$10</f>
        <v>504</v>
      </c>
      <c r="J589" s="964">
        <f>(J220+J221)*'OLD Formulas'!$C$10</f>
        <v>512</v>
      </c>
      <c r="K589" s="964">
        <f>(K220+K221)*'OLD Formulas'!$C$10</f>
        <v>484</v>
      </c>
      <c r="L589" s="964">
        <f>(L220+L221)*'OLD Formulas'!$C$10</f>
        <v>712</v>
      </c>
      <c r="M589" s="964">
        <f>(M220+M221)*'OLD Formulas'!$C$10</f>
        <v>724</v>
      </c>
      <c r="N589" s="964">
        <f>(N220+N221)*'OLD Formulas'!$C$10</f>
        <v>552</v>
      </c>
      <c r="O589" s="964">
        <f>(O220+O221)*'OLD Formulas'!$C$10</f>
        <v>596</v>
      </c>
      <c r="P589" s="964">
        <f>(P220+P221)*'OLD Formulas'!$C$10</f>
        <v>544</v>
      </c>
      <c r="Q589" s="964">
        <f>(Q220+Q221)*'OLD Formulas'!$C$10</f>
        <v>496</v>
      </c>
      <c r="R589" s="964">
        <f>(R220+R221)*'OLD Formulas'!$C$10</f>
        <v>560</v>
      </c>
      <c r="S589" s="964">
        <f>(S220+S221)*'OLD Formulas'!$C$10</f>
        <v>684</v>
      </c>
      <c r="T589" s="964">
        <f>(T220+T221)*'OLD Formulas'!$C$10</f>
        <v>628</v>
      </c>
      <c r="U589" s="964">
        <f>(U220+U221)*'OLD Formulas'!$C$10</f>
        <v>696</v>
      </c>
      <c r="V589" s="964">
        <f>(V220+V221)*'OLD Formulas'!$C$10</f>
        <v>696</v>
      </c>
      <c r="W589" s="964">
        <f>(W220+W221)*'OLD Formulas'!$C$10</f>
        <v>1192</v>
      </c>
      <c r="X589" s="964">
        <f>(X220+X221)*'OLD Formulas'!$C$10</f>
        <v>1328</v>
      </c>
      <c r="Y589" s="964">
        <f>(Y220+Y221)*'OLD Formulas'!$C$10</f>
        <v>3212</v>
      </c>
      <c r="Z589" s="964">
        <f>(Z220+Z221)*'OLD Formulas'!$C$10</f>
        <v>1812</v>
      </c>
      <c r="AA589" s="964">
        <f>(AA220+AA221)*'OLD Formulas'!$C$10</f>
        <v>1520</v>
      </c>
      <c r="AB589" s="964">
        <f>(AB220+AB221)*'OLD Formulas'!$C$10</f>
        <v>2068</v>
      </c>
      <c r="AC589" s="964">
        <f>(AC220+AC221)*'OLD Formulas'!$C$10</f>
        <v>1332</v>
      </c>
      <c r="AD589" s="964">
        <f>(AD220+AD221)*'OLD Formulas'!$C$10</f>
        <v>364</v>
      </c>
      <c r="AE589" s="964">
        <f>(AE220+AE221)*'OLD Formulas'!$C$10</f>
        <v>348</v>
      </c>
      <c r="AF589" s="964">
        <f>(AF220+AF221)*'OLD Formulas'!$C$10</f>
        <v>0</v>
      </c>
      <c r="AG589" s="623">
        <f t="shared" si="208"/>
        <v>25156</v>
      </c>
    </row>
    <row r="590">
      <c r="A590" s="928" t="s">
        <v>1249</v>
      </c>
      <c r="B590" s="964">
        <f>(B570+B572+B574+B577+B580+B583+B586)*'OLD Formulas'!$L$6</f>
        <v>48.6036625</v>
      </c>
      <c r="C590" s="964">
        <f>(C570+C572+C574+C577+C580+C583+C586)*'OLD Formulas'!$L$6</f>
        <v>49.9726375</v>
      </c>
      <c r="D590" s="964">
        <f>(D570+D572+D574+D577+D580+D583+D586)*'OLD Formulas'!$L$6</f>
        <v>50.5588375</v>
      </c>
      <c r="E590" s="964">
        <f>(E570+E572+E574+E577+E580+E583+E586)*'OLD Formulas'!$L$6</f>
        <v>56.3258</v>
      </c>
      <c r="F590" s="964">
        <f>(F570+F572+F574+F577+F580+F583+F586)*'OLD Formulas'!$L$6</f>
        <v>66.641475</v>
      </c>
      <c r="G590" s="964">
        <f>(G570+G572+G574+G577+G580+G583+G586)*'OLD Formulas'!$L$6</f>
        <v>59.986925</v>
      </c>
      <c r="H590" s="964">
        <f>(H570+H572+H574+H577+H580+H583+H586)*'OLD Formulas'!$L$6</f>
        <v>56.199575</v>
      </c>
      <c r="I590" s="964">
        <f>(I570+I572+I574+I577+I580+I583+I586)*'OLD Formulas'!$L$6</f>
        <v>54.8556</v>
      </c>
      <c r="J590" s="964">
        <f>(J570+J572+J574+J577+J580+J583+J586)*'OLD Formulas'!$L$6</f>
        <v>59.5518625</v>
      </c>
      <c r="K590" s="964">
        <f>(K570+K572+K574+K577+K580+K583+K586)*'OLD Formulas'!$L$6</f>
        <v>58.5185</v>
      </c>
      <c r="L590" s="964">
        <f>(L570+L572+L574+L577+L580+L583+L586)*'OLD Formulas'!$L$6</f>
        <v>76.8794375</v>
      </c>
      <c r="M590" s="964">
        <f>(M570+M572+M574+M577+M580+M583+M586)*'OLD Formulas'!$L$6</f>
        <v>74.7261625</v>
      </c>
      <c r="N590" s="964">
        <f>(N570+N572+N574+N577+N580+N583+N586)*'OLD Formulas'!$L$6</f>
        <v>58.6024625</v>
      </c>
      <c r="O590" s="964">
        <f>(O570+O572+O574+O577+O580+O583+O586)*'OLD Formulas'!$L$6</f>
        <v>66.9179375</v>
      </c>
      <c r="P590" s="964">
        <f>(P570+P572+P574+P577+P580+P583+P586)*'OLD Formulas'!$L$6</f>
        <v>62.3737625</v>
      </c>
      <c r="Q590" s="964">
        <f>(Q570+Q572+Q574+Q577+Q580+Q583+Q586)*'OLD Formulas'!$L$6</f>
        <v>57.555525</v>
      </c>
      <c r="R590" s="964">
        <f>(R570+R572+R574+R577+R580+R583+R586)*'OLD Formulas'!$L$6</f>
        <v>61.5886875</v>
      </c>
      <c r="S590" s="964">
        <f>(S570+S572+S574+S577+S580+S583+S586)*'OLD Formulas'!$L$6</f>
        <v>80.2916125</v>
      </c>
      <c r="T590" s="964">
        <f>(T570+T572+T574+T577+T580+T583+T586)*'OLD Formulas'!$L$6</f>
        <v>81.9012875</v>
      </c>
      <c r="U590" s="964">
        <f>(U570+U572+U574+U577+U580+U583+U586)*'OLD Formulas'!$L$6</f>
        <v>86.21435</v>
      </c>
      <c r="V590" s="964">
        <f>(V570+V572+V574+V577+V580+V583+V586)*'OLD Formulas'!$L$6</f>
        <v>89.304825</v>
      </c>
      <c r="W590" s="964">
        <f>(W570+W572+W574+W577+W580+W583+W586)*'OLD Formulas'!$L$6</f>
        <v>132.60935</v>
      </c>
      <c r="X590" s="964">
        <f>(X570+X572+X574+X577+X580+X583+X586)*'OLD Formulas'!$L$6</f>
        <v>153.8621875</v>
      </c>
      <c r="Y590" s="964">
        <f>(Y570+Y572+Y574+Y577+Y580+Y583+Y586)*'OLD Formulas'!$L$6</f>
        <v>438.1110125</v>
      </c>
      <c r="Z590" s="964">
        <f>(Z570+Z572+Z574+Z577+Z580+Z583+Z586)*'OLD Formulas'!$L$6</f>
        <v>270.039</v>
      </c>
      <c r="AA590" s="964">
        <f>(AA570+AA572+AA574+AA577+AA580+AA583+AA586)*'OLD Formulas'!$L$6</f>
        <v>197.958275</v>
      </c>
      <c r="AB590" s="964">
        <f>(AB570+AB572+AB574+AB577+AB580+AB583+AB586)*'OLD Formulas'!$L$6</f>
        <v>313.81475</v>
      </c>
      <c r="AC590" s="964">
        <f>(AC570+AC572+AC574+AC577+AC580+AC583+AC586)*'OLD Formulas'!$L$6</f>
        <v>208.9017875</v>
      </c>
      <c r="AD590" s="964">
        <f>(AD570+AD572+AD574+AD577+AD580+AD583+AD586)*'OLD Formulas'!$L$6</f>
        <v>31.39585</v>
      </c>
      <c r="AE590" s="964">
        <f>(AE570+AE572+AE574+AE577+AE580+AE583+AE586)*'OLD Formulas'!$L$6</f>
        <v>27.3327</v>
      </c>
      <c r="AF590" s="964">
        <f>(AF570+AF572+AF574+AF577+AF580+AF583+AF586)*'OLD Formulas'!$L$6</f>
        <v>0</v>
      </c>
      <c r="AG590" s="623">
        <f t="shared" si="208"/>
        <v>3131.595838</v>
      </c>
    </row>
    <row r="591">
      <c r="A591" s="928" t="s">
        <v>1250</v>
      </c>
      <c r="B591" s="964">
        <f t="shared" ref="B591:AF591" si="209">$AG591/31</f>
        <v>17.36774194</v>
      </c>
      <c r="C591" s="964">
        <f t="shared" si="209"/>
        <v>17.36774194</v>
      </c>
      <c r="D591" s="964">
        <f t="shared" si="209"/>
        <v>17.36774194</v>
      </c>
      <c r="E591" s="964">
        <f t="shared" si="209"/>
        <v>17.36774194</v>
      </c>
      <c r="F591" s="964">
        <f t="shared" si="209"/>
        <v>17.36774194</v>
      </c>
      <c r="G591" s="964">
        <f t="shared" si="209"/>
        <v>17.36774194</v>
      </c>
      <c r="H591" s="964">
        <f t="shared" si="209"/>
        <v>17.36774194</v>
      </c>
      <c r="I591" s="964">
        <f t="shared" si="209"/>
        <v>17.36774194</v>
      </c>
      <c r="J591" s="964">
        <f t="shared" si="209"/>
        <v>17.36774194</v>
      </c>
      <c r="K591" s="964">
        <f t="shared" si="209"/>
        <v>17.36774194</v>
      </c>
      <c r="L591" s="964">
        <f t="shared" si="209"/>
        <v>17.36774194</v>
      </c>
      <c r="M591" s="964">
        <f t="shared" si="209"/>
        <v>17.36774194</v>
      </c>
      <c r="N591" s="964">
        <f t="shared" si="209"/>
        <v>17.36774194</v>
      </c>
      <c r="O591" s="964">
        <f t="shared" si="209"/>
        <v>17.36774194</v>
      </c>
      <c r="P591" s="964">
        <f t="shared" si="209"/>
        <v>17.36774194</v>
      </c>
      <c r="Q591" s="964">
        <f t="shared" si="209"/>
        <v>17.36774194</v>
      </c>
      <c r="R591" s="964">
        <f t="shared" si="209"/>
        <v>17.36774194</v>
      </c>
      <c r="S591" s="964">
        <f t="shared" si="209"/>
        <v>17.36774194</v>
      </c>
      <c r="T591" s="964">
        <f t="shared" si="209"/>
        <v>17.36774194</v>
      </c>
      <c r="U591" s="964">
        <f t="shared" si="209"/>
        <v>17.36774194</v>
      </c>
      <c r="V591" s="964">
        <f t="shared" si="209"/>
        <v>17.36774194</v>
      </c>
      <c r="W591" s="964">
        <f t="shared" si="209"/>
        <v>17.36774194</v>
      </c>
      <c r="X591" s="964">
        <f t="shared" si="209"/>
        <v>17.36774194</v>
      </c>
      <c r="Y591" s="964">
        <f t="shared" si="209"/>
        <v>17.36774194</v>
      </c>
      <c r="Z591" s="964">
        <f t="shared" si="209"/>
        <v>17.36774194</v>
      </c>
      <c r="AA591" s="964">
        <f t="shared" si="209"/>
        <v>17.36774194</v>
      </c>
      <c r="AB591" s="964">
        <f t="shared" si="209"/>
        <v>17.36774194</v>
      </c>
      <c r="AC591" s="964">
        <f t="shared" si="209"/>
        <v>17.36774194</v>
      </c>
      <c r="AD591" s="964">
        <f t="shared" si="209"/>
        <v>17.36774194</v>
      </c>
      <c r="AE591" s="964">
        <f t="shared" si="209"/>
        <v>17.36774194</v>
      </c>
      <c r="AF591" s="964">
        <f t="shared" si="209"/>
        <v>17.36774194</v>
      </c>
      <c r="AG591" s="966">
        <v>538.4</v>
      </c>
    </row>
    <row r="592">
      <c r="A592" s="976" t="s">
        <v>1264</v>
      </c>
      <c r="B592" s="66">
        <f>(B138*'OLD Formulas'!$L$12*'OLD Formulas'!$L$3)+(B138*'OLD Formulas'!$L$13*'OLD Formulas'!$L$14)</f>
        <v>2835.579342</v>
      </c>
      <c r="C592" s="66">
        <f>(C138*'OLD Formulas'!$L$12*'OLD Formulas'!$L$3)+(C138*'OLD Formulas'!$L$13*'OLD Formulas'!$L$14)</f>
        <v>3030.006855</v>
      </c>
      <c r="D592" s="66">
        <f>(D138*'OLD Formulas'!$L$12*'OLD Formulas'!$L$3)+(D138*'OLD Formulas'!$L$13*'OLD Formulas'!$L$14)</f>
        <v>3016.497162</v>
      </c>
      <c r="E592" s="66">
        <f>(E138*'OLD Formulas'!$L$12*'OLD Formulas'!$L$3)+(E138*'OLD Formulas'!$L$13*'OLD Formulas'!$L$14)</f>
        <v>3277.72516</v>
      </c>
      <c r="F592" s="66">
        <f>(F138*'OLD Formulas'!$L$12*'OLD Formulas'!$L$3)+(F138*'OLD Formulas'!$L$13*'OLD Formulas'!$L$14)</f>
        <v>3679.614091</v>
      </c>
      <c r="G592" s="66">
        <f>(G138*'OLD Formulas'!$L$12*'OLD Formulas'!$L$3)+(G138*'OLD Formulas'!$L$13*'OLD Formulas'!$L$14)</f>
        <v>3465.623598</v>
      </c>
      <c r="H592" s="66">
        <f>(H138*'OLD Formulas'!$L$12*'OLD Formulas'!$L$3)+(H138*'OLD Formulas'!$L$13*'OLD Formulas'!$L$14)</f>
        <v>3228.8735</v>
      </c>
      <c r="I592" s="66">
        <f>(I138*'OLD Formulas'!$L$12*'OLD Formulas'!$L$3)+(I138*'OLD Formulas'!$L$13*'OLD Formulas'!$L$14)</f>
        <v>3308.915892</v>
      </c>
      <c r="J592" s="66">
        <f>(J138*'OLD Formulas'!$L$12*'OLD Formulas'!$L$3)+(J138*'OLD Formulas'!$L$13*'OLD Formulas'!$L$14)</f>
        <v>3523.839503</v>
      </c>
      <c r="K592" s="66">
        <f>(K138*'OLD Formulas'!$L$12*'OLD Formulas'!$L$3)+(K138*'OLD Formulas'!$L$13*'OLD Formulas'!$L$14)</f>
        <v>3471.770554</v>
      </c>
      <c r="L592" s="66">
        <f>(L138*'OLD Formulas'!$L$12*'OLD Formulas'!$L$3)+(L138*'OLD Formulas'!$L$13*'OLD Formulas'!$L$14)</f>
        <v>4575.864354</v>
      </c>
      <c r="M592" s="66">
        <f>(M138*'OLD Formulas'!$L$12*'OLD Formulas'!$L$3)+(M138*'OLD Formulas'!$L$13*'OLD Formulas'!$L$14)</f>
        <v>4512.170958</v>
      </c>
      <c r="N592" s="66">
        <f>(N138*'OLD Formulas'!$L$12*'OLD Formulas'!$L$3)+(N138*'OLD Formulas'!$L$13*'OLD Formulas'!$L$14)</f>
        <v>3703.405444</v>
      </c>
      <c r="O592" s="66">
        <f>(O138*'OLD Formulas'!$L$12*'OLD Formulas'!$L$3)+(O138*'OLD Formulas'!$L$13*'OLD Formulas'!$L$14)</f>
        <v>4023.670337</v>
      </c>
      <c r="P592" s="66">
        <f>(P138*'OLD Formulas'!$L$12*'OLD Formulas'!$L$3)+(P138*'OLD Formulas'!$L$13*'OLD Formulas'!$L$14)</f>
        <v>3731.700672</v>
      </c>
      <c r="Q592" s="66">
        <f>(Q138*'OLD Formulas'!$L$12*'OLD Formulas'!$L$3)+(Q138*'OLD Formulas'!$L$13*'OLD Formulas'!$L$14)</f>
        <v>3440.0583</v>
      </c>
      <c r="R592" s="66">
        <f>(R138*'OLD Formulas'!$L$12*'OLD Formulas'!$L$3)+(R138*'OLD Formulas'!$L$13*'OLD Formulas'!$L$14)</f>
        <v>3645.28624</v>
      </c>
      <c r="S592" s="66">
        <f>(S138*'OLD Formulas'!$L$12*'OLD Formulas'!$L$3)+(S138*'OLD Formulas'!$L$13*'OLD Formulas'!$L$14)</f>
        <v>4712.759753</v>
      </c>
      <c r="T592" s="66">
        <f>(T138*'OLD Formulas'!$L$12*'OLD Formulas'!$L$3)+(T138*'OLD Formulas'!$L$13*'OLD Formulas'!$L$14)</f>
        <v>4922.663754</v>
      </c>
      <c r="U592" s="66">
        <f>(U138*'OLD Formulas'!$L$12*'OLD Formulas'!$L$3)+(U138*'OLD Formulas'!$L$13*'OLD Formulas'!$L$14)</f>
        <v>5219.057123</v>
      </c>
      <c r="V592" s="66">
        <f>(V138*'OLD Formulas'!$L$12*'OLD Formulas'!$L$3)+(V138*'OLD Formulas'!$L$13*'OLD Formulas'!$L$14)</f>
        <v>5319.58239</v>
      </c>
      <c r="W592" s="66">
        <f>(W138*'OLD Formulas'!$L$12*'OLD Formulas'!$L$3)+(W138*'OLD Formulas'!$L$13*'OLD Formulas'!$L$14)</f>
        <v>7823.47819</v>
      </c>
      <c r="X592" s="66">
        <f>(X138*'OLD Formulas'!$L$12*'OLD Formulas'!$L$3)+(X138*'OLD Formulas'!$L$13*'OLD Formulas'!$L$14)</f>
        <v>9307.799183</v>
      </c>
      <c r="Y592" s="66">
        <f>(Y138*'OLD Formulas'!$L$12*'OLD Formulas'!$L$3)+(Y138*'OLD Formulas'!$L$13*'OLD Formulas'!$L$14)</f>
        <v>25685.54053</v>
      </c>
      <c r="Z592" s="66">
        <f>(Z138*'OLD Formulas'!$L$12*'OLD Formulas'!$L$3)+(Z138*'OLD Formulas'!$L$13*'OLD Formulas'!$L$14)</f>
        <v>15896.77813</v>
      </c>
      <c r="AA592" s="66">
        <f>(AA138*'OLD Formulas'!$L$12*'OLD Formulas'!$L$3)+(AA138*'OLD Formulas'!$L$13*'OLD Formulas'!$L$14)</f>
        <v>11874.54177</v>
      </c>
      <c r="AB592" s="66">
        <f>(AB138*'OLD Formulas'!$L$12*'OLD Formulas'!$L$3)+(AB138*'OLD Formulas'!$L$13*'OLD Formulas'!$L$14)</f>
        <v>18339.83223</v>
      </c>
      <c r="AC592" s="66">
        <f>(AC138*'OLD Formulas'!$L$12*'OLD Formulas'!$L$3)+(AC138*'OLD Formulas'!$L$13*'OLD Formulas'!$L$14)</f>
        <v>13001.95196</v>
      </c>
      <c r="AD592" s="66">
        <f>(AD138*'OLD Formulas'!$L$12*'OLD Formulas'!$L$3)+(AD138*'OLD Formulas'!$L$13*'OLD Formulas'!$L$14)</f>
        <v>2775.08643</v>
      </c>
      <c r="AE592" s="66">
        <f>(AE138*'OLD Formulas'!$L$12*'OLD Formulas'!$L$3)+(AE138*'OLD Formulas'!$L$13*'OLD Formulas'!$L$14)</f>
        <v>2532.893829</v>
      </c>
      <c r="AF592" s="66">
        <f>(AF138*'OLD Formulas'!$L$12*'OLD Formulas'!$L$3)+(AF138*'OLD Formulas'!$L$13*'OLD Formulas'!$L$14)</f>
        <v>0</v>
      </c>
      <c r="AG592" s="623">
        <f t="shared" ref="AG592:AG621" si="210">SUM(B592:AF592)</f>
        <v>187882.5672</v>
      </c>
    </row>
    <row r="593">
      <c r="A593" s="976" t="s">
        <v>1266</v>
      </c>
      <c r="B593" s="66">
        <f>(B131*'OLD Formulas'!$L$12*'OLD Formulas'!$I$10)+(B131*'OLD Formulas'!$L$13*'OLD Formulas'!$L$15)</f>
        <v>127.11</v>
      </c>
      <c r="C593" s="66">
        <f>(C131*'OLD Formulas'!$L$12*'OLD Formulas'!$I$10)+(C131*'OLD Formulas'!$L$13*'OLD Formulas'!$L$15)</f>
        <v>149.91</v>
      </c>
      <c r="D593" s="66">
        <f>(D131*'OLD Formulas'!$L$12*'OLD Formulas'!$I$10)+(D131*'OLD Formulas'!$L$13*'OLD Formulas'!$L$15)</f>
        <v>145.065</v>
      </c>
      <c r="E593" s="66">
        <f>(E131*'OLD Formulas'!$L$12*'OLD Formulas'!$I$10)+(E131*'OLD Formulas'!$L$13*'OLD Formulas'!$L$15)</f>
        <v>150.765</v>
      </c>
      <c r="F593" s="66">
        <f>(F131*'OLD Formulas'!$L$12*'OLD Formulas'!$I$10)+(F131*'OLD Formulas'!$L$13*'OLD Formulas'!$L$15)</f>
        <v>169.86</v>
      </c>
      <c r="G593" s="66">
        <f>(G131*'OLD Formulas'!$L$12*'OLD Formulas'!$I$10)+(G131*'OLD Formulas'!$L$13*'OLD Formulas'!$L$15)</f>
        <v>162.45</v>
      </c>
      <c r="H593" s="66">
        <f>(H131*'OLD Formulas'!$L$12*'OLD Formulas'!$I$10)+(H131*'OLD Formulas'!$L$13*'OLD Formulas'!$L$15)</f>
        <v>147.06</v>
      </c>
      <c r="I593" s="66">
        <f>(I131*'OLD Formulas'!$L$12*'OLD Formulas'!$I$10)+(I131*'OLD Formulas'!$L$13*'OLD Formulas'!$L$15)</f>
        <v>149.91</v>
      </c>
      <c r="J593" s="66">
        <f>(J131*'OLD Formulas'!$L$12*'OLD Formulas'!$I$10)+(J131*'OLD Formulas'!$L$13*'OLD Formulas'!$L$15)</f>
        <v>159.885</v>
      </c>
      <c r="K593" s="66">
        <f>(K131*'OLD Formulas'!$L$12*'OLD Formulas'!$I$10)+(K131*'OLD Formulas'!$L$13*'OLD Formulas'!$L$15)</f>
        <v>157.89</v>
      </c>
      <c r="L593" s="66">
        <f>(L131*'OLD Formulas'!$L$12*'OLD Formulas'!$I$10)+(L131*'OLD Formulas'!$L$13*'OLD Formulas'!$L$15)</f>
        <v>194.94</v>
      </c>
      <c r="M593" s="66">
        <f>(M131*'OLD Formulas'!$L$12*'OLD Formulas'!$I$10)+(M131*'OLD Formulas'!$L$13*'OLD Formulas'!$L$15)</f>
        <v>188.955</v>
      </c>
      <c r="N593" s="66">
        <f>(N131*'OLD Formulas'!$L$12*'OLD Formulas'!$I$10)+(N131*'OLD Formulas'!$L$13*'OLD Formulas'!$L$15)</f>
        <v>154.47</v>
      </c>
      <c r="O593" s="66">
        <f>(O131*'OLD Formulas'!$L$12*'OLD Formulas'!$I$10)+(O131*'OLD Formulas'!$L$13*'OLD Formulas'!$L$15)</f>
        <v>177.555</v>
      </c>
      <c r="P593" s="66">
        <f>(P131*'OLD Formulas'!$L$12*'OLD Formulas'!$I$10)+(P131*'OLD Formulas'!$L$13*'OLD Formulas'!$L$15)</f>
        <v>165.87</v>
      </c>
      <c r="Q593" s="66">
        <f>(Q131*'OLD Formulas'!$L$12*'OLD Formulas'!$I$10)+(Q131*'OLD Formulas'!$L$13*'OLD Formulas'!$L$15)</f>
        <v>155.04</v>
      </c>
      <c r="R593" s="66">
        <f>(R131*'OLD Formulas'!$L$12*'OLD Formulas'!$I$10)+(R131*'OLD Formulas'!$L$13*'OLD Formulas'!$L$15)</f>
        <v>164.73</v>
      </c>
      <c r="S593" s="66">
        <f>(S131*'OLD Formulas'!$L$12*'OLD Formulas'!$I$10)+(S131*'OLD Formulas'!$L$13*'OLD Formulas'!$L$15)</f>
        <v>207.48</v>
      </c>
      <c r="T593" s="66">
        <f>(T131*'OLD Formulas'!$L$12*'OLD Formulas'!$I$10)+(T131*'OLD Formulas'!$L$13*'OLD Formulas'!$L$15)</f>
        <v>214.035</v>
      </c>
      <c r="U593" s="66">
        <f>(U131*'OLD Formulas'!$L$12*'OLD Formulas'!$I$10)+(U131*'OLD Formulas'!$L$13*'OLD Formulas'!$L$15)</f>
        <v>223.725</v>
      </c>
      <c r="V593" s="66">
        <f>(V131*'OLD Formulas'!$L$12*'OLD Formulas'!$I$10)+(V131*'OLD Formulas'!$L$13*'OLD Formulas'!$L$15)</f>
        <v>234.27</v>
      </c>
      <c r="W593" s="66">
        <f>(W131*'OLD Formulas'!$L$12*'OLD Formulas'!$I$10)+(W131*'OLD Formulas'!$L$13*'OLD Formulas'!$L$15)</f>
        <v>346.845</v>
      </c>
      <c r="X593" s="66">
        <f>(X131*'OLD Formulas'!$L$12*'OLD Formulas'!$I$10)+(X131*'OLD Formulas'!$L$13*'OLD Formulas'!$L$15)</f>
        <v>402.42</v>
      </c>
      <c r="Y593" s="66">
        <f>(Y131*'OLD Formulas'!$L$12*'OLD Formulas'!$I$10)+(Y131*'OLD Formulas'!$L$13*'OLD Formulas'!$L$15)</f>
        <v>1117.485</v>
      </c>
      <c r="Z593" s="66">
        <f>(Z131*'OLD Formulas'!$L$12*'OLD Formulas'!$I$10)+(Z131*'OLD Formulas'!$L$13*'OLD Formulas'!$L$15)</f>
        <v>698.25</v>
      </c>
      <c r="AA593" s="66">
        <f>(AA131*'OLD Formulas'!$L$12*'OLD Formulas'!$I$10)+(AA131*'OLD Formulas'!$L$13*'OLD Formulas'!$L$15)</f>
        <v>516.99</v>
      </c>
      <c r="AB593" s="66">
        <f>(AB131*'OLD Formulas'!$L$12*'OLD Formulas'!$I$10)+(AB131*'OLD Formulas'!$L$13*'OLD Formulas'!$L$15)</f>
        <v>794.295</v>
      </c>
      <c r="AC593" s="66">
        <f>(AC131*'OLD Formulas'!$L$12*'OLD Formulas'!$I$10)+(AC131*'OLD Formulas'!$L$13*'OLD Formulas'!$L$15)</f>
        <v>556.89</v>
      </c>
      <c r="AD593" s="66">
        <f>(AD131*'OLD Formulas'!$L$12*'OLD Formulas'!$I$10)+(AD131*'OLD Formulas'!$L$13*'OLD Formulas'!$L$15)</f>
        <v>94.62</v>
      </c>
      <c r="AE593" s="66">
        <f>(AE131*'OLD Formulas'!$L$12*'OLD Formulas'!$I$10)+(AE131*'OLD Formulas'!$L$13*'OLD Formulas'!$L$15)</f>
        <v>89.205</v>
      </c>
      <c r="AF593" s="66">
        <f>(AF131*'OLD Formulas'!$L$12*'OLD Formulas'!$I$10)+(AF131*'OLD Formulas'!$L$13*'OLD Formulas'!$L$15)</f>
        <v>0</v>
      </c>
      <c r="AG593" s="623">
        <f t="shared" si="210"/>
        <v>8217.975</v>
      </c>
    </row>
    <row r="594">
      <c r="A594" s="967" t="s">
        <v>1251</v>
      </c>
      <c r="B594" s="66">
        <f>((B529+B530)*'OLD Formulas'!$C$32)+((B531+B532)*'OLD Formulas'!$C$33)+((B533+B534)*'OLD Formulas'!$C$34)</f>
        <v>4489.44</v>
      </c>
      <c r="C594" s="66">
        <f>((C529+C530)*'OLD Formulas'!$C$32)+((C531+C532)*'OLD Formulas'!$C$33)+((C533+C534)*'OLD Formulas'!$C$34)</f>
        <v>4608.84</v>
      </c>
      <c r="D594" s="66">
        <f>((D529+D530)*'OLD Formulas'!$C$32)+((D531+D532)*'OLD Formulas'!$C$33)+((D533+D534)*'OLD Formulas'!$C$34)</f>
        <v>4668.54</v>
      </c>
      <c r="E594" s="66">
        <f>((E529+E530)*'OLD Formulas'!$C$32)+((E531+E532)*'OLD Formulas'!$C$33)+((E533+E534)*'OLD Formulas'!$C$34)</f>
        <v>5074.5</v>
      </c>
      <c r="F594" s="66">
        <f>((F529+F530)*'OLD Formulas'!$C$32)+((F531+F532)*'OLD Formulas'!$C$33)+((F533+F534)*'OLD Formulas'!$C$34)</f>
        <v>5575.98</v>
      </c>
      <c r="G594" s="66">
        <f>((G529+G530)*'OLD Formulas'!$C$32)+((G531+G532)*'OLD Formulas'!$C$33)+((G533+G534)*'OLD Formulas'!$C$34)</f>
        <v>5265.54</v>
      </c>
      <c r="H594" s="66">
        <f>((H529+H530)*'OLD Formulas'!$C$32)+((H531+H532)*'OLD Formulas'!$C$33)+((H533+H534)*'OLD Formulas'!$C$34)</f>
        <v>4943.16</v>
      </c>
      <c r="I594" s="66">
        <f>((I529+I530)*'OLD Formulas'!$C$32)+((I531+I532)*'OLD Formulas'!$C$33)+((I533+I534)*'OLD Formulas'!$C$34)</f>
        <v>4716.3</v>
      </c>
      <c r="J594" s="66">
        <f>((J529+J530)*'OLD Formulas'!$C$32)+((J531+J532)*'OLD Formulas'!$C$33)+((J533+J534)*'OLD Formulas'!$C$34)</f>
        <v>5134.2</v>
      </c>
      <c r="K594" s="66">
        <f>((K529+K530)*'OLD Formulas'!$C$32)+((K531+K532)*'OLD Formulas'!$C$33)+((K533+K534)*'OLD Formulas'!$C$34)</f>
        <v>5170.02</v>
      </c>
      <c r="L594" s="66">
        <f>((L529+L530)*'OLD Formulas'!$C$32)+((L531+L532)*'OLD Formulas'!$C$33)+((L533+L534)*'OLD Formulas'!$C$34)</f>
        <v>6734.16</v>
      </c>
      <c r="M594" s="66">
        <f>((M529+M530)*'OLD Formulas'!$C$32)+((M531+M532)*'OLD Formulas'!$C$33)+((M533+M534)*'OLD Formulas'!$C$34)</f>
        <v>6375.96</v>
      </c>
      <c r="N594" s="66">
        <f>((N529+N530)*'OLD Formulas'!$C$32)+((N531+N532)*'OLD Formulas'!$C$33)+((N533+N534)*'OLD Formulas'!$C$34)</f>
        <v>5002.86</v>
      </c>
      <c r="O594" s="66">
        <f>((O529+O530)*'OLD Formulas'!$C$32)+((O531+O532)*'OLD Formulas'!$C$33)+((O533+O534)*'OLD Formulas'!$C$34)</f>
        <v>5731.2</v>
      </c>
      <c r="P594" s="66">
        <f>((P529+P530)*'OLD Formulas'!$C$32)+((P531+P532)*'OLD Formulas'!$C$33)+((P533+P534)*'OLD Formulas'!$C$34)</f>
        <v>5289.42</v>
      </c>
      <c r="Q594" s="66">
        <f>((Q529+Q530)*'OLD Formulas'!$C$32)+((Q531+Q532)*'OLD Formulas'!$C$33)+((Q533+Q534)*'OLD Formulas'!$C$34)</f>
        <v>5002.86</v>
      </c>
      <c r="R594" s="66">
        <f>((R529+R530)*'OLD Formulas'!$C$32)+((R531+R532)*'OLD Formulas'!$C$33)+((R533+R534)*'OLD Formulas'!$C$34)</f>
        <v>5277.48</v>
      </c>
      <c r="S594" s="66">
        <f>((S529+S530)*'OLD Formulas'!$C$32)+((S531+S532)*'OLD Formulas'!$C$33)+((S533+S534)*'OLD Formulas'!$C$34)</f>
        <v>6996.84</v>
      </c>
      <c r="T594" s="66">
        <f>((T529+T530)*'OLD Formulas'!$C$32)+((T531+T532)*'OLD Formulas'!$C$33)+((T533+T534)*'OLD Formulas'!$C$34)</f>
        <v>5695.38</v>
      </c>
      <c r="U594" s="66">
        <f>((U529+U530)*'OLD Formulas'!$C$32)+((U531+U532)*'OLD Formulas'!$C$33)+((U533+U534)*'OLD Formulas'!$C$34)</f>
        <v>6805.8</v>
      </c>
      <c r="V594" s="66">
        <f>((V529+V530)*'OLD Formulas'!$C$32)+((V531+V532)*'OLD Formulas'!$C$33)+((V533+V534)*'OLD Formulas'!$C$34)</f>
        <v>7259.52</v>
      </c>
      <c r="W594" s="66">
        <f>((W529+W530)*'OLD Formulas'!$C$32)+((W531+W532)*'OLD Formulas'!$C$33)+((W533+W534)*'OLD Formulas'!$C$34)</f>
        <v>10817.64</v>
      </c>
      <c r="X594" s="66">
        <f>((X529+X530)*'OLD Formulas'!$C$32)+((X531+X532)*'OLD Formulas'!$C$33)+((X533+X534)*'OLD Formulas'!$C$34)</f>
        <v>12465.36</v>
      </c>
      <c r="Y594" s="66">
        <f>((Y529+Y530)*'OLD Formulas'!$C$32)+((Y531+Y532)*'OLD Formulas'!$C$33)+((Y533+Y534)*'OLD Formulas'!$C$34)</f>
        <v>35020.02</v>
      </c>
      <c r="Z594" s="66">
        <f>((Z529+Z530)*'OLD Formulas'!$C$32)+((Z531+Z532)*'OLD Formulas'!$C$33)+((Z533+Z534)*'OLD Formulas'!$C$34)</f>
        <v>16918.98</v>
      </c>
      <c r="AA594" s="66">
        <f>((AA529+AA530)*'OLD Formulas'!$C$32)+((AA531+AA532)*'OLD Formulas'!$C$33)+((AA533+AA534)*'OLD Formulas'!$C$34)</f>
        <v>18363.72</v>
      </c>
      <c r="AB594" s="66">
        <f>((AB529+AB530)*'OLD Formulas'!$C$32)+((AB531+AB532)*'OLD Formulas'!$C$33)+((AB533+AB534)*'OLD Formulas'!$C$34)</f>
        <v>24751.62</v>
      </c>
      <c r="AC594" s="66">
        <f>((AC529+AC530)*'OLD Formulas'!$C$32)+((AC531+AC532)*'OLD Formulas'!$C$33)+((AC533+AC534)*'OLD Formulas'!$C$34)</f>
        <v>15092.16</v>
      </c>
      <c r="AD594" s="66">
        <f>((AD529+AD530)*'OLD Formulas'!$C$32)+((AD531+AD532)*'OLD Formulas'!$C$33)+((AD533+AD534)*'OLD Formulas'!$C$34)</f>
        <v>967.14</v>
      </c>
      <c r="AE594" s="66">
        <f>((AE529+AE530)*'OLD Formulas'!$C$32)+((AE531+AE532)*'OLD Formulas'!$C$33)+((AE533+AE534)*'OLD Formulas'!$C$34)</f>
        <v>919.38</v>
      </c>
      <c r="AF594" s="66">
        <f>((AF529+AF530)*'OLD Formulas'!$C$32)+((AF531+AF532)*'OLD Formulas'!$C$33)+((AF533+AF534)*'OLD Formulas'!$C$34)</f>
        <v>0</v>
      </c>
      <c r="AG594" s="623">
        <f t="shared" si="210"/>
        <v>251134.02</v>
      </c>
    </row>
    <row r="595">
      <c r="A595" s="837" t="s">
        <v>1252</v>
      </c>
      <c r="B595" s="964">
        <f>((B529+B530)*'OLD Formulas'!$C$28)+((B531+B532)*'OLD Formulas'!$C$29)+((B533+B534)*'OLD Formulas'!$C$30)</f>
        <v>5662.56</v>
      </c>
      <c r="C595" s="964">
        <f>((C529+C530)*'OLD Formulas'!$C$28)+((C531+C532)*'OLD Formulas'!$C$29)+((C533+C534)*'OLD Formulas'!$C$30)</f>
        <v>5813.16</v>
      </c>
      <c r="D595" s="964">
        <f>((D529+D530)*'OLD Formulas'!$C$28)+((D531+D532)*'OLD Formulas'!$C$29)+((D533+D534)*'OLD Formulas'!$C$30)</f>
        <v>5888.46</v>
      </c>
      <c r="E595" s="964">
        <f>((E529+E530)*'OLD Formulas'!$C$28)+((E531+E532)*'OLD Formulas'!$C$29)+((E533+E534)*'OLD Formulas'!$C$30)</f>
        <v>6400.5</v>
      </c>
      <c r="F595" s="964">
        <f>((F529+F530)*'OLD Formulas'!$C$28)+((F531+F532)*'OLD Formulas'!$C$29)+((F533+F534)*'OLD Formulas'!$C$30)</f>
        <v>7033.02</v>
      </c>
      <c r="G595" s="964">
        <f>((G529+G530)*'OLD Formulas'!$C$28)+((G531+G532)*'OLD Formulas'!$C$29)+((G533+G534)*'OLD Formulas'!$C$30)</f>
        <v>6641.46</v>
      </c>
      <c r="H595" s="964">
        <f>((H529+H530)*'OLD Formulas'!$C$28)+((H531+H532)*'OLD Formulas'!$C$29)+((H533+H534)*'OLD Formulas'!$C$30)</f>
        <v>6234.84</v>
      </c>
      <c r="I595" s="964">
        <f>((I529+I530)*'OLD Formulas'!$C$28)+((I531+I532)*'OLD Formulas'!$C$29)+((I533+I534)*'OLD Formulas'!$C$30)</f>
        <v>5948.7</v>
      </c>
      <c r="J595" s="964">
        <f>((J529+J530)*'OLD Formulas'!$C$28)+((J531+J532)*'OLD Formulas'!$C$29)+((J533+J534)*'OLD Formulas'!$C$30)</f>
        <v>6475.8</v>
      </c>
      <c r="K595" s="964">
        <f>((K529+K530)*'OLD Formulas'!$C$28)+((K531+K532)*'OLD Formulas'!$C$29)+((K533+K534)*'OLD Formulas'!$C$30)</f>
        <v>6520.98</v>
      </c>
      <c r="L595" s="964">
        <f>((L529+L530)*'OLD Formulas'!$C$28)+((L531+L532)*'OLD Formulas'!$C$29)+((L533+L534)*'OLD Formulas'!$C$30)</f>
        <v>8493.84</v>
      </c>
      <c r="M595" s="964">
        <f>((M529+M530)*'OLD Formulas'!$C$28)+((M531+M532)*'OLD Formulas'!$C$29)+((M533+M534)*'OLD Formulas'!$C$30)</f>
        <v>8042.04</v>
      </c>
      <c r="N595" s="964">
        <f>((N529+N530)*'OLD Formulas'!$C$28)+((N531+N532)*'OLD Formulas'!$C$29)+((N533+N534)*'OLD Formulas'!$C$30)</f>
        <v>6310.14</v>
      </c>
      <c r="O595" s="964">
        <f>((O529+O530)*'OLD Formulas'!$C$28)+((O531+O532)*'OLD Formulas'!$C$29)+((O533+O534)*'OLD Formulas'!$C$30)</f>
        <v>7228.8</v>
      </c>
      <c r="P595" s="964">
        <f>((P529+P530)*'OLD Formulas'!$C$28)+((P531+P532)*'OLD Formulas'!$C$29)+((P533+P534)*'OLD Formulas'!$C$30)</f>
        <v>6671.58</v>
      </c>
      <c r="Q595" s="964">
        <f>((Q529+Q530)*'OLD Formulas'!$C$28)+((Q531+Q532)*'OLD Formulas'!$C$29)+((Q533+Q534)*'OLD Formulas'!$C$30)</f>
        <v>6310.14</v>
      </c>
      <c r="R595" s="964">
        <f>((R529+R530)*'OLD Formulas'!$C$28)+((R531+R532)*'OLD Formulas'!$C$29)+((R533+R534)*'OLD Formulas'!$C$30)</f>
        <v>6656.52</v>
      </c>
      <c r="S595" s="964">
        <f>((S529+S530)*'OLD Formulas'!$C$28)+((S531+S532)*'OLD Formulas'!$C$29)+((S533+S534)*'OLD Formulas'!$C$30)</f>
        <v>8825.16</v>
      </c>
      <c r="T595" s="964">
        <f>((T529+T530)*'OLD Formulas'!$C$28)+((T531+T532)*'OLD Formulas'!$C$29)+((T533+T534)*'OLD Formulas'!$C$30)</f>
        <v>7183.62</v>
      </c>
      <c r="U595" s="964">
        <f>((U529+U530)*'OLD Formulas'!$C$28)+((U531+U532)*'OLD Formulas'!$C$29)+((U533+U534)*'OLD Formulas'!$C$30)</f>
        <v>8584.2</v>
      </c>
      <c r="V595" s="964">
        <f>((V529+V530)*'OLD Formulas'!$C$28)+((V531+V532)*'OLD Formulas'!$C$29)+((V533+V534)*'OLD Formulas'!$C$30)</f>
        <v>9156.48</v>
      </c>
      <c r="W595" s="964">
        <f>((W529+W530)*'OLD Formulas'!$C$28)+((W531+W532)*'OLD Formulas'!$C$29)+((W533+W534)*'OLD Formulas'!$C$30)</f>
        <v>13644.36</v>
      </c>
      <c r="X595" s="964">
        <f>((X529+X530)*'OLD Formulas'!$C$28)+((X531+X532)*'OLD Formulas'!$C$29)+((X533+X534)*'OLD Formulas'!$C$30)</f>
        <v>15722.64</v>
      </c>
      <c r="Y595" s="964">
        <f>((Y529+Y530)*'OLD Formulas'!$C$28)+((Y531+Y532)*'OLD Formulas'!$C$29)+((Y533+Y534)*'OLD Formulas'!$C$30)</f>
        <v>44170.98</v>
      </c>
      <c r="Z595" s="964">
        <f>((Z529+Z530)*'OLD Formulas'!$C$28)+((Z531+Z532)*'OLD Formulas'!$C$29)+((Z533+Z534)*'OLD Formulas'!$C$30)</f>
        <v>21340.02</v>
      </c>
      <c r="AA595" s="964">
        <f>((AA529+AA530)*'OLD Formulas'!$C$28)+((AA531+AA532)*'OLD Formulas'!$C$29)+((AA533+AA534)*'OLD Formulas'!$C$30)</f>
        <v>23162.28</v>
      </c>
      <c r="AB595" s="964">
        <f>((AB529+AB530)*'OLD Formulas'!$C$28)+((AB531+AB532)*'OLD Formulas'!$C$29)+((AB533+AB534)*'OLD Formulas'!$C$30)</f>
        <v>31219.38</v>
      </c>
      <c r="AC595" s="964">
        <f>((AC529+AC530)*'OLD Formulas'!$C$28)+((AC531+AC532)*'OLD Formulas'!$C$29)+((AC533+AC534)*'OLD Formulas'!$C$30)</f>
        <v>19035.84</v>
      </c>
      <c r="AD595" s="964">
        <f>((AD529+AD530)*'OLD Formulas'!$C$28)+((AD531+AD532)*'OLD Formulas'!$C$29)+((AD533+AD534)*'OLD Formulas'!$C$30)</f>
        <v>1219.86</v>
      </c>
      <c r="AE595" s="964">
        <f>((AE529+AE530)*'OLD Formulas'!$C$28)+((AE531+AE532)*'OLD Formulas'!$C$29)+((AE533+AE534)*'OLD Formulas'!$C$30)</f>
        <v>1159.62</v>
      </c>
      <c r="AF595" s="964">
        <f>((AF529+AF530)*'OLD Formulas'!$C$28)+((AF531+AF532)*'OLD Formulas'!$C$29)+((AF533+AF534)*'OLD Formulas'!$C$30)</f>
        <v>0</v>
      </c>
      <c r="AG595" s="623">
        <f t="shared" si="210"/>
        <v>316756.98</v>
      </c>
    </row>
    <row r="596">
      <c r="A596" s="837" t="s">
        <v>1253</v>
      </c>
      <c r="B596" s="640">
        <f>(B544*'OLD Formulas'!$D$32)+(B552*'OLD Formulas'!$D$33)+(B560*'OLD Formulas'!$D$34)</f>
        <v>660.35</v>
      </c>
      <c r="C596" s="640">
        <f>(C544*'OLD Formulas'!$D$32)+(C552*'OLD Formulas'!$D$33)+(C560*'OLD Formulas'!$D$34)</f>
        <v>800.92</v>
      </c>
      <c r="D596" s="640">
        <f>(D544*'OLD Formulas'!$D$32)+(D552*'OLD Formulas'!$D$33)+(D560*'OLD Formulas'!$D$34)</f>
        <v>789.425</v>
      </c>
      <c r="E596" s="640">
        <f>(E544*'OLD Formulas'!$D$32)+(E552*'OLD Formulas'!$D$33)+(E560*'OLD Formulas'!$D$34)</f>
        <v>825.28</v>
      </c>
      <c r="F596" s="640">
        <f>(F544*'OLD Formulas'!$D$32)+(F552*'OLD Formulas'!$D$33)+(F560*'OLD Formulas'!$D$34)</f>
        <v>842.51</v>
      </c>
      <c r="G596" s="640">
        <f>(G544*'OLD Formulas'!$D$32)+(G552*'OLD Formulas'!$D$33)+(G560*'OLD Formulas'!$D$34)</f>
        <v>783.62</v>
      </c>
      <c r="H596" s="640">
        <f>(H544*'OLD Formulas'!$D$32)+(H552*'OLD Formulas'!$D$33)+(H560*'OLD Formulas'!$D$34)</f>
        <v>812.36</v>
      </c>
      <c r="I596" s="640">
        <f>(I544*'OLD Formulas'!$D$32)+(I552*'OLD Formulas'!$D$33)+(I560*'OLD Formulas'!$D$34)</f>
        <v>816.63</v>
      </c>
      <c r="J596" s="640">
        <f>(J544*'OLD Formulas'!$D$32)+(J552*'OLD Formulas'!$D$33)+(J560*'OLD Formulas'!$D$34)</f>
        <v>851.1</v>
      </c>
      <c r="K596" s="640">
        <f>(K544*'OLD Formulas'!$D$32)+(K552*'OLD Formulas'!$D$33)+(K560*'OLD Formulas'!$D$34)</f>
        <v>835.3</v>
      </c>
      <c r="L596" s="640">
        <f>(L544*'OLD Formulas'!$D$32)+(L552*'OLD Formulas'!$D$33)+(L560*'OLD Formulas'!$D$34)</f>
        <v>1153.83</v>
      </c>
      <c r="M596" s="640">
        <f>(M544*'OLD Formulas'!$D$32)+(M552*'OLD Formulas'!$D$33)+(M560*'OLD Formulas'!$D$34)</f>
        <v>1215.635</v>
      </c>
      <c r="N596" s="640">
        <f>(N544*'OLD Formulas'!$D$32)+(N552*'OLD Formulas'!$D$33)+(N560*'OLD Formulas'!$D$34)</f>
        <v>1356.28</v>
      </c>
      <c r="O596" s="640">
        <f>(O544*'OLD Formulas'!$D$32)+(O552*'OLD Formulas'!$D$33)+(O560*'OLD Formulas'!$D$34)</f>
        <v>948.73</v>
      </c>
      <c r="P596" s="640">
        <f>(P544*'OLD Formulas'!$D$32)+(P552*'OLD Formulas'!$D$33)+(P560*'OLD Formulas'!$D$34)</f>
        <v>852.69</v>
      </c>
      <c r="Q596" s="640">
        <f>(Q544*'OLD Formulas'!$D$32)+(Q552*'OLD Formulas'!$D$33)+(Q560*'OLD Formulas'!$D$34)</f>
        <v>796.695</v>
      </c>
      <c r="R596" s="640">
        <f>(R544*'OLD Formulas'!$D$32)+(R552*'OLD Formulas'!$D$33)+(R560*'OLD Formulas'!$D$34)</f>
        <v>833.935</v>
      </c>
      <c r="S596" s="640">
        <f>(S544*'OLD Formulas'!$D$32)+(S552*'OLD Formulas'!$D$33)+(S560*'OLD Formulas'!$D$34)</f>
        <v>1055.11</v>
      </c>
      <c r="T596" s="640">
        <f>(T544*'OLD Formulas'!$D$32)+(T552*'OLD Formulas'!$D$33)+(T560*'OLD Formulas'!$D$34)</f>
        <v>769.385</v>
      </c>
      <c r="U596" s="640">
        <f>(U544*'OLD Formulas'!$D$32)+(U552*'OLD Formulas'!$D$33)+(U560*'OLD Formulas'!$D$34)</f>
        <v>1093.87</v>
      </c>
      <c r="V596" s="640">
        <f>(V544*'OLD Formulas'!$D$32)+(V552*'OLD Formulas'!$D$33)+(V560*'OLD Formulas'!$D$34)</f>
        <v>1156.91</v>
      </c>
      <c r="W596" s="640">
        <f>(W544*'OLD Formulas'!$D$32)+(W552*'OLD Formulas'!$D$33)+(W560*'OLD Formulas'!$D$34)</f>
        <v>1767.07</v>
      </c>
      <c r="X596" s="640">
        <f>(X544*'OLD Formulas'!$D$32)+(X552*'OLD Formulas'!$D$33)+(X560*'OLD Formulas'!$D$34)</f>
        <v>2194.755</v>
      </c>
      <c r="Y596" s="640">
        <f>(Y544*'OLD Formulas'!$D$32)+(Y552*'OLD Formulas'!$D$33)+(Y560*'OLD Formulas'!$D$34)</f>
        <v>5574.66</v>
      </c>
      <c r="Z596" s="640">
        <f>(Z544*'OLD Formulas'!$D$32)+(Z552*'OLD Formulas'!$D$33)+(Z560*'OLD Formulas'!$D$34)</f>
        <v>3671.18</v>
      </c>
      <c r="AA596" s="640">
        <f>(AA544*'OLD Formulas'!$D$32)+(AA552*'OLD Formulas'!$D$33)+(AA560*'OLD Formulas'!$D$34)</f>
        <v>2598.18</v>
      </c>
      <c r="AB596" s="640">
        <f>(AB544*'OLD Formulas'!$D$32)+(AB552*'OLD Formulas'!$D$33)+(AB560*'OLD Formulas'!$D$34)</f>
        <v>3692.8</v>
      </c>
      <c r="AC596" s="640">
        <f>(AC544*'OLD Formulas'!$D$32)+(AC552*'OLD Formulas'!$D$33)+(AC560*'OLD Formulas'!$D$34)</f>
        <v>2121.095</v>
      </c>
      <c r="AD596" s="640">
        <f>(AD544*'OLD Formulas'!$D$32)+(AD552*'OLD Formulas'!$D$33)+(AD560*'OLD Formulas'!$D$34)</f>
        <v>146.39</v>
      </c>
      <c r="AE596" s="640">
        <f>(AE544*'OLD Formulas'!$D$32)+(AE552*'OLD Formulas'!$D$33)+(AE560*'OLD Formulas'!$D$34)</f>
        <v>139.245</v>
      </c>
      <c r="AF596" s="640">
        <f>(AF544*'OLD Formulas'!$D$32)+(AF552*'OLD Formulas'!$D$33)+(AF560*'OLD Formulas'!$D$34)</f>
        <v>0</v>
      </c>
      <c r="AG596" s="623">
        <f t="shared" si="210"/>
        <v>41155.94</v>
      </c>
    </row>
    <row r="597">
      <c r="A597" s="837" t="s">
        <v>1254</v>
      </c>
      <c r="B597" s="640">
        <f>(B204*'OLD Formulas'!$D$28)</f>
        <v>126.975</v>
      </c>
      <c r="C597" s="640">
        <f>(C204*'OLD Formulas'!$D$28)</f>
        <v>338.6</v>
      </c>
      <c r="D597" s="640">
        <f>(D204*'OLD Formulas'!$D$28)</f>
        <v>313.205</v>
      </c>
      <c r="E597" s="640">
        <f>(E204*'OLD Formulas'!$D$28)</f>
        <v>253.95</v>
      </c>
      <c r="F597" s="640">
        <f>(F204*'OLD Formulas'!$D$28)</f>
        <v>186.23</v>
      </c>
      <c r="G597" s="640">
        <f>(G204*'OLD Formulas'!$D$28)</f>
        <v>245.485</v>
      </c>
      <c r="H597" s="640">
        <f>(H204*'OLD Formulas'!$D$28)</f>
        <v>211.625</v>
      </c>
      <c r="I597" s="640">
        <f>(I204*'OLD Formulas'!$D$28)</f>
        <v>414.785</v>
      </c>
      <c r="J597" s="640">
        <f>(J204*'OLD Formulas'!$D$28)</f>
        <v>389.39</v>
      </c>
      <c r="K597" s="640">
        <f>(K204*'OLD Formulas'!$D$28)</f>
        <v>228.555</v>
      </c>
      <c r="L597" s="640">
        <f>(L204*'OLD Formulas'!$D$28)</f>
        <v>440.18</v>
      </c>
      <c r="M597" s="640">
        <f>(M204*'OLD Formulas'!$D$28)</f>
        <v>203.16</v>
      </c>
      <c r="N597" s="640">
        <f>(N204*'OLD Formulas'!$D$28)</f>
        <v>304.74</v>
      </c>
      <c r="O597" s="640">
        <f>(O204*'OLD Formulas'!$D$28)</f>
        <v>76.185</v>
      </c>
      <c r="P597" s="640">
        <f>(P204*'OLD Formulas'!$D$28)</f>
        <v>126.975</v>
      </c>
      <c r="Q597" s="640">
        <f>(Q204*'OLD Formulas'!$D$28)</f>
        <v>143.905</v>
      </c>
      <c r="R597" s="640">
        <f>(R204*'OLD Formulas'!$D$28)</f>
        <v>270.88</v>
      </c>
      <c r="S597" s="640">
        <f>(S204*'OLD Formulas'!$D$28)</f>
        <v>203.16</v>
      </c>
      <c r="T597" s="640">
        <f>(T204*'OLD Formulas'!$D$28)</f>
        <v>304.74</v>
      </c>
      <c r="U597" s="640">
        <f>(U204*'OLD Formulas'!$D$28)</f>
        <v>355.53</v>
      </c>
      <c r="V597" s="640">
        <f>(V204*'OLD Formulas'!$D$28)</f>
        <v>304.74</v>
      </c>
      <c r="W597" s="640">
        <f>(W204*'OLD Formulas'!$D$28)</f>
        <v>973.475</v>
      </c>
      <c r="X597" s="640">
        <f>(X204*'OLD Formulas'!$D$28)</f>
        <v>812.64</v>
      </c>
      <c r="Y597" s="640">
        <f>(Y204*'OLD Formulas'!$D$28)</f>
        <v>1582.955</v>
      </c>
      <c r="Z597" s="640">
        <f>(Z204*'OLD Formulas'!$D$28)</f>
        <v>897.29</v>
      </c>
      <c r="AA597" s="640">
        <f>(AA204*'OLD Formulas'!$D$28)</f>
        <v>787.245</v>
      </c>
      <c r="AB597" s="640">
        <f>(AB204*'OLD Formulas'!$D$28)</f>
        <v>905.755</v>
      </c>
      <c r="AC597" s="640">
        <f>(AC204*'OLD Formulas'!$D$28)</f>
        <v>457.11</v>
      </c>
      <c r="AD597" s="640">
        <f>(AD204*'OLD Formulas'!$D$28)</f>
        <v>110.045</v>
      </c>
      <c r="AE597" s="640">
        <f>(AE204*'OLD Formulas'!$D$28)</f>
        <v>118.51</v>
      </c>
      <c r="AF597" s="640">
        <f>(AF204*'OLD Formulas'!$D$28)</f>
        <v>0</v>
      </c>
      <c r="AG597" s="623">
        <f t="shared" si="210"/>
        <v>12088.02</v>
      </c>
    </row>
    <row r="598">
      <c r="A598" s="968" t="s">
        <v>1270</v>
      </c>
      <c r="B598" s="640">
        <f t="shared" ref="B598:AF598" si="211">B137</f>
        <v>5691.54</v>
      </c>
      <c r="C598" s="640">
        <f t="shared" si="211"/>
        <v>6175.9</v>
      </c>
      <c r="D598" s="640">
        <f t="shared" si="211"/>
        <v>5859.93</v>
      </c>
      <c r="E598" s="640">
        <f t="shared" si="211"/>
        <v>6887.39</v>
      </c>
      <c r="F598" s="640">
        <f t="shared" si="211"/>
        <v>7704.01</v>
      </c>
      <c r="G598" s="640">
        <f t="shared" si="211"/>
        <v>7145.76</v>
      </c>
      <c r="H598" s="640">
        <f t="shared" si="211"/>
        <v>6522.84</v>
      </c>
      <c r="I598" s="640">
        <f t="shared" si="211"/>
        <v>6552.64</v>
      </c>
      <c r="J598" s="640">
        <f t="shared" si="211"/>
        <v>6924.48</v>
      </c>
      <c r="K598" s="640">
        <f t="shared" si="211"/>
        <v>6809.09</v>
      </c>
      <c r="L598" s="640">
        <f t="shared" si="211"/>
        <v>9122.97</v>
      </c>
      <c r="M598" s="640">
        <f t="shared" si="211"/>
        <v>8816.21</v>
      </c>
      <c r="N598" s="640">
        <f t="shared" si="211"/>
        <v>6660.83</v>
      </c>
      <c r="O598" s="640">
        <f t="shared" si="211"/>
        <v>7790</v>
      </c>
      <c r="P598" s="640">
        <f t="shared" si="211"/>
        <v>7432.01</v>
      </c>
      <c r="Q598" s="640">
        <f t="shared" si="211"/>
        <v>6633.22</v>
      </c>
      <c r="R598" s="640">
        <f t="shared" si="211"/>
        <v>7138.84</v>
      </c>
      <c r="S598" s="640">
        <f t="shared" si="211"/>
        <v>8885.43</v>
      </c>
      <c r="T598" s="640">
        <f t="shared" si="211"/>
        <v>9236.61</v>
      </c>
      <c r="U598" s="640">
        <f t="shared" si="211"/>
        <v>9630.48</v>
      </c>
      <c r="V598" s="640">
        <f t="shared" si="211"/>
        <v>10105.55</v>
      </c>
      <c r="W598" s="640">
        <f t="shared" si="211"/>
        <v>14530.66</v>
      </c>
      <c r="X598" s="640">
        <f t="shared" si="211"/>
        <v>17836.26</v>
      </c>
      <c r="Y598" s="640">
        <f t="shared" si="211"/>
        <v>52161.36</v>
      </c>
      <c r="Z598" s="640">
        <f t="shared" si="211"/>
        <v>32386.46</v>
      </c>
      <c r="AA598" s="640">
        <f t="shared" si="211"/>
        <v>22827.55</v>
      </c>
      <c r="AB598" s="640">
        <f t="shared" si="211"/>
        <v>37899.75</v>
      </c>
      <c r="AC598" s="640">
        <f t="shared" si="211"/>
        <v>26503.8</v>
      </c>
      <c r="AD598" s="640">
        <f t="shared" si="211"/>
        <v>5360.95</v>
      </c>
      <c r="AE598" s="640">
        <f t="shared" si="211"/>
        <v>5050.93</v>
      </c>
      <c r="AF598" s="640" t="str">
        <f t="shared" si="211"/>
        <v/>
      </c>
      <c r="AG598" s="623">
        <f t="shared" si="210"/>
        <v>372283.45</v>
      </c>
    </row>
    <row r="599">
      <c r="A599" s="968" t="s">
        <v>1271</v>
      </c>
      <c r="B599" s="590">
        <f>(((B292+B294)+(B326))-B465)*'OLD Formulas'!$O$3</f>
        <v>1480.754</v>
      </c>
      <c r="C599" s="590">
        <f>(((C292+C294)+(C326))-C465)*'OLD Formulas'!$O$3</f>
        <v>1135.6136</v>
      </c>
      <c r="D599" s="590">
        <f>(((D292+D294)+(D326))-D465)*'OLD Formulas'!$O$3</f>
        <v>1170.3428</v>
      </c>
      <c r="E599" s="590">
        <f>(((E292+E294)+(E326))-E465)*'OLD Formulas'!$O$3</f>
        <v>1007.006</v>
      </c>
      <c r="F599" s="590">
        <f>(((F292+F294)+(F326))-F465)*'OLD Formulas'!$O$3</f>
        <v>1115.686</v>
      </c>
      <c r="G599" s="590">
        <f>(((G292+G294)+(G326))-G465)*'OLD Formulas'!$O$3</f>
        <v>999.3874</v>
      </c>
      <c r="H599" s="590">
        <f>(((H292+H294)+(H326))-H465)*'OLD Formulas'!$O$3</f>
        <v>1052.92</v>
      </c>
      <c r="I599" s="590">
        <f>(((I292+I294)+(I326))-I465)*'OLD Formulas'!$O$3</f>
        <v>564.52</v>
      </c>
      <c r="J599" s="590">
        <f>(((J292+J294)+(J326))-J465)*'OLD Formulas'!$O$3</f>
        <v>914.738</v>
      </c>
      <c r="K599" s="590">
        <f>(((K292+K294)+(K326))-K465)*'OLD Formulas'!$O$3</f>
        <v>842.5164</v>
      </c>
      <c r="L599" s="590">
        <f>(((L292+L294)+(L326))-L465)*'OLD Formulas'!$O$3</f>
        <v>560.89</v>
      </c>
      <c r="M599" s="590">
        <f>(((M292+M294)+(M326))-M465)*'OLD Formulas'!$O$3</f>
        <v>1226.94</v>
      </c>
      <c r="N599" s="590">
        <f>(((N292+N294)+(N326))-N465)*'OLD Formulas'!$O$3</f>
        <v>1415.7</v>
      </c>
      <c r="O599" s="590">
        <f>(((O292+O294)+(O326))-O465)*'OLD Formulas'!$O$3</f>
        <v>1421.706</v>
      </c>
      <c r="P599" s="590">
        <f>(((P292+P294)+(P326))-P465)*'OLD Formulas'!$O$3</f>
        <v>1939.3748</v>
      </c>
      <c r="Q599" s="590">
        <f>(((Q292+Q294)+(Q326))-Q465)*'OLD Formulas'!$O$3</f>
        <v>1787.28</v>
      </c>
      <c r="R599" s="590">
        <f>(((R292+R294)+(R326))-R465)*'OLD Formulas'!$O$3</f>
        <v>1450.9</v>
      </c>
      <c r="S599" s="590">
        <f>(((S292+S294)+(S326))-S465)*'OLD Formulas'!$O$3</f>
        <v>2562.12</v>
      </c>
      <c r="T599" s="590">
        <f>(((T292+T294)+(T326))-T465)*'OLD Formulas'!$O$3</f>
        <v>2388.32</v>
      </c>
      <c r="U599" s="590">
        <f>(((U292+U294)+(U326))-U465)*'OLD Formulas'!$O$3</f>
        <v>3011.8088</v>
      </c>
      <c r="V599" s="590">
        <f>(((V292+V294)+(V326))-V465)*'OLD Formulas'!$O$3</f>
        <v>2631.52692</v>
      </c>
      <c r="W599" s="590">
        <f>(((W292+W294)+(W326))-W465)*'OLD Formulas'!$O$3</f>
        <v>5137.9702</v>
      </c>
      <c r="X599" s="590">
        <f>(((X292+X294)+(X326))-X465)*'OLD Formulas'!$O$3</f>
        <v>4197.512</v>
      </c>
      <c r="Y599" s="590">
        <f>(((Y292+Y294)+(Y326))-Y465)*'OLD Formulas'!$O$3</f>
        <v>7571.476</v>
      </c>
      <c r="Z599" s="590">
        <f>(((Z292+Z294)+(Z326))-Z465)*'OLD Formulas'!$O$3</f>
        <v>3540.4644</v>
      </c>
      <c r="AA599" s="590">
        <f>(((AA292+AA294)+(AA326))-AA465)*'OLD Formulas'!$O$3</f>
        <v>5260.53</v>
      </c>
      <c r="AB599" s="590">
        <f>(((AB292+AB294)+(AB326))-AB465)*'OLD Formulas'!$O$3</f>
        <v>4211.438</v>
      </c>
      <c r="AC599" s="590">
        <f>(((AC292+AC294)+(AC326))-AC465)*'OLD Formulas'!$O$3</f>
        <v>1291.7674</v>
      </c>
      <c r="AD599" s="590">
        <f>(((AD292+AD294)+(AD326))-AD465)*'OLD Formulas'!$O$3</f>
        <v>510.84</v>
      </c>
      <c r="AE599" s="590">
        <f>(((AE292+AE294)+(AE326))-AE465)*'OLD Formulas'!$O$3</f>
        <v>509.6674</v>
      </c>
      <c r="AF599" s="590">
        <f>(((AF292+AF294)+(AF326))-AF465)*'OLD Formulas'!$O$3</f>
        <v>0</v>
      </c>
      <c r="AG599" s="623">
        <f t="shared" si="210"/>
        <v>62911.71612</v>
      </c>
    </row>
    <row r="600">
      <c r="A600" s="968" t="s">
        <v>1272</v>
      </c>
      <c r="B600" s="982">
        <f>(((B297+B299)+(B338))-B470)*'OLD Formulas'!$O$4</f>
        <v>0</v>
      </c>
      <c r="C600" s="982">
        <f>(((C297+C299)+(C338))-C470)*'OLD Formulas'!$O$4</f>
        <v>0</v>
      </c>
      <c r="D600" s="982">
        <f>(((D297+D299)+(D338))-D470)*'OLD Formulas'!$O$4</f>
        <v>0</v>
      </c>
      <c r="E600" s="982">
        <f>(((E297+E299)+(E338))-E470)*'OLD Formulas'!$O$4</f>
        <v>0</v>
      </c>
      <c r="F600" s="982">
        <f>(((F297+F299)+(F338))-F470)*'OLD Formulas'!$O$4</f>
        <v>0</v>
      </c>
      <c r="G600" s="982">
        <f>(((G297+G299)+(G338))-G470)*'OLD Formulas'!$O$4</f>
        <v>0</v>
      </c>
      <c r="H600" s="982">
        <f>(((H297+H299)+(H338))-H470)*'OLD Formulas'!$O$4</f>
        <v>0</v>
      </c>
      <c r="I600" s="982">
        <f>(((I297+I299)+(I338))-I470)*'OLD Formulas'!$O$4</f>
        <v>0</v>
      </c>
      <c r="J600" s="982">
        <f>(((J297+J299)+(J338))-J470)*'OLD Formulas'!$O$4</f>
        <v>0</v>
      </c>
      <c r="K600" s="982">
        <f>(((K297+K299)+(K338))-K470)*'OLD Formulas'!$O$4</f>
        <v>0</v>
      </c>
      <c r="L600" s="982">
        <f>(((L297+L299)+(L338))-L470)*'OLD Formulas'!$O$4</f>
        <v>0</v>
      </c>
      <c r="M600" s="982">
        <f>(((M297+M299)+(M338))-M470)*'OLD Formulas'!$O$4</f>
        <v>0</v>
      </c>
      <c r="N600" s="982">
        <f>(((N297+N299)+(N338))-N470)*'OLD Formulas'!$O$4</f>
        <v>0</v>
      </c>
      <c r="O600" s="982">
        <f>(((O297+O299)+(O338))-O470)*'OLD Formulas'!$O$4</f>
        <v>0</v>
      </c>
      <c r="P600" s="982">
        <f>(((P297+P299)+(P338))-P470)*'OLD Formulas'!$O$4</f>
        <v>0</v>
      </c>
      <c r="Q600" s="982">
        <f>(((Q297+Q299)+(Q338))-Q470)*'OLD Formulas'!$O$4</f>
        <v>0</v>
      </c>
      <c r="R600" s="982">
        <f>(((R297+R299)+(R338))-R470)*'OLD Formulas'!$O$4</f>
        <v>0</v>
      </c>
      <c r="S600" s="982">
        <f>(((S297+S299)+(S338))-S470)*'OLD Formulas'!$O$4</f>
        <v>0</v>
      </c>
      <c r="T600" s="982">
        <f>(((T297+T299)+(T338))-T470)*'OLD Formulas'!$O$4</f>
        <v>0</v>
      </c>
      <c r="U600" s="982">
        <f>(((U297+U299)+(U338))-U470)*'OLD Formulas'!$O$4</f>
        <v>0</v>
      </c>
      <c r="V600" s="982">
        <f>(((V297+V299)+(V338))-V470)*'OLD Formulas'!$O$4</f>
        <v>0</v>
      </c>
      <c r="W600" s="982">
        <f>(((W297+W299)+(W338))-W470)*'OLD Formulas'!$O$4</f>
        <v>0</v>
      </c>
      <c r="X600" s="982">
        <f>(((X297+X299)+(X338))-X470)*'OLD Formulas'!$O$4</f>
        <v>0</v>
      </c>
      <c r="Y600" s="982">
        <f>(((Y297+Y299)+(Y338))-Y470)*'OLD Formulas'!$O$4</f>
        <v>0</v>
      </c>
      <c r="Z600" s="982">
        <f>(((Z297+Z299)+(Z338))-Z470)*'OLD Formulas'!$O$4</f>
        <v>0</v>
      </c>
      <c r="AA600" s="982">
        <f>(((AA297+AA299)+(AA338))-AA470)*'OLD Formulas'!$O$4</f>
        <v>0</v>
      </c>
      <c r="AB600" s="982">
        <f>(((AB297+AB299)+(AB338))-AB470)*'OLD Formulas'!$O$4</f>
        <v>0</v>
      </c>
      <c r="AC600" s="982">
        <f>(((AC297+AC299)+(AC338))-AC470)*'OLD Formulas'!$O$4</f>
        <v>0</v>
      </c>
      <c r="AD600" s="982">
        <f>(((AD297+AD299)+(AD338))-AD470)*'OLD Formulas'!$O$4</f>
        <v>0</v>
      </c>
      <c r="AE600" s="982">
        <f>(((AE297+AE299)+(AE338))-AE470)*'OLD Formulas'!$O$4</f>
        <v>0</v>
      </c>
      <c r="AF600" s="982">
        <f>(((AF297+AF299)+(AF338))-AF470)*'OLD Formulas'!$O$4</f>
        <v>0</v>
      </c>
      <c r="AG600" s="623">
        <f t="shared" si="210"/>
        <v>0</v>
      </c>
    </row>
    <row r="601" collapsed="1">
      <c r="A601" s="969" t="s">
        <v>444</v>
      </c>
      <c r="B601" s="970">
        <f t="shared" ref="B601:AF601" si="212">iferror(B602+B603+B604+B605+B606,"")</f>
        <v>652</v>
      </c>
      <c r="C601" s="970">
        <f t="shared" si="212"/>
        <v>2330.85</v>
      </c>
      <c r="D601" s="970">
        <f t="shared" si="212"/>
        <v>1505.1</v>
      </c>
      <c r="E601" s="970">
        <f t="shared" si="212"/>
        <v>0</v>
      </c>
      <c r="F601" s="970">
        <f t="shared" si="212"/>
        <v>216.8</v>
      </c>
      <c r="G601" s="970">
        <f t="shared" si="212"/>
        <v>435</v>
      </c>
      <c r="H601" s="970">
        <f t="shared" si="212"/>
        <v>238</v>
      </c>
      <c r="I601" s="970">
        <f t="shared" si="212"/>
        <v>3918.7</v>
      </c>
      <c r="J601" s="970">
        <f t="shared" si="212"/>
        <v>538</v>
      </c>
      <c r="K601" s="970">
        <f t="shared" si="212"/>
        <v>1290.14</v>
      </c>
      <c r="L601" s="970">
        <f t="shared" si="212"/>
        <v>0</v>
      </c>
      <c r="M601" s="970">
        <f t="shared" si="212"/>
        <v>85</v>
      </c>
      <c r="N601" s="970">
        <f t="shared" si="212"/>
        <v>692</v>
      </c>
      <c r="O601" s="970">
        <f t="shared" si="212"/>
        <v>2417.97</v>
      </c>
      <c r="P601" s="970">
        <f t="shared" si="212"/>
        <v>960</v>
      </c>
      <c r="Q601" s="970">
        <f t="shared" si="212"/>
        <v>1020.62</v>
      </c>
      <c r="R601" s="970">
        <f t="shared" si="212"/>
        <v>286.11</v>
      </c>
      <c r="S601" s="970">
        <f t="shared" si="212"/>
        <v>39</v>
      </c>
      <c r="T601" s="970">
        <f t="shared" si="212"/>
        <v>4678</v>
      </c>
      <c r="U601" s="970">
        <f t="shared" si="212"/>
        <v>5233.39</v>
      </c>
      <c r="V601" s="970">
        <f t="shared" si="212"/>
        <v>6422.47</v>
      </c>
      <c r="W601" s="970">
        <f t="shared" si="212"/>
        <v>2681.5</v>
      </c>
      <c r="X601" s="970">
        <f t="shared" si="212"/>
        <v>6076.13</v>
      </c>
      <c r="Y601" s="970">
        <f t="shared" si="212"/>
        <v>5274.14</v>
      </c>
      <c r="Z601" s="970">
        <f t="shared" si="212"/>
        <v>6533.7</v>
      </c>
      <c r="AA601" s="970">
        <f t="shared" si="212"/>
        <v>5528.72</v>
      </c>
      <c r="AB601" s="970">
        <f t="shared" si="212"/>
        <v>5291.77</v>
      </c>
      <c r="AC601" s="970">
        <f t="shared" si="212"/>
        <v>8802.1</v>
      </c>
      <c r="AD601" s="970">
        <f t="shared" si="212"/>
        <v>3643.69</v>
      </c>
      <c r="AE601" s="970">
        <f t="shared" si="212"/>
        <v>4528.12</v>
      </c>
      <c r="AF601" s="970">
        <f t="shared" si="212"/>
        <v>0</v>
      </c>
      <c r="AG601" s="623">
        <f t="shared" si="210"/>
        <v>81319.02</v>
      </c>
    </row>
    <row r="602" hidden="1" outlineLevel="1">
      <c r="A602" s="352" t="s">
        <v>1273</v>
      </c>
      <c r="B602" s="590">
        <f t="shared" ref="B602:AF602" si="213">B458+B466+B471</f>
        <v>378</v>
      </c>
      <c r="C602" s="590">
        <f t="shared" si="213"/>
        <v>360</v>
      </c>
      <c r="D602" s="590">
        <f t="shared" si="213"/>
        <v>1204</v>
      </c>
      <c r="E602" s="590">
        <f t="shared" si="213"/>
        <v>0</v>
      </c>
      <c r="F602" s="590">
        <f t="shared" si="213"/>
        <v>0</v>
      </c>
      <c r="G602" s="590">
        <f t="shared" si="213"/>
        <v>435</v>
      </c>
      <c r="H602" s="590">
        <f t="shared" si="213"/>
        <v>0</v>
      </c>
      <c r="I602" s="590">
        <f t="shared" si="213"/>
        <v>677</v>
      </c>
      <c r="J602" s="590">
        <f t="shared" si="213"/>
        <v>209</v>
      </c>
      <c r="K602" s="590">
        <f t="shared" si="213"/>
        <v>860.68</v>
      </c>
      <c r="L602" s="590">
        <f t="shared" si="213"/>
        <v>0</v>
      </c>
      <c r="M602" s="590">
        <f t="shared" si="213"/>
        <v>0</v>
      </c>
      <c r="N602" s="590">
        <f t="shared" si="213"/>
        <v>418</v>
      </c>
      <c r="O602" s="590">
        <f t="shared" si="213"/>
        <v>681.63</v>
      </c>
      <c r="P602" s="590">
        <f t="shared" si="213"/>
        <v>627</v>
      </c>
      <c r="Q602" s="590">
        <f t="shared" si="213"/>
        <v>492.07</v>
      </c>
      <c r="R602" s="590">
        <f t="shared" si="213"/>
        <v>0</v>
      </c>
      <c r="S602" s="590">
        <f t="shared" si="213"/>
        <v>0</v>
      </c>
      <c r="T602" s="590">
        <f t="shared" si="213"/>
        <v>1361</v>
      </c>
      <c r="U602" s="590">
        <f t="shared" si="213"/>
        <v>3085.04</v>
      </c>
      <c r="V602" s="590">
        <f t="shared" si="213"/>
        <v>4339.82</v>
      </c>
      <c r="W602" s="590">
        <f t="shared" si="213"/>
        <v>2085.5</v>
      </c>
      <c r="X602" s="590">
        <f t="shared" si="213"/>
        <v>3103.86</v>
      </c>
      <c r="Y602" s="590">
        <f t="shared" si="213"/>
        <v>5159.14</v>
      </c>
      <c r="Z602" s="590">
        <f t="shared" si="213"/>
        <v>6533.7</v>
      </c>
      <c r="AA602" s="590">
        <f t="shared" si="213"/>
        <v>5470.58</v>
      </c>
      <c r="AB602" s="590">
        <f t="shared" si="213"/>
        <v>5121.37</v>
      </c>
      <c r="AC602" s="590">
        <f t="shared" si="213"/>
        <v>8090.99</v>
      </c>
      <c r="AD602" s="590">
        <f t="shared" si="213"/>
        <v>3379.91</v>
      </c>
      <c r="AE602" s="590">
        <f t="shared" si="213"/>
        <v>3596.12</v>
      </c>
      <c r="AF602" s="590">
        <f t="shared" si="213"/>
        <v>0</v>
      </c>
      <c r="AG602" s="623">
        <f t="shared" si="210"/>
        <v>57669.41</v>
      </c>
    </row>
    <row r="603" hidden="1" outlineLevel="1">
      <c r="A603" s="352" t="s">
        <v>1274</v>
      </c>
      <c r="B603" s="964">
        <f t="shared" ref="B603:AF603" si="214">(B477+B482+B487)</f>
        <v>234</v>
      </c>
      <c r="C603" s="964">
        <f t="shared" si="214"/>
        <v>1750.35</v>
      </c>
      <c r="D603" s="964">
        <f t="shared" si="214"/>
        <v>271.1</v>
      </c>
      <c r="E603" s="964">
        <f t="shared" si="214"/>
        <v>0</v>
      </c>
      <c r="F603" s="964">
        <f t="shared" si="214"/>
        <v>201.8</v>
      </c>
      <c r="G603" s="964">
        <f t="shared" si="214"/>
        <v>0</v>
      </c>
      <c r="H603" s="964">
        <f t="shared" si="214"/>
        <v>223</v>
      </c>
      <c r="I603" s="964">
        <f t="shared" si="214"/>
        <v>3063.65</v>
      </c>
      <c r="J603" s="964">
        <f t="shared" si="214"/>
        <v>314</v>
      </c>
      <c r="K603" s="964">
        <f t="shared" si="214"/>
        <v>0</v>
      </c>
      <c r="L603" s="964">
        <f t="shared" si="214"/>
        <v>0</v>
      </c>
      <c r="M603" s="964">
        <f t="shared" si="214"/>
        <v>70</v>
      </c>
      <c r="N603" s="964">
        <f t="shared" si="214"/>
        <v>259</v>
      </c>
      <c r="O603" s="964">
        <f t="shared" si="214"/>
        <v>1520</v>
      </c>
      <c r="P603" s="964">
        <f t="shared" si="214"/>
        <v>293</v>
      </c>
      <c r="Q603" s="964">
        <f t="shared" si="214"/>
        <v>468</v>
      </c>
      <c r="R603" s="964">
        <f t="shared" si="214"/>
        <v>271.11</v>
      </c>
      <c r="S603" s="964">
        <f t="shared" si="214"/>
        <v>24</v>
      </c>
      <c r="T603" s="964">
        <f t="shared" si="214"/>
        <v>3122</v>
      </c>
      <c r="U603" s="964">
        <f t="shared" si="214"/>
        <v>1978.35</v>
      </c>
      <c r="V603" s="964">
        <f t="shared" si="214"/>
        <v>1947.65</v>
      </c>
      <c r="W603" s="964">
        <f t="shared" si="214"/>
        <v>566</v>
      </c>
      <c r="X603" s="964">
        <f t="shared" si="214"/>
        <v>2761.75</v>
      </c>
      <c r="Y603" s="964">
        <f t="shared" si="214"/>
        <v>0</v>
      </c>
      <c r="Z603" s="964">
        <f t="shared" si="214"/>
        <v>0</v>
      </c>
      <c r="AA603" s="964">
        <f t="shared" si="214"/>
        <v>0</v>
      </c>
      <c r="AB603" s="964">
        <f t="shared" si="214"/>
        <v>100</v>
      </c>
      <c r="AC603" s="964">
        <f t="shared" si="214"/>
        <v>571</v>
      </c>
      <c r="AD603" s="964">
        <f t="shared" si="214"/>
        <v>169</v>
      </c>
      <c r="AE603" s="964">
        <f t="shared" si="214"/>
        <v>625</v>
      </c>
      <c r="AF603" s="964">
        <f t="shared" si="214"/>
        <v>0</v>
      </c>
      <c r="AG603" s="623">
        <f t="shared" si="210"/>
        <v>20803.76</v>
      </c>
    </row>
    <row r="604" hidden="1" outlineLevel="1">
      <c r="A604" s="682" t="s">
        <v>1259</v>
      </c>
      <c r="B604" s="964">
        <f>(B452*'OLD Formulas'!$R$3)+(B453*'OLD Formulas'!$R$4)+(B454*'OLD Formulas'!$R$5)</f>
        <v>40</v>
      </c>
      <c r="C604" s="964">
        <f>(C452*'OLD Formulas'!$R$3)+(C453*'OLD Formulas'!$R$4)+(C454*'OLD Formulas'!$R$5)</f>
        <v>145</v>
      </c>
      <c r="D604" s="964">
        <f>(D452*'OLD Formulas'!$R$3)+(D453*'OLD Formulas'!$R$4)+(D454*'OLD Formulas'!$R$5)</f>
        <v>30</v>
      </c>
      <c r="E604" s="964">
        <f>(E452*'OLD Formulas'!$R$3)+(E453*'OLD Formulas'!$R$4)+(E454*'OLD Formulas'!$R$5)</f>
        <v>0</v>
      </c>
      <c r="F604" s="964">
        <f>(F452*'OLD Formulas'!$R$3)+(F453*'OLD Formulas'!$R$4)+(F454*'OLD Formulas'!$R$5)</f>
        <v>15</v>
      </c>
      <c r="G604" s="964">
        <f>(G452*'OLD Formulas'!$R$3)+(G453*'OLD Formulas'!$R$4)+(G454*'OLD Formulas'!$R$5)</f>
        <v>0</v>
      </c>
      <c r="H604" s="964">
        <f>(H452*'OLD Formulas'!$R$3)+(H453*'OLD Formulas'!$R$4)+(H454*'OLD Formulas'!$R$5)</f>
        <v>15</v>
      </c>
      <c r="I604" s="964">
        <f>(I452*'OLD Formulas'!$R$3)+(I453*'OLD Formulas'!$R$4)+(I454*'OLD Formulas'!$R$5)</f>
        <v>60</v>
      </c>
      <c r="J604" s="964">
        <f>(J452*'OLD Formulas'!$R$3)+(J453*'OLD Formulas'!$R$4)+(J454*'OLD Formulas'!$R$5)</f>
        <v>15</v>
      </c>
      <c r="K604" s="964">
        <f>(K452*'OLD Formulas'!$R$3)+(K453*'OLD Formulas'!$R$4)+(K454*'OLD Formulas'!$R$5)</f>
        <v>85</v>
      </c>
      <c r="L604" s="964">
        <f>(L452*'OLD Formulas'!$R$3)+(L453*'OLD Formulas'!$R$4)+(L454*'OLD Formulas'!$R$5)</f>
        <v>0</v>
      </c>
      <c r="M604" s="964">
        <f>(M452*'OLD Formulas'!$R$3)+(M453*'OLD Formulas'!$R$4)+(M454*'OLD Formulas'!$R$5)</f>
        <v>15</v>
      </c>
      <c r="N604" s="964">
        <f>(N452*'OLD Formulas'!$R$3)+(N453*'OLD Formulas'!$R$4)+(N454*'OLD Formulas'!$R$5)</f>
        <v>15</v>
      </c>
      <c r="O604" s="964">
        <f>(O452*'OLD Formulas'!$R$3)+(O453*'OLD Formulas'!$R$4)+(O454*'OLD Formulas'!$R$5)</f>
        <v>140</v>
      </c>
      <c r="P604" s="964">
        <f>(P452*'OLD Formulas'!$R$3)+(P453*'OLD Formulas'!$R$4)+(P454*'OLD Formulas'!$R$5)</f>
        <v>30</v>
      </c>
      <c r="Q604" s="964">
        <f>(Q452*'OLD Formulas'!$R$3)+(Q453*'OLD Formulas'!$R$4)+(Q454*'OLD Formulas'!$R$5)</f>
        <v>30</v>
      </c>
      <c r="R604" s="964">
        <f>(R452*'OLD Formulas'!$R$3)+(R453*'OLD Formulas'!$R$4)+(R454*'OLD Formulas'!$R$5)</f>
        <v>15</v>
      </c>
      <c r="S604" s="964">
        <f>(S452*'OLD Formulas'!$R$3)+(S453*'OLD Formulas'!$R$4)+(S454*'OLD Formulas'!$R$5)</f>
        <v>15</v>
      </c>
      <c r="T604" s="964">
        <f>(T452*'OLD Formulas'!$R$3)+(T453*'OLD Formulas'!$R$4)+(T454*'OLD Formulas'!$R$5)</f>
        <v>195</v>
      </c>
      <c r="U604" s="964">
        <f>(U452*'OLD Formulas'!$R$3)+(U453*'OLD Formulas'!$R$4)+(U454*'OLD Formulas'!$R$5)</f>
        <v>170</v>
      </c>
      <c r="V604" s="964">
        <f>(V452*'OLD Formulas'!$R$3)+(V453*'OLD Formulas'!$R$4)+(V454*'OLD Formulas'!$R$5)</f>
        <v>135</v>
      </c>
      <c r="W604" s="964">
        <f>(W452*'OLD Formulas'!$R$3)+(W453*'OLD Formulas'!$R$4)+(W454*'OLD Formulas'!$R$5)</f>
        <v>30</v>
      </c>
      <c r="X604" s="964">
        <f>(X452*'OLD Formulas'!$R$3)+(X453*'OLD Formulas'!$R$4)+(X454*'OLD Formulas'!$R$5)</f>
        <v>180</v>
      </c>
      <c r="Y604" s="964">
        <f>(Y452*'OLD Formulas'!$R$3)+(Y453*'OLD Formulas'!$R$4)+(Y454*'OLD Formulas'!$R$5)</f>
        <v>0</v>
      </c>
      <c r="Z604" s="964">
        <f>(Z452*'OLD Formulas'!$R$3)+(Z453*'OLD Formulas'!$R$4)+(Z454*'OLD Formulas'!$R$5)</f>
        <v>0</v>
      </c>
      <c r="AA604" s="964">
        <f>(AA452*'OLD Formulas'!$R$3)+(AA453*'OLD Formulas'!$R$4)+(AA454*'OLD Formulas'!$R$5)</f>
        <v>0</v>
      </c>
      <c r="AB604" s="964">
        <f>(AB452*'OLD Formulas'!$R$3)+(AB453*'OLD Formulas'!$R$4)+(AB454*'OLD Formulas'!$R$5)</f>
        <v>30</v>
      </c>
      <c r="AC604" s="964">
        <f>(AC452*'OLD Formulas'!$R$3)+(AC453*'OLD Formulas'!$R$4)+(AC454*'OLD Formulas'!$R$5)</f>
        <v>45</v>
      </c>
      <c r="AD604" s="964">
        <f>(AD452*'OLD Formulas'!$R$3)+(AD453*'OLD Formulas'!$R$4)+(AD454*'OLD Formulas'!$R$5)</f>
        <v>15</v>
      </c>
      <c r="AE604" s="964">
        <f>(AE452*'OLD Formulas'!$R$3)+(AE453*'OLD Formulas'!$R$4)+(AE454*'OLD Formulas'!$R$5)</f>
        <v>45</v>
      </c>
      <c r="AF604" s="964">
        <f>(AF452*'OLD Formulas'!$R$3)+(AF453*'OLD Formulas'!$R$4)+(AF454*'OLD Formulas'!$R$5)</f>
        <v>0</v>
      </c>
      <c r="AG604" s="623">
        <f t="shared" si="210"/>
        <v>1510</v>
      </c>
    </row>
    <row r="605" hidden="1" outlineLevel="1">
      <c r="A605" s="352" t="s">
        <v>376</v>
      </c>
      <c r="B605" s="965">
        <v>0.0</v>
      </c>
      <c r="C605" s="965">
        <v>0.0</v>
      </c>
      <c r="D605" s="965">
        <v>0.0</v>
      </c>
      <c r="E605" s="983">
        <v>0.0</v>
      </c>
      <c r="F605" s="965">
        <v>0.0</v>
      </c>
      <c r="G605" s="965">
        <v>0.0</v>
      </c>
      <c r="H605" s="965">
        <v>0.0</v>
      </c>
      <c r="I605" s="965">
        <v>0.0</v>
      </c>
      <c r="J605" s="965">
        <v>0.0</v>
      </c>
      <c r="K605" s="965">
        <v>331.48</v>
      </c>
      <c r="L605" s="965">
        <v>0.0</v>
      </c>
      <c r="M605" s="965">
        <v>0.0</v>
      </c>
      <c r="N605" s="965">
        <v>0.0</v>
      </c>
      <c r="O605" s="965">
        <v>0.0</v>
      </c>
      <c r="P605" s="965"/>
      <c r="Q605" s="965">
        <v>0.0</v>
      </c>
      <c r="R605" s="965">
        <v>0.0</v>
      </c>
      <c r="S605" s="965">
        <v>0.0</v>
      </c>
      <c r="T605" s="965">
        <v>0.0</v>
      </c>
      <c r="U605" s="965">
        <v>0.0</v>
      </c>
      <c r="V605" s="965">
        <v>0.0</v>
      </c>
      <c r="W605" s="965">
        <v>0.0</v>
      </c>
      <c r="X605" s="965">
        <v>0.0</v>
      </c>
      <c r="Y605" s="965">
        <v>0.0</v>
      </c>
      <c r="Z605" s="965">
        <v>0.0</v>
      </c>
      <c r="AA605" s="965">
        <v>58.14</v>
      </c>
      <c r="AB605" s="965">
        <v>0.0</v>
      </c>
      <c r="AC605" s="965">
        <v>95.11</v>
      </c>
      <c r="AD605" s="965"/>
      <c r="AE605" s="965">
        <v>0.0</v>
      </c>
      <c r="AF605" s="965"/>
      <c r="AG605" s="623">
        <f t="shared" si="210"/>
        <v>484.73</v>
      </c>
    </row>
    <row r="606" hidden="1" outlineLevel="1">
      <c r="A606" s="352" t="s">
        <v>556</v>
      </c>
      <c r="B606" s="965">
        <v>0.0</v>
      </c>
      <c r="C606" s="965">
        <v>75.5</v>
      </c>
      <c r="D606" s="983">
        <v>0.0</v>
      </c>
      <c r="E606" s="983">
        <v>0.0</v>
      </c>
      <c r="F606" s="965">
        <v>0.0</v>
      </c>
      <c r="G606" s="965">
        <v>0.0</v>
      </c>
      <c r="H606" s="965">
        <v>0.0</v>
      </c>
      <c r="I606" s="965">
        <v>118.05</v>
      </c>
      <c r="J606" s="965">
        <v>0.0</v>
      </c>
      <c r="K606" s="965">
        <v>12.98</v>
      </c>
      <c r="L606" s="965">
        <v>0.0</v>
      </c>
      <c r="M606" s="965">
        <v>0.0</v>
      </c>
      <c r="N606" s="965">
        <v>0.0</v>
      </c>
      <c r="O606" s="965">
        <v>76.34</v>
      </c>
      <c r="P606" s="965">
        <v>10.0</v>
      </c>
      <c r="Q606" s="965">
        <v>30.55</v>
      </c>
      <c r="R606" s="965">
        <v>0.0</v>
      </c>
      <c r="S606" s="965">
        <v>0.0</v>
      </c>
      <c r="T606" s="965">
        <v>0.0</v>
      </c>
      <c r="U606" s="965">
        <v>0.0</v>
      </c>
      <c r="V606" s="965">
        <v>0.0</v>
      </c>
      <c r="W606" s="965">
        <v>0.0</v>
      </c>
      <c r="X606" s="965">
        <v>30.52</v>
      </c>
      <c r="Y606" s="965">
        <v>115.0</v>
      </c>
      <c r="Z606" s="965">
        <v>0.0</v>
      </c>
      <c r="AA606" s="965"/>
      <c r="AB606" s="965">
        <v>40.4</v>
      </c>
      <c r="AC606" s="965">
        <v>0.0</v>
      </c>
      <c r="AD606" s="965">
        <v>79.78</v>
      </c>
      <c r="AE606" s="965">
        <v>262.0</v>
      </c>
      <c r="AF606" s="965"/>
      <c r="AG606" s="623">
        <f t="shared" si="210"/>
        <v>851.12</v>
      </c>
    </row>
    <row r="607">
      <c r="A607" s="682" t="s">
        <v>1275</v>
      </c>
      <c r="B607" s="964">
        <f>B131*'OLD Formulas'!$C$21</f>
        <v>0</v>
      </c>
      <c r="C607" s="964">
        <f>C131*'OLD Formulas'!$C$21</f>
        <v>0</v>
      </c>
      <c r="D607" s="964">
        <f>D131*'OLD Formulas'!$C$21</f>
        <v>0</v>
      </c>
      <c r="E607" s="964">
        <f>E131*'OLD Formulas'!$C$21</f>
        <v>0</v>
      </c>
      <c r="F607" s="964">
        <f>F131*'OLD Formulas'!$C$21</f>
        <v>0</v>
      </c>
      <c r="G607" s="964">
        <f>G131*'OLD Formulas'!$C$21</f>
        <v>0</v>
      </c>
      <c r="H607" s="964">
        <f>H131*'OLD Formulas'!$C$21</f>
        <v>0</v>
      </c>
      <c r="I607" s="964">
        <f>I131*'OLD Formulas'!$C$21</f>
        <v>0</v>
      </c>
      <c r="J607" s="964">
        <f>J131*'OLD Formulas'!$C$21</f>
        <v>0</v>
      </c>
      <c r="K607" s="964">
        <f>K131*'OLD Formulas'!$C$21</f>
        <v>0</v>
      </c>
      <c r="L607" s="964">
        <f>L131*'OLD Formulas'!$C$21</f>
        <v>0</v>
      </c>
      <c r="M607" s="964">
        <f>M131*'OLD Formulas'!$C$21</f>
        <v>0</v>
      </c>
      <c r="N607" s="964">
        <f>N131*'OLD Formulas'!$C$21</f>
        <v>0</v>
      </c>
      <c r="O607" s="964">
        <f>O131*'OLD Formulas'!$C$21</f>
        <v>0</v>
      </c>
      <c r="P607" s="964">
        <f>P131*'OLD Formulas'!$C$21</f>
        <v>0</v>
      </c>
      <c r="Q607" s="964">
        <f>Q131*'OLD Formulas'!$C$21</f>
        <v>0</v>
      </c>
      <c r="R607" s="964">
        <f>R131*'OLD Formulas'!$C$21</f>
        <v>0</v>
      </c>
      <c r="S607" s="964">
        <f>S131*'OLD Formulas'!$C$21</f>
        <v>0</v>
      </c>
      <c r="T607" s="964">
        <f>T131*'OLD Formulas'!$C$21</f>
        <v>0</v>
      </c>
      <c r="U607" s="964">
        <f>U131*'OLD Formulas'!$C$21</f>
        <v>0</v>
      </c>
      <c r="V607" s="964">
        <f>V131*'OLD Formulas'!$C$21</f>
        <v>0</v>
      </c>
      <c r="W607" s="964">
        <f>W131*'OLD Formulas'!$C$21</f>
        <v>0</v>
      </c>
      <c r="X607" s="964">
        <f>X131*'OLD Formulas'!$C$21</f>
        <v>0</v>
      </c>
      <c r="Y607" s="964">
        <f>Y131*'OLD Formulas'!$C$21</f>
        <v>0</v>
      </c>
      <c r="Z607" s="964">
        <f>Z131*'OLD Formulas'!$C$21</f>
        <v>0</v>
      </c>
      <c r="AA607" s="964">
        <f>AA131*'OLD Formulas'!$C$21</f>
        <v>0</v>
      </c>
      <c r="AB607" s="964">
        <f>AB131*'OLD Formulas'!$C$21</f>
        <v>0</v>
      </c>
      <c r="AC607" s="964">
        <f>AC131*'OLD Formulas'!$C$21</f>
        <v>0</v>
      </c>
      <c r="AD607" s="964">
        <f>AD131*'OLD Formulas'!$C$21</f>
        <v>0</v>
      </c>
      <c r="AE607" s="964">
        <f>AE131*'OLD Formulas'!$C$21</f>
        <v>0</v>
      </c>
      <c r="AF607" s="964">
        <f>AF131*'OLD Formulas'!$C$21</f>
        <v>0</v>
      </c>
      <c r="AG607" s="623">
        <f t="shared" si="210"/>
        <v>0</v>
      </c>
    </row>
    <row r="608" collapsed="1">
      <c r="A608" s="975" t="s">
        <v>1276</v>
      </c>
      <c r="B608" s="964">
        <f t="shared" ref="B608:AF608" si="215">sum(B609:B614)</f>
        <v>1173.12</v>
      </c>
      <c r="C608" s="964">
        <f t="shared" si="215"/>
        <v>1204.32</v>
      </c>
      <c r="D608" s="964">
        <f t="shared" si="215"/>
        <v>1219.92</v>
      </c>
      <c r="E608" s="964">
        <f t="shared" si="215"/>
        <v>1326</v>
      </c>
      <c r="F608" s="964">
        <f t="shared" si="215"/>
        <v>1457.04</v>
      </c>
      <c r="G608" s="964">
        <f t="shared" si="215"/>
        <v>1375.92</v>
      </c>
      <c r="H608" s="964">
        <f t="shared" si="215"/>
        <v>1291.68</v>
      </c>
      <c r="I608" s="964">
        <f t="shared" si="215"/>
        <v>1232.4</v>
      </c>
      <c r="J608" s="964">
        <f t="shared" si="215"/>
        <v>1341.6</v>
      </c>
      <c r="K608" s="964">
        <f t="shared" si="215"/>
        <v>1350.96</v>
      </c>
      <c r="L608" s="964">
        <f t="shared" si="215"/>
        <v>1759.68</v>
      </c>
      <c r="M608" s="964">
        <f t="shared" si="215"/>
        <v>1666.08</v>
      </c>
      <c r="N608" s="964">
        <f t="shared" si="215"/>
        <v>1307.28</v>
      </c>
      <c r="O608" s="964">
        <f t="shared" si="215"/>
        <v>1497.6</v>
      </c>
      <c r="P608" s="964">
        <f t="shared" si="215"/>
        <v>1382.16</v>
      </c>
      <c r="Q608" s="964">
        <f t="shared" si="215"/>
        <v>1307.28</v>
      </c>
      <c r="R608" s="964">
        <f t="shared" si="215"/>
        <v>1379.04</v>
      </c>
      <c r="S608" s="964">
        <f t="shared" si="215"/>
        <v>1828.32</v>
      </c>
      <c r="T608" s="964">
        <f t="shared" si="215"/>
        <v>1488.24</v>
      </c>
      <c r="U608" s="964">
        <f t="shared" si="215"/>
        <v>1778.4</v>
      </c>
      <c r="V608" s="964">
        <f t="shared" si="215"/>
        <v>1896.96</v>
      </c>
      <c r="W608" s="964">
        <f t="shared" si="215"/>
        <v>2826.72</v>
      </c>
      <c r="X608" s="964">
        <f t="shared" si="215"/>
        <v>3257.28</v>
      </c>
      <c r="Y608" s="964">
        <f t="shared" si="215"/>
        <v>9150.96</v>
      </c>
      <c r="Z608" s="964">
        <f t="shared" si="215"/>
        <v>4421.04</v>
      </c>
      <c r="AA608" s="964">
        <f t="shared" si="215"/>
        <v>4798.56</v>
      </c>
      <c r="AB608" s="964">
        <f t="shared" si="215"/>
        <v>6467.76</v>
      </c>
      <c r="AC608" s="964">
        <f t="shared" si="215"/>
        <v>3943.68</v>
      </c>
      <c r="AD608" s="964">
        <f t="shared" si="215"/>
        <v>252.72</v>
      </c>
      <c r="AE608" s="964">
        <f t="shared" si="215"/>
        <v>240.24</v>
      </c>
      <c r="AF608" s="964">
        <f t="shared" si="215"/>
        <v>0</v>
      </c>
      <c r="AG608" s="623">
        <f t="shared" si="210"/>
        <v>65622.96</v>
      </c>
    </row>
    <row r="609" hidden="1" outlineLevel="1">
      <c r="A609" s="975" t="s">
        <v>1277</v>
      </c>
      <c r="B609" s="964">
        <f>((B535+B536)*'OLD Formulas'!$C$22)</f>
        <v>112.8</v>
      </c>
      <c r="C609" s="964">
        <f>((C535+C536)*'OLD Formulas'!$C$22)</f>
        <v>115.8</v>
      </c>
      <c r="D609" s="964">
        <f>((D535+D536)*'OLD Formulas'!$C$22)</f>
        <v>117.3</v>
      </c>
      <c r="E609" s="964">
        <f>((E535+E536)*'OLD Formulas'!$C$22)</f>
        <v>127.5</v>
      </c>
      <c r="F609" s="964">
        <f>((F535+F536)*'OLD Formulas'!$C$22)</f>
        <v>140.1</v>
      </c>
      <c r="G609" s="964">
        <f>((G535+G536)*'OLD Formulas'!$C$22)</f>
        <v>132.3</v>
      </c>
      <c r="H609" s="964">
        <f>((H535+H536)*'OLD Formulas'!$C$22)</f>
        <v>124.2</v>
      </c>
      <c r="I609" s="964">
        <f>((I535+I536)*'OLD Formulas'!$C$22)</f>
        <v>118.5</v>
      </c>
      <c r="J609" s="964">
        <f>((J535+J536)*'OLD Formulas'!$C$22)</f>
        <v>129</v>
      </c>
      <c r="K609" s="964">
        <f>((K535+K536)*'OLD Formulas'!$C$22)</f>
        <v>129.9</v>
      </c>
      <c r="L609" s="964">
        <f>((L535+L536)*'OLD Formulas'!$C$22)</f>
        <v>169.2</v>
      </c>
      <c r="M609" s="964">
        <f>((M535+M536)*'OLD Formulas'!$C$22)</f>
        <v>160.2</v>
      </c>
      <c r="N609" s="964">
        <f>((N535+N536)*'OLD Formulas'!$C$22)</f>
        <v>125.7</v>
      </c>
      <c r="O609" s="964">
        <f>((O535+O536)*'OLD Formulas'!$C$22)</f>
        <v>144</v>
      </c>
      <c r="P609" s="964">
        <f>((P535+P536)*'OLD Formulas'!$C$22)</f>
        <v>132.9</v>
      </c>
      <c r="Q609" s="964">
        <f>((Q535+Q536)*'OLD Formulas'!$C$22)</f>
        <v>125.7</v>
      </c>
      <c r="R609" s="964">
        <f>((R535+R536)*'OLD Formulas'!$C$22)</f>
        <v>132.6</v>
      </c>
      <c r="S609" s="964">
        <f>((S535+S536)*'OLD Formulas'!$C$22)</f>
        <v>175.8</v>
      </c>
      <c r="T609" s="964">
        <f>((T535+T536)*'OLD Formulas'!$C$22)</f>
        <v>143.1</v>
      </c>
      <c r="U609" s="964">
        <f>((U535+U536)*'OLD Formulas'!$C$22)</f>
        <v>171</v>
      </c>
      <c r="V609" s="964">
        <f>((V535+V536)*'OLD Formulas'!$C$22)</f>
        <v>182.4</v>
      </c>
      <c r="W609" s="964">
        <f>((W535+W536)*'OLD Formulas'!$C$22)</f>
        <v>271.8</v>
      </c>
      <c r="X609" s="964">
        <f>((X535+X536)*'OLD Formulas'!$C$22)</f>
        <v>313.2</v>
      </c>
      <c r="Y609" s="964">
        <f>((Y535+Y536)*'OLD Formulas'!$C$22)</f>
        <v>879.9</v>
      </c>
      <c r="Z609" s="964">
        <f>((Z535+Z536)*'OLD Formulas'!$C$22)</f>
        <v>425.1</v>
      </c>
      <c r="AA609" s="964">
        <f>((AA535+AA536)*'OLD Formulas'!$C$22)</f>
        <v>461.4</v>
      </c>
      <c r="AB609" s="964">
        <f>((AB535+AB536)*'OLD Formulas'!$C$22)</f>
        <v>621.9</v>
      </c>
      <c r="AC609" s="964">
        <f>((AC535+AC536)*'OLD Formulas'!$C$22)</f>
        <v>379.2</v>
      </c>
      <c r="AD609" s="964">
        <f>((AD535+AD536)*'OLD Formulas'!$C$22)</f>
        <v>24.3</v>
      </c>
      <c r="AE609" s="964">
        <f>((AE535+AE536)*'OLD Formulas'!$C$22)</f>
        <v>23.1</v>
      </c>
      <c r="AF609" s="964">
        <f>((AF535+AF536)*'OLD Formulas'!$C$22)</f>
        <v>0</v>
      </c>
      <c r="AG609" s="623">
        <f t="shared" si="210"/>
        <v>6309.9</v>
      </c>
    </row>
    <row r="610" hidden="1" outlineLevel="1">
      <c r="A610" s="975" t="s">
        <v>1278</v>
      </c>
      <c r="B610" s="243">
        <f>((B535+B536)*'OLD Formulas'!$C$23)</f>
        <v>116.56</v>
      </c>
      <c r="C610" s="243">
        <f>((C535+C536)*'OLD Formulas'!$C$23)</f>
        <v>119.66</v>
      </c>
      <c r="D610" s="243">
        <f>((D535+D536)*'OLD Formulas'!$C$23)</f>
        <v>121.21</v>
      </c>
      <c r="E610" s="243">
        <f>((E535+E536)*'OLD Formulas'!$C$23)</f>
        <v>131.75</v>
      </c>
      <c r="F610" s="243">
        <f>((F535+F536)*'OLD Formulas'!$C$23)</f>
        <v>144.77</v>
      </c>
      <c r="G610" s="243">
        <f>((G535+G536)*'OLD Formulas'!$C$23)</f>
        <v>136.71</v>
      </c>
      <c r="H610" s="243">
        <f>((H535+H536)*'OLD Formulas'!$C$23)</f>
        <v>128.34</v>
      </c>
      <c r="I610" s="243">
        <f>((I535+I536)*'OLD Formulas'!$C$23)</f>
        <v>122.45</v>
      </c>
      <c r="J610" s="243">
        <f>((J535+J536)*'OLD Formulas'!$C$23)</f>
        <v>133.3</v>
      </c>
      <c r="K610" s="243">
        <f>((K535+K536)*'OLD Formulas'!$C$23)</f>
        <v>134.23</v>
      </c>
      <c r="L610" s="243">
        <f>((L535+L536)*'OLD Formulas'!$C$23)</f>
        <v>174.84</v>
      </c>
      <c r="M610" s="243">
        <f>((M535+M536)*'OLD Formulas'!$C$23)</f>
        <v>165.54</v>
      </c>
      <c r="N610" s="243">
        <f>((N535+N536)*'OLD Formulas'!$C$23)</f>
        <v>129.89</v>
      </c>
      <c r="O610" s="243">
        <f>((O535+O536)*'OLD Formulas'!$C$23)</f>
        <v>148.8</v>
      </c>
      <c r="P610" s="243">
        <f>((P535+P536)*'OLD Formulas'!$C$23)</f>
        <v>137.33</v>
      </c>
      <c r="Q610" s="243">
        <f>((Q535+Q536)*'OLD Formulas'!$C$23)</f>
        <v>129.89</v>
      </c>
      <c r="R610" s="243">
        <f>((R535+R536)*'OLD Formulas'!$C$23)</f>
        <v>137.02</v>
      </c>
      <c r="S610" s="243">
        <f>((S535+S536)*'OLD Formulas'!$C$23)</f>
        <v>181.66</v>
      </c>
      <c r="T610" s="243">
        <f>((T535+T536)*'OLD Formulas'!$C$23)</f>
        <v>147.87</v>
      </c>
      <c r="U610" s="243">
        <f>((U535+U536)*'OLD Formulas'!$C$23)</f>
        <v>176.7</v>
      </c>
      <c r="V610" s="243">
        <f>((V535+V536)*'OLD Formulas'!$C$23)</f>
        <v>188.48</v>
      </c>
      <c r="W610" s="243">
        <f>((W535+W536)*'OLD Formulas'!$C$23)</f>
        <v>280.86</v>
      </c>
      <c r="X610" s="243">
        <f>((X535+X536)*'OLD Formulas'!$C$23)</f>
        <v>323.64</v>
      </c>
      <c r="Y610" s="243">
        <f>((Y535+Y536)*'OLD Formulas'!$C$23)</f>
        <v>909.23</v>
      </c>
      <c r="Z610" s="243">
        <f>((Z535+Z536)*'OLD Formulas'!$C$23)</f>
        <v>439.27</v>
      </c>
      <c r="AA610" s="243">
        <f>((AA535+AA536)*'OLD Formulas'!$C$23)</f>
        <v>476.78</v>
      </c>
      <c r="AB610" s="243">
        <f>((AB535+AB536)*'OLD Formulas'!$C$23)</f>
        <v>642.63</v>
      </c>
      <c r="AC610" s="243">
        <f>((AC535+AC536)*'OLD Formulas'!$C$23)</f>
        <v>391.84</v>
      </c>
      <c r="AD610" s="243">
        <f>((AD535+AD536)*'OLD Formulas'!$C$23)</f>
        <v>25.11</v>
      </c>
      <c r="AE610" s="243">
        <f>((AE535+AE536)*'OLD Formulas'!$C$23)</f>
        <v>23.87</v>
      </c>
      <c r="AF610" s="243">
        <f>((AF535+AF536)*'OLD Formulas'!$C$23)</f>
        <v>0</v>
      </c>
      <c r="AG610" s="623">
        <f t="shared" si="210"/>
        <v>6520.23</v>
      </c>
    </row>
    <row r="611" hidden="1" outlineLevel="1">
      <c r="A611" s="975" t="s">
        <v>1279</v>
      </c>
      <c r="B611" s="243">
        <f>((B535+B536)*'OLD Formulas'!$C$24)</f>
        <v>379.76</v>
      </c>
      <c r="C611" s="243">
        <f>((C535+C536)*'OLD Formulas'!$C$24)</f>
        <v>389.86</v>
      </c>
      <c r="D611" s="243">
        <f>((D535+D536)*'OLD Formulas'!$C$24)</f>
        <v>394.91</v>
      </c>
      <c r="E611" s="243">
        <f>((E535+E536)*'OLD Formulas'!$C$24)</f>
        <v>429.25</v>
      </c>
      <c r="F611" s="243">
        <f>((F535+F536)*'OLD Formulas'!$C$24)</f>
        <v>471.67</v>
      </c>
      <c r="G611" s="243">
        <f>((G535+G536)*'OLD Formulas'!$C$24)</f>
        <v>445.41</v>
      </c>
      <c r="H611" s="243">
        <f>((H535+H536)*'OLD Formulas'!$C$24)</f>
        <v>418.14</v>
      </c>
      <c r="I611" s="243">
        <f>((I535+I536)*'OLD Formulas'!$C$24)</f>
        <v>398.95</v>
      </c>
      <c r="J611" s="243">
        <f>((J535+J536)*'OLD Formulas'!$C$24)</f>
        <v>434.3</v>
      </c>
      <c r="K611" s="243">
        <f>((K535+K536)*'OLD Formulas'!$C$24)</f>
        <v>437.33</v>
      </c>
      <c r="L611" s="243">
        <f>((L535+L536)*'OLD Formulas'!$C$24)</f>
        <v>569.64</v>
      </c>
      <c r="M611" s="243">
        <f>((M535+M536)*'OLD Formulas'!$C$24)</f>
        <v>539.34</v>
      </c>
      <c r="N611" s="243">
        <f>((N535+N536)*'OLD Formulas'!$C$24)</f>
        <v>423.19</v>
      </c>
      <c r="O611" s="243">
        <f>((O535+O536)*'OLD Formulas'!$C$24)</f>
        <v>484.8</v>
      </c>
      <c r="P611" s="243">
        <f>((P535+P536)*'OLD Formulas'!$C$24)</f>
        <v>447.43</v>
      </c>
      <c r="Q611" s="243">
        <f>((Q535+Q536)*'OLD Formulas'!$C$24)</f>
        <v>423.19</v>
      </c>
      <c r="R611" s="243">
        <f>((R535+R536)*'OLD Formulas'!$C$24)</f>
        <v>446.42</v>
      </c>
      <c r="S611" s="243">
        <f>((S535+S536)*'OLD Formulas'!$C$24)</f>
        <v>591.86</v>
      </c>
      <c r="T611" s="243">
        <f>((T535+T536)*'OLD Formulas'!$C$24)</f>
        <v>481.77</v>
      </c>
      <c r="U611" s="243">
        <f>((U535+U536)*'OLD Formulas'!$C$24)</f>
        <v>575.7</v>
      </c>
      <c r="V611" s="243">
        <f>((V535+V536)*'OLD Formulas'!$C$24)</f>
        <v>614.08</v>
      </c>
      <c r="W611" s="243">
        <f>((W535+W536)*'OLD Formulas'!$C$24)</f>
        <v>915.06</v>
      </c>
      <c r="X611" s="243">
        <f>((X535+X536)*'OLD Formulas'!$C$24)</f>
        <v>1054.44</v>
      </c>
      <c r="Y611" s="243">
        <f>((Y535+Y536)*'OLD Formulas'!$C$24)</f>
        <v>2962.33</v>
      </c>
      <c r="Z611" s="243">
        <f>((Z535+Z536)*'OLD Formulas'!$C$24)</f>
        <v>1431.17</v>
      </c>
      <c r="AA611" s="243">
        <f>((AA535+AA536)*'OLD Formulas'!$C$24)</f>
        <v>1553.38</v>
      </c>
      <c r="AB611" s="243">
        <f>((AB535+AB536)*'OLD Formulas'!$C$24)</f>
        <v>2093.73</v>
      </c>
      <c r="AC611" s="243">
        <f>((AC535+AC536)*'OLD Formulas'!$C$24)</f>
        <v>1276.64</v>
      </c>
      <c r="AD611" s="243">
        <f>((AD535+AD536)*'OLD Formulas'!$C$24)</f>
        <v>81.81</v>
      </c>
      <c r="AE611" s="243">
        <f>((AE535+AE536)*'OLD Formulas'!$C$24)</f>
        <v>77.77</v>
      </c>
      <c r="AF611" s="243">
        <f>((AF535+AF536)*'OLD Formulas'!$C$24)</f>
        <v>0</v>
      </c>
      <c r="AG611" s="623">
        <f t="shared" si="210"/>
        <v>21243.33</v>
      </c>
    </row>
    <row r="612" hidden="1" outlineLevel="1">
      <c r="A612" s="975" t="s">
        <v>1280</v>
      </c>
      <c r="B612" s="243">
        <f>((B535+B536)*'OLD Formulas'!$C$25)</f>
        <v>112.8</v>
      </c>
      <c r="C612" s="243">
        <f>((C535+C536)*'OLD Formulas'!$C$25)</f>
        <v>115.8</v>
      </c>
      <c r="D612" s="243">
        <f>((D535+D536)*'OLD Formulas'!$C$25)</f>
        <v>117.3</v>
      </c>
      <c r="E612" s="243">
        <f>((E535+E536)*'OLD Formulas'!$C$25)</f>
        <v>127.5</v>
      </c>
      <c r="F612" s="243">
        <f>((F535+F536)*'OLD Formulas'!$C$25)</f>
        <v>140.1</v>
      </c>
      <c r="G612" s="243">
        <f>((G535+G536)*'OLD Formulas'!$C$25)</f>
        <v>132.3</v>
      </c>
      <c r="H612" s="243">
        <f>((H535+H536)*'OLD Formulas'!$C$25)</f>
        <v>124.2</v>
      </c>
      <c r="I612" s="243">
        <f>((I535+I536)*'OLD Formulas'!$C$25)</f>
        <v>118.5</v>
      </c>
      <c r="J612" s="243">
        <f>((J535+J536)*'OLD Formulas'!$C$25)</f>
        <v>129</v>
      </c>
      <c r="K612" s="243">
        <f>((K535+K536)*'OLD Formulas'!$C$25)</f>
        <v>129.9</v>
      </c>
      <c r="L612" s="243">
        <f>((L535+L536)*'OLD Formulas'!$C$25)</f>
        <v>169.2</v>
      </c>
      <c r="M612" s="243">
        <f>((M535+M536)*'OLD Formulas'!$C$25)</f>
        <v>160.2</v>
      </c>
      <c r="N612" s="243">
        <f>((N535+N536)*'OLD Formulas'!$C$25)</f>
        <v>125.7</v>
      </c>
      <c r="O612" s="243">
        <f>((O535+O536)*'OLD Formulas'!$C$25)</f>
        <v>144</v>
      </c>
      <c r="P612" s="243">
        <f>((P535+P536)*'OLD Formulas'!$C$25)</f>
        <v>132.9</v>
      </c>
      <c r="Q612" s="243">
        <f>((Q535+Q536)*'OLD Formulas'!$C$25)</f>
        <v>125.7</v>
      </c>
      <c r="R612" s="243">
        <f>((R535+R536)*'OLD Formulas'!$C$25)</f>
        <v>132.6</v>
      </c>
      <c r="S612" s="243">
        <f>((S535+S536)*'OLD Formulas'!$C$25)</f>
        <v>175.8</v>
      </c>
      <c r="T612" s="243">
        <f>((T535+T536)*'OLD Formulas'!$C$25)</f>
        <v>143.1</v>
      </c>
      <c r="U612" s="243">
        <f>((U535+U536)*'OLD Formulas'!$C$25)</f>
        <v>171</v>
      </c>
      <c r="V612" s="243">
        <f>((V535+V536)*'OLD Formulas'!$C$25)</f>
        <v>182.4</v>
      </c>
      <c r="W612" s="243">
        <f>((W535+W536)*'OLD Formulas'!$C$25)</f>
        <v>271.8</v>
      </c>
      <c r="X612" s="243">
        <f>((X535+X536)*'OLD Formulas'!$C$25)</f>
        <v>313.2</v>
      </c>
      <c r="Y612" s="243">
        <f>((Y535+Y536)*'OLD Formulas'!$C$25)</f>
        <v>879.9</v>
      </c>
      <c r="Z612" s="243">
        <f>((Z535+Z536)*'OLD Formulas'!$C$25)</f>
        <v>425.1</v>
      </c>
      <c r="AA612" s="243">
        <f>((AA535+AA536)*'OLD Formulas'!$C$25)</f>
        <v>461.4</v>
      </c>
      <c r="AB612" s="243">
        <f>((AB535+AB536)*'OLD Formulas'!$C$25)</f>
        <v>621.9</v>
      </c>
      <c r="AC612" s="243">
        <f>((AC535+AC536)*'OLD Formulas'!$C$25)</f>
        <v>379.2</v>
      </c>
      <c r="AD612" s="243">
        <f>((AD535+AD536)*'OLD Formulas'!$C$25)</f>
        <v>24.3</v>
      </c>
      <c r="AE612" s="243">
        <f>((AE535+AE536)*'OLD Formulas'!$C$25)</f>
        <v>23.1</v>
      </c>
      <c r="AF612" s="243">
        <f>((AF535+AF536)*'OLD Formulas'!$C$25)</f>
        <v>0</v>
      </c>
      <c r="AG612" s="623">
        <f t="shared" si="210"/>
        <v>6309.9</v>
      </c>
    </row>
    <row r="613" hidden="1" outlineLevel="1">
      <c r="A613" s="975" t="s">
        <v>1281</v>
      </c>
      <c r="B613" s="243">
        <f>((B535+B536)*'OLD Formulas'!$C$26)</f>
        <v>0</v>
      </c>
      <c r="C613" s="243">
        <f>((C535+C536)*'OLD Formulas'!$C$26)</f>
        <v>0</v>
      </c>
      <c r="D613" s="243">
        <f>((D535+D536)*'OLD Formulas'!$C$26)</f>
        <v>0</v>
      </c>
      <c r="E613" s="243">
        <f>((E535+E536)*'OLD Formulas'!$C$26)</f>
        <v>0</v>
      </c>
      <c r="F613" s="243">
        <f>((F535+F536)*'OLD Formulas'!$C$26)</f>
        <v>0</v>
      </c>
      <c r="G613" s="243">
        <f>((G535+G536)*'OLD Formulas'!$C$26)</f>
        <v>0</v>
      </c>
      <c r="H613" s="243">
        <f>((H535+H536)*'OLD Formulas'!$C$26)</f>
        <v>0</v>
      </c>
      <c r="I613" s="243">
        <f>((I535+I536)*'OLD Formulas'!$C$26)</f>
        <v>0</v>
      </c>
      <c r="J613" s="243">
        <f>((J535+J536)*'OLD Formulas'!$C$26)</f>
        <v>0</v>
      </c>
      <c r="K613" s="243">
        <f>((K535+K536)*'OLD Formulas'!$C$26)</f>
        <v>0</v>
      </c>
      <c r="L613" s="243">
        <f>((L535+L536)*'OLD Formulas'!$C$26)</f>
        <v>0</v>
      </c>
      <c r="M613" s="243">
        <f>((M535+M536)*'OLD Formulas'!$C$26)</f>
        <v>0</v>
      </c>
      <c r="N613" s="243">
        <f>((N535+N536)*'OLD Formulas'!$C$26)</f>
        <v>0</v>
      </c>
      <c r="O613" s="243">
        <f>((O535+O536)*'OLD Formulas'!$C$26)</f>
        <v>0</v>
      </c>
      <c r="P613" s="243">
        <f>((P535+P536)*'OLD Formulas'!$C$26)</f>
        <v>0</v>
      </c>
      <c r="Q613" s="243">
        <f>((Q535+Q536)*'OLD Formulas'!$C$26)</f>
        <v>0</v>
      </c>
      <c r="R613" s="243">
        <f>((R535+R536)*'OLD Formulas'!$C$26)</f>
        <v>0</v>
      </c>
      <c r="S613" s="243">
        <f>((S535+S536)*'OLD Formulas'!$C$26)</f>
        <v>0</v>
      </c>
      <c r="T613" s="243">
        <f>((T535+T536)*'OLD Formulas'!$C$26)</f>
        <v>0</v>
      </c>
      <c r="U613" s="243">
        <f>((U535+U536)*'OLD Formulas'!$C$26)</f>
        <v>0</v>
      </c>
      <c r="V613" s="243">
        <f>((V535+V536)*'OLD Formulas'!$C$26)</f>
        <v>0</v>
      </c>
      <c r="W613" s="243">
        <f>((W535+W536)*'OLD Formulas'!$C$26)</f>
        <v>0</v>
      </c>
      <c r="X613" s="243">
        <f>((X535+X536)*'OLD Formulas'!$C$26)</f>
        <v>0</v>
      </c>
      <c r="Y613" s="243">
        <f>((Y535+Y536)*'OLD Formulas'!$C$26)</f>
        <v>0</v>
      </c>
      <c r="Z613" s="243">
        <f>((Z535+Z536)*'OLD Formulas'!$C$26)</f>
        <v>0</v>
      </c>
      <c r="AA613" s="243">
        <f>((AA535+AA536)*'OLD Formulas'!$C$26)</f>
        <v>0</v>
      </c>
      <c r="AB613" s="243">
        <f>((AB535+AB536)*'OLD Formulas'!$C$26)</f>
        <v>0</v>
      </c>
      <c r="AC613" s="243">
        <f>((AC535+AC536)*'OLD Formulas'!$C$26)</f>
        <v>0</v>
      </c>
      <c r="AD613" s="243">
        <f>((AD535+AD536)*'OLD Formulas'!$C$26)</f>
        <v>0</v>
      </c>
      <c r="AE613" s="243">
        <f>((AE535+AE536)*'OLD Formulas'!$C$26)</f>
        <v>0</v>
      </c>
      <c r="AF613" s="243">
        <f>((AF535+AF536)*'OLD Formulas'!$C$26)</f>
        <v>0</v>
      </c>
      <c r="AG613" s="623">
        <f t="shared" si="210"/>
        <v>0</v>
      </c>
    </row>
    <row r="614" hidden="1" outlineLevel="1">
      <c r="A614" s="975" t="s">
        <v>1282</v>
      </c>
      <c r="B614" s="243">
        <f>((B535+B536)*'OLD Formulas'!$C$27)</f>
        <v>451.2</v>
      </c>
      <c r="C614" s="243">
        <f>((C535+C536)*'OLD Formulas'!$C$27)</f>
        <v>463.2</v>
      </c>
      <c r="D614" s="243">
        <f>((D535+D536)*'OLD Formulas'!$C$27)</f>
        <v>469.2</v>
      </c>
      <c r="E614" s="243">
        <f>((E535+E536)*'OLD Formulas'!$C$27)</f>
        <v>510</v>
      </c>
      <c r="F614" s="243">
        <f>((F535+F536)*'OLD Formulas'!$C$27)</f>
        <v>560.4</v>
      </c>
      <c r="G614" s="243">
        <f>((G535+G536)*'OLD Formulas'!$C$27)</f>
        <v>529.2</v>
      </c>
      <c r="H614" s="243">
        <f>((H535+H536)*'OLD Formulas'!$C$27)</f>
        <v>496.8</v>
      </c>
      <c r="I614" s="243">
        <f>((I535+I536)*'OLD Formulas'!$C$27)</f>
        <v>474</v>
      </c>
      <c r="J614" s="243">
        <f>((J535+J536)*'OLD Formulas'!$C$27)</f>
        <v>516</v>
      </c>
      <c r="K614" s="243">
        <f>((K535+K536)*'OLD Formulas'!$C$27)</f>
        <v>519.6</v>
      </c>
      <c r="L614" s="243">
        <f>((L535+L536)*'OLD Formulas'!$C$27)</f>
        <v>676.8</v>
      </c>
      <c r="M614" s="243">
        <f>((M535+M536)*'OLD Formulas'!$C$27)</f>
        <v>640.8</v>
      </c>
      <c r="N614" s="243">
        <f>((N535+N536)*'OLD Formulas'!$C$27)</f>
        <v>502.8</v>
      </c>
      <c r="O614" s="243">
        <f>((O535+O536)*'OLD Formulas'!$C$27)</f>
        <v>576</v>
      </c>
      <c r="P614" s="243">
        <f>((P535+P536)*'OLD Formulas'!$C$27)</f>
        <v>531.6</v>
      </c>
      <c r="Q614" s="243">
        <f>((Q535+Q536)*'OLD Formulas'!$C$27)</f>
        <v>502.8</v>
      </c>
      <c r="R614" s="243">
        <f>((R535+R536)*'OLD Formulas'!$C$27)</f>
        <v>530.4</v>
      </c>
      <c r="S614" s="243">
        <f>((S535+S536)*'OLD Formulas'!$C$27)</f>
        <v>703.2</v>
      </c>
      <c r="T614" s="243">
        <f>((T535+T536)*'OLD Formulas'!$C$27)</f>
        <v>572.4</v>
      </c>
      <c r="U614" s="243">
        <f>((U535+U536)*'OLD Formulas'!$C$27)</f>
        <v>684</v>
      </c>
      <c r="V614" s="243">
        <f>((V535+V536)*'OLD Formulas'!$C$27)</f>
        <v>729.6</v>
      </c>
      <c r="W614" s="243">
        <f>((W535+W536)*'OLD Formulas'!$C$27)</f>
        <v>1087.2</v>
      </c>
      <c r="X614" s="243">
        <f>((X535+X536)*'OLD Formulas'!$C$27)</f>
        <v>1252.8</v>
      </c>
      <c r="Y614" s="243">
        <f>((Y535+Y536)*'OLD Formulas'!$C$27)</f>
        <v>3519.6</v>
      </c>
      <c r="Z614" s="243">
        <f>((Z535+Z536)*'OLD Formulas'!$C$27)</f>
        <v>1700.4</v>
      </c>
      <c r="AA614" s="243">
        <f>((AA535+AA536)*'OLD Formulas'!$C$27)</f>
        <v>1845.6</v>
      </c>
      <c r="AB614" s="243">
        <f>((AB535+AB536)*'OLD Formulas'!$C$27)</f>
        <v>2487.6</v>
      </c>
      <c r="AC614" s="243">
        <f>((AC535+AC536)*'OLD Formulas'!$C$27)</f>
        <v>1516.8</v>
      </c>
      <c r="AD614" s="243">
        <f>((AD535+AD536)*'OLD Formulas'!$C$27)</f>
        <v>97.2</v>
      </c>
      <c r="AE614" s="243">
        <f>((AE535+AE536)*'OLD Formulas'!$C$27)</f>
        <v>92.4</v>
      </c>
      <c r="AF614" s="243">
        <f>((AF535+AF536)*'OLD Formulas'!$C$27)</f>
        <v>0</v>
      </c>
      <c r="AG614" s="623">
        <f t="shared" si="210"/>
        <v>25239.6</v>
      </c>
    </row>
    <row r="615" collapsed="1">
      <c r="A615" s="975" t="s">
        <v>1284</v>
      </c>
      <c r="B615" s="243">
        <f t="shared" ref="B615:AF615" si="216">sum(B616:B621)</f>
        <v>1062.6</v>
      </c>
      <c r="C615" s="243">
        <f t="shared" si="216"/>
        <v>1288.98</v>
      </c>
      <c r="D615" s="243">
        <f t="shared" si="216"/>
        <v>1270.5</v>
      </c>
      <c r="E615" s="243">
        <f t="shared" si="216"/>
        <v>1328.25</v>
      </c>
      <c r="F615" s="243">
        <f t="shared" si="216"/>
        <v>1355.97</v>
      </c>
      <c r="G615" s="243">
        <f t="shared" si="216"/>
        <v>1261.26</v>
      </c>
      <c r="H615" s="243">
        <f t="shared" si="216"/>
        <v>1307.46</v>
      </c>
      <c r="I615" s="243">
        <f t="shared" si="216"/>
        <v>1314.39</v>
      </c>
      <c r="J615" s="243">
        <f t="shared" si="216"/>
        <v>1369.83</v>
      </c>
      <c r="K615" s="243">
        <f t="shared" si="216"/>
        <v>1344.42</v>
      </c>
      <c r="L615" s="243">
        <f t="shared" si="216"/>
        <v>1857.24</v>
      </c>
      <c r="M615" s="243">
        <f t="shared" si="216"/>
        <v>1956.57</v>
      </c>
      <c r="N615" s="243">
        <f t="shared" si="216"/>
        <v>2182.95</v>
      </c>
      <c r="O615" s="243">
        <f t="shared" si="216"/>
        <v>1526.91</v>
      </c>
      <c r="P615" s="243">
        <f t="shared" si="216"/>
        <v>1372.14</v>
      </c>
      <c r="Q615" s="243">
        <f t="shared" si="216"/>
        <v>1282.05</v>
      </c>
      <c r="R615" s="243">
        <f t="shared" si="216"/>
        <v>1342.11</v>
      </c>
      <c r="S615" s="243">
        <f t="shared" si="216"/>
        <v>1697.85</v>
      </c>
      <c r="T615" s="243">
        <f t="shared" si="216"/>
        <v>1238.16</v>
      </c>
      <c r="U615" s="243">
        <f t="shared" si="216"/>
        <v>1760.22</v>
      </c>
      <c r="V615" s="243">
        <f t="shared" si="216"/>
        <v>1861.86</v>
      </c>
      <c r="W615" s="243">
        <f t="shared" si="216"/>
        <v>2843.61</v>
      </c>
      <c r="X615" s="243">
        <f t="shared" si="216"/>
        <v>3531.99</v>
      </c>
      <c r="Y615" s="243">
        <f t="shared" si="216"/>
        <v>8972.04</v>
      </c>
      <c r="Z615" s="243">
        <f t="shared" si="216"/>
        <v>5908.98</v>
      </c>
      <c r="AA615" s="243">
        <f t="shared" si="216"/>
        <v>4181.1</v>
      </c>
      <c r="AB615" s="243">
        <f t="shared" si="216"/>
        <v>5943.63</v>
      </c>
      <c r="AC615" s="243">
        <f t="shared" si="216"/>
        <v>3414.18</v>
      </c>
      <c r="AD615" s="243">
        <f t="shared" si="216"/>
        <v>235.62</v>
      </c>
      <c r="AE615" s="243">
        <f t="shared" si="216"/>
        <v>224.07</v>
      </c>
      <c r="AF615" s="243">
        <f t="shared" si="216"/>
        <v>0</v>
      </c>
      <c r="AG615" s="623">
        <f t="shared" si="210"/>
        <v>66236.94</v>
      </c>
    </row>
    <row r="616" hidden="1" outlineLevel="1">
      <c r="A616" s="975" t="s">
        <v>1261</v>
      </c>
      <c r="B616" s="243">
        <f>((B544+B552+B560)*'OLD Formulas'!$D$22)</f>
        <v>0</v>
      </c>
      <c r="C616" s="243">
        <f>((C544+C552+C560)*'OLD Formulas'!$D$22)</f>
        <v>0</v>
      </c>
      <c r="D616" s="243">
        <f>((D544+D552+D560)*'OLD Formulas'!$D$22)</f>
        <v>0</v>
      </c>
      <c r="E616" s="243">
        <f>((E544+E552+E560)*'OLD Formulas'!$D$22)</f>
        <v>0</v>
      </c>
      <c r="F616" s="243">
        <f>((F544+F552+F560)*'OLD Formulas'!$D$22)</f>
        <v>0</v>
      </c>
      <c r="G616" s="243">
        <f>((G544+G552+G560)*'OLD Formulas'!$D$22)</f>
        <v>0</v>
      </c>
      <c r="H616" s="243">
        <f>((H544+H552+H560)*'OLD Formulas'!$D$22)</f>
        <v>0</v>
      </c>
      <c r="I616" s="243">
        <f>((I544+I552+I560)*'OLD Formulas'!$D$22)</f>
        <v>0</v>
      </c>
      <c r="J616" s="243">
        <f>((J544+J552+J560)*'OLD Formulas'!$D$22)</f>
        <v>0</v>
      </c>
      <c r="K616" s="243">
        <f>((K544+K552+K560)*'OLD Formulas'!$D$22)</f>
        <v>0</v>
      </c>
      <c r="L616" s="243">
        <f>((L544+L552+L560)*'OLD Formulas'!$D$22)</f>
        <v>0</v>
      </c>
      <c r="M616" s="243">
        <f>((M544+M552+M560)*'OLD Formulas'!$D$22)</f>
        <v>0</v>
      </c>
      <c r="N616" s="243">
        <f>((N544+N552+N560)*'OLD Formulas'!$D$22)</f>
        <v>0</v>
      </c>
      <c r="O616" s="243">
        <f>((O544+O552+O560)*'OLD Formulas'!$D$22)</f>
        <v>0</v>
      </c>
      <c r="P616" s="243">
        <f>((P544+P552+P560)*'OLD Formulas'!$D$22)</f>
        <v>0</v>
      </c>
      <c r="Q616" s="243">
        <f>((Q544+Q552+Q560)*'OLD Formulas'!$D$22)</f>
        <v>0</v>
      </c>
      <c r="R616" s="243">
        <f>((R544+R552+R560)*'OLD Formulas'!$D$22)</f>
        <v>0</v>
      </c>
      <c r="S616" s="243">
        <f>((S544+S552+S560)*'OLD Formulas'!$D$22)</f>
        <v>0</v>
      </c>
      <c r="T616" s="243">
        <f>((T544+T552+T560)*'OLD Formulas'!$D$22)</f>
        <v>0</v>
      </c>
      <c r="U616" s="243">
        <f>((U544+U552+U560)*'OLD Formulas'!$D$22)</f>
        <v>0</v>
      </c>
      <c r="V616" s="243">
        <f>((V544+V552+V560)*'OLD Formulas'!$D$22)</f>
        <v>0</v>
      </c>
      <c r="W616" s="243">
        <f>((W544+W552+W560)*'OLD Formulas'!$D$22)</f>
        <v>0</v>
      </c>
      <c r="X616" s="243">
        <f>((X544+X552+X560)*'OLD Formulas'!$D$22)</f>
        <v>0</v>
      </c>
      <c r="Y616" s="243">
        <f>((Y544+Y552+Y560)*'OLD Formulas'!$D$22)</f>
        <v>0</v>
      </c>
      <c r="Z616" s="243">
        <f>((Z544+Z552+Z560)*'OLD Formulas'!$D$22)</f>
        <v>0</v>
      </c>
      <c r="AA616" s="243">
        <f>((AA544+AA552+AA560)*'OLD Formulas'!$D$22)</f>
        <v>0</v>
      </c>
      <c r="AB616" s="243">
        <f>((AB544+AB552+AB560)*'OLD Formulas'!$D$22)</f>
        <v>0</v>
      </c>
      <c r="AC616" s="243">
        <f>((AC544+AC552+AC560)*'OLD Formulas'!$D$22)</f>
        <v>0</v>
      </c>
      <c r="AD616" s="243">
        <f>((AD544+AD552+AD560)*'OLD Formulas'!$D$22)</f>
        <v>0</v>
      </c>
      <c r="AE616" s="243">
        <f>((AE544+AE552+AE560)*'OLD Formulas'!$D$22)</f>
        <v>0</v>
      </c>
      <c r="AF616" s="243">
        <f>((AF544+AF552+AF560)*'OLD Formulas'!$D$22)</f>
        <v>0</v>
      </c>
      <c r="AG616" s="623">
        <f t="shared" si="210"/>
        <v>0</v>
      </c>
    </row>
    <row r="617" hidden="1" outlineLevel="1">
      <c r="A617" s="975" t="s">
        <v>1262</v>
      </c>
      <c r="B617" s="243">
        <f>((B544+B552+B560)*'OLD Formulas'!$D$23)</f>
        <v>142.6</v>
      </c>
      <c r="C617" s="243">
        <f>((C544+C552+C560)*'OLD Formulas'!$D$23)</f>
        <v>172.98</v>
      </c>
      <c r="D617" s="243">
        <f>((D544+D552+D560)*'OLD Formulas'!$D$23)</f>
        <v>170.5</v>
      </c>
      <c r="E617" s="243">
        <f>((E544+E552+E560)*'OLD Formulas'!$D$23)</f>
        <v>178.25</v>
      </c>
      <c r="F617" s="243">
        <f>((F544+F552+F560)*'OLD Formulas'!$D$23)</f>
        <v>181.97</v>
      </c>
      <c r="G617" s="243">
        <f>((G544+G552+G560)*'OLD Formulas'!$D$23)</f>
        <v>169.26</v>
      </c>
      <c r="H617" s="243">
        <f>((H544+H552+H560)*'OLD Formulas'!$D$23)</f>
        <v>175.46</v>
      </c>
      <c r="I617" s="243">
        <f>((I544+I552+I560)*'OLD Formulas'!$D$23)</f>
        <v>176.39</v>
      </c>
      <c r="J617" s="243">
        <f>((J544+J552+J560)*'OLD Formulas'!$D$23)</f>
        <v>183.83</v>
      </c>
      <c r="K617" s="243">
        <f>((K544+K552+K560)*'OLD Formulas'!$D$23)</f>
        <v>180.42</v>
      </c>
      <c r="L617" s="243">
        <f>((L544+L552+L560)*'OLD Formulas'!$D$23)</f>
        <v>249.24</v>
      </c>
      <c r="M617" s="243">
        <f>((M544+M552+M560)*'OLD Formulas'!$D$23)</f>
        <v>262.57</v>
      </c>
      <c r="N617" s="243">
        <f>((N544+N552+N560)*'OLD Formulas'!$D$23)</f>
        <v>292.95</v>
      </c>
      <c r="O617" s="243">
        <f>((O544+O552+O560)*'OLD Formulas'!$D$23)</f>
        <v>204.91</v>
      </c>
      <c r="P617" s="243">
        <f>((P544+P552+P560)*'OLD Formulas'!$D$23)</f>
        <v>184.14</v>
      </c>
      <c r="Q617" s="243">
        <f>((Q544+Q552+Q560)*'OLD Formulas'!$D$23)</f>
        <v>172.05</v>
      </c>
      <c r="R617" s="243">
        <f>((R544+R552+R560)*'OLD Formulas'!$D$23)</f>
        <v>180.11</v>
      </c>
      <c r="S617" s="243">
        <f>((S544+S552+S560)*'OLD Formulas'!$D$23)</f>
        <v>227.85</v>
      </c>
      <c r="T617" s="243">
        <f>((T544+T552+T560)*'OLD Formulas'!$D$23)</f>
        <v>166.16</v>
      </c>
      <c r="U617" s="243">
        <f>((U544+U552+U560)*'OLD Formulas'!$D$23)</f>
        <v>236.22</v>
      </c>
      <c r="V617" s="243">
        <f>((V544+V552+V560)*'OLD Formulas'!$D$23)</f>
        <v>249.86</v>
      </c>
      <c r="W617" s="243">
        <f>((W544+W552+W560)*'OLD Formulas'!$D$23)</f>
        <v>381.61</v>
      </c>
      <c r="X617" s="243">
        <f>((X544+X552+X560)*'OLD Formulas'!$D$23)</f>
        <v>473.99</v>
      </c>
      <c r="Y617" s="243">
        <f>((Y544+Y552+Y560)*'OLD Formulas'!$D$23)</f>
        <v>1204.04</v>
      </c>
      <c r="Z617" s="243">
        <f>((Z544+Z552+Z560)*'OLD Formulas'!$D$23)</f>
        <v>792.98</v>
      </c>
      <c r="AA617" s="243">
        <f>((AA544+AA552+AA560)*'OLD Formulas'!$D$23)</f>
        <v>561.1</v>
      </c>
      <c r="AB617" s="243">
        <f>((AB544+AB552+AB560)*'OLD Formulas'!$D$23)</f>
        <v>797.63</v>
      </c>
      <c r="AC617" s="243">
        <f>((AC544+AC552+AC560)*'OLD Formulas'!$D$23)</f>
        <v>458.18</v>
      </c>
      <c r="AD617" s="243">
        <f>((AD544+AD552+AD560)*'OLD Formulas'!$D$23)</f>
        <v>31.62</v>
      </c>
      <c r="AE617" s="243">
        <f>((AE544+AE552+AE560)*'OLD Formulas'!$D$23)</f>
        <v>30.07</v>
      </c>
      <c r="AF617" s="243">
        <f>((AF544+AF552+AF560)*'OLD Formulas'!$D$23)</f>
        <v>0</v>
      </c>
      <c r="AG617" s="623">
        <f t="shared" si="210"/>
        <v>8888.94</v>
      </c>
    </row>
    <row r="618" hidden="1" outlineLevel="1">
      <c r="A618" s="975" t="s">
        <v>1263</v>
      </c>
      <c r="B618" s="243">
        <f>((B544+B552+B560)*'OLD Formulas'!$D$24)</f>
        <v>276</v>
      </c>
      <c r="C618" s="243">
        <f>((C544+C552+C560)*'OLD Formulas'!$D$24)</f>
        <v>334.8</v>
      </c>
      <c r="D618" s="243">
        <f>((D544+D552+D560)*'OLD Formulas'!$D$24)</f>
        <v>330</v>
      </c>
      <c r="E618" s="243">
        <f>((E544+E552+E560)*'OLD Formulas'!$D$24)</f>
        <v>345</v>
      </c>
      <c r="F618" s="243">
        <f>((F544+F552+F560)*'OLD Formulas'!$D$24)</f>
        <v>352.2</v>
      </c>
      <c r="G618" s="243">
        <f>((G544+G552+G560)*'OLD Formulas'!$D$24)</f>
        <v>327.6</v>
      </c>
      <c r="H618" s="243">
        <f>((H544+H552+H560)*'OLD Formulas'!$D$24)</f>
        <v>339.6</v>
      </c>
      <c r="I618" s="243">
        <f>((I544+I552+I560)*'OLD Formulas'!$D$24)</f>
        <v>341.4</v>
      </c>
      <c r="J618" s="243">
        <f>((J544+J552+J560)*'OLD Formulas'!$D$24)</f>
        <v>355.8</v>
      </c>
      <c r="K618" s="243">
        <f>((K544+K552+K560)*'OLD Formulas'!$D$24)</f>
        <v>349.2</v>
      </c>
      <c r="L618" s="243">
        <f>((L544+L552+L560)*'OLD Formulas'!$D$24)</f>
        <v>482.4</v>
      </c>
      <c r="M618" s="243">
        <f>((M544+M552+M560)*'OLD Formulas'!$D$24)</f>
        <v>508.2</v>
      </c>
      <c r="N618" s="243">
        <f>((N544+N552+N560)*'OLD Formulas'!$D$24)</f>
        <v>567</v>
      </c>
      <c r="O618" s="243">
        <f>((O544+O552+O560)*'OLD Formulas'!$D$24)</f>
        <v>396.6</v>
      </c>
      <c r="P618" s="243">
        <f>((P544+P552+P560)*'OLD Formulas'!$D$24)</f>
        <v>356.4</v>
      </c>
      <c r="Q618" s="243">
        <f>((Q544+Q552+Q560)*'OLD Formulas'!$D$24)</f>
        <v>333</v>
      </c>
      <c r="R618" s="243">
        <f>((R544+R552+R560)*'OLD Formulas'!$D$24)</f>
        <v>348.6</v>
      </c>
      <c r="S618" s="243">
        <f>((S544+S552+S560)*'OLD Formulas'!$D$24)</f>
        <v>441</v>
      </c>
      <c r="T618" s="243">
        <f>((T544+T552+T560)*'OLD Formulas'!$D$24)</f>
        <v>321.6</v>
      </c>
      <c r="U618" s="243">
        <f>((U544+U552+U560)*'OLD Formulas'!$D$24)</f>
        <v>457.2</v>
      </c>
      <c r="V618" s="243">
        <f>((V544+V552+V560)*'OLD Formulas'!$D$24)</f>
        <v>483.6</v>
      </c>
      <c r="W618" s="243">
        <f>((W544+W552+W560)*'OLD Formulas'!$D$24)</f>
        <v>738.6</v>
      </c>
      <c r="X618" s="243">
        <f>((X544+X552+X560)*'OLD Formulas'!$D$24)</f>
        <v>917.4</v>
      </c>
      <c r="Y618" s="243">
        <f>((Y544+Y552+Y560)*'OLD Formulas'!$D$24)</f>
        <v>2330.4</v>
      </c>
      <c r="Z618" s="243">
        <f>((Z544+Z552+Z560)*'OLD Formulas'!$D$24)</f>
        <v>1534.8</v>
      </c>
      <c r="AA618" s="243">
        <f>((AA544+AA552+AA560)*'OLD Formulas'!$D$24)</f>
        <v>1086</v>
      </c>
      <c r="AB618" s="243">
        <f>((AB544+AB552+AB560)*'OLD Formulas'!$D$24)</f>
        <v>1543.8</v>
      </c>
      <c r="AC618" s="243">
        <f>((AC544+AC552+AC560)*'OLD Formulas'!$D$24)</f>
        <v>886.8</v>
      </c>
      <c r="AD618" s="243">
        <f>((AD544+AD552+AD560)*'OLD Formulas'!$D$24)</f>
        <v>61.2</v>
      </c>
      <c r="AE618" s="243">
        <f>((AE544+AE552+AE560)*'OLD Formulas'!$D$24)</f>
        <v>58.2</v>
      </c>
      <c r="AF618" s="243">
        <f>((AF544+AF552+AF560)*'OLD Formulas'!$D$24)</f>
        <v>0</v>
      </c>
      <c r="AG618" s="623">
        <f t="shared" si="210"/>
        <v>17204.4</v>
      </c>
    </row>
    <row r="619" hidden="1" outlineLevel="1">
      <c r="A619" s="975" t="s">
        <v>1265</v>
      </c>
      <c r="B619" s="243">
        <f>((B544+B552+B560)*'OLD Formulas'!$D$25)</f>
        <v>138</v>
      </c>
      <c r="C619" s="243">
        <f>((C544+C552+C560)*'OLD Formulas'!$D$25)</f>
        <v>167.4</v>
      </c>
      <c r="D619" s="243">
        <f>((D544+D552+D560)*'OLD Formulas'!$D$25)</f>
        <v>165</v>
      </c>
      <c r="E619" s="243">
        <f>((E544+E552+E560)*'OLD Formulas'!$D$25)</f>
        <v>172.5</v>
      </c>
      <c r="F619" s="243">
        <f>((F544+F552+F560)*'OLD Formulas'!$D$25)</f>
        <v>176.1</v>
      </c>
      <c r="G619" s="243">
        <f>((G544+G552+G560)*'OLD Formulas'!$D$25)</f>
        <v>163.8</v>
      </c>
      <c r="H619" s="243">
        <f>((H544+H552+H560)*'OLD Formulas'!$D$25)</f>
        <v>169.8</v>
      </c>
      <c r="I619" s="243">
        <f>((I544+I552+I560)*'OLD Formulas'!$D$25)</f>
        <v>170.7</v>
      </c>
      <c r="J619" s="243">
        <f>((J544+J552+J560)*'OLD Formulas'!$D$25)</f>
        <v>177.9</v>
      </c>
      <c r="K619" s="243">
        <f>((K544+K552+K560)*'OLD Formulas'!$D$25)</f>
        <v>174.6</v>
      </c>
      <c r="L619" s="243">
        <f>((L544+L552+L560)*'OLD Formulas'!$D$25)</f>
        <v>241.2</v>
      </c>
      <c r="M619" s="243">
        <f>((M544+M552+M560)*'OLD Formulas'!$D$25)</f>
        <v>254.1</v>
      </c>
      <c r="N619" s="243">
        <f>((N544+N552+N560)*'OLD Formulas'!$D$25)</f>
        <v>283.5</v>
      </c>
      <c r="O619" s="243">
        <f>((O544+O552+O560)*'OLD Formulas'!$D$25)</f>
        <v>198.3</v>
      </c>
      <c r="P619" s="243">
        <f>((P544+P552+P560)*'OLD Formulas'!$D$25)</f>
        <v>178.2</v>
      </c>
      <c r="Q619" s="243">
        <f>((Q544+Q552+Q560)*'OLD Formulas'!$D$25)</f>
        <v>166.5</v>
      </c>
      <c r="R619" s="243">
        <f>((R544+R552+R560)*'OLD Formulas'!$D$25)</f>
        <v>174.3</v>
      </c>
      <c r="S619" s="243">
        <f>((S544+S552+S560)*'OLD Formulas'!$D$25)</f>
        <v>220.5</v>
      </c>
      <c r="T619" s="243">
        <f>((T544+T552+T560)*'OLD Formulas'!$D$25)</f>
        <v>160.8</v>
      </c>
      <c r="U619" s="243">
        <f>((U544+U552+U560)*'OLD Formulas'!$D$25)</f>
        <v>228.6</v>
      </c>
      <c r="V619" s="243">
        <f>((V544+V552+V560)*'OLD Formulas'!$D$25)</f>
        <v>241.8</v>
      </c>
      <c r="W619" s="243">
        <f>((W544+W552+W560)*'OLD Formulas'!$D$25)</f>
        <v>369.3</v>
      </c>
      <c r="X619" s="243">
        <f>((X544+X552+X560)*'OLD Formulas'!$D$25)</f>
        <v>458.7</v>
      </c>
      <c r="Y619" s="243">
        <f>((Y544+Y552+Y560)*'OLD Formulas'!$D$25)</f>
        <v>1165.2</v>
      </c>
      <c r="Z619" s="243">
        <f>((Z544+Z552+Z560)*'OLD Formulas'!$D$25)</f>
        <v>767.4</v>
      </c>
      <c r="AA619" s="243">
        <f>((AA544+AA552+AA560)*'OLD Formulas'!$D$25)</f>
        <v>543</v>
      </c>
      <c r="AB619" s="243">
        <f>((AB544+AB552+AB560)*'OLD Formulas'!$D$25)</f>
        <v>771.9</v>
      </c>
      <c r="AC619" s="243">
        <f>((AC544+AC552+AC560)*'OLD Formulas'!$D$25)</f>
        <v>443.4</v>
      </c>
      <c r="AD619" s="243">
        <f>((AD544+AD552+AD560)*'OLD Formulas'!$D$25)</f>
        <v>30.6</v>
      </c>
      <c r="AE619" s="243">
        <f>((AE544+AE552+AE560)*'OLD Formulas'!$D$25)</f>
        <v>29.1</v>
      </c>
      <c r="AF619" s="243">
        <f>((AF544+AF552+AF560)*'OLD Formulas'!$D$25)</f>
        <v>0</v>
      </c>
      <c r="AG619" s="623">
        <f t="shared" si="210"/>
        <v>8602.2</v>
      </c>
    </row>
    <row r="620" hidden="1" outlineLevel="1">
      <c r="A620" s="975" t="s">
        <v>1267</v>
      </c>
      <c r="B620" s="243">
        <f>((B544+B552+B560)*'OLD Formulas'!$D$26)</f>
        <v>506</v>
      </c>
      <c r="C620" s="243">
        <f>((C544+C552+C560)*'OLD Formulas'!$D$26)</f>
        <v>613.8</v>
      </c>
      <c r="D620" s="243">
        <f>((D544+D552+D560)*'OLD Formulas'!$D$26)</f>
        <v>605</v>
      </c>
      <c r="E620" s="243">
        <f>((E544+E552+E560)*'OLD Formulas'!$D$26)</f>
        <v>632.5</v>
      </c>
      <c r="F620" s="243">
        <f>((F544+F552+F560)*'OLD Formulas'!$D$26)</f>
        <v>645.7</v>
      </c>
      <c r="G620" s="243">
        <f>((G544+G552+G560)*'OLD Formulas'!$D$26)</f>
        <v>600.6</v>
      </c>
      <c r="H620" s="243">
        <f>((H544+H552+H560)*'OLD Formulas'!$D$26)</f>
        <v>622.6</v>
      </c>
      <c r="I620" s="243">
        <f>((I544+I552+I560)*'OLD Formulas'!$D$26)</f>
        <v>625.9</v>
      </c>
      <c r="J620" s="243">
        <f>((J544+J552+J560)*'OLD Formulas'!$D$26)</f>
        <v>652.3</v>
      </c>
      <c r="K620" s="243">
        <f>((K544+K552+K560)*'OLD Formulas'!$D$26)</f>
        <v>640.2</v>
      </c>
      <c r="L620" s="243">
        <f>((L544+L552+L560)*'OLD Formulas'!$D$26)</f>
        <v>884.4</v>
      </c>
      <c r="M620" s="243">
        <f>((M544+M552+M560)*'OLD Formulas'!$D$26)</f>
        <v>931.7</v>
      </c>
      <c r="N620" s="243">
        <f>((N544+N552+N560)*'OLD Formulas'!$D$26)</f>
        <v>1039.5</v>
      </c>
      <c r="O620" s="243">
        <f>((O544+O552+O560)*'OLD Formulas'!$D$26)</f>
        <v>727.1</v>
      </c>
      <c r="P620" s="243">
        <f>((P544+P552+P560)*'OLD Formulas'!$D$26)</f>
        <v>653.4</v>
      </c>
      <c r="Q620" s="243">
        <f>((Q544+Q552+Q560)*'OLD Formulas'!$D$26)</f>
        <v>610.5</v>
      </c>
      <c r="R620" s="243">
        <f>((R544+R552+R560)*'OLD Formulas'!$D$26)</f>
        <v>639.1</v>
      </c>
      <c r="S620" s="243">
        <f>((S544+S552+S560)*'OLD Formulas'!$D$26)</f>
        <v>808.5</v>
      </c>
      <c r="T620" s="243">
        <f>((T544+T552+T560)*'OLD Formulas'!$D$26)</f>
        <v>589.6</v>
      </c>
      <c r="U620" s="243">
        <f>((U544+U552+U560)*'OLD Formulas'!$D$26)</f>
        <v>838.2</v>
      </c>
      <c r="V620" s="243">
        <f>((V544+V552+V560)*'OLD Formulas'!$D$26)</f>
        <v>886.6</v>
      </c>
      <c r="W620" s="243">
        <f>((W544+W552+W560)*'OLD Formulas'!$D$26)</f>
        <v>1354.1</v>
      </c>
      <c r="X620" s="243">
        <f>((X544+X552+X560)*'OLD Formulas'!$D$26)</f>
        <v>1681.9</v>
      </c>
      <c r="Y620" s="243">
        <f>((Y544+Y552+Y560)*'OLD Formulas'!$D$26)</f>
        <v>4272.4</v>
      </c>
      <c r="Z620" s="243">
        <f>((Z544+Z552+Z560)*'OLD Formulas'!$D$26)</f>
        <v>2813.8</v>
      </c>
      <c r="AA620" s="243">
        <f>((AA544+AA552+AA560)*'OLD Formulas'!$D$26)</f>
        <v>1991</v>
      </c>
      <c r="AB620" s="243">
        <f>((AB544+AB552+AB560)*'OLD Formulas'!$D$26)</f>
        <v>2830.3</v>
      </c>
      <c r="AC620" s="243">
        <f>((AC544+AC552+AC560)*'OLD Formulas'!$D$26)</f>
        <v>1625.8</v>
      </c>
      <c r="AD620" s="243">
        <f>((AD544+AD552+AD560)*'OLD Formulas'!$D$26)</f>
        <v>112.2</v>
      </c>
      <c r="AE620" s="243">
        <f>((AE544+AE552+AE560)*'OLD Formulas'!$D$26)</f>
        <v>106.7</v>
      </c>
      <c r="AF620" s="243">
        <f>((AF544+AF552+AF560)*'OLD Formulas'!$D$26)</f>
        <v>0</v>
      </c>
      <c r="AG620" s="623">
        <f t="shared" si="210"/>
        <v>31541.4</v>
      </c>
    </row>
    <row r="621" hidden="1" outlineLevel="1">
      <c r="A621" s="977" t="s">
        <v>1268</v>
      </c>
      <c r="B621" s="978">
        <f>((B544+B552+B560)*'OLD Formulas'!$D$27)</f>
        <v>0</v>
      </c>
      <c r="C621" s="978">
        <f>((C544+C552+C560)*'OLD Formulas'!$D$27)</f>
        <v>0</v>
      </c>
      <c r="D621" s="978">
        <f>((D544+D552+D560)*'OLD Formulas'!$D$27)</f>
        <v>0</v>
      </c>
      <c r="E621" s="978">
        <f>((E544+E552+E560)*'OLD Formulas'!$D$27)</f>
        <v>0</v>
      </c>
      <c r="F621" s="978">
        <f>((F544+F552+F560)*'OLD Formulas'!$D$27)</f>
        <v>0</v>
      </c>
      <c r="G621" s="978">
        <f>((G544+G552+G560)*'OLD Formulas'!$D$27)</f>
        <v>0</v>
      </c>
      <c r="H621" s="978">
        <f>((H544+H552+H560)*'OLD Formulas'!$D$27)</f>
        <v>0</v>
      </c>
      <c r="I621" s="978">
        <f>((I544+I552+I560)*'OLD Formulas'!$D$27)</f>
        <v>0</v>
      </c>
      <c r="J621" s="978">
        <f>((J544+J552+J560)*'OLD Formulas'!$D$27)</f>
        <v>0</v>
      </c>
      <c r="K621" s="978">
        <f>((K544+K552+K560)*'OLD Formulas'!$D$27)</f>
        <v>0</v>
      </c>
      <c r="L621" s="978">
        <f>((L544+L552+L560)*'OLD Formulas'!$D$27)</f>
        <v>0</v>
      </c>
      <c r="M621" s="978">
        <f>((M544+M552+M560)*'OLD Formulas'!$D$27)</f>
        <v>0</v>
      </c>
      <c r="N621" s="978">
        <f>((N544+N552+N560)*'OLD Formulas'!$D$27)</f>
        <v>0</v>
      </c>
      <c r="O621" s="978">
        <f>((O544+O552+O560)*'OLD Formulas'!$D$27)</f>
        <v>0</v>
      </c>
      <c r="P621" s="978">
        <f>((P544+P552+P560)*'OLD Formulas'!$D$27)</f>
        <v>0</v>
      </c>
      <c r="Q621" s="978">
        <f>((Q544+Q552+Q560)*'OLD Formulas'!$D$27)</f>
        <v>0</v>
      </c>
      <c r="R621" s="978">
        <f>((R544+R552+R560)*'OLD Formulas'!$D$27)</f>
        <v>0</v>
      </c>
      <c r="S621" s="978">
        <f>((S544+S552+S560)*'OLD Formulas'!$D$27)</f>
        <v>0</v>
      </c>
      <c r="T621" s="978">
        <f>((T544+T552+T560)*'OLD Formulas'!$D$27)</f>
        <v>0</v>
      </c>
      <c r="U621" s="978">
        <f>((U544+U552+U560)*'OLD Formulas'!$D$27)</f>
        <v>0</v>
      </c>
      <c r="V621" s="978">
        <f>((V544+V552+V560)*'OLD Formulas'!$D$27)</f>
        <v>0</v>
      </c>
      <c r="W621" s="978">
        <f>((W544+W552+W560)*'OLD Formulas'!$D$27)</f>
        <v>0</v>
      </c>
      <c r="X621" s="978">
        <f>((X544+X552+X560)*'OLD Formulas'!$D$27)</f>
        <v>0</v>
      </c>
      <c r="Y621" s="978">
        <f>((Y544+Y552+Y560)*'OLD Formulas'!$D$27)</f>
        <v>0</v>
      </c>
      <c r="Z621" s="978">
        <f>((Z544+Z552+Z560)*'OLD Formulas'!$D$27)</f>
        <v>0</v>
      </c>
      <c r="AA621" s="978">
        <f>((AA544+AA552+AA560)*'OLD Formulas'!$D$27)</f>
        <v>0</v>
      </c>
      <c r="AB621" s="978">
        <f>((AB544+AB552+AB560)*'OLD Formulas'!$D$27)</f>
        <v>0</v>
      </c>
      <c r="AC621" s="978">
        <f>((AC544+AC552+AC560)*'OLD Formulas'!$D$27)</f>
        <v>0</v>
      </c>
      <c r="AD621" s="978">
        <f>((AD544+AD552+AD560)*'OLD Formulas'!$D$27)</f>
        <v>0</v>
      </c>
      <c r="AE621" s="978">
        <f>((AE544+AE552+AE560)*'OLD Formulas'!$D$27)</f>
        <v>0</v>
      </c>
      <c r="AF621" s="978">
        <f>((AF544+AF552+AF560)*'OLD Formulas'!$D$27)</f>
        <v>0</v>
      </c>
      <c r="AG621" s="623">
        <f t="shared" si="210"/>
        <v>0</v>
      </c>
    </row>
    <row r="622" collapsed="1">
      <c r="A622" s="352" t="s">
        <v>1269</v>
      </c>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c r="AB622" s="53"/>
      <c r="AC622" s="53"/>
      <c r="AD622" s="53"/>
      <c r="AE622" s="972"/>
      <c r="AF622" s="972"/>
      <c r="AG622" s="623"/>
    </row>
    <row r="623" hidden="1" outlineLevel="1">
      <c r="A623" s="926" t="s">
        <v>1217</v>
      </c>
      <c r="B623" s="243">
        <f>B496*'OLD Formulas'!$C$3</f>
        <v>0</v>
      </c>
      <c r="C623" s="243">
        <f>C496*'OLD Formulas'!$C$3</f>
        <v>0</v>
      </c>
      <c r="D623" s="243">
        <f>D496*'OLD Formulas'!$C$3</f>
        <v>0</v>
      </c>
      <c r="E623" s="243">
        <f>E496*'OLD Formulas'!$C$3</f>
        <v>0</v>
      </c>
      <c r="F623" s="243">
        <f>F496*'OLD Formulas'!$C$3</f>
        <v>0</v>
      </c>
      <c r="G623" s="243">
        <f>G496*'OLD Formulas'!$C$3</f>
        <v>0</v>
      </c>
      <c r="H623" s="243">
        <f>H496*'OLD Formulas'!$C$3</f>
        <v>0</v>
      </c>
      <c r="I623" s="243">
        <f>I496*'OLD Formulas'!$C$3</f>
        <v>0</v>
      </c>
      <c r="J623" s="243">
        <f>J496*'OLD Formulas'!$C$3</f>
        <v>0</v>
      </c>
      <c r="K623" s="243">
        <f>K496*'OLD Formulas'!$C$3</f>
        <v>0</v>
      </c>
      <c r="L623" s="243">
        <f>L496*'OLD Formulas'!$C$3</f>
        <v>0</v>
      </c>
      <c r="M623" s="243">
        <f>M496*'OLD Formulas'!$C$3</f>
        <v>0</v>
      </c>
      <c r="N623" s="243">
        <f>N496*'OLD Formulas'!$C$3</f>
        <v>0</v>
      </c>
      <c r="O623" s="243">
        <f>O496*'OLD Formulas'!$C$3</f>
        <v>0</v>
      </c>
      <c r="P623" s="243">
        <f>P496*'OLD Formulas'!$C$3</f>
        <v>0</v>
      </c>
      <c r="Q623" s="243">
        <f>Q496*'OLD Formulas'!$C$3</f>
        <v>0</v>
      </c>
      <c r="R623" s="243">
        <f>R496*'OLD Formulas'!$C$3</f>
        <v>0</v>
      </c>
      <c r="S623" s="243">
        <f>S496*'OLD Formulas'!$C$3</f>
        <v>0</v>
      </c>
      <c r="T623" s="243">
        <f>T496*'OLD Formulas'!$C$3</f>
        <v>0</v>
      </c>
      <c r="U623" s="243">
        <f>U496*'OLD Formulas'!$C$3</f>
        <v>0</v>
      </c>
      <c r="V623" s="243">
        <f>V496*'OLD Formulas'!$C$3</f>
        <v>0</v>
      </c>
      <c r="W623" s="243">
        <f>W496*'OLD Formulas'!$C$3</f>
        <v>0</v>
      </c>
      <c r="X623" s="243">
        <f>X496*'OLD Formulas'!$C$3</f>
        <v>0</v>
      </c>
      <c r="Y623" s="243">
        <f>Y496*'OLD Formulas'!$C$3</f>
        <v>0</v>
      </c>
      <c r="Z623" s="243">
        <f>Z496*'OLD Formulas'!$C$3</f>
        <v>0</v>
      </c>
      <c r="AA623" s="243">
        <f>AA496*'OLD Formulas'!$C$3</f>
        <v>0</v>
      </c>
      <c r="AB623" s="243">
        <f>AB496*'OLD Formulas'!$C$3</f>
        <v>0</v>
      </c>
      <c r="AC623" s="243">
        <f>AC496*'OLD Formulas'!$C$3</f>
        <v>0</v>
      </c>
      <c r="AD623" s="243">
        <f>AD496*'OLD Formulas'!$C$3</f>
        <v>0</v>
      </c>
      <c r="AE623" s="243">
        <f>AE496*'OLD Formulas'!$C$3</f>
        <v>0</v>
      </c>
      <c r="AF623" s="243">
        <f>AF496*'OLD Formulas'!$C$3</f>
        <v>0</v>
      </c>
      <c r="AG623" s="623">
        <f t="shared" ref="AG623:AG664" si="217">SUM(B623:AF623)</f>
        <v>0</v>
      </c>
    </row>
    <row r="624" hidden="1" outlineLevel="1">
      <c r="A624" s="928" t="s">
        <v>1221</v>
      </c>
      <c r="B624" s="243">
        <f>B623*'OLD Formulas'!$L$5</f>
        <v>0</v>
      </c>
      <c r="C624" s="243">
        <f>C623*'OLD Formulas'!$L$5</f>
        <v>0</v>
      </c>
      <c r="D624" s="243">
        <f>D623*'OLD Formulas'!$L$5</f>
        <v>0</v>
      </c>
      <c r="E624" s="243">
        <f>E623*'OLD Formulas'!$L$5</f>
        <v>0</v>
      </c>
      <c r="F624" s="243">
        <f>F623*'OLD Formulas'!$L$5</f>
        <v>0</v>
      </c>
      <c r="G624" s="243">
        <f>G623*'OLD Formulas'!$L$5</f>
        <v>0</v>
      </c>
      <c r="H624" s="243">
        <f>H623*'OLD Formulas'!$L$5</f>
        <v>0</v>
      </c>
      <c r="I624" s="243">
        <f>I623*'OLD Formulas'!$L$5</f>
        <v>0</v>
      </c>
      <c r="J624" s="243">
        <f>J623*'OLD Formulas'!$L$5</f>
        <v>0</v>
      </c>
      <c r="K624" s="243">
        <f>K623*'OLD Formulas'!$L$5</f>
        <v>0</v>
      </c>
      <c r="L624" s="243">
        <f>L623*'OLD Formulas'!$L$5</f>
        <v>0</v>
      </c>
      <c r="M624" s="243">
        <f>M623*'OLD Formulas'!$L$5</f>
        <v>0</v>
      </c>
      <c r="N624" s="243">
        <f>N623*'OLD Formulas'!$L$5</f>
        <v>0</v>
      </c>
      <c r="O624" s="243">
        <f>O623*'OLD Formulas'!$L$5</f>
        <v>0</v>
      </c>
      <c r="P624" s="243">
        <f>P623*'OLD Formulas'!$L$5</f>
        <v>0</v>
      </c>
      <c r="Q624" s="243">
        <f>Q623*'OLD Formulas'!$L$5</f>
        <v>0</v>
      </c>
      <c r="R624" s="243">
        <f>R623*'OLD Formulas'!$L$5</f>
        <v>0</v>
      </c>
      <c r="S624" s="243">
        <f>S623*'OLD Formulas'!$L$5</f>
        <v>0</v>
      </c>
      <c r="T624" s="243">
        <f>T623*'OLD Formulas'!$L$5</f>
        <v>0</v>
      </c>
      <c r="U624" s="243">
        <f>U623*'OLD Formulas'!$L$5</f>
        <v>0</v>
      </c>
      <c r="V624" s="243">
        <f>V623*'OLD Formulas'!$L$5</f>
        <v>0</v>
      </c>
      <c r="W624" s="243">
        <f>W623*'OLD Formulas'!$L$5</f>
        <v>0</v>
      </c>
      <c r="X624" s="243">
        <f>X623*'OLD Formulas'!$L$5</f>
        <v>0</v>
      </c>
      <c r="Y624" s="243">
        <f>Y623*'OLD Formulas'!$L$5</f>
        <v>0</v>
      </c>
      <c r="Z624" s="243">
        <f>Z623*'OLD Formulas'!$L$5</f>
        <v>0</v>
      </c>
      <c r="AA624" s="243">
        <f>AA623*'OLD Formulas'!$L$5</f>
        <v>0</v>
      </c>
      <c r="AB624" s="243">
        <f>AB623*'OLD Formulas'!$L$5</f>
        <v>0</v>
      </c>
      <c r="AC624" s="243">
        <f>AC623*'OLD Formulas'!$L$5</f>
        <v>0</v>
      </c>
      <c r="AD624" s="243">
        <f>AD623*'OLD Formulas'!$L$5</f>
        <v>0</v>
      </c>
      <c r="AE624" s="243">
        <f>AE623*'OLD Formulas'!$L$5</f>
        <v>0</v>
      </c>
      <c r="AF624" s="243">
        <f>AF623*'OLD Formulas'!$L$5</f>
        <v>0</v>
      </c>
      <c r="AG624" s="623">
        <f t="shared" si="217"/>
        <v>0</v>
      </c>
    </row>
    <row r="625" hidden="1" outlineLevel="1">
      <c r="A625" s="926" t="s">
        <v>1224</v>
      </c>
      <c r="B625" s="243">
        <f>B497*'OLD Formulas'!$C$4</f>
        <v>0</v>
      </c>
      <c r="C625" s="243">
        <f>C497*'OLD Formulas'!$C$4</f>
        <v>0</v>
      </c>
      <c r="D625" s="243">
        <f>D497*'OLD Formulas'!$C$4</f>
        <v>0</v>
      </c>
      <c r="E625" s="243">
        <f>E497*'OLD Formulas'!$C$4</f>
        <v>0</v>
      </c>
      <c r="F625" s="243">
        <f>F497*'OLD Formulas'!$C$4</f>
        <v>0</v>
      </c>
      <c r="G625" s="243">
        <f>G497*'OLD Formulas'!$C$4</f>
        <v>0</v>
      </c>
      <c r="H625" s="243">
        <f>H497*'OLD Formulas'!$C$4</f>
        <v>0</v>
      </c>
      <c r="I625" s="243">
        <f>I497*'OLD Formulas'!$C$4</f>
        <v>0</v>
      </c>
      <c r="J625" s="243">
        <f>J497*'OLD Formulas'!$C$4</f>
        <v>0</v>
      </c>
      <c r="K625" s="243">
        <f>K497*'OLD Formulas'!$C$4</f>
        <v>0</v>
      </c>
      <c r="L625" s="243">
        <f>L497*'OLD Formulas'!$C$4</f>
        <v>0</v>
      </c>
      <c r="M625" s="243">
        <f>M497*'OLD Formulas'!$C$4</f>
        <v>0</v>
      </c>
      <c r="N625" s="243">
        <f>N497*'OLD Formulas'!$C$4</f>
        <v>0</v>
      </c>
      <c r="O625" s="243">
        <f>O497*'OLD Formulas'!$C$4</f>
        <v>0</v>
      </c>
      <c r="P625" s="243">
        <f>P497*'OLD Formulas'!$C$4</f>
        <v>0</v>
      </c>
      <c r="Q625" s="243">
        <f>Q497*'OLD Formulas'!$C$4</f>
        <v>0</v>
      </c>
      <c r="R625" s="243">
        <f>R497*'OLD Formulas'!$C$4</f>
        <v>0</v>
      </c>
      <c r="S625" s="243">
        <f>S497*'OLD Formulas'!$C$4</f>
        <v>0</v>
      </c>
      <c r="T625" s="243">
        <f>T497*'OLD Formulas'!$C$4</f>
        <v>0</v>
      </c>
      <c r="U625" s="243">
        <f>U497*'OLD Formulas'!$C$4</f>
        <v>0</v>
      </c>
      <c r="V625" s="243">
        <f>V497*'OLD Formulas'!$C$4</f>
        <v>0</v>
      </c>
      <c r="W625" s="243">
        <f>W497*'OLD Formulas'!$C$4</f>
        <v>0</v>
      </c>
      <c r="X625" s="243">
        <f>X497*'OLD Formulas'!$C$4</f>
        <v>0</v>
      </c>
      <c r="Y625" s="243">
        <f>Y497*'OLD Formulas'!$C$4</f>
        <v>0</v>
      </c>
      <c r="Z625" s="243">
        <f>Z497*'OLD Formulas'!$C$4</f>
        <v>0</v>
      </c>
      <c r="AA625" s="243">
        <f>AA497*'OLD Formulas'!$C$4</f>
        <v>0</v>
      </c>
      <c r="AB625" s="243">
        <f>AB497*'OLD Formulas'!$C$4</f>
        <v>0</v>
      </c>
      <c r="AC625" s="243">
        <f>AC497*'OLD Formulas'!$C$4</f>
        <v>0</v>
      </c>
      <c r="AD625" s="243">
        <f>AD497*'OLD Formulas'!$C$4</f>
        <v>0</v>
      </c>
      <c r="AE625" s="243">
        <f>AE497*'OLD Formulas'!$C$4</f>
        <v>0</v>
      </c>
      <c r="AF625" s="243">
        <f>AF497*'OLD Formulas'!$C$4</f>
        <v>0</v>
      </c>
      <c r="AG625" s="623">
        <f t="shared" si="217"/>
        <v>0</v>
      </c>
    </row>
    <row r="626" hidden="1" outlineLevel="1">
      <c r="A626" s="928" t="s">
        <v>1227</v>
      </c>
      <c r="B626" s="243">
        <f>B625*'OLD Formulas'!$L$5</f>
        <v>0</v>
      </c>
      <c r="C626" s="243">
        <f>C625*'OLD Formulas'!$L$5</f>
        <v>0</v>
      </c>
      <c r="D626" s="243">
        <f>D625*'OLD Formulas'!$L$5</f>
        <v>0</v>
      </c>
      <c r="E626" s="243">
        <f>E625*'OLD Formulas'!$L$5</f>
        <v>0</v>
      </c>
      <c r="F626" s="243">
        <f>F625*'OLD Formulas'!$L$5</f>
        <v>0</v>
      </c>
      <c r="G626" s="243">
        <f>G625*'OLD Formulas'!$L$5</f>
        <v>0</v>
      </c>
      <c r="H626" s="243">
        <f>H625*'OLD Formulas'!$L$5</f>
        <v>0</v>
      </c>
      <c r="I626" s="243">
        <f>I625*'OLD Formulas'!$L$5</f>
        <v>0</v>
      </c>
      <c r="J626" s="243">
        <f>J625*'OLD Formulas'!$L$5</f>
        <v>0</v>
      </c>
      <c r="K626" s="243">
        <f>K625*'OLD Formulas'!$L$5</f>
        <v>0</v>
      </c>
      <c r="L626" s="243">
        <f>L625*'OLD Formulas'!$L$5</f>
        <v>0</v>
      </c>
      <c r="M626" s="243">
        <f>M625*'OLD Formulas'!$L$5</f>
        <v>0</v>
      </c>
      <c r="N626" s="243">
        <f>N625*'OLD Formulas'!$L$5</f>
        <v>0</v>
      </c>
      <c r="O626" s="243">
        <f>O625*'OLD Formulas'!$L$5</f>
        <v>0</v>
      </c>
      <c r="P626" s="243">
        <f>P625*'OLD Formulas'!$L$5</f>
        <v>0</v>
      </c>
      <c r="Q626" s="243">
        <f>Q625*'OLD Formulas'!$L$5</f>
        <v>0</v>
      </c>
      <c r="R626" s="243">
        <f>R625*'OLD Formulas'!$L$5</f>
        <v>0</v>
      </c>
      <c r="S626" s="243">
        <f>S625*'OLD Formulas'!$L$5</f>
        <v>0</v>
      </c>
      <c r="T626" s="243">
        <f>T625*'OLD Formulas'!$L$5</f>
        <v>0</v>
      </c>
      <c r="U626" s="243">
        <f>U625*'OLD Formulas'!$L$5</f>
        <v>0</v>
      </c>
      <c r="V626" s="243">
        <f>V625*'OLD Formulas'!$L$5</f>
        <v>0</v>
      </c>
      <c r="W626" s="243">
        <f>W625*'OLD Formulas'!$L$5</f>
        <v>0</v>
      </c>
      <c r="X626" s="243">
        <f>X625*'OLD Formulas'!$L$5</f>
        <v>0</v>
      </c>
      <c r="Y626" s="243">
        <f>Y625*'OLD Formulas'!$L$5</f>
        <v>0</v>
      </c>
      <c r="Z626" s="243">
        <f>Z625*'OLD Formulas'!$L$5</f>
        <v>0</v>
      </c>
      <c r="AA626" s="243">
        <f>AA625*'OLD Formulas'!$L$5</f>
        <v>0</v>
      </c>
      <c r="AB626" s="243">
        <f>AB625*'OLD Formulas'!$L$5</f>
        <v>0</v>
      </c>
      <c r="AC626" s="243">
        <f>AC625*'OLD Formulas'!$L$5</f>
        <v>0</v>
      </c>
      <c r="AD626" s="243">
        <f>AD625*'OLD Formulas'!$L$5</f>
        <v>0</v>
      </c>
      <c r="AE626" s="243">
        <f>AE625*'OLD Formulas'!$L$5</f>
        <v>0</v>
      </c>
      <c r="AF626" s="243">
        <f>AF625*'OLD Formulas'!$L$5</f>
        <v>0</v>
      </c>
      <c r="AG626" s="623">
        <f t="shared" si="217"/>
        <v>0</v>
      </c>
    </row>
    <row r="627" hidden="1" outlineLevel="1">
      <c r="A627" s="926" t="s">
        <v>1233</v>
      </c>
      <c r="B627" s="243">
        <f>(B500+B508+B516)*'OLD Formulas'!$C$7</f>
        <v>0</v>
      </c>
      <c r="C627" s="243">
        <f>(C500+C508+C516)*'OLD Formulas'!$C$7</f>
        <v>0</v>
      </c>
      <c r="D627" s="243">
        <f>(D500+D508+D516)*'OLD Formulas'!$C$7</f>
        <v>0</v>
      </c>
      <c r="E627" s="243">
        <f>(E500+E508+E516)*'OLD Formulas'!$C$7</f>
        <v>0</v>
      </c>
      <c r="F627" s="243">
        <f>(F500+F508+F516)*'OLD Formulas'!$C$7</f>
        <v>0</v>
      </c>
      <c r="G627" s="243">
        <f>(G500+G508+G516)*'OLD Formulas'!$C$7</f>
        <v>0</v>
      </c>
      <c r="H627" s="243">
        <f>(H500+H508+H516)*'OLD Formulas'!$C$7</f>
        <v>0</v>
      </c>
      <c r="I627" s="243">
        <f>(I500+I508+I516)*'OLD Formulas'!$C$7</f>
        <v>0</v>
      </c>
      <c r="J627" s="243">
        <f>(J500+J508+J516)*'OLD Formulas'!$C$7</f>
        <v>0</v>
      </c>
      <c r="K627" s="243">
        <f>(K500+K508+K516)*'OLD Formulas'!$C$7</f>
        <v>0</v>
      </c>
      <c r="L627" s="243">
        <f>(L500+L508+L516)*'OLD Formulas'!$C$7</f>
        <v>0</v>
      </c>
      <c r="M627" s="243">
        <f>(M500+M508+M516)*'OLD Formulas'!$C$7</f>
        <v>0</v>
      </c>
      <c r="N627" s="243">
        <f>(N500+N508+N516)*'OLD Formulas'!$C$7</f>
        <v>0</v>
      </c>
      <c r="O627" s="243">
        <f>(O500+O508+O516)*'OLD Formulas'!$C$7</f>
        <v>0</v>
      </c>
      <c r="P627" s="243">
        <f>(P500+P508+P516)*'OLD Formulas'!$C$7</f>
        <v>0</v>
      </c>
      <c r="Q627" s="243">
        <f>(Q500+Q508+Q516)*'OLD Formulas'!$C$7</f>
        <v>0</v>
      </c>
      <c r="R627" s="243">
        <f>(R500+R508+R516)*'OLD Formulas'!$C$7</f>
        <v>0</v>
      </c>
      <c r="S627" s="243">
        <f>(S500+S508+S516)*'OLD Formulas'!$C$7</f>
        <v>0</v>
      </c>
      <c r="T627" s="243">
        <f>(T500+T508+T516)*'OLD Formulas'!$C$7</f>
        <v>0</v>
      </c>
      <c r="U627" s="243">
        <f>(U500+U508+U516)*'OLD Formulas'!$C$7</f>
        <v>0</v>
      </c>
      <c r="V627" s="243">
        <f>(V500+V508+V516)*'OLD Formulas'!$C$7</f>
        <v>0</v>
      </c>
      <c r="W627" s="243">
        <f>(W500+W508+W516)*'OLD Formulas'!$C$7</f>
        <v>0</v>
      </c>
      <c r="X627" s="243">
        <f>(X500+X508+X516)*'OLD Formulas'!$C$7</f>
        <v>0</v>
      </c>
      <c r="Y627" s="243">
        <f>(Y500+Y508+Y516)*'OLD Formulas'!$C$7</f>
        <v>0</v>
      </c>
      <c r="Z627" s="243">
        <f>(Z500+Z508+Z516)*'OLD Formulas'!$C$7</f>
        <v>0</v>
      </c>
      <c r="AA627" s="243">
        <f>(AA500+AA508+AA516)*'OLD Formulas'!$C$7</f>
        <v>0</v>
      </c>
      <c r="AB627" s="243">
        <f>(AB500+AB508+AB516)*'OLD Formulas'!$C$7</f>
        <v>0</v>
      </c>
      <c r="AC627" s="243">
        <f>(AC500+AC508+AC516)*'OLD Formulas'!$C$7</f>
        <v>0</v>
      </c>
      <c r="AD627" s="243">
        <f>(AD500+AD508+AD516)*'OLD Formulas'!$C$7</f>
        <v>0</v>
      </c>
      <c r="AE627" s="243">
        <f>(AE500+AE508+AE516)*'OLD Formulas'!$C$7</f>
        <v>0</v>
      </c>
      <c r="AF627" s="243">
        <f>(AF500+AF508+AF516)*'OLD Formulas'!$C$7</f>
        <v>0</v>
      </c>
      <c r="AG627" s="623">
        <f t="shared" si="217"/>
        <v>0</v>
      </c>
    </row>
    <row r="628" hidden="1" outlineLevel="1">
      <c r="A628" s="928" t="s">
        <v>1235</v>
      </c>
      <c r="B628" s="243">
        <f>B627*'OLD Formulas'!$L$5</f>
        <v>0</v>
      </c>
      <c r="C628" s="243">
        <f>C627*'OLD Formulas'!$L$5</f>
        <v>0</v>
      </c>
      <c r="D628" s="243">
        <f>D627*'OLD Formulas'!$L$5</f>
        <v>0</v>
      </c>
      <c r="E628" s="243">
        <f>E627*'OLD Formulas'!$L$5</f>
        <v>0</v>
      </c>
      <c r="F628" s="243">
        <f>F627*'OLD Formulas'!$L$5</f>
        <v>0</v>
      </c>
      <c r="G628" s="243">
        <f>G627*'OLD Formulas'!$L$5</f>
        <v>0</v>
      </c>
      <c r="H628" s="243">
        <f>H627*'OLD Formulas'!$L$5</f>
        <v>0</v>
      </c>
      <c r="I628" s="243">
        <f>I627*'OLD Formulas'!$L$5</f>
        <v>0</v>
      </c>
      <c r="J628" s="243">
        <f>J627*'OLD Formulas'!$L$5</f>
        <v>0</v>
      </c>
      <c r="K628" s="243">
        <f>K627*'OLD Formulas'!$L$5</f>
        <v>0</v>
      </c>
      <c r="L628" s="243">
        <f>L627*'OLD Formulas'!$L$5</f>
        <v>0</v>
      </c>
      <c r="M628" s="243">
        <f>M627*'OLD Formulas'!$L$5</f>
        <v>0</v>
      </c>
      <c r="N628" s="243">
        <f>N627*'OLD Formulas'!$L$5</f>
        <v>0</v>
      </c>
      <c r="O628" s="243">
        <f>O627*'OLD Formulas'!$L$5</f>
        <v>0</v>
      </c>
      <c r="P628" s="243">
        <f>P627*'OLD Formulas'!$L$5</f>
        <v>0</v>
      </c>
      <c r="Q628" s="243">
        <f>Q627*'OLD Formulas'!$L$5</f>
        <v>0</v>
      </c>
      <c r="R628" s="243">
        <f>R627*'OLD Formulas'!$L$5</f>
        <v>0</v>
      </c>
      <c r="S628" s="243">
        <f>S627*'OLD Formulas'!$L$5</f>
        <v>0</v>
      </c>
      <c r="T628" s="243">
        <f>T627*'OLD Formulas'!$L$5</f>
        <v>0</v>
      </c>
      <c r="U628" s="243">
        <f>U627*'OLD Formulas'!$L$5</f>
        <v>0</v>
      </c>
      <c r="V628" s="243">
        <f>V627*'OLD Formulas'!$L$5</f>
        <v>0</v>
      </c>
      <c r="W628" s="243">
        <f>W627*'OLD Formulas'!$L$5</f>
        <v>0</v>
      </c>
      <c r="X628" s="243">
        <f>X627*'OLD Formulas'!$L$5</f>
        <v>0</v>
      </c>
      <c r="Y628" s="243">
        <f>Y627*'OLD Formulas'!$L$5</f>
        <v>0</v>
      </c>
      <c r="Z628" s="243">
        <f>Z627*'OLD Formulas'!$L$5</f>
        <v>0</v>
      </c>
      <c r="AA628" s="243">
        <f>AA627*'OLD Formulas'!$L$5</f>
        <v>0</v>
      </c>
      <c r="AB628" s="243">
        <f>AB627*'OLD Formulas'!$L$5</f>
        <v>0</v>
      </c>
      <c r="AC628" s="243">
        <f>AC627*'OLD Formulas'!$L$5</f>
        <v>0</v>
      </c>
      <c r="AD628" s="243">
        <f>AD627*'OLD Formulas'!$L$5</f>
        <v>0</v>
      </c>
      <c r="AE628" s="243">
        <f>AE627*'OLD Formulas'!$L$5</f>
        <v>0</v>
      </c>
      <c r="AF628" s="243">
        <f>AF627*'OLD Formulas'!$L$5</f>
        <v>0</v>
      </c>
      <c r="AG628" s="623">
        <f t="shared" si="217"/>
        <v>0</v>
      </c>
    </row>
    <row r="629" hidden="1" outlineLevel="1">
      <c r="A629" s="928" t="s">
        <v>1236</v>
      </c>
      <c r="B629" s="243">
        <f>B627*'OLD Formulas'!$L$4</f>
        <v>0</v>
      </c>
      <c r="C629" s="243">
        <f>C627*'OLD Formulas'!$L$4</f>
        <v>0</v>
      </c>
      <c r="D629" s="243">
        <f>D627*'OLD Formulas'!$L$4</f>
        <v>0</v>
      </c>
      <c r="E629" s="243">
        <f>E627*'OLD Formulas'!$L$4</f>
        <v>0</v>
      </c>
      <c r="F629" s="243">
        <f>F627*'OLD Formulas'!$L$4</f>
        <v>0</v>
      </c>
      <c r="G629" s="243">
        <f>G627*'OLD Formulas'!$L$4</f>
        <v>0</v>
      </c>
      <c r="H629" s="243">
        <f>H627*'OLD Formulas'!$L$4</f>
        <v>0</v>
      </c>
      <c r="I629" s="243">
        <f>I627*'OLD Formulas'!$L$4</f>
        <v>0</v>
      </c>
      <c r="J629" s="243">
        <f>J627*'OLD Formulas'!$L$4</f>
        <v>0</v>
      </c>
      <c r="K629" s="243">
        <f>K627*'OLD Formulas'!$L$4</f>
        <v>0</v>
      </c>
      <c r="L629" s="243">
        <f>L627*'OLD Formulas'!$L$4</f>
        <v>0</v>
      </c>
      <c r="M629" s="243">
        <f>M627*'OLD Formulas'!$L$4</f>
        <v>0</v>
      </c>
      <c r="N629" s="243">
        <f>N627*'OLD Formulas'!$L$4</f>
        <v>0</v>
      </c>
      <c r="O629" s="243">
        <f>O627*'OLD Formulas'!$L$4</f>
        <v>0</v>
      </c>
      <c r="P629" s="243">
        <f>P627*'OLD Formulas'!$L$4</f>
        <v>0</v>
      </c>
      <c r="Q629" s="243">
        <f>Q627*'OLD Formulas'!$L$4</f>
        <v>0</v>
      </c>
      <c r="R629" s="243">
        <f>R627*'OLD Formulas'!$L$4</f>
        <v>0</v>
      </c>
      <c r="S629" s="243">
        <f>S627*'OLD Formulas'!$L$4</f>
        <v>0</v>
      </c>
      <c r="T629" s="243">
        <f>T627*'OLD Formulas'!$L$4</f>
        <v>0</v>
      </c>
      <c r="U629" s="243">
        <f>U627*'OLD Formulas'!$L$4</f>
        <v>0</v>
      </c>
      <c r="V629" s="243">
        <f>V627*'OLD Formulas'!$L$4</f>
        <v>0</v>
      </c>
      <c r="W629" s="243">
        <f>W627*'OLD Formulas'!$L$4</f>
        <v>0</v>
      </c>
      <c r="X629" s="243">
        <f>X627*'OLD Formulas'!$L$4</f>
        <v>0</v>
      </c>
      <c r="Y629" s="243">
        <f>Y627*'OLD Formulas'!$L$4</f>
        <v>0</v>
      </c>
      <c r="Z629" s="243">
        <f>Z627*'OLD Formulas'!$L$4</f>
        <v>0</v>
      </c>
      <c r="AA629" s="243">
        <f>AA627*'OLD Formulas'!$L$4</f>
        <v>0</v>
      </c>
      <c r="AB629" s="243">
        <f>AB627*'OLD Formulas'!$L$4</f>
        <v>0</v>
      </c>
      <c r="AC629" s="243">
        <f>AC627*'OLD Formulas'!$L$4</f>
        <v>0</v>
      </c>
      <c r="AD629" s="243">
        <f>AD627*'OLD Formulas'!$L$4</f>
        <v>0</v>
      </c>
      <c r="AE629" s="243">
        <f>AE627*'OLD Formulas'!$L$4</f>
        <v>0</v>
      </c>
      <c r="AF629" s="243">
        <f>AF627*'OLD Formulas'!$L$4</f>
        <v>0</v>
      </c>
      <c r="AG629" s="623">
        <f t="shared" si="217"/>
        <v>0</v>
      </c>
    </row>
    <row r="630" hidden="1" outlineLevel="1">
      <c r="A630" s="926" t="s">
        <v>1237</v>
      </c>
      <c r="B630" s="243">
        <f>(B499+B507+B515)*'OLD Formulas'!$C$6</f>
        <v>0</v>
      </c>
      <c r="C630" s="243">
        <f>(C499+C507+C515)*'OLD Formulas'!$C$6</f>
        <v>0</v>
      </c>
      <c r="D630" s="243">
        <f>(D499+D507+D515)*'OLD Formulas'!$C$6</f>
        <v>0</v>
      </c>
      <c r="E630" s="243">
        <f>(E499+E507+E515)*'OLD Formulas'!$C$6</f>
        <v>0</v>
      </c>
      <c r="F630" s="243">
        <f>(F499+F507+F515)*'OLD Formulas'!$C$6</f>
        <v>0</v>
      </c>
      <c r="G630" s="243">
        <f>(G499+G507+G515)*'OLD Formulas'!$C$6</f>
        <v>0</v>
      </c>
      <c r="H630" s="243">
        <f>(H499+H507+H515)*'OLD Formulas'!$C$6</f>
        <v>0</v>
      </c>
      <c r="I630" s="243">
        <f>(I499+I507+I515)*'OLD Formulas'!$C$6</f>
        <v>0</v>
      </c>
      <c r="J630" s="243">
        <f>(J499+J507+J515)*'OLD Formulas'!$C$6</f>
        <v>0</v>
      </c>
      <c r="K630" s="243">
        <f>(K499+K507+K515)*'OLD Formulas'!$C$6</f>
        <v>0</v>
      </c>
      <c r="L630" s="243">
        <f>(L499+L507+L515)*'OLD Formulas'!$C$6</f>
        <v>0</v>
      </c>
      <c r="M630" s="243">
        <f>(M499+M507+M515)*'OLD Formulas'!$C$6</f>
        <v>0</v>
      </c>
      <c r="N630" s="243">
        <f>(N499+N507+N515)*'OLD Formulas'!$C$6</f>
        <v>0</v>
      </c>
      <c r="O630" s="243">
        <f>(O499+O507+O515)*'OLD Formulas'!$C$6</f>
        <v>0</v>
      </c>
      <c r="P630" s="243">
        <f>(P499+P507+P515)*'OLD Formulas'!$C$6</f>
        <v>0</v>
      </c>
      <c r="Q630" s="243">
        <f>(Q499+Q507+Q515)*'OLD Formulas'!$C$6</f>
        <v>0</v>
      </c>
      <c r="R630" s="243">
        <f>(R499+R507+R515)*'OLD Formulas'!$C$6</f>
        <v>0</v>
      </c>
      <c r="S630" s="243">
        <f>(S499+S507+S515)*'OLD Formulas'!$C$6</f>
        <v>0</v>
      </c>
      <c r="T630" s="243">
        <f>(T499+T507+T515)*'OLD Formulas'!$C$6</f>
        <v>0</v>
      </c>
      <c r="U630" s="243">
        <f>(U499+U507+U515)*'OLD Formulas'!$C$6</f>
        <v>0</v>
      </c>
      <c r="V630" s="243">
        <f>(V499+V507+V515)*'OLD Formulas'!$C$6</f>
        <v>0</v>
      </c>
      <c r="W630" s="243">
        <f>(W499+W507+W515)*'OLD Formulas'!$C$6</f>
        <v>0</v>
      </c>
      <c r="X630" s="243">
        <f>(X499+X507+X515)*'OLD Formulas'!$C$6</f>
        <v>0</v>
      </c>
      <c r="Y630" s="243">
        <f>(Y499+Y507+Y515)*'OLD Formulas'!$C$6</f>
        <v>0</v>
      </c>
      <c r="Z630" s="243">
        <f>(Z499+Z507+Z515)*'OLD Formulas'!$C$6</f>
        <v>0</v>
      </c>
      <c r="AA630" s="243">
        <f>(AA499+AA507+AA515)*'OLD Formulas'!$C$6</f>
        <v>0</v>
      </c>
      <c r="AB630" s="243">
        <f>(AB499+AB507+AB515)*'OLD Formulas'!$C$6</f>
        <v>0</v>
      </c>
      <c r="AC630" s="243">
        <f>(AC499+AC507+AC515)*'OLD Formulas'!$C$6</f>
        <v>0</v>
      </c>
      <c r="AD630" s="243">
        <f>(AD499+AD507+AD515)*'OLD Formulas'!$C$6</f>
        <v>0</v>
      </c>
      <c r="AE630" s="243">
        <f>(AE499+AE507+AE515)*'OLD Formulas'!$C$6</f>
        <v>0</v>
      </c>
      <c r="AF630" s="243">
        <f>(AF499+AF507+AF515)*'OLD Formulas'!$C$6</f>
        <v>0</v>
      </c>
      <c r="AG630" s="623">
        <f t="shared" si="217"/>
        <v>0</v>
      </c>
    </row>
    <row r="631" hidden="1" outlineLevel="1">
      <c r="A631" s="928" t="s">
        <v>1238</v>
      </c>
      <c r="B631" s="243">
        <f>B630*'OLD Formulas'!$L$5</f>
        <v>0</v>
      </c>
      <c r="C631" s="243">
        <f>C630*'OLD Formulas'!$L$5</f>
        <v>0</v>
      </c>
      <c r="D631" s="243">
        <f>D630*'OLD Formulas'!$L$5</f>
        <v>0</v>
      </c>
      <c r="E631" s="243">
        <f>E630*'OLD Formulas'!$L$5</f>
        <v>0</v>
      </c>
      <c r="F631" s="243">
        <f>F630*'OLD Formulas'!$L$5</f>
        <v>0</v>
      </c>
      <c r="G631" s="243">
        <f>G630*'OLD Formulas'!$L$5</f>
        <v>0</v>
      </c>
      <c r="H631" s="243">
        <f>H630*'OLD Formulas'!$L$5</f>
        <v>0</v>
      </c>
      <c r="I631" s="243">
        <f>I630*'OLD Formulas'!$L$5</f>
        <v>0</v>
      </c>
      <c r="J631" s="243">
        <f>J630*'OLD Formulas'!$L$5</f>
        <v>0</v>
      </c>
      <c r="K631" s="243">
        <f>K630*'OLD Formulas'!$L$5</f>
        <v>0</v>
      </c>
      <c r="L631" s="243">
        <f>L630*'OLD Formulas'!$L$5</f>
        <v>0</v>
      </c>
      <c r="M631" s="243">
        <f>M630*'OLD Formulas'!$L$5</f>
        <v>0</v>
      </c>
      <c r="N631" s="243">
        <f>N630*'OLD Formulas'!$L$5</f>
        <v>0</v>
      </c>
      <c r="O631" s="243">
        <f>O630*'OLD Formulas'!$L$5</f>
        <v>0</v>
      </c>
      <c r="P631" s="243">
        <f>P630*'OLD Formulas'!$L$5</f>
        <v>0</v>
      </c>
      <c r="Q631" s="243">
        <f>Q630*'OLD Formulas'!$L$5</f>
        <v>0</v>
      </c>
      <c r="R631" s="243">
        <f>R630*'OLD Formulas'!$L$5</f>
        <v>0</v>
      </c>
      <c r="S631" s="243">
        <f>S630*'OLD Formulas'!$L$5</f>
        <v>0</v>
      </c>
      <c r="T631" s="243">
        <f>T630*'OLD Formulas'!$L$5</f>
        <v>0</v>
      </c>
      <c r="U631" s="243">
        <f>U630*'OLD Formulas'!$L$5</f>
        <v>0</v>
      </c>
      <c r="V631" s="243">
        <f>V630*'OLD Formulas'!$L$5</f>
        <v>0</v>
      </c>
      <c r="W631" s="243">
        <f>W630*'OLD Formulas'!$L$5</f>
        <v>0</v>
      </c>
      <c r="X631" s="243">
        <f>X630*'OLD Formulas'!$L$5</f>
        <v>0</v>
      </c>
      <c r="Y631" s="243">
        <f>Y630*'OLD Formulas'!$L$5</f>
        <v>0</v>
      </c>
      <c r="Z631" s="243">
        <f>Z630*'OLD Formulas'!$L$5</f>
        <v>0</v>
      </c>
      <c r="AA631" s="243">
        <f>AA630*'OLD Formulas'!$L$5</f>
        <v>0</v>
      </c>
      <c r="AB631" s="243">
        <f>AB630*'OLD Formulas'!$L$5</f>
        <v>0</v>
      </c>
      <c r="AC631" s="243">
        <f>AC630*'OLD Formulas'!$L$5</f>
        <v>0</v>
      </c>
      <c r="AD631" s="243">
        <f>AD630*'OLD Formulas'!$L$5</f>
        <v>0</v>
      </c>
      <c r="AE631" s="243">
        <f>AE630*'OLD Formulas'!$L$5</f>
        <v>0</v>
      </c>
      <c r="AF631" s="243">
        <f>AF630*'OLD Formulas'!$L$5</f>
        <v>0</v>
      </c>
      <c r="AG631" s="623">
        <f t="shared" si="217"/>
        <v>0</v>
      </c>
    </row>
    <row r="632" hidden="1" outlineLevel="1">
      <c r="A632" s="928" t="s">
        <v>1239</v>
      </c>
      <c r="B632" s="243">
        <f>B630*'OLD Formulas'!$L$4</f>
        <v>0</v>
      </c>
      <c r="C632" s="243">
        <f>C630*'OLD Formulas'!$L$4</f>
        <v>0</v>
      </c>
      <c r="D632" s="243">
        <f>D630*'OLD Formulas'!$L$4</f>
        <v>0</v>
      </c>
      <c r="E632" s="243">
        <f>E630*'OLD Formulas'!$L$4</f>
        <v>0</v>
      </c>
      <c r="F632" s="243">
        <f>F630*'OLD Formulas'!$L$4</f>
        <v>0</v>
      </c>
      <c r="G632" s="243">
        <f>G630*'OLD Formulas'!$L$4</f>
        <v>0</v>
      </c>
      <c r="H632" s="243">
        <f>H630*'OLD Formulas'!$L$4</f>
        <v>0</v>
      </c>
      <c r="I632" s="243">
        <f>I630*'OLD Formulas'!$L$4</f>
        <v>0</v>
      </c>
      <c r="J632" s="243">
        <f>J630*'OLD Formulas'!$L$4</f>
        <v>0</v>
      </c>
      <c r="K632" s="243">
        <f>K630*'OLD Formulas'!$L$4</f>
        <v>0</v>
      </c>
      <c r="L632" s="243">
        <f>L630*'OLD Formulas'!$L$4</f>
        <v>0</v>
      </c>
      <c r="M632" s="243">
        <f>M630*'OLD Formulas'!$L$4</f>
        <v>0</v>
      </c>
      <c r="N632" s="243">
        <f>N630*'OLD Formulas'!$L$4</f>
        <v>0</v>
      </c>
      <c r="O632" s="243">
        <f>O630*'OLD Formulas'!$L$4</f>
        <v>0</v>
      </c>
      <c r="P632" s="243">
        <f>P630*'OLD Formulas'!$L$4</f>
        <v>0</v>
      </c>
      <c r="Q632" s="243">
        <f>Q630*'OLD Formulas'!$L$4</f>
        <v>0</v>
      </c>
      <c r="R632" s="243">
        <f>R630*'OLD Formulas'!$L$4</f>
        <v>0</v>
      </c>
      <c r="S632" s="243">
        <f>S630*'OLD Formulas'!$L$4</f>
        <v>0</v>
      </c>
      <c r="T632" s="243">
        <f>T630*'OLD Formulas'!$L$4</f>
        <v>0</v>
      </c>
      <c r="U632" s="243">
        <f>U630*'OLD Formulas'!$L$4</f>
        <v>0</v>
      </c>
      <c r="V632" s="243">
        <f>V630*'OLD Formulas'!$L$4</f>
        <v>0</v>
      </c>
      <c r="W632" s="243">
        <f>W630*'OLD Formulas'!$L$4</f>
        <v>0</v>
      </c>
      <c r="X632" s="243">
        <f>X630*'OLD Formulas'!$L$4</f>
        <v>0</v>
      </c>
      <c r="Y632" s="243">
        <f>Y630*'OLD Formulas'!$L$4</f>
        <v>0</v>
      </c>
      <c r="Z632" s="243">
        <f>Z630*'OLD Formulas'!$L$4</f>
        <v>0</v>
      </c>
      <c r="AA632" s="243">
        <f>AA630*'OLD Formulas'!$L$4</f>
        <v>0</v>
      </c>
      <c r="AB632" s="243">
        <f>AB630*'OLD Formulas'!$L$4</f>
        <v>0</v>
      </c>
      <c r="AC632" s="243">
        <f>AC630*'OLD Formulas'!$L$4</f>
        <v>0</v>
      </c>
      <c r="AD632" s="243">
        <f>AD630*'OLD Formulas'!$L$4</f>
        <v>0</v>
      </c>
      <c r="AE632" s="243">
        <f>AE630*'OLD Formulas'!$L$4</f>
        <v>0</v>
      </c>
      <c r="AF632" s="243">
        <f>AF630*'OLD Formulas'!$L$4</f>
        <v>0</v>
      </c>
      <c r="AG632" s="623">
        <f t="shared" si="217"/>
        <v>0</v>
      </c>
    </row>
    <row r="633" hidden="1" outlineLevel="1">
      <c r="A633" s="926" t="s">
        <v>1240</v>
      </c>
      <c r="B633" s="243">
        <f>(B501+B509+B517)*'OLD Formulas'!$C$8</f>
        <v>0</v>
      </c>
      <c r="C633" s="243">
        <f>(C501+C509+C517)*'OLD Formulas'!$C$8</f>
        <v>0</v>
      </c>
      <c r="D633" s="243">
        <f>(D501+D509+D517)*'OLD Formulas'!$C$8</f>
        <v>0</v>
      </c>
      <c r="E633" s="243">
        <f>(E501+E509+E517)*'OLD Formulas'!$C$8</f>
        <v>0</v>
      </c>
      <c r="F633" s="243">
        <f>(F501+F509+F517)*'OLD Formulas'!$C$8</f>
        <v>0</v>
      </c>
      <c r="G633" s="243">
        <f>(G501+G509+G517)*'OLD Formulas'!$C$8</f>
        <v>0</v>
      </c>
      <c r="H633" s="243">
        <f>(H501+H509+H517)*'OLD Formulas'!$C$8</f>
        <v>0</v>
      </c>
      <c r="I633" s="243">
        <f>(I501+I509+I517)*'OLD Formulas'!$C$8</f>
        <v>0</v>
      </c>
      <c r="J633" s="243">
        <f>(J501+J509+J517)*'OLD Formulas'!$C$8</f>
        <v>0</v>
      </c>
      <c r="K633" s="243">
        <f>(K501+K509+K517)*'OLD Formulas'!$C$8</f>
        <v>0</v>
      </c>
      <c r="L633" s="243">
        <f>(L501+L509+L517)*'OLD Formulas'!$C$8</f>
        <v>0</v>
      </c>
      <c r="M633" s="243">
        <f>(M501+M509+M517)*'OLD Formulas'!$C$8</f>
        <v>0</v>
      </c>
      <c r="N633" s="243">
        <f>(N501+N509+N517)*'OLD Formulas'!$C$8</f>
        <v>0</v>
      </c>
      <c r="O633" s="243">
        <f>(O501+O509+O517)*'OLD Formulas'!$C$8</f>
        <v>0</v>
      </c>
      <c r="P633" s="243">
        <f>(P501+P509+P517)*'OLD Formulas'!$C$8</f>
        <v>0</v>
      </c>
      <c r="Q633" s="243">
        <f>(Q501+Q509+Q517)*'OLD Formulas'!$C$8</f>
        <v>0</v>
      </c>
      <c r="R633" s="243">
        <f>(R501+R509+R517)*'OLD Formulas'!$C$8</f>
        <v>0</v>
      </c>
      <c r="S633" s="243">
        <f>(S501+S509+S517)*'OLD Formulas'!$C$8</f>
        <v>0</v>
      </c>
      <c r="T633" s="243">
        <f>(T501+T509+T517)*'OLD Formulas'!$C$8</f>
        <v>0</v>
      </c>
      <c r="U633" s="243">
        <f>(U501+U509+U517)*'OLD Formulas'!$C$8</f>
        <v>0</v>
      </c>
      <c r="V633" s="243">
        <f>(V501+V509+V517)*'OLD Formulas'!$C$8</f>
        <v>0</v>
      </c>
      <c r="W633" s="243">
        <f>(W501+W509+W517)*'OLD Formulas'!$C$8</f>
        <v>0</v>
      </c>
      <c r="X633" s="243">
        <f>(X501+X509+X517)*'OLD Formulas'!$C$8</f>
        <v>0</v>
      </c>
      <c r="Y633" s="243">
        <f>(Y501+Y509+Y517)*'OLD Formulas'!$C$8</f>
        <v>0</v>
      </c>
      <c r="Z633" s="243">
        <f>(Z501+Z509+Z517)*'OLD Formulas'!$C$8</f>
        <v>0</v>
      </c>
      <c r="AA633" s="243">
        <f>(AA501+AA509+AA517)*'OLD Formulas'!$C$8</f>
        <v>0</v>
      </c>
      <c r="AB633" s="243">
        <f>(AB501+AB509+AB517)*'OLD Formulas'!$C$8</f>
        <v>0</v>
      </c>
      <c r="AC633" s="243">
        <f>(AC501+AC509+AC517)*'OLD Formulas'!$C$8</f>
        <v>0</v>
      </c>
      <c r="AD633" s="243">
        <f>(AD501+AD509+AD517)*'OLD Formulas'!$C$8</f>
        <v>0</v>
      </c>
      <c r="AE633" s="243">
        <f>(AE501+AE509+AE517)*'OLD Formulas'!$C$8</f>
        <v>0</v>
      </c>
      <c r="AF633" s="243">
        <f>(AF501+AF509+AF517)*'OLD Formulas'!$C$8</f>
        <v>0</v>
      </c>
      <c r="AG633" s="623">
        <f t="shared" si="217"/>
        <v>0</v>
      </c>
    </row>
    <row r="634" hidden="1" outlineLevel="1">
      <c r="A634" s="928" t="s">
        <v>1241</v>
      </c>
      <c r="B634" s="243">
        <f>B633*'OLD Formulas'!$L$5</f>
        <v>0</v>
      </c>
      <c r="C634" s="243">
        <f>C633*'OLD Formulas'!$L$5</f>
        <v>0</v>
      </c>
      <c r="D634" s="243">
        <f>D633*'OLD Formulas'!$L$5</f>
        <v>0</v>
      </c>
      <c r="E634" s="243">
        <f>E633*'OLD Formulas'!$L$5</f>
        <v>0</v>
      </c>
      <c r="F634" s="243">
        <f>F633*'OLD Formulas'!$L$5</f>
        <v>0</v>
      </c>
      <c r="G634" s="243">
        <f>G633*'OLD Formulas'!$L$5</f>
        <v>0</v>
      </c>
      <c r="H634" s="243">
        <f>H633*'OLD Formulas'!$L$5</f>
        <v>0</v>
      </c>
      <c r="I634" s="243">
        <f>I633*'OLD Formulas'!$L$5</f>
        <v>0</v>
      </c>
      <c r="J634" s="243">
        <f>J633*'OLD Formulas'!$L$5</f>
        <v>0</v>
      </c>
      <c r="K634" s="243">
        <f>K633*'OLD Formulas'!$L$5</f>
        <v>0</v>
      </c>
      <c r="L634" s="243">
        <f>L633*'OLD Formulas'!$L$5</f>
        <v>0</v>
      </c>
      <c r="M634" s="243">
        <f>M633*'OLD Formulas'!$L$5</f>
        <v>0</v>
      </c>
      <c r="N634" s="243">
        <f>N633*'OLD Formulas'!$L$5</f>
        <v>0</v>
      </c>
      <c r="O634" s="243">
        <f>O633*'OLD Formulas'!$L$5</f>
        <v>0</v>
      </c>
      <c r="P634" s="243">
        <f>P633*'OLD Formulas'!$L$5</f>
        <v>0</v>
      </c>
      <c r="Q634" s="243">
        <f>Q633*'OLD Formulas'!$L$5</f>
        <v>0</v>
      </c>
      <c r="R634" s="243">
        <f>R633*'OLD Formulas'!$L$5</f>
        <v>0</v>
      </c>
      <c r="S634" s="243">
        <f>S633*'OLD Formulas'!$L$5</f>
        <v>0</v>
      </c>
      <c r="T634" s="243">
        <f>T633*'OLD Formulas'!$L$5</f>
        <v>0</v>
      </c>
      <c r="U634" s="243">
        <f>U633*'OLD Formulas'!$L$5</f>
        <v>0</v>
      </c>
      <c r="V634" s="243">
        <f>V633*'OLD Formulas'!$L$5</f>
        <v>0</v>
      </c>
      <c r="W634" s="243">
        <f>W633*'OLD Formulas'!$L$5</f>
        <v>0</v>
      </c>
      <c r="X634" s="243">
        <f>X633*'OLD Formulas'!$L$5</f>
        <v>0</v>
      </c>
      <c r="Y634" s="243">
        <f>Y633*'OLD Formulas'!$L$5</f>
        <v>0</v>
      </c>
      <c r="Z634" s="243">
        <f>Z633*'OLD Formulas'!$L$5</f>
        <v>0</v>
      </c>
      <c r="AA634" s="243">
        <f>AA633*'OLD Formulas'!$L$5</f>
        <v>0</v>
      </c>
      <c r="AB634" s="243">
        <f>AB633*'OLD Formulas'!$L$5</f>
        <v>0</v>
      </c>
      <c r="AC634" s="243">
        <f>AC633*'OLD Formulas'!$L$5</f>
        <v>0</v>
      </c>
      <c r="AD634" s="243">
        <f>AD633*'OLD Formulas'!$L$5</f>
        <v>0</v>
      </c>
      <c r="AE634" s="243">
        <f>AE633*'OLD Formulas'!$L$5</f>
        <v>0</v>
      </c>
      <c r="AF634" s="243">
        <f>AF633*'OLD Formulas'!$L$5</f>
        <v>0</v>
      </c>
      <c r="AG634" s="623">
        <f t="shared" si="217"/>
        <v>0</v>
      </c>
    </row>
    <row r="635" hidden="1" outlineLevel="1">
      <c r="A635" s="928" t="s">
        <v>1242</v>
      </c>
      <c r="B635" s="243">
        <f>B633*'OLD Formulas'!$L$4</f>
        <v>0</v>
      </c>
      <c r="C635" s="243">
        <f>C633*'OLD Formulas'!$L$4</f>
        <v>0</v>
      </c>
      <c r="D635" s="243">
        <f>D633*'OLD Formulas'!$L$4</f>
        <v>0</v>
      </c>
      <c r="E635" s="243">
        <f>E633*'OLD Formulas'!$L$4</f>
        <v>0</v>
      </c>
      <c r="F635" s="243">
        <f>F633*'OLD Formulas'!$L$4</f>
        <v>0</v>
      </c>
      <c r="G635" s="243">
        <f>G633*'OLD Formulas'!$L$4</f>
        <v>0</v>
      </c>
      <c r="H635" s="243">
        <f>H633*'OLD Formulas'!$L$4</f>
        <v>0</v>
      </c>
      <c r="I635" s="243">
        <f>I633*'OLD Formulas'!$L$4</f>
        <v>0</v>
      </c>
      <c r="J635" s="243">
        <f>J633*'OLD Formulas'!$L$4</f>
        <v>0</v>
      </c>
      <c r="K635" s="243">
        <f>K633*'OLD Formulas'!$L$4</f>
        <v>0</v>
      </c>
      <c r="L635" s="243">
        <f>L633*'OLD Formulas'!$L$4</f>
        <v>0</v>
      </c>
      <c r="M635" s="243">
        <f>M633*'OLD Formulas'!$L$4</f>
        <v>0</v>
      </c>
      <c r="N635" s="243">
        <f>N633*'OLD Formulas'!$L$4</f>
        <v>0</v>
      </c>
      <c r="O635" s="243">
        <f>O633*'OLD Formulas'!$L$4</f>
        <v>0</v>
      </c>
      <c r="P635" s="243">
        <f>P633*'OLD Formulas'!$L$4</f>
        <v>0</v>
      </c>
      <c r="Q635" s="243">
        <f>Q633*'OLD Formulas'!$L$4</f>
        <v>0</v>
      </c>
      <c r="R635" s="243">
        <f>R633*'OLD Formulas'!$L$4</f>
        <v>0</v>
      </c>
      <c r="S635" s="243">
        <f>S633*'OLD Formulas'!$L$4</f>
        <v>0</v>
      </c>
      <c r="T635" s="243">
        <f>T633*'OLD Formulas'!$L$4</f>
        <v>0</v>
      </c>
      <c r="U635" s="243">
        <f>U633*'OLD Formulas'!$L$4</f>
        <v>0</v>
      </c>
      <c r="V635" s="243">
        <f>V633*'OLD Formulas'!$L$4</f>
        <v>0</v>
      </c>
      <c r="W635" s="243">
        <f>W633*'OLD Formulas'!$L$4</f>
        <v>0</v>
      </c>
      <c r="X635" s="243">
        <f>X633*'OLD Formulas'!$L$4</f>
        <v>0</v>
      </c>
      <c r="Y635" s="243">
        <f>Y633*'OLD Formulas'!$L$4</f>
        <v>0</v>
      </c>
      <c r="Z635" s="243">
        <f>Z633*'OLD Formulas'!$L$4</f>
        <v>0</v>
      </c>
      <c r="AA635" s="243">
        <f>AA633*'OLD Formulas'!$L$4</f>
        <v>0</v>
      </c>
      <c r="AB635" s="243">
        <f>AB633*'OLD Formulas'!$L$4</f>
        <v>0</v>
      </c>
      <c r="AC635" s="243">
        <f>AC633*'OLD Formulas'!$L$4</f>
        <v>0</v>
      </c>
      <c r="AD635" s="243">
        <f>AD633*'OLD Formulas'!$L$4</f>
        <v>0</v>
      </c>
      <c r="AE635" s="243">
        <f>AE633*'OLD Formulas'!$L$4</f>
        <v>0</v>
      </c>
      <c r="AF635" s="243">
        <f>AF633*'OLD Formulas'!$L$4</f>
        <v>0</v>
      </c>
      <c r="AG635" s="623">
        <f t="shared" si="217"/>
        <v>0</v>
      </c>
    </row>
    <row r="636" hidden="1" outlineLevel="1">
      <c r="A636" s="926" t="s">
        <v>1243</v>
      </c>
      <c r="B636" s="243">
        <f>(B502+B510+B518)*'OLD Formulas'!$C$9</f>
        <v>0</v>
      </c>
      <c r="C636" s="243">
        <f>(C502+C510+C518)*'OLD Formulas'!$C$9</f>
        <v>0</v>
      </c>
      <c r="D636" s="243">
        <f>(D502+D510+D518)*'OLD Formulas'!$C$9</f>
        <v>0</v>
      </c>
      <c r="E636" s="243">
        <f>(E502+E510+E518)*'OLD Formulas'!$C$9</f>
        <v>0</v>
      </c>
      <c r="F636" s="243">
        <f>(F502+F510+F518)*'OLD Formulas'!$C$9</f>
        <v>0</v>
      </c>
      <c r="G636" s="243">
        <f>(G502+G510+G518)*'OLD Formulas'!$C$9</f>
        <v>0</v>
      </c>
      <c r="H636" s="243">
        <f>(H502+H510+H518)*'OLD Formulas'!$C$9</f>
        <v>0</v>
      </c>
      <c r="I636" s="243">
        <f>(I502+I510+I518)*'OLD Formulas'!$C$9</f>
        <v>0</v>
      </c>
      <c r="J636" s="243">
        <f>(J502+J510+J518)*'OLD Formulas'!$C$9</f>
        <v>0</v>
      </c>
      <c r="K636" s="243">
        <f>(K502+K510+K518)*'OLD Formulas'!$C$9</f>
        <v>0</v>
      </c>
      <c r="L636" s="243">
        <f>(L502+L510+L518)*'OLD Formulas'!$C$9</f>
        <v>0</v>
      </c>
      <c r="M636" s="243">
        <f>(M502+M510+M518)*'OLD Formulas'!$C$9</f>
        <v>0</v>
      </c>
      <c r="N636" s="243">
        <f>(N502+N510+N518)*'OLD Formulas'!$C$9</f>
        <v>0</v>
      </c>
      <c r="O636" s="243">
        <f>(O502+O510+O518)*'OLD Formulas'!$C$9</f>
        <v>0</v>
      </c>
      <c r="P636" s="243">
        <f>(P502+P510+P518)*'OLD Formulas'!$C$9</f>
        <v>0</v>
      </c>
      <c r="Q636" s="243">
        <f>(Q502+Q510+Q518)*'OLD Formulas'!$C$9</f>
        <v>0</v>
      </c>
      <c r="R636" s="243">
        <f>(R502+R510+R518)*'OLD Formulas'!$C$9</f>
        <v>0</v>
      </c>
      <c r="S636" s="243">
        <f>(S502+S510+S518)*'OLD Formulas'!$C$9</f>
        <v>0</v>
      </c>
      <c r="T636" s="243">
        <f>(T502+T510+T518)*'OLD Formulas'!$C$9</f>
        <v>0</v>
      </c>
      <c r="U636" s="243">
        <f>(U502+U510+U518)*'OLD Formulas'!$C$9</f>
        <v>0</v>
      </c>
      <c r="V636" s="243">
        <f>(V502+V510+V518)*'OLD Formulas'!$C$9</f>
        <v>0</v>
      </c>
      <c r="W636" s="243">
        <f>(W502+W510+W518)*'OLD Formulas'!$C$9</f>
        <v>0</v>
      </c>
      <c r="X636" s="243">
        <f>(X502+X510+X518)*'OLD Formulas'!$C$9</f>
        <v>0</v>
      </c>
      <c r="Y636" s="243">
        <f>(Y502+Y510+Y518)*'OLD Formulas'!$C$9</f>
        <v>0</v>
      </c>
      <c r="Z636" s="243">
        <f>(Z502+Z510+Z518)*'OLD Formulas'!$C$9</f>
        <v>0</v>
      </c>
      <c r="AA636" s="243">
        <f>(AA502+AA510+AA518)*'OLD Formulas'!$C$9</f>
        <v>0</v>
      </c>
      <c r="AB636" s="243">
        <f>(AB502+AB510+AB518)*'OLD Formulas'!$C$9</f>
        <v>0</v>
      </c>
      <c r="AC636" s="243">
        <f>(AC502+AC510+AC518)*'OLD Formulas'!$C$9</f>
        <v>0</v>
      </c>
      <c r="AD636" s="243">
        <f>(AD502+AD510+AD518)*'OLD Formulas'!$C$9</f>
        <v>0</v>
      </c>
      <c r="AE636" s="243">
        <f>(AE502+AE510+AE518)*'OLD Formulas'!$C$9</f>
        <v>0</v>
      </c>
      <c r="AF636" s="243">
        <f>(AF502+AF510+AF518)*'OLD Formulas'!$C$9</f>
        <v>0</v>
      </c>
      <c r="AG636" s="623">
        <f t="shared" si="217"/>
        <v>0</v>
      </c>
    </row>
    <row r="637" hidden="1" outlineLevel="1">
      <c r="A637" s="928" t="s">
        <v>1244</v>
      </c>
      <c r="B637" s="243">
        <f>B636*'OLD Formulas'!$L$5</f>
        <v>0</v>
      </c>
      <c r="C637" s="243">
        <f>C636*'OLD Formulas'!$L$5</f>
        <v>0</v>
      </c>
      <c r="D637" s="243">
        <f>D636*'OLD Formulas'!$L$5</f>
        <v>0</v>
      </c>
      <c r="E637" s="243">
        <f>E636*'OLD Formulas'!$L$5</f>
        <v>0</v>
      </c>
      <c r="F637" s="243">
        <f>F636*'OLD Formulas'!$L$5</f>
        <v>0</v>
      </c>
      <c r="G637" s="243">
        <f>G636*'OLD Formulas'!$L$5</f>
        <v>0</v>
      </c>
      <c r="H637" s="243">
        <f>H636*'OLD Formulas'!$L$5</f>
        <v>0</v>
      </c>
      <c r="I637" s="243">
        <f>I636*'OLD Formulas'!$L$5</f>
        <v>0</v>
      </c>
      <c r="J637" s="243">
        <f>J636*'OLD Formulas'!$L$5</f>
        <v>0</v>
      </c>
      <c r="K637" s="243">
        <f>K636*'OLD Formulas'!$L$5</f>
        <v>0</v>
      </c>
      <c r="L637" s="243">
        <f>L636*'OLD Formulas'!$L$5</f>
        <v>0</v>
      </c>
      <c r="M637" s="243">
        <f>M636*'OLD Formulas'!$L$5</f>
        <v>0</v>
      </c>
      <c r="N637" s="243">
        <f>N636*'OLD Formulas'!$L$5</f>
        <v>0</v>
      </c>
      <c r="O637" s="243">
        <f>O636*'OLD Formulas'!$L$5</f>
        <v>0</v>
      </c>
      <c r="P637" s="243">
        <f>P636*'OLD Formulas'!$L$5</f>
        <v>0</v>
      </c>
      <c r="Q637" s="243">
        <f>Q636*'OLD Formulas'!$L$5</f>
        <v>0</v>
      </c>
      <c r="R637" s="243">
        <f>R636*'OLD Formulas'!$L$5</f>
        <v>0</v>
      </c>
      <c r="S637" s="243">
        <f>S636*'OLD Formulas'!$L$5</f>
        <v>0</v>
      </c>
      <c r="T637" s="243">
        <f>T636*'OLD Formulas'!$L$5</f>
        <v>0</v>
      </c>
      <c r="U637" s="243">
        <f>U636*'OLD Formulas'!$L$5</f>
        <v>0</v>
      </c>
      <c r="V637" s="243">
        <f>V636*'OLD Formulas'!$L$5</f>
        <v>0</v>
      </c>
      <c r="W637" s="243">
        <f>W636*'OLD Formulas'!$L$5</f>
        <v>0</v>
      </c>
      <c r="X637" s="243">
        <f>X636*'OLD Formulas'!$L$5</f>
        <v>0</v>
      </c>
      <c r="Y637" s="243">
        <f>Y636*'OLD Formulas'!$L$5</f>
        <v>0</v>
      </c>
      <c r="Z637" s="243">
        <f>Z636*'OLD Formulas'!$L$5</f>
        <v>0</v>
      </c>
      <c r="AA637" s="243">
        <f>AA636*'OLD Formulas'!$L$5</f>
        <v>0</v>
      </c>
      <c r="AB637" s="243">
        <f>AB636*'OLD Formulas'!$L$5</f>
        <v>0</v>
      </c>
      <c r="AC637" s="243">
        <f>AC636*'OLD Formulas'!$L$5</f>
        <v>0</v>
      </c>
      <c r="AD637" s="243">
        <f>AD636*'OLD Formulas'!$L$5</f>
        <v>0</v>
      </c>
      <c r="AE637" s="243">
        <f>AE636*'OLD Formulas'!$L$5</f>
        <v>0</v>
      </c>
      <c r="AF637" s="243">
        <f>AF636*'OLD Formulas'!$L$5</f>
        <v>0</v>
      </c>
      <c r="AG637" s="623">
        <f t="shared" si="217"/>
        <v>0</v>
      </c>
    </row>
    <row r="638" hidden="1" outlineLevel="1">
      <c r="A638" s="928" t="s">
        <v>1245</v>
      </c>
      <c r="B638" s="243">
        <f>B636*'OLD Formulas'!$L$4</f>
        <v>0</v>
      </c>
      <c r="C638" s="243">
        <f>C636*'OLD Formulas'!$L$4</f>
        <v>0</v>
      </c>
      <c r="D638" s="243">
        <f>D636*'OLD Formulas'!$L$4</f>
        <v>0</v>
      </c>
      <c r="E638" s="243">
        <f>E636*'OLD Formulas'!$L$4</f>
        <v>0</v>
      </c>
      <c r="F638" s="243">
        <f>F636*'OLD Formulas'!$L$4</f>
        <v>0</v>
      </c>
      <c r="G638" s="243">
        <f>G636*'OLD Formulas'!$L$4</f>
        <v>0</v>
      </c>
      <c r="H638" s="243">
        <f>H636*'OLD Formulas'!$L$4</f>
        <v>0</v>
      </c>
      <c r="I638" s="243">
        <f>I636*'OLD Formulas'!$L$4</f>
        <v>0</v>
      </c>
      <c r="J638" s="243">
        <f>J636*'OLD Formulas'!$L$4</f>
        <v>0</v>
      </c>
      <c r="K638" s="243">
        <f>K636*'OLD Formulas'!$L$4</f>
        <v>0</v>
      </c>
      <c r="L638" s="243">
        <f>L636*'OLD Formulas'!$L$4</f>
        <v>0</v>
      </c>
      <c r="M638" s="243">
        <f>M636*'OLD Formulas'!$L$4</f>
        <v>0</v>
      </c>
      <c r="N638" s="243">
        <f>N636*'OLD Formulas'!$L$4</f>
        <v>0</v>
      </c>
      <c r="O638" s="243">
        <f>O636*'OLD Formulas'!$L$4</f>
        <v>0</v>
      </c>
      <c r="P638" s="243">
        <f>P636*'OLD Formulas'!$L$4</f>
        <v>0</v>
      </c>
      <c r="Q638" s="243">
        <f>Q636*'OLD Formulas'!$L$4</f>
        <v>0</v>
      </c>
      <c r="R638" s="243">
        <f>R636*'OLD Formulas'!$L$4</f>
        <v>0</v>
      </c>
      <c r="S638" s="243">
        <f>S636*'OLD Formulas'!$L$4</f>
        <v>0</v>
      </c>
      <c r="T638" s="243">
        <f>T636*'OLD Formulas'!$L$4</f>
        <v>0</v>
      </c>
      <c r="U638" s="243">
        <f>U636*'OLD Formulas'!$L$4</f>
        <v>0</v>
      </c>
      <c r="V638" s="243">
        <f>V636*'OLD Formulas'!$L$4</f>
        <v>0</v>
      </c>
      <c r="W638" s="243">
        <f>W636*'OLD Formulas'!$L$4</f>
        <v>0</v>
      </c>
      <c r="X638" s="243">
        <f>X636*'OLD Formulas'!$L$4</f>
        <v>0</v>
      </c>
      <c r="Y638" s="243">
        <f>Y636*'OLD Formulas'!$L$4</f>
        <v>0</v>
      </c>
      <c r="Z638" s="243">
        <f>Z636*'OLD Formulas'!$L$4</f>
        <v>0</v>
      </c>
      <c r="AA638" s="243">
        <f>AA636*'OLD Formulas'!$L$4</f>
        <v>0</v>
      </c>
      <c r="AB638" s="243">
        <f>AB636*'OLD Formulas'!$L$4</f>
        <v>0</v>
      </c>
      <c r="AC638" s="243">
        <f>AC636*'OLD Formulas'!$L$4</f>
        <v>0</v>
      </c>
      <c r="AD638" s="243">
        <f>AD636*'OLD Formulas'!$L$4</f>
        <v>0</v>
      </c>
      <c r="AE638" s="243">
        <f>AE636*'OLD Formulas'!$L$4</f>
        <v>0</v>
      </c>
      <c r="AF638" s="243">
        <f>AF636*'OLD Formulas'!$L$4</f>
        <v>0</v>
      </c>
      <c r="AG638" s="623">
        <f t="shared" si="217"/>
        <v>0</v>
      </c>
    </row>
    <row r="639" hidden="1" outlineLevel="1">
      <c r="A639" s="926" t="s">
        <v>1246</v>
      </c>
      <c r="B639" s="243">
        <f>(B503+B511+B519)*'OLD Formulas'!$C$5</f>
        <v>0</v>
      </c>
      <c r="C639" s="243">
        <f>(C503+C511+C519)*'OLD Formulas'!$C$5</f>
        <v>0</v>
      </c>
      <c r="D639" s="243">
        <f>(D503+D511+D519)*'OLD Formulas'!$C$5</f>
        <v>0</v>
      </c>
      <c r="E639" s="243">
        <f>(E503+E511+E519)*'OLD Formulas'!$C$5</f>
        <v>0</v>
      </c>
      <c r="F639" s="243">
        <f>(F503+F511+F519)*'OLD Formulas'!$C$5</f>
        <v>0</v>
      </c>
      <c r="G639" s="243">
        <f>(G503+G511+G519)*'OLD Formulas'!$C$5</f>
        <v>0</v>
      </c>
      <c r="H639" s="243">
        <f>(H503+H511+H519)*'OLD Formulas'!$C$5</f>
        <v>0</v>
      </c>
      <c r="I639" s="243">
        <f>(I503+I511+I519)*'OLD Formulas'!$C$5</f>
        <v>0</v>
      </c>
      <c r="J639" s="243">
        <f>(J503+J511+J519)*'OLD Formulas'!$C$5</f>
        <v>0</v>
      </c>
      <c r="K639" s="243">
        <f>(K503+K511+K519)*'OLD Formulas'!$C$5</f>
        <v>0</v>
      </c>
      <c r="L639" s="243">
        <f>(L503+L511+L519)*'OLD Formulas'!$C$5</f>
        <v>0</v>
      </c>
      <c r="M639" s="243">
        <f>(M503+M511+M519)*'OLD Formulas'!$C$5</f>
        <v>0</v>
      </c>
      <c r="N639" s="243">
        <f>(N503+N511+N519)*'OLD Formulas'!$C$5</f>
        <v>0</v>
      </c>
      <c r="O639" s="243">
        <f>(O503+O511+O519)*'OLD Formulas'!$C$5</f>
        <v>0</v>
      </c>
      <c r="P639" s="243">
        <f>(P503+P511+P519)*'OLD Formulas'!$C$5</f>
        <v>0</v>
      </c>
      <c r="Q639" s="243">
        <f>(Q503+Q511+Q519)*'OLD Formulas'!$C$5</f>
        <v>0</v>
      </c>
      <c r="R639" s="243">
        <f>(R503+R511+R519)*'OLD Formulas'!$C$5</f>
        <v>0</v>
      </c>
      <c r="S639" s="243">
        <f>(S503+S511+S519)*'OLD Formulas'!$C$5</f>
        <v>0</v>
      </c>
      <c r="T639" s="243">
        <f>(T503+T511+T519)*'OLD Formulas'!$C$5</f>
        <v>0</v>
      </c>
      <c r="U639" s="243">
        <f>(U503+U511+U519)*'OLD Formulas'!$C$5</f>
        <v>0</v>
      </c>
      <c r="V639" s="243">
        <f>(V503+V511+V519)*'OLD Formulas'!$C$5</f>
        <v>0</v>
      </c>
      <c r="W639" s="243">
        <f>(W503+W511+W519)*'OLD Formulas'!$C$5</f>
        <v>0</v>
      </c>
      <c r="X639" s="243">
        <f>(X503+X511+X519)*'OLD Formulas'!$C$5</f>
        <v>0</v>
      </c>
      <c r="Y639" s="243">
        <f>(Y503+Y511+Y519)*'OLD Formulas'!$C$5</f>
        <v>0</v>
      </c>
      <c r="Z639" s="243">
        <f>(Z503+Z511+Z519)*'OLD Formulas'!$C$5</f>
        <v>0</v>
      </c>
      <c r="AA639" s="243">
        <f>(AA503+AA511+AA519)*'OLD Formulas'!$C$5</f>
        <v>0</v>
      </c>
      <c r="AB639" s="243">
        <f>(AB503+AB511+AB519)*'OLD Formulas'!$C$5</f>
        <v>0</v>
      </c>
      <c r="AC639" s="243">
        <f>(AC503+AC511+AC519)*'OLD Formulas'!$C$5</f>
        <v>0</v>
      </c>
      <c r="AD639" s="243">
        <f>(AD503+AD511+AD519)*'OLD Formulas'!$C$5</f>
        <v>0</v>
      </c>
      <c r="AE639" s="243">
        <f>(AE503+AE511+AE519)*'OLD Formulas'!$C$5</f>
        <v>0</v>
      </c>
      <c r="AF639" s="243">
        <f>(AF503+AF511+AF519)*'OLD Formulas'!$C$5</f>
        <v>0</v>
      </c>
      <c r="AG639" s="623">
        <f t="shared" si="217"/>
        <v>0</v>
      </c>
    </row>
    <row r="640" hidden="1" outlineLevel="1">
      <c r="A640" s="928" t="s">
        <v>1283</v>
      </c>
      <c r="B640" s="243">
        <f>B639*'OLD Formulas'!$L$8</f>
        <v>0</v>
      </c>
      <c r="C640" s="243">
        <f>C639*'OLD Formulas'!$L$8</f>
        <v>0</v>
      </c>
      <c r="D640" s="243">
        <f>D639*'OLD Formulas'!$L$8</f>
        <v>0</v>
      </c>
      <c r="E640" s="243">
        <f>E639*'OLD Formulas'!$L$8</f>
        <v>0</v>
      </c>
      <c r="F640" s="243">
        <f>F639*'OLD Formulas'!$L$8</f>
        <v>0</v>
      </c>
      <c r="G640" s="243">
        <f>G639*'OLD Formulas'!$L$8</f>
        <v>0</v>
      </c>
      <c r="H640" s="243">
        <f>H639*'OLD Formulas'!$L$8</f>
        <v>0</v>
      </c>
      <c r="I640" s="243">
        <f>I639*'OLD Formulas'!$L$8</f>
        <v>0</v>
      </c>
      <c r="J640" s="243">
        <f>J639*'OLD Formulas'!$L$8</f>
        <v>0</v>
      </c>
      <c r="K640" s="243">
        <f>K639*'OLD Formulas'!$L$8</f>
        <v>0</v>
      </c>
      <c r="L640" s="243">
        <f>L639*'OLD Formulas'!$L$8</f>
        <v>0</v>
      </c>
      <c r="M640" s="243">
        <f>M639*'OLD Formulas'!$L$8</f>
        <v>0</v>
      </c>
      <c r="N640" s="243">
        <f>N639*'OLD Formulas'!$L$8</f>
        <v>0</v>
      </c>
      <c r="O640" s="243">
        <f>O639*'OLD Formulas'!$L$8</f>
        <v>0</v>
      </c>
      <c r="P640" s="243">
        <f>P639*'OLD Formulas'!$L$8</f>
        <v>0</v>
      </c>
      <c r="Q640" s="243">
        <f>Q639*'OLD Formulas'!$L$8</f>
        <v>0</v>
      </c>
      <c r="R640" s="243">
        <f>R639*'OLD Formulas'!$L$8</f>
        <v>0</v>
      </c>
      <c r="S640" s="243">
        <f>S639*'OLD Formulas'!$L$8</f>
        <v>0</v>
      </c>
      <c r="T640" s="243">
        <f>T639*'OLD Formulas'!$L$8</f>
        <v>0</v>
      </c>
      <c r="U640" s="243">
        <f>U639*'OLD Formulas'!$L$8</f>
        <v>0</v>
      </c>
      <c r="V640" s="243">
        <f>V639*'OLD Formulas'!$L$8</f>
        <v>0</v>
      </c>
      <c r="W640" s="243">
        <f>W639*'OLD Formulas'!$L$8</f>
        <v>0</v>
      </c>
      <c r="X640" s="243">
        <f>X639*'OLD Formulas'!$L$8</f>
        <v>0</v>
      </c>
      <c r="Y640" s="243">
        <f>Y639*'OLD Formulas'!$L$8</f>
        <v>0</v>
      </c>
      <c r="Z640" s="243">
        <f>Z639*'OLD Formulas'!$L$8</f>
        <v>0</v>
      </c>
      <c r="AA640" s="243">
        <f>AA639*'OLD Formulas'!$L$8</f>
        <v>0</v>
      </c>
      <c r="AB640" s="243">
        <f>AB639*'OLD Formulas'!$L$8</f>
        <v>0</v>
      </c>
      <c r="AC640" s="243">
        <f>AC639*'OLD Formulas'!$L$8</f>
        <v>0</v>
      </c>
      <c r="AD640" s="243">
        <f>AD639*'OLD Formulas'!$L$8</f>
        <v>0</v>
      </c>
      <c r="AE640" s="243">
        <f>AE639*'OLD Formulas'!$L$8</f>
        <v>0</v>
      </c>
      <c r="AF640" s="243">
        <f>AF639*'OLD Formulas'!$L$8</f>
        <v>0</v>
      </c>
      <c r="AG640" s="623">
        <f t="shared" si="217"/>
        <v>0</v>
      </c>
    </row>
    <row r="641" hidden="1" outlineLevel="1">
      <c r="A641" s="928" t="s">
        <v>1248</v>
      </c>
      <c r="B641" s="243">
        <f>B639*'OLD Formulas'!$L$9</f>
        <v>0</v>
      </c>
      <c r="C641" s="243">
        <f>C639*'OLD Formulas'!$L$9</f>
        <v>0</v>
      </c>
      <c r="D641" s="243">
        <f>D639*'OLD Formulas'!$L$9</f>
        <v>0</v>
      </c>
      <c r="E641" s="243">
        <f>E639*'OLD Formulas'!$L$9</f>
        <v>0</v>
      </c>
      <c r="F641" s="243">
        <f>F639*'OLD Formulas'!$L$9</f>
        <v>0</v>
      </c>
      <c r="G641" s="243">
        <f>G639*'OLD Formulas'!$L$9</f>
        <v>0</v>
      </c>
      <c r="H641" s="243">
        <f>H639*'OLD Formulas'!$L$9</f>
        <v>0</v>
      </c>
      <c r="I641" s="243">
        <f>I639*'OLD Formulas'!$L$9</f>
        <v>0</v>
      </c>
      <c r="J641" s="243">
        <f>J639*'OLD Formulas'!$L$9</f>
        <v>0</v>
      </c>
      <c r="K641" s="243">
        <f>K639*'OLD Formulas'!$L$9</f>
        <v>0</v>
      </c>
      <c r="L641" s="243">
        <f>L639*'OLD Formulas'!$L$9</f>
        <v>0</v>
      </c>
      <c r="M641" s="243">
        <f>M639*'OLD Formulas'!$L$9</f>
        <v>0</v>
      </c>
      <c r="N641" s="243">
        <f>N639*'OLD Formulas'!$L$9</f>
        <v>0</v>
      </c>
      <c r="O641" s="243">
        <f>O639*'OLD Formulas'!$L$9</f>
        <v>0</v>
      </c>
      <c r="P641" s="243">
        <f>P639*'OLD Formulas'!$L$9</f>
        <v>0</v>
      </c>
      <c r="Q641" s="243">
        <f>Q639*'OLD Formulas'!$L$9</f>
        <v>0</v>
      </c>
      <c r="R641" s="243">
        <f>R639*'OLD Formulas'!$L$9</f>
        <v>0</v>
      </c>
      <c r="S641" s="243">
        <f>S639*'OLD Formulas'!$L$9</f>
        <v>0</v>
      </c>
      <c r="T641" s="243">
        <f>T639*'OLD Formulas'!$L$9</f>
        <v>0</v>
      </c>
      <c r="U641" s="243">
        <f>U639*'OLD Formulas'!$L$9</f>
        <v>0</v>
      </c>
      <c r="V641" s="243">
        <f>V639*'OLD Formulas'!$L$9</f>
        <v>0</v>
      </c>
      <c r="W641" s="243">
        <f>W639*'OLD Formulas'!$L$9</f>
        <v>0</v>
      </c>
      <c r="X641" s="243">
        <f>X639*'OLD Formulas'!$L$9</f>
        <v>0</v>
      </c>
      <c r="Y641" s="243">
        <f>Y639*'OLD Formulas'!$L$9</f>
        <v>0</v>
      </c>
      <c r="Z641" s="243">
        <f>Z639*'OLD Formulas'!$L$9</f>
        <v>0</v>
      </c>
      <c r="AA641" s="243">
        <f>AA639*'OLD Formulas'!$L$9</f>
        <v>0</v>
      </c>
      <c r="AB641" s="243">
        <f>AB639*'OLD Formulas'!$L$9</f>
        <v>0</v>
      </c>
      <c r="AC641" s="243">
        <f>AC639*'OLD Formulas'!$L$9</f>
        <v>0</v>
      </c>
      <c r="AD641" s="243">
        <f>AD639*'OLD Formulas'!$L$9</f>
        <v>0</v>
      </c>
      <c r="AE641" s="243">
        <f>AE639*'OLD Formulas'!$L$9</f>
        <v>0</v>
      </c>
      <c r="AF641" s="243">
        <f>AF639*'OLD Formulas'!$L$9</f>
        <v>0</v>
      </c>
      <c r="AG641" s="623">
        <f t="shared" si="217"/>
        <v>0</v>
      </c>
    </row>
    <row r="642" hidden="1" outlineLevel="1">
      <c r="A642" s="928" t="s">
        <v>1249</v>
      </c>
      <c r="B642" s="243">
        <f>(B623+B625+B627+B630+B633+B636+B639)*'OLD Formulas'!$L$6</f>
        <v>0</v>
      </c>
      <c r="C642" s="243">
        <f>(C623+C625+C627+C630+C633+C636+C639)*'OLD Formulas'!$L$6</f>
        <v>0</v>
      </c>
      <c r="D642" s="243">
        <f>(D623+D625+D627+D630+D633+D636+D639)*'OLD Formulas'!$L$6</f>
        <v>0</v>
      </c>
      <c r="E642" s="243">
        <f>(E623+E625+E627+E630+E633+E636+E639)*'OLD Formulas'!$L$6</f>
        <v>0</v>
      </c>
      <c r="F642" s="243">
        <f>(F623+F625+F627+F630+F633+F636+F639)*'OLD Formulas'!$L$6</f>
        <v>0</v>
      </c>
      <c r="G642" s="243">
        <f>(G623+G625+G627+G630+G633+G636+G639)*'OLD Formulas'!$L$6</f>
        <v>0</v>
      </c>
      <c r="H642" s="243">
        <f>(H623+H625+H627+H630+H633+H636+H639)*'OLD Formulas'!$L$6</f>
        <v>0</v>
      </c>
      <c r="I642" s="243">
        <f>(I623+I625+I627+I630+I633+I636+I639)*'OLD Formulas'!$L$6</f>
        <v>0</v>
      </c>
      <c r="J642" s="243">
        <f>(J623+J625+J627+J630+J633+J636+J639)*'OLD Formulas'!$L$6</f>
        <v>0</v>
      </c>
      <c r="K642" s="243">
        <f>(K623+K625+K627+K630+K633+K636+K639)*'OLD Formulas'!$L$6</f>
        <v>0</v>
      </c>
      <c r="L642" s="243">
        <f>(L623+L625+L627+L630+L633+L636+L639)*'OLD Formulas'!$L$6</f>
        <v>0</v>
      </c>
      <c r="M642" s="243">
        <f>(M623+M625+M627+M630+M633+M636+M639)*'OLD Formulas'!$L$6</f>
        <v>0</v>
      </c>
      <c r="N642" s="243">
        <f>(N623+N625+N627+N630+N633+N636+N639)*'OLD Formulas'!$L$6</f>
        <v>0</v>
      </c>
      <c r="O642" s="243">
        <f>(O623+O625+O627+O630+O633+O636+O639)*'OLD Formulas'!$L$6</f>
        <v>0</v>
      </c>
      <c r="P642" s="243">
        <f>(P623+P625+P627+P630+P633+P636+P639)*'OLD Formulas'!$L$6</f>
        <v>0</v>
      </c>
      <c r="Q642" s="243">
        <f>(Q623+Q625+Q627+Q630+Q633+Q636+Q639)*'OLD Formulas'!$L$6</f>
        <v>0</v>
      </c>
      <c r="R642" s="243">
        <f>(R623+R625+R627+R630+R633+R636+R639)*'OLD Formulas'!$L$6</f>
        <v>0</v>
      </c>
      <c r="S642" s="243">
        <f>(S623+S625+S627+S630+S633+S636+S639)*'OLD Formulas'!$L$6</f>
        <v>0</v>
      </c>
      <c r="T642" s="243">
        <f>(T623+T625+T627+T630+T633+T636+T639)*'OLD Formulas'!$L$6</f>
        <v>0</v>
      </c>
      <c r="U642" s="243">
        <f>(U623+U625+U627+U630+U633+U636+U639)*'OLD Formulas'!$L$6</f>
        <v>0</v>
      </c>
      <c r="V642" s="243">
        <f>(V623+V625+V627+V630+V633+V636+V639)*'OLD Formulas'!$L$6</f>
        <v>0</v>
      </c>
      <c r="W642" s="243">
        <f>(W623+W625+W627+W630+W633+W636+W639)*'OLD Formulas'!$L$6</f>
        <v>0</v>
      </c>
      <c r="X642" s="243">
        <f>(X623+X625+X627+X630+X633+X636+X639)*'OLD Formulas'!$L$6</f>
        <v>0</v>
      </c>
      <c r="Y642" s="243">
        <f>(Y623+Y625+Y627+Y630+Y633+Y636+Y639)*'OLD Formulas'!$L$6</f>
        <v>0</v>
      </c>
      <c r="Z642" s="243">
        <f>(Z623+Z625+Z627+Z630+Z633+Z636+Z639)*'OLD Formulas'!$L$6</f>
        <v>0</v>
      </c>
      <c r="AA642" s="243">
        <f>(AA623+AA625+AA627+AA630+AA633+AA636+AA639)*'OLD Formulas'!$L$6</f>
        <v>0</v>
      </c>
      <c r="AB642" s="243">
        <f>(AB623+AB625+AB627+AB630+AB633+AB636+AB639)*'OLD Formulas'!$L$6</f>
        <v>0</v>
      </c>
      <c r="AC642" s="243">
        <f>(AC623+AC625+AC627+AC630+AC633+AC636+AC639)*'OLD Formulas'!$L$6</f>
        <v>0</v>
      </c>
      <c r="AD642" s="243">
        <f>(AD623+AD625+AD627+AD630+AD633+AD636+AD639)*'OLD Formulas'!$L$6</f>
        <v>0</v>
      </c>
      <c r="AE642" s="243">
        <f>(AE623+AE625+AE627+AE630+AE633+AE636+AE639)*'OLD Formulas'!$L$6</f>
        <v>0</v>
      </c>
      <c r="AF642" s="243">
        <f>(AF623+AF625+AF627+AF630+AF633+AF636+AF639)*'OLD Formulas'!$L$6</f>
        <v>0</v>
      </c>
      <c r="AG642" s="623">
        <f t="shared" si="217"/>
        <v>0</v>
      </c>
    </row>
    <row r="643" hidden="1" outlineLevel="1">
      <c r="A643" s="928" t="s">
        <v>1251</v>
      </c>
      <c r="B643" s="243">
        <f>((B490+B491)*'OLD Formulas'!$C$32)+((B492+B493)*'OLD Formulas'!$C$33)+((B494+B495)*'OLD Formulas'!$C$34)</f>
        <v>0</v>
      </c>
      <c r="C643" s="243">
        <f>((C490+C491)*'OLD Formulas'!$C$32)+((C492+C493)*'OLD Formulas'!$C$33)+((C494+C495)*'OLD Formulas'!$C$34)</f>
        <v>0</v>
      </c>
      <c r="D643" s="243">
        <f>((D490+D491)*'OLD Formulas'!$C$32)+((D492+D493)*'OLD Formulas'!$C$33)+((D494+D495)*'OLD Formulas'!$C$34)</f>
        <v>0</v>
      </c>
      <c r="E643" s="243">
        <f>((E490+E491)*'OLD Formulas'!$C$32)+((E492+E493)*'OLD Formulas'!$C$33)+((E494+E495)*'OLD Formulas'!$C$34)</f>
        <v>0</v>
      </c>
      <c r="F643" s="243">
        <f>((F490+F491)*'OLD Formulas'!$C$32)+((F492+F493)*'OLD Formulas'!$C$33)+((F494+F495)*'OLD Formulas'!$C$34)</f>
        <v>0</v>
      </c>
      <c r="G643" s="243">
        <f>((G490+G491)*'OLD Formulas'!$C$32)+((G492+G493)*'OLD Formulas'!$C$33)+((G494+G495)*'OLD Formulas'!$C$34)</f>
        <v>0</v>
      </c>
      <c r="H643" s="243">
        <f>((H490+H491)*'OLD Formulas'!$C$32)+((H492+H493)*'OLD Formulas'!$C$33)+((H494+H495)*'OLD Formulas'!$C$34)</f>
        <v>0</v>
      </c>
      <c r="I643" s="243">
        <f>((I490+I491)*'OLD Formulas'!$C$32)+((I492+I493)*'OLD Formulas'!$C$33)+((I494+I495)*'OLD Formulas'!$C$34)</f>
        <v>0</v>
      </c>
      <c r="J643" s="243">
        <f>((J490+J491)*'OLD Formulas'!$C$32)+((J492+J493)*'OLD Formulas'!$C$33)+((J494+J495)*'OLD Formulas'!$C$34)</f>
        <v>0</v>
      </c>
      <c r="K643" s="243">
        <f>((K490+K491)*'OLD Formulas'!$C$32)+((K492+K493)*'OLD Formulas'!$C$33)+((K494+K495)*'OLD Formulas'!$C$34)</f>
        <v>0</v>
      </c>
      <c r="L643" s="243">
        <f>((L490+L491)*'OLD Formulas'!$C$32)+((L492+L493)*'OLD Formulas'!$C$33)+((L494+L495)*'OLD Formulas'!$C$34)</f>
        <v>0</v>
      </c>
      <c r="M643" s="243">
        <f>((M490+M491)*'OLD Formulas'!$C$32)+((M492+M493)*'OLD Formulas'!$C$33)+((M494+M495)*'OLD Formulas'!$C$34)</f>
        <v>0</v>
      </c>
      <c r="N643" s="243">
        <f>((N490+N491)*'OLD Formulas'!$C$32)+((N492+N493)*'OLD Formulas'!$C$33)+((N494+N495)*'OLD Formulas'!$C$34)</f>
        <v>0</v>
      </c>
      <c r="O643" s="243">
        <f>((O490+O491)*'OLD Formulas'!$C$32)+((O492+O493)*'OLD Formulas'!$C$33)+((O494+O495)*'OLD Formulas'!$C$34)</f>
        <v>0</v>
      </c>
      <c r="P643" s="243">
        <f>((P490+P491)*'OLD Formulas'!$C$32)+((P492+P493)*'OLD Formulas'!$C$33)+((P494+P495)*'OLD Formulas'!$C$34)</f>
        <v>0</v>
      </c>
      <c r="Q643" s="243">
        <f>((Q490+Q491)*'OLD Formulas'!$C$32)+((Q492+Q493)*'OLD Formulas'!$C$33)+((Q494+Q495)*'OLD Formulas'!$C$34)</f>
        <v>0</v>
      </c>
      <c r="R643" s="243">
        <f>((R490+R491)*'OLD Formulas'!$C$32)+((R492+R493)*'OLD Formulas'!$C$33)+((R494+R495)*'OLD Formulas'!$C$34)</f>
        <v>0</v>
      </c>
      <c r="S643" s="243">
        <f>((S490+S491)*'OLD Formulas'!$C$32)+((S492+S493)*'OLD Formulas'!$C$33)+((S494+S495)*'OLD Formulas'!$C$34)</f>
        <v>0</v>
      </c>
      <c r="T643" s="243">
        <f>((T490+T491)*'OLD Formulas'!$C$32)+((T492+T493)*'OLD Formulas'!$C$33)+((T494+T495)*'OLD Formulas'!$C$34)</f>
        <v>0</v>
      </c>
      <c r="U643" s="243">
        <f>((U490+U491)*'OLD Formulas'!$C$32)+((U492+U493)*'OLD Formulas'!$C$33)+((U494+U495)*'OLD Formulas'!$C$34)</f>
        <v>0</v>
      </c>
      <c r="V643" s="243">
        <f>((V490+V491)*'OLD Formulas'!$C$32)+((V492+V493)*'OLD Formulas'!$C$33)+((V494+V495)*'OLD Formulas'!$C$34)</f>
        <v>0</v>
      </c>
      <c r="W643" s="243">
        <f>((W490+W491)*'OLD Formulas'!$C$32)+((W492+W493)*'OLD Formulas'!$C$33)+((W494+W495)*'OLD Formulas'!$C$34)</f>
        <v>0</v>
      </c>
      <c r="X643" s="243">
        <f>((X490+X491)*'OLD Formulas'!$C$32)+((X492+X493)*'OLD Formulas'!$C$33)+((X494+X495)*'OLD Formulas'!$C$34)</f>
        <v>0</v>
      </c>
      <c r="Y643" s="243">
        <f>((Y490+Y491)*'OLD Formulas'!$C$32)+((Y492+Y493)*'OLD Formulas'!$C$33)+((Y494+Y495)*'OLD Formulas'!$C$34)</f>
        <v>0</v>
      </c>
      <c r="Z643" s="243">
        <f>((Z490+Z491)*'OLD Formulas'!$C$32)+((Z492+Z493)*'OLD Formulas'!$C$33)+((Z494+Z495)*'OLD Formulas'!$C$34)</f>
        <v>0</v>
      </c>
      <c r="AA643" s="243">
        <f>((AA490+AA491)*'OLD Formulas'!$C$32)+((AA492+AA493)*'OLD Formulas'!$C$33)+((AA494+AA495)*'OLD Formulas'!$C$34)</f>
        <v>0</v>
      </c>
      <c r="AB643" s="243">
        <f>((AB490+AB491)*'OLD Formulas'!$C$32)+((AB492+AB493)*'OLD Formulas'!$C$33)+((AB494+AB495)*'OLD Formulas'!$C$34)</f>
        <v>0</v>
      </c>
      <c r="AC643" s="243">
        <f>((AC490+AC491)*'OLD Formulas'!$C$32)+((AC492+AC493)*'OLD Formulas'!$C$33)+((AC494+AC495)*'OLD Formulas'!$C$34)</f>
        <v>0</v>
      </c>
      <c r="AD643" s="243">
        <f>((AD490+AD491)*'OLD Formulas'!$C$32)+((AD492+AD493)*'OLD Formulas'!$C$33)+((AD494+AD495)*'OLD Formulas'!$C$34)</f>
        <v>0</v>
      </c>
      <c r="AE643" s="243">
        <f>((AE490+AE491)*'OLD Formulas'!$C$32)+((AE492+AE493)*'OLD Formulas'!$C$33)+((AE494+AE495)*'OLD Formulas'!$C$34)</f>
        <v>0</v>
      </c>
      <c r="AF643" s="243">
        <f>((AF490+AF491)*'OLD Formulas'!$C$32)+((AF492+AF493)*'OLD Formulas'!$C$33)+((AF494+AF495)*'OLD Formulas'!$C$34)</f>
        <v>0</v>
      </c>
      <c r="AG643" s="623">
        <f t="shared" si="217"/>
        <v>0</v>
      </c>
    </row>
    <row r="644" hidden="1" outlineLevel="1">
      <c r="A644" s="928" t="s">
        <v>1252</v>
      </c>
      <c r="B644" s="243">
        <f>((B490+B491)*'OLD Formulas'!$C$17)+((B492+B493)*'OLD Formulas'!$C$18)+((B494+B495)*'OLD Formulas'!$C$19)</f>
        <v>0</v>
      </c>
      <c r="C644" s="243">
        <f>((C490+C491)*'OLD Formulas'!$C$17)+((C492+C493)*'OLD Formulas'!$C$18)+((C494+C495)*'OLD Formulas'!$C$19)</f>
        <v>0</v>
      </c>
      <c r="D644" s="243">
        <f>((D490+D491)*'OLD Formulas'!$C$17)+((D492+D493)*'OLD Formulas'!$C$18)+((D494+D495)*'OLD Formulas'!$C$19)</f>
        <v>0</v>
      </c>
      <c r="E644" s="243">
        <f>((E490+E491)*'OLD Formulas'!$C$17)+((E492+E493)*'OLD Formulas'!$C$18)+((E494+E495)*'OLD Formulas'!$C$19)</f>
        <v>0</v>
      </c>
      <c r="F644" s="243">
        <f>((F490+F491)*'OLD Formulas'!$C$17)+((F492+F493)*'OLD Formulas'!$C$18)+((F494+F495)*'OLD Formulas'!$C$19)</f>
        <v>0</v>
      </c>
      <c r="G644" s="243">
        <f>((G490+G491)*'OLD Formulas'!$C$17)+((G492+G493)*'OLD Formulas'!$C$18)+((G494+G495)*'OLD Formulas'!$C$19)</f>
        <v>0</v>
      </c>
      <c r="H644" s="243">
        <f>((H490+H491)*'OLD Formulas'!$C$17)+((H492+H493)*'OLD Formulas'!$C$18)+((H494+H495)*'OLD Formulas'!$C$19)</f>
        <v>0</v>
      </c>
      <c r="I644" s="243">
        <f>((I490+I491)*'OLD Formulas'!$C$17)+((I492+I493)*'OLD Formulas'!$C$18)+((I494+I495)*'OLD Formulas'!$C$19)</f>
        <v>0</v>
      </c>
      <c r="J644" s="243">
        <f>((J490+J491)*'OLD Formulas'!$C$17)+((J492+J493)*'OLD Formulas'!$C$18)+((J494+J495)*'OLD Formulas'!$C$19)</f>
        <v>0</v>
      </c>
      <c r="K644" s="243">
        <f>((K490+K491)*'OLD Formulas'!$C$17)+((K492+K493)*'OLD Formulas'!$C$18)+((K494+K495)*'OLD Formulas'!$C$19)</f>
        <v>0</v>
      </c>
      <c r="L644" s="243">
        <f>((L490+L491)*'OLD Formulas'!$C$17)+((L492+L493)*'OLD Formulas'!$C$18)+((L494+L495)*'OLD Formulas'!$C$19)</f>
        <v>0</v>
      </c>
      <c r="M644" s="243">
        <f>((M490+M491)*'OLD Formulas'!$C$17)+((M492+M493)*'OLD Formulas'!$C$18)+((M494+M495)*'OLD Formulas'!$C$19)</f>
        <v>0</v>
      </c>
      <c r="N644" s="243">
        <f>((N490+N491)*'OLD Formulas'!$C$17)+((N492+N493)*'OLD Formulas'!$C$18)+((N494+N495)*'OLD Formulas'!$C$19)</f>
        <v>0</v>
      </c>
      <c r="O644" s="243">
        <f>((O490+O491)*'OLD Formulas'!$C$17)+((O492+O493)*'OLD Formulas'!$C$18)+((O494+O495)*'OLD Formulas'!$C$19)</f>
        <v>0</v>
      </c>
      <c r="P644" s="243">
        <f>((P490+P491)*'OLD Formulas'!$C$17)+((P492+P493)*'OLD Formulas'!$C$18)+((P494+P495)*'OLD Formulas'!$C$19)</f>
        <v>0</v>
      </c>
      <c r="Q644" s="243">
        <f>((Q490+Q491)*'OLD Formulas'!$C$17)+((Q492+Q493)*'OLD Formulas'!$C$18)+((Q494+Q495)*'OLD Formulas'!$C$19)</f>
        <v>0</v>
      </c>
      <c r="R644" s="243">
        <f>((R490+R491)*'OLD Formulas'!$C$17)+((R492+R493)*'OLD Formulas'!$C$18)+((R494+R495)*'OLD Formulas'!$C$19)</f>
        <v>0</v>
      </c>
      <c r="S644" s="243">
        <f>((S490+S491)*'OLD Formulas'!$C$17)+((S492+S493)*'OLD Formulas'!$C$18)+((S494+S495)*'OLD Formulas'!$C$19)</f>
        <v>0</v>
      </c>
      <c r="T644" s="243">
        <f>((T490+T491)*'OLD Formulas'!$C$17)+((T492+T493)*'OLD Formulas'!$C$18)+((T494+T495)*'OLD Formulas'!$C$19)</f>
        <v>0</v>
      </c>
      <c r="U644" s="243">
        <f>((U490+U491)*'OLD Formulas'!$C$17)+((U492+U493)*'OLD Formulas'!$C$18)+((U494+U495)*'OLD Formulas'!$C$19)</f>
        <v>0</v>
      </c>
      <c r="V644" s="243">
        <f>((V490+V491)*'OLD Formulas'!$C$17)+((V492+V493)*'OLD Formulas'!$C$18)+((V494+V495)*'OLD Formulas'!$C$19)</f>
        <v>0</v>
      </c>
      <c r="W644" s="243">
        <f>((W490+W491)*'OLD Formulas'!$C$17)+((W492+W493)*'OLD Formulas'!$C$18)+((W494+W495)*'OLD Formulas'!$C$19)</f>
        <v>0</v>
      </c>
      <c r="X644" s="243">
        <f>((X490+X491)*'OLD Formulas'!$C$17)+((X492+X493)*'OLD Formulas'!$C$18)+((X494+X495)*'OLD Formulas'!$C$19)</f>
        <v>0</v>
      </c>
      <c r="Y644" s="243">
        <f>((Y490+Y491)*'OLD Formulas'!$C$17)+((Y492+Y493)*'OLD Formulas'!$C$18)+((Y494+Y495)*'OLD Formulas'!$C$19)</f>
        <v>0</v>
      </c>
      <c r="Z644" s="243">
        <f>((Z490+Z491)*'OLD Formulas'!$C$17)+((Z492+Z493)*'OLD Formulas'!$C$18)+((Z494+Z495)*'OLD Formulas'!$C$19)</f>
        <v>0</v>
      </c>
      <c r="AA644" s="243">
        <f>((AA490+AA491)*'OLD Formulas'!$C$17)+((AA492+AA493)*'OLD Formulas'!$C$18)+((AA494+AA495)*'OLD Formulas'!$C$19)</f>
        <v>0</v>
      </c>
      <c r="AB644" s="243">
        <f>((AB490+AB491)*'OLD Formulas'!$C$17)+((AB492+AB493)*'OLD Formulas'!$C$18)+((AB494+AB495)*'OLD Formulas'!$C$19)</f>
        <v>0</v>
      </c>
      <c r="AC644" s="243">
        <f>((AC490+AC491)*'OLD Formulas'!$C$17)+((AC492+AC493)*'OLD Formulas'!$C$18)+((AC494+AC495)*'OLD Formulas'!$C$19)</f>
        <v>0</v>
      </c>
      <c r="AD644" s="243">
        <f>((AD490+AD491)*'OLD Formulas'!$C$17)+((AD492+AD493)*'OLD Formulas'!$C$18)+((AD494+AD495)*'OLD Formulas'!$C$19)</f>
        <v>0</v>
      </c>
      <c r="AE644" s="243">
        <f>((AE490+AE491)*'OLD Formulas'!$C$17)+((AE492+AE493)*'OLD Formulas'!$C$18)+((AE494+AE495)*'OLD Formulas'!$C$19)</f>
        <v>0</v>
      </c>
      <c r="AF644" s="243">
        <f>((AF490+AF491)*'OLD Formulas'!$C$17)+((AF492+AF493)*'OLD Formulas'!$C$18)+((AF494+AF495)*'OLD Formulas'!$C$19)</f>
        <v>0</v>
      </c>
      <c r="AG644" s="623">
        <f t="shared" si="217"/>
        <v>0</v>
      </c>
    </row>
    <row r="645" hidden="1" outlineLevel="1">
      <c r="A645" s="928" t="s">
        <v>1253</v>
      </c>
      <c r="B645" s="243">
        <f>(B505*'OLD Formulas'!$D$32)+(B513*'OLD Formulas'!$D$33)+(B521*'OLD Formulas'!$D$34)</f>
        <v>0</v>
      </c>
      <c r="C645" s="243">
        <f>(C505*'OLD Formulas'!$D$32)+(C513*'OLD Formulas'!$D$33)+(C521*'OLD Formulas'!$D$34)</f>
        <v>0</v>
      </c>
      <c r="D645" s="243">
        <f>(D505*'OLD Formulas'!$D$32)+(D513*'OLD Formulas'!$D$33)+(D521*'OLD Formulas'!$D$34)</f>
        <v>0</v>
      </c>
      <c r="E645" s="243">
        <f>(E505*'OLD Formulas'!$D$32)+(E513*'OLD Formulas'!$D$33)+(E521*'OLD Formulas'!$D$34)</f>
        <v>0</v>
      </c>
      <c r="F645" s="243">
        <f>(F505*'OLD Formulas'!$D$32)+(F513*'OLD Formulas'!$D$33)+(F521*'OLD Formulas'!$D$34)</f>
        <v>0</v>
      </c>
      <c r="G645" s="243">
        <f>(G505*'OLD Formulas'!$D$32)+(G513*'OLD Formulas'!$D$33)+(G521*'OLD Formulas'!$D$34)</f>
        <v>0</v>
      </c>
      <c r="H645" s="243">
        <f>(H505*'OLD Formulas'!$D$32)+(H513*'OLD Formulas'!$D$33)+(H521*'OLD Formulas'!$D$34)</f>
        <v>0</v>
      </c>
      <c r="I645" s="243">
        <f>(I505*'OLD Formulas'!$D$32)+(I513*'OLD Formulas'!$D$33)+(I521*'OLD Formulas'!$D$34)</f>
        <v>0</v>
      </c>
      <c r="J645" s="243">
        <f>(J505*'OLD Formulas'!$D$32)+(J513*'OLD Formulas'!$D$33)+(J521*'OLD Formulas'!$D$34)</f>
        <v>0</v>
      </c>
      <c r="K645" s="243">
        <f>(K505*'OLD Formulas'!$D$32)+(K513*'OLD Formulas'!$D$33)+(K521*'OLD Formulas'!$D$34)</f>
        <v>0</v>
      </c>
      <c r="L645" s="243">
        <f>(L505*'OLD Formulas'!$D$32)+(L513*'OLD Formulas'!$D$33)+(L521*'OLD Formulas'!$D$34)</f>
        <v>0</v>
      </c>
      <c r="M645" s="243">
        <f>(M505*'OLD Formulas'!$D$32)+(M513*'OLD Formulas'!$D$33)+(M521*'OLD Formulas'!$D$34)</f>
        <v>0</v>
      </c>
      <c r="N645" s="243">
        <f>(N505*'OLD Formulas'!$D$32)+(N513*'OLD Formulas'!$D$33)+(N521*'OLD Formulas'!$D$34)</f>
        <v>0</v>
      </c>
      <c r="O645" s="243">
        <f>(O505*'OLD Formulas'!$D$32)+(O513*'OLD Formulas'!$D$33)+(O521*'OLD Formulas'!$D$34)</f>
        <v>0</v>
      </c>
      <c r="P645" s="243">
        <f>(P505*'OLD Formulas'!$D$32)+(P513*'OLD Formulas'!$D$33)+(P521*'OLD Formulas'!$D$34)</f>
        <v>0</v>
      </c>
      <c r="Q645" s="243">
        <f>(Q505*'OLD Formulas'!$D$32)+(Q513*'OLD Formulas'!$D$33)+(Q521*'OLD Formulas'!$D$34)</f>
        <v>0</v>
      </c>
      <c r="R645" s="243">
        <f>(R505*'OLD Formulas'!$D$32)+(R513*'OLD Formulas'!$D$33)+(R521*'OLD Formulas'!$D$34)</f>
        <v>0</v>
      </c>
      <c r="S645" s="243">
        <f>(S505*'OLD Formulas'!$D$32)+(S513*'OLD Formulas'!$D$33)+(S521*'OLD Formulas'!$D$34)</f>
        <v>0</v>
      </c>
      <c r="T645" s="243">
        <f>(T505*'OLD Formulas'!$D$32)+(T513*'OLD Formulas'!$D$33)+(T521*'OLD Formulas'!$D$34)</f>
        <v>0</v>
      </c>
      <c r="U645" s="243">
        <f>(U505*'OLD Formulas'!$D$32)+(U513*'OLD Formulas'!$D$33)+(U521*'OLD Formulas'!$D$34)</f>
        <v>0</v>
      </c>
      <c r="V645" s="243">
        <f>(V505*'OLD Formulas'!$D$32)+(V513*'OLD Formulas'!$D$33)+(V521*'OLD Formulas'!$D$34)</f>
        <v>0</v>
      </c>
      <c r="W645" s="243">
        <f>(W505*'OLD Formulas'!$D$32)+(W513*'OLD Formulas'!$D$33)+(W521*'OLD Formulas'!$D$34)</f>
        <v>0</v>
      </c>
      <c r="X645" s="243">
        <f>(X505*'OLD Formulas'!$D$32)+(X513*'OLD Formulas'!$D$33)+(X521*'OLD Formulas'!$D$34)</f>
        <v>0</v>
      </c>
      <c r="Y645" s="243">
        <f>(Y505*'OLD Formulas'!$D$32)+(Y513*'OLD Formulas'!$D$33)+(Y521*'OLD Formulas'!$D$34)</f>
        <v>0</v>
      </c>
      <c r="Z645" s="243">
        <f>(Z505*'OLD Formulas'!$D$32)+(Z513*'OLD Formulas'!$D$33)+(Z521*'OLD Formulas'!$D$34)</f>
        <v>0</v>
      </c>
      <c r="AA645" s="243">
        <f>(AA505*'OLD Formulas'!$D$32)+(AA513*'OLD Formulas'!$D$33)+(AA521*'OLD Formulas'!$D$34)</f>
        <v>0</v>
      </c>
      <c r="AB645" s="243">
        <f>(AB505*'OLD Formulas'!$D$32)+(AB513*'OLD Formulas'!$D$33)+(AB521*'OLD Formulas'!$D$34)</f>
        <v>0</v>
      </c>
      <c r="AC645" s="243">
        <f>(AC505*'OLD Formulas'!$D$32)+(AC513*'OLD Formulas'!$D$33)+(AC521*'OLD Formulas'!$D$34)</f>
        <v>0</v>
      </c>
      <c r="AD645" s="243">
        <f>(AD505*'OLD Formulas'!$D$32)+(AD513*'OLD Formulas'!$D$33)+(AD521*'OLD Formulas'!$D$34)</f>
        <v>0</v>
      </c>
      <c r="AE645" s="243">
        <f>(AE505*'OLD Formulas'!$D$32)+(AE513*'OLD Formulas'!$D$33)+(AE521*'OLD Formulas'!$D$34)</f>
        <v>0</v>
      </c>
      <c r="AF645" s="243">
        <f>(AF505*'OLD Formulas'!$D$32)+(AF513*'OLD Formulas'!$D$33)+(AF521*'OLD Formulas'!$D$34)</f>
        <v>0</v>
      </c>
      <c r="AG645" s="623">
        <f t="shared" si="217"/>
        <v>0</v>
      </c>
    </row>
    <row r="646" hidden="1" outlineLevel="1">
      <c r="A646" s="928" t="s">
        <v>1254</v>
      </c>
      <c r="B646" s="243">
        <f>(B505*'OLD Formulas'!$D$17)+(B513*'OLD Formulas'!$D$18)+(B521*'OLD Formulas'!$D$19)</f>
        <v>0</v>
      </c>
      <c r="C646" s="243">
        <f>(C505*'OLD Formulas'!$D$17)+(C513*'OLD Formulas'!$D$18)+(C521*'OLD Formulas'!$D$19)</f>
        <v>0</v>
      </c>
      <c r="D646" s="243">
        <f>(D505*'OLD Formulas'!$D$17)+(D513*'OLD Formulas'!$D$18)+(D521*'OLD Formulas'!$D$19)</f>
        <v>0</v>
      </c>
      <c r="E646" s="243">
        <f>(E505*'OLD Formulas'!$D$17)+(E513*'OLD Formulas'!$D$18)+(E521*'OLD Formulas'!$D$19)</f>
        <v>0</v>
      </c>
      <c r="F646" s="243">
        <f>(F505*'OLD Formulas'!$D$17)+(F513*'OLD Formulas'!$D$18)+(F521*'OLD Formulas'!$D$19)</f>
        <v>0</v>
      </c>
      <c r="G646" s="243">
        <f>(G505*'OLD Formulas'!$D$17)+(G513*'OLD Formulas'!$D$18)+(G521*'OLD Formulas'!$D$19)</f>
        <v>0</v>
      </c>
      <c r="H646" s="243">
        <f>(H505*'OLD Formulas'!$D$17)+(H513*'OLD Formulas'!$D$18)+(H521*'OLD Formulas'!$D$19)</f>
        <v>0</v>
      </c>
      <c r="I646" s="243">
        <f>(I505*'OLD Formulas'!$D$17)+(I513*'OLD Formulas'!$D$18)+(I521*'OLD Formulas'!$D$19)</f>
        <v>0</v>
      </c>
      <c r="J646" s="243">
        <f>(J505*'OLD Formulas'!$D$17)+(J513*'OLD Formulas'!$D$18)+(J521*'OLD Formulas'!$D$19)</f>
        <v>0</v>
      </c>
      <c r="K646" s="243">
        <f>(K505*'OLD Formulas'!$D$17)+(K513*'OLD Formulas'!$D$18)+(K521*'OLD Formulas'!$D$19)</f>
        <v>0</v>
      </c>
      <c r="L646" s="243">
        <f>(L505*'OLD Formulas'!$D$17)+(L513*'OLD Formulas'!$D$18)+(L521*'OLD Formulas'!$D$19)</f>
        <v>0</v>
      </c>
      <c r="M646" s="243">
        <f>(M505*'OLD Formulas'!$D$17)+(M513*'OLD Formulas'!$D$18)+(M521*'OLD Formulas'!$D$19)</f>
        <v>0</v>
      </c>
      <c r="N646" s="243">
        <f>(N505*'OLD Formulas'!$D$17)+(N513*'OLD Formulas'!$D$18)+(N521*'OLD Formulas'!$D$19)</f>
        <v>0</v>
      </c>
      <c r="O646" s="243">
        <f>(O505*'OLD Formulas'!$D$17)+(O513*'OLD Formulas'!$D$18)+(O521*'OLD Formulas'!$D$19)</f>
        <v>0</v>
      </c>
      <c r="P646" s="243">
        <f>(P505*'OLD Formulas'!$D$17)+(P513*'OLD Formulas'!$D$18)+(P521*'OLD Formulas'!$D$19)</f>
        <v>0</v>
      </c>
      <c r="Q646" s="243">
        <f>(Q505*'OLD Formulas'!$D$17)+(Q513*'OLD Formulas'!$D$18)+(Q521*'OLD Formulas'!$D$19)</f>
        <v>0</v>
      </c>
      <c r="R646" s="243">
        <f>(R505*'OLD Formulas'!$D$17)+(R513*'OLD Formulas'!$D$18)+(R521*'OLD Formulas'!$D$19)</f>
        <v>0</v>
      </c>
      <c r="S646" s="243">
        <f>(S505*'OLD Formulas'!$D$17)+(S513*'OLD Formulas'!$D$18)+(S521*'OLD Formulas'!$D$19)</f>
        <v>0</v>
      </c>
      <c r="T646" s="243">
        <f>(T505*'OLD Formulas'!$D$17)+(T513*'OLD Formulas'!$D$18)+(T521*'OLD Formulas'!$D$19)</f>
        <v>0</v>
      </c>
      <c r="U646" s="243">
        <f>(U505*'OLD Formulas'!$D$17)+(U513*'OLD Formulas'!$D$18)+(U521*'OLD Formulas'!$D$19)</f>
        <v>0</v>
      </c>
      <c r="V646" s="243">
        <f>(V505*'OLD Formulas'!$D$17)+(V513*'OLD Formulas'!$D$18)+(V521*'OLD Formulas'!$D$19)</f>
        <v>0</v>
      </c>
      <c r="W646" s="243">
        <f>(W505*'OLD Formulas'!$D$17)+(W513*'OLD Formulas'!$D$18)+(W521*'OLD Formulas'!$D$19)</f>
        <v>0</v>
      </c>
      <c r="X646" s="243">
        <f>(X505*'OLD Formulas'!$D$17)+(X513*'OLD Formulas'!$D$18)+(X521*'OLD Formulas'!$D$19)</f>
        <v>0</v>
      </c>
      <c r="Y646" s="243">
        <f>(Y505*'OLD Formulas'!$D$17)+(Y513*'OLD Formulas'!$D$18)+(Y521*'OLD Formulas'!$D$19)</f>
        <v>0</v>
      </c>
      <c r="Z646" s="243">
        <f>(Z505*'OLD Formulas'!$D$17)+(Z513*'OLD Formulas'!$D$18)+(Z521*'OLD Formulas'!$D$19)</f>
        <v>0</v>
      </c>
      <c r="AA646" s="243">
        <f>(AA505*'OLD Formulas'!$D$17)+(AA513*'OLD Formulas'!$D$18)+(AA521*'OLD Formulas'!$D$19)</f>
        <v>0</v>
      </c>
      <c r="AB646" s="243">
        <f>(AB505*'OLD Formulas'!$D$17)+(AB513*'OLD Formulas'!$D$18)+(AB521*'OLD Formulas'!$D$19)</f>
        <v>0</v>
      </c>
      <c r="AC646" s="243">
        <f>(AC505*'OLD Formulas'!$D$17)+(AC513*'OLD Formulas'!$D$18)+(AC521*'OLD Formulas'!$D$19)</f>
        <v>0</v>
      </c>
      <c r="AD646" s="243">
        <f>(AD505*'OLD Formulas'!$D$17)+(AD513*'OLD Formulas'!$D$18)+(AD521*'OLD Formulas'!$D$19)</f>
        <v>0</v>
      </c>
      <c r="AE646" s="243">
        <f>(AE505*'OLD Formulas'!$D$17)+(AE513*'OLD Formulas'!$D$18)+(AE521*'OLD Formulas'!$D$19)</f>
        <v>0</v>
      </c>
      <c r="AF646" s="243">
        <f>(AF505*'OLD Formulas'!$D$17)+(AF513*'OLD Formulas'!$D$18)+(AF521*'OLD Formulas'!$D$19)</f>
        <v>0</v>
      </c>
      <c r="AG646" s="623">
        <f t="shared" si="217"/>
        <v>0</v>
      </c>
    </row>
    <row r="647" hidden="1" outlineLevel="1">
      <c r="A647" s="975" t="s">
        <v>1275</v>
      </c>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c r="AB647" s="53"/>
      <c r="AC647" s="53"/>
      <c r="AD647" s="53"/>
      <c r="AE647" s="53"/>
      <c r="AF647" s="53"/>
      <c r="AG647" s="623">
        <f t="shared" si="217"/>
        <v>0</v>
      </c>
    </row>
    <row r="648" hidden="1" outlineLevel="1">
      <c r="A648" s="975" t="s">
        <v>1277</v>
      </c>
      <c r="B648" s="243">
        <f>(B496+B497)*'OLD Formulas'!$C$22</f>
        <v>0</v>
      </c>
      <c r="C648" s="243">
        <f>(C496+C497)*'OLD Formulas'!$C$22</f>
        <v>0</v>
      </c>
      <c r="D648" s="243">
        <f>(D496+D497)*'OLD Formulas'!$C$22</f>
        <v>0</v>
      </c>
      <c r="E648" s="243">
        <f>(E496+E497)*'OLD Formulas'!$C$22</f>
        <v>0</v>
      </c>
      <c r="F648" s="243">
        <f>(F496+F497)*'OLD Formulas'!$C$22</f>
        <v>0</v>
      </c>
      <c r="G648" s="243">
        <f>(G496+G497)*'OLD Formulas'!$C$22</f>
        <v>0</v>
      </c>
      <c r="H648" s="243">
        <f>(H496+H497)*'OLD Formulas'!$C$22</f>
        <v>0</v>
      </c>
      <c r="I648" s="243">
        <f>(I496+I497)*'OLD Formulas'!$C$22</f>
        <v>0</v>
      </c>
      <c r="J648" s="243">
        <f>(J496+J497)*'OLD Formulas'!$C$22</f>
        <v>0</v>
      </c>
      <c r="K648" s="243">
        <f>(K496+K497)*'OLD Formulas'!$C$22</f>
        <v>0</v>
      </c>
      <c r="L648" s="243">
        <f>(L496+L497)*'OLD Formulas'!$C$22</f>
        <v>0</v>
      </c>
      <c r="M648" s="243">
        <f>(M496+M497)*'OLD Formulas'!$C$22</f>
        <v>0</v>
      </c>
      <c r="N648" s="243">
        <f>(N496+N497)*'OLD Formulas'!$C$22</f>
        <v>0</v>
      </c>
      <c r="O648" s="243">
        <f>(O496+O497)*'OLD Formulas'!$C$22</f>
        <v>0</v>
      </c>
      <c r="P648" s="243">
        <f>(P496+P497)*'OLD Formulas'!$C$22</f>
        <v>0</v>
      </c>
      <c r="Q648" s="243">
        <f>(Q496+Q497)*'OLD Formulas'!$C$22</f>
        <v>0</v>
      </c>
      <c r="R648" s="243">
        <f>(R496+R497)*'OLD Formulas'!$C$22</f>
        <v>0</v>
      </c>
      <c r="S648" s="243">
        <f>(S496+S497)*'OLD Formulas'!$C$22</f>
        <v>0</v>
      </c>
      <c r="T648" s="243">
        <f>(T496+T497)*'OLD Formulas'!$C$22</f>
        <v>0</v>
      </c>
      <c r="U648" s="243">
        <f>(U496+U497)*'OLD Formulas'!$C$22</f>
        <v>0</v>
      </c>
      <c r="V648" s="243">
        <f>(V496+V497)*'OLD Formulas'!$C$22</f>
        <v>0</v>
      </c>
      <c r="W648" s="243">
        <f>(W496+W497)*'OLD Formulas'!$C$22</f>
        <v>0</v>
      </c>
      <c r="X648" s="243">
        <f>(X496+X497)*'OLD Formulas'!$C$22</f>
        <v>0</v>
      </c>
      <c r="Y648" s="243">
        <f>(Y496+Y497)*'OLD Formulas'!$C$22</f>
        <v>0</v>
      </c>
      <c r="Z648" s="243">
        <f>(Z496+Z497)*'OLD Formulas'!$C$22</f>
        <v>0</v>
      </c>
      <c r="AA648" s="243">
        <f>(AA496+AA497)*'OLD Formulas'!$C$22</f>
        <v>0</v>
      </c>
      <c r="AB648" s="243">
        <f>(AB496+AB497)*'OLD Formulas'!$C$22</f>
        <v>0</v>
      </c>
      <c r="AC648" s="243">
        <f>(AC496+AC497)*'OLD Formulas'!$C$22</f>
        <v>0</v>
      </c>
      <c r="AD648" s="243">
        <f>(AD496+AD497)*'OLD Formulas'!$C$22</f>
        <v>0</v>
      </c>
      <c r="AE648" s="243">
        <f>(AE496+AE497)*'OLD Formulas'!$C$22</f>
        <v>0</v>
      </c>
      <c r="AF648" s="243">
        <f>(AF496+AF497)*'OLD Formulas'!$C$22</f>
        <v>0</v>
      </c>
      <c r="AG648" s="623">
        <f t="shared" si="217"/>
        <v>0</v>
      </c>
    </row>
    <row r="649" hidden="1" outlineLevel="1">
      <c r="A649" s="975" t="s">
        <v>1278</v>
      </c>
      <c r="B649" s="243">
        <f>(B496+B497)*'OLD Formulas'!$C$23</f>
        <v>0</v>
      </c>
      <c r="C649" s="243">
        <f>(C496+C497)*'OLD Formulas'!$C$23</f>
        <v>0</v>
      </c>
      <c r="D649" s="243">
        <f>(D496+D497)*'OLD Formulas'!$C$23</f>
        <v>0</v>
      </c>
      <c r="E649" s="243">
        <f>(E496+E497)*'OLD Formulas'!$C$23</f>
        <v>0</v>
      </c>
      <c r="F649" s="243">
        <f>(F496+F497)*'OLD Formulas'!$C$23</f>
        <v>0</v>
      </c>
      <c r="G649" s="243">
        <f>(G496+G497)*'OLD Formulas'!$C$23</f>
        <v>0</v>
      </c>
      <c r="H649" s="243">
        <f>(H496+H497)*'OLD Formulas'!$C$23</f>
        <v>0</v>
      </c>
      <c r="I649" s="243">
        <f>(I496+I497)*'OLD Formulas'!$C$23</f>
        <v>0</v>
      </c>
      <c r="J649" s="243">
        <f>(J496+J497)*'OLD Formulas'!$C$23</f>
        <v>0</v>
      </c>
      <c r="K649" s="243">
        <f>(K496+K497)*'OLD Formulas'!$C$23</f>
        <v>0</v>
      </c>
      <c r="L649" s="243">
        <f>(L496+L497)*'OLD Formulas'!$C$23</f>
        <v>0</v>
      </c>
      <c r="M649" s="243">
        <f>(M496+M497)*'OLD Formulas'!$C$23</f>
        <v>0</v>
      </c>
      <c r="N649" s="243">
        <f>(N496+N497)*'OLD Formulas'!$C$23</f>
        <v>0</v>
      </c>
      <c r="O649" s="243">
        <f>(O496+O497)*'OLD Formulas'!$C$23</f>
        <v>0</v>
      </c>
      <c r="P649" s="243">
        <f>(P496+P497)*'OLD Formulas'!$C$23</f>
        <v>0</v>
      </c>
      <c r="Q649" s="243">
        <f>(Q496+Q497)*'OLD Formulas'!$C$23</f>
        <v>0</v>
      </c>
      <c r="R649" s="243">
        <f>(R496+R497)*'OLD Formulas'!$C$23</f>
        <v>0</v>
      </c>
      <c r="S649" s="243">
        <f>(S496+S497)*'OLD Formulas'!$C$23</f>
        <v>0</v>
      </c>
      <c r="T649" s="243">
        <f>(T496+T497)*'OLD Formulas'!$C$23</f>
        <v>0</v>
      </c>
      <c r="U649" s="243">
        <f>(U496+U497)*'OLD Formulas'!$C$23</f>
        <v>0</v>
      </c>
      <c r="V649" s="243">
        <f>(V496+V497)*'OLD Formulas'!$C$23</f>
        <v>0</v>
      </c>
      <c r="W649" s="243">
        <f>(W496+W497)*'OLD Formulas'!$C$23</f>
        <v>0</v>
      </c>
      <c r="X649" s="243">
        <f>(X496+X497)*'OLD Formulas'!$C$23</f>
        <v>0</v>
      </c>
      <c r="Y649" s="243">
        <f>(Y496+Y497)*'OLD Formulas'!$C$23</f>
        <v>0</v>
      </c>
      <c r="Z649" s="243">
        <f>(Z496+Z497)*'OLD Formulas'!$C$23</f>
        <v>0</v>
      </c>
      <c r="AA649" s="243">
        <f>(AA496+AA497)*'OLD Formulas'!$C$23</f>
        <v>0</v>
      </c>
      <c r="AB649" s="243">
        <f>(AB496+AB497)*'OLD Formulas'!$C$23</f>
        <v>0</v>
      </c>
      <c r="AC649" s="243">
        <f>(AC496+AC497)*'OLD Formulas'!$C$23</f>
        <v>0</v>
      </c>
      <c r="AD649" s="243">
        <f>(AD496+AD497)*'OLD Formulas'!$C$23</f>
        <v>0</v>
      </c>
      <c r="AE649" s="243">
        <f>(AE496+AE497)*'OLD Formulas'!$C$23</f>
        <v>0</v>
      </c>
      <c r="AF649" s="243">
        <f>(AF496+AF497)*'OLD Formulas'!$C$23</f>
        <v>0</v>
      </c>
      <c r="AG649" s="623">
        <f t="shared" si="217"/>
        <v>0</v>
      </c>
    </row>
    <row r="650" hidden="1" outlineLevel="1">
      <c r="A650" s="975" t="s">
        <v>1279</v>
      </c>
      <c r="B650" s="243">
        <f>(B496+B497)*'OLD Formulas'!$C$24</f>
        <v>0</v>
      </c>
      <c r="C650" s="243">
        <f>(C496+C497)*'OLD Formulas'!$C$24</f>
        <v>0</v>
      </c>
      <c r="D650" s="243">
        <f>(D496+D497)*'OLD Formulas'!$C$24</f>
        <v>0</v>
      </c>
      <c r="E650" s="243">
        <f>(E496+E497)*'OLD Formulas'!$C$24</f>
        <v>0</v>
      </c>
      <c r="F650" s="243">
        <f>(F496+F497)*'OLD Formulas'!$C$24</f>
        <v>0</v>
      </c>
      <c r="G650" s="243">
        <f>(G496+G497)*'OLD Formulas'!$C$24</f>
        <v>0</v>
      </c>
      <c r="H650" s="243">
        <f>(H496+H497)*'OLD Formulas'!$C$24</f>
        <v>0</v>
      </c>
      <c r="I650" s="243">
        <f>(I496+I497)*'OLD Formulas'!$C$24</f>
        <v>0</v>
      </c>
      <c r="J650" s="243">
        <f>(J496+J497)*'OLD Formulas'!$C$24</f>
        <v>0</v>
      </c>
      <c r="K650" s="243">
        <f>(K496+K497)*'OLD Formulas'!$C$24</f>
        <v>0</v>
      </c>
      <c r="L650" s="243">
        <f>(L496+L497)*'OLD Formulas'!$C$24</f>
        <v>0</v>
      </c>
      <c r="M650" s="243">
        <f>(M496+M497)*'OLD Formulas'!$C$24</f>
        <v>0</v>
      </c>
      <c r="N650" s="243">
        <f>(N496+N497)*'OLD Formulas'!$C$24</f>
        <v>0</v>
      </c>
      <c r="O650" s="243">
        <f>(O496+O497)*'OLD Formulas'!$C$24</f>
        <v>0</v>
      </c>
      <c r="P650" s="243">
        <f>(P496+P497)*'OLD Formulas'!$C$24</f>
        <v>0</v>
      </c>
      <c r="Q650" s="243">
        <f>(Q496+Q497)*'OLD Formulas'!$C$24</f>
        <v>0</v>
      </c>
      <c r="R650" s="243">
        <f>(R496+R497)*'OLD Formulas'!$C$24</f>
        <v>0</v>
      </c>
      <c r="S650" s="243">
        <f>(S496+S497)*'OLD Formulas'!$C$24</f>
        <v>0</v>
      </c>
      <c r="T650" s="243">
        <f>(T496+T497)*'OLD Formulas'!$C$24</f>
        <v>0</v>
      </c>
      <c r="U650" s="243">
        <f>(U496+U497)*'OLD Formulas'!$C$24</f>
        <v>0</v>
      </c>
      <c r="V650" s="243">
        <f>(V496+V497)*'OLD Formulas'!$C$24</f>
        <v>0</v>
      </c>
      <c r="W650" s="243">
        <f>(W496+W497)*'OLD Formulas'!$C$24</f>
        <v>0</v>
      </c>
      <c r="X650" s="243">
        <f>(X496+X497)*'OLD Formulas'!$C$24</f>
        <v>0</v>
      </c>
      <c r="Y650" s="243">
        <f>(Y496+Y497)*'OLD Formulas'!$C$24</f>
        <v>0</v>
      </c>
      <c r="Z650" s="243">
        <f>(Z496+Z497)*'OLD Formulas'!$C$24</f>
        <v>0</v>
      </c>
      <c r="AA650" s="243">
        <f>(AA496+AA497)*'OLD Formulas'!$C$24</f>
        <v>0</v>
      </c>
      <c r="AB650" s="243">
        <f>(AB496+AB497)*'OLD Formulas'!$C$24</f>
        <v>0</v>
      </c>
      <c r="AC650" s="243">
        <f>(AC496+AC497)*'OLD Formulas'!$C$24</f>
        <v>0</v>
      </c>
      <c r="AD650" s="243">
        <f>(AD496+AD497)*'OLD Formulas'!$C$24</f>
        <v>0</v>
      </c>
      <c r="AE650" s="243">
        <f>(AE496+AE497)*'OLD Formulas'!$C$24</f>
        <v>0</v>
      </c>
      <c r="AF650" s="243">
        <f>(AF496+AF497)*'OLD Formulas'!$C$24</f>
        <v>0</v>
      </c>
      <c r="AG650" s="623">
        <f t="shared" si="217"/>
        <v>0</v>
      </c>
    </row>
    <row r="651" hidden="1" outlineLevel="1">
      <c r="A651" s="975" t="s">
        <v>1280</v>
      </c>
      <c r="B651" s="243">
        <f>(B496+B497)*'OLD Formulas'!$C$25</f>
        <v>0</v>
      </c>
      <c r="C651" s="243">
        <f>(C496+C497)*'OLD Formulas'!$C$25</f>
        <v>0</v>
      </c>
      <c r="D651" s="243">
        <f>(D496+D497)*'OLD Formulas'!$C$25</f>
        <v>0</v>
      </c>
      <c r="E651" s="243">
        <f>(E496+E497)*'OLD Formulas'!$C$25</f>
        <v>0</v>
      </c>
      <c r="F651" s="243">
        <f>(F496+F497)*'OLD Formulas'!$C$25</f>
        <v>0</v>
      </c>
      <c r="G651" s="243">
        <f>(G496+G497)*'OLD Formulas'!$C$25</f>
        <v>0</v>
      </c>
      <c r="H651" s="243">
        <f>(H496+H497)*'OLD Formulas'!$C$25</f>
        <v>0</v>
      </c>
      <c r="I651" s="243">
        <f>(I496+I497)*'OLD Formulas'!$C$25</f>
        <v>0</v>
      </c>
      <c r="J651" s="243">
        <f>(J496+J497)*'OLD Formulas'!$C$25</f>
        <v>0</v>
      </c>
      <c r="K651" s="243">
        <f>(K496+K497)*'OLD Formulas'!$C$25</f>
        <v>0</v>
      </c>
      <c r="L651" s="243">
        <f>(L496+L497)*'OLD Formulas'!$C$25</f>
        <v>0</v>
      </c>
      <c r="M651" s="243">
        <f>(M496+M497)*'OLD Formulas'!$C$25</f>
        <v>0</v>
      </c>
      <c r="N651" s="243">
        <f>(N496+N497)*'OLD Formulas'!$C$25</f>
        <v>0</v>
      </c>
      <c r="O651" s="243">
        <f>(O496+O497)*'OLD Formulas'!$C$25</f>
        <v>0</v>
      </c>
      <c r="P651" s="243">
        <f>(P496+P497)*'OLD Formulas'!$C$25</f>
        <v>0</v>
      </c>
      <c r="Q651" s="243">
        <f>(Q496+Q497)*'OLD Formulas'!$C$25</f>
        <v>0</v>
      </c>
      <c r="R651" s="243">
        <f>(R496+R497)*'OLD Formulas'!$C$25</f>
        <v>0</v>
      </c>
      <c r="S651" s="243">
        <f>(S496+S497)*'OLD Formulas'!$C$25</f>
        <v>0</v>
      </c>
      <c r="T651" s="243">
        <f>(T496+T497)*'OLD Formulas'!$C$25</f>
        <v>0</v>
      </c>
      <c r="U651" s="243">
        <f>(U496+U497)*'OLD Formulas'!$C$25</f>
        <v>0</v>
      </c>
      <c r="V651" s="243">
        <f>(V496+V497)*'OLD Formulas'!$C$25</f>
        <v>0</v>
      </c>
      <c r="W651" s="243">
        <f>(W496+W497)*'OLD Formulas'!$C$25</f>
        <v>0</v>
      </c>
      <c r="X651" s="243">
        <f>(X496+X497)*'OLD Formulas'!$C$25</f>
        <v>0</v>
      </c>
      <c r="Y651" s="243">
        <f>(Y496+Y497)*'OLD Formulas'!$C$25</f>
        <v>0</v>
      </c>
      <c r="Z651" s="243">
        <f>(Z496+Z497)*'OLD Formulas'!$C$25</f>
        <v>0</v>
      </c>
      <c r="AA651" s="243">
        <f>(AA496+AA497)*'OLD Formulas'!$C$25</f>
        <v>0</v>
      </c>
      <c r="AB651" s="243">
        <f>(AB496+AB497)*'OLD Formulas'!$C$25</f>
        <v>0</v>
      </c>
      <c r="AC651" s="243">
        <f>(AC496+AC497)*'OLD Formulas'!$C$25</f>
        <v>0</v>
      </c>
      <c r="AD651" s="243">
        <f>(AD496+AD497)*'OLD Formulas'!$C$25</f>
        <v>0</v>
      </c>
      <c r="AE651" s="243">
        <f>(AE496+AE497)*'OLD Formulas'!$C$25</f>
        <v>0</v>
      </c>
      <c r="AF651" s="243">
        <f>(AF496+AF497)*'OLD Formulas'!$C$25</f>
        <v>0</v>
      </c>
      <c r="AG651" s="623">
        <f t="shared" si="217"/>
        <v>0</v>
      </c>
    </row>
    <row r="652" hidden="1" outlineLevel="1">
      <c r="A652" s="975" t="s">
        <v>1281</v>
      </c>
      <c r="B652" s="243">
        <f>(B496+B497)*'OLD Formulas'!$C$26</f>
        <v>0</v>
      </c>
      <c r="C652" s="243">
        <f>(C496+C497)*'OLD Formulas'!$C$26</f>
        <v>0</v>
      </c>
      <c r="D652" s="243">
        <f>(D496+D497)*'OLD Formulas'!$C$26</f>
        <v>0</v>
      </c>
      <c r="E652" s="243">
        <f>(E496+E497)*'OLD Formulas'!$C$26</f>
        <v>0</v>
      </c>
      <c r="F652" s="243">
        <f>(F496+F497)*'OLD Formulas'!$C$26</f>
        <v>0</v>
      </c>
      <c r="G652" s="243">
        <f>(G496+G497)*'OLD Formulas'!$C$26</f>
        <v>0</v>
      </c>
      <c r="H652" s="243">
        <f>(H496+H497)*'OLD Formulas'!$C$26</f>
        <v>0</v>
      </c>
      <c r="I652" s="243">
        <f>(I496+I497)*'OLD Formulas'!$C$26</f>
        <v>0</v>
      </c>
      <c r="J652" s="243">
        <f>(J496+J497)*'OLD Formulas'!$C$26</f>
        <v>0</v>
      </c>
      <c r="K652" s="243">
        <f>(K496+K497)*'OLD Formulas'!$C$26</f>
        <v>0</v>
      </c>
      <c r="L652" s="243">
        <f>(L496+L497)*'OLD Formulas'!$C$26</f>
        <v>0</v>
      </c>
      <c r="M652" s="243">
        <f>(M496+M497)*'OLD Formulas'!$C$26</f>
        <v>0</v>
      </c>
      <c r="N652" s="243">
        <f>(N496+N497)*'OLD Formulas'!$C$26</f>
        <v>0</v>
      </c>
      <c r="O652" s="243">
        <f>(O496+O497)*'OLD Formulas'!$C$26</f>
        <v>0</v>
      </c>
      <c r="P652" s="243">
        <f>(P496+P497)*'OLD Formulas'!$C$26</f>
        <v>0</v>
      </c>
      <c r="Q652" s="243">
        <f>(Q496+Q497)*'OLD Formulas'!$C$26</f>
        <v>0</v>
      </c>
      <c r="R652" s="243">
        <f>(R496+R497)*'OLD Formulas'!$C$26</f>
        <v>0</v>
      </c>
      <c r="S652" s="243">
        <f>(S496+S497)*'OLD Formulas'!$C$26</f>
        <v>0</v>
      </c>
      <c r="T652" s="243">
        <f>(T496+T497)*'OLD Formulas'!$C$26</f>
        <v>0</v>
      </c>
      <c r="U652" s="243">
        <f>(U496+U497)*'OLD Formulas'!$C$26</f>
        <v>0</v>
      </c>
      <c r="V652" s="243">
        <f>(V496+V497)*'OLD Formulas'!$C$26</f>
        <v>0</v>
      </c>
      <c r="W652" s="243">
        <f>(W496+W497)*'OLD Formulas'!$C$26</f>
        <v>0</v>
      </c>
      <c r="X652" s="243">
        <f>(X496+X497)*'OLD Formulas'!$C$26</f>
        <v>0</v>
      </c>
      <c r="Y652" s="243">
        <f>(Y496+Y497)*'OLD Formulas'!$C$26</f>
        <v>0</v>
      </c>
      <c r="Z652" s="243">
        <f>(Z496+Z497)*'OLD Formulas'!$C$26</f>
        <v>0</v>
      </c>
      <c r="AA652" s="243">
        <f>(AA496+AA497)*'OLD Formulas'!$C$26</f>
        <v>0</v>
      </c>
      <c r="AB652" s="243">
        <f>(AB496+AB497)*'OLD Formulas'!$C$26</f>
        <v>0</v>
      </c>
      <c r="AC652" s="243">
        <f>(AC496+AC497)*'OLD Formulas'!$C$26</f>
        <v>0</v>
      </c>
      <c r="AD652" s="243">
        <f>(AD496+AD497)*'OLD Formulas'!$C$26</f>
        <v>0</v>
      </c>
      <c r="AE652" s="243">
        <f>(AE496+AE497)*'OLD Formulas'!$C$26</f>
        <v>0</v>
      </c>
      <c r="AF652" s="243">
        <f>(AF496+AF497)*'OLD Formulas'!$C$26</f>
        <v>0</v>
      </c>
      <c r="AG652" s="623">
        <f t="shared" si="217"/>
        <v>0</v>
      </c>
    </row>
    <row r="653" hidden="1" outlineLevel="1">
      <c r="A653" s="975" t="s">
        <v>1282</v>
      </c>
      <c r="B653" s="243">
        <f>(B496+B497)*'OLD Formulas'!$C$27</f>
        <v>0</v>
      </c>
      <c r="C653" s="243">
        <f>(C496+C497)*'OLD Formulas'!$C$27</f>
        <v>0</v>
      </c>
      <c r="D653" s="243">
        <f>(D496+D497)*'OLD Formulas'!$C$27</f>
        <v>0</v>
      </c>
      <c r="E653" s="243">
        <f>(E496+E497)*'OLD Formulas'!$C$27</f>
        <v>0</v>
      </c>
      <c r="F653" s="243">
        <f>(F496+F497)*'OLD Formulas'!$C$27</f>
        <v>0</v>
      </c>
      <c r="G653" s="243">
        <f>(G496+G497)*'OLD Formulas'!$C$27</f>
        <v>0</v>
      </c>
      <c r="H653" s="243">
        <f>(H496+H497)*'OLD Formulas'!$C$27</f>
        <v>0</v>
      </c>
      <c r="I653" s="243">
        <f>(I496+I497)*'OLD Formulas'!$C$27</f>
        <v>0</v>
      </c>
      <c r="J653" s="243">
        <f>(J496+J497)*'OLD Formulas'!$C$27</f>
        <v>0</v>
      </c>
      <c r="K653" s="243">
        <f>(K496+K497)*'OLD Formulas'!$C$27</f>
        <v>0</v>
      </c>
      <c r="L653" s="243">
        <f>(L496+L497)*'OLD Formulas'!$C$27</f>
        <v>0</v>
      </c>
      <c r="M653" s="243">
        <f>(M496+M497)*'OLD Formulas'!$C$27</f>
        <v>0</v>
      </c>
      <c r="N653" s="243">
        <f>(N496+N497)*'OLD Formulas'!$C$27</f>
        <v>0</v>
      </c>
      <c r="O653" s="243">
        <f>(O496+O497)*'OLD Formulas'!$C$27</f>
        <v>0</v>
      </c>
      <c r="P653" s="243">
        <f>(P496+P497)*'OLD Formulas'!$C$27</f>
        <v>0</v>
      </c>
      <c r="Q653" s="243">
        <f>(Q496+Q497)*'OLD Formulas'!$C$27</f>
        <v>0</v>
      </c>
      <c r="R653" s="243">
        <f>(R496+R497)*'OLD Formulas'!$C$27</f>
        <v>0</v>
      </c>
      <c r="S653" s="243">
        <f>(S496+S497)*'OLD Formulas'!$C$27</f>
        <v>0</v>
      </c>
      <c r="T653" s="243">
        <f>(T496+T497)*'OLD Formulas'!$C$27</f>
        <v>0</v>
      </c>
      <c r="U653" s="243">
        <f>(U496+U497)*'OLD Formulas'!$C$27</f>
        <v>0</v>
      </c>
      <c r="V653" s="243">
        <f>(V496+V497)*'OLD Formulas'!$C$27</f>
        <v>0</v>
      </c>
      <c r="W653" s="243">
        <f>(W496+W497)*'OLD Formulas'!$C$27</f>
        <v>0</v>
      </c>
      <c r="X653" s="243">
        <f>(X496+X497)*'OLD Formulas'!$C$27</f>
        <v>0</v>
      </c>
      <c r="Y653" s="243">
        <f>(Y496+Y497)*'OLD Formulas'!$C$27</f>
        <v>0</v>
      </c>
      <c r="Z653" s="243">
        <f>(Z496+Z497)*'OLD Formulas'!$C$27</f>
        <v>0</v>
      </c>
      <c r="AA653" s="243">
        <f>(AA496+AA497)*'OLD Formulas'!$C$27</f>
        <v>0</v>
      </c>
      <c r="AB653" s="243">
        <f>(AB496+AB497)*'OLD Formulas'!$C$27</f>
        <v>0</v>
      </c>
      <c r="AC653" s="243">
        <f>(AC496+AC497)*'OLD Formulas'!$C$27</f>
        <v>0</v>
      </c>
      <c r="AD653" s="243">
        <f>(AD496+AD497)*'OLD Formulas'!$C$27</f>
        <v>0</v>
      </c>
      <c r="AE653" s="243">
        <f>(AE496+AE497)*'OLD Formulas'!$C$27</f>
        <v>0</v>
      </c>
      <c r="AF653" s="243">
        <f>(AF496+AF497)*'OLD Formulas'!$C$27</f>
        <v>0</v>
      </c>
      <c r="AG653" s="623">
        <f t="shared" si="217"/>
        <v>0</v>
      </c>
    </row>
    <row r="654" hidden="1" outlineLevel="1">
      <c r="A654" s="975" t="s">
        <v>1261</v>
      </c>
      <c r="B654" s="243">
        <f>(B505+B513+B521)*'OLD Formulas'!$D$22</f>
        <v>0</v>
      </c>
      <c r="C654" s="243">
        <f>(C505+C513+C521)*'OLD Formulas'!$D$22</f>
        <v>0</v>
      </c>
      <c r="D654" s="243">
        <f>(D505+D513+D521)*'OLD Formulas'!$D$22</f>
        <v>0</v>
      </c>
      <c r="E654" s="243">
        <f>(E505+E513+E521)*'OLD Formulas'!$D$22</f>
        <v>0</v>
      </c>
      <c r="F654" s="243">
        <f>(F505+F513+F521)*'OLD Formulas'!$D$22</f>
        <v>0</v>
      </c>
      <c r="G654" s="243">
        <f>(G505+G513+G521)*'OLD Formulas'!$D$22</f>
        <v>0</v>
      </c>
      <c r="H654" s="243">
        <f>(H505+H513+H521)*'OLD Formulas'!$D$22</f>
        <v>0</v>
      </c>
      <c r="I654" s="243">
        <f>(I505+I513+I521)*'OLD Formulas'!$D$22</f>
        <v>0</v>
      </c>
      <c r="J654" s="243">
        <f>(J505+J513+J521)*'OLD Formulas'!$D$22</f>
        <v>0</v>
      </c>
      <c r="K654" s="243">
        <f>(K505+K513+K521)*'OLD Formulas'!$D$22</f>
        <v>0</v>
      </c>
      <c r="L654" s="243">
        <f>(L505+L513+L521)*'OLD Formulas'!$D$22</f>
        <v>0</v>
      </c>
      <c r="M654" s="243">
        <f>(M505+M513+M521)*'OLD Formulas'!$D$22</f>
        <v>0</v>
      </c>
      <c r="N654" s="243">
        <f>(N505+N513+N521)*'OLD Formulas'!$D$22</f>
        <v>0</v>
      </c>
      <c r="O654" s="243">
        <f>(O505+O513+O521)*'OLD Formulas'!$D$22</f>
        <v>0</v>
      </c>
      <c r="P654" s="243">
        <f>(P505+P513+P521)*'OLD Formulas'!$D$22</f>
        <v>0</v>
      </c>
      <c r="Q654" s="243">
        <f>(Q505+Q513+Q521)*'OLD Formulas'!$D$22</f>
        <v>0</v>
      </c>
      <c r="R654" s="243">
        <f>(R505+R513+R521)*'OLD Formulas'!$D$22</f>
        <v>0</v>
      </c>
      <c r="S654" s="243">
        <f>(S505+S513+S521)*'OLD Formulas'!$D$22</f>
        <v>0</v>
      </c>
      <c r="T654" s="243">
        <f>(T505+T513+T521)*'OLD Formulas'!$D$22</f>
        <v>0</v>
      </c>
      <c r="U654" s="243">
        <f>(U505+U513+U521)*'OLD Formulas'!$D$22</f>
        <v>0</v>
      </c>
      <c r="V654" s="243">
        <f>(V505+V513+V521)*'OLD Formulas'!$D$22</f>
        <v>0</v>
      </c>
      <c r="W654" s="243">
        <f>(W505+W513+W521)*'OLD Formulas'!$D$22</f>
        <v>0</v>
      </c>
      <c r="X654" s="243">
        <f>(X505+X513+X521)*'OLD Formulas'!$D$22</f>
        <v>0</v>
      </c>
      <c r="Y654" s="243">
        <f>(Y505+Y513+Y521)*'OLD Formulas'!$D$22</f>
        <v>0</v>
      </c>
      <c r="Z654" s="243">
        <f>(Z505+Z513+Z521)*'OLD Formulas'!$D$22</f>
        <v>0</v>
      </c>
      <c r="AA654" s="243">
        <f>(AA505+AA513+AA521)*'OLD Formulas'!$D$22</f>
        <v>0</v>
      </c>
      <c r="AB654" s="243">
        <f>(AB505+AB513+AB521)*'OLD Formulas'!$D$22</f>
        <v>0</v>
      </c>
      <c r="AC654" s="243">
        <f>(AC505+AC513+AC521)*'OLD Formulas'!$D$22</f>
        <v>0</v>
      </c>
      <c r="AD654" s="243">
        <f>(AD505+AD513+AD521)*'OLD Formulas'!$D$22</f>
        <v>0</v>
      </c>
      <c r="AE654" s="243">
        <f>(AE505+AE513+AE521)*'OLD Formulas'!$D$22</f>
        <v>0</v>
      </c>
      <c r="AF654" s="243">
        <f>(AF505+AF513+AF521)*'OLD Formulas'!$D$22</f>
        <v>0</v>
      </c>
      <c r="AG654" s="623">
        <f t="shared" si="217"/>
        <v>0</v>
      </c>
    </row>
    <row r="655" hidden="1" outlineLevel="1">
      <c r="A655" s="975" t="s">
        <v>1262</v>
      </c>
      <c r="B655" s="243">
        <f>(B505+B513+B521)*'OLD Formulas'!$D$23</f>
        <v>0</v>
      </c>
      <c r="C655" s="243">
        <f>(C505+C513+C521)*'OLD Formulas'!$D$23</f>
        <v>0</v>
      </c>
      <c r="D655" s="243">
        <f>(D505+D513+D521)*'OLD Formulas'!$D$23</f>
        <v>0</v>
      </c>
      <c r="E655" s="243">
        <f>(E505+E513+E521)*'OLD Formulas'!$D$23</f>
        <v>0</v>
      </c>
      <c r="F655" s="243">
        <f>(F505+F513+F521)*'OLD Formulas'!$D$23</f>
        <v>0</v>
      </c>
      <c r="G655" s="243">
        <f>(G505+G513+G521)*'OLD Formulas'!$D$23</f>
        <v>0</v>
      </c>
      <c r="H655" s="243">
        <f>(H505+H513+H521)*'OLD Formulas'!$D$23</f>
        <v>0</v>
      </c>
      <c r="I655" s="243">
        <f>(I505+I513+I521)*'OLD Formulas'!$D$23</f>
        <v>0</v>
      </c>
      <c r="J655" s="243">
        <f>(J505+J513+J521)*'OLD Formulas'!$D$23</f>
        <v>0</v>
      </c>
      <c r="K655" s="243">
        <f>(K505+K513+K521)*'OLD Formulas'!$D$23</f>
        <v>0</v>
      </c>
      <c r="L655" s="243">
        <f>(L505+L513+L521)*'OLD Formulas'!$D$23</f>
        <v>0</v>
      </c>
      <c r="M655" s="243">
        <f>(M505+M513+M521)*'OLD Formulas'!$D$23</f>
        <v>0</v>
      </c>
      <c r="N655" s="243">
        <f>(N505+N513+N521)*'OLD Formulas'!$D$23</f>
        <v>0</v>
      </c>
      <c r="O655" s="243">
        <f>(O505+O513+O521)*'OLD Formulas'!$D$23</f>
        <v>0</v>
      </c>
      <c r="P655" s="243">
        <f>(P505+P513+P521)*'OLD Formulas'!$D$23</f>
        <v>0</v>
      </c>
      <c r="Q655" s="243">
        <f>(Q505+Q513+Q521)*'OLD Formulas'!$D$23</f>
        <v>0</v>
      </c>
      <c r="R655" s="243">
        <f>(R505+R513+R521)*'OLD Formulas'!$D$23</f>
        <v>0</v>
      </c>
      <c r="S655" s="243">
        <f>(S505+S513+S521)*'OLD Formulas'!$D$23</f>
        <v>0</v>
      </c>
      <c r="T655" s="243">
        <f>(T505+T513+T521)*'OLD Formulas'!$D$23</f>
        <v>0</v>
      </c>
      <c r="U655" s="243">
        <f>(U505+U513+U521)*'OLD Formulas'!$D$23</f>
        <v>0</v>
      </c>
      <c r="V655" s="243">
        <f>(V505+V513+V521)*'OLD Formulas'!$D$23</f>
        <v>0</v>
      </c>
      <c r="W655" s="243">
        <f>(W505+W513+W521)*'OLD Formulas'!$D$23</f>
        <v>0</v>
      </c>
      <c r="X655" s="243">
        <f>(X505+X513+X521)*'OLD Formulas'!$D$23</f>
        <v>0</v>
      </c>
      <c r="Y655" s="243">
        <f>(Y505+Y513+Y521)*'OLD Formulas'!$D$23</f>
        <v>0</v>
      </c>
      <c r="Z655" s="243">
        <f>(Z505+Z513+Z521)*'OLD Formulas'!$D$23</f>
        <v>0</v>
      </c>
      <c r="AA655" s="243">
        <f>(AA505+AA513+AA521)*'OLD Formulas'!$D$23</f>
        <v>0</v>
      </c>
      <c r="AB655" s="243">
        <f>(AB505+AB513+AB521)*'OLD Formulas'!$D$23</f>
        <v>0</v>
      </c>
      <c r="AC655" s="243">
        <f>(AC505+AC513+AC521)*'OLD Formulas'!$D$23</f>
        <v>0</v>
      </c>
      <c r="AD655" s="243">
        <f>(AD505+AD513+AD521)*'OLD Formulas'!$D$23</f>
        <v>0</v>
      </c>
      <c r="AE655" s="243">
        <f>(AE505+AE513+AE521)*'OLD Formulas'!$D$23</f>
        <v>0</v>
      </c>
      <c r="AF655" s="243">
        <f>(AF505+AF513+AF521)*'OLD Formulas'!$D$23</f>
        <v>0</v>
      </c>
      <c r="AG655" s="623">
        <f t="shared" si="217"/>
        <v>0</v>
      </c>
    </row>
    <row r="656" hidden="1" outlineLevel="1">
      <c r="A656" s="975" t="s">
        <v>1263</v>
      </c>
      <c r="B656" s="243">
        <f>(B505+B513+B521)*'OLD Formulas'!$D$24</f>
        <v>0</v>
      </c>
      <c r="C656" s="243">
        <f>(C505+C513+C521)*'OLD Formulas'!$D$24</f>
        <v>0</v>
      </c>
      <c r="D656" s="243">
        <f>(D505+D513+D521)*'OLD Formulas'!$D$24</f>
        <v>0</v>
      </c>
      <c r="E656" s="243">
        <f>(E505+E513+E521)*'OLD Formulas'!$D$24</f>
        <v>0</v>
      </c>
      <c r="F656" s="243">
        <f>(F505+F513+F521)*'OLD Formulas'!$D$24</f>
        <v>0</v>
      </c>
      <c r="G656" s="243">
        <f>(G505+G513+G521)*'OLD Formulas'!$D$24</f>
        <v>0</v>
      </c>
      <c r="H656" s="243">
        <f>(H505+H513+H521)*'OLD Formulas'!$D$24</f>
        <v>0</v>
      </c>
      <c r="I656" s="243">
        <f>(I505+I513+I521)*'OLD Formulas'!$D$24</f>
        <v>0</v>
      </c>
      <c r="J656" s="243">
        <f>(J505+J513+J521)*'OLD Formulas'!$D$24</f>
        <v>0</v>
      </c>
      <c r="K656" s="243">
        <f>(K505+K513+K521)*'OLD Formulas'!$D$24</f>
        <v>0</v>
      </c>
      <c r="L656" s="243">
        <f>(L505+L513+L521)*'OLD Formulas'!$D$24</f>
        <v>0</v>
      </c>
      <c r="M656" s="243">
        <f>(M505+M513+M521)*'OLD Formulas'!$D$24</f>
        <v>0</v>
      </c>
      <c r="N656" s="243">
        <f>(N505+N513+N521)*'OLD Formulas'!$D$24</f>
        <v>0</v>
      </c>
      <c r="O656" s="243">
        <f>(O505+O513+O521)*'OLD Formulas'!$D$24</f>
        <v>0</v>
      </c>
      <c r="P656" s="243">
        <f>(P505+P513+P521)*'OLD Formulas'!$D$24</f>
        <v>0</v>
      </c>
      <c r="Q656" s="243">
        <f>(Q505+Q513+Q521)*'OLD Formulas'!$D$24</f>
        <v>0</v>
      </c>
      <c r="R656" s="243">
        <f>(R505+R513+R521)*'OLD Formulas'!$D$24</f>
        <v>0</v>
      </c>
      <c r="S656" s="243">
        <f>(S505+S513+S521)*'OLD Formulas'!$D$24</f>
        <v>0</v>
      </c>
      <c r="T656" s="243">
        <f>(T505+T513+T521)*'OLD Formulas'!$D$24</f>
        <v>0</v>
      </c>
      <c r="U656" s="243">
        <f>(U505+U513+U521)*'OLD Formulas'!$D$24</f>
        <v>0</v>
      </c>
      <c r="V656" s="243">
        <f>(V505+V513+V521)*'OLD Formulas'!$D$24</f>
        <v>0</v>
      </c>
      <c r="W656" s="243">
        <f>(W505+W513+W521)*'OLD Formulas'!$D$24</f>
        <v>0</v>
      </c>
      <c r="X656" s="243">
        <f>(X505+X513+X521)*'OLD Formulas'!$D$24</f>
        <v>0</v>
      </c>
      <c r="Y656" s="243">
        <f>(Y505+Y513+Y521)*'OLD Formulas'!$D$24</f>
        <v>0</v>
      </c>
      <c r="Z656" s="243">
        <f>(Z505+Z513+Z521)*'OLD Formulas'!$D$24</f>
        <v>0</v>
      </c>
      <c r="AA656" s="243">
        <f>(AA505+AA513+AA521)*'OLD Formulas'!$D$24</f>
        <v>0</v>
      </c>
      <c r="AB656" s="243">
        <f>(AB505+AB513+AB521)*'OLD Formulas'!$D$24</f>
        <v>0</v>
      </c>
      <c r="AC656" s="243">
        <f>(AC505+AC513+AC521)*'OLD Formulas'!$D$24</f>
        <v>0</v>
      </c>
      <c r="AD656" s="243">
        <f>(AD505+AD513+AD521)*'OLD Formulas'!$D$24</f>
        <v>0</v>
      </c>
      <c r="AE656" s="243">
        <f>(AE505+AE513+AE521)*'OLD Formulas'!$D$24</f>
        <v>0</v>
      </c>
      <c r="AF656" s="243">
        <f>(AF505+AF513+AF521)*'OLD Formulas'!$D$24</f>
        <v>0</v>
      </c>
      <c r="AG656" s="623">
        <f t="shared" si="217"/>
        <v>0</v>
      </c>
    </row>
    <row r="657" hidden="1" outlineLevel="1">
      <c r="A657" s="975" t="s">
        <v>1265</v>
      </c>
      <c r="B657" s="243">
        <f>(B505+B513+B521)*'OLD Formulas'!$D$25</f>
        <v>0</v>
      </c>
      <c r="C657" s="243">
        <f>(C505+C513+C521)*'OLD Formulas'!$D$25</f>
        <v>0</v>
      </c>
      <c r="D657" s="243">
        <f>(D505+D513+D521)*'OLD Formulas'!$D$25</f>
        <v>0</v>
      </c>
      <c r="E657" s="243">
        <f>(E505+E513+E521)*'OLD Formulas'!$D$25</f>
        <v>0</v>
      </c>
      <c r="F657" s="243">
        <f>(F505+F513+F521)*'OLD Formulas'!$D$25</f>
        <v>0</v>
      </c>
      <c r="G657" s="243">
        <f>(G505+G513+G521)*'OLD Formulas'!$D$25</f>
        <v>0</v>
      </c>
      <c r="H657" s="243">
        <f>(H505+H513+H521)*'OLD Formulas'!$D$25</f>
        <v>0</v>
      </c>
      <c r="I657" s="243">
        <f>(I505+I513+I521)*'OLD Formulas'!$D$25</f>
        <v>0</v>
      </c>
      <c r="J657" s="243">
        <f>(J505+J513+J521)*'OLD Formulas'!$D$25</f>
        <v>0</v>
      </c>
      <c r="K657" s="243">
        <f>(K505+K513+K521)*'OLD Formulas'!$D$25</f>
        <v>0</v>
      </c>
      <c r="L657" s="243">
        <f>(L505+L513+L521)*'OLD Formulas'!$D$25</f>
        <v>0</v>
      </c>
      <c r="M657" s="243">
        <f>(M505+M513+M521)*'OLD Formulas'!$D$25</f>
        <v>0</v>
      </c>
      <c r="N657" s="243">
        <f>(N505+N513+N521)*'OLD Formulas'!$D$25</f>
        <v>0</v>
      </c>
      <c r="O657" s="243">
        <f>(O505+O513+O521)*'OLD Formulas'!$D$25</f>
        <v>0</v>
      </c>
      <c r="P657" s="243">
        <f>(P505+P513+P521)*'OLD Formulas'!$D$25</f>
        <v>0</v>
      </c>
      <c r="Q657" s="243">
        <f>(Q505+Q513+Q521)*'OLD Formulas'!$D$25</f>
        <v>0</v>
      </c>
      <c r="R657" s="243">
        <f>(R505+R513+R521)*'OLD Formulas'!$D$25</f>
        <v>0</v>
      </c>
      <c r="S657" s="243">
        <f>(S505+S513+S521)*'OLD Formulas'!$D$25</f>
        <v>0</v>
      </c>
      <c r="T657" s="243">
        <f>(T505+T513+T521)*'OLD Formulas'!$D$25</f>
        <v>0</v>
      </c>
      <c r="U657" s="243">
        <f>(U505+U513+U521)*'OLD Formulas'!$D$25</f>
        <v>0</v>
      </c>
      <c r="V657" s="243">
        <f>(V505+V513+V521)*'OLD Formulas'!$D$25</f>
        <v>0</v>
      </c>
      <c r="W657" s="243">
        <f>(W505+W513+W521)*'OLD Formulas'!$D$25</f>
        <v>0</v>
      </c>
      <c r="X657" s="243">
        <f>(X505+X513+X521)*'OLD Formulas'!$D$25</f>
        <v>0</v>
      </c>
      <c r="Y657" s="243">
        <f>(Y505+Y513+Y521)*'OLD Formulas'!$D$25</f>
        <v>0</v>
      </c>
      <c r="Z657" s="243">
        <f>(Z505+Z513+Z521)*'OLD Formulas'!$D$25</f>
        <v>0</v>
      </c>
      <c r="AA657" s="243">
        <f>(AA505+AA513+AA521)*'OLD Formulas'!$D$25</f>
        <v>0</v>
      </c>
      <c r="AB657" s="243">
        <f>(AB505+AB513+AB521)*'OLD Formulas'!$D$25</f>
        <v>0</v>
      </c>
      <c r="AC657" s="243">
        <f>(AC505+AC513+AC521)*'OLD Formulas'!$D$25</f>
        <v>0</v>
      </c>
      <c r="AD657" s="243">
        <f>(AD505+AD513+AD521)*'OLD Formulas'!$D$25</f>
        <v>0</v>
      </c>
      <c r="AE657" s="243">
        <f>(AE505+AE513+AE521)*'OLD Formulas'!$D$25</f>
        <v>0</v>
      </c>
      <c r="AF657" s="243">
        <f>(AF505+AF513+AF521)*'OLD Formulas'!$D$25</f>
        <v>0</v>
      </c>
      <c r="AG657" s="623">
        <f t="shared" si="217"/>
        <v>0</v>
      </c>
    </row>
    <row r="658" hidden="1" outlineLevel="1">
      <c r="A658" s="975" t="s">
        <v>1267</v>
      </c>
      <c r="B658" s="243">
        <f>(B505+B513+B521)*'OLD Formulas'!$D$26</f>
        <v>0</v>
      </c>
      <c r="C658" s="243">
        <f>(C505+C513+C521)*'OLD Formulas'!$D$26</f>
        <v>0</v>
      </c>
      <c r="D658" s="243">
        <f>(D505+D513+D521)*'OLD Formulas'!$D$26</f>
        <v>0</v>
      </c>
      <c r="E658" s="243">
        <f>(E505+E513+E521)*'OLD Formulas'!$D$26</f>
        <v>0</v>
      </c>
      <c r="F658" s="243">
        <f>(F505+F513+F521)*'OLD Formulas'!$D$26</f>
        <v>0</v>
      </c>
      <c r="G658" s="243">
        <f>(G505+G513+G521)*'OLD Formulas'!$D$26</f>
        <v>0</v>
      </c>
      <c r="H658" s="243">
        <f>(H505+H513+H521)*'OLD Formulas'!$D$26</f>
        <v>0</v>
      </c>
      <c r="I658" s="243">
        <f>(I505+I513+I521)*'OLD Formulas'!$D$26</f>
        <v>0</v>
      </c>
      <c r="J658" s="243">
        <f>(J505+J513+J521)*'OLD Formulas'!$D$26</f>
        <v>0</v>
      </c>
      <c r="K658" s="243">
        <f>(K505+K513+K521)*'OLD Formulas'!$D$26</f>
        <v>0</v>
      </c>
      <c r="L658" s="243">
        <f>(L505+L513+L521)*'OLD Formulas'!$D$26</f>
        <v>0</v>
      </c>
      <c r="M658" s="243">
        <f>(M505+M513+M521)*'OLD Formulas'!$D$26</f>
        <v>0</v>
      </c>
      <c r="N658" s="243">
        <f>(N505+N513+N521)*'OLD Formulas'!$D$26</f>
        <v>0</v>
      </c>
      <c r="O658" s="243">
        <f>(O505+O513+O521)*'OLD Formulas'!$D$26</f>
        <v>0</v>
      </c>
      <c r="P658" s="243">
        <f>(P505+P513+P521)*'OLD Formulas'!$D$26</f>
        <v>0</v>
      </c>
      <c r="Q658" s="243">
        <f>(Q505+Q513+Q521)*'OLD Formulas'!$D$26</f>
        <v>0</v>
      </c>
      <c r="R658" s="243">
        <f>(R505+R513+R521)*'OLD Formulas'!$D$26</f>
        <v>0</v>
      </c>
      <c r="S658" s="243">
        <f>(S505+S513+S521)*'OLD Formulas'!$D$26</f>
        <v>0</v>
      </c>
      <c r="T658" s="243">
        <f>(T505+T513+T521)*'OLD Formulas'!$D$26</f>
        <v>0</v>
      </c>
      <c r="U658" s="243">
        <f>(U505+U513+U521)*'OLD Formulas'!$D$26</f>
        <v>0</v>
      </c>
      <c r="V658" s="243">
        <f>(V505+V513+V521)*'OLD Formulas'!$D$26</f>
        <v>0</v>
      </c>
      <c r="W658" s="243">
        <f>(W505+W513+W521)*'OLD Formulas'!$D$26</f>
        <v>0</v>
      </c>
      <c r="X658" s="243">
        <f>(X505+X513+X521)*'OLD Formulas'!$D$26</f>
        <v>0</v>
      </c>
      <c r="Y658" s="243">
        <f>(Y505+Y513+Y521)*'OLD Formulas'!$D$26</f>
        <v>0</v>
      </c>
      <c r="Z658" s="243">
        <f>(Z505+Z513+Z521)*'OLD Formulas'!$D$26</f>
        <v>0</v>
      </c>
      <c r="AA658" s="243">
        <f>(AA505+AA513+AA521)*'OLD Formulas'!$D$26</f>
        <v>0</v>
      </c>
      <c r="AB658" s="243">
        <f>(AB505+AB513+AB521)*'OLD Formulas'!$D$26</f>
        <v>0</v>
      </c>
      <c r="AC658" s="243">
        <f>(AC505+AC513+AC521)*'OLD Formulas'!$D$26</f>
        <v>0</v>
      </c>
      <c r="AD658" s="243">
        <f>(AD505+AD513+AD521)*'OLD Formulas'!$D$26</f>
        <v>0</v>
      </c>
      <c r="AE658" s="243">
        <f>(AE505+AE513+AE521)*'OLD Formulas'!$D$26</f>
        <v>0</v>
      </c>
      <c r="AF658" s="243">
        <f>(AF505+AF513+AF521)*'OLD Formulas'!$D$26</f>
        <v>0</v>
      </c>
      <c r="AG658" s="623">
        <f t="shared" si="217"/>
        <v>0</v>
      </c>
    </row>
    <row r="659" hidden="1" outlineLevel="1">
      <c r="A659" s="977" t="s">
        <v>1268</v>
      </c>
      <c r="B659" s="978">
        <f>(B505+B513+B521)*'OLD Formulas'!$D$27</f>
        <v>0</v>
      </c>
      <c r="C659" s="978">
        <f>(C505+C513+C521)*'OLD Formulas'!$D$27</f>
        <v>0</v>
      </c>
      <c r="D659" s="978">
        <f>(D505+D513+D521)*'OLD Formulas'!$D$27</f>
        <v>0</v>
      </c>
      <c r="E659" s="978">
        <f>(E505+E513+E521)*'OLD Formulas'!$D$27</f>
        <v>0</v>
      </c>
      <c r="F659" s="978">
        <f>(F505+F513+F521)*'OLD Formulas'!$D$27</f>
        <v>0</v>
      </c>
      <c r="G659" s="978">
        <f>(G505+G513+G521)*'OLD Formulas'!$D$27</f>
        <v>0</v>
      </c>
      <c r="H659" s="978">
        <f>(H505+H513+H521)*'OLD Formulas'!$D$27</f>
        <v>0</v>
      </c>
      <c r="I659" s="978">
        <f>(I505+I513+I521)*'OLD Formulas'!$D$27</f>
        <v>0</v>
      </c>
      <c r="J659" s="978">
        <f>(J505+J513+J521)*'OLD Formulas'!$D$27</f>
        <v>0</v>
      </c>
      <c r="K659" s="978">
        <f>(K505+K513+K521)*'OLD Formulas'!$D$27</f>
        <v>0</v>
      </c>
      <c r="L659" s="978">
        <f>(L505+L513+L521)*'OLD Formulas'!$D$27</f>
        <v>0</v>
      </c>
      <c r="M659" s="978">
        <f>(M505+M513+M521)*'OLD Formulas'!$D$27</f>
        <v>0</v>
      </c>
      <c r="N659" s="978">
        <f>(N505+N513+N521)*'OLD Formulas'!$D$27</f>
        <v>0</v>
      </c>
      <c r="O659" s="978">
        <f>(O505+O513+O521)*'OLD Formulas'!$D$27</f>
        <v>0</v>
      </c>
      <c r="P659" s="978">
        <f>(P505+P513+P521)*'OLD Formulas'!$D$27</f>
        <v>0</v>
      </c>
      <c r="Q659" s="978">
        <f>(Q505+Q513+Q521)*'OLD Formulas'!$D$27</f>
        <v>0</v>
      </c>
      <c r="R659" s="978">
        <f>(R505+R513+R521)*'OLD Formulas'!$D$27</f>
        <v>0</v>
      </c>
      <c r="S659" s="978">
        <f>(S505+S513+S521)*'OLD Formulas'!$D$27</f>
        <v>0</v>
      </c>
      <c r="T659" s="978">
        <f>(T505+T513+T521)*'OLD Formulas'!$D$27</f>
        <v>0</v>
      </c>
      <c r="U659" s="978">
        <f>(U505+U513+U521)*'OLD Formulas'!$D$27</f>
        <v>0</v>
      </c>
      <c r="V659" s="978">
        <f>(V505+V513+V521)*'OLD Formulas'!$D$27</f>
        <v>0</v>
      </c>
      <c r="W659" s="978">
        <f>(W505+W513+W521)*'OLD Formulas'!$D$27</f>
        <v>0</v>
      </c>
      <c r="X659" s="978">
        <f>(X505+X513+X521)*'OLD Formulas'!$D$27</f>
        <v>0</v>
      </c>
      <c r="Y659" s="978">
        <f>(Y505+Y513+Y521)*'OLD Formulas'!$D$27</f>
        <v>0</v>
      </c>
      <c r="Z659" s="978">
        <f>(Z505+Z513+Z521)*'OLD Formulas'!$D$27</f>
        <v>0</v>
      </c>
      <c r="AA659" s="978">
        <f>(AA505+AA513+AA521)*'OLD Formulas'!$D$27</f>
        <v>0</v>
      </c>
      <c r="AB659" s="978">
        <f>(AB505+AB513+AB521)*'OLD Formulas'!$D$27</f>
        <v>0</v>
      </c>
      <c r="AC659" s="978">
        <f>(AC505+AC513+AC521)*'OLD Formulas'!$D$27</f>
        <v>0</v>
      </c>
      <c r="AD659" s="978">
        <f>(AD505+AD513+AD521)*'OLD Formulas'!$D$27</f>
        <v>0</v>
      </c>
      <c r="AE659" s="978">
        <f>(AE505+AE513+AE521)*'OLD Formulas'!$D$27</f>
        <v>0</v>
      </c>
      <c r="AF659" s="978">
        <f>(AF505+AF513+AF521)*'OLD Formulas'!$D$27</f>
        <v>0</v>
      </c>
      <c r="AG659" s="623">
        <f t="shared" si="217"/>
        <v>0</v>
      </c>
    </row>
    <row r="660">
      <c r="A660" s="594" t="s">
        <v>559</v>
      </c>
      <c r="B660" s="243">
        <f t="shared" ref="B660:AF660" si="218">sum(B623:B659)</f>
        <v>0</v>
      </c>
      <c r="C660" s="243">
        <f t="shared" si="218"/>
        <v>0</v>
      </c>
      <c r="D660" s="243">
        <f t="shared" si="218"/>
        <v>0</v>
      </c>
      <c r="E660" s="243">
        <f t="shared" si="218"/>
        <v>0</v>
      </c>
      <c r="F660" s="243">
        <f t="shared" si="218"/>
        <v>0</v>
      </c>
      <c r="G660" s="243">
        <f t="shared" si="218"/>
        <v>0</v>
      </c>
      <c r="H660" s="243">
        <f t="shared" si="218"/>
        <v>0</v>
      </c>
      <c r="I660" s="243">
        <f t="shared" si="218"/>
        <v>0</v>
      </c>
      <c r="J660" s="243">
        <f t="shared" si="218"/>
        <v>0</v>
      </c>
      <c r="K660" s="243">
        <f t="shared" si="218"/>
        <v>0</v>
      </c>
      <c r="L660" s="243">
        <f t="shared" si="218"/>
        <v>0</v>
      </c>
      <c r="M660" s="243">
        <f t="shared" si="218"/>
        <v>0</v>
      </c>
      <c r="N660" s="243">
        <f t="shared" si="218"/>
        <v>0</v>
      </c>
      <c r="O660" s="243">
        <f t="shared" si="218"/>
        <v>0</v>
      </c>
      <c r="P660" s="243">
        <f t="shared" si="218"/>
        <v>0</v>
      </c>
      <c r="Q660" s="243">
        <f t="shared" si="218"/>
        <v>0</v>
      </c>
      <c r="R660" s="243">
        <f t="shared" si="218"/>
        <v>0</v>
      </c>
      <c r="S660" s="243">
        <f t="shared" si="218"/>
        <v>0</v>
      </c>
      <c r="T660" s="243">
        <f t="shared" si="218"/>
        <v>0</v>
      </c>
      <c r="U660" s="243">
        <f t="shared" si="218"/>
        <v>0</v>
      </c>
      <c r="V660" s="243">
        <f t="shared" si="218"/>
        <v>0</v>
      </c>
      <c r="W660" s="243">
        <f t="shared" si="218"/>
        <v>0</v>
      </c>
      <c r="X660" s="243">
        <f t="shared" si="218"/>
        <v>0</v>
      </c>
      <c r="Y660" s="243">
        <f t="shared" si="218"/>
        <v>0</v>
      </c>
      <c r="Z660" s="243">
        <f t="shared" si="218"/>
        <v>0</v>
      </c>
      <c r="AA660" s="243">
        <f t="shared" si="218"/>
        <v>0</v>
      </c>
      <c r="AB660" s="243">
        <f t="shared" si="218"/>
        <v>0</v>
      </c>
      <c r="AC660" s="243">
        <f t="shared" si="218"/>
        <v>0</v>
      </c>
      <c r="AD660" s="243">
        <f t="shared" si="218"/>
        <v>0</v>
      </c>
      <c r="AE660" s="243">
        <f t="shared" si="218"/>
        <v>0</v>
      </c>
      <c r="AF660" s="243">
        <f t="shared" si="218"/>
        <v>0</v>
      </c>
      <c r="AG660" s="623">
        <f t="shared" si="217"/>
        <v>0</v>
      </c>
    </row>
    <row r="661">
      <c r="A661" s="25"/>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c r="AB661" s="53"/>
      <c r="AC661" s="53"/>
      <c r="AD661" s="53"/>
      <c r="AE661" s="53"/>
      <c r="AF661" s="53"/>
      <c r="AG661" s="623">
        <f t="shared" si="217"/>
        <v>0</v>
      </c>
    </row>
    <row r="662">
      <c r="A662" s="984" t="s">
        <v>98</v>
      </c>
      <c r="B662" s="985">
        <f t="shared" ref="B662:AF662" si="219">SUM(B568:B601)+B660+B607+B608+B615</f>
        <v>106902.3305</v>
      </c>
      <c r="C662" s="985">
        <f t="shared" si="219"/>
        <v>108481.6348</v>
      </c>
      <c r="D662" s="985">
        <f t="shared" si="219"/>
        <v>110821.77</v>
      </c>
      <c r="E662" s="985">
        <f t="shared" si="219"/>
        <v>120176.0486</v>
      </c>
      <c r="F662" s="985">
        <f t="shared" si="219"/>
        <v>132259.3339</v>
      </c>
      <c r="G662" s="985">
        <f t="shared" si="219"/>
        <v>122660.387</v>
      </c>
      <c r="H662" s="985">
        <f t="shared" si="219"/>
        <v>113003.1488</v>
      </c>
      <c r="I662" s="985">
        <f t="shared" si="219"/>
        <v>121485.4763</v>
      </c>
      <c r="J662" s="985">
        <f t="shared" si="219"/>
        <v>132800.8825</v>
      </c>
      <c r="K662" s="985">
        <f t="shared" si="219"/>
        <v>129617.5478</v>
      </c>
      <c r="L662" s="985">
        <f t="shared" si="219"/>
        <v>145034.1388</v>
      </c>
      <c r="M662" s="985">
        <f t="shared" si="219"/>
        <v>144988.413</v>
      </c>
      <c r="N662" s="985">
        <f t="shared" si="219"/>
        <v>122920.8544</v>
      </c>
      <c r="O662" s="985">
        <f t="shared" si="219"/>
        <v>133085.1859</v>
      </c>
      <c r="P662" s="985">
        <f t="shared" si="219"/>
        <v>129047.904</v>
      </c>
      <c r="Q662" s="985">
        <f t="shared" si="219"/>
        <v>124199.9737</v>
      </c>
      <c r="R662" s="985">
        <f t="shared" si="219"/>
        <v>125276.8149</v>
      </c>
      <c r="S662" s="985">
        <f t="shared" si="219"/>
        <v>154438.9037</v>
      </c>
      <c r="T662" s="985">
        <f t="shared" si="219"/>
        <v>161554.597</v>
      </c>
      <c r="U662" s="985">
        <f t="shared" si="219"/>
        <v>180938.282</v>
      </c>
      <c r="V662" s="985">
        <f t="shared" si="219"/>
        <v>192579.6564</v>
      </c>
      <c r="W662" s="985">
        <f t="shared" si="219"/>
        <v>257246.5218</v>
      </c>
      <c r="X662" s="985">
        <f t="shared" si="219"/>
        <v>338628.6056</v>
      </c>
      <c r="Y662" s="985">
        <f t="shared" si="219"/>
        <v>820282.1152</v>
      </c>
      <c r="Z662" s="985">
        <f t="shared" si="219"/>
        <v>498431.04</v>
      </c>
      <c r="AA662" s="985">
        <f t="shared" si="219"/>
        <v>418943.4308</v>
      </c>
      <c r="AB662" s="985">
        <f t="shared" si="219"/>
        <v>547610.5876</v>
      </c>
      <c r="AC662" s="985">
        <f t="shared" si="219"/>
        <v>376283.6343</v>
      </c>
      <c r="AD662" s="985">
        <f t="shared" si="219"/>
        <v>80835.89366</v>
      </c>
      <c r="AE662" s="985">
        <f t="shared" si="219"/>
        <v>59237.58987</v>
      </c>
      <c r="AF662" s="985">
        <f t="shared" si="219"/>
        <v>17.36774194</v>
      </c>
      <c r="AG662" s="623">
        <f t="shared" si="217"/>
        <v>6209790.071</v>
      </c>
    </row>
    <row r="663">
      <c r="A663" s="25"/>
      <c r="B663" s="640"/>
      <c r="C663" s="640"/>
      <c r="D663" s="640"/>
      <c r="E663" s="640"/>
      <c r="F663" s="640"/>
      <c r="G663" s="640"/>
      <c r="H663" s="640"/>
      <c r="I663" s="640"/>
      <c r="J663" s="640"/>
      <c r="K663" s="640"/>
      <c r="L663" s="640"/>
      <c r="M663" s="640"/>
      <c r="N663" s="640"/>
      <c r="O663" s="640"/>
      <c r="P663" s="640"/>
      <c r="Q663" s="640"/>
      <c r="R663" s="640"/>
      <c r="S663" s="640"/>
      <c r="T663" s="640"/>
      <c r="U663" s="640"/>
      <c r="V663" s="640"/>
      <c r="W663" s="640"/>
      <c r="X663" s="640"/>
      <c r="Y663" s="640"/>
      <c r="Z663" s="640"/>
      <c r="AA663" s="640"/>
      <c r="AB663" s="640"/>
      <c r="AC663" s="640"/>
      <c r="AD663" s="640"/>
      <c r="AE663" s="640"/>
      <c r="AF663" s="640"/>
      <c r="AG663" s="623">
        <f t="shared" si="217"/>
        <v>0</v>
      </c>
    </row>
    <row r="664">
      <c r="A664" s="595" t="s">
        <v>1285</v>
      </c>
      <c r="B664" s="66">
        <f t="shared" ref="B664:AF664" si="220">B141-B662</f>
        <v>-1881.610476</v>
      </c>
      <c r="C664" s="66">
        <f t="shared" si="220"/>
        <v>5471.865176</v>
      </c>
      <c r="D664" s="66">
        <f t="shared" si="220"/>
        <v>1552.180049</v>
      </c>
      <c r="E664" s="66">
        <f t="shared" si="220"/>
        <v>1836.581399</v>
      </c>
      <c r="F664" s="66">
        <f t="shared" si="220"/>
        <v>5361.746093</v>
      </c>
      <c r="G664" s="66">
        <f t="shared" si="220"/>
        <v>7286.772975</v>
      </c>
      <c r="H664" s="66">
        <f t="shared" si="220"/>
        <v>6375.591184</v>
      </c>
      <c r="I664" s="66">
        <f t="shared" si="220"/>
        <v>1888.573666</v>
      </c>
      <c r="J664" s="66">
        <f t="shared" si="220"/>
        <v>-4693.832497</v>
      </c>
      <c r="K664" s="66">
        <f t="shared" si="220"/>
        <v>-3850.397796</v>
      </c>
      <c r="L664" s="66">
        <f t="shared" si="220"/>
        <v>20730.4012</v>
      </c>
      <c r="M664" s="66">
        <f t="shared" si="220"/>
        <v>18592.34703</v>
      </c>
      <c r="N664" s="66">
        <f t="shared" si="220"/>
        <v>16758.55562</v>
      </c>
      <c r="O664" s="66">
        <f t="shared" si="220"/>
        <v>13157.56409</v>
      </c>
      <c r="P664" s="66">
        <f t="shared" si="220"/>
        <v>9251.655974</v>
      </c>
      <c r="Q664" s="66">
        <f t="shared" si="220"/>
        <v>666.0263131</v>
      </c>
      <c r="R664" s="66">
        <f t="shared" si="220"/>
        <v>6755.945141</v>
      </c>
      <c r="S664" s="66">
        <f t="shared" si="220"/>
        <v>19359.93628</v>
      </c>
      <c r="T664" s="66">
        <f t="shared" si="220"/>
        <v>17255.33301</v>
      </c>
      <c r="U664" s="66">
        <f t="shared" si="220"/>
        <v>8484.467965</v>
      </c>
      <c r="V664" s="66">
        <f t="shared" si="220"/>
        <v>353.4136036</v>
      </c>
      <c r="W664" s="66">
        <f t="shared" si="220"/>
        <v>26338.74824</v>
      </c>
      <c r="X664" s="66">
        <f t="shared" si="220"/>
        <v>-646.4855619</v>
      </c>
      <c r="Y664" s="66">
        <f t="shared" si="220"/>
        <v>111049.4548</v>
      </c>
      <c r="Z664" s="66">
        <f t="shared" si="220"/>
        <v>78422.66001</v>
      </c>
      <c r="AA664" s="66">
        <f t="shared" si="220"/>
        <v>11679.9392</v>
      </c>
      <c r="AB664" s="66">
        <f t="shared" si="220"/>
        <v>117274.1524</v>
      </c>
      <c r="AC664" s="66">
        <f t="shared" si="220"/>
        <v>95603.03566</v>
      </c>
      <c r="AD664" s="66">
        <f t="shared" si="220"/>
        <v>20069.31634</v>
      </c>
      <c r="AE664" s="66">
        <f t="shared" si="220"/>
        <v>33039.90013</v>
      </c>
      <c r="AF664" s="66">
        <f t="shared" si="220"/>
        <v>-17.36774194</v>
      </c>
      <c r="AG664" s="623">
        <f t="shared" si="217"/>
        <v>643526.4695</v>
      </c>
    </row>
    <row r="665">
      <c r="A665" s="986">
        <f>SUM(B664:AE664)</f>
        <v>643543.8372</v>
      </c>
      <c r="B665" s="640"/>
      <c r="C665" s="640"/>
      <c r="D665" s="640"/>
      <c r="E665" s="640"/>
      <c r="F665" s="640"/>
      <c r="G665" s="640"/>
      <c r="H665" s="640"/>
      <c r="I665" s="640"/>
      <c r="J665" s="640"/>
      <c r="K665" s="640"/>
      <c r="L665" s="640"/>
      <c r="M665" s="640"/>
      <c r="N665" s="640"/>
      <c r="O665" s="640"/>
      <c r="P665" s="640"/>
      <c r="Q665" s="640"/>
      <c r="R665" s="640"/>
      <c r="S665" s="640"/>
      <c r="T665" s="640"/>
      <c r="U665" s="640"/>
      <c r="V665" s="640"/>
      <c r="W665" s="640"/>
      <c r="X665" s="640"/>
      <c r="Y665" s="640"/>
      <c r="Z665" s="640"/>
      <c r="AA665" s="640"/>
      <c r="AB665" s="640"/>
      <c r="AC665" s="640"/>
      <c r="AD665" s="640"/>
      <c r="AE665" s="640"/>
      <c r="AF665" s="640"/>
      <c r="AG665" s="987"/>
    </row>
    <row r="666">
      <c r="A666" s="25"/>
      <c r="B666" s="640"/>
      <c r="C666" s="640"/>
      <c r="D666" s="640"/>
      <c r="E666" s="640"/>
      <c r="F666" s="640"/>
      <c r="G666" s="640"/>
      <c r="H666" s="640"/>
      <c r="I666" s="640"/>
      <c r="J666" s="640"/>
      <c r="K666" s="640"/>
      <c r="L666" s="640"/>
      <c r="M666" s="640"/>
      <c r="N666" s="640"/>
      <c r="O666" s="640"/>
      <c r="P666" s="640"/>
      <c r="Q666" s="640"/>
      <c r="R666" s="640"/>
      <c r="S666" s="640"/>
      <c r="T666" s="640"/>
      <c r="U666" s="640"/>
      <c r="V666" s="640"/>
      <c r="W666" s="640"/>
      <c r="X666" s="640"/>
      <c r="Y666" s="640"/>
      <c r="Z666" s="640"/>
      <c r="AA666" s="640"/>
      <c r="AB666" s="640"/>
      <c r="AC666" s="640"/>
      <c r="AD666" s="640"/>
      <c r="AE666" s="640"/>
      <c r="AF666" s="640"/>
      <c r="AG666" s="987"/>
    </row>
    <row r="667">
      <c r="A667" s="988" t="s">
        <v>1286</v>
      </c>
      <c r="B667" s="989">
        <f t="shared" ref="B667:AF667" si="221">B664/B141</f>
        <v>-0.01791656424</v>
      </c>
      <c r="C667" s="989">
        <f t="shared" si="221"/>
        <v>0.04801840378</v>
      </c>
      <c r="D667" s="989">
        <f t="shared" si="221"/>
        <v>0.01381263228</v>
      </c>
      <c r="E667" s="989">
        <f t="shared" si="221"/>
        <v>0.0150523876</v>
      </c>
      <c r="F667" s="989">
        <f t="shared" si="221"/>
        <v>0.03896020938</v>
      </c>
      <c r="G667" s="989">
        <f t="shared" si="221"/>
        <v>0.0560748921</v>
      </c>
      <c r="H667" s="989">
        <f t="shared" si="221"/>
        <v>0.05340642047</v>
      </c>
      <c r="I667" s="989">
        <f t="shared" si="221"/>
        <v>0.01530770584</v>
      </c>
      <c r="J667" s="989">
        <f t="shared" si="221"/>
        <v>-0.03663992339</v>
      </c>
      <c r="K667" s="989">
        <f t="shared" si="221"/>
        <v>-0.03061529021</v>
      </c>
      <c r="L667" s="989">
        <f t="shared" si="221"/>
        <v>0.1250593233</v>
      </c>
      <c r="M667" s="989">
        <f t="shared" si="221"/>
        <v>0.1136585197</v>
      </c>
      <c r="N667" s="989">
        <f t="shared" si="221"/>
        <v>0.1199787114</v>
      </c>
      <c r="O667" s="989">
        <f t="shared" si="221"/>
        <v>0.0899707103</v>
      </c>
      <c r="P667" s="989">
        <f t="shared" si="221"/>
        <v>0.06689577302</v>
      </c>
      <c r="Q667" s="989">
        <f t="shared" si="221"/>
        <v>0.005333928476</v>
      </c>
      <c r="R667" s="989">
        <f t="shared" si="221"/>
        <v>0.05116870344</v>
      </c>
      <c r="S667" s="989">
        <f t="shared" si="221"/>
        <v>0.1113927819</v>
      </c>
      <c r="T667" s="989">
        <f t="shared" si="221"/>
        <v>0.09650097736</v>
      </c>
      <c r="U667" s="989">
        <f t="shared" si="221"/>
        <v>0.04479117722</v>
      </c>
      <c r="V667" s="989">
        <f t="shared" si="221"/>
        <v>0.001831793811</v>
      </c>
      <c r="W667" s="989">
        <f t="shared" si="221"/>
        <v>0.09287770214</v>
      </c>
      <c r="X667" s="989">
        <f t="shared" si="221"/>
        <v>-0.001912780362</v>
      </c>
      <c r="Y667" s="989">
        <f t="shared" si="221"/>
        <v>0.1192372925</v>
      </c>
      <c r="Z667" s="989">
        <f t="shared" si="221"/>
        <v>0.135948959</v>
      </c>
      <c r="AA667" s="989">
        <f t="shared" si="221"/>
        <v>0.02712332867</v>
      </c>
      <c r="AB667" s="989">
        <f t="shared" si="221"/>
        <v>0.1763826801</v>
      </c>
      <c r="AC667" s="989">
        <f t="shared" si="221"/>
        <v>0.2025974492</v>
      </c>
      <c r="AD667" s="989">
        <f t="shared" si="221"/>
        <v>0.1988927662</v>
      </c>
      <c r="AE667" s="989">
        <f t="shared" si="221"/>
        <v>0.3580494022</v>
      </c>
      <c r="AF667" s="989" t="str">
        <f t="shared" si="221"/>
        <v>#DIV/0!</v>
      </c>
      <c r="AG667" s="987"/>
    </row>
    <row r="668">
      <c r="A668" s="990" t="s">
        <v>1287</v>
      </c>
      <c r="B668" s="413">
        <f t="shared" ref="B668:AF668" si="222">(B141-B598-B599-B600)/B568</f>
        <v>2.417511763</v>
      </c>
      <c r="C668" s="413">
        <f t="shared" si="222"/>
        <v>2.813475049</v>
      </c>
      <c r="D668" s="413">
        <f t="shared" si="222"/>
        <v>2.57550968</v>
      </c>
      <c r="E668" s="413">
        <f t="shared" si="222"/>
        <v>2.835533623</v>
      </c>
      <c r="F668" s="413">
        <f t="shared" si="222"/>
        <v>3.02468601</v>
      </c>
      <c r="G668" s="413">
        <f t="shared" si="222"/>
        <v>2.860316757</v>
      </c>
      <c r="H668" s="413">
        <f t="shared" si="222"/>
        <v>2.943229305</v>
      </c>
      <c r="I668" s="413">
        <f t="shared" si="222"/>
        <v>2.598474445</v>
      </c>
      <c r="J668" s="413">
        <f t="shared" si="222"/>
        <v>2.25554429</v>
      </c>
      <c r="K668" s="413">
        <f t="shared" si="222"/>
        <v>2.336182077</v>
      </c>
      <c r="L668" s="413">
        <f t="shared" si="222"/>
        <v>3.617622156</v>
      </c>
      <c r="M668" s="413">
        <f t="shared" si="222"/>
        <v>3.39507938</v>
      </c>
      <c r="N668" s="413">
        <f t="shared" si="222"/>
        <v>3.085098083</v>
      </c>
      <c r="O668" s="413">
        <f t="shared" si="222"/>
        <v>3.273825578</v>
      </c>
      <c r="P668" s="413">
        <f t="shared" si="222"/>
        <v>2.88104435</v>
      </c>
      <c r="Q668" s="413">
        <f t="shared" si="222"/>
        <v>2.520433181</v>
      </c>
      <c r="R668" s="413">
        <f t="shared" si="222"/>
        <v>2.866158058</v>
      </c>
      <c r="S668" s="413">
        <f t="shared" si="222"/>
        <v>3.41571139</v>
      </c>
      <c r="T668" s="413">
        <f t="shared" si="222"/>
        <v>3.202991924</v>
      </c>
      <c r="U668" s="413">
        <f t="shared" si="222"/>
        <v>2.84090098</v>
      </c>
      <c r="V668" s="413">
        <f t="shared" si="222"/>
        <v>2.629792993</v>
      </c>
      <c r="W668" s="413">
        <f t="shared" si="222"/>
        <v>3.372735318</v>
      </c>
      <c r="X668" s="413">
        <f t="shared" si="222"/>
        <v>2.456807726</v>
      </c>
      <c r="Y668" s="413">
        <f t="shared" si="222"/>
        <v>3.585009513</v>
      </c>
      <c r="Z668" s="413">
        <f t="shared" si="222"/>
        <v>3.568732272</v>
      </c>
      <c r="AA668" s="413">
        <f t="shared" si="222"/>
        <v>2.742108223</v>
      </c>
      <c r="AB668" s="413">
        <f t="shared" si="222"/>
        <v>4.609919357</v>
      </c>
      <c r="AC668" s="413">
        <f t="shared" si="222"/>
        <v>4.425674756</v>
      </c>
      <c r="AD668" s="413">
        <f t="shared" si="222"/>
        <v>2.499975535</v>
      </c>
      <c r="AE668" s="413">
        <f t="shared" si="222"/>
        <v>4.381809815</v>
      </c>
      <c r="AF668" s="413" t="str">
        <f t="shared" si="222"/>
        <v>#DIV/0!</v>
      </c>
      <c r="AG668" s="987"/>
    </row>
    <row r="669">
      <c r="A669" s="233" t="s">
        <v>439</v>
      </c>
      <c r="B669" s="413">
        <f>'Sales OLD'!B73</f>
        <v>2.815920702</v>
      </c>
      <c r="C669" s="413">
        <f>'Sales OLD'!C73</f>
        <v>3.287810316</v>
      </c>
      <c r="D669" s="413">
        <f>'Sales OLD'!D73</f>
        <v>2.982119324</v>
      </c>
      <c r="E669" s="413">
        <f>'Sales OLD'!E73</f>
        <v>3.087411149</v>
      </c>
      <c r="F669" s="413">
        <f>'Sales OLD'!F73</f>
        <v>3.482895906</v>
      </c>
      <c r="G669" s="413">
        <f>'Sales OLD'!G73</f>
        <v>3.362549207</v>
      </c>
      <c r="H669" s="413">
        <f>'Sales OLD'!H73</f>
        <v>3.505025205</v>
      </c>
      <c r="I669" s="413">
        <f>'Sales OLD'!I73</f>
        <v>2.940282551</v>
      </c>
      <c r="J669" s="413">
        <f>'Sales OLD'!J73</f>
        <v>2.619145658</v>
      </c>
      <c r="K669" s="413">
        <f>'Sales OLD'!K73</f>
        <v>2.75040228</v>
      </c>
      <c r="L669" s="413">
        <f>'Sales OLD'!L73</f>
        <v>4.475134742</v>
      </c>
      <c r="M669" s="413">
        <f>'Sales OLD'!M73</f>
        <v>4.271649312</v>
      </c>
      <c r="N669" s="413">
        <f>'Sales OLD'!N73</f>
        <v>3.932693724</v>
      </c>
      <c r="O669" s="413">
        <f>'Sales OLD'!O73</f>
        <v>4.081645611</v>
      </c>
      <c r="P669" s="413">
        <f>'Sales OLD'!P73</f>
        <v>3.60377243</v>
      </c>
      <c r="Q669" s="413">
        <f>'Sales OLD'!Q73</f>
        <v>3.354985915</v>
      </c>
      <c r="R669" s="413">
        <f>'Sales OLD'!R73</f>
        <v>3.886296345</v>
      </c>
      <c r="S669" s="413">
        <f>'Sales OLD'!S73</f>
        <v>4.795454828</v>
      </c>
      <c r="T669" s="413">
        <f>'Sales OLD'!T73</f>
        <v>4.322140385</v>
      </c>
      <c r="U669" s="413">
        <f>'Sales OLD'!U73</f>
        <v>4.170468221</v>
      </c>
      <c r="V669" s="413">
        <f>'Sales OLD'!V73</f>
        <v>3.923991144</v>
      </c>
      <c r="W669" s="413">
        <f>'Sales OLD'!W73</f>
        <v>5.086695716</v>
      </c>
      <c r="X669" s="413">
        <f>'Sales OLD'!X73</f>
        <v>3.373250782</v>
      </c>
      <c r="Y669" s="413">
        <f>'Sales OLD'!Y73</f>
        <v>5.209576805</v>
      </c>
      <c r="Z669" s="413">
        <f>'Sales OLD'!Z73</f>
        <v>5.056540677</v>
      </c>
      <c r="AA669" s="413">
        <f>'Sales OLD'!AA73</f>
        <v>3.912462361</v>
      </c>
      <c r="AB669" s="413">
        <f>'Sales OLD'!AB73</f>
        <v>5.006707817</v>
      </c>
      <c r="AC669" s="413">
        <f>'Sales OLD'!AC73</f>
        <v>4.685057451</v>
      </c>
      <c r="AD669" s="413">
        <f>'Sales OLD'!AD73</f>
        <v>2.649658871</v>
      </c>
      <c r="AE669" s="413">
        <f>'Sales OLD'!AE73</f>
        <v>4.763972997</v>
      </c>
      <c r="AF669" s="99" t="str">
        <f>#REF!</f>
        <v>#REF!</v>
      </c>
      <c r="AG669" s="987"/>
    </row>
    <row r="670">
      <c r="A670" s="25"/>
      <c r="B670" s="680"/>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c r="AB670" s="53"/>
      <c r="AC670" s="53"/>
      <c r="AD670" s="53"/>
      <c r="AE670" s="53"/>
      <c r="AF670" s="53"/>
      <c r="AG670" s="576"/>
    </row>
    <row r="671">
      <c r="A671" s="9"/>
      <c r="B671" s="991"/>
      <c r="C671" s="992"/>
      <c r="D671" s="992"/>
      <c r="E671" s="992"/>
      <c r="F671" s="992"/>
      <c r="G671" s="992"/>
      <c r="H671" s="992"/>
      <c r="I671" s="992"/>
      <c r="J671" s="992"/>
      <c r="K671" s="992"/>
      <c r="L671" s="992"/>
      <c r="M671" s="992"/>
      <c r="N671" s="992"/>
      <c r="O671" s="992"/>
      <c r="P671" s="992"/>
      <c r="Q671" s="992"/>
      <c r="R671" s="992"/>
      <c r="S671" s="992"/>
      <c r="T671" s="992"/>
      <c r="U671" s="9"/>
      <c r="V671" s="9"/>
      <c r="W671" s="9"/>
      <c r="X671" s="9"/>
      <c r="Y671" s="9"/>
      <c r="Z671" s="9"/>
      <c r="AA671" s="9"/>
      <c r="AB671" s="9"/>
      <c r="AC671" s="9"/>
      <c r="AD671" s="9"/>
      <c r="AE671" s="9"/>
      <c r="AF671" s="9"/>
      <c r="AG671" s="576"/>
    </row>
    <row r="672">
      <c r="A672" s="233" t="s">
        <v>105</v>
      </c>
      <c r="B672" s="993"/>
      <c r="C672" s="993"/>
      <c r="D672" s="993"/>
      <c r="E672" s="993"/>
      <c r="F672" s="993"/>
      <c r="G672" s="993"/>
      <c r="H672" s="993"/>
      <c r="I672" s="993"/>
      <c r="J672" s="993"/>
      <c r="K672" s="993"/>
      <c r="L672" s="993"/>
      <c r="M672" s="993"/>
      <c r="N672" s="993"/>
      <c r="O672" s="993"/>
      <c r="P672" s="993"/>
      <c r="Q672" s="993"/>
      <c r="R672" s="993"/>
      <c r="S672" s="993"/>
      <c r="T672" s="993"/>
      <c r="U672" s="993"/>
      <c r="V672" s="993"/>
      <c r="W672" s="993"/>
      <c r="X672" s="993"/>
      <c r="Y672" s="993"/>
      <c r="Z672" s="993"/>
      <c r="AA672" s="53"/>
      <c r="AB672" s="993"/>
      <c r="AC672" s="993"/>
      <c r="AD672" s="993"/>
      <c r="AE672" s="993"/>
      <c r="AF672" s="993"/>
      <c r="AG672" s="576"/>
    </row>
    <row r="673">
      <c r="A673" s="296">
        <f>SUM(B141:AE141)</f>
        <v>6853316.54</v>
      </c>
      <c r="B673" s="993"/>
      <c r="C673" s="993"/>
      <c r="D673" s="993"/>
      <c r="E673" s="993"/>
      <c r="F673" s="993"/>
      <c r="G673" s="993"/>
      <c r="H673" s="993"/>
      <c r="I673" s="993"/>
      <c r="J673" s="993"/>
      <c r="K673" s="993"/>
      <c r="L673" s="993"/>
      <c r="M673" s="993"/>
      <c r="N673" s="993"/>
      <c r="O673" s="993"/>
      <c r="P673" s="993"/>
      <c r="Q673" s="993"/>
      <c r="R673" s="993"/>
      <c r="S673" s="993"/>
      <c r="T673" s="993"/>
      <c r="U673" s="993"/>
      <c r="V673" s="993"/>
      <c r="W673" s="993"/>
      <c r="X673" s="993"/>
      <c r="Y673" s="993"/>
      <c r="Z673" s="993"/>
      <c r="AA673" s="993"/>
      <c r="AB673" s="993"/>
      <c r="AC673" s="993"/>
      <c r="AD673" s="993"/>
      <c r="AE673" s="993"/>
      <c r="AF673" s="993"/>
      <c r="AG673" s="994"/>
    </row>
    <row r="674">
      <c r="A674" s="25"/>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c r="AB674" s="53"/>
      <c r="AC674" s="53"/>
      <c r="AD674" s="53"/>
      <c r="AE674" s="53"/>
      <c r="AF674" s="53"/>
      <c r="AG674" s="576"/>
    </row>
    <row r="675">
      <c r="A675" s="988" t="s">
        <v>881</v>
      </c>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c r="AB675" s="53"/>
      <c r="AC675" s="53"/>
      <c r="AD675" s="53"/>
      <c r="AE675" s="53"/>
      <c r="AF675" s="53"/>
      <c r="AG675" s="576"/>
    </row>
    <row r="676">
      <c r="A676" s="296">
        <f>SUM(B662:AE662)</f>
        <v>6209772.703</v>
      </c>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c r="AB676" s="53"/>
      <c r="AC676" s="53"/>
      <c r="AD676" s="53"/>
      <c r="AE676" s="53"/>
      <c r="AF676" s="53"/>
      <c r="AG676" s="576"/>
    </row>
    <row r="677">
      <c r="A677" s="25"/>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c r="AB677" s="53"/>
      <c r="AC677" s="53"/>
      <c r="AD677" s="53"/>
      <c r="AE677" s="53"/>
      <c r="AF677" s="53"/>
      <c r="AG677" s="576"/>
    </row>
    <row r="678">
      <c r="A678" s="988" t="s">
        <v>1234</v>
      </c>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c r="AB678" s="53"/>
      <c r="AC678" s="53"/>
      <c r="AD678" s="53"/>
      <c r="AE678" s="53"/>
      <c r="AF678" s="53"/>
      <c r="AG678" s="576"/>
    </row>
    <row r="679">
      <c r="A679" s="238">
        <f>A665/A673</f>
        <v>0.09390254098</v>
      </c>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c r="AB679" s="53"/>
      <c r="AC679" s="53"/>
      <c r="AD679" s="53"/>
      <c r="AE679" s="53"/>
      <c r="AF679" s="53"/>
      <c r="AG679" s="576"/>
    </row>
    <row r="680">
      <c r="A680" s="25"/>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c r="AB680" s="53"/>
      <c r="AC680" s="53"/>
      <c r="AD680" s="53"/>
      <c r="AE680" s="53"/>
      <c r="AF680" s="53"/>
      <c r="AG680" s="576"/>
    </row>
    <row r="681">
      <c r="A681" s="723"/>
      <c r="AG681" s="555"/>
    </row>
    <row r="682">
      <c r="A682" s="723"/>
      <c r="AG682" s="555"/>
    </row>
    <row r="683">
      <c r="A683" s="723"/>
      <c r="AG683" s="555"/>
    </row>
    <row r="684">
      <c r="A684" s="723"/>
      <c r="AG684" s="555"/>
    </row>
    <row r="685">
      <c r="A685" s="723"/>
      <c r="AG685" s="555"/>
    </row>
    <row r="686">
      <c r="A686" s="723"/>
      <c r="AG686" s="555"/>
    </row>
    <row r="687">
      <c r="A687" s="723"/>
      <c r="AG687" s="555"/>
    </row>
    <row r="688">
      <c r="A688" s="723"/>
      <c r="AG688" s="555"/>
    </row>
    <row r="689">
      <c r="A689" s="723"/>
      <c r="AG689" s="555"/>
    </row>
    <row r="690">
      <c r="A690" s="723"/>
      <c r="AG690" s="555"/>
    </row>
    <row r="691">
      <c r="A691" s="723"/>
      <c r="AG691" s="555"/>
    </row>
    <row r="692">
      <c r="A692" s="723"/>
      <c r="AG692" s="555"/>
    </row>
    <row r="693">
      <c r="A693" s="723"/>
      <c r="AG693" s="555"/>
    </row>
    <row r="694">
      <c r="A694" s="723"/>
      <c r="AG694" s="555"/>
    </row>
    <row r="695">
      <c r="A695" s="723"/>
      <c r="AG695" s="555"/>
    </row>
    <row r="696">
      <c r="A696" s="723"/>
      <c r="AG696" s="555"/>
    </row>
    <row r="697">
      <c r="A697" s="723"/>
      <c r="AG697" s="555"/>
    </row>
    <row r="698">
      <c r="A698" s="723"/>
      <c r="AG698" s="555"/>
    </row>
    <row r="699">
      <c r="A699" s="723"/>
      <c r="AG699" s="555"/>
    </row>
    <row r="700">
      <c r="A700" s="723"/>
      <c r="AG700" s="555"/>
    </row>
    <row r="701">
      <c r="A701" s="723"/>
      <c r="AG701" s="555"/>
    </row>
    <row r="702">
      <c r="A702" s="723"/>
      <c r="AG702" s="555"/>
    </row>
    <row r="703">
      <c r="A703" s="723"/>
      <c r="AG703" s="555"/>
    </row>
    <row r="704">
      <c r="A704" s="723"/>
      <c r="AG704" s="555"/>
    </row>
    <row r="705">
      <c r="A705" s="723"/>
      <c r="AG705" s="555"/>
    </row>
    <row r="706">
      <c r="A706" s="723"/>
      <c r="AG706" s="555"/>
    </row>
    <row r="707">
      <c r="A707" s="723"/>
      <c r="AG707" s="555"/>
    </row>
    <row r="708">
      <c r="A708" s="723"/>
      <c r="AG708" s="555"/>
    </row>
    <row r="709">
      <c r="A709" s="723"/>
      <c r="AG709" s="555"/>
    </row>
    <row r="710">
      <c r="A710" s="723"/>
      <c r="AG710" s="555"/>
    </row>
    <row r="711">
      <c r="A711" s="723"/>
      <c r="AG711" s="555"/>
    </row>
    <row r="712">
      <c r="A712" s="723"/>
      <c r="AG712" s="555"/>
    </row>
    <row r="713">
      <c r="A713" s="723"/>
      <c r="AG713" s="555"/>
    </row>
    <row r="714">
      <c r="A714" s="723"/>
      <c r="AG714" s="555"/>
    </row>
    <row r="715">
      <c r="A715" s="723"/>
      <c r="AG715" s="555"/>
    </row>
    <row r="716">
      <c r="A716" s="723"/>
      <c r="AG716" s="555"/>
    </row>
    <row r="717">
      <c r="A717" s="723"/>
      <c r="AG717" s="555"/>
    </row>
    <row r="718">
      <c r="A718" s="723"/>
      <c r="AG718" s="555"/>
    </row>
    <row r="719">
      <c r="A719" s="723"/>
      <c r="AG719" s="555"/>
    </row>
    <row r="720">
      <c r="A720" s="723"/>
      <c r="AG720" s="555"/>
    </row>
    <row r="721">
      <c r="A721" s="723"/>
      <c r="AG721" s="555"/>
    </row>
    <row r="722">
      <c r="A722" s="723"/>
      <c r="AG722" s="555"/>
    </row>
    <row r="723">
      <c r="A723" s="723"/>
      <c r="AG723" s="555"/>
    </row>
    <row r="724">
      <c r="A724" s="723"/>
      <c r="AG724" s="555"/>
    </row>
    <row r="725">
      <c r="A725" s="723"/>
      <c r="AG725" s="555"/>
    </row>
    <row r="726">
      <c r="A726" s="723"/>
      <c r="AG726" s="555"/>
    </row>
    <row r="727">
      <c r="A727" s="723"/>
      <c r="AG727" s="555"/>
    </row>
    <row r="728">
      <c r="A728" s="723"/>
      <c r="AG728" s="555"/>
    </row>
    <row r="729">
      <c r="A729" s="723"/>
      <c r="AG729" s="555"/>
    </row>
    <row r="730">
      <c r="A730" s="723"/>
      <c r="AG730" s="555"/>
    </row>
    <row r="731">
      <c r="A731" s="723"/>
      <c r="AG731" s="555"/>
    </row>
    <row r="732">
      <c r="A732" s="723"/>
      <c r="AG732" s="555"/>
    </row>
    <row r="733">
      <c r="A733" s="723"/>
      <c r="AG733" s="555"/>
    </row>
    <row r="734">
      <c r="A734" s="723"/>
      <c r="AG734" s="555"/>
    </row>
    <row r="735">
      <c r="A735" s="723"/>
      <c r="AG735" s="555"/>
    </row>
    <row r="736">
      <c r="A736" s="723"/>
      <c r="AG736" s="555"/>
    </row>
    <row r="737">
      <c r="A737" s="723"/>
      <c r="AG737" s="555"/>
    </row>
    <row r="738">
      <c r="A738" s="723"/>
      <c r="AG738" s="555"/>
    </row>
    <row r="739">
      <c r="A739" s="723"/>
      <c r="AG739" s="555"/>
    </row>
    <row r="740">
      <c r="A740" s="723"/>
      <c r="AG740" s="555"/>
    </row>
    <row r="741">
      <c r="A741" s="723"/>
      <c r="AG741" s="555"/>
    </row>
    <row r="742">
      <c r="A742" s="723"/>
      <c r="AG742" s="555"/>
    </row>
    <row r="743">
      <c r="A743" s="723"/>
      <c r="AG743" s="555"/>
    </row>
    <row r="744">
      <c r="A744" s="723"/>
      <c r="AG744" s="555"/>
    </row>
    <row r="745">
      <c r="A745" s="723"/>
      <c r="AG745" s="555"/>
    </row>
    <row r="746">
      <c r="A746" s="723"/>
      <c r="AG746" s="555"/>
    </row>
    <row r="747">
      <c r="A747" s="723"/>
      <c r="AG747" s="555"/>
    </row>
    <row r="748">
      <c r="A748" s="723"/>
      <c r="AG748" s="555"/>
    </row>
    <row r="749">
      <c r="A749" s="723"/>
      <c r="AG749" s="555"/>
    </row>
    <row r="750">
      <c r="A750" s="723"/>
      <c r="AG750" s="555"/>
    </row>
    <row r="751">
      <c r="A751" s="723"/>
      <c r="AG751" s="555"/>
    </row>
    <row r="752">
      <c r="A752" s="723"/>
      <c r="AG752" s="555"/>
    </row>
    <row r="753">
      <c r="A753" s="723"/>
      <c r="AG753" s="555"/>
    </row>
    <row r="754">
      <c r="A754" s="723"/>
      <c r="AG754" s="555"/>
    </row>
    <row r="755">
      <c r="A755" s="723"/>
      <c r="AG755" s="555"/>
    </row>
    <row r="756">
      <c r="A756" s="723"/>
      <c r="AG756" s="555"/>
    </row>
    <row r="757">
      <c r="A757" s="723"/>
      <c r="AG757" s="555"/>
    </row>
    <row r="758">
      <c r="A758" s="723"/>
      <c r="AG758" s="555"/>
    </row>
    <row r="759">
      <c r="A759" s="723"/>
      <c r="AG759" s="555"/>
    </row>
    <row r="760">
      <c r="A760" s="723"/>
      <c r="AG760" s="555"/>
    </row>
    <row r="761">
      <c r="A761" s="723"/>
      <c r="AG761" s="555"/>
    </row>
    <row r="762">
      <c r="A762" s="723"/>
      <c r="AG762" s="555"/>
    </row>
    <row r="763">
      <c r="A763" s="723"/>
      <c r="AG763" s="555"/>
    </row>
    <row r="764">
      <c r="A764" s="723"/>
      <c r="AG764" s="555"/>
    </row>
    <row r="765">
      <c r="A765" s="723"/>
      <c r="AG765" s="555"/>
    </row>
    <row r="766">
      <c r="A766" s="723"/>
      <c r="AG766" s="555"/>
    </row>
    <row r="767">
      <c r="A767" s="723"/>
      <c r="AG767" s="555"/>
    </row>
    <row r="768">
      <c r="A768" s="723"/>
      <c r="AG768" s="555"/>
    </row>
    <row r="769">
      <c r="A769" s="723"/>
      <c r="AG769" s="555"/>
    </row>
    <row r="770">
      <c r="A770" s="723"/>
      <c r="AG770" s="555"/>
    </row>
    <row r="771">
      <c r="A771" s="723"/>
      <c r="AG771" s="555"/>
    </row>
    <row r="772">
      <c r="A772" s="723"/>
      <c r="AG772" s="555"/>
    </row>
    <row r="773">
      <c r="A773" s="723"/>
      <c r="AG773" s="555"/>
    </row>
    <row r="774">
      <c r="A774" s="723"/>
      <c r="AG774" s="555"/>
    </row>
    <row r="775">
      <c r="A775" s="723"/>
      <c r="AG775" s="555"/>
    </row>
    <row r="776">
      <c r="A776" s="723"/>
      <c r="AG776" s="555"/>
    </row>
    <row r="777">
      <c r="A777" s="723"/>
      <c r="AG777" s="555"/>
    </row>
    <row r="778">
      <c r="A778" s="723"/>
      <c r="AG778" s="555"/>
    </row>
    <row r="779">
      <c r="A779" s="723"/>
      <c r="AG779" s="555"/>
    </row>
    <row r="780">
      <c r="A780" s="723"/>
      <c r="AG780" s="555"/>
    </row>
    <row r="781">
      <c r="A781" s="723"/>
      <c r="AG781" s="555"/>
    </row>
    <row r="782">
      <c r="A782" s="723"/>
      <c r="AG782" s="555"/>
    </row>
    <row r="783">
      <c r="A783" s="723"/>
      <c r="AG783" s="555"/>
    </row>
    <row r="784">
      <c r="A784" s="723"/>
      <c r="AG784" s="555"/>
    </row>
    <row r="785">
      <c r="A785" s="723"/>
      <c r="AG785" s="555"/>
    </row>
    <row r="786">
      <c r="A786" s="723"/>
      <c r="AG786" s="555"/>
    </row>
    <row r="787">
      <c r="A787" s="723"/>
      <c r="AG787" s="555"/>
    </row>
    <row r="788">
      <c r="A788" s="723"/>
      <c r="AG788" s="555"/>
    </row>
    <row r="789">
      <c r="A789" s="723"/>
      <c r="AG789" s="555"/>
    </row>
    <row r="790">
      <c r="A790" s="723"/>
      <c r="AG790" s="555"/>
    </row>
    <row r="791">
      <c r="A791" s="723"/>
      <c r="AG791" s="555"/>
    </row>
    <row r="792">
      <c r="A792" s="723"/>
      <c r="AG792" s="555"/>
    </row>
    <row r="793">
      <c r="A793" s="723"/>
      <c r="AG793" s="555"/>
    </row>
    <row r="794">
      <c r="A794" s="723"/>
      <c r="AG794" s="555"/>
    </row>
    <row r="795">
      <c r="A795" s="723"/>
      <c r="AG795" s="555"/>
    </row>
    <row r="796">
      <c r="A796" s="723"/>
      <c r="AG796" s="555"/>
    </row>
    <row r="797">
      <c r="A797" s="723"/>
      <c r="AG797" s="555"/>
    </row>
    <row r="798">
      <c r="A798" s="723"/>
      <c r="AG798" s="555"/>
    </row>
    <row r="799">
      <c r="A799" s="723"/>
      <c r="AG799" s="555"/>
    </row>
    <row r="800">
      <c r="A800" s="723"/>
      <c r="AG800" s="555"/>
    </row>
    <row r="801">
      <c r="A801" s="723"/>
      <c r="AG801" s="555"/>
    </row>
    <row r="802">
      <c r="A802" s="723"/>
      <c r="AG802" s="555"/>
    </row>
    <row r="803">
      <c r="A803" s="723"/>
      <c r="AG803" s="555"/>
    </row>
    <row r="804">
      <c r="A804" s="723"/>
      <c r="AG804" s="555"/>
    </row>
    <row r="805">
      <c r="A805" s="723"/>
      <c r="AG805" s="555"/>
    </row>
    <row r="806">
      <c r="A806" s="723"/>
      <c r="AG806" s="555"/>
    </row>
    <row r="807">
      <c r="A807" s="723"/>
      <c r="AG807" s="555"/>
    </row>
    <row r="808">
      <c r="A808" s="723"/>
      <c r="AG808" s="555"/>
    </row>
    <row r="809">
      <c r="A809" s="723"/>
      <c r="AG809" s="555"/>
    </row>
    <row r="810">
      <c r="A810" s="723"/>
      <c r="AG810" s="555"/>
    </row>
    <row r="811">
      <c r="A811" s="723"/>
      <c r="AG811" s="555"/>
    </row>
    <row r="812">
      <c r="A812" s="723"/>
      <c r="AG812" s="555"/>
    </row>
    <row r="813">
      <c r="A813" s="723"/>
      <c r="AG813" s="555"/>
    </row>
    <row r="814">
      <c r="A814" s="723"/>
      <c r="AG814" s="555"/>
    </row>
    <row r="815">
      <c r="A815" s="723"/>
      <c r="AG815" s="555"/>
    </row>
    <row r="816">
      <c r="A816" s="723"/>
      <c r="AG816" s="555"/>
    </row>
    <row r="817">
      <c r="A817" s="723"/>
      <c r="AG817" s="555"/>
    </row>
    <row r="818">
      <c r="A818" s="723"/>
      <c r="AG818" s="555"/>
    </row>
    <row r="819">
      <c r="A819" s="723"/>
      <c r="AG819" s="555"/>
    </row>
    <row r="820">
      <c r="A820" s="723"/>
      <c r="AG820" s="555"/>
    </row>
    <row r="821">
      <c r="A821" s="723"/>
      <c r="AG821" s="555"/>
    </row>
    <row r="822">
      <c r="A822" s="723"/>
      <c r="AG822" s="555"/>
    </row>
    <row r="823">
      <c r="A823" s="723"/>
      <c r="AG823" s="555"/>
    </row>
    <row r="824">
      <c r="A824" s="723"/>
      <c r="AG824" s="555"/>
    </row>
    <row r="825">
      <c r="A825" s="723"/>
      <c r="AG825" s="555"/>
    </row>
    <row r="826">
      <c r="A826" s="723"/>
      <c r="AG826" s="555"/>
    </row>
    <row r="827">
      <c r="A827" s="723"/>
      <c r="AG827" s="555"/>
    </row>
    <row r="828">
      <c r="A828" s="723"/>
      <c r="AG828" s="555"/>
    </row>
    <row r="829">
      <c r="A829" s="723"/>
      <c r="AG829" s="555"/>
    </row>
    <row r="830">
      <c r="A830" s="723"/>
      <c r="AG830" s="555"/>
    </row>
    <row r="831">
      <c r="A831" s="723"/>
      <c r="AG831" s="555"/>
    </row>
    <row r="832">
      <c r="A832" s="723"/>
      <c r="AG832" s="555"/>
    </row>
    <row r="833">
      <c r="A833" s="723"/>
      <c r="AG833" s="555"/>
    </row>
    <row r="834">
      <c r="A834" s="723"/>
      <c r="AG834" s="555"/>
    </row>
    <row r="835">
      <c r="A835" s="723"/>
      <c r="AG835" s="555"/>
    </row>
    <row r="836">
      <c r="A836" s="723"/>
      <c r="AG836" s="555"/>
    </row>
    <row r="837">
      <c r="A837" s="723"/>
      <c r="AG837" s="555"/>
    </row>
    <row r="838">
      <c r="A838" s="723"/>
      <c r="AG838" s="555"/>
    </row>
    <row r="839">
      <c r="A839" s="723"/>
      <c r="AG839" s="555"/>
    </row>
    <row r="840">
      <c r="A840" s="723"/>
      <c r="AG840" s="555"/>
    </row>
    <row r="841">
      <c r="A841" s="723"/>
      <c r="AG841" s="555"/>
    </row>
    <row r="842">
      <c r="A842" s="723"/>
      <c r="AG842" s="555"/>
    </row>
    <row r="843">
      <c r="A843" s="723"/>
      <c r="AG843" s="555"/>
    </row>
    <row r="844">
      <c r="A844" s="723"/>
      <c r="AG844" s="555"/>
    </row>
    <row r="845">
      <c r="A845" s="723"/>
      <c r="AG845" s="555"/>
    </row>
    <row r="846">
      <c r="A846" s="723"/>
      <c r="AG846" s="555"/>
    </row>
    <row r="847">
      <c r="A847" s="723"/>
      <c r="AG847" s="555"/>
    </row>
    <row r="848">
      <c r="A848" s="723"/>
      <c r="AG848" s="555"/>
    </row>
    <row r="849">
      <c r="A849" s="723"/>
      <c r="AG849" s="555"/>
    </row>
    <row r="850">
      <c r="A850" s="723"/>
      <c r="AG850" s="555"/>
    </row>
    <row r="851">
      <c r="A851" s="723"/>
      <c r="AG851" s="555"/>
    </row>
    <row r="852">
      <c r="A852" s="723"/>
      <c r="AG852" s="555"/>
    </row>
    <row r="853">
      <c r="A853" s="723"/>
      <c r="AG853" s="555"/>
    </row>
    <row r="854">
      <c r="A854" s="723"/>
      <c r="AG854" s="555"/>
    </row>
    <row r="855">
      <c r="A855" s="723"/>
      <c r="AG855" s="555"/>
    </row>
    <row r="856">
      <c r="A856" s="723"/>
      <c r="AG856" s="555"/>
    </row>
    <row r="857">
      <c r="A857" s="723"/>
      <c r="AG857" s="555"/>
    </row>
    <row r="858">
      <c r="A858" s="723"/>
      <c r="AG858" s="555"/>
    </row>
    <row r="859">
      <c r="A859" s="723"/>
      <c r="AG859" s="555"/>
    </row>
    <row r="860">
      <c r="A860" s="723"/>
      <c r="AG860" s="555"/>
    </row>
    <row r="861">
      <c r="A861" s="723"/>
      <c r="AG861" s="555"/>
    </row>
    <row r="862">
      <c r="A862" s="723"/>
      <c r="AG862" s="555"/>
    </row>
    <row r="863">
      <c r="A863" s="723"/>
      <c r="AG863" s="555"/>
    </row>
    <row r="864">
      <c r="A864" s="723"/>
      <c r="AG864" s="555"/>
    </row>
    <row r="865">
      <c r="A865" s="723"/>
      <c r="AG865" s="555"/>
    </row>
    <row r="866">
      <c r="A866" s="723"/>
      <c r="AG866" s="555"/>
    </row>
    <row r="867">
      <c r="A867" s="723"/>
      <c r="AG867" s="555"/>
    </row>
    <row r="868">
      <c r="A868" s="723"/>
      <c r="AG868" s="555"/>
    </row>
    <row r="869">
      <c r="A869" s="723"/>
      <c r="AG869" s="555"/>
    </row>
    <row r="870">
      <c r="A870" s="723"/>
      <c r="AG870" s="555"/>
    </row>
    <row r="871">
      <c r="A871" s="723"/>
      <c r="AG871" s="555"/>
    </row>
    <row r="872">
      <c r="A872" s="723"/>
      <c r="AG872" s="555"/>
    </row>
    <row r="873">
      <c r="A873" s="723"/>
      <c r="AG873" s="555"/>
    </row>
    <row r="874">
      <c r="A874" s="723"/>
      <c r="AG874" s="555"/>
    </row>
    <row r="875">
      <c r="A875" s="723"/>
      <c r="AG875" s="555"/>
    </row>
    <row r="876">
      <c r="A876" s="723"/>
      <c r="AG876" s="555"/>
    </row>
    <row r="877">
      <c r="A877" s="723"/>
      <c r="AG877" s="555"/>
    </row>
    <row r="878">
      <c r="A878" s="723"/>
      <c r="AG878" s="555"/>
    </row>
    <row r="879">
      <c r="A879" s="723"/>
      <c r="AG879" s="555"/>
    </row>
    <row r="880">
      <c r="A880" s="723"/>
      <c r="AG880" s="555"/>
    </row>
    <row r="881">
      <c r="A881" s="723"/>
      <c r="AG881" s="555"/>
    </row>
    <row r="882">
      <c r="A882" s="723"/>
      <c r="AG882" s="555"/>
    </row>
    <row r="883">
      <c r="A883" s="723"/>
      <c r="AG883" s="555"/>
    </row>
    <row r="884">
      <c r="A884" s="723"/>
      <c r="AG884" s="555"/>
    </row>
    <row r="885">
      <c r="A885" s="723"/>
      <c r="AG885" s="555"/>
    </row>
    <row r="886">
      <c r="A886" s="723"/>
      <c r="AG886" s="555"/>
    </row>
    <row r="887">
      <c r="A887" s="723"/>
      <c r="AG887" s="555"/>
    </row>
    <row r="888">
      <c r="A888" s="723"/>
      <c r="AG888" s="555"/>
    </row>
    <row r="889">
      <c r="A889" s="723"/>
      <c r="AG889" s="555"/>
    </row>
    <row r="890">
      <c r="A890" s="723"/>
      <c r="AG890" s="555"/>
    </row>
    <row r="891">
      <c r="A891" s="723"/>
      <c r="AG891" s="555"/>
    </row>
    <row r="892">
      <c r="A892" s="723"/>
      <c r="AG892" s="555"/>
    </row>
    <row r="893">
      <c r="A893" s="723"/>
      <c r="AG893" s="555"/>
    </row>
    <row r="894">
      <c r="A894" s="723"/>
      <c r="AG894" s="555"/>
    </row>
    <row r="895">
      <c r="A895" s="723"/>
      <c r="AG895" s="555"/>
    </row>
    <row r="896">
      <c r="A896" s="723"/>
      <c r="AG896" s="555"/>
    </row>
    <row r="897">
      <c r="A897" s="723"/>
      <c r="AG897" s="555"/>
    </row>
    <row r="898">
      <c r="A898" s="723"/>
      <c r="AG898" s="555"/>
    </row>
    <row r="899">
      <c r="A899" s="723"/>
      <c r="AG899" s="555"/>
    </row>
    <row r="900">
      <c r="A900" s="723"/>
      <c r="AG900" s="555"/>
    </row>
    <row r="901">
      <c r="A901" s="723"/>
      <c r="AG901" s="555"/>
    </row>
    <row r="902">
      <c r="A902" s="723"/>
      <c r="AG902" s="555"/>
    </row>
    <row r="903">
      <c r="A903" s="723"/>
      <c r="AG903" s="555"/>
    </row>
    <row r="904">
      <c r="A904" s="723"/>
      <c r="AG904" s="555"/>
    </row>
    <row r="905">
      <c r="A905" s="723"/>
      <c r="AG905" s="555"/>
    </row>
    <row r="906">
      <c r="A906" s="723"/>
      <c r="AG906" s="555"/>
    </row>
    <row r="907">
      <c r="A907" s="723"/>
      <c r="AG907" s="555"/>
    </row>
    <row r="908">
      <c r="A908" s="723"/>
      <c r="AG908" s="555"/>
    </row>
    <row r="909">
      <c r="A909" s="723"/>
      <c r="AG909" s="555"/>
    </row>
    <row r="910">
      <c r="A910" s="723"/>
      <c r="AG910" s="555"/>
    </row>
    <row r="911">
      <c r="A911" s="723"/>
      <c r="AG911" s="555"/>
    </row>
    <row r="912">
      <c r="A912" s="723"/>
      <c r="AG912" s="555"/>
    </row>
    <row r="913">
      <c r="A913" s="723"/>
      <c r="AG913" s="555"/>
    </row>
    <row r="914">
      <c r="A914" s="723"/>
      <c r="AG914" s="555"/>
    </row>
    <row r="915">
      <c r="A915" s="723"/>
      <c r="AG915" s="555"/>
    </row>
    <row r="916">
      <c r="A916" s="723"/>
      <c r="AG916" s="555"/>
    </row>
    <row r="917">
      <c r="A917" s="723"/>
      <c r="AG917" s="555"/>
    </row>
    <row r="918">
      <c r="A918" s="723"/>
      <c r="AG918" s="555"/>
    </row>
    <row r="919">
      <c r="A919" s="723"/>
      <c r="AG919" s="555"/>
    </row>
    <row r="920">
      <c r="A920" s="723"/>
      <c r="AG920" s="555"/>
    </row>
    <row r="921">
      <c r="A921" s="723"/>
      <c r="AG921" s="555"/>
    </row>
    <row r="922">
      <c r="A922" s="723"/>
      <c r="AG922" s="555"/>
    </row>
    <row r="923">
      <c r="A923" s="723"/>
      <c r="AG923" s="555"/>
    </row>
    <row r="924">
      <c r="A924" s="723"/>
      <c r="AG924" s="555"/>
    </row>
    <row r="925">
      <c r="A925" s="723"/>
      <c r="AG925" s="555"/>
    </row>
    <row r="926">
      <c r="A926" s="723"/>
      <c r="AG926" s="555"/>
    </row>
    <row r="927">
      <c r="A927" s="723"/>
      <c r="AG927" s="555"/>
    </row>
    <row r="928">
      <c r="A928" s="723"/>
      <c r="AG928" s="555"/>
    </row>
    <row r="929">
      <c r="A929" s="723"/>
      <c r="AG929" s="555"/>
    </row>
    <row r="930">
      <c r="A930" s="723"/>
      <c r="AG930" s="555"/>
    </row>
    <row r="931">
      <c r="A931" s="723"/>
      <c r="AG931" s="555"/>
    </row>
    <row r="932">
      <c r="A932" s="723"/>
      <c r="AG932" s="555"/>
    </row>
    <row r="933">
      <c r="A933" s="723"/>
      <c r="AG933" s="555"/>
    </row>
    <row r="934">
      <c r="A934" s="723"/>
      <c r="AG934" s="555"/>
    </row>
    <row r="935">
      <c r="A935" s="723"/>
      <c r="AG935" s="555"/>
    </row>
    <row r="936">
      <c r="A936" s="723"/>
      <c r="AG936" s="555"/>
    </row>
    <row r="937">
      <c r="A937" s="723"/>
      <c r="AG937" s="555"/>
    </row>
    <row r="938">
      <c r="A938" s="723"/>
      <c r="AG938" s="555"/>
    </row>
    <row r="939">
      <c r="A939" s="723"/>
      <c r="AG939" s="555"/>
    </row>
    <row r="940">
      <c r="A940" s="723"/>
      <c r="AG940" s="555"/>
    </row>
    <row r="941">
      <c r="A941" s="723"/>
      <c r="AG941" s="555"/>
    </row>
    <row r="942">
      <c r="A942" s="723"/>
      <c r="AG942" s="555"/>
    </row>
    <row r="943">
      <c r="A943" s="723"/>
      <c r="AG943" s="555"/>
    </row>
    <row r="944">
      <c r="A944" s="723"/>
      <c r="AG944" s="555"/>
    </row>
    <row r="945">
      <c r="A945" s="723"/>
      <c r="AG945" s="555"/>
    </row>
    <row r="946">
      <c r="A946" s="723"/>
      <c r="AG946" s="555"/>
    </row>
    <row r="947">
      <c r="A947" s="723"/>
      <c r="AG947" s="555"/>
    </row>
    <row r="948">
      <c r="A948" s="723"/>
      <c r="AG948" s="555"/>
    </row>
    <row r="949">
      <c r="A949" s="723"/>
      <c r="AG949" s="555"/>
    </row>
    <row r="950">
      <c r="A950" s="723"/>
      <c r="AG950" s="555"/>
    </row>
    <row r="951">
      <c r="A951" s="723"/>
      <c r="AG951" s="555"/>
    </row>
    <row r="952">
      <c r="A952" s="723"/>
      <c r="AG952" s="555"/>
    </row>
    <row r="953">
      <c r="A953" s="723"/>
      <c r="AG953" s="555"/>
    </row>
    <row r="954">
      <c r="A954" s="723"/>
      <c r="AG954" s="555"/>
    </row>
    <row r="955">
      <c r="A955" s="723"/>
      <c r="AG955" s="555"/>
    </row>
    <row r="956">
      <c r="A956" s="723"/>
      <c r="AG956" s="555"/>
    </row>
    <row r="957">
      <c r="A957" s="723"/>
      <c r="AG957" s="555"/>
    </row>
    <row r="958">
      <c r="A958" s="723"/>
      <c r="AG958" s="555"/>
    </row>
    <row r="959">
      <c r="A959" s="723"/>
      <c r="AG959" s="555"/>
    </row>
    <row r="960">
      <c r="A960" s="723"/>
      <c r="AG960" s="555"/>
    </row>
    <row r="961">
      <c r="A961" s="723"/>
      <c r="AG961" s="555"/>
    </row>
    <row r="962">
      <c r="A962" s="723"/>
      <c r="AG962" s="555"/>
    </row>
    <row r="963">
      <c r="A963" s="723"/>
      <c r="AG963" s="555"/>
    </row>
    <row r="964">
      <c r="A964" s="723"/>
      <c r="AG964" s="555"/>
    </row>
    <row r="965">
      <c r="A965" s="723"/>
      <c r="AG965" s="555"/>
    </row>
    <row r="966">
      <c r="A966" s="723"/>
      <c r="AG966" s="555"/>
    </row>
    <row r="967">
      <c r="A967" s="723"/>
      <c r="AG967" s="555"/>
    </row>
    <row r="968">
      <c r="A968" s="723"/>
      <c r="AG968" s="555"/>
    </row>
    <row r="969">
      <c r="A969" s="723"/>
      <c r="AG969" s="555"/>
    </row>
    <row r="970">
      <c r="A970" s="723"/>
      <c r="AG970" s="555"/>
    </row>
    <row r="971">
      <c r="A971" s="723"/>
      <c r="AG971" s="555"/>
    </row>
    <row r="972">
      <c r="A972" s="723"/>
      <c r="AG972" s="555"/>
    </row>
    <row r="973">
      <c r="A973" s="723"/>
      <c r="AG973" s="555"/>
    </row>
    <row r="974">
      <c r="A974" s="723"/>
      <c r="AG974" s="555"/>
    </row>
    <row r="975">
      <c r="A975" s="723"/>
      <c r="AG975" s="555"/>
    </row>
    <row r="976">
      <c r="A976" s="723"/>
      <c r="AG976" s="555"/>
    </row>
    <row r="977">
      <c r="A977" s="723"/>
      <c r="AG977" s="555"/>
    </row>
    <row r="978">
      <c r="A978" s="723"/>
      <c r="AG978" s="555"/>
    </row>
    <row r="979">
      <c r="A979" s="723"/>
      <c r="AG979" s="555"/>
    </row>
    <row r="980">
      <c r="A980" s="723"/>
      <c r="AG980" s="555"/>
    </row>
    <row r="981">
      <c r="A981" s="723"/>
      <c r="AG981" s="555"/>
    </row>
    <row r="982">
      <c r="A982" s="723"/>
      <c r="AG982" s="555"/>
    </row>
    <row r="983">
      <c r="A983" s="723"/>
      <c r="AG983" s="555"/>
    </row>
    <row r="984">
      <c r="A984" s="723"/>
      <c r="AG984" s="555"/>
    </row>
    <row r="985">
      <c r="A985" s="723"/>
      <c r="AG985" s="555"/>
    </row>
    <row r="986">
      <c r="A986" s="723"/>
      <c r="AG986" s="555"/>
    </row>
    <row r="987">
      <c r="A987" s="723"/>
      <c r="AG987" s="555"/>
    </row>
    <row r="988">
      <c r="A988" s="723"/>
      <c r="AG988" s="555"/>
    </row>
    <row r="989">
      <c r="A989" s="723"/>
      <c r="AG989" s="555"/>
    </row>
    <row r="990">
      <c r="A990" s="723"/>
      <c r="AG990" s="555"/>
    </row>
    <row r="991">
      <c r="A991" s="723"/>
      <c r="AG991" s="555"/>
    </row>
    <row r="992">
      <c r="A992" s="723"/>
      <c r="AG992" s="555"/>
    </row>
    <row r="993">
      <c r="A993" s="723"/>
      <c r="AG993" s="555"/>
    </row>
    <row r="994">
      <c r="A994" s="723"/>
      <c r="AG994" s="555"/>
    </row>
    <row r="995">
      <c r="A995" s="723"/>
      <c r="AG995" s="555"/>
    </row>
    <row r="996">
      <c r="A996" s="723"/>
      <c r="AG996" s="555"/>
    </row>
    <row r="997">
      <c r="A997" s="723"/>
      <c r="AG997" s="555"/>
    </row>
    <row r="998">
      <c r="A998" s="723"/>
      <c r="AG998" s="555"/>
    </row>
    <row r="999">
      <c r="A999" s="723"/>
      <c r="AG999" s="555"/>
    </row>
    <row r="1000">
      <c r="A1000" s="723"/>
      <c r="AG1000" s="555"/>
    </row>
    <row r="1001">
      <c r="A1001" s="723"/>
      <c r="AG1001" s="555"/>
    </row>
    <row r="1002">
      <c r="A1002" s="723"/>
      <c r="AG1002" s="555"/>
    </row>
    <row r="1003">
      <c r="A1003" s="723"/>
      <c r="AG1003" s="555"/>
    </row>
    <row r="1004">
      <c r="A1004" s="723"/>
      <c r="AG1004" s="555"/>
    </row>
    <row r="1005">
      <c r="A1005" s="723"/>
      <c r="AG1005" s="555"/>
    </row>
    <row r="1006">
      <c r="A1006" s="723"/>
      <c r="AG1006" s="555"/>
    </row>
    <row r="1007">
      <c r="A1007" s="723"/>
      <c r="AG1007" s="555"/>
    </row>
    <row r="1008">
      <c r="A1008" s="723"/>
      <c r="AG1008" s="555"/>
    </row>
    <row r="1009">
      <c r="A1009" s="723"/>
      <c r="AG1009" s="555"/>
    </row>
    <row r="1010">
      <c r="A1010" s="723"/>
      <c r="AG1010" s="555"/>
    </row>
    <row r="1011">
      <c r="A1011" s="723"/>
      <c r="AG1011" s="555"/>
    </row>
    <row r="1012">
      <c r="A1012" s="723"/>
      <c r="AG1012" s="555"/>
    </row>
    <row r="1013">
      <c r="A1013" s="723"/>
      <c r="AG1013" s="555"/>
    </row>
    <row r="1014">
      <c r="A1014" s="723"/>
      <c r="AG1014" s="555"/>
    </row>
    <row r="1015">
      <c r="A1015" s="723"/>
      <c r="AG1015" s="555"/>
    </row>
    <row r="1016">
      <c r="A1016" s="723"/>
      <c r="AG1016" s="555"/>
    </row>
    <row r="1017">
      <c r="A1017" s="723"/>
      <c r="AG1017" s="555"/>
    </row>
    <row r="1018">
      <c r="A1018" s="723"/>
      <c r="AG1018" s="555"/>
    </row>
    <row r="1019">
      <c r="A1019" s="723"/>
      <c r="AG1019" s="555"/>
    </row>
    <row r="1020">
      <c r="A1020" s="723"/>
      <c r="AG1020" s="555"/>
    </row>
    <row r="1021">
      <c r="A1021" s="723"/>
      <c r="AG1021" s="555"/>
    </row>
    <row r="1022">
      <c r="A1022" s="723"/>
      <c r="AG1022" s="555"/>
    </row>
    <row r="1023">
      <c r="A1023" s="723"/>
      <c r="AG1023" s="555"/>
    </row>
    <row r="1024">
      <c r="A1024" s="723"/>
      <c r="AG1024" s="555"/>
    </row>
    <row r="1025">
      <c r="A1025" s="723"/>
      <c r="AG1025" s="555"/>
    </row>
    <row r="1026">
      <c r="A1026" s="723"/>
      <c r="AG1026" s="555"/>
    </row>
    <row r="1027">
      <c r="A1027" s="723"/>
      <c r="AG1027" s="555"/>
    </row>
    <row r="1028">
      <c r="A1028" s="723"/>
      <c r="AG1028" s="555"/>
    </row>
    <row r="1029">
      <c r="A1029" s="723"/>
      <c r="AG1029" s="555"/>
    </row>
    <row r="1030">
      <c r="A1030" s="723"/>
      <c r="AG1030" s="555"/>
    </row>
    <row r="1031">
      <c r="A1031" s="723"/>
      <c r="AG1031" s="555"/>
    </row>
    <row r="1032">
      <c r="A1032" s="723"/>
      <c r="AG1032" s="555"/>
    </row>
    <row r="1033">
      <c r="A1033" s="723"/>
      <c r="AG1033" s="555"/>
    </row>
    <row r="1034">
      <c r="A1034" s="723"/>
      <c r="AG1034" s="555"/>
    </row>
    <row r="1035">
      <c r="A1035" s="723"/>
      <c r="AG1035" s="555"/>
    </row>
    <row r="1036">
      <c r="A1036" s="723"/>
      <c r="AG1036" s="555"/>
    </row>
    <row r="1037">
      <c r="A1037" s="723"/>
      <c r="AG1037" s="555"/>
    </row>
    <row r="1038">
      <c r="A1038" s="723"/>
      <c r="AG1038" s="555"/>
    </row>
    <row r="1039">
      <c r="A1039" s="723"/>
      <c r="AG1039" s="555"/>
    </row>
    <row r="1040">
      <c r="A1040" s="723"/>
      <c r="AG1040" s="555"/>
    </row>
    <row r="1041">
      <c r="A1041" s="723"/>
      <c r="AG1041" s="555"/>
    </row>
    <row r="1042">
      <c r="A1042" s="723"/>
      <c r="AG1042" s="555"/>
    </row>
    <row r="1043">
      <c r="A1043" s="723"/>
      <c r="AG1043" s="555"/>
    </row>
    <row r="1044">
      <c r="A1044" s="723"/>
      <c r="AG1044" s="555"/>
    </row>
    <row r="1045">
      <c r="A1045" s="723"/>
      <c r="AG1045" s="555"/>
    </row>
    <row r="1046">
      <c r="A1046" s="723"/>
      <c r="AG1046" s="555"/>
    </row>
    <row r="1047">
      <c r="A1047" s="723"/>
      <c r="AG1047" s="555"/>
    </row>
    <row r="1048">
      <c r="A1048" s="723"/>
      <c r="AG1048" s="555"/>
    </row>
    <row r="1049">
      <c r="A1049" s="723"/>
      <c r="AG1049" s="555"/>
    </row>
    <row r="1050">
      <c r="A1050" s="723"/>
      <c r="AG1050" s="555"/>
    </row>
    <row r="1051">
      <c r="A1051" s="723"/>
      <c r="AG1051" s="555"/>
    </row>
    <row r="1052">
      <c r="A1052" s="723"/>
      <c r="AG1052" s="555"/>
    </row>
    <row r="1053">
      <c r="A1053" s="723"/>
      <c r="AG1053" s="555"/>
    </row>
    <row r="1054">
      <c r="A1054" s="723"/>
      <c r="AG1054" s="555"/>
    </row>
    <row r="1055">
      <c r="A1055" s="723"/>
      <c r="AG1055" s="555"/>
    </row>
    <row r="1056">
      <c r="A1056" s="723"/>
      <c r="AG1056" s="555"/>
    </row>
    <row r="1057">
      <c r="A1057" s="723"/>
      <c r="AG1057" s="555"/>
    </row>
    <row r="1058">
      <c r="A1058" s="723"/>
      <c r="AG1058" s="555"/>
    </row>
    <row r="1059">
      <c r="A1059" s="723"/>
      <c r="AG1059" s="555"/>
    </row>
    <row r="1060">
      <c r="A1060" s="723"/>
      <c r="AG1060" s="555"/>
    </row>
    <row r="1061">
      <c r="A1061" s="723"/>
      <c r="AG1061" s="555"/>
    </row>
    <row r="1062">
      <c r="A1062" s="723"/>
      <c r="AG1062" s="555"/>
    </row>
    <row r="1063">
      <c r="A1063" s="723"/>
      <c r="AG1063" s="555"/>
    </row>
    <row r="1064">
      <c r="A1064" s="723"/>
      <c r="AG1064" s="555"/>
    </row>
    <row r="1065">
      <c r="A1065" s="723"/>
      <c r="AG1065" s="555"/>
    </row>
    <row r="1066">
      <c r="A1066" s="723"/>
      <c r="AG1066" s="555"/>
    </row>
    <row r="1067">
      <c r="A1067" s="723"/>
      <c r="AG1067" s="555"/>
    </row>
    <row r="1068">
      <c r="A1068" s="723"/>
      <c r="AG1068" s="555"/>
    </row>
    <row r="1069">
      <c r="A1069" s="723"/>
      <c r="AG1069" s="555"/>
    </row>
    <row r="1070">
      <c r="A1070" s="723"/>
      <c r="AG1070" s="555"/>
    </row>
    <row r="1071">
      <c r="A1071" s="723"/>
      <c r="AG1071" s="555"/>
    </row>
    <row r="1072">
      <c r="A1072" s="723"/>
      <c r="AG1072" s="555"/>
    </row>
    <row r="1073">
      <c r="A1073" s="723"/>
      <c r="AG1073" s="555"/>
    </row>
    <row r="1074">
      <c r="A1074" s="723"/>
      <c r="AG1074" s="555"/>
    </row>
    <row r="1075">
      <c r="A1075" s="723"/>
      <c r="AG1075" s="555"/>
    </row>
    <row r="1076">
      <c r="A1076" s="723"/>
      <c r="AG1076" s="555"/>
    </row>
    <row r="1077">
      <c r="A1077" s="723"/>
      <c r="AG1077" s="555"/>
    </row>
    <row r="1078">
      <c r="A1078" s="723"/>
      <c r="AG1078" s="555"/>
    </row>
    <row r="1079">
      <c r="A1079" s="723"/>
      <c r="AG1079" s="555"/>
    </row>
    <row r="1080">
      <c r="A1080" s="723"/>
      <c r="AG1080" s="555"/>
    </row>
    <row r="1081">
      <c r="A1081" s="723"/>
      <c r="AG1081" s="555"/>
    </row>
    <row r="1082">
      <c r="A1082" s="723"/>
      <c r="AG1082" s="555"/>
    </row>
    <row r="1083">
      <c r="A1083" s="723"/>
      <c r="AG1083" s="555"/>
    </row>
    <row r="1084">
      <c r="A1084" s="723"/>
      <c r="AG1084" s="555"/>
    </row>
    <row r="1085">
      <c r="A1085" s="723"/>
      <c r="AG1085" s="555"/>
    </row>
    <row r="1086">
      <c r="A1086" s="723"/>
      <c r="AG1086" s="555"/>
    </row>
    <row r="1087">
      <c r="A1087" s="723"/>
      <c r="AG1087" s="555"/>
    </row>
    <row r="1088">
      <c r="A1088" s="723"/>
      <c r="AG1088" s="555"/>
    </row>
    <row r="1089">
      <c r="A1089" s="723"/>
      <c r="AG1089" s="555"/>
    </row>
    <row r="1090">
      <c r="A1090" s="723"/>
      <c r="AG1090" s="555"/>
    </row>
    <row r="1091">
      <c r="A1091" s="723"/>
      <c r="AG1091" s="555"/>
    </row>
    <row r="1092">
      <c r="A1092" s="723"/>
      <c r="AG1092" s="555"/>
    </row>
    <row r="1093">
      <c r="A1093" s="723"/>
      <c r="AG1093" s="555"/>
    </row>
    <row r="1094">
      <c r="A1094" s="723"/>
      <c r="AG1094" s="555"/>
    </row>
    <row r="1095">
      <c r="A1095" s="723"/>
      <c r="AG1095" s="555"/>
    </row>
    <row r="1096">
      <c r="A1096" s="723"/>
      <c r="AG1096" s="555"/>
    </row>
    <row r="1097">
      <c r="A1097" s="723"/>
      <c r="AG1097" s="555"/>
    </row>
    <row r="1098">
      <c r="A1098" s="723"/>
      <c r="AG1098" s="555"/>
    </row>
    <row r="1099">
      <c r="A1099" s="723"/>
      <c r="AG1099" s="555"/>
    </row>
    <row r="1100">
      <c r="A1100" s="723"/>
      <c r="AG1100" s="555"/>
    </row>
    <row r="1101">
      <c r="A1101" s="723"/>
      <c r="AG1101" s="555"/>
    </row>
    <row r="1102">
      <c r="A1102" s="723"/>
      <c r="AG1102" s="555"/>
    </row>
    <row r="1103">
      <c r="A1103" s="723"/>
      <c r="AG1103" s="555"/>
    </row>
    <row r="1104">
      <c r="A1104" s="723"/>
      <c r="AG1104" s="555"/>
    </row>
    <row r="1105">
      <c r="A1105" s="723"/>
      <c r="AG1105" s="555"/>
    </row>
    <row r="1106">
      <c r="A1106" s="723"/>
      <c r="AG1106" s="555"/>
    </row>
    <row r="1107">
      <c r="A1107" s="723"/>
      <c r="AG1107" s="555"/>
    </row>
    <row r="1108">
      <c r="A1108" s="723"/>
      <c r="AG1108" s="555"/>
    </row>
    <row r="1109">
      <c r="A1109" s="723"/>
      <c r="AG1109" s="555"/>
    </row>
    <row r="1110">
      <c r="A1110" s="723"/>
      <c r="AG1110" s="555"/>
    </row>
    <row r="1111">
      <c r="A1111" s="723"/>
      <c r="AG1111" s="555"/>
    </row>
    <row r="1112">
      <c r="A1112" s="723"/>
      <c r="AG1112" s="555"/>
    </row>
    <row r="1113">
      <c r="A1113" s="723"/>
      <c r="AG1113" s="555"/>
    </row>
    <row r="1114">
      <c r="A1114" s="723"/>
      <c r="AG1114" s="555"/>
    </row>
    <row r="1115">
      <c r="A1115" s="723"/>
      <c r="AG1115" s="555"/>
    </row>
    <row r="1116">
      <c r="A1116" s="723"/>
      <c r="AG1116" s="555"/>
    </row>
    <row r="1117">
      <c r="A1117" s="723"/>
      <c r="AG1117" s="555"/>
    </row>
    <row r="1118">
      <c r="A1118" s="723"/>
      <c r="AG1118" s="555"/>
    </row>
    <row r="1119">
      <c r="A1119" s="723"/>
      <c r="AG1119" s="555"/>
    </row>
    <row r="1120">
      <c r="A1120" s="723"/>
      <c r="AG1120" s="555"/>
    </row>
    <row r="1121">
      <c r="A1121" s="723"/>
      <c r="AG1121" s="555"/>
    </row>
    <row r="1122">
      <c r="A1122" s="723"/>
      <c r="AG1122" s="555"/>
    </row>
    <row r="1123">
      <c r="A1123" s="723"/>
      <c r="AG1123" s="555"/>
    </row>
    <row r="1124">
      <c r="A1124" s="723"/>
      <c r="AG1124" s="555"/>
    </row>
    <row r="1125">
      <c r="A1125" s="723"/>
      <c r="AG1125" s="555"/>
    </row>
    <row r="1126">
      <c r="A1126" s="723"/>
      <c r="AG1126" s="555"/>
    </row>
    <row r="1127">
      <c r="A1127" s="723"/>
      <c r="AG1127" s="555"/>
    </row>
    <row r="1128">
      <c r="A1128" s="723"/>
      <c r="AG1128" s="555"/>
    </row>
    <row r="1129">
      <c r="A1129" s="723"/>
      <c r="AG1129" s="555"/>
    </row>
    <row r="1130">
      <c r="A1130" s="723"/>
      <c r="AG1130" s="555"/>
    </row>
    <row r="1131">
      <c r="A1131" s="723"/>
      <c r="AG1131" s="555"/>
    </row>
    <row r="1132">
      <c r="A1132" s="723"/>
      <c r="AG1132" s="555"/>
    </row>
    <row r="1133">
      <c r="A1133" s="723"/>
      <c r="AG1133" s="555"/>
    </row>
    <row r="1134">
      <c r="A1134" s="723"/>
      <c r="AG1134" s="555"/>
    </row>
    <row r="1135">
      <c r="A1135" s="723"/>
      <c r="AG1135" s="555"/>
    </row>
    <row r="1136">
      <c r="A1136" s="723"/>
      <c r="AG1136" s="555"/>
    </row>
    <row r="1137">
      <c r="A1137" s="723"/>
      <c r="AG1137" s="555"/>
    </row>
    <row r="1138">
      <c r="A1138" s="723"/>
      <c r="AG1138" s="555"/>
    </row>
    <row r="1139">
      <c r="A1139" s="723"/>
      <c r="AG1139" s="555"/>
    </row>
    <row r="1140">
      <c r="A1140" s="723"/>
      <c r="AG1140" s="555"/>
    </row>
    <row r="1141">
      <c r="A1141" s="723"/>
      <c r="AG1141" s="555"/>
    </row>
    <row r="1142">
      <c r="A1142" s="723"/>
      <c r="AG1142" s="555"/>
    </row>
    <row r="1143">
      <c r="A1143" s="723"/>
      <c r="AG1143" s="555"/>
    </row>
    <row r="1144">
      <c r="A1144" s="723"/>
      <c r="AG1144" s="555"/>
    </row>
    <row r="1145">
      <c r="A1145" s="723"/>
      <c r="AG1145" s="555"/>
    </row>
    <row r="1146">
      <c r="A1146" s="723"/>
      <c r="AG1146" s="555"/>
    </row>
    <row r="1147">
      <c r="A1147" s="723"/>
      <c r="AG1147" s="555"/>
    </row>
    <row r="1148">
      <c r="A1148" s="723"/>
      <c r="AG1148" s="555"/>
    </row>
    <row r="1149">
      <c r="A1149" s="723"/>
      <c r="AG1149" s="555"/>
    </row>
    <row r="1150">
      <c r="A1150" s="723"/>
      <c r="AG1150" s="555"/>
    </row>
    <row r="1151">
      <c r="A1151" s="723"/>
      <c r="AG1151" s="555"/>
    </row>
    <row r="1152">
      <c r="A1152" s="723"/>
      <c r="AG1152" s="555"/>
    </row>
    <row r="1153">
      <c r="A1153" s="723"/>
      <c r="AG1153" s="555"/>
    </row>
    <row r="1154">
      <c r="A1154" s="723"/>
      <c r="AG1154" s="555"/>
    </row>
    <row r="1155">
      <c r="A1155" s="723"/>
      <c r="AG1155" s="555"/>
    </row>
    <row r="1156">
      <c r="A1156" s="723"/>
      <c r="AG1156" s="555"/>
    </row>
    <row r="1157">
      <c r="A1157" s="723"/>
      <c r="AG1157" s="555"/>
    </row>
    <row r="1158">
      <c r="A1158" s="723"/>
      <c r="AG1158" s="555"/>
    </row>
    <row r="1159">
      <c r="A1159" s="723"/>
      <c r="AG1159" s="555"/>
    </row>
    <row r="1160">
      <c r="A1160" s="723"/>
      <c r="AG1160" s="555"/>
    </row>
    <row r="1161">
      <c r="A1161" s="723"/>
      <c r="AG1161" s="555"/>
    </row>
    <row r="1162">
      <c r="A1162" s="723"/>
      <c r="AG1162" s="555"/>
    </row>
    <row r="1163">
      <c r="A1163" s="723"/>
      <c r="AG1163" s="555"/>
    </row>
    <row r="1164">
      <c r="A1164" s="723"/>
      <c r="AG1164" s="555"/>
    </row>
    <row r="1165">
      <c r="A1165" s="723"/>
      <c r="AG1165" s="555"/>
    </row>
    <row r="1166">
      <c r="A1166" s="723"/>
      <c r="AG1166" s="555"/>
    </row>
    <row r="1167">
      <c r="A1167" s="723"/>
      <c r="AG1167" s="555"/>
    </row>
    <row r="1168">
      <c r="A1168" s="723"/>
      <c r="AG1168" s="555"/>
    </row>
    <row r="1169">
      <c r="A1169" s="723"/>
      <c r="AG1169" s="555"/>
    </row>
    <row r="1170">
      <c r="A1170" s="723"/>
      <c r="AG1170" s="555"/>
    </row>
    <row r="1171">
      <c r="A1171" s="723"/>
      <c r="AG1171" s="555"/>
    </row>
    <row r="1172">
      <c r="A1172" s="723"/>
      <c r="AG1172" s="555"/>
    </row>
    <row r="1173">
      <c r="A1173" s="723"/>
      <c r="AG1173" s="555"/>
    </row>
    <row r="1174">
      <c r="A1174" s="723"/>
      <c r="AG1174" s="555"/>
    </row>
    <row r="1175">
      <c r="A1175" s="723"/>
      <c r="AG1175" s="555"/>
    </row>
    <row r="1176">
      <c r="A1176" s="723"/>
      <c r="AG1176" s="555"/>
    </row>
    <row r="1177">
      <c r="A1177" s="723"/>
      <c r="AG1177" s="555"/>
    </row>
    <row r="1178">
      <c r="A1178" s="723"/>
      <c r="AG1178" s="555"/>
    </row>
    <row r="1179">
      <c r="A1179" s="723"/>
      <c r="AG1179" s="555"/>
    </row>
    <row r="1180">
      <c r="A1180" s="723"/>
      <c r="AG1180" s="555"/>
    </row>
    <row r="1181">
      <c r="A1181" s="723"/>
      <c r="AG1181" s="555"/>
    </row>
    <row r="1182">
      <c r="A1182" s="723"/>
      <c r="AG1182" s="555"/>
    </row>
    <row r="1183">
      <c r="A1183" s="723"/>
      <c r="AG1183" s="555"/>
    </row>
    <row r="1184">
      <c r="A1184" s="723"/>
      <c r="AG1184" s="555"/>
    </row>
    <row r="1185">
      <c r="A1185" s="723"/>
      <c r="AG1185" s="555"/>
    </row>
    <row r="1186">
      <c r="A1186" s="723"/>
      <c r="AG1186" s="555"/>
    </row>
    <row r="1187">
      <c r="A1187" s="723"/>
      <c r="AG1187" s="555"/>
    </row>
    <row r="1188">
      <c r="A1188" s="723"/>
      <c r="AG1188" s="555"/>
    </row>
    <row r="1189">
      <c r="A1189" s="723"/>
      <c r="AG1189" s="555"/>
    </row>
    <row r="1190">
      <c r="A1190" s="723"/>
      <c r="AG1190" s="555"/>
    </row>
    <row r="1191">
      <c r="A1191" s="723"/>
      <c r="AG1191" s="555"/>
    </row>
    <row r="1192">
      <c r="A1192" s="723"/>
      <c r="AG1192" s="555"/>
    </row>
    <row r="1193">
      <c r="A1193" s="723"/>
      <c r="AG1193" s="555"/>
    </row>
    <row r="1194">
      <c r="A1194" s="723"/>
      <c r="AG1194" s="555"/>
    </row>
    <row r="1195">
      <c r="A1195" s="723"/>
      <c r="AG1195" s="555"/>
    </row>
    <row r="1196">
      <c r="A1196" s="723"/>
      <c r="AG1196" s="555"/>
    </row>
    <row r="1197">
      <c r="A1197" s="723"/>
      <c r="AG1197" s="555"/>
    </row>
    <row r="1198">
      <c r="A1198" s="723"/>
      <c r="AG1198" s="555"/>
    </row>
    <row r="1199">
      <c r="A1199" s="723"/>
      <c r="AG1199" s="555"/>
    </row>
    <row r="1200">
      <c r="A1200" s="723"/>
      <c r="AG1200" s="555"/>
    </row>
    <row r="1201">
      <c r="A1201" s="723"/>
      <c r="AG1201" s="555"/>
    </row>
    <row r="1202">
      <c r="A1202" s="723"/>
      <c r="AG1202" s="555"/>
    </row>
    <row r="1203">
      <c r="A1203" s="723"/>
      <c r="AG1203" s="555"/>
    </row>
    <row r="1204">
      <c r="A1204" s="723"/>
      <c r="AG1204" s="555"/>
    </row>
    <row r="1205">
      <c r="A1205" s="723"/>
      <c r="AG1205" s="555"/>
    </row>
    <row r="1206">
      <c r="A1206" s="723"/>
      <c r="AG1206" s="555"/>
    </row>
    <row r="1207">
      <c r="A1207" s="723"/>
      <c r="AG1207" s="555"/>
    </row>
    <row r="1208">
      <c r="A1208" s="723"/>
      <c r="AG1208" s="555"/>
    </row>
    <row r="1209">
      <c r="A1209" s="723"/>
      <c r="AG1209" s="555"/>
    </row>
    <row r="1210">
      <c r="A1210" s="723"/>
      <c r="AG1210" s="555"/>
    </row>
    <row r="1211">
      <c r="A1211" s="723"/>
      <c r="AG1211" s="555"/>
    </row>
    <row r="1212">
      <c r="A1212" s="723"/>
      <c r="AG1212" s="555"/>
    </row>
    <row r="1213">
      <c r="A1213" s="723"/>
      <c r="AG1213" s="555"/>
    </row>
    <row r="1214">
      <c r="A1214" s="723"/>
      <c r="AG1214" s="555"/>
    </row>
    <row r="1215">
      <c r="A1215" s="723"/>
      <c r="AG1215" s="555"/>
    </row>
    <row r="1216">
      <c r="A1216" s="723"/>
      <c r="AG1216" s="555"/>
    </row>
    <row r="1217">
      <c r="A1217" s="723"/>
      <c r="AG1217" s="555"/>
    </row>
    <row r="1218">
      <c r="A1218" s="723"/>
      <c r="AG1218" s="555"/>
    </row>
    <row r="1219">
      <c r="A1219" s="723"/>
      <c r="AG1219" s="555"/>
    </row>
    <row r="1220">
      <c r="A1220" s="723"/>
      <c r="AG1220" s="555"/>
    </row>
    <row r="1221">
      <c r="A1221" s="723"/>
      <c r="AG1221" s="555"/>
    </row>
    <row r="1222">
      <c r="A1222" s="723"/>
      <c r="AG1222" s="555"/>
    </row>
    <row r="1223">
      <c r="A1223" s="723"/>
      <c r="AG1223" s="555"/>
    </row>
    <row r="1224">
      <c r="A1224" s="723"/>
      <c r="AG1224" s="555"/>
    </row>
    <row r="1225">
      <c r="A1225" s="723"/>
      <c r="AG1225" s="555"/>
    </row>
    <row r="1226">
      <c r="A1226" s="723"/>
      <c r="AG1226" s="555"/>
    </row>
    <row r="1227">
      <c r="A1227" s="723"/>
      <c r="AG1227" s="555"/>
    </row>
    <row r="1228">
      <c r="A1228" s="723"/>
      <c r="AG1228" s="555"/>
    </row>
    <row r="1229">
      <c r="A1229" s="723"/>
      <c r="AG1229" s="555"/>
    </row>
    <row r="1230">
      <c r="A1230" s="723"/>
      <c r="AG1230" s="555"/>
    </row>
    <row r="1231">
      <c r="A1231" s="723"/>
      <c r="AG1231" s="555"/>
    </row>
    <row r="1232">
      <c r="A1232" s="723"/>
      <c r="AG1232" s="555"/>
    </row>
    <row r="1233">
      <c r="A1233" s="723"/>
      <c r="AG1233" s="555"/>
    </row>
    <row r="1234">
      <c r="A1234" s="723"/>
      <c r="AG1234" s="555"/>
    </row>
    <row r="1235">
      <c r="A1235" s="723"/>
      <c r="AG1235" s="555"/>
    </row>
    <row r="1236">
      <c r="A1236" s="723"/>
      <c r="AG1236" s="555"/>
    </row>
    <row r="1237">
      <c r="A1237" s="723"/>
      <c r="AG1237" s="555"/>
    </row>
    <row r="1238">
      <c r="A1238" s="723"/>
      <c r="AG1238" s="555"/>
    </row>
  </sheetData>
  <conditionalFormatting sqref="B664:AF664">
    <cfRule type="cellIs" dxfId="2" priority="1" operator="lessThan">
      <formula>0</formula>
    </cfRule>
  </conditionalFormatting>
  <conditionalFormatting sqref="B664:AF664">
    <cfRule type="cellIs" dxfId="3" priority="2" operator="greaterThan">
      <formula>0</formula>
    </cfRule>
  </conditionalFormatting>
  <conditionalFormatting sqref="B568:AF568">
    <cfRule type="colorScale" priority="3">
      <colorScale>
        <cfvo type="min"/>
        <cfvo type="max"/>
        <color rgb="FFFFFFFF"/>
        <color rgb="FFE67C73"/>
      </colorScale>
    </cfRule>
  </conditionalFormatting>
  <conditionalFormatting sqref="B63:AF63 B75:AF75 B112:AF112 B115:AF115">
    <cfRule type="cellIs" dxfId="2" priority="4" operator="lessThan">
      <formula>0</formula>
    </cfRule>
  </conditionalFormatting>
  <conditionalFormatting sqref="B63:AF63 B75:AF75 B112:AF112 B115:AF115">
    <cfRule type="cellIs" dxfId="3" priority="5" operator="greaterThan">
      <formula>0</formula>
    </cfRule>
  </conditionalFormatting>
  <conditionalFormatting sqref="B81:AF81 B87:AF87 B112:AF112 B115:AF115">
    <cfRule type="cellIs" dxfId="3" priority="6" operator="greaterThan">
      <formula>0</formula>
    </cfRule>
  </conditionalFormatting>
  <conditionalFormatting sqref="B81:AF81 B87:AF87 B112:AF112 B115:AF115">
    <cfRule type="cellIs" dxfId="2" priority="7" operator="lessThan">
      <formula>0</formula>
    </cfRule>
  </conditionalFormatting>
  <conditionalFormatting sqref="B57:AF57">
    <cfRule type="cellIs" dxfId="3" priority="8" operator="greaterThan">
      <formula>0</formula>
    </cfRule>
  </conditionalFormatting>
  <conditionalFormatting sqref="B57:AF57">
    <cfRule type="cellIs" dxfId="2" priority="9" operator="lessThan">
      <formula>0</formula>
    </cfRule>
  </conditionalFormatting>
  <conditionalFormatting sqref="B667:AF667">
    <cfRule type="colorScale" priority="10">
      <colorScale>
        <cfvo type="min"/>
        <cfvo type="max"/>
        <color rgb="FFFFFFFF"/>
        <color rgb="FF57BB8A"/>
      </colorScale>
    </cfRule>
  </conditionalFormatting>
  <conditionalFormatting sqref="B669:AF669">
    <cfRule type="colorScale" priority="11">
      <colorScale>
        <cfvo type="min"/>
        <cfvo type="max"/>
        <color rgb="FFFFFFFF"/>
        <color rgb="FF57BB8A"/>
      </colorScale>
    </cfRule>
  </conditionalFormatting>
  <conditionalFormatting sqref="A58">
    <cfRule type="cellIs" dxfId="4" priority="12" operator="greaterThan">
      <formula>0</formula>
    </cfRule>
  </conditionalFormatting>
  <conditionalFormatting sqref="A58">
    <cfRule type="cellIs" dxfId="2" priority="13" operator="lessThan">
      <formula>0</formula>
    </cfRule>
  </conditionalFormatting>
  <conditionalFormatting sqref="B69:AF69 R91">
    <cfRule type="cellIs" dxfId="3" priority="14" operator="greaterThan">
      <formula>0</formula>
    </cfRule>
  </conditionalFormatting>
  <conditionalFormatting sqref="B69:AF69 R91">
    <cfRule type="cellIs" dxfId="2" priority="15" operator="lessThan">
      <formula>0</formula>
    </cfRule>
  </conditionalFormatting>
  <conditionalFormatting sqref="A665">
    <cfRule type="cellIs" dxfId="0" priority="16" operator="greaterThan">
      <formula>0</formula>
    </cfRule>
  </conditionalFormatting>
  <conditionalFormatting sqref="A665">
    <cfRule type="cellIs" dxfId="5" priority="17" operator="lessThan">
      <formula>0</formula>
    </cfRule>
  </conditionalFormatting>
  <conditionalFormatting sqref="B601:AF602 AE622:AF622">
    <cfRule type="colorScale" priority="18">
      <colorScale>
        <cfvo type="min"/>
        <cfvo type="max"/>
        <color rgb="FFFFFFFF"/>
        <color rgb="FFE67C73"/>
      </colorScale>
    </cfRule>
  </conditionalFormatting>
  <conditionalFormatting sqref="B603:AF603">
    <cfRule type="colorScale" priority="19">
      <colorScale>
        <cfvo type="min"/>
        <cfvo type="max"/>
        <color rgb="FFFFFFFF"/>
        <color rgb="FFE67C73"/>
      </colorScale>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1" width="16.13"/>
    <col customWidth="1" min="32" max="33" width="16.25"/>
  </cols>
  <sheetData>
    <row r="1">
      <c r="A1" s="2" t="s">
        <v>891</v>
      </c>
      <c r="B1" s="4">
        <v>45231.0</v>
      </c>
      <c r="C1" s="4">
        <v>45232.0</v>
      </c>
      <c r="D1" s="4">
        <v>45233.0</v>
      </c>
      <c r="E1" s="4">
        <v>45234.0</v>
      </c>
      <c r="F1" s="4">
        <v>45235.0</v>
      </c>
      <c r="G1" s="4">
        <v>45236.0</v>
      </c>
      <c r="H1" s="4">
        <v>45237.0</v>
      </c>
      <c r="I1" s="4">
        <v>45238.0</v>
      </c>
      <c r="J1" s="4">
        <v>45239.0</v>
      </c>
      <c r="K1" s="4">
        <v>45240.0</v>
      </c>
      <c r="L1" s="4">
        <v>45241.0</v>
      </c>
      <c r="M1" s="4">
        <v>45242.0</v>
      </c>
      <c r="N1" s="4">
        <v>45243.0</v>
      </c>
      <c r="O1" s="4">
        <v>45244.0</v>
      </c>
      <c r="P1" s="4">
        <v>45245.0</v>
      </c>
      <c r="Q1" s="4">
        <v>45246.0</v>
      </c>
      <c r="R1" s="4">
        <v>45247.0</v>
      </c>
      <c r="S1" s="4">
        <v>45248.0</v>
      </c>
      <c r="T1" s="4">
        <v>45249.0</v>
      </c>
      <c r="U1" s="4">
        <v>45250.0</v>
      </c>
      <c r="V1" s="4">
        <v>45251.0</v>
      </c>
      <c r="W1" s="4">
        <v>45252.0</v>
      </c>
      <c r="X1" s="4">
        <v>45253.0</v>
      </c>
      <c r="Y1" s="4">
        <v>45254.0</v>
      </c>
      <c r="Z1" s="4">
        <v>45255.0</v>
      </c>
      <c r="AA1" s="4">
        <v>45256.0</v>
      </c>
      <c r="AB1" s="4">
        <v>45257.0</v>
      </c>
      <c r="AC1" s="4">
        <v>45258.0</v>
      </c>
      <c r="AD1" s="4">
        <v>45259.0</v>
      </c>
      <c r="AE1" s="4">
        <v>45260.0</v>
      </c>
      <c r="AF1" s="4"/>
      <c r="AG1" s="576"/>
    </row>
    <row r="2">
      <c r="A2" s="72" t="s">
        <v>43</v>
      </c>
      <c r="B2" s="8" t="s">
        <v>44</v>
      </c>
      <c r="C2" s="8" t="s">
        <v>45</v>
      </c>
      <c r="D2" s="8" t="s">
        <v>46</v>
      </c>
      <c r="E2" s="8" t="s">
        <v>47</v>
      </c>
      <c r="F2" s="8" t="s">
        <v>48</v>
      </c>
      <c r="G2" s="8" t="s">
        <v>49</v>
      </c>
      <c r="H2" s="8" t="s">
        <v>50</v>
      </c>
      <c r="I2" s="8" t="s">
        <v>44</v>
      </c>
      <c r="J2" s="8" t="s">
        <v>45</v>
      </c>
      <c r="K2" s="8" t="s">
        <v>46</v>
      </c>
      <c r="L2" s="8" t="s">
        <v>47</v>
      </c>
      <c r="M2" s="8" t="s">
        <v>48</v>
      </c>
      <c r="N2" s="8" t="s">
        <v>49</v>
      </c>
      <c r="O2" s="8" t="s">
        <v>50</v>
      </c>
      <c r="P2" s="8" t="s">
        <v>44</v>
      </c>
      <c r="Q2" s="8" t="s">
        <v>45</v>
      </c>
      <c r="R2" s="8" t="s">
        <v>46</v>
      </c>
      <c r="S2" s="8" t="s">
        <v>47</v>
      </c>
      <c r="T2" s="8" t="s">
        <v>48</v>
      </c>
      <c r="U2" s="8" t="s">
        <v>49</v>
      </c>
      <c r="V2" s="8" t="s">
        <v>50</v>
      </c>
      <c r="W2" s="8" t="s">
        <v>44</v>
      </c>
      <c r="X2" s="8" t="s">
        <v>45</v>
      </c>
      <c r="Y2" s="8" t="s">
        <v>46</v>
      </c>
      <c r="Z2" s="8" t="s">
        <v>47</v>
      </c>
      <c r="AA2" s="8" t="s">
        <v>48</v>
      </c>
      <c r="AB2" s="8" t="s">
        <v>49</v>
      </c>
      <c r="AC2" s="8" t="s">
        <v>50</v>
      </c>
      <c r="AD2" s="8" t="s">
        <v>44</v>
      </c>
      <c r="AE2" s="8" t="s">
        <v>45</v>
      </c>
      <c r="AF2" s="8"/>
      <c r="AG2" s="576"/>
    </row>
    <row r="3">
      <c r="A3" s="577" t="s">
        <v>60</v>
      </c>
      <c r="B3" s="53"/>
      <c r="C3" s="53"/>
      <c r="D3" s="53"/>
      <c r="E3" s="53"/>
      <c r="F3" s="53"/>
      <c r="G3" s="53"/>
      <c r="H3" s="53"/>
      <c r="I3" s="53"/>
      <c r="J3" s="53"/>
      <c r="K3" s="53"/>
      <c r="L3" s="53"/>
      <c r="M3" s="53"/>
      <c r="N3" s="53"/>
      <c r="O3" s="53"/>
      <c r="P3" s="53"/>
      <c r="Q3" s="53"/>
      <c r="R3" s="53"/>
      <c r="S3" s="53"/>
      <c r="T3" s="53"/>
      <c r="U3" s="53"/>
      <c r="V3" s="53"/>
      <c r="W3" s="53"/>
      <c r="X3" s="53"/>
      <c r="Y3" s="53"/>
      <c r="Z3" s="53"/>
      <c r="AA3" s="53"/>
      <c r="AB3" s="120"/>
      <c r="AC3" s="53"/>
      <c r="AD3" s="53"/>
      <c r="AE3" s="53"/>
      <c r="AF3" s="53"/>
      <c r="AG3" s="576"/>
    </row>
    <row r="4">
      <c r="A4" s="578" t="s">
        <v>66</v>
      </c>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76"/>
    </row>
    <row r="5">
      <c r="A5" s="654" t="s">
        <v>70</v>
      </c>
      <c r="B5" s="114">
        <f>'Sales OLD'!B43</f>
        <v>49</v>
      </c>
      <c r="C5" s="114">
        <f>'Sales OLD'!C43</f>
        <v>41</v>
      </c>
      <c r="D5" s="114">
        <f>'Sales OLD'!D43</f>
        <v>55</v>
      </c>
      <c r="E5" s="53">
        <f>'Sales OLD'!E43</f>
        <v>65</v>
      </c>
      <c r="F5" s="53">
        <f>'Sales OLD'!F43</f>
        <v>73</v>
      </c>
      <c r="G5" s="53">
        <f>'Sales OLD'!G43</f>
        <v>57</v>
      </c>
      <c r="H5" s="53">
        <f>'Sales OLD'!H43</f>
        <v>48</v>
      </c>
      <c r="I5" s="53">
        <f>'Sales OLD'!I43</f>
        <v>66</v>
      </c>
      <c r="J5" s="53">
        <f>'Sales OLD'!J43</f>
        <v>119</v>
      </c>
      <c r="K5" s="53">
        <f>'Sales OLD'!K43</f>
        <v>118</v>
      </c>
      <c r="L5" s="53">
        <f>'Sales OLD'!L43</f>
        <v>177</v>
      </c>
      <c r="M5" s="53">
        <f>'Sales OLD'!M43</f>
        <v>175</v>
      </c>
      <c r="N5" s="53">
        <f>'Sales OLD'!N43</f>
        <v>152</v>
      </c>
      <c r="O5" s="53">
        <f>'Sales OLD'!O43</f>
        <v>168</v>
      </c>
      <c r="P5" s="53">
        <f>'Sales OLD'!P43</f>
        <v>189</v>
      </c>
      <c r="Q5" s="53">
        <f>'Sales OLD'!Q43</f>
        <v>204</v>
      </c>
      <c r="R5" s="53">
        <f>'Sales OLD'!R43</f>
        <v>243</v>
      </c>
      <c r="S5" s="53">
        <f>'Sales OLD'!S43</f>
        <v>282</v>
      </c>
      <c r="T5" s="53">
        <f>'Sales OLD'!T43</f>
        <v>197</v>
      </c>
      <c r="U5" s="53">
        <f>'Sales OLD'!U43</f>
        <v>509</v>
      </c>
      <c r="V5" s="53">
        <f>'Sales OLD'!V43</f>
        <v>521</v>
      </c>
      <c r="W5" s="53">
        <f>'Sales OLD'!W43</f>
        <v>579</v>
      </c>
      <c r="X5" s="53">
        <f>'Sales OLD'!X43</f>
        <v>953</v>
      </c>
      <c r="Y5" s="655">
        <f>'Sales OLD'!Y43</f>
        <v>3488</v>
      </c>
      <c r="Z5" s="655">
        <f>'Sales OLD'!Z43</f>
        <v>1165</v>
      </c>
      <c r="AA5" s="655">
        <f>'Sales OLD'!AA43</f>
        <v>1099</v>
      </c>
      <c r="AB5" s="53">
        <f>'Sales OLD'!AB43</f>
        <v>19</v>
      </c>
      <c r="AC5" s="53">
        <f>'Sales OLD'!AC43</f>
        <v>1</v>
      </c>
      <c r="AD5" s="53">
        <f>'Sales OLD'!AD43</f>
        <v>0</v>
      </c>
      <c r="AE5" s="53">
        <f>'Sales OLD'!AE43</f>
        <v>3</v>
      </c>
      <c r="AF5" s="656"/>
      <c r="AG5" s="582"/>
    </row>
    <row r="6">
      <c r="A6" s="594" t="s">
        <v>98</v>
      </c>
      <c r="B6" s="44">
        <f t="shared" ref="B6:AE6" si="1">SUM(B5)</f>
        <v>49</v>
      </c>
      <c r="C6" s="44">
        <f t="shared" si="1"/>
        <v>41</v>
      </c>
      <c r="D6" s="44">
        <f t="shared" si="1"/>
        <v>55</v>
      </c>
      <c r="E6" s="44">
        <f t="shared" si="1"/>
        <v>65</v>
      </c>
      <c r="F6" s="44">
        <f t="shared" si="1"/>
        <v>73</v>
      </c>
      <c r="G6" s="44">
        <f t="shared" si="1"/>
        <v>57</v>
      </c>
      <c r="H6" s="44">
        <f t="shared" si="1"/>
        <v>48</v>
      </c>
      <c r="I6" s="44">
        <f t="shared" si="1"/>
        <v>66</v>
      </c>
      <c r="J6" s="44">
        <f t="shared" si="1"/>
        <v>119</v>
      </c>
      <c r="K6" s="44">
        <f t="shared" si="1"/>
        <v>118</v>
      </c>
      <c r="L6" s="44">
        <f t="shared" si="1"/>
        <v>177</v>
      </c>
      <c r="M6" s="44">
        <f t="shared" si="1"/>
        <v>175</v>
      </c>
      <c r="N6" s="44">
        <f t="shared" si="1"/>
        <v>152</v>
      </c>
      <c r="O6" s="44">
        <f t="shared" si="1"/>
        <v>168</v>
      </c>
      <c r="P6" s="44">
        <f t="shared" si="1"/>
        <v>189</v>
      </c>
      <c r="Q6" s="44">
        <f t="shared" si="1"/>
        <v>204</v>
      </c>
      <c r="R6" s="44">
        <f t="shared" si="1"/>
        <v>243</v>
      </c>
      <c r="S6" s="44">
        <f t="shared" si="1"/>
        <v>282</v>
      </c>
      <c r="T6" s="44">
        <f t="shared" si="1"/>
        <v>197</v>
      </c>
      <c r="U6" s="44">
        <f t="shared" si="1"/>
        <v>509</v>
      </c>
      <c r="V6" s="44">
        <f t="shared" si="1"/>
        <v>521</v>
      </c>
      <c r="W6" s="44">
        <f t="shared" si="1"/>
        <v>579</v>
      </c>
      <c r="X6" s="44">
        <f t="shared" si="1"/>
        <v>953</v>
      </c>
      <c r="Y6" s="44">
        <f t="shared" si="1"/>
        <v>3488</v>
      </c>
      <c r="Z6" s="44">
        <f t="shared" si="1"/>
        <v>1165</v>
      </c>
      <c r="AA6" s="44">
        <f t="shared" si="1"/>
        <v>1099</v>
      </c>
      <c r="AB6" s="44">
        <f t="shared" si="1"/>
        <v>19</v>
      </c>
      <c r="AC6" s="44">
        <f t="shared" si="1"/>
        <v>1</v>
      </c>
      <c r="AD6" s="44">
        <f t="shared" si="1"/>
        <v>0</v>
      </c>
      <c r="AE6" s="44">
        <f t="shared" si="1"/>
        <v>3</v>
      </c>
      <c r="AF6" s="656"/>
      <c r="AG6" s="588">
        <f>SUM(B6:AE6)</f>
        <v>10815</v>
      </c>
    </row>
    <row r="7">
      <c r="A7" s="25"/>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656"/>
      <c r="AG7" s="582"/>
    </row>
    <row r="8">
      <c r="A8" s="595" t="s">
        <v>105</v>
      </c>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656"/>
      <c r="AG8" s="582"/>
    </row>
    <row r="9">
      <c r="A9" s="120" t="s">
        <v>70</v>
      </c>
      <c r="B9" s="248">
        <f>'Sales OLD'!B14</f>
        <v>12580</v>
      </c>
      <c r="C9" s="248">
        <f>'Sales OLD'!C14</f>
        <v>10507.85</v>
      </c>
      <c r="D9" s="248">
        <f>'Sales OLD'!D14</f>
        <v>15542.85</v>
      </c>
      <c r="E9" s="243">
        <f>'Sales OLD'!E14</f>
        <v>17880</v>
      </c>
      <c r="F9" s="243">
        <f>'Sales OLD'!F14</f>
        <v>19835.85</v>
      </c>
      <c r="G9" s="243">
        <f>'Sales OLD'!G14</f>
        <v>16025</v>
      </c>
      <c r="H9" s="243">
        <f>'Sales OLD'!H14</f>
        <v>13308.85</v>
      </c>
      <c r="I9" s="243">
        <f>'Sales OLD'!I14</f>
        <v>15064.85</v>
      </c>
      <c r="J9" s="243">
        <f>'Sales OLD'!J14</f>
        <v>32012</v>
      </c>
      <c r="K9" s="243">
        <f>'Sales OLD'!K14</f>
        <v>33438</v>
      </c>
      <c r="L9" s="243">
        <f>'Sales OLD'!L14</f>
        <v>49243.85</v>
      </c>
      <c r="M9" s="243">
        <f>'Sales OLD'!M14</f>
        <v>48555</v>
      </c>
      <c r="N9" s="243">
        <f>'Sales OLD'!N14</f>
        <v>43877</v>
      </c>
      <c r="O9" s="243">
        <f>'Sales OLD'!O14</f>
        <v>47077.85</v>
      </c>
      <c r="P9" s="243">
        <f>'Sales OLD'!P14</f>
        <v>38422.39</v>
      </c>
      <c r="Q9" s="243">
        <f>'Sales OLD'!Q14</f>
        <v>41146.2</v>
      </c>
      <c r="R9" s="243">
        <f>'Sales OLD'!R14</f>
        <v>50427.67</v>
      </c>
      <c r="S9" s="243">
        <f>'Sales OLD'!S14</f>
        <v>57317.48</v>
      </c>
      <c r="T9" s="243">
        <f>'Sales OLD'!T14</f>
        <v>39753.74</v>
      </c>
      <c r="U9" s="243">
        <f>'Sales OLD'!U14</f>
        <v>103621.99</v>
      </c>
      <c r="V9" s="243">
        <f>'Sales OLD'!V14</f>
        <v>104751.99</v>
      </c>
      <c r="W9" s="243">
        <f>'Sales OLD'!W14</f>
        <v>116035</v>
      </c>
      <c r="X9" s="243">
        <f>'Sales OLD'!X14</f>
        <v>186615</v>
      </c>
      <c r="Y9" s="243">
        <f>'Sales OLD'!Y14</f>
        <v>695815.96</v>
      </c>
      <c r="Z9" s="243">
        <f>'Sales OLD'!Z14</f>
        <v>242095</v>
      </c>
      <c r="AA9" s="243">
        <f>'Sales OLD'!AA14</f>
        <v>236839</v>
      </c>
      <c r="AB9" s="243">
        <f>'Sales OLD'!AB14</f>
        <v>4274.81</v>
      </c>
      <c r="AC9" s="243">
        <f>'Sales OLD'!AC14</f>
        <v>55</v>
      </c>
      <c r="AD9" s="243">
        <f>'Sales OLD'!AD14</f>
        <v>0</v>
      </c>
      <c r="AE9" s="243">
        <f>'Sales OLD'!AE14</f>
        <v>507</v>
      </c>
      <c r="AF9" s="656"/>
      <c r="AG9" s="582"/>
    </row>
    <row r="10">
      <c r="A10" s="594" t="s">
        <v>98</v>
      </c>
      <c r="B10" s="60">
        <f t="shared" ref="B10:AE10" si="2">SUM(B9)</f>
        <v>12580</v>
      </c>
      <c r="C10" s="60">
        <f t="shared" si="2"/>
        <v>10507.85</v>
      </c>
      <c r="D10" s="60">
        <f t="shared" si="2"/>
        <v>15542.85</v>
      </c>
      <c r="E10" s="60">
        <f t="shared" si="2"/>
        <v>17880</v>
      </c>
      <c r="F10" s="60">
        <f t="shared" si="2"/>
        <v>19835.85</v>
      </c>
      <c r="G10" s="60">
        <f t="shared" si="2"/>
        <v>16025</v>
      </c>
      <c r="H10" s="60">
        <f t="shared" si="2"/>
        <v>13308.85</v>
      </c>
      <c r="I10" s="60">
        <f t="shared" si="2"/>
        <v>15064.85</v>
      </c>
      <c r="J10" s="60">
        <f t="shared" si="2"/>
        <v>32012</v>
      </c>
      <c r="K10" s="60">
        <f t="shared" si="2"/>
        <v>33438</v>
      </c>
      <c r="L10" s="60">
        <f t="shared" si="2"/>
        <v>49243.85</v>
      </c>
      <c r="M10" s="60">
        <f t="shared" si="2"/>
        <v>48555</v>
      </c>
      <c r="N10" s="60">
        <f t="shared" si="2"/>
        <v>43877</v>
      </c>
      <c r="O10" s="60">
        <f t="shared" si="2"/>
        <v>47077.85</v>
      </c>
      <c r="P10" s="60">
        <f t="shared" si="2"/>
        <v>38422.39</v>
      </c>
      <c r="Q10" s="60">
        <f t="shared" si="2"/>
        <v>41146.2</v>
      </c>
      <c r="R10" s="60">
        <f t="shared" si="2"/>
        <v>50427.67</v>
      </c>
      <c r="S10" s="60">
        <f t="shared" si="2"/>
        <v>57317.48</v>
      </c>
      <c r="T10" s="60">
        <f t="shared" si="2"/>
        <v>39753.74</v>
      </c>
      <c r="U10" s="60">
        <f t="shared" si="2"/>
        <v>103621.99</v>
      </c>
      <c r="V10" s="60">
        <f t="shared" si="2"/>
        <v>104751.99</v>
      </c>
      <c r="W10" s="60">
        <f t="shared" si="2"/>
        <v>116035</v>
      </c>
      <c r="X10" s="60">
        <f t="shared" si="2"/>
        <v>186615</v>
      </c>
      <c r="Y10" s="60">
        <f t="shared" si="2"/>
        <v>695815.96</v>
      </c>
      <c r="Z10" s="60">
        <f t="shared" si="2"/>
        <v>242095</v>
      </c>
      <c r="AA10" s="60">
        <f t="shared" si="2"/>
        <v>236839</v>
      </c>
      <c r="AB10" s="60">
        <f t="shared" si="2"/>
        <v>4274.81</v>
      </c>
      <c r="AC10" s="60">
        <f t="shared" si="2"/>
        <v>55</v>
      </c>
      <c r="AD10" s="60">
        <f t="shared" si="2"/>
        <v>0</v>
      </c>
      <c r="AE10" s="60">
        <f t="shared" si="2"/>
        <v>507</v>
      </c>
      <c r="AF10" s="656"/>
      <c r="AG10" s="623">
        <f>SUM(B10:AE10)</f>
        <v>2292627.18</v>
      </c>
    </row>
    <row r="11">
      <c r="A11" s="25"/>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656"/>
      <c r="AG11" s="582"/>
    </row>
    <row r="12">
      <c r="A12" s="625" t="s">
        <v>111</v>
      </c>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656"/>
      <c r="AG12" s="582"/>
    </row>
    <row r="13">
      <c r="A13" s="583" t="s">
        <v>878</v>
      </c>
      <c r="B13" s="640">
        <f>'Sales OLD'!B64</f>
        <v>3342.22</v>
      </c>
      <c r="C13" s="640">
        <f>'Sales OLD'!C64</f>
        <v>3305.62</v>
      </c>
      <c r="D13" s="640">
        <f>'Sales OLD'!D64</f>
        <v>3219.49</v>
      </c>
      <c r="E13" s="243">
        <f>'Sales OLD'!E64</f>
        <v>4981.96</v>
      </c>
      <c r="F13" s="243">
        <f>'Sales OLD'!F64</f>
        <v>5362.92</v>
      </c>
      <c r="G13" s="243">
        <f>'Sales OLD'!G64</f>
        <v>4001.06</v>
      </c>
      <c r="H13" s="243">
        <f>'Sales OLD'!H64</f>
        <v>4013.79</v>
      </c>
      <c r="I13" s="243">
        <f>'Sales OLD'!I64</f>
        <v>2780.51</v>
      </c>
      <c r="J13" s="243">
        <f>'Sales OLD'!J64</f>
        <v>4409.21</v>
      </c>
      <c r="K13" s="243">
        <f>'Sales OLD'!K64</f>
        <v>4932.36</v>
      </c>
      <c r="L13" s="243">
        <f>'Sales OLD'!L64</f>
        <v>6103.31</v>
      </c>
      <c r="M13" s="243">
        <f>'Sales OLD'!M64</f>
        <v>7253.93</v>
      </c>
      <c r="N13" s="243">
        <f>'Sales OLD'!N64</f>
        <v>7237.54</v>
      </c>
      <c r="O13" s="243">
        <f>'Sales OLD'!O64</f>
        <v>6127.83</v>
      </c>
      <c r="P13" s="243">
        <f>'Sales OLD'!P64</f>
        <v>6588.6</v>
      </c>
      <c r="Q13" s="243">
        <f>'Sales OLD'!Q64</f>
        <v>8982.55</v>
      </c>
      <c r="R13" s="243">
        <f>'Sales OLD'!R64</f>
        <v>9392.78</v>
      </c>
      <c r="S13" s="243">
        <f>'Sales OLD'!S64</f>
        <v>11591.44</v>
      </c>
      <c r="T13" s="243">
        <f>'Sales OLD'!T64</f>
        <v>11126.7</v>
      </c>
      <c r="U13" s="243">
        <f>'Sales OLD'!U64</f>
        <v>17467.27</v>
      </c>
      <c r="V13" s="243">
        <f>'Sales OLD'!V64</f>
        <v>19867.53</v>
      </c>
      <c r="W13" s="243">
        <f>'Sales OLD'!W64</f>
        <v>22792.98</v>
      </c>
      <c r="X13" s="243">
        <f>'Sales OLD'!X64</f>
        <v>28816.4</v>
      </c>
      <c r="Y13" s="243">
        <f>'Sales OLD'!Y64</f>
        <v>64502.73</v>
      </c>
      <c r="Z13" s="243">
        <f>'Sales OLD'!Z64</f>
        <v>37752.85</v>
      </c>
      <c r="AA13" s="243">
        <f>'Sales OLD'!AA64</f>
        <v>37544.76</v>
      </c>
      <c r="AB13" s="243">
        <f>'Sales OLD'!AB64</f>
        <v>3627.98</v>
      </c>
      <c r="AC13" s="243">
        <f>'Sales OLD'!AC64</f>
        <v>0</v>
      </c>
      <c r="AD13" s="243">
        <f>'Sales OLD'!AD64</f>
        <v>0</v>
      </c>
      <c r="AE13" s="243">
        <f>'Sales OLD'!AE64</f>
        <v>433.94</v>
      </c>
      <c r="AF13" s="656"/>
      <c r="AG13" s="582"/>
    </row>
    <row r="14">
      <c r="A14" s="583" t="s">
        <v>879</v>
      </c>
      <c r="B14" s="629">
        <f>B9*'OLD Formulas'!$C$41</f>
        <v>1258</v>
      </c>
      <c r="C14" s="629">
        <f>C9*'OLD Formulas'!$C$41</f>
        <v>1050.785</v>
      </c>
      <c r="D14" s="629">
        <f>D9*'OLD Formulas'!$C$41</f>
        <v>1554.285</v>
      </c>
      <c r="E14" s="629">
        <f>E9*'OLD Formulas'!$C$41</f>
        <v>1788</v>
      </c>
      <c r="F14" s="629">
        <f>F9*'OLD Formulas'!$C$41</f>
        <v>1983.585</v>
      </c>
      <c r="G14" s="629">
        <f>G9*'OLD Formulas'!$C$41</f>
        <v>1602.5</v>
      </c>
      <c r="H14" s="629">
        <f>H9*'OLD Formulas'!$C$41</f>
        <v>1330.885</v>
      </c>
      <c r="I14" s="629">
        <f>I9*'OLD Formulas'!$C$41</f>
        <v>1506.485</v>
      </c>
      <c r="J14" s="629">
        <f>J9*'OLD Formulas'!$C$41</f>
        <v>3201.2</v>
      </c>
      <c r="K14" s="629">
        <f>K9*'OLD Formulas'!$C$41</f>
        <v>3343.8</v>
      </c>
      <c r="L14" s="629">
        <f>L9*'OLD Formulas'!$C$41</f>
        <v>4924.385</v>
      </c>
      <c r="M14" s="629">
        <f>M9*'OLD Formulas'!$C$41</f>
        <v>4855.5</v>
      </c>
      <c r="N14" s="629">
        <f>N9*'OLD Formulas'!$C$41</f>
        <v>4387.7</v>
      </c>
      <c r="O14" s="629">
        <f>O9*'OLD Formulas'!$C$41</f>
        <v>4707.785</v>
      </c>
      <c r="P14" s="629">
        <f>P9*'OLD Formulas'!$C$41</f>
        <v>3842.239</v>
      </c>
      <c r="Q14" s="629">
        <f>Q9*'OLD Formulas'!$C$41</f>
        <v>4114.62</v>
      </c>
      <c r="R14" s="629">
        <f>R9*'OLD Formulas'!$C$41</f>
        <v>5042.767</v>
      </c>
      <c r="S14" s="629">
        <f>S9*'OLD Formulas'!$C$41</f>
        <v>5731.748</v>
      </c>
      <c r="T14" s="629">
        <f>T9*'OLD Formulas'!$C$41</f>
        <v>3975.374</v>
      </c>
      <c r="U14" s="629">
        <f>U9*'OLD Formulas'!$C$41</f>
        <v>10362.199</v>
      </c>
      <c r="V14" s="629">
        <f>V9*'OLD Formulas'!$C$41</f>
        <v>10475.199</v>
      </c>
      <c r="W14" s="629">
        <f>W9*'OLD Formulas'!$C$41</f>
        <v>11603.5</v>
      </c>
      <c r="X14" s="629">
        <f>X9*'OLD Formulas'!$C$41</f>
        <v>18661.5</v>
      </c>
      <c r="Y14" s="629">
        <f>Y9*'OLD Formulas'!$C$41</f>
        <v>69581.596</v>
      </c>
      <c r="Z14" s="629">
        <f>Z9*'OLD Formulas'!$C$41</f>
        <v>24209.5</v>
      </c>
      <c r="AA14" s="629">
        <f>AA9*'OLD Formulas'!$C$41</f>
        <v>23683.9</v>
      </c>
      <c r="AB14" s="629">
        <f>AB9*'OLD Formulas'!$C$41</f>
        <v>427.481</v>
      </c>
      <c r="AC14" s="629">
        <f>AC9*'OLD Formulas'!$C$41</f>
        <v>5.5</v>
      </c>
      <c r="AD14" s="629">
        <f>AD9*'OLD Formulas'!$C$41</f>
        <v>0</v>
      </c>
      <c r="AE14" s="629">
        <f>AE9*'OLD Formulas'!$C$41</f>
        <v>50.7</v>
      </c>
      <c r="AF14" s="656"/>
      <c r="AG14" s="582"/>
    </row>
    <row r="15">
      <c r="A15" s="591" t="s">
        <v>894</v>
      </c>
      <c r="B15" s="637"/>
      <c r="C15" s="637"/>
      <c r="D15" s="637"/>
      <c r="E15" s="637"/>
      <c r="F15" s="637"/>
      <c r="G15" s="637"/>
      <c r="H15" s="637"/>
      <c r="I15" s="637"/>
      <c r="J15" s="637"/>
      <c r="K15" s="637"/>
      <c r="L15" s="637"/>
      <c r="M15" s="637"/>
      <c r="N15" s="637"/>
      <c r="O15" s="637"/>
      <c r="P15" s="637"/>
      <c r="Q15" s="637"/>
      <c r="R15" s="637"/>
      <c r="S15" s="637"/>
      <c r="T15" s="637"/>
      <c r="U15" s="637"/>
      <c r="V15" s="637"/>
      <c r="W15" s="637"/>
      <c r="X15" s="637"/>
      <c r="Y15" s="637"/>
      <c r="Z15" s="637"/>
      <c r="AA15" s="637"/>
      <c r="AB15" s="637"/>
      <c r="AC15" s="637"/>
      <c r="AD15" s="629"/>
      <c r="AE15" s="629"/>
      <c r="AF15" s="656"/>
      <c r="AG15" s="623">
        <f t="shared" ref="AG15:AG16" si="4">SUM(B15:AE15)</f>
        <v>0</v>
      </c>
    </row>
    <row r="16">
      <c r="A16" s="594" t="s">
        <v>98</v>
      </c>
      <c r="B16" s="60">
        <f t="shared" ref="B16:AE16" si="3">SUM(B13:B15)</f>
        <v>4600.22</v>
      </c>
      <c r="C16" s="60">
        <f t="shared" si="3"/>
        <v>4356.405</v>
      </c>
      <c r="D16" s="60">
        <f t="shared" si="3"/>
        <v>4773.775</v>
      </c>
      <c r="E16" s="60">
        <f t="shared" si="3"/>
        <v>6769.96</v>
      </c>
      <c r="F16" s="60">
        <f t="shared" si="3"/>
        <v>7346.505</v>
      </c>
      <c r="G16" s="60">
        <f t="shared" si="3"/>
        <v>5603.56</v>
      </c>
      <c r="H16" s="60">
        <f t="shared" si="3"/>
        <v>5344.675</v>
      </c>
      <c r="I16" s="60">
        <f t="shared" si="3"/>
        <v>4286.995</v>
      </c>
      <c r="J16" s="60">
        <f t="shared" si="3"/>
        <v>7610.41</v>
      </c>
      <c r="K16" s="60">
        <f t="shared" si="3"/>
        <v>8276.16</v>
      </c>
      <c r="L16" s="60">
        <f t="shared" si="3"/>
        <v>11027.695</v>
      </c>
      <c r="M16" s="60">
        <f t="shared" si="3"/>
        <v>12109.43</v>
      </c>
      <c r="N16" s="60">
        <f t="shared" si="3"/>
        <v>11625.24</v>
      </c>
      <c r="O16" s="60">
        <f t="shared" si="3"/>
        <v>10835.615</v>
      </c>
      <c r="P16" s="60">
        <f t="shared" si="3"/>
        <v>10430.839</v>
      </c>
      <c r="Q16" s="60">
        <f t="shared" si="3"/>
        <v>13097.17</v>
      </c>
      <c r="R16" s="60">
        <f t="shared" si="3"/>
        <v>14435.547</v>
      </c>
      <c r="S16" s="60">
        <f t="shared" si="3"/>
        <v>17323.188</v>
      </c>
      <c r="T16" s="60">
        <f t="shared" si="3"/>
        <v>15102.074</v>
      </c>
      <c r="U16" s="60">
        <f t="shared" si="3"/>
        <v>27829.469</v>
      </c>
      <c r="V16" s="60">
        <f t="shared" si="3"/>
        <v>30342.729</v>
      </c>
      <c r="W16" s="60">
        <f t="shared" si="3"/>
        <v>34396.48</v>
      </c>
      <c r="X16" s="60">
        <f t="shared" si="3"/>
        <v>47477.9</v>
      </c>
      <c r="Y16" s="60">
        <f t="shared" si="3"/>
        <v>134084.326</v>
      </c>
      <c r="Z16" s="60">
        <f t="shared" si="3"/>
        <v>61962.35</v>
      </c>
      <c r="AA16" s="60">
        <f t="shared" si="3"/>
        <v>61228.66</v>
      </c>
      <c r="AB16" s="60">
        <f t="shared" si="3"/>
        <v>4055.461</v>
      </c>
      <c r="AC16" s="60">
        <f t="shared" si="3"/>
        <v>5.5</v>
      </c>
      <c r="AD16" s="638">
        <f t="shared" si="3"/>
        <v>0</v>
      </c>
      <c r="AE16" s="638">
        <f t="shared" si="3"/>
        <v>484.64</v>
      </c>
      <c r="AF16" s="656"/>
      <c r="AG16" s="623">
        <f t="shared" si="4"/>
        <v>576822.978</v>
      </c>
    </row>
    <row r="17">
      <c r="A17" s="25"/>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656"/>
      <c r="AG17" s="582"/>
    </row>
    <row r="18">
      <c r="A18" s="625" t="s">
        <v>881</v>
      </c>
      <c r="B18" s="120"/>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656"/>
      <c r="AG18" s="582"/>
    </row>
    <row r="19">
      <c r="A19" s="583" t="s">
        <v>896</v>
      </c>
      <c r="B19" s="66">
        <f>B6*'OLD Formulas'!$A$37</f>
        <v>4520.495</v>
      </c>
      <c r="C19" s="66">
        <f>C6*'OLD Formulas'!$A$37</f>
        <v>3782.455</v>
      </c>
      <c r="D19" s="66">
        <f>D6*'OLD Formulas'!$A$37</f>
        <v>5074.025</v>
      </c>
      <c r="E19" s="66">
        <f>E6*'OLD Formulas'!$A$37</f>
        <v>5996.575</v>
      </c>
      <c r="F19" s="66">
        <f>F6*'OLD Formulas'!$A$37</f>
        <v>6734.615</v>
      </c>
      <c r="G19" s="66">
        <f>G6*'OLD Formulas'!$A$37</f>
        <v>5258.535</v>
      </c>
      <c r="H19" s="66">
        <f>H6*'OLD Formulas'!$A$37</f>
        <v>4428.24</v>
      </c>
      <c r="I19" s="66">
        <f>I6*'OLD Formulas'!$A$37</f>
        <v>6088.83</v>
      </c>
      <c r="J19" s="66">
        <f>J6*'OLD Formulas'!$A$37</f>
        <v>10978.345</v>
      </c>
      <c r="K19" s="66">
        <f>K6*'OLD Formulas'!$A$37</f>
        <v>10886.09</v>
      </c>
      <c r="L19" s="66">
        <f>L6*'OLD Formulas'!$A$37</f>
        <v>16329.135</v>
      </c>
      <c r="M19" s="66">
        <f>M6*'OLD Formulas'!$A$37</f>
        <v>16144.625</v>
      </c>
      <c r="N19" s="66">
        <f>N6*'OLD Formulas'!$A$37</f>
        <v>14022.76</v>
      </c>
      <c r="O19" s="66">
        <f>O6*'OLD Formulas'!$A$37</f>
        <v>15498.84</v>
      </c>
      <c r="P19" s="66">
        <f>P6*'OLD Formulas'!$A$37</f>
        <v>17436.195</v>
      </c>
      <c r="Q19" s="66">
        <f>Q6*'OLD Formulas'!$A$37</f>
        <v>18820.02</v>
      </c>
      <c r="R19" s="66">
        <f>R6*'OLD Formulas'!$A$37</f>
        <v>22417.965</v>
      </c>
      <c r="S19" s="66">
        <f>S6*'OLD Formulas'!$A$37</f>
        <v>26015.91</v>
      </c>
      <c r="T19" s="66">
        <f>T6*'OLD Formulas'!$A$37</f>
        <v>18174.235</v>
      </c>
      <c r="U19" s="66">
        <f>U6*'OLD Formulas'!$A$37</f>
        <v>46957.795</v>
      </c>
      <c r="V19" s="66">
        <f>V6*'OLD Formulas'!$A$37</f>
        <v>48064.855</v>
      </c>
      <c r="W19" s="66">
        <f>W6*'OLD Formulas'!$A$37</f>
        <v>53415.645</v>
      </c>
      <c r="X19" s="66">
        <f>X6*'OLD Formulas'!$A$37</f>
        <v>87919.015</v>
      </c>
      <c r="Y19" s="66">
        <f>Y6*'OLD Formulas'!$A$37</f>
        <v>321785.44</v>
      </c>
      <c r="Z19" s="66">
        <f>Z6*'OLD Formulas'!$A$37</f>
        <v>107477.075</v>
      </c>
      <c r="AA19" s="66">
        <f>AA6*'OLD Formulas'!$A$37</f>
        <v>101388.245</v>
      </c>
      <c r="AB19" s="66">
        <f>AB6*'OLD Formulas'!$A$37</f>
        <v>1752.845</v>
      </c>
      <c r="AC19" s="66">
        <f>AC6*'OLD Formulas'!$A$37</f>
        <v>92.255</v>
      </c>
      <c r="AD19" s="66">
        <f>AD6*'OLD Formulas'!$A$37</f>
        <v>0</v>
      </c>
      <c r="AE19" s="66">
        <f>AE6*'OLD Formulas'!$A$37</f>
        <v>276.765</v>
      </c>
      <c r="AF19" s="656"/>
      <c r="AG19" s="623">
        <f t="shared" ref="AG19:AG27" si="5">SUM(B19:AE19)</f>
        <v>997737.825</v>
      </c>
    </row>
    <row r="20">
      <c r="A20" s="120" t="s">
        <v>897</v>
      </c>
      <c r="B20" s="639">
        <f>(B6*'OLD Formulas'!$C$32)+(B6*'OLD Formulas'!$A$40)</f>
        <v>670.81</v>
      </c>
      <c r="C20" s="66">
        <f>(C6*'OLD Formulas'!$C$32)+(C6*'OLD Formulas'!$A$40)</f>
        <v>561.29</v>
      </c>
      <c r="D20" s="66">
        <f>(D6*'OLD Formulas'!$C$32)+(D6*'OLD Formulas'!$A$40)</f>
        <v>752.95</v>
      </c>
      <c r="E20" s="66">
        <f>(E6*'OLD Formulas'!$C$32)+(E6*'OLD Formulas'!$A$40)</f>
        <v>889.85</v>
      </c>
      <c r="F20" s="66">
        <f>(F6*'OLD Formulas'!$C$32)+(F6*'OLD Formulas'!$A$40)</f>
        <v>999.37</v>
      </c>
      <c r="G20" s="66">
        <f>(G6*'OLD Formulas'!$C$32)+(G6*'OLD Formulas'!$A$40)</f>
        <v>780.33</v>
      </c>
      <c r="H20" s="66">
        <f>(H6*'OLD Formulas'!$C$32)+(H6*'OLD Formulas'!$A$40)</f>
        <v>657.12</v>
      </c>
      <c r="I20" s="66">
        <f>(I6*'OLD Formulas'!$C$32)+(I6*'OLD Formulas'!$A$40)</f>
        <v>903.54</v>
      </c>
      <c r="J20" s="66">
        <f>(J6*'OLD Formulas'!$C$32)+(J6*'OLD Formulas'!$A$40)</f>
        <v>1629.11</v>
      </c>
      <c r="K20" s="66">
        <f>(K6*'OLD Formulas'!$C$32)+(K6*'OLD Formulas'!$A$40)</f>
        <v>1615.42</v>
      </c>
      <c r="L20" s="66">
        <f>(L6*'OLD Formulas'!$C$32)+(L6*'OLD Formulas'!$A$40)</f>
        <v>2423.13</v>
      </c>
      <c r="M20" s="66">
        <f>(M6*'OLD Formulas'!$C$32)+(M6*'OLD Formulas'!$A$40)</f>
        <v>2395.75</v>
      </c>
      <c r="N20" s="66">
        <f>(N6*'OLD Formulas'!$C$32)+(N6*'OLD Formulas'!$A$40)</f>
        <v>2080.88</v>
      </c>
      <c r="O20" s="66">
        <f>(O6*'OLD Formulas'!$C$32)+(O6*'OLD Formulas'!$A$40)</f>
        <v>2299.92</v>
      </c>
      <c r="P20" s="66">
        <f>(P6*'OLD Formulas'!$C$32)+(P6*'OLD Formulas'!$A$40)</f>
        <v>2587.41</v>
      </c>
      <c r="Q20" s="66">
        <f>(Q6*'OLD Formulas'!$C$32)+(Q6*'OLD Formulas'!$A$40)</f>
        <v>2792.76</v>
      </c>
      <c r="R20" s="66">
        <f>(R6*'OLD Formulas'!$C$32)+(R6*'OLD Formulas'!$A$40)</f>
        <v>3326.67</v>
      </c>
      <c r="S20" s="66">
        <f>(S6*'OLD Formulas'!$C$32)+(S6*'OLD Formulas'!$A$40)</f>
        <v>3860.58</v>
      </c>
      <c r="T20" s="66">
        <f>(T6*'OLD Formulas'!$C$32)+(T6*'OLD Formulas'!$A$40)</f>
        <v>2696.93</v>
      </c>
      <c r="U20" s="66">
        <f>(U6*'OLD Formulas'!$C$32)+(U6*'OLD Formulas'!$A$40)</f>
        <v>6968.21</v>
      </c>
      <c r="V20" s="66">
        <f>(V6*'OLD Formulas'!$C$32)+(V6*'OLD Formulas'!$A$40)</f>
        <v>7132.49</v>
      </c>
      <c r="W20" s="66">
        <f>(W6*'OLD Formulas'!$C$32)+(W6*'OLD Formulas'!$A$40)</f>
        <v>7926.51</v>
      </c>
      <c r="X20" s="66">
        <f>(X6*'OLD Formulas'!$C$32)+(X6*'OLD Formulas'!$A$40)</f>
        <v>13046.57</v>
      </c>
      <c r="Y20" s="66">
        <f>(Y6*'OLD Formulas'!$C$32)+(Y6*'OLD Formulas'!$A$40)</f>
        <v>47750.72</v>
      </c>
      <c r="Z20" s="66">
        <f>(Z6*'OLD Formulas'!$C$32)+(Z6*'OLD Formulas'!$A$40)</f>
        <v>15948.85</v>
      </c>
      <c r="AA20" s="66">
        <f>(AA6*'OLD Formulas'!$C$32)+(AA6*'OLD Formulas'!$A$40)</f>
        <v>15045.31</v>
      </c>
      <c r="AB20" s="66">
        <f>(AB6*'OLD Formulas'!$C$32)+(AB6*'OLD Formulas'!$A$40)</f>
        <v>260.11</v>
      </c>
      <c r="AC20" s="66">
        <f>(AC6*'OLD Formulas'!$C$32)+(AC6*'OLD Formulas'!$A$40)</f>
        <v>13.69</v>
      </c>
      <c r="AD20" s="66">
        <f>(AD6*'OLD Formulas'!$C$32)+(AD6*'OLD Formulas'!$A$40)</f>
        <v>0</v>
      </c>
      <c r="AE20" s="66">
        <f>(AE6*'OLD Formulas'!$C$32)+(AE6*'OLD Formulas'!$A$40)</f>
        <v>41.07</v>
      </c>
      <c r="AF20" s="656"/>
      <c r="AG20" s="201">
        <f t="shared" si="5"/>
        <v>148057.35</v>
      </c>
    </row>
    <row r="21">
      <c r="A21" s="120" t="s">
        <v>898</v>
      </c>
      <c r="B21" s="639">
        <f>B313*'OLD Formulas'!$C$37</f>
        <v>0</v>
      </c>
      <c r="C21" s="66">
        <f>C313*'OLD Formulas'!$C$37</f>
        <v>0</v>
      </c>
      <c r="D21" s="66">
        <f>D313*'OLD Formulas'!$C$37</f>
        <v>0</v>
      </c>
      <c r="E21" s="66">
        <f>E313*'OLD Formulas'!$C$37</f>
        <v>0</v>
      </c>
      <c r="F21" s="66">
        <f>F313*'OLD Formulas'!$C$37</f>
        <v>0</v>
      </c>
      <c r="G21" s="66">
        <f>G313*'OLD Formulas'!$C$37</f>
        <v>0</v>
      </c>
      <c r="H21" s="66">
        <f>H313*'OLD Formulas'!$C$37</f>
        <v>0</v>
      </c>
      <c r="I21" s="66">
        <f>I313*'OLD Formulas'!$C$37</f>
        <v>0</v>
      </c>
      <c r="J21" s="66">
        <f>J313*'OLD Formulas'!$C$37</f>
        <v>0</v>
      </c>
      <c r="K21" s="66">
        <f>K313*'OLD Formulas'!$C$37</f>
        <v>0</v>
      </c>
      <c r="L21" s="66">
        <f>L313*'OLD Formulas'!$C$37</f>
        <v>0</v>
      </c>
      <c r="M21" s="66">
        <f>M313*'OLD Formulas'!$C$37</f>
        <v>0</v>
      </c>
      <c r="N21" s="66">
        <f>N313*'OLD Formulas'!$C$37</f>
        <v>0</v>
      </c>
      <c r="O21" s="66">
        <f>O313*'OLD Formulas'!$C$37</f>
        <v>0</v>
      </c>
      <c r="P21" s="66">
        <f>P313*'OLD Formulas'!$C$37</f>
        <v>0</v>
      </c>
      <c r="Q21" s="66">
        <f>Q313*'OLD Formulas'!$C$37</f>
        <v>0</v>
      </c>
      <c r="R21" s="66">
        <f>R313*'OLD Formulas'!$C$37</f>
        <v>0</v>
      </c>
      <c r="S21" s="66">
        <f>S313*'OLD Formulas'!$C$37</f>
        <v>0</v>
      </c>
      <c r="T21" s="66">
        <f>T313*'OLD Formulas'!$C$37</f>
        <v>0</v>
      </c>
      <c r="U21" s="66">
        <f>U313*'OLD Formulas'!$C$37</f>
        <v>0</v>
      </c>
      <c r="V21" s="66">
        <f>V313*'OLD Formulas'!$C$37</f>
        <v>0</v>
      </c>
      <c r="W21" s="66">
        <f>W313*'OLD Formulas'!$C$37</f>
        <v>0</v>
      </c>
      <c r="X21" s="66">
        <f>X313*'OLD Formulas'!$C$37</f>
        <v>0</v>
      </c>
      <c r="Y21" s="66">
        <f>Y313*'OLD Formulas'!$C$37</f>
        <v>0</v>
      </c>
      <c r="Z21" s="66">
        <f>Z313*'OLD Formulas'!$C$37</f>
        <v>0</v>
      </c>
      <c r="AA21" s="66">
        <f>AA313*'OLD Formulas'!$C$37</f>
        <v>0</v>
      </c>
      <c r="AB21" s="66">
        <f>AB313*'OLD Formulas'!$C$37</f>
        <v>0</v>
      </c>
      <c r="AC21" s="66">
        <f>AC313*'OLD Formulas'!$C$37</f>
        <v>0</v>
      </c>
      <c r="AD21" s="66">
        <f>AD313*'OLD Formulas'!$C$37</f>
        <v>0</v>
      </c>
      <c r="AE21" s="66">
        <f>AE313*'OLD Formulas'!$C$37</f>
        <v>0</v>
      </c>
      <c r="AF21" s="656"/>
      <c r="AG21" s="201">
        <f t="shared" si="5"/>
        <v>0</v>
      </c>
    </row>
    <row r="22">
      <c r="A22" s="120" t="s">
        <v>899</v>
      </c>
      <c r="B22" s="639">
        <f>B313*'OLD Formulas'!$C$38</f>
        <v>0</v>
      </c>
      <c r="C22" s="66">
        <f>C313*'OLD Formulas'!$C$38</f>
        <v>0</v>
      </c>
      <c r="D22" s="66">
        <f>D313*'OLD Formulas'!$C$38</f>
        <v>0</v>
      </c>
      <c r="E22" s="66">
        <f>E313*'OLD Formulas'!$C$38</f>
        <v>0</v>
      </c>
      <c r="F22" s="66">
        <f>F313*'OLD Formulas'!$C$38</f>
        <v>0</v>
      </c>
      <c r="G22" s="66">
        <f>G313*'OLD Formulas'!$C$38</f>
        <v>0</v>
      </c>
      <c r="H22" s="66">
        <f>H313*'OLD Formulas'!$C$38</f>
        <v>0</v>
      </c>
      <c r="I22" s="66">
        <f>I313*'OLD Formulas'!$C$38</f>
        <v>0</v>
      </c>
      <c r="J22" s="66">
        <f>J313*'OLD Formulas'!$C$38</f>
        <v>0</v>
      </c>
      <c r="K22" s="66">
        <f>K313*'OLD Formulas'!$C$38</f>
        <v>0</v>
      </c>
      <c r="L22" s="66">
        <f>L313*'OLD Formulas'!$C$38</f>
        <v>0</v>
      </c>
      <c r="M22" s="66">
        <f>M313*'OLD Formulas'!$C$38</f>
        <v>0</v>
      </c>
      <c r="N22" s="66">
        <f>N313*'OLD Formulas'!$C$38</f>
        <v>0</v>
      </c>
      <c r="O22" s="66">
        <f>O313*'OLD Formulas'!$C$38</f>
        <v>0</v>
      </c>
      <c r="P22" s="66">
        <f>P313*'OLD Formulas'!$C$38</f>
        <v>0</v>
      </c>
      <c r="Q22" s="66">
        <f>Q313*'OLD Formulas'!$C$38</f>
        <v>0</v>
      </c>
      <c r="R22" s="66">
        <f>R313*'OLD Formulas'!$C$38</f>
        <v>0</v>
      </c>
      <c r="S22" s="66">
        <f>S313*'OLD Formulas'!$C$38</f>
        <v>0</v>
      </c>
      <c r="T22" s="66">
        <f>T313*'OLD Formulas'!$C$38</f>
        <v>0</v>
      </c>
      <c r="U22" s="66">
        <f>U313*'OLD Formulas'!$C$38</f>
        <v>0</v>
      </c>
      <c r="V22" s="66">
        <f>V313*'OLD Formulas'!$C$38</f>
        <v>0</v>
      </c>
      <c r="W22" s="66">
        <f>W313*'OLD Formulas'!$C$38</f>
        <v>0</v>
      </c>
      <c r="X22" s="66">
        <f>X313*'OLD Formulas'!$C$38</f>
        <v>0</v>
      </c>
      <c r="Y22" s="66">
        <f>Y313*'OLD Formulas'!$C$38</f>
        <v>0</v>
      </c>
      <c r="Z22" s="66">
        <f>Z313*'OLD Formulas'!$C$38</f>
        <v>0</v>
      </c>
      <c r="AA22" s="66">
        <f>AA313*'OLD Formulas'!$C$38</f>
        <v>0</v>
      </c>
      <c r="AB22" s="66">
        <f>AB313*'OLD Formulas'!$C$38</f>
        <v>0</v>
      </c>
      <c r="AC22" s="66">
        <f>AC313*'OLD Formulas'!$C$38</f>
        <v>0</v>
      </c>
      <c r="AD22" s="66">
        <f>AD313*'OLD Formulas'!$C$38</f>
        <v>0</v>
      </c>
      <c r="AE22" s="66">
        <f>AE313*'OLD Formulas'!$C$38</f>
        <v>0</v>
      </c>
      <c r="AF22" s="656"/>
      <c r="AG22" s="201">
        <f t="shared" si="5"/>
        <v>0</v>
      </c>
    </row>
    <row r="23">
      <c r="A23" s="120" t="s">
        <v>901</v>
      </c>
      <c r="B23" s="639">
        <f>B6*'OLD Formulas'!$C$40</f>
        <v>585.06</v>
      </c>
      <c r="C23" s="66">
        <f>C6*'OLD Formulas'!$C$40</f>
        <v>489.54</v>
      </c>
      <c r="D23" s="66">
        <f>D6*'OLD Formulas'!$C$40</f>
        <v>656.7</v>
      </c>
      <c r="E23" s="66">
        <f>E6*'OLD Formulas'!$C$40</f>
        <v>776.1</v>
      </c>
      <c r="F23" s="66">
        <f>F6*'OLD Formulas'!$C$40</f>
        <v>871.62</v>
      </c>
      <c r="G23" s="66">
        <f>G6*'OLD Formulas'!$C$40</f>
        <v>680.58</v>
      </c>
      <c r="H23" s="66">
        <f>H6*'OLD Formulas'!$C$40</f>
        <v>573.12</v>
      </c>
      <c r="I23" s="66">
        <f>I6*'OLD Formulas'!$C$40</f>
        <v>788.04</v>
      </c>
      <c r="J23" s="66">
        <f>J6*'OLD Formulas'!$C$40</f>
        <v>1420.86</v>
      </c>
      <c r="K23" s="66">
        <f>K6*'OLD Formulas'!$C$40</f>
        <v>1408.92</v>
      </c>
      <c r="L23" s="66">
        <f>L6*'OLD Formulas'!$C$40</f>
        <v>2113.38</v>
      </c>
      <c r="M23" s="66">
        <f>M6*'OLD Formulas'!$C$40</f>
        <v>2089.5</v>
      </c>
      <c r="N23" s="66">
        <f>N6*'OLD Formulas'!$C$40</f>
        <v>1814.88</v>
      </c>
      <c r="O23" s="66">
        <f>O6*'OLD Formulas'!$C$40</f>
        <v>2005.92</v>
      </c>
      <c r="P23" s="66">
        <f>P6*'OLD Formulas'!$C$40</f>
        <v>2256.66</v>
      </c>
      <c r="Q23" s="66">
        <f>Q6*'OLD Formulas'!$C$40</f>
        <v>2435.76</v>
      </c>
      <c r="R23" s="66">
        <f>R6*'OLD Formulas'!$C$40</f>
        <v>2901.42</v>
      </c>
      <c r="S23" s="66">
        <f>S6*'OLD Formulas'!$C$40</f>
        <v>3367.08</v>
      </c>
      <c r="T23" s="66">
        <f>T6*'OLD Formulas'!$C$40</f>
        <v>2352.18</v>
      </c>
      <c r="U23" s="66">
        <f>U6*'OLD Formulas'!$C$40</f>
        <v>6077.46</v>
      </c>
      <c r="V23" s="66">
        <f>V6*'OLD Formulas'!$C$40</f>
        <v>6220.74</v>
      </c>
      <c r="W23" s="66">
        <f>W6*'OLD Formulas'!$C$40</f>
        <v>6913.26</v>
      </c>
      <c r="X23" s="66">
        <f>X6*'OLD Formulas'!$C$40</f>
        <v>11378.82</v>
      </c>
      <c r="Y23" s="66">
        <f>Y6*'OLD Formulas'!$C$40</f>
        <v>41646.72</v>
      </c>
      <c r="Z23" s="66">
        <f>Z6*'OLD Formulas'!$C$40</f>
        <v>13910.1</v>
      </c>
      <c r="AA23" s="66">
        <f>AA6*'OLD Formulas'!$C$40</f>
        <v>13122.06</v>
      </c>
      <c r="AB23" s="66">
        <f>AB6*'OLD Formulas'!$C$40</f>
        <v>226.86</v>
      </c>
      <c r="AC23" s="66">
        <f>AC6*'OLD Formulas'!$C$40</f>
        <v>11.94</v>
      </c>
      <c r="AD23" s="66">
        <f>AD6*'OLD Formulas'!$C$40</f>
        <v>0</v>
      </c>
      <c r="AE23" s="66">
        <f>AE6*'OLD Formulas'!$C$40</f>
        <v>35.82</v>
      </c>
      <c r="AF23" s="656"/>
      <c r="AG23" s="623">
        <f t="shared" si="5"/>
        <v>129131.1</v>
      </c>
    </row>
    <row r="24">
      <c r="A24" s="120" t="s">
        <v>903</v>
      </c>
      <c r="B24" s="639">
        <f>B10*'OLD Formulas'!$C$41</f>
        <v>1258</v>
      </c>
      <c r="C24" s="66">
        <f>C10*'OLD Formulas'!$C$41</f>
        <v>1050.785</v>
      </c>
      <c r="D24" s="66">
        <f>D10*'OLD Formulas'!$C$41</f>
        <v>1554.285</v>
      </c>
      <c r="E24" s="66">
        <f>E10*'OLD Formulas'!$C$41</f>
        <v>1788</v>
      </c>
      <c r="F24" s="66">
        <f>F10*'OLD Formulas'!$C$41</f>
        <v>1983.585</v>
      </c>
      <c r="G24" s="66">
        <f>G10*'OLD Formulas'!$C$41</f>
        <v>1602.5</v>
      </c>
      <c r="H24" s="66">
        <f>H10*'OLD Formulas'!$C$41</f>
        <v>1330.885</v>
      </c>
      <c r="I24" s="66">
        <f>I10*'OLD Formulas'!$C$41</f>
        <v>1506.485</v>
      </c>
      <c r="J24" s="66">
        <f>J10*'OLD Formulas'!$C$41</f>
        <v>3201.2</v>
      </c>
      <c r="K24" s="66">
        <f>K10*'OLD Formulas'!$C$41</f>
        <v>3343.8</v>
      </c>
      <c r="L24" s="66">
        <f>L10*'OLD Formulas'!$C$41</f>
        <v>4924.385</v>
      </c>
      <c r="M24" s="66">
        <f>M10*'OLD Formulas'!$C$41</f>
        <v>4855.5</v>
      </c>
      <c r="N24" s="66">
        <f>N10*'OLD Formulas'!$C$41</f>
        <v>4387.7</v>
      </c>
      <c r="O24" s="66">
        <f>O10*'OLD Formulas'!$C$41</f>
        <v>4707.785</v>
      </c>
      <c r="P24" s="66">
        <f>P10*'OLD Formulas'!$C$41</f>
        <v>3842.239</v>
      </c>
      <c r="Q24" s="66">
        <f>Q10*'OLD Formulas'!$C$41</f>
        <v>4114.62</v>
      </c>
      <c r="R24" s="66">
        <f>R10*'OLD Formulas'!$C$41</f>
        <v>5042.767</v>
      </c>
      <c r="S24" s="66">
        <f>S10*'OLD Formulas'!$C$41</f>
        <v>5731.748</v>
      </c>
      <c r="T24" s="66">
        <f>T10*'OLD Formulas'!$C$41</f>
        <v>3975.374</v>
      </c>
      <c r="U24" s="66">
        <f>U10*'OLD Formulas'!$C$41</f>
        <v>10362.199</v>
      </c>
      <c r="V24" s="66">
        <f>V10*'OLD Formulas'!$C$41</f>
        <v>10475.199</v>
      </c>
      <c r="W24" s="66">
        <f>W10*'OLD Formulas'!$C$41</f>
        <v>11603.5</v>
      </c>
      <c r="X24" s="66">
        <f>X10*'OLD Formulas'!$C$41</f>
        <v>18661.5</v>
      </c>
      <c r="Y24" s="66">
        <f>Y10*'OLD Formulas'!$C$41</f>
        <v>69581.596</v>
      </c>
      <c r="Z24" s="66">
        <f>Z10*'OLD Formulas'!$C$41</f>
        <v>24209.5</v>
      </c>
      <c r="AA24" s="66">
        <f>AA10*'OLD Formulas'!$C$41</f>
        <v>23683.9</v>
      </c>
      <c r="AB24" s="66">
        <f>AB10*'OLD Formulas'!$C$41</f>
        <v>427.481</v>
      </c>
      <c r="AC24" s="66">
        <f>AC10*'OLD Formulas'!$C$41</f>
        <v>5.5</v>
      </c>
      <c r="AD24" s="66">
        <f>AD10*'OLD Formulas'!$C$41</f>
        <v>0</v>
      </c>
      <c r="AE24" s="66">
        <f>AE10*'OLD Formulas'!$C$41</f>
        <v>50.7</v>
      </c>
      <c r="AF24" s="656"/>
      <c r="AG24" s="623">
        <f t="shared" si="5"/>
        <v>229262.718</v>
      </c>
    </row>
    <row r="25">
      <c r="A25" s="594" t="s">
        <v>98</v>
      </c>
      <c r="B25" s="60">
        <f t="shared" ref="B25:AE25" si="6">SUM(B19:B24)</f>
        <v>7034.365</v>
      </c>
      <c r="C25" s="60">
        <f t="shared" si="6"/>
        <v>5884.07</v>
      </c>
      <c r="D25" s="60">
        <f t="shared" si="6"/>
        <v>8037.96</v>
      </c>
      <c r="E25" s="60">
        <f t="shared" si="6"/>
        <v>9450.525</v>
      </c>
      <c r="F25" s="60">
        <f t="shared" si="6"/>
        <v>10589.19</v>
      </c>
      <c r="G25" s="60">
        <f t="shared" si="6"/>
        <v>8321.945</v>
      </c>
      <c r="H25" s="60">
        <f t="shared" si="6"/>
        <v>6989.365</v>
      </c>
      <c r="I25" s="60">
        <f t="shared" si="6"/>
        <v>9286.895</v>
      </c>
      <c r="J25" s="60">
        <f t="shared" si="6"/>
        <v>17229.515</v>
      </c>
      <c r="K25" s="60">
        <f t="shared" si="6"/>
        <v>17254.23</v>
      </c>
      <c r="L25" s="60">
        <f t="shared" si="6"/>
        <v>25790.03</v>
      </c>
      <c r="M25" s="60">
        <f t="shared" si="6"/>
        <v>25485.375</v>
      </c>
      <c r="N25" s="60">
        <f t="shared" si="6"/>
        <v>22306.22</v>
      </c>
      <c r="O25" s="60">
        <f t="shared" si="6"/>
        <v>24512.465</v>
      </c>
      <c r="P25" s="60">
        <f t="shared" si="6"/>
        <v>26122.504</v>
      </c>
      <c r="Q25" s="60">
        <f t="shared" si="6"/>
        <v>28163.16</v>
      </c>
      <c r="R25" s="60">
        <f t="shared" si="6"/>
        <v>33688.822</v>
      </c>
      <c r="S25" s="60">
        <f t="shared" si="6"/>
        <v>38975.318</v>
      </c>
      <c r="T25" s="60">
        <f t="shared" si="6"/>
        <v>27198.719</v>
      </c>
      <c r="U25" s="60">
        <f t="shared" si="6"/>
        <v>70365.664</v>
      </c>
      <c r="V25" s="60">
        <f t="shared" si="6"/>
        <v>71893.284</v>
      </c>
      <c r="W25" s="60">
        <f t="shared" si="6"/>
        <v>79858.915</v>
      </c>
      <c r="X25" s="60">
        <f t="shared" si="6"/>
        <v>131005.905</v>
      </c>
      <c r="Y25" s="60">
        <f t="shared" si="6"/>
        <v>480764.476</v>
      </c>
      <c r="Z25" s="60">
        <f t="shared" si="6"/>
        <v>161545.525</v>
      </c>
      <c r="AA25" s="60">
        <f t="shared" si="6"/>
        <v>153239.515</v>
      </c>
      <c r="AB25" s="60">
        <f t="shared" si="6"/>
        <v>2667.296</v>
      </c>
      <c r="AC25" s="60">
        <f t="shared" si="6"/>
        <v>123.385</v>
      </c>
      <c r="AD25" s="60">
        <f t="shared" si="6"/>
        <v>0</v>
      </c>
      <c r="AE25" s="60">
        <f t="shared" si="6"/>
        <v>404.355</v>
      </c>
      <c r="AF25" s="656"/>
      <c r="AG25" s="623">
        <f t="shared" si="5"/>
        <v>1504188.993</v>
      </c>
    </row>
    <row r="26">
      <c r="A26" s="25"/>
      <c r="B26" s="640"/>
      <c r="C26" s="640"/>
      <c r="D26" s="640"/>
      <c r="E26" s="640"/>
      <c r="F26" s="640"/>
      <c r="G26" s="640"/>
      <c r="H26" s="640"/>
      <c r="I26" s="640"/>
      <c r="J26" s="640"/>
      <c r="K26" s="640"/>
      <c r="L26" s="640"/>
      <c r="M26" s="640"/>
      <c r="N26" s="640"/>
      <c r="O26" s="640"/>
      <c r="P26" s="640"/>
      <c r="Q26" s="640"/>
      <c r="R26" s="640"/>
      <c r="S26" s="640"/>
      <c r="T26" s="640"/>
      <c r="U26" s="640"/>
      <c r="V26" s="640"/>
      <c r="W26" s="640"/>
      <c r="X26" s="640"/>
      <c r="Y26" s="640"/>
      <c r="Z26" s="640"/>
      <c r="AA26" s="640"/>
      <c r="AB26" s="640"/>
      <c r="AC26" s="640"/>
      <c r="AD26" s="640"/>
      <c r="AE26" s="640"/>
      <c r="AF26" s="656"/>
      <c r="AG26" s="623">
        <f t="shared" si="5"/>
        <v>0</v>
      </c>
    </row>
    <row r="27">
      <c r="A27" s="595" t="s">
        <v>886</v>
      </c>
      <c r="B27" s="66">
        <f t="shared" ref="B27:AE27" si="7">B10-B16-B25</f>
        <v>945.415</v>
      </c>
      <c r="C27" s="66">
        <f t="shared" si="7"/>
        <v>267.375</v>
      </c>
      <c r="D27" s="66">
        <f t="shared" si="7"/>
        <v>2731.115</v>
      </c>
      <c r="E27" s="66">
        <f t="shared" si="7"/>
        <v>1659.515</v>
      </c>
      <c r="F27" s="66">
        <f t="shared" si="7"/>
        <v>1900.155</v>
      </c>
      <c r="G27" s="66">
        <f t="shared" si="7"/>
        <v>2099.495</v>
      </c>
      <c r="H27" s="66">
        <f t="shared" si="7"/>
        <v>974.81</v>
      </c>
      <c r="I27" s="66">
        <f t="shared" si="7"/>
        <v>1490.96</v>
      </c>
      <c r="J27" s="66">
        <f t="shared" si="7"/>
        <v>7172.075</v>
      </c>
      <c r="K27" s="66">
        <f t="shared" si="7"/>
        <v>7907.61</v>
      </c>
      <c r="L27" s="66">
        <f t="shared" si="7"/>
        <v>12426.125</v>
      </c>
      <c r="M27" s="66">
        <f t="shared" si="7"/>
        <v>10960.195</v>
      </c>
      <c r="N27" s="66">
        <f t="shared" si="7"/>
        <v>9945.54</v>
      </c>
      <c r="O27" s="66">
        <f t="shared" si="7"/>
        <v>11729.77</v>
      </c>
      <c r="P27" s="66">
        <f t="shared" si="7"/>
        <v>1869.047</v>
      </c>
      <c r="Q27" s="66">
        <f t="shared" si="7"/>
        <v>-114.13</v>
      </c>
      <c r="R27" s="66">
        <f t="shared" si="7"/>
        <v>2303.301</v>
      </c>
      <c r="S27" s="66">
        <f t="shared" si="7"/>
        <v>1018.974</v>
      </c>
      <c r="T27" s="66">
        <f t="shared" si="7"/>
        <v>-2547.053</v>
      </c>
      <c r="U27" s="66">
        <f t="shared" si="7"/>
        <v>5426.857</v>
      </c>
      <c r="V27" s="66">
        <f t="shared" si="7"/>
        <v>2515.977</v>
      </c>
      <c r="W27" s="66">
        <f t="shared" si="7"/>
        <v>1779.605</v>
      </c>
      <c r="X27" s="66">
        <f t="shared" si="7"/>
        <v>8131.195</v>
      </c>
      <c r="Y27" s="66">
        <f t="shared" si="7"/>
        <v>80967.158</v>
      </c>
      <c r="Z27" s="66">
        <f t="shared" si="7"/>
        <v>18587.125</v>
      </c>
      <c r="AA27" s="66">
        <f t="shared" si="7"/>
        <v>22370.825</v>
      </c>
      <c r="AB27" s="66">
        <f t="shared" si="7"/>
        <v>-2447.947</v>
      </c>
      <c r="AC27" s="66">
        <f t="shared" si="7"/>
        <v>-73.885</v>
      </c>
      <c r="AD27" s="66">
        <f t="shared" si="7"/>
        <v>0</v>
      </c>
      <c r="AE27" s="66">
        <f t="shared" si="7"/>
        <v>-381.995</v>
      </c>
      <c r="AF27" s="656"/>
      <c r="AG27" s="623">
        <f t="shared" si="5"/>
        <v>211615.209</v>
      </c>
    </row>
    <row r="28">
      <c r="A28" s="296">
        <f>SUM(B27:AC27)</f>
        <v>211997.204</v>
      </c>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76"/>
    </row>
    <row r="29">
      <c r="A29" s="25"/>
      <c r="B29" s="53"/>
      <c r="C29" s="53"/>
      <c r="D29" s="120"/>
      <c r="E29" s="53"/>
      <c r="F29" s="53"/>
      <c r="G29" s="53"/>
      <c r="H29" s="22"/>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76"/>
    </row>
    <row r="30">
      <c r="A30" s="641"/>
      <c r="B30" s="642"/>
      <c r="C30" s="642"/>
      <c r="D30" s="642"/>
      <c r="E30" s="642"/>
      <c r="F30" s="642"/>
      <c r="G30" s="642"/>
      <c r="H30" s="642"/>
      <c r="I30" s="642"/>
      <c r="J30" s="642"/>
      <c r="K30" s="642"/>
      <c r="L30" s="642"/>
      <c r="M30" s="642"/>
      <c r="N30" s="642"/>
      <c r="O30" s="642"/>
      <c r="P30" s="642"/>
      <c r="Q30" s="642"/>
      <c r="R30" s="642"/>
      <c r="S30" s="642"/>
      <c r="T30" s="642"/>
      <c r="U30" s="642"/>
      <c r="V30" s="642"/>
      <c r="W30" s="642"/>
      <c r="X30" s="642"/>
      <c r="Y30" s="642"/>
      <c r="Z30" s="642"/>
      <c r="AA30" s="642"/>
      <c r="AB30" s="642"/>
      <c r="AC30" s="642"/>
      <c r="AD30" s="642"/>
      <c r="AE30" s="642"/>
      <c r="AF30" s="642"/>
      <c r="AG30" s="643"/>
    </row>
    <row r="31">
      <c r="A31" s="25"/>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76"/>
    </row>
    <row r="32">
      <c r="A32" s="677" t="s">
        <v>906</v>
      </c>
      <c r="B32" s="661"/>
      <c r="C32" s="661"/>
      <c r="D32" s="661"/>
      <c r="E32" s="661"/>
      <c r="F32" s="661"/>
      <c r="G32" s="661"/>
      <c r="H32" s="661"/>
      <c r="I32" s="661"/>
      <c r="J32" s="661"/>
      <c r="K32" s="661"/>
      <c r="L32" s="661"/>
      <c r="M32" s="661"/>
      <c r="N32" s="661"/>
      <c r="O32" s="661"/>
      <c r="P32" s="661"/>
      <c r="Q32" s="661"/>
      <c r="R32" s="661"/>
      <c r="S32" s="661"/>
      <c r="T32" s="661"/>
      <c r="U32" s="661"/>
      <c r="V32" s="661"/>
      <c r="W32" s="661"/>
      <c r="X32" s="661"/>
      <c r="Y32" s="661"/>
      <c r="Z32" s="661"/>
      <c r="AA32" s="661"/>
      <c r="AB32" s="661"/>
      <c r="AC32" s="661"/>
      <c r="AD32" s="661"/>
      <c r="AE32" s="661"/>
      <c r="AF32" s="640"/>
      <c r="AG32" s="680"/>
    </row>
    <row r="33">
      <c r="A33" s="681" t="s">
        <v>888</v>
      </c>
      <c r="B33" s="661">
        <f>B9-(B5*'OLD Formulas'!$A$43)-B13</f>
        <v>3338.425</v>
      </c>
      <c r="C33" s="661">
        <f>C9-(C5*'OLD Formulas'!$A$43)-C13</f>
        <v>2266.035</v>
      </c>
      <c r="D33" s="661">
        <f>D9-(D5*'OLD Formulas'!$A$43)-D13</f>
        <v>5701.635</v>
      </c>
      <c r="E33" s="661">
        <f>E9-(E5*'OLD Formulas'!$A$43)-E13</f>
        <v>5072.365</v>
      </c>
      <c r="F33" s="661">
        <f>F9-(F5*'OLD Formulas'!$A$43)-F13</f>
        <v>5684.095</v>
      </c>
      <c r="G33" s="661">
        <f>G9-(G5*'OLD Formulas'!$A$43)-G13</f>
        <v>5161.425</v>
      </c>
      <c r="H33" s="661">
        <f>H9-(H5*'OLD Formulas'!$A$43)-H13</f>
        <v>3516.1</v>
      </c>
      <c r="I33" s="661">
        <f>I9-(I5*'OLD Formulas'!$A$43)-I13</f>
        <v>4338.27</v>
      </c>
      <c r="J33" s="661">
        <f>J9-(J5*'OLD Formulas'!$A$43)-J13</f>
        <v>13275.785</v>
      </c>
      <c r="K33" s="661">
        <f>K9-(K5*'OLD Formulas'!$A$43)-K13</f>
        <v>14299.03</v>
      </c>
      <c r="L33" s="661">
        <f>L9-(L5*'OLD Formulas'!$A$43)-L13</f>
        <v>21830.625</v>
      </c>
      <c r="M33" s="661">
        <f>M9-(M5*'OLD Formulas'!$A$43)-M13</f>
        <v>20231.945</v>
      </c>
      <c r="N33" s="661">
        <f>N9-(N5*'OLD Formulas'!$A$43)-N13</f>
        <v>18339.42</v>
      </c>
      <c r="O33" s="661">
        <f>O9-(O5*'OLD Formulas'!$A$43)-O13</f>
        <v>20723.66</v>
      </c>
      <c r="P33" s="661">
        <f>P9-(P5*'OLD Formulas'!$A$43)-P13</f>
        <v>9079.135</v>
      </c>
      <c r="Q33" s="661">
        <f>Q9-(Q5*'OLD Formulas'!$A$43)-Q13</f>
        <v>7603.07</v>
      </c>
      <c r="R33" s="661">
        <f>R9-(R5*'OLD Formulas'!$A$43)-R13</f>
        <v>11778.905</v>
      </c>
      <c r="S33" s="661">
        <f>S9-(S5*'OLD Formulas'!$A$43)-S13</f>
        <v>11774.65</v>
      </c>
      <c r="T33" s="661">
        <f>T9-(T5*'OLD Formulas'!$A$43)-T13</f>
        <v>4909.225</v>
      </c>
      <c r="U33" s="661">
        <f>U9-(U5*'OLD Formulas'!$A$43)-U13</f>
        <v>24873.665</v>
      </c>
      <c r="V33" s="661">
        <f>V9-(V5*'OLD Formulas'!$A$43)-V13</f>
        <v>22158.665</v>
      </c>
      <c r="W33" s="661">
        <f>W9-(W5*'OLD Formulas'!$A$43)-W13</f>
        <v>23533.315</v>
      </c>
      <c r="X33" s="661">
        <f>X9-(X5*'OLD Formulas'!$A$43)-X13</f>
        <v>43062.165</v>
      </c>
      <c r="Y33" s="661">
        <f>Y9-(Y5*'OLD Formulas'!$A$43)-Y13</f>
        <v>211375.47</v>
      </c>
      <c r="Z33" s="661">
        <f>Z9-(Z5*'OLD Formulas'!$A$43)-Z13</f>
        <v>64081.975</v>
      </c>
      <c r="AA33" s="661">
        <f>AA9-(AA5*'OLD Formulas'!$A$43)-AA13</f>
        <v>66980.135</v>
      </c>
      <c r="AB33" s="661">
        <f>AB9-(AB5*'OLD Formulas'!$A$43)-AB13</f>
        <v>-1640.675</v>
      </c>
      <c r="AC33" s="661">
        <f>AC9-(AC5*'OLD Formulas'!$A$43)-AC13</f>
        <v>-65.395</v>
      </c>
      <c r="AD33" s="661">
        <f>AD9-(AD5*'OLD Formulas'!$A$43)-AD13</f>
        <v>0</v>
      </c>
      <c r="AE33" s="661">
        <f>AE9-(AE5*'OLD Formulas'!$A$43)-AE13</f>
        <v>-288.125</v>
      </c>
      <c r="AF33" s="661">
        <f>AF9-(AF5*'OLD Formulas'!$A$43)-AF13</f>
        <v>0</v>
      </c>
      <c r="AG33" s="680"/>
    </row>
    <row r="34">
      <c r="A34" s="681" t="s">
        <v>323</v>
      </c>
      <c r="B34" s="661">
        <f t="shared" ref="B34:AF34" si="8">B9/B13</f>
        <v>3.763965269</v>
      </c>
      <c r="C34" s="661">
        <f t="shared" si="8"/>
        <v>3.178783405</v>
      </c>
      <c r="D34" s="661">
        <f t="shared" si="8"/>
        <v>4.827736691</v>
      </c>
      <c r="E34" s="661">
        <f t="shared" si="8"/>
        <v>3.588948928</v>
      </c>
      <c r="F34" s="661">
        <f t="shared" si="8"/>
        <v>3.698703318</v>
      </c>
      <c r="G34" s="661">
        <f t="shared" si="8"/>
        <v>4.005188625</v>
      </c>
      <c r="H34" s="661">
        <f t="shared" si="8"/>
        <v>3.315781344</v>
      </c>
      <c r="I34" s="661">
        <f t="shared" si="8"/>
        <v>5.418016839</v>
      </c>
      <c r="J34" s="661">
        <f t="shared" si="8"/>
        <v>7.260257506</v>
      </c>
      <c r="K34" s="661">
        <f t="shared" si="8"/>
        <v>6.779310513</v>
      </c>
      <c r="L34" s="661">
        <f t="shared" si="8"/>
        <v>8.068384205</v>
      </c>
      <c r="M34" s="661">
        <f t="shared" si="8"/>
        <v>6.693612979</v>
      </c>
      <c r="N34" s="661">
        <f t="shared" si="8"/>
        <v>6.062418999</v>
      </c>
      <c r="O34" s="661">
        <f t="shared" si="8"/>
        <v>7.682629903</v>
      </c>
      <c r="P34" s="661">
        <f t="shared" si="8"/>
        <v>5.831647087</v>
      </c>
      <c r="Q34" s="661">
        <f t="shared" si="8"/>
        <v>4.580681432</v>
      </c>
      <c r="R34" s="661">
        <f t="shared" si="8"/>
        <v>5.368769417</v>
      </c>
      <c r="S34" s="661">
        <f t="shared" si="8"/>
        <v>4.944810998</v>
      </c>
      <c r="T34" s="661">
        <f t="shared" si="8"/>
        <v>3.572823928</v>
      </c>
      <c r="U34" s="661">
        <f t="shared" si="8"/>
        <v>5.932351764</v>
      </c>
      <c r="V34" s="661">
        <f t="shared" si="8"/>
        <v>5.27252205</v>
      </c>
      <c r="W34" s="661">
        <f t="shared" si="8"/>
        <v>5.090821823</v>
      </c>
      <c r="X34" s="661">
        <f t="shared" si="8"/>
        <v>6.475999778</v>
      </c>
      <c r="Y34" s="661">
        <f t="shared" si="8"/>
        <v>10.78738776</v>
      </c>
      <c r="Z34" s="661">
        <f t="shared" si="8"/>
        <v>6.412628451</v>
      </c>
      <c r="AA34" s="661">
        <f t="shared" si="8"/>
        <v>6.308177226</v>
      </c>
      <c r="AB34" s="661">
        <f t="shared" si="8"/>
        <v>1.178289296</v>
      </c>
      <c r="AC34" s="661" t="str">
        <f t="shared" si="8"/>
        <v>#DIV/0!</v>
      </c>
      <c r="AD34" s="661" t="str">
        <f t="shared" si="8"/>
        <v>#DIV/0!</v>
      </c>
      <c r="AE34" s="661">
        <f t="shared" si="8"/>
        <v>1.16836429</v>
      </c>
      <c r="AF34" s="661" t="str">
        <f t="shared" si="8"/>
        <v>#DIV/0!</v>
      </c>
      <c r="AG34" s="680"/>
    </row>
    <row r="35">
      <c r="A35" s="681" t="s">
        <v>889</v>
      </c>
      <c r="B35" s="661">
        <f t="shared" ref="B35:AF35" si="9">B13/B5</f>
        <v>68.20857143</v>
      </c>
      <c r="C35" s="661">
        <f t="shared" si="9"/>
        <v>80.62487805</v>
      </c>
      <c r="D35" s="661">
        <f t="shared" si="9"/>
        <v>58.53618182</v>
      </c>
      <c r="E35" s="661">
        <f t="shared" si="9"/>
        <v>76.64553846</v>
      </c>
      <c r="F35" s="661">
        <f t="shared" si="9"/>
        <v>73.46465753</v>
      </c>
      <c r="G35" s="661">
        <f t="shared" si="9"/>
        <v>70.19403509</v>
      </c>
      <c r="H35" s="661">
        <f t="shared" si="9"/>
        <v>83.620625</v>
      </c>
      <c r="I35" s="661">
        <f t="shared" si="9"/>
        <v>42.12893939</v>
      </c>
      <c r="J35" s="661">
        <f t="shared" si="9"/>
        <v>37.05218487</v>
      </c>
      <c r="K35" s="661">
        <f t="shared" si="9"/>
        <v>41.79966102</v>
      </c>
      <c r="L35" s="661">
        <f t="shared" si="9"/>
        <v>34.4819774</v>
      </c>
      <c r="M35" s="661">
        <f t="shared" si="9"/>
        <v>41.45102857</v>
      </c>
      <c r="N35" s="661">
        <f t="shared" si="9"/>
        <v>47.61539474</v>
      </c>
      <c r="O35" s="661">
        <f t="shared" si="9"/>
        <v>36.47517857</v>
      </c>
      <c r="P35" s="661">
        <f t="shared" si="9"/>
        <v>34.86031746</v>
      </c>
      <c r="Q35" s="661">
        <f t="shared" si="9"/>
        <v>44.03210784</v>
      </c>
      <c r="R35" s="661">
        <f t="shared" si="9"/>
        <v>38.65341564</v>
      </c>
      <c r="S35" s="661">
        <f t="shared" si="9"/>
        <v>41.10439716</v>
      </c>
      <c r="T35" s="661">
        <f t="shared" si="9"/>
        <v>56.48071066</v>
      </c>
      <c r="U35" s="661">
        <f t="shared" si="9"/>
        <v>34.31683694</v>
      </c>
      <c r="V35" s="661">
        <f t="shared" si="9"/>
        <v>38.13345489</v>
      </c>
      <c r="W35" s="661">
        <f t="shared" si="9"/>
        <v>39.36611399</v>
      </c>
      <c r="X35" s="661">
        <f t="shared" si="9"/>
        <v>30.23756558</v>
      </c>
      <c r="Y35" s="661">
        <f t="shared" si="9"/>
        <v>18.49275516</v>
      </c>
      <c r="Z35" s="661">
        <f t="shared" si="9"/>
        <v>32.40587983</v>
      </c>
      <c r="AA35" s="661">
        <f t="shared" si="9"/>
        <v>34.16265696</v>
      </c>
      <c r="AB35" s="661">
        <f t="shared" si="9"/>
        <v>190.9463158</v>
      </c>
      <c r="AC35" s="661">
        <f t="shared" si="9"/>
        <v>0</v>
      </c>
      <c r="AD35" s="661" t="str">
        <f t="shared" si="9"/>
        <v>#DIV/0!</v>
      </c>
      <c r="AE35" s="661">
        <f t="shared" si="9"/>
        <v>144.6466667</v>
      </c>
      <c r="AF35" s="661" t="str">
        <f t="shared" si="9"/>
        <v>#DIV/0!</v>
      </c>
      <c r="AG35" s="680"/>
    </row>
    <row r="36">
      <c r="A36" s="683" t="s">
        <v>890</v>
      </c>
      <c r="B36" s="661">
        <f>B9/('OLD Formulas'!$A$43*B5+B13+B14)</f>
        <v>1.198143734</v>
      </c>
      <c r="C36" s="661">
        <f>C9/('OLD Formulas'!$A$43*C5+C13+C14)</f>
        <v>1.130776101</v>
      </c>
      <c r="D36" s="661">
        <f>D9/('OLD Formulas'!$A$43*D5+D13+D14)</f>
        <v>1.363946295</v>
      </c>
      <c r="E36" s="661">
        <f>E9/('OLD Formulas'!$A$43*E5+E13+E14)</f>
        <v>1.225023783</v>
      </c>
      <c r="F36" s="661">
        <f>F9/('OLD Formulas'!$A$43*F5+F13+F14)</f>
        <v>1.229341929</v>
      </c>
      <c r="G36" s="661">
        <f>G9/('OLD Formulas'!$A$43*G5+G13+G14)</f>
        <v>1.285488817</v>
      </c>
      <c r="H36" s="661">
        <f>H9/('OLD Formulas'!$A$43*H5+H13+H14)</f>
        <v>1.196447924</v>
      </c>
      <c r="I36" s="661">
        <f>I9/('OLD Formulas'!$A$43*I5+I13+I14)</f>
        <v>1.23148614</v>
      </c>
      <c r="J36" s="661">
        <f>J9/('OLD Formulas'!$A$43*J5+J13+J14)</f>
        <v>1.459242121</v>
      </c>
      <c r="K36" s="661">
        <f>K9/('OLD Formulas'!$A$43*K5+K13+K14)</f>
        <v>1.487272253</v>
      </c>
      <c r="L36" s="661">
        <f>L9/('OLD Formulas'!$A$43*L5+L13+L14)</f>
        <v>1.522804252</v>
      </c>
      <c r="M36" s="661">
        <f>M9/('OLD Formulas'!$A$43*M5+M13+M14)</f>
        <v>1.463445289</v>
      </c>
      <c r="N36" s="661">
        <f>N9/('OLD Formulas'!$A$43*N5+N13+N14)</f>
        <v>1.466218528</v>
      </c>
      <c r="O36" s="661">
        <f>O9/('OLD Formulas'!$A$43*O5+O13+O14)</f>
        <v>1.515610324</v>
      </c>
      <c r="P36" s="661">
        <f>P9/('OLD Formulas'!$A$43*P5+P13+P14)</f>
        <v>1.157806781</v>
      </c>
      <c r="Q36" s="661">
        <f>Q9/('OLD Formulas'!$A$43*Q5+Q13+Q14)</f>
        <v>1.092635646</v>
      </c>
      <c r="R36" s="661">
        <f>R9/('OLD Formulas'!$A$43*R5+R13+R14)</f>
        <v>1.15417491</v>
      </c>
      <c r="S36" s="661">
        <f>S9/('OLD Formulas'!$A$43*S5+S13+S14)</f>
        <v>1.117853764</v>
      </c>
      <c r="T36" s="661">
        <f>T9/('OLD Formulas'!$A$43*T5+T13+T14)</f>
        <v>1.024055994</v>
      </c>
      <c r="U36" s="661">
        <f>U9/('OLD Formulas'!$A$43*U5+U13+U14)</f>
        <v>1.162847948</v>
      </c>
      <c r="V36" s="661">
        <f>V9/('OLD Formulas'!$A$43*V5+V13+V14)</f>
        <v>1.125536169</v>
      </c>
      <c r="W36" s="661">
        <f>W9/('OLD Formulas'!$A$43*W5+W13+W14)</f>
        <v>1.11459386</v>
      </c>
      <c r="X36" s="661">
        <f>X9/('OLD Formulas'!$A$43*X5+X13+X14)</f>
        <v>1.150422372</v>
      </c>
      <c r="Y36" s="661">
        <f>Y9/('OLD Formulas'!$A$43*Y5+Y13+Y14)</f>
        <v>1.255935418</v>
      </c>
      <c r="Z36" s="661">
        <f>Z9/('OLD Formulas'!$A$43*Z5+Z13+Z14)</f>
        <v>1.197171284</v>
      </c>
      <c r="AA36" s="661">
        <f>AA9/('OLD Formulas'!$A$43*AA5+AA13+AA14)</f>
        <v>1.223703712</v>
      </c>
      <c r="AB36" s="661">
        <f>AB9/('OLD Formulas'!$A$43*AB5+AB13+AB14)</f>
        <v>0.6739449652</v>
      </c>
      <c r="AC36" s="661">
        <f>AC9/('OLD Formulas'!$A$43*AC5+AC13+AC14)</f>
        <v>0.4368719965</v>
      </c>
      <c r="AD36" s="661" t="str">
        <f>AD9/('OLD Formulas'!$A$43*AD5+AD13+AD14)</f>
        <v>#DIV/0!</v>
      </c>
      <c r="AE36" s="661">
        <f>AE9/('OLD Formulas'!$A$43*AE5+AE13+AE14)</f>
        <v>0.5994147726</v>
      </c>
      <c r="AF36" s="661" t="str">
        <f>AF9/('OLD Formulas'!$A$43*AF5+AF13+AF14)</f>
        <v>#DIV/0!</v>
      </c>
      <c r="AG36" s="680"/>
    </row>
    <row r="37">
      <c r="A37" s="685"/>
      <c r="B37" s="686"/>
      <c r="C37" s="686"/>
      <c r="D37" s="686"/>
      <c r="E37" s="686"/>
      <c r="F37" s="686"/>
      <c r="G37" s="686"/>
      <c r="H37" s="686"/>
      <c r="I37" s="686"/>
      <c r="J37" s="686"/>
      <c r="K37" s="686"/>
      <c r="L37" s="686"/>
      <c r="M37" s="686"/>
      <c r="N37" s="686"/>
      <c r="O37" s="686"/>
      <c r="P37" s="686"/>
      <c r="Q37" s="686"/>
      <c r="R37" s="686"/>
      <c r="S37" s="686"/>
      <c r="T37" s="686"/>
      <c r="U37" s="686"/>
      <c r="V37" s="686"/>
      <c r="W37" s="686"/>
      <c r="X37" s="686"/>
      <c r="Y37" s="686"/>
      <c r="Z37" s="686"/>
      <c r="AA37" s="686"/>
      <c r="AB37" s="686"/>
      <c r="AC37" s="686"/>
      <c r="AD37" s="686"/>
      <c r="AE37" s="686"/>
      <c r="AF37" s="686"/>
      <c r="AG37" s="687"/>
    </row>
    <row r="38">
      <c r="A38" s="688"/>
      <c r="B38" s="642"/>
      <c r="C38" s="642"/>
      <c r="D38" s="642"/>
      <c r="E38" s="642"/>
      <c r="F38" s="642"/>
      <c r="G38" s="642"/>
      <c r="H38" s="642"/>
      <c r="I38" s="642"/>
      <c r="J38" s="642"/>
      <c r="K38" s="642"/>
      <c r="L38" s="642"/>
      <c r="M38" s="642"/>
      <c r="N38" s="642"/>
      <c r="O38" s="642"/>
      <c r="P38" s="642"/>
      <c r="Q38" s="642"/>
      <c r="R38" s="642"/>
      <c r="S38" s="642"/>
      <c r="T38" s="642"/>
      <c r="U38" s="642"/>
      <c r="V38" s="642"/>
      <c r="W38" s="642"/>
      <c r="X38" s="642"/>
      <c r="Y38" s="642"/>
      <c r="Z38" s="642"/>
      <c r="AA38" s="642"/>
      <c r="AB38" s="642"/>
      <c r="AC38" s="642"/>
      <c r="AD38" s="642"/>
      <c r="AE38" s="642"/>
      <c r="AF38" s="642"/>
      <c r="AG38" s="643"/>
    </row>
    <row r="39">
      <c r="A39" s="25"/>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690"/>
      <c r="AG39" s="691"/>
    </row>
    <row r="40">
      <c r="A40" s="349" t="s">
        <v>140</v>
      </c>
      <c r="B40" s="112"/>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690"/>
      <c r="AG40" s="691"/>
    </row>
    <row r="41">
      <c r="A41" s="670" t="s">
        <v>907</v>
      </c>
      <c r="B41" s="112">
        <v>12.0</v>
      </c>
      <c r="C41" s="112">
        <v>6.0</v>
      </c>
      <c r="D41" s="112">
        <v>6.0</v>
      </c>
      <c r="E41" s="112">
        <v>3.0</v>
      </c>
      <c r="F41" s="112">
        <v>9.0</v>
      </c>
      <c r="G41" s="112">
        <v>7.0</v>
      </c>
      <c r="H41" s="112">
        <v>7.0</v>
      </c>
      <c r="I41" s="112">
        <v>21.0</v>
      </c>
      <c r="J41" s="112">
        <v>25.0</v>
      </c>
      <c r="K41" s="112">
        <v>10.0</v>
      </c>
      <c r="L41" s="112">
        <v>18.0</v>
      </c>
      <c r="M41" s="112">
        <v>15.0</v>
      </c>
      <c r="N41" s="112">
        <v>19.0</v>
      </c>
      <c r="O41" s="112">
        <v>25.0</v>
      </c>
      <c r="P41" s="112">
        <v>19.0</v>
      </c>
      <c r="Q41" s="112">
        <v>13.0</v>
      </c>
      <c r="R41" s="112">
        <v>17.0</v>
      </c>
      <c r="S41" s="112">
        <v>16.0</v>
      </c>
      <c r="T41" s="112">
        <v>35.0</v>
      </c>
      <c r="U41" s="112">
        <v>0.0</v>
      </c>
      <c r="V41" s="112">
        <v>3.0</v>
      </c>
      <c r="W41" s="112">
        <v>0.0</v>
      </c>
      <c r="X41" s="112">
        <v>2.0</v>
      </c>
      <c r="Y41" s="112">
        <v>0.0</v>
      </c>
      <c r="Z41" s="112">
        <v>0.0</v>
      </c>
      <c r="AA41" s="112">
        <v>0.0</v>
      </c>
      <c r="AB41" s="351">
        <v>0.0</v>
      </c>
      <c r="AC41" s="351">
        <v>0.0</v>
      </c>
      <c r="AD41" s="351">
        <v>0.0</v>
      </c>
      <c r="AE41" s="351">
        <v>0.0</v>
      </c>
      <c r="AF41" s="100"/>
      <c r="AG41" s="693">
        <f>sum(B41:AE41)</f>
        <v>288</v>
      </c>
    </row>
    <row r="42">
      <c r="A42" s="670" t="s">
        <v>908</v>
      </c>
      <c r="B42" s="112">
        <v>0.0</v>
      </c>
      <c r="C42" s="112">
        <v>0.0</v>
      </c>
      <c r="D42" s="112">
        <v>0.0</v>
      </c>
      <c r="E42" s="112">
        <v>0.0</v>
      </c>
      <c r="F42" s="112">
        <v>1.0</v>
      </c>
      <c r="G42" s="112">
        <v>2.0</v>
      </c>
      <c r="H42" s="112">
        <v>1.0</v>
      </c>
      <c r="I42" s="112">
        <v>4.0</v>
      </c>
      <c r="J42" s="112">
        <v>3.0</v>
      </c>
      <c r="K42" s="112">
        <v>2.0</v>
      </c>
      <c r="L42" s="112">
        <v>3.0</v>
      </c>
      <c r="M42" s="112">
        <v>2.0</v>
      </c>
      <c r="N42" s="112">
        <v>3.0</v>
      </c>
      <c r="O42" s="112">
        <v>1.0</v>
      </c>
      <c r="P42" s="112">
        <v>0.0</v>
      </c>
      <c r="Q42" s="112">
        <v>0.0</v>
      </c>
      <c r="R42" s="112">
        <v>0.0</v>
      </c>
      <c r="S42" s="112">
        <v>237.0</v>
      </c>
      <c r="T42" s="112">
        <v>0.0</v>
      </c>
      <c r="U42" s="112">
        <v>0.0</v>
      </c>
      <c r="V42" s="112">
        <v>0.0</v>
      </c>
      <c r="W42" s="112">
        <v>0.0</v>
      </c>
      <c r="X42" s="112">
        <v>0.0</v>
      </c>
      <c r="Y42" s="112">
        <v>1.0</v>
      </c>
      <c r="Z42" s="112">
        <v>0.0</v>
      </c>
      <c r="AA42" s="112">
        <v>0.0</v>
      </c>
      <c r="AB42" s="351">
        <v>0.0</v>
      </c>
      <c r="AC42" s="351">
        <v>0.0</v>
      </c>
      <c r="AD42" s="351">
        <v>0.0</v>
      </c>
      <c r="AE42" s="351">
        <v>0.0</v>
      </c>
      <c r="AF42" s="100"/>
      <c r="AG42" s="693">
        <f>SUM(B42:AF42)</f>
        <v>260</v>
      </c>
    </row>
    <row r="43">
      <c r="A43" s="670" t="s">
        <v>909</v>
      </c>
      <c r="B43" s="112">
        <v>32.0</v>
      </c>
      <c r="C43" s="112">
        <v>29.0</v>
      </c>
      <c r="D43" s="112">
        <v>47.0</v>
      </c>
      <c r="E43" s="112">
        <v>54.0</v>
      </c>
      <c r="F43" s="112">
        <v>55.0</v>
      </c>
      <c r="G43" s="112">
        <v>43.0</v>
      </c>
      <c r="H43" s="112">
        <v>38.0</v>
      </c>
      <c r="I43" s="112">
        <v>18.0</v>
      </c>
      <c r="J43" s="112">
        <v>75.0</v>
      </c>
      <c r="K43" s="112">
        <v>98.0</v>
      </c>
      <c r="L43" s="112">
        <v>140.0</v>
      </c>
      <c r="M43" s="112">
        <v>140.0</v>
      </c>
      <c r="N43" s="119">
        <v>127.0</v>
      </c>
      <c r="O43" s="112">
        <v>125.0</v>
      </c>
      <c r="P43" s="112">
        <v>152.0</v>
      </c>
      <c r="Q43" s="112">
        <v>171.0</v>
      </c>
      <c r="R43" s="112">
        <v>206.0</v>
      </c>
      <c r="S43" s="112">
        <v>15.0</v>
      </c>
      <c r="T43" s="112">
        <v>140.0</v>
      </c>
      <c r="U43" s="112">
        <v>490.0</v>
      </c>
      <c r="V43" s="112">
        <v>488.0</v>
      </c>
      <c r="W43" s="112">
        <v>553.0</v>
      </c>
      <c r="X43" s="112">
        <v>874.0</v>
      </c>
      <c r="Y43" s="112">
        <v>3288.0</v>
      </c>
      <c r="Z43" s="112">
        <v>1152.0</v>
      </c>
      <c r="AA43" s="112">
        <v>1126.0</v>
      </c>
      <c r="AB43" s="112">
        <v>19.0</v>
      </c>
      <c r="AC43" s="112">
        <v>0.0</v>
      </c>
      <c r="AD43" s="112">
        <v>0.0</v>
      </c>
      <c r="AE43" s="112">
        <v>0.0</v>
      </c>
      <c r="AF43" s="100"/>
      <c r="AG43" s="693">
        <f t="shared" ref="AG43:AG44" si="10">sum(B43:AF43)</f>
        <v>9695</v>
      </c>
    </row>
    <row r="44">
      <c r="A44" s="670" t="s">
        <v>911</v>
      </c>
      <c r="B44" s="112">
        <v>0.0</v>
      </c>
      <c r="C44" s="112">
        <v>1.0</v>
      </c>
      <c r="D44" s="112">
        <v>0.0</v>
      </c>
      <c r="E44" s="112">
        <v>3.0</v>
      </c>
      <c r="F44" s="112">
        <v>3.0</v>
      </c>
      <c r="G44" s="112">
        <v>3.0</v>
      </c>
      <c r="H44" s="112">
        <v>0.0</v>
      </c>
      <c r="I44" s="119">
        <v>14.0</v>
      </c>
      <c r="J44" s="119">
        <v>10.0</v>
      </c>
      <c r="K44" s="119">
        <v>4.0</v>
      </c>
      <c r="L44" s="119">
        <v>7.0</v>
      </c>
      <c r="M44" s="119">
        <v>8.0</v>
      </c>
      <c r="N44" s="695">
        <v>3.0</v>
      </c>
      <c r="O44" s="121">
        <v>11.0</v>
      </c>
      <c r="P44" s="119">
        <v>7.0</v>
      </c>
      <c r="Q44" s="119">
        <v>8.0</v>
      </c>
      <c r="R44" s="119">
        <v>13.0</v>
      </c>
      <c r="S44" s="120">
        <v>293.0</v>
      </c>
      <c r="T44" s="120">
        <v>0.0</v>
      </c>
      <c r="U44" s="120">
        <v>1.0</v>
      </c>
      <c r="V44" s="120">
        <v>2.0</v>
      </c>
      <c r="W44" s="120">
        <v>0.0</v>
      </c>
      <c r="X44" s="120">
        <v>3.0</v>
      </c>
      <c r="Y44" s="120">
        <v>5.0</v>
      </c>
      <c r="Z44" s="696">
        <v>0.0</v>
      </c>
      <c r="AA44" s="120">
        <v>0.0</v>
      </c>
      <c r="AB44" s="120">
        <v>0.0</v>
      </c>
      <c r="AC44" s="120">
        <v>0.0</v>
      </c>
      <c r="AD44" s="120">
        <v>0.0</v>
      </c>
      <c r="AE44" s="120">
        <v>0.0</v>
      </c>
      <c r="AF44" s="100"/>
      <c r="AG44" s="693">
        <f t="shared" si="10"/>
        <v>399</v>
      </c>
    </row>
    <row r="45">
      <c r="A45" s="697" t="s">
        <v>180</v>
      </c>
      <c r="B45" s="124">
        <f t="shared" ref="B45:AF45" si="11">SUM(B41:B44)</f>
        <v>44</v>
      </c>
      <c r="C45" s="124">
        <f t="shared" si="11"/>
        <v>36</v>
      </c>
      <c r="D45" s="124">
        <f t="shared" si="11"/>
        <v>53</v>
      </c>
      <c r="E45" s="124">
        <f t="shared" si="11"/>
        <v>60</v>
      </c>
      <c r="F45" s="124">
        <f t="shared" si="11"/>
        <v>68</v>
      </c>
      <c r="G45" s="124">
        <f t="shared" si="11"/>
        <v>55</v>
      </c>
      <c r="H45" s="124">
        <f t="shared" si="11"/>
        <v>46</v>
      </c>
      <c r="I45" s="124">
        <f t="shared" si="11"/>
        <v>57</v>
      </c>
      <c r="J45" s="124">
        <f t="shared" si="11"/>
        <v>113</v>
      </c>
      <c r="K45" s="124">
        <f t="shared" si="11"/>
        <v>114</v>
      </c>
      <c r="L45" s="124">
        <f t="shared" si="11"/>
        <v>168</v>
      </c>
      <c r="M45" s="124">
        <f t="shared" si="11"/>
        <v>165</v>
      </c>
      <c r="N45" s="124">
        <f t="shared" si="11"/>
        <v>152</v>
      </c>
      <c r="O45" s="124">
        <f t="shared" si="11"/>
        <v>162</v>
      </c>
      <c r="P45" s="124">
        <f t="shared" si="11"/>
        <v>178</v>
      </c>
      <c r="Q45" s="124">
        <f t="shared" si="11"/>
        <v>192</v>
      </c>
      <c r="R45" s="124">
        <f t="shared" si="11"/>
        <v>236</v>
      </c>
      <c r="S45" s="124">
        <f t="shared" si="11"/>
        <v>561</v>
      </c>
      <c r="T45" s="124">
        <f t="shared" si="11"/>
        <v>175</v>
      </c>
      <c r="U45" s="124">
        <f t="shared" si="11"/>
        <v>491</v>
      </c>
      <c r="V45" s="124">
        <f t="shared" si="11"/>
        <v>493</v>
      </c>
      <c r="W45" s="124">
        <f t="shared" si="11"/>
        <v>553</v>
      </c>
      <c r="X45" s="124">
        <f t="shared" si="11"/>
        <v>879</v>
      </c>
      <c r="Y45" s="124">
        <f t="shared" si="11"/>
        <v>3294</v>
      </c>
      <c r="Z45" s="124">
        <f t="shared" si="11"/>
        <v>1152</v>
      </c>
      <c r="AA45" s="124">
        <f t="shared" si="11"/>
        <v>1126</v>
      </c>
      <c r="AB45" s="124">
        <f t="shared" si="11"/>
        <v>19</v>
      </c>
      <c r="AC45" s="124">
        <f t="shared" si="11"/>
        <v>0</v>
      </c>
      <c r="AD45" s="124">
        <f t="shared" si="11"/>
        <v>0</v>
      </c>
      <c r="AE45" s="124">
        <f t="shared" si="11"/>
        <v>0</v>
      </c>
      <c r="AF45" s="124">
        <f t="shared" si="11"/>
        <v>0</v>
      </c>
      <c r="AG45" s="693">
        <f>sum(B45:AE45)</f>
        <v>10642</v>
      </c>
    </row>
    <row r="46">
      <c r="A46" s="25"/>
      <c r="B46" s="699"/>
      <c r="C46" s="699"/>
      <c r="D46" s="699"/>
      <c r="E46" s="699"/>
      <c r="F46" s="699"/>
      <c r="G46" s="699"/>
      <c r="H46" s="699"/>
      <c r="I46" s="699"/>
      <c r="J46" s="53"/>
      <c r="K46" s="53"/>
      <c r="L46" s="53"/>
      <c r="M46" s="53"/>
      <c r="N46" s="53"/>
      <c r="O46" s="53"/>
      <c r="P46" s="53"/>
      <c r="Q46" s="53"/>
      <c r="R46" s="53"/>
      <c r="S46" s="53"/>
      <c r="T46" s="53"/>
      <c r="U46" s="53"/>
      <c r="V46" s="53"/>
      <c r="W46" s="53"/>
      <c r="X46" s="53"/>
      <c r="Y46" s="53"/>
      <c r="Z46" s="53"/>
      <c r="AA46" s="53"/>
      <c r="AB46" s="53"/>
      <c r="AC46" s="53"/>
      <c r="AD46" s="53"/>
      <c r="AE46" s="53"/>
      <c r="AF46" s="120"/>
      <c r="AG46" s="700"/>
    </row>
    <row r="47">
      <c r="A47" s="670" t="s">
        <v>150</v>
      </c>
      <c r="B47" s="112">
        <v>6.0</v>
      </c>
      <c r="C47" s="112">
        <v>5.0</v>
      </c>
      <c r="D47" s="112">
        <v>3.0</v>
      </c>
      <c r="E47" s="112">
        <v>5.0</v>
      </c>
      <c r="F47" s="112">
        <v>5.0</v>
      </c>
      <c r="G47" s="112">
        <v>5.0</v>
      </c>
      <c r="H47" s="112">
        <v>2.0</v>
      </c>
      <c r="I47" s="119">
        <v>13.0</v>
      </c>
      <c r="J47" s="119">
        <v>6.0</v>
      </c>
      <c r="K47" s="119">
        <v>4.0</v>
      </c>
      <c r="L47" s="119">
        <v>12.0</v>
      </c>
      <c r="M47" s="119">
        <v>11.0</v>
      </c>
      <c r="N47" s="119">
        <v>3.0</v>
      </c>
      <c r="O47" s="119">
        <v>9.0</v>
      </c>
      <c r="P47" s="119">
        <v>13.0</v>
      </c>
      <c r="Q47" s="119">
        <v>20.0</v>
      </c>
      <c r="R47" s="119">
        <v>25.0</v>
      </c>
      <c r="S47" s="119">
        <v>24.0</v>
      </c>
      <c r="T47" s="119">
        <v>32.0</v>
      </c>
      <c r="U47" s="119">
        <v>38.0</v>
      </c>
      <c r="V47" s="119">
        <v>40.0</v>
      </c>
      <c r="W47" s="119">
        <v>34.0</v>
      </c>
      <c r="X47" s="119">
        <v>66.0</v>
      </c>
      <c r="Y47" s="119">
        <v>183.0</v>
      </c>
      <c r="Z47" s="119">
        <v>8.0</v>
      </c>
      <c r="AA47" s="119">
        <v>9.0</v>
      </c>
      <c r="AB47" s="119">
        <v>0.0</v>
      </c>
      <c r="AC47" s="119">
        <v>0.0</v>
      </c>
      <c r="AD47" s="119">
        <v>0.0</v>
      </c>
      <c r="AE47" s="119">
        <v>0.0</v>
      </c>
      <c r="AF47" s="100"/>
      <c r="AG47" s="693">
        <f t="shared" ref="AG47:AG56" si="12">sum(B47:AE47)</f>
        <v>581</v>
      </c>
    </row>
    <row r="48">
      <c r="A48" s="670" t="s">
        <v>646</v>
      </c>
      <c r="B48" s="702"/>
      <c r="C48" s="702"/>
      <c r="D48" s="702"/>
      <c r="E48" s="702"/>
      <c r="F48" s="702"/>
      <c r="G48" s="702"/>
      <c r="H48" s="702"/>
      <c r="I48" s="702"/>
      <c r="J48" s="702"/>
      <c r="K48" s="702"/>
      <c r="L48" s="702"/>
      <c r="M48" s="702"/>
      <c r="N48" s="702"/>
      <c r="O48" s="702"/>
      <c r="P48" s="702"/>
      <c r="Q48" s="702"/>
      <c r="R48" s="702"/>
      <c r="S48" s="702"/>
      <c r="T48" s="702"/>
      <c r="U48" s="702"/>
      <c r="V48" s="702"/>
      <c r="W48" s="702"/>
      <c r="X48" s="702"/>
      <c r="Y48" s="702"/>
      <c r="Z48" s="702"/>
      <c r="AA48" s="702"/>
      <c r="AB48" s="702"/>
      <c r="AC48" s="702"/>
      <c r="AD48" s="702"/>
      <c r="AE48" s="702"/>
      <c r="AF48" s="100"/>
      <c r="AG48" s="693">
        <f t="shared" si="12"/>
        <v>0</v>
      </c>
    </row>
    <row r="49">
      <c r="A49" s="670" t="s">
        <v>151</v>
      </c>
      <c r="B49" s="702"/>
      <c r="C49" s="702"/>
      <c r="D49" s="702"/>
      <c r="E49" s="702"/>
      <c r="F49" s="702"/>
      <c r="G49" s="702"/>
      <c r="H49" s="702"/>
      <c r="I49" s="705"/>
      <c r="J49" s="705"/>
      <c r="K49" s="705"/>
      <c r="L49" s="705"/>
      <c r="M49" s="705"/>
      <c r="N49" s="705"/>
      <c r="O49" s="705"/>
      <c r="P49" s="705"/>
      <c r="Q49" s="705"/>
      <c r="R49" s="705"/>
      <c r="S49" s="705"/>
      <c r="T49" s="705"/>
      <c r="U49" s="705"/>
      <c r="V49" s="705"/>
      <c r="W49" s="705"/>
      <c r="X49" s="705"/>
      <c r="Y49" s="705"/>
      <c r="Z49" s="705"/>
      <c r="AA49" s="705"/>
      <c r="AB49" s="705"/>
      <c r="AC49" s="705"/>
      <c r="AD49" s="705"/>
      <c r="AE49" s="705"/>
      <c r="AF49" s="100"/>
      <c r="AG49" s="693">
        <f t="shared" si="12"/>
        <v>0</v>
      </c>
    </row>
    <row r="50">
      <c r="A50" s="670" t="s">
        <v>914</v>
      </c>
      <c r="B50" s="702"/>
      <c r="C50" s="702"/>
      <c r="D50" s="702"/>
      <c r="E50" s="702"/>
      <c r="F50" s="702"/>
      <c r="G50" s="702"/>
      <c r="H50" s="702"/>
      <c r="I50" s="702"/>
      <c r="J50" s="702"/>
      <c r="K50" s="702"/>
      <c r="L50" s="702"/>
      <c r="M50" s="702"/>
      <c r="N50" s="702"/>
      <c r="O50" s="702"/>
      <c r="P50" s="702"/>
      <c r="Q50" s="702"/>
      <c r="R50" s="702"/>
      <c r="S50" s="702"/>
      <c r="T50" s="702"/>
      <c r="U50" s="702"/>
      <c r="V50" s="702"/>
      <c r="W50" s="702"/>
      <c r="X50" s="702"/>
      <c r="Y50" s="702"/>
      <c r="Z50" s="702"/>
      <c r="AA50" s="702"/>
      <c r="AB50" s="702"/>
      <c r="AC50" s="702"/>
      <c r="AD50" s="702"/>
      <c r="AE50" s="702"/>
      <c r="AF50" s="100"/>
      <c r="AG50" s="693">
        <f t="shared" si="12"/>
        <v>0</v>
      </c>
    </row>
    <row r="51">
      <c r="A51" s="670" t="s">
        <v>916</v>
      </c>
      <c r="B51" s="702"/>
      <c r="C51" s="702"/>
      <c r="D51" s="702"/>
      <c r="E51" s="702"/>
      <c r="F51" s="702"/>
      <c r="G51" s="702"/>
      <c r="H51" s="702"/>
      <c r="I51" s="702"/>
      <c r="J51" s="702"/>
      <c r="K51" s="702"/>
      <c r="L51" s="702"/>
      <c r="M51" s="702"/>
      <c r="N51" s="702"/>
      <c r="O51" s="702"/>
      <c r="P51" s="702"/>
      <c r="Q51" s="702"/>
      <c r="R51" s="702"/>
      <c r="S51" s="702"/>
      <c r="T51" s="702"/>
      <c r="U51" s="702"/>
      <c r="V51" s="702"/>
      <c r="W51" s="702"/>
      <c r="X51" s="702"/>
      <c r="Y51" s="702"/>
      <c r="Z51" s="702"/>
      <c r="AA51" s="702"/>
      <c r="AB51" s="702"/>
      <c r="AC51" s="702"/>
      <c r="AD51" s="702"/>
      <c r="AE51" s="702"/>
      <c r="AF51" s="100"/>
      <c r="AG51" s="693">
        <f t="shared" si="12"/>
        <v>0</v>
      </c>
    </row>
    <row r="52">
      <c r="A52" s="670" t="s">
        <v>918</v>
      </c>
      <c r="B52" s="702"/>
      <c r="C52" s="702"/>
      <c r="D52" s="702"/>
      <c r="E52" s="702"/>
      <c r="F52" s="702"/>
      <c r="G52" s="702"/>
      <c r="H52" s="702"/>
      <c r="I52" s="702"/>
      <c r="J52" s="702"/>
      <c r="K52" s="702"/>
      <c r="L52" s="702"/>
      <c r="M52" s="702"/>
      <c r="N52" s="702"/>
      <c r="O52" s="702"/>
      <c r="P52" s="702"/>
      <c r="Q52" s="702"/>
      <c r="R52" s="702"/>
      <c r="S52" s="702"/>
      <c r="T52" s="702"/>
      <c r="U52" s="702"/>
      <c r="V52" s="702"/>
      <c r="W52" s="702"/>
      <c r="X52" s="702"/>
      <c r="Y52" s="702"/>
      <c r="Z52" s="702"/>
      <c r="AA52" s="702"/>
      <c r="AB52" s="702"/>
      <c r="AC52" s="702"/>
      <c r="AD52" s="702"/>
      <c r="AE52" s="702"/>
      <c r="AF52" s="100"/>
      <c r="AG52" s="693">
        <f t="shared" si="12"/>
        <v>0</v>
      </c>
    </row>
    <row r="53">
      <c r="A53" s="670" t="s">
        <v>919</v>
      </c>
      <c r="B53" s="702"/>
      <c r="C53" s="702"/>
      <c r="D53" s="702"/>
      <c r="E53" s="702"/>
      <c r="F53" s="702"/>
      <c r="G53" s="702"/>
      <c r="H53" s="702"/>
      <c r="I53" s="702"/>
      <c r="J53" s="702"/>
      <c r="K53" s="702"/>
      <c r="L53" s="702"/>
      <c r="M53" s="702"/>
      <c r="N53" s="702"/>
      <c r="O53" s="702"/>
      <c r="P53" s="702"/>
      <c r="Q53" s="702"/>
      <c r="R53" s="702"/>
      <c r="S53" s="702"/>
      <c r="T53" s="702"/>
      <c r="U53" s="702"/>
      <c r="V53" s="702"/>
      <c r="W53" s="702"/>
      <c r="X53" s="702"/>
      <c r="Y53" s="702"/>
      <c r="Z53" s="702"/>
      <c r="AA53" s="702"/>
      <c r="AB53" s="702"/>
      <c r="AC53" s="702"/>
      <c r="AD53" s="702"/>
      <c r="AE53" s="702"/>
      <c r="AF53" s="100"/>
      <c r="AG53" s="693">
        <f t="shared" si="12"/>
        <v>0</v>
      </c>
    </row>
    <row r="54">
      <c r="A54" s="670" t="s">
        <v>921</v>
      </c>
      <c r="B54" s="702"/>
      <c r="C54" s="702"/>
      <c r="D54" s="702"/>
      <c r="E54" s="702"/>
      <c r="F54" s="702"/>
      <c r="G54" s="702"/>
      <c r="H54" s="702"/>
      <c r="I54" s="702"/>
      <c r="J54" s="702"/>
      <c r="K54" s="702"/>
      <c r="L54" s="702"/>
      <c r="M54" s="702"/>
      <c r="N54" s="702"/>
      <c r="O54" s="702"/>
      <c r="P54" s="702"/>
      <c r="Q54" s="702"/>
      <c r="R54" s="702"/>
      <c r="S54" s="702"/>
      <c r="T54" s="702"/>
      <c r="U54" s="702"/>
      <c r="V54" s="702"/>
      <c r="W54" s="702"/>
      <c r="X54" s="702"/>
      <c r="Y54" s="702"/>
      <c r="Z54" s="702"/>
      <c r="AA54" s="716"/>
      <c r="AB54" s="702"/>
      <c r="AC54" s="717"/>
      <c r="AD54" s="717"/>
      <c r="AE54" s="717"/>
      <c r="AF54" s="100"/>
      <c r="AG54" s="693">
        <f t="shared" si="12"/>
        <v>0</v>
      </c>
    </row>
    <row r="55">
      <c r="A55" s="670" t="s">
        <v>923</v>
      </c>
      <c r="B55" s="112">
        <v>0.0</v>
      </c>
      <c r="C55" s="112">
        <v>0.0</v>
      </c>
      <c r="D55" s="112">
        <v>0.0</v>
      </c>
      <c r="E55" s="112">
        <v>0.0</v>
      </c>
      <c r="F55" s="112">
        <v>0.0</v>
      </c>
      <c r="G55" s="112">
        <v>0.0</v>
      </c>
      <c r="H55" s="112">
        <v>0.0</v>
      </c>
      <c r="I55" s="112">
        <v>0.0</v>
      </c>
      <c r="J55" s="112">
        <v>0.0</v>
      </c>
      <c r="K55" s="112">
        <v>0.0</v>
      </c>
      <c r="L55" s="112">
        <v>0.0</v>
      </c>
      <c r="M55" s="112">
        <v>0.0</v>
      </c>
      <c r="N55" s="112">
        <v>0.0</v>
      </c>
      <c r="O55" s="112">
        <v>0.0</v>
      </c>
      <c r="P55" s="112">
        <v>0.0</v>
      </c>
      <c r="Q55" s="112">
        <v>0.0</v>
      </c>
      <c r="R55" s="112">
        <v>0.0</v>
      </c>
      <c r="S55" s="112">
        <v>0.0</v>
      </c>
      <c r="T55" s="112">
        <v>0.0</v>
      </c>
      <c r="U55" s="112">
        <v>0.0</v>
      </c>
      <c r="V55" s="112">
        <v>0.0</v>
      </c>
      <c r="W55" s="112">
        <v>0.0</v>
      </c>
      <c r="X55" s="112">
        <v>1.0</v>
      </c>
      <c r="Y55" s="112">
        <v>0.0</v>
      </c>
      <c r="Z55" s="112">
        <v>0.0</v>
      </c>
      <c r="AA55" s="120">
        <v>0.0</v>
      </c>
      <c r="AB55" s="112">
        <v>0.0</v>
      </c>
      <c r="AC55" s="720">
        <v>0.0</v>
      </c>
      <c r="AD55" s="720">
        <v>0.0</v>
      </c>
      <c r="AE55" s="119">
        <v>0.0</v>
      </c>
      <c r="AF55" s="100"/>
      <c r="AG55" s="693">
        <f t="shared" si="12"/>
        <v>1</v>
      </c>
    </row>
    <row r="56">
      <c r="A56" s="697" t="s">
        <v>98</v>
      </c>
      <c r="B56" s="124">
        <f t="shared" ref="B56:AF56" si="13">SUM(B47:B55)</f>
        <v>6</v>
      </c>
      <c r="C56" s="124">
        <f t="shared" si="13"/>
        <v>5</v>
      </c>
      <c r="D56" s="124">
        <f t="shared" si="13"/>
        <v>3</v>
      </c>
      <c r="E56" s="124">
        <f t="shared" si="13"/>
        <v>5</v>
      </c>
      <c r="F56" s="124">
        <f t="shared" si="13"/>
        <v>5</v>
      </c>
      <c r="G56" s="124">
        <f t="shared" si="13"/>
        <v>5</v>
      </c>
      <c r="H56" s="124">
        <f t="shared" si="13"/>
        <v>2</v>
      </c>
      <c r="I56" s="124">
        <f t="shared" si="13"/>
        <v>13</v>
      </c>
      <c r="J56" s="124">
        <f t="shared" si="13"/>
        <v>6</v>
      </c>
      <c r="K56" s="124">
        <f t="shared" si="13"/>
        <v>4</v>
      </c>
      <c r="L56" s="124">
        <f t="shared" si="13"/>
        <v>12</v>
      </c>
      <c r="M56" s="124">
        <f t="shared" si="13"/>
        <v>11</v>
      </c>
      <c r="N56" s="124">
        <f t="shared" si="13"/>
        <v>3</v>
      </c>
      <c r="O56" s="124">
        <f t="shared" si="13"/>
        <v>9</v>
      </c>
      <c r="P56" s="124">
        <f t="shared" si="13"/>
        <v>13</v>
      </c>
      <c r="Q56" s="124">
        <f t="shared" si="13"/>
        <v>20</v>
      </c>
      <c r="R56" s="124">
        <f t="shared" si="13"/>
        <v>25</v>
      </c>
      <c r="S56" s="124">
        <f t="shared" si="13"/>
        <v>24</v>
      </c>
      <c r="T56" s="124">
        <f t="shared" si="13"/>
        <v>32</v>
      </c>
      <c r="U56" s="124">
        <f t="shared" si="13"/>
        <v>38</v>
      </c>
      <c r="V56" s="124">
        <f t="shared" si="13"/>
        <v>40</v>
      </c>
      <c r="W56" s="124">
        <f t="shared" si="13"/>
        <v>34</v>
      </c>
      <c r="X56" s="124">
        <f t="shared" si="13"/>
        <v>67</v>
      </c>
      <c r="Y56" s="124">
        <f t="shared" si="13"/>
        <v>183</v>
      </c>
      <c r="Z56" s="124">
        <f t="shared" si="13"/>
        <v>8</v>
      </c>
      <c r="AA56" s="124">
        <f t="shared" si="13"/>
        <v>9</v>
      </c>
      <c r="AB56" s="124">
        <f t="shared" si="13"/>
        <v>0</v>
      </c>
      <c r="AC56" s="124">
        <f t="shared" si="13"/>
        <v>0</v>
      </c>
      <c r="AD56" s="124">
        <f t="shared" si="13"/>
        <v>0</v>
      </c>
      <c r="AE56" s="124">
        <f t="shared" si="13"/>
        <v>0</v>
      </c>
      <c r="AF56" s="124">
        <f t="shared" si="13"/>
        <v>0</v>
      </c>
      <c r="AG56" s="693">
        <f t="shared" si="12"/>
        <v>582</v>
      </c>
    </row>
    <row r="57">
      <c r="A57" s="723"/>
      <c r="AF57" s="100"/>
      <c r="AG57" s="693"/>
    </row>
    <row r="58">
      <c r="A58" s="723"/>
      <c r="AF58" s="100"/>
      <c r="AG58" s="693"/>
    </row>
    <row r="59">
      <c r="A59" s="349" t="s">
        <v>287</v>
      </c>
      <c r="AF59" s="100"/>
      <c r="AG59" s="693"/>
    </row>
    <row r="60">
      <c r="A60" s="670" t="s">
        <v>907</v>
      </c>
      <c r="B60" s="724"/>
      <c r="C60" s="724"/>
      <c r="D60" s="724"/>
      <c r="E60" s="724"/>
      <c r="F60" s="724"/>
      <c r="G60" s="724"/>
      <c r="H60" s="724"/>
      <c r="I60" s="724"/>
      <c r="J60" s="724"/>
      <c r="K60" s="724"/>
      <c r="L60" s="724"/>
      <c r="M60" s="724"/>
      <c r="N60" s="724"/>
      <c r="O60" s="724"/>
      <c r="P60" s="724"/>
      <c r="Q60" s="724"/>
      <c r="R60" s="724"/>
      <c r="S60" s="724"/>
      <c r="T60" s="724"/>
      <c r="U60" s="724"/>
      <c r="V60" s="724"/>
      <c r="W60" s="724"/>
      <c r="X60" s="724"/>
      <c r="Y60" s="724"/>
      <c r="Z60" s="724"/>
      <c r="AA60" s="724"/>
      <c r="AB60" s="724"/>
      <c r="AC60" s="724"/>
      <c r="AD60" s="724"/>
      <c r="AE60" s="724"/>
      <c r="AF60" s="100"/>
      <c r="AG60" s="693"/>
    </row>
    <row r="61">
      <c r="A61" s="670" t="s">
        <v>908</v>
      </c>
      <c r="B61" s="724"/>
      <c r="C61" s="724"/>
      <c r="D61" s="724"/>
      <c r="E61" s="724"/>
      <c r="F61" s="724"/>
      <c r="G61" s="724"/>
      <c r="H61" s="724"/>
      <c r="I61" s="724"/>
      <c r="J61" s="724"/>
      <c r="K61" s="724"/>
      <c r="L61" s="724"/>
      <c r="M61" s="724"/>
      <c r="N61" s="724"/>
      <c r="O61" s="724"/>
      <c r="P61" s="724"/>
      <c r="Q61" s="724"/>
      <c r="R61" s="724"/>
      <c r="S61" s="724"/>
      <c r="T61" s="724"/>
      <c r="U61" s="724"/>
      <c r="V61" s="724"/>
      <c r="W61" s="724"/>
      <c r="X61" s="724"/>
      <c r="Y61" s="724"/>
      <c r="Z61" s="724"/>
      <c r="AA61" s="724"/>
      <c r="AB61" s="724"/>
      <c r="AC61" s="724"/>
      <c r="AD61" s="724"/>
      <c r="AE61" s="724"/>
      <c r="AF61" s="100"/>
      <c r="AG61" s="693"/>
    </row>
    <row r="62">
      <c r="A62" s="670" t="s">
        <v>909</v>
      </c>
      <c r="B62" s="724"/>
      <c r="C62" s="724"/>
      <c r="D62" s="724"/>
      <c r="E62" s="724"/>
      <c r="F62" s="724"/>
      <c r="G62" s="724"/>
      <c r="H62" s="724"/>
      <c r="I62" s="724"/>
      <c r="J62" s="724"/>
      <c r="K62" s="724"/>
      <c r="L62" s="724"/>
      <c r="M62" s="724"/>
      <c r="N62" s="724"/>
      <c r="O62" s="724"/>
      <c r="P62" s="724"/>
      <c r="Q62" s="724"/>
      <c r="R62" s="724"/>
      <c r="S62" s="724"/>
      <c r="T62" s="724"/>
      <c r="U62" s="724"/>
      <c r="V62" s="724"/>
      <c r="W62" s="724"/>
      <c r="X62" s="724"/>
      <c r="Y62" s="724"/>
      <c r="Z62" s="724"/>
      <c r="AA62" s="724"/>
      <c r="AB62" s="724"/>
      <c r="AC62" s="724"/>
      <c r="AD62" s="724"/>
      <c r="AE62" s="724"/>
      <c r="AF62" s="100"/>
      <c r="AG62" s="693">
        <f t="shared" ref="AG62:AG64" si="14">sum(B62:AE62)</f>
        <v>0</v>
      </c>
    </row>
    <row r="63">
      <c r="A63" s="670" t="s">
        <v>911</v>
      </c>
      <c r="B63" s="724"/>
      <c r="C63" s="724"/>
      <c r="D63" s="724"/>
      <c r="E63" s="724"/>
      <c r="F63" s="724"/>
      <c r="G63" s="724"/>
      <c r="H63" s="724"/>
      <c r="I63" s="724"/>
      <c r="J63" s="724"/>
      <c r="K63" s="724"/>
      <c r="L63" s="724"/>
      <c r="M63" s="724"/>
      <c r="N63" s="724"/>
      <c r="O63" s="724"/>
      <c r="P63" s="724"/>
      <c r="Q63" s="724"/>
      <c r="R63" s="724"/>
      <c r="S63" s="724"/>
      <c r="T63" s="724"/>
      <c r="U63" s="724"/>
      <c r="V63" s="728"/>
      <c r="W63" s="728"/>
      <c r="X63" s="724"/>
      <c r="Y63" s="724"/>
      <c r="Z63" s="724"/>
      <c r="AA63" s="724"/>
      <c r="AB63" s="724"/>
      <c r="AC63" s="581"/>
      <c r="AD63" s="581"/>
      <c r="AE63" s="724"/>
      <c r="AF63" s="100"/>
      <c r="AG63" s="693">
        <f t="shared" si="14"/>
        <v>0</v>
      </c>
    </row>
    <row r="64">
      <c r="A64" s="697" t="s">
        <v>180</v>
      </c>
      <c r="B64" s="731">
        <f t="shared" ref="B64:AF64" si="15">SUM(B62:B63)</f>
        <v>0</v>
      </c>
      <c r="C64" s="731">
        <f t="shared" si="15"/>
        <v>0</v>
      </c>
      <c r="D64" s="731">
        <f t="shared" si="15"/>
        <v>0</v>
      </c>
      <c r="E64" s="731">
        <f t="shared" si="15"/>
        <v>0</v>
      </c>
      <c r="F64" s="731">
        <f t="shared" si="15"/>
        <v>0</v>
      </c>
      <c r="G64" s="731">
        <f t="shared" si="15"/>
        <v>0</v>
      </c>
      <c r="H64" s="731">
        <f t="shared" si="15"/>
        <v>0</v>
      </c>
      <c r="I64" s="731">
        <f t="shared" si="15"/>
        <v>0</v>
      </c>
      <c r="J64" s="731">
        <f t="shared" si="15"/>
        <v>0</v>
      </c>
      <c r="K64" s="731">
        <f t="shared" si="15"/>
        <v>0</v>
      </c>
      <c r="L64" s="731">
        <f t="shared" si="15"/>
        <v>0</v>
      </c>
      <c r="M64" s="731">
        <f t="shared" si="15"/>
        <v>0</v>
      </c>
      <c r="N64" s="731">
        <f t="shared" si="15"/>
        <v>0</v>
      </c>
      <c r="O64" s="731">
        <f t="shared" si="15"/>
        <v>0</v>
      </c>
      <c r="P64" s="731">
        <f t="shared" si="15"/>
        <v>0</v>
      </c>
      <c r="Q64" s="731">
        <f t="shared" si="15"/>
        <v>0</v>
      </c>
      <c r="R64" s="731">
        <f t="shared" si="15"/>
        <v>0</v>
      </c>
      <c r="S64" s="731">
        <f t="shared" si="15"/>
        <v>0</v>
      </c>
      <c r="T64" s="731">
        <f t="shared" si="15"/>
        <v>0</v>
      </c>
      <c r="U64" s="731">
        <f t="shared" si="15"/>
        <v>0</v>
      </c>
      <c r="V64" s="731">
        <f t="shared" si="15"/>
        <v>0</v>
      </c>
      <c r="W64" s="731">
        <f t="shared" si="15"/>
        <v>0</v>
      </c>
      <c r="X64" s="731">
        <f t="shared" si="15"/>
        <v>0</v>
      </c>
      <c r="Y64" s="731">
        <f t="shared" si="15"/>
        <v>0</v>
      </c>
      <c r="Z64" s="731">
        <f t="shared" si="15"/>
        <v>0</v>
      </c>
      <c r="AA64" s="731">
        <f t="shared" si="15"/>
        <v>0</v>
      </c>
      <c r="AB64" s="731">
        <f t="shared" si="15"/>
        <v>0</v>
      </c>
      <c r="AC64" s="731">
        <f t="shared" si="15"/>
        <v>0</v>
      </c>
      <c r="AD64" s="731">
        <f t="shared" si="15"/>
        <v>0</v>
      </c>
      <c r="AE64" s="731">
        <f t="shared" si="15"/>
        <v>0</v>
      </c>
      <c r="AF64" s="731">
        <f t="shared" si="15"/>
        <v>0</v>
      </c>
      <c r="AG64" s="693">
        <f t="shared" si="14"/>
        <v>0</v>
      </c>
    </row>
    <row r="65">
      <c r="A65" s="25"/>
      <c r="AF65" s="100"/>
      <c r="AG65" s="693"/>
    </row>
    <row r="66">
      <c r="A66" s="670" t="s">
        <v>150</v>
      </c>
      <c r="B66" s="724"/>
      <c r="C66" s="724"/>
      <c r="D66" s="724"/>
      <c r="E66" s="724"/>
      <c r="F66" s="724"/>
      <c r="G66" s="724"/>
      <c r="H66" s="724"/>
      <c r="I66" s="724"/>
      <c r="J66" s="724"/>
      <c r="K66" s="724"/>
      <c r="L66" s="724"/>
      <c r="M66" s="724"/>
      <c r="N66" s="724"/>
      <c r="O66" s="724"/>
      <c r="P66" s="724"/>
      <c r="Q66" s="724"/>
      <c r="R66" s="724"/>
      <c r="S66" s="724"/>
      <c r="T66" s="724"/>
      <c r="U66" s="724"/>
      <c r="V66" s="724"/>
      <c r="W66" s="724"/>
      <c r="X66" s="724"/>
      <c r="Y66" s="724"/>
      <c r="Z66" s="724"/>
      <c r="AA66" s="724"/>
      <c r="AB66" s="724"/>
      <c r="AC66" s="724"/>
      <c r="AD66" s="735"/>
      <c r="AE66" s="724"/>
      <c r="AF66" s="100"/>
      <c r="AG66" s="693">
        <f t="shared" ref="AG66:AG68" si="16">sum(B66:AE66)</f>
        <v>0</v>
      </c>
    </row>
    <row r="67">
      <c r="A67" s="670" t="s">
        <v>646</v>
      </c>
      <c r="B67" s="724"/>
      <c r="C67" s="724"/>
      <c r="D67" s="724"/>
      <c r="E67" s="724"/>
      <c r="F67" s="724"/>
      <c r="G67" s="724"/>
      <c r="H67" s="724"/>
      <c r="I67" s="724"/>
      <c r="J67" s="37"/>
      <c r="K67" s="724"/>
      <c r="L67" s="724"/>
      <c r="M67" s="724"/>
      <c r="N67" s="724"/>
      <c r="O67" s="724"/>
      <c r="P67" s="724"/>
      <c r="Q67" s="724"/>
      <c r="R67" s="724"/>
      <c r="S67" s="724"/>
      <c r="T67" s="724"/>
      <c r="U67" s="724"/>
      <c r="V67" s="724"/>
      <c r="W67" s="724"/>
      <c r="X67" s="724"/>
      <c r="Y67" s="724"/>
      <c r="Z67" s="724"/>
      <c r="AA67" s="724"/>
      <c r="AB67" s="724"/>
      <c r="AC67" s="724"/>
      <c r="AD67" s="581"/>
      <c r="AE67" s="724"/>
      <c r="AF67" s="100"/>
      <c r="AG67" s="693">
        <f t="shared" si="16"/>
        <v>0</v>
      </c>
    </row>
    <row r="68">
      <c r="A68" s="670" t="s">
        <v>151</v>
      </c>
      <c r="B68" s="724"/>
      <c r="C68" s="724"/>
      <c r="D68" s="724"/>
      <c r="E68" s="724"/>
      <c r="F68" s="724"/>
      <c r="G68" s="724"/>
      <c r="H68" s="724"/>
      <c r="I68" s="724"/>
      <c r="J68" s="724"/>
      <c r="K68" s="724"/>
      <c r="L68" s="724"/>
      <c r="M68" s="724"/>
      <c r="N68" s="724"/>
      <c r="O68" s="724"/>
      <c r="P68" s="724"/>
      <c r="Q68" s="724"/>
      <c r="R68" s="724"/>
      <c r="S68" s="724"/>
      <c r="T68" s="724"/>
      <c r="U68" s="724"/>
      <c r="V68" s="724"/>
      <c r="W68" s="724"/>
      <c r="X68" s="724"/>
      <c r="Y68" s="724"/>
      <c r="Z68" s="724"/>
      <c r="AA68" s="724"/>
      <c r="AB68" s="724"/>
      <c r="AC68" s="737"/>
      <c r="AD68" s="737"/>
      <c r="AE68" s="724"/>
      <c r="AF68" s="100"/>
      <c r="AG68" s="693">
        <f t="shared" si="16"/>
        <v>0</v>
      </c>
    </row>
    <row r="69">
      <c r="A69" s="670" t="s">
        <v>914</v>
      </c>
      <c r="B69" s="724"/>
      <c r="C69" s="724"/>
      <c r="D69" s="724"/>
      <c r="E69" s="724"/>
      <c r="F69" s="724"/>
      <c r="G69" s="724"/>
      <c r="H69" s="724"/>
      <c r="I69" s="724"/>
      <c r="J69" s="724"/>
      <c r="K69" s="724"/>
      <c r="L69" s="724"/>
      <c r="M69" s="724"/>
      <c r="N69" s="724"/>
      <c r="O69" s="724"/>
      <c r="P69" s="724"/>
      <c r="Q69" s="724"/>
      <c r="R69" s="724"/>
      <c r="S69" s="724"/>
      <c r="T69" s="724"/>
      <c r="U69" s="724"/>
      <c r="V69" s="724"/>
      <c r="W69" s="724"/>
      <c r="X69" s="724"/>
      <c r="Y69" s="724"/>
      <c r="Z69" s="724"/>
      <c r="AA69" s="724"/>
      <c r="AB69" s="724"/>
      <c r="AC69" s="738"/>
      <c r="AD69" s="738"/>
      <c r="AE69" s="724"/>
      <c r="AF69" s="100"/>
      <c r="AG69" s="693"/>
    </row>
    <row r="70">
      <c r="A70" s="670" t="s">
        <v>916</v>
      </c>
      <c r="B70" s="724"/>
      <c r="C70" s="724"/>
      <c r="D70" s="724"/>
      <c r="E70" s="724"/>
      <c r="F70" s="724"/>
      <c r="G70" s="724"/>
      <c r="H70" s="724"/>
      <c r="I70" s="724"/>
      <c r="J70" s="724"/>
      <c r="K70" s="724"/>
      <c r="L70" s="724"/>
      <c r="M70" s="724"/>
      <c r="N70" s="724"/>
      <c r="O70" s="724"/>
      <c r="P70" s="724"/>
      <c r="Q70" s="724"/>
      <c r="R70" s="724"/>
      <c r="S70" s="724"/>
      <c r="T70" s="724"/>
      <c r="U70" s="724"/>
      <c r="V70" s="724"/>
      <c r="W70" s="724"/>
      <c r="X70" s="724"/>
      <c r="Y70" s="724"/>
      <c r="Z70" s="724"/>
      <c r="AA70" s="724"/>
      <c r="AB70" s="724"/>
      <c r="AC70" s="738"/>
      <c r="AD70" s="738"/>
      <c r="AE70" s="724"/>
      <c r="AF70" s="100"/>
      <c r="AG70" s="693"/>
    </row>
    <row r="71">
      <c r="A71" s="670" t="s">
        <v>918</v>
      </c>
      <c r="B71" s="724"/>
      <c r="C71" s="724"/>
      <c r="D71" s="724"/>
      <c r="E71" s="724"/>
      <c r="F71" s="724"/>
      <c r="G71" s="724"/>
      <c r="H71" s="724"/>
      <c r="I71" s="724"/>
      <c r="J71" s="724"/>
      <c r="K71" s="724"/>
      <c r="L71" s="724"/>
      <c r="M71" s="724"/>
      <c r="N71" s="724"/>
      <c r="O71" s="724"/>
      <c r="P71" s="724"/>
      <c r="Q71" s="724"/>
      <c r="R71" s="724"/>
      <c r="S71" s="724"/>
      <c r="T71" s="724"/>
      <c r="U71" s="724"/>
      <c r="V71" s="724"/>
      <c r="W71" s="724"/>
      <c r="X71" s="724"/>
      <c r="Y71" s="724"/>
      <c r="Z71" s="724"/>
      <c r="AA71" s="724"/>
      <c r="AB71" s="724"/>
      <c r="AC71" s="738"/>
      <c r="AD71" s="738"/>
      <c r="AE71" s="724"/>
      <c r="AF71" s="100"/>
      <c r="AG71" s="693"/>
    </row>
    <row r="72">
      <c r="A72" s="670" t="s">
        <v>919</v>
      </c>
      <c r="B72" s="724"/>
      <c r="C72" s="724"/>
      <c r="D72" s="724"/>
      <c r="E72" s="724"/>
      <c r="F72" s="724"/>
      <c r="G72" s="724"/>
      <c r="H72" s="724"/>
      <c r="I72" s="724"/>
      <c r="J72" s="724"/>
      <c r="K72" s="724"/>
      <c r="L72" s="724"/>
      <c r="M72" s="724"/>
      <c r="N72" s="724"/>
      <c r="O72" s="724"/>
      <c r="P72" s="724"/>
      <c r="Q72" s="724"/>
      <c r="R72" s="724"/>
      <c r="S72" s="724"/>
      <c r="T72" s="724"/>
      <c r="U72" s="724"/>
      <c r="V72" s="724"/>
      <c r="W72" s="724"/>
      <c r="X72" s="724"/>
      <c r="Y72" s="724"/>
      <c r="Z72" s="724"/>
      <c r="AA72" s="724"/>
      <c r="AB72" s="724"/>
      <c r="AC72" s="738"/>
      <c r="AD72" s="738"/>
      <c r="AE72" s="724"/>
      <c r="AF72" s="100"/>
      <c r="AG72" s="693"/>
    </row>
    <row r="73">
      <c r="A73" s="670" t="s">
        <v>921</v>
      </c>
      <c r="B73" s="724"/>
      <c r="C73" s="724"/>
      <c r="D73" s="724"/>
      <c r="E73" s="724"/>
      <c r="F73" s="724"/>
      <c r="G73" s="724"/>
      <c r="H73" s="724"/>
      <c r="I73" s="724"/>
      <c r="J73" s="724"/>
      <c r="K73" s="724"/>
      <c r="L73" s="724"/>
      <c r="M73" s="724"/>
      <c r="N73" s="724"/>
      <c r="O73" s="724"/>
      <c r="P73" s="724"/>
      <c r="Q73" s="724"/>
      <c r="R73" s="724"/>
      <c r="S73" s="724"/>
      <c r="T73" s="724"/>
      <c r="U73" s="724"/>
      <c r="V73" s="724"/>
      <c r="W73" s="724"/>
      <c r="X73" s="724"/>
      <c r="Y73" s="724"/>
      <c r="Z73" s="724"/>
      <c r="AA73" s="724"/>
      <c r="AB73" s="724"/>
      <c r="AC73" s="738"/>
      <c r="AD73" s="738"/>
      <c r="AE73" s="724"/>
      <c r="AF73" s="100"/>
      <c r="AG73" s="693">
        <f t="shared" ref="AG73:AG75" si="17">sum(B73:AE73)</f>
        <v>0</v>
      </c>
    </row>
    <row r="74">
      <c r="A74" s="670" t="s">
        <v>923</v>
      </c>
      <c r="B74" s="724"/>
      <c r="C74" s="724"/>
      <c r="D74" s="724"/>
      <c r="E74" s="724"/>
      <c r="F74" s="724"/>
      <c r="G74" s="724"/>
      <c r="H74" s="724"/>
      <c r="I74" s="724"/>
      <c r="J74" s="724"/>
      <c r="K74" s="724"/>
      <c r="L74" s="724"/>
      <c r="M74" s="724"/>
      <c r="N74" s="724"/>
      <c r="O74" s="724"/>
      <c r="P74" s="724"/>
      <c r="Q74" s="724"/>
      <c r="R74" s="724"/>
      <c r="S74" s="724"/>
      <c r="T74" s="724"/>
      <c r="U74" s="724"/>
      <c r="V74" s="724"/>
      <c r="W74" s="724"/>
      <c r="X74" s="724"/>
      <c r="Y74" s="724"/>
      <c r="Z74" s="724"/>
      <c r="AA74" s="724"/>
      <c r="AB74" s="724"/>
      <c r="AC74" s="738"/>
      <c r="AD74" s="738"/>
      <c r="AE74" s="724"/>
      <c r="AF74" s="100"/>
      <c r="AG74" s="693">
        <f t="shared" si="17"/>
        <v>0</v>
      </c>
    </row>
    <row r="75">
      <c r="A75" s="697" t="s">
        <v>98</v>
      </c>
      <c r="B75" s="731">
        <f t="shared" ref="B75:AF75" si="18">SUM(B66:B74)</f>
        <v>0</v>
      </c>
      <c r="C75" s="731">
        <f t="shared" si="18"/>
        <v>0</v>
      </c>
      <c r="D75" s="731">
        <f t="shared" si="18"/>
        <v>0</v>
      </c>
      <c r="E75" s="731">
        <f t="shared" si="18"/>
        <v>0</v>
      </c>
      <c r="F75" s="731">
        <f t="shared" si="18"/>
        <v>0</v>
      </c>
      <c r="G75" s="731">
        <f t="shared" si="18"/>
        <v>0</v>
      </c>
      <c r="H75" s="731">
        <f t="shared" si="18"/>
        <v>0</v>
      </c>
      <c r="I75" s="731">
        <f t="shared" si="18"/>
        <v>0</v>
      </c>
      <c r="J75" s="731">
        <f t="shared" si="18"/>
        <v>0</v>
      </c>
      <c r="K75" s="731">
        <f t="shared" si="18"/>
        <v>0</v>
      </c>
      <c r="L75" s="731">
        <f t="shared" si="18"/>
        <v>0</v>
      </c>
      <c r="M75" s="731">
        <f t="shared" si="18"/>
        <v>0</v>
      </c>
      <c r="N75" s="731">
        <f t="shared" si="18"/>
        <v>0</v>
      </c>
      <c r="O75" s="731">
        <f t="shared" si="18"/>
        <v>0</v>
      </c>
      <c r="P75" s="731">
        <f t="shared" si="18"/>
        <v>0</v>
      </c>
      <c r="Q75" s="731">
        <f t="shared" si="18"/>
        <v>0</v>
      </c>
      <c r="R75" s="731">
        <f t="shared" si="18"/>
        <v>0</v>
      </c>
      <c r="S75" s="731">
        <f t="shared" si="18"/>
        <v>0</v>
      </c>
      <c r="T75" s="731">
        <f t="shared" si="18"/>
        <v>0</v>
      </c>
      <c r="U75" s="731">
        <f t="shared" si="18"/>
        <v>0</v>
      </c>
      <c r="V75" s="731">
        <f t="shared" si="18"/>
        <v>0</v>
      </c>
      <c r="W75" s="731">
        <f t="shared" si="18"/>
        <v>0</v>
      </c>
      <c r="X75" s="731">
        <f t="shared" si="18"/>
        <v>0</v>
      </c>
      <c r="Y75" s="731">
        <f t="shared" si="18"/>
        <v>0</v>
      </c>
      <c r="Z75" s="731">
        <f t="shared" si="18"/>
        <v>0</v>
      </c>
      <c r="AA75" s="731">
        <f t="shared" si="18"/>
        <v>0</v>
      </c>
      <c r="AB75" s="731">
        <f t="shared" si="18"/>
        <v>0</v>
      </c>
      <c r="AC75" s="731">
        <f t="shared" si="18"/>
        <v>0</v>
      </c>
      <c r="AD75" s="731">
        <f t="shared" si="18"/>
        <v>0</v>
      </c>
      <c r="AE75" s="731">
        <f t="shared" si="18"/>
        <v>0</v>
      </c>
      <c r="AF75" s="731">
        <f t="shared" si="18"/>
        <v>0</v>
      </c>
      <c r="AG75" s="693">
        <f t="shared" si="17"/>
        <v>0</v>
      </c>
    </row>
    <row r="76">
      <c r="A76" s="723"/>
      <c r="AF76" s="100"/>
      <c r="AG76" s="693"/>
    </row>
    <row r="77">
      <c r="A77" s="349" t="s">
        <v>337</v>
      </c>
      <c r="AF77" s="100"/>
      <c r="AG77" s="693"/>
    </row>
    <row r="78">
      <c r="A78" s="670" t="s">
        <v>907</v>
      </c>
      <c r="B78" s="724"/>
      <c r="C78" s="724"/>
      <c r="D78" s="724"/>
      <c r="E78" s="724"/>
      <c r="F78" s="724"/>
      <c r="G78" s="724"/>
      <c r="H78" s="724"/>
      <c r="I78" s="724"/>
      <c r="J78" s="724"/>
      <c r="K78" s="724"/>
      <c r="L78" s="724"/>
      <c r="M78" s="724"/>
      <c r="N78" s="724"/>
      <c r="O78" s="724"/>
      <c r="P78" s="724"/>
      <c r="Q78" s="724"/>
      <c r="R78" s="724"/>
      <c r="S78" s="724"/>
      <c r="T78" s="724"/>
      <c r="U78" s="724"/>
      <c r="V78" s="724"/>
      <c r="W78" s="724"/>
      <c r="X78" s="724"/>
      <c r="Y78" s="724"/>
      <c r="Z78" s="724"/>
      <c r="AA78" s="724"/>
      <c r="AB78" s="724"/>
      <c r="AC78" s="724"/>
      <c r="AD78" s="724"/>
      <c r="AE78" s="724"/>
      <c r="AF78" s="100"/>
      <c r="AG78" s="693"/>
    </row>
    <row r="79">
      <c r="A79" s="670" t="s">
        <v>908</v>
      </c>
      <c r="B79" s="724"/>
      <c r="C79" s="724"/>
      <c r="D79" s="724"/>
      <c r="E79" s="724"/>
      <c r="F79" s="724"/>
      <c r="G79" s="724"/>
      <c r="H79" s="724"/>
      <c r="I79" s="724"/>
      <c r="J79" s="724"/>
      <c r="K79" s="724"/>
      <c r="L79" s="724"/>
      <c r="M79" s="724"/>
      <c r="N79" s="724"/>
      <c r="O79" s="724"/>
      <c r="P79" s="724"/>
      <c r="Q79" s="724"/>
      <c r="R79" s="724"/>
      <c r="S79" s="724"/>
      <c r="T79" s="724"/>
      <c r="U79" s="724"/>
      <c r="V79" s="724"/>
      <c r="W79" s="724"/>
      <c r="X79" s="724"/>
      <c r="Y79" s="724"/>
      <c r="Z79" s="724"/>
      <c r="AA79" s="724"/>
      <c r="AB79" s="724"/>
      <c r="AC79" s="724"/>
      <c r="AD79" s="724"/>
      <c r="AE79" s="724"/>
      <c r="AF79" s="100"/>
      <c r="AG79" s="693"/>
    </row>
    <row r="80">
      <c r="A80" s="670" t="s">
        <v>909</v>
      </c>
      <c r="B80" s="724"/>
      <c r="C80" s="724"/>
      <c r="D80" s="724"/>
      <c r="E80" s="724"/>
      <c r="F80" s="724"/>
      <c r="G80" s="724"/>
      <c r="H80" s="724"/>
      <c r="I80" s="724"/>
      <c r="J80" s="724"/>
      <c r="K80" s="724"/>
      <c r="L80" s="724"/>
      <c r="M80" s="724"/>
      <c r="N80" s="724"/>
      <c r="O80" s="724"/>
      <c r="P80" s="724"/>
      <c r="Q80" s="724"/>
      <c r="R80" s="724"/>
      <c r="S80" s="724"/>
      <c r="T80" s="724"/>
      <c r="U80" s="724"/>
      <c r="V80" s="724"/>
      <c r="W80" s="724"/>
      <c r="X80" s="724"/>
      <c r="Y80" s="724"/>
      <c r="Z80" s="724"/>
      <c r="AA80" s="724"/>
      <c r="AB80" s="724"/>
      <c r="AC80" s="724"/>
      <c r="AD80" s="724"/>
      <c r="AE80" s="724"/>
      <c r="AF80" s="100"/>
      <c r="AG80" s="693">
        <f t="shared" ref="AG80:AG82" si="19">sum(B80:AE80)</f>
        <v>0</v>
      </c>
    </row>
    <row r="81">
      <c r="A81" s="670" t="s">
        <v>911</v>
      </c>
      <c r="B81" s="746">
        <v>0.0</v>
      </c>
      <c r="C81" s="746">
        <v>0.0</v>
      </c>
      <c r="D81" s="746">
        <v>0.0</v>
      </c>
      <c r="E81" s="746">
        <v>0.0</v>
      </c>
      <c r="F81" s="746">
        <v>0.0</v>
      </c>
      <c r="G81" s="746">
        <v>0.0</v>
      </c>
      <c r="H81" s="746">
        <v>0.0</v>
      </c>
      <c r="I81" s="746">
        <v>0.0</v>
      </c>
      <c r="J81" s="746">
        <v>0.0</v>
      </c>
      <c r="K81" s="746">
        <v>0.0</v>
      </c>
      <c r="L81" s="746">
        <v>0.0</v>
      </c>
      <c r="M81" s="746">
        <v>0.0</v>
      </c>
      <c r="N81" s="746">
        <v>0.0</v>
      </c>
      <c r="O81" s="746">
        <v>0.0</v>
      </c>
      <c r="P81" s="746">
        <v>0.0</v>
      </c>
      <c r="Q81" s="746">
        <v>0.0</v>
      </c>
      <c r="R81" s="746">
        <v>0.0</v>
      </c>
      <c r="S81" s="746">
        <v>0.0</v>
      </c>
      <c r="T81" s="746">
        <v>0.0</v>
      </c>
      <c r="U81" s="746">
        <v>0.0</v>
      </c>
      <c r="V81" s="746">
        <v>0.0</v>
      </c>
      <c r="W81" s="746">
        <v>0.0</v>
      </c>
      <c r="X81" s="746">
        <v>0.0</v>
      </c>
      <c r="Y81" s="746">
        <v>0.0</v>
      </c>
      <c r="Z81" s="746">
        <v>0.0</v>
      </c>
      <c r="AA81" s="748">
        <v>0.0</v>
      </c>
      <c r="AB81" s="746">
        <v>0.0</v>
      </c>
      <c r="AC81" s="746">
        <v>0.0</v>
      </c>
      <c r="AD81" s="746">
        <v>0.0</v>
      </c>
      <c r="AE81" s="746">
        <v>0.0</v>
      </c>
      <c r="AF81" s="100"/>
      <c r="AG81" s="693">
        <f t="shared" si="19"/>
        <v>0</v>
      </c>
    </row>
    <row r="82">
      <c r="A82" s="697" t="s">
        <v>180</v>
      </c>
      <c r="B82" s="731">
        <f t="shared" ref="B82:AF82" si="20">SUM(B80:B81)</f>
        <v>0</v>
      </c>
      <c r="C82" s="731">
        <f t="shared" si="20"/>
        <v>0</v>
      </c>
      <c r="D82" s="731">
        <f t="shared" si="20"/>
        <v>0</v>
      </c>
      <c r="E82" s="731">
        <f t="shared" si="20"/>
        <v>0</v>
      </c>
      <c r="F82" s="731">
        <f t="shared" si="20"/>
        <v>0</v>
      </c>
      <c r="G82" s="731">
        <f t="shared" si="20"/>
        <v>0</v>
      </c>
      <c r="H82" s="731">
        <f t="shared" si="20"/>
        <v>0</v>
      </c>
      <c r="I82" s="731">
        <f t="shared" si="20"/>
        <v>0</v>
      </c>
      <c r="J82" s="731">
        <f t="shared" si="20"/>
        <v>0</v>
      </c>
      <c r="K82" s="731">
        <f t="shared" si="20"/>
        <v>0</v>
      </c>
      <c r="L82" s="731">
        <f t="shared" si="20"/>
        <v>0</v>
      </c>
      <c r="M82" s="731">
        <f t="shared" si="20"/>
        <v>0</v>
      </c>
      <c r="N82" s="731">
        <f t="shared" si="20"/>
        <v>0</v>
      </c>
      <c r="O82" s="731">
        <f t="shared" si="20"/>
        <v>0</v>
      </c>
      <c r="P82" s="731">
        <f t="shared" si="20"/>
        <v>0</v>
      </c>
      <c r="Q82" s="731">
        <f t="shared" si="20"/>
        <v>0</v>
      </c>
      <c r="R82" s="731">
        <f t="shared" si="20"/>
        <v>0</v>
      </c>
      <c r="S82" s="731">
        <f t="shared" si="20"/>
        <v>0</v>
      </c>
      <c r="T82" s="731">
        <f t="shared" si="20"/>
        <v>0</v>
      </c>
      <c r="U82" s="731">
        <f t="shared" si="20"/>
        <v>0</v>
      </c>
      <c r="V82" s="731">
        <f t="shared" si="20"/>
        <v>0</v>
      </c>
      <c r="W82" s="731">
        <f t="shared" si="20"/>
        <v>0</v>
      </c>
      <c r="X82" s="731">
        <f t="shared" si="20"/>
        <v>0</v>
      </c>
      <c r="Y82" s="731">
        <f t="shared" si="20"/>
        <v>0</v>
      </c>
      <c r="Z82" s="731">
        <f t="shared" si="20"/>
        <v>0</v>
      </c>
      <c r="AA82" s="731">
        <f t="shared" si="20"/>
        <v>0</v>
      </c>
      <c r="AB82" s="731">
        <f t="shared" si="20"/>
        <v>0</v>
      </c>
      <c r="AC82" s="731">
        <f t="shared" si="20"/>
        <v>0</v>
      </c>
      <c r="AD82" s="731">
        <f t="shared" si="20"/>
        <v>0</v>
      </c>
      <c r="AE82" s="731">
        <f t="shared" si="20"/>
        <v>0</v>
      </c>
      <c r="AF82" s="731">
        <f t="shared" si="20"/>
        <v>0</v>
      </c>
      <c r="AG82" s="693">
        <f t="shared" si="19"/>
        <v>0</v>
      </c>
    </row>
    <row r="83">
      <c r="A83" s="25"/>
      <c r="AF83" s="100"/>
      <c r="AG83" s="693"/>
    </row>
    <row r="84">
      <c r="A84" s="670" t="s">
        <v>150</v>
      </c>
      <c r="B84" s="724"/>
      <c r="C84" s="724"/>
      <c r="D84" s="724"/>
      <c r="E84" s="724"/>
      <c r="F84" s="724"/>
      <c r="G84" s="724"/>
      <c r="H84" s="724"/>
      <c r="I84" s="724"/>
      <c r="J84" s="724"/>
      <c r="K84" s="724"/>
      <c r="L84" s="724"/>
      <c r="M84" s="724"/>
      <c r="N84" s="724"/>
      <c r="O84" s="724"/>
      <c r="P84" s="724"/>
      <c r="Q84" s="724"/>
      <c r="R84" s="724"/>
      <c r="S84" s="724"/>
      <c r="T84" s="724"/>
      <c r="U84" s="724"/>
      <c r="V84" s="724"/>
      <c r="W84" s="724"/>
      <c r="X84" s="724"/>
      <c r="Y84" s="724"/>
      <c r="Z84" s="724"/>
      <c r="AA84" s="724"/>
      <c r="AB84" s="724"/>
      <c r="AC84" s="724"/>
      <c r="AD84" s="724"/>
      <c r="AE84" s="724"/>
      <c r="AF84" s="100"/>
      <c r="AG84" s="693">
        <f t="shared" ref="AG84:AG86" si="21">sum(B84:AE84)</f>
        <v>0</v>
      </c>
    </row>
    <row r="85">
      <c r="A85" s="670" t="s">
        <v>646</v>
      </c>
      <c r="B85" s="724"/>
      <c r="C85" s="724"/>
      <c r="D85" s="724"/>
      <c r="E85" s="724"/>
      <c r="F85" s="724"/>
      <c r="G85" s="724"/>
      <c r="H85" s="724"/>
      <c r="I85" s="724"/>
      <c r="J85" s="724"/>
      <c r="K85" s="724"/>
      <c r="L85" s="724"/>
      <c r="M85" s="724"/>
      <c r="N85" s="724"/>
      <c r="O85" s="724"/>
      <c r="P85" s="724"/>
      <c r="Q85" s="724"/>
      <c r="R85" s="724"/>
      <c r="S85" s="724"/>
      <c r="T85" s="724"/>
      <c r="U85" s="724"/>
      <c r="V85" s="724"/>
      <c r="W85" s="724"/>
      <c r="X85" s="724"/>
      <c r="Y85" s="724"/>
      <c r="Z85" s="724"/>
      <c r="AA85" s="724"/>
      <c r="AB85" s="724"/>
      <c r="AC85" s="724"/>
      <c r="AD85" s="724"/>
      <c r="AE85" s="724"/>
      <c r="AF85" s="100"/>
      <c r="AG85" s="693">
        <f t="shared" si="21"/>
        <v>0</v>
      </c>
    </row>
    <row r="86">
      <c r="A86" s="670" t="s">
        <v>151</v>
      </c>
      <c r="B86" s="724"/>
      <c r="C86" s="724"/>
      <c r="D86" s="724"/>
      <c r="E86" s="724"/>
      <c r="F86" s="724"/>
      <c r="G86" s="724"/>
      <c r="H86" s="724"/>
      <c r="I86" s="724"/>
      <c r="J86" s="724"/>
      <c r="K86" s="724"/>
      <c r="L86" s="724"/>
      <c r="M86" s="724"/>
      <c r="N86" s="724"/>
      <c r="O86" s="724"/>
      <c r="P86" s="724"/>
      <c r="Q86" s="724"/>
      <c r="R86" s="724"/>
      <c r="S86" s="724"/>
      <c r="T86" s="724"/>
      <c r="U86" s="724"/>
      <c r="V86" s="724"/>
      <c r="W86" s="724"/>
      <c r="X86" s="724"/>
      <c r="Y86" s="724"/>
      <c r="Z86" s="724"/>
      <c r="AA86" s="724"/>
      <c r="AB86" s="724"/>
      <c r="AC86" s="724"/>
      <c r="AD86" s="724"/>
      <c r="AE86" s="724"/>
      <c r="AF86" s="100"/>
      <c r="AG86" s="693">
        <f t="shared" si="21"/>
        <v>0</v>
      </c>
    </row>
    <row r="87">
      <c r="A87" s="670" t="s">
        <v>914</v>
      </c>
      <c r="B87" s="724"/>
      <c r="C87" s="724"/>
      <c r="D87" s="724"/>
      <c r="E87" s="724"/>
      <c r="F87" s="724"/>
      <c r="G87" s="724"/>
      <c r="H87" s="724"/>
      <c r="I87" s="724"/>
      <c r="J87" s="724"/>
      <c r="K87" s="724"/>
      <c r="L87" s="724"/>
      <c r="M87" s="724"/>
      <c r="N87" s="724"/>
      <c r="O87" s="724"/>
      <c r="P87" s="724"/>
      <c r="Q87" s="724"/>
      <c r="R87" s="724"/>
      <c r="S87" s="724"/>
      <c r="T87" s="724"/>
      <c r="U87" s="724"/>
      <c r="V87" s="724"/>
      <c r="W87" s="724"/>
      <c r="X87" s="724"/>
      <c r="Y87" s="724"/>
      <c r="Z87" s="724"/>
      <c r="AA87" s="724"/>
      <c r="AB87" s="724"/>
      <c r="AC87" s="724"/>
      <c r="AD87" s="724"/>
      <c r="AE87" s="724"/>
      <c r="AF87" s="100"/>
      <c r="AG87" s="693"/>
    </row>
    <row r="88">
      <c r="A88" s="670" t="s">
        <v>916</v>
      </c>
      <c r="B88" s="724"/>
      <c r="C88" s="724"/>
      <c r="D88" s="724"/>
      <c r="E88" s="724"/>
      <c r="F88" s="724"/>
      <c r="G88" s="724"/>
      <c r="H88" s="724"/>
      <c r="I88" s="724"/>
      <c r="J88" s="724"/>
      <c r="K88" s="724"/>
      <c r="L88" s="724"/>
      <c r="M88" s="724"/>
      <c r="N88" s="724"/>
      <c r="O88" s="724"/>
      <c r="P88" s="724"/>
      <c r="Q88" s="724"/>
      <c r="R88" s="724"/>
      <c r="S88" s="724"/>
      <c r="T88" s="724"/>
      <c r="U88" s="724"/>
      <c r="V88" s="724"/>
      <c r="W88" s="724"/>
      <c r="X88" s="724"/>
      <c r="Y88" s="724"/>
      <c r="Z88" s="724"/>
      <c r="AA88" s="724"/>
      <c r="AB88" s="724"/>
      <c r="AC88" s="724"/>
      <c r="AD88" s="724"/>
      <c r="AE88" s="724"/>
      <c r="AF88" s="100"/>
      <c r="AG88" s="693"/>
    </row>
    <row r="89">
      <c r="A89" s="670" t="s">
        <v>918</v>
      </c>
      <c r="B89" s="724"/>
      <c r="C89" s="724"/>
      <c r="D89" s="724"/>
      <c r="E89" s="724"/>
      <c r="F89" s="724"/>
      <c r="G89" s="724"/>
      <c r="H89" s="724"/>
      <c r="I89" s="724"/>
      <c r="J89" s="724"/>
      <c r="K89" s="724"/>
      <c r="L89" s="724"/>
      <c r="M89" s="724"/>
      <c r="N89" s="724"/>
      <c r="O89" s="724"/>
      <c r="P89" s="724"/>
      <c r="Q89" s="724"/>
      <c r="R89" s="724"/>
      <c r="S89" s="724"/>
      <c r="T89" s="724"/>
      <c r="U89" s="724"/>
      <c r="V89" s="724"/>
      <c r="W89" s="724"/>
      <c r="X89" s="724"/>
      <c r="Y89" s="724"/>
      <c r="Z89" s="724"/>
      <c r="AA89" s="724"/>
      <c r="AB89" s="724"/>
      <c r="AC89" s="724"/>
      <c r="AD89" s="724"/>
      <c r="AE89" s="724"/>
      <c r="AF89" s="100"/>
      <c r="AG89" s="693"/>
    </row>
    <row r="90">
      <c r="A90" s="670" t="s">
        <v>919</v>
      </c>
      <c r="B90" s="724"/>
      <c r="C90" s="724"/>
      <c r="D90" s="724"/>
      <c r="E90" s="724"/>
      <c r="F90" s="724"/>
      <c r="G90" s="724"/>
      <c r="H90" s="724"/>
      <c r="I90" s="724"/>
      <c r="J90" s="724"/>
      <c r="K90" s="724"/>
      <c r="L90" s="724"/>
      <c r="M90" s="724"/>
      <c r="N90" s="724"/>
      <c r="O90" s="724"/>
      <c r="P90" s="724"/>
      <c r="Q90" s="724"/>
      <c r="R90" s="724"/>
      <c r="S90" s="724"/>
      <c r="T90" s="724"/>
      <c r="U90" s="724"/>
      <c r="V90" s="724"/>
      <c r="W90" s="724"/>
      <c r="X90" s="724"/>
      <c r="Y90" s="724"/>
      <c r="Z90" s="724"/>
      <c r="AA90" s="724"/>
      <c r="AB90" s="724"/>
      <c r="AC90" s="724"/>
      <c r="AD90" s="724"/>
      <c r="AE90" s="724"/>
      <c r="AF90" s="100"/>
      <c r="AG90" s="693"/>
    </row>
    <row r="91">
      <c r="A91" s="670" t="s">
        <v>921</v>
      </c>
      <c r="B91" s="724"/>
      <c r="C91" s="724"/>
      <c r="D91" s="724"/>
      <c r="E91" s="724"/>
      <c r="F91" s="724"/>
      <c r="G91" s="724"/>
      <c r="H91" s="724"/>
      <c r="I91" s="724"/>
      <c r="J91" s="724"/>
      <c r="K91" s="724"/>
      <c r="L91" s="724"/>
      <c r="M91" s="724"/>
      <c r="N91" s="724"/>
      <c r="O91" s="724"/>
      <c r="P91" s="724"/>
      <c r="Q91" s="724"/>
      <c r="R91" s="724"/>
      <c r="S91" s="724"/>
      <c r="T91" s="724"/>
      <c r="U91" s="724"/>
      <c r="V91" s="724"/>
      <c r="W91" s="724"/>
      <c r="X91" s="724"/>
      <c r="Y91" s="724"/>
      <c r="Z91" s="724"/>
      <c r="AA91" s="724"/>
      <c r="AB91" s="724"/>
      <c r="AC91" s="724"/>
      <c r="AD91" s="724"/>
      <c r="AE91" s="724"/>
      <c r="AF91" s="100"/>
      <c r="AG91" s="693">
        <f t="shared" ref="AG91:AG93" si="22">sum(B91:AE91)</f>
        <v>0</v>
      </c>
    </row>
    <row r="92">
      <c r="A92" s="670" t="s">
        <v>923</v>
      </c>
      <c r="B92" s="724"/>
      <c r="C92" s="724"/>
      <c r="D92" s="724"/>
      <c r="E92" s="724"/>
      <c r="F92" s="724"/>
      <c r="G92" s="724"/>
      <c r="H92" s="724"/>
      <c r="I92" s="724"/>
      <c r="J92" s="724"/>
      <c r="K92" s="724"/>
      <c r="L92" s="724"/>
      <c r="M92" s="724"/>
      <c r="N92" s="724"/>
      <c r="O92" s="724"/>
      <c r="P92" s="724"/>
      <c r="Q92" s="724"/>
      <c r="R92" s="724"/>
      <c r="S92" s="724"/>
      <c r="T92" s="724"/>
      <c r="U92" s="724"/>
      <c r="V92" s="724"/>
      <c r="W92" s="724"/>
      <c r="X92" s="724"/>
      <c r="Y92" s="724"/>
      <c r="Z92" s="724"/>
      <c r="AA92" s="724"/>
      <c r="AB92" s="724"/>
      <c r="AC92" s="724"/>
      <c r="AD92" s="724"/>
      <c r="AE92" s="724"/>
      <c r="AF92" s="100"/>
      <c r="AG92" s="693">
        <f t="shared" si="22"/>
        <v>0</v>
      </c>
    </row>
    <row r="93">
      <c r="A93" s="697" t="s">
        <v>98</v>
      </c>
      <c r="B93" s="731">
        <f t="shared" ref="B93:AF93" si="23">SUM(B84:B92)</f>
        <v>0</v>
      </c>
      <c r="C93" s="731">
        <f t="shared" si="23"/>
        <v>0</v>
      </c>
      <c r="D93" s="731">
        <f t="shared" si="23"/>
        <v>0</v>
      </c>
      <c r="E93" s="731">
        <f t="shared" si="23"/>
        <v>0</v>
      </c>
      <c r="F93" s="731">
        <f t="shared" si="23"/>
        <v>0</v>
      </c>
      <c r="G93" s="731">
        <f t="shared" si="23"/>
        <v>0</v>
      </c>
      <c r="H93" s="731">
        <f t="shared" si="23"/>
        <v>0</v>
      </c>
      <c r="I93" s="731">
        <f t="shared" si="23"/>
        <v>0</v>
      </c>
      <c r="J93" s="731">
        <f t="shared" si="23"/>
        <v>0</v>
      </c>
      <c r="K93" s="731">
        <f t="shared" si="23"/>
        <v>0</v>
      </c>
      <c r="L93" s="731">
        <f t="shared" si="23"/>
        <v>0</v>
      </c>
      <c r="M93" s="731">
        <f t="shared" si="23"/>
        <v>0</v>
      </c>
      <c r="N93" s="731">
        <f t="shared" si="23"/>
        <v>0</v>
      </c>
      <c r="O93" s="731">
        <f t="shared" si="23"/>
        <v>0</v>
      </c>
      <c r="P93" s="731">
        <f t="shared" si="23"/>
        <v>0</v>
      </c>
      <c r="Q93" s="731">
        <f t="shared" si="23"/>
        <v>0</v>
      </c>
      <c r="R93" s="731">
        <f t="shared" si="23"/>
        <v>0</v>
      </c>
      <c r="S93" s="731">
        <f t="shared" si="23"/>
        <v>0</v>
      </c>
      <c r="T93" s="731">
        <f t="shared" si="23"/>
        <v>0</v>
      </c>
      <c r="U93" s="731">
        <f t="shared" si="23"/>
        <v>0</v>
      </c>
      <c r="V93" s="731">
        <f t="shared" si="23"/>
        <v>0</v>
      </c>
      <c r="W93" s="731">
        <f t="shared" si="23"/>
        <v>0</v>
      </c>
      <c r="X93" s="731">
        <f t="shared" si="23"/>
        <v>0</v>
      </c>
      <c r="Y93" s="731">
        <f t="shared" si="23"/>
        <v>0</v>
      </c>
      <c r="Z93" s="731">
        <f t="shared" si="23"/>
        <v>0</v>
      </c>
      <c r="AA93" s="731">
        <f t="shared" si="23"/>
        <v>0</v>
      </c>
      <c r="AB93" s="731">
        <f t="shared" si="23"/>
        <v>0</v>
      </c>
      <c r="AC93" s="731">
        <f t="shared" si="23"/>
        <v>0</v>
      </c>
      <c r="AD93" s="731">
        <f t="shared" si="23"/>
        <v>0</v>
      </c>
      <c r="AE93" s="731">
        <f t="shared" si="23"/>
        <v>0</v>
      </c>
      <c r="AF93" s="731">
        <f t="shared" si="23"/>
        <v>0</v>
      </c>
      <c r="AG93" s="693">
        <f t="shared" si="22"/>
        <v>0</v>
      </c>
    </row>
    <row r="94">
      <c r="A94" s="723"/>
      <c r="AF94" s="100"/>
      <c r="AG94" s="693"/>
    </row>
    <row r="95">
      <c r="A95" s="349" t="s">
        <v>361</v>
      </c>
      <c r="B95" s="112"/>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100"/>
      <c r="AG95" s="693"/>
    </row>
    <row r="96">
      <c r="A96" s="670" t="s">
        <v>907</v>
      </c>
      <c r="B96" s="746">
        <f t="shared" ref="B96:AF96" si="24">B41-B180</f>
        <v>12</v>
      </c>
      <c r="C96" s="746">
        <f t="shared" si="24"/>
        <v>6</v>
      </c>
      <c r="D96" s="746">
        <f t="shared" si="24"/>
        <v>6</v>
      </c>
      <c r="E96" s="746">
        <f t="shared" si="24"/>
        <v>3</v>
      </c>
      <c r="F96" s="746">
        <f t="shared" si="24"/>
        <v>9</v>
      </c>
      <c r="G96" s="746">
        <f t="shared" si="24"/>
        <v>7</v>
      </c>
      <c r="H96" s="746">
        <f t="shared" si="24"/>
        <v>7</v>
      </c>
      <c r="I96" s="746">
        <f t="shared" si="24"/>
        <v>21</v>
      </c>
      <c r="J96" s="746">
        <f t="shared" si="24"/>
        <v>25</v>
      </c>
      <c r="K96" s="746">
        <f t="shared" si="24"/>
        <v>10</v>
      </c>
      <c r="L96" s="746">
        <f t="shared" si="24"/>
        <v>18</v>
      </c>
      <c r="M96" s="746">
        <f t="shared" si="24"/>
        <v>15</v>
      </c>
      <c r="N96" s="746">
        <f t="shared" si="24"/>
        <v>19</v>
      </c>
      <c r="O96" s="746">
        <f t="shared" si="24"/>
        <v>25</v>
      </c>
      <c r="P96" s="746">
        <f t="shared" si="24"/>
        <v>19</v>
      </c>
      <c r="Q96" s="746">
        <f t="shared" si="24"/>
        <v>13</v>
      </c>
      <c r="R96" s="746">
        <f t="shared" si="24"/>
        <v>17</v>
      </c>
      <c r="S96" s="746">
        <f t="shared" si="24"/>
        <v>16</v>
      </c>
      <c r="T96" s="746">
        <f t="shared" si="24"/>
        <v>35</v>
      </c>
      <c r="U96" s="746">
        <f t="shared" si="24"/>
        <v>0</v>
      </c>
      <c r="V96" s="746">
        <f t="shared" si="24"/>
        <v>3</v>
      </c>
      <c r="W96" s="746">
        <f t="shared" si="24"/>
        <v>0</v>
      </c>
      <c r="X96" s="746">
        <f t="shared" si="24"/>
        <v>2</v>
      </c>
      <c r="Y96" s="746">
        <f t="shared" si="24"/>
        <v>0</v>
      </c>
      <c r="Z96" s="746">
        <f t="shared" si="24"/>
        <v>0</v>
      </c>
      <c r="AA96" s="746">
        <f t="shared" si="24"/>
        <v>0</v>
      </c>
      <c r="AB96" s="746">
        <f t="shared" si="24"/>
        <v>0</v>
      </c>
      <c r="AC96" s="746">
        <f t="shared" si="24"/>
        <v>0</v>
      </c>
      <c r="AD96" s="746">
        <f t="shared" si="24"/>
        <v>0</v>
      </c>
      <c r="AE96" s="746">
        <f t="shared" si="24"/>
        <v>0</v>
      </c>
      <c r="AF96" s="755">
        <f t="shared" si="24"/>
        <v>0</v>
      </c>
      <c r="AG96" s="693"/>
    </row>
    <row r="97">
      <c r="A97" s="670" t="s">
        <v>908</v>
      </c>
      <c r="B97" s="746">
        <f t="shared" ref="B97:AF97" si="25">B42</f>
        <v>0</v>
      </c>
      <c r="C97" s="746">
        <f t="shared" si="25"/>
        <v>0</v>
      </c>
      <c r="D97" s="746">
        <f t="shared" si="25"/>
        <v>0</v>
      </c>
      <c r="E97" s="746">
        <f t="shared" si="25"/>
        <v>0</v>
      </c>
      <c r="F97" s="746">
        <f t="shared" si="25"/>
        <v>1</v>
      </c>
      <c r="G97" s="746">
        <f t="shared" si="25"/>
        <v>2</v>
      </c>
      <c r="H97" s="746">
        <f t="shared" si="25"/>
        <v>1</v>
      </c>
      <c r="I97" s="746">
        <f t="shared" si="25"/>
        <v>4</v>
      </c>
      <c r="J97" s="746">
        <f t="shared" si="25"/>
        <v>3</v>
      </c>
      <c r="K97" s="746">
        <f t="shared" si="25"/>
        <v>2</v>
      </c>
      <c r="L97" s="746">
        <f t="shared" si="25"/>
        <v>3</v>
      </c>
      <c r="M97" s="746">
        <f t="shared" si="25"/>
        <v>2</v>
      </c>
      <c r="N97" s="746">
        <f t="shared" si="25"/>
        <v>3</v>
      </c>
      <c r="O97" s="746">
        <f t="shared" si="25"/>
        <v>1</v>
      </c>
      <c r="P97" s="746">
        <f t="shared" si="25"/>
        <v>0</v>
      </c>
      <c r="Q97" s="746">
        <f t="shared" si="25"/>
        <v>0</v>
      </c>
      <c r="R97" s="746">
        <f t="shared" si="25"/>
        <v>0</v>
      </c>
      <c r="S97" s="746">
        <f t="shared" si="25"/>
        <v>237</v>
      </c>
      <c r="T97" s="746">
        <f t="shared" si="25"/>
        <v>0</v>
      </c>
      <c r="U97" s="746">
        <f t="shared" si="25"/>
        <v>0</v>
      </c>
      <c r="V97" s="746">
        <f t="shared" si="25"/>
        <v>0</v>
      </c>
      <c r="W97" s="746">
        <f t="shared" si="25"/>
        <v>0</v>
      </c>
      <c r="X97" s="746">
        <f t="shared" si="25"/>
        <v>0</v>
      </c>
      <c r="Y97" s="746">
        <f t="shared" si="25"/>
        <v>1</v>
      </c>
      <c r="Z97" s="746">
        <f t="shared" si="25"/>
        <v>0</v>
      </c>
      <c r="AA97" s="746">
        <f t="shared" si="25"/>
        <v>0</v>
      </c>
      <c r="AB97" s="746">
        <f t="shared" si="25"/>
        <v>0</v>
      </c>
      <c r="AC97" s="746">
        <f t="shared" si="25"/>
        <v>0</v>
      </c>
      <c r="AD97" s="746">
        <f t="shared" si="25"/>
        <v>0</v>
      </c>
      <c r="AE97" s="746">
        <f t="shared" si="25"/>
        <v>0</v>
      </c>
      <c r="AF97" s="755" t="str">
        <f t="shared" si="25"/>
        <v/>
      </c>
      <c r="AG97" s="693"/>
    </row>
    <row r="98">
      <c r="A98" s="670" t="s">
        <v>909</v>
      </c>
      <c r="B98" s="756">
        <f t="shared" ref="B98:AF98" si="26">B43-B181</f>
        <v>30</v>
      </c>
      <c r="C98" s="756">
        <f t="shared" si="26"/>
        <v>26</v>
      </c>
      <c r="D98" s="756">
        <f t="shared" si="26"/>
        <v>44</v>
      </c>
      <c r="E98" s="756">
        <f t="shared" si="26"/>
        <v>51</v>
      </c>
      <c r="F98" s="756">
        <f t="shared" si="26"/>
        <v>53</v>
      </c>
      <c r="G98" s="756">
        <f t="shared" si="26"/>
        <v>42</v>
      </c>
      <c r="H98" s="756">
        <f t="shared" si="26"/>
        <v>35</v>
      </c>
      <c r="I98" s="756">
        <f t="shared" si="26"/>
        <v>15</v>
      </c>
      <c r="J98" s="756">
        <f t="shared" si="26"/>
        <v>71</v>
      </c>
      <c r="K98" s="756">
        <f t="shared" si="26"/>
        <v>96</v>
      </c>
      <c r="L98" s="756">
        <f t="shared" si="26"/>
        <v>137</v>
      </c>
      <c r="M98" s="756">
        <f t="shared" si="26"/>
        <v>139</v>
      </c>
      <c r="N98" s="756">
        <f t="shared" si="26"/>
        <v>123</v>
      </c>
      <c r="O98" s="756">
        <f t="shared" si="26"/>
        <v>120</v>
      </c>
      <c r="P98" s="756">
        <f t="shared" si="26"/>
        <v>148</v>
      </c>
      <c r="Q98" s="756">
        <f t="shared" si="26"/>
        <v>170</v>
      </c>
      <c r="R98" s="756">
        <f t="shared" si="26"/>
        <v>201</v>
      </c>
      <c r="S98" s="756">
        <f t="shared" si="26"/>
        <v>10</v>
      </c>
      <c r="T98" s="756">
        <f t="shared" si="26"/>
        <v>138</v>
      </c>
      <c r="U98" s="756">
        <f t="shared" si="26"/>
        <v>488</v>
      </c>
      <c r="V98" s="756">
        <f t="shared" si="26"/>
        <v>486</v>
      </c>
      <c r="W98" s="756">
        <f t="shared" si="26"/>
        <v>550</v>
      </c>
      <c r="X98" s="756">
        <f t="shared" si="26"/>
        <v>868</v>
      </c>
      <c r="Y98" s="756">
        <f t="shared" si="26"/>
        <v>3287</v>
      </c>
      <c r="Z98" s="756">
        <f t="shared" si="26"/>
        <v>1152</v>
      </c>
      <c r="AA98" s="756">
        <f t="shared" si="26"/>
        <v>1126</v>
      </c>
      <c r="AB98" s="756">
        <f t="shared" si="26"/>
        <v>19</v>
      </c>
      <c r="AC98" s="756">
        <f t="shared" si="26"/>
        <v>0</v>
      </c>
      <c r="AD98" s="756">
        <f t="shared" si="26"/>
        <v>0</v>
      </c>
      <c r="AE98" s="756">
        <f t="shared" si="26"/>
        <v>0</v>
      </c>
      <c r="AF98" s="757">
        <f t="shared" si="26"/>
        <v>0</v>
      </c>
      <c r="AG98" s="693">
        <f t="shared" ref="AG98:AG100" si="28">sum(B98:AE98)</f>
        <v>9625</v>
      </c>
    </row>
    <row r="99">
      <c r="A99" s="670" t="s">
        <v>911</v>
      </c>
      <c r="B99" s="756">
        <f t="shared" ref="B99:AF99" si="27">B44</f>
        <v>0</v>
      </c>
      <c r="C99" s="756">
        <f t="shared" si="27"/>
        <v>1</v>
      </c>
      <c r="D99" s="756">
        <f t="shared" si="27"/>
        <v>0</v>
      </c>
      <c r="E99" s="756">
        <f t="shared" si="27"/>
        <v>3</v>
      </c>
      <c r="F99" s="756">
        <f t="shared" si="27"/>
        <v>3</v>
      </c>
      <c r="G99" s="756">
        <f t="shared" si="27"/>
        <v>3</v>
      </c>
      <c r="H99" s="756">
        <f t="shared" si="27"/>
        <v>0</v>
      </c>
      <c r="I99" s="758">
        <f t="shared" si="27"/>
        <v>14</v>
      </c>
      <c r="J99" s="758">
        <f t="shared" si="27"/>
        <v>10</v>
      </c>
      <c r="K99" s="758">
        <f t="shared" si="27"/>
        <v>4</v>
      </c>
      <c r="L99" s="758">
        <f t="shared" si="27"/>
        <v>7</v>
      </c>
      <c r="M99" s="758">
        <f t="shared" si="27"/>
        <v>8</v>
      </c>
      <c r="N99" s="758">
        <f t="shared" si="27"/>
        <v>3</v>
      </c>
      <c r="O99" s="757">
        <f t="shared" si="27"/>
        <v>11</v>
      </c>
      <c r="P99" s="758">
        <f t="shared" si="27"/>
        <v>7</v>
      </c>
      <c r="Q99" s="758">
        <f t="shared" si="27"/>
        <v>8</v>
      </c>
      <c r="R99" s="758">
        <f t="shared" si="27"/>
        <v>13</v>
      </c>
      <c r="S99" s="758">
        <f t="shared" si="27"/>
        <v>293</v>
      </c>
      <c r="T99" s="758">
        <f t="shared" si="27"/>
        <v>0</v>
      </c>
      <c r="U99" s="758">
        <f t="shared" si="27"/>
        <v>1</v>
      </c>
      <c r="V99" s="758">
        <f t="shared" si="27"/>
        <v>2</v>
      </c>
      <c r="W99" s="758">
        <f t="shared" si="27"/>
        <v>0</v>
      </c>
      <c r="X99" s="758">
        <f t="shared" si="27"/>
        <v>3</v>
      </c>
      <c r="Y99" s="758">
        <f t="shared" si="27"/>
        <v>5</v>
      </c>
      <c r="Z99" s="758">
        <f t="shared" si="27"/>
        <v>0</v>
      </c>
      <c r="AA99" s="758">
        <f t="shared" si="27"/>
        <v>0</v>
      </c>
      <c r="AB99" s="758">
        <f t="shared" si="27"/>
        <v>0</v>
      </c>
      <c r="AC99" s="758">
        <f t="shared" si="27"/>
        <v>0</v>
      </c>
      <c r="AD99" s="758">
        <f t="shared" si="27"/>
        <v>0</v>
      </c>
      <c r="AE99" s="758">
        <f t="shared" si="27"/>
        <v>0</v>
      </c>
      <c r="AF99" s="757" t="str">
        <f t="shared" si="27"/>
        <v/>
      </c>
      <c r="AG99" s="693">
        <f t="shared" si="28"/>
        <v>399</v>
      </c>
    </row>
    <row r="100">
      <c r="A100" s="697" t="s">
        <v>180</v>
      </c>
      <c r="B100" s="124">
        <f t="shared" ref="B100:AF100" si="29">SUM(B98:B99)</f>
        <v>30</v>
      </c>
      <c r="C100" s="124">
        <f t="shared" si="29"/>
        <v>27</v>
      </c>
      <c r="D100" s="124">
        <f t="shared" si="29"/>
        <v>44</v>
      </c>
      <c r="E100" s="124">
        <f t="shared" si="29"/>
        <v>54</v>
      </c>
      <c r="F100" s="124">
        <f t="shared" si="29"/>
        <v>56</v>
      </c>
      <c r="G100" s="124">
        <f t="shared" si="29"/>
        <v>45</v>
      </c>
      <c r="H100" s="124">
        <f t="shared" si="29"/>
        <v>35</v>
      </c>
      <c r="I100" s="124">
        <f t="shared" si="29"/>
        <v>29</v>
      </c>
      <c r="J100" s="124">
        <f t="shared" si="29"/>
        <v>81</v>
      </c>
      <c r="K100" s="124">
        <f t="shared" si="29"/>
        <v>100</v>
      </c>
      <c r="L100" s="124">
        <f t="shared" si="29"/>
        <v>144</v>
      </c>
      <c r="M100" s="124">
        <f t="shared" si="29"/>
        <v>147</v>
      </c>
      <c r="N100" s="124">
        <f t="shared" si="29"/>
        <v>126</v>
      </c>
      <c r="O100" s="124">
        <f t="shared" si="29"/>
        <v>131</v>
      </c>
      <c r="P100" s="124">
        <f t="shared" si="29"/>
        <v>155</v>
      </c>
      <c r="Q100" s="124">
        <f t="shared" si="29"/>
        <v>178</v>
      </c>
      <c r="R100" s="124">
        <f t="shared" si="29"/>
        <v>214</v>
      </c>
      <c r="S100" s="124">
        <f t="shared" si="29"/>
        <v>303</v>
      </c>
      <c r="T100" s="124">
        <f t="shared" si="29"/>
        <v>138</v>
      </c>
      <c r="U100" s="124">
        <f t="shared" si="29"/>
        <v>489</v>
      </c>
      <c r="V100" s="124">
        <f t="shared" si="29"/>
        <v>488</v>
      </c>
      <c r="W100" s="124">
        <f t="shared" si="29"/>
        <v>550</v>
      </c>
      <c r="X100" s="124">
        <f t="shared" si="29"/>
        <v>871</v>
      </c>
      <c r="Y100" s="124">
        <f t="shared" si="29"/>
        <v>3292</v>
      </c>
      <c r="Z100" s="124">
        <f t="shared" si="29"/>
        <v>1152</v>
      </c>
      <c r="AA100" s="124">
        <f t="shared" si="29"/>
        <v>1126</v>
      </c>
      <c r="AB100" s="124">
        <f t="shared" si="29"/>
        <v>19</v>
      </c>
      <c r="AC100" s="124">
        <f t="shared" si="29"/>
        <v>0</v>
      </c>
      <c r="AD100" s="124">
        <f t="shared" si="29"/>
        <v>0</v>
      </c>
      <c r="AE100" s="124">
        <f t="shared" si="29"/>
        <v>0</v>
      </c>
      <c r="AF100" s="124">
        <f t="shared" si="29"/>
        <v>0</v>
      </c>
      <c r="AG100" s="693">
        <f t="shared" si="28"/>
        <v>10024</v>
      </c>
    </row>
    <row r="101">
      <c r="A101" s="25"/>
      <c r="B101" s="699"/>
      <c r="C101" s="699"/>
      <c r="D101" s="699"/>
      <c r="E101" s="699"/>
      <c r="F101" s="699"/>
      <c r="G101" s="699"/>
      <c r="H101" s="699"/>
      <c r="I101" s="699"/>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100"/>
      <c r="AG101" s="693"/>
    </row>
    <row r="102">
      <c r="A102" s="670" t="s">
        <v>150</v>
      </c>
      <c r="B102" s="21">
        <f t="shared" ref="B102:AE102" si="30">B47-B189-B196-B203</f>
        <v>6</v>
      </c>
      <c r="C102" s="21">
        <f t="shared" si="30"/>
        <v>5</v>
      </c>
      <c r="D102" s="21">
        <f t="shared" si="30"/>
        <v>3</v>
      </c>
      <c r="E102" s="21">
        <f t="shared" si="30"/>
        <v>5</v>
      </c>
      <c r="F102" s="21">
        <f t="shared" si="30"/>
        <v>5</v>
      </c>
      <c r="G102" s="21">
        <f t="shared" si="30"/>
        <v>5</v>
      </c>
      <c r="H102" s="21">
        <f t="shared" si="30"/>
        <v>2</v>
      </c>
      <c r="I102" s="21">
        <f t="shared" si="30"/>
        <v>13</v>
      </c>
      <c r="J102" s="21">
        <f t="shared" si="30"/>
        <v>6</v>
      </c>
      <c r="K102" s="21">
        <f t="shared" si="30"/>
        <v>4</v>
      </c>
      <c r="L102" s="21">
        <f t="shared" si="30"/>
        <v>12</v>
      </c>
      <c r="M102" s="21">
        <f t="shared" si="30"/>
        <v>11</v>
      </c>
      <c r="N102" s="21">
        <f t="shared" si="30"/>
        <v>3</v>
      </c>
      <c r="O102" s="21">
        <f t="shared" si="30"/>
        <v>9</v>
      </c>
      <c r="P102" s="21">
        <f t="shared" si="30"/>
        <v>13</v>
      </c>
      <c r="Q102" s="21">
        <f t="shared" si="30"/>
        <v>20</v>
      </c>
      <c r="R102" s="21">
        <f t="shared" si="30"/>
        <v>25</v>
      </c>
      <c r="S102" s="21">
        <f t="shared" si="30"/>
        <v>24</v>
      </c>
      <c r="T102" s="21">
        <f t="shared" si="30"/>
        <v>32</v>
      </c>
      <c r="U102" s="21">
        <f t="shared" si="30"/>
        <v>38</v>
      </c>
      <c r="V102" s="21">
        <f t="shared" si="30"/>
        <v>40</v>
      </c>
      <c r="W102" s="21">
        <f t="shared" si="30"/>
        <v>34</v>
      </c>
      <c r="X102" s="21">
        <f t="shared" si="30"/>
        <v>66</v>
      </c>
      <c r="Y102" s="21">
        <f t="shared" si="30"/>
        <v>183</v>
      </c>
      <c r="Z102" s="21">
        <f t="shared" si="30"/>
        <v>8</v>
      </c>
      <c r="AA102" s="21">
        <f t="shared" si="30"/>
        <v>9</v>
      </c>
      <c r="AB102" s="21">
        <f t="shared" si="30"/>
        <v>0</v>
      </c>
      <c r="AC102" s="21">
        <f t="shared" si="30"/>
        <v>0</v>
      </c>
      <c r="AD102" s="21">
        <f t="shared" si="30"/>
        <v>0</v>
      </c>
      <c r="AE102" s="21">
        <f t="shared" si="30"/>
        <v>0</v>
      </c>
      <c r="AF102" s="100"/>
      <c r="AG102" s="693">
        <f t="shared" ref="AG102:AG104" si="32">sum(B102:AE102)</f>
        <v>581</v>
      </c>
    </row>
    <row r="103">
      <c r="A103" s="670" t="s">
        <v>646</v>
      </c>
      <c r="B103" s="21">
        <f t="shared" ref="B103:AE103" si="31">B48-B190-B197-B204</f>
        <v>0</v>
      </c>
      <c r="C103" s="21">
        <f t="shared" si="31"/>
        <v>0</v>
      </c>
      <c r="D103" s="21">
        <f t="shared" si="31"/>
        <v>0</v>
      </c>
      <c r="E103" s="21">
        <f t="shared" si="31"/>
        <v>0</v>
      </c>
      <c r="F103" s="21">
        <f t="shared" si="31"/>
        <v>0</v>
      </c>
      <c r="G103" s="21">
        <f t="shared" si="31"/>
        <v>0</v>
      </c>
      <c r="H103" s="21">
        <f t="shared" si="31"/>
        <v>0</v>
      </c>
      <c r="I103" s="21">
        <f t="shared" si="31"/>
        <v>0</v>
      </c>
      <c r="J103" s="21">
        <f t="shared" si="31"/>
        <v>0</v>
      </c>
      <c r="K103" s="21">
        <f t="shared" si="31"/>
        <v>0</v>
      </c>
      <c r="L103" s="21">
        <f t="shared" si="31"/>
        <v>0</v>
      </c>
      <c r="M103" s="21">
        <f t="shared" si="31"/>
        <v>0</v>
      </c>
      <c r="N103" s="21">
        <f t="shared" si="31"/>
        <v>0</v>
      </c>
      <c r="O103" s="21">
        <f t="shared" si="31"/>
        <v>0</v>
      </c>
      <c r="P103" s="21">
        <f t="shared" si="31"/>
        <v>0</v>
      </c>
      <c r="Q103" s="21">
        <f t="shared" si="31"/>
        <v>0</v>
      </c>
      <c r="R103" s="21">
        <f t="shared" si="31"/>
        <v>0</v>
      </c>
      <c r="S103" s="21">
        <f t="shared" si="31"/>
        <v>0</v>
      </c>
      <c r="T103" s="21">
        <f t="shared" si="31"/>
        <v>0</v>
      </c>
      <c r="U103" s="21">
        <f t="shared" si="31"/>
        <v>0</v>
      </c>
      <c r="V103" s="21">
        <f t="shared" si="31"/>
        <v>0</v>
      </c>
      <c r="W103" s="21">
        <f t="shared" si="31"/>
        <v>0</v>
      </c>
      <c r="X103" s="21">
        <f t="shared" si="31"/>
        <v>0</v>
      </c>
      <c r="Y103" s="21">
        <f t="shared" si="31"/>
        <v>0</v>
      </c>
      <c r="Z103" s="21">
        <f t="shared" si="31"/>
        <v>0</v>
      </c>
      <c r="AA103" s="21">
        <f t="shared" si="31"/>
        <v>0</v>
      </c>
      <c r="AB103" s="21">
        <f t="shared" si="31"/>
        <v>0</v>
      </c>
      <c r="AC103" s="21">
        <f t="shared" si="31"/>
        <v>0</v>
      </c>
      <c r="AD103" s="21">
        <f t="shared" si="31"/>
        <v>0</v>
      </c>
      <c r="AE103" s="21">
        <f t="shared" si="31"/>
        <v>0</v>
      </c>
      <c r="AF103" s="100"/>
      <c r="AG103" s="693">
        <f t="shared" si="32"/>
        <v>0</v>
      </c>
    </row>
    <row r="104">
      <c r="A104" s="670" t="s">
        <v>151</v>
      </c>
      <c r="B104" s="21">
        <f t="shared" ref="B104:AE104" si="33">B49-B191-B198-B205</f>
        <v>0</v>
      </c>
      <c r="C104" s="21">
        <f t="shared" si="33"/>
        <v>0</v>
      </c>
      <c r="D104" s="21">
        <f t="shared" si="33"/>
        <v>0</v>
      </c>
      <c r="E104" s="21">
        <f t="shared" si="33"/>
        <v>0</v>
      </c>
      <c r="F104" s="21">
        <f t="shared" si="33"/>
        <v>0</v>
      </c>
      <c r="G104" s="21">
        <f t="shared" si="33"/>
        <v>0</v>
      </c>
      <c r="H104" s="21">
        <f t="shared" si="33"/>
        <v>0</v>
      </c>
      <c r="I104" s="21">
        <f t="shared" si="33"/>
        <v>0</v>
      </c>
      <c r="J104" s="21">
        <f t="shared" si="33"/>
        <v>0</v>
      </c>
      <c r="K104" s="21">
        <f t="shared" si="33"/>
        <v>0</v>
      </c>
      <c r="L104" s="21">
        <f t="shared" si="33"/>
        <v>0</v>
      </c>
      <c r="M104" s="21">
        <f t="shared" si="33"/>
        <v>0</v>
      </c>
      <c r="N104" s="21">
        <f t="shared" si="33"/>
        <v>0</v>
      </c>
      <c r="O104" s="21">
        <f t="shared" si="33"/>
        <v>0</v>
      </c>
      <c r="P104" s="21">
        <f t="shared" si="33"/>
        <v>0</v>
      </c>
      <c r="Q104" s="21">
        <f t="shared" si="33"/>
        <v>0</v>
      </c>
      <c r="R104" s="21">
        <f t="shared" si="33"/>
        <v>0</v>
      </c>
      <c r="S104" s="21">
        <f t="shared" si="33"/>
        <v>0</v>
      </c>
      <c r="T104" s="21">
        <f t="shared" si="33"/>
        <v>0</v>
      </c>
      <c r="U104" s="21">
        <f t="shared" si="33"/>
        <v>0</v>
      </c>
      <c r="V104" s="21">
        <f t="shared" si="33"/>
        <v>0</v>
      </c>
      <c r="W104" s="21">
        <f t="shared" si="33"/>
        <v>0</v>
      </c>
      <c r="X104" s="21">
        <f t="shared" si="33"/>
        <v>0</v>
      </c>
      <c r="Y104" s="21">
        <f t="shared" si="33"/>
        <v>0</v>
      </c>
      <c r="Z104" s="21">
        <f t="shared" si="33"/>
        <v>0</v>
      </c>
      <c r="AA104" s="21">
        <f t="shared" si="33"/>
        <v>0</v>
      </c>
      <c r="AB104" s="21">
        <f t="shared" si="33"/>
        <v>0</v>
      </c>
      <c r="AC104" s="21">
        <f t="shared" si="33"/>
        <v>0</v>
      </c>
      <c r="AD104" s="21">
        <f t="shared" si="33"/>
        <v>0</v>
      </c>
      <c r="AE104" s="21">
        <f t="shared" si="33"/>
        <v>0</v>
      </c>
      <c r="AF104" s="100"/>
      <c r="AG104" s="693">
        <f t="shared" si="32"/>
        <v>0</v>
      </c>
    </row>
    <row r="105">
      <c r="A105" s="670" t="s">
        <v>914</v>
      </c>
      <c r="B105" s="21">
        <f t="shared" ref="B105:AE105" si="34">B50-B192-B199-B206</f>
        <v>0</v>
      </c>
      <c r="C105" s="21">
        <f t="shared" si="34"/>
        <v>0</v>
      </c>
      <c r="D105" s="21">
        <f t="shared" si="34"/>
        <v>0</v>
      </c>
      <c r="E105" s="21">
        <f t="shared" si="34"/>
        <v>0</v>
      </c>
      <c r="F105" s="21">
        <f t="shared" si="34"/>
        <v>0</v>
      </c>
      <c r="G105" s="21">
        <f t="shared" si="34"/>
        <v>0</v>
      </c>
      <c r="H105" s="21">
        <f t="shared" si="34"/>
        <v>0</v>
      </c>
      <c r="I105" s="21">
        <f t="shared" si="34"/>
        <v>0</v>
      </c>
      <c r="J105" s="21">
        <f t="shared" si="34"/>
        <v>0</v>
      </c>
      <c r="K105" s="21">
        <f t="shared" si="34"/>
        <v>0</v>
      </c>
      <c r="L105" s="21">
        <f t="shared" si="34"/>
        <v>0</v>
      </c>
      <c r="M105" s="21">
        <f t="shared" si="34"/>
        <v>0</v>
      </c>
      <c r="N105" s="21">
        <f t="shared" si="34"/>
        <v>0</v>
      </c>
      <c r="O105" s="21">
        <f t="shared" si="34"/>
        <v>0</v>
      </c>
      <c r="P105" s="21">
        <f t="shared" si="34"/>
        <v>0</v>
      </c>
      <c r="Q105" s="21">
        <f t="shared" si="34"/>
        <v>0</v>
      </c>
      <c r="R105" s="21">
        <f t="shared" si="34"/>
        <v>0</v>
      </c>
      <c r="S105" s="21">
        <f t="shared" si="34"/>
        <v>0</v>
      </c>
      <c r="T105" s="21">
        <f t="shared" si="34"/>
        <v>0</v>
      </c>
      <c r="U105" s="21">
        <f t="shared" si="34"/>
        <v>0</v>
      </c>
      <c r="V105" s="21">
        <f t="shared" si="34"/>
        <v>0</v>
      </c>
      <c r="W105" s="21">
        <f t="shared" si="34"/>
        <v>0</v>
      </c>
      <c r="X105" s="21">
        <f t="shared" si="34"/>
        <v>0</v>
      </c>
      <c r="Y105" s="21">
        <f t="shared" si="34"/>
        <v>0</v>
      </c>
      <c r="Z105" s="21">
        <f t="shared" si="34"/>
        <v>0</v>
      </c>
      <c r="AA105" s="21">
        <f t="shared" si="34"/>
        <v>0</v>
      </c>
      <c r="AB105" s="21">
        <f t="shared" si="34"/>
        <v>0</v>
      </c>
      <c r="AC105" s="21">
        <f t="shared" si="34"/>
        <v>0</v>
      </c>
      <c r="AD105" s="21">
        <f t="shared" si="34"/>
        <v>0</v>
      </c>
      <c r="AE105" s="21">
        <f t="shared" si="34"/>
        <v>0</v>
      </c>
      <c r="AF105" s="100"/>
      <c r="AG105" s="693"/>
    </row>
    <row r="106">
      <c r="A106" s="670" t="s">
        <v>916</v>
      </c>
      <c r="B106" s="21">
        <f t="shared" ref="B106:AE106" si="35">B51-B193-B200-B207</f>
        <v>0</v>
      </c>
      <c r="C106" s="21">
        <f t="shared" si="35"/>
        <v>0</v>
      </c>
      <c r="D106" s="21">
        <f t="shared" si="35"/>
        <v>0</v>
      </c>
      <c r="E106" s="21">
        <f t="shared" si="35"/>
        <v>0</v>
      </c>
      <c r="F106" s="21">
        <f t="shared" si="35"/>
        <v>0</v>
      </c>
      <c r="G106" s="21">
        <f t="shared" si="35"/>
        <v>0</v>
      </c>
      <c r="H106" s="21">
        <f t="shared" si="35"/>
        <v>0</v>
      </c>
      <c r="I106" s="21">
        <f t="shared" si="35"/>
        <v>0</v>
      </c>
      <c r="J106" s="21">
        <f t="shared" si="35"/>
        <v>0</v>
      </c>
      <c r="K106" s="21">
        <f t="shared" si="35"/>
        <v>0</v>
      </c>
      <c r="L106" s="21">
        <f t="shared" si="35"/>
        <v>0</v>
      </c>
      <c r="M106" s="21">
        <f t="shared" si="35"/>
        <v>0</v>
      </c>
      <c r="N106" s="21">
        <f t="shared" si="35"/>
        <v>0</v>
      </c>
      <c r="O106" s="21">
        <f t="shared" si="35"/>
        <v>0</v>
      </c>
      <c r="P106" s="21">
        <f t="shared" si="35"/>
        <v>0</v>
      </c>
      <c r="Q106" s="21">
        <f t="shared" si="35"/>
        <v>0</v>
      </c>
      <c r="R106" s="21">
        <f t="shared" si="35"/>
        <v>0</v>
      </c>
      <c r="S106" s="21">
        <f t="shared" si="35"/>
        <v>0</v>
      </c>
      <c r="T106" s="21">
        <f t="shared" si="35"/>
        <v>0</v>
      </c>
      <c r="U106" s="21">
        <f t="shared" si="35"/>
        <v>0</v>
      </c>
      <c r="V106" s="21">
        <f t="shared" si="35"/>
        <v>0</v>
      </c>
      <c r="W106" s="21">
        <f t="shared" si="35"/>
        <v>0</v>
      </c>
      <c r="X106" s="21">
        <f t="shared" si="35"/>
        <v>0</v>
      </c>
      <c r="Y106" s="21">
        <f t="shared" si="35"/>
        <v>0</v>
      </c>
      <c r="Z106" s="21">
        <f t="shared" si="35"/>
        <v>0</v>
      </c>
      <c r="AA106" s="21">
        <f t="shared" si="35"/>
        <v>0</v>
      </c>
      <c r="AB106" s="21">
        <f t="shared" si="35"/>
        <v>0</v>
      </c>
      <c r="AC106" s="21">
        <f t="shared" si="35"/>
        <v>0</v>
      </c>
      <c r="AD106" s="21">
        <f t="shared" si="35"/>
        <v>0</v>
      </c>
      <c r="AE106" s="21">
        <f t="shared" si="35"/>
        <v>0</v>
      </c>
      <c r="AF106" s="100"/>
      <c r="AG106" s="693"/>
    </row>
    <row r="107">
      <c r="A107" s="670" t="s">
        <v>918</v>
      </c>
      <c r="B107" s="21">
        <f t="shared" ref="B107:AE107" si="36">B52-B194-B201-B208</f>
        <v>0</v>
      </c>
      <c r="C107" s="21">
        <f t="shared" si="36"/>
        <v>0</v>
      </c>
      <c r="D107" s="21">
        <f t="shared" si="36"/>
        <v>0</v>
      </c>
      <c r="E107" s="21">
        <f t="shared" si="36"/>
        <v>0</v>
      </c>
      <c r="F107" s="21">
        <f t="shared" si="36"/>
        <v>0</v>
      </c>
      <c r="G107" s="21">
        <f t="shared" si="36"/>
        <v>0</v>
      </c>
      <c r="H107" s="21">
        <f t="shared" si="36"/>
        <v>0</v>
      </c>
      <c r="I107" s="21">
        <f t="shared" si="36"/>
        <v>0</v>
      </c>
      <c r="J107" s="21">
        <f t="shared" si="36"/>
        <v>0</v>
      </c>
      <c r="K107" s="21">
        <f t="shared" si="36"/>
        <v>0</v>
      </c>
      <c r="L107" s="21">
        <f t="shared" si="36"/>
        <v>0</v>
      </c>
      <c r="M107" s="21">
        <f t="shared" si="36"/>
        <v>0</v>
      </c>
      <c r="N107" s="21">
        <f t="shared" si="36"/>
        <v>0</v>
      </c>
      <c r="O107" s="21">
        <f t="shared" si="36"/>
        <v>0</v>
      </c>
      <c r="P107" s="21">
        <f t="shared" si="36"/>
        <v>0</v>
      </c>
      <c r="Q107" s="21">
        <f t="shared" si="36"/>
        <v>0</v>
      </c>
      <c r="R107" s="21">
        <f t="shared" si="36"/>
        <v>0</v>
      </c>
      <c r="S107" s="21">
        <f t="shared" si="36"/>
        <v>0</v>
      </c>
      <c r="T107" s="21">
        <f t="shared" si="36"/>
        <v>0</v>
      </c>
      <c r="U107" s="21">
        <f t="shared" si="36"/>
        <v>0</v>
      </c>
      <c r="V107" s="21">
        <f t="shared" si="36"/>
        <v>0</v>
      </c>
      <c r="W107" s="21">
        <f t="shared" si="36"/>
        <v>0</v>
      </c>
      <c r="X107" s="21">
        <f t="shared" si="36"/>
        <v>0</v>
      </c>
      <c r="Y107" s="21">
        <f t="shared" si="36"/>
        <v>0</v>
      </c>
      <c r="Z107" s="21">
        <f t="shared" si="36"/>
        <v>0</v>
      </c>
      <c r="AA107" s="21">
        <f t="shared" si="36"/>
        <v>0</v>
      </c>
      <c r="AB107" s="21">
        <f t="shared" si="36"/>
        <v>0</v>
      </c>
      <c r="AC107" s="21">
        <f t="shared" si="36"/>
        <v>0</v>
      </c>
      <c r="AD107" s="21">
        <f t="shared" si="36"/>
        <v>0</v>
      </c>
      <c r="AE107" s="21">
        <f t="shared" si="36"/>
        <v>0</v>
      </c>
      <c r="AF107" s="100"/>
      <c r="AG107" s="693"/>
    </row>
    <row r="108">
      <c r="A108" s="670" t="s">
        <v>919</v>
      </c>
      <c r="B108" s="21">
        <f t="shared" ref="B108:AE108" si="37">B53-B195-B202-B209</f>
        <v>0</v>
      </c>
      <c r="C108" s="21">
        <f t="shared" si="37"/>
        <v>0</v>
      </c>
      <c r="D108" s="21">
        <f t="shared" si="37"/>
        <v>0</v>
      </c>
      <c r="E108" s="21">
        <f t="shared" si="37"/>
        <v>0</v>
      </c>
      <c r="F108" s="21">
        <f t="shared" si="37"/>
        <v>0</v>
      </c>
      <c r="G108" s="21">
        <f t="shared" si="37"/>
        <v>0</v>
      </c>
      <c r="H108" s="21">
        <f t="shared" si="37"/>
        <v>0</v>
      </c>
      <c r="I108" s="21">
        <f t="shared" si="37"/>
        <v>0</v>
      </c>
      <c r="J108" s="21">
        <f t="shared" si="37"/>
        <v>0</v>
      </c>
      <c r="K108" s="21">
        <f t="shared" si="37"/>
        <v>0</v>
      </c>
      <c r="L108" s="21">
        <f t="shared" si="37"/>
        <v>0</v>
      </c>
      <c r="M108" s="21">
        <f t="shared" si="37"/>
        <v>0</v>
      </c>
      <c r="N108" s="21">
        <f t="shared" si="37"/>
        <v>0</v>
      </c>
      <c r="O108" s="21">
        <f t="shared" si="37"/>
        <v>0</v>
      </c>
      <c r="P108" s="21">
        <f t="shared" si="37"/>
        <v>0</v>
      </c>
      <c r="Q108" s="21">
        <f t="shared" si="37"/>
        <v>0</v>
      </c>
      <c r="R108" s="21">
        <f t="shared" si="37"/>
        <v>0</v>
      </c>
      <c r="S108" s="21">
        <f t="shared" si="37"/>
        <v>0</v>
      </c>
      <c r="T108" s="21">
        <f t="shared" si="37"/>
        <v>0</v>
      </c>
      <c r="U108" s="21">
        <f t="shared" si="37"/>
        <v>0</v>
      </c>
      <c r="V108" s="21">
        <f t="shared" si="37"/>
        <v>0</v>
      </c>
      <c r="W108" s="21">
        <f t="shared" si="37"/>
        <v>0</v>
      </c>
      <c r="X108" s="21">
        <f t="shared" si="37"/>
        <v>0</v>
      </c>
      <c r="Y108" s="21">
        <f t="shared" si="37"/>
        <v>0</v>
      </c>
      <c r="Z108" s="21">
        <f t="shared" si="37"/>
        <v>0</v>
      </c>
      <c r="AA108" s="21">
        <f t="shared" si="37"/>
        <v>0</v>
      </c>
      <c r="AB108" s="21">
        <f t="shared" si="37"/>
        <v>0</v>
      </c>
      <c r="AC108" s="21">
        <f t="shared" si="37"/>
        <v>0</v>
      </c>
      <c r="AD108" s="21">
        <f t="shared" si="37"/>
        <v>0</v>
      </c>
      <c r="AE108" s="21">
        <f t="shared" si="37"/>
        <v>0</v>
      </c>
      <c r="AF108" s="100"/>
      <c r="AG108" s="693"/>
    </row>
    <row r="109">
      <c r="A109" s="670" t="s">
        <v>921</v>
      </c>
      <c r="B109" s="21">
        <f t="shared" ref="B109:AE109" si="38">B51-B192-B199-B206</f>
        <v>0</v>
      </c>
      <c r="C109" s="21">
        <f t="shared" si="38"/>
        <v>0</v>
      </c>
      <c r="D109" s="21">
        <f t="shared" si="38"/>
        <v>0</v>
      </c>
      <c r="E109" s="21">
        <f t="shared" si="38"/>
        <v>0</v>
      </c>
      <c r="F109" s="21">
        <f t="shared" si="38"/>
        <v>0</v>
      </c>
      <c r="G109" s="21">
        <f t="shared" si="38"/>
        <v>0</v>
      </c>
      <c r="H109" s="21">
        <f t="shared" si="38"/>
        <v>0</v>
      </c>
      <c r="I109" s="21">
        <f t="shared" si="38"/>
        <v>0</v>
      </c>
      <c r="J109" s="21">
        <f t="shared" si="38"/>
        <v>0</v>
      </c>
      <c r="K109" s="21">
        <f t="shared" si="38"/>
        <v>0</v>
      </c>
      <c r="L109" s="21">
        <f t="shared" si="38"/>
        <v>0</v>
      </c>
      <c r="M109" s="21">
        <f t="shared" si="38"/>
        <v>0</v>
      </c>
      <c r="N109" s="21">
        <f t="shared" si="38"/>
        <v>0</v>
      </c>
      <c r="O109" s="21">
        <f t="shared" si="38"/>
        <v>0</v>
      </c>
      <c r="P109" s="21">
        <f t="shared" si="38"/>
        <v>0</v>
      </c>
      <c r="Q109" s="21">
        <f t="shared" si="38"/>
        <v>0</v>
      </c>
      <c r="R109" s="21">
        <f t="shared" si="38"/>
        <v>0</v>
      </c>
      <c r="S109" s="21">
        <f t="shared" si="38"/>
        <v>0</v>
      </c>
      <c r="T109" s="21">
        <f t="shared" si="38"/>
        <v>0</v>
      </c>
      <c r="U109" s="21">
        <f t="shared" si="38"/>
        <v>0</v>
      </c>
      <c r="V109" s="21">
        <f t="shared" si="38"/>
        <v>0</v>
      </c>
      <c r="W109" s="21">
        <f t="shared" si="38"/>
        <v>0</v>
      </c>
      <c r="X109" s="21">
        <f t="shared" si="38"/>
        <v>0</v>
      </c>
      <c r="Y109" s="21">
        <f t="shared" si="38"/>
        <v>0</v>
      </c>
      <c r="Z109" s="21">
        <f t="shared" si="38"/>
        <v>0</v>
      </c>
      <c r="AA109" s="21">
        <f t="shared" si="38"/>
        <v>0</v>
      </c>
      <c r="AB109" s="21">
        <f t="shared" si="38"/>
        <v>0</v>
      </c>
      <c r="AC109" s="21">
        <f t="shared" si="38"/>
        <v>0</v>
      </c>
      <c r="AD109" s="21">
        <f t="shared" si="38"/>
        <v>0</v>
      </c>
      <c r="AE109" s="21">
        <f t="shared" si="38"/>
        <v>0</v>
      </c>
      <c r="AF109" s="100"/>
      <c r="AG109" s="693">
        <f t="shared" ref="AG109:AG111" si="40">sum(B109:AE109)</f>
        <v>0</v>
      </c>
    </row>
    <row r="110">
      <c r="A110" s="670" t="s">
        <v>923</v>
      </c>
      <c r="B110" s="21">
        <f t="shared" ref="B110:AE110" si="39">B55-B193-B200-B207</f>
        <v>0</v>
      </c>
      <c r="C110" s="21">
        <f t="shared" si="39"/>
        <v>0</v>
      </c>
      <c r="D110" s="21">
        <f t="shared" si="39"/>
        <v>0</v>
      </c>
      <c r="E110" s="21">
        <f t="shared" si="39"/>
        <v>0</v>
      </c>
      <c r="F110" s="21">
        <f t="shared" si="39"/>
        <v>0</v>
      </c>
      <c r="G110" s="21">
        <f t="shared" si="39"/>
        <v>0</v>
      </c>
      <c r="H110" s="21">
        <f t="shared" si="39"/>
        <v>0</v>
      </c>
      <c r="I110" s="21">
        <f t="shared" si="39"/>
        <v>0</v>
      </c>
      <c r="J110" s="21">
        <f t="shared" si="39"/>
        <v>0</v>
      </c>
      <c r="K110" s="21">
        <f t="shared" si="39"/>
        <v>0</v>
      </c>
      <c r="L110" s="21">
        <f t="shared" si="39"/>
        <v>0</v>
      </c>
      <c r="M110" s="21">
        <f t="shared" si="39"/>
        <v>0</v>
      </c>
      <c r="N110" s="21">
        <f t="shared" si="39"/>
        <v>0</v>
      </c>
      <c r="O110" s="21">
        <f t="shared" si="39"/>
        <v>0</v>
      </c>
      <c r="P110" s="21">
        <f t="shared" si="39"/>
        <v>0</v>
      </c>
      <c r="Q110" s="21">
        <f t="shared" si="39"/>
        <v>0</v>
      </c>
      <c r="R110" s="21">
        <f t="shared" si="39"/>
        <v>0</v>
      </c>
      <c r="S110" s="21">
        <f t="shared" si="39"/>
        <v>0</v>
      </c>
      <c r="T110" s="21">
        <f t="shared" si="39"/>
        <v>0</v>
      </c>
      <c r="U110" s="21">
        <f t="shared" si="39"/>
        <v>0</v>
      </c>
      <c r="V110" s="21">
        <f t="shared" si="39"/>
        <v>0</v>
      </c>
      <c r="W110" s="21">
        <f t="shared" si="39"/>
        <v>0</v>
      </c>
      <c r="X110" s="21">
        <f t="shared" si="39"/>
        <v>1</v>
      </c>
      <c r="Y110" s="21">
        <f t="shared" si="39"/>
        <v>0</v>
      </c>
      <c r="Z110" s="21">
        <f t="shared" si="39"/>
        <v>0</v>
      </c>
      <c r="AA110" s="21">
        <f t="shared" si="39"/>
        <v>0</v>
      </c>
      <c r="AB110" s="21">
        <f t="shared" si="39"/>
        <v>0</v>
      </c>
      <c r="AC110" s="21">
        <f t="shared" si="39"/>
        <v>0</v>
      </c>
      <c r="AD110" s="21">
        <f t="shared" si="39"/>
        <v>0</v>
      </c>
      <c r="AE110" s="21">
        <f t="shared" si="39"/>
        <v>0</v>
      </c>
      <c r="AF110" s="100"/>
      <c r="AG110" s="693">
        <f t="shared" si="40"/>
        <v>1</v>
      </c>
    </row>
    <row r="111">
      <c r="A111" s="697" t="s">
        <v>98</v>
      </c>
      <c r="B111" s="124">
        <f t="shared" ref="B111:AF111" si="41">SUM(B102:B110)</f>
        <v>6</v>
      </c>
      <c r="C111" s="124">
        <f t="shared" si="41"/>
        <v>5</v>
      </c>
      <c r="D111" s="124">
        <f t="shared" si="41"/>
        <v>3</v>
      </c>
      <c r="E111" s="124">
        <f t="shared" si="41"/>
        <v>5</v>
      </c>
      <c r="F111" s="124">
        <f t="shared" si="41"/>
        <v>5</v>
      </c>
      <c r="G111" s="124">
        <f t="shared" si="41"/>
        <v>5</v>
      </c>
      <c r="H111" s="124">
        <f t="shared" si="41"/>
        <v>2</v>
      </c>
      <c r="I111" s="124">
        <f t="shared" si="41"/>
        <v>13</v>
      </c>
      <c r="J111" s="124">
        <f t="shared" si="41"/>
        <v>6</v>
      </c>
      <c r="K111" s="124">
        <f t="shared" si="41"/>
        <v>4</v>
      </c>
      <c r="L111" s="124">
        <f t="shared" si="41"/>
        <v>12</v>
      </c>
      <c r="M111" s="124">
        <f t="shared" si="41"/>
        <v>11</v>
      </c>
      <c r="N111" s="124">
        <f t="shared" si="41"/>
        <v>3</v>
      </c>
      <c r="O111" s="124">
        <f t="shared" si="41"/>
        <v>9</v>
      </c>
      <c r="P111" s="124">
        <f t="shared" si="41"/>
        <v>13</v>
      </c>
      <c r="Q111" s="124">
        <f t="shared" si="41"/>
        <v>20</v>
      </c>
      <c r="R111" s="124">
        <f t="shared" si="41"/>
        <v>25</v>
      </c>
      <c r="S111" s="124">
        <f t="shared" si="41"/>
        <v>24</v>
      </c>
      <c r="T111" s="124">
        <f t="shared" si="41"/>
        <v>32</v>
      </c>
      <c r="U111" s="124">
        <f t="shared" si="41"/>
        <v>38</v>
      </c>
      <c r="V111" s="124">
        <f t="shared" si="41"/>
        <v>40</v>
      </c>
      <c r="W111" s="124">
        <f t="shared" si="41"/>
        <v>34</v>
      </c>
      <c r="X111" s="124">
        <f t="shared" si="41"/>
        <v>67</v>
      </c>
      <c r="Y111" s="124">
        <f t="shared" si="41"/>
        <v>183</v>
      </c>
      <c r="Z111" s="124">
        <f t="shared" si="41"/>
        <v>8</v>
      </c>
      <c r="AA111" s="124">
        <f t="shared" si="41"/>
        <v>9</v>
      </c>
      <c r="AB111" s="124">
        <f t="shared" si="41"/>
        <v>0</v>
      </c>
      <c r="AC111" s="124">
        <f t="shared" si="41"/>
        <v>0</v>
      </c>
      <c r="AD111" s="124">
        <f t="shared" si="41"/>
        <v>0</v>
      </c>
      <c r="AE111" s="124">
        <f t="shared" si="41"/>
        <v>0</v>
      </c>
      <c r="AF111" s="124">
        <f t="shared" si="41"/>
        <v>0</v>
      </c>
      <c r="AG111" s="693">
        <f t="shared" si="40"/>
        <v>582</v>
      </c>
    </row>
    <row r="112">
      <c r="A112" s="723"/>
      <c r="AF112" s="100"/>
      <c r="AG112" s="693"/>
    </row>
    <row r="113">
      <c r="A113" s="723"/>
      <c r="AF113" s="9"/>
      <c r="AG113" s="453"/>
    </row>
    <row r="114" collapsed="1">
      <c r="A114" s="769" t="s">
        <v>974</v>
      </c>
      <c r="B114" s="661"/>
      <c r="C114" s="661"/>
      <c r="D114" s="661"/>
      <c r="E114" s="661"/>
      <c r="F114" s="661"/>
      <c r="G114" s="661"/>
      <c r="H114" s="661"/>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100"/>
      <c r="AG114" s="693"/>
    </row>
    <row r="115" hidden="1" outlineLevel="1">
      <c r="A115" s="770" t="s">
        <v>165</v>
      </c>
      <c r="B115" s="771"/>
      <c r="C115" s="771"/>
      <c r="D115" s="771"/>
      <c r="E115" s="771"/>
      <c r="F115" s="771"/>
      <c r="G115" s="771"/>
      <c r="H115" s="342"/>
      <c r="I115" s="342"/>
      <c r="J115" s="342"/>
      <c r="K115" s="342"/>
      <c r="L115" s="342"/>
      <c r="M115" s="771"/>
      <c r="N115" s="342"/>
      <c r="O115" s="342"/>
      <c r="P115" s="342"/>
      <c r="Q115" s="342"/>
      <c r="R115" s="771"/>
      <c r="S115" s="771"/>
      <c r="T115" s="342"/>
      <c r="U115" s="342"/>
      <c r="V115" s="342"/>
      <c r="W115" s="342"/>
      <c r="X115" s="342"/>
      <c r="Y115" s="342"/>
      <c r="Z115" s="342"/>
      <c r="AA115" s="342"/>
      <c r="AB115" s="342"/>
      <c r="AC115" s="342"/>
      <c r="AD115" s="342"/>
      <c r="AE115" s="342"/>
      <c r="AF115" s="100"/>
      <c r="AG115" s="693">
        <f>sum(B115:AE115)</f>
        <v>0</v>
      </c>
    </row>
    <row r="116" hidden="1" outlineLevel="1">
      <c r="A116" s="770" t="s">
        <v>976</v>
      </c>
      <c r="B116" s="771"/>
      <c r="C116" s="771"/>
      <c r="D116" s="771"/>
      <c r="E116" s="771"/>
      <c r="F116" s="771"/>
      <c r="G116" s="771"/>
      <c r="H116" s="342"/>
      <c r="I116" s="342"/>
      <c r="J116" s="342"/>
      <c r="K116" s="342"/>
      <c r="L116" s="342"/>
      <c r="M116" s="771"/>
      <c r="N116" s="342"/>
      <c r="O116" s="342"/>
      <c r="P116" s="342"/>
      <c r="Q116" s="342"/>
      <c r="R116" s="771"/>
      <c r="S116" s="771"/>
      <c r="T116" s="342"/>
      <c r="U116" s="342"/>
      <c r="V116" s="342"/>
      <c r="W116" s="342"/>
      <c r="X116" s="342"/>
      <c r="Y116" s="342"/>
      <c r="Z116" s="342"/>
      <c r="AA116" s="342"/>
      <c r="AB116" s="342"/>
      <c r="AC116" s="342"/>
      <c r="AD116" s="342"/>
      <c r="AE116" s="342"/>
      <c r="AF116" s="100"/>
      <c r="AG116" s="693"/>
    </row>
    <row r="117" hidden="1" outlineLevel="1">
      <c r="A117" s="774" t="s">
        <v>168</v>
      </c>
      <c r="B117" s="342"/>
      <c r="C117" s="342"/>
      <c r="D117" s="342"/>
      <c r="E117" s="342"/>
      <c r="F117" s="342"/>
      <c r="G117" s="342"/>
      <c r="H117" s="342"/>
      <c r="I117" s="342"/>
      <c r="J117" s="342"/>
      <c r="K117" s="342"/>
      <c r="L117" s="342"/>
      <c r="M117" s="342"/>
      <c r="N117" s="342"/>
      <c r="O117" s="342"/>
      <c r="P117" s="342"/>
      <c r="Q117" s="342"/>
      <c r="R117" s="342"/>
      <c r="S117" s="342"/>
      <c r="T117" s="342"/>
      <c r="U117" s="342"/>
      <c r="V117" s="342"/>
      <c r="W117" s="342"/>
      <c r="X117" s="342"/>
      <c r="Y117" s="342"/>
      <c r="Z117" s="342"/>
      <c r="AA117" s="342"/>
      <c r="AB117" s="342">
        <f t="shared" ref="AB117:AE117" si="42">AB44</f>
        <v>0</v>
      </c>
      <c r="AC117" s="342">
        <f t="shared" si="42"/>
        <v>0</v>
      </c>
      <c r="AD117" s="342">
        <f t="shared" si="42"/>
        <v>0</v>
      </c>
      <c r="AE117" s="342">
        <f t="shared" si="42"/>
        <v>0</v>
      </c>
      <c r="AF117" s="100"/>
      <c r="AG117" s="693">
        <f>sum(B117:AE117)</f>
        <v>0</v>
      </c>
    </row>
    <row r="118" hidden="1" outlineLevel="1">
      <c r="A118" s="774" t="s">
        <v>170</v>
      </c>
      <c r="B118" s="771"/>
      <c r="C118" s="771"/>
      <c r="D118" s="771"/>
      <c r="E118" s="771"/>
      <c r="F118" s="771"/>
      <c r="G118" s="771"/>
      <c r="H118" s="342"/>
      <c r="I118" s="342"/>
      <c r="J118" s="342"/>
      <c r="K118" s="342"/>
      <c r="L118" s="342"/>
      <c r="M118" s="771"/>
      <c r="N118" s="342"/>
      <c r="O118" s="342"/>
      <c r="P118" s="342"/>
      <c r="Q118" s="342"/>
      <c r="R118" s="771"/>
      <c r="S118" s="771"/>
      <c r="T118" s="342"/>
      <c r="U118" s="342"/>
      <c r="V118" s="342"/>
      <c r="W118" s="342"/>
      <c r="X118" s="342"/>
      <c r="Y118" s="342"/>
      <c r="Z118" s="342"/>
      <c r="AA118" s="342"/>
      <c r="AB118" s="342"/>
      <c r="AC118" s="342"/>
      <c r="AD118" s="342"/>
      <c r="AE118" s="342"/>
      <c r="AF118" s="100"/>
      <c r="AG118" s="693"/>
    </row>
    <row r="119" hidden="1" outlineLevel="1">
      <c r="A119" s="774" t="s">
        <v>172</v>
      </c>
      <c r="B119" s="771"/>
      <c r="C119" s="771"/>
      <c r="D119" s="771"/>
      <c r="E119" s="771"/>
      <c r="F119" s="771"/>
      <c r="G119" s="771"/>
      <c r="H119" s="342"/>
      <c r="I119" s="342"/>
      <c r="J119" s="342"/>
      <c r="K119" s="342"/>
      <c r="L119" s="342"/>
      <c r="M119" s="771"/>
      <c r="N119" s="342"/>
      <c r="O119" s="342"/>
      <c r="P119" s="342"/>
      <c r="Q119" s="342"/>
      <c r="R119" s="771"/>
      <c r="S119" s="771"/>
      <c r="T119" s="342"/>
      <c r="U119" s="342"/>
      <c r="V119" s="342"/>
      <c r="W119" s="342"/>
      <c r="X119" s="342"/>
      <c r="Y119" s="342"/>
      <c r="Z119" s="342"/>
      <c r="AA119" s="342"/>
      <c r="AB119" s="342"/>
      <c r="AC119" s="342"/>
      <c r="AD119" s="342"/>
      <c r="AE119" s="342"/>
      <c r="AF119" s="100"/>
      <c r="AG119" s="693">
        <f t="shared" ref="AG119:AG124" si="43">sum(B119:AE119)</f>
        <v>0</v>
      </c>
    </row>
    <row r="120" hidden="1" outlineLevel="1">
      <c r="A120" s="774" t="s">
        <v>173</v>
      </c>
      <c r="B120" s="771"/>
      <c r="C120" s="771"/>
      <c r="D120" s="771"/>
      <c r="E120" s="771"/>
      <c r="F120" s="771"/>
      <c r="G120" s="771"/>
      <c r="H120" s="342"/>
      <c r="I120" s="342"/>
      <c r="J120" s="342"/>
      <c r="K120" s="342"/>
      <c r="L120" s="342"/>
      <c r="M120" s="771"/>
      <c r="N120" s="342"/>
      <c r="O120" s="342"/>
      <c r="P120" s="342"/>
      <c r="Q120" s="342"/>
      <c r="R120" s="771"/>
      <c r="S120" s="771"/>
      <c r="T120" s="342"/>
      <c r="U120" s="342"/>
      <c r="V120" s="342"/>
      <c r="W120" s="342"/>
      <c r="X120" s="342"/>
      <c r="Y120" s="342"/>
      <c r="Z120" s="342"/>
      <c r="AA120" s="342"/>
      <c r="AB120" s="342"/>
      <c r="AC120" s="342"/>
      <c r="AD120" s="342"/>
      <c r="AE120" s="342"/>
      <c r="AF120" s="100"/>
      <c r="AG120" s="693">
        <f t="shared" si="43"/>
        <v>0</v>
      </c>
    </row>
    <row r="121" hidden="1" outlineLevel="1">
      <c r="A121" s="774" t="s">
        <v>175</v>
      </c>
      <c r="B121" s="753"/>
      <c r="C121" s="753"/>
      <c r="D121" s="777"/>
      <c r="E121" s="778"/>
      <c r="F121" s="777"/>
      <c r="G121" s="777"/>
      <c r="H121" s="777"/>
      <c r="I121" s="777"/>
      <c r="J121" s="777"/>
      <c r="K121" s="777"/>
      <c r="L121" s="777"/>
      <c r="M121" s="777"/>
      <c r="N121" s="777"/>
      <c r="O121" s="777"/>
      <c r="P121" s="777"/>
      <c r="Q121" s="777"/>
      <c r="R121" s="777"/>
      <c r="S121" s="777"/>
      <c r="T121" s="777"/>
      <c r="U121" s="777"/>
      <c r="V121" s="777"/>
      <c r="W121" s="777"/>
      <c r="X121" s="777"/>
      <c r="Y121" s="777"/>
      <c r="Z121" s="777"/>
      <c r="AA121" s="777"/>
      <c r="AB121" s="777"/>
      <c r="AC121" s="777"/>
      <c r="AD121" s="777"/>
      <c r="AE121" s="777"/>
      <c r="AF121" s="100"/>
      <c r="AG121" s="693">
        <f t="shared" si="43"/>
        <v>0</v>
      </c>
    </row>
    <row r="122" hidden="1" outlineLevel="1">
      <c r="A122" s="774" t="s">
        <v>177</v>
      </c>
      <c r="B122" s="754"/>
      <c r="C122" s="777"/>
      <c r="D122" s="753"/>
      <c r="E122" s="778"/>
      <c r="F122" s="777"/>
      <c r="G122" s="777"/>
      <c r="H122" s="777"/>
      <c r="I122" s="777"/>
      <c r="J122" s="777"/>
      <c r="K122" s="777"/>
      <c r="L122" s="777"/>
      <c r="M122" s="777"/>
      <c r="N122" s="777"/>
      <c r="O122" s="777"/>
      <c r="P122" s="777"/>
      <c r="Q122" s="777"/>
      <c r="R122" s="777"/>
      <c r="S122" s="777"/>
      <c r="T122" s="777"/>
      <c r="U122" s="777"/>
      <c r="V122" s="777"/>
      <c r="W122" s="777"/>
      <c r="X122" s="777"/>
      <c r="Y122" s="777"/>
      <c r="Z122" s="777"/>
      <c r="AA122" s="777"/>
      <c r="AB122" s="777"/>
      <c r="AC122" s="777"/>
      <c r="AD122" s="777"/>
      <c r="AE122" s="777"/>
      <c r="AF122" s="100"/>
      <c r="AG122" s="693">
        <f t="shared" si="43"/>
        <v>0</v>
      </c>
    </row>
    <row r="123" hidden="1" outlineLevel="1">
      <c r="A123" s="779" t="s">
        <v>180</v>
      </c>
      <c r="B123" s="160">
        <f>B115+B119+B121</f>
        <v>0</v>
      </c>
      <c r="C123" s="160">
        <f t="shared" ref="C123:AF123" si="44">SUM(C115:C122)</f>
        <v>0</v>
      </c>
      <c r="D123" s="160">
        <f t="shared" si="44"/>
        <v>0</v>
      </c>
      <c r="E123" s="160">
        <f t="shared" si="44"/>
        <v>0</v>
      </c>
      <c r="F123" s="160">
        <f t="shared" si="44"/>
        <v>0</v>
      </c>
      <c r="G123" s="160">
        <f t="shared" si="44"/>
        <v>0</v>
      </c>
      <c r="H123" s="160">
        <f t="shared" si="44"/>
        <v>0</v>
      </c>
      <c r="I123" s="160">
        <f t="shared" si="44"/>
        <v>0</v>
      </c>
      <c r="J123" s="160">
        <f t="shared" si="44"/>
        <v>0</v>
      </c>
      <c r="K123" s="160">
        <f t="shared" si="44"/>
        <v>0</v>
      </c>
      <c r="L123" s="160">
        <f t="shared" si="44"/>
        <v>0</v>
      </c>
      <c r="M123" s="160">
        <f t="shared" si="44"/>
        <v>0</v>
      </c>
      <c r="N123" s="160">
        <f t="shared" si="44"/>
        <v>0</v>
      </c>
      <c r="O123" s="160">
        <f t="shared" si="44"/>
        <v>0</v>
      </c>
      <c r="P123" s="160">
        <f t="shared" si="44"/>
        <v>0</v>
      </c>
      <c r="Q123" s="160">
        <f t="shared" si="44"/>
        <v>0</v>
      </c>
      <c r="R123" s="160">
        <f t="shared" si="44"/>
        <v>0</v>
      </c>
      <c r="S123" s="160">
        <f t="shared" si="44"/>
        <v>0</v>
      </c>
      <c r="T123" s="160">
        <f t="shared" si="44"/>
        <v>0</v>
      </c>
      <c r="U123" s="160">
        <f t="shared" si="44"/>
        <v>0</v>
      </c>
      <c r="V123" s="160">
        <f t="shared" si="44"/>
        <v>0</v>
      </c>
      <c r="W123" s="160">
        <f t="shared" si="44"/>
        <v>0</v>
      </c>
      <c r="X123" s="160">
        <f t="shared" si="44"/>
        <v>0</v>
      </c>
      <c r="Y123" s="160">
        <f t="shared" si="44"/>
        <v>0</v>
      </c>
      <c r="Z123" s="160">
        <f t="shared" si="44"/>
        <v>0</v>
      </c>
      <c r="AA123" s="160">
        <f t="shared" si="44"/>
        <v>0</v>
      </c>
      <c r="AB123" s="160">
        <f t="shared" si="44"/>
        <v>0</v>
      </c>
      <c r="AC123" s="160">
        <f t="shared" si="44"/>
        <v>0</v>
      </c>
      <c r="AD123" s="160">
        <f t="shared" si="44"/>
        <v>0</v>
      </c>
      <c r="AE123" s="160">
        <f t="shared" si="44"/>
        <v>0</v>
      </c>
      <c r="AF123" s="160">
        <f t="shared" si="44"/>
        <v>0</v>
      </c>
      <c r="AG123" s="693">
        <f t="shared" si="43"/>
        <v>0</v>
      </c>
    </row>
    <row r="124" hidden="1" outlineLevel="1">
      <c r="A124" s="779" t="s">
        <v>185</v>
      </c>
      <c r="B124" s="160">
        <f t="shared" ref="B124:AF124" si="45">B117+B120+B122</f>
        <v>0</v>
      </c>
      <c r="C124" s="160">
        <f t="shared" si="45"/>
        <v>0</v>
      </c>
      <c r="D124" s="160">
        <f t="shared" si="45"/>
        <v>0</v>
      </c>
      <c r="E124" s="160">
        <f t="shared" si="45"/>
        <v>0</v>
      </c>
      <c r="F124" s="160">
        <f t="shared" si="45"/>
        <v>0</v>
      </c>
      <c r="G124" s="160">
        <f t="shared" si="45"/>
        <v>0</v>
      </c>
      <c r="H124" s="160">
        <f t="shared" si="45"/>
        <v>0</v>
      </c>
      <c r="I124" s="160">
        <f t="shared" si="45"/>
        <v>0</v>
      </c>
      <c r="J124" s="160">
        <f t="shared" si="45"/>
        <v>0</v>
      </c>
      <c r="K124" s="160">
        <f t="shared" si="45"/>
        <v>0</v>
      </c>
      <c r="L124" s="160">
        <f t="shared" si="45"/>
        <v>0</v>
      </c>
      <c r="M124" s="160">
        <f t="shared" si="45"/>
        <v>0</v>
      </c>
      <c r="N124" s="160">
        <f t="shared" si="45"/>
        <v>0</v>
      </c>
      <c r="O124" s="160">
        <f t="shared" si="45"/>
        <v>0</v>
      </c>
      <c r="P124" s="160">
        <f t="shared" si="45"/>
        <v>0</v>
      </c>
      <c r="Q124" s="160">
        <f t="shared" si="45"/>
        <v>0</v>
      </c>
      <c r="R124" s="160">
        <f t="shared" si="45"/>
        <v>0</v>
      </c>
      <c r="S124" s="160">
        <f t="shared" si="45"/>
        <v>0</v>
      </c>
      <c r="T124" s="160">
        <f t="shared" si="45"/>
        <v>0</v>
      </c>
      <c r="U124" s="160">
        <f t="shared" si="45"/>
        <v>0</v>
      </c>
      <c r="V124" s="160">
        <f t="shared" si="45"/>
        <v>0</v>
      </c>
      <c r="W124" s="160">
        <f t="shared" si="45"/>
        <v>0</v>
      </c>
      <c r="X124" s="160">
        <f t="shared" si="45"/>
        <v>0</v>
      </c>
      <c r="Y124" s="160">
        <f t="shared" si="45"/>
        <v>0</v>
      </c>
      <c r="Z124" s="160">
        <f t="shared" si="45"/>
        <v>0</v>
      </c>
      <c r="AA124" s="160">
        <f t="shared" si="45"/>
        <v>0</v>
      </c>
      <c r="AB124" s="160">
        <f t="shared" si="45"/>
        <v>0</v>
      </c>
      <c r="AC124" s="160">
        <f t="shared" si="45"/>
        <v>0</v>
      </c>
      <c r="AD124" s="160">
        <f t="shared" si="45"/>
        <v>0</v>
      </c>
      <c r="AE124" s="160">
        <f t="shared" si="45"/>
        <v>0</v>
      </c>
      <c r="AF124" s="160">
        <f t="shared" si="45"/>
        <v>0</v>
      </c>
      <c r="AG124" s="693">
        <f t="shared" si="43"/>
        <v>0</v>
      </c>
    </row>
    <row r="125" ht="21.0" hidden="1" customHeight="1" outlineLevel="1">
      <c r="A125" s="783"/>
      <c r="B125" s="661"/>
      <c r="C125" s="661"/>
      <c r="D125" s="661"/>
      <c r="E125" s="661"/>
      <c r="F125" s="661"/>
      <c r="G125" s="661"/>
      <c r="H125" s="661"/>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100"/>
      <c r="AG125" s="693"/>
    </row>
    <row r="126" hidden="1" outlineLevel="1">
      <c r="A126" s="770" t="s">
        <v>984</v>
      </c>
      <c r="B126" s="771"/>
      <c r="C126" s="771"/>
      <c r="D126" s="771"/>
      <c r="E126" s="771"/>
      <c r="F126" s="771"/>
      <c r="G126" s="771"/>
      <c r="H126" s="342"/>
      <c r="I126" s="342"/>
      <c r="J126" s="342"/>
      <c r="K126" s="342"/>
      <c r="L126" s="342"/>
      <c r="M126" s="771"/>
      <c r="N126" s="342"/>
      <c r="O126" s="342"/>
      <c r="P126" s="342"/>
      <c r="Q126" s="342"/>
      <c r="R126" s="771"/>
      <c r="S126" s="771"/>
      <c r="T126" s="342"/>
      <c r="U126" s="581"/>
      <c r="V126" s="581"/>
      <c r="W126" s="342"/>
      <c r="X126" s="342"/>
      <c r="Y126" s="342"/>
      <c r="Z126" s="342"/>
      <c r="AA126" s="342"/>
      <c r="AB126" s="342"/>
      <c r="AC126" s="342"/>
      <c r="AD126" s="342"/>
      <c r="AE126" s="342"/>
      <c r="AF126" s="100"/>
      <c r="AG126" s="693">
        <f t="shared" ref="AG126:AG131" si="46">sum(B126:AE126)</f>
        <v>0</v>
      </c>
    </row>
    <row r="127" hidden="1" outlineLevel="1">
      <c r="A127" s="770" t="s">
        <v>985</v>
      </c>
      <c r="B127" s="771"/>
      <c r="C127" s="771"/>
      <c r="D127" s="771"/>
      <c r="E127" s="771"/>
      <c r="F127" s="771"/>
      <c r="G127" s="771"/>
      <c r="H127" s="342"/>
      <c r="I127" s="342"/>
      <c r="J127" s="342"/>
      <c r="K127" s="342"/>
      <c r="L127" s="342"/>
      <c r="M127" s="771"/>
      <c r="N127" s="342"/>
      <c r="O127" s="342"/>
      <c r="P127" s="342"/>
      <c r="Q127" s="342"/>
      <c r="R127" s="771"/>
      <c r="S127" s="771"/>
      <c r="T127" s="342"/>
      <c r="U127" s="342"/>
      <c r="V127" s="581"/>
      <c r="W127" s="581"/>
      <c r="X127" s="581"/>
      <c r="Y127" s="342"/>
      <c r="Z127" s="342"/>
      <c r="AA127" s="342"/>
      <c r="AB127" s="342"/>
      <c r="AC127" s="342"/>
      <c r="AD127" s="342"/>
      <c r="AE127" s="342"/>
      <c r="AF127" s="100"/>
      <c r="AG127" s="693">
        <f t="shared" si="46"/>
        <v>0</v>
      </c>
    </row>
    <row r="128" hidden="1" outlineLevel="1">
      <c r="A128" s="774" t="s">
        <v>192</v>
      </c>
      <c r="B128" s="771"/>
      <c r="C128" s="771"/>
      <c r="D128" s="771"/>
      <c r="E128" s="771"/>
      <c r="F128" s="771"/>
      <c r="G128" s="771"/>
      <c r="H128" s="342"/>
      <c r="I128" s="342"/>
      <c r="J128" s="342"/>
      <c r="K128" s="342"/>
      <c r="L128" s="342"/>
      <c r="M128" s="771"/>
      <c r="N128" s="342"/>
      <c r="O128" s="342"/>
      <c r="P128" s="342"/>
      <c r="Q128" s="342"/>
      <c r="R128" s="771"/>
      <c r="S128" s="771"/>
      <c r="T128" s="342"/>
      <c r="U128" s="581"/>
      <c r="V128" s="581"/>
      <c r="W128" s="342"/>
      <c r="X128" s="342"/>
      <c r="Y128" s="342"/>
      <c r="Z128" s="342"/>
      <c r="AA128" s="342"/>
      <c r="AB128" s="342"/>
      <c r="AC128" s="342"/>
      <c r="AD128" s="342"/>
      <c r="AE128" s="342"/>
      <c r="AF128" s="100"/>
      <c r="AG128" s="693">
        <f t="shared" si="46"/>
        <v>0</v>
      </c>
    </row>
    <row r="129" hidden="1" outlineLevel="1">
      <c r="A129" s="770" t="s">
        <v>988</v>
      </c>
      <c r="B129" s="771"/>
      <c r="C129" s="771"/>
      <c r="D129" s="771"/>
      <c r="E129" s="771"/>
      <c r="F129" s="771"/>
      <c r="G129" s="771"/>
      <c r="H129" s="342"/>
      <c r="I129" s="342"/>
      <c r="J129" s="342"/>
      <c r="K129" s="342"/>
      <c r="L129" s="342"/>
      <c r="M129" s="771"/>
      <c r="N129" s="342"/>
      <c r="O129" s="342"/>
      <c r="P129" s="342"/>
      <c r="Q129" s="342"/>
      <c r="R129" s="771"/>
      <c r="S129" s="771"/>
      <c r="T129" s="342"/>
      <c r="U129" s="37"/>
      <c r="V129" s="37"/>
      <c r="W129" s="342"/>
      <c r="X129" s="581"/>
      <c r="Y129" s="342"/>
      <c r="Z129" s="342"/>
      <c r="AA129" s="342"/>
      <c r="AB129" s="342"/>
      <c r="AC129" s="342"/>
      <c r="AD129" s="342"/>
      <c r="AE129" s="342"/>
      <c r="AF129" s="100"/>
      <c r="AG129" s="693">
        <f t="shared" si="46"/>
        <v>0</v>
      </c>
    </row>
    <row r="130" hidden="1" outlineLevel="1">
      <c r="A130" s="770" t="s">
        <v>990</v>
      </c>
      <c r="B130" s="771"/>
      <c r="C130" s="771"/>
      <c r="D130" s="771"/>
      <c r="E130" s="771"/>
      <c r="F130" s="771"/>
      <c r="G130" s="771"/>
      <c r="H130" s="342"/>
      <c r="I130" s="342"/>
      <c r="J130" s="342"/>
      <c r="K130" s="342"/>
      <c r="L130" s="342"/>
      <c r="M130" s="771"/>
      <c r="N130" s="342"/>
      <c r="O130" s="342"/>
      <c r="P130" s="342"/>
      <c r="Q130" s="342"/>
      <c r="R130" s="771"/>
      <c r="S130" s="771"/>
      <c r="T130" s="342"/>
      <c r="U130" s="37"/>
      <c r="V130" s="37"/>
      <c r="W130" s="342"/>
      <c r="X130" s="342"/>
      <c r="Y130" s="342"/>
      <c r="Z130" s="342"/>
      <c r="AA130" s="342"/>
      <c r="AB130" s="342"/>
      <c r="AC130" s="342"/>
      <c r="AD130" s="342"/>
      <c r="AE130" s="342"/>
      <c r="AF130" s="100"/>
      <c r="AG130" s="693">
        <f t="shared" si="46"/>
        <v>0</v>
      </c>
    </row>
    <row r="131" hidden="1" outlineLevel="1">
      <c r="A131" s="787" t="s">
        <v>991</v>
      </c>
      <c r="B131" s="160">
        <f t="shared" ref="B131:AF131" si="47">SUM(B126:B130)</f>
        <v>0</v>
      </c>
      <c r="C131" s="160">
        <f t="shared" si="47"/>
        <v>0</v>
      </c>
      <c r="D131" s="160">
        <f t="shared" si="47"/>
        <v>0</v>
      </c>
      <c r="E131" s="160">
        <f t="shared" si="47"/>
        <v>0</v>
      </c>
      <c r="F131" s="160">
        <f t="shared" si="47"/>
        <v>0</v>
      </c>
      <c r="G131" s="160">
        <f t="shared" si="47"/>
        <v>0</v>
      </c>
      <c r="H131" s="160">
        <f t="shared" si="47"/>
        <v>0</v>
      </c>
      <c r="I131" s="160">
        <f t="shared" si="47"/>
        <v>0</v>
      </c>
      <c r="J131" s="160">
        <f t="shared" si="47"/>
        <v>0</v>
      </c>
      <c r="K131" s="160">
        <f t="shared" si="47"/>
        <v>0</v>
      </c>
      <c r="L131" s="160">
        <f t="shared" si="47"/>
        <v>0</v>
      </c>
      <c r="M131" s="160">
        <f t="shared" si="47"/>
        <v>0</v>
      </c>
      <c r="N131" s="160">
        <f t="shared" si="47"/>
        <v>0</v>
      </c>
      <c r="O131" s="160">
        <f t="shared" si="47"/>
        <v>0</v>
      </c>
      <c r="P131" s="160">
        <f t="shared" si="47"/>
        <v>0</v>
      </c>
      <c r="Q131" s="160">
        <f t="shared" si="47"/>
        <v>0</v>
      </c>
      <c r="R131" s="160">
        <f t="shared" si="47"/>
        <v>0</v>
      </c>
      <c r="S131" s="160">
        <f t="shared" si="47"/>
        <v>0</v>
      </c>
      <c r="T131" s="160">
        <f t="shared" si="47"/>
        <v>0</v>
      </c>
      <c r="U131" s="160">
        <f t="shared" si="47"/>
        <v>0</v>
      </c>
      <c r="V131" s="160">
        <f t="shared" si="47"/>
        <v>0</v>
      </c>
      <c r="W131" s="160">
        <f t="shared" si="47"/>
        <v>0</v>
      </c>
      <c r="X131" s="160">
        <f t="shared" si="47"/>
        <v>0</v>
      </c>
      <c r="Y131" s="160">
        <f t="shared" si="47"/>
        <v>0</v>
      </c>
      <c r="Z131" s="160">
        <f t="shared" si="47"/>
        <v>0</v>
      </c>
      <c r="AA131" s="160">
        <f t="shared" si="47"/>
        <v>0</v>
      </c>
      <c r="AB131" s="160">
        <f t="shared" si="47"/>
        <v>0</v>
      </c>
      <c r="AC131" s="160">
        <f t="shared" si="47"/>
        <v>0</v>
      </c>
      <c r="AD131" s="160">
        <f t="shared" si="47"/>
        <v>0</v>
      </c>
      <c r="AE131" s="160">
        <f t="shared" si="47"/>
        <v>0</v>
      </c>
      <c r="AF131" s="160">
        <f t="shared" si="47"/>
        <v>0</v>
      </c>
      <c r="AG131" s="693">
        <f t="shared" si="46"/>
        <v>0</v>
      </c>
    </row>
    <row r="132" hidden="1" outlineLevel="1">
      <c r="A132" s="783"/>
      <c r="B132" s="661"/>
      <c r="C132" s="661"/>
      <c r="D132" s="661"/>
      <c r="E132" s="661"/>
      <c r="F132" s="661"/>
      <c r="G132" s="661"/>
      <c r="H132" s="661"/>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100"/>
      <c r="AG132" s="693"/>
    </row>
    <row r="133" hidden="1" outlineLevel="1">
      <c r="A133" s="774" t="s">
        <v>198</v>
      </c>
      <c r="B133" s="771"/>
      <c r="C133" s="771"/>
      <c r="D133" s="771"/>
      <c r="E133" s="771"/>
      <c r="F133" s="771"/>
      <c r="G133" s="771"/>
      <c r="H133" s="342"/>
      <c r="I133" s="342"/>
      <c r="J133" s="342"/>
      <c r="K133" s="342"/>
      <c r="L133" s="342"/>
      <c r="M133" s="771"/>
      <c r="N133" s="342"/>
      <c r="O133" s="342"/>
      <c r="P133" s="342"/>
      <c r="Q133" s="342"/>
      <c r="R133" s="771"/>
      <c r="S133" s="771"/>
      <c r="T133" s="342"/>
      <c r="U133" s="342"/>
      <c r="V133" s="342"/>
      <c r="W133" s="342"/>
      <c r="X133" s="342"/>
      <c r="Y133" s="342"/>
      <c r="Z133" s="342"/>
      <c r="AA133" s="342"/>
      <c r="AB133" s="342"/>
      <c r="AC133" s="342"/>
      <c r="AD133" s="342"/>
      <c r="AE133" s="342"/>
      <c r="AF133" s="100"/>
      <c r="AG133" s="693">
        <f t="shared" ref="AG133:AG138" si="48">sum(B133:AE133)</f>
        <v>0</v>
      </c>
    </row>
    <row r="134" hidden="1" outlineLevel="1">
      <c r="A134" s="774" t="s">
        <v>201</v>
      </c>
      <c r="B134" s="771"/>
      <c r="C134" s="771"/>
      <c r="D134" s="771"/>
      <c r="E134" s="771"/>
      <c r="F134" s="771"/>
      <c r="G134" s="771"/>
      <c r="H134" s="342"/>
      <c r="I134" s="342"/>
      <c r="J134" s="342"/>
      <c r="K134" s="342"/>
      <c r="L134" s="342"/>
      <c r="M134" s="771"/>
      <c r="N134" s="342"/>
      <c r="O134" s="342"/>
      <c r="P134" s="342"/>
      <c r="Q134" s="342"/>
      <c r="R134" s="771"/>
      <c r="S134" s="771"/>
      <c r="T134" s="342"/>
      <c r="U134" s="342"/>
      <c r="V134" s="342"/>
      <c r="W134" s="342"/>
      <c r="X134" s="342"/>
      <c r="Y134" s="342"/>
      <c r="Z134" s="342"/>
      <c r="AA134" s="342"/>
      <c r="AB134" s="342"/>
      <c r="AC134" s="342"/>
      <c r="AD134" s="342"/>
      <c r="AE134" s="342"/>
      <c r="AF134" s="100"/>
      <c r="AG134" s="693">
        <f t="shared" si="48"/>
        <v>0</v>
      </c>
    </row>
    <row r="135" hidden="1" outlineLevel="1">
      <c r="A135" s="774" t="s">
        <v>202</v>
      </c>
      <c r="B135" s="771"/>
      <c r="C135" s="771"/>
      <c r="D135" s="771"/>
      <c r="E135" s="771"/>
      <c r="F135" s="771"/>
      <c r="G135" s="771"/>
      <c r="H135" s="342"/>
      <c r="I135" s="342"/>
      <c r="J135" s="342"/>
      <c r="K135" s="342"/>
      <c r="L135" s="342"/>
      <c r="M135" s="771"/>
      <c r="N135" s="342"/>
      <c r="O135" s="342"/>
      <c r="P135" s="342"/>
      <c r="Q135" s="342"/>
      <c r="R135" s="771"/>
      <c r="S135" s="771"/>
      <c r="T135" s="342"/>
      <c r="U135" s="342"/>
      <c r="V135" s="342"/>
      <c r="W135" s="342"/>
      <c r="X135" s="342"/>
      <c r="Y135" s="342"/>
      <c r="Z135" s="342"/>
      <c r="AA135" s="342"/>
      <c r="AB135" s="342"/>
      <c r="AC135" s="342"/>
      <c r="AD135" s="342"/>
      <c r="AE135" s="342"/>
      <c r="AF135" s="100"/>
      <c r="AG135" s="693">
        <f t="shared" si="48"/>
        <v>0</v>
      </c>
    </row>
    <row r="136" hidden="1" outlineLevel="1">
      <c r="A136" s="774" t="s">
        <v>203</v>
      </c>
      <c r="B136" s="771"/>
      <c r="C136" s="771"/>
      <c r="D136" s="771"/>
      <c r="E136" s="771"/>
      <c r="F136" s="771"/>
      <c r="G136" s="771"/>
      <c r="H136" s="342"/>
      <c r="I136" s="342"/>
      <c r="J136" s="342"/>
      <c r="K136" s="342"/>
      <c r="L136" s="342"/>
      <c r="M136" s="771"/>
      <c r="N136" s="342"/>
      <c r="O136" s="342"/>
      <c r="P136" s="342"/>
      <c r="Q136" s="342"/>
      <c r="R136" s="771"/>
      <c r="S136" s="771"/>
      <c r="T136" s="342"/>
      <c r="U136" s="342"/>
      <c r="V136" s="342"/>
      <c r="W136" s="342"/>
      <c r="X136" s="342"/>
      <c r="Y136" s="342"/>
      <c r="Z136" s="342"/>
      <c r="AA136" s="342"/>
      <c r="AB136" s="342"/>
      <c r="AC136" s="342"/>
      <c r="AD136" s="342"/>
      <c r="AE136" s="342"/>
      <c r="AF136" s="100"/>
      <c r="AG136" s="693">
        <f t="shared" si="48"/>
        <v>0</v>
      </c>
    </row>
    <row r="137" hidden="1" outlineLevel="1">
      <c r="A137" s="774" t="s">
        <v>204</v>
      </c>
      <c r="B137" s="771"/>
      <c r="C137" s="771"/>
      <c r="D137" s="771"/>
      <c r="E137" s="771"/>
      <c r="F137" s="771"/>
      <c r="G137" s="771"/>
      <c r="H137" s="342"/>
      <c r="I137" s="342"/>
      <c r="J137" s="342"/>
      <c r="K137" s="342"/>
      <c r="L137" s="342"/>
      <c r="M137" s="771"/>
      <c r="N137" s="342"/>
      <c r="O137" s="342"/>
      <c r="P137" s="342"/>
      <c r="Q137" s="342"/>
      <c r="R137" s="771"/>
      <c r="S137" s="771"/>
      <c r="T137" s="342"/>
      <c r="U137" s="342"/>
      <c r="V137" s="342"/>
      <c r="W137" s="342"/>
      <c r="X137" s="342"/>
      <c r="Y137" s="342"/>
      <c r="Z137" s="342"/>
      <c r="AA137" s="342"/>
      <c r="AB137" s="342"/>
      <c r="AC137" s="342"/>
      <c r="AD137" s="342"/>
      <c r="AE137" s="342"/>
      <c r="AF137" s="100"/>
      <c r="AG137" s="693">
        <f t="shared" si="48"/>
        <v>0</v>
      </c>
    </row>
    <row r="138" hidden="1" outlineLevel="1">
      <c r="A138" s="789" t="s">
        <v>205</v>
      </c>
      <c r="B138" s="160">
        <f t="shared" ref="B138:AF138" si="49">SUM(B133:B137)</f>
        <v>0</v>
      </c>
      <c r="C138" s="160">
        <f t="shared" si="49"/>
        <v>0</v>
      </c>
      <c r="D138" s="160">
        <f t="shared" si="49"/>
        <v>0</v>
      </c>
      <c r="E138" s="160">
        <f t="shared" si="49"/>
        <v>0</v>
      </c>
      <c r="F138" s="160">
        <f t="shared" si="49"/>
        <v>0</v>
      </c>
      <c r="G138" s="160">
        <f t="shared" si="49"/>
        <v>0</v>
      </c>
      <c r="H138" s="160">
        <f t="shared" si="49"/>
        <v>0</v>
      </c>
      <c r="I138" s="160">
        <f t="shared" si="49"/>
        <v>0</v>
      </c>
      <c r="J138" s="160">
        <f t="shared" si="49"/>
        <v>0</v>
      </c>
      <c r="K138" s="160">
        <f t="shared" si="49"/>
        <v>0</v>
      </c>
      <c r="L138" s="160">
        <f t="shared" si="49"/>
        <v>0</v>
      </c>
      <c r="M138" s="160">
        <f t="shared" si="49"/>
        <v>0</v>
      </c>
      <c r="N138" s="160">
        <f t="shared" si="49"/>
        <v>0</v>
      </c>
      <c r="O138" s="160">
        <f t="shared" si="49"/>
        <v>0</v>
      </c>
      <c r="P138" s="160">
        <f t="shared" si="49"/>
        <v>0</v>
      </c>
      <c r="Q138" s="160">
        <f t="shared" si="49"/>
        <v>0</v>
      </c>
      <c r="R138" s="160">
        <f t="shared" si="49"/>
        <v>0</v>
      </c>
      <c r="S138" s="160">
        <f t="shared" si="49"/>
        <v>0</v>
      </c>
      <c r="T138" s="160">
        <f t="shared" si="49"/>
        <v>0</v>
      </c>
      <c r="U138" s="160">
        <f t="shared" si="49"/>
        <v>0</v>
      </c>
      <c r="V138" s="160">
        <f t="shared" si="49"/>
        <v>0</v>
      </c>
      <c r="W138" s="160">
        <f t="shared" si="49"/>
        <v>0</v>
      </c>
      <c r="X138" s="160">
        <f t="shared" si="49"/>
        <v>0</v>
      </c>
      <c r="Y138" s="160">
        <f t="shared" si="49"/>
        <v>0</v>
      </c>
      <c r="Z138" s="160">
        <f t="shared" si="49"/>
        <v>0</v>
      </c>
      <c r="AA138" s="160">
        <f t="shared" si="49"/>
        <v>0</v>
      </c>
      <c r="AB138" s="160">
        <f t="shared" si="49"/>
        <v>0</v>
      </c>
      <c r="AC138" s="160">
        <f t="shared" si="49"/>
        <v>0</v>
      </c>
      <c r="AD138" s="160">
        <f t="shared" si="49"/>
        <v>0</v>
      </c>
      <c r="AE138" s="160">
        <f t="shared" si="49"/>
        <v>0</v>
      </c>
      <c r="AF138" s="160">
        <f t="shared" si="49"/>
        <v>0</v>
      </c>
      <c r="AG138" s="693">
        <f t="shared" si="48"/>
        <v>0</v>
      </c>
    </row>
    <row r="139" hidden="1" outlineLevel="1">
      <c r="A139" s="783"/>
      <c r="B139" s="661"/>
      <c r="C139" s="661"/>
      <c r="D139" s="661"/>
      <c r="E139" s="661"/>
      <c r="F139" s="661"/>
      <c r="G139" s="661"/>
      <c r="H139" s="661"/>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100"/>
      <c r="AG139" s="693"/>
    </row>
    <row r="140" hidden="1" outlineLevel="1">
      <c r="A140" s="774" t="s">
        <v>207</v>
      </c>
      <c r="B140" s="753"/>
      <c r="C140" s="778"/>
      <c r="D140" s="778"/>
      <c r="E140" s="778"/>
      <c r="F140" s="778"/>
      <c r="G140" s="778"/>
      <c r="H140" s="778"/>
      <c r="I140" s="778"/>
      <c r="J140" s="778"/>
      <c r="K140" s="778"/>
      <c r="L140" s="778"/>
      <c r="M140" s="778"/>
      <c r="N140" s="778"/>
      <c r="O140" s="778"/>
      <c r="P140" s="778"/>
      <c r="Q140" s="778"/>
      <c r="R140" s="778"/>
      <c r="S140" s="778"/>
      <c r="T140" s="778"/>
      <c r="U140" s="778"/>
      <c r="V140" s="778"/>
      <c r="W140" s="778"/>
      <c r="X140" s="778"/>
      <c r="Y140" s="778"/>
      <c r="Z140" s="778"/>
      <c r="AA140" s="778"/>
      <c r="AB140" s="778"/>
      <c r="AC140" s="778"/>
      <c r="AD140" s="778"/>
      <c r="AE140" s="778"/>
      <c r="AF140" s="100"/>
      <c r="AG140" s="693">
        <f t="shared" ref="AG140:AG145" si="50">sum(B140:AE140)</f>
        <v>0</v>
      </c>
    </row>
    <row r="141" hidden="1" outlineLevel="1">
      <c r="A141" s="774" t="s">
        <v>209</v>
      </c>
      <c r="B141" s="753"/>
      <c r="C141" s="448"/>
      <c r="D141" s="777"/>
      <c r="E141" s="778"/>
      <c r="F141" s="778"/>
      <c r="G141" s="778"/>
      <c r="H141" s="778"/>
      <c r="I141" s="778"/>
      <c r="J141" s="778"/>
      <c r="K141" s="778"/>
      <c r="L141" s="778"/>
      <c r="M141" s="778"/>
      <c r="N141" s="778"/>
      <c r="O141" s="778"/>
      <c r="P141" s="778"/>
      <c r="Q141" s="778"/>
      <c r="R141" s="778"/>
      <c r="S141" s="778"/>
      <c r="T141" s="778"/>
      <c r="U141" s="778"/>
      <c r="V141" s="778"/>
      <c r="W141" s="778"/>
      <c r="X141" s="778"/>
      <c r="Y141" s="778"/>
      <c r="Z141" s="778"/>
      <c r="AA141" s="778"/>
      <c r="AB141" s="778"/>
      <c r="AC141" s="778"/>
      <c r="AD141" s="778"/>
      <c r="AE141" s="778"/>
      <c r="AF141" s="100"/>
      <c r="AG141" s="693">
        <f t="shared" si="50"/>
        <v>0</v>
      </c>
    </row>
    <row r="142" hidden="1" outlineLevel="1">
      <c r="A142" s="774" t="s">
        <v>210</v>
      </c>
      <c r="B142" s="753"/>
      <c r="C142" s="778"/>
      <c r="D142" s="778"/>
      <c r="E142" s="778"/>
      <c r="F142" s="778"/>
      <c r="G142" s="778"/>
      <c r="H142" s="778"/>
      <c r="I142" s="778"/>
      <c r="J142" s="778"/>
      <c r="K142" s="778"/>
      <c r="L142" s="778"/>
      <c r="M142" s="778"/>
      <c r="N142" s="778"/>
      <c r="O142" s="778"/>
      <c r="P142" s="778"/>
      <c r="Q142" s="778"/>
      <c r="R142" s="778"/>
      <c r="S142" s="778"/>
      <c r="T142" s="778"/>
      <c r="U142" s="778"/>
      <c r="V142" s="778"/>
      <c r="W142" s="778"/>
      <c r="X142" s="778"/>
      <c r="Y142" s="778"/>
      <c r="Z142" s="778"/>
      <c r="AA142" s="778"/>
      <c r="AB142" s="778"/>
      <c r="AC142" s="778"/>
      <c r="AD142" s="778"/>
      <c r="AE142" s="778"/>
      <c r="AF142" s="100"/>
      <c r="AG142" s="693">
        <f t="shared" si="50"/>
        <v>0</v>
      </c>
    </row>
    <row r="143" hidden="1" outlineLevel="1">
      <c r="A143" s="774" t="s">
        <v>211</v>
      </c>
      <c r="B143" s="753"/>
      <c r="C143" s="778"/>
      <c r="D143" s="778"/>
      <c r="E143" s="778"/>
      <c r="F143" s="778"/>
      <c r="G143" s="778"/>
      <c r="H143" s="778"/>
      <c r="I143" s="778"/>
      <c r="J143" s="778"/>
      <c r="K143" s="778"/>
      <c r="L143" s="778"/>
      <c r="M143" s="778"/>
      <c r="N143" s="778"/>
      <c r="O143" s="778"/>
      <c r="P143" s="778"/>
      <c r="Q143" s="778"/>
      <c r="R143" s="778"/>
      <c r="S143" s="778"/>
      <c r="T143" s="778"/>
      <c r="U143" s="778"/>
      <c r="V143" s="778"/>
      <c r="W143" s="778"/>
      <c r="X143" s="778"/>
      <c r="Y143" s="778"/>
      <c r="Z143" s="778"/>
      <c r="AA143" s="778"/>
      <c r="AB143" s="778"/>
      <c r="AC143" s="778"/>
      <c r="AD143" s="778"/>
      <c r="AE143" s="778"/>
      <c r="AF143" s="100"/>
      <c r="AG143" s="693">
        <f t="shared" si="50"/>
        <v>0</v>
      </c>
    </row>
    <row r="144" hidden="1" outlineLevel="1">
      <c r="A144" s="774" t="s">
        <v>212</v>
      </c>
      <c r="B144" s="778"/>
      <c r="C144" s="448"/>
      <c r="D144" s="778"/>
      <c r="E144" s="778"/>
      <c r="F144" s="778"/>
      <c r="G144" s="778"/>
      <c r="H144" s="778"/>
      <c r="I144" s="778"/>
      <c r="J144" s="778"/>
      <c r="K144" s="778"/>
      <c r="L144" s="778"/>
      <c r="M144" s="778"/>
      <c r="N144" s="778"/>
      <c r="O144" s="778"/>
      <c r="P144" s="778"/>
      <c r="Q144" s="778"/>
      <c r="R144" s="778"/>
      <c r="S144" s="778"/>
      <c r="T144" s="778"/>
      <c r="U144" s="778"/>
      <c r="V144" s="778"/>
      <c r="W144" s="778"/>
      <c r="X144" s="778"/>
      <c r="Y144" s="778"/>
      <c r="Z144" s="778"/>
      <c r="AA144" s="778"/>
      <c r="AB144" s="778"/>
      <c r="AC144" s="778"/>
      <c r="AD144" s="778"/>
      <c r="AE144" s="778"/>
      <c r="AF144" s="100"/>
      <c r="AG144" s="693">
        <f t="shared" si="50"/>
        <v>0</v>
      </c>
    </row>
    <row r="145" hidden="1" outlineLevel="1">
      <c r="A145" s="789" t="s">
        <v>214</v>
      </c>
      <c r="B145" s="160">
        <f>SUM(B140:B144)</f>
        <v>0</v>
      </c>
      <c r="C145" s="160">
        <f>SUM(C140:C143)</f>
        <v>0</v>
      </c>
      <c r="D145" s="160">
        <f t="shared" ref="D145:F145" si="51">SUM(D140:D144)</f>
        <v>0</v>
      </c>
      <c r="E145" s="160">
        <f t="shared" si="51"/>
        <v>0</v>
      </c>
      <c r="F145" s="160">
        <f t="shared" si="51"/>
        <v>0</v>
      </c>
      <c r="G145" s="160">
        <f t="shared" ref="G145:V145" si="52">SUM(G140:G143)</f>
        <v>0</v>
      </c>
      <c r="H145" s="160">
        <f t="shared" si="52"/>
        <v>0</v>
      </c>
      <c r="I145" s="160">
        <f t="shared" si="52"/>
        <v>0</v>
      </c>
      <c r="J145" s="160">
        <f t="shared" si="52"/>
        <v>0</v>
      </c>
      <c r="K145" s="160">
        <f t="shared" si="52"/>
        <v>0</v>
      </c>
      <c r="L145" s="160">
        <f t="shared" si="52"/>
        <v>0</v>
      </c>
      <c r="M145" s="160">
        <f t="shared" si="52"/>
        <v>0</v>
      </c>
      <c r="N145" s="160">
        <f t="shared" si="52"/>
        <v>0</v>
      </c>
      <c r="O145" s="160">
        <f t="shared" si="52"/>
        <v>0</v>
      </c>
      <c r="P145" s="160">
        <f t="shared" si="52"/>
        <v>0</v>
      </c>
      <c r="Q145" s="160">
        <f t="shared" si="52"/>
        <v>0</v>
      </c>
      <c r="R145" s="160">
        <f t="shared" si="52"/>
        <v>0</v>
      </c>
      <c r="S145" s="160">
        <f t="shared" si="52"/>
        <v>0</v>
      </c>
      <c r="T145" s="160">
        <f t="shared" si="52"/>
        <v>0</v>
      </c>
      <c r="U145" s="160">
        <f t="shared" si="52"/>
        <v>0</v>
      </c>
      <c r="V145" s="160">
        <f t="shared" si="52"/>
        <v>0</v>
      </c>
      <c r="W145" s="160">
        <f>SUM(W140:W144)</f>
        <v>0</v>
      </c>
      <c r="X145" s="160">
        <f t="shared" ref="X145:AF145" si="53">SUM(X140:X143)</f>
        <v>0</v>
      </c>
      <c r="Y145" s="160">
        <f t="shared" si="53"/>
        <v>0</v>
      </c>
      <c r="Z145" s="160">
        <f t="shared" si="53"/>
        <v>0</v>
      </c>
      <c r="AA145" s="160">
        <f t="shared" si="53"/>
        <v>0</v>
      </c>
      <c r="AB145" s="160">
        <f t="shared" si="53"/>
        <v>0</v>
      </c>
      <c r="AC145" s="160">
        <f t="shared" si="53"/>
        <v>0</v>
      </c>
      <c r="AD145" s="160">
        <f t="shared" si="53"/>
        <v>0</v>
      </c>
      <c r="AE145" s="160">
        <f t="shared" si="53"/>
        <v>0</v>
      </c>
      <c r="AF145" s="160">
        <f t="shared" si="53"/>
        <v>0</v>
      </c>
      <c r="AG145" s="693">
        <f t="shared" si="50"/>
        <v>0</v>
      </c>
    </row>
    <row r="146" hidden="1" outlineLevel="1">
      <c r="A146" s="783"/>
      <c r="B146" s="661"/>
      <c r="C146" s="661"/>
      <c r="D146" s="661"/>
      <c r="E146" s="661"/>
      <c r="F146" s="661"/>
      <c r="G146" s="661"/>
      <c r="H146" s="661"/>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100"/>
      <c r="AG146" s="693"/>
    </row>
    <row r="147" collapsed="1">
      <c r="A147" s="769" t="s">
        <v>1003</v>
      </c>
      <c r="B147" s="661"/>
      <c r="C147" s="661"/>
      <c r="D147" s="661"/>
      <c r="E147" s="661"/>
      <c r="F147" s="661"/>
      <c r="G147" s="661"/>
      <c r="H147" s="661"/>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100"/>
      <c r="AG147" s="693"/>
    </row>
    <row r="148" hidden="1" outlineLevel="1">
      <c r="A148" s="794" t="s">
        <v>1005</v>
      </c>
      <c r="B148" s="795"/>
      <c r="C148" s="795"/>
      <c r="D148" s="795"/>
      <c r="E148" s="795"/>
      <c r="F148" s="795"/>
      <c r="G148" s="795"/>
      <c r="H148" s="598"/>
      <c r="I148" s="598"/>
      <c r="J148" s="598"/>
      <c r="K148" s="598"/>
      <c r="L148" s="598"/>
      <c r="M148" s="795"/>
      <c r="N148" s="598"/>
      <c r="O148" s="598"/>
      <c r="P148" s="598"/>
      <c r="Q148" s="598"/>
      <c r="R148" s="795"/>
      <c r="S148" s="795"/>
      <c r="T148" s="598"/>
      <c r="U148" s="598"/>
      <c r="V148" s="598"/>
      <c r="W148" s="598"/>
      <c r="X148" s="598"/>
      <c r="Y148" s="598"/>
      <c r="Z148" s="598"/>
      <c r="AA148" s="598"/>
      <c r="AB148" s="598"/>
      <c r="AC148" s="598"/>
      <c r="AD148" s="598"/>
      <c r="AE148" s="598"/>
      <c r="AF148" s="122"/>
      <c r="AG148" s="600">
        <f t="shared" ref="AG148:AG155" si="55">SUM(B148:AE148)</f>
        <v>0</v>
      </c>
    </row>
    <row r="149" hidden="1" outlineLevel="1">
      <c r="A149" s="790" t="s">
        <v>218</v>
      </c>
      <c r="B149" s="598"/>
      <c r="C149" s="598"/>
      <c r="D149" s="598"/>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598"/>
      <c r="AA149" s="598"/>
      <c r="AB149" s="598">
        <f t="shared" ref="AB149:AE149" si="54">AB9</f>
        <v>4274.81</v>
      </c>
      <c r="AC149" s="598">
        <f t="shared" si="54"/>
        <v>55</v>
      </c>
      <c r="AD149" s="598">
        <f t="shared" si="54"/>
        <v>0</v>
      </c>
      <c r="AE149" s="598">
        <f t="shared" si="54"/>
        <v>507</v>
      </c>
      <c r="AF149" s="122"/>
      <c r="AG149" s="600">
        <f t="shared" si="55"/>
        <v>4836.81</v>
      </c>
    </row>
    <row r="150" hidden="1" outlineLevel="1">
      <c r="A150" s="790" t="s">
        <v>172</v>
      </c>
      <c r="B150" s="795"/>
      <c r="C150" s="795"/>
      <c r="D150" s="795"/>
      <c r="E150" s="795"/>
      <c r="F150" s="795"/>
      <c r="G150" s="795"/>
      <c r="H150" s="598"/>
      <c r="I150" s="598"/>
      <c r="J150" s="598"/>
      <c r="K150" s="598"/>
      <c r="L150" s="598"/>
      <c r="M150" s="795"/>
      <c r="N150" s="797"/>
      <c r="O150" s="598"/>
      <c r="P150" s="795"/>
      <c r="Q150" s="598"/>
      <c r="R150" s="598"/>
      <c r="S150" s="795"/>
      <c r="T150" s="598"/>
      <c r="U150" s="598"/>
      <c r="V150" s="795"/>
      <c r="W150" s="598"/>
      <c r="X150" s="598"/>
      <c r="Y150" s="598"/>
      <c r="Z150" s="598"/>
      <c r="AA150" s="598"/>
      <c r="AB150" s="598"/>
      <c r="AC150" s="598"/>
      <c r="AD150" s="598"/>
      <c r="AE150" s="598"/>
      <c r="AF150" s="122"/>
      <c r="AG150" s="600">
        <f t="shared" si="55"/>
        <v>0</v>
      </c>
    </row>
    <row r="151" hidden="1" outlineLevel="1">
      <c r="A151" s="790" t="s">
        <v>173</v>
      </c>
      <c r="B151" s="795"/>
      <c r="C151" s="795"/>
      <c r="D151" s="795"/>
      <c r="E151" s="795"/>
      <c r="F151" s="795"/>
      <c r="G151" s="795"/>
      <c r="H151" s="598"/>
      <c r="I151" s="598"/>
      <c r="J151" s="598"/>
      <c r="K151" s="598"/>
      <c r="L151" s="598"/>
      <c r="M151" s="795"/>
      <c r="N151" s="598"/>
      <c r="O151" s="598"/>
      <c r="P151" s="598"/>
      <c r="Q151" s="795"/>
      <c r="R151" s="795"/>
      <c r="S151" s="798"/>
      <c r="T151" s="598"/>
      <c r="U151" s="598"/>
      <c r="V151" s="598"/>
      <c r="W151" s="598"/>
      <c r="X151" s="598"/>
      <c r="Y151" s="598"/>
      <c r="Z151" s="598"/>
      <c r="AA151" s="598"/>
      <c r="AB151" s="598"/>
      <c r="AC151" s="598"/>
      <c r="AD151" s="598"/>
      <c r="AE151" s="598"/>
      <c r="AF151" s="122"/>
      <c r="AG151" s="600">
        <f t="shared" si="55"/>
        <v>0</v>
      </c>
    </row>
    <row r="152" ht="20.25" hidden="1" customHeight="1" outlineLevel="1">
      <c r="A152" s="790" t="s">
        <v>175</v>
      </c>
      <c r="B152" s="799"/>
      <c r="C152" s="597"/>
      <c r="D152" s="597"/>
      <c r="E152" s="597"/>
      <c r="F152" s="597"/>
      <c r="G152" s="597"/>
      <c r="H152" s="597"/>
      <c r="I152" s="597"/>
      <c r="J152" s="799"/>
      <c r="K152" s="799"/>
      <c r="L152" s="799"/>
      <c r="M152" s="799"/>
      <c r="N152" s="799"/>
      <c r="O152" s="799"/>
      <c r="P152" s="799"/>
      <c r="Q152" s="799"/>
      <c r="R152" s="799"/>
      <c r="S152" s="799"/>
      <c r="T152" s="799"/>
      <c r="U152" s="799"/>
      <c r="V152" s="799"/>
      <c r="W152" s="597"/>
      <c r="X152" s="799"/>
      <c r="Y152" s="799"/>
      <c r="Z152" s="799"/>
      <c r="AA152" s="799"/>
      <c r="AB152" s="799"/>
      <c r="AC152" s="799"/>
      <c r="AD152" s="799"/>
      <c r="AE152" s="799"/>
      <c r="AF152" s="122"/>
      <c r="AG152" s="600">
        <f t="shared" si="55"/>
        <v>0</v>
      </c>
    </row>
    <row r="153" hidden="1" outlineLevel="1">
      <c r="A153" s="790" t="s">
        <v>177</v>
      </c>
      <c r="B153" s="799"/>
      <c r="C153" s="597"/>
      <c r="D153" s="799"/>
      <c r="E153" s="597"/>
      <c r="F153" s="597"/>
      <c r="G153" s="597"/>
      <c r="H153" s="597"/>
      <c r="I153" s="597"/>
      <c r="J153" s="799"/>
      <c r="K153" s="799"/>
      <c r="L153" s="799"/>
      <c r="M153" s="799"/>
      <c r="N153" s="799"/>
      <c r="O153" s="799"/>
      <c r="P153" s="799"/>
      <c r="Q153" s="799"/>
      <c r="R153" s="799"/>
      <c r="S153" s="799"/>
      <c r="T153" s="799"/>
      <c r="U153" s="799"/>
      <c r="V153" s="799"/>
      <c r="W153" s="799"/>
      <c r="X153" s="799"/>
      <c r="Y153" s="799"/>
      <c r="Z153" s="799"/>
      <c r="AA153" s="799"/>
      <c r="AB153" s="799"/>
      <c r="AC153" s="799"/>
      <c r="AD153" s="799"/>
      <c r="AE153" s="799"/>
      <c r="AF153" s="122"/>
      <c r="AG153" s="600">
        <f t="shared" si="55"/>
        <v>0</v>
      </c>
    </row>
    <row r="154" hidden="1" outlineLevel="1">
      <c r="A154" s="800" t="s">
        <v>180</v>
      </c>
      <c r="B154" s="194">
        <f t="shared" ref="B154:AF154" si="56">B148+B150+B152</f>
        <v>0</v>
      </c>
      <c r="C154" s="194">
        <f t="shared" si="56"/>
        <v>0</v>
      </c>
      <c r="D154" s="194">
        <f t="shared" si="56"/>
        <v>0</v>
      </c>
      <c r="E154" s="194">
        <f t="shared" si="56"/>
        <v>0</v>
      </c>
      <c r="F154" s="194">
        <f t="shared" si="56"/>
        <v>0</v>
      </c>
      <c r="G154" s="194">
        <f t="shared" si="56"/>
        <v>0</v>
      </c>
      <c r="H154" s="194">
        <f t="shared" si="56"/>
        <v>0</v>
      </c>
      <c r="I154" s="194">
        <f t="shared" si="56"/>
        <v>0</v>
      </c>
      <c r="J154" s="194">
        <f t="shared" si="56"/>
        <v>0</v>
      </c>
      <c r="K154" s="194">
        <f t="shared" si="56"/>
        <v>0</v>
      </c>
      <c r="L154" s="194">
        <f t="shared" si="56"/>
        <v>0</v>
      </c>
      <c r="M154" s="194">
        <f t="shared" si="56"/>
        <v>0</v>
      </c>
      <c r="N154" s="194">
        <f t="shared" si="56"/>
        <v>0</v>
      </c>
      <c r="O154" s="194">
        <f t="shared" si="56"/>
        <v>0</v>
      </c>
      <c r="P154" s="194">
        <f t="shared" si="56"/>
        <v>0</v>
      </c>
      <c r="Q154" s="194">
        <f t="shared" si="56"/>
        <v>0</v>
      </c>
      <c r="R154" s="194">
        <f t="shared" si="56"/>
        <v>0</v>
      </c>
      <c r="S154" s="194">
        <f t="shared" si="56"/>
        <v>0</v>
      </c>
      <c r="T154" s="194">
        <f t="shared" si="56"/>
        <v>0</v>
      </c>
      <c r="U154" s="194">
        <f t="shared" si="56"/>
        <v>0</v>
      </c>
      <c r="V154" s="194">
        <f t="shared" si="56"/>
        <v>0</v>
      </c>
      <c r="W154" s="194">
        <f t="shared" si="56"/>
        <v>0</v>
      </c>
      <c r="X154" s="194">
        <f t="shared" si="56"/>
        <v>0</v>
      </c>
      <c r="Y154" s="194">
        <f t="shared" si="56"/>
        <v>0</v>
      </c>
      <c r="Z154" s="194">
        <f t="shared" si="56"/>
        <v>0</v>
      </c>
      <c r="AA154" s="194">
        <f t="shared" si="56"/>
        <v>0</v>
      </c>
      <c r="AB154" s="194">
        <f t="shared" si="56"/>
        <v>0</v>
      </c>
      <c r="AC154" s="194">
        <f t="shared" si="56"/>
        <v>0</v>
      </c>
      <c r="AD154" s="194">
        <f t="shared" si="56"/>
        <v>0</v>
      </c>
      <c r="AE154" s="194">
        <f t="shared" si="56"/>
        <v>0</v>
      </c>
      <c r="AF154" s="194">
        <f t="shared" si="56"/>
        <v>0</v>
      </c>
      <c r="AG154" s="600">
        <f t="shared" si="55"/>
        <v>0</v>
      </c>
    </row>
    <row r="155" hidden="1" outlineLevel="1">
      <c r="A155" s="800" t="s">
        <v>185</v>
      </c>
      <c r="B155" s="194">
        <f t="shared" ref="B155:AF155" si="57">B149+B151+B153</f>
        <v>0</v>
      </c>
      <c r="C155" s="194">
        <f t="shared" si="57"/>
        <v>0</v>
      </c>
      <c r="D155" s="194">
        <f t="shared" si="57"/>
        <v>0</v>
      </c>
      <c r="E155" s="194">
        <f t="shared" si="57"/>
        <v>0</v>
      </c>
      <c r="F155" s="194">
        <f t="shared" si="57"/>
        <v>0</v>
      </c>
      <c r="G155" s="194">
        <f t="shared" si="57"/>
        <v>0</v>
      </c>
      <c r="H155" s="194">
        <f t="shared" si="57"/>
        <v>0</v>
      </c>
      <c r="I155" s="194">
        <f t="shared" si="57"/>
        <v>0</v>
      </c>
      <c r="J155" s="194">
        <f t="shared" si="57"/>
        <v>0</v>
      </c>
      <c r="K155" s="194">
        <f t="shared" si="57"/>
        <v>0</v>
      </c>
      <c r="L155" s="194">
        <f t="shared" si="57"/>
        <v>0</v>
      </c>
      <c r="M155" s="194">
        <f t="shared" si="57"/>
        <v>0</v>
      </c>
      <c r="N155" s="194">
        <f t="shared" si="57"/>
        <v>0</v>
      </c>
      <c r="O155" s="194">
        <f t="shared" si="57"/>
        <v>0</v>
      </c>
      <c r="P155" s="194">
        <f t="shared" si="57"/>
        <v>0</v>
      </c>
      <c r="Q155" s="194">
        <f t="shared" si="57"/>
        <v>0</v>
      </c>
      <c r="R155" s="194">
        <f t="shared" si="57"/>
        <v>0</v>
      </c>
      <c r="S155" s="194">
        <f t="shared" si="57"/>
        <v>0</v>
      </c>
      <c r="T155" s="194">
        <f t="shared" si="57"/>
        <v>0</v>
      </c>
      <c r="U155" s="194">
        <f t="shared" si="57"/>
        <v>0</v>
      </c>
      <c r="V155" s="194">
        <f t="shared" si="57"/>
        <v>0</v>
      </c>
      <c r="W155" s="194">
        <f t="shared" si="57"/>
        <v>0</v>
      </c>
      <c r="X155" s="194">
        <f t="shared" si="57"/>
        <v>0</v>
      </c>
      <c r="Y155" s="194">
        <f t="shared" si="57"/>
        <v>0</v>
      </c>
      <c r="Z155" s="194">
        <f t="shared" si="57"/>
        <v>0</v>
      </c>
      <c r="AA155" s="194">
        <f t="shared" si="57"/>
        <v>0</v>
      </c>
      <c r="AB155" s="194">
        <f t="shared" si="57"/>
        <v>4274.81</v>
      </c>
      <c r="AC155" s="194">
        <f t="shared" si="57"/>
        <v>55</v>
      </c>
      <c r="AD155" s="194">
        <f t="shared" si="57"/>
        <v>0</v>
      </c>
      <c r="AE155" s="194">
        <f t="shared" si="57"/>
        <v>507</v>
      </c>
      <c r="AF155" s="194">
        <f t="shared" si="57"/>
        <v>0</v>
      </c>
      <c r="AG155" s="600">
        <f t="shared" si="55"/>
        <v>4836.81</v>
      </c>
    </row>
    <row r="156" ht="16.5" hidden="1" customHeight="1" outlineLevel="1">
      <c r="A156" s="25"/>
      <c r="B156" s="243"/>
      <c r="C156" s="243"/>
      <c r="D156" s="243"/>
      <c r="E156" s="243"/>
      <c r="F156" s="243"/>
      <c r="G156" s="243"/>
      <c r="H156" s="243"/>
      <c r="I156" s="243"/>
      <c r="J156" s="243"/>
      <c r="K156" s="243"/>
      <c r="L156" s="243"/>
      <c r="M156" s="243"/>
      <c r="N156" s="243"/>
      <c r="O156" s="243"/>
      <c r="P156" s="243"/>
      <c r="Q156" s="243"/>
      <c r="R156" s="243"/>
      <c r="S156" s="243"/>
      <c r="T156" s="243"/>
      <c r="U156" s="243"/>
      <c r="V156" s="243"/>
      <c r="W156" s="243"/>
      <c r="X156" s="243"/>
      <c r="Y156" s="243"/>
      <c r="Z156" s="243"/>
      <c r="AA156" s="243"/>
      <c r="AB156" s="243"/>
      <c r="AC156" s="243"/>
      <c r="AD156" s="243"/>
      <c r="AE156" s="243"/>
      <c r="AF156" s="122"/>
      <c r="AG156" s="600"/>
    </row>
    <row r="157" hidden="1" outlineLevel="1">
      <c r="A157" s="794" t="s">
        <v>1021</v>
      </c>
      <c r="B157" s="801"/>
      <c r="C157" s="802"/>
      <c r="D157" s="801"/>
      <c r="E157" s="801"/>
      <c r="F157" s="801"/>
      <c r="G157" s="801"/>
      <c r="H157" s="803"/>
      <c r="I157" s="804"/>
      <c r="J157" s="803"/>
      <c r="K157" s="803"/>
      <c r="L157" s="803"/>
      <c r="M157" s="801"/>
      <c r="N157" s="803"/>
      <c r="O157" s="803"/>
      <c r="P157" s="803"/>
      <c r="Q157" s="803"/>
      <c r="R157" s="801"/>
      <c r="S157" s="801"/>
      <c r="T157" s="803"/>
      <c r="U157" s="801"/>
      <c r="V157" s="803"/>
      <c r="W157" s="803"/>
      <c r="X157" s="801"/>
      <c r="Y157" s="803"/>
      <c r="Z157" s="803"/>
      <c r="AA157" s="803"/>
      <c r="AB157" s="803"/>
      <c r="AC157" s="803"/>
      <c r="AD157" s="805"/>
      <c r="AE157" s="803"/>
      <c r="AF157" s="122"/>
      <c r="AG157" s="600">
        <f t="shared" ref="AG157:AG162" si="58">SUM(B157:AE157)</f>
        <v>0</v>
      </c>
    </row>
    <row r="158" hidden="1" outlineLevel="1">
      <c r="A158" s="794" t="s">
        <v>1022</v>
      </c>
      <c r="B158" s="802"/>
      <c r="C158" s="802"/>
      <c r="D158" s="802"/>
      <c r="E158" s="802"/>
      <c r="F158" s="802"/>
      <c r="G158" s="802"/>
      <c r="H158" s="804"/>
      <c r="I158" s="804"/>
      <c r="J158" s="804"/>
      <c r="K158" s="804"/>
      <c r="L158" s="802"/>
      <c r="M158" s="802"/>
      <c r="N158" s="802"/>
      <c r="O158" s="802"/>
      <c r="P158" s="802"/>
      <c r="Q158" s="801"/>
      <c r="R158" s="801"/>
      <c r="S158" s="801"/>
      <c r="T158" s="801"/>
      <c r="U158" s="801"/>
      <c r="V158" s="801"/>
      <c r="W158" s="801"/>
      <c r="X158" s="801"/>
      <c r="Y158" s="801"/>
      <c r="Z158" s="801"/>
      <c r="AA158" s="801"/>
      <c r="AB158" s="801"/>
      <c r="AC158" s="801"/>
      <c r="AD158" s="805"/>
      <c r="AE158" s="803"/>
      <c r="AF158" s="122"/>
      <c r="AG158" s="600">
        <f t="shared" si="58"/>
        <v>0</v>
      </c>
    </row>
    <row r="159" hidden="1" outlineLevel="1">
      <c r="A159" s="790" t="s">
        <v>192</v>
      </c>
      <c r="B159" s="801"/>
      <c r="C159" s="801"/>
      <c r="D159" s="801"/>
      <c r="E159" s="801"/>
      <c r="F159" s="801"/>
      <c r="G159" s="801"/>
      <c r="H159" s="803"/>
      <c r="I159" s="803"/>
      <c r="J159" s="804"/>
      <c r="K159" s="803"/>
      <c r="L159" s="803"/>
      <c r="M159" s="801"/>
      <c r="N159" s="803"/>
      <c r="O159" s="803"/>
      <c r="P159" s="803"/>
      <c r="Q159" s="803"/>
      <c r="R159" s="801"/>
      <c r="S159" s="801"/>
      <c r="T159" s="803"/>
      <c r="U159" s="803"/>
      <c r="V159" s="803"/>
      <c r="W159" s="803"/>
      <c r="X159" s="803"/>
      <c r="Y159" s="803"/>
      <c r="Z159" s="803"/>
      <c r="AA159" s="803"/>
      <c r="AB159" s="803"/>
      <c r="AC159" s="803"/>
      <c r="AD159" s="805"/>
      <c r="AE159" s="803"/>
      <c r="AF159" s="122"/>
      <c r="AG159" s="600">
        <f t="shared" si="58"/>
        <v>0</v>
      </c>
    </row>
    <row r="160" hidden="1" outlineLevel="1">
      <c r="A160" s="794" t="s">
        <v>1023</v>
      </c>
      <c r="B160" s="801"/>
      <c r="C160" s="801"/>
      <c r="D160" s="801"/>
      <c r="E160" s="801"/>
      <c r="F160" s="801"/>
      <c r="G160" s="801"/>
      <c r="H160" s="803"/>
      <c r="I160" s="803"/>
      <c r="J160" s="803"/>
      <c r="K160" s="803"/>
      <c r="L160" s="803"/>
      <c r="M160" s="801"/>
      <c r="N160" s="803"/>
      <c r="O160" s="803"/>
      <c r="P160" s="803"/>
      <c r="Q160" s="803"/>
      <c r="R160" s="801"/>
      <c r="S160" s="801"/>
      <c r="T160" s="803"/>
      <c r="U160" s="803"/>
      <c r="V160" s="803"/>
      <c r="W160" s="803"/>
      <c r="X160" s="803"/>
      <c r="Y160" s="803"/>
      <c r="Z160" s="803"/>
      <c r="AA160" s="803"/>
      <c r="AB160" s="803"/>
      <c r="AC160" s="803"/>
      <c r="AD160" s="805"/>
      <c r="AE160" s="803"/>
      <c r="AF160" s="122"/>
      <c r="AG160" s="600">
        <f t="shared" si="58"/>
        <v>0</v>
      </c>
    </row>
    <row r="161" hidden="1" outlineLevel="1">
      <c r="A161" s="794" t="s">
        <v>1025</v>
      </c>
      <c r="B161" s="801"/>
      <c r="C161" s="801"/>
      <c r="D161" s="801"/>
      <c r="E161" s="801"/>
      <c r="F161" s="801"/>
      <c r="G161" s="801"/>
      <c r="H161" s="803"/>
      <c r="I161" s="803"/>
      <c r="J161" s="803"/>
      <c r="K161" s="803"/>
      <c r="L161" s="803"/>
      <c r="M161" s="801"/>
      <c r="N161" s="803"/>
      <c r="O161" s="803"/>
      <c r="P161" s="803"/>
      <c r="Q161" s="803"/>
      <c r="R161" s="801"/>
      <c r="S161" s="801"/>
      <c r="T161" s="803"/>
      <c r="U161" s="803"/>
      <c r="V161" s="803"/>
      <c r="W161" s="803"/>
      <c r="X161" s="803"/>
      <c r="Y161" s="803"/>
      <c r="Z161" s="803"/>
      <c r="AA161" s="803"/>
      <c r="AB161" s="803"/>
      <c r="AC161" s="803"/>
      <c r="AD161" s="805"/>
      <c r="AE161" s="803"/>
      <c r="AF161" s="122"/>
      <c r="AG161" s="600">
        <f t="shared" si="58"/>
        <v>0</v>
      </c>
    </row>
    <row r="162" hidden="1" outlineLevel="1">
      <c r="A162" s="808" t="s">
        <v>1027</v>
      </c>
      <c r="B162" s="194">
        <f t="shared" ref="B162:AF162" si="59">SUM(B157:B161)</f>
        <v>0</v>
      </c>
      <c r="C162" s="194">
        <f t="shared" si="59"/>
        <v>0</v>
      </c>
      <c r="D162" s="194">
        <f t="shared" si="59"/>
        <v>0</v>
      </c>
      <c r="E162" s="194">
        <f t="shared" si="59"/>
        <v>0</v>
      </c>
      <c r="F162" s="194">
        <f t="shared" si="59"/>
        <v>0</v>
      </c>
      <c r="G162" s="194">
        <f t="shared" si="59"/>
        <v>0</v>
      </c>
      <c r="H162" s="194">
        <f t="shared" si="59"/>
        <v>0</v>
      </c>
      <c r="I162" s="194">
        <f t="shared" si="59"/>
        <v>0</v>
      </c>
      <c r="J162" s="194">
        <f t="shared" si="59"/>
        <v>0</v>
      </c>
      <c r="K162" s="194">
        <f t="shared" si="59"/>
        <v>0</v>
      </c>
      <c r="L162" s="194">
        <f t="shared" si="59"/>
        <v>0</v>
      </c>
      <c r="M162" s="194">
        <f t="shared" si="59"/>
        <v>0</v>
      </c>
      <c r="N162" s="194">
        <f t="shared" si="59"/>
        <v>0</v>
      </c>
      <c r="O162" s="194">
        <f t="shared" si="59"/>
        <v>0</v>
      </c>
      <c r="P162" s="194">
        <f t="shared" si="59"/>
        <v>0</v>
      </c>
      <c r="Q162" s="194">
        <f t="shared" si="59"/>
        <v>0</v>
      </c>
      <c r="R162" s="194">
        <f t="shared" si="59"/>
        <v>0</v>
      </c>
      <c r="S162" s="194">
        <f t="shared" si="59"/>
        <v>0</v>
      </c>
      <c r="T162" s="194">
        <f t="shared" si="59"/>
        <v>0</v>
      </c>
      <c r="U162" s="194">
        <f t="shared" si="59"/>
        <v>0</v>
      </c>
      <c r="V162" s="194">
        <f t="shared" si="59"/>
        <v>0</v>
      </c>
      <c r="W162" s="194">
        <f t="shared" si="59"/>
        <v>0</v>
      </c>
      <c r="X162" s="194">
        <f t="shared" si="59"/>
        <v>0</v>
      </c>
      <c r="Y162" s="194">
        <f t="shared" si="59"/>
        <v>0</v>
      </c>
      <c r="Z162" s="194">
        <f t="shared" si="59"/>
        <v>0</v>
      </c>
      <c r="AA162" s="194">
        <f t="shared" si="59"/>
        <v>0</v>
      </c>
      <c r="AB162" s="194">
        <f t="shared" si="59"/>
        <v>0</v>
      </c>
      <c r="AC162" s="194">
        <f t="shared" si="59"/>
        <v>0</v>
      </c>
      <c r="AD162" s="194">
        <f t="shared" si="59"/>
        <v>0</v>
      </c>
      <c r="AE162" s="194">
        <f t="shared" si="59"/>
        <v>0</v>
      </c>
      <c r="AF162" s="194">
        <f t="shared" si="59"/>
        <v>0</v>
      </c>
      <c r="AG162" s="600">
        <f t="shared" si="58"/>
        <v>0</v>
      </c>
    </row>
    <row r="163" hidden="1" outlineLevel="1">
      <c r="A163" s="25"/>
      <c r="B163" s="243"/>
      <c r="C163" s="243"/>
      <c r="D163" s="243"/>
      <c r="E163" s="243"/>
      <c r="F163" s="243"/>
      <c r="G163" s="243"/>
      <c r="H163" s="243"/>
      <c r="I163" s="243"/>
      <c r="J163" s="243"/>
      <c r="K163" s="243"/>
      <c r="L163" s="243"/>
      <c r="M163" s="243"/>
      <c r="N163" s="243"/>
      <c r="O163" s="243"/>
      <c r="P163" s="243"/>
      <c r="Q163" s="243"/>
      <c r="R163" s="243"/>
      <c r="S163" s="243"/>
      <c r="T163" s="243"/>
      <c r="U163" s="243"/>
      <c r="V163" s="243"/>
      <c r="W163" s="243"/>
      <c r="X163" s="243"/>
      <c r="Y163" s="243"/>
      <c r="Z163" s="243"/>
      <c r="AA163" s="243"/>
      <c r="AB163" s="243"/>
      <c r="AC163" s="243"/>
      <c r="AD163" s="243"/>
      <c r="AE163" s="243"/>
      <c r="AF163" s="122"/>
      <c r="AG163" s="600"/>
    </row>
    <row r="164" hidden="1" outlineLevel="1">
      <c r="A164" s="790" t="s">
        <v>198</v>
      </c>
      <c r="B164" s="795"/>
      <c r="C164" s="802"/>
      <c r="D164" s="795"/>
      <c r="E164" s="801"/>
      <c r="F164" s="795"/>
      <c r="G164" s="795"/>
      <c r="H164" s="598"/>
      <c r="I164" s="598"/>
      <c r="J164" s="598"/>
      <c r="K164" s="598"/>
      <c r="L164" s="598"/>
      <c r="M164" s="795"/>
      <c r="N164" s="598"/>
      <c r="O164" s="598"/>
      <c r="P164" s="598"/>
      <c r="Q164" s="598"/>
      <c r="R164" s="795"/>
      <c r="S164" s="795"/>
      <c r="T164" s="598"/>
      <c r="U164" s="598"/>
      <c r="V164" s="598"/>
      <c r="W164" s="598"/>
      <c r="X164" s="598"/>
      <c r="Y164" s="598"/>
      <c r="Z164" s="598"/>
      <c r="AA164" s="598"/>
      <c r="AB164" s="598"/>
      <c r="AC164" s="598"/>
      <c r="AD164" s="598"/>
      <c r="AE164" s="598"/>
      <c r="AF164" s="122"/>
      <c r="AG164" s="600">
        <f t="shared" ref="AG164:AG169" si="60">SUM(B164:AE164)</f>
        <v>0</v>
      </c>
    </row>
    <row r="165" hidden="1" outlineLevel="1">
      <c r="A165" s="790" t="s">
        <v>201</v>
      </c>
      <c r="B165" s="795"/>
      <c r="C165" s="802"/>
      <c r="D165" s="795"/>
      <c r="E165" s="802"/>
      <c r="F165" s="795"/>
      <c r="G165" s="795"/>
      <c r="H165" s="598"/>
      <c r="I165" s="598"/>
      <c r="J165" s="598"/>
      <c r="K165" s="598"/>
      <c r="L165" s="598"/>
      <c r="M165" s="795"/>
      <c r="N165" s="598"/>
      <c r="O165" s="598"/>
      <c r="P165" s="598"/>
      <c r="Q165" s="598"/>
      <c r="R165" s="795"/>
      <c r="S165" s="795"/>
      <c r="T165" s="598"/>
      <c r="U165" s="598"/>
      <c r="V165" s="598"/>
      <c r="W165" s="598"/>
      <c r="X165" s="598"/>
      <c r="Y165" s="598"/>
      <c r="Z165" s="598"/>
      <c r="AA165" s="598"/>
      <c r="AB165" s="598"/>
      <c r="AC165" s="598"/>
      <c r="AD165" s="598"/>
      <c r="AE165" s="598"/>
      <c r="AF165" s="122"/>
      <c r="AG165" s="600">
        <f t="shared" si="60"/>
        <v>0</v>
      </c>
    </row>
    <row r="166" hidden="1" outlineLevel="1">
      <c r="A166" s="790" t="s">
        <v>202</v>
      </c>
      <c r="B166" s="795"/>
      <c r="C166" s="801"/>
      <c r="D166" s="795"/>
      <c r="E166" s="801"/>
      <c r="F166" s="795"/>
      <c r="G166" s="795"/>
      <c r="H166" s="598"/>
      <c r="I166" s="598"/>
      <c r="J166" s="598"/>
      <c r="K166" s="598"/>
      <c r="L166" s="598"/>
      <c r="M166" s="795"/>
      <c r="N166" s="598"/>
      <c r="O166" s="598"/>
      <c r="P166" s="598"/>
      <c r="Q166" s="598"/>
      <c r="R166" s="795"/>
      <c r="S166" s="795"/>
      <c r="T166" s="598"/>
      <c r="U166" s="598"/>
      <c r="V166" s="598"/>
      <c r="W166" s="803"/>
      <c r="X166" s="598"/>
      <c r="Y166" s="598"/>
      <c r="Z166" s="598"/>
      <c r="AA166" s="598"/>
      <c r="AB166" s="598"/>
      <c r="AC166" s="598"/>
      <c r="AD166" s="598"/>
      <c r="AE166" s="598"/>
      <c r="AF166" s="122"/>
      <c r="AG166" s="600">
        <f t="shared" si="60"/>
        <v>0</v>
      </c>
    </row>
    <row r="167" hidden="1" outlineLevel="1">
      <c r="A167" s="790" t="s">
        <v>203</v>
      </c>
      <c r="B167" s="795"/>
      <c r="C167" s="801"/>
      <c r="D167" s="795"/>
      <c r="E167" s="801"/>
      <c r="F167" s="795"/>
      <c r="G167" s="795"/>
      <c r="H167" s="598"/>
      <c r="I167" s="598"/>
      <c r="J167" s="598"/>
      <c r="K167" s="598"/>
      <c r="L167" s="598"/>
      <c r="M167" s="795"/>
      <c r="N167" s="598"/>
      <c r="O167" s="598"/>
      <c r="P167" s="598"/>
      <c r="Q167" s="598"/>
      <c r="R167" s="795"/>
      <c r="S167" s="795"/>
      <c r="T167" s="598"/>
      <c r="U167" s="598"/>
      <c r="V167" s="598"/>
      <c r="W167" s="598"/>
      <c r="X167" s="598"/>
      <c r="Y167" s="598"/>
      <c r="Z167" s="598"/>
      <c r="AA167" s="598"/>
      <c r="AB167" s="598"/>
      <c r="AC167" s="598"/>
      <c r="AD167" s="598"/>
      <c r="AE167" s="598"/>
      <c r="AF167" s="122"/>
      <c r="AG167" s="600">
        <f t="shared" si="60"/>
        <v>0</v>
      </c>
    </row>
    <row r="168" hidden="1" outlineLevel="1">
      <c r="A168" s="790" t="s">
        <v>204</v>
      </c>
      <c r="B168" s="795"/>
      <c r="C168" s="801"/>
      <c r="D168" s="795"/>
      <c r="E168" s="801"/>
      <c r="F168" s="795"/>
      <c r="G168" s="795"/>
      <c r="H168" s="598"/>
      <c r="I168" s="598"/>
      <c r="J168" s="598"/>
      <c r="K168" s="598"/>
      <c r="L168" s="598"/>
      <c r="M168" s="795"/>
      <c r="N168" s="598"/>
      <c r="O168" s="598"/>
      <c r="P168" s="598"/>
      <c r="Q168" s="598"/>
      <c r="R168" s="795"/>
      <c r="S168" s="795"/>
      <c r="T168" s="598"/>
      <c r="U168" s="598"/>
      <c r="V168" s="598"/>
      <c r="W168" s="598"/>
      <c r="X168" s="598"/>
      <c r="Y168" s="598"/>
      <c r="Z168" s="598"/>
      <c r="AA168" s="598"/>
      <c r="AB168" s="598"/>
      <c r="AC168" s="598"/>
      <c r="AD168" s="598"/>
      <c r="AE168" s="598"/>
      <c r="AF168" s="122"/>
      <c r="AG168" s="600">
        <f t="shared" si="60"/>
        <v>0</v>
      </c>
    </row>
    <row r="169" hidden="1" outlineLevel="1">
      <c r="A169" s="811" t="s">
        <v>205</v>
      </c>
      <c r="B169" s="194">
        <f t="shared" ref="B169:AF169" si="61">SUM(B164:B168)</f>
        <v>0</v>
      </c>
      <c r="C169" s="194">
        <f t="shared" si="61"/>
        <v>0</v>
      </c>
      <c r="D169" s="194">
        <f t="shared" si="61"/>
        <v>0</v>
      </c>
      <c r="E169" s="194">
        <f t="shared" si="61"/>
        <v>0</v>
      </c>
      <c r="F169" s="194">
        <f t="shared" si="61"/>
        <v>0</v>
      </c>
      <c r="G169" s="194">
        <f t="shared" si="61"/>
        <v>0</v>
      </c>
      <c r="H169" s="194">
        <f t="shared" si="61"/>
        <v>0</v>
      </c>
      <c r="I169" s="194">
        <f t="shared" si="61"/>
        <v>0</v>
      </c>
      <c r="J169" s="194">
        <f t="shared" si="61"/>
        <v>0</v>
      </c>
      <c r="K169" s="194">
        <f t="shared" si="61"/>
        <v>0</v>
      </c>
      <c r="L169" s="194">
        <f t="shared" si="61"/>
        <v>0</v>
      </c>
      <c r="M169" s="194">
        <f t="shared" si="61"/>
        <v>0</v>
      </c>
      <c r="N169" s="194">
        <f t="shared" si="61"/>
        <v>0</v>
      </c>
      <c r="O169" s="194">
        <f t="shared" si="61"/>
        <v>0</v>
      </c>
      <c r="P169" s="194">
        <f t="shared" si="61"/>
        <v>0</v>
      </c>
      <c r="Q169" s="194">
        <f t="shared" si="61"/>
        <v>0</v>
      </c>
      <c r="R169" s="194">
        <f t="shared" si="61"/>
        <v>0</v>
      </c>
      <c r="S169" s="194">
        <f t="shared" si="61"/>
        <v>0</v>
      </c>
      <c r="T169" s="194">
        <f t="shared" si="61"/>
        <v>0</v>
      </c>
      <c r="U169" s="194">
        <f t="shared" si="61"/>
        <v>0</v>
      </c>
      <c r="V169" s="194">
        <f t="shared" si="61"/>
        <v>0</v>
      </c>
      <c r="W169" s="194">
        <f t="shared" si="61"/>
        <v>0</v>
      </c>
      <c r="X169" s="194">
        <f t="shared" si="61"/>
        <v>0</v>
      </c>
      <c r="Y169" s="194">
        <f t="shared" si="61"/>
        <v>0</v>
      </c>
      <c r="Z169" s="194">
        <f t="shared" si="61"/>
        <v>0</v>
      </c>
      <c r="AA169" s="194">
        <f t="shared" si="61"/>
        <v>0</v>
      </c>
      <c r="AB169" s="194">
        <f t="shared" si="61"/>
        <v>0</v>
      </c>
      <c r="AC169" s="194">
        <f t="shared" si="61"/>
        <v>0</v>
      </c>
      <c r="AD169" s="194">
        <f t="shared" si="61"/>
        <v>0</v>
      </c>
      <c r="AE169" s="194">
        <f t="shared" si="61"/>
        <v>0</v>
      </c>
      <c r="AF169" s="194">
        <f t="shared" si="61"/>
        <v>0</v>
      </c>
      <c r="AG169" s="600">
        <f t="shared" si="60"/>
        <v>0</v>
      </c>
    </row>
    <row r="170" hidden="1" outlineLevel="1">
      <c r="A170" s="25"/>
      <c r="B170" s="243"/>
      <c r="C170" s="243"/>
      <c r="D170" s="243"/>
      <c r="E170" s="243"/>
      <c r="F170" s="243"/>
      <c r="G170" s="243"/>
      <c r="H170" s="243"/>
      <c r="I170" s="243"/>
      <c r="J170" s="243"/>
      <c r="K170" s="243"/>
      <c r="L170" s="243"/>
      <c r="M170" s="243"/>
      <c r="N170" s="243"/>
      <c r="O170" s="243"/>
      <c r="P170" s="243"/>
      <c r="Q170" s="243"/>
      <c r="R170" s="243"/>
      <c r="S170" s="243"/>
      <c r="T170" s="243"/>
      <c r="U170" s="243"/>
      <c r="V170" s="243"/>
      <c r="W170" s="243"/>
      <c r="X170" s="243"/>
      <c r="Y170" s="243"/>
      <c r="Z170" s="243"/>
      <c r="AA170" s="243"/>
      <c r="AB170" s="243"/>
      <c r="AC170" s="243"/>
      <c r="AD170" s="243"/>
      <c r="AE170" s="243"/>
      <c r="AF170" s="122"/>
      <c r="AG170" s="600"/>
    </row>
    <row r="171" hidden="1" outlineLevel="1">
      <c r="A171" s="790" t="s">
        <v>207</v>
      </c>
      <c r="B171" s="799"/>
      <c r="C171" s="597"/>
      <c r="D171" s="799"/>
      <c r="E171" s="597"/>
      <c r="F171" s="597"/>
      <c r="G171" s="597"/>
      <c r="H171" s="597"/>
      <c r="I171" s="597"/>
      <c r="J171" s="799"/>
      <c r="K171" s="799"/>
      <c r="L171" s="799"/>
      <c r="M171" s="799"/>
      <c r="N171" s="799"/>
      <c r="O171" s="799"/>
      <c r="P171" s="799"/>
      <c r="Q171" s="799"/>
      <c r="R171" s="799"/>
      <c r="S171" s="799"/>
      <c r="T171" s="799"/>
      <c r="U171" s="799"/>
      <c r="V171" s="799"/>
      <c r="W171" s="799"/>
      <c r="X171" s="799"/>
      <c r="Y171" s="799"/>
      <c r="Z171" s="799"/>
      <c r="AA171" s="799"/>
      <c r="AB171" s="799"/>
      <c r="AC171" s="799"/>
      <c r="AD171" s="799"/>
      <c r="AE171" s="799"/>
      <c r="AF171" s="122"/>
      <c r="AG171" s="600">
        <f t="shared" ref="AG171:AG176" si="62">SUM(B171:AE171)</f>
        <v>0</v>
      </c>
    </row>
    <row r="172" hidden="1" outlineLevel="1">
      <c r="A172" s="790" t="s">
        <v>209</v>
      </c>
      <c r="B172" s="799"/>
      <c r="C172" s="799"/>
      <c r="D172" s="597"/>
      <c r="E172" s="597"/>
      <c r="F172" s="597"/>
      <c r="G172" s="597"/>
      <c r="H172" s="597"/>
      <c r="I172" s="597"/>
      <c r="J172" s="799"/>
      <c r="K172" s="799"/>
      <c r="L172" s="799"/>
      <c r="M172" s="799"/>
      <c r="N172" s="799"/>
      <c r="O172" s="799"/>
      <c r="P172" s="799"/>
      <c r="Q172" s="799"/>
      <c r="R172" s="799"/>
      <c r="S172" s="799"/>
      <c r="T172" s="799"/>
      <c r="U172" s="799"/>
      <c r="V172" s="799"/>
      <c r="W172" s="799"/>
      <c r="X172" s="799"/>
      <c r="Y172" s="799"/>
      <c r="Z172" s="799"/>
      <c r="AA172" s="799"/>
      <c r="AB172" s="799"/>
      <c r="AC172" s="799"/>
      <c r="AD172" s="799"/>
      <c r="AE172" s="799"/>
      <c r="AF172" s="122"/>
      <c r="AG172" s="600">
        <f t="shared" si="62"/>
        <v>0</v>
      </c>
    </row>
    <row r="173" hidden="1" outlineLevel="1">
      <c r="A173" s="790" t="s">
        <v>210</v>
      </c>
      <c r="B173" s="799"/>
      <c r="C173" s="597"/>
      <c r="D173" s="799"/>
      <c r="E173" s="597"/>
      <c r="F173" s="597"/>
      <c r="G173" s="597"/>
      <c r="H173" s="597"/>
      <c r="I173" s="597"/>
      <c r="J173" s="799"/>
      <c r="K173" s="799"/>
      <c r="L173" s="799"/>
      <c r="M173" s="799"/>
      <c r="N173" s="799"/>
      <c r="O173" s="799"/>
      <c r="P173" s="799"/>
      <c r="Q173" s="799"/>
      <c r="R173" s="799"/>
      <c r="S173" s="799"/>
      <c r="T173" s="799"/>
      <c r="U173" s="799"/>
      <c r="V173" s="799"/>
      <c r="W173" s="799"/>
      <c r="X173" s="799"/>
      <c r="Y173" s="799"/>
      <c r="Z173" s="799"/>
      <c r="AA173" s="799"/>
      <c r="AB173" s="799"/>
      <c r="AC173" s="799"/>
      <c r="AD173" s="799"/>
      <c r="AE173" s="799"/>
      <c r="AF173" s="122"/>
      <c r="AG173" s="600">
        <f t="shared" si="62"/>
        <v>0</v>
      </c>
    </row>
    <row r="174" hidden="1" outlineLevel="1">
      <c r="A174" s="790" t="s">
        <v>211</v>
      </c>
      <c r="B174" s="799"/>
      <c r="C174" s="597"/>
      <c r="D174" s="799"/>
      <c r="E174" s="597"/>
      <c r="F174" s="597"/>
      <c r="G174" s="597"/>
      <c r="H174" s="597"/>
      <c r="I174" s="597"/>
      <c r="J174" s="799"/>
      <c r="K174" s="799"/>
      <c r="L174" s="799"/>
      <c r="M174" s="799"/>
      <c r="N174" s="799"/>
      <c r="O174" s="799"/>
      <c r="P174" s="799"/>
      <c r="Q174" s="799"/>
      <c r="R174" s="799"/>
      <c r="S174" s="799"/>
      <c r="T174" s="799"/>
      <c r="U174" s="799"/>
      <c r="V174" s="799"/>
      <c r="W174" s="799"/>
      <c r="X174" s="799"/>
      <c r="Y174" s="799"/>
      <c r="Z174" s="799"/>
      <c r="AA174" s="799"/>
      <c r="AB174" s="799"/>
      <c r="AC174" s="799"/>
      <c r="AD174" s="799"/>
      <c r="AE174" s="799"/>
      <c r="AF174" s="122"/>
      <c r="AG174" s="600">
        <f t="shared" si="62"/>
        <v>0</v>
      </c>
    </row>
    <row r="175" hidden="1" outlineLevel="1">
      <c r="A175" s="790" t="s">
        <v>212</v>
      </c>
      <c r="B175" s="597"/>
      <c r="C175" s="799"/>
      <c r="D175" s="799"/>
      <c r="E175" s="597"/>
      <c r="F175" s="597"/>
      <c r="G175" s="597"/>
      <c r="H175" s="597"/>
      <c r="I175" s="597"/>
      <c r="J175" s="799"/>
      <c r="K175" s="799"/>
      <c r="L175" s="799"/>
      <c r="M175" s="799"/>
      <c r="N175" s="799"/>
      <c r="O175" s="799"/>
      <c r="P175" s="799"/>
      <c r="Q175" s="799"/>
      <c r="R175" s="799"/>
      <c r="S175" s="799"/>
      <c r="T175" s="799"/>
      <c r="U175" s="799"/>
      <c r="V175" s="799"/>
      <c r="W175" s="597"/>
      <c r="X175" s="799"/>
      <c r="Y175" s="799"/>
      <c r="Z175" s="799"/>
      <c r="AA175" s="799"/>
      <c r="AB175" s="799"/>
      <c r="AC175" s="799"/>
      <c r="AD175" s="799"/>
      <c r="AE175" s="799"/>
      <c r="AF175" s="122"/>
      <c r="AG175" s="600">
        <f t="shared" si="62"/>
        <v>0</v>
      </c>
    </row>
    <row r="176" hidden="1" outlineLevel="1">
      <c r="A176" s="811" t="s">
        <v>214</v>
      </c>
      <c r="B176" s="194">
        <f t="shared" ref="B176:AF176" si="63">SUM(B171:B175)</f>
        <v>0</v>
      </c>
      <c r="C176" s="194">
        <f t="shared" si="63"/>
        <v>0</v>
      </c>
      <c r="D176" s="194">
        <f t="shared" si="63"/>
        <v>0</v>
      </c>
      <c r="E176" s="194">
        <f t="shared" si="63"/>
        <v>0</v>
      </c>
      <c r="F176" s="194">
        <f t="shared" si="63"/>
        <v>0</v>
      </c>
      <c r="G176" s="194">
        <f t="shared" si="63"/>
        <v>0</v>
      </c>
      <c r="H176" s="194">
        <f t="shared" si="63"/>
        <v>0</v>
      </c>
      <c r="I176" s="194">
        <f t="shared" si="63"/>
        <v>0</v>
      </c>
      <c r="J176" s="194">
        <f t="shared" si="63"/>
        <v>0</v>
      </c>
      <c r="K176" s="194">
        <f t="shared" si="63"/>
        <v>0</v>
      </c>
      <c r="L176" s="194">
        <f t="shared" si="63"/>
        <v>0</v>
      </c>
      <c r="M176" s="194">
        <f t="shared" si="63"/>
        <v>0</v>
      </c>
      <c r="N176" s="194">
        <f t="shared" si="63"/>
        <v>0</v>
      </c>
      <c r="O176" s="194">
        <f t="shared" si="63"/>
        <v>0</v>
      </c>
      <c r="P176" s="194">
        <f t="shared" si="63"/>
        <v>0</v>
      </c>
      <c r="Q176" s="194">
        <f t="shared" si="63"/>
        <v>0</v>
      </c>
      <c r="R176" s="194">
        <f t="shared" si="63"/>
        <v>0</v>
      </c>
      <c r="S176" s="194">
        <f t="shared" si="63"/>
        <v>0</v>
      </c>
      <c r="T176" s="194">
        <f t="shared" si="63"/>
        <v>0</v>
      </c>
      <c r="U176" s="194">
        <f t="shared" si="63"/>
        <v>0</v>
      </c>
      <c r="V176" s="194">
        <f t="shared" si="63"/>
        <v>0</v>
      </c>
      <c r="W176" s="194">
        <f t="shared" si="63"/>
        <v>0</v>
      </c>
      <c r="X176" s="194">
        <f t="shared" si="63"/>
        <v>0</v>
      </c>
      <c r="Y176" s="194">
        <f t="shared" si="63"/>
        <v>0</v>
      </c>
      <c r="Z176" s="194">
        <f t="shared" si="63"/>
        <v>0</v>
      </c>
      <c r="AA176" s="194">
        <f t="shared" si="63"/>
        <v>0</v>
      </c>
      <c r="AB176" s="194">
        <f t="shared" si="63"/>
        <v>0</v>
      </c>
      <c r="AC176" s="194">
        <f t="shared" si="63"/>
        <v>0</v>
      </c>
      <c r="AD176" s="194">
        <f t="shared" si="63"/>
        <v>0</v>
      </c>
      <c r="AE176" s="194">
        <f t="shared" si="63"/>
        <v>0</v>
      </c>
      <c r="AF176" s="194">
        <f t="shared" si="63"/>
        <v>0</v>
      </c>
      <c r="AG176" s="600">
        <f t="shared" si="62"/>
        <v>0</v>
      </c>
    </row>
    <row r="177">
      <c r="A177" s="723"/>
      <c r="AF177" s="122"/>
      <c r="AG177" s="600"/>
    </row>
    <row r="178">
      <c r="A178" s="723"/>
      <c r="J178" s="1" t="s">
        <v>327</v>
      </c>
      <c r="AF178" s="9"/>
      <c r="AG178" s="453"/>
    </row>
    <row r="179">
      <c r="A179" s="349" t="s">
        <v>250</v>
      </c>
      <c r="B179" s="661"/>
      <c r="C179" s="661"/>
      <c r="D179" s="661"/>
      <c r="E179" s="661"/>
      <c r="F179" s="661"/>
      <c r="G179" s="661"/>
      <c r="H179" s="661"/>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9"/>
      <c r="AG179" s="453"/>
    </row>
    <row r="180">
      <c r="A180" s="352" t="s">
        <v>1049</v>
      </c>
      <c r="B180" s="342"/>
      <c r="C180" s="342"/>
      <c r="D180" s="342"/>
      <c r="E180" s="342"/>
      <c r="F180" s="771"/>
      <c r="G180" s="342"/>
      <c r="H180" s="342"/>
      <c r="I180" s="342"/>
      <c r="J180" s="342"/>
      <c r="K180" s="342"/>
      <c r="L180" s="342"/>
      <c r="M180" s="342"/>
      <c r="N180" s="342"/>
      <c r="O180" s="342"/>
      <c r="P180" s="342"/>
      <c r="Q180" s="342"/>
      <c r="R180" s="342"/>
      <c r="S180" s="771"/>
      <c r="T180" s="771"/>
      <c r="U180" s="342"/>
      <c r="V180" s="342"/>
      <c r="W180" s="771"/>
      <c r="X180" s="771"/>
      <c r="Y180" s="342"/>
      <c r="Z180" s="342"/>
      <c r="AA180" s="342"/>
      <c r="AB180" s="342"/>
      <c r="AC180" s="342"/>
      <c r="AD180" s="342"/>
      <c r="AE180" s="342"/>
      <c r="AF180" s="100"/>
      <c r="AG180" s="693">
        <f t="shared" ref="AG180:AG187" si="64">SUM(B180:AE180)</f>
        <v>0</v>
      </c>
    </row>
    <row r="181">
      <c r="A181" s="352" t="s">
        <v>218</v>
      </c>
      <c r="B181" s="695">
        <v>2.0</v>
      </c>
      <c r="C181" s="695">
        <v>3.0</v>
      </c>
      <c r="D181" s="695">
        <v>3.0</v>
      </c>
      <c r="E181" s="695">
        <v>3.0</v>
      </c>
      <c r="F181" s="695">
        <v>2.0</v>
      </c>
      <c r="G181" s="695">
        <v>1.0</v>
      </c>
      <c r="H181" s="695">
        <v>3.0</v>
      </c>
      <c r="I181" s="695">
        <v>3.0</v>
      </c>
      <c r="J181" s="114">
        <v>4.0</v>
      </c>
      <c r="K181" s="114">
        <v>2.0</v>
      </c>
      <c r="L181" s="114">
        <v>3.0</v>
      </c>
      <c r="M181" s="114">
        <v>1.0</v>
      </c>
      <c r="N181" s="114">
        <v>4.0</v>
      </c>
      <c r="O181" s="114">
        <v>5.0</v>
      </c>
      <c r="P181" s="114">
        <v>4.0</v>
      </c>
      <c r="Q181" s="114">
        <v>1.0</v>
      </c>
      <c r="R181" s="114">
        <v>5.0</v>
      </c>
      <c r="S181" s="114">
        <v>5.0</v>
      </c>
      <c r="T181" s="114">
        <v>2.0</v>
      </c>
      <c r="U181" s="114">
        <v>2.0</v>
      </c>
      <c r="V181" s="114">
        <v>2.0</v>
      </c>
      <c r="W181" s="114">
        <v>3.0</v>
      </c>
      <c r="X181" s="114">
        <v>6.0</v>
      </c>
      <c r="Y181" s="114">
        <v>1.0</v>
      </c>
      <c r="Z181" s="114">
        <v>0.0</v>
      </c>
      <c r="AA181" s="114">
        <v>0.0</v>
      </c>
      <c r="AB181" s="114">
        <v>0.0</v>
      </c>
      <c r="AC181" s="114">
        <v>0.0</v>
      </c>
      <c r="AD181" s="114">
        <v>0.0</v>
      </c>
      <c r="AE181" s="119">
        <v>0.0</v>
      </c>
      <c r="AF181" s="100"/>
      <c r="AG181" s="693">
        <f t="shared" si="64"/>
        <v>70</v>
      </c>
    </row>
    <row r="182" hidden="1">
      <c r="A182" s="352" t="s">
        <v>172</v>
      </c>
      <c r="B182" s="342"/>
      <c r="C182" s="342"/>
      <c r="D182" s="342"/>
      <c r="E182" s="342"/>
      <c r="F182" s="771"/>
      <c r="G182" s="342"/>
      <c r="H182" s="342"/>
      <c r="I182" s="342"/>
      <c r="J182" s="342"/>
      <c r="K182" s="342"/>
      <c r="L182" s="342"/>
      <c r="M182" s="342"/>
      <c r="N182" s="342"/>
      <c r="O182" s="342"/>
      <c r="P182" s="342"/>
      <c r="Q182" s="342"/>
      <c r="R182" s="342"/>
      <c r="S182" s="771"/>
      <c r="T182" s="771"/>
      <c r="U182" s="342"/>
      <c r="V182" s="342"/>
      <c r="W182" s="771"/>
      <c r="X182" s="771"/>
      <c r="Y182" s="342"/>
      <c r="Z182" s="342"/>
      <c r="AA182" s="342"/>
      <c r="AB182" s="342"/>
      <c r="AC182" s="342"/>
      <c r="AD182" s="342"/>
      <c r="AE182" s="342"/>
      <c r="AF182" s="100"/>
      <c r="AG182" s="693">
        <f t="shared" si="64"/>
        <v>0</v>
      </c>
    </row>
    <row r="183" hidden="1">
      <c r="A183" s="352" t="s">
        <v>173</v>
      </c>
      <c r="B183" s="342"/>
      <c r="C183" s="342"/>
      <c r="D183" s="342"/>
      <c r="E183" s="342"/>
      <c r="F183" s="771"/>
      <c r="G183" s="342"/>
      <c r="H183" s="342"/>
      <c r="I183" s="342"/>
      <c r="J183" s="342"/>
      <c r="K183" s="342"/>
      <c r="L183" s="342"/>
      <c r="M183" s="342"/>
      <c r="N183" s="342"/>
      <c r="O183" s="342"/>
      <c r="P183" s="342"/>
      <c r="Q183" s="342"/>
      <c r="R183" s="342"/>
      <c r="S183" s="771"/>
      <c r="T183" s="771"/>
      <c r="U183" s="342"/>
      <c r="V183" s="342"/>
      <c r="W183" s="771"/>
      <c r="X183" s="771"/>
      <c r="Y183" s="342"/>
      <c r="Z183" s="342"/>
      <c r="AA183" s="342"/>
      <c r="AB183" s="342"/>
      <c r="AC183" s="342"/>
      <c r="AD183" s="342"/>
      <c r="AE183" s="342"/>
      <c r="AF183" s="100"/>
      <c r="AG183" s="693">
        <f t="shared" si="64"/>
        <v>0</v>
      </c>
    </row>
    <row r="184" hidden="1">
      <c r="A184" s="352" t="s">
        <v>175</v>
      </c>
      <c r="B184" s="777"/>
      <c r="C184" s="777"/>
      <c r="D184" s="777"/>
      <c r="E184" s="777"/>
      <c r="F184" s="778"/>
      <c r="G184" s="448"/>
      <c r="H184" s="448"/>
      <c r="I184" s="448"/>
      <c r="J184" s="448"/>
      <c r="K184" s="777"/>
      <c r="L184" s="448"/>
      <c r="M184" s="448"/>
      <c r="N184" s="448"/>
      <c r="O184" s="448"/>
      <c r="P184" s="448"/>
      <c r="Q184" s="448"/>
      <c r="R184" s="448"/>
      <c r="S184" s="448"/>
      <c r="T184" s="448"/>
      <c r="U184" s="448"/>
      <c r="V184" s="448"/>
      <c r="W184" s="448"/>
      <c r="X184" s="448"/>
      <c r="Y184" s="448"/>
      <c r="Z184" s="448"/>
      <c r="AA184" s="448"/>
      <c r="AB184" s="448"/>
      <c r="AC184" s="448"/>
      <c r="AD184" s="448"/>
      <c r="AE184" s="448"/>
      <c r="AF184" s="100"/>
      <c r="AG184" s="693">
        <f t="shared" si="64"/>
        <v>0</v>
      </c>
    </row>
    <row r="185" hidden="1">
      <c r="A185" s="352" t="s">
        <v>177</v>
      </c>
      <c r="B185" s="777"/>
      <c r="C185" s="777"/>
      <c r="D185" s="777"/>
      <c r="E185" s="777"/>
      <c r="F185" s="778"/>
      <c r="G185" s="448"/>
      <c r="H185" s="448"/>
      <c r="I185" s="448"/>
      <c r="J185" s="448"/>
      <c r="K185" s="448"/>
      <c r="L185" s="448"/>
      <c r="M185" s="448"/>
      <c r="N185" s="448"/>
      <c r="O185" s="448"/>
      <c r="P185" s="448"/>
      <c r="Q185" s="448"/>
      <c r="R185" s="448"/>
      <c r="S185" s="448"/>
      <c r="T185" s="448"/>
      <c r="U185" s="448"/>
      <c r="V185" s="448"/>
      <c r="W185" s="448"/>
      <c r="X185" s="448"/>
      <c r="Y185" s="448"/>
      <c r="Z185" s="448"/>
      <c r="AA185" s="448"/>
      <c r="AB185" s="448"/>
      <c r="AC185" s="448"/>
      <c r="AD185" s="448"/>
      <c r="AE185" s="448"/>
      <c r="AF185" s="100"/>
      <c r="AG185" s="693">
        <f t="shared" si="64"/>
        <v>0</v>
      </c>
    </row>
    <row r="186">
      <c r="A186" s="818" t="s">
        <v>180</v>
      </c>
      <c r="B186" s="219">
        <f t="shared" ref="B186:AF186" si="65">SUM(B180:B185)</f>
        <v>2</v>
      </c>
      <c r="C186" s="219">
        <f t="shared" si="65"/>
        <v>3</v>
      </c>
      <c r="D186" s="219">
        <f t="shared" si="65"/>
        <v>3</v>
      </c>
      <c r="E186" s="219">
        <f t="shared" si="65"/>
        <v>3</v>
      </c>
      <c r="F186" s="219">
        <f t="shared" si="65"/>
        <v>2</v>
      </c>
      <c r="G186" s="219">
        <f t="shared" si="65"/>
        <v>1</v>
      </c>
      <c r="H186" s="219">
        <f t="shared" si="65"/>
        <v>3</v>
      </c>
      <c r="I186" s="219">
        <f t="shared" si="65"/>
        <v>3</v>
      </c>
      <c r="J186" s="219">
        <f t="shared" si="65"/>
        <v>4</v>
      </c>
      <c r="K186" s="219">
        <f t="shared" si="65"/>
        <v>2</v>
      </c>
      <c r="L186" s="219">
        <f t="shared" si="65"/>
        <v>3</v>
      </c>
      <c r="M186" s="219">
        <f t="shared" si="65"/>
        <v>1</v>
      </c>
      <c r="N186" s="219">
        <f t="shared" si="65"/>
        <v>4</v>
      </c>
      <c r="O186" s="219">
        <f t="shared" si="65"/>
        <v>5</v>
      </c>
      <c r="P186" s="219">
        <f t="shared" si="65"/>
        <v>4</v>
      </c>
      <c r="Q186" s="219">
        <f t="shared" si="65"/>
        <v>1</v>
      </c>
      <c r="R186" s="219">
        <f t="shared" si="65"/>
        <v>5</v>
      </c>
      <c r="S186" s="219">
        <f t="shared" si="65"/>
        <v>5</v>
      </c>
      <c r="T186" s="219">
        <f t="shared" si="65"/>
        <v>2</v>
      </c>
      <c r="U186" s="219">
        <f t="shared" si="65"/>
        <v>2</v>
      </c>
      <c r="V186" s="219">
        <f t="shared" si="65"/>
        <v>2</v>
      </c>
      <c r="W186" s="219">
        <f t="shared" si="65"/>
        <v>3</v>
      </c>
      <c r="X186" s="219">
        <f t="shared" si="65"/>
        <v>6</v>
      </c>
      <c r="Y186" s="219">
        <f t="shared" si="65"/>
        <v>1</v>
      </c>
      <c r="Z186" s="219">
        <f t="shared" si="65"/>
        <v>0</v>
      </c>
      <c r="AA186" s="219">
        <f t="shared" si="65"/>
        <v>0</v>
      </c>
      <c r="AB186" s="219">
        <f t="shared" si="65"/>
        <v>0</v>
      </c>
      <c r="AC186" s="219">
        <f t="shared" si="65"/>
        <v>0</v>
      </c>
      <c r="AD186" s="219">
        <f t="shared" si="65"/>
        <v>0</v>
      </c>
      <c r="AE186" s="219">
        <f t="shared" si="65"/>
        <v>0</v>
      </c>
      <c r="AF186" s="219">
        <f t="shared" si="65"/>
        <v>0</v>
      </c>
      <c r="AG186" s="693">
        <f t="shared" si="64"/>
        <v>70</v>
      </c>
    </row>
    <row r="187">
      <c r="A187" s="818" t="s">
        <v>185</v>
      </c>
      <c r="B187" s="219">
        <f>B180+B183+B185</f>
        <v>0</v>
      </c>
      <c r="C187" s="219">
        <f t="shared" ref="C187:AF187" si="66">C181+C183+C185</f>
        <v>3</v>
      </c>
      <c r="D187" s="219">
        <f t="shared" si="66"/>
        <v>3</v>
      </c>
      <c r="E187" s="219">
        <f t="shared" si="66"/>
        <v>3</v>
      </c>
      <c r="F187" s="219">
        <f t="shared" si="66"/>
        <v>2</v>
      </c>
      <c r="G187" s="219">
        <f t="shared" si="66"/>
        <v>1</v>
      </c>
      <c r="H187" s="219">
        <f t="shared" si="66"/>
        <v>3</v>
      </c>
      <c r="I187" s="219">
        <f t="shared" si="66"/>
        <v>3</v>
      </c>
      <c r="J187" s="219">
        <f t="shared" si="66"/>
        <v>4</v>
      </c>
      <c r="K187" s="219">
        <f t="shared" si="66"/>
        <v>2</v>
      </c>
      <c r="L187" s="219">
        <f t="shared" si="66"/>
        <v>3</v>
      </c>
      <c r="M187" s="219">
        <f t="shared" si="66"/>
        <v>1</v>
      </c>
      <c r="N187" s="219">
        <f t="shared" si="66"/>
        <v>4</v>
      </c>
      <c r="O187" s="219">
        <f t="shared" si="66"/>
        <v>5</v>
      </c>
      <c r="P187" s="219">
        <f t="shared" si="66"/>
        <v>4</v>
      </c>
      <c r="Q187" s="219">
        <f t="shared" si="66"/>
        <v>1</v>
      </c>
      <c r="R187" s="219">
        <f t="shared" si="66"/>
        <v>5</v>
      </c>
      <c r="S187" s="219">
        <f t="shared" si="66"/>
        <v>5</v>
      </c>
      <c r="T187" s="219">
        <f t="shared" si="66"/>
        <v>2</v>
      </c>
      <c r="U187" s="219">
        <f t="shared" si="66"/>
        <v>2</v>
      </c>
      <c r="V187" s="219">
        <f t="shared" si="66"/>
        <v>2</v>
      </c>
      <c r="W187" s="219">
        <f t="shared" si="66"/>
        <v>3</v>
      </c>
      <c r="X187" s="219">
        <f t="shared" si="66"/>
        <v>6</v>
      </c>
      <c r="Y187" s="219">
        <f t="shared" si="66"/>
        <v>1</v>
      </c>
      <c r="Z187" s="219">
        <f t="shared" si="66"/>
        <v>0</v>
      </c>
      <c r="AA187" s="219">
        <f t="shared" si="66"/>
        <v>0</v>
      </c>
      <c r="AB187" s="219">
        <f t="shared" si="66"/>
        <v>0</v>
      </c>
      <c r="AC187" s="219">
        <f t="shared" si="66"/>
        <v>0</v>
      </c>
      <c r="AD187" s="219">
        <f t="shared" si="66"/>
        <v>0</v>
      </c>
      <c r="AE187" s="219">
        <f t="shared" si="66"/>
        <v>0</v>
      </c>
      <c r="AF187" s="219">
        <f t="shared" si="66"/>
        <v>0</v>
      </c>
      <c r="AG187" s="693">
        <f t="shared" si="64"/>
        <v>68</v>
      </c>
    </row>
    <row r="188">
      <c r="A188" s="25"/>
      <c r="B188" s="661"/>
      <c r="C188" s="661"/>
      <c r="D188" s="661"/>
      <c r="E188" s="661"/>
      <c r="F188" s="661"/>
      <c r="G188" s="661"/>
      <c r="H188" s="661"/>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100"/>
      <c r="AG188" s="693"/>
    </row>
    <row r="189">
      <c r="A189" s="352" t="s">
        <v>1065</v>
      </c>
      <c r="B189" s="342"/>
      <c r="C189" s="342"/>
      <c r="D189" s="342"/>
      <c r="E189" s="342"/>
      <c r="F189" s="771"/>
      <c r="G189" s="342"/>
      <c r="H189" s="342"/>
      <c r="I189" s="342"/>
      <c r="J189" s="342"/>
      <c r="K189" s="342"/>
      <c r="L189" s="342"/>
      <c r="M189" s="342"/>
      <c r="N189" s="342"/>
      <c r="O189" s="342"/>
      <c r="P189" s="342"/>
      <c r="Q189" s="342"/>
      <c r="R189" s="342"/>
      <c r="S189" s="771"/>
      <c r="T189" s="771"/>
      <c r="U189" s="342"/>
      <c r="V189" s="342"/>
      <c r="W189" s="771"/>
      <c r="X189" s="771"/>
      <c r="Y189" s="342"/>
      <c r="Z189" s="342"/>
      <c r="AA189" s="342"/>
      <c r="AB189" s="342"/>
      <c r="AC189" s="342"/>
      <c r="AD189" s="342"/>
      <c r="AE189" s="342"/>
      <c r="AF189" s="100"/>
      <c r="AG189" s="693">
        <f t="shared" ref="AG189:AG194" si="67">SUM(B189:AE189)</f>
        <v>0</v>
      </c>
    </row>
    <row r="190">
      <c r="A190" s="352" t="s">
        <v>1067</v>
      </c>
      <c r="B190" s="342"/>
      <c r="C190" s="342"/>
      <c r="D190" s="342"/>
      <c r="E190" s="342"/>
      <c r="F190" s="771"/>
      <c r="G190" s="342"/>
      <c r="H190" s="342"/>
      <c r="I190" s="342"/>
      <c r="J190" s="342"/>
      <c r="K190" s="342"/>
      <c r="L190" s="342"/>
      <c r="M190" s="342"/>
      <c r="N190" s="342"/>
      <c r="O190" s="342"/>
      <c r="P190" s="342"/>
      <c r="Q190" s="342"/>
      <c r="R190" s="342"/>
      <c r="S190" s="771"/>
      <c r="T190" s="771"/>
      <c r="U190" s="342"/>
      <c r="V190" s="342"/>
      <c r="W190" s="771"/>
      <c r="X190" s="771"/>
      <c r="Y190" s="342"/>
      <c r="Z190" s="342"/>
      <c r="AA190" s="342"/>
      <c r="AB190" s="342"/>
      <c r="AC190" s="342"/>
      <c r="AD190" s="342"/>
      <c r="AE190" s="342"/>
      <c r="AF190" s="100"/>
      <c r="AG190" s="693">
        <f t="shared" si="67"/>
        <v>0</v>
      </c>
    </row>
    <row r="191">
      <c r="A191" s="352" t="s">
        <v>192</v>
      </c>
      <c r="B191" s="342"/>
      <c r="C191" s="342"/>
      <c r="D191" s="342"/>
      <c r="E191" s="342"/>
      <c r="F191" s="771"/>
      <c r="G191" s="342"/>
      <c r="H191" s="342"/>
      <c r="I191" s="342"/>
      <c r="J191" s="342"/>
      <c r="K191" s="342"/>
      <c r="L191" s="342"/>
      <c r="M191" s="342"/>
      <c r="N191" s="342"/>
      <c r="O191" s="342"/>
      <c r="P191" s="342"/>
      <c r="Q191" s="342"/>
      <c r="R191" s="342"/>
      <c r="S191" s="771"/>
      <c r="T191" s="771"/>
      <c r="U191" s="342"/>
      <c r="V191" s="342"/>
      <c r="W191" s="771"/>
      <c r="X191" s="771"/>
      <c r="Y191" s="342"/>
      <c r="Z191" s="342"/>
      <c r="AA191" s="342"/>
      <c r="AB191" s="342"/>
      <c r="AC191" s="342"/>
      <c r="AD191" s="342"/>
      <c r="AE191" s="342"/>
      <c r="AF191" s="100"/>
      <c r="AG191" s="693">
        <f t="shared" si="67"/>
        <v>0</v>
      </c>
    </row>
    <row r="192">
      <c r="A192" s="352" t="s">
        <v>1068</v>
      </c>
      <c r="B192" s="342"/>
      <c r="C192" s="342"/>
      <c r="D192" s="342"/>
      <c r="E192" s="342"/>
      <c r="F192" s="771"/>
      <c r="G192" s="342"/>
      <c r="H192" s="342"/>
      <c r="I192" s="342"/>
      <c r="J192" s="342"/>
      <c r="K192" s="342"/>
      <c r="L192" s="342"/>
      <c r="M192" s="342"/>
      <c r="N192" s="342"/>
      <c r="O192" s="342"/>
      <c r="P192" s="342"/>
      <c r="Q192" s="342"/>
      <c r="R192" s="342"/>
      <c r="S192" s="771"/>
      <c r="T192" s="771"/>
      <c r="U192" s="342"/>
      <c r="V192" s="342"/>
      <c r="W192" s="771"/>
      <c r="X192" s="771"/>
      <c r="Y192" s="342"/>
      <c r="Z192" s="342"/>
      <c r="AA192" s="342"/>
      <c r="AB192" s="342"/>
      <c r="AC192" s="342"/>
      <c r="AD192" s="342"/>
      <c r="AE192" s="342"/>
      <c r="AF192" s="100"/>
      <c r="AG192" s="693">
        <f t="shared" si="67"/>
        <v>0</v>
      </c>
    </row>
    <row r="193">
      <c r="A193" s="352" t="s">
        <v>1069</v>
      </c>
      <c r="B193" s="342"/>
      <c r="C193" s="342"/>
      <c r="D193" s="342"/>
      <c r="E193" s="342"/>
      <c r="F193" s="771"/>
      <c r="G193" s="342"/>
      <c r="H193" s="342"/>
      <c r="I193" s="342"/>
      <c r="J193" s="342"/>
      <c r="K193" s="342"/>
      <c r="L193" s="342"/>
      <c r="M193" s="342"/>
      <c r="N193" s="342"/>
      <c r="O193" s="342"/>
      <c r="P193" s="342"/>
      <c r="Q193" s="342"/>
      <c r="R193" s="342"/>
      <c r="S193" s="771"/>
      <c r="T193" s="771"/>
      <c r="U193" s="342"/>
      <c r="V193" s="342"/>
      <c r="W193" s="771"/>
      <c r="X193" s="771"/>
      <c r="Y193" s="342"/>
      <c r="Z193" s="342"/>
      <c r="AA193" s="342"/>
      <c r="AB193" s="342"/>
      <c r="AC193" s="342"/>
      <c r="AD193" s="342"/>
      <c r="AE193" s="342"/>
      <c r="AF193" s="100"/>
      <c r="AG193" s="693">
        <f t="shared" si="67"/>
        <v>0</v>
      </c>
    </row>
    <row r="194">
      <c r="A194" s="822" t="s">
        <v>1073</v>
      </c>
      <c r="B194" s="219">
        <f t="shared" ref="B194:M194" si="68">SUM(B189:B193)</f>
        <v>0</v>
      </c>
      <c r="C194" s="219">
        <f t="shared" si="68"/>
        <v>0</v>
      </c>
      <c r="D194" s="219">
        <f t="shared" si="68"/>
        <v>0</v>
      </c>
      <c r="E194" s="219">
        <f t="shared" si="68"/>
        <v>0</v>
      </c>
      <c r="F194" s="219">
        <f t="shared" si="68"/>
        <v>0</v>
      </c>
      <c r="G194" s="219">
        <f t="shared" si="68"/>
        <v>0</v>
      </c>
      <c r="H194" s="219">
        <f t="shared" si="68"/>
        <v>0</v>
      </c>
      <c r="I194" s="219">
        <f t="shared" si="68"/>
        <v>0</v>
      </c>
      <c r="J194" s="219">
        <f t="shared" si="68"/>
        <v>0</v>
      </c>
      <c r="K194" s="219">
        <f t="shared" si="68"/>
        <v>0</v>
      </c>
      <c r="L194" s="219">
        <f t="shared" si="68"/>
        <v>0</v>
      </c>
      <c r="M194" s="219">
        <f t="shared" si="68"/>
        <v>0</v>
      </c>
      <c r="N194" s="258">
        <v>0.0</v>
      </c>
      <c r="O194" s="219">
        <f t="shared" ref="O194:AF194" si="69">SUM(O189:O193)</f>
        <v>0</v>
      </c>
      <c r="P194" s="219">
        <f t="shared" si="69"/>
        <v>0</v>
      </c>
      <c r="Q194" s="219">
        <f t="shared" si="69"/>
        <v>0</v>
      </c>
      <c r="R194" s="219">
        <f t="shared" si="69"/>
        <v>0</v>
      </c>
      <c r="S194" s="219">
        <f t="shared" si="69"/>
        <v>0</v>
      </c>
      <c r="T194" s="219">
        <f t="shared" si="69"/>
        <v>0</v>
      </c>
      <c r="U194" s="219">
        <f t="shared" si="69"/>
        <v>0</v>
      </c>
      <c r="V194" s="219">
        <f t="shared" si="69"/>
        <v>0</v>
      </c>
      <c r="W194" s="219">
        <f t="shared" si="69"/>
        <v>0</v>
      </c>
      <c r="X194" s="219">
        <f t="shared" si="69"/>
        <v>0</v>
      </c>
      <c r="Y194" s="219">
        <f t="shared" si="69"/>
        <v>0</v>
      </c>
      <c r="Z194" s="219">
        <f t="shared" si="69"/>
        <v>0</v>
      </c>
      <c r="AA194" s="219">
        <f t="shared" si="69"/>
        <v>0</v>
      </c>
      <c r="AB194" s="219">
        <f t="shared" si="69"/>
        <v>0</v>
      </c>
      <c r="AC194" s="219">
        <f t="shared" si="69"/>
        <v>0</v>
      </c>
      <c r="AD194" s="219">
        <f t="shared" si="69"/>
        <v>0</v>
      </c>
      <c r="AE194" s="219">
        <f t="shared" si="69"/>
        <v>0</v>
      </c>
      <c r="AF194" s="219">
        <f t="shared" si="69"/>
        <v>0</v>
      </c>
      <c r="AG194" s="693">
        <f t="shared" si="67"/>
        <v>0</v>
      </c>
    </row>
    <row r="195">
      <c r="A195" s="25"/>
      <c r="B195" s="661"/>
      <c r="C195" s="661"/>
      <c r="D195" s="661"/>
      <c r="E195" s="661"/>
      <c r="F195" s="661"/>
      <c r="G195" s="661"/>
      <c r="H195" s="661"/>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100"/>
      <c r="AG195" s="693"/>
    </row>
    <row r="196" hidden="1">
      <c r="A196" s="352" t="s">
        <v>198</v>
      </c>
      <c r="B196" s="342"/>
      <c r="C196" s="342"/>
      <c r="D196" s="342"/>
      <c r="E196" s="342"/>
      <c r="F196" s="342"/>
      <c r="G196" s="342"/>
      <c r="H196" s="342"/>
      <c r="I196" s="342"/>
      <c r="J196" s="342"/>
      <c r="K196" s="342"/>
      <c r="L196" s="342"/>
      <c r="M196" s="342"/>
      <c r="N196" s="342"/>
      <c r="O196" s="342"/>
      <c r="P196" s="342"/>
      <c r="Q196" s="342"/>
      <c r="R196" s="342"/>
      <c r="S196" s="771"/>
      <c r="T196" s="342"/>
      <c r="U196" s="342"/>
      <c r="V196" s="342"/>
      <c r="W196" s="771"/>
      <c r="X196" s="771"/>
      <c r="Y196" s="342"/>
      <c r="Z196" s="342"/>
      <c r="AA196" s="342"/>
      <c r="AB196" s="342"/>
      <c r="AC196" s="342"/>
      <c r="AD196" s="342"/>
      <c r="AE196" s="342"/>
      <c r="AF196" s="100"/>
      <c r="AG196" s="693">
        <f t="shared" ref="AG196:AG201" si="70">SUM(B196:AE196)</f>
        <v>0</v>
      </c>
    </row>
    <row r="197" hidden="1">
      <c r="A197" s="352" t="s">
        <v>201</v>
      </c>
      <c r="B197" s="342"/>
      <c r="C197" s="342"/>
      <c r="D197" s="342"/>
      <c r="E197" s="342"/>
      <c r="F197" s="342"/>
      <c r="G197" s="342"/>
      <c r="H197" s="342"/>
      <c r="I197" s="342"/>
      <c r="J197" s="342"/>
      <c r="K197" s="342"/>
      <c r="L197" s="342"/>
      <c r="M197" s="342"/>
      <c r="N197" s="342"/>
      <c r="O197" s="342"/>
      <c r="P197" s="342"/>
      <c r="Q197" s="342"/>
      <c r="R197" s="342"/>
      <c r="S197" s="771"/>
      <c r="T197" s="342"/>
      <c r="U197" s="342"/>
      <c r="V197" s="342"/>
      <c r="W197" s="771"/>
      <c r="X197" s="771"/>
      <c r="Y197" s="342"/>
      <c r="Z197" s="342"/>
      <c r="AA197" s="342"/>
      <c r="AB197" s="342"/>
      <c r="AC197" s="342"/>
      <c r="AD197" s="342"/>
      <c r="AE197" s="342"/>
      <c r="AF197" s="100"/>
      <c r="AG197" s="693">
        <f t="shared" si="70"/>
        <v>0</v>
      </c>
    </row>
    <row r="198" hidden="1">
      <c r="A198" s="352" t="s">
        <v>202</v>
      </c>
      <c r="B198" s="342"/>
      <c r="C198" s="342"/>
      <c r="D198" s="342"/>
      <c r="E198" s="342"/>
      <c r="F198" s="342"/>
      <c r="G198" s="342"/>
      <c r="H198" s="342"/>
      <c r="I198" s="342"/>
      <c r="J198" s="342"/>
      <c r="K198" s="342"/>
      <c r="L198" s="342"/>
      <c r="M198" s="342"/>
      <c r="N198" s="342"/>
      <c r="O198" s="342"/>
      <c r="P198" s="342"/>
      <c r="Q198" s="342"/>
      <c r="R198" s="342"/>
      <c r="S198" s="771"/>
      <c r="T198" s="342"/>
      <c r="U198" s="342"/>
      <c r="V198" s="342"/>
      <c r="W198" s="771"/>
      <c r="X198" s="771"/>
      <c r="Y198" s="342"/>
      <c r="Z198" s="342"/>
      <c r="AA198" s="342"/>
      <c r="AB198" s="342"/>
      <c r="AC198" s="342"/>
      <c r="AD198" s="342"/>
      <c r="AE198" s="342"/>
      <c r="AF198" s="100"/>
      <c r="AG198" s="693">
        <f t="shared" si="70"/>
        <v>0</v>
      </c>
    </row>
    <row r="199" hidden="1">
      <c r="A199" s="352" t="s">
        <v>203</v>
      </c>
      <c r="B199" s="342"/>
      <c r="C199" s="342"/>
      <c r="D199" s="342"/>
      <c r="E199" s="342"/>
      <c r="F199" s="342"/>
      <c r="G199" s="342"/>
      <c r="H199" s="342"/>
      <c r="I199" s="342"/>
      <c r="J199" s="342"/>
      <c r="K199" s="342"/>
      <c r="L199" s="342"/>
      <c r="M199" s="342"/>
      <c r="N199" s="342"/>
      <c r="O199" s="342"/>
      <c r="P199" s="342"/>
      <c r="Q199" s="342"/>
      <c r="R199" s="342"/>
      <c r="S199" s="771"/>
      <c r="T199" s="342"/>
      <c r="U199" s="342"/>
      <c r="V199" s="342"/>
      <c r="W199" s="771"/>
      <c r="X199" s="771"/>
      <c r="Y199" s="342"/>
      <c r="Z199" s="342"/>
      <c r="AA199" s="342"/>
      <c r="AB199" s="342"/>
      <c r="AC199" s="342"/>
      <c r="AD199" s="342"/>
      <c r="AE199" s="342"/>
      <c r="AF199" s="100"/>
      <c r="AG199" s="693">
        <f t="shared" si="70"/>
        <v>0</v>
      </c>
    </row>
    <row r="200" hidden="1">
      <c r="A200" s="352" t="s">
        <v>204</v>
      </c>
      <c r="B200" s="342"/>
      <c r="C200" s="342"/>
      <c r="D200" s="342"/>
      <c r="E200" s="342"/>
      <c r="F200" s="342"/>
      <c r="G200" s="342"/>
      <c r="H200" s="342"/>
      <c r="I200" s="342"/>
      <c r="J200" s="342"/>
      <c r="K200" s="342"/>
      <c r="L200" s="342"/>
      <c r="M200" s="342"/>
      <c r="N200" s="342"/>
      <c r="O200" s="342"/>
      <c r="P200" s="342"/>
      <c r="Q200" s="342"/>
      <c r="R200" s="342"/>
      <c r="S200" s="771"/>
      <c r="T200" s="342"/>
      <c r="U200" s="342"/>
      <c r="V200" s="342"/>
      <c r="W200" s="771"/>
      <c r="X200" s="771"/>
      <c r="Y200" s="342"/>
      <c r="Z200" s="342"/>
      <c r="AA200" s="342"/>
      <c r="AB200" s="342"/>
      <c r="AC200" s="342"/>
      <c r="AD200" s="342"/>
      <c r="AE200" s="342"/>
      <c r="AF200" s="100"/>
      <c r="AG200" s="693">
        <f t="shared" si="70"/>
        <v>0</v>
      </c>
    </row>
    <row r="201">
      <c r="A201" s="826" t="s">
        <v>205</v>
      </c>
      <c r="B201" s="219">
        <f t="shared" ref="B201:AF201" si="71">SUM(B196:B200)</f>
        <v>0</v>
      </c>
      <c r="C201" s="219">
        <f t="shared" si="71"/>
        <v>0</v>
      </c>
      <c r="D201" s="219">
        <f t="shared" si="71"/>
        <v>0</v>
      </c>
      <c r="E201" s="219">
        <f t="shared" si="71"/>
        <v>0</v>
      </c>
      <c r="F201" s="219">
        <f t="shared" si="71"/>
        <v>0</v>
      </c>
      <c r="G201" s="219">
        <f t="shared" si="71"/>
        <v>0</v>
      </c>
      <c r="H201" s="219">
        <f t="shared" si="71"/>
        <v>0</v>
      </c>
      <c r="I201" s="219">
        <f t="shared" si="71"/>
        <v>0</v>
      </c>
      <c r="J201" s="219">
        <f t="shared" si="71"/>
        <v>0</v>
      </c>
      <c r="K201" s="219">
        <f t="shared" si="71"/>
        <v>0</v>
      </c>
      <c r="L201" s="219">
        <f t="shared" si="71"/>
        <v>0</v>
      </c>
      <c r="M201" s="219">
        <f t="shared" si="71"/>
        <v>0</v>
      </c>
      <c r="N201" s="219">
        <f t="shared" si="71"/>
        <v>0</v>
      </c>
      <c r="O201" s="219">
        <f t="shared" si="71"/>
        <v>0</v>
      </c>
      <c r="P201" s="219">
        <f t="shared" si="71"/>
        <v>0</v>
      </c>
      <c r="Q201" s="219">
        <f t="shared" si="71"/>
        <v>0</v>
      </c>
      <c r="R201" s="219">
        <f t="shared" si="71"/>
        <v>0</v>
      </c>
      <c r="S201" s="219">
        <f t="shared" si="71"/>
        <v>0</v>
      </c>
      <c r="T201" s="219">
        <f t="shared" si="71"/>
        <v>0</v>
      </c>
      <c r="U201" s="219">
        <f t="shared" si="71"/>
        <v>0</v>
      </c>
      <c r="V201" s="219">
        <f t="shared" si="71"/>
        <v>0</v>
      </c>
      <c r="W201" s="219">
        <f t="shared" si="71"/>
        <v>0</v>
      </c>
      <c r="X201" s="219">
        <f t="shared" si="71"/>
        <v>0</v>
      </c>
      <c r="Y201" s="219">
        <f t="shared" si="71"/>
        <v>0</v>
      </c>
      <c r="Z201" s="219">
        <f t="shared" si="71"/>
        <v>0</v>
      </c>
      <c r="AA201" s="219">
        <f t="shared" si="71"/>
        <v>0</v>
      </c>
      <c r="AB201" s="219">
        <f t="shared" si="71"/>
        <v>0</v>
      </c>
      <c r="AC201" s="219">
        <f t="shared" si="71"/>
        <v>0</v>
      </c>
      <c r="AD201" s="219">
        <f t="shared" si="71"/>
        <v>0</v>
      </c>
      <c r="AE201" s="219">
        <f t="shared" si="71"/>
        <v>0</v>
      </c>
      <c r="AF201" s="219">
        <f t="shared" si="71"/>
        <v>0</v>
      </c>
      <c r="AG201" s="693">
        <f t="shared" si="70"/>
        <v>0</v>
      </c>
    </row>
    <row r="202">
      <c r="A202" s="25"/>
      <c r="B202" s="661"/>
      <c r="C202" s="661"/>
      <c r="D202" s="661"/>
      <c r="E202" s="661"/>
      <c r="F202" s="661"/>
      <c r="G202" s="661"/>
      <c r="H202" s="661"/>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100"/>
      <c r="AG202" s="693"/>
    </row>
    <row r="203" hidden="1">
      <c r="A203" s="352" t="s">
        <v>207</v>
      </c>
      <c r="B203" s="777"/>
      <c r="C203" s="777"/>
      <c r="D203" s="777"/>
      <c r="E203" s="777"/>
      <c r="F203" s="448"/>
      <c r="G203" s="448"/>
      <c r="H203" s="448"/>
      <c r="I203" s="448"/>
      <c r="J203" s="448"/>
      <c r="K203" s="448"/>
      <c r="L203" s="448"/>
      <c r="M203" s="448"/>
      <c r="N203" s="448"/>
      <c r="O203" s="448"/>
      <c r="P203" s="777"/>
      <c r="Q203" s="448"/>
      <c r="R203" s="448"/>
      <c r="S203" s="448"/>
      <c r="T203" s="777"/>
      <c r="U203" s="448"/>
      <c r="V203" s="448"/>
      <c r="W203" s="448"/>
      <c r="X203" s="448"/>
      <c r="Y203" s="448"/>
      <c r="Z203" s="448"/>
      <c r="AA203" s="448"/>
      <c r="AB203" s="448"/>
      <c r="AC203" s="448"/>
      <c r="AD203" s="448"/>
      <c r="AE203" s="448"/>
      <c r="AF203" s="100"/>
      <c r="AG203" s="693">
        <f t="shared" ref="AG203:AG208" si="72">SUM(B203:AE203)</f>
        <v>0</v>
      </c>
    </row>
    <row r="204" hidden="1">
      <c r="A204" s="352" t="s">
        <v>209</v>
      </c>
      <c r="B204" s="777"/>
      <c r="C204" s="777"/>
      <c r="D204" s="777"/>
      <c r="E204" s="777"/>
      <c r="F204" s="777"/>
      <c r="G204" s="342"/>
      <c r="H204" s="777"/>
      <c r="I204" s="777"/>
      <c r="J204" s="342"/>
      <c r="K204" s="342"/>
      <c r="L204" s="444"/>
      <c r="M204" s="444"/>
      <c r="N204" s="444"/>
      <c r="O204" s="448"/>
      <c r="P204" s="777"/>
      <c r="Q204" s="448"/>
      <c r="R204" s="448"/>
      <c r="S204" s="777"/>
      <c r="T204" s="448"/>
      <c r="U204" s="448"/>
      <c r="V204" s="448"/>
      <c r="W204" s="448"/>
      <c r="X204" s="448"/>
      <c r="Y204" s="448"/>
      <c r="Z204" s="448"/>
      <c r="AA204" s="448"/>
      <c r="AB204" s="448"/>
      <c r="AC204" s="448"/>
      <c r="AD204" s="448"/>
      <c r="AE204" s="448"/>
      <c r="AF204" s="100"/>
      <c r="AG204" s="693">
        <f t="shared" si="72"/>
        <v>0</v>
      </c>
    </row>
    <row r="205" hidden="1">
      <c r="A205" s="352" t="s">
        <v>210</v>
      </c>
      <c r="B205" s="342"/>
      <c r="C205" s="342"/>
      <c r="D205" s="342"/>
      <c r="E205" s="342"/>
      <c r="F205" s="444"/>
      <c r="G205" s="444"/>
      <c r="H205" s="444"/>
      <c r="I205" s="444"/>
      <c r="J205" s="342"/>
      <c r="K205" s="444"/>
      <c r="L205" s="342"/>
      <c r="M205" s="342"/>
      <c r="N205" s="342"/>
      <c r="O205" s="448"/>
      <c r="P205" s="448"/>
      <c r="Q205" s="448"/>
      <c r="R205" s="448"/>
      <c r="S205" s="448"/>
      <c r="T205" s="448"/>
      <c r="U205" s="448"/>
      <c r="V205" s="448"/>
      <c r="W205" s="448"/>
      <c r="X205" s="448"/>
      <c r="Y205" s="448"/>
      <c r="Z205" s="448"/>
      <c r="AA205" s="448"/>
      <c r="AB205" s="448"/>
      <c r="AC205" s="448"/>
      <c r="AD205" s="448"/>
      <c r="AE205" s="448"/>
      <c r="AF205" s="100"/>
      <c r="AG205" s="693">
        <f t="shared" si="72"/>
        <v>0</v>
      </c>
    </row>
    <row r="206" hidden="1">
      <c r="A206" s="352" t="s">
        <v>211</v>
      </c>
      <c r="B206" s="342"/>
      <c r="C206" s="342"/>
      <c r="D206" s="342"/>
      <c r="E206" s="342"/>
      <c r="F206" s="444"/>
      <c r="G206" s="444"/>
      <c r="H206" s="444"/>
      <c r="I206" s="444"/>
      <c r="J206" s="444"/>
      <c r="K206" s="444"/>
      <c r="L206" s="444"/>
      <c r="M206" s="444"/>
      <c r="N206" s="444"/>
      <c r="O206" s="448"/>
      <c r="P206" s="448"/>
      <c r="Q206" s="448"/>
      <c r="R206" s="448"/>
      <c r="S206" s="448"/>
      <c r="T206" s="448"/>
      <c r="U206" s="448"/>
      <c r="V206" s="448"/>
      <c r="W206" s="448"/>
      <c r="X206" s="448"/>
      <c r="Y206" s="448"/>
      <c r="Z206" s="448"/>
      <c r="AA206" s="448"/>
      <c r="AB206" s="448"/>
      <c r="AC206" s="448"/>
      <c r="AD206" s="448"/>
      <c r="AE206" s="448"/>
      <c r="AF206" s="100"/>
      <c r="AG206" s="693">
        <f t="shared" si="72"/>
        <v>0</v>
      </c>
    </row>
    <row r="207" hidden="1">
      <c r="A207" s="352" t="s">
        <v>212</v>
      </c>
      <c r="B207" s="777"/>
      <c r="C207" s="777"/>
      <c r="D207" s="777"/>
      <c r="E207" s="777"/>
      <c r="F207" s="448"/>
      <c r="G207" s="448"/>
      <c r="H207" s="448"/>
      <c r="I207" s="448"/>
      <c r="J207" s="448"/>
      <c r="K207" s="448"/>
      <c r="L207" s="448"/>
      <c r="M207" s="448"/>
      <c r="N207" s="448"/>
      <c r="O207" s="448"/>
      <c r="P207" s="448"/>
      <c r="Q207" s="448"/>
      <c r="R207" s="448"/>
      <c r="S207" s="448"/>
      <c r="T207" s="448"/>
      <c r="U207" s="448"/>
      <c r="V207" s="448"/>
      <c r="W207" s="448"/>
      <c r="X207" s="448"/>
      <c r="Y207" s="448"/>
      <c r="Z207" s="448"/>
      <c r="AA207" s="448"/>
      <c r="AB207" s="448"/>
      <c r="AC207" s="448"/>
      <c r="AD207" s="448"/>
      <c r="AE207" s="448"/>
      <c r="AF207" s="100"/>
      <c r="AG207" s="693">
        <f t="shared" si="72"/>
        <v>0</v>
      </c>
    </row>
    <row r="208">
      <c r="A208" s="826" t="s">
        <v>214</v>
      </c>
      <c r="B208" s="219">
        <f t="shared" ref="B208:AF208" si="73">SUM(B203:B207)</f>
        <v>0</v>
      </c>
      <c r="C208" s="219">
        <f t="shared" si="73"/>
        <v>0</v>
      </c>
      <c r="D208" s="219">
        <f t="shared" si="73"/>
        <v>0</v>
      </c>
      <c r="E208" s="219">
        <f t="shared" si="73"/>
        <v>0</v>
      </c>
      <c r="F208" s="219">
        <f t="shared" si="73"/>
        <v>0</v>
      </c>
      <c r="G208" s="219">
        <f t="shared" si="73"/>
        <v>0</v>
      </c>
      <c r="H208" s="219">
        <f t="shared" si="73"/>
        <v>0</v>
      </c>
      <c r="I208" s="219">
        <f t="shared" si="73"/>
        <v>0</v>
      </c>
      <c r="J208" s="219">
        <f t="shared" si="73"/>
        <v>0</v>
      </c>
      <c r="K208" s="219">
        <f t="shared" si="73"/>
        <v>0</v>
      </c>
      <c r="L208" s="219">
        <f t="shared" si="73"/>
        <v>0</v>
      </c>
      <c r="M208" s="219">
        <f t="shared" si="73"/>
        <v>0</v>
      </c>
      <c r="N208" s="219">
        <f t="shared" si="73"/>
        <v>0</v>
      </c>
      <c r="O208" s="219">
        <f t="shared" si="73"/>
        <v>0</v>
      </c>
      <c r="P208" s="219">
        <f t="shared" si="73"/>
        <v>0</v>
      </c>
      <c r="Q208" s="219">
        <f t="shared" si="73"/>
        <v>0</v>
      </c>
      <c r="R208" s="219">
        <f t="shared" si="73"/>
        <v>0</v>
      </c>
      <c r="S208" s="219">
        <f t="shared" si="73"/>
        <v>0</v>
      </c>
      <c r="T208" s="219">
        <f t="shared" si="73"/>
        <v>0</v>
      </c>
      <c r="U208" s="219">
        <f t="shared" si="73"/>
        <v>0</v>
      </c>
      <c r="V208" s="219">
        <f t="shared" si="73"/>
        <v>0</v>
      </c>
      <c r="W208" s="219">
        <f t="shared" si="73"/>
        <v>0</v>
      </c>
      <c r="X208" s="219">
        <f t="shared" si="73"/>
        <v>0</v>
      </c>
      <c r="Y208" s="219">
        <f t="shared" si="73"/>
        <v>0</v>
      </c>
      <c r="Z208" s="219">
        <f t="shared" si="73"/>
        <v>0</v>
      </c>
      <c r="AA208" s="219">
        <f t="shared" si="73"/>
        <v>0</v>
      </c>
      <c r="AB208" s="219">
        <f t="shared" si="73"/>
        <v>0</v>
      </c>
      <c r="AC208" s="219">
        <f t="shared" si="73"/>
        <v>0</v>
      </c>
      <c r="AD208" s="219">
        <f t="shared" si="73"/>
        <v>0</v>
      </c>
      <c r="AE208" s="219">
        <f t="shared" si="73"/>
        <v>0</v>
      </c>
      <c r="AF208" s="219">
        <f t="shared" si="73"/>
        <v>0</v>
      </c>
      <c r="AG208" s="693">
        <f t="shared" si="72"/>
        <v>0</v>
      </c>
    </row>
    <row r="209">
      <c r="A209" s="723"/>
      <c r="B209" s="555"/>
      <c r="AF209" s="100"/>
      <c r="AG209" s="693"/>
    </row>
    <row r="210">
      <c r="A210" s="723"/>
      <c r="AF210" s="9"/>
      <c r="AG210" s="453"/>
    </row>
    <row r="211">
      <c r="A211" s="349" t="s">
        <v>1088</v>
      </c>
      <c r="AF211" s="9"/>
      <c r="AG211" s="453"/>
    </row>
    <row r="212">
      <c r="A212" s="352" t="s">
        <v>1049</v>
      </c>
      <c r="B212" s="342"/>
      <c r="C212" s="342"/>
      <c r="D212" s="342"/>
      <c r="E212" s="342"/>
      <c r="F212" s="771"/>
      <c r="G212" s="771"/>
      <c r="H212" s="342"/>
      <c r="I212" s="342"/>
      <c r="J212" s="342"/>
      <c r="K212" s="342"/>
      <c r="L212" s="342"/>
      <c r="M212" s="342"/>
      <c r="N212" s="342"/>
      <c r="O212" s="342"/>
      <c r="P212" s="342"/>
      <c r="Q212" s="342"/>
      <c r="R212" s="342"/>
      <c r="S212" s="771"/>
      <c r="T212" s="342"/>
      <c r="U212" s="342"/>
      <c r="V212" s="342"/>
      <c r="W212" s="771"/>
      <c r="X212" s="771"/>
      <c r="Y212" s="342"/>
      <c r="Z212" s="342"/>
      <c r="AA212" s="342"/>
      <c r="AB212" s="342"/>
      <c r="AC212" s="342"/>
      <c r="AD212" s="342"/>
      <c r="AE212" s="342"/>
      <c r="AF212" s="100"/>
      <c r="AG212" s="693">
        <f t="shared" ref="AG212:AG219" si="74">SUM(B212:AE212)</f>
        <v>0</v>
      </c>
    </row>
    <row r="213">
      <c r="A213" s="827" t="s">
        <v>218</v>
      </c>
      <c r="B213" s="114">
        <v>2.0</v>
      </c>
      <c r="C213" s="114">
        <v>3.0</v>
      </c>
      <c r="D213" s="114">
        <v>3.0</v>
      </c>
      <c r="E213" s="114">
        <v>3.0</v>
      </c>
      <c r="F213" s="114">
        <v>2.0</v>
      </c>
      <c r="G213" s="114">
        <v>1.0</v>
      </c>
      <c r="H213" s="114">
        <v>3.0</v>
      </c>
      <c r="I213" s="114">
        <v>3.0</v>
      </c>
      <c r="J213" s="114">
        <v>4.0</v>
      </c>
      <c r="K213" s="114">
        <v>2.0</v>
      </c>
      <c r="L213" s="114">
        <v>3.0</v>
      </c>
      <c r="M213" s="114">
        <v>1.0</v>
      </c>
      <c r="N213" s="114">
        <v>4.0</v>
      </c>
      <c r="O213" s="114">
        <v>5.0</v>
      </c>
      <c r="P213" s="114">
        <v>4.0</v>
      </c>
      <c r="Q213" s="114">
        <v>1.0</v>
      </c>
      <c r="R213" s="114">
        <v>5.0</v>
      </c>
      <c r="S213" s="114">
        <v>5.0</v>
      </c>
      <c r="T213" s="114">
        <v>2.0</v>
      </c>
      <c r="U213" s="114">
        <v>2.0</v>
      </c>
      <c r="V213" s="114">
        <v>2.0</v>
      </c>
      <c r="W213" s="114">
        <v>3.0</v>
      </c>
      <c r="X213" s="114">
        <v>6.0</v>
      </c>
      <c r="Y213" s="114">
        <v>1.0</v>
      </c>
      <c r="Z213" s="114">
        <v>0.0</v>
      </c>
      <c r="AA213" s="114">
        <v>0.0</v>
      </c>
      <c r="AB213" s="114">
        <v>0.0</v>
      </c>
      <c r="AC213" s="114">
        <v>0.0</v>
      </c>
      <c r="AD213" s="114">
        <v>0.0</v>
      </c>
      <c r="AE213" s="119">
        <v>0.0</v>
      </c>
      <c r="AF213" s="831"/>
      <c r="AG213" s="588">
        <f t="shared" si="74"/>
        <v>70</v>
      </c>
    </row>
    <row r="214" hidden="1">
      <c r="A214" s="352" t="s">
        <v>172</v>
      </c>
      <c r="B214" s="342"/>
      <c r="C214" s="342"/>
      <c r="D214" s="342"/>
      <c r="E214" s="342"/>
      <c r="F214" s="771"/>
      <c r="G214" s="771"/>
      <c r="H214" s="342"/>
      <c r="I214" s="342"/>
      <c r="J214" s="342"/>
      <c r="K214" s="342"/>
      <c r="L214" s="342"/>
      <c r="M214" s="342"/>
      <c r="N214" s="342"/>
      <c r="O214" s="342"/>
      <c r="P214" s="342"/>
      <c r="Q214" s="342"/>
      <c r="R214" s="342"/>
      <c r="S214" s="771"/>
      <c r="T214" s="342"/>
      <c r="U214" s="342"/>
      <c r="V214" s="342"/>
      <c r="W214" s="342"/>
      <c r="X214" s="342"/>
      <c r="Y214" s="342"/>
      <c r="Z214" s="342"/>
      <c r="AA214" s="342"/>
      <c r="AB214" s="342"/>
      <c r="AC214" s="342"/>
      <c r="AD214" s="342"/>
      <c r="AE214" s="342"/>
      <c r="AF214" s="100"/>
      <c r="AG214" s="693">
        <f t="shared" si="74"/>
        <v>0</v>
      </c>
    </row>
    <row r="215" hidden="1">
      <c r="A215" s="352" t="s">
        <v>173</v>
      </c>
      <c r="B215" s="342"/>
      <c r="C215" s="342"/>
      <c r="D215" s="342"/>
      <c r="E215" s="342"/>
      <c r="F215" s="771"/>
      <c r="G215" s="771"/>
      <c r="H215" s="342"/>
      <c r="I215" s="342"/>
      <c r="J215" s="342"/>
      <c r="K215" s="342"/>
      <c r="L215" s="342"/>
      <c r="M215" s="342"/>
      <c r="N215" s="342"/>
      <c r="O215" s="342"/>
      <c r="P215" s="342"/>
      <c r="Q215" s="342"/>
      <c r="R215" s="342"/>
      <c r="S215" s="771"/>
      <c r="T215" s="342"/>
      <c r="U215" s="342"/>
      <c r="V215" s="342"/>
      <c r="W215" s="342"/>
      <c r="X215" s="342"/>
      <c r="Y215" s="342"/>
      <c r="Z215" s="342"/>
      <c r="AA215" s="342"/>
      <c r="AB215" s="342"/>
      <c r="AC215" s="342"/>
      <c r="AD215" s="342"/>
      <c r="AE215" s="342"/>
      <c r="AF215" s="100"/>
      <c r="AG215" s="693">
        <f t="shared" si="74"/>
        <v>0</v>
      </c>
    </row>
    <row r="216" hidden="1">
      <c r="A216" s="352" t="s">
        <v>175</v>
      </c>
      <c r="B216" s="342"/>
      <c r="C216" s="342"/>
      <c r="D216" s="342"/>
      <c r="E216" s="342"/>
      <c r="F216" s="771"/>
      <c r="G216" s="771"/>
      <c r="H216" s="342"/>
      <c r="I216" s="342"/>
      <c r="J216" s="342"/>
      <c r="K216" s="342"/>
      <c r="L216" s="342"/>
      <c r="M216" s="342"/>
      <c r="N216" s="342"/>
      <c r="O216" s="342"/>
      <c r="P216" s="342"/>
      <c r="Q216" s="342"/>
      <c r="R216" s="342"/>
      <c r="S216" s="771"/>
      <c r="T216" s="342"/>
      <c r="U216" s="342"/>
      <c r="V216" s="342"/>
      <c r="W216" s="342"/>
      <c r="X216" s="342"/>
      <c r="Y216" s="342"/>
      <c r="Z216" s="342"/>
      <c r="AA216" s="342"/>
      <c r="AB216" s="342"/>
      <c r="AC216" s="342"/>
      <c r="AD216" s="342"/>
      <c r="AE216" s="342"/>
      <c r="AF216" s="100"/>
      <c r="AG216" s="693">
        <f t="shared" si="74"/>
        <v>0</v>
      </c>
    </row>
    <row r="217" hidden="1">
      <c r="A217" s="352" t="s">
        <v>177</v>
      </c>
      <c r="B217" s="342"/>
      <c r="C217" s="342"/>
      <c r="D217" s="342"/>
      <c r="E217" s="342"/>
      <c r="F217" s="771"/>
      <c r="G217" s="771"/>
      <c r="H217" s="342"/>
      <c r="I217" s="342"/>
      <c r="J217" s="342"/>
      <c r="K217" s="342"/>
      <c r="L217" s="342"/>
      <c r="M217" s="342"/>
      <c r="N217" s="342"/>
      <c r="O217" s="342"/>
      <c r="P217" s="342"/>
      <c r="Q217" s="342"/>
      <c r="R217" s="342"/>
      <c r="S217" s="771"/>
      <c r="T217" s="342"/>
      <c r="U217" s="342"/>
      <c r="V217" s="342"/>
      <c r="W217" s="342"/>
      <c r="X217" s="342"/>
      <c r="Y217" s="342"/>
      <c r="Z217" s="342"/>
      <c r="AA217" s="342"/>
      <c r="AB217" s="342"/>
      <c r="AC217" s="342"/>
      <c r="AD217" s="342"/>
      <c r="AE217" s="342"/>
      <c r="AF217" s="100"/>
      <c r="AG217" s="693">
        <f t="shared" si="74"/>
        <v>0</v>
      </c>
    </row>
    <row r="218">
      <c r="A218" s="818" t="s">
        <v>180</v>
      </c>
      <c r="B218" s="219">
        <f t="shared" ref="B218:V218" si="75">B212+B214+B216</f>
        <v>0</v>
      </c>
      <c r="C218" s="219">
        <f t="shared" si="75"/>
        <v>0</v>
      </c>
      <c r="D218" s="219">
        <f t="shared" si="75"/>
        <v>0</v>
      </c>
      <c r="E218" s="219">
        <f t="shared" si="75"/>
        <v>0</v>
      </c>
      <c r="F218" s="219">
        <f t="shared" si="75"/>
        <v>0</v>
      </c>
      <c r="G218" s="219">
        <f t="shared" si="75"/>
        <v>0</v>
      </c>
      <c r="H218" s="219">
        <f t="shared" si="75"/>
        <v>0</v>
      </c>
      <c r="I218" s="219">
        <f t="shared" si="75"/>
        <v>0</v>
      </c>
      <c r="J218" s="219">
        <f t="shared" si="75"/>
        <v>0</v>
      </c>
      <c r="K218" s="219">
        <f t="shared" si="75"/>
        <v>0</v>
      </c>
      <c r="L218" s="219">
        <f t="shared" si="75"/>
        <v>0</v>
      </c>
      <c r="M218" s="219">
        <f t="shared" si="75"/>
        <v>0</v>
      </c>
      <c r="N218" s="219">
        <f t="shared" si="75"/>
        <v>0</v>
      </c>
      <c r="O218" s="219">
        <f t="shared" si="75"/>
        <v>0</v>
      </c>
      <c r="P218" s="219">
        <f t="shared" si="75"/>
        <v>0</v>
      </c>
      <c r="Q218" s="219">
        <f t="shared" si="75"/>
        <v>0</v>
      </c>
      <c r="R218" s="219">
        <f t="shared" si="75"/>
        <v>0</v>
      </c>
      <c r="S218" s="219">
        <f t="shared" si="75"/>
        <v>0</v>
      </c>
      <c r="T218" s="219">
        <f t="shared" si="75"/>
        <v>0</v>
      </c>
      <c r="U218" s="219">
        <f t="shared" si="75"/>
        <v>0</v>
      </c>
      <c r="V218" s="219">
        <f t="shared" si="75"/>
        <v>0</v>
      </c>
      <c r="W218" s="219">
        <f>W212+W213+W216</f>
        <v>3</v>
      </c>
      <c r="X218" s="219">
        <f t="shared" ref="X218:AF218" si="76">X212+X214+X216</f>
        <v>0</v>
      </c>
      <c r="Y218" s="219">
        <f t="shared" si="76"/>
        <v>0</v>
      </c>
      <c r="Z218" s="219">
        <f t="shared" si="76"/>
        <v>0</v>
      </c>
      <c r="AA218" s="219">
        <f t="shared" si="76"/>
        <v>0</v>
      </c>
      <c r="AB218" s="219">
        <f t="shared" si="76"/>
        <v>0</v>
      </c>
      <c r="AC218" s="219">
        <f t="shared" si="76"/>
        <v>0</v>
      </c>
      <c r="AD218" s="219">
        <f t="shared" si="76"/>
        <v>0</v>
      </c>
      <c r="AE218" s="219">
        <f t="shared" si="76"/>
        <v>0</v>
      </c>
      <c r="AF218" s="219">
        <f t="shared" si="76"/>
        <v>0</v>
      </c>
      <c r="AG218" s="693">
        <f t="shared" si="74"/>
        <v>3</v>
      </c>
    </row>
    <row r="219">
      <c r="A219" s="818" t="s">
        <v>185</v>
      </c>
      <c r="B219" s="219">
        <f t="shared" ref="B219:AF219" si="77">B213+B215+B217</f>
        <v>2</v>
      </c>
      <c r="C219" s="219">
        <f t="shared" si="77"/>
        <v>3</v>
      </c>
      <c r="D219" s="219">
        <f t="shared" si="77"/>
        <v>3</v>
      </c>
      <c r="E219" s="219">
        <f t="shared" si="77"/>
        <v>3</v>
      </c>
      <c r="F219" s="219">
        <f t="shared" si="77"/>
        <v>2</v>
      </c>
      <c r="G219" s="219">
        <f t="shared" si="77"/>
        <v>1</v>
      </c>
      <c r="H219" s="219">
        <f t="shared" si="77"/>
        <v>3</v>
      </c>
      <c r="I219" s="219">
        <f t="shared" si="77"/>
        <v>3</v>
      </c>
      <c r="J219" s="219">
        <f t="shared" si="77"/>
        <v>4</v>
      </c>
      <c r="K219" s="219">
        <f t="shared" si="77"/>
        <v>2</v>
      </c>
      <c r="L219" s="219">
        <f t="shared" si="77"/>
        <v>3</v>
      </c>
      <c r="M219" s="219">
        <f t="shared" si="77"/>
        <v>1</v>
      </c>
      <c r="N219" s="219">
        <f t="shared" si="77"/>
        <v>4</v>
      </c>
      <c r="O219" s="219">
        <f t="shared" si="77"/>
        <v>5</v>
      </c>
      <c r="P219" s="219">
        <f t="shared" si="77"/>
        <v>4</v>
      </c>
      <c r="Q219" s="219">
        <f t="shared" si="77"/>
        <v>1</v>
      </c>
      <c r="R219" s="219">
        <f t="shared" si="77"/>
        <v>5</v>
      </c>
      <c r="S219" s="219">
        <f t="shared" si="77"/>
        <v>5</v>
      </c>
      <c r="T219" s="219">
        <f t="shared" si="77"/>
        <v>2</v>
      </c>
      <c r="U219" s="219">
        <f t="shared" si="77"/>
        <v>2</v>
      </c>
      <c r="V219" s="219">
        <f t="shared" si="77"/>
        <v>2</v>
      </c>
      <c r="W219" s="219">
        <f t="shared" si="77"/>
        <v>3</v>
      </c>
      <c r="X219" s="219">
        <f t="shared" si="77"/>
        <v>6</v>
      </c>
      <c r="Y219" s="219">
        <f t="shared" si="77"/>
        <v>1</v>
      </c>
      <c r="Z219" s="219">
        <f t="shared" si="77"/>
        <v>0</v>
      </c>
      <c r="AA219" s="219">
        <f t="shared" si="77"/>
        <v>0</v>
      </c>
      <c r="AB219" s="219">
        <f t="shared" si="77"/>
        <v>0</v>
      </c>
      <c r="AC219" s="219">
        <f t="shared" si="77"/>
        <v>0</v>
      </c>
      <c r="AD219" s="219">
        <f t="shared" si="77"/>
        <v>0</v>
      </c>
      <c r="AE219" s="219">
        <f t="shared" si="77"/>
        <v>0</v>
      </c>
      <c r="AF219" s="219">
        <f t="shared" si="77"/>
        <v>0</v>
      </c>
      <c r="AG219" s="693">
        <f t="shared" si="74"/>
        <v>70</v>
      </c>
    </row>
    <row r="220">
      <c r="A220" s="25"/>
      <c r="AF220" s="9"/>
      <c r="AG220" s="453"/>
    </row>
    <row r="221">
      <c r="A221" s="352" t="s">
        <v>1065</v>
      </c>
      <c r="B221" s="342"/>
      <c r="C221" s="342"/>
      <c r="D221" s="342"/>
      <c r="E221" s="342"/>
      <c r="F221" s="342"/>
      <c r="G221" s="342"/>
      <c r="H221" s="342"/>
      <c r="I221" s="342"/>
      <c r="J221" s="342"/>
      <c r="K221" s="342"/>
      <c r="L221" s="342"/>
      <c r="M221" s="342"/>
      <c r="N221" s="342"/>
      <c r="O221" s="342"/>
      <c r="P221" s="342"/>
      <c r="Q221" s="342"/>
      <c r="R221" s="342"/>
      <c r="S221" s="771"/>
      <c r="T221" s="342"/>
      <c r="U221" s="342"/>
      <c r="V221" s="342"/>
      <c r="W221" s="342"/>
      <c r="X221" s="771"/>
      <c r="Y221" s="342"/>
      <c r="Z221" s="342"/>
      <c r="AA221" s="342"/>
      <c r="AB221" s="342"/>
      <c r="AC221" s="342"/>
      <c r="AD221" s="342"/>
      <c r="AE221" s="342"/>
      <c r="AF221" s="100"/>
      <c r="AG221" s="693">
        <f t="shared" ref="AG221:AG226" si="78">SUM(B221:AE221)</f>
        <v>0</v>
      </c>
    </row>
    <row r="222">
      <c r="A222" s="352" t="s">
        <v>1067</v>
      </c>
      <c r="B222" s="342"/>
      <c r="C222" s="342"/>
      <c r="D222" s="342"/>
      <c r="E222" s="342"/>
      <c r="F222" s="342"/>
      <c r="G222" s="342"/>
      <c r="H222" s="342"/>
      <c r="I222" s="342"/>
      <c r="J222" s="342"/>
      <c r="K222" s="342"/>
      <c r="L222" s="342"/>
      <c r="M222" s="342"/>
      <c r="N222" s="342"/>
      <c r="O222" s="342"/>
      <c r="P222" s="342"/>
      <c r="Q222" s="342"/>
      <c r="R222" s="342"/>
      <c r="S222" s="771"/>
      <c r="T222" s="342"/>
      <c r="U222" s="342"/>
      <c r="V222" s="342"/>
      <c r="W222" s="342"/>
      <c r="X222" s="771"/>
      <c r="Y222" s="342"/>
      <c r="Z222" s="342"/>
      <c r="AA222" s="342"/>
      <c r="AB222" s="342"/>
      <c r="AC222" s="342"/>
      <c r="AD222" s="342"/>
      <c r="AE222" s="342"/>
      <c r="AF222" s="100"/>
      <c r="AG222" s="693">
        <f t="shared" si="78"/>
        <v>0</v>
      </c>
    </row>
    <row r="223">
      <c r="A223" s="352" t="s">
        <v>192</v>
      </c>
      <c r="B223" s="342"/>
      <c r="C223" s="342"/>
      <c r="D223" s="342"/>
      <c r="E223" s="342"/>
      <c r="F223" s="342"/>
      <c r="G223" s="342"/>
      <c r="H223" s="342"/>
      <c r="I223" s="342"/>
      <c r="J223" s="342"/>
      <c r="K223" s="342"/>
      <c r="L223" s="342"/>
      <c r="M223" s="342"/>
      <c r="N223" s="342"/>
      <c r="O223" s="342"/>
      <c r="P223" s="342"/>
      <c r="Q223" s="342"/>
      <c r="R223" s="342"/>
      <c r="S223" s="771"/>
      <c r="T223" s="342"/>
      <c r="U223" s="342"/>
      <c r="V223" s="342"/>
      <c r="W223" s="342"/>
      <c r="X223" s="771"/>
      <c r="Y223" s="342"/>
      <c r="Z223" s="342"/>
      <c r="AA223" s="342"/>
      <c r="AB223" s="342"/>
      <c r="AC223" s="342"/>
      <c r="AD223" s="342"/>
      <c r="AE223" s="342"/>
      <c r="AF223" s="100"/>
      <c r="AG223" s="693">
        <f t="shared" si="78"/>
        <v>0</v>
      </c>
    </row>
    <row r="224">
      <c r="A224" s="352" t="s">
        <v>1068</v>
      </c>
      <c r="B224" s="342"/>
      <c r="C224" s="342"/>
      <c r="D224" s="342"/>
      <c r="E224" s="342"/>
      <c r="F224" s="342"/>
      <c r="G224" s="342"/>
      <c r="H224" s="342"/>
      <c r="I224" s="342"/>
      <c r="J224" s="342"/>
      <c r="K224" s="342"/>
      <c r="L224" s="342"/>
      <c r="M224" s="342"/>
      <c r="N224" s="342"/>
      <c r="O224" s="342"/>
      <c r="P224" s="342"/>
      <c r="Q224" s="342"/>
      <c r="R224" s="342"/>
      <c r="S224" s="771"/>
      <c r="T224" s="342"/>
      <c r="U224" s="342"/>
      <c r="V224" s="342"/>
      <c r="W224" s="342"/>
      <c r="X224" s="771"/>
      <c r="Y224" s="342"/>
      <c r="Z224" s="342"/>
      <c r="AA224" s="342"/>
      <c r="AB224" s="342"/>
      <c r="AC224" s="342"/>
      <c r="AD224" s="342"/>
      <c r="AE224" s="342"/>
      <c r="AF224" s="100"/>
      <c r="AG224" s="693">
        <f t="shared" si="78"/>
        <v>0</v>
      </c>
    </row>
    <row r="225">
      <c r="A225" s="352" t="s">
        <v>1069</v>
      </c>
      <c r="B225" s="342"/>
      <c r="C225" s="342"/>
      <c r="D225" s="342"/>
      <c r="E225" s="342"/>
      <c r="F225" s="342"/>
      <c r="G225" s="342"/>
      <c r="H225" s="342"/>
      <c r="I225" s="342"/>
      <c r="J225" s="342"/>
      <c r="K225" s="342"/>
      <c r="L225" s="342"/>
      <c r="M225" s="342"/>
      <c r="N225" s="342"/>
      <c r="O225" s="342"/>
      <c r="P225" s="342"/>
      <c r="Q225" s="342"/>
      <c r="R225" s="342"/>
      <c r="S225" s="771"/>
      <c r="T225" s="342"/>
      <c r="U225" s="342"/>
      <c r="V225" s="342"/>
      <c r="W225" s="342"/>
      <c r="X225" s="771"/>
      <c r="Y225" s="342"/>
      <c r="Z225" s="342"/>
      <c r="AA225" s="342"/>
      <c r="AB225" s="342"/>
      <c r="AC225" s="342"/>
      <c r="AD225" s="342"/>
      <c r="AE225" s="342"/>
      <c r="AF225" s="100"/>
      <c r="AG225" s="693">
        <f t="shared" si="78"/>
        <v>0</v>
      </c>
    </row>
    <row r="226">
      <c r="A226" s="822" t="s">
        <v>1073</v>
      </c>
      <c r="B226" s="219">
        <f t="shared" ref="B226:G226" si="79">SUM(B221:B225)</f>
        <v>0</v>
      </c>
      <c r="C226" s="219">
        <f t="shared" si="79"/>
        <v>0</v>
      </c>
      <c r="D226" s="219">
        <f t="shared" si="79"/>
        <v>0</v>
      </c>
      <c r="E226" s="219">
        <f t="shared" si="79"/>
        <v>0</v>
      </c>
      <c r="F226" s="219">
        <f t="shared" si="79"/>
        <v>0</v>
      </c>
      <c r="G226" s="219">
        <f t="shared" si="79"/>
        <v>0</v>
      </c>
      <c r="H226" s="258">
        <v>0.0</v>
      </c>
      <c r="I226" s="219">
        <f t="shared" ref="I226:AF226" si="80">SUM(I221:I225)</f>
        <v>0</v>
      </c>
      <c r="J226" s="219">
        <f t="shared" si="80"/>
        <v>0</v>
      </c>
      <c r="K226" s="219">
        <f t="shared" si="80"/>
        <v>0</v>
      </c>
      <c r="L226" s="219">
        <f t="shared" si="80"/>
        <v>0</v>
      </c>
      <c r="M226" s="219">
        <f t="shared" si="80"/>
        <v>0</v>
      </c>
      <c r="N226" s="219">
        <f t="shared" si="80"/>
        <v>0</v>
      </c>
      <c r="O226" s="219">
        <f t="shared" si="80"/>
        <v>0</v>
      </c>
      <c r="P226" s="219">
        <f t="shared" si="80"/>
        <v>0</v>
      </c>
      <c r="Q226" s="219">
        <f t="shared" si="80"/>
        <v>0</v>
      </c>
      <c r="R226" s="219">
        <f t="shared" si="80"/>
        <v>0</v>
      </c>
      <c r="S226" s="219">
        <f t="shared" si="80"/>
        <v>0</v>
      </c>
      <c r="T226" s="219">
        <f t="shared" si="80"/>
        <v>0</v>
      </c>
      <c r="U226" s="219">
        <f t="shared" si="80"/>
        <v>0</v>
      </c>
      <c r="V226" s="219">
        <f t="shared" si="80"/>
        <v>0</v>
      </c>
      <c r="W226" s="219">
        <f t="shared" si="80"/>
        <v>0</v>
      </c>
      <c r="X226" s="219">
        <f t="shared" si="80"/>
        <v>0</v>
      </c>
      <c r="Y226" s="219">
        <f t="shared" si="80"/>
        <v>0</v>
      </c>
      <c r="Z226" s="219">
        <f t="shared" si="80"/>
        <v>0</v>
      </c>
      <c r="AA226" s="219">
        <f t="shared" si="80"/>
        <v>0</v>
      </c>
      <c r="AB226" s="219">
        <f t="shared" si="80"/>
        <v>0</v>
      </c>
      <c r="AC226" s="219">
        <f t="shared" si="80"/>
        <v>0</v>
      </c>
      <c r="AD226" s="219">
        <f t="shared" si="80"/>
        <v>0</v>
      </c>
      <c r="AE226" s="219">
        <f t="shared" si="80"/>
        <v>0</v>
      </c>
      <c r="AF226" s="219">
        <f t="shared" si="80"/>
        <v>0</v>
      </c>
      <c r="AG226" s="693">
        <f t="shared" si="78"/>
        <v>0</v>
      </c>
    </row>
    <row r="227">
      <c r="A227" s="25"/>
      <c r="AF227" s="9"/>
      <c r="AG227" s="453"/>
    </row>
    <row r="228" hidden="1">
      <c r="A228" s="352" t="s">
        <v>198</v>
      </c>
      <c r="B228" s="342"/>
      <c r="C228" s="342"/>
      <c r="D228" s="342"/>
      <c r="E228" s="342"/>
      <c r="F228" s="342"/>
      <c r="G228" s="342"/>
      <c r="H228" s="342"/>
      <c r="I228" s="342"/>
      <c r="J228" s="342"/>
      <c r="K228" s="342"/>
      <c r="L228" s="342"/>
      <c r="M228" s="342"/>
      <c r="N228" s="342"/>
      <c r="O228" s="342"/>
      <c r="P228" s="342"/>
      <c r="Q228" s="342"/>
      <c r="R228" s="342"/>
      <c r="S228" s="771"/>
      <c r="T228" s="342"/>
      <c r="U228" s="342"/>
      <c r="V228" s="342"/>
      <c r="W228" s="342"/>
      <c r="X228" s="342"/>
      <c r="Y228" s="342"/>
      <c r="Z228" s="342"/>
      <c r="AA228" s="342"/>
      <c r="AB228" s="342"/>
      <c r="AC228" s="342"/>
      <c r="AD228" s="342"/>
      <c r="AE228" s="342"/>
      <c r="AF228" s="100"/>
      <c r="AG228" s="693">
        <f t="shared" ref="AG228:AG233" si="81">SUM(B228:AE228)</f>
        <v>0</v>
      </c>
    </row>
    <row r="229" hidden="1">
      <c r="A229" s="352" t="s">
        <v>201</v>
      </c>
      <c r="B229" s="342"/>
      <c r="C229" s="342"/>
      <c r="D229" s="342"/>
      <c r="E229" s="342"/>
      <c r="F229" s="342"/>
      <c r="G229" s="342"/>
      <c r="H229" s="342"/>
      <c r="I229" s="342"/>
      <c r="J229" s="342"/>
      <c r="K229" s="342"/>
      <c r="L229" s="342"/>
      <c r="M229" s="342"/>
      <c r="N229" s="342"/>
      <c r="O229" s="342"/>
      <c r="P229" s="342"/>
      <c r="Q229" s="342"/>
      <c r="R229" s="342"/>
      <c r="S229" s="771"/>
      <c r="T229" s="342"/>
      <c r="U229" s="342"/>
      <c r="V229" s="342"/>
      <c r="W229" s="342"/>
      <c r="X229" s="342"/>
      <c r="Y229" s="342"/>
      <c r="Z229" s="342"/>
      <c r="AA229" s="342"/>
      <c r="AB229" s="342"/>
      <c r="AC229" s="342"/>
      <c r="AD229" s="342"/>
      <c r="AE229" s="342"/>
      <c r="AF229" s="100"/>
      <c r="AG229" s="693">
        <f t="shared" si="81"/>
        <v>0</v>
      </c>
    </row>
    <row r="230" hidden="1">
      <c r="A230" s="352" t="s">
        <v>202</v>
      </c>
      <c r="B230" s="342"/>
      <c r="C230" s="342"/>
      <c r="D230" s="342"/>
      <c r="E230" s="342"/>
      <c r="F230" s="342"/>
      <c r="G230" s="342"/>
      <c r="H230" s="342"/>
      <c r="I230" s="342"/>
      <c r="J230" s="342"/>
      <c r="K230" s="342"/>
      <c r="L230" s="342"/>
      <c r="M230" s="342"/>
      <c r="N230" s="342"/>
      <c r="O230" s="342"/>
      <c r="P230" s="342"/>
      <c r="Q230" s="342"/>
      <c r="R230" s="342"/>
      <c r="S230" s="771"/>
      <c r="T230" s="342"/>
      <c r="U230" s="342"/>
      <c r="V230" s="342"/>
      <c r="W230" s="342"/>
      <c r="X230" s="342"/>
      <c r="Y230" s="342"/>
      <c r="Z230" s="342"/>
      <c r="AA230" s="342"/>
      <c r="AB230" s="342"/>
      <c r="AC230" s="342"/>
      <c r="AD230" s="342"/>
      <c r="AE230" s="342"/>
      <c r="AF230" s="100"/>
      <c r="AG230" s="693">
        <f t="shared" si="81"/>
        <v>0</v>
      </c>
    </row>
    <row r="231" hidden="1">
      <c r="A231" s="352" t="s">
        <v>203</v>
      </c>
      <c r="B231" s="342"/>
      <c r="C231" s="342"/>
      <c r="D231" s="342"/>
      <c r="E231" s="342"/>
      <c r="F231" s="342"/>
      <c r="G231" s="342"/>
      <c r="H231" s="342"/>
      <c r="I231" s="342"/>
      <c r="J231" s="342"/>
      <c r="K231" s="342"/>
      <c r="L231" s="342"/>
      <c r="M231" s="342"/>
      <c r="N231" s="342"/>
      <c r="O231" s="342"/>
      <c r="P231" s="342"/>
      <c r="Q231" s="342"/>
      <c r="R231" s="342"/>
      <c r="S231" s="771"/>
      <c r="T231" s="342"/>
      <c r="U231" s="342"/>
      <c r="V231" s="342"/>
      <c r="W231" s="342"/>
      <c r="X231" s="342"/>
      <c r="Y231" s="342"/>
      <c r="Z231" s="342"/>
      <c r="AA231" s="342"/>
      <c r="AB231" s="342"/>
      <c r="AC231" s="342"/>
      <c r="AD231" s="342"/>
      <c r="AE231" s="342"/>
      <c r="AF231" s="100"/>
      <c r="AG231" s="693">
        <f t="shared" si="81"/>
        <v>0</v>
      </c>
    </row>
    <row r="232" hidden="1">
      <c r="A232" s="352" t="s">
        <v>204</v>
      </c>
      <c r="B232" s="342"/>
      <c r="C232" s="342"/>
      <c r="D232" s="342"/>
      <c r="E232" s="342"/>
      <c r="F232" s="342"/>
      <c r="G232" s="342"/>
      <c r="H232" s="342"/>
      <c r="I232" s="342"/>
      <c r="J232" s="342"/>
      <c r="K232" s="342"/>
      <c r="L232" s="342"/>
      <c r="M232" s="342"/>
      <c r="N232" s="342"/>
      <c r="O232" s="342"/>
      <c r="P232" s="342"/>
      <c r="Q232" s="342"/>
      <c r="R232" s="342"/>
      <c r="S232" s="771"/>
      <c r="T232" s="342"/>
      <c r="U232" s="342"/>
      <c r="V232" s="342"/>
      <c r="W232" s="342"/>
      <c r="X232" s="342"/>
      <c r="Y232" s="342"/>
      <c r="Z232" s="342"/>
      <c r="AA232" s="342"/>
      <c r="AB232" s="342"/>
      <c r="AC232" s="342"/>
      <c r="AD232" s="342"/>
      <c r="AE232" s="342"/>
      <c r="AF232" s="100"/>
      <c r="AG232" s="693">
        <f t="shared" si="81"/>
        <v>0</v>
      </c>
    </row>
    <row r="233">
      <c r="A233" s="826" t="s">
        <v>205</v>
      </c>
      <c r="B233" s="219">
        <f t="shared" ref="B233:R233" si="82">SUM(B228:B232)</f>
        <v>0</v>
      </c>
      <c r="C233" s="219">
        <f t="shared" si="82"/>
        <v>0</v>
      </c>
      <c r="D233" s="219">
        <f t="shared" si="82"/>
        <v>0</v>
      </c>
      <c r="E233" s="219">
        <f t="shared" si="82"/>
        <v>0</v>
      </c>
      <c r="F233" s="219">
        <f t="shared" si="82"/>
        <v>0</v>
      </c>
      <c r="G233" s="219">
        <f t="shared" si="82"/>
        <v>0</v>
      </c>
      <c r="H233" s="219">
        <f t="shared" si="82"/>
        <v>0</v>
      </c>
      <c r="I233" s="219">
        <f t="shared" si="82"/>
        <v>0</v>
      </c>
      <c r="J233" s="219">
        <f t="shared" si="82"/>
        <v>0</v>
      </c>
      <c r="K233" s="219">
        <f t="shared" si="82"/>
        <v>0</v>
      </c>
      <c r="L233" s="219">
        <f t="shared" si="82"/>
        <v>0</v>
      </c>
      <c r="M233" s="219">
        <f t="shared" si="82"/>
        <v>0</v>
      </c>
      <c r="N233" s="219">
        <f t="shared" si="82"/>
        <v>0</v>
      </c>
      <c r="O233" s="219">
        <f t="shared" si="82"/>
        <v>0</v>
      </c>
      <c r="P233" s="219">
        <f t="shared" si="82"/>
        <v>0</v>
      </c>
      <c r="Q233" s="219">
        <f t="shared" si="82"/>
        <v>0</v>
      </c>
      <c r="R233" s="219">
        <f t="shared" si="82"/>
        <v>0</v>
      </c>
      <c r="S233" s="258">
        <v>0.0</v>
      </c>
      <c r="T233" s="219">
        <f t="shared" ref="T233:AF233" si="83">SUM(T228:T232)</f>
        <v>0</v>
      </c>
      <c r="U233" s="219">
        <f t="shared" si="83"/>
        <v>0</v>
      </c>
      <c r="V233" s="219">
        <f t="shared" si="83"/>
        <v>0</v>
      </c>
      <c r="W233" s="219">
        <f t="shared" si="83"/>
        <v>0</v>
      </c>
      <c r="X233" s="219">
        <f t="shared" si="83"/>
        <v>0</v>
      </c>
      <c r="Y233" s="219">
        <f t="shared" si="83"/>
        <v>0</v>
      </c>
      <c r="Z233" s="219">
        <f t="shared" si="83"/>
        <v>0</v>
      </c>
      <c r="AA233" s="219">
        <f t="shared" si="83"/>
        <v>0</v>
      </c>
      <c r="AB233" s="219">
        <f t="shared" si="83"/>
        <v>0</v>
      </c>
      <c r="AC233" s="219">
        <f t="shared" si="83"/>
        <v>0</v>
      </c>
      <c r="AD233" s="219">
        <f t="shared" si="83"/>
        <v>0</v>
      </c>
      <c r="AE233" s="219">
        <f t="shared" si="83"/>
        <v>0</v>
      </c>
      <c r="AF233" s="219">
        <f t="shared" si="83"/>
        <v>0</v>
      </c>
      <c r="AG233" s="693">
        <f t="shared" si="81"/>
        <v>0</v>
      </c>
    </row>
    <row r="234">
      <c r="A234" s="25"/>
      <c r="S234" s="695"/>
      <c r="AF234" s="9"/>
      <c r="AG234" s="453"/>
    </row>
    <row r="235" hidden="1">
      <c r="A235" s="352" t="s">
        <v>207</v>
      </c>
      <c r="B235" s="342"/>
      <c r="C235" s="342"/>
      <c r="D235" s="342"/>
      <c r="E235" s="342"/>
      <c r="F235" s="342"/>
      <c r="G235" s="342"/>
      <c r="H235" s="342"/>
      <c r="I235" s="342"/>
      <c r="J235" s="342"/>
      <c r="K235" s="342"/>
      <c r="L235" s="342"/>
      <c r="M235" s="342"/>
      <c r="N235" s="342"/>
      <c r="O235" s="342"/>
      <c r="P235" s="342"/>
      <c r="Q235" s="342"/>
      <c r="R235" s="342"/>
      <c r="S235" s="771"/>
      <c r="T235" s="342"/>
      <c r="U235" s="342"/>
      <c r="V235" s="342"/>
      <c r="W235" s="342"/>
      <c r="X235" s="342"/>
      <c r="Y235" s="342"/>
      <c r="Z235" s="342"/>
      <c r="AA235" s="342"/>
      <c r="AB235" s="342"/>
      <c r="AC235" s="342"/>
      <c r="AD235" s="342"/>
      <c r="AE235" s="342"/>
      <c r="AF235" s="100"/>
      <c r="AG235" s="693">
        <f t="shared" ref="AG235:AG240" si="84">SUM(B235:AE235)</f>
        <v>0</v>
      </c>
    </row>
    <row r="236" hidden="1">
      <c r="A236" s="352" t="s">
        <v>209</v>
      </c>
      <c r="B236" s="342"/>
      <c r="C236" s="342"/>
      <c r="D236" s="342"/>
      <c r="E236" s="342"/>
      <c r="F236" s="342"/>
      <c r="G236" s="342"/>
      <c r="H236" s="342"/>
      <c r="I236" s="342"/>
      <c r="J236" s="342"/>
      <c r="K236" s="342"/>
      <c r="L236" s="342"/>
      <c r="M236" s="342"/>
      <c r="N236" s="342"/>
      <c r="O236" s="342"/>
      <c r="P236" s="342"/>
      <c r="Q236" s="342"/>
      <c r="R236" s="342"/>
      <c r="S236" s="771"/>
      <c r="T236" s="342"/>
      <c r="U236" s="342"/>
      <c r="V236" s="342"/>
      <c r="W236" s="342"/>
      <c r="X236" s="342"/>
      <c r="Y236" s="342"/>
      <c r="Z236" s="342"/>
      <c r="AA236" s="342"/>
      <c r="AB236" s="342"/>
      <c r="AC236" s="342"/>
      <c r="AD236" s="342"/>
      <c r="AE236" s="342"/>
      <c r="AF236" s="100"/>
      <c r="AG236" s="693">
        <f t="shared" si="84"/>
        <v>0</v>
      </c>
    </row>
    <row r="237" hidden="1">
      <c r="A237" s="352" t="s">
        <v>210</v>
      </c>
      <c r="B237" s="342"/>
      <c r="C237" s="342"/>
      <c r="D237" s="342"/>
      <c r="E237" s="342"/>
      <c r="F237" s="342"/>
      <c r="G237" s="342"/>
      <c r="H237" s="342"/>
      <c r="I237" s="342"/>
      <c r="J237" s="342"/>
      <c r="K237" s="342"/>
      <c r="L237" s="342"/>
      <c r="M237" s="342"/>
      <c r="N237" s="342"/>
      <c r="O237" s="342"/>
      <c r="P237" s="342"/>
      <c r="Q237" s="342"/>
      <c r="R237" s="342"/>
      <c r="S237" s="771"/>
      <c r="T237" s="342"/>
      <c r="U237" s="342"/>
      <c r="V237" s="342"/>
      <c r="W237" s="342"/>
      <c r="X237" s="342"/>
      <c r="Y237" s="342"/>
      <c r="Z237" s="342"/>
      <c r="AA237" s="342"/>
      <c r="AB237" s="342"/>
      <c r="AC237" s="342"/>
      <c r="AD237" s="342"/>
      <c r="AE237" s="342"/>
      <c r="AF237" s="100"/>
      <c r="AG237" s="693">
        <f t="shared" si="84"/>
        <v>0</v>
      </c>
    </row>
    <row r="238" hidden="1">
      <c r="A238" s="352" t="s">
        <v>211</v>
      </c>
      <c r="B238" s="342"/>
      <c r="C238" s="342"/>
      <c r="D238" s="342"/>
      <c r="E238" s="342"/>
      <c r="F238" s="342"/>
      <c r="G238" s="342"/>
      <c r="H238" s="342"/>
      <c r="I238" s="342"/>
      <c r="J238" s="342"/>
      <c r="K238" s="342"/>
      <c r="L238" s="342"/>
      <c r="M238" s="342"/>
      <c r="N238" s="342"/>
      <c r="O238" s="342"/>
      <c r="P238" s="342"/>
      <c r="Q238" s="342"/>
      <c r="R238" s="342"/>
      <c r="S238" s="771"/>
      <c r="T238" s="342"/>
      <c r="U238" s="342"/>
      <c r="V238" s="342"/>
      <c r="W238" s="342"/>
      <c r="X238" s="342"/>
      <c r="Y238" s="342"/>
      <c r="Z238" s="342"/>
      <c r="AA238" s="342"/>
      <c r="AB238" s="342"/>
      <c r="AC238" s="342"/>
      <c r="AD238" s="342"/>
      <c r="AE238" s="342"/>
      <c r="AF238" s="100"/>
      <c r="AG238" s="693">
        <f t="shared" si="84"/>
        <v>0</v>
      </c>
    </row>
    <row r="239" hidden="1">
      <c r="A239" s="352" t="s">
        <v>212</v>
      </c>
      <c r="B239" s="342"/>
      <c r="C239" s="342"/>
      <c r="D239" s="342"/>
      <c r="E239" s="342"/>
      <c r="F239" s="342"/>
      <c r="G239" s="342"/>
      <c r="H239" s="342"/>
      <c r="I239" s="342"/>
      <c r="J239" s="342"/>
      <c r="K239" s="342"/>
      <c r="L239" s="342"/>
      <c r="M239" s="342"/>
      <c r="N239" s="342"/>
      <c r="O239" s="342"/>
      <c r="P239" s="342"/>
      <c r="Q239" s="342"/>
      <c r="R239" s="342"/>
      <c r="S239" s="771"/>
      <c r="T239" s="342"/>
      <c r="U239" s="342"/>
      <c r="V239" s="342"/>
      <c r="W239" s="342"/>
      <c r="X239" s="342"/>
      <c r="Y239" s="342"/>
      <c r="Z239" s="342"/>
      <c r="AA239" s="342"/>
      <c r="AB239" s="342"/>
      <c r="AC239" s="342"/>
      <c r="AD239" s="342"/>
      <c r="AE239" s="342"/>
      <c r="AF239" s="100"/>
      <c r="AG239" s="693">
        <f t="shared" si="84"/>
        <v>0</v>
      </c>
    </row>
    <row r="240">
      <c r="A240" s="826" t="s">
        <v>214</v>
      </c>
      <c r="B240" s="219">
        <f t="shared" ref="B240:AF240" si="85">SUM(B235:B239)</f>
        <v>0</v>
      </c>
      <c r="C240" s="219">
        <f t="shared" si="85"/>
        <v>0</v>
      </c>
      <c r="D240" s="219">
        <f t="shared" si="85"/>
        <v>0</v>
      </c>
      <c r="E240" s="219">
        <f t="shared" si="85"/>
        <v>0</v>
      </c>
      <c r="F240" s="219">
        <f t="shared" si="85"/>
        <v>0</v>
      </c>
      <c r="G240" s="219">
        <f t="shared" si="85"/>
        <v>0</v>
      </c>
      <c r="H240" s="219">
        <f t="shared" si="85"/>
        <v>0</v>
      </c>
      <c r="I240" s="219">
        <f t="shared" si="85"/>
        <v>0</v>
      </c>
      <c r="J240" s="219">
        <f t="shared" si="85"/>
        <v>0</v>
      </c>
      <c r="K240" s="219">
        <f t="shared" si="85"/>
        <v>0</v>
      </c>
      <c r="L240" s="219">
        <f t="shared" si="85"/>
        <v>0</v>
      </c>
      <c r="M240" s="219">
        <f t="shared" si="85"/>
        <v>0</v>
      </c>
      <c r="N240" s="219">
        <f t="shared" si="85"/>
        <v>0</v>
      </c>
      <c r="O240" s="219">
        <f t="shared" si="85"/>
        <v>0</v>
      </c>
      <c r="P240" s="219">
        <f t="shared" si="85"/>
        <v>0</v>
      </c>
      <c r="Q240" s="219">
        <f t="shared" si="85"/>
        <v>0</v>
      </c>
      <c r="R240" s="219">
        <f t="shared" si="85"/>
        <v>0</v>
      </c>
      <c r="S240" s="219">
        <f t="shared" si="85"/>
        <v>0</v>
      </c>
      <c r="T240" s="219">
        <f t="shared" si="85"/>
        <v>0</v>
      </c>
      <c r="U240" s="219">
        <f t="shared" si="85"/>
        <v>0</v>
      </c>
      <c r="V240" s="219">
        <f t="shared" si="85"/>
        <v>0</v>
      </c>
      <c r="W240" s="219">
        <f t="shared" si="85"/>
        <v>0</v>
      </c>
      <c r="X240" s="219">
        <f t="shared" si="85"/>
        <v>0</v>
      </c>
      <c r="Y240" s="219">
        <f t="shared" si="85"/>
        <v>0</v>
      </c>
      <c r="Z240" s="219">
        <f t="shared" si="85"/>
        <v>0</v>
      </c>
      <c r="AA240" s="219">
        <f t="shared" si="85"/>
        <v>0</v>
      </c>
      <c r="AB240" s="219">
        <f t="shared" si="85"/>
        <v>0</v>
      </c>
      <c r="AC240" s="219">
        <f t="shared" si="85"/>
        <v>0</v>
      </c>
      <c r="AD240" s="219">
        <f t="shared" si="85"/>
        <v>0</v>
      </c>
      <c r="AE240" s="219">
        <f t="shared" si="85"/>
        <v>0</v>
      </c>
      <c r="AF240" s="219">
        <f t="shared" si="85"/>
        <v>0</v>
      </c>
      <c r="AG240" s="693">
        <f t="shared" si="84"/>
        <v>0</v>
      </c>
    </row>
    <row r="241">
      <c r="A241" s="723"/>
      <c r="AF241" s="9"/>
      <c r="AG241" s="453"/>
    </row>
    <row r="242">
      <c r="A242" s="723"/>
      <c r="AF242" s="9"/>
      <c r="AG242" s="453"/>
    </row>
    <row r="243">
      <c r="A243" s="835" t="s">
        <v>1112</v>
      </c>
      <c r="B243" s="114">
        <v>2.0</v>
      </c>
      <c r="C243" s="114">
        <v>3.0</v>
      </c>
      <c r="D243" s="114">
        <v>3.0</v>
      </c>
      <c r="E243" s="114">
        <v>3.0</v>
      </c>
      <c r="F243" s="114">
        <v>2.0</v>
      </c>
      <c r="G243" s="114">
        <v>1.0</v>
      </c>
      <c r="H243" s="114">
        <v>3.0</v>
      </c>
      <c r="I243" s="114">
        <v>3.0</v>
      </c>
      <c r="J243" s="114">
        <v>4.0</v>
      </c>
      <c r="K243" s="114">
        <v>2.0</v>
      </c>
      <c r="L243" s="114">
        <v>3.0</v>
      </c>
      <c r="M243" s="114">
        <v>1.0</v>
      </c>
      <c r="N243" s="114">
        <v>4.0</v>
      </c>
      <c r="O243" s="114">
        <v>5.0</v>
      </c>
      <c r="P243" s="114">
        <v>4.0</v>
      </c>
      <c r="Q243" s="114">
        <v>1.0</v>
      </c>
      <c r="R243" s="114">
        <v>5.0</v>
      </c>
      <c r="S243" s="114">
        <v>5.0</v>
      </c>
      <c r="T243" s="114">
        <v>2.0</v>
      </c>
      <c r="U243" s="114">
        <v>2.0</v>
      </c>
      <c r="V243" s="114">
        <v>2.0</v>
      </c>
      <c r="W243" s="114">
        <v>0.0</v>
      </c>
      <c r="X243" s="796">
        <v>6.0</v>
      </c>
      <c r="Y243" s="114">
        <v>0.0</v>
      </c>
      <c r="Z243" s="114">
        <v>0.0</v>
      </c>
      <c r="AA243" s="114">
        <v>0.0</v>
      </c>
      <c r="AB243" s="114">
        <v>0.0</v>
      </c>
      <c r="AC243" s="114">
        <v>0.0</v>
      </c>
      <c r="AD243" s="114">
        <v>0.0</v>
      </c>
      <c r="AE243" s="119">
        <v>0.0</v>
      </c>
      <c r="AF243" s="100"/>
      <c r="AG243" s="693">
        <f t="shared" ref="AG243:AG246" si="86">SUM(B243:AE243)</f>
        <v>66</v>
      </c>
    </row>
    <row r="244">
      <c r="A244" s="352" t="s">
        <v>1114</v>
      </c>
      <c r="B244" s="342"/>
      <c r="C244" s="342"/>
      <c r="D244" s="342"/>
      <c r="E244" s="342"/>
      <c r="F244" s="771"/>
      <c r="G244" s="771"/>
      <c r="H244" s="342"/>
      <c r="I244" s="342"/>
      <c r="J244" s="342"/>
      <c r="K244" s="342"/>
      <c r="L244" s="342"/>
      <c r="M244" s="342"/>
      <c r="N244" s="342"/>
      <c r="O244" s="342"/>
      <c r="P244" s="342"/>
      <c r="Q244" s="342"/>
      <c r="R244" s="342"/>
      <c r="S244" s="771"/>
      <c r="T244" s="342"/>
      <c r="U244" s="342"/>
      <c r="V244" s="342"/>
      <c r="W244" s="342"/>
      <c r="X244" s="771"/>
      <c r="Y244" s="342"/>
      <c r="Z244" s="342"/>
      <c r="AA244" s="342"/>
      <c r="AB244" s="342"/>
      <c r="AC244" s="342"/>
      <c r="AD244" s="342"/>
      <c r="AE244" s="342"/>
      <c r="AF244" s="100"/>
      <c r="AG244" s="693">
        <f t="shared" si="86"/>
        <v>0</v>
      </c>
    </row>
    <row r="245">
      <c r="A245" s="352" t="s">
        <v>1116</v>
      </c>
      <c r="B245" s="342"/>
      <c r="C245" s="342"/>
      <c r="D245" s="342"/>
      <c r="E245" s="342"/>
      <c r="F245" s="771"/>
      <c r="G245" s="771"/>
      <c r="H245" s="342"/>
      <c r="I245" s="342"/>
      <c r="J245" s="342"/>
      <c r="K245" s="342"/>
      <c r="L245" s="342"/>
      <c r="M245" s="342"/>
      <c r="N245" s="342"/>
      <c r="O245" s="342"/>
      <c r="P245" s="342"/>
      <c r="Q245" s="342"/>
      <c r="R245" s="342"/>
      <c r="S245" s="771"/>
      <c r="T245" s="342"/>
      <c r="U245" s="342"/>
      <c r="V245" s="342"/>
      <c r="W245" s="342"/>
      <c r="X245" s="771"/>
      <c r="Y245" s="342"/>
      <c r="Z245" s="342"/>
      <c r="AA245" s="342"/>
      <c r="AB245" s="342"/>
      <c r="AC245" s="342"/>
      <c r="AD245" s="342"/>
      <c r="AE245" s="342"/>
      <c r="AF245" s="100"/>
      <c r="AG245" s="693">
        <f t="shared" si="86"/>
        <v>0</v>
      </c>
    </row>
    <row r="246">
      <c r="A246" s="836" t="s">
        <v>433</v>
      </c>
      <c r="B246" s="219">
        <f t="shared" ref="B246:AF246" si="87">SUM(B243:B245)</f>
        <v>2</v>
      </c>
      <c r="C246" s="219">
        <f t="shared" si="87"/>
        <v>3</v>
      </c>
      <c r="D246" s="219">
        <f t="shared" si="87"/>
        <v>3</v>
      </c>
      <c r="E246" s="219">
        <f t="shared" si="87"/>
        <v>3</v>
      </c>
      <c r="F246" s="219">
        <f t="shared" si="87"/>
        <v>2</v>
      </c>
      <c r="G246" s="219">
        <f t="shared" si="87"/>
        <v>1</v>
      </c>
      <c r="H246" s="219">
        <f t="shared" si="87"/>
        <v>3</v>
      </c>
      <c r="I246" s="219">
        <f t="shared" si="87"/>
        <v>3</v>
      </c>
      <c r="J246" s="219">
        <f t="shared" si="87"/>
        <v>4</v>
      </c>
      <c r="K246" s="219">
        <f t="shared" si="87"/>
        <v>2</v>
      </c>
      <c r="L246" s="219">
        <f t="shared" si="87"/>
        <v>3</v>
      </c>
      <c r="M246" s="219">
        <f t="shared" si="87"/>
        <v>1</v>
      </c>
      <c r="N246" s="219">
        <f t="shared" si="87"/>
        <v>4</v>
      </c>
      <c r="O246" s="219">
        <f t="shared" si="87"/>
        <v>5</v>
      </c>
      <c r="P246" s="219">
        <f t="shared" si="87"/>
        <v>4</v>
      </c>
      <c r="Q246" s="219">
        <f t="shared" si="87"/>
        <v>1</v>
      </c>
      <c r="R246" s="219">
        <f t="shared" si="87"/>
        <v>5</v>
      </c>
      <c r="S246" s="219">
        <f t="shared" si="87"/>
        <v>5</v>
      </c>
      <c r="T246" s="219">
        <f t="shared" si="87"/>
        <v>2</v>
      </c>
      <c r="U246" s="219">
        <f t="shared" si="87"/>
        <v>2</v>
      </c>
      <c r="V246" s="219">
        <f t="shared" si="87"/>
        <v>2</v>
      </c>
      <c r="W246" s="219">
        <f t="shared" si="87"/>
        <v>0</v>
      </c>
      <c r="X246" s="219">
        <f t="shared" si="87"/>
        <v>6</v>
      </c>
      <c r="Y246" s="219">
        <f t="shared" si="87"/>
        <v>0</v>
      </c>
      <c r="Z246" s="219">
        <f t="shared" si="87"/>
        <v>0</v>
      </c>
      <c r="AA246" s="219">
        <f t="shared" si="87"/>
        <v>0</v>
      </c>
      <c r="AB246" s="219">
        <f t="shared" si="87"/>
        <v>0</v>
      </c>
      <c r="AC246" s="219">
        <f t="shared" si="87"/>
        <v>0</v>
      </c>
      <c r="AD246" s="219">
        <f t="shared" si="87"/>
        <v>0</v>
      </c>
      <c r="AE246" s="219">
        <f t="shared" si="87"/>
        <v>0</v>
      </c>
      <c r="AF246" s="219">
        <f t="shared" si="87"/>
        <v>0</v>
      </c>
      <c r="AG246" s="693">
        <f t="shared" si="86"/>
        <v>66</v>
      </c>
    </row>
    <row r="247">
      <c r="A247" s="723"/>
      <c r="B247" s="555"/>
      <c r="AF247" s="9"/>
      <c r="AG247" s="453"/>
    </row>
    <row r="248">
      <c r="A248" s="349" t="s">
        <v>310</v>
      </c>
      <c r="B248" s="661"/>
      <c r="C248" s="661"/>
      <c r="D248" s="661"/>
      <c r="E248" s="661"/>
      <c r="F248" s="661"/>
      <c r="G248" s="823"/>
      <c r="H248" s="661"/>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9"/>
      <c r="AG248" s="453"/>
    </row>
    <row r="249">
      <c r="A249" s="835" t="s">
        <v>313</v>
      </c>
      <c r="B249" s="248">
        <v>593.69</v>
      </c>
      <c r="C249" s="248">
        <v>775.06</v>
      </c>
      <c r="D249" s="248">
        <v>891.68</v>
      </c>
      <c r="E249" s="248">
        <v>504.28</v>
      </c>
      <c r="F249" s="248">
        <v>452.78</v>
      </c>
      <c r="G249" s="248">
        <v>324.04</v>
      </c>
      <c r="H249" s="248">
        <v>500.31</v>
      </c>
      <c r="I249" s="248">
        <v>554.87</v>
      </c>
      <c r="J249" s="248">
        <v>1104.18</v>
      </c>
      <c r="K249" s="248">
        <v>512.5</v>
      </c>
      <c r="L249" s="248">
        <v>565.76</v>
      </c>
      <c r="M249" s="248">
        <v>276.46</v>
      </c>
      <c r="N249" s="248">
        <v>1147.36</v>
      </c>
      <c r="O249" s="248">
        <v>1106.8</v>
      </c>
      <c r="P249" s="248">
        <v>1042.23</v>
      </c>
      <c r="Q249" s="248">
        <v>303.93</v>
      </c>
      <c r="R249" s="248">
        <v>971.0</v>
      </c>
      <c r="S249" s="248">
        <v>1284.63</v>
      </c>
      <c r="T249" s="248">
        <v>545.63</v>
      </c>
      <c r="U249" s="248">
        <v>542.32</v>
      </c>
      <c r="V249" s="248">
        <v>509.22</v>
      </c>
      <c r="W249" s="248">
        <v>796.54</v>
      </c>
      <c r="X249" s="248">
        <v>1471.05</v>
      </c>
      <c r="Y249" s="248">
        <v>319.93</v>
      </c>
      <c r="Z249" s="248">
        <v>0.0</v>
      </c>
      <c r="AA249" s="248">
        <v>0.0</v>
      </c>
      <c r="AB249" s="248">
        <v>0.0</v>
      </c>
      <c r="AC249" s="248">
        <v>0.0</v>
      </c>
      <c r="AD249" s="248">
        <v>0.0</v>
      </c>
      <c r="AE249" s="248">
        <v>0.0</v>
      </c>
      <c r="AF249" s="122"/>
      <c r="AG249" s="600">
        <f t="shared" ref="AG249:AG252" si="88">SUM(B249:AE249)</f>
        <v>17096.25</v>
      </c>
    </row>
    <row r="250">
      <c r="A250" s="835" t="s">
        <v>1120</v>
      </c>
      <c r="B250" s="597"/>
      <c r="C250" s="597"/>
      <c r="D250" s="597"/>
      <c r="E250" s="597"/>
      <c r="F250" s="597"/>
      <c r="G250" s="597"/>
      <c r="H250" s="597"/>
      <c r="I250" s="597"/>
      <c r="J250" s="597"/>
      <c r="K250" s="597"/>
      <c r="L250" s="597"/>
      <c r="M250" s="597"/>
      <c r="N250" s="597"/>
      <c r="O250" s="597"/>
      <c r="P250" s="597"/>
      <c r="Q250" s="597"/>
      <c r="R250" s="597"/>
      <c r="S250" s="597"/>
      <c r="T250" s="597"/>
      <c r="U250" s="597"/>
      <c r="V250" s="597"/>
      <c r="W250" s="597"/>
      <c r="X250" s="597"/>
      <c r="Y250" s="597"/>
      <c r="Z250" s="597"/>
      <c r="AA250" s="597"/>
      <c r="AB250" s="597"/>
      <c r="AC250" s="597"/>
      <c r="AD250" s="597"/>
      <c r="AE250" s="597"/>
      <c r="AF250" s="122"/>
      <c r="AG250" s="600">
        <f t="shared" si="88"/>
        <v>0</v>
      </c>
    </row>
    <row r="251">
      <c r="A251" s="835" t="s">
        <v>1122</v>
      </c>
      <c r="B251" s="597"/>
      <c r="C251" s="597"/>
      <c r="D251" s="597"/>
      <c r="E251" s="597"/>
      <c r="F251" s="597"/>
      <c r="G251" s="597"/>
      <c r="H251" s="597"/>
      <c r="I251" s="597"/>
      <c r="J251" s="597"/>
      <c r="K251" s="597"/>
      <c r="L251" s="597"/>
      <c r="M251" s="597"/>
      <c r="N251" s="597"/>
      <c r="O251" s="597"/>
      <c r="P251" s="597"/>
      <c r="Q251" s="597"/>
      <c r="R251" s="597"/>
      <c r="S251" s="597"/>
      <c r="T251" s="597"/>
      <c r="U251" s="597"/>
      <c r="V251" s="597"/>
      <c r="W251" s="597"/>
      <c r="X251" s="597"/>
      <c r="Y251" s="597"/>
      <c r="Z251" s="597"/>
      <c r="AA251" s="597"/>
      <c r="AB251" s="597"/>
      <c r="AC251" s="597"/>
      <c r="AD251" s="597"/>
      <c r="AE251" s="597"/>
      <c r="AF251" s="122"/>
      <c r="AG251" s="600">
        <f t="shared" si="88"/>
        <v>0</v>
      </c>
    </row>
    <row r="252">
      <c r="A252" s="845" t="s">
        <v>1124</v>
      </c>
      <c r="B252" s="254"/>
      <c r="C252" s="254"/>
      <c r="D252" s="254"/>
      <c r="E252" s="254"/>
      <c r="F252" s="254"/>
      <c r="G252" s="254"/>
      <c r="H252" s="254"/>
      <c r="I252" s="254"/>
      <c r="J252" s="254"/>
      <c r="K252" s="254"/>
      <c r="L252" s="254"/>
      <c r="M252" s="254"/>
      <c r="N252" s="254"/>
      <c r="O252" s="254"/>
      <c r="P252" s="254"/>
      <c r="Q252" s="254"/>
      <c r="R252" s="254"/>
      <c r="S252" s="254"/>
      <c r="T252" s="254"/>
      <c r="U252" s="254"/>
      <c r="V252" s="254"/>
      <c r="W252" s="254"/>
      <c r="X252" s="254"/>
      <c r="Y252" s="254"/>
      <c r="Z252" s="254"/>
      <c r="AA252" s="254"/>
      <c r="AB252" s="254"/>
      <c r="AC252" s="254"/>
      <c r="AD252" s="254"/>
      <c r="AE252" s="254"/>
      <c r="AF252" s="122"/>
      <c r="AG252" s="600">
        <f t="shared" si="88"/>
        <v>0</v>
      </c>
    </row>
    <row r="253">
      <c r="A253" s="723"/>
      <c r="AF253" s="122"/>
      <c r="AG253" s="600"/>
    </row>
    <row r="254" hidden="1">
      <c r="A254" s="352" t="s">
        <v>1126</v>
      </c>
      <c r="B254" s="598"/>
      <c r="C254" s="598"/>
      <c r="D254" s="598"/>
      <c r="E254" s="598"/>
      <c r="F254" s="795"/>
      <c r="G254" s="598"/>
      <c r="H254" s="598"/>
      <c r="I254" s="598"/>
      <c r="J254" s="598"/>
      <c r="K254" s="598"/>
      <c r="L254" s="598"/>
      <c r="M254" s="598"/>
      <c r="N254" s="598"/>
      <c r="O254" s="598"/>
      <c r="P254" s="598"/>
      <c r="Q254" s="598"/>
      <c r="R254" s="598"/>
      <c r="S254" s="598"/>
      <c r="T254" s="598"/>
      <c r="U254" s="598"/>
      <c r="V254" s="598"/>
      <c r="W254" s="598"/>
      <c r="X254" s="598"/>
      <c r="Y254" s="598"/>
      <c r="Z254" s="598"/>
      <c r="AA254" s="598"/>
      <c r="AB254" s="598"/>
      <c r="AC254" s="598"/>
      <c r="AD254" s="598"/>
      <c r="AE254" s="598"/>
      <c r="AF254" s="122"/>
      <c r="AG254" s="600">
        <f t="shared" ref="AG254:AG257" si="89">SUM(B254:AE254)</f>
        <v>0</v>
      </c>
    </row>
    <row r="255" hidden="1">
      <c r="A255" s="352" t="s">
        <v>1129</v>
      </c>
      <c r="B255" s="598"/>
      <c r="C255" s="598"/>
      <c r="D255" s="598"/>
      <c r="E255" s="598"/>
      <c r="F255" s="795"/>
      <c r="G255" s="598"/>
      <c r="H255" s="598"/>
      <c r="I255" s="598"/>
      <c r="J255" s="598"/>
      <c r="K255" s="598"/>
      <c r="L255" s="598"/>
      <c r="M255" s="598"/>
      <c r="N255" s="598"/>
      <c r="O255" s="598"/>
      <c r="P255" s="598"/>
      <c r="Q255" s="598"/>
      <c r="R255" s="598"/>
      <c r="S255" s="598"/>
      <c r="T255" s="598"/>
      <c r="U255" s="598"/>
      <c r="V255" s="598"/>
      <c r="W255" s="795"/>
      <c r="X255" s="795"/>
      <c r="Y255" s="598"/>
      <c r="Z255" s="598"/>
      <c r="AA255" s="598"/>
      <c r="AB255" s="598"/>
      <c r="AC255" s="598"/>
      <c r="AD255" s="598"/>
      <c r="AE255" s="598"/>
      <c r="AF255" s="122"/>
      <c r="AG255" s="600">
        <f t="shared" si="89"/>
        <v>0</v>
      </c>
    </row>
    <row r="256" hidden="1">
      <c r="A256" s="352" t="s">
        <v>1132</v>
      </c>
      <c r="B256" s="598">
        <f t="shared" ref="B256:AE256" si="90">B254*0.22</f>
        <v>0</v>
      </c>
      <c r="C256" s="598">
        <f t="shared" si="90"/>
        <v>0</v>
      </c>
      <c r="D256" s="598">
        <f t="shared" si="90"/>
        <v>0</v>
      </c>
      <c r="E256" s="598">
        <f t="shared" si="90"/>
        <v>0</v>
      </c>
      <c r="F256" s="598">
        <f t="shared" si="90"/>
        <v>0</v>
      </c>
      <c r="G256" s="598">
        <f t="shared" si="90"/>
        <v>0</v>
      </c>
      <c r="H256" s="598">
        <f t="shared" si="90"/>
        <v>0</v>
      </c>
      <c r="I256" s="598">
        <f t="shared" si="90"/>
        <v>0</v>
      </c>
      <c r="J256" s="598">
        <f t="shared" si="90"/>
        <v>0</v>
      </c>
      <c r="K256" s="598">
        <f t="shared" si="90"/>
        <v>0</v>
      </c>
      <c r="L256" s="598">
        <f t="shared" si="90"/>
        <v>0</v>
      </c>
      <c r="M256" s="598">
        <f t="shared" si="90"/>
        <v>0</v>
      </c>
      <c r="N256" s="598">
        <f t="shared" si="90"/>
        <v>0</v>
      </c>
      <c r="O256" s="598">
        <f t="shared" si="90"/>
        <v>0</v>
      </c>
      <c r="P256" s="598">
        <f t="shared" si="90"/>
        <v>0</v>
      </c>
      <c r="Q256" s="598">
        <f t="shared" si="90"/>
        <v>0</v>
      </c>
      <c r="R256" s="598">
        <f t="shared" si="90"/>
        <v>0</v>
      </c>
      <c r="S256" s="598">
        <f t="shared" si="90"/>
        <v>0</v>
      </c>
      <c r="T256" s="598">
        <f t="shared" si="90"/>
        <v>0</v>
      </c>
      <c r="U256" s="598">
        <f t="shared" si="90"/>
        <v>0</v>
      </c>
      <c r="V256" s="598">
        <f t="shared" si="90"/>
        <v>0</v>
      </c>
      <c r="W256" s="598">
        <f t="shared" si="90"/>
        <v>0</v>
      </c>
      <c r="X256" s="598">
        <f t="shared" si="90"/>
        <v>0</v>
      </c>
      <c r="Y256" s="598">
        <f t="shared" si="90"/>
        <v>0</v>
      </c>
      <c r="Z256" s="598">
        <f t="shared" si="90"/>
        <v>0</v>
      </c>
      <c r="AA256" s="598">
        <f t="shared" si="90"/>
        <v>0</v>
      </c>
      <c r="AB256" s="598">
        <f t="shared" si="90"/>
        <v>0</v>
      </c>
      <c r="AC256" s="598">
        <f t="shared" si="90"/>
        <v>0</v>
      </c>
      <c r="AD256" s="598">
        <f t="shared" si="90"/>
        <v>0</v>
      </c>
      <c r="AE256" s="598">
        <f t="shared" si="90"/>
        <v>0</v>
      </c>
      <c r="AF256" s="122"/>
      <c r="AG256" s="600">
        <f t="shared" si="89"/>
        <v>0</v>
      </c>
    </row>
    <row r="257">
      <c r="A257" s="826" t="s">
        <v>205</v>
      </c>
      <c r="B257" s="254">
        <f t="shared" ref="B257:AF257" si="91">B254+B255</f>
        <v>0</v>
      </c>
      <c r="C257" s="254">
        <f t="shared" si="91"/>
        <v>0</v>
      </c>
      <c r="D257" s="254">
        <f t="shared" si="91"/>
        <v>0</v>
      </c>
      <c r="E257" s="254">
        <f t="shared" si="91"/>
        <v>0</v>
      </c>
      <c r="F257" s="254">
        <f t="shared" si="91"/>
        <v>0</v>
      </c>
      <c r="G257" s="254">
        <f t="shared" si="91"/>
        <v>0</v>
      </c>
      <c r="H257" s="254">
        <f t="shared" si="91"/>
        <v>0</v>
      </c>
      <c r="I257" s="254">
        <f t="shared" si="91"/>
        <v>0</v>
      </c>
      <c r="J257" s="254">
        <f t="shared" si="91"/>
        <v>0</v>
      </c>
      <c r="K257" s="254">
        <f t="shared" si="91"/>
        <v>0</v>
      </c>
      <c r="L257" s="254">
        <f t="shared" si="91"/>
        <v>0</v>
      </c>
      <c r="M257" s="254">
        <f t="shared" si="91"/>
        <v>0</v>
      </c>
      <c r="N257" s="254">
        <f t="shared" si="91"/>
        <v>0</v>
      </c>
      <c r="O257" s="254">
        <f t="shared" si="91"/>
        <v>0</v>
      </c>
      <c r="P257" s="254">
        <f t="shared" si="91"/>
        <v>0</v>
      </c>
      <c r="Q257" s="254">
        <f t="shared" si="91"/>
        <v>0</v>
      </c>
      <c r="R257" s="254">
        <f t="shared" si="91"/>
        <v>0</v>
      </c>
      <c r="S257" s="254">
        <f t="shared" si="91"/>
        <v>0</v>
      </c>
      <c r="T257" s="254">
        <f t="shared" si="91"/>
        <v>0</v>
      </c>
      <c r="U257" s="254">
        <f t="shared" si="91"/>
        <v>0</v>
      </c>
      <c r="V257" s="254">
        <f t="shared" si="91"/>
        <v>0</v>
      </c>
      <c r="W257" s="254">
        <f t="shared" si="91"/>
        <v>0</v>
      </c>
      <c r="X257" s="254">
        <f t="shared" si="91"/>
        <v>0</v>
      </c>
      <c r="Y257" s="254">
        <f t="shared" si="91"/>
        <v>0</v>
      </c>
      <c r="Z257" s="254">
        <f t="shared" si="91"/>
        <v>0</v>
      </c>
      <c r="AA257" s="254">
        <f t="shared" si="91"/>
        <v>0</v>
      </c>
      <c r="AB257" s="254">
        <f t="shared" si="91"/>
        <v>0</v>
      </c>
      <c r="AC257" s="254">
        <f t="shared" si="91"/>
        <v>0</v>
      </c>
      <c r="AD257" s="254">
        <f t="shared" si="91"/>
        <v>0</v>
      </c>
      <c r="AE257" s="254">
        <f t="shared" si="91"/>
        <v>0</v>
      </c>
      <c r="AF257" s="254">
        <f t="shared" si="91"/>
        <v>0</v>
      </c>
      <c r="AG257" s="600">
        <f t="shared" si="89"/>
        <v>0</v>
      </c>
    </row>
    <row r="258">
      <c r="A258" s="723"/>
      <c r="B258" s="114"/>
      <c r="C258" s="114"/>
      <c r="D258" s="114"/>
      <c r="E258" s="114"/>
      <c r="F258" s="114"/>
      <c r="G258" s="114"/>
      <c r="H258" s="114"/>
      <c r="I258" s="114"/>
      <c r="J258" s="114"/>
      <c r="K258" s="114"/>
      <c r="L258" s="114"/>
      <c r="M258" s="114"/>
      <c r="N258" s="114"/>
      <c r="O258" s="699"/>
      <c r="P258" s="699"/>
      <c r="Q258" s="699"/>
      <c r="R258" s="699"/>
      <c r="S258" s="699"/>
      <c r="T258" s="699"/>
      <c r="U258" s="699"/>
      <c r="V258" s="699"/>
      <c r="W258" s="699"/>
      <c r="X258" s="699"/>
      <c r="Y258" s="699"/>
      <c r="Z258" s="699"/>
      <c r="AA258" s="699"/>
      <c r="AB258" s="699"/>
      <c r="AC258" s="699"/>
      <c r="AD258" s="699"/>
      <c r="AE258" s="699"/>
      <c r="AF258" s="122"/>
      <c r="AG258" s="600"/>
    </row>
    <row r="259" hidden="1">
      <c r="A259" s="352" t="s">
        <v>1139</v>
      </c>
      <c r="B259" s="597"/>
      <c r="C259" s="597"/>
      <c r="D259" s="597"/>
      <c r="E259" s="851"/>
      <c r="F259" s="597"/>
      <c r="G259" s="597"/>
      <c r="H259" s="597"/>
      <c r="I259" s="597"/>
      <c r="J259" s="597"/>
      <c r="K259" s="597"/>
      <c r="L259" s="597"/>
      <c r="M259" s="597"/>
      <c r="N259" s="597"/>
      <c r="O259" s="597"/>
      <c r="P259" s="597"/>
      <c r="Q259" s="597"/>
      <c r="R259" s="597"/>
      <c r="S259" s="597"/>
      <c r="T259" s="597"/>
      <c r="U259" s="597"/>
      <c r="V259" s="597"/>
      <c r="W259" s="597"/>
      <c r="X259" s="597"/>
      <c r="Y259" s="597"/>
      <c r="Z259" s="597"/>
      <c r="AA259" s="597"/>
      <c r="AB259" s="597"/>
      <c r="AC259" s="597"/>
      <c r="AD259" s="597"/>
      <c r="AE259" s="597"/>
      <c r="AF259" s="122"/>
      <c r="AG259" s="600">
        <f t="shared" ref="AG259:AG262" si="92">SUM(B259:AE259)</f>
        <v>0</v>
      </c>
    </row>
    <row r="260" hidden="1">
      <c r="A260" s="352" t="s">
        <v>1140</v>
      </c>
      <c r="B260" s="597"/>
      <c r="C260" s="597"/>
      <c r="D260" s="597"/>
      <c r="E260" s="851"/>
      <c r="F260" s="597"/>
      <c r="G260" s="597"/>
      <c r="H260" s="597"/>
      <c r="I260" s="597"/>
      <c r="J260" s="597"/>
      <c r="K260" s="597"/>
      <c r="L260" s="597"/>
      <c r="M260" s="597"/>
      <c r="N260" s="597"/>
      <c r="O260" s="597"/>
      <c r="P260" s="597"/>
      <c r="Q260" s="597"/>
      <c r="R260" s="597"/>
      <c r="S260" s="597"/>
      <c r="T260" s="597"/>
      <c r="U260" s="597"/>
      <c r="V260" s="597"/>
      <c r="W260" s="597"/>
      <c r="X260" s="597"/>
      <c r="Y260" s="597"/>
      <c r="Z260" s="597"/>
      <c r="AA260" s="597"/>
      <c r="AB260" s="597"/>
      <c r="AC260" s="597"/>
      <c r="AD260" s="597"/>
      <c r="AE260" s="597"/>
      <c r="AF260" s="122"/>
      <c r="AG260" s="600">
        <f t="shared" si="92"/>
        <v>0</v>
      </c>
    </row>
    <row r="261" hidden="1">
      <c r="A261" s="352" t="s">
        <v>1141</v>
      </c>
      <c r="B261" s="597"/>
      <c r="C261" s="597"/>
      <c r="D261" s="597"/>
      <c r="E261" s="851"/>
      <c r="F261" s="597"/>
      <c r="G261" s="597"/>
      <c r="H261" s="597"/>
      <c r="I261" s="597"/>
      <c r="J261" s="597"/>
      <c r="K261" s="597"/>
      <c r="L261" s="597"/>
      <c r="M261" s="597"/>
      <c r="N261" s="597"/>
      <c r="O261" s="597"/>
      <c r="P261" s="597"/>
      <c r="Q261" s="597"/>
      <c r="R261" s="597"/>
      <c r="S261" s="597"/>
      <c r="T261" s="597"/>
      <c r="U261" s="597"/>
      <c r="V261" s="597"/>
      <c r="W261" s="597"/>
      <c r="X261" s="597"/>
      <c r="Y261" s="597"/>
      <c r="Z261" s="597"/>
      <c r="AA261" s="597"/>
      <c r="AB261" s="597"/>
      <c r="AC261" s="597"/>
      <c r="AD261" s="597"/>
      <c r="AE261" s="597"/>
      <c r="AF261" s="122"/>
      <c r="AG261" s="600">
        <f t="shared" si="92"/>
        <v>0</v>
      </c>
    </row>
    <row r="262">
      <c r="A262" s="826" t="s">
        <v>214</v>
      </c>
      <c r="B262" s="254">
        <f t="shared" ref="B262:AF262" si="93">B259+B260</f>
        <v>0</v>
      </c>
      <c r="C262" s="254">
        <f t="shared" si="93"/>
        <v>0</v>
      </c>
      <c r="D262" s="254">
        <f t="shared" si="93"/>
        <v>0</v>
      </c>
      <c r="E262" s="254">
        <f t="shared" si="93"/>
        <v>0</v>
      </c>
      <c r="F262" s="254">
        <f t="shared" si="93"/>
        <v>0</v>
      </c>
      <c r="G262" s="254">
        <f t="shared" si="93"/>
        <v>0</v>
      </c>
      <c r="H262" s="254">
        <f t="shared" si="93"/>
        <v>0</v>
      </c>
      <c r="I262" s="254">
        <f t="shared" si="93"/>
        <v>0</v>
      </c>
      <c r="J262" s="254">
        <f t="shared" si="93"/>
        <v>0</v>
      </c>
      <c r="K262" s="254">
        <f t="shared" si="93"/>
        <v>0</v>
      </c>
      <c r="L262" s="254">
        <f t="shared" si="93"/>
        <v>0</v>
      </c>
      <c r="M262" s="254">
        <f t="shared" si="93"/>
        <v>0</v>
      </c>
      <c r="N262" s="254">
        <f t="shared" si="93"/>
        <v>0</v>
      </c>
      <c r="O262" s="254">
        <f t="shared" si="93"/>
        <v>0</v>
      </c>
      <c r="P262" s="254">
        <f t="shared" si="93"/>
        <v>0</v>
      </c>
      <c r="Q262" s="254">
        <f t="shared" si="93"/>
        <v>0</v>
      </c>
      <c r="R262" s="254">
        <f t="shared" si="93"/>
        <v>0</v>
      </c>
      <c r="S262" s="254">
        <f t="shared" si="93"/>
        <v>0</v>
      </c>
      <c r="T262" s="254">
        <f t="shared" si="93"/>
        <v>0</v>
      </c>
      <c r="U262" s="254">
        <f t="shared" si="93"/>
        <v>0</v>
      </c>
      <c r="V262" s="254">
        <f t="shared" si="93"/>
        <v>0</v>
      </c>
      <c r="W262" s="254">
        <f t="shared" si="93"/>
        <v>0</v>
      </c>
      <c r="X262" s="254">
        <f t="shared" si="93"/>
        <v>0</v>
      </c>
      <c r="Y262" s="254">
        <f t="shared" si="93"/>
        <v>0</v>
      </c>
      <c r="Z262" s="254">
        <f t="shared" si="93"/>
        <v>0</v>
      </c>
      <c r="AA262" s="254">
        <f t="shared" si="93"/>
        <v>0</v>
      </c>
      <c r="AB262" s="254">
        <f t="shared" si="93"/>
        <v>0</v>
      </c>
      <c r="AC262" s="254">
        <f t="shared" si="93"/>
        <v>0</v>
      </c>
      <c r="AD262" s="254">
        <f t="shared" si="93"/>
        <v>0</v>
      </c>
      <c r="AE262" s="254">
        <f t="shared" si="93"/>
        <v>0</v>
      </c>
      <c r="AF262" s="254">
        <f t="shared" si="93"/>
        <v>0</v>
      </c>
      <c r="AG262" s="600">
        <f t="shared" si="92"/>
        <v>0</v>
      </c>
    </row>
    <row r="263">
      <c r="A263" s="723"/>
      <c r="AF263" s="9"/>
      <c r="AG263" s="453"/>
    </row>
    <row r="264">
      <c r="A264" s="349" t="s">
        <v>1142</v>
      </c>
      <c r="AF264" s="9"/>
      <c r="AG264" s="453"/>
    </row>
    <row r="265">
      <c r="A265" s="835" t="s">
        <v>1143</v>
      </c>
      <c r="B265" s="248">
        <v>593.69</v>
      </c>
      <c r="C265" s="248">
        <v>775.06</v>
      </c>
      <c r="D265" s="248">
        <v>891.68</v>
      </c>
      <c r="E265" s="248">
        <v>504.28</v>
      </c>
      <c r="F265" s="248">
        <v>452.78</v>
      </c>
      <c r="G265" s="248">
        <v>324.04</v>
      </c>
      <c r="H265" s="248">
        <v>500.31</v>
      </c>
      <c r="I265" s="248">
        <v>554.87</v>
      </c>
      <c r="J265" s="852">
        <v>1104.18</v>
      </c>
      <c r="K265" s="248">
        <v>512.5</v>
      </c>
      <c r="L265" s="248">
        <v>565.76</v>
      </c>
      <c r="M265" s="852">
        <v>0.0</v>
      </c>
      <c r="N265" s="852">
        <v>0.0</v>
      </c>
      <c r="O265" s="248">
        <v>1106.8</v>
      </c>
      <c r="P265" s="248">
        <v>1042.23</v>
      </c>
      <c r="Q265" s="852">
        <v>303.93</v>
      </c>
      <c r="R265" s="248">
        <v>971.0</v>
      </c>
      <c r="S265" s="248">
        <v>1284.63</v>
      </c>
      <c r="T265" s="248">
        <v>545.63</v>
      </c>
      <c r="U265" s="248">
        <v>542.32</v>
      </c>
      <c r="V265" s="248">
        <v>509.22</v>
      </c>
      <c r="W265" s="248">
        <v>796.54</v>
      </c>
      <c r="X265" s="248">
        <v>1471.05</v>
      </c>
      <c r="Y265" s="852">
        <v>319.93</v>
      </c>
      <c r="Z265" s="852">
        <v>0.0</v>
      </c>
      <c r="AA265" s="852">
        <v>0.0</v>
      </c>
      <c r="AB265" s="852">
        <v>0.0</v>
      </c>
      <c r="AC265" s="852">
        <v>0.0</v>
      </c>
      <c r="AD265" s="852">
        <v>0.0</v>
      </c>
      <c r="AE265" s="852">
        <v>0.0</v>
      </c>
      <c r="AF265" s="122"/>
      <c r="AG265" s="600">
        <f t="shared" ref="AG265:AG268" si="94">SUM(B265:AE265)</f>
        <v>15672.43</v>
      </c>
    </row>
    <row r="266">
      <c r="A266" s="835" t="s">
        <v>1144</v>
      </c>
      <c r="B266" s="853"/>
      <c r="C266" s="854"/>
      <c r="D266" s="854"/>
      <c r="E266" s="854"/>
      <c r="F266" s="854"/>
      <c r="G266" s="854"/>
      <c r="H266" s="854"/>
      <c r="I266" s="854"/>
      <c r="J266" s="854"/>
      <c r="K266" s="854"/>
      <c r="L266" s="854"/>
      <c r="M266" s="854"/>
      <c r="N266" s="854"/>
      <c r="O266" s="854"/>
      <c r="P266" s="854"/>
      <c r="Q266" s="854"/>
      <c r="R266" s="854"/>
      <c r="S266" s="854"/>
      <c r="T266" s="854"/>
      <c r="U266" s="854"/>
      <c r="V266" s="854"/>
      <c r="W266" s="854"/>
      <c r="X266" s="854"/>
      <c r="Y266" s="854"/>
      <c r="Z266" s="854"/>
      <c r="AA266" s="854"/>
      <c r="AB266" s="854"/>
      <c r="AC266" s="854"/>
      <c r="AD266" s="854"/>
      <c r="AE266" s="854"/>
      <c r="AF266" s="122"/>
      <c r="AG266" s="600">
        <f t="shared" si="94"/>
        <v>0</v>
      </c>
    </row>
    <row r="267">
      <c r="A267" s="352" t="s">
        <v>344</v>
      </c>
      <c r="B267" s="853"/>
      <c r="C267" s="854"/>
      <c r="D267" s="854"/>
      <c r="E267" s="854"/>
      <c r="F267" s="854"/>
      <c r="G267" s="854"/>
      <c r="H267" s="854"/>
      <c r="I267" s="854"/>
      <c r="J267" s="854"/>
      <c r="K267" s="854"/>
      <c r="L267" s="854"/>
      <c r="M267" s="854"/>
      <c r="N267" s="854"/>
      <c r="O267" s="854"/>
      <c r="P267" s="854"/>
      <c r="Q267" s="854"/>
      <c r="R267" s="854"/>
      <c r="S267" s="854"/>
      <c r="T267" s="854"/>
      <c r="U267" s="854"/>
      <c r="V267" s="854"/>
      <c r="W267" s="854"/>
      <c r="X267" s="854"/>
      <c r="Y267" s="854"/>
      <c r="Z267" s="854"/>
      <c r="AA267" s="854"/>
      <c r="AB267" s="854"/>
      <c r="AC267" s="854"/>
      <c r="AD267" s="854"/>
      <c r="AE267" s="854"/>
      <c r="AF267" s="122"/>
      <c r="AG267" s="600">
        <f t="shared" si="94"/>
        <v>0</v>
      </c>
    </row>
    <row r="268">
      <c r="A268" s="845" t="s">
        <v>1146</v>
      </c>
      <c r="B268" s="855">
        <f t="shared" ref="B268:AF268" si="95">sum(B265:B267)</f>
        <v>593.69</v>
      </c>
      <c r="C268" s="855">
        <f t="shared" si="95"/>
        <v>775.06</v>
      </c>
      <c r="D268" s="855">
        <f t="shared" si="95"/>
        <v>891.68</v>
      </c>
      <c r="E268" s="855">
        <f t="shared" si="95"/>
        <v>504.28</v>
      </c>
      <c r="F268" s="855">
        <f t="shared" si="95"/>
        <v>452.78</v>
      </c>
      <c r="G268" s="855">
        <f t="shared" si="95"/>
        <v>324.04</v>
      </c>
      <c r="H268" s="855">
        <f t="shared" si="95"/>
        <v>500.31</v>
      </c>
      <c r="I268" s="855">
        <f t="shared" si="95"/>
        <v>554.87</v>
      </c>
      <c r="J268" s="855">
        <f t="shared" si="95"/>
        <v>1104.18</v>
      </c>
      <c r="K268" s="855">
        <f t="shared" si="95"/>
        <v>512.5</v>
      </c>
      <c r="L268" s="855">
        <f t="shared" si="95"/>
        <v>565.76</v>
      </c>
      <c r="M268" s="855">
        <f t="shared" si="95"/>
        <v>0</v>
      </c>
      <c r="N268" s="855">
        <f t="shared" si="95"/>
        <v>0</v>
      </c>
      <c r="O268" s="855">
        <f t="shared" si="95"/>
        <v>1106.8</v>
      </c>
      <c r="P268" s="855">
        <f t="shared" si="95"/>
        <v>1042.23</v>
      </c>
      <c r="Q268" s="855">
        <f t="shared" si="95"/>
        <v>303.93</v>
      </c>
      <c r="R268" s="855">
        <f t="shared" si="95"/>
        <v>971</v>
      </c>
      <c r="S268" s="855">
        <f t="shared" si="95"/>
        <v>1284.63</v>
      </c>
      <c r="T268" s="855">
        <f t="shared" si="95"/>
        <v>545.63</v>
      </c>
      <c r="U268" s="855">
        <f t="shared" si="95"/>
        <v>542.32</v>
      </c>
      <c r="V268" s="855">
        <f t="shared" si="95"/>
        <v>509.22</v>
      </c>
      <c r="W268" s="855">
        <f t="shared" si="95"/>
        <v>796.54</v>
      </c>
      <c r="X268" s="855">
        <f t="shared" si="95"/>
        <v>1471.05</v>
      </c>
      <c r="Y268" s="855">
        <f t="shared" si="95"/>
        <v>319.93</v>
      </c>
      <c r="Z268" s="855">
        <f t="shared" si="95"/>
        <v>0</v>
      </c>
      <c r="AA268" s="855">
        <f t="shared" si="95"/>
        <v>0</v>
      </c>
      <c r="AB268" s="855">
        <f t="shared" si="95"/>
        <v>0</v>
      </c>
      <c r="AC268" s="855">
        <f t="shared" si="95"/>
        <v>0</v>
      </c>
      <c r="AD268" s="855">
        <f t="shared" si="95"/>
        <v>0</v>
      </c>
      <c r="AE268" s="855">
        <f t="shared" si="95"/>
        <v>0</v>
      </c>
      <c r="AF268" s="855">
        <f t="shared" si="95"/>
        <v>0</v>
      </c>
      <c r="AG268" s="600">
        <f t="shared" si="94"/>
        <v>15672.43</v>
      </c>
    </row>
    <row r="269">
      <c r="A269" s="723"/>
      <c r="B269" s="856"/>
      <c r="C269" s="856"/>
      <c r="D269" s="856"/>
      <c r="E269" s="856"/>
      <c r="F269" s="856"/>
      <c r="G269" s="856"/>
      <c r="H269" s="856"/>
      <c r="I269" s="856"/>
      <c r="J269" s="856"/>
      <c r="K269" s="856"/>
      <c r="L269" s="856"/>
      <c r="M269" s="856"/>
      <c r="N269" s="856"/>
      <c r="O269" s="856"/>
      <c r="P269" s="856"/>
      <c r="Q269" s="856"/>
      <c r="R269" s="856"/>
      <c r="S269" s="856"/>
      <c r="T269" s="856"/>
      <c r="U269" s="856"/>
      <c r="V269" s="856"/>
      <c r="W269" s="856"/>
      <c r="X269" s="856"/>
      <c r="Y269" s="856"/>
      <c r="Z269" s="856"/>
      <c r="AA269" s="856"/>
      <c r="AB269" s="856"/>
      <c r="AC269" s="856"/>
      <c r="AD269" s="856"/>
      <c r="AE269" s="856"/>
      <c r="AF269" s="9"/>
      <c r="AG269" s="453"/>
    </row>
    <row r="270" hidden="1">
      <c r="A270" s="352" t="s">
        <v>1126</v>
      </c>
      <c r="B270" s="598"/>
      <c r="C270" s="598"/>
      <c r="D270" s="598"/>
      <c r="E270" s="857"/>
      <c r="F270" s="795"/>
      <c r="G270" s="795"/>
      <c r="H270" s="857"/>
      <c r="I270" s="857"/>
      <c r="J270" s="857"/>
      <c r="K270" s="857"/>
      <c r="L270" s="857"/>
      <c r="M270" s="857"/>
      <c r="N270" s="857"/>
      <c r="O270" s="857"/>
      <c r="P270" s="857"/>
      <c r="Q270" s="857"/>
      <c r="R270" s="598"/>
      <c r="S270" s="857"/>
      <c r="T270" s="857"/>
      <c r="U270" s="857"/>
      <c r="V270" s="857"/>
      <c r="W270" s="857"/>
      <c r="X270" s="858"/>
      <c r="Y270" s="857"/>
      <c r="Z270" s="857"/>
      <c r="AA270" s="857"/>
      <c r="AB270" s="857"/>
      <c r="AC270" s="857"/>
      <c r="AD270" s="857"/>
      <c r="AE270" s="857"/>
      <c r="AF270" s="122"/>
      <c r="AG270" s="600">
        <f t="shared" ref="AG270:AG273" si="96">SUM(B270:AE270)</f>
        <v>0</v>
      </c>
    </row>
    <row r="271" hidden="1">
      <c r="A271" s="352" t="s">
        <v>1129</v>
      </c>
      <c r="B271" s="598"/>
      <c r="C271" s="598"/>
      <c r="D271" s="598"/>
      <c r="E271" s="857"/>
      <c r="F271" s="795"/>
      <c r="G271" s="795"/>
      <c r="H271" s="857"/>
      <c r="I271" s="857"/>
      <c r="J271" s="857"/>
      <c r="K271" s="857"/>
      <c r="L271" s="857"/>
      <c r="M271" s="857"/>
      <c r="N271" s="857"/>
      <c r="O271" s="857"/>
      <c r="P271" s="857"/>
      <c r="Q271" s="857"/>
      <c r="R271" s="598"/>
      <c r="S271" s="857"/>
      <c r="T271" s="857"/>
      <c r="U271" s="857"/>
      <c r="V271" s="857"/>
      <c r="W271" s="857"/>
      <c r="X271" s="858"/>
      <c r="Y271" s="857"/>
      <c r="Z271" s="857"/>
      <c r="AA271" s="857"/>
      <c r="AB271" s="857"/>
      <c r="AC271" s="857"/>
      <c r="AD271" s="857"/>
      <c r="AE271" s="857"/>
      <c r="AF271" s="122"/>
      <c r="AG271" s="600">
        <f t="shared" si="96"/>
        <v>0</v>
      </c>
    </row>
    <row r="272" hidden="1">
      <c r="A272" s="352" t="s">
        <v>1132</v>
      </c>
      <c r="B272" s="598">
        <f t="shared" ref="B272:AE272" si="97">B270*0.22</f>
        <v>0</v>
      </c>
      <c r="C272" s="598">
        <f t="shared" si="97"/>
        <v>0</v>
      </c>
      <c r="D272" s="598">
        <f t="shared" si="97"/>
        <v>0</v>
      </c>
      <c r="E272" s="598">
        <f t="shared" si="97"/>
        <v>0</v>
      </c>
      <c r="F272" s="598">
        <f t="shared" si="97"/>
        <v>0</v>
      </c>
      <c r="G272" s="598">
        <f t="shared" si="97"/>
        <v>0</v>
      </c>
      <c r="H272" s="598">
        <f t="shared" si="97"/>
        <v>0</v>
      </c>
      <c r="I272" s="598">
        <f t="shared" si="97"/>
        <v>0</v>
      </c>
      <c r="J272" s="598">
        <f t="shared" si="97"/>
        <v>0</v>
      </c>
      <c r="K272" s="598">
        <f t="shared" si="97"/>
        <v>0</v>
      </c>
      <c r="L272" s="598">
        <f t="shared" si="97"/>
        <v>0</v>
      </c>
      <c r="M272" s="598">
        <f t="shared" si="97"/>
        <v>0</v>
      </c>
      <c r="N272" s="598">
        <f t="shared" si="97"/>
        <v>0</v>
      </c>
      <c r="O272" s="598">
        <f t="shared" si="97"/>
        <v>0</v>
      </c>
      <c r="P272" s="598">
        <f t="shared" si="97"/>
        <v>0</v>
      </c>
      <c r="Q272" s="598">
        <f t="shared" si="97"/>
        <v>0</v>
      </c>
      <c r="R272" s="598">
        <f t="shared" si="97"/>
        <v>0</v>
      </c>
      <c r="S272" s="598">
        <f t="shared" si="97"/>
        <v>0</v>
      </c>
      <c r="T272" s="598">
        <f t="shared" si="97"/>
        <v>0</v>
      </c>
      <c r="U272" s="598">
        <f t="shared" si="97"/>
        <v>0</v>
      </c>
      <c r="V272" s="598">
        <f t="shared" si="97"/>
        <v>0</v>
      </c>
      <c r="W272" s="598">
        <f t="shared" si="97"/>
        <v>0</v>
      </c>
      <c r="X272" s="598">
        <f t="shared" si="97"/>
        <v>0</v>
      </c>
      <c r="Y272" s="598">
        <f t="shared" si="97"/>
        <v>0</v>
      </c>
      <c r="Z272" s="598">
        <f t="shared" si="97"/>
        <v>0</v>
      </c>
      <c r="AA272" s="598">
        <f t="shared" si="97"/>
        <v>0</v>
      </c>
      <c r="AB272" s="598">
        <f t="shared" si="97"/>
        <v>0</v>
      </c>
      <c r="AC272" s="598">
        <f t="shared" si="97"/>
        <v>0</v>
      </c>
      <c r="AD272" s="598">
        <f t="shared" si="97"/>
        <v>0</v>
      </c>
      <c r="AE272" s="598">
        <f t="shared" si="97"/>
        <v>0</v>
      </c>
      <c r="AF272" s="122"/>
      <c r="AG272" s="600">
        <f t="shared" si="96"/>
        <v>0</v>
      </c>
    </row>
    <row r="273">
      <c r="A273" s="826" t="s">
        <v>205</v>
      </c>
      <c r="B273" s="254">
        <f t="shared" ref="B273:AF273" si="98">SUM(B270:B272)</f>
        <v>0</v>
      </c>
      <c r="C273" s="254">
        <f t="shared" si="98"/>
        <v>0</v>
      </c>
      <c r="D273" s="254">
        <f t="shared" si="98"/>
        <v>0</v>
      </c>
      <c r="E273" s="254">
        <f t="shared" si="98"/>
        <v>0</v>
      </c>
      <c r="F273" s="254">
        <f t="shared" si="98"/>
        <v>0</v>
      </c>
      <c r="G273" s="254">
        <f t="shared" si="98"/>
        <v>0</v>
      </c>
      <c r="H273" s="254">
        <f t="shared" si="98"/>
        <v>0</v>
      </c>
      <c r="I273" s="254">
        <f t="shared" si="98"/>
        <v>0</v>
      </c>
      <c r="J273" s="254">
        <f t="shared" si="98"/>
        <v>0</v>
      </c>
      <c r="K273" s="254">
        <f t="shared" si="98"/>
        <v>0</v>
      </c>
      <c r="L273" s="254">
        <f t="shared" si="98"/>
        <v>0</v>
      </c>
      <c r="M273" s="254">
        <f t="shared" si="98"/>
        <v>0</v>
      </c>
      <c r="N273" s="254">
        <f t="shared" si="98"/>
        <v>0</v>
      </c>
      <c r="O273" s="254">
        <f t="shared" si="98"/>
        <v>0</v>
      </c>
      <c r="P273" s="254">
        <f t="shared" si="98"/>
        <v>0</v>
      </c>
      <c r="Q273" s="254">
        <f t="shared" si="98"/>
        <v>0</v>
      </c>
      <c r="R273" s="254">
        <f t="shared" si="98"/>
        <v>0</v>
      </c>
      <c r="S273" s="254">
        <f t="shared" si="98"/>
        <v>0</v>
      </c>
      <c r="T273" s="254">
        <f t="shared" si="98"/>
        <v>0</v>
      </c>
      <c r="U273" s="254">
        <f t="shared" si="98"/>
        <v>0</v>
      </c>
      <c r="V273" s="254">
        <f t="shared" si="98"/>
        <v>0</v>
      </c>
      <c r="W273" s="254">
        <f t="shared" si="98"/>
        <v>0</v>
      </c>
      <c r="X273" s="254">
        <f t="shared" si="98"/>
        <v>0</v>
      </c>
      <c r="Y273" s="254">
        <f t="shared" si="98"/>
        <v>0</v>
      </c>
      <c r="Z273" s="254">
        <f t="shared" si="98"/>
        <v>0</v>
      </c>
      <c r="AA273" s="254">
        <f t="shared" si="98"/>
        <v>0</v>
      </c>
      <c r="AB273" s="254">
        <f t="shared" si="98"/>
        <v>0</v>
      </c>
      <c r="AC273" s="254">
        <f t="shared" si="98"/>
        <v>0</v>
      </c>
      <c r="AD273" s="254">
        <f t="shared" si="98"/>
        <v>0</v>
      </c>
      <c r="AE273" s="254">
        <f t="shared" si="98"/>
        <v>0</v>
      </c>
      <c r="AF273" s="254">
        <f t="shared" si="98"/>
        <v>0</v>
      </c>
      <c r="AG273" s="600">
        <f t="shared" si="96"/>
        <v>0</v>
      </c>
    </row>
    <row r="274">
      <c r="A274" s="723"/>
      <c r="B274" s="856"/>
      <c r="C274" s="856"/>
      <c r="D274" s="856"/>
      <c r="E274" s="856"/>
      <c r="F274" s="856"/>
      <c r="G274" s="856"/>
      <c r="H274" s="856"/>
      <c r="I274" s="856"/>
      <c r="J274" s="856"/>
      <c r="K274" s="856"/>
      <c r="L274" s="856"/>
      <c r="M274" s="856"/>
      <c r="N274" s="856"/>
      <c r="O274" s="856"/>
      <c r="P274" s="856"/>
      <c r="Q274" s="856"/>
      <c r="R274" s="856"/>
      <c r="S274" s="856"/>
      <c r="T274" s="856"/>
      <c r="U274" s="856"/>
      <c r="V274" s="856"/>
      <c r="W274" s="856"/>
      <c r="X274" s="856"/>
      <c r="Y274" s="856"/>
      <c r="Z274" s="856"/>
      <c r="AA274" s="856"/>
      <c r="AB274" s="856"/>
      <c r="AC274" s="856"/>
      <c r="AD274" s="856"/>
      <c r="AE274" s="856"/>
      <c r="AF274" s="9"/>
      <c r="AG274" s="453"/>
    </row>
    <row r="275" hidden="1">
      <c r="A275" s="352" t="s">
        <v>1139</v>
      </c>
      <c r="B275" s="859"/>
      <c r="C275" s="860"/>
      <c r="D275" s="860"/>
      <c r="E275" s="860"/>
      <c r="F275" s="860"/>
      <c r="G275" s="860"/>
      <c r="H275" s="860"/>
      <c r="I275" s="860"/>
      <c r="J275" s="860"/>
      <c r="K275" s="860"/>
      <c r="L275" s="860"/>
      <c r="M275" s="860"/>
      <c r="N275" s="860"/>
      <c r="O275" s="860"/>
      <c r="P275" s="860"/>
      <c r="Q275" s="860"/>
      <c r="R275" s="860"/>
      <c r="S275" s="860"/>
      <c r="T275" s="860"/>
      <c r="U275" s="860"/>
      <c r="V275" s="860"/>
      <c r="W275" s="860"/>
      <c r="X275" s="860"/>
      <c r="Y275" s="860"/>
      <c r="Z275" s="860"/>
      <c r="AA275" s="860"/>
      <c r="AB275" s="860"/>
      <c r="AC275" s="860"/>
      <c r="AD275" s="860"/>
      <c r="AE275" s="860"/>
      <c r="AF275" s="122"/>
      <c r="AG275" s="600">
        <f t="shared" ref="AG275:AG278" si="99">SUM(B275:AE275)</f>
        <v>0</v>
      </c>
    </row>
    <row r="276" hidden="1">
      <c r="A276" s="352" t="s">
        <v>1140</v>
      </c>
      <c r="B276" s="859"/>
      <c r="C276" s="860"/>
      <c r="D276" s="860"/>
      <c r="E276" s="860"/>
      <c r="F276" s="860"/>
      <c r="G276" s="860"/>
      <c r="H276" s="860"/>
      <c r="I276" s="860"/>
      <c r="J276" s="860"/>
      <c r="K276" s="860"/>
      <c r="L276" s="860"/>
      <c r="M276" s="860"/>
      <c r="N276" s="860"/>
      <c r="O276" s="860"/>
      <c r="P276" s="860"/>
      <c r="Q276" s="860"/>
      <c r="R276" s="860"/>
      <c r="S276" s="860"/>
      <c r="T276" s="860"/>
      <c r="U276" s="860"/>
      <c r="V276" s="860"/>
      <c r="W276" s="860"/>
      <c r="X276" s="860"/>
      <c r="Y276" s="860"/>
      <c r="Z276" s="860"/>
      <c r="AA276" s="860"/>
      <c r="AB276" s="860"/>
      <c r="AC276" s="860"/>
      <c r="AD276" s="860"/>
      <c r="AE276" s="860"/>
      <c r="AF276" s="122"/>
      <c r="AG276" s="600">
        <f t="shared" si="99"/>
        <v>0</v>
      </c>
    </row>
    <row r="277" hidden="1">
      <c r="A277" s="352" t="s">
        <v>1141</v>
      </c>
      <c r="B277" s="859"/>
      <c r="C277" s="860"/>
      <c r="D277" s="860"/>
      <c r="E277" s="860"/>
      <c r="F277" s="860"/>
      <c r="G277" s="860"/>
      <c r="H277" s="860"/>
      <c r="I277" s="860"/>
      <c r="J277" s="860"/>
      <c r="K277" s="860"/>
      <c r="L277" s="860"/>
      <c r="M277" s="860"/>
      <c r="N277" s="860"/>
      <c r="O277" s="860"/>
      <c r="P277" s="860"/>
      <c r="Q277" s="860"/>
      <c r="R277" s="860"/>
      <c r="S277" s="860"/>
      <c r="T277" s="860"/>
      <c r="U277" s="860"/>
      <c r="V277" s="860"/>
      <c r="W277" s="860"/>
      <c r="X277" s="860"/>
      <c r="Y277" s="860"/>
      <c r="Z277" s="860"/>
      <c r="AA277" s="860"/>
      <c r="AB277" s="860"/>
      <c r="AC277" s="860"/>
      <c r="AD277" s="860"/>
      <c r="AE277" s="860"/>
      <c r="AF277" s="122"/>
      <c r="AG277" s="600">
        <f t="shared" si="99"/>
        <v>0</v>
      </c>
    </row>
    <row r="278">
      <c r="A278" s="826" t="s">
        <v>214</v>
      </c>
      <c r="B278" s="254">
        <f t="shared" ref="B278:AF278" si="100">SUM(B275:B277)</f>
        <v>0</v>
      </c>
      <c r="C278" s="254">
        <f t="shared" si="100"/>
        <v>0</v>
      </c>
      <c r="D278" s="254">
        <f t="shared" si="100"/>
        <v>0</v>
      </c>
      <c r="E278" s="254">
        <f t="shared" si="100"/>
        <v>0</v>
      </c>
      <c r="F278" s="254">
        <f t="shared" si="100"/>
        <v>0</v>
      </c>
      <c r="G278" s="254">
        <f t="shared" si="100"/>
        <v>0</v>
      </c>
      <c r="H278" s="254">
        <f t="shared" si="100"/>
        <v>0</v>
      </c>
      <c r="I278" s="254">
        <f t="shared" si="100"/>
        <v>0</v>
      </c>
      <c r="J278" s="254">
        <f t="shared" si="100"/>
        <v>0</v>
      </c>
      <c r="K278" s="254">
        <f t="shared" si="100"/>
        <v>0</v>
      </c>
      <c r="L278" s="254">
        <f t="shared" si="100"/>
        <v>0</v>
      </c>
      <c r="M278" s="254">
        <f t="shared" si="100"/>
        <v>0</v>
      </c>
      <c r="N278" s="254">
        <f t="shared" si="100"/>
        <v>0</v>
      </c>
      <c r="O278" s="254">
        <f t="shared" si="100"/>
        <v>0</v>
      </c>
      <c r="P278" s="254">
        <f t="shared" si="100"/>
        <v>0</v>
      </c>
      <c r="Q278" s="254">
        <f t="shared" si="100"/>
        <v>0</v>
      </c>
      <c r="R278" s="254">
        <f t="shared" si="100"/>
        <v>0</v>
      </c>
      <c r="S278" s="254">
        <f t="shared" si="100"/>
        <v>0</v>
      </c>
      <c r="T278" s="254">
        <f t="shared" si="100"/>
        <v>0</v>
      </c>
      <c r="U278" s="254">
        <f t="shared" si="100"/>
        <v>0</v>
      </c>
      <c r="V278" s="254">
        <f t="shared" si="100"/>
        <v>0</v>
      </c>
      <c r="W278" s="254">
        <f t="shared" si="100"/>
        <v>0</v>
      </c>
      <c r="X278" s="254">
        <f t="shared" si="100"/>
        <v>0</v>
      </c>
      <c r="Y278" s="254">
        <f t="shared" si="100"/>
        <v>0</v>
      </c>
      <c r="Z278" s="254">
        <f t="shared" si="100"/>
        <v>0</v>
      </c>
      <c r="AA278" s="254">
        <f t="shared" si="100"/>
        <v>0</v>
      </c>
      <c r="AB278" s="254">
        <f t="shared" si="100"/>
        <v>0</v>
      </c>
      <c r="AC278" s="254">
        <f t="shared" si="100"/>
        <v>0</v>
      </c>
      <c r="AD278" s="254">
        <f t="shared" si="100"/>
        <v>0</v>
      </c>
      <c r="AE278" s="254">
        <f t="shared" si="100"/>
        <v>0</v>
      </c>
      <c r="AF278" s="254">
        <f t="shared" si="100"/>
        <v>0</v>
      </c>
      <c r="AG278" s="600">
        <f t="shared" si="99"/>
        <v>0</v>
      </c>
    </row>
    <row r="279">
      <c r="A279" s="723"/>
      <c r="AF279" s="9"/>
      <c r="AG279" s="453"/>
    </row>
    <row r="280">
      <c r="A280" s="349" t="s">
        <v>1158</v>
      </c>
      <c r="AF280" s="9"/>
      <c r="AG280" s="453"/>
    </row>
    <row r="281">
      <c r="A281" s="352" t="s">
        <v>1049</v>
      </c>
      <c r="B281" s="342"/>
      <c r="C281" s="342"/>
      <c r="D281" s="342"/>
      <c r="E281" s="342"/>
      <c r="F281" s="342"/>
      <c r="G281" s="342"/>
      <c r="H281" s="342"/>
      <c r="I281" s="342"/>
      <c r="J281" s="342"/>
      <c r="K281" s="342"/>
      <c r="L281" s="342"/>
      <c r="M281" s="342"/>
      <c r="N281" s="342"/>
      <c r="O281" s="342"/>
      <c r="P281" s="342"/>
      <c r="Q281" s="342"/>
      <c r="R281" s="342"/>
      <c r="S281" s="342"/>
      <c r="T281" s="342"/>
      <c r="U281" s="342"/>
      <c r="V281" s="342"/>
      <c r="W281" s="342"/>
      <c r="X281" s="342"/>
      <c r="Y281" s="342"/>
      <c r="Z281" s="342"/>
      <c r="AA281" s="342"/>
      <c r="AB281" s="342"/>
      <c r="AC281" s="342"/>
      <c r="AD281" s="342"/>
      <c r="AE281" s="342"/>
      <c r="AF281" s="100"/>
      <c r="AG281" s="693">
        <f t="shared" ref="AG281:AG288" si="101">SUM(B281:AE281)</f>
        <v>0</v>
      </c>
    </row>
    <row r="282">
      <c r="A282" s="352" t="s">
        <v>218</v>
      </c>
      <c r="B282" s="114">
        <v>0.0</v>
      </c>
      <c r="C282" s="114">
        <v>0.0</v>
      </c>
      <c r="D282" s="114">
        <v>0.0</v>
      </c>
      <c r="E282" s="114">
        <v>0.0</v>
      </c>
      <c r="F282" s="114">
        <v>0.0</v>
      </c>
      <c r="G282" s="114">
        <v>0.0</v>
      </c>
      <c r="H282" s="114">
        <v>0.0</v>
      </c>
      <c r="I282" s="114">
        <v>0.0</v>
      </c>
      <c r="J282" s="114">
        <v>0.0</v>
      </c>
      <c r="K282" s="114">
        <v>0.0</v>
      </c>
      <c r="L282" s="114">
        <v>0.0</v>
      </c>
      <c r="M282" s="114">
        <v>0.0</v>
      </c>
      <c r="N282" s="114">
        <v>0.0</v>
      </c>
      <c r="O282" s="114">
        <v>0.0</v>
      </c>
      <c r="P282" s="114">
        <v>0.0</v>
      </c>
      <c r="Q282" s="114">
        <v>0.0</v>
      </c>
      <c r="R282" s="114">
        <v>0.0</v>
      </c>
      <c r="S282" s="114">
        <v>0.0</v>
      </c>
      <c r="T282" s="114">
        <v>0.0</v>
      </c>
      <c r="U282" s="114">
        <v>0.0</v>
      </c>
      <c r="V282" s="114">
        <v>0.0</v>
      </c>
      <c r="W282" s="114">
        <v>0.0</v>
      </c>
      <c r="X282" s="114">
        <v>0.0</v>
      </c>
      <c r="Y282" s="114">
        <v>0.0</v>
      </c>
      <c r="Z282" s="114">
        <v>0.0</v>
      </c>
      <c r="AA282" s="114">
        <v>0.0</v>
      </c>
      <c r="AB282" s="114">
        <v>0.0</v>
      </c>
      <c r="AC282" s="114">
        <v>0.0</v>
      </c>
      <c r="AD282" s="114">
        <v>0.0</v>
      </c>
      <c r="AE282" s="114">
        <v>0.0</v>
      </c>
      <c r="AF282" s="100"/>
      <c r="AG282" s="693">
        <f t="shared" si="101"/>
        <v>0</v>
      </c>
    </row>
    <row r="283" hidden="1">
      <c r="A283" s="352" t="s">
        <v>172</v>
      </c>
      <c r="B283" s="342"/>
      <c r="C283" s="342"/>
      <c r="D283" s="342"/>
      <c r="E283" s="342"/>
      <c r="F283" s="342"/>
      <c r="G283" s="342"/>
      <c r="H283" s="342"/>
      <c r="I283" s="342"/>
      <c r="J283" s="342"/>
      <c r="K283" s="342"/>
      <c r="L283" s="342"/>
      <c r="M283" s="342"/>
      <c r="N283" s="342"/>
      <c r="O283" s="342"/>
      <c r="P283" s="342"/>
      <c r="Q283" s="342"/>
      <c r="R283" s="342"/>
      <c r="S283" s="342"/>
      <c r="T283" s="342"/>
      <c r="U283" s="342"/>
      <c r="V283" s="342"/>
      <c r="W283" s="342"/>
      <c r="X283" s="342"/>
      <c r="Y283" s="342"/>
      <c r="Z283" s="342"/>
      <c r="AA283" s="342"/>
      <c r="AB283" s="342"/>
      <c r="AC283" s="342"/>
      <c r="AD283" s="342"/>
      <c r="AE283" s="342"/>
      <c r="AF283" s="100"/>
      <c r="AG283" s="693">
        <f t="shared" si="101"/>
        <v>0</v>
      </c>
    </row>
    <row r="284" hidden="1">
      <c r="A284" s="352" t="s">
        <v>173</v>
      </c>
      <c r="B284" s="342"/>
      <c r="C284" s="342"/>
      <c r="D284" s="342"/>
      <c r="E284" s="342"/>
      <c r="F284" s="342"/>
      <c r="G284" s="342"/>
      <c r="H284" s="342"/>
      <c r="I284" s="342"/>
      <c r="J284" s="342"/>
      <c r="K284" s="342"/>
      <c r="L284" s="342"/>
      <c r="M284" s="342"/>
      <c r="N284" s="342"/>
      <c r="O284" s="342"/>
      <c r="P284" s="342"/>
      <c r="Q284" s="342"/>
      <c r="R284" s="342"/>
      <c r="S284" s="342"/>
      <c r="T284" s="342"/>
      <c r="U284" s="342"/>
      <c r="V284" s="342"/>
      <c r="W284" s="342"/>
      <c r="X284" s="342"/>
      <c r="Y284" s="342"/>
      <c r="Z284" s="342"/>
      <c r="AA284" s="342"/>
      <c r="AB284" s="342"/>
      <c r="AC284" s="342"/>
      <c r="AD284" s="342"/>
      <c r="AE284" s="342"/>
      <c r="AF284" s="100"/>
      <c r="AG284" s="693">
        <f t="shared" si="101"/>
        <v>0</v>
      </c>
    </row>
    <row r="285" hidden="1">
      <c r="A285" s="352" t="s">
        <v>175</v>
      </c>
      <c r="B285" s="342"/>
      <c r="C285" s="342"/>
      <c r="D285" s="342"/>
      <c r="E285" s="342"/>
      <c r="F285" s="342"/>
      <c r="G285" s="342"/>
      <c r="H285" s="342"/>
      <c r="I285" s="342"/>
      <c r="J285" s="342"/>
      <c r="K285" s="342"/>
      <c r="L285" s="342"/>
      <c r="M285" s="342"/>
      <c r="N285" s="342"/>
      <c r="O285" s="342"/>
      <c r="P285" s="342"/>
      <c r="Q285" s="342"/>
      <c r="R285" s="342"/>
      <c r="S285" s="342"/>
      <c r="T285" s="342"/>
      <c r="U285" s="342"/>
      <c r="V285" s="342"/>
      <c r="W285" s="342"/>
      <c r="X285" s="342"/>
      <c r="Y285" s="342"/>
      <c r="Z285" s="342"/>
      <c r="AA285" s="342"/>
      <c r="AB285" s="342"/>
      <c r="AC285" s="342"/>
      <c r="AD285" s="342"/>
      <c r="AE285" s="342"/>
      <c r="AF285" s="100"/>
      <c r="AG285" s="693">
        <f t="shared" si="101"/>
        <v>0</v>
      </c>
    </row>
    <row r="286" hidden="1">
      <c r="A286" s="352" t="s">
        <v>177</v>
      </c>
      <c r="B286" s="342"/>
      <c r="C286" s="342"/>
      <c r="D286" s="342"/>
      <c r="E286" s="342"/>
      <c r="F286" s="342"/>
      <c r="G286" s="342"/>
      <c r="H286" s="342"/>
      <c r="I286" s="342"/>
      <c r="J286" s="342"/>
      <c r="K286" s="342"/>
      <c r="L286" s="342"/>
      <c r="M286" s="342"/>
      <c r="N286" s="342"/>
      <c r="O286" s="342"/>
      <c r="P286" s="342"/>
      <c r="Q286" s="342"/>
      <c r="R286" s="342"/>
      <c r="S286" s="342"/>
      <c r="T286" s="342"/>
      <c r="U286" s="342"/>
      <c r="V286" s="342"/>
      <c r="W286" s="342"/>
      <c r="X286" s="771"/>
      <c r="Y286" s="771"/>
      <c r="Z286" s="342"/>
      <c r="AA286" s="342"/>
      <c r="AB286" s="342"/>
      <c r="AC286" s="342"/>
      <c r="AD286" s="342"/>
      <c r="AE286" s="342"/>
      <c r="AF286" s="100"/>
      <c r="AG286" s="693">
        <f t="shared" si="101"/>
        <v>0</v>
      </c>
    </row>
    <row r="287">
      <c r="A287" s="871" t="s">
        <v>180</v>
      </c>
      <c r="B287" s="873">
        <f t="shared" ref="B287:AF287" si="102">B281+B283+B285</f>
        <v>0</v>
      </c>
      <c r="C287" s="874">
        <f t="shared" si="102"/>
        <v>0</v>
      </c>
      <c r="D287" s="874">
        <f t="shared" si="102"/>
        <v>0</v>
      </c>
      <c r="E287" s="874">
        <f t="shared" si="102"/>
        <v>0</v>
      </c>
      <c r="F287" s="874">
        <f t="shared" si="102"/>
        <v>0</v>
      </c>
      <c r="G287" s="874">
        <f t="shared" si="102"/>
        <v>0</v>
      </c>
      <c r="H287" s="874">
        <f t="shared" si="102"/>
        <v>0</v>
      </c>
      <c r="I287" s="874">
        <f t="shared" si="102"/>
        <v>0</v>
      </c>
      <c r="J287" s="874">
        <f t="shared" si="102"/>
        <v>0</v>
      </c>
      <c r="K287" s="874">
        <f t="shared" si="102"/>
        <v>0</v>
      </c>
      <c r="L287" s="874">
        <f t="shared" si="102"/>
        <v>0</v>
      </c>
      <c r="M287" s="874">
        <f t="shared" si="102"/>
        <v>0</v>
      </c>
      <c r="N287" s="874">
        <f t="shared" si="102"/>
        <v>0</v>
      </c>
      <c r="O287" s="874">
        <f t="shared" si="102"/>
        <v>0</v>
      </c>
      <c r="P287" s="874">
        <f t="shared" si="102"/>
        <v>0</v>
      </c>
      <c r="Q287" s="874">
        <f t="shared" si="102"/>
        <v>0</v>
      </c>
      <c r="R287" s="874">
        <f t="shared" si="102"/>
        <v>0</v>
      </c>
      <c r="S287" s="874">
        <f t="shared" si="102"/>
        <v>0</v>
      </c>
      <c r="T287" s="874">
        <f t="shared" si="102"/>
        <v>0</v>
      </c>
      <c r="U287" s="874">
        <f t="shared" si="102"/>
        <v>0</v>
      </c>
      <c r="V287" s="874">
        <f t="shared" si="102"/>
        <v>0</v>
      </c>
      <c r="W287" s="874">
        <f t="shared" si="102"/>
        <v>0</v>
      </c>
      <c r="X287" s="874">
        <f t="shared" si="102"/>
        <v>0</v>
      </c>
      <c r="Y287" s="874">
        <f t="shared" si="102"/>
        <v>0</v>
      </c>
      <c r="Z287" s="874">
        <f t="shared" si="102"/>
        <v>0</v>
      </c>
      <c r="AA287" s="874">
        <f t="shared" si="102"/>
        <v>0</v>
      </c>
      <c r="AB287" s="874">
        <f t="shared" si="102"/>
        <v>0</v>
      </c>
      <c r="AC287" s="874">
        <f t="shared" si="102"/>
        <v>0</v>
      </c>
      <c r="AD287" s="874">
        <f t="shared" si="102"/>
        <v>0</v>
      </c>
      <c r="AE287" s="874">
        <f t="shared" si="102"/>
        <v>0</v>
      </c>
      <c r="AF287" s="877">
        <f t="shared" si="102"/>
        <v>0</v>
      </c>
      <c r="AG287" s="693">
        <f t="shared" si="101"/>
        <v>0</v>
      </c>
    </row>
    <row r="288">
      <c r="A288" s="871" t="s">
        <v>185</v>
      </c>
      <c r="B288" s="873">
        <f t="shared" ref="B288:AF288" si="103">B282+B284+B286</f>
        <v>0</v>
      </c>
      <c r="C288" s="874">
        <f t="shared" si="103"/>
        <v>0</v>
      </c>
      <c r="D288" s="874">
        <f t="shared" si="103"/>
        <v>0</v>
      </c>
      <c r="E288" s="874">
        <f t="shared" si="103"/>
        <v>0</v>
      </c>
      <c r="F288" s="874">
        <f t="shared" si="103"/>
        <v>0</v>
      </c>
      <c r="G288" s="874">
        <f t="shared" si="103"/>
        <v>0</v>
      </c>
      <c r="H288" s="874">
        <f t="shared" si="103"/>
        <v>0</v>
      </c>
      <c r="I288" s="874">
        <f t="shared" si="103"/>
        <v>0</v>
      </c>
      <c r="J288" s="874">
        <f t="shared" si="103"/>
        <v>0</v>
      </c>
      <c r="K288" s="874">
        <f t="shared" si="103"/>
        <v>0</v>
      </c>
      <c r="L288" s="874">
        <f t="shared" si="103"/>
        <v>0</v>
      </c>
      <c r="M288" s="874">
        <f t="shared" si="103"/>
        <v>0</v>
      </c>
      <c r="N288" s="874">
        <f t="shared" si="103"/>
        <v>0</v>
      </c>
      <c r="O288" s="874">
        <f t="shared" si="103"/>
        <v>0</v>
      </c>
      <c r="P288" s="874">
        <f t="shared" si="103"/>
        <v>0</v>
      </c>
      <c r="Q288" s="874">
        <f t="shared" si="103"/>
        <v>0</v>
      </c>
      <c r="R288" s="874">
        <f t="shared" si="103"/>
        <v>0</v>
      </c>
      <c r="S288" s="874">
        <f t="shared" si="103"/>
        <v>0</v>
      </c>
      <c r="T288" s="874">
        <f t="shared" si="103"/>
        <v>0</v>
      </c>
      <c r="U288" s="874">
        <f t="shared" si="103"/>
        <v>0</v>
      </c>
      <c r="V288" s="874">
        <f t="shared" si="103"/>
        <v>0</v>
      </c>
      <c r="W288" s="874">
        <f t="shared" si="103"/>
        <v>0</v>
      </c>
      <c r="X288" s="874">
        <f t="shared" si="103"/>
        <v>0</v>
      </c>
      <c r="Y288" s="874">
        <f t="shared" si="103"/>
        <v>0</v>
      </c>
      <c r="Z288" s="874">
        <f t="shared" si="103"/>
        <v>0</v>
      </c>
      <c r="AA288" s="874">
        <f t="shared" si="103"/>
        <v>0</v>
      </c>
      <c r="AB288" s="874">
        <f t="shared" si="103"/>
        <v>0</v>
      </c>
      <c r="AC288" s="874">
        <f t="shared" si="103"/>
        <v>0</v>
      </c>
      <c r="AD288" s="874">
        <f t="shared" si="103"/>
        <v>0</v>
      </c>
      <c r="AE288" s="874">
        <f t="shared" si="103"/>
        <v>0</v>
      </c>
      <c r="AF288" s="877">
        <f t="shared" si="103"/>
        <v>0</v>
      </c>
      <c r="AG288" s="693">
        <f t="shared" si="101"/>
        <v>0</v>
      </c>
    </row>
    <row r="289">
      <c r="A289" s="25"/>
      <c r="B289" s="758"/>
      <c r="C289" s="758"/>
      <c r="D289" s="758"/>
      <c r="E289" s="758"/>
      <c r="F289" s="758"/>
      <c r="G289" s="758"/>
      <c r="H289" s="758"/>
      <c r="I289" s="758"/>
      <c r="J289" s="758"/>
      <c r="K289" s="758"/>
      <c r="L289" s="758"/>
      <c r="M289" s="758"/>
      <c r="N289" s="758"/>
      <c r="O289" s="758"/>
      <c r="P289" s="758"/>
      <c r="Q289" s="758"/>
      <c r="R289" s="758"/>
      <c r="S289" s="758"/>
      <c r="T289" s="758"/>
      <c r="U289" s="758"/>
      <c r="V289" s="758"/>
      <c r="W289" s="758"/>
      <c r="X289" s="758"/>
      <c r="Y289" s="758"/>
      <c r="Z289" s="758"/>
      <c r="AA289" s="758"/>
      <c r="AB289" s="758"/>
      <c r="AC289" s="758"/>
      <c r="AD289" s="758"/>
      <c r="AE289" s="758"/>
      <c r="AF289" s="9"/>
      <c r="AG289" s="453"/>
    </row>
    <row r="290">
      <c r="A290" s="352" t="s">
        <v>1065</v>
      </c>
      <c r="B290" s="342"/>
      <c r="C290" s="342"/>
      <c r="D290" s="342"/>
      <c r="E290" s="342"/>
      <c r="F290" s="342"/>
      <c r="G290" s="342"/>
      <c r="H290" s="342"/>
      <c r="I290" s="342"/>
      <c r="J290" s="342"/>
      <c r="K290" s="342"/>
      <c r="L290" s="342"/>
      <c r="M290" s="342"/>
      <c r="N290" s="342"/>
      <c r="O290" s="342"/>
      <c r="P290" s="342"/>
      <c r="Q290" s="342"/>
      <c r="R290" s="342"/>
      <c r="S290" s="342"/>
      <c r="T290" s="342"/>
      <c r="U290" s="342"/>
      <c r="V290" s="342"/>
      <c r="W290" s="342"/>
      <c r="X290" s="342"/>
      <c r="Y290" s="342"/>
      <c r="Z290" s="342"/>
      <c r="AA290" s="342"/>
      <c r="AB290" s="342"/>
      <c r="AC290" s="342"/>
      <c r="AD290" s="342"/>
      <c r="AE290" s="880"/>
      <c r="AF290" s="100"/>
      <c r="AG290" s="693">
        <f t="shared" ref="AG290:AG295" si="104">SUM(B290:AE290)</f>
        <v>0</v>
      </c>
    </row>
    <row r="291">
      <c r="A291" s="352" t="s">
        <v>1067</v>
      </c>
      <c r="B291" s="342"/>
      <c r="C291" s="342"/>
      <c r="D291" s="342"/>
      <c r="E291" s="342"/>
      <c r="F291" s="342"/>
      <c r="G291" s="342"/>
      <c r="H291" s="342"/>
      <c r="I291" s="342"/>
      <c r="J291" s="342"/>
      <c r="K291" s="342"/>
      <c r="L291" s="342"/>
      <c r="M291" s="342"/>
      <c r="N291" s="342"/>
      <c r="O291" s="342"/>
      <c r="P291" s="342"/>
      <c r="Q291" s="342"/>
      <c r="R291" s="342"/>
      <c r="S291" s="342"/>
      <c r="T291" s="342"/>
      <c r="U291" s="342"/>
      <c r="V291" s="342"/>
      <c r="W291" s="342"/>
      <c r="X291" s="342"/>
      <c r="Y291" s="342"/>
      <c r="Z291" s="342"/>
      <c r="AA291" s="342"/>
      <c r="AB291" s="342"/>
      <c r="AC291" s="342"/>
      <c r="AD291" s="342"/>
      <c r="AE291" s="880"/>
      <c r="AF291" s="100"/>
      <c r="AG291" s="693">
        <f t="shared" si="104"/>
        <v>0</v>
      </c>
    </row>
    <row r="292">
      <c r="A292" s="352" t="s">
        <v>192</v>
      </c>
      <c r="B292" s="342"/>
      <c r="C292" s="342"/>
      <c r="D292" s="342"/>
      <c r="E292" s="342"/>
      <c r="F292" s="342"/>
      <c r="G292" s="342"/>
      <c r="H292" s="342"/>
      <c r="I292" s="342"/>
      <c r="J292" s="342"/>
      <c r="K292" s="342"/>
      <c r="L292" s="342"/>
      <c r="M292" s="342"/>
      <c r="N292" s="342"/>
      <c r="O292" s="342"/>
      <c r="P292" s="342"/>
      <c r="Q292" s="342"/>
      <c r="R292" s="342"/>
      <c r="S292" s="342"/>
      <c r="T292" s="342"/>
      <c r="U292" s="342"/>
      <c r="V292" s="342"/>
      <c r="W292" s="342"/>
      <c r="X292" s="342"/>
      <c r="Y292" s="342"/>
      <c r="Z292" s="342"/>
      <c r="AA292" s="342"/>
      <c r="AB292" s="342"/>
      <c r="AC292" s="342"/>
      <c r="AD292" s="342"/>
      <c r="AE292" s="880"/>
      <c r="AF292" s="100"/>
      <c r="AG292" s="693">
        <f t="shared" si="104"/>
        <v>0</v>
      </c>
    </row>
    <row r="293">
      <c r="A293" s="352" t="s">
        <v>1068</v>
      </c>
      <c r="B293" s="342"/>
      <c r="C293" s="342"/>
      <c r="D293" s="342"/>
      <c r="E293" s="342"/>
      <c r="F293" s="342"/>
      <c r="G293" s="342"/>
      <c r="H293" s="342"/>
      <c r="I293" s="342"/>
      <c r="J293" s="342"/>
      <c r="K293" s="342"/>
      <c r="L293" s="342"/>
      <c r="M293" s="342"/>
      <c r="N293" s="342"/>
      <c r="O293" s="342"/>
      <c r="P293" s="342"/>
      <c r="Q293" s="342"/>
      <c r="R293" s="342"/>
      <c r="S293" s="342"/>
      <c r="T293" s="342"/>
      <c r="U293" s="342"/>
      <c r="V293" s="342"/>
      <c r="W293" s="342"/>
      <c r="X293" s="342"/>
      <c r="Y293" s="342"/>
      <c r="Z293" s="342"/>
      <c r="AA293" s="342"/>
      <c r="AB293" s="342"/>
      <c r="AC293" s="342"/>
      <c r="AD293" s="342"/>
      <c r="AE293" s="880"/>
      <c r="AF293" s="100"/>
      <c r="AG293" s="693">
        <f t="shared" si="104"/>
        <v>0</v>
      </c>
    </row>
    <row r="294">
      <c r="A294" s="352" t="s">
        <v>1069</v>
      </c>
      <c r="B294" s="342"/>
      <c r="C294" s="342"/>
      <c r="D294" s="342"/>
      <c r="E294" s="342"/>
      <c r="F294" s="342"/>
      <c r="G294" s="342"/>
      <c r="H294" s="342"/>
      <c r="I294" s="342"/>
      <c r="J294" s="342"/>
      <c r="K294" s="342"/>
      <c r="L294" s="342"/>
      <c r="M294" s="342"/>
      <c r="N294" s="342"/>
      <c r="O294" s="342"/>
      <c r="P294" s="342"/>
      <c r="Q294" s="342"/>
      <c r="R294" s="342"/>
      <c r="S294" s="342"/>
      <c r="T294" s="342"/>
      <c r="U294" s="342"/>
      <c r="V294" s="342"/>
      <c r="W294" s="342"/>
      <c r="X294" s="342"/>
      <c r="Y294" s="342"/>
      <c r="Z294" s="342"/>
      <c r="AA294" s="342"/>
      <c r="AB294" s="342"/>
      <c r="AC294" s="342"/>
      <c r="AD294" s="342"/>
      <c r="AE294" s="880"/>
      <c r="AF294" s="100"/>
      <c r="AG294" s="693">
        <f t="shared" si="104"/>
        <v>0</v>
      </c>
    </row>
    <row r="295">
      <c r="A295" s="822" t="s">
        <v>1073</v>
      </c>
      <c r="B295" s="874">
        <f t="shared" ref="B295:AF295" si="105">SUM(B290:B294)</f>
        <v>0</v>
      </c>
      <c r="C295" s="874">
        <f t="shared" si="105"/>
        <v>0</v>
      </c>
      <c r="D295" s="874">
        <f t="shared" si="105"/>
        <v>0</v>
      </c>
      <c r="E295" s="874">
        <f t="shared" si="105"/>
        <v>0</v>
      </c>
      <c r="F295" s="874">
        <f t="shared" si="105"/>
        <v>0</v>
      </c>
      <c r="G295" s="874">
        <f t="shared" si="105"/>
        <v>0</v>
      </c>
      <c r="H295" s="874">
        <f t="shared" si="105"/>
        <v>0</v>
      </c>
      <c r="I295" s="874">
        <f t="shared" si="105"/>
        <v>0</v>
      </c>
      <c r="J295" s="874">
        <f t="shared" si="105"/>
        <v>0</v>
      </c>
      <c r="K295" s="874">
        <f t="shared" si="105"/>
        <v>0</v>
      </c>
      <c r="L295" s="874">
        <f t="shared" si="105"/>
        <v>0</v>
      </c>
      <c r="M295" s="874">
        <f t="shared" si="105"/>
        <v>0</v>
      </c>
      <c r="N295" s="874">
        <f t="shared" si="105"/>
        <v>0</v>
      </c>
      <c r="O295" s="874">
        <f t="shared" si="105"/>
        <v>0</v>
      </c>
      <c r="P295" s="874">
        <f t="shared" si="105"/>
        <v>0</v>
      </c>
      <c r="Q295" s="874">
        <f t="shared" si="105"/>
        <v>0</v>
      </c>
      <c r="R295" s="874">
        <f t="shared" si="105"/>
        <v>0</v>
      </c>
      <c r="S295" s="874">
        <f t="shared" si="105"/>
        <v>0</v>
      </c>
      <c r="T295" s="874">
        <f t="shared" si="105"/>
        <v>0</v>
      </c>
      <c r="U295" s="874">
        <f t="shared" si="105"/>
        <v>0</v>
      </c>
      <c r="V295" s="874">
        <f t="shared" si="105"/>
        <v>0</v>
      </c>
      <c r="W295" s="874">
        <f t="shared" si="105"/>
        <v>0</v>
      </c>
      <c r="X295" s="874">
        <f t="shared" si="105"/>
        <v>0</v>
      </c>
      <c r="Y295" s="874">
        <f t="shared" si="105"/>
        <v>0</v>
      </c>
      <c r="Z295" s="874">
        <f t="shared" si="105"/>
        <v>0</v>
      </c>
      <c r="AA295" s="874">
        <f t="shared" si="105"/>
        <v>0</v>
      </c>
      <c r="AB295" s="874">
        <f t="shared" si="105"/>
        <v>0</v>
      </c>
      <c r="AC295" s="874">
        <f t="shared" si="105"/>
        <v>0</v>
      </c>
      <c r="AD295" s="874">
        <f t="shared" si="105"/>
        <v>0</v>
      </c>
      <c r="AE295" s="874">
        <f t="shared" si="105"/>
        <v>0</v>
      </c>
      <c r="AF295" s="874">
        <f t="shared" si="105"/>
        <v>0</v>
      </c>
      <c r="AG295" s="693">
        <f t="shared" si="104"/>
        <v>0</v>
      </c>
    </row>
    <row r="296">
      <c r="A296" s="25"/>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c r="AA296" s="114"/>
      <c r="AB296" s="114"/>
      <c r="AC296" s="114"/>
      <c r="AD296" s="114"/>
      <c r="AE296" s="114"/>
      <c r="AF296" s="100"/>
      <c r="AG296" s="693"/>
    </row>
    <row r="297" hidden="1">
      <c r="A297" s="352" t="s">
        <v>198</v>
      </c>
      <c r="B297" s="342"/>
      <c r="C297" s="342"/>
      <c r="D297" s="342"/>
      <c r="E297" s="342"/>
      <c r="F297" s="342"/>
      <c r="G297" s="342"/>
      <c r="H297" s="342"/>
      <c r="I297" s="342"/>
      <c r="J297" s="342"/>
      <c r="K297" s="342"/>
      <c r="L297" s="342"/>
      <c r="M297" s="342"/>
      <c r="N297" s="342"/>
      <c r="O297" s="342"/>
      <c r="P297" s="342"/>
      <c r="Q297" s="342"/>
      <c r="R297" s="342"/>
      <c r="S297" s="342"/>
      <c r="T297" s="342"/>
      <c r="U297" s="342"/>
      <c r="V297" s="342"/>
      <c r="W297" s="342"/>
      <c r="X297" s="342"/>
      <c r="Y297" s="342"/>
      <c r="Z297" s="342"/>
      <c r="AA297" s="342"/>
      <c r="AB297" s="342"/>
      <c r="AC297" s="342"/>
      <c r="AD297" s="342"/>
      <c r="AE297" s="342"/>
      <c r="AF297" s="100"/>
      <c r="AG297" s="693">
        <f t="shared" ref="AG297:AG302" si="106">SUM(B297:AE297)</f>
        <v>0</v>
      </c>
    </row>
    <row r="298" hidden="1">
      <c r="A298" s="352" t="s">
        <v>201</v>
      </c>
      <c r="B298" s="342"/>
      <c r="C298" s="342"/>
      <c r="D298" s="342"/>
      <c r="E298" s="342"/>
      <c r="F298" s="342"/>
      <c r="G298" s="342"/>
      <c r="H298" s="342"/>
      <c r="I298" s="342"/>
      <c r="J298" s="342"/>
      <c r="K298" s="342"/>
      <c r="L298" s="342"/>
      <c r="M298" s="342"/>
      <c r="N298" s="342"/>
      <c r="O298" s="342"/>
      <c r="P298" s="342"/>
      <c r="Q298" s="342"/>
      <c r="R298" s="342"/>
      <c r="S298" s="342"/>
      <c r="T298" s="342"/>
      <c r="U298" s="342"/>
      <c r="V298" s="342"/>
      <c r="W298" s="342"/>
      <c r="X298" s="342"/>
      <c r="Y298" s="342"/>
      <c r="Z298" s="342"/>
      <c r="AA298" s="342"/>
      <c r="AB298" s="342"/>
      <c r="AC298" s="342"/>
      <c r="AD298" s="342"/>
      <c r="AE298" s="342"/>
      <c r="AF298" s="100"/>
      <c r="AG298" s="693">
        <f t="shared" si="106"/>
        <v>0</v>
      </c>
    </row>
    <row r="299" hidden="1">
      <c r="A299" s="352" t="s">
        <v>202</v>
      </c>
      <c r="B299" s="342"/>
      <c r="C299" s="342"/>
      <c r="D299" s="342"/>
      <c r="E299" s="342"/>
      <c r="F299" s="342"/>
      <c r="G299" s="342"/>
      <c r="H299" s="342"/>
      <c r="I299" s="342"/>
      <c r="J299" s="342"/>
      <c r="K299" s="342"/>
      <c r="L299" s="342"/>
      <c r="M299" s="342"/>
      <c r="N299" s="342"/>
      <c r="O299" s="342"/>
      <c r="P299" s="342"/>
      <c r="Q299" s="342"/>
      <c r="R299" s="342"/>
      <c r="S299" s="342"/>
      <c r="T299" s="342"/>
      <c r="U299" s="342"/>
      <c r="V299" s="342"/>
      <c r="W299" s="342"/>
      <c r="X299" s="342"/>
      <c r="Y299" s="342"/>
      <c r="Z299" s="342"/>
      <c r="AA299" s="342"/>
      <c r="AB299" s="342"/>
      <c r="AC299" s="342"/>
      <c r="AD299" s="342"/>
      <c r="AE299" s="342"/>
      <c r="AF299" s="100"/>
      <c r="AG299" s="693">
        <f t="shared" si="106"/>
        <v>0</v>
      </c>
    </row>
    <row r="300" hidden="1">
      <c r="A300" s="352" t="s">
        <v>203</v>
      </c>
      <c r="B300" s="342"/>
      <c r="C300" s="342"/>
      <c r="D300" s="342"/>
      <c r="E300" s="342"/>
      <c r="F300" s="342"/>
      <c r="G300" s="342"/>
      <c r="H300" s="342"/>
      <c r="I300" s="342"/>
      <c r="J300" s="342"/>
      <c r="K300" s="342"/>
      <c r="L300" s="342"/>
      <c r="M300" s="342"/>
      <c r="N300" s="342"/>
      <c r="O300" s="342"/>
      <c r="P300" s="342"/>
      <c r="Q300" s="342"/>
      <c r="R300" s="342"/>
      <c r="S300" s="342"/>
      <c r="T300" s="342"/>
      <c r="U300" s="342"/>
      <c r="V300" s="342"/>
      <c r="W300" s="342"/>
      <c r="X300" s="342"/>
      <c r="Y300" s="342"/>
      <c r="Z300" s="342"/>
      <c r="AA300" s="342"/>
      <c r="AB300" s="342"/>
      <c r="AC300" s="342"/>
      <c r="AD300" s="342"/>
      <c r="AE300" s="342"/>
      <c r="AF300" s="100"/>
      <c r="AG300" s="693">
        <f t="shared" si="106"/>
        <v>0</v>
      </c>
    </row>
    <row r="301" hidden="1">
      <c r="A301" s="352" t="s">
        <v>204</v>
      </c>
      <c r="B301" s="342"/>
      <c r="C301" s="342"/>
      <c r="D301" s="342"/>
      <c r="E301" s="342"/>
      <c r="F301" s="342"/>
      <c r="G301" s="342"/>
      <c r="H301" s="342"/>
      <c r="I301" s="342"/>
      <c r="J301" s="342"/>
      <c r="K301" s="342"/>
      <c r="L301" s="342"/>
      <c r="M301" s="342"/>
      <c r="N301" s="342"/>
      <c r="O301" s="342"/>
      <c r="P301" s="342"/>
      <c r="Q301" s="342"/>
      <c r="R301" s="342"/>
      <c r="S301" s="342"/>
      <c r="T301" s="342"/>
      <c r="U301" s="342"/>
      <c r="V301" s="342"/>
      <c r="W301" s="342"/>
      <c r="X301" s="342"/>
      <c r="Y301" s="342"/>
      <c r="Z301" s="342"/>
      <c r="AA301" s="342"/>
      <c r="AB301" s="342"/>
      <c r="AC301" s="342"/>
      <c r="AD301" s="342"/>
      <c r="AE301" s="342"/>
      <c r="AF301" s="100"/>
      <c r="AG301" s="693">
        <f t="shared" si="106"/>
        <v>0</v>
      </c>
    </row>
    <row r="302">
      <c r="A302" s="826" t="s">
        <v>205</v>
      </c>
      <c r="B302" s="874">
        <f t="shared" ref="B302:AF302" si="107">SUM(B297:B301)</f>
        <v>0</v>
      </c>
      <c r="C302" s="874">
        <f t="shared" si="107"/>
        <v>0</v>
      </c>
      <c r="D302" s="874">
        <f t="shared" si="107"/>
        <v>0</v>
      </c>
      <c r="E302" s="874">
        <f t="shared" si="107"/>
        <v>0</v>
      </c>
      <c r="F302" s="874">
        <f t="shared" si="107"/>
        <v>0</v>
      </c>
      <c r="G302" s="874">
        <f t="shared" si="107"/>
        <v>0</v>
      </c>
      <c r="H302" s="874">
        <f t="shared" si="107"/>
        <v>0</v>
      </c>
      <c r="I302" s="874">
        <f t="shared" si="107"/>
        <v>0</v>
      </c>
      <c r="J302" s="874">
        <f t="shared" si="107"/>
        <v>0</v>
      </c>
      <c r="K302" s="874">
        <f t="shared" si="107"/>
        <v>0</v>
      </c>
      <c r="L302" s="874">
        <f t="shared" si="107"/>
        <v>0</v>
      </c>
      <c r="M302" s="874">
        <f t="shared" si="107"/>
        <v>0</v>
      </c>
      <c r="N302" s="874">
        <f t="shared" si="107"/>
        <v>0</v>
      </c>
      <c r="O302" s="874">
        <f t="shared" si="107"/>
        <v>0</v>
      </c>
      <c r="P302" s="874">
        <f t="shared" si="107"/>
        <v>0</v>
      </c>
      <c r="Q302" s="874">
        <f t="shared" si="107"/>
        <v>0</v>
      </c>
      <c r="R302" s="874">
        <f t="shared" si="107"/>
        <v>0</v>
      </c>
      <c r="S302" s="874">
        <f t="shared" si="107"/>
        <v>0</v>
      </c>
      <c r="T302" s="874">
        <f t="shared" si="107"/>
        <v>0</v>
      </c>
      <c r="U302" s="874">
        <f t="shared" si="107"/>
        <v>0</v>
      </c>
      <c r="V302" s="874">
        <f t="shared" si="107"/>
        <v>0</v>
      </c>
      <c r="W302" s="874">
        <f t="shared" si="107"/>
        <v>0</v>
      </c>
      <c r="X302" s="874">
        <f t="shared" si="107"/>
        <v>0</v>
      </c>
      <c r="Y302" s="874">
        <f t="shared" si="107"/>
        <v>0</v>
      </c>
      <c r="Z302" s="874">
        <f t="shared" si="107"/>
        <v>0</v>
      </c>
      <c r="AA302" s="874">
        <f t="shared" si="107"/>
        <v>0</v>
      </c>
      <c r="AB302" s="874">
        <f t="shared" si="107"/>
        <v>0</v>
      </c>
      <c r="AC302" s="874">
        <f t="shared" si="107"/>
        <v>0</v>
      </c>
      <c r="AD302" s="874">
        <f t="shared" si="107"/>
        <v>0</v>
      </c>
      <c r="AE302" s="874">
        <f t="shared" si="107"/>
        <v>0</v>
      </c>
      <c r="AF302" s="874">
        <f t="shared" si="107"/>
        <v>0</v>
      </c>
      <c r="AG302" s="693">
        <f t="shared" si="106"/>
        <v>0</v>
      </c>
    </row>
    <row r="303">
      <c r="A303" s="25"/>
      <c r="B303" s="758"/>
      <c r="C303" s="758"/>
      <c r="D303" s="758"/>
      <c r="E303" s="758"/>
      <c r="F303" s="758"/>
      <c r="G303" s="758"/>
      <c r="H303" s="758"/>
      <c r="I303" s="758"/>
      <c r="J303" s="758"/>
      <c r="K303" s="758"/>
      <c r="L303" s="758"/>
      <c r="M303" s="758"/>
      <c r="N303" s="758"/>
      <c r="O303" s="758"/>
      <c r="P303" s="758"/>
      <c r="Q303" s="758"/>
      <c r="R303" s="758"/>
      <c r="S303" s="758"/>
      <c r="T303" s="758"/>
      <c r="U303" s="758"/>
      <c r="V303" s="758"/>
      <c r="W303" s="758"/>
      <c r="X303" s="758"/>
      <c r="Y303" s="758"/>
      <c r="Z303" s="758"/>
      <c r="AA303" s="758"/>
      <c r="AB303" s="758"/>
      <c r="AC303" s="758"/>
      <c r="AD303" s="758"/>
      <c r="AE303" s="758"/>
      <c r="AF303" s="9"/>
      <c r="AG303" s="453"/>
    </row>
    <row r="304" hidden="1">
      <c r="A304" s="352" t="s">
        <v>207</v>
      </c>
      <c r="B304" s="342"/>
      <c r="C304" s="342"/>
      <c r="D304" s="342"/>
      <c r="E304" s="342"/>
      <c r="F304" s="342"/>
      <c r="G304" s="342"/>
      <c r="H304" s="342"/>
      <c r="I304" s="342"/>
      <c r="J304" s="342"/>
      <c r="K304" s="342"/>
      <c r="L304" s="342"/>
      <c r="M304" s="342"/>
      <c r="N304" s="342"/>
      <c r="O304" s="342"/>
      <c r="P304" s="342"/>
      <c r="Q304" s="342"/>
      <c r="R304" s="342"/>
      <c r="S304" s="342"/>
      <c r="T304" s="342"/>
      <c r="U304" s="342"/>
      <c r="V304" s="342"/>
      <c r="W304" s="342"/>
      <c r="X304" s="342"/>
      <c r="Y304" s="342"/>
      <c r="Z304" s="342"/>
      <c r="AA304" s="342"/>
      <c r="AB304" s="342"/>
      <c r="AC304" s="342"/>
      <c r="AD304" s="342"/>
      <c r="AE304" s="880"/>
      <c r="AF304" s="100"/>
      <c r="AG304" s="693">
        <f t="shared" ref="AG304:AG309" si="108">SUM(B304:AE304)</f>
        <v>0</v>
      </c>
    </row>
    <row r="305" hidden="1">
      <c r="A305" s="352" t="s">
        <v>209</v>
      </c>
      <c r="B305" s="342"/>
      <c r="C305" s="342"/>
      <c r="D305" s="342"/>
      <c r="E305" s="342"/>
      <c r="F305" s="342"/>
      <c r="G305" s="342"/>
      <c r="H305" s="342"/>
      <c r="I305" s="342"/>
      <c r="J305" s="342"/>
      <c r="K305" s="342"/>
      <c r="L305" s="342"/>
      <c r="M305" s="342"/>
      <c r="N305" s="342"/>
      <c r="O305" s="342"/>
      <c r="P305" s="342"/>
      <c r="Q305" s="342"/>
      <c r="R305" s="342"/>
      <c r="S305" s="342"/>
      <c r="T305" s="342"/>
      <c r="U305" s="342"/>
      <c r="V305" s="342"/>
      <c r="W305" s="342"/>
      <c r="X305" s="342"/>
      <c r="Y305" s="342"/>
      <c r="Z305" s="342"/>
      <c r="AA305" s="342"/>
      <c r="AB305" s="342"/>
      <c r="AC305" s="342"/>
      <c r="AD305" s="342"/>
      <c r="AE305" s="880"/>
      <c r="AF305" s="100"/>
      <c r="AG305" s="693">
        <f t="shared" si="108"/>
        <v>0</v>
      </c>
    </row>
    <row r="306" hidden="1">
      <c r="A306" s="352" t="s">
        <v>210</v>
      </c>
      <c r="B306" s="342"/>
      <c r="C306" s="342"/>
      <c r="D306" s="342"/>
      <c r="E306" s="342"/>
      <c r="F306" s="342"/>
      <c r="G306" s="342"/>
      <c r="H306" s="342"/>
      <c r="I306" s="342"/>
      <c r="J306" s="342"/>
      <c r="K306" s="342"/>
      <c r="L306" s="342"/>
      <c r="M306" s="342"/>
      <c r="N306" s="342"/>
      <c r="O306" s="342"/>
      <c r="P306" s="342"/>
      <c r="Q306" s="342"/>
      <c r="R306" s="342"/>
      <c r="S306" s="342"/>
      <c r="T306" s="342"/>
      <c r="U306" s="342"/>
      <c r="V306" s="342"/>
      <c r="W306" s="342"/>
      <c r="X306" s="342"/>
      <c r="Y306" s="342"/>
      <c r="Z306" s="342"/>
      <c r="AA306" s="342"/>
      <c r="AB306" s="342"/>
      <c r="AC306" s="342"/>
      <c r="AD306" s="342"/>
      <c r="AE306" s="880"/>
      <c r="AF306" s="100"/>
      <c r="AG306" s="693">
        <f t="shared" si="108"/>
        <v>0</v>
      </c>
    </row>
    <row r="307" hidden="1">
      <c r="A307" s="352" t="s">
        <v>211</v>
      </c>
      <c r="B307" s="342"/>
      <c r="C307" s="342"/>
      <c r="D307" s="342"/>
      <c r="E307" s="342"/>
      <c r="F307" s="342"/>
      <c r="G307" s="342"/>
      <c r="H307" s="342"/>
      <c r="I307" s="342"/>
      <c r="J307" s="342"/>
      <c r="K307" s="342"/>
      <c r="L307" s="342"/>
      <c r="M307" s="342"/>
      <c r="N307" s="342"/>
      <c r="O307" s="342"/>
      <c r="P307" s="342"/>
      <c r="Q307" s="342"/>
      <c r="R307" s="342"/>
      <c r="S307" s="342"/>
      <c r="T307" s="342"/>
      <c r="U307" s="342"/>
      <c r="V307" s="342"/>
      <c r="W307" s="342"/>
      <c r="X307" s="342"/>
      <c r="Y307" s="342"/>
      <c r="Z307" s="342"/>
      <c r="AA307" s="342"/>
      <c r="AB307" s="342"/>
      <c r="AC307" s="342"/>
      <c r="AD307" s="342"/>
      <c r="AE307" s="880"/>
      <c r="AF307" s="100"/>
      <c r="AG307" s="693">
        <f t="shared" si="108"/>
        <v>0</v>
      </c>
    </row>
    <row r="308" hidden="1">
      <c r="A308" s="352" t="s">
        <v>212</v>
      </c>
      <c r="B308" s="342"/>
      <c r="C308" s="342"/>
      <c r="D308" s="342"/>
      <c r="E308" s="342"/>
      <c r="F308" s="342"/>
      <c r="G308" s="342"/>
      <c r="H308" s="342"/>
      <c r="I308" s="342"/>
      <c r="J308" s="342"/>
      <c r="K308" s="342"/>
      <c r="L308" s="342"/>
      <c r="M308" s="342"/>
      <c r="N308" s="342"/>
      <c r="O308" s="342"/>
      <c r="P308" s="342"/>
      <c r="Q308" s="342"/>
      <c r="R308" s="342"/>
      <c r="S308" s="342"/>
      <c r="T308" s="342"/>
      <c r="U308" s="342"/>
      <c r="V308" s="342"/>
      <c r="W308" s="342"/>
      <c r="X308" s="342"/>
      <c r="Y308" s="342"/>
      <c r="Z308" s="342"/>
      <c r="AA308" s="342"/>
      <c r="AB308" s="342"/>
      <c r="AC308" s="342"/>
      <c r="AD308" s="342"/>
      <c r="AE308" s="880"/>
      <c r="AF308" s="100"/>
      <c r="AG308" s="693">
        <f t="shared" si="108"/>
        <v>0</v>
      </c>
    </row>
    <row r="309">
      <c r="A309" s="826" t="s">
        <v>214</v>
      </c>
      <c r="B309" s="874">
        <f t="shared" ref="B309:AF309" si="109">SUM(B304:B308)</f>
        <v>0</v>
      </c>
      <c r="C309" s="874">
        <f t="shared" si="109"/>
        <v>0</v>
      </c>
      <c r="D309" s="874">
        <f t="shared" si="109"/>
        <v>0</v>
      </c>
      <c r="E309" s="874">
        <f t="shared" si="109"/>
        <v>0</v>
      </c>
      <c r="F309" s="874">
        <f t="shared" si="109"/>
        <v>0</v>
      </c>
      <c r="G309" s="874">
        <f t="shared" si="109"/>
        <v>0</v>
      </c>
      <c r="H309" s="874">
        <f t="shared" si="109"/>
        <v>0</v>
      </c>
      <c r="I309" s="874">
        <f t="shared" si="109"/>
        <v>0</v>
      </c>
      <c r="J309" s="874">
        <f t="shared" si="109"/>
        <v>0</v>
      </c>
      <c r="K309" s="874">
        <f t="shared" si="109"/>
        <v>0</v>
      </c>
      <c r="L309" s="874">
        <f t="shared" si="109"/>
        <v>0</v>
      </c>
      <c r="M309" s="874">
        <f t="shared" si="109"/>
        <v>0</v>
      </c>
      <c r="N309" s="874">
        <f t="shared" si="109"/>
        <v>0</v>
      </c>
      <c r="O309" s="874">
        <f t="shared" si="109"/>
        <v>0</v>
      </c>
      <c r="P309" s="874">
        <f t="shared" si="109"/>
        <v>0</v>
      </c>
      <c r="Q309" s="874">
        <f t="shared" si="109"/>
        <v>0</v>
      </c>
      <c r="R309" s="874">
        <f t="shared" si="109"/>
        <v>0</v>
      </c>
      <c r="S309" s="874">
        <f t="shared" si="109"/>
        <v>0</v>
      </c>
      <c r="T309" s="874">
        <f t="shared" si="109"/>
        <v>0</v>
      </c>
      <c r="U309" s="874">
        <f t="shared" si="109"/>
        <v>0</v>
      </c>
      <c r="V309" s="874">
        <f t="shared" si="109"/>
        <v>0</v>
      </c>
      <c r="W309" s="874">
        <f t="shared" si="109"/>
        <v>0</v>
      </c>
      <c r="X309" s="874">
        <f t="shared" si="109"/>
        <v>0</v>
      </c>
      <c r="Y309" s="874">
        <f t="shared" si="109"/>
        <v>0</v>
      </c>
      <c r="Z309" s="874">
        <f t="shared" si="109"/>
        <v>0</v>
      </c>
      <c r="AA309" s="874">
        <f t="shared" si="109"/>
        <v>0</v>
      </c>
      <c r="AB309" s="874">
        <f t="shared" si="109"/>
        <v>0</v>
      </c>
      <c r="AC309" s="874">
        <f t="shared" si="109"/>
        <v>0</v>
      </c>
      <c r="AD309" s="874">
        <f t="shared" si="109"/>
        <v>0</v>
      </c>
      <c r="AE309" s="874">
        <f t="shared" si="109"/>
        <v>0</v>
      </c>
      <c r="AF309" s="874">
        <f t="shared" si="109"/>
        <v>0</v>
      </c>
      <c r="AG309" s="693">
        <f t="shared" si="108"/>
        <v>0</v>
      </c>
    </row>
    <row r="310">
      <c r="A310" s="723"/>
      <c r="AF310" s="9"/>
      <c r="AG310" s="453"/>
    </row>
    <row r="311">
      <c r="A311" s="723"/>
      <c r="AF311" s="9"/>
      <c r="AG311" s="453"/>
    </row>
    <row r="312">
      <c r="A312" s="349" t="s">
        <v>1186</v>
      </c>
      <c r="B312" s="661"/>
      <c r="C312" s="661"/>
      <c r="D312" s="661"/>
      <c r="E312" s="661"/>
      <c r="F312" s="661"/>
      <c r="G312" s="661"/>
      <c r="H312" s="661"/>
      <c r="I312" s="53"/>
      <c r="J312" s="53"/>
      <c r="K312" s="53"/>
      <c r="L312" s="53"/>
      <c r="M312" s="53"/>
      <c r="N312" s="53"/>
      <c r="O312" s="53"/>
      <c r="P312" s="53"/>
      <c r="Q312" s="53"/>
      <c r="R312" s="53"/>
      <c r="S312" s="53"/>
      <c r="T312" s="53"/>
      <c r="U312" s="53"/>
      <c r="V312" s="53"/>
      <c r="W312" s="53"/>
      <c r="X312" s="53"/>
      <c r="Y312" s="53"/>
      <c r="Z312" s="53"/>
      <c r="AA312" s="53"/>
      <c r="AB312" s="53"/>
      <c r="AC312" s="53"/>
      <c r="AD312" s="53"/>
      <c r="AE312" s="53"/>
      <c r="AF312" s="9"/>
      <c r="AG312" s="453"/>
    </row>
    <row r="313">
      <c r="A313" s="895" t="s">
        <v>1049</v>
      </c>
      <c r="B313" s="342">
        <f t="shared" ref="B313:AE313" si="110">B115-B180</f>
        <v>0</v>
      </c>
      <c r="C313" s="342">
        <f t="shared" si="110"/>
        <v>0</v>
      </c>
      <c r="D313" s="342">
        <f t="shared" si="110"/>
        <v>0</v>
      </c>
      <c r="E313" s="342">
        <f t="shared" si="110"/>
        <v>0</v>
      </c>
      <c r="F313" s="342">
        <f t="shared" si="110"/>
        <v>0</v>
      </c>
      <c r="G313" s="342">
        <f t="shared" si="110"/>
        <v>0</v>
      </c>
      <c r="H313" s="342">
        <f t="shared" si="110"/>
        <v>0</v>
      </c>
      <c r="I313" s="342">
        <f t="shared" si="110"/>
        <v>0</v>
      </c>
      <c r="J313" s="342">
        <f t="shared" si="110"/>
        <v>0</v>
      </c>
      <c r="K313" s="342">
        <f t="shared" si="110"/>
        <v>0</v>
      </c>
      <c r="L313" s="342">
        <f t="shared" si="110"/>
        <v>0</v>
      </c>
      <c r="M313" s="342">
        <f t="shared" si="110"/>
        <v>0</v>
      </c>
      <c r="N313" s="342">
        <f t="shared" si="110"/>
        <v>0</v>
      </c>
      <c r="O313" s="342">
        <f t="shared" si="110"/>
        <v>0</v>
      </c>
      <c r="P313" s="342">
        <f t="shared" si="110"/>
        <v>0</v>
      </c>
      <c r="Q313" s="342">
        <f t="shared" si="110"/>
        <v>0</v>
      </c>
      <c r="R313" s="342">
        <f t="shared" si="110"/>
        <v>0</v>
      </c>
      <c r="S313" s="342">
        <f t="shared" si="110"/>
        <v>0</v>
      </c>
      <c r="T313" s="342">
        <f t="shared" si="110"/>
        <v>0</v>
      </c>
      <c r="U313" s="342">
        <f t="shared" si="110"/>
        <v>0</v>
      </c>
      <c r="V313" s="342">
        <f t="shared" si="110"/>
        <v>0</v>
      </c>
      <c r="W313" s="342">
        <f t="shared" si="110"/>
        <v>0</v>
      </c>
      <c r="X313" s="342">
        <f t="shared" si="110"/>
        <v>0</v>
      </c>
      <c r="Y313" s="342">
        <f t="shared" si="110"/>
        <v>0</v>
      </c>
      <c r="Z313" s="342">
        <f t="shared" si="110"/>
        <v>0</v>
      </c>
      <c r="AA313" s="342">
        <f t="shared" si="110"/>
        <v>0</v>
      </c>
      <c r="AB313" s="342">
        <f t="shared" si="110"/>
        <v>0</v>
      </c>
      <c r="AC313" s="342">
        <f t="shared" si="110"/>
        <v>0</v>
      </c>
      <c r="AD313" s="342">
        <f t="shared" si="110"/>
        <v>0</v>
      </c>
      <c r="AE313" s="342">
        <f t="shared" si="110"/>
        <v>0</v>
      </c>
      <c r="AF313" s="100"/>
      <c r="AG313" s="693">
        <f t="shared" ref="AG313:AG320" si="112">SUM(B313:AE313)</f>
        <v>0</v>
      </c>
    </row>
    <row r="314">
      <c r="A314" s="895" t="s">
        <v>218</v>
      </c>
      <c r="B314" s="114">
        <f t="shared" ref="B314:AE314" si="111">B117-B181</f>
        <v>-2</v>
      </c>
      <c r="C314" s="114">
        <f t="shared" si="111"/>
        <v>-3</v>
      </c>
      <c r="D314" s="114">
        <f t="shared" si="111"/>
        <v>-3</v>
      </c>
      <c r="E314" s="114">
        <f t="shared" si="111"/>
        <v>-3</v>
      </c>
      <c r="F314" s="114">
        <f t="shared" si="111"/>
        <v>-2</v>
      </c>
      <c r="G314" s="114">
        <f t="shared" si="111"/>
        <v>-1</v>
      </c>
      <c r="H314" s="114">
        <f t="shared" si="111"/>
        <v>-3</v>
      </c>
      <c r="I314" s="114">
        <f t="shared" si="111"/>
        <v>-3</v>
      </c>
      <c r="J314" s="114">
        <f t="shared" si="111"/>
        <v>-4</v>
      </c>
      <c r="K314" s="114">
        <f t="shared" si="111"/>
        <v>-2</v>
      </c>
      <c r="L314" s="114">
        <f t="shared" si="111"/>
        <v>-3</v>
      </c>
      <c r="M314" s="114">
        <f t="shared" si="111"/>
        <v>-1</v>
      </c>
      <c r="N314" s="114">
        <f t="shared" si="111"/>
        <v>-4</v>
      </c>
      <c r="O314" s="114">
        <f t="shared" si="111"/>
        <v>-5</v>
      </c>
      <c r="P314" s="114">
        <f t="shared" si="111"/>
        <v>-4</v>
      </c>
      <c r="Q314" s="114">
        <f t="shared" si="111"/>
        <v>-1</v>
      </c>
      <c r="R314" s="114">
        <f t="shared" si="111"/>
        <v>-5</v>
      </c>
      <c r="S314" s="114">
        <f t="shared" si="111"/>
        <v>-5</v>
      </c>
      <c r="T314" s="114">
        <f t="shared" si="111"/>
        <v>-2</v>
      </c>
      <c r="U314" s="114">
        <f t="shared" si="111"/>
        <v>-2</v>
      </c>
      <c r="V314" s="114">
        <f t="shared" si="111"/>
        <v>-2</v>
      </c>
      <c r="W314" s="114">
        <f t="shared" si="111"/>
        <v>-3</v>
      </c>
      <c r="X314" s="114">
        <f t="shared" si="111"/>
        <v>-6</v>
      </c>
      <c r="Y314" s="114">
        <f t="shared" si="111"/>
        <v>-1</v>
      </c>
      <c r="Z314" s="114">
        <f t="shared" si="111"/>
        <v>0</v>
      </c>
      <c r="AA314" s="114">
        <f t="shared" si="111"/>
        <v>0</v>
      </c>
      <c r="AB314" s="114">
        <f t="shared" si="111"/>
        <v>0</v>
      </c>
      <c r="AC314" s="114">
        <f t="shared" si="111"/>
        <v>0</v>
      </c>
      <c r="AD314" s="114">
        <f t="shared" si="111"/>
        <v>0</v>
      </c>
      <c r="AE314" s="114">
        <f t="shared" si="111"/>
        <v>0</v>
      </c>
      <c r="AF314" s="100"/>
      <c r="AG314" s="693">
        <f t="shared" si="112"/>
        <v>-70</v>
      </c>
    </row>
    <row r="315" hidden="1">
      <c r="A315" s="895" t="s">
        <v>172</v>
      </c>
      <c r="B315" s="342">
        <f t="shared" ref="B315:M315" si="113">B119-B182</f>
        <v>0</v>
      </c>
      <c r="C315" s="342">
        <f t="shared" si="113"/>
        <v>0</v>
      </c>
      <c r="D315" s="342">
        <f t="shared" si="113"/>
        <v>0</v>
      </c>
      <c r="E315" s="342">
        <f t="shared" si="113"/>
        <v>0</v>
      </c>
      <c r="F315" s="342">
        <f t="shared" si="113"/>
        <v>0</v>
      </c>
      <c r="G315" s="342">
        <f t="shared" si="113"/>
        <v>0</v>
      </c>
      <c r="H315" s="342">
        <f t="shared" si="113"/>
        <v>0</v>
      </c>
      <c r="I315" s="342">
        <f t="shared" si="113"/>
        <v>0</v>
      </c>
      <c r="J315" s="342">
        <f t="shared" si="113"/>
        <v>0</v>
      </c>
      <c r="K315" s="342">
        <f t="shared" si="113"/>
        <v>0</v>
      </c>
      <c r="L315" s="342">
        <f t="shared" si="113"/>
        <v>0</v>
      </c>
      <c r="M315" s="342">
        <f t="shared" si="113"/>
        <v>0</v>
      </c>
      <c r="N315" s="342">
        <f>N119-N180</f>
        <v>0</v>
      </c>
      <c r="O315" s="342">
        <f t="shared" ref="O315:AE315" si="114">O119-O182</f>
        <v>0</v>
      </c>
      <c r="P315" s="342">
        <f t="shared" si="114"/>
        <v>0</v>
      </c>
      <c r="Q315" s="342">
        <f t="shared" si="114"/>
        <v>0</v>
      </c>
      <c r="R315" s="342">
        <f t="shared" si="114"/>
        <v>0</v>
      </c>
      <c r="S315" s="342">
        <f t="shared" si="114"/>
        <v>0</v>
      </c>
      <c r="T315" s="342">
        <f t="shared" si="114"/>
        <v>0</v>
      </c>
      <c r="U315" s="342">
        <f t="shared" si="114"/>
        <v>0</v>
      </c>
      <c r="V315" s="342">
        <f t="shared" si="114"/>
        <v>0</v>
      </c>
      <c r="W315" s="342">
        <f t="shared" si="114"/>
        <v>0</v>
      </c>
      <c r="X315" s="342">
        <f t="shared" si="114"/>
        <v>0</v>
      </c>
      <c r="Y315" s="342">
        <f t="shared" si="114"/>
        <v>0</v>
      </c>
      <c r="Z315" s="342">
        <f t="shared" si="114"/>
        <v>0</v>
      </c>
      <c r="AA315" s="342">
        <f t="shared" si="114"/>
        <v>0</v>
      </c>
      <c r="AB315" s="342">
        <f t="shared" si="114"/>
        <v>0</v>
      </c>
      <c r="AC315" s="342">
        <f t="shared" si="114"/>
        <v>0</v>
      </c>
      <c r="AD315" s="342">
        <f t="shared" si="114"/>
        <v>0</v>
      </c>
      <c r="AE315" s="342">
        <f t="shared" si="114"/>
        <v>0</v>
      </c>
      <c r="AF315" s="100"/>
      <c r="AG315" s="693">
        <f t="shared" si="112"/>
        <v>0</v>
      </c>
    </row>
    <row r="316" hidden="1">
      <c r="A316" s="895" t="s">
        <v>173</v>
      </c>
      <c r="B316" s="342">
        <f t="shared" ref="B316:AE316" si="115">B120-B183</f>
        <v>0</v>
      </c>
      <c r="C316" s="342">
        <f t="shared" si="115"/>
        <v>0</v>
      </c>
      <c r="D316" s="342">
        <f t="shared" si="115"/>
        <v>0</v>
      </c>
      <c r="E316" s="342">
        <f t="shared" si="115"/>
        <v>0</v>
      </c>
      <c r="F316" s="342">
        <f t="shared" si="115"/>
        <v>0</v>
      </c>
      <c r="G316" s="342">
        <f t="shared" si="115"/>
        <v>0</v>
      </c>
      <c r="H316" s="342">
        <f t="shared" si="115"/>
        <v>0</v>
      </c>
      <c r="I316" s="342">
        <f t="shared" si="115"/>
        <v>0</v>
      </c>
      <c r="J316" s="342">
        <f t="shared" si="115"/>
        <v>0</v>
      </c>
      <c r="K316" s="342">
        <f t="shared" si="115"/>
        <v>0</v>
      </c>
      <c r="L316" s="342">
        <f t="shared" si="115"/>
        <v>0</v>
      </c>
      <c r="M316" s="342">
        <f t="shared" si="115"/>
        <v>0</v>
      </c>
      <c r="N316" s="342">
        <f t="shared" si="115"/>
        <v>0</v>
      </c>
      <c r="O316" s="342">
        <f t="shared" si="115"/>
        <v>0</v>
      </c>
      <c r="P316" s="342">
        <f t="shared" si="115"/>
        <v>0</v>
      </c>
      <c r="Q316" s="342">
        <f t="shared" si="115"/>
        <v>0</v>
      </c>
      <c r="R316" s="342">
        <f t="shared" si="115"/>
        <v>0</v>
      </c>
      <c r="S316" s="342">
        <f t="shared" si="115"/>
        <v>0</v>
      </c>
      <c r="T316" s="342">
        <f t="shared" si="115"/>
        <v>0</v>
      </c>
      <c r="U316" s="342">
        <f t="shared" si="115"/>
        <v>0</v>
      </c>
      <c r="V316" s="342">
        <f t="shared" si="115"/>
        <v>0</v>
      </c>
      <c r="W316" s="342">
        <f t="shared" si="115"/>
        <v>0</v>
      </c>
      <c r="X316" s="342">
        <f t="shared" si="115"/>
        <v>0</v>
      </c>
      <c r="Y316" s="342">
        <f t="shared" si="115"/>
        <v>0</v>
      </c>
      <c r="Z316" s="342">
        <f t="shared" si="115"/>
        <v>0</v>
      </c>
      <c r="AA316" s="342">
        <f t="shared" si="115"/>
        <v>0</v>
      </c>
      <c r="AB316" s="342">
        <f t="shared" si="115"/>
        <v>0</v>
      </c>
      <c r="AC316" s="342">
        <f t="shared" si="115"/>
        <v>0</v>
      </c>
      <c r="AD316" s="342">
        <f t="shared" si="115"/>
        <v>0</v>
      </c>
      <c r="AE316" s="342">
        <f t="shared" si="115"/>
        <v>0</v>
      </c>
      <c r="AF316" s="100"/>
      <c r="AG316" s="693">
        <f t="shared" si="112"/>
        <v>0</v>
      </c>
    </row>
    <row r="317" hidden="1">
      <c r="A317" s="895" t="s">
        <v>175</v>
      </c>
      <c r="B317" s="444">
        <f t="shared" ref="B317:AE317" si="116">B121-B184</f>
        <v>0</v>
      </c>
      <c r="C317" s="444">
        <f t="shared" si="116"/>
        <v>0</v>
      </c>
      <c r="D317" s="444">
        <f t="shared" si="116"/>
        <v>0</v>
      </c>
      <c r="E317" s="444">
        <f t="shared" si="116"/>
        <v>0</v>
      </c>
      <c r="F317" s="444">
        <f t="shared" si="116"/>
        <v>0</v>
      </c>
      <c r="G317" s="444">
        <f t="shared" si="116"/>
        <v>0</v>
      </c>
      <c r="H317" s="444">
        <f t="shared" si="116"/>
        <v>0</v>
      </c>
      <c r="I317" s="444">
        <f t="shared" si="116"/>
        <v>0</v>
      </c>
      <c r="J317" s="444">
        <f t="shared" si="116"/>
        <v>0</v>
      </c>
      <c r="K317" s="444">
        <f t="shared" si="116"/>
        <v>0</v>
      </c>
      <c r="L317" s="444">
        <f t="shared" si="116"/>
        <v>0</v>
      </c>
      <c r="M317" s="444">
        <f t="shared" si="116"/>
        <v>0</v>
      </c>
      <c r="N317" s="444">
        <f t="shared" si="116"/>
        <v>0</v>
      </c>
      <c r="O317" s="444">
        <f t="shared" si="116"/>
        <v>0</v>
      </c>
      <c r="P317" s="444">
        <f t="shared" si="116"/>
        <v>0</v>
      </c>
      <c r="Q317" s="444">
        <f t="shared" si="116"/>
        <v>0</v>
      </c>
      <c r="R317" s="444">
        <f t="shared" si="116"/>
        <v>0</v>
      </c>
      <c r="S317" s="444">
        <f t="shared" si="116"/>
        <v>0</v>
      </c>
      <c r="T317" s="444">
        <f t="shared" si="116"/>
        <v>0</v>
      </c>
      <c r="U317" s="444">
        <f t="shared" si="116"/>
        <v>0</v>
      </c>
      <c r="V317" s="444">
        <f t="shared" si="116"/>
        <v>0</v>
      </c>
      <c r="W317" s="444">
        <f t="shared" si="116"/>
        <v>0</v>
      </c>
      <c r="X317" s="444">
        <f t="shared" si="116"/>
        <v>0</v>
      </c>
      <c r="Y317" s="444">
        <f t="shared" si="116"/>
        <v>0</v>
      </c>
      <c r="Z317" s="444">
        <f t="shared" si="116"/>
        <v>0</v>
      </c>
      <c r="AA317" s="444">
        <f t="shared" si="116"/>
        <v>0</v>
      </c>
      <c r="AB317" s="444">
        <f t="shared" si="116"/>
        <v>0</v>
      </c>
      <c r="AC317" s="444">
        <f t="shared" si="116"/>
        <v>0</v>
      </c>
      <c r="AD317" s="444">
        <f t="shared" si="116"/>
        <v>0</v>
      </c>
      <c r="AE317" s="444">
        <f t="shared" si="116"/>
        <v>0</v>
      </c>
      <c r="AF317" s="100"/>
      <c r="AG317" s="693">
        <f t="shared" si="112"/>
        <v>0</v>
      </c>
    </row>
    <row r="318" hidden="1">
      <c r="A318" s="895" t="s">
        <v>177</v>
      </c>
      <c r="B318" s="444">
        <f t="shared" ref="B318:AE318" si="117">B122-B185</f>
        <v>0</v>
      </c>
      <c r="C318" s="444">
        <f t="shared" si="117"/>
        <v>0</v>
      </c>
      <c r="D318" s="444">
        <f t="shared" si="117"/>
        <v>0</v>
      </c>
      <c r="E318" s="444">
        <f t="shared" si="117"/>
        <v>0</v>
      </c>
      <c r="F318" s="444">
        <f t="shared" si="117"/>
        <v>0</v>
      </c>
      <c r="G318" s="444">
        <f t="shared" si="117"/>
        <v>0</v>
      </c>
      <c r="H318" s="444">
        <f t="shared" si="117"/>
        <v>0</v>
      </c>
      <c r="I318" s="444">
        <f t="shared" si="117"/>
        <v>0</v>
      </c>
      <c r="J318" s="444">
        <f t="shared" si="117"/>
        <v>0</v>
      </c>
      <c r="K318" s="444">
        <f t="shared" si="117"/>
        <v>0</v>
      </c>
      <c r="L318" s="444">
        <f t="shared" si="117"/>
        <v>0</v>
      </c>
      <c r="M318" s="444">
        <f t="shared" si="117"/>
        <v>0</v>
      </c>
      <c r="N318" s="444">
        <f t="shared" si="117"/>
        <v>0</v>
      </c>
      <c r="O318" s="444">
        <f t="shared" si="117"/>
        <v>0</v>
      </c>
      <c r="P318" s="444">
        <f t="shared" si="117"/>
        <v>0</v>
      </c>
      <c r="Q318" s="444">
        <f t="shared" si="117"/>
        <v>0</v>
      </c>
      <c r="R318" s="444">
        <f t="shared" si="117"/>
        <v>0</v>
      </c>
      <c r="S318" s="444">
        <f t="shared" si="117"/>
        <v>0</v>
      </c>
      <c r="T318" s="444">
        <f t="shared" si="117"/>
        <v>0</v>
      </c>
      <c r="U318" s="444">
        <f t="shared" si="117"/>
        <v>0</v>
      </c>
      <c r="V318" s="444">
        <f t="shared" si="117"/>
        <v>0</v>
      </c>
      <c r="W318" s="444">
        <f t="shared" si="117"/>
        <v>0</v>
      </c>
      <c r="X318" s="444">
        <f t="shared" si="117"/>
        <v>0</v>
      </c>
      <c r="Y318" s="444">
        <f t="shared" si="117"/>
        <v>0</v>
      </c>
      <c r="Z318" s="444">
        <f t="shared" si="117"/>
        <v>0</v>
      </c>
      <c r="AA318" s="444">
        <f t="shared" si="117"/>
        <v>0</v>
      </c>
      <c r="AB318" s="444">
        <f t="shared" si="117"/>
        <v>0</v>
      </c>
      <c r="AC318" s="444">
        <f t="shared" si="117"/>
        <v>0</v>
      </c>
      <c r="AD318" s="444">
        <f t="shared" si="117"/>
        <v>0</v>
      </c>
      <c r="AE318" s="444">
        <f t="shared" si="117"/>
        <v>0</v>
      </c>
      <c r="AF318" s="100"/>
      <c r="AG318" s="693">
        <f t="shared" si="112"/>
        <v>0</v>
      </c>
    </row>
    <row r="319">
      <c r="A319" s="905" t="s">
        <v>180</v>
      </c>
      <c r="B319" s="906">
        <f t="shared" ref="B319:AF319" si="118">B313+B315+B317</f>
        <v>0</v>
      </c>
      <c r="C319" s="906">
        <f t="shared" si="118"/>
        <v>0</v>
      </c>
      <c r="D319" s="906">
        <f t="shared" si="118"/>
        <v>0</v>
      </c>
      <c r="E319" s="906">
        <f t="shared" si="118"/>
        <v>0</v>
      </c>
      <c r="F319" s="906">
        <f t="shared" si="118"/>
        <v>0</v>
      </c>
      <c r="G319" s="906">
        <f t="shared" si="118"/>
        <v>0</v>
      </c>
      <c r="H319" s="906">
        <f t="shared" si="118"/>
        <v>0</v>
      </c>
      <c r="I319" s="906">
        <f t="shared" si="118"/>
        <v>0</v>
      </c>
      <c r="J319" s="906">
        <f t="shared" si="118"/>
        <v>0</v>
      </c>
      <c r="K319" s="906">
        <f t="shared" si="118"/>
        <v>0</v>
      </c>
      <c r="L319" s="906">
        <f t="shared" si="118"/>
        <v>0</v>
      </c>
      <c r="M319" s="906">
        <f t="shared" si="118"/>
        <v>0</v>
      </c>
      <c r="N319" s="906">
        <f t="shared" si="118"/>
        <v>0</v>
      </c>
      <c r="O319" s="906">
        <f t="shared" si="118"/>
        <v>0</v>
      </c>
      <c r="P319" s="906">
        <f t="shared" si="118"/>
        <v>0</v>
      </c>
      <c r="Q319" s="906">
        <f t="shared" si="118"/>
        <v>0</v>
      </c>
      <c r="R319" s="906">
        <f t="shared" si="118"/>
        <v>0</v>
      </c>
      <c r="S319" s="906">
        <f t="shared" si="118"/>
        <v>0</v>
      </c>
      <c r="T319" s="906">
        <f t="shared" si="118"/>
        <v>0</v>
      </c>
      <c r="U319" s="906">
        <f t="shared" si="118"/>
        <v>0</v>
      </c>
      <c r="V319" s="906">
        <f t="shared" si="118"/>
        <v>0</v>
      </c>
      <c r="W319" s="906">
        <f t="shared" si="118"/>
        <v>0</v>
      </c>
      <c r="X319" s="906">
        <f t="shared" si="118"/>
        <v>0</v>
      </c>
      <c r="Y319" s="906">
        <f t="shared" si="118"/>
        <v>0</v>
      </c>
      <c r="Z319" s="906">
        <f t="shared" si="118"/>
        <v>0</v>
      </c>
      <c r="AA319" s="906">
        <f t="shared" si="118"/>
        <v>0</v>
      </c>
      <c r="AB319" s="906">
        <f t="shared" si="118"/>
        <v>0</v>
      </c>
      <c r="AC319" s="906">
        <f t="shared" si="118"/>
        <v>0</v>
      </c>
      <c r="AD319" s="906">
        <f t="shared" si="118"/>
        <v>0</v>
      </c>
      <c r="AE319" s="906">
        <f t="shared" si="118"/>
        <v>0</v>
      </c>
      <c r="AF319" s="906">
        <f t="shared" si="118"/>
        <v>0</v>
      </c>
      <c r="AG319" s="693">
        <f t="shared" si="112"/>
        <v>0</v>
      </c>
    </row>
    <row r="320">
      <c r="A320" s="905" t="s">
        <v>185</v>
      </c>
      <c r="B320" s="906">
        <f t="shared" ref="B320:AF320" si="119">B314+B316+B318</f>
        <v>-2</v>
      </c>
      <c r="C320" s="906">
        <f t="shared" si="119"/>
        <v>-3</v>
      </c>
      <c r="D320" s="906">
        <f t="shared" si="119"/>
        <v>-3</v>
      </c>
      <c r="E320" s="906">
        <f t="shared" si="119"/>
        <v>-3</v>
      </c>
      <c r="F320" s="906">
        <f t="shared" si="119"/>
        <v>-2</v>
      </c>
      <c r="G320" s="906">
        <f t="shared" si="119"/>
        <v>-1</v>
      </c>
      <c r="H320" s="906">
        <f t="shared" si="119"/>
        <v>-3</v>
      </c>
      <c r="I320" s="906">
        <f t="shared" si="119"/>
        <v>-3</v>
      </c>
      <c r="J320" s="906">
        <f t="shared" si="119"/>
        <v>-4</v>
      </c>
      <c r="K320" s="906">
        <f t="shared" si="119"/>
        <v>-2</v>
      </c>
      <c r="L320" s="906">
        <f t="shared" si="119"/>
        <v>-3</v>
      </c>
      <c r="M320" s="906">
        <f t="shared" si="119"/>
        <v>-1</v>
      </c>
      <c r="N320" s="906">
        <f t="shared" si="119"/>
        <v>-4</v>
      </c>
      <c r="O320" s="906">
        <f t="shared" si="119"/>
        <v>-5</v>
      </c>
      <c r="P320" s="906">
        <f t="shared" si="119"/>
        <v>-4</v>
      </c>
      <c r="Q320" s="906">
        <f t="shared" si="119"/>
        <v>-1</v>
      </c>
      <c r="R320" s="906">
        <f t="shared" si="119"/>
        <v>-5</v>
      </c>
      <c r="S320" s="906">
        <f t="shared" si="119"/>
        <v>-5</v>
      </c>
      <c r="T320" s="906">
        <f t="shared" si="119"/>
        <v>-2</v>
      </c>
      <c r="U320" s="906">
        <f t="shared" si="119"/>
        <v>-2</v>
      </c>
      <c r="V320" s="906">
        <f t="shared" si="119"/>
        <v>-2</v>
      </c>
      <c r="W320" s="906">
        <f t="shared" si="119"/>
        <v>-3</v>
      </c>
      <c r="X320" s="906">
        <f t="shared" si="119"/>
        <v>-6</v>
      </c>
      <c r="Y320" s="906">
        <f t="shared" si="119"/>
        <v>-1</v>
      </c>
      <c r="Z320" s="906">
        <f t="shared" si="119"/>
        <v>0</v>
      </c>
      <c r="AA320" s="906">
        <f t="shared" si="119"/>
        <v>0</v>
      </c>
      <c r="AB320" s="906">
        <f t="shared" si="119"/>
        <v>0</v>
      </c>
      <c r="AC320" s="906">
        <f t="shared" si="119"/>
        <v>0</v>
      </c>
      <c r="AD320" s="906">
        <f t="shared" si="119"/>
        <v>0</v>
      </c>
      <c r="AE320" s="906">
        <f t="shared" si="119"/>
        <v>0</v>
      </c>
      <c r="AF320" s="906">
        <f t="shared" si="119"/>
        <v>0</v>
      </c>
      <c r="AG320" s="693">
        <f t="shared" si="112"/>
        <v>-70</v>
      </c>
    </row>
    <row r="321">
      <c r="A321" s="25"/>
      <c r="B321" s="661"/>
      <c r="C321" s="661"/>
      <c r="D321" s="661"/>
      <c r="E321" s="661"/>
      <c r="F321" s="661"/>
      <c r="G321" s="661"/>
      <c r="H321" s="661"/>
      <c r="I321" s="661"/>
      <c r="J321" s="661"/>
      <c r="K321" s="661"/>
      <c r="L321" s="661"/>
      <c r="M321" s="661"/>
      <c r="N321" s="661"/>
      <c r="O321" s="661"/>
      <c r="P321" s="661"/>
      <c r="Q321" s="661"/>
      <c r="R321" s="661"/>
      <c r="S321" s="661"/>
      <c r="T321" s="661"/>
      <c r="U321" s="661"/>
      <c r="V321" s="661"/>
      <c r="W321" s="661"/>
      <c r="X321" s="661"/>
      <c r="Y321" s="661"/>
      <c r="Z321" s="661"/>
      <c r="AA321" s="661"/>
      <c r="AB321" s="661"/>
      <c r="AC321" s="661"/>
      <c r="AD321" s="661"/>
      <c r="AE321" s="661"/>
      <c r="AF321" s="100"/>
      <c r="AG321" s="693"/>
    </row>
    <row r="322" hidden="1">
      <c r="A322" s="895" t="s">
        <v>1065</v>
      </c>
      <c r="B322" s="342">
        <f t="shared" ref="B322:AE322" si="120">B126-B189</f>
        <v>0</v>
      </c>
      <c r="C322" s="342">
        <f t="shared" si="120"/>
        <v>0</v>
      </c>
      <c r="D322" s="342">
        <f t="shared" si="120"/>
        <v>0</v>
      </c>
      <c r="E322" s="342">
        <f t="shared" si="120"/>
        <v>0</v>
      </c>
      <c r="F322" s="342">
        <f t="shared" si="120"/>
        <v>0</v>
      </c>
      <c r="G322" s="342">
        <f t="shared" si="120"/>
        <v>0</v>
      </c>
      <c r="H322" s="342">
        <f t="shared" si="120"/>
        <v>0</v>
      </c>
      <c r="I322" s="342">
        <f t="shared" si="120"/>
        <v>0</v>
      </c>
      <c r="J322" s="342">
        <f t="shared" si="120"/>
        <v>0</v>
      </c>
      <c r="K322" s="342">
        <f t="shared" si="120"/>
        <v>0</v>
      </c>
      <c r="L322" s="342">
        <f t="shared" si="120"/>
        <v>0</v>
      </c>
      <c r="M322" s="342">
        <f t="shared" si="120"/>
        <v>0</v>
      </c>
      <c r="N322" s="342">
        <f t="shared" si="120"/>
        <v>0</v>
      </c>
      <c r="O322" s="342">
        <f t="shared" si="120"/>
        <v>0</v>
      </c>
      <c r="P322" s="342">
        <f t="shared" si="120"/>
        <v>0</v>
      </c>
      <c r="Q322" s="342">
        <f t="shared" si="120"/>
        <v>0</v>
      </c>
      <c r="R322" s="342">
        <f t="shared" si="120"/>
        <v>0</v>
      </c>
      <c r="S322" s="342">
        <f t="shared" si="120"/>
        <v>0</v>
      </c>
      <c r="T322" s="342">
        <f t="shared" si="120"/>
        <v>0</v>
      </c>
      <c r="U322" s="342">
        <f t="shared" si="120"/>
        <v>0</v>
      </c>
      <c r="V322" s="342">
        <f t="shared" si="120"/>
        <v>0</v>
      </c>
      <c r="W322" s="342">
        <f t="shared" si="120"/>
        <v>0</v>
      </c>
      <c r="X322" s="342">
        <f t="shared" si="120"/>
        <v>0</v>
      </c>
      <c r="Y322" s="342">
        <f t="shared" si="120"/>
        <v>0</v>
      </c>
      <c r="Z322" s="342">
        <f t="shared" si="120"/>
        <v>0</v>
      </c>
      <c r="AA322" s="342">
        <f t="shared" si="120"/>
        <v>0</v>
      </c>
      <c r="AB322" s="342">
        <f t="shared" si="120"/>
        <v>0</v>
      </c>
      <c r="AC322" s="342">
        <f t="shared" si="120"/>
        <v>0</v>
      </c>
      <c r="AD322" s="342">
        <f t="shared" si="120"/>
        <v>0</v>
      </c>
      <c r="AE322" s="342">
        <f t="shared" si="120"/>
        <v>0</v>
      </c>
      <c r="AF322" s="100"/>
      <c r="AG322" s="693">
        <f t="shared" ref="AG322:AG327" si="122">SUM(B322:AE322)</f>
        <v>0</v>
      </c>
    </row>
    <row r="323" hidden="1">
      <c r="A323" s="895" t="s">
        <v>1067</v>
      </c>
      <c r="B323" s="342">
        <f t="shared" ref="B323:AE323" si="121">B127-B190</f>
        <v>0</v>
      </c>
      <c r="C323" s="342">
        <f t="shared" si="121"/>
        <v>0</v>
      </c>
      <c r="D323" s="342">
        <f t="shared" si="121"/>
        <v>0</v>
      </c>
      <c r="E323" s="342">
        <f t="shared" si="121"/>
        <v>0</v>
      </c>
      <c r="F323" s="342">
        <f t="shared" si="121"/>
        <v>0</v>
      </c>
      <c r="G323" s="342">
        <f t="shared" si="121"/>
        <v>0</v>
      </c>
      <c r="H323" s="342">
        <f t="shared" si="121"/>
        <v>0</v>
      </c>
      <c r="I323" s="342">
        <f t="shared" si="121"/>
        <v>0</v>
      </c>
      <c r="J323" s="342">
        <f t="shared" si="121"/>
        <v>0</v>
      </c>
      <c r="K323" s="342">
        <f t="shared" si="121"/>
        <v>0</v>
      </c>
      <c r="L323" s="342">
        <f t="shared" si="121"/>
        <v>0</v>
      </c>
      <c r="M323" s="342">
        <f t="shared" si="121"/>
        <v>0</v>
      </c>
      <c r="N323" s="342">
        <f t="shared" si="121"/>
        <v>0</v>
      </c>
      <c r="O323" s="342">
        <f t="shared" si="121"/>
        <v>0</v>
      </c>
      <c r="P323" s="342">
        <f t="shared" si="121"/>
        <v>0</v>
      </c>
      <c r="Q323" s="342">
        <f t="shared" si="121"/>
        <v>0</v>
      </c>
      <c r="R323" s="342">
        <f t="shared" si="121"/>
        <v>0</v>
      </c>
      <c r="S323" s="342">
        <f t="shared" si="121"/>
        <v>0</v>
      </c>
      <c r="T323" s="342">
        <f t="shared" si="121"/>
        <v>0</v>
      </c>
      <c r="U323" s="342">
        <f t="shared" si="121"/>
        <v>0</v>
      </c>
      <c r="V323" s="342">
        <f t="shared" si="121"/>
        <v>0</v>
      </c>
      <c r="W323" s="342">
        <f t="shared" si="121"/>
        <v>0</v>
      </c>
      <c r="X323" s="342">
        <f t="shared" si="121"/>
        <v>0</v>
      </c>
      <c r="Y323" s="342">
        <f t="shared" si="121"/>
        <v>0</v>
      </c>
      <c r="Z323" s="342">
        <f t="shared" si="121"/>
        <v>0</v>
      </c>
      <c r="AA323" s="342">
        <f t="shared" si="121"/>
        <v>0</v>
      </c>
      <c r="AB323" s="342">
        <f t="shared" si="121"/>
        <v>0</v>
      </c>
      <c r="AC323" s="342">
        <f t="shared" si="121"/>
        <v>0</v>
      </c>
      <c r="AD323" s="342">
        <f t="shared" si="121"/>
        <v>0</v>
      </c>
      <c r="AE323" s="342">
        <f t="shared" si="121"/>
        <v>0</v>
      </c>
      <c r="AF323" s="100"/>
      <c r="AG323" s="693">
        <f t="shared" si="122"/>
        <v>0</v>
      </c>
    </row>
    <row r="324" hidden="1">
      <c r="A324" s="895" t="s">
        <v>192</v>
      </c>
      <c r="B324" s="342">
        <f t="shared" ref="B324:AE324" si="123">B128-B191</f>
        <v>0</v>
      </c>
      <c r="C324" s="342">
        <f t="shared" si="123"/>
        <v>0</v>
      </c>
      <c r="D324" s="342">
        <f t="shared" si="123"/>
        <v>0</v>
      </c>
      <c r="E324" s="342">
        <f t="shared" si="123"/>
        <v>0</v>
      </c>
      <c r="F324" s="342">
        <f t="shared" si="123"/>
        <v>0</v>
      </c>
      <c r="G324" s="342">
        <f t="shared" si="123"/>
        <v>0</v>
      </c>
      <c r="H324" s="342">
        <f t="shared" si="123"/>
        <v>0</v>
      </c>
      <c r="I324" s="342">
        <f t="shared" si="123"/>
        <v>0</v>
      </c>
      <c r="J324" s="342">
        <f t="shared" si="123"/>
        <v>0</v>
      </c>
      <c r="K324" s="342">
        <f t="shared" si="123"/>
        <v>0</v>
      </c>
      <c r="L324" s="342">
        <f t="shared" si="123"/>
        <v>0</v>
      </c>
      <c r="M324" s="342">
        <f t="shared" si="123"/>
        <v>0</v>
      </c>
      <c r="N324" s="342">
        <f t="shared" si="123"/>
        <v>0</v>
      </c>
      <c r="O324" s="342">
        <f t="shared" si="123"/>
        <v>0</v>
      </c>
      <c r="P324" s="342">
        <f t="shared" si="123"/>
        <v>0</v>
      </c>
      <c r="Q324" s="342">
        <f t="shared" si="123"/>
        <v>0</v>
      </c>
      <c r="R324" s="342">
        <f t="shared" si="123"/>
        <v>0</v>
      </c>
      <c r="S324" s="342">
        <f t="shared" si="123"/>
        <v>0</v>
      </c>
      <c r="T324" s="342">
        <f t="shared" si="123"/>
        <v>0</v>
      </c>
      <c r="U324" s="342">
        <f t="shared" si="123"/>
        <v>0</v>
      </c>
      <c r="V324" s="342">
        <f t="shared" si="123"/>
        <v>0</v>
      </c>
      <c r="W324" s="342">
        <f t="shared" si="123"/>
        <v>0</v>
      </c>
      <c r="X324" s="342">
        <f t="shared" si="123"/>
        <v>0</v>
      </c>
      <c r="Y324" s="342">
        <f t="shared" si="123"/>
        <v>0</v>
      </c>
      <c r="Z324" s="342">
        <f t="shared" si="123"/>
        <v>0</v>
      </c>
      <c r="AA324" s="342">
        <f t="shared" si="123"/>
        <v>0</v>
      </c>
      <c r="AB324" s="342">
        <f t="shared" si="123"/>
        <v>0</v>
      </c>
      <c r="AC324" s="342">
        <f t="shared" si="123"/>
        <v>0</v>
      </c>
      <c r="AD324" s="342">
        <f t="shared" si="123"/>
        <v>0</v>
      </c>
      <c r="AE324" s="342">
        <f t="shared" si="123"/>
        <v>0</v>
      </c>
      <c r="AF324" s="100"/>
      <c r="AG324" s="693">
        <f t="shared" si="122"/>
        <v>0</v>
      </c>
    </row>
    <row r="325" hidden="1">
      <c r="A325" s="895" t="s">
        <v>1068</v>
      </c>
      <c r="B325" s="342">
        <f t="shared" ref="B325:AE325" si="124">B129-B192</f>
        <v>0</v>
      </c>
      <c r="C325" s="342">
        <f t="shared" si="124"/>
        <v>0</v>
      </c>
      <c r="D325" s="342">
        <f t="shared" si="124"/>
        <v>0</v>
      </c>
      <c r="E325" s="342">
        <f t="shared" si="124"/>
        <v>0</v>
      </c>
      <c r="F325" s="342">
        <f t="shared" si="124"/>
        <v>0</v>
      </c>
      <c r="G325" s="342">
        <f t="shared" si="124"/>
        <v>0</v>
      </c>
      <c r="H325" s="342">
        <f t="shared" si="124"/>
        <v>0</v>
      </c>
      <c r="I325" s="342">
        <f t="shared" si="124"/>
        <v>0</v>
      </c>
      <c r="J325" s="342">
        <f t="shared" si="124"/>
        <v>0</v>
      </c>
      <c r="K325" s="342">
        <f t="shared" si="124"/>
        <v>0</v>
      </c>
      <c r="L325" s="342">
        <f t="shared" si="124"/>
        <v>0</v>
      </c>
      <c r="M325" s="342">
        <f t="shared" si="124"/>
        <v>0</v>
      </c>
      <c r="N325" s="342">
        <f t="shared" si="124"/>
        <v>0</v>
      </c>
      <c r="O325" s="342">
        <f t="shared" si="124"/>
        <v>0</v>
      </c>
      <c r="P325" s="342">
        <f t="shared" si="124"/>
        <v>0</v>
      </c>
      <c r="Q325" s="342">
        <f t="shared" si="124"/>
        <v>0</v>
      </c>
      <c r="R325" s="342">
        <f t="shared" si="124"/>
        <v>0</v>
      </c>
      <c r="S325" s="342">
        <f t="shared" si="124"/>
        <v>0</v>
      </c>
      <c r="T325" s="342">
        <f t="shared" si="124"/>
        <v>0</v>
      </c>
      <c r="U325" s="342">
        <f t="shared" si="124"/>
        <v>0</v>
      </c>
      <c r="V325" s="342">
        <f t="shared" si="124"/>
        <v>0</v>
      </c>
      <c r="W325" s="342">
        <f t="shared" si="124"/>
        <v>0</v>
      </c>
      <c r="X325" s="342">
        <f t="shared" si="124"/>
        <v>0</v>
      </c>
      <c r="Y325" s="342">
        <f t="shared" si="124"/>
        <v>0</v>
      </c>
      <c r="Z325" s="342">
        <f t="shared" si="124"/>
        <v>0</v>
      </c>
      <c r="AA325" s="342">
        <f t="shared" si="124"/>
        <v>0</v>
      </c>
      <c r="AB325" s="342">
        <f t="shared" si="124"/>
        <v>0</v>
      </c>
      <c r="AC325" s="342">
        <f t="shared" si="124"/>
        <v>0</v>
      </c>
      <c r="AD325" s="342">
        <f t="shared" si="124"/>
        <v>0</v>
      </c>
      <c r="AE325" s="342">
        <f t="shared" si="124"/>
        <v>0</v>
      </c>
      <c r="AF325" s="100"/>
      <c r="AG325" s="693">
        <f t="shared" si="122"/>
        <v>0</v>
      </c>
    </row>
    <row r="326" hidden="1">
      <c r="A326" s="895" t="s">
        <v>1069</v>
      </c>
      <c r="B326" s="342">
        <f t="shared" ref="B326:AE326" si="125">B130-B193</f>
        <v>0</v>
      </c>
      <c r="C326" s="342">
        <f t="shared" si="125"/>
        <v>0</v>
      </c>
      <c r="D326" s="342">
        <f t="shared" si="125"/>
        <v>0</v>
      </c>
      <c r="E326" s="342">
        <f t="shared" si="125"/>
        <v>0</v>
      </c>
      <c r="F326" s="342">
        <f t="shared" si="125"/>
        <v>0</v>
      </c>
      <c r="G326" s="342">
        <f t="shared" si="125"/>
        <v>0</v>
      </c>
      <c r="H326" s="342">
        <f t="shared" si="125"/>
        <v>0</v>
      </c>
      <c r="I326" s="342">
        <f t="shared" si="125"/>
        <v>0</v>
      </c>
      <c r="J326" s="342">
        <f t="shared" si="125"/>
        <v>0</v>
      </c>
      <c r="K326" s="342">
        <f t="shared" si="125"/>
        <v>0</v>
      </c>
      <c r="L326" s="342">
        <f t="shared" si="125"/>
        <v>0</v>
      </c>
      <c r="M326" s="342">
        <f t="shared" si="125"/>
        <v>0</v>
      </c>
      <c r="N326" s="342">
        <f t="shared" si="125"/>
        <v>0</v>
      </c>
      <c r="O326" s="342">
        <f t="shared" si="125"/>
        <v>0</v>
      </c>
      <c r="P326" s="342">
        <f t="shared" si="125"/>
        <v>0</v>
      </c>
      <c r="Q326" s="342">
        <f t="shared" si="125"/>
        <v>0</v>
      </c>
      <c r="R326" s="342">
        <f t="shared" si="125"/>
        <v>0</v>
      </c>
      <c r="S326" s="342">
        <f t="shared" si="125"/>
        <v>0</v>
      </c>
      <c r="T326" s="342">
        <f t="shared" si="125"/>
        <v>0</v>
      </c>
      <c r="U326" s="342">
        <f t="shared" si="125"/>
        <v>0</v>
      </c>
      <c r="V326" s="342">
        <f t="shared" si="125"/>
        <v>0</v>
      </c>
      <c r="W326" s="342">
        <f t="shared" si="125"/>
        <v>0</v>
      </c>
      <c r="X326" s="342">
        <f t="shared" si="125"/>
        <v>0</v>
      </c>
      <c r="Y326" s="342">
        <f t="shared" si="125"/>
        <v>0</v>
      </c>
      <c r="Z326" s="342">
        <f t="shared" si="125"/>
        <v>0</v>
      </c>
      <c r="AA326" s="342">
        <f t="shared" si="125"/>
        <v>0</v>
      </c>
      <c r="AB326" s="342">
        <f t="shared" si="125"/>
        <v>0</v>
      </c>
      <c r="AC326" s="342">
        <f t="shared" si="125"/>
        <v>0</v>
      </c>
      <c r="AD326" s="342">
        <f t="shared" si="125"/>
        <v>0</v>
      </c>
      <c r="AE326" s="342">
        <f t="shared" si="125"/>
        <v>0</v>
      </c>
      <c r="AF326" s="100"/>
      <c r="AG326" s="693">
        <f t="shared" si="122"/>
        <v>0</v>
      </c>
    </row>
    <row r="327">
      <c r="A327" s="912" t="s">
        <v>1073</v>
      </c>
      <c r="B327" s="906">
        <f t="shared" ref="B327:AF327" si="126">SUM(B322:B326)</f>
        <v>0</v>
      </c>
      <c r="C327" s="906">
        <f t="shared" si="126"/>
        <v>0</v>
      </c>
      <c r="D327" s="906">
        <f t="shared" si="126"/>
        <v>0</v>
      </c>
      <c r="E327" s="906">
        <f t="shared" si="126"/>
        <v>0</v>
      </c>
      <c r="F327" s="906">
        <f t="shared" si="126"/>
        <v>0</v>
      </c>
      <c r="G327" s="906">
        <f t="shared" si="126"/>
        <v>0</v>
      </c>
      <c r="H327" s="906">
        <f t="shared" si="126"/>
        <v>0</v>
      </c>
      <c r="I327" s="906">
        <f t="shared" si="126"/>
        <v>0</v>
      </c>
      <c r="J327" s="906">
        <f t="shared" si="126"/>
        <v>0</v>
      </c>
      <c r="K327" s="906">
        <f t="shared" si="126"/>
        <v>0</v>
      </c>
      <c r="L327" s="906">
        <f t="shared" si="126"/>
        <v>0</v>
      </c>
      <c r="M327" s="906">
        <f t="shared" si="126"/>
        <v>0</v>
      </c>
      <c r="N327" s="906">
        <f t="shared" si="126"/>
        <v>0</v>
      </c>
      <c r="O327" s="906">
        <f t="shared" si="126"/>
        <v>0</v>
      </c>
      <c r="P327" s="906">
        <f t="shared" si="126"/>
        <v>0</v>
      </c>
      <c r="Q327" s="906">
        <f t="shared" si="126"/>
        <v>0</v>
      </c>
      <c r="R327" s="906">
        <f t="shared" si="126"/>
        <v>0</v>
      </c>
      <c r="S327" s="906">
        <f t="shared" si="126"/>
        <v>0</v>
      </c>
      <c r="T327" s="906">
        <f t="shared" si="126"/>
        <v>0</v>
      </c>
      <c r="U327" s="906">
        <f t="shared" si="126"/>
        <v>0</v>
      </c>
      <c r="V327" s="906">
        <f t="shared" si="126"/>
        <v>0</v>
      </c>
      <c r="W327" s="906">
        <f t="shared" si="126"/>
        <v>0</v>
      </c>
      <c r="X327" s="906">
        <f t="shared" si="126"/>
        <v>0</v>
      </c>
      <c r="Y327" s="906">
        <f t="shared" si="126"/>
        <v>0</v>
      </c>
      <c r="Z327" s="906">
        <f t="shared" si="126"/>
        <v>0</v>
      </c>
      <c r="AA327" s="906">
        <f t="shared" si="126"/>
        <v>0</v>
      </c>
      <c r="AB327" s="906">
        <f t="shared" si="126"/>
        <v>0</v>
      </c>
      <c r="AC327" s="906">
        <f t="shared" si="126"/>
        <v>0</v>
      </c>
      <c r="AD327" s="906">
        <f t="shared" si="126"/>
        <v>0</v>
      </c>
      <c r="AE327" s="906">
        <f t="shared" si="126"/>
        <v>0</v>
      </c>
      <c r="AF327" s="906">
        <f t="shared" si="126"/>
        <v>0</v>
      </c>
      <c r="AG327" s="693">
        <f t="shared" si="122"/>
        <v>0</v>
      </c>
    </row>
    <row r="328">
      <c r="A328" s="25"/>
      <c r="B328" s="661"/>
      <c r="C328" s="661"/>
      <c r="D328" s="661"/>
      <c r="E328" s="661"/>
      <c r="F328" s="661"/>
      <c r="G328" s="661"/>
      <c r="H328" s="661"/>
      <c r="I328" s="661"/>
      <c r="J328" s="661"/>
      <c r="K328" s="661"/>
      <c r="L328" s="661"/>
      <c r="M328" s="661"/>
      <c r="N328" s="661"/>
      <c r="O328" s="661"/>
      <c r="P328" s="661"/>
      <c r="Q328" s="661"/>
      <c r="R328" s="661"/>
      <c r="S328" s="661"/>
      <c r="T328" s="661"/>
      <c r="U328" s="661"/>
      <c r="V328" s="661"/>
      <c r="W328" s="661"/>
      <c r="X328" s="661"/>
      <c r="Y328" s="661"/>
      <c r="Z328" s="661"/>
      <c r="AA328" s="661"/>
      <c r="AB328" s="661"/>
      <c r="AC328" s="661"/>
      <c r="AD328" s="661"/>
      <c r="AE328" s="661"/>
      <c r="AF328" s="100"/>
      <c r="AG328" s="693"/>
    </row>
    <row r="329" hidden="1">
      <c r="A329" s="895" t="s">
        <v>198</v>
      </c>
      <c r="B329" s="342">
        <f t="shared" ref="B329:AE329" si="127">B133-B196</f>
        <v>0</v>
      </c>
      <c r="C329" s="342">
        <f t="shared" si="127"/>
        <v>0</v>
      </c>
      <c r="D329" s="342">
        <f t="shared" si="127"/>
        <v>0</v>
      </c>
      <c r="E329" s="342">
        <f t="shared" si="127"/>
        <v>0</v>
      </c>
      <c r="F329" s="342">
        <f t="shared" si="127"/>
        <v>0</v>
      </c>
      <c r="G329" s="342">
        <f t="shared" si="127"/>
        <v>0</v>
      </c>
      <c r="H329" s="342">
        <f t="shared" si="127"/>
        <v>0</v>
      </c>
      <c r="I329" s="342">
        <f t="shared" si="127"/>
        <v>0</v>
      </c>
      <c r="J329" s="342">
        <f t="shared" si="127"/>
        <v>0</v>
      </c>
      <c r="K329" s="342">
        <f t="shared" si="127"/>
        <v>0</v>
      </c>
      <c r="L329" s="342">
        <f t="shared" si="127"/>
        <v>0</v>
      </c>
      <c r="M329" s="342">
        <f t="shared" si="127"/>
        <v>0</v>
      </c>
      <c r="N329" s="342">
        <f t="shared" si="127"/>
        <v>0</v>
      </c>
      <c r="O329" s="342">
        <f t="shared" si="127"/>
        <v>0</v>
      </c>
      <c r="P329" s="342">
        <f t="shared" si="127"/>
        <v>0</v>
      </c>
      <c r="Q329" s="342">
        <f t="shared" si="127"/>
        <v>0</v>
      </c>
      <c r="R329" s="342">
        <f t="shared" si="127"/>
        <v>0</v>
      </c>
      <c r="S329" s="342">
        <f t="shared" si="127"/>
        <v>0</v>
      </c>
      <c r="T329" s="342">
        <f t="shared" si="127"/>
        <v>0</v>
      </c>
      <c r="U329" s="342">
        <f t="shared" si="127"/>
        <v>0</v>
      </c>
      <c r="V329" s="342">
        <f t="shared" si="127"/>
        <v>0</v>
      </c>
      <c r="W329" s="342">
        <f t="shared" si="127"/>
        <v>0</v>
      </c>
      <c r="X329" s="342">
        <f t="shared" si="127"/>
        <v>0</v>
      </c>
      <c r="Y329" s="342">
        <f t="shared" si="127"/>
        <v>0</v>
      </c>
      <c r="Z329" s="342">
        <f t="shared" si="127"/>
        <v>0</v>
      </c>
      <c r="AA329" s="342">
        <f t="shared" si="127"/>
        <v>0</v>
      </c>
      <c r="AB329" s="342">
        <f t="shared" si="127"/>
        <v>0</v>
      </c>
      <c r="AC329" s="342">
        <f t="shared" si="127"/>
        <v>0</v>
      </c>
      <c r="AD329" s="342">
        <f t="shared" si="127"/>
        <v>0</v>
      </c>
      <c r="AE329" s="342">
        <f t="shared" si="127"/>
        <v>0</v>
      </c>
      <c r="AF329" s="100"/>
      <c r="AG329" s="693">
        <f t="shared" ref="AG329:AG334" si="129">SUM(B329:AE329)</f>
        <v>0</v>
      </c>
    </row>
    <row r="330" hidden="1">
      <c r="A330" s="895" t="s">
        <v>201</v>
      </c>
      <c r="B330" s="342">
        <f t="shared" ref="B330:AE330" si="128">B134-B197</f>
        <v>0</v>
      </c>
      <c r="C330" s="342">
        <f t="shared" si="128"/>
        <v>0</v>
      </c>
      <c r="D330" s="342">
        <f t="shared" si="128"/>
        <v>0</v>
      </c>
      <c r="E330" s="342">
        <f t="shared" si="128"/>
        <v>0</v>
      </c>
      <c r="F330" s="342">
        <f t="shared" si="128"/>
        <v>0</v>
      </c>
      <c r="G330" s="342">
        <f t="shared" si="128"/>
        <v>0</v>
      </c>
      <c r="H330" s="342">
        <f t="shared" si="128"/>
        <v>0</v>
      </c>
      <c r="I330" s="342">
        <f t="shared" si="128"/>
        <v>0</v>
      </c>
      <c r="J330" s="342">
        <f t="shared" si="128"/>
        <v>0</v>
      </c>
      <c r="K330" s="342">
        <f t="shared" si="128"/>
        <v>0</v>
      </c>
      <c r="L330" s="342">
        <f t="shared" si="128"/>
        <v>0</v>
      </c>
      <c r="M330" s="342">
        <f t="shared" si="128"/>
        <v>0</v>
      </c>
      <c r="N330" s="342">
        <f t="shared" si="128"/>
        <v>0</v>
      </c>
      <c r="O330" s="342">
        <f t="shared" si="128"/>
        <v>0</v>
      </c>
      <c r="P330" s="342">
        <f t="shared" si="128"/>
        <v>0</v>
      </c>
      <c r="Q330" s="342">
        <f t="shared" si="128"/>
        <v>0</v>
      </c>
      <c r="R330" s="342">
        <f t="shared" si="128"/>
        <v>0</v>
      </c>
      <c r="S330" s="342">
        <f t="shared" si="128"/>
        <v>0</v>
      </c>
      <c r="T330" s="342">
        <f t="shared" si="128"/>
        <v>0</v>
      </c>
      <c r="U330" s="342">
        <f t="shared" si="128"/>
        <v>0</v>
      </c>
      <c r="V330" s="342">
        <f t="shared" si="128"/>
        <v>0</v>
      </c>
      <c r="W330" s="342">
        <f t="shared" si="128"/>
        <v>0</v>
      </c>
      <c r="X330" s="342">
        <f t="shared" si="128"/>
        <v>0</v>
      </c>
      <c r="Y330" s="342">
        <f t="shared" si="128"/>
        <v>0</v>
      </c>
      <c r="Z330" s="342">
        <f t="shared" si="128"/>
        <v>0</v>
      </c>
      <c r="AA330" s="342">
        <f t="shared" si="128"/>
        <v>0</v>
      </c>
      <c r="AB330" s="342">
        <f t="shared" si="128"/>
        <v>0</v>
      </c>
      <c r="AC330" s="342">
        <f t="shared" si="128"/>
        <v>0</v>
      </c>
      <c r="AD330" s="342">
        <f t="shared" si="128"/>
        <v>0</v>
      </c>
      <c r="AE330" s="342">
        <f t="shared" si="128"/>
        <v>0</v>
      </c>
      <c r="AF330" s="100"/>
      <c r="AG330" s="693">
        <f t="shared" si="129"/>
        <v>0</v>
      </c>
    </row>
    <row r="331" hidden="1">
      <c r="A331" s="895" t="s">
        <v>202</v>
      </c>
      <c r="B331" s="342">
        <f t="shared" ref="B331:AE331" si="130">B135-B198</f>
        <v>0</v>
      </c>
      <c r="C331" s="342">
        <f t="shared" si="130"/>
        <v>0</v>
      </c>
      <c r="D331" s="342">
        <f t="shared" si="130"/>
        <v>0</v>
      </c>
      <c r="E331" s="342">
        <f t="shared" si="130"/>
        <v>0</v>
      </c>
      <c r="F331" s="342">
        <f t="shared" si="130"/>
        <v>0</v>
      </c>
      <c r="G331" s="342">
        <f t="shared" si="130"/>
        <v>0</v>
      </c>
      <c r="H331" s="342">
        <f t="shared" si="130"/>
        <v>0</v>
      </c>
      <c r="I331" s="342">
        <f t="shared" si="130"/>
        <v>0</v>
      </c>
      <c r="J331" s="342">
        <f t="shared" si="130"/>
        <v>0</v>
      </c>
      <c r="K331" s="342">
        <f t="shared" si="130"/>
        <v>0</v>
      </c>
      <c r="L331" s="342">
        <f t="shared" si="130"/>
        <v>0</v>
      </c>
      <c r="M331" s="342">
        <f t="shared" si="130"/>
        <v>0</v>
      </c>
      <c r="N331" s="342">
        <f t="shared" si="130"/>
        <v>0</v>
      </c>
      <c r="O331" s="342">
        <f t="shared" si="130"/>
        <v>0</v>
      </c>
      <c r="P331" s="342">
        <f t="shared" si="130"/>
        <v>0</v>
      </c>
      <c r="Q331" s="342">
        <f t="shared" si="130"/>
        <v>0</v>
      </c>
      <c r="R331" s="342">
        <f t="shared" si="130"/>
        <v>0</v>
      </c>
      <c r="S331" s="342">
        <f t="shared" si="130"/>
        <v>0</v>
      </c>
      <c r="T331" s="342">
        <f t="shared" si="130"/>
        <v>0</v>
      </c>
      <c r="U331" s="342">
        <f t="shared" si="130"/>
        <v>0</v>
      </c>
      <c r="V331" s="342">
        <f t="shared" si="130"/>
        <v>0</v>
      </c>
      <c r="W331" s="342">
        <f t="shared" si="130"/>
        <v>0</v>
      </c>
      <c r="X331" s="342">
        <f t="shared" si="130"/>
        <v>0</v>
      </c>
      <c r="Y331" s="342">
        <f t="shared" si="130"/>
        <v>0</v>
      </c>
      <c r="Z331" s="342">
        <f t="shared" si="130"/>
        <v>0</v>
      </c>
      <c r="AA331" s="342">
        <f t="shared" si="130"/>
        <v>0</v>
      </c>
      <c r="AB331" s="342">
        <f t="shared" si="130"/>
        <v>0</v>
      </c>
      <c r="AC331" s="342">
        <f t="shared" si="130"/>
        <v>0</v>
      </c>
      <c r="AD331" s="342">
        <f t="shared" si="130"/>
        <v>0</v>
      </c>
      <c r="AE331" s="342">
        <f t="shared" si="130"/>
        <v>0</v>
      </c>
      <c r="AF331" s="100"/>
      <c r="AG331" s="693">
        <f t="shared" si="129"/>
        <v>0</v>
      </c>
    </row>
    <row r="332" hidden="1">
      <c r="A332" s="895" t="s">
        <v>203</v>
      </c>
      <c r="B332" s="342">
        <f t="shared" ref="B332:AE332" si="131">B136-B199</f>
        <v>0</v>
      </c>
      <c r="C332" s="342">
        <f t="shared" si="131"/>
        <v>0</v>
      </c>
      <c r="D332" s="342">
        <f t="shared" si="131"/>
        <v>0</v>
      </c>
      <c r="E332" s="342">
        <f t="shared" si="131"/>
        <v>0</v>
      </c>
      <c r="F332" s="342">
        <f t="shared" si="131"/>
        <v>0</v>
      </c>
      <c r="G332" s="342">
        <f t="shared" si="131"/>
        <v>0</v>
      </c>
      <c r="H332" s="342">
        <f t="shared" si="131"/>
        <v>0</v>
      </c>
      <c r="I332" s="342">
        <f t="shared" si="131"/>
        <v>0</v>
      </c>
      <c r="J332" s="342">
        <f t="shared" si="131"/>
        <v>0</v>
      </c>
      <c r="K332" s="342">
        <f t="shared" si="131"/>
        <v>0</v>
      </c>
      <c r="L332" s="342">
        <f t="shared" si="131"/>
        <v>0</v>
      </c>
      <c r="M332" s="342">
        <f t="shared" si="131"/>
        <v>0</v>
      </c>
      <c r="N332" s="342">
        <f t="shared" si="131"/>
        <v>0</v>
      </c>
      <c r="O332" s="342">
        <f t="shared" si="131"/>
        <v>0</v>
      </c>
      <c r="P332" s="342">
        <f t="shared" si="131"/>
        <v>0</v>
      </c>
      <c r="Q332" s="342">
        <f t="shared" si="131"/>
        <v>0</v>
      </c>
      <c r="R332" s="342">
        <f t="shared" si="131"/>
        <v>0</v>
      </c>
      <c r="S332" s="342">
        <f t="shared" si="131"/>
        <v>0</v>
      </c>
      <c r="T332" s="342">
        <f t="shared" si="131"/>
        <v>0</v>
      </c>
      <c r="U332" s="342">
        <f t="shared" si="131"/>
        <v>0</v>
      </c>
      <c r="V332" s="342">
        <f t="shared" si="131"/>
        <v>0</v>
      </c>
      <c r="W332" s="342">
        <f t="shared" si="131"/>
        <v>0</v>
      </c>
      <c r="X332" s="342">
        <f t="shared" si="131"/>
        <v>0</v>
      </c>
      <c r="Y332" s="342">
        <f t="shared" si="131"/>
        <v>0</v>
      </c>
      <c r="Z332" s="342">
        <f t="shared" si="131"/>
        <v>0</v>
      </c>
      <c r="AA332" s="342">
        <f t="shared" si="131"/>
        <v>0</v>
      </c>
      <c r="AB332" s="342">
        <f t="shared" si="131"/>
        <v>0</v>
      </c>
      <c r="AC332" s="342">
        <f t="shared" si="131"/>
        <v>0</v>
      </c>
      <c r="AD332" s="342">
        <f t="shared" si="131"/>
        <v>0</v>
      </c>
      <c r="AE332" s="342">
        <f t="shared" si="131"/>
        <v>0</v>
      </c>
      <c r="AF332" s="100"/>
      <c r="AG332" s="693">
        <f t="shared" si="129"/>
        <v>0</v>
      </c>
    </row>
    <row r="333" hidden="1">
      <c r="A333" s="895" t="s">
        <v>204</v>
      </c>
      <c r="B333" s="342">
        <f t="shared" ref="B333:AE333" si="132">B137-B200</f>
        <v>0</v>
      </c>
      <c r="C333" s="342">
        <f t="shared" si="132"/>
        <v>0</v>
      </c>
      <c r="D333" s="342">
        <f t="shared" si="132"/>
        <v>0</v>
      </c>
      <c r="E333" s="342">
        <f t="shared" si="132"/>
        <v>0</v>
      </c>
      <c r="F333" s="342">
        <f t="shared" si="132"/>
        <v>0</v>
      </c>
      <c r="G333" s="342">
        <f t="shared" si="132"/>
        <v>0</v>
      </c>
      <c r="H333" s="342">
        <f t="shared" si="132"/>
        <v>0</v>
      </c>
      <c r="I333" s="342">
        <f t="shared" si="132"/>
        <v>0</v>
      </c>
      <c r="J333" s="342">
        <f t="shared" si="132"/>
        <v>0</v>
      </c>
      <c r="K333" s="342">
        <f t="shared" si="132"/>
        <v>0</v>
      </c>
      <c r="L333" s="342">
        <f t="shared" si="132"/>
        <v>0</v>
      </c>
      <c r="M333" s="342">
        <f t="shared" si="132"/>
        <v>0</v>
      </c>
      <c r="N333" s="342">
        <f t="shared" si="132"/>
        <v>0</v>
      </c>
      <c r="O333" s="342">
        <f t="shared" si="132"/>
        <v>0</v>
      </c>
      <c r="P333" s="342">
        <f t="shared" si="132"/>
        <v>0</v>
      </c>
      <c r="Q333" s="342">
        <f t="shared" si="132"/>
        <v>0</v>
      </c>
      <c r="R333" s="342">
        <f t="shared" si="132"/>
        <v>0</v>
      </c>
      <c r="S333" s="342">
        <f t="shared" si="132"/>
        <v>0</v>
      </c>
      <c r="T333" s="342">
        <f t="shared" si="132"/>
        <v>0</v>
      </c>
      <c r="U333" s="342">
        <f t="shared" si="132"/>
        <v>0</v>
      </c>
      <c r="V333" s="342">
        <f t="shared" si="132"/>
        <v>0</v>
      </c>
      <c r="W333" s="342">
        <f t="shared" si="132"/>
        <v>0</v>
      </c>
      <c r="X333" s="342">
        <f t="shared" si="132"/>
        <v>0</v>
      </c>
      <c r="Y333" s="342">
        <f t="shared" si="132"/>
        <v>0</v>
      </c>
      <c r="Z333" s="342">
        <f t="shared" si="132"/>
        <v>0</v>
      </c>
      <c r="AA333" s="342">
        <f t="shared" si="132"/>
        <v>0</v>
      </c>
      <c r="AB333" s="342">
        <f t="shared" si="132"/>
        <v>0</v>
      </c>
      <c r="AC333" s="342">
        <f t="shared" si="132"/>
        <v>0</v>
      </c>
      <c r="AD333" s="342">
        <f t="shared" si="132"/>
        <v>0</v>
      </c>
      <c r="AE333" s="342">
        <f t="shared" si="132"/>
        <v>0</v>
      </c>
      <c r="AF333" s="100"/>
      <c r="AG333" s="693">
        <f t="shared" si="129"/>
        <v>0</v>
      </c>
    </row>
    <row r="334">
      <c r="A334" s="920" t="s">
        <v>205</v>
      </c>
      <c r="B334" s="921">
        <f t="shared" ref="B334:AF334" si="133">SUM(B329:B333)</f>
        <v>0</v>
      </c>
      <c r="C334" s="906">
        <f t="shared" si="133"/>
        <v>0</v>
      </c>
      <c r="D334" s="906">
        <f t="shared" si="133"/>
        <v>0</v>
      </c>
      <c r="E334" s="906">
        <f t="shared" si="133"/>
        <v>0</v>
      </c>
      <c r="F334" s="906">
        <f t="shared" si="133"/>
        <v>0</v>
      </c>
      <c r="G334" s="906">
        <f t="shared" si="133"/>
        <v>0</v>
      </c>
      <c r="H334" s="906">
        <f t="shared" si="133"/>
        <v>0</v>
      </c>
      <c r="I334" s="906">
        <f t="shared" si="133"/>
        <v>0</v>
      </c>
      <c r="J334" s="906">
        <f t="shared" si="133"/>
        <v>0</v>
      </c>
      <c r="K334" s="906">
        <f t="shared" si="133"/>
        <v>0</v>
      </c>
      <c r="L334" s="906">
        <f t="shared" si="133"/>
        <v>0</v>
      </c>
      <c r="M334" s="906">
        <f t="shared" si="133"/>
        <v>0</v>
      </c>
      <c r="N334" s="906">
        <f t="shared" si="133"/>
        <v>0</v>
      </c>
      <c r="O334" s="906">
        <f t="shared" si="133"/>
        <v>0</v>
      </c>
      <c r="P334" s="906">
        <f t="shared" si="133"/>
        <v>0</v>
      </c>
      <c r="Q334" s="906">
        <f t="shared" si="133"/>
        <v>0</v>
      </c>
      <c r="R334" s="906">
        <f t="shared" si="133"/>
        <v>0</v>
      </c>
      <c r="S334" s="906">
        <f t="shared" si="133"/>
        <v>0</v>
      </c>
      <c r="T334" s="906">
        <f t="shared" si="133"/>
        <v>0</v>
      </c>
      <c r="U334" s="906">
        <f t="shared" si="133"/>
        <v>0</v>
      </c>
      <c r="V334" s="906">
        <f t="shared" si="133"/>
        <v>0</v>
      </c>
      <c r="W334" s="906">
        <f t="shared" si="133"/>
        <v>0</v>
      </c>
      <c r="X334" s="906">
        <f t="shared" si="133"/>
        <v>0</v>
      </c>
      <c r="Y334" s="906">
        <f t="shared" si="133"/>
        <v>0</v>
      </c>
      <c r="Z334" s="906">
        <f t="shared" si="133"/>
        <v>0</v>
      </c>
      <c r="AA334" s="906">
        <f t="shared" si="133"/>
        <v>0</v>
      </c>
      <c r="AB334" s="906">
        <f t="shared" si="133"/>
        <v>0</v>
      </c>
      <c r="AC334" s="906">
        <f t="shared" si="133"/>
        <v>0</v>
      </c>
      <c r="AD334" s="906">
        <f t="shared" si="133"/>
        <v>0</v>
      </c>
      <c r="AE334" s="906">
        <f t="shared" si="133"/>
        <v>0</v>
      </c>
      <c r="AF334" s="906">
        <f t="shared" si="133"/>
        <v>0</v>
      </c>
      <c r="AG334" s="693">
        <f t="shared" si="129"/>
        <v>0</v>
      </c>
    </row>
    <row r="335">
      <c r="A335" s="25"/>
      <c r="B335" s="661"/>
      <c r="C335" s="661"/>
      <c r="D335" s="661"/>
      <c r="E335" s="661"/>
      <c r="F335" s="661"/>
      <c r="G335" s="661"/>
      <c r="H335" s="661"/>
      <c r="I335" s="661"/>
      <c r="J335" s="661"/>
      <c r="K335" s="661"/>
      <c r="L335" s="661"/>
      <c r="M335" s="661"/>
      <c r="N335" s="661"/>
      <c r="O335" s="661"/>
      <c r="P335" s="661"/>
      <c r="Q335" s="661"/>
      <c r="R335" s="661"/>
      <c r="S335" s="661"/>
      <c r="T335" s="661"/>
      <c r="U335" s="661"/>
      <c r="V335" s="661"/>
      <c r="W335" s="661"/>
      <c r="X335" s="661"/>
      <c r="Y335" s="661"/>
      <c r="Z335" s="661"/>
      <c r="AA335" s="661"/>
      <c r="AB335" s="661"/>
      <c r="AC335" s="661"/>
      <c r="AD335" s="661"/>
      <c r="AE335" s="661"/>
      <c r="AF335" s="100"/>
      <c r="AG335" s="693"/>
    </row>
    <row r="336" hidden="1">
      <c r="A336" s="895" t="s">
        <v>207</v>
      </c>
      <c r="B336" s="448">
        <f t="shared" ref="B336:AE336" si="134">B140-B203</f>
        <v>0</v>
      </c>
      <c r="C336" s="448">
        <f t="shared" si="134"/>
        <v>0</v>
      </c>
      <c r="D336" s="448">
        <f t="shared" si="134"/>
        <v>0</v>
      </c>
      <c r="E336" s="448">
        <f t="shared" si="134"/>
        <v>0</v>
      </c>
      <c r="F336" s="448">
        <f t="shared" si="134"/>
        <v>0</v>
      </c>
      <c r="G336" s="448">
        <f t="shared" si="134"/>
        <v>0</v>
      </c>
      <c r="H336" s="448">
        <f t="shared" si="134"/>
        <v>0</v>
      </c>
      <c r="I336" s="448">
        <f t="shared" si="134"/>
        <v>0</v>
      </c>
      <c r="J336" s="448">
        <f t="shared" si="134"/>
        <v>0</v>
      </c>
      <c r="K336" s="448">
        <f t="shared" si="134"/>
        <v>0</v>
      </c>
      <c r="L336" s="448">
        <f t="shared" si="134"/>
        <v>0</v>
      </c>
      <c r="M336" s="448">
        <f t="shared" si="134"/>
        <v>0</v>
      </c>
      <c r="N336" s="448">
        <f t="shared" si="134"/>
        <v>0</v>
      </c>
      <c r="O336" s="448">
        <f t="shared" si="134"/>
        <v>0</v>
      </c>
      <c r="P336" s="448">
        <f t="shared" si="134"/>
        <v>0</v>
      </c>
      <c r="Q336" s="448">
        <f t="shared" si="134"/>
        <v>0</v>
      </c>
      <c r="R336" s="448">
        <f t="shared" si="134"/>
        <v>0</v>
      </c>
      <c r="S336" s="448">
        <f t="shared" si="134"/>
        <v>0</v>
      </c>
      <c r="T336" s="448">
        <f t="shared" si="134"/>
        <v>0</v>
      </c>
      <c r="U336" s="448">
        <f t="shared" si="134"/>
        <v>0</v>
      </c>
      <c r="V336" s="448">
        <f t="shared" si="134"/>
        <v>0</v>
      </c>
      <c r="W336" s="448">
        <f t="shared" si="134"/>
        <v>0</v>
      </c>
      <c r="X336" s="448">
        <f t="shared" si="134"/>
        <v>0</v>
      </c>
      <c r="Y336" s="448">
        <f t="shared" si="134"/>
        <v>0</v>
      </c>
      <c r="Z336" s="448">
        <f t="shared" si="134"/>
        <v>0</v>
      </c>
      <c r="AA336" s="448">
        <f t="shared" si="134"/>
        <v>0</v>
      </c>
      <c r="AB336" s="448">
        <f t="shared" si="134"/>
        <v>0</v>
      </c>
      <c r="AC336" s="448">
        <f t="shared" si="134"/>
        <v>0</v>
      </c>
      <c r="AD336" s="448">
        <f t="shared" si="134"/>
        <v>0</v>
      </c>
      <c r="AE336" s="448">
        <f t="shared" si="134"/>
        <v>0</v>
      </c>
      <c r="AF336" s="100"/>
      <c r="AG336" s="693">
        <f t="shared" ref="AG336:AG341" si="136">SUM(B336:AE336)</f>
        <v>0</v>
      </c>
    </row>
    <row r="337" hidden="1">
      <c r="A337" s="895" t="s">
        <v>209</v>
      </c>
      <c r="B337" s="448">
        <f t="shared" ref="B337:AE337" si="135">B141-B204</f>
        <v>0</v>
      </c>
      <c r="C337" s="448">
        <f t="shared" si="135"/>
        <v>0</v>
      </c>
      <c r="D337" s="448">
        <f t="shared" si="135"/>
        <v>0</v>
      </c>
      <c r="E337" s="448">
        <f t="shared" si="135"/>
        <v>0</v>
      </c>
      <c r="F337" s="448">
        <f t="shared" si="135"/>
        <v>0</v>
      </c>
      <c r="G337" s="448">
        <f t="shared" si="135"/>
        <v>0</v>
      </c>
      <c r="H337" s="448">
        <f t="shared" si="135"/>
        <v>0</v>
      </c>
      <c r="I337" s="448">
        <f t="shared" si="135"/>
        <v>0</v>
      </c>
      <c r="J337" s="448">
        <f t="shared" si="135"/>
        <v>0</v>
      </c>
      <c r="K337" s="448">
        <f t="shared" si="135"/>
        <v>0</v>
      </c>
      <c r="L337" s="448">
        <f t="shared" si="135"/>
        <v>0</v>
      </c>
      <c r="M337" s="448">
        <f t="shared" si="135"/>
        <v>0</v>
      </c>
      <c r="N337" s="448">
        <f t="shared" si="135"/>
        <v>0</v>
      </c>
      <c r="O337" s="448">
        <f t="shared" si="135"/>
        <v>0</v>
      </c>
      <c r="P337" s="448">
        <f t="shared" si="135"/>
        <v>0</v>
      </c>
      <c r="Q337" s="448">
        <f t="shared" si="135"/>
        <v>0</v>
      </c>
      <c r="R337" s="448">
        <f t="shared" si="135"/>
        <v>0</v>
      </c>
      <c r="S337" s="448">
        <f t="shared" si="135"/>
        <v>0</v>
      </c>
      <c r="T337" s="448">
        <f t="shared" si="135"/>
        <v>0</v>
      </c>
      <c r="U337" s="448">
        <f t="shared" si="135"/>
        <v>0</v>
      </c>
      <c r="V337" s="448">
        <f t="shared" si="135"/>
        <v>0</v>
      </c>
      <c r="W337" s="448">
        <f t="shared" si="135"/>
        <v>0</v>
      </c>
      <c r="X337" s="448">
        <f t="shared" si="135"/>
        <v>0</v>
      </c>
      <c r="Y337" s="448">
        <f t="shared" si="135"/>
        <v>0</v>
      </c>
      <c r="Z337" s="448">
        <f t="shared" si="135"/>
        <v>0</v>
      </c>
      <c r="AA337" s="448">
        <f t="shared" si="135"/>
        <v>0</v>
      </c>
      <c r="AB337" s="448">
        <f t="shared" si="135"/>
        <v>0</v>
      </c>
      <c r="AC337" s="448">
        <f t="shared" si="135"/>
        <v>0</v>
      </c>
      <c r="AD337" s="448">
        <f t="shared" si="135"/>
        <v>0</v>
      </c>
      <c r="AE337" s="448">
        <f t="shared" si="135"/>
        <v>0</v>
      </c>
      <c r="AF337" s="100"/>
      <c r="AG337" s="693">
        <f t="shared" si="136"/>
        <v>0</v>
      </c>
    </row>
    <row r="338" hidden="1">
      <c r="A338" s="895" t="s">
        <v>210</v>
      </c>
      <c r="B338" s="448">
        <f t="shared" ref="B338:AE338" si="137">B142-B205</f>
        <v>0</v>
      </c>
      <c r="C338" s="448">
        <f t="shared" si="137"/>
        <v>0</v>
      </c>
      <c r="D338" s="448">
        <f t="shared" si="137"/>
        <v>0</v>
      </c>
      <c r="E338" s="448">
        <f t="shared" si="137"/>
        <v>0</v>
      </c>
      <c r="F338" s="448">
        <f t="shared" si="137"/>
        <v>0</v>
      </c>
      <c r="G338" s="448">
        <f t="shared" si="137"/>
        <v>0</v>
      </c>
      <c r="H338" s="448">
        <f t="shared" si="137"/>
        <v>0</v>
      </c>
      <c r="I338" s="448">
        <f t="shared" si="137"/>
        <v>0</v>
      </c>
      <c r="J338" s="448">
        <f t="shared" si="137"/>
        <v>0</v>
      </c>
      <c r="K338" s="448">
        <f t="shared" si="137"/>
        <v>0</v>
      </c>
      <c r="L338" s="448">
        <f t="shared" si="137"/>
        <v>0</v>
      </c>
      <c r="M338" s="448">
        <f t="shared" si="137"/>
        <v>0</v>
      </c>
      <c r="N338" s="448">
        <f t="shared" si="137"/>
        <v>0</v>
      </c>
      <c r="O338" s="448">
        <f t="shared" si="137"/>
        <v>0</v>
      </c>
      <c r="P338" s="448">
        <f t="shared" si="137"/>
        <v>0</v>
      </c>
      <c r="Q338" s="448">
        <f t="shared" si="137"/>
        <v>0</v>
      </c>
      <c r="R338" s="448">
        <f t="shared" si="137"/>
        <v>0</v>
      </c>
      <c r="S338" s="448">
        <f t="shared" si="137"/>
        <v>0</v>
      </c>
      <c r="T338" s="448">
        <f t="shared" si="137"/>
        <v>0</v>
      </c>
      <c r="U338" s="448">
        <f t="shared" si="137"/>
        <v>0</v>
      </c>
      <c r="V338" s="448">
        <f t="shared" si="137"/>
        <v>0</v>
      </c>
      <c r="W338" s="448">
        <f t="shared" si="137"/>
        <v>0</v>
      </c>
      <c r="X338" s="448">
        <f t="shared" si="137"/>
        <v>0</v>
      </c>
      <c r="Y338" s="448">
        <f t="shared" si="137"/>
        <v>0</v>
      </c>
      <c r="Z338" s="448">
        <f t="shared" si="137"/>
        <v>0</v>
      </c>
      <c r="AA338" s="448">
        <f t="shared" si="137"/>
        <v>0</v>
      </c>
      <c r="AB338" s="448">
        <f t="shared" si="137"/>
        <v>0</v>
      </c>
      <c r="AC338" s="448">
        <f t="shared" si="137"/>
        <v>0</v>
      </c>
      <c r="AD338" s="448">
        <f t="shared" si="137"/>
        <v>0</v>
      </c>
      <c r="AE338" s="448">
        <f t="shared" si="137"/>
        <v>0</v>
      </c>
      <c r="AF338" s="100"/>
      <c r="AG338" s="693">
        <f t="shared" si="136"/>
        <v>0</v>
      </c>
    </row>
    <row r="339" hidden="1">
      <c r="A339" s="895" t="s">
        <v>211</v>
      </c>
      <c r="B339" s="448">
        <f t="shared" ref="B339:AE339" si="138">B143-B206</f>
        <v>0</v>
      </c>
      <c r="C339" s="448">
        <f t="shared" si="138"/>
        <v>0</v>
      </c>
      <c r="D339" s="448">
        <f t="shared" si="138"/>
        <v>0</v>
      </c>
      <c r="E339" s="448">
        <f t="shared" si="138"/>
        <v>0</v>
      </c>
      <c r="F339" s="448">
        <f t="shared" si="138"/>
        <v>0</v>
      </c>
      <c r="G339" s="448">
        <f t="shared" si="138"/>
        <v>0</v>
      </c>
      <c r="H339" s="448">
        <f t="shared" si="138"/>
        <v>0</v>
      </c>
      <c r="I339" s="448">
        <f t="shared" si="138"/>
        <v>0</v>
      </c>
      <c r="J339" s="448">
        <f t="shared" si="138"/>
        <v>0</v>
      </c>
      <c r="K339" s="448">
        <f t="shared" si="138"/>
        <v>0</v>
      </c>
      <c r="L339" s="448">
        <f t="shared" si="138"/>
        <v>0</v>
      </c>
      <c r="M339" s="448">
        <f t="shared" si="138"/>
        <v>0</v>
      </c>
      <c r="N339" s="448">
        <f t="shared" si="138"/>
        <v>0</v>
      </c>
      <c r="O339" s="448">
        <f t="shared" si="138"/>
        <v>0</v>
      </c>
      <c r="P339" s="448">
        <f t="shared" si="138"/>
        <v>0</v>
      </c>
      <c r="Q339" s="448">
        <f t="shared" si="138"/>
        <v>0</v>
      </c>
      <c r="R339" s="448">
        <f t="shared" si="138"/>
        <v>0</v>
      </c>
      <c r="S339" s="448">
        <f t="shared" si="138"/>
        <v>0</v>
      </c>
      <c r="T339" s="448">
        <f t="shared" si="138"/>
        <v>0</v>
      </c>
      <c r="U339" s="448">
        <f t="shared" si="138"/>
        <v>0</v>
      </c>
      <c r="V339" s="448">
        <f t="shared" si="138"/>
        <v>0</v>
      </c>
      <c r="W339" s="448">
        <f t="shared" si="138"/>
        <v>0</v>
      </c>
      <c r="X339" s="448">
        <f t="shared" si="138"/>
        <v>0</v>
      </c>
      <c r="Y339" s="448">
        <f t="shared" si="138"/>
        <v>0</v>
      </c>
      <c r="Z339" s="448">
        <f t="shared" si="138"/>
        <v>0</v>
      </c>
      <c r="AA339" s="448">
        <f t="shared" si="138"/>
        <v>0</v>
      </c>
      <c r="AB339" s="448">
        <f t="shared" si="138"/>
        <v>0</v>
      </c>
      <c r="AC339" s="448">
        <f t="shared" si="138"/>
        <v>0</v>
      </c>
      <c r="AD339" s="448">
        <f t="shared" si="138"/>
        <v>0</v>
      </c>
      <c r="AE339" s="448">
        <f t="shared" si="138"/>
        <v>0</v>
      </c>
      <c r="AF339" s="100"/>
      <c r="AG339" s="693">
        <f t="shared" si="136"/>
        <v>0</v>
      </c>
    </row>
    <row r="340" hidden="1">
      <c r="A340" s="895" t="s">
        <v>212</v>
      </c>
      <c r="B340" s="448">
        <f t="shared" ref="B340:AE340" si="139">B144-B207</f>
        <v>0</v>
      </c>
      <c r="C340" s="448">
        <f t="shared" si="139"/>
        <v>0</v>
      </c>
      <c r="D340" s="448">
        <f t="shared" si="139"/>
        <v>0</v>
      </c>
      <c r="E340" s="448">
        <f t="shared" si="139"/>
        <v>0</v>
      </c>
      <c r="F340" s="448">
        <f t="shared" si="139"/>
        <v>0</v>
      </c>
      <c r="G340" s="448">
        <f t="shared" si="139"/>
        <v>0</v>
      </c>
      <c r="H340" s="448">
        <f t="shared" si="139"/>
        <v>0</v>
      </c>
      <c r="I340" s="448">
        <f t="shared" si="139"/>
        <v>0</v>
      </c>
      <c r="J340" s="448">
        <f t="shared" si="139"/>
        <v>0</v>
      </c>
      <c r="K340" s="448">
        <f t="shared" si="139"/>
        <v>0</v>
      </c>
      <c r="L340" s="448">
        <f t="shared" si="139"/>
        <v>0</v>
      </c>
      <c r="M340" s="448">
        <f t="shared" si="139"/>
        <v>0</v>
      </c>
      <c r="N340" s="448">
        <f t="shared" si="139"/>
        <v>0</v>
      </c>
      <c r="O340" s="448">
        <f t="shared" si="139"/>
        <v>0</v>
      </c>
      <c r="P340" s="448">
        <f t="shared" si="139"/>
        <v>0</v>
      </c>
      <c r="Q340" s="448">
        <f t="shared" si="139"/>
        <v>0</v>
      </c>
      <c r="R340" s="448">
        <f t="shared" si="139"/>
        <v>0</v>
      </c>
      <c r="S340" s="448">
        <f t="shared" si="139"/>
        <v>0</v>
      </c>
      <c r="T340" s="448">
        <f t="shared" si="139"/>
        <v>0</v>
      </c>
      <c r="U340" s="448">
        <f t="shared" si="139"/>
        <v>0</v>
      </c>
      <c r="V340" s="448">
        <f t="shared" si="139"/>
        <v>0</v>
      </c>
      <c r="W340" s="448">
        <f t="shared" si="139"/>
        <v>0</v>
      </c>
      <c r="X340" s="448">
        <f t="shared" si="139"/>
        <v>0</v>
      </c>
      <c r="Y340" s="448">
        <f t="shared" si="139"/>
        <v>0</v>
      </c>
      <c r="Z340" s="448">
        <f t="shared" si="139"/>
        <v>0</v>
      </c>
      <c r="AA340" s="448">
        <f t="shared" si="139"/>
        <v>0</v>
      </c>
      <c r="AB340" s="448">
        <f t="shared" si="139"/>
        <v>0</v>
      </c>
      <c r="AC340" s="448">
        <f t="shared" si="139"/>
        <v>0</v>
      </c>
      <c r="AD340" s="448">
        <f t="shared" si="139"/>
        <v>0</v>
      </c>
      <c r="AE340" s="448">
        <f t="shared" si="139"/>
        <v>0</v>
      </c>
      <c r="AF340" s="100"/>
      <c r="AG340" s="693">
        <f t="shared" si="136"/>
        <v>0</v>
      </c>
    </row>
    <row r="341">
      <c r="A341" s="920" t="s">
        <v>214</v>
      </c>
      <c r="B341" s="921">
        <f t="shared" ref="B341:AF341" si="140">SUM(B336:B340)</f>
        <v>0</v>
      </c>
      <c r="C341" s="906">
        <f t="shared" si="140"/>
        <v>0</v>
      </c>
      <c r="D341" s="906">
        <f t="shared" si="140"/>
        <v>0</v>
      </c>
      <c r="E341" s="906">
        <f t="shared" si="140"/>
        <v>0</v>
      </c>
      <c r="F341" s="906">
        <f t="shared" si="140"/>
        <v>0</v>
      </c>
      <c r="G341" s="906">
        <f t="shared" si="140"/>
        <v>0</v>
      </c>
      <c r="H341" s="906">
        <f t="shared" si="140"/>
        <v>0</v>
      </c>
      <c r="I341" s="906">
        <f t="shared" si="140"/>
        <v>0</v>
      </c>
      <c r="J341" s="906">
        <f t="shared" si="140"/>
        <v>0</v>
      </c>
      <c r="K341" s="906">
        <f t="shared" si="140"/>
        <v>0</v>
      </c>
      <c r="L341" s="906">
        <f t="shared" si="140"/>
        <v>0</v>
      </c>
      <c r="M341" s="906">
        <f t="shared" si="140"/>
        <v>0</v>
      </c>
      <c r="N341" s="906">
        <f t="shared" si="140"/>
        <v>0</v>
      </c>
      <c r="O341" s="906">
        <f t="shared" si="140"/>
        <v>0</v>
      </c>
      <c r="P341" s="906">
        <f t="shared" si="140"/>
        <v>0</v>
      </c>
      <c r="Q341" s="906">
        <f t="shared" si="140"/>
        <v>0</v>
      </c>
      <c r="R341" s="906">
        <f t="shared" si="140"/>
        <v>0</v>
      </c>
      <c r="S341" s="906">
        <f t="shared" si="140"/>
        <v>0</v>
      </c>
      <c r="T341" s="906">
        <f t="shared" si="140"/>
        <v>0</v>
      </c>
      <c r="U341" s="906">
        <f t="shared" si="140"/>
        <v>0</v>
      </c>
      <c r="V341" s="906">
        <f t="shared" si="140"/>
        <v>0</v>
      </c>
      <c r="W341" s="906">
        <f t="shared" si="140"/>
        <v>0</v>
      </c>
      <c r="X341" s="906">
        <f t="shared" si="140"/>
        <v>0</v>
      </c>
      <c r="Y341" s="906">
        <f t="shared" si="140"/>
        <v>0</v>
      </c>
      <c r="Z341" s="906">
        <f t="shared" si="140"/>
        <v>0</v>
      </c>
      <c r="AA341" s="906">
        <f t="shared" si="140"/>
        <v>0</v>
      </c>
      <c r="AB341" s="906">
        <f t="shared" si="140"/>
        <v>0</v>
      </c>
      <c r="AC341" s="906">
        <f t="shared" si="140"/>
        <v>0</v>
      </c>
      <c r="AD341" s="906">
        <f t="shared" si="140"/>
        <v>0</v>
      </c>
      <c r="AE341" s="906">
        <f t="shared" si="140"/>
        <v>0</v>
      </c>
      <c r="AF341" s="906">
        <f t="shared" si="140"/>
        <v>0</v>
      </c>
      <c r="AG341" s="693">
        <f t="shared" si="136"/>
        <v>0</v>
      </c>
    </row>
    <row r="342">
      <c r="A342" s="723"/>
      <c r="B342" s="555"/>
      <c r="AF342" s="100"/>
      <c r="AG342" s="693"/>
    </row>
    <row r="343">
      <c r="A343" s="723"/>
      <c r="AF343" s="9"/>
      <c r="AG343" s="453"/>
    </row>
    <row r="344">
      <c r="A344" s="625" t="s">
        <v>881</v>
      </c>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c r="AB344" s="53"/>
      <c r="AC344" s="53"/>
      <c r="AD344" s="53"/>
      <c r="AE344" s="53"/>
      <c r="AF344" s="9"/>
      <c r="AG344" s="453"/>
    </row>
    <row r="345">
      <c r="A345" s="583" t="s">
        <v>379</v>
      </c>
      <c r="B345" s="925">
        <f t="shared" ref="B345:AF345" si="141">B13</f>
        <v>3342.22</v>
      </c>
      <c r="C345" s="925">
        <f t="shared" si="141"/>
        <v>3305.62</v>
      </c>
      <c r="D345" s="925">
        <f t="shared" si="141"/>
        <v>3219.49</v>
      </c>
      <c r="E345" s="925">
        <f t="shared" si="141"/>
        <v>4981.96</v>
      </c>
      <c r="F345" s="925">
        <f t="shared" si="141"/>
        <v>5362.92</v>
      </c>
      <c r="G345" s="925">
        <f t="shared" si="141"/>
        <v>4001.06</v>
      </c>
      <c r="H345" s="925">
        <f t="shared" si="141"/>
        <v>4013.79</v>
      </c>
      <c r="I345" s="925">
        <f t="shared" si="141"/>
        <v>2780.51</v>
      </c>
      <c r="J345" s="925">
        <f t="shared" si="141"/>
        <v>4409.21</v>
      </c>
      <c r="K345" s="925">
        <f t="shared" si="141"/>
        <v>4932.36</v>
      </c>
      <c r="L345" s="925">
        <f t="shared" si="141"/>
        <v>6103.31</v>
      </c>
      <c r="M345" s="925">
        <f t="shared" si="141"/>
        <v>7253.93</v>
      </c>
      <c r="N345" s="925">
        <f t="shared" si="141"/>
        <v>7237.54</v>
      </c>
      <c r="O345" s="925">
        <f t="shared" si="141"/>
        <v>6127.83</v>
      </c>
      <c r="P345" s="925">
        <f t="shared" si="141"/>
        <v>6588.6</v>
      </c>
      <c r="Q345" s="925">
        <f t="shared" si="141"/>
        <v>8982.55</v>
      </c>
      <c r="R345" s="925">
        <f t="shared" si="141"/>
        <v>9392.78</v>
      </c>
      <c r="S345" s="925">
        <f t="shared" si="141"/>
        <v>11591.44</v>
      </c>
      <c r="T345" s="925">
        <f t="shared" si="141"/>
        <v>11126.7</v>
      </c>
      <c r="U345" s="925">
        <f t="shared" si="141"/>
        <v>17467.27</v>
      </c>
      <c r="V345" s="925">
        <f t="shared" si="141"/>
        <v>19867.53</v>
      </c>
      <c r="W345" s="925">
        <f t="shared" si="141"/>
        <v>22792.98</v>
      </c>
      <c r="X345" s="925">
        <f t="shared" si="141"/>
        <v>28816.4</v>
      </c>
      <c r="Y345" s="925">
        <f t="shared" si="141"/>
        <v>64502.73</v>
      </c>
      <c r="Z345" s="925">
        <f t="shared" si="141"/>
        <v>37752.85</v>
      </c>
      <c r="AA345" s="925">
        <f t="shared" si="141"/>
        <v>37544.76</v>
      </c>
      <c r="AB345" s="925">
        <f t="shared" si="141"/>
        <v>3627.98</v>
      </c>
      <c r="AC345" s="925">
        <f t="shared" si="141"/>
        <v>0</v>
      </c>
      <c r="AD345" s="925">
        <f t="shared" si="141"/>
        <v>0</v>
      </c>
      <c r="AE345" s="925">
        <f t="shared" si="141"/>
        <v>433.94</v>
      </c>
      <c r="AF345" s="925" t="str">
        <f t="shared" si="141"/>
        <v/>
      </c>
      <c r="AG345" s="623">
        <f t="shared" ref="AG345:AG366" si="143">SUM(B345:AE345)</f>
        <v>347560.26</v>
      </c>
    </row>
    <row r="346">
      <c r="A346" s="583" t="s">
        <v>552</v>
      </c>
      <c r="B346" s="66">
        <f t="shared" ref="B346:AF346" si="142">B14+B15</f>
        <v>1258</v>
      </c>
      <c r="C346" s="66">
        <f t="shared" si="142"/>
        <v>1050.785</v>
      </c>
      <c r="D346" s="66">
        <f t="shared" si="142"/>
        <v>1554.285</v>
      </c>
      <c r="E346" s="66">
        <f t="shared" si="142"/>
        <v>1788</v>
      </c>
      <c r="F346" s="66">
        <f t="shared" si="142"/>
        <v>1983.585</v>
      </c>
      <c r="G346" s="66">
        <f t="shared" si="142"/>
        <v>1602.5</v>
      </c>
      <c r="H346" s="66">
        <f t="shared" si="142"/>
        <v>1330.885</v>
      </c>
      <c r="I346" s="66">
        <f t="shared" si="142"/>
        <v>1506.485</v>
      </c>
      <c r="J346" s="66">
        <f t="shared" si="142"/>
        <v>3201.2</v>
      </c>
      <c r="K346" s="66">
        <f t="shared" si="142"/>
        <v>3343.8</v>
      </c>
      <c r="L346" s="66">
        <f t="shared" si="142"/>
        <v>4924.385</v>
      </c>
      <c r="M346" s="66">
        <f t="shared" si="142"/>
        <v>4855.5</v>
      </c>
      <c r="N346" s="66">
        <f t="shared" si="142"/>
        <v>4387.7</v>
      </c>
      <c r="O346" s="66">
        <f t="shared" si="142"/>
        <v>4707.785</v>
      </c>
      <c r="P346" s="66">
        <f t="shared" si="142"/>
        <v>3842.239</v>
      </c>
      <c r="Q346" s="66">
        <f t="shared" si="142"/>
        <v>4114.62</v>
      </c>
      <c r="R346" s="66">
        <f t="shared" si="142"/>
        <v>5042.767</v>
      </c>
      <c r="S346" s="66">
        <f t="shared" si="142"/>
        <v>5731.748</v>
      </c>
      <c r="T346" s="66">
        <f t="shared" si="142"/>
        <v>3975.374</v>
      </c>
      <c r="U346" s="66">
        <f t="shared" si="142"/>
        <v>10362.199</v>
      </c>
      <c r="V346" s="66">
        <f t="shared" si="142"/>
        <v>10475.199</v>
      </c>
      <c r="W346" s="66">
        <f t="shared" si="142"/>
        <v>11603.5</v>
      </c>
      <c r="X346" s="66">
        <f t="shared" si="142"/>
        <v>18661.5</v>
      </c>
      <c r="Y346" s="66">
        <f t="shared" si="142"/>
        <v>69581.596</v>
      </c>
      <c r="Z346" s="66">
        <f t="shared" si="142"/>
        <v>24209.5</v>
      </c>
      <c r="AA346" s="66">
        <f t="shared" si="142"/>
        <v>23683.9</v>
      </c>
      <c r="AB346" s="66">
        <f t="shared" si="142"/>
        <v>427.481</v>
      </c>
      <c r="AC346" s="66">
        <f t="shared" si="142"/>
        <v>5.5</v>
      </c>
      <c r="AD346" s="66">
        <f t="shared" si="142"/>
        <v>0</v>
      </c>
      <c r="AE346" s="66">
        <f t="shared" si="142"/>
        <v>50.7</v>
      </c>
      <c r="AF346" s="66">
        <f t="shared" si="142"/>
        <v>0</v>
      </c>
      <c r="AG346" s="623">
        <f t="shared" si="143"/>
        <v>229262.718</v>
      </c>
    </row>
    <row r="347">
      <c r="A347" s="926" t="s">
        <v>1217</v>
      </c>
      <c r="B347" s="66">
        <f>B98*'OLD Formulas'!$C$3</f>
        <v>2436.6</v>
      </c>
      <c r="C347" s="66">
        <f>C98*'OLD Formulas'!$C$3</f>
        <v>2111.72</v>
      </c>
      <c r="D347" s="66">
        <f>D98*'OLD Formulas'!$C$3</f>
        <v>3573.68</v>
      </c>
      <c r="E347" s="66">
        <f>E98*'OLD Formulas'!$C$3</f>
        <v>4142.22</v>
      </c>
      <c r="F347" s="66">
        <f>F98*'OLD Formulas'!$C$3</f>
        <v>4304.66</v>
      </c>
      <c r="G347" s="66">
        <f>G98*'OLD Formulas'!$C$3</f>
        <v>3411.24</v>
      </c>
      <c r="H347" s="66">
        <f>H98*'OLD Formulas'!$C$3</f>
        <v>2842.7</v>
      </c>
      <c r="I347" s="66">
        <f>I98*'OLD Formulas'!$C$3</f>
        <v>1218.3</v>
      </c>
      <c r="J347" s="66">
        <f>J98*'OLD Formulas'!$C$3</f>
        <v>5766.62</v>
      </c>
      <c r="K347" s="66">
        <f>K98*'OLD Formulas'!$C$3</f>
        <v>7797.12</v>
      </c>
      <c r="L347" s="66">
        <f>L98*'OLD Formulas'!$C$3</f>
        <v>11127.14</v>
      </c>
      <c r="M347" s="66">
        <f>M98*'OLD Formulas'!$C$3</f>
        <v>11289.58</v>
      </c>
      <c r="N347" s="66">
        <f>N98*'OLD Formulas'!$C$3</f>
        <v>9990.06</v>
      </c>
      <c r="O347" s="66">
        <f>O98*'OLD Formulas'!$C$3</f>
        <v>9746.4</v>
      </c>
      <c r="P347" s="66">
        <f>P98*'OLD Formulas'!$C$3</f>
        <v>12020.56</v>
      </c>
      <c r="Q347" s="66">
        <f>Q98*'OLD Formulas'!$C$3</f>
        <v>13807.4</v>
      </c>
      <c r="R347" s="66">
        <f>R98*'OLD Formulas'!$C$3</f>
        <v>16325.22</v>
      </c>
      <c r="S347" s="66">
        <f>S98*'OLD Formulas'!$C$3</f>
        <v>812.2</v>
      </c>
      <c r="T347" s="66">
        <f>T98*'OLD Formulas'!$C$3</f>
        <v>11208.36</v>
      </c>
      <c r="U347" s="66">
        <f>U98*'OLD Formulas'!$C$3</f>
        <v>39635.36</v>
      </c>
      <c r="V347" s="66">
        <f>V98*'OLD Formulas'!$C$3</f>
        <v>39472.92</v>
      </c>
      <c r="W347" s="66">
        <f>W98*'OLD Formulas'!$C$3</f>
        <v>44671</v>
      </c>
      <c r="X347" s="66">
        <f>X98*'OLD Formulas'!$C$3</f>
        <v>70498.96</v>
      </c>
      <c r="Y347" s="66">
        <f>Y98*'OLD Formulas'!$C$3</f>
        <v>266970.14</v>
      </c>
      <c r="Z347" s="66">
        <f>Z98*'OLD Formulas'!$C$3</f>
        <v>93565.44</v>
      </c>
      <c r="AA347" s="66">
        <f>AA98*'OLD Formulas'!$C$3</f>
        <v>91453.72</v>
      </c>
      <c r="AB347" s="66">
        <f>AB98*'OLD Formulas'!$C$3</f>
        <v>1543.18</v>
      </c>
      <c r="AC347" s="66">
        <f>AC98*'OLD Formulas'!$C$3</f>
        <v>0</v>
      </c>
      <c r="AD347" s="66">
        <f>AD98*'OLD Formulas'!$C$3</f>
        <v>0</v>
      </c>
      <c r="AE347" s="66">
        <f>AE98*'OLD Formulas'!$C$3</f>
        <v>0</v>
      </c>
      <c r="AF347" s="66">
        <f>AF98*'OLD Formulas'!$C$3</f>
        <v>0</v>
      </c>
      <c r="AG347" s="623">
        <f t="shared" si="143"/>
        <v>781742.5</v>
      </c>
    </row>
    <row r="348">
      <c r="A348" s="928" t="s">
        <v>1221</v>
      </c>
      <c r="B348" s="66">
        <f>(B347)*'OLD Formulas'!$L$5</f>
        <v>182.745</v>
      </c>
      <c r="C348" s="66">
        <f>(C347)*'OLD Formulas'!$L$5</f>
        <v>158.379</v>
      </c>
      <c r="D348" s="66">
        <f>(D347)*'OLD Formulas'!$L$5</f>
        <v>268.026</v>
      </c>
      <c r="E348" s="66">
        <f>(E347)*'OLD Formulas'!$L$5</f>
        <v>310.6665</v>
      </c>
      <c r="F348" s="66">
        <f>(F347)*'OLD Formulas'!$L$5</f>
        <v>322.8495</v>
      </c>
      <c r="G348" s="66">
        <f>(G347)*'OLD Formulas'!$L$5</f>
        <v>255.843</v>
      </c>
      <c r="H348" s="66">
        <f>(H347)*'OLD Formulas'!$L$5</f>
        <v>213.2025</v>
      </c>
      <c r="I348" s="66">
        <f>(I347)*'OLD Formulas'!$L$5</f>
        <v>91.3725</v>
      </c>
      <c r="J348" s="66">
        <f>(J347)*'OLD Formulas'!$L$5</f>
        <v>432.4965</v>
      </c>
      <c r="K348" s="66">
        <f>(K347)*'OLD Formulas'!$L$5</f>
        <v>584.784</v>
      </c>
      <c r="L348" s="66">
        <f>(L347)*'OLD Formulas'!$L$5</f>
        <v>834.5355</v>
      </c>
      <c r="M348" s="66">
        <f>(M347)*'OLD Formulas'!$L$5</f>
        <v>846.7185</v>
      </c>
      <c r="N348" s="66">
        <f>(N347)*'OLD Formulas'!$L$5</f>
        <v>749.2545</v>
      </c>
      <c r="O348" s="66">
        <f>(O347)*'OLD Formulas'!$L$5</f>
        <v>730.98</v>
      </c>
      <c r="P348" s="66">
        <f>(P347)*'OLD Formulas'!$L$5</f>
        <v>901.542</v>
      </c>
      <c r="Q348" s="66">
        <f>(Q347)*'OLD Formulas'!$L$5</f>
        <v>1035.555</v>
      </c>
      <c r="R348" s="66">
        <f>(R347)*'OLD Formulas'!$L$5</f>
        <v>1224.3915</v>
      </c>
      <c r="S348" s="66">
        <f>(S347)*'OLD Formulas'!$L$5</f>
        <v>60.915</v>
      </c>
      <c r="T348" s="66">
        <f>(T347)*'OLD Formulas'!$L$5</f>
        <v>840.627</v>
      </c>
      <c r="U348" s="66">
        <f>(U347)*'OLD Formulas'!$L$5</f>
        <v>2972.652</v>
      </c>
      <c r="V348" s="66">
        <f>(V347)*'OLD Formulas'!$L$5</f>
        <v>2960.469</v>
      </c>
      <c r="W348" s="66">
        <f>(W347)*'OLD Formulas'!$L$5</f>
        <v>3350.325</v>
      </c>
      <c r="X348" s="66">
        <f>(X347)*'OLD Formulas'!$L$5</f>
        <v>5287.422</v>
      </c>
      <c r="Y348" s="66">
        <f>(Y347)*'OLD Formulas'!$L$5</f>
        <v>20022.7605</v>
      </c>
      <c r="Z348" s="66">
        <f>(Z347)*'OLD Formulas'!$L$5</f>
        <v>7017.408</v>
      </c>
      <c r="AA348" s="66">
        <f>(AA347)*'OLD Formulas'!$L$5</f>
        <v>6859.029</v>
      </c>
      <c r="AB348" s="66">
        <f>(AB347)*'OLD Formulas'!$L$5</f>
        <v>115.7385</v>
      </c>
      <c r="AC348" s="66">
        <f>(AC347)*'OLD Formulas'!$L$5</f>
        <v>0</v>
      </c>
      <c r="AD348" s="66">
        <f>(AD347)*'OLD Formulas'!$L$5</f>
        <v>0</v>
      </c>
      <c r="AE348" s="66">
        <f>(AE347)*'OLD Formulas'!$L$5</f>
        <v>0</v>
      </c>
      <c r="AF348" s="66">
        <f>(AF347)*'OLD Formulas'!$L$5</f>
        <v>0</v>
      </c>
      <c r="AG348" s="623">
        <f t="shared" si="143"/>
        <v>58630.6875</v>
      </c>
    </row>
    <row r="349">
      <c r="A349" s="926" t="s">
        <v>1224</v>
      </c>
      <c r="B349" s="66">
        <f>B99*'OLD Formulas'!$C$4</f>
        <v>0</v>
      </c>
      <c r="C349" s="66">
        <f>C99*'OLD Formulas'!$C$4</f>
        <v>91.14</v>
      </c>
      <c r="D349" s="66">
        <f>D99*'OLD Formulas'!$C$4</f>
        <v>0</v>
      </c>
      <c r="E349" s="66">
        <f>E99*'OLD Formulas'!$C$4</f>
        <v>273.42</v>
      </c>
      <c r="F349" s="66">
        <f>F99*'OLD Formulas'!$C$4</f>
        <v>273.42</v>
      </c>
      <c r="G349" s="66">
        <f>G99*'OLD Formulas'!$C$4</f>
        <v>273.42</v>
      </c>
      <c r="H349" s="66">
        <f>H99*'OLD Formulas'!$C$4</f>
        <v>0</v>
      </c>
      <c r="I349" s="66">
        <f>I99*'OLD Formulas'!$C$4</f>
        <v>1275.96</v>
      </c>
      <c r="J349" s="66">
        <f>J99*'OLD Formulas'!$C$4</f>
        <v>911.4</v>
      </c>
      <c r="K349" s="66">
        <f>K99*'OLD Formulas'!$C$4</f>
        <v>364.56</v>
      </c>
      <c r="L349" s="66">
        <f>L99*'OLD Formulas'!$C$4</f>
        <v>637.98</v>
      </c>
      <c r="M349" s="66">
        <f>M99*'OLD Formulas'!$C$4</f>
        <v>729.12</v>
      </c>
      <c r="N349" s="66">
        <f>N99*'OLD Formulas'!$C$4</f>
        <v>273.42</v>
      </c>
      <c r="O349" s="66">
        <f>O99*'OLD Formulas'!$C$4</f>
        <v>1002.54</v>
      </c>
      <c r="P349" s="66">
        <f>P99*'OLD Formulas'!$C$4</f>
        <v>637.98</v>
      </c>
      <c r="Q349" s="66">
        <f>Q99*'OLD Formulas'!$C$4</f>
        <v>729.12</v>
      </c>
      <c r="R349" s="66">
        <f>R99*'OLD Formulas'!$C$4</f>
        <v>1184.82</v>
      </c>
      <c r="S349" s="66">
        <f>S99*'OLD Formulas'!$C$4</f>
        <v>26704.02</v>
      </c>
      <c r="T349" s="66">
        <f>T99*'OLD Formulas'!$C$4</f>
        <v>0</v>
      </c>
      <c r="U349" s="66">
        <f>U99*'OLD Formulas'!$C$4</f>
        <v>91.14</v>
      </c>
      <c r="V349" s="66">
        <f>V99*'OLD Formulas'!$C$4</f>
        <v>182.28</v>
      </c>
      <c r="W349" s="66">
        <f>W99*'OLD Formulas'!$C$4</f>
        <v>0</v>
      </c>
      <c r="X349" s="66">
        <f>X99*'OLD Formulas'!$C$4</f>
        <v>273.42</v>
      </c>
      <c r="Y349" s="66">
        <f>Y99*'OLD Formulas'!$C$4</f>
        <v>455.7</v>
      </c>
      <c r="Z349" s="66">
        <f>Z99*'OLD Formulas'!$C$4</f>
        <v>0</v>
      </c>
      <c r="AA349" s="66">
        <f>AA99*'OLD Formulas'!$C$4</f>
        <v>0</v>
      </c>
      <c r="AB349" s="66">
        <f>AB99*'OLD Formulas'!$C$4</f>
        <v>0</v>
      </c>
      <c r="AC349" s="66">
        <f>AC99*'OLD Formulas'!$C$4</f>
        <v>0</v>
      </c>
      <c r="AD349" s="66">
        <f>AD99*'OLD Formulas'!$C$4</f>
        <v>0</v>
      </c>
      <c r="AE349" s="66">
        <f>AE99*'OLD Formulas'!$C$4</f>
        <v>0</v>
      </c>
      <c r="AF349" s="66">
        <f>AF99*'OLD Formulas'!$C$4</f>
        <v>0</v>
      </c>
      <c r="AG349" s="623">
        <f t="shared" si="143"/>
        <v>36364.86</v>
      </c>
    </row>
    <row r="350">
      <c r="A350" s="928" t="s">
        <v>1227</v>
      </c>
      <c r="B350" s="66">
        <f>(B349)*'OLD Formulas'!$L$5</f>
        <v>0</v>
      </c>
      <c r="C350" s="66">
        <f>(C349)*'OLD Formulas'!$L$5</f>
        <v>6.8355</v>
      </c>
      <c r="D350" s="66">
        <f>(D349)*'OLD Formulas'!$L$5</f>
        <v>0</v>
      </c>
      <c r="E350" s="66">
        <f>(E349)*'OLD Formulas'!$L$5</f>
        <v>20.5065</v>
      </c>
      <c r="F350" s="66">
        <f>(F349)*'OLD Formulas'!$L$5</f>
        <v>20.5065</v>
      </c>
      <c r="G350" s="66">
        <f>(G349)*'OLD Formulas'!$L$5</f>
        <v>20.5065</v>
      </c>
      <c r="H350" s="66">
        <f>(H349)*'OLD Formulas'!$L$5</f>
        <v>0</v>
      </c>
      <c r="I350" s="66">
        <f>(I349)*'OLD Formulas'!$L$5</f>
        <v>95.697</v>
      </c>
      <c r="J350" s="66">
        <f>(J349)*'OLD Formulas'!$L$5</f>
        <v>68.355</v>
      </c>
      <c r="K350" s="66">
        <f>(K349)*'OLD Formulas'!$L$5</f>
        <v>27.342</v>
      </c>
      <c r="L350" s="66">
        <f>(L349)*'OLD Formulas'!$L$5</f>
        <v>47.8485</v>
      </c>
      <c r="M350" s="66">
        <f>(M349)*'OLD Formulas'!$L$5</f>
        <v>54.684</v>
      </c>
      <c r="N350" s="66">
        <f>(N349)*'OLD Formulas'!$L$5</f>
        <v>20.5065</v>
      </c>
      <c r="O350" s="66">
        <f>(O349)*'OLD Formulas'!$L$5</f>
        <v>75.1905</v>
      </c>
      <c r="P350" s="66">
        <f>(P349)*'OLD Formulas'!$L$5</f>
        <v>47.8485</v>
      </c>
      <c r="Q350" s="66">
        <f>(Q349)*'OLD Formulas'!$L$5</f>
        <v>54.684</v>
      </c>
      <c r="R350" s="66">
        <f>(R349)*'OLD Formulas'!$L$5</f>
        <v>88.8615</v>
      </c>
      <c r="S350" s="66">
        <f>(S349)*'OLD Formulas'!$L$5</f>
        <v>2002.8015</v>
      </c>
      <c r="T350" s="66">
        <f>(T349)*'OLD Formulas'!$L$5</f>
        <v>0</v>
      </c>
      <c r="U350" s="66">
        <f>(U349)*'OLD Formulas'!$L$5</f>
        <v>6.8355</v>
      </c>
      <c r="V350" s="66">
        <f>(V349)*'OLD Formulas'!$L$5</f>
        <v>13.671</v>
      </c>
      <c r="W350" s="66">
        <f>(W349)*'OLD Formulas'!$L$5</f>
        <v>0</v>
      </c>
      <c r="X350" s="66">
        <f>(X349)*'OLD Formulas'!$L$5</f>
        <v>20.5065</v>
      </c>
      <c r="Y350" s="66">
        <f>(Y349)*'OLD Formulas'!$L$5</f>
        <v>34.1775</v>
      </c>
      <c r="Z350" s="66">
        <f>(Z349)*'OLD Formulas'!$L$5</f>
        <v>0</v>
      </c>
      <c r="AA350" s="66">
        <f>(AA349)*'OLD Formulas'!$L$5</f>
        <v>0</v>
      </c>
      <c r="AB350" s="66">
        <f>(AB349)*'OLD Formulas'!$L$5</f>
        <v>0</v>
      </c>
      <c r="AC350" s="66">
        <f>(AC349)*'OLD Formulas'!$L$5</f>
        <v>0</v>
      </c>
      <c r="AD350" s="66">
        <f>(AD349)*'OLD Formulas'!$L$5</f>
        <v>0</v>
      </c>
      <c r="AE350" s="66">
        <f>(AE349)*'OLD Formulas'!$L$5</f>
        <v>0</v>
      </c>
      <c r="AF350" s="66">
        <f>(AF349)*'OLD Formulas'!$L$5</f>
        <v>0</v>
      </c>
      <c r="AG350" s="623">
        <f t="shared" si="143"/>
        <v>2727.3645</v>
      </c>
    </row>
    <row r="351">
      <c r="A351" s="926" t="s">
        <v>1233</v>
      </c>
      <c r="B351" s="66">
        <f>B103*'OLD Formulas'!$C$7</f>
        <v>0</v>
      </c>
      <c r="C351" s="66">
        <f>C103*'OLD Formulas'!$C$7</f>
        <v>0</v>
      </c>
      <c r="D351" s="66">
        <f>D103*'OLD Formulas'!$C$7</f>
        <v>0</v>
      </c>
      <c r="E351" s="66">
        <f>E103*'OLD Formulas'!$C$7</f>
        <v>0</v>
      </c>
      <c r="F351" s="66">
        <f>F103*'OLD Formulas'!$C$7</f>
        <v>0</v>
      </c>
      <c r="G351" s="66">
        <f>G103*'OLD Formulas'!$C$7</f>
        <v>0</v>
      </c>
      <c r="H351" s="66">
        <f>H103*'OLD Formulas'!$C$7</f>
        <v>0</v>
      </c>
      <c r="I351" s="66">
        <f>I103*'OLD Formulas'!$C$7</f>
        <v>0</v>
      </c>
      <c r="J351" s="66">
        <f>J103*'OLD Formulas'!$C$7</f>
        <v>0</v>
      </c>
      <c r="K351" s="66">
        <f>K103*'OLD Formulas'!$C$7</f>
        <v>0</v>
      </c>
      <c r="L351" s="66">
        <f>L103*'OLD Formulas'!$C$7</f>
        <v>0</v>
      </c>
      <c r="M351" s="66">
        <f>M103*'OLD Formulas'!$C$7</f>
        <v>0</v>
      </c>
      <c r="N351" s="66">
        <f>N103*'OLD Formulas'!$C$7</f>
        <v>0</v>
      </c>
      <c r="O351" s="66">
        <f>O103*'OLD Formulas'!$C$7</f>
        <v>0</v>
      </c>
      <c r="P351" s="66">
        <f>P103*'OLD Formulas'!$C$7</f>
        <v>0</v>
      </c>
      <c r="Q351" s="66">
        <f>Q103*'OLD Formulas'!$C$7</f>
        <v>0</v>
      </c>
      <c r="R351" s="66">
        <f>R103*'OLD Formulas'!$C$7</f>
        <v>0</v>
      </c>
      <c r="S351" s="66">
        <f>S103*'OLD Formulas'!$C$7</f>
        <v>0</v>
      </c>
      <c r="T351" s="66">
        <f>T103*'OLD Formulas'!$C$7</f>
        <v>0</v>
      </c>
      <c r="U351" s="66">
        <f>U103*'OLD Formulas'!$C$7</f>
        <v>0</v>
      </c>
      <c r="V351" s="66">
        <f>V103*'OLD Formulas'!$C$7</f>
        <v>0</v>
      </c>
      <c r="W351" s="66">
        <f>W103*'OLD Formulas'!$C$7</f>
        <v>0</v>
      </c>
      <c r="X351" s="66">
        <f>X103*'OLD Formulas'!$C$7</f>
        <v>0</v>
      </c>
      <c r="Y351" s="66">
        <f>Y103*'OLD Formulas'!$C$7</f>
        <v>0</v>
      </c>
      <c r="Z351" s="66">
        <f>Z103*'OLD Formulas'!$C$7</f>
        <v>0</v>
      </c>
      <c r="AA351" s="66">
        <f>AA103*'OLD Formulas'!$C$7</f>
        <v>0</v>
      </c>
      <c r="AB351" s="66">
        <f>AB103*'OLD Formulas'!$C$7</f>
        <v>0</v>
      </c>
      <c r="AC351" s="66">
        <f>AC103*'OLD Formulas'!$C$7</f>
        <v>0</v>
      </c>
      <c r="AD351" s="66">
        <f>AD103*'OLD Formulas'!$C$7</f>
        <v>0</v>
      </c>
      <c r="AE351" s="66">
        <f>AE103*'OLD Formulas'!$C$7</f>
        <v>0</v>
      </c>
      <c r="AF351" s="66">
        <f>AF103*'OLD Formulas'!$C$7</f>
        <v>0</v>
      </c>
      <c r="AG351" s="623">
        <f t="shared" si="143"/>
        <v>0</v>
      </c>
    </row>
    <row r="352">
      <c r="A352" s="928" t="s">
        <v>1235</v>
      </c>
      <c r="B352" s="66">
        <f>B351*'OLD Formulas'!$L$5</f>
        <v>0</v>
      </c>
      <c r="C352" s="66">
        <f>C351*'OLD Formulas'!$L$5</f>
        <v>0</v>
      </c>
      <c r="D352" s="66">
        <f>D351*'OLD Formulas'!$L$5</f>
        <v>0</v>
      </c>
      <c r="E352" s="66">
        <f>E351*'OLD Formulas'!$L$5</f>
        <v>0</v>
      </c>
      <c r="F352" s="66">
        <f>F351*'OLD Formulas'!$L$5</f>
        <v>0</v>
      </c>
      <c r="G352" s="66">
        <f>G351*'OLD Formulas'!$L$5</f>
        <v>0</v>
      </c>
      <c r="H352" s="66">
        <f>H351*'OLD Formulas'!$L$5</f>
        <v>0</v>
      </c>
      <c r="I352" s="66">
        <f>I351*'OLD Formulas'!$L$5</f>
        <v>0</v>
      </c>
      <c r="J352" s="66">
        <f>J351*'OLD Formulas'!$L$5</f>
        <v>0</v>
      </c>
      <c r="K352" s="66">
        <f>K351*'OLD Formulas'!$L$5</f>
        <v>0</v>
      </c>
      <c r="L352" s="66">
        <f>L351*'OLD Formulas'!$L$5</f>
        <v>0</v>
      </c>
      <c r="M352" s="66">
        <f>M351*'OLD Formulas'!$L$5</f>
        <v>0</v>
      </c>
      <c r="N352" s="66">
        <f>N351*'OLD Formulas'!$L$5</f>
        <v>0</v>
      </c>
      <c r="O352" s="66">
        <f>O351*'OLD Formulas'!$L$5</f>
        <v>0</v>
      </c>
      <c r="P352" s="66">
        <f>P351*'OLD Formulas'!$L$5</f>
        <v>0</v>
      </c>
      <c r="Q352" s="66">
        <f>Q351*'OLD Formulas'!$L$5</f>
        <v>0</v>
      </c>
      <c r="R352" s="66">
        <f>R351*'OLD Formulas'!$L$5</f>
        <v>0</v>
      </c>
      <c r="S352" s="66">
        <f>S351*'OLD Formulas'!$L$5</f>
        <v>0</v>
      </c>
      <c r="T352" s="66">
        <f>T351*'OLD Formulas'!$L$5</f>
        <v>0</v>
      </c>
      <c r="U352" s="66">
        <f>U351*'OLD Formulas'!$L$5</f>
        <v>0</v>
      </c>
      <c r="V352" s="66">
        <f>V351*'OLD Formulas'!$L$5</f>
        <v>0</v>
      </c>
      <c r="W352" s="66">
        <f>W351*'OLD Formulas'!$L$5</f>
        <v>0</v>
      </c>
      <c r="X352" s="66">
        <f>X351*'OLD Formulas'!$L$5</f>
        <v>0</v>
      </c>
      <c r="Y352" s="66">
        <f>Y351*'OLD Formulas'!$L$5</f>
        <v>0</v>
      </c>
      <c r="Z352" s="66">
        <f>Z351*'OLD Formulas'!$L$5</f>
        <v>0</v>
      </c>
      <c r="AA352" s="66">
        <f>AA351*'OLD Formulas'!$L$5</f>
        <v>0</v>
      </c>
      <c r="AB352" s="66">
        <f>AB351*'OLD Formulas'!$L$5</f>
        <v>0</v>
      </c>
      <c r="AC352" s="66">
        <f>AC351*'OLD Formulas'!$L$5</f>
        <v>0</v>
      </c>
      <c r="AD352" s="66">
        <f>AD351*'OLD Formulas'!$L$5</f>
        <v>0</v>
      </c>
      <c r="AE352" s="66">
        <f>AE351*'OLD Formulas'!$L$5</f>
        <v>0</v>
      </c>
      <c r="AF352" s="66">
        <f>AF351*'OLD Formulas'!$L$5</f>
        <v>0</v>
      </c>
      <c r="AG352" s="623">
        <f t="shared" si="143"/>
        <v>0</v>
      </c>
    </row>
    <row r="353">
      <c r="A353" s="928" t="s">
        <v>1236</v>
      </c>
      <c r="B353" s="66">
        <f>B351*'OLD Formulas'!$L$4</f>
        <v>0</v>
      </c>
      <c r="C353" s="66">
        <f>C351*'OLD Formulas'!$L$4</f>
        <v>0</v>
      </c>
      <c r="D353" s="66">
        <f>D351*'OLD Formulas'!$L$4</f>
        <v>0</v>
      </c>
      <c r="E353" s="66">
        <f>E351*'OLD Formulas'!$L$4</f>
        <v>0</v>
      </c>
      <c r="F353" s="66">
        <f>F351*'OLD Formulas'!$L$4</f>
        <v>0</v>
      </c>
      <c r="G353" s="66">
        <f>G351*'OLD Formulas'!$L$4</f>
        <v>0</v>
      </c>
      <c r="H353" s="66">
        <f>H351*'OLD Formulas'!$L$4</f>
        <v>0</v>
      </c>
      <c r="I353" s="66">
        <f>I351*'OLD Formulas'!$L$4</f>
        <v>0</v>
      </c>
      <c r="J353" s="66">
        <f>J351*'OLD Formulas'!$L$4</f>
        <v>0</v>
      </c>
      <c r="K353" s="66">
        <f>K351*'OLD Formulas'!$L$4</f>
        <v>0</v>
      </c>
      <c r="L353" s="66">
        <f>L351*'OLD Formulas'!$L$4</f>
        <v>0</v>
      </c>
      <c r="M353" s="66">
        <f>M351*'OLD Formulas'!$L$4</f>
        <v>0</v>
      </c>
      <c r="N353" s="66">
        <f>N351*'OLD Formulas'!$L$4</f>
        <v>0</v>
      </c>
      <c r="O353" s="66">
        <f>O351*'OLD Formulas'!$L$4</f>
        <v>0</v>
      </c>
      <c r="P353" s="66">
        <f>P351*'OLD Formulas'!$L$4</f>
        <v>0</v>
      </c>
      <c r="Q353" s="66">
        <f>Q351*'OLD Formulas'!$L$4</f>
        <v>0</v>
      </c>
      <c r="R353" s="66">
        <f>R351*'OLD Formulas'!$L$4</f>
        <v>0</v>
      </c>
      <c r="S353" s="66">
        <f>S351*'OLD Formulas'!$L$4</f>
        <v>0</v>
      </c>
      <c r="T353" s="66">
        <f>T351*'OLD Formulas'!$L$4</f>
        <v>0</v>
      </c>
      <c r="U353" s="66">
        <f>U351*'OLD Formulas'!$L$4</f>
        <v>0</v>
      </c>
      <c r="V353" s="66">
        <f>V351*'OLD Formulas'!$L$4</f>
        <v>0</v>
      </c>
      <c r="W353" s="66">
        <f>W351*'OLD Formulas'!$L$4</f>
        <v>0</v>
      </c>
      <c r="X353" s="66">
        <f>X351*'OLD Formulas'!$L$4</f>
        <v>0</v>
      </c>
      <c r="Y353" s="66">
        <f>Y351*'OLD Formulas'!$L$4</f>
        <v>0</v>
      </c>
      <c r="Z353" s="66">
        <f>Z351*'OLD Formulas'!$L$4</f>
        <v>0</v>
      </c>
      <c r="AA353" s="66">
        <f>AA351*'OLD Formulas'!$L$4</f>
        <v>0</v>
      </c>
      <c r="AB353" s="66">
        <f>AB351*'OLD Formulas'!$L$4</f>
        <v>0</v>
      </c>
      <c r="AC353" s="66">
        <f>AC351*'OLD Formulas'!$L$4</f>
        <v>0</v>
      </c>
      <c r="AD353" s="66">
        <f>AD351*'OLD Formulas'!$L$4</f>
        <v>0</v>
      </c>
      <c r="AE353" s="66">
        <f>AE351*'OLD Formulas'!$L$4</f>
        <v>0</v>
      </c>
      <c r="AF353" s="66">
        <f>AF351*'OLD Formulas'!$L$4</f>
        <v>0</v>
      </c>
      <c r="AG353" s="623">
        <f t="shared" si="143"/>
        <v>0</v>
      </c>
    </row>
    <row r="354">
      <c r="A354" s="926" t="s">
        <v>1237</v>
      </c>
      <c r="B354" s="66">
        <f>B102*'OLD Formulas'!$C$6</f>
        <v>29.58</v>
      </c>
      <c r="C354" s="66">
        <f>C102*'OLD Formulas'!$C$6</f>
        <v>24.65</v>
      </c>
      <c r="D354" s="66">
        <f>D102*'OLD Formulas'!$C$6</f>
        <v>14.79</v>
      </c>
      <c r="E354" s="66">
        <f>E102*'OLD Formulas'!$C$6</f>
        <v>24.65</v>
      </c>
      <c r="F354" s="66">
        <f>F102*'OLD Formulas'!$C$6</f>
        <v>24.65</v>
      </c>
      <c r="G354" s="66">
        <f>G102*'OLD Formulas'!$C$6</f>
        <v>24.65</v>
      </c>
      <c r="H354" s="66">
        <f>H102*'OLD Formulas'!$C$6</f>
        <v>9.86</v>
      </c>
      <c r="I354" s="66">
        <f>I102*'OLD Formulas'!$C$6</f>
        <v>64.09</v>
      </c>
      <c r="J354" s="66">
        <f>J102*'OLD Formulas'!$C$6</f>
        <v>29.58</v>
      </c>
      <c r="K354" s="66">
        <f>K102*'OLD Formulas'!$C$6</f>
        <v>19.72</v>
      </c>
      <c r="L354" s="66">
        <f>L102*'OLD Formulas'!$C$6</f>
        <v>59.16</v>
      </c>
      <c r="M354" s="66">
        <f>M102*'OLD Formulas'!$C$6</f>
        <v>54.23</v>
      </c>
      <c r="N354" s="66">
        <f>N102*'OLD Formulas'!$C$6</f>
        <v>14.79</v>
      </c>
      <c r="O354" s="66">
        <f>O102*'OLD Formulas'!$C$6</f>
        <v>44.37</v>
      </c>
      <c r="P354" s="66">
        <f>P102*'OLD Formulas'!$C$6</f>
        <v>64.09</v>
      </c>
      <c r="Q354" s="66">
        <f>Q102*'OLD Formulas'!$C$6</f>
        <v>98.6</v>
      </c>
      <c r="R354" s="66">
        <f>R102*'OLD Formulas'!$C$6</f>
        <v>123.25</v>
      </c>
      <c r="S354" s="66">
        <f>S102*'OLD Formulas'!$C$6</f>
        <v>118.32</v>
      </c>
      <c r="T354" s="66">
        <f>T102*'OLD Formulas'!$C$6</f>
        <v>157.76</v>
      </c>
      <c r="U354" s="66">
        <f>U102*'OLD Formulas'!$C$6</f>
        <v>187.34</v>
      </c>
      <c r="V354" s="66">
        <f>V102*'OLD Formulas'!$C$6</f>
        <v>197.2</v>
      </c>
      <c r="W354" s="66">
        <f>W102*'OLD Formulas'!$C$6</f>
        <v>167.62</v>
      </c>
      <c r="X354" s="66">
        <f>X102*'OLD Formulas'!$C$6</f>
        <v>325.38</v>
      </c>
      <c r="Y354" s="66">
        <f>Y102*'OLD Formulas'!$C$6</f>
        <v>902.19</v>
      </c>
      <c r="Z354" s="66">
        <f>Z102*'OLD Formulas'!$C$6</f>
        <v>39.44</v>
      </c>
      <c r="AA354" s="66">
        <f>AA102*'OLD Formulas'!$C$6</f>
        <v>44.37</v>
      </c>
      <c r="AB354" s="66">
        <f>AB102*'OLD Formulas'!$C$6</f>
        <v>0</v>
      </c>
      <c r="AC354" s="66">
        <f>AC102*'OLD Formulas'!$C$6</f>
        <v>0</v>
      </c>
      <c r="AD354" s="66">
        <f>AD102*'OLD Formulas'!$C$6</f>
        <v>0</v>
      </c>
      <c r="AE354" s="66">
        <f>AE102*'OLD Formulas'!$C$6</f>
        <v>0</v>
      </c>
      <c r="AF354" s="66">
        <f>AF102*'OLD Formulas'!$C$6</f>
        <v>0</v>
      </c>
      <c r="AG354" s="623">
        <f t="shared" si="143"/>
        <v>2864.33</v>
      </c>
    </row>
    <row r="355">
      <c r="A355" s="928" t="s">
        <v>1238</v>
      </c>
      <c r="B355" s="66">
        <f>B354*'OLD Formulas'!$L$5</f>
        <v>2.2185</v>
      </c>
      <c r="C355" s="66">
        <f>C354*'OLD Formulas'!$L$5</f>
        <v>1.84875</v>
      </c>
      <c r="D355" s="66">
        <f>D354*'OLD Formulas'!$L$5</f>
        <v>1.10925</v>
      </c>
      <c r="E355" s="66">
        <f>E354*'OLD Formulas'!$L$5</f>
        <v>1.84875</v>
      </c>
      <c r="F355" s="66">
        <f>F354*'OLD Formulas'!$L$5</f>
        <v>1.84875</v>
      </c>
      <c r="G355" s="66">
        <f>G354*'OLD Formulas'!$L$5</f>
        <v>1.84875</v>
      </c>
      <c r="H355" s="66">
        <f>H354*'OLD Formulas'!$L$5</f>
        <v>0.7395</v>
      </c>
      <c r="I355" s="66">
        <f>I354*'OLD Formulas'!$L$5</f>
        <v>4.80675</v>
      </c>
      <c r="J355" s="66">
        <f>J354*'OLD Formulas'!$L$5</f>
        <v>2.2185</v>
      </c>
      <c r="K355" s="66">
        <f>K354*'OLD Formulas'!$L$5</f>
        <v>1.479</v>
      </c>
      <c r="L355" s="66">
        <f>L354*'OLD Formulas'!$L$5</f>
        <v>4.437</v>
      </c>
      <c r="M355" s="66">
        <f>M354*'OLD Formulas'!$L$5</f>
        <v>4.06725</v>
      </c>
      <c r="N355" s="66">
        <f>N354*'OLD Formulas'!$L$5</f>
        <v>1.10925</v>
      </c>
      <c r="O355" s="66">
        <f>O354*'OLD Formulas'!$L$5</f>
        <v>3.32775</v>
      </c>
      <c r="P355" s="66">
        <f>P354*'OLD Formulas'!$L$5</f>
        <v>4.80675</v>
      </c>
      <c r="Q355" s="66">
        <f>Q354*'OLD Formulas'!$L$5</f>
        <v>7.395</v>
      </c>
      <c r="R355" s="66">
        <f>R354*'OLD Formulas'!$L$5</f>
        <v>9.24375</v>
      </c>
      <c r="S355" s="66">
        <f>S354*'OLD Formulas'!$L$5</f>
        <v>8.874</v>
      </c>
      <c r="T355" s="66">
        <f>T354*'OLD Formulas'!$L$5</f>
        <v>11.832</v>
      </c>
      <c r="U355" s="66">
        <f>U354*'OLD Formulas'!$L$5</f>
        <v>14.0505</v>
      </c>
      <c r="V355" s="66">
        <f>V354*'OLD Formulas'!$L$5</f>
        <v>14.79</v>
      </c>
      <c r="W355" s="66">
        <f>W354*'OLD Formulas'!$L$5</f>
        <v>12.5715</v>
      </c>
      <c r="X355" s="66">
        <f>X354*'OLD Formulas'!$L$5</f>
        <v>24.4035</v>
      </c>
      <c r="Y355" s="66">
        <f>Y354*'OLD Formulas'!$L$5</f>
        <v>67.66425</v>
      </c>
      <c r="Z355" s="66">
        <f>Z354*'OLD Formulas'!$L$5</f>
        <v>2.958</v>
      </c>
      <c r="AA355" s="66">
        <f>AA354*'OLD Formulas'!$L$5</f>
        <v>3.32775</v>
      </c>
      <c r="AB355" s="66">
        <f>AB354*'OLD Formulas'!$L$5</f>
        <v>0</v>
      </c>
      <c r="AC355" s="66">
        <f>AC354*'OLD Formulas'!$L$5</f>
        <v>0</v>
      </c>
      <c r="AD355" s="66">
        <f>AD354*'OLD Formulas'!$L$5</f>
        <v>0</v>
      </c>
      <c r="AE355" s="66">
        <f>AE354*'OLD Formulas'!$L$5</f>
        <v>0</v>
      </c>
      <c r="AF355" s="66">
        <f>AF354*'OLD Formulas'!$L$5</f>
        <v>0</v>
      </c>
      <c r="AG355" s="623">
        <f t="shared" si="143"/>
        <v>214.82475</v>
      </c>
    </row>
    <row r="356">
      <c r="A356" s="928" t="s">
        <v>1239</v>
      </c>
      <c r="B356" s="66">
        <f>B354*'OLD Formulas'!$L$4</f>
        <v>1.00572</v>
      </c>
      <c r="C356" s="66">
        <f>C354*'OLD Formulas'!$L$4</f>
        <v>0.8381</v>
      </c>
      <c r="D356" s="66">
        <f>D354*'OLD Formulas'!$L$4</f>
        <v>0.50286</v>
      </c>
      <c r="E356" s="66">
        <f>E354*'OLD Formulas'!$L$4</f>
        <v>0.8381</v>
      </c>
      <c r="F356" s="66">
        <f>F354*'OLD Formulas'!$L$4</f>
        <v>0.8381</v>
      </c>
      <c r="G356" s="66">
        <f>G354*'OLD Formulas'!$L$4</f>
        <v>0.8381</v>
      </c>
      <c r="H356" s="66">
        <f>H354*'OLD Formulas'!$L$4</f>
        <v>0.33524</v>
      </c>
      <c r="I356" s="66">
        <f>I354*'OLD Formulas'!$L$4</f>
        <v>2.17906</v>
      </c>
      <c r="J356" s="66">
        <f>J354*'OLD Formulas'!$L$4</f>
        <v>1.00572</v>
      </c>
      <c r="K356" s="66">
        <f>K354*'OLD Formulas'!$L$4</f>
        <v>0.67048</v>
      </c>
      <c r="L356" s="66">
        <f>L354*'OLD Formulas'!$L$4</f>
        <v>2.01144</v>
      </c>
      <c r="M356" s="66">
        <f>M354*'OLD Formulas'!$L$4</f>
        <v>1.84382</v>
      </c>
      <c r="N356" s="66">
        <f>N354*'OLD Formulas'!$L$4</f>
        <v>0.50286</v>
      </c>
      <c r="O356" s="66">
        <f>O354*'OLD Formulas'!$L$4</f>
        <v>1.50858</v>
      </c>
      <c r="P356" s="66">
        <f>P354*'OLD Formulas'!$L$4</f>
        <v>2.17906</v>
      </c>
      <c r="Q356" s="66">
        <f>Q354*'OLD Formulas'!$L$4</f>
        <v>3.3524</v>
      </c>
      <c r="R356" s="66">
        <f>R354*'OLD Formulas'!$L$4</f>
        <v>4.1905</v>
      </c>
      <c r="S356" s="66">
        <f>S354*'OLD Formulas'!$L$4</f>
        <v>4.02288</v>
      </c>
      <c r="T356" s="66">
        <f>T354*'OLD Formulas'!$L$4</f>
        <v>5.36384</v>
      </c>
      <c r="U356" s="66">
        <f>U354*'OLD Formulas'!$L$4</f>
        <v>6.36956</v>
      </c>
      <c r="V356" s="66">
        <f>V354*'OLD Formulas'!$L$4</f>
        <v>6.7048</v>
      </c>
      <c r="W356" s="66">
        <f>W354*'OLD Formulas'!$L$4</f>
        <v>5.69908</v>
      </c>
      <c r="X356" s="66">
        <f>X354*'OLD Formulas'!$L$4</f>
        <v>11.06292</v>
      </c>
      <c r="Y356" s="66">
        <f>Y354*'OLD Formulas'!$L$4</f>
        <v>30.67446</v>
      </c>
      <c r="Z356" s="66">
        <f>Z354*'OLD Formulas'!$L$4</f>
        <v>1.34096</v>
      </c>
      <c r="AA356" s="66">
        <f>AA354*'OLD Formulas'!$L$4</f>
        <v>1.50858</v>
      </c>
      <c r="AB356" s="66">
        <f>AB354*'OLD Formulas'!$L$4</f>
        <v>0</v>
      </c>
      <c r="AC356" s="66">
        <f>AC354*'OLD Formulas'!$L$4</f>
        <v>0</v>
      </c>
      <c r="AD356" s="66">
        <f>AD354*'OLD Formulas'!$L$4</f>
        <v>0</v>
      </c>
      <c r="AE356" s="66">
        <f>AE354*'OLD Formulas'!$L$4</f>
        <v>0</v>
      </c>
      <c r="AF356" s="66">
        <f>AF354*'OLD Formulas'!$L$4</f>
        <v>0</v>
      </c>
      <c r="AG356" s="623">
        <f t="shared" si="143"/>
        <v>97.38722</v>
      </c>
    </row>
    <row r="357">
      <c r="A357" s="926" t="s">
        <v>1240</v>
      </c>
      <c r="B357" s="66">
        <f>B104*'OLD Formulas'!$C$8</f>
        <v>0</v>
      </c>
      <c r="C357" s="66">
        <f>C104*'OLD Formulas'!$C$8</f>
        <v>0</v>
      </c>
      <c r="D357" s="66">
        <f>D104*'OLD Formulas'!$C$8</f>
        <v>0</v>
      </c>
      <c r="E357" s="66">
        <f>E104*'OLD Formulas'!$C$8</f>
        <v>0</v>
      </c>
      <c r="F357" s="66">
        <f>F104*'OLD Formulas'!$C$8</f>
        <v>0</v>
      </c>
      <c r="G357" s="66">
        <f>G104*'OLD Formulas'!$C$8</f>
        <v>0</v>
      </c>
      <c r="H357" s="66">
        <f>H104*'OLD Formulas'!$C$8</f>
        <v>0</v>
      </c>
      <c r="I357" s="66">
        <f>I104*'OLD Formulas'!$C$8</f>
        <v>0</v>
      </c>
      <c r="J357" s="66">
        <f>J104*'OLD Formulas'!$C$8</f>
        <v>0</v>
      </c>
      <c r="K357" s="66">
        <f>K104*'OLD Formulas'!$C$8</f>
        <v>0</v>
      </c>
      <c r="L357" s="66">
        <f>L104*'OLD Formulas'!$C$8</f>
        <v>0</v>
      </c>
      <c r="M357" s="66">
        <f>M104*'OLD Formulas'!$C$8</f>
        <v>0</v>
      </c>
      <c r="N357" s="66">
        <f>N104*'OLD Formulas'!$C$8</f>
        <v>0</v>
      </c>
      <c r="O357" s="66">
        <f>O104*'OLD Formulas'!$C$8</f>
        <v>0</v>
      </c>
      <c r="P357" s="66">
        <f>P104*'OLD Formulas'!$C$8</f>
        <v>0</v>
      </c>
      <c r="Q357" s="66">
        <f>Q104*'OLD Formulas'!$C$8</f>
        <v>0</v>
      </c>
      <c r="R357" s="66">
        <f>R104*'OLD Formulas'!$C$8</f>
        <v>0</v>
      </c>
      <c r="S357" s="66">
        <f>S104*'OLD Formulas'!$C$8</f>
        <v>0</v>
      </c>
      <c r="T357" s="66">
        <f>T104*'OLD Formulas'!$C$8</f>
        <v>0</v>
      </c>
      <c r="U357" s="66">
        <f>U104*'OLD Formulas'!$C$8</f>
        <v>0</v>
      </c>
      <c r="V357" s="66">
        <f>V104*'OLD Formulas'!$C$8</f>
        <v>0</v>
      </c>
      <c r="W357" s="66">
        <f>W104*'OLD Formulas'!$C$8</f>
        <v>0</v>
      </c>
      <c r="X357" s="66">
        <f>X104*'OLD Formulas'!$C$8</f>
        <v>0</v>
      </c>
      <c r="Y357" s="66">
        <f>Y104*'OLD Formulas'!$C$8</f>
        <v>0</v>
      </c>
      <c r="Z357" s="66">
        <f>Z104*'OLD Formulas'!$C$8</f>
        <v>0</v>
      </c>
      <c r="AA357" s="66">
        <f>AA104*'OLD Formulas'!$C$8</f>
        <v>0</v>
      </c>
      <c r="AB357" s="66">
        <f>AB104*'OLD Formulas'!$C$8</f>
        <v>0</v>
      </c>
      <c r="AC357" s="66">
        <f>AC104*'OLD Formulas'!$C$8</f>
        <v>0</v>
      </c>
      <c r="AD357" s="66">
        <f>AD104*'OLD Formulas'!$C$8</f>
        <v>0</v>
      </c>
      <c r="AE357" s="66">
        <f>AE104*'OLD Formulas'!$C$8</f>
        <v>0</v>
      </c>
      <c r="AF357" s="66">
        <f>AF104*'OLD Formulas'!$C$8</f>
        <v>0</v>
      </c>
      <c r="AG357" s="623">
        <f t="shared" si="143"/>
        <v>0</v>
      </c>
    </row>
    <row r="358">
      <c r="A358" s="928" t="s">
        <v>1241</v>
      </c>
      <c r="B358" s="66">
        <f>B357*'OLD Formulas'!$L$5</f>
        <v>0</v>
      </c>
      <c r="C358" s="66">
        <f>C357*'OLD Formulas'!$L$5</f>
        <v>0</v>
      </c>
      <c r="D358" s="66">
        <f>D357*'OLD Formulas'!$L$5</f>
        <v>0</v>
      </c>
      <c r="E358" s="66">
        <f>E357*'OLD Formulas'!$L$5</f>
        <v>0</v>
      </c>
      <c r="F358" s="66">
        <f>F357*'OLD Formulas'!$L$5</f>
        <v>0</v>
      </c>
      <c r="G358" s="66">
        <f>G357*'OLD Formulas'!$L$5</f>
        <v>0</v>
      </c>
      <c r="H358" s="66">
        <f>H357*'OLD Formulas'!$L$5</f>
        <v>0</v>
      </c>
      <c r="I358" s="66">
        <f>I357*'OLD Formulas'!$L$5</f>
        <v>0</v>
      </c>
      <c r="J358" s="66">
        <f>J357*'OLD Formulas'!$L$5</f>
        <v>0</v>
      </c>
      <c r="K358" s="66">
        <f>K357*'OLD Formulas'!$L$5</f>
        <v>0</v>
      </c>
      <c r="L358" s="66">
        <f>L357*'OLD Formulas'!$L$5</f>
        <v>0</v>
      </c>
      <c r="M358" s="66">
        <f>M357*'OLD Formulas'!$L$5</f>
        <v>0</v>
      </c>
      <c r="N358" s="66">
        <f>N357*'OLD Formulas'!$L$5</f>
        <v>0</v>
      </c>
      <c r="O358" s="66">
        <f>O357*'OLD Formulas'!$L$5</f>
        <v>0</v>
      </c>
      <c r="P358" s="66">
        <f>P357*'OLD Formulas'!$L$5</f>
        <v>0</v>
      </c>
      <c r="Q358" s="66">
        <f>Q357*'OLD Formulas'!$L$5</f>
        <v>0</v>
      </c>
      <c r="R358" s="66">
        <f>R357*'OLD Formulas'!$L$5</f>
        <v>0</v>
      </c>
      <c r="S358" s="66">
        <f>S357*'OLD Formulas'!$L$5</f>
        <v>0</v>
      </c>
      <c r="T358" s="66">
        <f>T357*'OLD Formulas'!$L$5</f>
        <v>0</v>
      </c>
      <c r="U358" s="66">
        <f>U357*'OLD Formulas'!$L$5</f>
        <v>0</v>
      </c>
      <c r="V358" s="66">
        <f>V357*'OLD Formulas'!$L$5</f>
        <v>0</v>
      </c>
      <c r="W358" s="66">
        <f>W357*'OLD Formulas'!$L$5</f>
        <v>0</v>
      </c>
      <c r="X358" s="66">
        <f>X357*'OLD Formulas'!$L$5</f>
        <v>0</v>
      </c>
      <c r="Y358" s="66">
        <f>Y357*'OLD Formulas'!$L$5</f>
        <v>0</v>
      </c>
      <c r="Z358" s="66">
        <f>Z357*'OLD Formulas'!$L$5</f>
        <v>0</v>
      </c>
      <c r="AA358" s="66">
        <f>AA357*'OLD Formulas'!$L$5</f>
        <v>0</v>
      </c>
      <c r="AB358" s="66">
        <f>AB357*'OLD Formulas'!$L$5</f>
        <v>0</v>
      </c>
      <c r="AC358" s="66">
        <f>AC357*'OLD Formulas'!$L$5</f>
        <v>0</v>
      </c>
      <c r="AD358" s="66">
        <f>AD357*'OLD Formulas'!$L$5</f>
        <v>0</v>
      </c>
      <c r="AE358" s="66">
        <f>AE357*'OLD Formulas'!$L$5</f>
        <v>0</v>
      </c>
      <c r="AF358" s="66">
        <f>AF357*'OLD Formulas'!$L$5</f>
        <v>0</v>
      </c>
      <c r="AG358" s="623">
        <f t="shared" si="143"/>
        <v>0</v>
      </c>
    </row>
    <row r="359">
      <c r="A359" s="928" t="s">
        <v>1242</v>
      </c>
      <c r="B359" s="66">
        <f>B357*'OLD Formulas'!$L$4</f>
        <v>0</v>
      </c>
      <c r="C359" s="66">
        <f>C357*'OLD Formulas'!$L$4</f>
        <v>0</v>
      </c>
      <c r="D359" s="66">
        <f>D357*'OLD Formulas'!$L$4</f>
        <v>0</v>
      </c>
      <c r="E359" s="66">
        <f>E357*'OLD Formulas'!$L$4</f>
        <v>0</v>
      </c>
      <c r="F359" s="66">
        <f>F357*'OLD Formulas'!$L$4</f>
        <v>0</v>
      </c>
      <c r="G359" s="66">
        <f>G357*'OLD Formulas'!$L$4</f>
        <v>0</v>
      </c>
      <c r="H359" s="66">
        <f>H357*'OLD Formulas'!$L$4</f>
        <v>0</v>
      </c>
      <c r="I359" s="66">
        <f>I357*'OLD Formulas'!$L$4</f>
        <v>0</v>
      </c>
      <c r="J359" s="66">
        <f>J357*'OLD Formulas'!$L$4</f>
        <v>0</v>
      </c>
      <c r="K359" s="66">
        <f>K357*'OLD Formulas'!$L$4</f>
        <v>0</v>
      </c>
      <c r="L359" s="66">
        <f>L357*'OLD Formulas'!$L$4</f>
        <v>0</v>
      </c>
      <c r="M359" s="66">
        <f>M357*'OLD Formulas'!$L$4</f>
        <v>0</v>
      </c>
      <c r="N359" s="66">
        <f>N357*'OLD Formulas'!$L$4</f>
        <v>0</v>
      </c>
      <c r="O359" s="66">
        <f>O357*'OLD Formulas'!$L$4</f>
        <v>0</v>
      </c>
      <c r="P359" s="66">
        <f>P357*'OLD Formulas'!$L$4</f>
        <v>0</v>
      </c>
      <c r="Q359" s="66">
        <f>Q357*'OLD Formulas'!$L$4</f>
        <v>0</v>
      </c>
      <c r="R359" s="66">
        <f>R357*'OLD Formulas'!$L$4</f>
        <v>0</v>
      </c>
      <c r="S359" s="66">
        <f>S357*'OLD Formulas'!$L$4</f>
        <v>0</v>
      </c>
      <c r="T359" s="66">
        <f>T357*'OLD Formulas'!$L$4</f>
        <v>0</v>
      </c>
      <c r="U359" s="66">
        <f>U357*'OLD Formulas'!$L$4</f>
        <v>0</v>
      </c>
      <c r="V359" s="66">
        <f>V357*'OLD Formulas'!$L$4</f>
        <v>0</v>
      </c>
      <c r="W359" s="66">
        <f>W357*'OLD Formulas'!$L$4</f>
        <v>0</v>
      </c>
      <c r="X359" s="66">
        <f>X357*'OLD Formulas'!$L$4</f>
        <v>0</v>
      </c>
      <c r="Y359" s="66">
        <f>Y357*'OLD Formulas'!$L$4</f>
        <v>0</v>
      </c>
      <c r="Z359" s="66">
        <f>Z357*'OLD Formulas'!$L$4</f>
        <v>0</v>
      </c>
      <c r="AA359" s="66">
        <f>AA357*'OLD Formulas'!$L$4</f>
        <v>0</v>
      </c>
      <c r="AB359" s="66">
        <f>AB357*'OLD Formulas'!$L$4</f>
        <v>0</v>
      </c>
      <c r="AC359" s="66">
        <f>AC357*'OLD Formulas'!$L$4</f>
        <v>0</v>
      </c>
      <c r="AD359" s="66">
        <f>AD357*'OLD Formulas'!$L$4</f>
        <v>0</v>
      </c>
      <c r="AE359" s="66">
        <f>AE357*'OLD Formulas'!$L$4</f>
        <v>0</v>
      </c>
      <c r="AF359" s="66">
        <f>AF357*'OLD Formulas'!$L$4</f>
        <v>0</v>
      </c>
      <c r="AG359" s="623">
        <f t="shared" si="143"/>
        <v>0</v>
      </c>
    </row>
    <row r="360">
      <c r="A360" s="926" t="s">
        <v>1243</v>
      </c>
      <c r="B360" s="66">
        <f>B109*'OLD Formulas'!$C$9</f>
        <v>0</v>
      </c>
      <c r="C360" s="66">
        <f>C109*'OLD Formulas'!$C$9</f>
        <v>0</v>
      </c>
      <c r="D360" s="66">
        <f>D109*'OLD Formulas'!$C$9</f>
        <v>0</v>
      </c>
      <c r="E360" s="66">
        <f>E109*'OLD Formulas'!$C$9</f>
        <v>0</v>
      </c>
      <c r="F360" s="66">
        <f>F109*'OLD Formulas'!$C$9</f>
        <v>0</v>
      </c>
      <c r="G360" s="66">
        <f>G109*'OLD Formulas'!$C$9</f>
        <v>0</v>
      </c>
      <c r="H360" s="66">
        <f>H109*'OLD Formulas'!$C$9</f>
        <v>0</v>
      </c>
      <c r="I360" s="66">
        <f>I109*'OLD Formulas'!$C$9</f>
        <v>0</v>
      </c>
      <c r="J360" s="66">
        <f>J109*'OLD Formulas'!$C$9</f>
        <v>0</v>
      </c>
      <c r="K360" s="66">
        <f>K109*'OLD Formulas'!$C$9</f>
        <v>0</v>
      </c>
      <c r="L360" s="66">
        <f>L109*'OLD Formulas'!$C$9</f>
        <v>0</v>
      </c>
      <c r="M360" s="66">
        <f>M109*'OLD Formulas'!$C$9</f>
        <v>0</v>
      </c>
      <c r="N360" s="66">
        <f>N109*'OLD Formulas'!$C$9</f>
        <v>0</v>
      </c>
      <c r="O360" s="66">
        <f>O109*'OLD Formulas'!$C$9</f>
        <v>0</v>
      </c>
      <c r="P360" s="66">
        <f>P109*'OLD Formulas'!$C$9</f>
        <v>0</v>
      </c>
      <c r="Q360" s="66">
        <f>Q109*'OLD Formulas'!$C$9</f>
        <v>0</v>
      </c>
      <c r="R360" s="66">
        <f>R109*'OLD Formulas'!$C$9</f>
        <v>0</v>
      </c>
      <c r="S360" s="66">
        <f>S109*'OLD Formulas'!$C$9</f>
        <v>0</v>
      </c>
      <c r="T360" s="66">
        <f>T109*'OLD Formulas'!$C$9</f>
        <v>0</v>
      </c>
      <c r="U360" s="66">
        <f>U109*'OLD Formulas'!$C$9</f>
        <v>0</v>
      </c>
      <c r="V360" s="66">
        <f>V109*'OLD Formulas'!$C$9</f>
        <v>0</v>
      </c>
      <c r="W360" s="66">
        <f>W109*'OLD Formulas'!$C$9</f>
        <v>0</v>
      </c>
      <c r="X360" s="66">
        <f>X109*'OLD Formulas'!$C$9</f>
        <v>0</v>
      </c>
      <c r="Y360" s="66">
        <f>Y109*'OLD Formulas'!$C$9</f>
        <v>0</v>
      </c>
      <c r="Z360" s="66">
        <f>Z109*'OLD Formulas'!$C$9</f>
        <v>0</v>
      </c>
      <c r="AA360" s="66">
        <f>AA109*'OLD Formulas'!$C$9</f>
        <v>0</v>
      </c>
      <c r="AB360" s="66">
        <f>AB109*'OLD Formulas'!$C$9</f>
        <v>0</v>
      </c>
      <c r="AC360" s="66">
        <f>AC109*'OLD Formulas'!$C$9</f>
        <v>0</v>
      </c>
      <c r="AD360" s="66">
        <f>AD109*'OLD Formulas'!$C$9</f>
        <v>0</v>
      </c>
      <c r="AE360" s="66">
        <f>AE109*'OLD Formulas'!$C$9</f>
        <v>0</v>
      </c>
      <c r="AF360" s="66">
        <f>AF109*'OLD Formulas'!$C$9</f>
        <v>0</v>
      </c>
      <c r="AG360" s="623">
        <f t="shared" si="143"/>
        <v>0</v>
      </c>
    </row>
    <row r="361">
      <c r="A361" s="928" t="s">
        <v>1244</v>
      </c>
      <c r="B361" s="66">
        <f>B360*'OLD Formulas'!$L$5</f>
        <v>0</v>
      </c>
      <c r="C361" s="66">
        <f>C360*'OLD Formulas'!$L$5</f>
        <v>0</v>
      </c>
      <c r="D361" s="66">
        <f>D360*'OLD Formulas'!$L$5</f>
        <v>0</v>
      </c>
      <c r="E361" s="66">
        <f>E360*'OLD Formulas'!$L$5</f>
        <v>0</v>
      </c>
      <c r="F361" s="66">
        <f>F360*'OLD Formulas'!$L$5</f>
        <v>0</v>
      </c>
      <c r="G361" s="66">
        <f>G360*'OLD Formulas'!$L$5</f>
        <v>0</v>
      </c>
      <c r="H361" s="66">
        <f>H360*'OLD Formulas'!$L$5</f>
        <v>0</v>
      </c>
      <c r="I361" s="66">
        <f>I360*'OLD Formulas'!$L$5</f>
        <v>0</v>
      </c>
      <c r="J361" s="66">
        <f>J360*'OLD Formulas'!$L$5</f>
        <v>0</v>
      </c>
      <c r="K361" s="66">
        <f>K360*'OLD Formulas'!$L$5</f>
        <v>0</v>
      </c>
      <c r="L361" s="66">
        <f>L360*'OLD Formulas'!$L$5</f>
        <v>0</v>
      </c>
      <c r="M361" s="66">
        <f>M360*'OLD Formulas'!$L$5</f>
        <v>0</v>
      </c>
      <c r="N361" s="66">
        <f>N360*'OLD Formulas'!$L$5</f>
        <v>0</v>
      </c>
      <c r="O361" s="66">
        <f>O360*'OLD Formulas'!$L$5</f>
        <v>0</v>
      </c>
      <c r="P361" s="66">
        <f>P360*'OLD Formulas'!$L$5</f>
        <v>0</v>
      </c>
      <c r="Q361" s="66">
        <f>Q360*'OLD Formulas'!$L$5</f>
        <v>0</v>
      </c>
      <c r="R361" s="66">
        <f>R360*'OLD Formulas'!$L$5</f>
        <v>0</v>
      </c>
      <c r="S361" s="66">
        <f>S360*'OLD Formulas'!$L$5</f>
        <v>0</v>
      </c>
      <c r="T361" s="66">
        <f>T360*'OLD Formulas'!$L$5</f>
        <v>0</v>
      </c>
      <c r="U361" s="66">
        <f>U360*'OLD Formulas'!$L$5</f>
        <v>0</v>
      </c>
      <c r="V361" s="66">
        <f>V360*'OLD Formulas'!$L$5</f>
        <v>0</v>
      </c>
      <c r="W361" s="66">
        <f>W360*'OLD Formulas'!$L$5</f>
        <v>0</v>
      </c>
      <c r="X361" s="66">
        <f>X360*'OLD Formulas'!$L$5</f>
        <v>0</v>
      </c>
      <c r="Y361" s="66">
        <f>Y360*'OLD Formulas'!$L$5</f>
        <v>0</v>
      </c>
      <c r="Z361" s="66">
        <f>Z360*'OLD Formulas'!$L$5</f>
        <v>0</v>
      </c>
      <c r="AA361" s="66">
        <f>AA360*'OLD Formulas'!$L$5</f>
        <v>0</v>
      </c>
      <c r="AB361" s="66">
        <f>AB360*'OLD Formulas'!$L$5</f>
        <v>0</v>
      </c>
      <c r="AC361" s="66">
        <f>AC360*'OLD Formulas'!$L$5</f>
        <v>0</v>
      </c>
      <c r="AD361" s="66">
        <f>AD360*'OLD Formulas'!$L$5</f>
        <v>0</v>
      </c>
      <c r="AE361" s="66">
        <f>AE360*'OLD Formulas'!$L$5</f>
        <v>0</v>
      </c>
      <c r="AF361" s="66">
        <f>AF360*'OLD Formulas'!$L$5</f>
        <v>0</v>
      </c>
      <c r="AG361" s="623">
        <f t="shared" si="143"/>
        <v>0</v>
      </c>
    </row>
    <row r="362">
      <c r="A362" s="928" t="s">
        <v>1245</v>
      </c>
      <c r="B362" s="66">
        <f>B360*'OLD Formulas'!$L$4</f>
        <v>0</v>
      </c>
      <c r="C362" s="66">
        <f>C360*'OLD Formulas'!$L$4</f>
        <v>0</v>
      </c>
      <c r="D362" s="66">
        <f>D360*'OLD Formulas'!$L$4</f>
        <v>0</v>
      </c>
      <c r="E362" s="66">
        <f>E360*'OLD Formulas'!$L$4</f>
        <v>0</v>
      </c>
      <c r="F362" s="66">
        <f>F360*'OLD Formulas'!$L$4</f>
        <v>0</v>
      </c>
      <c r="G362" s="66">
        <f>G360*'OLD Formulas'!$L$4</f>
        <v>0</v>
      </c>
      <c r="H362" s="66">
        <f>H360*'OLD Formulas'!$L$4</f>
        <v>0</v>
      </c>
      <c r="I362" s="66">
        <f>I360*'OLD Formulas'!$L$4</f>
        <v>0</v>
      </c>
      <c r="J362" s="66">
        <f>J360*'OLD Formulas'!$L$4</f>
        <v>0</v>
      </c>
      <c r="K362" s="66">
        <f>K360*'OLD Formulas'!$L$4</f>
        <v>0</v>
      </c>
      <c r="L362" s="66">
        <f>L360*'OLD Formulas'!$L$4</f>
        <v>0</v>
      </c>
      <c r="M362" s="66">
        <f>M360*'OLD Formulas'!$L$4</f>
        <v>0</v>
      </c>
      <c r="N362" s="66">
        <f>N360*'OLD Formulas'!$L$4</f>
        <v>0</v>
      </c>
      <c r="O362" s="66">
        <f>O360*'OLD Formulas'!$L$4</f>
        <v>0</v>
      </c>
      <c r="P362" s="66">
        <f>P360*'OLD Formulas'!$L$4</f>
        <v>0</v>
      </c>
      <c r="Q362" s="66">
        <f>Q360*'OLD Formulas'!$L$4</f>
        <v>0</v>
      </c>
      <c r="R362" s="66">
        <f>R360*'OLD Formulas'!$L$4</f>
        <v>0</v>
      </c>
      <c r="S362" s="66">
        <f>S360*'OLD Formulas'!$L$4</f>
        <v>0</v>
      </c>
      <c r="T362" s="66">
        <f>T360*'OLD Formulas'!$L$4</f>
        <v>0</v>
      </c>
      <c r="U362" s="66">
        <f>U360*'OLD Formulas'!$L$4</f>
        <v>0</v>
      </c>
      <c r="V362" s="66">
        <f>V360*'OLD Formulas'!$L$4</f>
        <v>0</v>
      </c>
      <c r="W362" s="66">
        <f>W360*'OLD Formulas'!$L$4</f>
        <v>0</v>
      </c>
      <c r="X362" s="66">
        <f>X360*'OLD Formulas'!$L$4</f>
        <v>0</v>
      </c>
      <c r="Y362" s="66">
        <f>Y360*'OLD Formulas'!$L$4</f>
        <v>0</v>
      </c>
      <c r="Z362" s="66">
        <f>Z360*'OLD Formulas'!$L$4</f>
        <v>0</v>
      </c>
      <c r="AA362" s="66">
        <f>AA360*'OLD Formulas'!$L$4</f>
        <v>0</v>
      </c>
      <c r="AB362" s="66">
        <f>AB360*'OLD Formulas'!$L$4</f>
        <v>0</v>
      </c>
      <c r="AC362" s="66">
        <f>AC360*'OLD Formulas'!$L$4</f>
        <v>0</v>
      </c>
      <c r="AD362" s="66">
        <f>AD360*'OLD Formulas'!$L$4</f>
        <v>0</v>
      </c>
      <c r="AE362" s="66">
        <f>AE360*'OLD Formulas'!$L$4</f>
        <v>0</v>
      </c>
      <c r="AF362" s="66">
        <f>AF360*'OLD Formulas'!$L$4</f>
        <v>0</v>
      </c>
      <c r="AG362" s="623">
        <f t="shared" si="143"/>
        <v>0</v>
      </c>
    </row>
    <row r="363">
      <c r="A363" s="926" t="s">
        <v>1246</v>
      </c>
      <c r="B363" s="66">
        <f>B110*'OLD Formulas'!$C$5</f>
        <v>0</v>
      </c>
      <c r="C363" s="66">
        <f>C110*'OLD Formulas'!$C$5</f>
        <v>0</v>
      </c>
      <c r="D363" s="66">
        <f>D110*'OLD Formulas'!$C$5</f>
        <v>0</v>
      </c>
      <c r="E363" s="66">
        <f>E110*'OLD Formulas'!$C$5</f>
        <v>0</v>
      </c>
      <c r="F363" s="66">
        <f>F110*'OLD Formulas'!$C$5</f>
        <v>0</v>
      </c>
      <c r="G363" s="66">
        <f>G110*'OLD Formulas'!$C$5</f>
        <v>0</v>
      </c>
      <c r="H363" s="66">
        <f>H110*'OLD Formulas'!$C$5</f>
        <v>0</v>
      </c>
      <c r="I363" s="66">
        <f>I110*'OLD Formulas'!$C$5</f>
        <v>0</v>
      </c>
      <c r="J363" s="66">
        <f>J110*'OLD Formulas'!$C$5</f>
        <v>0</v>
      </c>
      <c r="K363" s="66">
        <f>K110*'OLD Formulas'!$C$5</f>
        <v>0</v>
      </c>
      <c r="L363" s="66">
        <f>L110*'OLD Formulas'!$C$5</f>
        <v>0</v>
      </c>
      <c r="M363" s="66">
        <f>M110*'OLD Formulas'!$C$5</f>
        <v>0</v>
      </c>
      <c r="N363" s="66">
        <f>N110*'OLD Formulas'!$C$5</f>
        <v>0</v>
      </c>
      <c r="O363" s="66">
        <f>O110*'OLD Formulas'!$C$5</f>
        <v>0</v>
      </c>
      <c r="P363" s="66">
        <f>P110*'OLD Formulas'!$C$5</f>
        <v>0</v>
      </c>
      <c r="Q363" s="66">
        <f>Q110*'OLD Formulas'!$C$5</f>
        <v>0</v>
      </c>
      <c r="R363" s="66">
        <f>R110*'OLD Formulas'!$C$5</f>
        <v>0</v>
      </c>
      <c r="S363" s="66">
        <f>S110*'OLD Formulas'!$C$5</f>
        <v>0</v>
      </c>
      <c r="T363" s="66">
        <f>T110*'OLD Formulas'!$C$5</f>
        <v>0</v>
      </c>
      <c r="U363" s="66">
        <f>U110*'OLD Formulas'!$C$5</f>
        <v>0</v>
      </c>
      <c r="V363" s="66">
        <f>V110*'OLD Formulas'!$C$5</f>
        <v>0</v>
      </c>
      <c r="W363" s="66">
        <f>W110*'OLD Formulas'!$C$5</f>
        <v>0</v>
      </c>
      <c r="X363" s="66">
        <f>X110*'OLD Formulas'!$C$5</f>
        <v>10.5</v>
      </c>
      <c r="Y363" s="66">
        <f>Y110*'OLD Formulas'!$C$5</f>
        <v>0</v>
      </c>
      <c r="Z363" s="66">
        <f>Z110*'OLD Formulas'!$C$5</f>
        <v>0</v>
      </c>
      <c r="AA363" s="66">
        <f>AA110*'OLD Formulas'!$C$5</f>
        <v>0</v>
      </c>
      <c r="AB363" s="66">
        <f>AB110*'OLD Formulas'!$C$5</f>
        <v>0</v>
      </c>
      <c r="AC363" s="66">
        <f>AC110*'OLD Formulas'!$C$5</f>
        <v>0</v>
      </c>
      <c r="AD363" s="66">
        <f>AD110*'OLD Formulas'!$C$5</f>
        <v>0</v>
      </c>
      <c r="AE363" s="66">
        <f>AE110*'OLD Formulas'!$C$5</f>
        <v>0</v>
      </c>
      <c r="AF363" s="66">
        <f>AF110*'OLD Formulas'!$C$5</f>
        <v>0</v>
      </c>
      <c r="AG363" s="623">
        <f t="shared" si="143"/>
        <v>10.5</v>
      </c>
    </row>
    <row r="364">
      <c r="A364" s="928" t="s">
        <v>1247</v>
      </c>
      <c r="B364" s="66">
        <f>B363*'OLD Formulas'!$L$8</f>
        <v>0</v>
      </c>
      <c r="C364" s="66">
        <f>C363*'OLD Formulas'!$L$8</f>
        <v>0</v>
      </c>
      <c r="D364" s="66">
        <f>D363*'OLD Formulas'!$L$8</f>
        <v>0</v>
      </c>
      <c r="E364" s="66">
        <f>E363*'OLD Formulas'!$L$8</f>
        <v>0</v>
      </c>
      <c r="F364" s="66">
        <f>F363*'OLD Formulas'!$L$8</f>
        <v>0</v>
      </c>
      <c r="G364" s="66">
        <f>G363*'OLD Formulas'!$L$8</f>
        <v>0</v>
      </c>
      <c r="H364" s="66">
        <f>H363*'OLD Formulas'!$L$8</f>
        <v>0</v>
      </c>
      <c r="I364" s="66">
        <f>I363*'OLD Formulas'!$L$8</f>
        <v>0</v>
      </c>
      <c r="J364" s="66">
        <f>J363*'OLD Formulas'!$L$8</f>
        <v>0</v>
      </c>
      <c r="K364" s="66">
        <f>K363*'OLD Formulas'!$L$8</f>
        <v>0</v>
      </c>
      <c r="L364" s="66">
        <f>L363*'OLD Formulas'!$L$8</f>
        <v>0</v>
      </c>
      <c r="M364" s="66">
        <f>M363*'OLD Formulas'!$L$8</f>
        <v>0</v>
      </c>
      <c r="N364" s="66">
        <f>N363*'OLD Formulas'!$L$8</f>
        <v>0</v>
      </c>
      <c r="O364" s="66">
        <f>O363*'OLD Formulas'!$L$8</f>
        <v>0</v>
      </c>
      <c r="P364" s="66">
        <f>P363*'OLD Formulas'!$L$8</f>
        <v>0</v>
      </c>
      <c r="Q364" s="66">
        <f>Q363*'OLD Formulas'!$L$8</f>
        <v>0</v>
      </c>
      <c r="R364" s="66">
        <f>R363*'OLD Formulas'!$L$8</f>
        <v>0</v>
      </c>
      <c r="S364" s="66">
        <f>S363*'OLD Formulas'!$L$8</f>
        <v>0</v>
      </c>
      <c r="T364" s="66">
        <f>T363*'OLD Formulas'!$L$8</f>
        <v>0</v>
      </c>
      <c r="U364" s="66">
        <f>U363*'OLD Formulas'!$L$8</f>
        <v>0</v>
      </c>
      <c r="V364" s="66">
        <f>V363*'OLD Formulas'!$L$8</f>
        <v>0</v>
      </c>
      <c r="W364" s="66">
        <f>W363*'OLD Formulas'!$L$8</f>
        <v>0</v>
      </c>
      <c r="X364" s="66">
        <f>X363*'OLD Formulas'!$L$8</f>
        <v>0.7875</v>
      </c>
      <c r="Y364" s="66">
        <f>Y363*'OLD Formulas'!$L$8</f>
        <v>0</v>
      </c>
      <c r="Z364" s="66">
        <f>Z363*'OLD Formulas'!$L$8</f>
        <v>0</v>
      </c>
      <c r="AA364" s="66">
        <f>AA363*'OLD Formulas'!$L$8</f>
        <v>0</v>
      </c>
      <c r="AB364" s="66">
        <f>AB363*'OLD Formulas'!$L$8</f>
        <v>0</v>
      </c>
      <c r="AC364" s="66">
        <f>AC363*'OLD Formulas'!$L$8</f>
        <v>0</v>
      </c>
      <c r="AD364" s="66">
        <f>AD363*'OLD Formulas'!$L$8</f>
        <v>0</v>
      </c>
      <c r="AE364" s="66">
        <f>AE363*'OLD Formulas'!$L$8</f>
        <v>0</v>
      </c>
      <c r="AF364" s="66">
        <f>AF363*'OLD Formulas'!$L$8</f>
        <v>0</v>
      </c>
      <c r="AG364" s="623">
        <f t="shared" si="143"/>
        <v>0.7875</v>
      </c>
    </row>
    <row r="365">
      <c r="A365" s="928" t="s">
        <v>1248</v>
      </c>
      <c r="B365" s="66">
        <f>B363*'OLD Formulas'!$L$9</f>
        <v>0</v>
      </c>
      <c r="C365" s="66">
        <f>C363*'OLD Formulas'!$L$9</f>
        <v>0</v>
      </c>
      <c r="D365" s="66">
        <f>D363*'OLD Formulas'!$L$9</f>
        <v>0</v>
      </c>
      <c r="E365" s="66">
        <f>E363*'OLD Formulas'!$L$9</f>
        <v>0</v>
      </c>
      <c r="F365" s="66">
        <f>F363*'OLD Formulas'!$L$9</f>
        <v>0</v>
      </c>
      <c r="G365" s="66">
        <f>G363*'OLD Formulas'!$L$9</f>
        <v>0</v>
      </c>
      <c r="H365" s="66">
        <f>H363*'OLD Formulas'!$L$9</f>
        <v>0</v>
      </c>
      <c r="I365" s="66">
        <f>I363*'OLD Formulas'!$L$9</f>
        <v>0</v>
      </c>
      <c r="J365" s="66">
        <f>J363*'OLD Formulas'!$L$9</f>
        <v>0</v>
      </c>
      <c r="K365" s="66">
        <f>K363*'OLD Formulas'!$L$9</f>
        <v>0</v>
      </c>
      <c r="L365" s="66">
        <f>L363*'OLD Formulas'!$L$9</f>
        <v>0</v>
      </c>
      <c r="M365" s="66">
        <f>M363*'OLD Formulas'!$L$9</f>
        <v>0</v>
      </c>
      <c r="N365" s="66">
        <f>N363*'OLD Formulas'!$L$9</f>
        <v>0</v>
      </c>
      <c r="O365" s="66">
        <f>O363*'OLD Formulas'!$L$9</f>
        <v>0</v>
      </c>
      <c r="P365" s="66">
        <f>P363*'OLD Formulas'!$L$9</f>
        <v>0</v>
      </c>
      <c r="Q365" s="66">
        <f>Q363*'OLD Formulas'!$L$9</f>
        <v>0</v>
      </c>
      <c r="R365" s="66">
        <f>R363*'OLD Formulas'!$L$9</f>
        <v>0</v>
      </c>
      <c r="S365" s="66">
        <f>S363*'OLD Formulas'!$L$9</f>
        <v>0</v>
      </c>
      <c r="T365" s="66">
        <f>T363*'OLD Formulas'!$L$9</f>
        <v>0</v>
      </c>
      <c r="U365" s="66">
        <f>U363*'OLD Formulas'!$L$9</f>
        <v>0</v>
      </c>
      <c r="V365" s="66">
        <f>V363*'OLD Formulas'!$L$9</f>
        <v>0</v>
      </c>
      <c r="W365" s="66">
        <f>W363*'OLD Formulas'!$L$9</f>
        <v>0</v>
      </c>
      <c r="X365" s="66">
        <f>X363*'OLD Formulas'!$L$9</f>
        <v>0.2625</v>
      </c>
      <c r="Y365" s="66">
        <f>Y363*'OLD Formulas'!$L$9</f>
        <v>0</v>
      </c>
      <c r="Z365" s="66">
        <f>Z363*'OLD Formulas'!$L$9</f>
        <v>0</v>
      </c>
      <c r="AA365" s="66">
        <f>AA363*'OLD Formulas'!$L$9</f>
        <v>0</v>
      </c>
      <c r="AB365" s="66">
        <f>AB363*'OLD Formulas'!$L$9</f>
        <v>0</v>
      </c>
      <c r="AC365" s="66">
        <f>AC363*'OLD Formulas'!$L$9</f>
        <v>0</v>
      </c>
      <c r="AD365" s="66">
        <f>AD363*'OLD Formulas'!$L$9</f>
        <v>0</v>
      </c>
      <c r="AE365" s="66">
        <f>AE363*'OLD Formulas'!$L$9</f>
        <v>0</v>
      </c>
      <c r="AF365" s="66">
        <f>AF363*'OLD Formulas'!$L$9</f>
        <v>0</v>
      </c>
      <c r="AG365" s="623">
        <f t="shared" si="143"/>
        <v>0.2625</v>
      </c>
    </row>
    <row r="366">
      <c r="A366" s="928" t="s">
        <v>1249</v>
      </c>
      <c r="B366" s="964">
        <f>(B347+B349+B351+B354+B357+B360+B363)*'OLD Formulas'!$L$6</f>
        <v>3.082725</v>
      </c>
      <c r="C366" s="964">
        <f>(C347+C349+C351+C354+C357+C360+C363)*'OLD Formulas'!$L$6</f>
        <v>2.7843875</v>
      </c>
      <c r="D366" s="964">
        <f>(D347+D349+D351+D354+D357+D360+D363)*'OLD Formulas'!$L$6</f>
        <v>4.4855875</v>
      </c>
      <c r="E366" s="964">
        <f>(E347+E349+E351+E354+E357+E360+E363)*'OLD Formulas'!$L$6</f>
        <v>5.5503625</v>
      </c>
      <c r="F366" s="964">
        <f>(F347+F349+F351+F354+F357+F360+F363)*'OLD Formulas'!$L$6</f>
        <v>5.7534125</v>
      </c>
      <c r="G366" s="964">
        <f>(G347+G349+G351+G354+G357+G360+G363)*'OLD Formulas'!$L$6</f>
        <v>4.6366375</v>
      </c>
      <c r="H366" s="964">
        <f>(H347+H349+H351+H354+H357+H360+H363)*'OLD Formulas'!$L$6</f>
        <v>3.5657</v>
      </c>
      <c r="I366" s="964">
        <f>(I347+I349+I351+I354+I357+I360+I363)*'OLD Formulas'!$L$6</f>
        <v>3.1979375</v>
      </c>
      <c r="J366" s="964">
        <f>(J347+J349+J351+J354+J357+J360+J363)*'OLD Formulas'!$L$6</f>
        <v>8.3845</v>
      </c>
      <c r="K366" s="964">
        <f>(K347+K349+K351+K354+K357+K360+K363)*'OLD Formulas'!$L$6</f>
        <v>10.22675</v>
      </c>
      <c r="L366" s="964">
        <f>(L347+L349+L351+L354+L357+L360+L363)*'OLD Formulas'!$L$6</f>
        <v>14.78035</v>
      </c>
      <c r="M366" s="964">
        <f>(M347+M349+M351+M354+M357+M360+M363)*'OLD Formulas'!$L$6</f>
        <v>15.0911625</v>
      </c>
      <c r="N366" s="964">
        <f>(N347+N349+N351+N354+N357+N360+N363)*'OLD Formulas'!$L$6</f>
        <v>12.8478375</v>
      </c>
      <c r="O366" s="964">
        <f>(O347+O349+O351+O354+O357+O360+O363)*'OLD Formulas'!$L$6</f>
        <v>13.4916375</v>
      </c>
      <c r="P366" s="964">
        <f>(P347+P349+P351+P354+P357+P360+P363)*'OLD Formulas'!$L$6</f>
        <v>15.9032875</v>
      </c>
      <c r="Q366" s="964">
        <f>(Q347+Q349+Q351+Q354+Q357+Q360+Q363)*'OLD Formulas'!$L$6</f>
        <v>18.2939</v>
      </c>
      <c r="R366" s="964">
        <f>(R347+R349+R351+R354+R357+R360+R363)*'OLD Formulas'!$L$6</f>
        <v>22.0416125</v>
      </c>
      <c r="S366" s="964">
        <f>(S347+S349+S351+S354+S357+S360+S363)*'OLD Formulas'!$L$6</f>
        <v>34.543175</v>
      </c>
      <c r="T366" s="964">
        <f>(T347+T349+T351+T354+T357+T360+T363)*'OLD Formulas'!$L$6</f>
        <v>14.20765</v>
      </c>
      <c r="U366" s="964">
        <f>(U347+U349+U351+U354+U357+U360+U363)*'OLD Formulas'!$L$6</f>
        <v>49.8923</v>
      </c>
      <c r="V366" s="964">
        <f>(V347+V349+V351+V354+V357+V360+V363)*'OLD Formulas'!$L$6</f>
        <v>49.8155</v>
      </c>
      <c r="W366" s="964">
        <f>(W347+W349+W351+W354+W357+W360+W363)*'OLD Formulas'!$L$6</f>
        <v>56.048275</v>
      </c>
      <c r="X366" s="964">
        <f>(X347+X349+X351+X354+X357+X360+X363)*'OLD Formulas'!$L$6</f>
        <v>88.885325</v>
      </c>
      <c r="Y366" s="964">
        <f>(Y347+Y349+Y351+Y354+Y357+Y360+Y363)*'OLD Formulas'!$L$6</f>
        <v>335.4100375</v>
      </c>
      <c r="Z366" s="964">
        <f>(Z347+Z349+Z351+Z354+Z357+Z360+Z363)*'OLD Formulas'!$L$6</f>
        <v>117.0061</v>
      </c>
      <c r="AA366" s="964">
        <f>(AA347+AA349+AA351+AA354+AA357+AA360+AA363)*'OLD Formulas'!$L$6</f>
        <v>114.3726125</v>
      </c>
      <c r="AB366" s="964">
        <f>(AB347+AB349+AB351+AB354+AB357+AB360+AB363)*'OLD Formulas'!$L$6</f>
        <v>1.928975</v>
      </c>
      <c r="AC366" s="964">
        <f>(AC347+AC349+AC351+AC354+AC357+AC360+AC363)*'OLD Formulas'!$L$6</f>
        <v>0</v>
      </c>
      <c r="AD366" s="964">
        <f>(AD347+AD349+AD351+AD354+AD357+AD360+AD363)*'OLD Formulas'!$L$6</f>
        <v>0</v>
      </c>
      <c r="AE366" s="964">
        <f>(AE347+AE349+AE351+AE354+AE357+AE360+AE363)*'OLD Formulas'!$L$6</f>
        <v>0</v>
      </c>
      <c r="AF366" s="964">
        <f>(AF347+AF349+AF351+AF354+AF357+AF360+AF363)*'OLD Formulas'!$L$6</f>
        <v>0</v>
      </c>
      <c r="AG366" s="623">
        <f t="shared" si="143"/>
        <v>1026.227738</v>
      </c>
    </row>
    <row r="367">
      <c r="A367" s="928" t="s">
        <v>1250</v>
      </c>
      <c r="B367" s="965">
        <v>0.0</v>
      </c>
      <c r="C367" s="965">
        <v>0.0</v>
      </c>
      <c r="D367" s="965">
        <v>0.0</v>
      </c>
      <c r="E367" s="964">
        <f t="shared" ref="E367:AF367" si="144">$AG367/31</f>
        <v>17.36774194</v>
      </c>
      <c r="F367" s="964">
        <f t="shared" si="144"/>
        <v>17.36774194</v>
      </c>
      <c r="G367" s="964">
        <f t="shared" si="144"/>
        <v>17.36774194</v>
      </c>
      <c r="H367" s="964">
        <f t="shared" si="144"/>
        <v>17.36774194</v>
      </c>
      <c r="I367" s="964">
        <f t="shared" si="144"/>
        <v>17.36774194</v>
      </c>
      <c r="J367" s="964">
        <f t="shared" si="144"/>
        <v>17.36774194</v>
      </c>
      <c r="K367" s="964">
        <f t="shared" si="144"/>
        <v>17.36774194</v>
      </c>
      <c r="L367" s="964">
        <f t="shared" si="144"/>
        <v>17.36774194</v>
      </c>
      <c r="M367" s="964">
        <f t="shared" si="144"/>
        <v>17.36774194</v>
      </c>
      <c r="N367" s="964">
        <f t="shared" si="144"/>
        <v>17.36774194</v>
      </c>
      <c r="O367" s="964">
        <f t="shared" si="144"/>
        <v>17.36774194</v>
      </c>
      <c r="P367" s="964">
        <f t="shared" si="144"/>
        <v>17.36774194</v>
      </c>
      <c r="Q367" s="964">
        <f t="shared" si="144"/>
        <v>17.36774194</v>
      </c>
      <c r="R367" s="964">
        <f t="shared" si="144"/>
        <v>17.36774194</v>
      </c>
      <c r="S367" s="964">
        <f t="shared" si="144"/>
        <v>17.36774194</v>
      </c>
      <c r="T367" s="964">
        <f t="shared" si="144"/>
        <v>17.36774194</v>
      </c>
      <c r="U367" s="964">
        <f t="shared" si="144"/>
        <v>17.36774194</v>
      </c>
      <c r="V367" s="964">
        <f t="shared" si="144"/>
        <v>17.36774194</v>
      </c>
      <c r="W367" s="964">
        <f t="shared" si="144"/>
        <v>17.36774194</v>
      </c>
      <c r="X367" s="964">
        <f t="shared" si="144"/>
        <v>17.36774194</v>
      </c>
      <c r="Y367" s="964">
        <f t="shared" si="144"/>
        <v>17.36774194</v>
      </c>
      <c r="Z367" s="964">
        <f t="shared" si="144"/>
        <v>17.36774194</v>
      </c>
      <c r="AA367" s="964">
        <f t="shared" si="144"/>
        <v>17.36774194</v>
      </c>
      <c r="AB367" s="964">
        <f t="shared" si="144"/>
        <v>17.36774194</v>
      </c>
      <c r="AC367" s="964">
        <f t="shared" si="144"/>
        <v>17.36774194</v>
      </c>
      <c r="AD367" s="964">
        <f t="shared" si="144"/>
        <v>17.36774194</v>
      </c>
      <c r="AE367" s="964">
        <f t="shared" si="144"/>
        <v>17.36774194</v>
      </c>
      <c r="AF367" s="964">
        <f t="shared" si="144"/>
        <v>17.36774194</v>
      </c>
      <c r="AG367" s="966">
        <v>538.4</v>
      </c>
    </row>
    <row r="368">
      <c r="A368" s="967" t="s">
        <v>1251</v>
      </c>
      <c r="B368" s="66">
        <f>((B313+B314)*'OLD Formulas'!$C$32)+((B315+B316)*'OLD Formulas'!$C$33)+((B317+B318)*'OLD Formulas'!$C$34)</f>
        <v>-23.88</v>
      </c>
      <c r="C368" s="66">
        <f>((C313+C314)*'OLD Formulas'!$C$32)+((C315+C316)*'OLD Formulas'!$C$33)+((C317+C318)*'OLD Formulas'!$C$34)</f>
        <v>-35.82</v>
      </c>
      <c r="D368" s="66">
        <f>((D313+D314)*'OLD Formulas'!$C$32)+((D315+D316)*'OLD Formulas'!$C$33)+((D317+D318)*'OLD Formulas'!$C$34)</f>
        <v>-35.82</v>
      </c>
      <c r="E368" s="66">
        <f>((E313+E314)*'OLD Formulas'!$C$32)+((E315+E316)*'OLD Formulas'!$C$33)+((E317+E318)*'OLD Formulas'!$C$34)</f>
        <v>-35.82</v>
      </c>
      <c r="F368" s="66">
        <f>((F313+F314)*'OLD Formulas'!$C$32)+((F315+F316)*'OLD Formulas'!$C$33)+((F317+F318)*'OLD Formulas'!$C$34)</f>
        <v>-23.88</v>
      </c>
      <c r="G368" s="66">
        <f>((G313+G314)*'OLD Formulas'!$C$32)+((G315+G316)*'OLD Formulas'!$C$33)+((G317+G318)*'OLD Formulas'!$C$34)</f>
        <v>-11.94</v>
      </c>
      <c r="H368" s="66">
        <f>((H313+H314)*'OLD Formulas'!$C$32)+((H315+H316)*'OLD Formulas'!$C$33)+((H317+H318)*'OLD Formulas'!$C$34)</f>
        <v>-35.82</v>
      </c>
      <c r="I368" s="66">
        <f>((I313+I314)*'OLD Formulas'!$C$32)+((I315+I316)*'OLD Formulas'!$C$33)+((I317+I318)*'OLD Formulas'!$C$34)</f>
        <v>-35.82</v>
      </c>
      <c r="J368" s="66">
        <f>((J313+J314)*'OLD Formulas'!$C$32)+((J315+J316)*'OLD Formulas'!$C$33)+((J317+J318)*'OLD Formulas'!$C$34)</f>
        <v>-47.76</v>
      </c>
      <c r="K368" s="66">
        <f>((K313+K314)*'OLD Formulas'!$C$32)+((K315+K316)*'OLD Formulas'!$C$33)+((K317+K318)*'OLD Formulas'!$C$34)</f>
        <v>-23.88</v>
      </c>
      <c r="L368" s="66">
        <f>((L313+L314)*'OLD Formulas'!$C$32)+((L315+L316)*'OLD Formulas'!$C$33)+((L317+L318)*'OLD Formulas'!$C$34)</f>
        <v>-35.82</v>
      </c>
      <c r="M368" s="66">
        <f>((M313+M314)*'OLD Formulas'!$C$32)+((M315+M316)*'OLD Formulas'!$C$33)+((M317+M318)*'OLD Formulas'!$C$34)</f>
        <v>-11.94</v>
      </c>
      <c r="N368" s="66">
        <f>((N313+N314)*'OLD Formulas'!$C$32)+((N315+N316)*'OLD Formulas'!$C$33)+((N317+N318)*'OLD Formulas'!$C$34)</f>
        <v>-47.76</v>
      </c>
      <c r="O368" s="66">
        <f>((O313+O314)*'OLD Formulas'!$C$32)+((O315+O316)*'OLD Formulas'!$C$33)+((O317+O318)*'OLD Formulas'!$C$34)</f>
        <v>-59.7</v>
      </c>
      <c r="P368" s="66">
        <f>((P313+P314)*'OLD Formulas'!$C$32)+((P315+P316)*'OLD Formulas'!$C$33)+((P317+P318)*'OLD Formulas'!$C$34)</f>
        <v>-47.76</v>
      </c>
      <c r="Q368" s="66">
        <f>((Q313+Q314)*'OLD Formulas'!$C$32)+((Q315+Q316)*'OLD Formulas'!$C$33)+((Q317+Q318)*'OLD Formulas'!$C$34)</f>
        <v>-11.94</v>
      </c>
      <c r="R368" s="66">
        <f>((R313+R314)*'OLD Formulas'!$C$32)+((R315+R316)*'OLD Formulas'!$C$33)+((R317+R318)*'OLD Formulas'!$C$34)</f>
        <v>-59.7</v>
      </c>
      <c r="S368" s="66">
        <f>((S313+S314)*'OLD Formulas'!$C$32)+((S315+S316)*'OLD Formulas'!$C$33)+((S317+S318)*'OLD Formulas'!$C$34)</f>
        <v>-59.7</v>
      </c>
      <c r="T368" s="66">
        <f>((T313+T314)*'OLD Formulas'!$C$32)+((T315+T316)*'OLD Formulas'!$C$33)+((T317+T318)*'OLD Formulas'!$C$34)</f>
        <v>-23.88</v>
      </c>
      <c r="U368" s="66">
        <f>((U313+U314)*'OLD Formulas'!$C$32)+((U315+U316)*'OLD Formulas'!$C$33)+((U317+U318)*'OLD Formulas'!$C$34)</f>
        <v>-23.88</v>
      </c>
      <c r="V368" s="66">
        <f>((V313+V314)*'OLD Formulas'!$C$32)+((V315+V316)*'OLD Formulas'!$C$33)+((V317+V318)*'OLD Formulas'!$C$34)</f>
        <v>-23.88</v>
      </c>
      <c r="W368" s="66">
        <f>((W313+W314)*'OLD Formulas'!$C$32)+((W315+W316)*'OLD Formulas'!$C$33)+((W317+W318)*'OLD Formulas'!$C$34)</f>
        <v>-35.82</v>
      </c>
      <c r="X368" s="66">
        <f>((X313+X314)*'OLD Formulas'!$C$32)+((X315+X316)*'OLD Formulas'!$C$33)+((X317+X318)*'OLD Formulas'!$C$34)</f>
        <v>-71.64</v>
      </c>
      <c r="Y368" s="66">
        <f>((Y313+Y314)*'OLD Formulas'!$C$32)+((Y315+Y316)*'OLD Formulas'!$C$33)+((Y317+Y318)*'OLD Formulas'!$C$34)</f>
        <v>-11.94</v>
      </c>
      <c r="Z368" s="66">
        <f>((Z313+Z314)*'OLD Formulas'!$C$32)+((Z315+Z316)*'OLD Formulas'!$C$33)+((Z317+Z318)*'OLD Formulas'!$C$34)</f>
        <v>0</v>
      </c>
      <c r="AA368" s="66">
        <f>((AA313+AA314)*'OLD Formulas'!$C$32)+((AA315+AA316)*'OLD Formulas'!$C$33)+((AA317+AA318)*'OLD Formulas'!$C$34)</f>
        <v>0</v>
      </c>
      <c r="AB368" s="66">
        <f>((AB313+AB314)*'OLD Formulas'!$C$32)+((AB315+AB316)*'OLD Formulas'!$C$33)+((AB317+AB318)*'OLD Formulas'!$C$34)</f>
        <v>0</v>
      </c>
      <c r="AC368" s="66">
        <f>((AC313+AC314)*'OLD Formulas'!$C$32)+((AC315+AC316)*'OLD Formulas'!$C$33)+((AC317+AC318)*'OLD Formulas'!$C$34)</f>
        <v>0</v>
      </c>
      <c r="AD368" s="66">
        <f>((AD313+AD314)*'OLD Formulas'!$C$32)+((AD315+AD316)*'OLD Formulas'!$C$33)+((AD317+AD318)*'OLD Formulas'!$C$34)</f>
        <v>0</v>
      </c>
      <c r="AE368" s="66">
        <f>((AE313+AE314)*'OLD Formulas'!$C$32)+((AE315+AE316)*'OLD Formulas'!$C$33)+((AE317+AE318)*'OLD Formulas'!$C$34)</f>
        <v>0</v>
      </c>
      <c r="AF368" s="66">
        <f>((AF313+AF314)*'OLD Formulas'!$C$32)+((AF315+AF316)*'OLD Formulas'!$C$33)+((AF317+AF318)*'OLD Formulas'!$C$34)</f>
        <v>0</v>
      </c>
      <c r="AG368" s="623">
        <f t="shared" ref="AG368:AG383" si="145">SUM(B368:AE368)</f>
        <v>-835.8</v>
      </c>
    </row>
    <row r="369">
      <c r="A369" s="837" t="s">
        <v>1252</v>
      </c>
      <c r="B369" s="964">
        <f>((B313+B314)*'OLD Formulas'!$C$28)+((B315+B316)*'OLD Formulas'!$C$29)+((B317+B318)*'OLD Formulas'!$C$30)</f>
        <v>-30.12</v>
      </c>
      <c r="C369" s="964">
        <f>((C313+C314)*'OLD Formulas'!$C$28)+((C315+C316)*'OLD Formulas'!$C$29)+((C317+C318)*'OLD Formulas'!$C$30)</f>
        <v>-45.18</v>
      </c>
      <c r="D369" s="964">
        <f>((D313+D314)*'OLD Formulas'!$C$28)+((D315+D316)*'OLD Formulas'!$C$29)+((D317+D318)*'OLD Formulas'!$C$30)</f>
        <v>-45.18</v>
      </c>
      <c r="E369" s="964">
        <f>((E313+E314)*'OLD Formulas'!$C$28)+((E315+E316)*'OLD Formulas'!$C$29)+((E317+E318)*'OLD Formulas'!$C$30)</f>
        <v>-45.18</v>
      </c>
      <c r="F369" s="964">
        <f>((F313+F314)*'OLD Formulas'!$C$28)+((F315+F316)*'OLD Formulas'!$C$29)+((F317+F318)*'OLD Formulas'!$C$30)</f>
        <v>-30.12</v>
      </c>
      <c r="G369" s="964">
        <f>((G313+G314)*'OLD Formulas'!$C$28)+((G315+G316)*'OLD Formulas'!$C$29)+((G317+G318)*'OLD Formulas'!$C$30)</f>
        <v>-15.06</v>
      </c>
      <c r="H369" s="964">
        <f>((H313+H314)*'OLD Formulas'!$C$28)+((H315+H316)*'OLD Formulas'!$C$29)+((H317+H318)*'OLD Formulas'!$C$30)</f>
        <v>-45.18</v>
      </c>
      <c r="I369" s="964">
        <f>((I313+I314)*'OLD Formulas'!$C$28)+((I315+I316)*'OLD Formulas'!$C$29)+((I317+I318)*'OLD Formulas'!$C$30)</f>
        <v>-45.18</v>
      </c>
      <c r="J369" s="964">
        <f>((J313+J314)*'OLD Formulas'!$C$28)+((J315+J316)*'OLD Formulas'!$C$29)+((J317+J318)*'OLD Formulas'!$C$30)</f>
        <v>-60.24</v>
      </c>
      <c r="K369" s="964">
        <f>((K313+K314)*'OLD Formulas'!$C$28)+((K315+K316)*'OLD Formulas'!$C$29)+((K317+K318)*'OLD Formulas'!$C$30)</f>
        <v>-30.12</v>
      </c>
      <c r="L369" s="964">
        <f>((L313+L314)*'OLD Formulas'!$C$28)+((L315+L316)*'OLD Formulas'!$C$29)+((L317+L318)*'OLD Formulas'!$C$30)</f>
        <v>-45.18</v>
      </c>
      <c r="M369" s="964">
        <f>((M313+M314)*'OLD Formulas'!$C$28)+((M315+M316)*'OLD Formulas'!$C$29)+((M317+M318)*'OLD Formulas'!$C$30)</f>
        <v>-15.06</v>
      </c>
      <c r="N369" s="964">
        <f>((N313+N314)*'OLD Formulas'!$C$28)+((N315+N316)*'OLD Formulas'!$C$29)+((N317+N318)*'OLD Formulas'!$C$30)</f>
        <v>-60.24</v>
      </c>
      <c r="O369" s="964">
        <f>((O313+O314)*'OLD Formulas'!$C$28)+((O315+O316)*'OLD Formulas'!$C$29)+((O317+O318)*'OLD Formulas'!$C$30)</f>
        <v>-75.3</v>
      </c>
      <c r="P369" s="964">
        <f>((P313+P314)*'OLD Formulas'!$C$28)+((P315+P316)*'OLD Formulas'!$C$29)+((P317+P318)*'OLD Formulas'!$C$30)</f>
        <v>-60.24</v>
      </c>
      <c r="Q369" s="964">
        <f>((Q313+Q314)*'OLD Formulas'!$C$28)+((Q315+Q316)*'OLD Formulas'!$C$29)+((Q317+Q318)*'OLD Formulas'!$C$30)</f>
        <v>-15.06</v>
      </c>
      <c r="R369" s="964">
        <f>((R313+R314)*'OLD Formulas'!$C$28)+((R315+R316)*'OLD Formulas'!$C$29)+((R317+R318)*'OLD Formulas'!$C$30)</f>
        <v>-75.3</v>
      </c>
      <c r="S369" s="964">
        <f>((S313+S314)*'OLD Formulas'!$C$28)+((S315+S316)*'OLD Formulas'!$C$29)+((S317+S318)*'OLD Formulas'!$C$30)</f>
        <v>-75.3</v>
      </c>
      <c r="T369" s="964">
        <f>((T313+T314)*'OLD Formulas'!$C$28)+((T315+T316)*'OLD Formulas'!$C$29)+((T317+T318)*'OLD Formulas'!$C$30)</f>
        <v>-30.12</v>
      </c>
      <c r="U369" s="964">
        <f>((U313+U314)*'OLD Formulas'!$C$28)+((U315+U316)*'OLD Formulas'!$C$29)+((U317+U318)*'OLD Formulas'!$C$30)</f>
        <v>-30.12</v>
      </c>
      <c r="V369" s="964">
        <f>((V313+V314)*'OLD Formulas'!$C$28)+((V315+V316)*'OLD Formulas'!$C$29)+((V317+V318)*'OLD Formulas'!$C$30)</f>
        <v>-30.12</v>
      </c>
      <c r="W369" s="964">
        <f>((W313+W314)*'OLD Formulas'!$C$28)+((W315+W316)*'OLD Formulas'!$C$29)+((W317+W318)*'OLD Formulas'!$C$30)</f>
        <v>-45.18</v>
      </c>
      <c r="X369" s="964">
        <f>((X313+X314)*'OLD Formulas'!$C$28)+((X315+X316)*'OLD Formulas'!$C$29)+((X317+X318)*'OLD Formulas'!$C$30)</f>
        <v>-90.36</v>
      </c>
      <c r="Y369" s="964">
        <f>((Y313+Y314)*'OLD Formulas'!$C$28)+((Y315+Y316)*'OLD Formulas'!$C$29)+((Y317+Y318)*'OLD Formulas'!$C$30)</f>
        <v>-15.06</v>
      </c>
      <c r="Z369" s="964">
        <f>((Z313+Z314)*'OLD Formulas'!$C$28)+((Z315+Z316)*'OLD Formulas'!$C$29)+((Z317+Z318)*'OLD Formulas'!$C$30)</f>
        <v>0</v>
      </c>
      <c r="AA369" s="964">
        <f>((AA313+AA314)*'OLD Formulas'!$C$28)+((AA315+AA316)*'OLD Formulas'!$C$29)+((AA317+AA318)*'OLD Formulas'!$C$30)</f>
        <v>0</v>
      </c>
      <c r="AB369" s="964">
        <f>((AB313+AB314)*'OLD Formulas'!$C$28)+((AB315+AB316)*'OLD Formulas'!$C$29)+((AB317+AB318)*'OLD Formulas'!$C$30)</f>
        <v>0</v>
      </c>
      <c r="AC369" s="964">
        <f>((AC313+AC314)*'OLD Formulas'!$C$28)+((AC315+AC316)*'OLD Formulas'!$C$29)+((AC317+AC318)*'OLD Formulas'!$C$30)</f>
        <v>0</v>
      </c>
      <c r="AD369" s="964">
        <f>((AD313+AD314)*'OLD Formulas'!$C$28)+((AD315+AD316)*'OLD Formulas'!$C$29)+((AD317+AD318)*'OLD Formulas'!$C$30)</f>
        <v>0</v>
      </c>
      <c r="AE369" s="964">
        <f>((AE313+AE314)*'OLD Formulas'!$C$28)+((AE315+AE316)*'OLD Formulas'!$C$29)+((AE317+AE318)*'OLD Formulas'!$C$30)</f>
        <v>0</v>
      </c>
      <c r="AF369" s="964">
        <f>((AF313+AF314)*'OLD Formulas'!$C$28)+((AF315+AF316)*'OLD Formulas'!$C$29)+((AF317+AF318)*'OLD Formulas'!$C$30)</f>
        <v>0</v>
      </c>
      <c r="AG369" s="623">
        <f t="shared" si="145"/>
        <v>-1054.2</v>
      </c>
    </row>
    <row r="370">
      <c r="A370" s="837" t="s">
        <v>1253</v>
      </c>
      <c r="B370" s="640">
        <f>(B327*'OLD Formulas'!$D$32)+(B334*'OLD Formulas'!$D$33)+(B341*'OLD Formulas'!$D$34)</f>
        <v>0</v>
      </c>
      <c r="C370" s="640">
        <f>(C327*'OLD Formulas'!$D$32)+(C334*'OLD Formulas'!$D$33)+(C341*'OLD Formulas'!$D$34)</f>
        <v>0</v>
      </c>
      <c r="D370" s="640">
        <f>(D327*'OLD Formulas'!$D$32)+(D334*'OLD Formulas'!$D$33)+(D341*'OLD Formulas'!$D$34)</f>
        <v>0</v>
      </c>
      <c r="E370" s="640">
        <f>(E327*'OLD Formulas'!$D$32)+(E334*'OLD Formulas'!$D$33)+(E341*'OLD Formulas'!$D$34)</f>
        <v>0</v>
      </c>
      <c r="F370" s="640">
        <f>(F327*'OLD Formulas'!$D$32)+(F334*'OLD Formulas'!$D$33)+(F341*'OLD Formulas'!$D$34)</f>
        <v>0</v>
      </c>
      <c r="G370" s="640">
        <f>(G327*'OLD Formulas'!$D$32)+(G334*'OLD Formulas'!$D$33)+(G341*'OLD Formulas'!$D$34)</f>
        <v>0</v>
      </c>
      <c r="H370" s="640">
        <f>(H327*'OLD Formulas'!$D$32)+(H334*'OLD Formulas'!$D$33)+(H341*'OLD Formulas'!$D$34)</f>
        <v>0</v>
      </c>
      <c r="I370" s="640">
        <f>(I327*'OLD Formulas'!$D$32)+(I334*'OLD Formulas'!$D$33)+(I341*'OLD Formulas'!$D$34)</f>
        <v>0</v>
      </c>
      <c r="J370" s="640">
        <f>(J327*'OLD Formulas'!$D$32)+(J334*'OLD Formulas'!$D$33)+(J341*'OLD Formulas'!$D$34)</f>
        <v>0</v>
      </c>
      <c r="K370" s="640">
        <f>(K327*'OLD Formulas'!$D$32)+(K334*'OLD Formulas'!$D$33)+(K341*'OLD Formulas'!$D$34)</f>
        <v>0</v>
      </c>
      <c r="L370" s="640">
        <f>(L327*'OLD Formulas'!$D$32)+(L334*'OLD Formulas'!$D$33)+(L341*'OLD Formulas'!$D$34)</f>
        <v>0</v>
      </c>
      <c r="M370" s="640">
        <f>(M327*'OLD Formulas'!$D$32)+(M334*'OLD Formulas'!$D$33)+(M341*'OLD Formulas'!$D$34)</f>
        <v>0</v>
      </c>
      <c r="N370" s="640">
        <f>(N327*'OLD Formulas'!$D$32)+(N334*'OLD Formulas'!$D$33)+(N341*'OLD Formulas'!$D$34)</f>
        <v>0</v>
      </c>
      <c r="O370" s="640">
        <f>(O327*'OLD Formulas'!$D$32)+(O334*'OLD Formulas'!$D$33)+(O341*'OLD Formulas'!$D$34)</f>
        <v>0</v>
      </c>
      <c r="P370" s="640">
        <f>(P327*'OLD Formulas'!$D$32)+(P334*'OLD Formulas'!$D$33)+(P341*'OLD Formulas'!$D$34)</f>
        <v>0</v>
      </c>
      <c r="Q370" s="640">
        <f>(Q327*'OLD Formulas'!$D$32)+(Q334*'OLD Formulas'!$D$33)+(Q341*'OLD Formulas'!$D$34)</f>
        <v>0</v>
      </c>
      <c r="R370" s="640">
        <f>(R327*'OLD Formulas'!$D$32)+(R334*'OLD Formulas'!$D$33)+(R341*'OLD Formulas'!$D$34)</f>
        <v>0</v>
      </c>
      <c r="S370" s="640">
        <f>(S327*'OLD Formulas'!$D$32)+(S334*'OLD Formulas'!$D$33)+(S341*'OLD Formulas'!$D$34)</f>
        <v>0</v>
      </c>
      <c r="T370" s="640">
        <f>(T327*'OLD Formulas'!$D$32)+(T334*'OLD Formulas'!$D$33)+(T341*'OLD Formulas'!$D$34)</f>
        <v>0</v>
      </c>
      <c r="U370" s="640">
        <f>(U327*'OLD Formulas'!$D$32)+(U334*'OLD Formulas'!$D$33)+(U341*'OLD Formulas'!$D$34)</f>
        <v>0</v>
      </c>
      <c r="V370" s="640">
        <f>(V327*'OLD Formulas'!$D$32)+(V334*'OLD Formulas'!$D$33)+(V341*'OLD Formulas'!$D$34)</f>
        <v>0</v>
      </c>
      <c r="W370" s="640">
        <f>(W327*'OLD Formulas'!$D$32)+(W334*'OLD Formulas'!$D$33)+(W341*'OLD Formulas'!$D$34)</f>
        <v>0</v>
      </c>
      <c r="X370" s="640">
        <f>(X327*'OLD Formulas'!$D$32)+(X334*'OLD Formulas'!$D$33)+(X341*'OLD Formulas'!$D$34)</f>
        <v>0</v>
      </c>
      <c r="Y370" s="640">
        <f>(Y327*'OLD Formulas'!$D$32)+(Y334*'OLD Formulas'!$D$33)+(Y341*'OLD Formulas'!$D$34)</f>
        <v>0</v>
      </c>
      <c r="Z370" s="640">
        <f>(Z327*'OLD Formulas'!$D$32)+(Z334*'OLD Formulas'!$D$33)+(Z341*'OLD Formulas'!$D$34)</f>
        <v>0</v>
      </c>
      <c r="AA370" s="640">
        <f>(AA327*'OLD Formulas'!$D$32)+(AA334*'OLD Formulas'!$D$33)+(AA341*'OLD Formulas'!$D$34)</f>
        <v>0</v>
      </c>
      <c r="AB370" s="640">
        <f>(AB327*'OLD Formulas'!$D$32)+(AB334*'OLD Formulas'!$D$33)+(AB341*'OLD Formulas'!$D$34)</f>
        <v>0</v>
      </c>
      <c r="AC370" s="640">
        <f>(AC327*'OLD Formulas'!$D$32)+(AC334*'OLD Formulas'!$D$33)+(AC341*'OLD Formulas'!$D$34)</f>
        <v>0</v>
      </c>
      <c r="AD370" s="640">
        <f>(AD327*'OLD Formulas'!$D$32)+(AD334*'OLD Formulas'!$D$33)+(AD341*'OLD Formulas'!$D$34)</f>
        <v>0</v>
      </c>
      <c r="AE370" s="640">
        <f>(AE327*'OLD Formulas'!$D$32)+(AE334*'OLD Formulas'!$D$33)+(AE341*'OLD Formulas'!$D$34)</f>
        <v>0</v>
      </c>
      <c r="AF370" s="640">
        <f>(AF327*'OLD Formulas'!$D$32)+(AF334*'OLD Formulas'!$D$33)+(AF341*'OLD Formulas'!$D$34)</f>
        <v>0</v>
      </c>
      <c r="AG370" s="623">
        <f t="shared" si="145"/>
        <v>0</v>
      </c>
    </row>
    <row r="371">
      <c r="A371" s="837" t="s">
        <v>1254</v>
      </c>
      <c r="B371" s="640">
        <f>(B93*'OLD Formulas'!$D$28)</f>
        <v>0</v>
      </c>
      <c r="C371" s="640">
        <f>(C93*'OLD Formulas'!$D$28)</f>
        <v>0</v>
      </c>
      <c r="D371" s="640">
        <f>(D93*'OLD Formulas'!$D$28)</f>
        <v>0</v>
      </c>
      <c r="E371" s="640">
        <f>(E93*'OLD Formulas'!$D$28)</f>
        <v>0</v>
      </c>
      <c r="F371" s="640">
        <f>(F93*'OLD Formulas'!$D$28)</f>
        <v>0</v>
      </c>
      <c r="G371" s="640">
        <f>(G93*'OLD Formulas'!$D$28)</f>
        <v>0</v>
      </c>
      <c r="H371" s="640">
        <f>(H93*'OLD Formulas'!$D$28)</f>
        <v>0</v>
      </c>
      <c r="I371" s="640">
        <f>(I93*'OLD Formulas'!$D$28)</f>
        <v>0</v>
      </c>
      <c r="J371" s="640">
        <f>(J93*'OLD Formulas'!$D$28)</f>
        <v>0</v>
      </c>
      <c r="K371" s="640">
        <f>(K93*'OLD Formulas'!$D$28)</f>
        <v>0</v>
      </c>
      <c r="L371" s="640">
        <f>(L93*'OLD Formulas'!$D$28)</f>
        <v>0</v>
      </c>
      <c r="M371" s="640">
        <f>(M93*'OLD Formulas'!$D$28)</f>
        <v>0</v>
      </c>
      <c r="N371" s="640">
        <f>(N93*'OLD Formulas'!$D$28)</f>
        <v>0</v>
      </c>
      <c r="O371" s="640">
        <f>(O93*'OLD Formulas'!$D$28)</f>
        <v>0</v>
      </c>
      <c r="P371" s="640">
        <f>(P93*'OLD Formulas'!$D$28)</f>
        <v>0</v>
      </c>
      <c r="Q371" s="640">
        <f>(Q93*'OLD Formulas'!$D$28)</f>
        <v>0</v>
      </c>
      <c r="R371" s="640">
        <f>(R93*'OLD Formulas'!$D$28)</f>
        <v>0</v>
      </c>
      <c r="S371" s="640">
        <f>(S93*'OLD Formulas'!$D$28)</f>
        <v>0</v>
      </c>
      <c r="T371" s="640">
        <f>(T93*'OLD Formulas'!$D$28)</f>
        <v>0</v>
      </c>
      <c r="U371" s="640">
        <f>(U93*'OLD Formulas'!$D$28)</f>
        <v>0</v>
      </c>
      <c r="V371" s="640">
        <f>(V93*'OLD Formulas'!$D$28)</f>
        <v>0</v>
      </c>
      <c r="W371" s="640">
        <f>(W93*'OLD Formulas'!$D$28)</f>
        <v>0</v>
      </c>
      <c r="X371" s="640">
        <f>(X93*'OLD Formulas'!$D$28)</f>
        <v>0</v>
      </c>
      <c r="Y371" s="640">
        <f>(Y93*'OLD Formulas'!$D$28)</f>
        <v>0</v>
      </c>
      <c r="Z371" s="640">
        <f>(Z93*'OLD Formulas'!$D$28)</f>
        <v>0</v>
      </c>
      <c r="AA371" s="640">
        <f>(AA93*'OLD Formulas'!$D$28)</f>
        <v>0</v>
      </c>
      <c r="AB371" s="640">
        <f>(AB93*'OLD Formulas'!$D$28)</f>
        <v>0</v>
      </c>
      <c r="AC371" s="640">
        <f>(AC93*'OLD Formulas'!$D$28)</f>
        <v>0</v>
      </c>
      <c r="AD371" s="640">
        <f>(AD93*'OLD Formulas'!$D$28)</f>
        <v>0</v>
      </c>
      <c r="AE371" s="640">
        <f>(AE93*'OLD Formulas'!$D$28)</f>
        <v>0</v>
      </c>
      <c r="AF371" s="640">
        <f>(AF93*'OLD Formulas'!$D$28)</f>
        <v>0</v>
      </c>
      <c r="AG371" s="623">
        <f t="shared" si="145"/>
        <v>0</v>
      </c>
    </row>
    <row r="372">
      <c r="A372" s="968" t="s">
        <v>1255</v>
      </c>
      <c r="B372" s="640"/>
      <c r="C372" s="640"/>
      <c r="D372" s="640"/>
      <c r="E372" s="640"/>
      <c r="F372" s="640"/>
      <c r="G372" s="640"/>
      <c r="H372" s="640"/>
      <c r="I372" s="640"/>
      <c r="J372" s="640"/>
      <c r="K372" s="640"/>
      <c r="L372" s="640"/>
      <c r="M372" s="640"/>
      <c r="N372" s="640"/>
      <c r="O372" s="640"/>
      <c r="P372" s="640"/>
      <c r="Q372" s="640"/>
      <c r="R372" s="640"/>
      <c r="S372" s="640"/>
      <c r="T372" s="640"/>
      <c r="U372" s="640"/>
      <c r="V372" s="640"/>
      <c r="W372" s="640"/>
      <c r="X372" s="640"/>
      <c r="Y372" s="640"/>
      <c r="Z372" s="640"/>
      <c r="AA372" s="640"/>
      <c r="AB372" s="640"/>
      <c r="AC372" s="640"/>
      <c r="AD372" s="640"/>
      <c r="AE372" s="640"/>
      <c r="AF372" s="640"/>
      <c r="AG372" s="623">
        <f t="shared" si="145"/>
        <v>0</v>
      </c>
    </row>
    <row r="373">
      <c r="A373" s="969" t="s">
        <v>1256</v>
      </c>
      <c r="B373" s="970">
        <f t="shared" ref="B373:AF373" si="146">iferror(B374+B375+B376+B377,"")</f>
        <v>623.69</v>
      </c>
      <c r="C373" s="970">
        <f t="shared" si="146"/>
        <v>820.06</v>
      </c>
      <c r="D373" s="970">
        <f t="shared" si="146"/>
        <v>936.68</v>
      </c>
      <c r="E373" s="970">
        <f t="shared" si="146"/>
        <v>549.28</v>
      </c>
      <c r="F373" s="970">
        <f t="shared" si="146"/>
        <v>482.78</v>
      </c>
      <c r="G373" s="970">
        <f t="shared" si="146"/>
        <v>339.04</v>
      </c>
      <c r="H373" s="970">
        <f t="shared" si="146"/>
        <v>545.31</v>
      </c>
      <c r="I373" s="970">
        <f t="shared" si="146"/>
        <v>599.87</v>
      </c>
      <c r="J373" s="970">
        <f t="shared" si="146"/>
        <v>1164.18</v>
      </c>
      <c r="K373" s="970">
        <f t="shared" si="146"/>
        <v>542.5</v>
      </c>
      <c r="L373" s="970">
        <f t="shared" si="146"/>
        <v>610.76</v>
      </c>
      <c r="M373" s="970">
        <f t="shared" si="146"/>
        <v>15</v>
      </c>
      <c r="N373" s="970">
        <f t="shared" si="146"/>
        <v>60</v>
      </c>
      <c r="O373" s="970">
        <f t="shared" si="146"/>
        <v>1181.8</v>
      </c>
      <c r="P373" s="970">
        <f t="shared" si="146"/>
        <v>1102.23</v>
      </c>
      <c r="Q373" s="970">
        <f t="shared" si="146"/>
        <v>318.93</v>
      </c>
      <c r="R373" s="970">
        <f t="shared" si="146"/>
        <v>1046</v>
      </c>
      <c r="S373" s="970">
        <f t="shared" si="146"/>
        <v>1359.63</v>
      </c>
      <c r="T373" s="970">
        <f t="shared" si="146"/>
        <v>575.63</v>
      </c>
      <c r="U373" s="970">
        <f t="shared" si="146"/>
        <v>572.32</v>
      </c>
      <c r="V373" s="970">
        <f t="shared" si="146"/>
        <v>539.22</v>
      </c>
      <c r="W373" s="970">
        <f t="shared" si="146"/>
        <v>796.54</v>
      </c>
      <c r="X373" s="970">
        <f t="shared" si="146"/>
        <v>1561.05</v>
      </c>
      <c r="Y373" s="970">
        <f t="shared" si="146"/>
        <v>319.93</v>
      </c>
      <c r="Z373" s="970">
        <f t="shared" si="146"/>
        <v>0</v>
      </c>
      <c r="AA373" s="970">
        <f t="shared" si="146"/>
        <v>0</v>
      </c>
      <c r="AB373" s="970">
        <f t="shared" si="146"/>
        <v>0</v>
      </c>
      <c r="AC373" s="970">
        <f t="shared" si="146"/>
        <v>0</v>
      </c>
      <c r="AD373" s="970">
        <f t="shared" si="146"/>
        <v>0</v>
      </c>
      <c r="AE373" s="970">
        <f t="shared" si="146"/>
        <v>0</v>
      </c>
      <c r="AF373" s="970">
        <f t="shared" si="146"/>
        <v>0</v>
      </c>
      <c r="AG373" s="623">
        <f t="shared" si="145"/>
        <v>16662.43</v>
      </c>
    </row>
    <row r="374" outlineLevel="1">
      <c r="A374" s="352" t="s">
        <v>1257</v>
      </c>
      <c r="B374" s="590">
        <v>0.0</v>
      </c>
      <c r="C374" s="590">
        <v>0.0</v>
      </c>
      <c r="D374" s="971">
        <v>0.0</v>
      </c>
      <c r="E374" s="590">
        <v>0.0</v>
      </c>
      <c r="F374" s="971">
        <v>0.0</v>
      </c>
      <c r="G374" s="590">
        <v>0.0</v>
      </c>
      <c r="H374" s="590">
        <v>0.0</v>
      </c>
      <c r="I374" s="590">
        <v>0.0</v>
      </c>
      <c r="J374" s="590">
        <v>0.0</v>
      </c>
      <c r="K374" s="590">
        <v>0.0</v>
      </c>
      <c r="L374" s="590">
        <v>0.0</v>
      </c>
      <c r="M374" s="590">
        <v>0.0</v>
      </c>
      <c r="N374" s="590">
        <v>0.0</v>
      </c>
      <c r="O374" s="590">
        <v>0.0</v>
      </c>
      <c r="P374" s="590">
        <v>0.0</v>
      </c>
      <c r="Q374" s="590">
        <v>0.0</v>
      </c>
      <c r="R374" s="972">
        <v>0.0</v>
      </c>
      <c r="S374" s="973">
        <v>0.0</v>
      </c>
      <c r="T374" s="974">
        <v>0.0</v>
      </c>
      <c r="U374" s="974">
        <v>0.0</v>
      </c>
      <c r="V374" s="974">
        <v>0.0</v>
      </c>
      <c r="W374" s="974">
        <v>0.0</v>
      </c>
      <c r="X374" s="974">
        <v>0.0</v>
      </c>
      <c r="Y374" s="974">
        <v>0.0</v>
      </c>
      <c r="Z374" s="974">
        <v>0.0</v>
      </c>
      <c r="AA374" s="974">
        <v>0.0</v>
      </c>
      <c r="AB374" s="974">
        <v>0.0</v>
      </c>
      <c r="AC374" s="974">
        <v>0.0</v>
      </c>
      <c r="AD374" s="974">
        <v>0.0</v>
      </c>
      <c r="AE374" s="974">
        <v>0.0</v>
      </c>
      <c r="AF374" s="974">
        <v>0.0</v>
      </c>
      <c r="AG374" s="623">
        <f t="shared" si="145"/>
        <v>0</v>
      </c>
    </row>
    <row r="375" outlineLevel="1">
      <c r="A375" s="352" t="s">
        <v>1258</v>
      </c>
      <c r="B375" s="964">
        <f t="shared" ref="B375:AF375" si="147">(B268+B273+B278)</f>
        <v>593.69</v>
      </c>
      <c r="C375" s="964">
        <f t="shared" si="147"/>
        <v>775.06</v>
      </c>
      <c r="D375" s="964">
        <f t="shared" si="147"/>
        <v>891.68</v>
      </c>
      <c r="E375" s="964">
        <f t="shared" si="147"/>
        <v>504.28</v>
      </c>
      <c r="F375" s="964">
        <f t="shared" si="147"/>
        <v>452.78</v>
      </c>
      <c r="G375" s="964">
        <f t="shared" si="147"/>
        <v>324.04</v>
      </c>
      <c r="H375" s="964">
        <f t="shared" si="147"/>
        <v>500.31</v>
      </c>
      <c r="I375" s="964">
        <f t="shared" si="147"/>
        <v>554.87</v>
      </c>
      <c r="J375" s="964">
        <f t="shared" si="147"/>
        <v>1104.18</v>
      </c>
      <c r="K375" s="964">
        <f t="shared" si="147"/>
        <v>512.5</v>
      </c>
      <c r="L375" s="964">
        <f t="shared" si="147"/>
        <v>565.76</v>
      </c>
      <c r="M375" s="964">
        <f t="shared" si="147"/>
        <v>0</v>
      </c>
      <c r="N375" s="964">
        <f t="shared" si="147"/>
        <v>0</v>
      </c>
      <c r="O375" s="964">
        <f t="shared" si="147"/>
        <v>1106.8</v>
      </c>
      <c r="P375" s="964">
        <f t="shared" si="147"/>
        <v>1042.23</v>
      </c>
      <c r="Q375" s="964">
        <f t="shared" si="147"/>
        <v>303.93</v>
      </c>
      <c r="R375" s="964">
        <f t="shared" si="147"/>
        <v>971</v>
      </c>
      <c r="S375" s="964">
        <f t="shared" si="147"/>
        <v>1284.63</v>
      </c>
      <c r="T375" s="964">
        <f t="shared" si="147"/>
        <v>545.63</v>
      </c>
      <c r="U375" s="964">
        <f t="shared" si="147"/>
        <v>542.32</v>
      </c>
      <c r="V375" s="964">
        <f t="shared" si="147"/>
        <v>509.22</v>
      </c>
      <c r="W375" s="964">
        <f t="shared" si="147"/>
        <v>796.54</v>
      </c>
      <c r="X375" s="964">
        <f t="shared" si="147"/>
        <v>1471.05</v>
      </c>
      <c r="Y375" s="964">
        <f t="shared" si="147"/>
        <v>319.93</v>
      </c>
      <c r="Z375" s="964">
        <f t="shared" si="147"/>
        <v>0</v>
      </c>
      <c r="AA375" s="964">
        <f t="shared" si="147"/>
        <v>0</v>
      </c>
      <c r="AB375" s="964">
        <f t="shared" si="147"/>
        <v>0</v>
      </c>
      <c r="AC375" s="964">
        <f t="shared" si="147"/>
        <v>0</v>
      </c>
      <c r="AD375" s="964">
        <f t="shared" si="147"/>
        <v>0</v>
      </c>
      <c r="AE375" s="964">
        <f t="shared" si="147"/>
        <v>0</v>
      </c>
      <c r="AF375" s="964">
        <f t="shared" si="147"/>
        <v>0</v>
      </c>
      <c r="AG375" s="623">
        <f t="shared" si="145"/>
        <v>15672.43</v>
      </c>
    </row>
    <row r="376" outlineLevel="1">
      <c r="A376" s="682" t="s">
        <v>1259</v>
      </c>
      <c r="B376" s="964">
        <f>(B243*'OLD Formulas'!$R$3)+(B244*'OLD Formulas'!$R$4)+(B245*'OLD Formulas'!$R$5)</f>
        <v>30</v>
      </c>
      <c r="C376" s="964">
        <f>(C243*'OLD Formulas'!$R$3)+(C244*'OLD Formulas'!$R$4)+(C245*'OLD Formulas'!$R$5)</f>
        <v>45</v>
      </c>
      <c r="D376" s="964">
        <f>(D243*'OLD Formulas'!$R$3)+(D244*'OLD Formulas'!$R$4)+(D245*'OLD Formulas'!$R$5)</f>
        <v>45</v>
      </c>
      <c r="E376" s="964">
        <f>(E243*'OLD Formulas'!$R$3)+(E244*'OLD Formulas'!$R$4)+(E245*'OLD Formulas'!$R$5)</f>
        <v>45</v>
      </c>
      <c r="F376" s="964">
        <f>(F243*'OLD Formulas'!$R$3)+(F244*'OLD Formulas'!$R$4)+(F245*'OLD Formulas'!$R$5)</f>
        <v>30</v>
      </c>
      <c r="G376" s="964">
        <f>(G243*'OLD Formulas'!$R$3)+(G244*'OLD Formulas'!$R$4)+(G245*'OLD Formulas'!$R$5)</f>
        <v>15</v>
      </c>
      <c r="H376" s="964">
        <f>(H243*'OLD Formulas'!$R$3)+(H244*'OLD Formulas'!$R$4)+(H245*'OLD Formulas'!$R$5)</f>
        <v>45</v>
      </c>
      <c r="I376" s="964">
        <f>(I243*'OLD Formulas'!$R$3)+(I244*'OLD Formulas'!$R$4)+(I245*'OLD Formulas'!$R$5)</f>
        <v>45</v>
      </c>
      <c r="J376" s="964">
        <f>(J243*'OLD Formulas'!$R$3)+(J244*'OLD Formulas'!$R$4)+(J245*'OLD Formulas'!$R$5)</f>
        <v>60</v>
      </c>
      <c r="K376" s="964">
        <f>(K243*'OLD Formulas'!$R$3)+(K244*'OLD Formulas'!$R$4)+(K245*'OLD Formulas'!$R$5)</f>
        <v>30</v>
      </c>
      <c r="L376" s="964">
        <f>(L243*'OLD Formulas'!$R$3)+(L244*'OLD Formulas'!$R$4)+(L245*'OLD Formulas'!$R$5)</f>
        <v>45</v>
      </c>
      <c r="M376" s="964">
        <f>(M243*'OLD Formulas'!$R$3)+(M244*'OLD Formulas'!$R$4)+(M245*'OLD Formulas'!$R$5)</f>
        <v>15</v>
      </c>
      <c r="N376" s="964">
        <f>(N243*'OLD Formulas'!$R$3)+(N244*'OLD Formulas'!$R$4)+(N245*'OLD Formulas'!$R$5)</f>
        <v>60</v>
      </c>
      <c r="O376" s="964">
        <f>(O243*'OLD Formulas'!$R$3)+(O244*'OLD Formulas'!$R$4)+(O245*'OLD Formulas'!$R$5)</f>
        <v>75</v>
      </c>
      <c r="P376" s="964">
        <f>(P243*'OLD Formulas'!$R$3)+(P244*'OLD Formulas'!$R$4)+(P245*'OLD Formulas'!$R$5)</f>
        <v>60</v>
      </c>
      <c r="Q376" s="964">
        <f>(Q243*'OLD Formulas'!$R$3)+(Q244*'OLD Formulas'!$R$4)+(Q245*'OLD Formulas'!$R$5)</f>
        <v>15</v>
      </c>
      <c r="R376" s="964">
        <f>(R243*'OLD Formulas'!$R$3)+(R244*'OLD Formulas'!$R$4)+(R245*'OLD Formulas'!$R$5)</f>
        <v>75</v>
      </c>
      <c r="S376" s="964">
        <f>(S243*'OLD Formulas'!$R$3)+(S244*'OLD Formulas'!$R$4)+(S245*'OLD Formulas'!$R$5)</f>
        <v>75</v>
      </c>
      <c r="T376" s="964">
        <f>(T243*'OLD Formulas'!$R$3)+(T244*'OLD Formulas'!$R$4)+(T245*'OLD Formulas'!$R$5)</f>
        <v>30</v>
      </c>
      <c r="U376" s="964">
        <f>(U243*'OLD Formulas'!$R$3)+(U244*'OLD Formulas'!$R$4)+(U245*'OLD Formulas'!$R$5)</f>
        <v>30</v>
      </c>
      <c r="V376" s="964">
        <f>(V243*'OLD Formulas'!$R$3)+(V244*'OLD Formulas'!$R$4)+(V245*'OLD Formulas'!$R$5)</f>
        <v>30</v>
      </c>
      <c r="W376" s="964">
        <f>(W243*'OLD Formulas'!$R$3)+(W244*'OLD Formulas'!$R$4)+(W245*'OLD Formulas'!$R$5)</f>
        <v>0</v>
      </c>
      <c r="X376" s="964">
        <f>(X243*'OLD Formulas'!$R$3)+(X244*'OLD Formulas'!$R$4)+(X245*'OLD Formulas'!$R$5)</f>
        <v>90</v>
      </c>
      <c r="Y376" s="964">
        <f>(Y243*'OLD Formulas'!$R$3)+(Y244*'OLD Formulas'!$R$4)+(Y245*'OLD Formulas'!$R$5)</f>
        <v>0</v>
      </c>
      <c r="Z376" s="964">
        <f>(Z243*'OLD Formulas'!$R$3)+(Z244*'OLD Formulas'!$R$4)+(Z245*'OLD Formulas'!$R$5)</f>
        <v>0</v>
      </c>
      <c r="AA376" s="964">
        <f>(AA243*'OLD Formulas'!$R$3)+(AA244*'OLD Formulas'!$R$4)+(AA245*'OLD Formulas'!$R$5)</f>
        <v>0</v>
      </c>
      <c r="AB376" s="964">
        <f>(AB243*'OLD Formulas'!$R$3)+(AB244*'OLD Formulas'!$R$4)+(AB245*'OLD Formulas'!$R$5)</f>
        <v>0</v>
      </c>
      <c r="AC376" s="964">
        <f>(AC243*'OLD Formulas'!$R$3)+(AC244*'OLD Formulas'!$R$4)+(AC245*'OLD Formulas'!$R$5)</f>
        <v>0</v>
      </c>
      <c r="AD376" s="964">
        <f>(AD243*'OLD Formulas'!$R$3)+(AD244*'OLD Formulas'!$R$4)+(AD245*'OLD Formulas'!$R$5)</f>
        <v>0</v>
      </c>
      <c r="AE376" s="964">
        <f>(AE243*'OLD Formulas'!$R$3)+(AE244*'OLD Formulas'!$R$4)+(AE245*'OLD Formulas'!$R$5)</f>
        <v>0</v>
      </c>
      <c r="AF376" s="964">
        <f>(AF243*'OLD Formulas'!$R$3)+(AF244*'OLD Formulas'!$R$4)+(AF245*'OLD Formulas'!$R$5)</f>
        <v>0</v>
      </c>
      <c r="AG376" s="623">
        <f t="shared" si="145"/>
        <v>990</v>
      </c>
    </row>
    <row r="377" outlineLevel="1">
      <c r="A377" s="352" t="s">
        <v>376</v>
      </c>
      <c r="B377" s="964"/>
      <c r="C377" s="965"/>
      <c r="D377" s="965"/>
      <c r="E377" s="965"/>
      <c r="F377" s="965"/>
      <c r="G377" s="965"/>
      <c r="H377" s="965"/>
      <c r="I377" s="965"/>
      <c r="J377" s="965"/>
      <c r="K377" s="965"/>
      <c r="L377" s="965"/>
      <c r="M377" s="965"/>
      <c r="N377" s="965"/>
      <c r="O377" s="965"/>
      <c r="P377" s="965"/>
      <c r="Q377" s="965"/>
      <c r="R377" s="965"/>
      <c r="S377" s="965"/>
      <c r="T377" s="964"/>
      <c r="U377" s="964"/>
      <c r="V377" s="964"/>
      <c r="W377" s="964"/>
      <c r="X377" s="964"/>
      <c r="Y377" s="964"/>
      <c r="Z377" s="964"/>
      <c r="AA377" s="964"/>
      <c r="AB377" s="965"/>
      <c r="AC377" s="964"/>
      <c r="AD377" s="964"/>
      <c r="AE377" s="964"/>
      <c r="AF377" s="964"/>
      <c r="AG377" s="623">
        <f t="shared" si="145"/>
        <v>0</v>
      </c>
    </row>
    <row r="378" outlineLevel="1">
      <c r="A378" s="975" t="s">
        <v>1261</v>
      </c>
      <c r="B378" s="243">
        <f>((B327+B334+B341)*'OLD Formulas'!$D$22)</f>
        <v>0</v>
      </c>
      <c r="C378" s="243">
        <f>((C327+C334+C341)*'OLD Formulas'!$D$22)</f>
        <v>0</v>
      </c>
      <c r="D378" s="243">
        <f>((D327+D334+D341)*'OLD Formulas'!$D$22)</f>
        <v>0</v>
      </c>
      <c r="E378" s="243">
        <f>((E327+E334+E341)*'OLD Formulas'!$D$22)</f>
        <v>0</v>
      </c>
      <c r="F378" s="243">
        <f>((F327+F334+F341)*'OLD Formulas'!$D$22)</f>
        <v>0</v>
      </c>
      <c r="G378" s="243">
        <f>((G327+G334+G341)*'OLD Formulas'!$D$22)</f>
        <v>0</v>
      </c>
      <c r="H378" s="243">
        <f>((H327+H334+H341)*'OLD Formulas'!$D$22)</f>
        <v>0</v>
      </c>
      <c r="I378" s="243">
        <f>((I327+I334+I341)*'OLD Formulas'!$D$22)</f>
        <v>0</v>
      </c>
      <c r="J378" s="243">
        <f>((J327+J334+J341)*'OLD Formulas'!$D$22)</f>
        <v>0</v>
      </c>
      <c r="K378" s="243">
        <f>((K327+K334+K341)*'OLD Formulas'!$D$22)</f>
        <v>0</v>
      </c>
      <c r="L378" s="243">
        <f>((L327+L334+L341)*'OLD Formulas'!$D$22)</f>
        <v>0</v>
      </c>
      <c r="M378" s="243">
        <f>((M327+M334+M341)*'OLD Formulas'!$D$22)</f>
        <v>0</v>
      </c>
      <c r="N378" s="243">
        <f>((N327+N334+N341)*'OLD Formulas'!$D$22)</f>
        <v>0</v>
      </c>
      <c r="O378" s="243">
        <f>((O327+O334+O341)*'OLD Formulas'!$D$22)</f>
        <v>0</v>
      </c>
      <c r="P378" s="243">
        <f>((P327+P334+P341)*'OLD Formulas'!$D$22)</f>
        <v>0</v>
      </c>
      <c r="Q378" s="243">
        <f>((Q327+Q334+Q341)*'OLD Formulas'!$D$22)</f>
        <v>0</v>
      </c>
      <c r="R378" s="243">
        <f>((R327+R334+R341)*'OLD Formulas'!$D$22)</f>
        <v>0</v>
      </c>
      <c r="S378" s="243">
        <f>((S327+S334+S341)*'OLD Formulas'!$D$22)</f>
        <v>0</v>
      </c>
      <c r="T378" s="243">
        <f>((T327+T334+T341)*'OLD Formulas'!$D$22)</f>
        <v>0</v>
      </c>
      <c r="U378" s="243">
        <f>((U327+U334+U341)*'OLD Formulas'!$D$22)</f>
        <v>0</v>
      </c>
      <c r="V378" s="243">
        <f>((V327+V334+V341)*'OLD Formulas'!$D$22)</f>
        <v>0</v>
      </c>
      <c r="W378" s="243">
        <f>((W327+W334+W341)*'OLD Formulas'!$D$22)</f>
        <v>0</v>
      </c>
      <c r="X378" s="243">
        <f>((X327+X334+X341)*'OLD Formulas'!$D$22)</f>
        <v>0</v>
      </c>
      <c r="Y378" s="243">
        <f>((Y327+Y334+Y341)*'OLD Formulas'!$D$22)</f>
        <v>0</v>
      </c>
      <c r="Z378" s="243">
        <f>((Z327+Z334+Z341)*'OLD Formulas'!$D$22)</f>
        <v>0</v>
      </c>
      <c r="AA378" s="243">
        <f>((AA327+AA334+AA341)*'OLD Formulas'!$D$22)</f>
        <v>0</v>
      </c>
      <c r="AB378" s="243">
        <f>((AB327+AB334+AB341)*'OLD Formulas'!$D$22)</f>
        <v>0</v>
      </c>
      <c r="AC378" s="243">
        <f>((AC327+AC334+AC341)*'OLD Formulas'!$D$22)</f>
        <v>0</v>
      </c>
      <c r="AD378" s="243">
        <f>((AD327+AD334+AD341)*'OLD Formulas'!$D$22)</f>
        <v>0</v>
      </c>
      <c r="AE378" s="243">
        <f>((AE327+AE334+AE341)*'OLD Formulas'!$D$22)</f>
        <v>0</v>
      </c>
      <c r="AF378" s="243">
        <f>((AF327+AF334+AF341)*'OLD Formulas'!$D$22)</f>
        <v>0</v>
      </c>
      <c r="AG378" s="623">
        <f t="shared" si="145"/>
        <v>0</v>
      </c>
    </row>
    <row r="379" outlineLevel="1">
      <c r="A379" s="975" t="s">
        <v>1262</v>
      </c>
      <c r="B379" s="243">
        <f>((B327+B334+B341)*'OLD Formulas'!$D$23)</f>
        <v>0</v>
      </c>
      <c r="C379" s="243">
        <f>((C327+C334+C341)*'OLD Formulas'!$D$23)</f>
        <v>0</v>
      </c>
      <c r="D379" s="243">
        <f>((D327+D334+D341)*'OLD Formulas'!$D$23)</f>
        <v>0</v>
      </c>
      <c r="E379" s="243">
        <f>((E327+E334+E341)*'OLD Formulas'!$D$23)</f>
        <v>0</v>
      </c>
      <c r="F379" s="243">
        <f>((F327+F334+F341)*'OLD Formulas'!$D$23)</f>
        <v>0</v>
      </c>
      <c r="G379" s="243">
        <f>((G327+G334+G341)*'OLD Formulas'!$D$23)</f>
        <v>0</v>
      </c>
      <c r="H379" s="243">
        <f>((H327+H334+H341)*'OLD Formulas'!$D$23)</f>
        <v>0</v>
      </c>
      <c r="I379" s="243">
        <f>((I327+I334+I341)*'OLD Formulas'!$D$23)</f>
        <v>0</v>
      </c>
      <c r="J379" s="243">
        <f>((J327+J334+J341)*'OLD Formulas'!$D$23)</f>
        <v>0</v>
      </c>
      <c r="K379" s="243">
        <f>((K327+K334+K341)*'OLD Formulas'!$D$23)</f>
        <v>0</v>
      </c>
      <c r="L379" s="243">
        <f>((L327+L334+L341)*'OLD Formulas'!$D$23)</f>
        <v>0</v>
      </c>
      <c r="M379" s="243">
        <f>((M327+M334+M341)*'OLD Formulas'!$D$23)</f>
        <v>0</v>
      </c>
      <c r="N379" s="243">
        <f>((N327+N334+N341)*'OLD Formulas'!$D$23)</f>
        <v>0</v>
      </c>
      <c r="O379" s="243">
        <f>((O327+O334+O341)*'OLD Formulas'!$D$23)</f>
        <v>0</v>
      </c>
      <c r="P379" s="243">
        <f>((P327+P334+P341)*'OLD Formulas'!$D$23)</f>
        <v>0</v>
      </c>
      <c r="Q379" s="243">
        <f>((Q327+Q334+Q341)*'OLD Formulas'!$D$23)</f>
        <v>0</v>
      </c>
      <c r="R379" s="243">
        <f>((R327+R334+R341)*'OLD Formulas'!$D$23)</f>
        <v>0</v>
      </c>
      <c r="S379" s="243">
        <f>((S327+S334+S341)*'OLD Formulas'!$D$23)</f>
        <v>0</v>
      </c>
      <c r="T379" s="243">
        <f>((T327+T334+T341)*'OLD Formulas'!$D$23)</f>
        <v>0</v>
      </c>
      <c r="U379" s="243">
        <f>((U327+U334+U341)*'OLD Formulas'!$D$23)</f>
        <v>0</v>
      </c>
      <c r="V379" s="243">
        <f>((V327+V334+V341)*'OLD Formulas'!$D$23)</f>
        <v>0</v>
      </c>
      <c r="W379" s="243">
        <f>((W327+W334+W341)*'OLD Formulas'!$D$23)</f>
        <v>0</v>
      </c>
      <c r="X379" s="243">
        <f>((X327+X334+X341)*'OLD Formulas'!$D$23)</f>
        <v>0</v>
      </c>
      <c r="Y379" s="243">
        <f>((Y327+Y334+Y341)*'OLD Formulas'!$D$23)</f>
        <v>0</v>
      </c>
      <c r="Z379" s="243">
        <f>((Z327+Z334+Z341)*'OLD Formulas'!$D$23)</f>
        <v>0</v>
      </c>
      <c r="AA379" s="243">
        <f>((AA327+AA334+AA341)*'OLD Formulas'!$D$23)</f>
        <v>0</v>
      </c>
      <c r="AB379" s="243">
        <f>((AB327+AB334+AB341)*'OLD Formulas'!$D$23)</f>
        <v>0</v>
      </c>
      <c r="AC379" s="243">
        <f>((AC327+AC334+AC341)*'OLD Formulas'!$D$23)</f>
        <v>0</v>
      </c>
      <c r="AD379" s="243">
        <f>((AD327+AD334+AD341)*'OLD Formulas'!$D$23)</f>
        <v>0</v>
      </c>
      <c r="AE379" s="243">
        <f>((AE327+AE334+AE341)*'OLD Formulas'!$D$23)</f>
        <v>0</v>
      </c>
      <c r="AF379" s="243">
        <f>((AF327+AF334+AF341)*'OLD Formulas'!$D$23)</f>
        <v>0</v>
      </c>
      <c r="AG379" s="623">
        <f t="shared" si="145"/>
        <v>0</v>
      </c>
    </row>
    <row r="380" outlineLevel="1">
      <c r="A380" s="975" t="s">
        <v>1263</v>
      </c>
      <c r="B380" s="243">
        <f>((B327+B334+B341)*'OLD Formulas'!$D$24)</f>
        <v>0</v>
      </c>
      <c r="C380" s="243">
        <f>((C327+C334+C341)*'OLD Formulas'!$D$24)</f>
        <v>0</v>
      </c>
      <c r="D380" s="243">
        <f>((D327+D334+D341)*'OLD Formulas'!$D$24)</f>
        <v>0</v>
      </c>
      <c r="E380" s="243">
        <f>((E327+E334+E341)*'OLD Formulas'!$D$24)</f>
        <v>0</v>
      </c>
      <c r="F380" s="243">
        <f>((F327+F334+F341)*'OLD Formulas'!$D$24)</f>
        <v>0</v>
      </c>
      <c r="G380" s="243">
        <f>((G327+G334+G341)*'OLD Formulas'!$D$24)</f>
        <v>0</v>
      </c>
      <c r="H380" s="243">
        <f>((H327+H334+H341)*'OLD Formulas'!$D$24)</f>
        <v>0</v>
      </c>
      <c r="I380" s="243">
        <f>((I327+I334+I341)*'OLD Formulas'!$D$24)</f>
        <v>0</v>
      </c>
      <c r="J380" s="243">
        <f>((J327+J334+J341)*'OLD Formulas'!$D$24)</f>
        <v>0</v>
      </c>
      <c r="K380" s="243">
        <f>((K327+K334+K341)*'OLD Formulas'!$D$24)</f>
        <v>0</v>
      </c>
      <c r="L380" s="243">
        <f>((L327+L334+L341)*'OLD Formulas'!$D$24)</f>
        <v>0</v>
      </c>
      <c r="M380" s="243">
        <f>((M327+M334+M341)*'OLD Formulas'!$D$24)</f>
        <v>0</v>
      </c>
      <c r="N380" s="243">
        <f>((N327+N334+N341)*'OLD Formulas'!$D$24)</f>
        <v>0</v>
      </c>
      <c r="O380" s="243">
        <f>((O327+O334+O341)*'OLD Formulas'!$D$24)</f>
        <v>0</v>
      </c>
      <c r="P380" s="243">
        <f>((P327+P334+P341)*'OLD Formulas'!$D$24)</f>
        <v>0</v>
      </c>
      <c r="Q380" s="243">
        <f>((Q327+Q334+Q341)*'OLD Formulas'!$D$24)</f>
        <v>0</v>
      </c>
      <c r="R380" s="243">
        <f>((R327+R334+R341)*'OLD Formulas'!$D$24)</f>
        <v>0</v>
      </c>
      <c r="S380" s="243">
        <f>((S327+S334+S341)*'OLD Formulas'!$D$24)</f>
        <v>0</v>
      </c>
      <c r="T380" s="243">
        <f>((T327+T334+T341)*'OLD Formulas'!$D$24)</f>
        <v>0</v>
      </c>
      <c r="U380" s="243">
        <f>((U327+U334+U341)*'OLD Formulas'!$D$24)</f>
        <v>0</v>
      </c>
      <c r="V380" s="243">
        <f>((V327+V334+V341)*'OLD Formulas'!$D$24)</f>
        <v>0</v>
      </c>
      <c r="W380" s="243">
        <f>((W327+W334+W341)*'OLD Formulas'!$D$24)</f>
        <v>0</v>
      </c>
      <c r="X380" s="243">
        <f>((X327+X334+X341)*'OLD Formulas'!$D$24)</f>
        <v>0</v>
      </c>
      <c r="Y380" s="243">
        <f>((Y327+Y334+Y341)*'OLD Formulas'!$D$24)</f>
        <v>0</v>
      </c>
      <c r="Z380" s="243">
        <f>((Z327+Z334+Z341)*'OLD Formulas'!$D$24)</f>
        <v>0</v>
      </c>
      <c r="AA380" s="243">
        <f>((AA327+AA334+AA341)*'OLD Formulas'!$D$24)</f>
        <v>0</v>
      </c>
      <c r="AB380" s="243">
        <f>((AB327+AB334+AB341)*'OLD Formulas'!$D$24)</f>
        <v>0</v>
      </c>
      <c r="AC380" s="243">
        <f>((AC327+AC334+AC341)*'OLD Formulas'!$D$24)</f>
        <v>0</v>
      </c>
      <c r="AD380" s="243">
        <f>((AD327+AD334+AD341)*'OLD Formulas'!$D$24)</f>
        <v>0</v>
      </c>
      <c r="AE380" s="243">
        <f>((AE327+AE334+AE341)*'OLD Formulas'!$D$24)</f>
        <v>0</v>
      </c>
      <c r="AF380" s="243">
        <f>((AF327+AF334+AF341)*'OLD Formulas'!$D$24)</f>
        <v>0</v>
      </c>
      <c r="AG380" s="623">
        <f t="shared" si="145"/>
        <v>0</v>
      </c>
    </row>
    <row r="381" outlineLevel="1">
      <c r="A381" s="975" t="s">
        <v>1265</v>
      </c>
      <c r="B381" s="243">
        <f>((B327+B334+B341)*'OLD Formulas'!$D$25)</f>
        <v>0</v>
      </c>
      <c r="C381" s="243">
        <f>((C327+C334+C341)*'OLD Formulas'!$D$25)</f>
        <v>0</v>
      </c>
      <c r="D381" s="243">
        <f>((D327+D334+D341)*'OLD Formulas'!$D$25)</f>
        <v>0</v>
      </c>
      <c r="E381" s="243">
        <f>((E327+E334+E341)*'OLD Formulas'!$D$25)</f>
        <v>0</v>
      </c>
      <c r="F381" s="243">
        <f>((F327+F334+F341)*'OLD Formulas'!$D$25)</f>
        <v>0</v>
      </c>
      <c r="G381" s="243">
        <f>((G327+G334+G341)*'OLD Formulas'!$D$25)</f>
        <v>0</v>
      </c>
      <c r="H381" s="243">
        <f>((H327+H334+H341)*'OLD Formulas'!$D$25)</f>
        <v>0</v>
      </c>
      <c r="I381" s="243">
        <f>((I327+I334+I341)*'OLD Formulas'!$D$25)</f>
        <v>0</v>
      </c>
      <c r="J381" s="243">
        <f>((J327+J334+J341)*'OLD Formulas'!$D$25)</f>
        <v>0</v>
      </c>
      <c r="K381" s="243">
        <f>((K327+K334+K341)*'OLD Formulas'!$D$25)</f>
        <v>0</v>
      </c>
      <c r="L381" s="243">
        <f>((L327+L334+L341)*'OLD Formulas'!$D$25)</f>
        <v>0</v>
      </c>
      <c r="M381" s="243">
        <f>((M327+M334+M341)*'OLD Formulas'!$D$25)</f>
        <v>0</v>
      </c>
      <c r="N381" s="243">
        <f>((N327+N334+N341)*'OLD Formulas'!$D$25)</f>
        <v>0</v>
      </c>
      <c r="O381" s="243">
        <f>((O327+O334+O341)*'OLD Formulas'!$D$25)</f>
        <v>0</v>
      </c>
      <c r="P381" s="243">
        <f>((P327+P334+P341)*'OLD Formulas'!$D$25)</f>
        <v>0</v>
      </c>
      <c r="Q381" s="243">
        <f>((Q327+Q334+Q341)*'OLD Formulas'!$D$25)</f>
        <v>0</v>
      </c>
      <c r="R381" s="243">
        <f>((R327+R334+R341)*'OLD Formulas'!$D$25)</f>
        <v>0</v>
      </c>
      <c r="S381" s="243">
        <f>((S327+S334+S341)*'OLD Formulas'!$D$25)</f>
        <v>0</v>
      </c>
      <c r="T381" s="243">
        <f>((T327+T334+T341)*'OLD Formulas'!$D$25)</f>
        <v>0</v>
      </c>
      <c r="U381" s="243">
        <f>((U327+U334+U341)*'OLD Formulas'!$D$25)</f>
        <v>0</v>
      </c>
      <c r="V381" s="243">
        <f>((V327+V334+V341)*'OLD Formulas'!$D$25)</f>
        <v>0</v>
      </c>
      <c r="W381" s="243">
        <f>((W327+W334+W341)*'OLD Formulas'!$D$25)</f>
        <v>0</v>
      </c>
      <c r="X381" s="243">
        <f>((X327+X334+X341)*'OLD Formulas'!$D$25)</f>
        <v>0</v>
      </c>
      <c r="Y381" s="243">
        <f>((Y327+Y334+Y341)*'OLD Formulas'!$D$25)</f>
        <v>0</v>
      </c>
      <c r="Z381" s="243">
        <f>((Z327+Z334+Z341)*'OLD Formulas'!$D$25)</f>
        <v>0</v>
      </c>
      <c r="AA381" s="243">
        <f>((AA327+AA334+AA341)*'OLD Formulas'!$D$25)</f>
        <v>0</v>
      </c>
      <c r="AB381" s="243">
        <f>((AB327+AB334+AB341)*'OLD Formulas'!$D$25)</f>
        <v>0</v>
      </c>
      <c r="AC381" s="243">
        <f>((AC327+AC334+AC341)*'OLD Formulas'!$D$25)</f>
        <v>0</v>
      </c>
      <c r="AD381" s="243">
        <f>((AD327+AD334+AD341)*'OLD Formulas'!$D$25)</f>
        <v>0</v>
      </c>
      <c r="AE381" s="243">
        <f>((AE327+AE334+AE341)*'OLD Formulas'!$D$25)</f>
        <v>0</v>
      </c>
      <c r="AF381" s="243">
        <f>((AF327+AF334+AF341)*'OLD Formulas'!$D$25)</f>
        <v>0</v>
      </c>
      <c r="AG381" s="623">
        <f t="shared" si="145"/>
        <v>0</v>
      </c>
    </row>
    <row r="382" outlineLevel="1">
      <c r="A382" s="975" t="s">
        <v>1267</v>
      </c>
      <c r="B382" s="243">
        <f>((B327+B334+B341)*'OLD Formulas'!$D$26)</f>
        <v>0</v>
      </c>
      <c r="C382" s="243">
        <f>((C327+C334+C341)*'OLD Formulas'!$D$26)</f>
        <v>0</v>
      </c>
      <c r="D382" s="243">
        <f>((D327+D334+D341)*'OLD Formulas'!$D$26)</f>
        <v>0</v>
      </c>
      <c r="E382" s="243">
        <f>((E327+E334+E341)*'OLD Formulas'!$D$26)</f>
        <v>0</v>
      </c>
      <c r="F382" s="243">
        <f>((F327+F334+F341)*'OLD Formulas'!$D$26)</f>
        <v>0</v>
      </c>
      <c r="G382" s="243">
        <f>((G327+G334+G341)*'OLD Formulas'!$D$26)</f>
        <v>0</v>
      </c>
      <c r="H382" s="243">
        <f>((H327+H334+H341)*'OLD Formulas'!$D$26)</f>
        <v>0</v>
      </c>
      <c r="I382" s="243">
        <f>((I327+I334+I341)*'OLD Formulas'!$D$26)</f>
        <v>0</v>
      </c>
      <c r="J382" s="243">
        <f>((J327+J334+J341)*'OLD Formulas'!$D$26)</f>
        <v>0</v>
      </c>
      <c r="K382" s="243">
        <f>((K327+K334+K341)*'OLD Formulas'!$D$26)</f>
        <v>0</v>
      </c>
      <c r="L382" s="243">
        <f>((L327+L334+L341)*'OLD Formulas'!$D$26)</f>
        <v>0</v>
      </c>
      <c r="M382" s="243">
        <f>((M327+M334+M341)*'OLD Formulas'!$D$26)</f>
        <v>0</v>
      </c>
      <c r="N382" s="243">
        <f>((N327+N334+N341)*'OLD Formulas'!$D$26)</f>
        <v>0</v>
      </c>
      <c r="O382" s="243">
        <f>((O327+O334+O341)*'OLD Formulas'!$D$26)</f>
        <v>0</v>
      </c>
      <c r="P382" s="243">
        <f>((P327+P334+P341)*'OLD Formulas'!$D$26)</f>
        <v>0</v>
      </c>
      <c r="Q382" s="243">
        <f>((Q327+Q334+Q341)*'OLD Formulas'!$D$26)</f>
        <v>0</v>
      </c>
      <c r="R382" s="243">
        <f>((R327+R334+R341)*'OLD Formulas'!$D$26)</f>
        <v>0</v>
      </c>
      <c r="S382" s="243">
        <f>((S327+S334+S341)*'OLD Formulas'!$D$26)</f>
        <v>0</v>
      </c>
      <c r="T382" s="243">
        <f>((T327+T334+T341)*'OLD Formulas'!$D$26)</f>
        <v>0</v>
      </c>
      <c r="U382" s="243">
        <f>((U327+U334+U341)*'OLD Formulas'!$D$26)</f>
        <v>0</v>
      </c>
      <c r="V382" s="243">
        <f>((V327+V334+V341)*'OLD Formulas'!$D$26)</f>
        <v>0</v>
      </c>
      <c r="W382" s="243">
        <f>((W327+W334+W341)*'OLD Formulas'!$D$26)</f>
        <v>0</v>
      </c>
      <c r="X382" s="243">
        <f>((X327+X334+X341)*'OLD Formulas'!$D$26)</f>
        <v>0</v>
      </c>
      <c r="Y382" s="243">
        <f>((Y327+Y334+Y341)*'OLD Formulas'!$D$26)</f>
        <v>0</v>
      </c>
      <c r="Z382" s="243">
        <f>((Z327+Z334+Z341)*'OLD Formulas'!$D$26)</f>
        <v>0</v>
      </c>
      <c r="AA382" s="243">
        <f>((AA327+AA334+AA341)*'OLD Formulas'!$D$26)</f>
        <v>0</v>
      </c>
      <c r="AB382" s="243">
        <f>((AB327+AB334+AB341)*'OLD Formulas'!$D$26)</f>
        <v>0</v>
      </c>
      <c r="AC382" s="243">
        <f>((AC327+AC334+AC341)*'OLD Formulas'!$D$26)</f>
        <v>0</v>
      </c>
      <c r="AD382" s="243">
        <f>((AD327+AD334+AD341)*'OLD Formulas'!$D$26)</f>
        <v>0</v>
      </c>
      <c r="AE382" s="243">
        <f>((AE327+AE334+AE341)*'OLD Formulas'!$D$26)</f>
        <v>0</v>
      </c>
      <c r="AF382" s="243">
        <f>((AF327+AF334+AF341)*'OLD Formulas'!$D$26)</f>
        <v>0</v>
      </c>
      <c r="AG382" s="623">
        <f t="shared" si="145"/>
        <v>0</v>
      </c>
    </row>
    <row r="383" outlineLevel="1">
      <c r="A383" s="977" t="s">
        <v>1268</v>
      </c>
      <c r="B383" s="978">
        <f>((B327+B334+B341)*'OLD Formulas'!$D$27)</f>
        <v>0</v>
      </c>
      <c r="C383" s="978">
        <f>((C327+C334+C341)*'OLD Formulas'!$D$27)</f>
        <v>0</v>
      </c>
      <c r="D383" s="978">
        <f>((D327+D334+D341)*'OLD Formulas'!$D$27)</f>
        <v>0</v>
      </c>
      <c r="E383" s="978">
        <f>((E327+E334+E341)*'OLD Formulas'!$D$27)</f>
        <v>0</v>
      </c>
      <c r="F383" s="978">
        <f>((F327+F334+F341)*'OLD Formulas'!$D$27)</f>
        <v>0</v>
      </c>
      <c r="G383" s="978">
        <f>((G327+G334+G341)*'OLD Formulas'!$D$27)</f>
        <v>0</v>
      </c>
      <c r="H383" s="978">
        <f>((H327+H334+H341)*'OLD Formulas'!$D$27)</f>
        <v>0</v>
      </c>
      <c r="I383" s="978">
        <f>((I327+I334+I341)*'OLD Formulas'!$D$27)</f>
        <v>0</v>
      </c>
      <c r="J383" s="978">
        <f>((J327+J334+J341)*'OLD Formulas'!$D$27)</f>
        <v>0</v>
      </c>
      <c r="K383" s="978">
        <f>((K327+K334+K341)*'OLD Formulas'!$D$27)</f>
        <v>0</v>
      </c>
      <c r="L383" s="978">
        <f>((L327+L334+L341)*'OLD Formulas'!$D$27)</f>
        <v>0</v>
      </c>
      <c r="M383" s="978">
        <f>((M327+M334+M341)*'OLD Formulas'!$D$27)</f>
        <v>0</v>
      </c>
      <c r="N383" s="978">
        <f>((N327+N334+N341)*'OLD Formulas'!$D$27)</f>
        <v>0</v>
      </c>
      <c r="O383" s="978">
        <f>((O327+O334+O341)*'OLD Formulas'!$D$27)</f>
        <v>0</v>
      </c>
      <c r="P383" s="978">
        <f>((P327+P334+P341)*'OLD Formulas'!$D$27)</f>
        <v>0</v>
      </c>
      <c r="Q383" s="978">
        <f>((Q327+Q334+Q341)*'OLD Formulas'!$D$27)</f>
        <v>0</v>
      </c>
      <c r="R383" s="978">
        <f>((R327+R334+R341)*'OLD Formulas'!$D$27)</f>
        <v>0</v>
      </c>
      <c r="S383" s="978">
        <f>((S327+S334+S341)*'OLD Formulas'!$D$27)</f>
        <v>0</v>
      </c>
      <c r="T383" s="978">
        <f>((T327+T334+T341)*'OLD Formulas'!$D$27)</f>
        <v>0</v>
      </c>
      <c r="U383" s="978">
        <f>((U327+U334+U341)*'OLD Formulas'!$D$27)</f>
        <v>0</v>
      </c>
      <c r="V383" s="978">
        <f>((V327+V334+V341)*'OLD Formulas'!$D$27)</f>
        <v>0</v>
      </c>
      <c r="W383" s="978">
        <f>((W327+W334+W341)*'OLD Formulas'!$D$27)</f>
        <v>0</v>
      </c>
      <c r="X383" s="978">
        <f>((X327+X334+X341)*'OLD Formulas'!$D$27)</f>
        <v>0</v>
      </c>
      <c r="Y383" s="978">
        <f>((Y327+Y334+Y341)*'OLD Formulas'!$D$27)</f>
        <v>0</v>
      </c>
      <c r="Z383" s="978">
        <f>((Z327+Z334+Z341)*'OLD Formulas'!$D$27)</f>
        <v>0</v>
      </c>
      <c r="AA383" s="978">
        <f>((AA327+AA334+AA341)*'OLD Formulas'!$D$27)</f>
        <v>0</v>
      </c>
      <c r="AB383" s="978">
        <f>((AB327+AB334+AB341)*'OLD Formulas'!$D$27)</f>
        <v>0</v>
      </c>
      <c r="AC383" s="978">
        <f>((AC327+AC334+AC341)*'OLD Formulas'!$D$27)</f>
        <v>0</v>
      </c>
      <c r="AD383" s="978">
        <f>((AD327+AD334+AD341)*'OLD Formulas'!$D$27)</f>
        <v>0</v>
      </c>
      <c r="AE383" s="978">
        <f>((AE327+AE334+AE341)*'OLD Formulas'!$D$27)</f>
        <v>0</v>
      </c>
      <c r="AF383" s="978">
        <f>((AF327+AF334+AF341)*'OLD Formulas'!$D$27)</f>
        <v>0</v>
      </c>
      <c r="AG383" s="979">
        <f t="shared" si="145"/>
        <v>0</v>
      </c>
    </row>
    <row r="384" collapsed="1">
      <c r="A384" s="352" t="s">
        <v>1269</v>
      </c>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c r="AB384" s="53"/>
      <c r="AC384" s="53"/>
      <c r="AD384" s="53"/>
      <c r="AE384" s="972"/>
      <c r="AF384" s="9"/>
      <c r="AG384" s="453"/>
    </row>
    <row r="385" hidden="1" outlineLevel="1">
      <c r="A385" s="926" t="s">
        <v>1217</v>
      </c>
      <c r="B385" s="243">
        <f>B287*'OLD Formulas'!$C$3</f>
        <v>0</v>
      </c>
      <c r="C385" s="243">
        <f>C287*'OLD Formulas'!$C$3</f>
        <v>0</v>
      </c>
      <c r="D385" s="243">
        <f>D287*'OLD Formulas'!$C$3</f>
        <v>0</v>
      </c>
      <c r="E385" s="243">
        <f>E287*'OLD Formulas'!$C$3</f>
        <v>0</v>
      </c>
      <c r="F385" s="243">
        <f>F287*'OLD Formulas'!$C$3</f>
        <v>0</v>
      </c>
      <c r="G385" s="243">
        <f>G287*'OLD Formulas'!$C$3</f>
        <v>0</v>
      </c>
      <c r="H385" s="243">
        <f>H287*'OLD Formulas'!$C$3</f>
        <v>0</v>
      </c>
      <c r="I385" s="243">
        <f>I287*'OLD Formulas'!$C$3</f>
        <v>0</v>
      </c>
      <c r="J385" s="243">
        <f>J287*'OLD Formulas'!$C$3</f>
        <v>0</v>
      </c>
      <c r="K385" s="243">
        <f>K287*'OLD Formulas'!$C$3</f>
        <v>0</v>
      </c>
      <c r="L385" s="243">
        <f>L287*'OLD Formulas'!$C$3</f>
        <v>0</v>
      </c>
      <c r="M385" s="243">
        <f>M287*'OLD Formulas'!$C$3</f>
        <v>0</v>
      </c>
      <c r="N385" s="243">
        <f>N287*'OLD Formulas'!$C$3</f>
        <v>0</v>
      </c>
      <c r="O385" s="243">
        <f>O287*'OLD Formulas'!$C$3</f>
        <v>0</v>
      </c>
      <c r="P385" s="243">
        <f>P287*'OLD Formulas'!$C$3</f>
        <v>0</v>
      </c>
      <c r="Q385" s="243">
        <f>Q287*'OLD Formulas'!$C$3</f>
        <v>0</v>
      </c>
      <c r="R385" s="243">
        <f>R287*'OLD Formulas'!$C$3</f>
        <v>0</v>
      </c>
      <c r="S385" s="243">
        <f>S287*'OLD Formulas'!$C$3</f>
        <v>0</v>
      </c>
      <c r="T385" s="243">
        <f>T287*'OLD Formulas'!$C$3</f>
        <v>0</v>
      </c>
      <c r="U385" s="243">
        <f>U287*'OLD Formulas'!$C$3</f>
        <v>0</v>
      </c>
      <c r="V385" s="243">
        <f>V287*'OLD Formulas'!$C$3</f>
        <v>0</v>
      </c>
      <c r="W385" s="243">
        <f>W287*'OLD Formulas'!$C$3</f>
        <v>0</v>
      </c>
      <c r="X385" s="243">
        <f>X287*'OLD Formulas'!$C$3</f>
        <v>0</v>
      </c>
      <c r="Y385" s="243">
        <f>Y287*'OLD Formulas'!$C$3</f>
        <v>0</v>
      </c>
      <c r="Z385" s="243">
        <f>Z287*'OLD Formulas'!$C$3</f>
        <v>0</v>
      </c>
      <c r="AA385" s="243">
        <f>AA287*'OLD Formulas'!$C$3</f>
        <v>0</v>
      </c>
      <c r="AB385" s="243">
        <f>AB287*'OLD Formulas'!$C$3</f>
        <v>0</v>
      </c>
      <c r="AC385" s="243">
        <f>AC287*'OLD Formulas'!$C$3</f>
        <v>0</v>
      </c>
      <c r="AD385" s="243">
        <f>AD287*'OLD Formulas'!$C$3</f>
        <v>0</v>
      </c>
      <c r="AE385" s="243">
        <f>AE287*'OLD Formulas'!$C$3</f>
        <v>0</v>
      </c>
      <c r="AF385" s="980"/>
      <c r="AG385" s="981">
        <f>SUM(C385:AD385)</f>
        <v>0</v>
      </c>
    </row>
    <row r="386" hidden="1" outlineLevel="1">
      <c r="A386" s="928" t="s">
        <v>1221</v>
      </c>
      <c r="B386" s="243">
        <f>B385*'OLD Formulas'!$L$5</f>
        <v>0</v>
      </c>
      <c r="C386" s="243">
        <f>C385*'OLD Formulas'!$L$5</f>
        <v>0</v>
      </c>
      <c r="D386" s="243">
        <f>D385*'OLD Formulas'!$L$5</f>
        <v>0</v>
      </c>
      <c r="E386" s="243">
        <f>E385*'OLD Formulas'!$L$5</f>
        <v>0</v>
      </c>
      <c r="F386" s="243">
        <f>F385*'OLD Formulas'!$L$5</f>
        <v>0</v>
      </c>
      <c r="G386" s="243">
        <f>G385*'OLD Formulas'!$L$5</f>
        <v>0</v>
      </c>
      <c r="H386" s="243">
        <f>H385*'OLD Formulas'!$L$5</f>
        <v>0</v>
      </c>
      <c r="I386" s="243">
        <f>I385*'OLD Formulas'!$L$5</f>
        <v>0</v>
      </c>
      <c r="J386" s="243">
        <f>J385*'OLD Formulas'!$L$5</f>
        <v>0</v>
      </c>
      <c r="K386" s="243">
        <f>K385*'OLD Formulas'!$L$5</f>
        <v>0</v>
      </c>
      <c r="L386" s="243">
        <f>L385*'OLD Formulas'!$L$5</f>
        <v>0</v>
      </c>
      <c r="M386" s="243">
        <f>M385*'OLD Formulas'!$L$5</f>
        <v>0</v>
      </c>
      <c r="N386" s="243">
        <f>N385*'OLD Formulas'!$L$5</f>
        <v>0</v>
      </c>
      <c r="O386" s="243">
        <f>O385*'OLD Formulas'!$L$5</f>
        <v>0</v>
      </c>
      <c r="P386" s="243">
        <f>P385*'OLD Formulas'!$L$5</f>
        <v>0</v>
      </c>
      <c r="Q386" s="243">
        <f>Q385*'OLD Formulas'!$L$5</f>
        <v>0</v>
      </c>
      <c r="R386" s="243">
        <f>R385*'OLD Formulas'!$L$5</f>
        <v>0</v>
      </c>
      <c r="S386" s="243">
        <f>S385*'OLD Formulas'!$L$5</f>
        <v>0</v>
      </c>
      <c r="T386" s="243">
        <f>T385*'OLD Formulas'!$L$5</f>
        <v>0</v>
      </c>
      <c r="U386" s="243">
        <f>U385*'OLD Formulas'!$L$5</f>
        <v>0</v>
      </c>
      <c r="V386" s="243">
        <f>V385*'OLD Formulas'!$L$5</f>
        <v>0</v>
      </c>
      <c r="W386" s="243">
        <f>W385*'OLD Formulas'!$L$5</f>
        <v>0</v>
      </c>
      <c r="X386" s="243">
        <f>X385*'OLD Formulas'!$L$5</f>
        <v>0</v>
      </c>
      <c r="Y386" s="243">
        <f>Y385*'OLD Formulas'!$L$5</f>
        <v>0</v>
      </c>
      <c r="Z386" s="243">
        <f>Z385*'OLD Formulas'!$L$5</f>
        <v>0</v>
      </c>
      <c r="AA386" s="243">
        <f>AA385*'OLD Formulas'!$L$5</f>
        <v>0</v>
      </c>
      <c r="AB386" s="243">
        <f>AB385*'OLD Formulas'!$L$5</f>
        <v>0</v>
      </c>
      <c r="AC386" s="243">
        <f>AC385*'OLD Formulas'!$L$5</f>
        <v>0</v>
      </c>
      <c r="AD386" s="243">
        <f>AD385*'OLD Formulas'!$L$5</f>
        <v>0</v>
      </c>
      <c r="AE386" s="243">
        <f>AE385*'OLD Formulas'!$L$5</f>
        <v>0</v>
      </c>
      <c r="AF386" s="980"/>
      <c r="AG386" s="981">
        <f t="shared" ref="AG386:AG408" si="148">SUM(C386:AE386)</f>
        <v>0</v>
      </c>
    </row>
    <row r="387" hidden="1" outlineLevel="1">
      <c r="A387" s="926" t="s">
        <v>1224</v>
      </c>
      <c r="B387" s="243">
        <f>B288*'OLD Formulas'!$C$4</f>
        <v>0</v>
      </c>
      <c r="C387" s="243">
        <f>C288*'OLD Formulas'!$C$4</f>
        <v>0</v>
      </c>
      <c r="D387" s="243">
        <f>D288*'OLD Formulas'!$C$4</f>
        <v>0</v>
      </c>
      <c r="E387" s="243">
        <f>E288*'OLD Formulas'!$C$4</f>
        <v>0</v>
      </c>
      <c r="F387" s="243">
        <f>F288*'OLD Formulas'!$C$4</f>
        <v>0</v>
      </c>
      <c r="G387" s="243">
        <f>G288*'OLD Formulas'!$C$4</f>
        <v>0</v>
      </c>
      <c r="H387" s="243">
        <f>H288*'OLD Formulas'!$C$4</f>
        <v>0</v>
      </c>
      <c r="I387" s="243">
        <f>I288*'OLD Formulas'!$C$4</f>
        <v>0</v>
      </c>
      <c r="J387" s="243">
        <f>J288*'OLD Formulas'!$C$4</f>
        <v>0</v>
      </c>
      <c r="K387" s="243">
        <f>K288*'OLD Formulas'!$C$4</f>
        <v>0</v>
      </c>
      <c r="L387" s="243">
        <f>L288*'OLD Formulas'!$C$4</f>
        <v>0</v>
      </c>
      <c r="M387" s="243">
        <f>M288*'OLD Formulas'!$C$4</f>
        <v>0</v>
      </c>
      <c r="N387" s="243">
        <f>N288*'OLD Formulas'!$C$4</f>
        <v>0</v>
      </c>
      <c r="O387" s="243">
        <f>O288*'OLD Formulas'!$C$4</f>
        <v>0</v>
      </c>
      <c r="P387" s="243">
        <f>P288*'OLD Formulas'!$C$4</f>
        <v>0</v>
      </c>
      <c r="Q387" s="243">
        <f>Q288*'OLD Formulas'!$C$4</f>
        <v>0</v>
      </c>
      <c r="R387" s="243">
        <f>R288*'OLD Formulas'!$C$4</f>
        <v>0</v>
      </c>
      <c r="S387" s="243">
        <f>S288*'OLD Formulas'!$C$4</f>
        <v>0</v>
      </c>
      <c r="T387" s="243">
        <f>T288*'OLD Formulas'!$C$4</f>
        <v>0</v>
      </c>
      <c r="U387" s="243">
        <f>U288*'OLD Formulas'!$C$4</f>
        <v>0</v>
      </c>
      <c r="V387" s="243">
        <f>V288*'OLD Formulas'!$C$4</f>
        <v>0</v>
      </c>
      <c r="W387" s="243">
        <f>W288*'OLD Formulas'!$C$4</f>
        <v>0</v>
      </c>
      <c r="X387" s="243">
        <f>X288*'OLD Formulas'!$C$4</f>
        <v>0</v>
      </c>
      <c r="Y387" s="243">
        <f>Y288*'OLD Formulas'!$C$4</f>
        <v>0</v>
      </c>
      <c r="Z387" s="243">
        <f>Z288*'OLD Formulas'!$C$4</f>
        <v>0</v>
      </c>
      <c r="AA387" s="243">
        <f>AA288*'OLD Formulas'!$C$4</f>
        <v>0</v>
      </c>
      <c r="AB387" s="243">
        <f>AB288*'OLD Formulas'!$C$4</f>
        <v>0</v>
      </c>
      <c r="AC387" s="243">
        <f>AC288*'OLD Formulas'!$C$4</f>
        <v>0</v>
      </c>
      <c r="AD387" s="243">
        <f>AD288*'OLD Formulas'!$C$4</f>
        <v>0</v>
      </c>
      <c r="AE387" s="243">
        <f>AE288*'OLD Formulas'!$C$4</f>
        <v>0</v>
      </c>
      <c r="AF387" s="980"/>
      <c r="AG387" s="981">
        <f t="shared" si="148"/>
        <v>0</v>
      </c>
    </row>
    <row r="388" hidden="1" outlineLevel="1">
      <c r="A388" s="928" t="s">
        <v>1227</v>
      </c>
      <c r="B388" s="243">
        <f>B387*'OLD Formulas'!$L$5</f>
        <v>0</v>
      </c>
      <c r="C388" s="243">
        <f>C387*'OLD Formulas'!$L$5</f>
        <v>0</v>
      </c>
      <c r="D388" s="243">
        <f>D387*'OLD Formulas'!$L$5</f>
        <v>0</v>
      </c>
      <c r="E388" s="243">
        <f>E387*'OLD Formulas'!$L$5</f>
        <v>0</v>
      </c>
      <c r="F388" s="243">
        <f>F387*'OLD Formulas'!$L$5</f>
        <v>0</v>
      </c>
      <c r="G388" s="243">
        <f>G387*'OLD Formulas'!$L$5</f>
        <v>0</v>
      </c>
      <c r="H388" s="243">
        <f>H387*'OLD Formulas'!$L$5</f>
        <v>0</v>
      </c>
      <c r="I388" s="243">
        <f>I387*'OLD Formulas'!$L$5</f>
        <v>0</v>
      </c>
      <c r="J388" s="243">
        <f>J387*'OLD Formulas'!$L$5</f>
        <v>0</v>
      </c>
      <c r="K388" s="243">
        <f>K387*'OLD Formulas'!$L$5</f>
        <v>0</v>
      </c>
      <c r="L388" s="243">
        <f>L387*'OLD Formulas'!$L$5</f>
        <v>0</v>
      </c>
      <c r="M388" s="243">
        <f>M387*'OLD Formulas'!$L$5</f>
        <v>0</v>
      </c>
      <c r="N388" s="243">
        <f>N387*'OLD Formulas'!$L$5</f>
        <v>0</v>
      </c>
      <c r="O388" s="243">
        <f>O387*'OLD Formulas'!$L$5</f>
        <v>0</v>
      </c>
      <c r="P388" s="243">
        <f>P387*'OLD Formulas'!$L$5</f>
        <v>0</v>
      </c>
      <c r="Q388" s="243">
        <f>Q387*'OLD Formulas'!$L$5</f>
        <v>0</v>
      </c>
      <c r="R388" s="243">
        <f>R387*'OLD Formulas'!$L$5</f>
        <v>0</v>
      </c>
      <c r="S388" s="243">
        <f>S387*'OLD Formulas'!$L$5</f>
        <v>0</v>
      </c>
      <c r="T388" s="243">
        <f>T387*'OLD Formulas'!$L$5</f>
        <v>0</v>
      </c>
      <c r="U388" s="243">
        <f>U387*'OLD Formulas'!$L$5</f>
        <v>0</v>
      </c>
      <c r="V388" s="243">
        <f>V387*'OLD Formulas'!$L$5</f>
        <v>0</v>
      </c>
      <c r="W388" s="243">
        <f>W387*'OLD Formulas'!$L$5</f>
        <v>0</v>
      </c>
      <c r="X388" s="243">
        <f>X387*'OLD Formulas'!$L$5</f>
        <v>0</v>
      </c>
      <c r="Y388" s="243">
        <f>Y387*'OLD Formulas'!$L$5</f>
        <v>0</v>
      </c>
      <c r="Z388" s="243">
        <f>Z387*'OLD Formulas'!$L$5</f>
        <v>0</v>
      </c>
      <c r="AA388" s="243">
        <f>AA387*'OLD Formulas'!$L$5</f>
        <v>0</v>
      </c>
      <c r="AB388" s="243">
        <f>AB387*'OLD Formulas'!$L$5</f>
        <v>0</v>
      </c>
      <c r="AC388" s="243">
        <f>AC387*'OLD Formulas'!$L$5</f>
        <v>0</v>
      </c>
      <c r="AD388" s="243">
        <f>AD387*'OLD Formulas'!$L$5</f>
        <v>0</v>
      </c>
      <c r="AE388" s="243">
        <f>AE387*'OLD Formulas'!$L$5</f>
        <v>0</v>
      </c>
      <c r="AF388" s="980"/>
      <c r="AG388" s="981">
        <f t="shared" si="148"/>
        <v>0</v>
      </c>
    </row>
    <row r="389" hidden="1" outlineLevel="1">
      <c r="A389" s="926" t="s">
        <v>1233</v>
      </c>
      <c r="B389" s="243">
        <f>(B291+B298+B305)*'OLD Formulas'!$C$7</f>
        <v>0</v>
      </c>
      <c r="C389" s="243">
        <f>(C291+C298+C305)*'OLD Formulas'!$C$7</f>
        <v>0</v>
      </c>
      <c r="D389" s="243">
        <f>(D291+D298+D305)*'OLD Formulas'!$C$7</f>
        <v>0</v>
      </c>
      <c r="E389" s="243">
        <f>(E291+E298+E305)*'OLD Formulas'!$C$7</f>
        <v>0</v>
      </c>
      <c r="F389" s="243">
        <f>(F291+F298+F305)*'OLD Formulas'!$C$7</f>
        <v>0</v>
      </c>
      <c r="G389" s="243">
        <f>(G291+G298+G305)*'OLD Formulas'!$C$7</f>
        <v>0</v>
      </c>
      <c r="H389" s="243">
        <f>(H291+H298+H305)*'OLD Formulas'!$C$7</f>
        <v>0</v>
      </c>
      <c r="I389" s="243">
        <f>(I291+I298+I305)*'OLD Formulas'!$C$7</f>
        <v>0</v>
      </c>
      <c r="J389" s="243">
        <f>(J291+J298+J305)*'OLD Formulas'!$C$7</f>
        <v>0</v>
      </c>
      <c r="K389" s="243">
        <f>(K291+K298+K305)*'OLD Formulas'!$C$7</f>
        <v>0</v>
      </c>
      <c r="L389" s="243">
        <f>(L291+L298+L305)*'OLD Formulas'!$C$7</f>
        <v>0</v>
      </c>
      <c r="M389" s="243">
        <f>(M291+M298+M305)*'OLD Formulas'!$C$7</f>
        <v>0</v>
      </c>
      <c r="N389" s="243">
        <f>(N291+N298+N305)*'OLD Formulas'!$C$7</f>
        <v>0</v>
      </c>
      <c r="O389" s="243">
        <f>(O291+O298+O305)*'OLD Formulas'!$C$7</f>
        <v>0</v>
      </c>
      <c r="P389" s="243">
        <f>(P291+P298+P305)*'OLD Formulas'!$C$7</f>
        <v>0</v>
      </c>
      <c r="Q389" s="243">
        <f>(Q291+Q298+Q305)*'OLD Formulas'!$C$7</f>
        <v>0</v>
      </c>
      <c r="R389" s="243">
        <f>(R291+R298+R305)*'OLD Formulas'!$C$7</f>
        <v>0</v>
      </c>
      <c r="S389" s="243">
        <f>(S291+S298+S305)*'OLD Formulas'!$C$7</f>
        <v>0</v>
      </c>
      <c r="T389" s="243">
        <f>(T291+T298+T305)*'OLD Formulas'!$C$7</f>
        <v>0</v>
      </c>
      <c r="U389" s="243">
        <f>(U291+U298+U305)*'OLD Formulas'!$C$7</f>
        <v>0</v>
      </c>
      <c r="V389" s="243">
        <f>(V291+V298+V305)*'OLD Formulas'!$C$7</f>
        <v>0</v>
      </c>
      <c r="W389" s="243">
        <f>(W291+W298+W305)*'OLD Formulas'!$C$7</f>
        <v>0</v>
      </c>
      <c r="X389" s="243">
        <f>(X291+X298+X305)*'OLD Formulas'!$C$7</f>
        <v>0</v>
      </c>
      <c r="Y389" s="243">
        <f>(Y291+Y298+Y305)*'OLD Formulas'!$C$7</f>
        <v>0</v>
      </c>
      <c r="Z389" s="243">
        <f>(Z291+Z298+Z305)*'OLD Formulas'!$C$7</f>
        <v>0</v>
      </c>
      <c r="AA389" s="243">
        <f>(AA291+AA298+AA305)*'OLD Formulas'!$C$7</f>
        <v>0</v>
      </c>
      <c r="AB389" s="243">
        <f>(AB291+AB298+AB305)*'OLD Formulas'!$C$7</f>
        <v>0</v>
      </c>
      <c r="AC389" s="243">
        <f>(AC291+AC298+AC305)*'OLD Formulas'!$C$7</f>
        <v>0</v>
      </c>
      <c r="AD389" s="243">
        <f>(AD291+AD298+AD305)*'OLD Formulas'!$C$7</f>
        <v>0</v>
      </c>
      <c r="AE389" s="243">
        <f>(AE291+AE298+AE305)*'OLD Formulas'!$C$7</f>
        <v>0</v>
      </c>
      <c r="AF389" s="980"/>
      <c r="AG389" s="981">
        <f t="shared" si="148"/>
        <v>0</v>
      </c>
    </row>
    <row r="390" hidden="1" outlineLevel="1">
      <c r="A390" s="928" t="s">
        <v>1235</v>
      </c>
      <c r="B390" s="243">
        <f>B389*'OLD Formulas'!$L$5</f>
        <v>0</v>
      </c>
      <c r="C390" s="243">
        <f>C389*'OLD Formulas'!$L$5</f>
        <v>0</v>
      </c>
      <c r="D390" s="243">
        <f>D389*'OLD Formulas'!$L$5</f>
        <v>0</v>
      </c>
      <c r="E390" s="243">
        <f>E389*'OLD Formulas'!$L$5</f>
        <v>0</v>
      </c>
      <c r="F390" s="243">
        <f>F389*'OLD Formulas'!$L$5</f>
        <v>0</v>
      </c>
      <c r="G390" s="243">
        <f>G389*'OLD Formulas'!$L$5</f>
        <v>0</v>
      </c>
      <c r="H390" s="243">
        <f>H389*'OLD Formulas'!$L$5</f>
        <v>0</v>
      </c>
      <c r="I390" s="243">
        <f>I389*'OLD Formulas'!$L$5</f>
        <v>0</v>
      </c>
      <c r="J390" s="243">
        <f>J389*'OLD Formulas'!$L$5</f>
        <v>0</v>
      </c>
      <c r="K390" s="243">
        <f>K389*'OLD Formulas'!$L$5</f>
        <v>0</v>
      </c>
      <c r="L390" s="243">
        <f>L389*'OLD Formulas'!$L$5</f>
        <v>0</v>
      </c>
      <c r="M390" s="243">
        <f>M389*'OLD Formulas'!$L$5</f>
        <v>0</v>
      </c>
      <c r="N390" s="243">
        <f>N389*'OLD Formulas'!$L$5</f>
        <v>0</v>
      </c>
      <c r="O390" s="243">
        <f>O389*'OLD Formulas'!$L$5</f>
        <v>0</v>
      </c>
      <c r="P390" s="243">
        <f>P389*'OLD Formulas'!$L$5</f>
        <v>0</v>
      </c>
      <c r="Q390" s="243">
        <f>Q389*'OLD Formulas'!$L$5</f>
        <v>0</v>
      </c>
      <c r="R390" s="243">
        <f>R389*'OLD Formulas'!$L$5</f>
        <v>0</v>
      </c>
      <c r="S390" s="243">
        <f>S389*'OLD Formulas'!$L$5</f>
        <v>0</v>
      </c>
      <c r="T390" s="243">
        <f>T389*'OLD Formulas'!$L$5</f>
        <v>0</v>
      </c>
      <c r="U390" s="243">
        <f>U389*'OLD Formulas'!$L$5</f>
        <v>0</v>
      </c>
      <c r="V390" s="243">
        <f>V389*'OLD Formulas'!$L$5</f>
        <v>0</v>
      </c>
      <c r="W390" s="243">
        <f>W389*'OLD Formulas'!$L$5</f>
        <v>0</v>
      </c>
      <c r="X390" s="243">
        <f>X389*'OLD Formulas'!$L$5</f>
        <v>0</v>
      </c>
      <c r="Y390" s="243">
        <f>Y389*'OLD Formulas'!$L$5</f>
        <v>0</v>
      </c>
      <c r="Z390" s="243">
        <f>Z389*'OLD Formulas'!$L$5</f>
        <v>0</v>
      </c>
      <c r="AA390" s="243">
        <f>AA389*'OLD Formulas'!$L$5</f>
        <v>0</v>
      </c>
      <c r="AB390" s="243">
        <f>AB389*'OLD Formulas'!$L$5</f>
        <v>0</v>
      </c>
      <c r="AC390" s="243">
        <f>AC389*'OLD Formulas'!$L$5</f>
        <v>0</v>
      </c>
      <c r="AD390" s="243">
        <f>AD389*'OLD Formulas'!$L$5</f>
        <v>0</v>
      </c>
      <c r="AE390" s="243">
        <f>AE389*'OLD Formulas'!$L$5</f>
        <v>0</v>
      </c>
      <c r="AF390" s="980"/>
      <c r="AG390" s="981">
        <f t="shared" si="148"/>
        <v>0</v>
      </c>
    </row>
    <row r="391" hidden="1" outlineLevel="1">
      <c r="A391" s="928" t="s">
        <v>1236</v>
      </c>
      <c r="B391" s="243">
        <f>B389*'OLD Formulas'!$L$4</f>
        <v>0</v>
      </c>
      <c r="C391" s="243">
        <f>C389*'OLD Formulas'!$L$4</f>
        <v>0</v>
      </c>
      <c r="D391" s="243">
        <f>D389*'OLD Formulas'!$L$4</f>
        <v>0</v>
      </c>
      <c r="E391" s="243">
        <f>E389*'OLD Formulas'!$L$4</f>
        <v>0</v>
      </c>
      <c r="F391" s="243">
        <f>F389*'OLD Formulas'!$L$4</f>
        <v>0</v>
      </c>
      <c r="G391" s="243">
        <f>G389*'OLD Formulas'!$L$4</f>
        <v>0</v>
      </c>
      <c r="H391" s="243">
        <f>H389*'OLD Formulas'!$L$4</f>
        <v>0</v>
      </c>
      <c r="I391" s="243">
        <f>I389*'OLD Formulas'!$L$4</f>
        <v>0</v>
      </c>
      <c r="J391" s="243">
        <f>J389*'OLD Formulas'!$L$4</f>
        <v>0</v>
      </c>
      <c r="K391" s="243">
        <f>K389*'OLD Formulas'!$L$4</f>
        <v>0</v>
      </c>
      <c r="L391" s="243">
        <f>L389*'OLD Formulas'!$L$4</f>
        <v>0</v>
      </c>
      <c r="M391" s="243">
        <f>M389*'OLD Formulas'!$L$4</f>
        <v>0</v>
      </c>
      <c r="N391" s="243">
        <f>N389*'OLD Formulas'!$L$4</f>
        <v>0</v>
      </c>
      <c r="O391" s="243">
        <f>O389*'OLD Formulas'!$L$4</f>
        <v>0</v>
      </c>
      <c r="P391" s="243">
        <f>P389*'OLD Formulas'!$L$4</f>
        <v>0</v>
      </c>
      <c r="Q391" s="243">
        <f>Q389*'OLD Formulas'!$L$4</f>
        <v>0</v>
      </c>
      <c r="R391" s="243">
        <f>R389*'OLD Formulas'!$L$4</f>
        <v>0</v>
      </c>
      <c r="S391" s="243">
        <f>S389*'OLD Formulas'!$L$4</f>
        <v>0</v>
      </c>
      <c r="T391" s="243">
        <f>T389*'OLD Formulas'!$L$4</f>
        <v>0</v>
      </c>
      <c r="U391" s="243">
        <f>U389*'OLD Formulas'!$L$4</f>
        <v>0</v>
      </c>
      <c r="V391" s="243">
        <f>V389*'OLD Formulas'!$L$4</f>
        <v>0</v>
      </c>
      <c r="W391" s="243">
        <f>W389*'OLD Formulas'!$L$4</f>
        <v>0</v>
      </c>
      <c r="X391" s="243">
        <f>X389*'OLD Formulas'!$L$4</f>
        <v>0</v>
      </c>
      <c r="Y391" s="243">
        <f>Y389*'OLD Formulas'!$L$4</f>
        <v>0</v>
      </c>
      <c r="Z391" s="243">
        <f>Z389*'OLD Formulas'!$L$4</f>
        <v>0</v>
      </c>
      <c r="AA391" s="243">
        <f>AA389*'OLD Formulas'!$L$4</f>
        <v>0</v>
      </c>
      <c r="AB391" s="243">
        <f>AB389*'OLD Formulas'!$L$4</f>
        <v>0</v>
      </c>
      <c r="AC391" s="243">
        <f>AC389*'OLD Formulas'!$L$4</f>
        <v>0</v>
      </c>
      <c r="AD391" s="243">
        <f>AD389*'OLD Formulas'!$L$4</f>
        <v>0</v>
      </c>
      <c r="AE391" s="243">
        <f>AE389*'OLD Formulas'!$L$4</f>
        <v>0</v>
      </c>
      <c r="AF391" s="980"/>
      <c r="AG391" s="981">
        <f t="shared" si="148"/>
        <v>0</v>
      </c>
    </row>
    <row r="392" hidden="1" outlineLevel="1">
      <c r="A392" s="926" t="s">
        <v>1237</v>
      </c>
      <c r="B392" s="243">
        <f>(B290+B297+B304)*'OLD Formulas'!$C$6</f>
        <v>0</v>
      </c>
      <c r="C392" s="243">
        <f>(C290+C297+C304)*'OLD Formulas'!$C$6</f>
        <v>0</v>
      </c>
      <c r="D392" s="243">
        <f>(D290+D297+D304)*'OLD Formulas'!$C$6</f>
        <v>0</v>
      </c>
      <c r="E392" s="243">
        <f>(E290+E297+E304)*'OLD Formulas'!$C$6</f>
        <v>0</v>
      </c>
      <c r="F392" s="243">
        <f>(F290+F297+F304)*'OLD Formulas'!$C$6</f>
        <v>0</v>
      </c>
      <c r="G392" s="243">
        <f>(G290+G297+G304)*'OLD Formulas'!$C$6</f>
        <v>0</v>
      </c>
      <c r="H392" s="243">
        <f>(H290+H297+H304)*'OLD Formulas'!$C$6</f>
        <v>0</v>
      </c>
      <c r="I392" s="243">
        <f>(I290+I297+I304)*'OLD Formulas'!$C$6</f>
        <v>0</v>
      </c>
      <c r="J392" s="243">
        <f>(J290+J297+J304)*'OLD Formulas'!$C$6</f>
        <v>0</v>
      </c>
      <c r="K392" s="243">
        <f>(K290+K297+K304)*'OLD Formulas'!$C$6</f>
        <v>0</v>
      </c>
      <c r="L392" s="243">
        <f>(L290+L297+L304)*'OLD Formulas'!$C$6</f>
        <v>0</v>
      </c>
      <c r="M392" s="243">
        <f>(M290+M297+M304)*'OLD Formulas'!$C$6</f>
        <v>0</v>
      </c>
      <c r="N392" s="243">
        <f>(N290+N297+N304)*'OLD Formulas'!$C$6</f>
        <v>0</v>
      </c>
      <c r="O392" s="243">
        <f>(O290+O297+O304)*'OLD Formulas'!$C$6</f>
        <v>0</v>
      </c>
      <c r="P392" s="243">
        <f>(P290+P297+P304)*'OLD Formulas'!$C$6</f>
        <v>0</v>
      </c>
      <c r="Q392" s="243">
        <f>(Q290+Q297+Q304)*'OLD Formulas'!$C$6</f>
        <v>0</v>
      </c>
      <c r="R392" s="243">
        <f>(R290+R297+R304)*'OLD Formulas'!$C$6</f>
        <v>0</v>
      </c>
      <c r="S392" s="243">
        <f>(S290+S297+S304)*'OLD Formulas'!$C$6</f>
        <v>0</v>
      </c>
      <c r="T392" s="243">
        <f>(T290+T297+T304)*'OLD Formulas'!$C$6</f>
        <v>0</v>
      </c>
      <c r="U392" s="243">
        <f>(U290+U297+U304)*'OLD Formulas'!$C$6</f>
        <v>0</v>
      </c>
      <c r="V392" s="243">
        <f>(V290+V297+V304)*'OLD Formulas'!$C$6</f>
        <v>0</v>
      </c>
      <c r="W392" s="243">
        <f>(W290+W297+W304)*'OLD Formulas'!$C$6</f>
        <v>0</v>
      </c>
      <c r="X392" s="243">
        <f>(X290+X297+X304)*'OLD Formulas'!$C$6</f>
        <v>0</v>
      </c>
      <c r="Y392" s="243">
        <f>(Y290+Y297+Y304)*'OLD Formulas'!$C$6</f>
        <v>0</v>
      </c>
      <c r="Z392" s="243">
        <f>(Z290+Z297+Z304)*'OLD Formulas'!$C$6</f>
        <v>0</v>
      </c>
      <c r="AA392" s="243">
        <f>(AA290+AA297+AA304)*'OLD Formulas'!$C$6</f>
        <v>0</v>
      </c>
      <c r="AB392" s="243">
        <f>(AB290+AB297+AB304)*'OLD Formulas'!$C$6</f>
        <v>0</v>
      </c>
      <c r="AC392" s="243">
        <f>(AC290+AC297+AC304)*'OLD Formulas'!$C$6</f>
        <v>0</v>
      </c>
      <c r="AD392" s="243">
        <f>(AD290+AD297+AD304)*'OLD Formulas'!$C$6</f>
        <v>0</v>
      </c>
      <c r="AE392" s="243">
        <f>(AE290+AE297+AE304)*'OLD Formulas'!$C$6</f>
        <v>0</v>
      </c>
      <c r="AF392" s="980"/>
      <c r="AG392" s="981">
        <f t="shared" si="148"/>
        <v>0</v>
      </c>
    </row>
    <row r="393" hidden="1" outlineLevel="1">
      <c r="A393" s="928" t="s">
        <v>1238</v>
      </c>
      <c r="B393" s="243">
        <f>B392*'OLD Formulas'!$L$5</f>
        <v>0</v>
      </c>
      <c r="C393" s="243">
        <f>C392*'OLD Formulas'!$L$5</f>
        <v>0</v>
      </c>
      <c r="D393" s="243">
        <f>D392*'OLD Formulas'!$L$5</f>
        <v>0</v>
      </c>
      <c r="E393" s="243">
        <f>E392*'OLD Formulas'!$L$5</f>
        <v>0</v>
      </c>
      <c r="F393" s="243">
        <f>F392*'OLD Formulas'!$L$5</f>
        <v>0</v>
      </c>
      <c r="G393" s="243">
        <f>G392*'OLD Formulas'!$L$5</f>
        <v>0</v>
      </c>
      <c r="H393" s="243">
        <f>H392*'OLD Formulas'!$L$5</f>
        <v>0</v>
      </c>
      <c r="I393" s="243">
        <f>I392*'OLD Formulas'!$L$5</f>
        <v>0</v>
      </c>
      <c r="J393" s="243">
        <f>J392*'OLD Formulas'!$L$5</f>
        <v>0</v>
      </c>
      <c r="K393" s="243">
        <f>K392*'OLD Formulas'!$L$5</f>
        <v>0</v>
      </c>
      <c r="L393" s="243">
        <f>L392*'OLD Formulas'!$L$5</f>
        <v>0</v>
      </c>
      <c r="M393" s="243">
        <f>M392*'OLD Formulas'!$L$5</f>
        <v>0</v>
      </c>
      <c r="N393" s="243">
        <f>N392*'OLD Formulas'!$L$5</f>
        <v>0</v>
      </c>
      <c r="O393" s="243">
        <f>O392*'OLD Formulas'!$L$5</f>
        <v>0</v>
      </c>
      <c r="P393" s="243">
        <f>P392*'OLD Formulas'!$L$5</f>
        <v>0</v>
      </c>
      <c r="Q393" s="243">
        <f>Q392*'OLD Formulas'!$L$5</f>
        <v>0</v>
      </c>
      <c r="R393" s="243">
        <f>R392*'OLD Formulas'!$L$5</f>
        <v>0</v>
      </c>
      <c r="S393" s="243">
        <f>S392*'OLD Formulas'!$L$5</f>
        <v>0</v>
      </c>
      <c r="T393" s="243">
        <f>T392*'OLD Formulas'!$L$5</f>
        <v>0</v>
      </c>
      <c r="U393" s="243">
        <f>U392*'OLD Formulas'!$L$5</f>
        <v>0</v>
      </c>
      <c r="V393" s="243">
        <f>V392*'OLD Formulas'!$L$5</f>
        <v>0</v>
      </c>
      <c r="W393" s="243">
        <f>W392*'OLD Formulas'!$L$5</f>
        <v>0</v>
      </c>
      <c r="X393" s="243">
        <f>X392*'OLD Formulas'!$L$5</f>
        <v>0</v>
      </c>
      <c r="Y393" s="243">
        <f>Y392*'OLD Formulas'!$L$5</f>
        <v>0</v>
      </c>
      <c r="Z393" s="243">
        <f>Z392*'OLD Formulas'!$L$5</f>
        <v>0</v>
      </c>
      <c r="AA393" s="243">
        <f>AA392*'OLD Formulas'!$L$5</f>
        <v>0</v>
      </c>
      <c r="AB393" s="243">
        <f>AB392*'OLD Formulas'!$L$5</f>
        <v>0</v>
      </c>
      <c r="AC393" s="243">
        <f>AC392*'OLD Formulas'!$L$5</f>
        <v>0</v>
      </c>
      <c r="AD393" s="243">
        <f>AD392*'OLD Formulas'!$L$5</f>
        <v>0</v>
      </c>
      <c r="AE393" s="243">
        <f>AE392*'OLD Formulas'!$L$5</f>
        <v>0</v>
      </c>
      <c r="AF393" s="980"/>
      <c r="AG393" s="981">
        <f t="shared" si="148"/>
        <v>0</v>
      </c>
    </row>
    <row r="394" hidden="1" outlineLevel="1">
      <c r="A394" s="928" t="s">
        <v>1239</v>
      </c>
      <c r="B394" s="243">
        <f>B392*'OLD Formulas'!$L$4</f>
        <v>0</v>
      </c>
      <c r="C394" s="243">
        <f>C392*'OLD Formulas'!$L$4</f>
        <v>0</v>
      </c>
      <c r="D394" s="243">
        <f>D392*'OLD Formulas'!$L$4</f>
        <v>0</v>
      </c>
      <c r="E394" s="243">
        <f>E392*'OLD Formulas'!$L$4</f>
        <v>0</v>
      </c>
      <c r="F394" s="243">
        <f>F392*'OLD Formulas'!$L$4</f>
        <v>0</v>
      </c>
      <c r="G394" s="243">
        <f>G392*'OLD Formulas'!$L$4</f>
        <v>0</v>
      </c>
      <c r="H394" s="243">
        <f>H392*'OLD Formulas'!$L$4</f>
        <v>0</v>
      </c>
      <c r="I394" s="243">
        <f>I392*'OLD Formulas'!$L$4</f>
        <v>0</v>
      </c>
      <c r="J394" s="243">
        <f>J392*'OLD Formulas'!$L$4</f>
        <v>0</v>
      </c>
      <c r="K394" s="243">
        <f>K392*'OLD Formulas'!$L$4</f>
        <v>0</v>
      </c>
      <c r="L394" s="243">
        <f>L392*'OLD Formulas'!$L$4</f>
        <v>0</v>
      </c>
      <c r="M394" s="243">
        <f>M392*'OLD Formulas'!$L$4</f>
        <v>0</v>
      </c>
      <c r="N394" s="243">
        <f>N392*'OLD Formulas'!$L$4</f>
        <v>0</v>
      </c>
      <c r="O394" s="243">
        <f>O392*'OLD Formulas'!$L$4</f>
        <v>0</v>
      </c>
      <c r="P394" s="243">
        <f>P392*'OLD Formulas'!$L$4</f>
        <v>0</v>
      </c>
      <c r="Q394" s="243">
        <f>Q392*'OLD Formulas'!$L$4</f>
        <v>0</v>
      </c>
      <c r="R394" s="243">
        <f>R392*'OLD Formulas'!$L$4</f>
        <v>0</v>
      </c>
      <c r="S394" s="243">
        <f>S392*'OLD Formulas'!$L$4</f>
        <v>0</v>
      </c>
      <c r="T394" s="243">
        <f>T392*'OLD Formulas'!$L$4</f>
        <v>0</v>
      </c>
      <c r="U394" s="243">
        <f>U392*'OLD Formulas'!$L$4</f>
        <v>0</v>
      </c>
      <c r="V394" s="243">
        <f>V392*'OLD Formulas'!$L$4</f>
        <v>0</v>
      </c>
      <c r="W394" s="243">
        <f>W392*'OLD Formulas'!$L$4</f>
        <v>0</v>
      </c>
      <c r="X394" s="243">
        <f>X392*'OLD Formulas'!$L$4</f>
        <v>0</v>
      </c>
      <c r="Y394" s="243">
        <f>Y392*'OLD Formulas'!$L$4</f>
        <v>0</v>
      </c>
      <c r="Z394" s="243">
        <f>Z392*'OLD Formulas'!$L$4</f>
        <v>0</v>
      </c>
      <c r="AA394" s="243">
        <f>AA392*'OLD Formulas'!$L$4</f>
        <v>0</v>
      </c>
      <c r="AB394" s="243">
        <f>AB392*'OLD Formulas'!$L$4</f>
        <v>0</v>
      </c>
      <c r="AC394" s="243">
        <f>AC392*'OLD Formulas'!$L$4</f>
        <v>0</v>
      </c>
      <c r="AD394" s="243">
        <f>AD392*'OLD Formulas'!$L$4</f>
        <v>0</v>
      </c>
      <c r="AE394" s="243">
        <f>AE392*'OLD Formulas'!$L$4</f>
        <v>0</v>
      </c>
      <c r="AF394" s="980"/>
      <c r="AG394" s="981">
        <f t="shared" si="148"/>
        <v>0</v>
      </c>
    </row>
    <row r="395" hidden="1" outlineLevel="1">
      <c r="A395" s="926" t="s">
        <v>1240</v>
      </c>
      <c r="B395" s="243">
        <f>(B292+B299+B306)*'OLD Formulas'!$C$8</f>
        <v>0</v>
      </c>
      <c r="C395" s="243">
        <f>(C292+C299+C306)*'OLD Formulas'!$C$8</f>
        <v>0</v>
      </c>
      <c r="D395" s="243">
        <f>(D292+D299+D306)*'OLD Formulas'!$C$8</f>
        <v>0</v>
      </c>
      <c r="E395" s="243">
        <f>(E292+E299+E306)*'OLD Formulas'!$C$8</f>
        <v>0</v>
      </c>
      <c r="F395" s="243">
        <f>(F292+F299+F306)*'OLD Formulas'!$C$8</f>
        <v>0</v>
      </c>
      <c r="G395" s="243">
        <f>(G292+G299+G306)*'OLD Formulas'!$C$8</f>
        <v>0</v>
      </c>
      <c r="H395" s="243">
        <f>(H292+H299+H306)*'OLD Formulas'!$C$8</f>
        <v>0</v>
      </c>
      <c r="I395" s="243">
        <f>(I292+I299+I306)*'OLD Formulas'!$C$8</f>
        <v>0</v>
      </c>
      <c r="J395" s="243">
        <f>(J292+J299+J306)*'OLD Formulas'!$C$8</f>
        <v>0</v>
      </c>
      <c r="K395" s="243">
        <f>(K292+K299+K306)*'OLD Formulas'!$C$8</f>
        <v>0</v>
      </c>
      <c r="L395" s="243">
        <f>(L292+L299+L306)*'OLD Formulas'!$C$8</f>
        <v>0</v>
      </c>
      <c r="M395" s="243">
        <f>(M292+M299+M306)*'OLD Formulas'!$C$8</f>
        <v>0</v>
      </c>
      <c r="N395" s="243">
        <f>(N292+N299+N306)*'OLD Formulas'!$C$8</f>
        <v>0</v>
      </c>
      <c r="O395" s="243">
        <f>(O292+O299+O306)*'OLD Formulas'!$C$8</f>
        <v>0</v>
      </c>
      <c r="P395" s="243">
        <f>(P292+P299+P306)*'OLD Formulas'!$C$8</f>
        <v>0</v>
      </c>
      <c r="Q395" s="243">
        <f>(Q292+Q299+Q306)*'OLD Formulas'!$C$8</f>
        <v>0</v>
      </c>
      <c r="R395" s="243">
        <f>(R292+R299+R306)*'OLD Formulas'!$C$8</f>
        <v>0</v>
      </c>
      <c r="S395" s="243">
        <f>(S292+S299+S306)*'OLD Formulas'!$C$8</f>
        <v>0</v>
      </c>
      <c r="T395" s="243">
        <f>(T292+T299+T306)*'OLD Formulas'!$C$8</f>
        <v>0</v>
      </c>
      <c r="U395" s="243">
        <f>(U292+U299+U306)*'OLD Formulas'!$C$8</f>
        <v>0</v>
      </c>
      <c r="V395" s="243">
        <f>(V292+V299+V306)*'OLD Formulas'!$C$8</f>
        <v>0</v>
      </c>
      <c r="W395" s="243">
        <f>(W292+W299+W306)*'OLD Formulas'!$C$8</f>
        <v>0</v>
      </c>
      <c r="X395" s="243">
        <f>(X292+X299+X306)*'OLD Formulas'!$C$8</f>
        <v>0</v>
      </c>
      <c r="Y395" s="243">
        <f>(Y292+Y299+Y306)*'OLD Formulas'!$C$8</f>
        <v>0</v>
      </c>
      <c r="Z395" s="243">
        <f>(Z292+Z299+Z306)*'OLD Formulas'!$C$8</f>
        <v>0</v>
      </c>
      <c r="AA395" s="243">
        <f>(AA292+AA299+AA306)*'OLD Formulas'!$C$8</f>
        <v>0</v>
      </c>
      <c r="AB395" s="243">
        <f>(AB292+AB299+AB306)*'OLD Formulas'!$C$8</f>
        <v>0</v>
      </c>
      <c r="AC395" s="243">
        <f>(AC292+AC299+AC306)*'OLD Formulas'!$C$8</f>
        <v>0</v>
      </c>
      <c r="AD395" s="243">
        <f>(AD292+AD299+AD306)*'OLD Formulas'!$C$8</f>
        <v>0</v>
      </c>
      <c r="AE395" s="243">
        <f>(AE292+AE299+AE306)*'OLD Formulas'!$C$8</f>
        <v>0</v>
      </c>
      <c r="AF395" s="980"/>
      <c r="AG395" s="981">
        <f t="shared" si="148"/>
        <v>0</v>
      </c>
    </row>
    <row r="396" hidden="1" outlineLevel="1">
      <c r="A396" s="928" t="s">
        <v>1241</v>
      </c>
      <c r="B396" s="243">
        <f>B395*'OLD Formulas'!$L$5</f>
        <v>0</v>
      </c>
      <c r="C396" s="243">
        <f>C395*'OLD Formulas'!$L$5</f>
        <v>0</v>
      </c>
      <c r="D396" s="243">
        <f>D395*'OLD Formulas'!$L$5</f>
        <v>0</v>
      </c>
      <c r="E396" s="243">
        <f>E395*'OLD Formulas'!$L$5</f>
        <v>0</v>
      </c>
      <c r="F396" s="243">
        <f>F395*'OLD Formulas'!$L$5</f>
        <v>0</v>
      </c>
      <c r="G396" s="243">
        <f>G395*'OLD Formulas'!$L$5</f>
        <v>0</v>
      </c>
      <c r="H396" s="243">
        <f>H395*'OLD Formulas'!$L$5</f>
        <v>0</v>
      </c>
      <c r="I396" s="243">
        <f>I395*'OLD Formulas'!$L$5</f>
        <v>0</v>
      </c>
      <c r="J396" s="243">
        <f>J395*'OLD Formulas'!$L$5</f>
        <v>0</v>
      </c>
      <c r="K396" s="243">
        <f>K395*'OLD Formulas'!$L$5</f>
        <v>0</v>
      </c>
      <c r="L396" s="243">
        <f>L395*'OLD Formulas'!$L$5</f>
        <v>0</v>
      </c>
      <c r="M396" s="243">
        <f>M395*'OLD Formulas'!$L$5</f>
        <v>0</v>
      </c>
      <c r="N396" s="243">
        <f>N395*'OLD Formulas'!$L$5</f>
        <v>0</v>
      </c>
      <c r="O396" s="243">
        <f>O395*'OLD Formulas'!$L$5</f>
        <v>0</v>
      </c>
      <c r="P396" s="243">
        <f>P395*'OLD Formulas'!$L$5</f>
        <v>0</v>
      </c>
      <c r="Q396" s="243">
        <f>Q395*'OLD Formulas'!$L$5</f>
        <v>0</v>
      </c>
      <c r="R396" s="243">
        <f>R395*'OLD Formulas'!$L$5</f>
        <v>0</v>
      </c>
      <c r="S396" s="243">
        <f>S395*'OLD Formulas'!$L$5</f>
        <v>0</v>
      </c>
      <c r="T396" s="243">
        <f>T395*'OLD Formulas'!$L$5</f>
        <v>0</v>
      </c>
      <c r="U396" s="243">
        <f>U395*'OLD Formulas'!$L$5</f>
        <v>0</v>
      </c>
      <c r="V396" s="243">
        <f>V395*'OLD Formulas'!$L$5</f>
        <v>0</v>
      </c>
      <c r="W396" s="243">
        <f>W395*'OLD Formulas'!$L$5</f>
        <v>0</v>
      </c>
      <c r="X396" s="243">
        <f>X395*'OLD Formulas'!$L$5</f>
        <v>0</v>
      </c>
      <c r="Y396" s="243">
        <f>Y395*'OLD Formulas'!$L$5</f>
        <v>0</v>
      </c>
      <c r="Z396" s="243">
        <f>Z395*'OLD Formulas'!$L$5</f>
        <v>0</v>
      </c>
      <c r="AA396" s="243">
        <f>AA395*'OLD Formulas'!$L$5</f>
        <v>0</v>
      </c>
      <c r="AB396" s="243">
        <f>AB395*'OLD Formulas'!$L$5</f>
        <v>0</v>
      </c>
      <c r="AC396" s="243">
        <f>AC395*'OLD Formulas'!$L$5</f>
        <v>0</v>
      </c>
      <c r="AD396" s="243">
        <f>AD395*'OLD Formulas'!$L$5</f>
        <v>0</v>
      </c>
      <c r="AE396" s="243">
        <f>AE395*'OLD Formulas'!$L$5</f>
        <v>0</v>
      </c>
      <c r="AF396" s="980"/>
      <c r="AG396" s="981">
        <f t="shared" si="148"/>
        <v>0</v>
      </c>
    </row>
    <row r="397" hidden="1" outlineLevel="1">
      <c r="A397" s="928" t="s">
        <v>1242</v>
      </c>
      <c r="B397" s="243">
        <f>B395*'OLD Formulas'!$L$4</f>
        <v>0</v>
      </c>
      <c r="C397" s="243">
        <f>C395*'OLD Formulas'!$L$4</f>
        <v>0</v>
      </c>
      <c r="D397" s="243">
        <f>D395*'OLD Formulas'!$L$4</f>
        <v>0</v>
      </c>
      <c r="E397" s="243">
        <f>E395*'OLD Formulas'!$L$4</f>
        <v>0</v>
      </c>
      <c r="F397" s="243">
        <f>F395*'OLD Formulas'!$L$4</f>
        <v>0</v>
      </c>
      <c r="G397" s="243">
        <f>G395*'OLD Formulas'!$L$4</f>
        <v>0</v>
      </c>
      <c r="H397" s="243">
        <f>H395*'OLD Formulas'!$L$4</f>
        <v>0</v>
      </c>
      <c r="I397" s="243">
        <f>I395*'OLD Formulas'!$L$4</f>
        <v>0</v>
      </c>
      <c r="J397" s="243">
        <f>J395*'OLD Formulas'!$L$4</f>
        <v>0</v>
      </c>
      <c r="K397" s="243">
        <f>K395*'OLD Formulas'!$L$4</f>
        <v>0</v>
      </c>
      <c r="L397" s="243">
        <f>L395*'OLD Formulas'!$L$4</f>
        <v>0</v>
      </c>
      <c r="M397" s="243">
        <f>M395*'OLD Formulas'!$L$4</f>
        <v>0</v>
      </c>
      <c r="N397" s="243">
        <f>N395*'OLD Formulas'!$L$4</f>
        <v>0</v>
      </c>
      <c r="O397" s="243">
        <f>O395*'OLD Formulas'!$L$4</f>
        <v>0</v>
      </c>
      <c r="P397" s="243">
        <f>P395*'OLD Formulas'!$L$4</f>
        <v>0</v>
      </c>
      <c r="Q397" s="243">
        <f>Q395*'OLD Formulas'!$L$4</f>
        <v>0</v>
      </c>
      <c r="R397" s="243">
        <f>R395*'OLD Formulas'!$L$4</f>
        <v>0</v>
      </c>
      <c r="S397" s="243">
        <f>S395*'OLD Formulas'!$L$4</f>
        <v>0</v>
      </c>
      <c r="T397" s="243">
        <f>T395*'OLD Formulas'!$L$4</f>
        <v>0</v>
      </c>
      <c r="U397" s="243">
        <f>U395*'OLD Formulas'!$L$4</f>
        <v>0</v>
      </c>
      <c r="V397" s="243">
        <f>V395*'OLD Formulas'!$L$4</f>
        <v>0</v>
      </c>
      <c r="W397" s="243">
        <f>W395*'OLD Formulas'!$L$4</f>
        <v>0</v>
      </c>
      <c r="X397" s="243">
        <f>X395*'OLD Formulas'!$L$4</f>
        <v>0</v>
      </c>
      <c r="Y397" s="243">
        <f>Y395*'OLD Formulas'!$L$4</f>
        <v>0</v>
      </c>
      <c r="Z397" s="243">
        <f>Z395*'OLD Formulas'!$L$4</f>
        <v>0</v>
      </c>
      <c r="AA397" s="243">
        <f>AA395*'OLD Formulas'!$L$4</f>
        <v>0</v>
      </c>
      <c r="AB397" s="243">
        <f>AB395*'OLD Formulas'!$L$4</f>
        <v>0</v>
      </c>
      <c r="AC397" s="243">
        <f>AC395*'OLD Formulas'!$L$4</f>
        <v>0</v>
      </c>
      <c r="AD397" s="243">
        <f>AD395*'OLD Formulas'!$L$4</f>
        <v>0</v>
      </c>
      <c r="AE397" s="243">
        <f>AE395*'OLD Formulas'!$L$4</f>
        <v>0</v>
      </c>
      <c r="AF397" s="980"/>
      <c r="AG397" s="981">
        <f t="shared" si="148"/>
        <v>0</v>
      </c>
    </row>
    <row r="398" hidden="1" outlineLevel="1">
      <c r="A398" s="926" t="s">
        <v>1243</v>
      </c>
      <c r="B398" s="243">
        <f>(B293+B300+B307)*'OLD Formulas'!$C$9</f>
        <v>0</v>
      </c>
      <c r="C398" s="243">
        <f>(C293+C300+C307)*'OLD Formulas'!$C$9</f>
        <v>0</v>
      </c>
      <c r="D398" s="243">
        <f>(D293+D300+D307)*'OLD Formulas'!$C$9</f>
        <v>0</v>
      </c>
      <c r="E398" s="243">
        <f>(E293+E300+E307)*'OLD Formulas'!$C$9</f>
        <v>0</v>
      </c>
      <c r="F398" s="243">
        <f>(F293+F300+F307)*'OLD Formulas'!$C$9</f>
        <v>0</v>
      </c>
      <c r="G398" s="243">
        <f>(G293+G300+G307)*'OLD Formulas'!$C$9</f>
        <v>0</v>
      </c>
      <c r="H398" s="243">
        <f>(H293+H300+H307)*'OLD Formulas'!$C$9</f>
        <v>0</v>
      </c>
      <c r="I398" s="243">
        <f>(I293+I300+I307)*'OLD Formulas'!$C$9</f>
        <v>0</v>
      </c>
      <c r="J398" s="243">
        <f>(J293+J300+J307)*'OLD Formulas'!$C$9</f>
        <v>0</v>
      </c>
      <c r="K398" s="243">
        <f>(K293+K300+K307)*'OLD Formulas'!$C$9</f>
        <v>0</v>
      </c>
      <c r="L398" s="243">
        <f>(L293+L300+L307)*'OLD Formulas'!$C$9</f>
        <v>0</v>
      </c>
      <c r="M398" s="243">
        <f>(M293+M300+M307)*'OLD Formulas'!$C$9</f>
        <v>0</v>
      </c>
      <c r="N398" s="243">
        <f>(N293+N300+N307)*'OLD Formulas'!$C$9</f>
        <v>0</v>
      </c>
      <c r="O398" s="243">
        <f>(O293+O300+O307)*'OLD Formulas'!$C$9</f>
        <v>0</v>
      </c>
      <c r="P398" s="243">
        <f>(P293+P300+P307)*'OLD Formulas'!$C$9</f>
        <v>0</v>
      </c>
      <c r="Q398" s="243">
        <f>(Q293+Q300+Q307)*'OLD Formulas'!$C$9</f>
        <v>0</v>
      </c>
      <c r="R398" s="243">
        <f>(R293+R300+R307)*'OLD Formulas'!$C$9</f>
        <v>0</v>
      </c>
      <c r="S398" s="243">
        <f>(S293+S300+S307)*'OLD Formulas'!$C$9</f>
        <v>0</v>
      </c>
      <c r="T398" s="243">
        <f>(T293+T300+T307)*'OLD Formulas'!$C$9</f>
        <v>0</v>
      </c>
      <c r="U398" s="243">
        <f>(U293+U300+U307)*'OLD Formulas'!$C$9</f>
        <v>0</v>
      </c>
      <c r="V398" s="243">
        <f>(V293+V300+V307)*'OLD Formulas'!$C$9</f>
        <v>0</v>
      </c>
      <c r="W398" s="243">
        <f>(W293+W300+W307)*'OLD Formulas'!$C$9</f>
        <v>0</v>
      </c>
      <c r="X398" s="243">
        <f>(X293+X300+X307)*'OLD Formulas'!$C$9</f>
        <v>0</v>
      </c>
      <c r="Y398" s="243">
        <f>(Y293+Y300+Y307)*'OLD Formulas'!$C$9</f>
        <v>0</v>
      </c>
      <c r="Z398" s="243">
        <f>(Z293+Z300+Z307)*'OLD Formulas'!$C$9</f>
        <v>0</v>
      </c>
      <c r="AA398" s="243">
        <f>(AA293+AA300+AA307)*'OLD Formulas'!$C$9</f>
        <v>0</v>
      </c>
      <c r="AB398" s="243">
        <f>(AB293+AB300+AB307)*'OLD Formulas'!$C$9</f>
        <v>0</v>
      </c>
      <c r="AC398" s="243">
        <f>(AC293+AC300+AC307)*'OLD Formulas'!$C$9</f>
        <v>0</v>
      </c>
      <c r="AD398" s="243">
        <f>(AD293+AD300+AD307)*'OLD Formulas'!$C$9</f>
        <v>0</v>
      </c>
      <c r="AE398" s="243">
        <f>(AE293+AE300+AE307)*'OLD Formulas'!$C$9</f>
        <v>0</v>
      </c>
      <c r="AF398" s="980"/>
      <c r="AG398" s="981">
        <f t="shared" si="148"/>
        <v>0</v>
      </c>
    </row>
    <row r="399" hidden="1" outlineLevel="1">
      <c r="A399" s="928" t="s">
        <v>1244</v>
      </c>
      <c r="B399" s="243">
        <f>B398*'OLD Formulas'!$L$5</f>
        <v>0</v>
      </c>
      <c r="C399" s="243">
        <f>C398*'OLD Formulas'!$L$5</f>
        <v>0</v>
      </c>
      <c r="D399" s="243">
        <f>D398*'OLD Formulas'!$L$5</f>
        <v>0</v>
      </c>
      <c r="E399" s="243">
        <f>E398*'OLD Formulas'!$L$5</f>
        <v>0</v>
      </c>
      <c r="F399" s="243">
        <f>F398*'OLD Formulas'!$L$5</f>
        <v>0</v>
      </c>
      <c r="G399" s="243">
        <f>G398*'OLD Formulas'!$L$5</f>
        <v>0</v>
      </c>
      <c r="H399" s="243">
        <f>H398*'OLD Formulas'!$L$5</f>
        <v>0</v>
      </c>
      <c r="I399" s="243">
        <f>I398*'OLD Formulas'!$L$5</f>
        <v>0</v>
      </c>
      <c r="J399" s="243">
        <f>J398*'OLD Formulas'!$L$5</f>
        <v>0</v>
      </c>
      <c r="K399" s="243">
        <f>K398*'OLD Formulas'!$L$5</f>
        <v>0</v>
      </c>
      <c r="L399" s="243">
        <f>L398*'OLD Formulas'!$L$5</f>
        <v>0</v>
      </c>
      <c r="M399" s="243">
        <f>M398*'OLD Formulas'!$L$5</f>
        <v>0</v>
      </c>
      <c r="N399" s="243">
        <f>N398*'OLD Formulas'!$L$5</f>
        <v>0</v>
      </c>
      <c r="O399" s="243">
        <f>O398*'OLD Formulas'!$L$5</f>
        <v>0</v>
      </c>
      <c r="P399" s="243">
        <f>P398*'OLD Formulas'!$L$5</f>
        <v>0</v>
      </c>
      <c r="Q399" s="243">
        <f>Q398*'OLD Formulas'!$L$5</f>
        <v>0</v>
      </c>
      <c r="R399" s="243">
        <f>R398*'OLD Formulas'!$L$5</f>
        <v>0</v>
      </c>
      <c r="S399" s="243">
        <f>S398*'OLD Formulas'!$L$5</f>
        <v>0</v>
      </c>
      <c r="T399" s="243">
        <f>T398*'OLD Formulas'!$L$5</f>
        <v>0</v>
      </c>
      <c r="U399" s="243">
        <f>U398*'OLD Formulas'!$L$5</f>
        <v>0</v>
      </c>
      <c r="V399" s="243">
        <f>V398*'OLD Formulas'!$L$5</f>
        <v>0</v>
      </c>
      <c r="W399" s="243">
        <f>W398*'OLD Formulas'!$L$5</f>
        <v>0</v>
      </c>
      <c r="X399" s="243">
        <f>X398*'OLD Formulas'!$L$5</f>
        <v>0</v>
      </c>
      <c r="Y399" s="243">
        <f>Y398*'OLD Formulas'!$L$5</f>
        <v>0</v>
      </c>
      <c r="Z399" s="243">
        <f>Z398*'OLD Formulas'!$L$5</f>
        <v>0</v>
      </c>
      <c r="AA399" s="243">
        <f>AA398*'OLD Formulas'!$L$5</f>
        <v>0</v>
      </c>
      <c r="AB399" s="243">
        <f>AB398*'OLD Formulas'!$L$5</f>
        <v>0</v>
      </c>
      <c r="AC399" s="243">
        <f>AC398*'OLD Formulas'!$L$5</f>
        <v>0</v>
      </c>
      <c r="AD399" s="243">
        <f>AD398*'OLD Formulas'!$L$5</f>
        <v>0</v>
      </c>
      <c r="AE399" s="243">
        <f>AE398*'OLD Formulas'!$L$5</f>
        <v>0</v>
      </c>
      <c r="AF399" s="980"/>
      <c r="AG399" s="981">
        <f t="shared" si="148"/>
        <v>0</v>
      </c>
    </row>
    <row r="400" hidden="1" outlineLevel="1">
      <c r="A400" s="928" t="s">
        <v>1245</v>
      </c>
      <c r="B400" s="243">
        <f>B398*'OLD Formulas'!$L$4</f>
        <v>0</v>
      </c>
      <c r="C400" s="243">
        <f>C398*'OLD Formulas'!$L$4</f>
        <v>0</v>
      </c>
      <c r="D400" s="243">
        <f>D398*'OLD Formulas'!$L$4</f>
        <v>0</v>
      </c>
      <c r="E400" s="243">
        <f>E398*'OLD Formulas'!$L$4</f>
        <v>0</v>
      </c>
      <c r="F400" s="243">
        <f>F398*'OLD Formulas'!$L$4</f>
        <v>0</v>
      </c>
      <c r="G400" s="243">
        <f>G398*'OLD Formulas'!$L$4</f>
        <v>0</v>
      </c>
      <c r="H400" s="243">
        <f>H398*'OLD Formulas'!$L$4</f>
        <v>0</v>
      </c>
      <c r="I400" s="243">
        <f>I398*'OLD Formulas'!$L$4</f>
        <v>0</v>
      </c>
      <c r="J400" s="243">
        <f>J398*'OLD Formulas'!$L$4</f>
        <v>0</v>
      </c>
      <c r="K400" s="243">
        <f>K398*'OLD Formulas'!$L$4</f>
        <v>0</v>
      </c>
      <c r="L400" s="243">
        <f>L398*'OLD Formulas'!$L$4</f>
        <v>0</v>
      </c>
      <c r="M400" s="243">
        <f>M398*'OLD Formulas'!$L$4</f>
        <v>0</v>
      </c>
      <c r="N400" s="243">
        <f>N398*'OLD Formulas'!$L$4</f>
        <v>0</v>
      </c>
      <c r="O400" s="243">
        <f>O398*'OLD Formulas'!$L$4</f>
        <v>0</v>
      </c>
      <c r="P400" s="243">
        <f>P398*'OLD Formulas'!$L$4</f>
        <v>0</v>
      </c>
      <c r="Q400" s="243">
        <f>Q398*'OLD Formulas'!$L$4</f>
        <v>0</v>
      </c>
      <c r="R400" s="243">
        <f>R398*'OLD Formulas'!$L$4</f>
        <v>0</v>
      </c>
      <c r="S400" s="243">
        <f>S398*'OLD Formulas'!$L$4</f>
        <v>0</v>
      </c>
      <c r="T400" s="243">
        <f>T398*'OLD Formulas'!$L$4</f>
        <v>0</v>
      </c>
      <c r="U400" s="243">
        <f>U398*'OLD Formulas'!$L$4</f>
        <v>0</v>
      </c>
      <c r="V400" s="243">
        <f>V398*'OLD Formulas'!$L$4</f>
        <v>0</v>
      </c>
      <c r="W400" s="243">
        <f>W398*'OLD Formulas'!$L$4</f>
        <v>0</v>
      </c>
      <c r="X400" s="243">
        <f>X398*'OLD Formulas'!$L$4</f>
        <v>0</v>
      </c>
      <c r="Y400" s="243">
        <f>Y398*'OLD Formulas'!$L$4</f>
        <v>0</v>
      </c>
      <c r="Z400" s="243">
        <f>Z398*'OLD Formulas'!$L$4</f>
        <v>0</v>
      </c>
      <c r="AA400" s="243">
        <f>AA398*'OLD Formulas'!$L$4</f>
        <v>0</v>
      </c>
      <c r="AB400" s="243">
        <f>AB398*'OLD Formulas'!$L$4</f>
        <v>0</v>
      </c>
      <c r="AC400" s="243">
        <f>AC398*'OLD Formulas'!$L$4</f>
        <v>0</v>
      </c>
      <c r="AD400" s="243">
        <f>AD398*'OLD Formulas'!$L$4</f>
        <v>0</v>
      </c>
      <c r="AE400" s="243">
        <f>AE398*'OLD Formulas'!$L$4</f>
        <v>0</v>
      </c>
      <c r="AF400" s="980"/>
      <c r="AG400" s="981">
        <f t="shared" si="148"/>
        <v>0</v>
      </c>
    </row>
    <row r="401" hidden="1" outlineLevel="1">
      <c r="A401" s="926" t="s">
        <v>1246</v>
      </c>
      <c r="B401" s="243">
        <f>(B294+B301+B308)*'OLD Formulas'!$C$5</f>
        <v>0</v>
      </c>
      <c r="C401" s="243">
        <f>(C294+C301+C308)*'OLD Formulas'!$C$5</f>
        <v>0</v>
      </c>
      <c r="D401" s="243">
        <f>(D294+D301+D308)*'OLD Formulas'!$C$5</f>
        <v>0</v>
      </c>
      <c r="E401" s="243">
        <f>(E294+E301+E308)*'OLD Formulas'!$C$5</f>
        <v>0</v>
      </c>
      <c r="F401" s="243">
        <f>(F294+F301+F308)*'OLD Formulas'!$C$5</f>
        <v>0</v>
      </c>
      <c r="G401" s="243">
        <f>(G294+G301+G308)*'OLD Formulas'!$C$5</f>
        <v>0</v>
      </c>
      <c r="H401" s="243">
        <f>(H294+H301+H308)*'OLD Formulas'!$C$5</f>
        <v>0</v>
      </c>
      <c r="I401" s="243">
        <f>(I294+I301+I308)*'OLD Formulas'!$C$5</f>
        <v>0</v>
      </c>
      <c r="J401" s="243">
        <f>(J294+J301+J308)*'OLD Formulas'!$C$5</f>
        <v>0</v>
      </c>
      <c r="K401" s="243">
        <f>(K294+K301+K308)*'OLD Formulas'!$C$5</f>
        <v>0</v>
      </c>
      <c r="L401" s="243">
        <f>(L294+L301+L308)*'OLD Formulas'!$C$5</f>
        <v>0</v>
      </c>
      <c r="M401" s="243">
        <f>(M294+M301+M308)*'OLD Formulas'!$C$5</f>
        <v>0</v>
      </c>
      <c r="N401" s="243">
        <f>(N294+N301+N308)*'OLD Formulas'!$C$5</f>
        <v>0</v>
      </c>
      <c r="O401" s="243">
        <f>(O294+O301+O308)*'OLD Formulas'!$C$5</f>
        <v>0</v>
      </c>
      <c r="P401" s="243">
        <f>(P294+P301+P308)*'OLD Formulas'!$C$5</f>
        <v>0</v>
      </c>
      <c r="Q401" s="243">
        <f>(Q294+Q301+Q308)*'OLD Formulas'!$C$5</f>
        <v>0</v>
      </c>
      <c r="R401" s="243">
        <f>(R294+R301+R308)*'OLD Formulas'!$C$5</f>
        <v>0</v>
      </c>
      <c r="S401" s="243">
        <f>(S294+S301+S308)*'OLD Formulas'!$C$5</f>
        <v>0</v>
      </c>
      <c r="T401" s="243">
        <f>(T294+T301+T308)*'OLD Formulas'!$C$5</f>
        <v>0</v>
      </c>
      <c r="U401" s="243">
        <f>(U294+U301+U308)*'OLD Formulas'!$C$5</f>
        <v>0</v>
      </c>
      <c r="V401" s="243">
        <f>(V294+V301+V308)*'OLD Formulas'!$C$5</f>
        <v>0</v>
      </c>
      <c r="W401" s="243">
        <f>(W294+W301+W308)*'OLD Formulas'!$C$5</f>
        <v>0</v>
      </c>
      <c r="X401" s="243">
        <f>(X294+X301+X308)*'OLD Formulas'!$C$5</f>
        <v>0</v>
      </c>
      <c r="Y401" s="243">
        <f>(Y294+Y301+Y308)*'OLD Formulas'!$C$5</f>
        <v>0</v>
      </c>
      <c r="Z401" s="243">
        <f>(Z294+Z301+Z308)*'OLD Formulas'!$C$5</f>
        <v>0</v>
      </c>
      <c r="AA401" s="243">
        <f>(AA294+AA301+AA308)*'OLD Formulas'!$C$5</f>
        <v>0</v>
      </c>
      <c r="AB401" s="243">
        <f>(AB294+AB301+AB308)*'OLD Formulas'!$C$5</f>
        <v>0</v>
      </c>
      <c r="AC401" s="243">
        <f>(AC294+AC301+AC308)*'OLD Formulas'!$C$5</f>
        <v>0</v>
      </c>
      <c r="AD401" s="243">
        <f>(AD294+AD301+AD308)*'OLD Formulas'!$C$5</f>
        <v>0</v>
      </c>
      <c r="AE401" s="243">
        <f>(AE294+AE301+AE308)*'OLD Formulas'!$C$5</f>
        <v>0</v>
      </c>
      <c r="AF401" s="980"/>
      <c r="AG401" s="981">
        <f t="shared" si="148"/>
        <v>0</v>
      </c>
    </row>
    <row r="402" hidden="1" outlineLevel="1">
      <c r="A402" s="928" t="s">
        <v>1283</v>
      </c>
      <c r="B402" s="243">
        <f>B401*'OLD Formulas'!$L$8</f>
        <v>0</v>
      </c>
      <c r="C402" s="243">
        <f>C401*'OLD Formulas'!$L$8</f>
        <v>0</v>
      </c>
      <c r="D402" s="243">
        <f>D401*'OLD Formulas'!$L$8</f>
        <v>0</v>
      </c>
      <c r="E402" s="243">
        <f>E401*'OLD Formulas'!$L$8</f>
        <v>0</v>
      </c>
      <c r="F402" s="243">
        <f>F401*'OLD Formulas'!$L$8</f>
        <v>0</v>
      </c>
      <c r="G402" s="243">
        <f>G401*'OLD Formulas'!$L$8</f>
        <v>0</v>
      </c>
      <c r="H402" s="243">
        <f>H401*'OLD Formulas'!$L$8</f>
        <v>0</v>
      </c>
      <c r="I402" s="243">
        <f>I401*'OLD Formulas'!$L$8</f>
        <v>0</v>
      </c>
      <c r="J402" s="243">
        <f>J401*'OLD Formulas'!$L$8</f>
        <v>0</v>
      </c>
      <c r="K402" s="243">
        <f>K401*'OLD Formulas'!$L$8</f>
        <v>0</v>
      </c>
      <c r="L402" s="243">
        <f>L401*'OLD Formulas'!$L$8</f>
        <v>0</v>
      </c>
      <c r="M402" s="243">
        <f>M401*'OLD Formulas'!$L$8</f>
        <v>0</v>
      </c>
      <c r="N402" s="243">
        <f>N401*'OLD Formulas'!$L$8</f>
        <v>0</v>
      </c>
      <c r="O402" s="243">
        <f>O401*'OLD Formulas'!$L$8</f>
        <v>0</v>
      </c>
      <c r="P402" s="243">
        <f>P401*'OLD Formulas'!$L$8</f>
        <v>0</v>
      </c>
      <c r="Q402" s="243">
        <f>Q401*'OLD Formulas'!$L$8</f>
        <v>0</v>
      </c>
      <c r="R402" s="243">
        <f>R401*'OLD Formulas'!$L$8</f>
        <v>0</v>
      </c>
      <c r="S402" s="243">
        <f>S401*'OLD Formulas'!$L$8</f>
        <v>0</v>
      </c>
      <c r="T402" s="243">
        <f>T401*'OLD Formulas'!$L$8</f>
        <v>0</v>
      </c>
      <c r="U402" s="243">
        <f>U401*'OLD Formulas'!$L$8</f>
        <v>0</v>
      </c>
      <c r="V402" s="243">
        <f>V401*'OLD Formulas'!$L$8</f>
        <v>0</v>
      </c>
      <c r="W402" s="243">
        <f>W401*'OLD Formulas'!$L$8</f>
        <v>0</v>
      </c>
      <c r="X402" s="243">
        <f>X401*'OLD Formulas'!$L$8</f>
        <v>0</v>
      </c>
      <c r="Y402" s="243">
        <f>Y401*'OLD Formulas'!$L$8</f>
        <v>0</v>
      </c>
      <c r="Z402" s="243">
        <f>Z401*'OLD Formulas'!$L$8</f>
        <v>0</v>
      </c>
      <c r="AA402" s="243">
        <f>AA401*'OLD Formulas'!$L$8</f>
        <v>0</v>
      </c>
      <c r="AB402" s="243">
        <f>AB401*'OLD Formulas'!$L$8</f>
        <v>0</v>
      </c>
      <c r="AC402" s="243">
        <f>AC401*'OLD Formulas'!$L$8</f>
        <v>0</v>
      </c>
      <c r="AD402" s="243">
        <f>AD401*'OLD Formulas'!$L$8</f>
        <v>0</v>
      </c>
      <c r="AE402" s="243">
        <f>AE401*'OLD Formulas'!$L$8</f>
        <v>0</v>
      </c>
      <c r="AF402" s="980"/>
      <c r="AG402" s="981">
        <f t="shared" si="148"/>
        <v>0</v>
      </c>
    </row>
    <row r="403" hidden="1" outlineLevel="1">
      <c r="A403" s="928" t="s">
        <v>1248</v>
      </c>
      <c r="B403" s="243">
        <f>B401*'OLD Formulas'!$L$9</f>
        <v>0</v>
      </c>
      <c r="C403" s="243">
        <f>C401*'OLD Formulas'!$L$9</f>
        <v>0</v>
      </c>
      <c r="D403" s="243">
        <f>D401*'OLD Formulas'!$L$9</f>
        <v>0</v>
      </c>
      <c r="E403" s="243">
        <f>E401*'OLD Formulas'!$L$9</f>
        <v>0</v>
      </c>
      <c r="F403" s="243">
        <f>F401*'OLD Formulas'!$L$9</f>
        <v>0</v>
      </c>
      <c r="G403" s="243">
        <f>G401*'OLD Formulas'!$L$9</f>
        <v>0</v>
      </c>
      <c r="H403" s="243">
        <f>H401*'OLD Formulas'!$L$9</f>
        <v>0</v>
      </c>
      <c r="I403" s="243">
        <f>I401*'OLD Formulas'!$L$9</f>
        <v>0</v>
      </c>
      <c r="J403" s="243">
        <f>J401*'OLD Formulas'!$L$9</f>
        <v>0</v>
      </c>
      <c r="K403" s="243">
        <f>K401*'OLD Formulas'!$L$9</f>
        <v>0</v>
      </c>
      <c r="L403" s="243">
        <f>L401*'OLD Formulas'!$L$9</f>
        <v>0</v>
      </c>
      <c r="M403" s="243">
        <f>M401*'OLD Formulas'!$L$9</f>
        <v>0</v>
      </c>
      <c r="N403" s="243">
        <f>N401*'OLD Formulas'!$L$9</f>
        <v>0</v>
      </c>
      <c r="O403" s="243">
        <f>O401*'OLD Formulas'!$L$9</f>
        <v>0</v>
      </c>
      <c r="P403" s="243">
        <f>P401*'OLD Formulas'!$L$9</f>
        <v>0</v>
      </c>
      <c r="Q403" s="243">
        <f>Q401*'OLD Formulas'!$L$9</f>
        <v>0</v>
      </c>
      <c r="R403" s="243">
        <f>R401*'OLD Formulas'!$L$9</f>
        <v>0</v>
      </c>
      <c r="S403" s="243">
        <f>S401*'OLD Formulas'!$L$9</f>
        <v>0</v>
      </c>
      <c r="T403" s="243">
        <f>T401*'OLD Formulas'!$L$9</f>
        <v>0</v>
      </c>
      <c r="U403" s="243">
        <f>U401*'OLD Formulas'!$L$9</f>
        <v>0</v>
      </c>
      <c r="V403" s="243">
        <f>V401*'OLD Formulas'!$L$9</f>
        <v>0</v>
      </c>
      <c r="W403" s="243">
        <f>W401*'OLD Formulas'!$L$9</f>
        <v>0</v>
      </c>
      <c r="X403" s="243">
        <f>X401*'OLD Formulas'!$L$9</f>
        <v>0</v>
      </c>
      <c r="Y403" s="243">
        <f>Y401*'OLD Formulas'!$L$9</f>
        <v>0</v>
      </c>
      <c r="Z403" s="243">
        <f>Z401*'OLD Formulas'!$L$9</f>
        <v>0</v>
      </c>
      <c r="AA403" s="243">
        <f>AA401*'OLD Formulas'!$L$9</f>
        <v>0</v>
      </c>
      <c r="AB403" s="243">
        <f>AB401*'OLD Formulas'!$L$9</f>
        <v>0</v>
      </c>
      <c r="AC403" s="243">
        <f>AC401*'OLD Formulas'!$L$9</f>
        <v>0</v>
      </c>
      <c r="AD403" s="243">
        <f>AD401*'OLD Formulas'!$L$9</f>
        <v>0</v>
      </c>
      <c r="AE403" s="243">
        <f>AE401*'OLD Formulas'!$L$9</f>
        <v>0</v>
      </c>
      <c r="AF403" s="980"/>
      <c r="AG403" s="981">
        <f t="shared" si="148"/>
        <v>0</v>
      </c>
    </row>
    <row r="404" hidden="1" outlineLevel="1">
      <c r="A404" s="928" t="s">
        <v>1249</v>
      </c>
      <c r="B404" s="243">
        <f>(B385+B387+B389+B392+B395+B398+B401)*'OLD Formulas'!$L$6</f>
        <v>0</v>
      </c>
      <c r="C404" s="243">
        <f>(C385+C387+C389+C392+C395+C398+C401)*'OLD Formulas'!$L$6</f>
        <v>0</v>
      </c>
      <c r="D404" s="243">
        <f>(D385+D387+D389+D392+D395+D398+D401)*'OLD Formulas'!$L$6</f>
        <v>0</v>
      </c>
      <c r="E404" s="243">
        <f>(E385+E387+E389+E392+E395+E398+E401)*'OLD Formulas'!$L$6</f>
        <v>0</v>
      </c>
      <c r="F404" s="243">
        <f>(F385+F387+F389+F392+F395+F398+F401)*'OLD Formulas'!$L$6</f>
        <v>0</v>
      </c>
      <c r="G404" s="243">
        <f>(G385+G387+G389+G392+G395+G398+G401)*'OLD Formulas'!$L$6</f>
        <v>0</v>
      </c>
      <c r="H404" s="243">
        <f>(H385+H387+H389+H392+H395+H398+H401)*'OLD Formulas'!$L$6</f>
        <v>0</v>
      </c>
      <c r="I404" s="243">
        <f>(I385+I387+I389+I392+I395+I398+I401)*'OLD Formulas'!$L$6</f>
        <v>0</v>
      </c>
      <c r="J404" s="243">
        <f>(J385+J387+J389+J392+J395+J398+J401)*'OLD Formulas'!$L$6</f>
        <v>0</v>
      </c>
      <c r="K404" s="243">
        <f>(K385+K387+K389+K392+K395+K398+K401)*'OLD Formulas'!$L$6</f>
        <v>0</v>
      </c>
      <c r="L404" s="243">
        <f>(L385+L387+L389+L392+L395+L398+L401)*'OLD Formulas'!$L$6</f>
        <v>0</v>
      </c>
      <c r="M404" s="243">
        <f>(M385+M387+M389+M392+M395+M398+M401)*'OLD Formulas'!$L$6</f>
        <v>0</v>
      </c>
      <c r="N404" s="243">
        <f>(N385+N387+N389+N392+N395+N398+N401)*'OLD Formulas'!$L$6</f>
        <v>0</v>
      </c>
      <c r="O404" s="243">
        <f>(O385+O387+O389+O392+O395+O398+O401)*'OLD Formulas'!$L$6</f>
        <v>0</v>
      </c>
      <c r="P404" s="243">
        <f>(P385+P387+P389+P392+P395+P398+P401)*'OLD Formulas'!$L$6</f>
        <v>0</v>
      </c>
      <c r="Q404" s="243">
        <f>(Q385+Q387+Q389+Q392+Q395+Q398+Q401)*'OLD Formulas'!$L$6</f>
        <v>0</v>
      </c>
      <c r="R404" s="243">
        <f>(R385+R387+R389+R392+R395+R398+R401)*'OLD Formulas'!$L$6</f>
        <v>0</v>
      </c>
      <c r="S404" s="243">
        <f>(S385+S387+S389+S392+S395+S398+S401)*'OLD Formulas'!$L$6</f>
        <v>0</v>
      </c>
      <c r="T404" s="243">
        <f>(T385+T387+T389+T392+T395+T398+T401)*'OLD Formulas'!$L$6</f>
        <v>0</v>
      </c>
      <c r="U404" s="243">
        <f>(U385+U387+U389+U392+U395+U398+U401)*'OLD Formulas'!$L$6</f>
        <v>0</v>
      </c>
      <c r="V404" s="243">
        <f>(V385+V387+V389+V392+V395+V398+V401)*'OLD Formulas'!$L$6</f>
        <v>0</v>
      </c>
      <c r="W404" s="243">
        <f>(W385+W387+W389+W392+W395+W398+W401)*'OLD Formulas'!$L$6</f>
        <v>0</v>
      </c>
      <c r="X404" s="243">
        <f>(X385+X387+X389+X392+X395+X398+X401)*'OLD Formulas'!$L$6</f>
        <v>0</v>
      </c>
      <c r="Y404" s="243">
        <f>(Y385+Y387+Y389+Y392+Y395+Y398+Y401)*'OLD Formulas'!$L$6</f>
        <v>0</v>
      </c>
      <c r="Z404" s="243">
        <f>(Z385+Z387+Z389+Z392+Z395+Z398+Z401)*'OLD Formulas'!$L$6</f>
        <v>0</v>
      </c>
      <c r="AA404" s="243">
        <f>(AA385+AA387+AA389+AA392+AA395+AA398+AA401)*'OLD Formulas'!$L$6</f>
        <v>0</v>
      </c>
      <c r="AB404" s="243">
        <f>(AB385+AB387+AB389+AB392+AB395+AB398+AB401)*'OLD Formulas'!$L$6</f>
        <v>0</v>
      </c>
      <c r="AC404" s="243">
        <f>(AC385+AC387+AC389+AC392+AC395+AC398+AC401)*'OLD Formulas'!$L$6</f>
        <v>0</v>
      </c>
      <c r="AD404" s="243">
        <f>(AD385+AD387+AD389+AD392+AD395+AD398+AD401)*'OLD Formulas'!$L$6</f>
        <v>0</v>
      </c>
      <c r="AE404" s="243">
        <f>(AE385+AE387+AE389+AE392+AE395+AE398+AE401)*'OLD Formulas'!$L$6</f>
        <v>0</v>
      </c>
      <c r="AF404" s="980"/>
      <c r="AG404" s="981">
        <f t="shared" si="148"/>
        <v>0</v>
      </c>
    </row>
    <row r="405" hidden="1" outlineLevel="1">
      <c r="A405" s="928" t="s">
        <v>1251</v>
      </c>
      <c r="B405" s="243">
        <f>((B281+B282)*'OLD Formulas'!$C$32)+((B283+B284)*'OLD Formulas'!$C$33)+((B285+B286)*'OLD Formulas'!$C$34)</f>
        <v>0</v>
      </c>
      <c r="C405" s="243">
        <f>((C281+C282)*'OLD Formulas'!$C$32)+((C283+C284)*'OLD Formulas'!$C$33)+((C285+C286)*'OLD Formulas'!$C$34)</f>
        <v>0</v>
      </c>
      <c r="D405" s="243">
        <f>((D281+D282)*'OLD Formulas'!$C$32)+((D283+D284)*'OLD Formulas'!$C$33)+((D285+D286)*'OLD Formulas'!$C$34)</f>
        <v>0</v>
      </c>
      <c r="E405" s="243">
        <f>((E281+E282)*'OLD Formulas'!$C$32)+((E283+E284)*'OLD Formulas'!$C$33)+((E285+E286)*'OLD Formulas'!$C$34)</f>
        <v>0</v>
      </c>
      <c r="F405" s="243">
        <f>((F281+F282)*'OLD Formulas'!$C$32)+((F283+F284)*'OLD Formulas'!$C$33)+((F285+F286)*'OLD Formulas'!$C$34)</f>
        <v>0</v>
      </c>
      <c r="G405" s="243">
        <f>((G281+G282)*'OLD Formulas'!$C$32)+((G283+G284)*'OLD Formulas'!$C$33)+((G285+G286)*'OLD Formulas'!$C$34)</f>
        <v>0</v>
      </c>
      <c r="H405" s="243">
        <f>((H281+H282)*'OLD Formulas'!$C$32)+((H283+H284)*'OLD Formulas'!$C$33)+((H285+H286)*'OLD Formulas'!$C$34)</f>
        <v>0</v>
      </c>
      <c r="I405" s="243">
        <f>((I281+I282)*'OLD Formulas'!$C$32)+((I283+I284)*'OLD Formulas'!$C$33)+((I285+I286)*'OLD Formulas'!$C$34)</f>
        <v>0</v>
      </c>
      <c r="J405" s="243">
        <f>((J281+J282)*'OLD Formulas'!$C$32)+((J283+J284)*'OLD Formulas'!$C$33)+((J285+J286)*'OLD Formulas'!$C$34)</f>
        <v>0</v>
      </c>
      <c r="K405" s="243">
        <f>((K281+K282)*'OLD Formulas'!$C$32)+((K283+K284)*'OLD Formulas'!$C$33)+((K285+K286)*'OLD Formulas'!$C$34)</f>
        <v>0</v>
      </c>
      <c r="L405" s="243">
        <f>((L281+L282)*'OLD Formulas'!$C$32)+((L283+L284)*'OLD Formulas'!$C$33)+((L285+L286)*'OLD Formulas'!$C$34)</f>
        <v>0</v>
      </c>
      <c r="M405" s="243">
        <f>((M281+M282)*'OLD Formulas'!$C$32)+((M283+M284)*'OLD Formulas'!$C$33)+((M285+M286)*'OLD Formulas'!$C$34)</f>
        <v>0</v>
      </c>
      <c r="N405" s="243">
        <f>((N281+N282)*'OLD Formulas'!$C$32)+((N283+N284)*'OLD Formulas'!$C$33)+((N285+N286)*'OLD Formulas'!$C$34)</f>
        <v>0</v>
      </c>
      <c r="O405" s="243">
        <f>((O281+O282)*'OLD Formulas'!$C$32)+((O283+O284)*'OLD Formulas'!$C$33)+((O285+O286)*'OLD Formulas'!$C$34)</f>
        <v>0</v>
      </c>
      <c r="P405" s="243">
        <f>((P281+P282)*'OLD Formulas'!$C$32)+((P283+P284)*'OLD Formulas'!$C$33)+((P285+P286)*'OLD Formulas'!$C$34)</f>
        <v>0</v>
      </c>
      <c r="Q405" s="243">
        <f>((Q281+Q282)*'OLD Formulas'!$C$32)+((Q283+Q284)*'OLD Formulas'!$C$33)+((Q285+Q286)*'OLD Formulas'!$C$34)</f>
        <v>0</v>
      </c>
      <c r="R405" s="243">
        <f>((R281+R282)*'OLD Formulas'!$C$32)+((R283+R284)*'OLD Formulas'!$C$33)+((R285+R286)*'OLD Formulas'!$C$34)</f>
        <v>0</v>
      </c>
      <c r="S405" s="243">
        <f>((S281+S282)*'OLD Formulas'!$C$32)+((S283+S284)*'OLD Formulas'!$C$33)+((S285+S286)*'OLD Formulas'!$C$34)</f>
        <v>0</v>
      </c>
      <c r="T405" s="243">
        <f>((T281+T282)*'OLD Formulas'!$C$32)+((T283+T284)*'OLD Formulas'!$C$33)+((T285+T286)*'OLD Formulas'!$C$34)</f>
        <v>0</v>
      </c>
      <c r="U405" s="243">
        <f>((U281+U282)*'OLD Formulas'!$C$32)+((U283+U284)*'OLD Formulas'!$C$33)+((U285+U286)*'OLD Formulas'!$C$34)</f>
        <v>0</v>
      </c>
      <c r="V405" s="243">
        <f>((V281+V282)*'OLD Formulas'!$C$32)+((V283+V284)*'OLD Formulas'!$C$33)+((V285+V286)*'OLD Formulas'!$C$34)</f>
        <v>0</v>
      </c>
      <c r="W405" s="243">
        <f>((W281+W282)*'OLD Formulas'!$C$32)+((W283+W284)*'OLD Formulas'!$C$33)+((W285+W286)*'OLD Formulas'!$C$34)</f>
        <v>0</v>
      </c>
      <c r="X405" s="243">
        <f>((X281+X282)*'OLD Formulas'!$C$32)+((X283+X284)*'OLD Formulas'!$C$33)+((X285+X286)*'OLD Formulas'!$C$34)</f>
        <v>0</v>
      </c>
      <c r="Y405" s="243">
        <f>((Y281+Y282)*'OLD Formulas'!$C$32)+((Y283+Y284)*'OLD Formulas'!$C$33)+((Y285+Y286)*'OLD Formulas'!$C$34)</f>
        <v>0</v>
      </c>
      <c r="Z405" s="243">
        <f>((Z281+Z282)*'OLD Formulas'!$C$32)+((Z283+Z284)*'OLD Formulas'!$C$33)+((Z285+Z286)*'OLD Formulas'!$C$34)</f>
        <v>0</v>
      </c>
      <c r="AA405" s="243">
        <f>((AA281+AA282)*'OLD Formulas'!$C$32)+((AA283+AA284)*'OLD Formulas'!$C$33)+((AA285+AA286)*'OLD Formulas'!$C$34)</f>
        <v>0</v>
      </c>
      <c r="AB405" s="243">
        <f>((AB281+AB282)*'OLD Formulas'!$C$32)+((AB283+AB284)*'OLD Formulas'!$C$33)+((AB285+AB286)*'OLD Formulas'!$C$34)</f>
        <v>0</v>
      </c>
      <c r="AC405" s="243">
        <f>((AC281+AC282)*'OLD Formulas'!$C$32)+((AC283+AC284)*'OLD Formulas'!$C$33)+((AC285+AC286)*'OLD Formulas'!$C$34)</f>
        <v>0</v>
      </c>
      <c r="AD405" s="243">
        <f>((AD281+AD282)*'OLD Formulas'!$C$32)+((AD283+AD284)*'OLD Formulas'!$C$33)+((AD285+AD286)*'OLD Formulas'!$C$34)</f>
        <v>0</v>
      </c>
      <c r="AE405" s="243">
        <f>((AE281+AE282)*'OLD Formulas'!$C$32)+((AE283+AE284)*'OLD Formulas'!$C$33)+((AE285+AE286)*'OLD Formulas'!$C$34)</f>
        <v>0</v>
      </c>
      <c r="AF405" s="980"/>
      <c r="AG405" s="981">
        <f t="shared" si="148"/>
        <v>0</v>
      </c>
    </row>
    <row r="406" hidden="1" outlineLevel="1">
      <c r="A406" s="928" t="s">
        <v>1252</v>
      </c>
      <c r="B406" s="243">
        <f>((B281+B282)*'OLD Formulas'!$C$17)+((B283+B284)*'OLD Formulas'!$C$18)+((B285+B286)*'OLD Formulas'!$C$19)</f>
        <v>0</v>
      </c>
      <c r="C406" s="243">
        <f>((C281+C282)*'OLD Formulas'!$C$17)+((C283+C284)*'OLD Formulas'!$C$18)+((C285+C286)*'OLD Formulas'!$C$19)</f>
        <v>0</v>
      </c>
      <c r="D406" s="243">
        <f>((D281+D282)*'OLD Formulas'!$C$17)+((D283+D284)*'OLD Formulas'!$C$18)+((D285+D286)*'OLD Formulas'!$C$19)</f>
        <v>0</v>
      </c>
      <c r="E406" s="243">
        <f>((E281+E282)*'OLD Formulas'!$C$17)+((E283+E284)*'OLD Formulas'!$C$18)+((E285+E286)*'OLD Formulas'!$C$19)</f>
        <v>0</v>
      </c>
      <c r="F406" s="243">
        <f>((F281+F282)*'OLD Formulas'!$C$17)+((F283+F284)*'OLD Formulas'!$C$18)+((F285+F286)*'OLD Formulas'!$C$19)</f>
        <v>0</v>
      </c>
      <c r="G406" s="243">
        <f>((G281+G282)*'OLD Formulas'!$C$17)+((G283+G284)*'OLD Formulas'!$C$18)+((G285+G286)*'OLD Formulas'!$C$19)</f>
        <v>0</v>
      </c>
      <c r="H406" s="243">
        <f>((H281+H282)*'OLD Formulas'!$C$17)+((H283+H284)*'OLD Formulas'!$C$18)+((H285+H286)*'OLD Formulas'!$C$19)</f>
        <v>0</v>
      </c>
      <c r="I406" s="243">
        <f>((I281+I282)*'OLD Formulas'!$C$17)+((I283+I284)*'OLD Formulas'!$C$18)+((I285+I286)*'OLD Formulas'!$C$19)</f>
        <v>0</v>
      </c>
      <c r="J406" s="243">
        <f>((J281+J282)*'OLD Formulas'!$C$17)+((J283+J284)*'OLD Formulas'!$C$18)+((J285+J286)*'OLD Formulas'!$C$19)</f>
        <v>0</v>
      </c>
      <c r="K406" s="243">
        <f>((K281+K282)*'OLD Formulas'!$C$17)+((K283+K284)*'OLD Formulas'!$C$18)+((K285+K286)*'OLD Formulas'!$C$19)</f>
        <v>0</v>
      </c>
      <c r="L406" s="243">
        <f>((L281+L282)*'OLD Formulas'!$C$17)+((L283+L284)*'OLD Formulas'!$C$18)+((L285+L286)*'OLD Formulas'!$C$19)</f>
        <v>0</v>
      </c>
      <c r="M406" s="243">
        <f>((M281+M282)*'OLD Formulas'!$C$17)+((M283+M284)*'OLD Formulas'!$C$18)+((M285+M286)*'OLD Formulas'!$C$19)</f>
        <v>0</v>
      </c>
      <c r="N406" s="243">
        <f>((N281+N282)*'OLD Formulas'!$C$17)+((N283+N284)*'OLD Formulas'!$C$18)+((N285+N286)*'OLD Formulas'!$C$19)</f>
        <v>0</v>
      </c>
      <c r="O406" s="243">
        <f>((O281+O282)*'OLD Formulas'!$C$17)+((O283+O284)*'OLD Formulas'!$C$18)+((O285+O286)*'OLD Formulas'!$C$19)</f>
        <v>0</v>
      </c>
      <c r="P406" s="243">
        <f>((P281+P282)*'OLD Formulas'!$C$17)+((P283+P284)*'OLD Formulas'!$C$18)+((P285+P286)*'OLD Formulas'!$C$19)</f>
        <v>0</v>
      </c>
      <c r="Q406" s="243">
        <f>((Q281+Q282)*'OLD Formulas'!$C$17)+((Q283+Q284)*'OLD Formulas'!$C$18)+((Q285+Q286)*'OLD Formulas'!$C$19)</f>
        <v>0</v>
      </c>
      <c r="R406" s="243">
        <f>((R281+R282)*'OLD Formulas'!$C$17)+((R283+R284)*'OLD Formulas'!$C$18)+((R285+R286)*'OLD Formulas'!$C$19)</f>
        <v>0</v>
      </c>
      <c r="S406" s="243">
        <f>((S281+S282)*'OLD Formulas'!$C$17)+((S283+S284)*'OLD Formulas'!$C$18)+((S285+S286)*'OLD Formulas'!$C$19)</f>
        <v>0</v>
      </c>
      <c r="T406" s="243">
        <f>((T281+T282)*'OLD Formulas'!$C$17)+((T283+T284)*'OLD Formulas'!$C$18)+((T285+T286)*'OLD Formulas'!$C$19)</f>
        <v>0</v>
      </c>
      <c r="U406" s="243">
        <f>((U281+U282)*'OLD Formulas'!$C$17)+((U283+U284)*'OLD Formulas'!$C$18)+((U285+U286)*'OLD Formulas'!$C$19)</f>
        <v>0</v>
      </c>
      <c r="V406" s="243">
        <f>((V281+V282)*'OLD Formulas'!$C$17)+((V283+V284)*'OLD Formulas'!$C$18)+((V285+V286)*'OLD Formulas'!$C$19)</f>
        <v>0</v>
      </c>
      <c r="W406" s="243">
        <f>((W281+W282)*'OLD Formulas'!$C$17)+((W283+W284)*'OLD Formulas'!$C$18)+((W285+W286)*'OLD Formulas'!$C$19)</f>
        <v>0</v>
      </c>
      <c r="X406" s="243">
        <f>((X281+X282)*'OLD Formulas'!$C$17)+((X283+X284)*'OLD Formulas'!$C$18)+((X285+X286)*'OLD Formulas'!$C$19)</f>
        <v>0</v>
      </c>
      <c r="Y406" s="243">
        <f>((Y281+Y282)*'OLD Formulas'!$C$17)+((Y283+Y284)*'OLD Formulas'!$C$18)+((Y285+Y286)*'OLD Formulas'!$C$19)</f>
        <v>0</v>
      </c>
      <c r="Z406" s="243">
        <f>((Z281+Z282)*'OLD Formulas'!$C$17)+((Z283+Z284)*'OLD Formulas'!$C$18)+((Z285+Z286)*'OLD Formulas'!$C$19)</f>
        <v>0</v>
      </c>
      <c r="AA406" s="243">
        <f>((AA281+AA282)*'OLD Formulas'!$C$17)+((AA283+AA284)*'OLD Formulas'!$C$18)+((AA285+AA286)*'OLD Formulas'!$C$19)</f>
        <v>0</v>
      </c>
      <c r="AB406" s="243">
        <f>((AB281+AB282)*'OLD Formulas'!$C$17)+((AB283+AB284)*'OLD Formulas'!$C$18)+((AB285+AB286)*'OLD Formulas'!$C$19)</f>
        <v>0</v>
      </c>
      <c r="AC406" s="243">
        <f>((AC281+AC282)*'OLD Formulas'!$C$17)+((AC283+AC284)*'OLD Formulas'!$C$18)+((AC285+AC286)*'OLD Formulas'!$C$19)</f>
        <v>0</v>
      </c>
      <c r="AD406" s="243">
        <f>((AD281+AD282)*'OLD Formulas'!$C$17)+((AD283+AD284)*'OLD Formulas'!$C$18)+((AD285+AD286)*'OLD Formulas'!$C$19)</f>
        <v>0</v>
      </c>
      <c r="AE406" s="243">
        <f>((AE281+AE282)*'OLD Formulas'!$C$17)+((AE283+AE284)*'OLD Formulas'!$C$18)+((AE285+AE286)*'OLD Formulas'!$C$19)</f>
        <v>0</v>
      </c>
      <c r="AF406" s="980"/>
      <c r="AG406" s="981">
        <f t="shared" si="148"/>
        <v>0</v>
      </c>
    </row>
    <row r="407" hidden="1" outlineLevel="1">
      <c r="A407" s="928" t="s">
        <v>1253</v>
      </c>
      <c r="B407" s="243">
        <f>(B295*'OLD Formulas'!$D$32)+(B302*'OLD Formulas'!$D$33)+(B309*'OLD Formulas'!$D$34)</f>
        <v>0</v>
      </c>
      <c r="C407" s="243">
        <f>(C295*'OLD Formulas'!$D$32)+(C302*'OLD Formulas'!$D$33)+(C309*'OLD Formulas'!$D$34)</f>
        <v>0</v>
      </c>
      <c r="D407" s="243">
        <f>(D295*'OLD Formulas'!$D$32)+(D302*'OLD Formulas'!$D$33)+(D309*'OLD Formulas'!$D$34)</f>
        <v>0</v>
      </c>
      <c r="E407" s="243">
        <f>(E295*'OLD Formulas'!$D$32)+(E302*'OLD Formulas'!$D$33)+(E309*'OLD Formulas'!$D$34)</f>
        <v>0</v>
      </c>
      <c r="F407" s="243">
        <f>(F295*'OLD Formulas'!$D$32)+(F302*'OLD Formulas'!$D$33)+(F309*'OLD Formulas'!$D$34)</f>
        <v>0</v>
      </c>
      <c r="G407" s="243">
        <f>(G295*'OLD Formulas'!$D$32)+(G302*'OLD Formulas'!$D$33)+(G309*'OLD Formulas'!$D$34)</f>
        <v>0</v>
      </c>
      <c r="H407" s="243">
        <f>(H295*'OLD Formulas'!$D$32)+(H302*'OLD Formulas'!$D$33)+(H309*'OLD Formulas'!$D$34)</f>
        <v>0</v>
      </c>
      <c r="I407" s="243">
        <f>(I295*'OLD Formulas'!$D$32)+(I302*'OLD Formulas'!$D$33)+(I309*'OLD Formulas'!$D$34)</f>
        <v>0</v>
      </c>
      <c r="J407" s="243">
        <f>(J295*'OLD Formulas'!$D$32)+(J302*'OLD Formulas'!$D$33)+(J309*'OLD Formulas'!$D$34)</f>
        <v>0</v>
      </c>
      <c r="K407" s="243">
        <f>(K295*'OLD Formulas'!$D$32)+(K302*'OLD Formulas'!$D$33)+(K309*'OLD Formulas'!$D$34)</f>
        <v>0</v>
      </c>
      <c r="L407" s="243">
        <f>(L295*'OLD Formulas'!$D$32)+(L302*'OLD Formulas'!$D$33)+(L309*'OLD Formulas'!$D$34)</f>
        <v>0</v>
      </c>
      <c r="M407" s="243">
        <f>(M295*'OLD Formulas'!$D$32)+(M302*'OLD Formulas'!$D$33)+(M309*'OLD Formulas'!$D$34)</f>
        <v>0</v>
      </c>
      <c r="N407" s="243">
        <f>(N295*'OLD Formulas'!$D$32)+(N302*'OLD Formulas'!$D$33)+(N309*'OLD Formulas'!$D$34)</f>
        <v>0</v>
      </c>
      <c r="O407" s="243">
        <f>(O295*'OLD Formulas'!$D$32)+(O302*'OLD Formulas'!$D$33)+(O309*'OLD Formulas'!$D$34)</f>
        <v>0</v>
      </c>
      <c r="P407" s="243">
        <f>(P295*'OLD Formulas'!$D$32)+(P302*'OLD Formulas'!$D$33)+(P309*'OLD Formulas'!$D$34)</f>
        <v>0</v>
      </c>
      <c r="Q407" s="243">
        <f>(Q295*'OLD Formulas'!$D$32)+(Q302*'OLD Formulas'!$D$33)+(Q309*'OLD Formulas'!$D$34)</f>
        <v>0</v>
      </c>
      <c r="R407" s="243">
        <f>(R295*'OLD Formulas'!$D$32)+(R302*'OLD Formulas'!$D$33)+(R309*'OLD Formulas'!$D$34)</f>
        <v>0</v>
      </c>
      <c r="S407" s="243">
        <f>(S295*'OLD Formulas'!$D$32)+(S302*'OLD Formulas'!$D$33)+(S309*'OLD Formulas'!$D$34)</f>
        <v>0</v>
      </c>
      <c r="T407" s="243">
        <f>(T295*'OLD Formulas'!$D$32)+(T302*'OLD Formulas'!$D$33)+(T309*'OLD Formulas'!$D$34)</f>
        <v>0</v>
      </c>
      <c r="U407" s="243">
        <f>(U295*'OLD Formulas'!$D$32)+(U302*'OLD Formulas'!$D$33)+(U309*'OLD Formulas'!$D$34)</f>
        <v>0</v>
      </c>
      <c r="V407" s="243">
        <f>(V295*'OLD Formulas'!$D$32)+(V302*'OLD Formulas'!$D$33)+(V309*'OLD Formulas'!$D$34)</f>
        <v>0</v>
      </c>
      <c r="W407" s="243">
        <f>(W295*'OLD Formulas'!$D$32)+(W302*'OLD Formulas'!$D$33)+(W309*'OLD Formulas'!$D$34)</f>
        <v>0</v>
      </c>
      <c r="X407" s="243">
        <f>(X295*'OLD Formulas'!$D$32)+(X302*'OLD Formulas'!$D$33)+(X309*'OLD Formulas'!$D$34)</f>
        <v>0</v>
      </c>
      <c r="Y407" s="243">
        <f>(Y295*'OLD Formulas'!$D$32)+(Y302*'OLD Formulas'!$D$33)+(Y309*'OLD Formulas'!$D$34)</f>
        <v>0</v>
      </c>
      <c r="Z407" s="243">
        <f>(Z295*'OLD Formulas'!$D$32)+(Z302*'OLD Formulas'!$D$33)+(Z309*'OLD Formulas'!$D$34)</f>
        <v>0</v>
      </c>
      <c r="AA407" s="243">
        <f>(AA295*'OLD Formulas'!$D$32)+(AA302*'OLD Formulas'!$D$33)+(AA309*'OLD Formulas'!$D$34)</f>
        <v>0</v>
      </c>
      <c r="AB407" s="243">
        <f>(AB295*'OLD Formulas'!$D$32)+(AB302*'OLD Formulas'!$D$33)+(AB309*'OLD Formulas'!$D$34)</f>
        <v>0</v>
      </c>
      <c r="AC407" s="243">
        <f>(AC295*'OLD Formulas'!$D$32)+(AC302*'OLD Formulas'!$D$33)+(AC309*'OLD Formulas'!$D$34)</f>
        <v>0</v>
      </c>
      <c r="AD407" s="243">
        <f>(AD295*'OLD Formulas'!$D$32)+(AD302*'OLD Formulas'!$D$33)+(AD309*'OLD Formulas'!$D$34)</f>
        <v>0</v>
      </c>
      <c r="AE407" s="243">
        <f>(AE295*'OLD Formulas'!$D$32)+(AE302*'OLD Formulas'!$D$33)+(AE309*'OLD Formulas'!$D$34)</f>
        <v>0</v>
      </c>
      <c r="AF407" s="980"/>
      <c r="AG407" s="981">
        <f t="shared" si="148"/>
        <v>0</v>
      </c>
    </row>
    <row r="408" hidden="1" outlineLevel="1">
      <c r="A408" s="928" t="s">
        <v>1254</v>
      </c>
      <c r="B408" s="243">
        <f>(B295*'OLD Formulas'!$D$17)+(B302*'OLD Formulas'!$D$18)+(B309*'OLD Formulas'!$D$19)</f>
        <v>0</v>
      </c>
      <c r="C408" s="243">
        <f>(C295*'OLD Formulas'!$D$17)+(C302*'OLD Formulas'!$D$18)+(C309*'OLD Formulas'!$D$19)</f>
        <v>0</v>
      </c>
      <c r="D408" s="243">
        <f>(D295*'OLD Formulas'!$D$17)+(D302*'OLD Formulas'!$D$18)+(D309*'OLD Formulas'!$D$19)</f>
        <v>0</v>
      </c>
      <c r="E408" s="243">
        <f>(E295*'OLD Formulas'!$D$17)+(E302*'OLD Formulas'!$D$18)+(E309*'OLD Formulas'!$D$19)</f>
        <v>0</v>
      </c>
      <c r="F408" s="243">
        <f>(F295*'OLD Formulas'!$D$17)+(F302*'OLD Formulas'!$D$18)+(F309*'OLD Formulas'!$D$19)</f>
        <v>0</v>
      </c>
      <c r="G408" s="243">
        <f>(G295*'OLD Formulas'!$D$17)+(G302*'OLD Formulas'!$D$18)+(G309*'OLD Formulas'!$D$19)</f>
        <v>0</v>
      </c>
      <c r="H408" s="243">
        <f>(H295*'OLD Formulas'!$D$17)+(H302*'OLD Formulas'!$D$18)+(H309*'OLD Formulas'!$D$19)</f>
        <v>0</v>
      </c>
      <c r="I408" s="243">
        <f>(I295*'OLD Formulas'!$D$17)+(I302*'OLD Formulas'!$D$18)+(I309*'OLD Formulas'!$D$19)</f>
        <v>0</v>
      </c>
      <c r="J408" s="243">
        <f>(J295*'OLD Formulas'!$D$17)+(J302*'OLD Formulas'!$D$18)+(J309*'OLD Formulas'!$D$19)</f>
        <v>0</v>
      </c>
      <c r="K408" s="243">
        <f>(K295*'OLD Formulas'!$D$17)+(K302*'OLD Formulas'!$D$18)+(K309*'OLD Formulas'!$D$19)</f>
        <v>0</v>
      </c>
      <c r="L408" s="243">
        <f>(L295*'OLD Formulas'!$D$17)+(L302*'OLD Formulas'!$D$18)+(L309*'OLD Formulas'!$D$19)</f>
        <v>0</v>
      </c>
      <c r="M408" s="243">
        <f>(M295*'OLD Formulas'!$D$17)+(M302*'OLD Formulas'!$D$18)+(M309*'OLD Formulas'!$D$19)</f>
        <v>0</v>
      </c>
      <c r="N408" s="243">
        <f>(N295*'OLD Formulas'!$D$17)+(N302*'OLD Formulas'!$D$18)+(N309*'OLD Formulas'!$D$19)</f>
        <v>0</v>
      </c>
      <c r="O408" s="243">
        <f>(O295*'OLD Formulas'!$D$17)+(O302*'OLD Formulas'!$D$18)+(O309*'OLD Formulas'!$D$19)</f>
        <v>0</v>
      </c>
      <c r="P408" s="243">
        <f>(P295*'OLD Formulas'!$D$17)+(P302*'OLD Formulas'!$D$18)+(P309*'OLD Formulas'!$D$19)</f>
        <v>0</v>
      </c>
      <c r="Q408" s="243">
        <f>(Q295*'OLD Formulas'!$D$17)+(Q302*'OLD Formulas'!$D$18)+(Q309*'OLD Formulas'!$D$19)</f>
        <v>0</v>
      </c>
      <c r="R408" s="243">
        <f>(R295*'OLD Formulas'!$D$17)+(R302*'OLD Formulas'!$D$18)+(R309*'OLD Formulas'!$D$19)</f>
        <v>0</v>
      </c>
      <c r="S408" s="243">
        <f>(S295*'OLD Formulas'!$D$17)+(S302*'OLD Formulas'!$D$18)+(S309*'OLD Formulas'!$D$19)</f>
        <v>0</v>
      </c>
      <c r="T408" s="243">
        <f>(T295*'OLD Formulas'!$D$17)+(T302*'OLD Formulas'!$D$18)+(T309*'OLD Formulas'!$D$19)</f>
        <v>0</v>
      </c>
      <c r="U408" s="243">
        <f>(U295*'OLD Formulas'!$D$17)+(U302*'OLD Formulas'!$D$18)+(U309*'OLD Formulas'!$D$19)</f>
        <v>0</v>
      </c>
      <c r="V408" s="243">
        <f>(V295*'OLD Formulas'!$D$17)+(V302*'OLD Formulas'!$D$18)+(V309*'OLD Formulas'!$D$19)</f>
        <v>0</v>
      </c>
      <c r="W408" s="243">
        <f>(W295*'OLD Formulas'!$D$17)+(W302*'OLD Formulas'!$D$18)+(W309*'OLD Formulas'!$D$19)</f>
        <v>0</v>
      </c>
      <c r="X408" s="243">
        <f>(X295*'OLD Formulas'!$D$17)+(X302*'OLD Formulas'!$D$18)+(X309*'OLD Formulas'!$D$19)</f>
        <v>0</v>
      </c>
      <c r="Y408" s="243">
        <f>(Y295*'OLD Formulas'!$D$17)+(Y302*'OLD Formulas'!$D$18)+(Y309*'OLD Formulas'!$D$19)</f>
        <v>0</v>
      </c>
      <c r="Z408" s="243">
        <f>(Z295*'OLD Formulas'!$D$17)+(Z302*'OLD Formulas'!$D$18)+(Z309*'OLD Formulas'!$D$19)</f>
        <v>0</v>
      </c>
      <c r="AA408" s="243">
        <f>(AA295*'OLD Formulas'!$D$17)+(AA302*'OLD Formulas'!$D$18)+(AA309*'OLD Formulas'!$D$19)</f>
        <v>0</v>
      </c>
      <c r="AB408" s="243">
        <f>(AB295*'OLD Formulas'!$D$17)+(AB302*'OLD Formulas'!$D$18)+(AB309*'OLD Formulas'!$D$19)</f>
        <v>0</v>
      </c>
      <c r="AC408" s="243">
        <f>(AC295*'OLD Formulas'!$D$17)+(AC302*'OLD Formulas'!$D$18)+(AC309*'OLD Formulas'!$D$19)</f>
        <v>0</v>
      </c>
      <c r="AD408" s="243">
        <f>(AD295*'OLD Formulas'!$D$17)+(AD302*'OLD Formulas'!$D$18)+(AD309*'OLD Formulas'!$D$19)</f>
        <v>0</v>
      </c>
      <c r="AE408" s="243">
        <f>(AE295*'OLD Formulas'!$D$17)+(AE302*'OLD Formulas'!$D$18)+(AE309*'OLD Formulas'!$D$19)</f>
        <v>0</v>
      </c>
      <c r="AF408" s="980"/>
      <c r="AG408" s="981">
        <f t="shared" si="148"/>
        <v>0</v>
      </c>
    </row>
    <row r="409" hidden="1" outlineLevel="1">
      <c r="A409" s="975" t="s">
        <v>1275</v>
      </c>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c r="AB409" s="53"/>
      <c r="AC409" s="53"/>
      <c r="AD409" s="53"/>
      <c r="AE409" s="53"/>
      <c r="AF409" s="980"/>
      <c r="AG409" s="981"/>
    </row>
    <row r="410" hidden="1" outlineLevel="1">
      <c r="A410" s="975" t="s">
        <v>1277</v>
      </c>
      <c r="B410" s="243">
        <f>(B287+B288)*'OLD Formulas'!$C$22</f>
        <v>0</v>
      </c>
      <c r="C410" s="243">
        <f>(C287+C288)*'OLD Formulas'!$C$22</f>
        <v>0</v>
      </c>
      <c r="D410" s="243">
        <f>(D287+D288)*'OLD Formulas'!$C$22</f>
        <v>0</v>
      </c>
      <c r="E410" s="243">
        <f>(E287+E288)*'OLD Formulas'!$C$22</f>
        <v>0</v>
      </c>
      <c r="F410" s="243">
        <f>(F287+F288)*'OLD Formulas'!$C$22</f>
        <v>0</v>
      </c>
      <c r="G410" s="243">
        <f>(G287+G288)*'OLD Formulas'!$C$22</f>
        <v>0</v>
      </c>
      <c r="H410" s="243">
        <f>(H287+H288)*'OLD Formulas'!$C$22</f>
        <v>0</v>
      </c>
      <c r="I410" s="243">
        <f>(I287+I288)*'OLD Formulas'!$C$22</f>
        <v>0</v>
      </c>
      <c r="J410" s="243">
        <f>(J287+J288)*'OLD Formulas'!$C$22</f>
        <v>0</v>
      </c>
      <c r="K410" s="243">
        <f>(K287+K288)*'OLD Formulas'!$C$22</f>
        <v>0</v>
      </c>
      <c r="L410" s="243">
        <f>(L287+L288)*'OLD Formulas'!$C$22</f>
        <v>0</v>
      </c>
      <c r="M410" s="243">
        <f>(M287+M288)*'OLD Formulas'!$C$22</f>
        <v>0</v>
      </c>
      <c r="N410" s="243">
        <f>(N287+N288)*'OLD Formulas'!$C$22</f>
        <v>0</v>
      </c>
      <c r="O410" s="243">
        <f>(O287+O288)*'OLD Formulas'!$C$22</f>
        <v>0</v>
      </c>
      <c r="P410" s="243">
        <f>(P287+P288)*'OLD Formulas'!$C$22</f>
        <v>0</v>
      </c>
      <c r="Q410" s="243">
        <f>(Q287+Q288)*'OLD Formulas'!$C$22</f>
        <v>0</v>
      </c>
      <c r="R410" s="243">
        <f>(R287+R288)*'OLD Formulas'!$C$22</f>
        <v>0</v>
      </c>
      <c r="S410" s="243">
        <f>(S287+S288)*'OLD Formulas'!$C$22</f>
        <v>0</v>
      </c>
      <c r="T410" s="243">
        <f>(T287+T288)*'OLD Formulas'!$C$22</f>
        <v>0</v>
      </c>
      <c r="U410" s="243">
        <f>(U287+U288)*'OLD Formulas'!$C$22</f>
        <v>0</v>
      </c>
      <c r="V410" s="243">
        <f>(V287+V288)*'OLD Formulas'!$C$22</f>
        <v>0</v>
      </c>
      <c r="W410" s="243">
        <f>(W287+W288)*'OLD Formulas'!$C$22</f>
        <v>0</v>
      </c>
      <c r="X410" s="243">
        <f>(X287+X288)*'OLD Formulas'!$C$22</f>
        <v>0</v>
      </c>
      <c r="Y410" s="243">
        <f>(Y287+Y288)*'OLD Formulas'!$C$22</f>
        <v>0</v>
      </c>
      <c r="Z410" s="243">
        <f>(Z287+Z288)*'OLD Formulas'!$C$22</f>
        <v>0</v>
      </c>
      <c r="AA410" s="243">
        <f>(AA287+AA288)*'OLD Formulas'!$C$22</f>
        <v>0</v>
      </c>
      <c r="AB410" s="243">
        <f>(AB287+AB288)*'OLD Formulas'!$C$22</f>
        <v>0</v>
      </c>
      <c r="AC410" s="243">
        <f>(AC287+AC288)*'OLD Formulas'!$C$22</f>
        <v>0</v>
      </c>
      <c r="AD410" s="243">
        <f>(AD287+AD288)*'OLD Formulas'!$C$22</f>
        <v>0</v>
      </c>
      <c r="AE410" s="243">
        <f>(AE287+AE288)*'OLD Formulas'!$C$22</f>
        <v>0</v>
      </c>
      <c r="AF410" s="980"/>
      <c r="AG410" s="981"/>
    </row>
    <row r="411" hidden="1" outlineLevel="1">
      <c r="A411" s="975" t="s">
        <v>1278</v>
      </c>
      <c r="B411" s="243">
        <f>(B287+B288)*'OLD Formulas'!$C$23</f>
        <v>0</v>
      </c>
      <c r="C411" s="243">
        <f>(C287+C288)*'OLD Formulas'!$C$23</f>
        <v>0</v>
      </c>
      <c r="D411" s="243">
        <f>(D287+D288)*'OLD Formulas'!$C$23</f>
        <v>0</v>
      </c>
      <c r="E411" s="243">
        <f>(E287+E288)*'OLD Formulas'!$C$23</f>
        <v>0</v>
      </c>
      <c r="F411" s="243">
        <f>(F287+F288)*'OLD Formulas'!$C$23</f>
        <v>0</v>
      </c>
      <c r="G411" s="243">
        <f>(G287+G288)*'OLD Formulas'!$C$23</f>
        <v>0</v>
      </c>
      <c r="H411" s="243">
        <f>(H287+H288)*'OLD Formulas'!$C$23</f>
        <v>0</v>
      </c>
      <c r="I411" s="243">
        <f>(I287+I288)*'OLD Formulas'!$C$23</f>
        <v>0</v>
      </c>
      <c r="J411" s="243">
        <f>(J287+J288)*'OLD Formulas'!$C$23</f>
        <v>0</v>
      </c>
      <c r="K411" s="243">
        <f>(K287+K288)*'OLD Formulas'!$C$23</f>
        <v>0</v>
      </c>
      <c r="L411" s="243">
        <f>(L287+L288)*'OLD Formulas'!$C$23</f>
        <v>0</v>
      </c>
      <c r="M411" s="243">
        <f>(M287+M288)*'OLD Formulas'!$C$23</f>
        <v>0</v>
      </c>
      <c r="N411" s="243">
        <f>(N287+N288)*'OLD Formulas'!$C$23</f>
        <v>0</v>
      </c>
      <c r="O411" s="243">
        <f>(O287+O288)*'OLD Formulas'!$C$23</f>
        <v>0</v>
      </c>
      <c r="P411" s="243">
        <f>(P287+P288)*'OLD Formulas'!$C$23</f>
        <v>0</v>
      </c>
      <c r="Q411" s="243">
        <f>(Q287+Q288)*'OLD Formulas'!$C$23</f>
        <v>0</v>
      </c>
      <c r="R411" s="243">
        <f>(R287+R288)*'OLD Formulas'!$C$23</f>
        <v>0</v>
      </c>
      <c r="S411" s="243">
        <f>(S287+S288)*'OLD Formulas'!$C$23</f>
        <v>0</v>
      </c>
      <c r="T411" s="243">
        <f>(T287+T288)*'OLD Formulas'!$C$23</f>
        <v>0</v>
      </c>
      <c r="U411" s="243">
        <f>(U287+U288)*'OLD Formulas'!$C$23</f>
        <v>0</v>
      </c>
      <c r="V411" s="243">
        <f>(V287+V288)*'OLD Formulas'!$C$23</f>
        <v>0</v>
      </c>
      <c r="W411" s="243">
        <f>(W287+W288)*'OLD Formulas'!$C$23</f>
        <v>0</v>
      </c>
      <c r="X411" s="243">
        <f>(X287+X288)*'OLD Formulas'!$C$23</f>
        <v>0</v>
      </c>
      <c r="Y411" s="243">
        <f>(Y287+Y288)*'OLD Formulas'!$C$23</f>
        <v>0</v>
      </c>
      <c r="Z411" s="243">
        <f>(Z287+Z288)*'OLD Formulas'!$C$23</f>
        <v>0</v>
      </c>
      <c r="AA411" s="243">
        <f>(AA287+AA288)*'OLD Formulas'!$C$23</f>
        <v>0</v>
      </c>
      <c r="AB411" s="243">
        <f>(AB287+AB288)*'OLD Formulas'!$C$23</f>
        <v>0</v>
      </c>
      <c r="AC411" s="243">
        <f>(AC287+AC288)*'OLD Formulas'!$C$23</f>
        <v>0</v>
      </c>
      <c r="AD411" s="243">
        <f>(AD287+AD288)*'OLD Formulas'!$C$23</f>
        <v>0</v>
      </c>
      <c r="AE411" s="243">
        <f>(AE287+AE288)*'OLD Formulas'!$C$23</f>
        <v>0</v>
      </c>
      <c r="AF411" s="980"/>
      <c r="AG411" s="981"/>
    </row>
    <row r="412" hidden="1" outlineLevel="1">
      <c r="A412" s="975" t="s">
        <v>1279</v>
      </c>
      <c r="B412" s="243">
        <f>(B287+B288)*'OLD Formulas'!$C$24</f>
        <v>0</v>
      </c>
      <c r="C412" s="243">
        <f>(C287+C288)*'OLD Formulas'!$C$24</f>
        <v>0</v>
      </c>
      <c r="D412" s="243">
        <f>(D287+D288)*'OLD Formulas'!$C$24</f>
        <v>0</v>
      </c>
      <c r="E412" s="243">
        <f>(E287+E288)*'OLD Formulas'!$C$24</f>
        <v>0</v>
      </c>
      <c r="F412" s="243">
        <f>(F287+F288)*'OLD Formulas'!$C$24</f>
        <v>0</v>
      </c>
      <c r="G412" s="243">
        <f>(G287+G288)*'OLD Formulas'!$C$24</f>
        <v>0</v>
      </c>
      <c r="H412" s="243">
        <f>(H287+H288)*'OLD Formulas'!$C$24</f>
        <v>0</v>
      </c>
      <c r="I412" s="243">
        <f>(I287+I288)*'OLD Formulas'!$C$24</f>
        <v>0</v>
      </c>
      <c r="J412" s="243">
        <f>(J287+J288)*'OLD Formulas'!$C$24</f>
        <v>0</v>
      </c>
      <c r="K412" s="243">
        <f>(K287+K288)*'OLD Formulas'!$C$24</f>
        <v>0</v>
      </c>
      <c r="L412" s="243">
        <f>(L287+L288)*'OLD Formulas'!$C$24</f>
        <v>0</v>
      </c>
      <c r="M412" s="243">
        <f>(M287+M288)*'OLD Formulas'!$C$24</f>
        <v>0</v>
      </c>
      <c r="N412" s="243">
        <f>(N287+N288)*'OLD Formulas'!$C$24</f>
        <v>0</v>
      </c>
      <c r="O412" s="243">
        <f>(O287+O288)*'OLD Formulas'!$C$24</f>
        <v>0</v>
      </c>
      <c r="P412" s="243">
        <f>(P287+P288)*'OLD Formulas'!$C$24</f>
        <v>0</v>
      </c>
      <c r="Q412" s="243">
        <f>(Q287+Q288)*'OLD Formulas'!$C$24</f>
        <v>0</v>
      </c>
      <c r="R412" s="243">
        <f>(R287+R288)*'OLD Formulas'!$C$24</f>
        <v>0</v>
      </c>
      <c r="S412" s="243">
        <f>(S287+S288)*'OLD Formulas'!$C$24</f>
        <v>0</v>
      </c>
      <c r="T412" s="243">
        <f>(T287+T288)*'OLD Formulas'!$C$24</f>
        <v>0</v>
      </c>
      <c r="U412" s="243">
        <f>(U287+U288)*'OLD Formulas'!$C$24</f>
        <v>0</v>
      </c>
      <c r="V412" s="243">
        <f>(V287+V288)*'OLD Formulas'!$C$24</f>
        <v>0</v>
      </c>
      <c r="W412" s="243">
        <f>(W287+W288)*'OLD Formulas'!$C$24</f>
        <v>0</v>
      </c>
      <c r="X412" s="243">
        <f>(X287+X288)*'OLD Formulas'!$C$24</f>
        <v>0</v>
      </c>
      <c r="Y412" s="243">
        <f>(Y287+Y288)*'OLD Formulas'!$C$24</f>
        <v>0</v>
      </c>
      <c r="Z412" s="243">
        <f>(Z287+Z288)*'OLD Formulas'!$C$24</f>
        <v>0</v>
      </c>
      <c r="AA412" s="243">
        <f>(AA287+AA288)*'OLD Formulas'!$C$24</f>
        <v>0</v>
      </c>
      <c r="AB412" s="243">
        <f>(AB287+AB288)*'OLD Formulas'!$C$24</f>
        <v>0</v>
      </c>
      <c r="AC412" s="243">
        <f>(AC287+AC288)*'OLD Formulas'!$C$24</f>
        <v>0</v>
      </c>
      <c r="AD412" s="243">
        <f>(AD287+AD288)*'OLD Formulas'!$C$24</f>
        <v>0</v>
      </c>
      <c r="AE412" s="243">
        <f>(AE287+AE288)*'OLD Formulas'!$C$24</f>
        <v>0</v>
      </c>
      <c r="AF412" s="980"/>
      <c r="AG412" s="981"/>
    </row>
    <row r="413" hidden="1" outlineLevel="1">
      <c r="A413" s="975" t="s">
        <v>1280</v>
      </c>
      <c r="B413" s="243">
        <f>(B287+B288)*'OLD Formulas'!$C$25</f>
        <v>0</v>
      </c>
      <c r="C413" s="243">
        <f>(C287+C288)*'OLD Formulas'!$C$25</f>
        <v>0</v>
      </c>
      <c r="D413" s="243">
        <f>(D287+D288)*'OLD Formulas'!$C$25</f>
        <v>0</v>
      </c>
      <c r="E413" s="243">
        <f>(E287+E288)*'OLD Formulas'!$C$25</f>
        <v>0</v>
      </c>
      <c r="F413" s="243">
        <f>(F287+F288)*'OLD Formulas'!$C$25</f>
        <v>0</v>
      </c>
      <c r="G413" s="243">
        <f>(G287+G288)*'OLD Formulas'!$C$25</f>
        <v>0</v>
      </c>
      <c r="H413" s="243">
        <f>(H287+H288)*'OLD Formulas'!$C$25</f>
        <v>0</v>
      </c>
      <c r="I413" s="243">
        <f>(I287+I288)*'OLD Formulas'!$C$25</f>
        <v>0</v>
      </c>
      <c r="J413" s="243">
        <f>(J287+J288)*'OLD Formulas'!$C$25</f>
        <v>0</v>
      </c>
      <c r="K413" s="243">
        <f>(K287+K288)*'OLD Formulas'!$C$25</f>
        <v>0</v>
      </c>
      <c r="L413" s="243">
        <f>(L287+L288)*'OLD Formulas'!$C$25</f>
        <v>0</v>
      </c>
      <c r="M413" s="243">
        <f>(M287+M288)*'OLD Formulas'!$C$25</f>
        <v>0</v>
      </c>
      <c r="N413" s="243">
        <f>(N287+N288)*'OLD Formulas'!$C$25</f>
        <v>0</v>
      </c>
      <c r="O413" s="243">
        <f>(O287+O288)*'OLD Formulas'!$C$25</f>
        <v>0</v>
      </c>
      <c r="P413" s="243">
        <f>(P287+P288)*'OLD Formulas'!$C$25</f>
        <v>0</v>
      </c>
      <c r="Q413" s="243">
        <f>(Q287+Q288)*'OLD Formulas'!$C$25</f>
        <v>0</v>
      </c>
      <c r="R413" s="243">
        <f>(R287+R288)*'OLD Formulas'!$C$25</f>
        <v>0</v>
      </c>
      <c r="S413" s="243">
        <f>(S287+S288)*'OLD Formulas'!$C$25</f>
        <v>0</v>
      </c>
      <c r="T413" s="243">
        <f>(T287+T288)*'OLD Formulas'!$C$25</f>
        <v>0</v>
      </c>
      <c r="U413" s="243">
        <f>(U287+U288)*'OLD Formulas'!$C$25</f>
        <v>0</v>
      </c>
      <c r="V413" s="243">
        <f>(V287+V288)*'OLD Formulas'!$C$25</f>
        <v>0</v>
      </c>
      <c r="W413" s="243">
        <f>(W287+W288)*'OLD Formulas'!$C$25</f>
        <v>0</v>
      </c>
      <c r="X413" s="243">
        <f>(X287+X288)*'OLD Formulas'!$C$25</f>
        <v>0</v>
      </c>
      <c r="Y413" s="243">
        <f>(Y287+Y288)*'OLD Formulas'!$C$25</f>
        <v>0</v>
      </c>
      <c r="Z413" s="243">
        <f>(Z287+Z288)*'OLD Formulas'!$C$25</f>
        <v>0</v>
      </c>
      <c r="AA413" s="243">
        <f>(AA287+AA288)*'OLD Formulas'!$C$25</f>
        <v>0</v>
      </c>
      <c r="AB413" s="243">
        <f>(AB287+AB288)*'OLD Formulas'!$C$25</f>
        <v>0</v>
      </c>
      <c r="AC413" s="243">
        <f>(AC287+AC288)*'OLD Formulas'!$C$25</f>
        <v>0</v>
      </c>
      <c r="AD413" s="243">
        <f>(AD287+AD288)*'OLD Formulas'!$C$25</f>
        <v>0</v>
      </c>
      <c r="AE413" s="243">
        <f>(AE287+AE288)*'OLD Formulas'!$C$25</f>
        <v>0</v>
      </c>
      <c r="AF413" s="980"/>
      <c r="AG413" s="981"/>
    </row>
    <row r="414" hidden="1" outlineLevel="1">
      <c r="A414" s="975" t="s">
        <v>1281</v>
      </c>
      <c r="B414" s="243">
        <f>(B287+B288)*'OLD Formulas'!$C$26</f>
        <v>0</v>
      </c>
      <c r="C414" s="243">
        <f>(C287+C288)*'OLD Formulas'!$C$26</f>
        <v>0</v>
      </c>
      <c r="D414" s="243">
        <f>(D287+D288)*'OLD Formulas'!$C$26</f>
        <v>0</v>
      </c>
      <c r="E414" s="243">
        <f>(E287+E288)*'OLD Formulas'!$C$26</f>
        <v>0</v>
      </c>
      <c r="F414" s="243">
        <f>(F287+F288)*'OLD Formulas'!$C$26</f>
        <v>0</v>
      </c>
      <c r="G414" s="243">
        <f>(G287+G288)*'OLD Formulas'!$C$26</f>
        <v>0</v>
      </c>
      <c r="H414" s="243">
        <f>(H287+H288)*'OLD Formulas'!$C$26</f>
        <v>0</v>
      </c>
      <c r="I414" s="243">
        <f>(I287+I288)*'OLD Formulas'!$C$26</f>
        <v>0</v>
      </c>
      <c r="J414" s="243">
        <f>(J287+J288)*'OLD Formulas'!$C$26</f>
        <v>0</v>
      </c>
      <c r="K414" s="243">
        <f>(K287+K288)*'OLD Formulas'!$C$26</f>
        <v>0</v>
      </c>
      <c r="L414" s="243">
        <f>(L287+L288)*'OLD Formulas'!$C$26</f>
        <v>0</v>
      </c>
      <c r="M414" s="243">
        <f>(M287+M288)*'OLD Formulas'!$C$26</f>
        <v>0</v>
      </c>
      <c r="N414" s="243">
        <f>(N287+N288)*'OLD Formulas'!$C$26</f>
        <v>0</v>
      </c>
      <c r="O414" s="243">
        <f>(O287+O288)*'OLD Formulas'!$C$26</f>
        <v>0</v>
      </c>
      <c r="P414" s="243">
        <f>(P287+P288)*'OLD Formulas'!$C$26</f>
        <v>0</v>
      </c>
      <c r="Q414" s="243">
        <f>(Q287+Q288)*'OLD Formulas'!$C$26</f>
        <v>0</v>
      </c>
      <c r="R414" s="243">
        <f>(R287+R288)*'OLD Formulas'!$C$26</f>
        <v>0</v>
      </c>
      <c r="S414" s="243">
        <f>(S287+S288)*'OLD Formulas'!$C$26</f>
        <v>0</v>
      </c>
      <c r="T414" s="243">
        <f>(T287+T288)*'OLD Formulas'!$C$26</f>
        <v>0</v>
      </c>
      <c r="U414" s="243">
        <f>(U287+U288)*'OLD Formulas'!$C$26</f>
        <v>0</v>
      </c>
      <c r="V414" s="243">
        <f>(V287+V288)*'OLD Formulas'!$C$26</f>
        <v>0</v>
      </c>
      <c r="W414" s="243">
        <f>(W287+W288)*'OLD Formulas'!$C$26</f>
        <v>0</v>
      </c>
      <c r="X414" s="243">
        <f>(X287+X288)*'OLD Formulas'!$C$26</f>
        <v>0</v>
      </c>
      <c r="Y414" s="243">
        <f>(Y287+Y288)*'OLD Formulas'!$C$26</f>
        <v>0</v>
      </c>
      <c r="Z414" s="243">
        <f>(Z287+Z288)*'OLD Formulas'!$C$26</f>
        <v>0</v>
      </c>
      <c r="AA414" s="243">
        <f>(AA287+AA288)*'OLD Formulas'!$C$26</f>
        <v>0</v>
      </c>
      <c r="AB414" s="243">
        <f>(AB287+AB288)*'OLD Formulas'!$C$26</f>
        <v>0</v>
      </c>
      <c r="AC414" s="243">
        <f>(AC287+AC288)*'OLD Formulas'!$C$26</f>
        <v>0</v>
      </c>
      <c r="AD414" s="243">
        <f>(AD287+AD288)*'OLD Formulas'!$C$26</f>
        <v>0</v>
      </c>
      <c r="AE414" s="243">
        <f>(AE287+AE288)*'OLD Formulas'!$C$26</f>
        <v>0</v>
      </c>
      <c r="AF414" s="980"/>
      <c r="AG414" s="981"/>
    </row>
    <row r="415" hidden="1" outlineLevel="1">
      <c r="A415" s="975" t="s">
        <v>1282</v>
      </c>
      <c r="B415" s="243">
        <f>(B287+B288)*'OLD Formulas'!$C$27</f>
        <v>0</v>
      </c>
      <c r="C415" s="243">
        <f>(C287+C288)*'OLD Formulas'!$C$27</f>
        <v>0</v>
      </c>
      <c r="D415" s="243">
        <f>(D287+D288)*'OLD Formulas'!$C$27</f>
        <v>0</v>
      </c>
      <c r="E415" s="243">
        <f>(E287+E288)*'OLD Formulas'!$C$27</f>
        <v>0</v>
      </c>
      <c r="F415" s="243">
        <f>(F287+F288)*'OLD Formulas'!$C$27</f>
        <v>0</v>
      </c>
      <c r="G415" s="243">
        <f>(G287+G288)*'OLD Formulas'!$C$27</f>
        <v>0</v>
      </c>
      <c r="H415" s="243">
        <f>(H287+H288)*'OLD Formulas'!$C$27</f>
        <v>0</v>
      </c>
      <c r="I415" s="243">
        <f>(I287+I288)*'OLD Formulas'!$C$27</f>
        <v>0</v>
      </c>
      <c r="J415" s="243">
        <f>(J287+J288)*'OLD Formulas'!$C$27</f>
        <v>0</v>
      </c>
      <c r="K415" s="243">
        <f>(K287+K288)*'OLD Formulas'!$C$27</f>
        <v>0</v>
      </c>
      <c r="L415" s="243">
        <f>(L287+L288)*'OLD Formulas'!$C$27</f>
        <v>0</v>
      </c>
      <c r="M415" s="243">
        <f>(M287+M288)*'OLD Formulas'!$C$27</f>
        <v>0</v>
      </c>
      <c r="N415" s="243">
        <f>(N287+N288)*'OLD Formulas'!$C$27</f>
        <v>0</v>
      </c>
      <c r="O415" s="243">
        <f>(O287+O288)*'OLD Formulas'!$C$27</f>
        <v>0</v>
      </c>
      <c r="P415" s="243">
        <f>(P287+P288)*'OLD Formulas'!$C$27</f>
        <v>0</v>
      </c>
      <c r="Q415" s="243">
        <f>(Q287+Q288)*'OLD Formulas'!$C$27</f>
        <v>0</v>
      </c>
      <c r="R415" s="243">
        <f>(R287+R288)*'OLD Formulas'!$C$27</f>
        <v>0</v>
      </c>
      <c r="S415" s="243">
        <f>(S287+S288)*'OLD Formulas'!$C$27</f>
        <v>0</v>
      </c>
      <c r="T415" s="243">
        <f>(T287+T288)*'OLD Formulas'!$C$27</f>
        <v>0</v>
      </c>
      <c r="U415" s="243">
        <f>(U287+U288)*'OLD Formulas'!$C$27</f>
        <v>0</v>
      </c>
      <c r="V415" s="243">
        <f>(V287+V288)*'OLD Formulas'!$C$27</f>
        <v>0</v>
      </c>
      <c r="W415" s="243">
        <f>(W287+W288)*'OLD Formulas'!$C$27</f>
        <v>0</v>
      </c>
      <c r="X415" s="243">
        <f>(X287+X288)*'OLD Formulas'!$C$27</f>
        <v>0</v>
      </c>
      <c r="Y415" s="243">
        <f>(Y287+Y288)*'OLD Formulas'!$C$27</f>
        <v>0</v>
      </c>
      <c r="Z415" s="243">
        <f>(Z287+Z288)*'OLD Formulas'!$C$27</f>
        <v>0</v>
      </c>
      <c r="AA415" s="243">
        <f>(AA287+AA288)*'OLD Formulas'!$C$27</f>
        <v>0</v>
      </c>
      <c r="AB415" s="243">
        <f>(AB287+AB288)*'OLD Formulas'!$C$27</f>
        <v>0</v>
      </c>
      <c r="AC415" s="243">
        <f>(AC287+AC288)*'OLD Formulas'!$C$27</f>
        <v>0</v>
      </c>
      <c r="AD415" s="243">
        <f>(AD287+AD288)*'OLD Formulas'!$C$27</f>
        <v>0</v>
      </c>
      <c r="AE415" s="243">
        <f>(AE287+AE288)*'OLD Formulas'!$C$27</f>
        <v>0</v>
      </c>
      <c r="AF415" s="980"/>
      <c r="AG415" s="981"/>
    </row>
    <row r="416" hidden="1" outlineLevel="1">
      <c r="A416" s="975" t="s">
        <v>1261</v>
      </c>
      <c r="B416" s="243">
        <f>(B295+B302+B309)*'OLD Formulas'!$D$22</f>
        <v>0</v>
      </c>
      <c r="C416" s="243">
        <f>(C295+C302+C309)*'OLD Formulas'!$D$22</f>
        <v>0</v>
      </c>
      <c r="D416" s="243">
        <f>(D295+D302+D309)*'OLD Formulas'!$D$22</f>
        <v>0</v>
      </c>
      <c r="E416" s="243">
        <f>(E295+E302+E309)*'OLD Formulas'!$D$22</f>
        <v>0</v>
      </c>
      <c r="F416" s="243">
        <f>(F295+F302+F309)*'OLD Formulas'!$D$22</f>
        <v>0</v>
      </c>
      <c r="G416" s="243">
        <f>(G295+G302+G309)*'OLD Formulas'!$D$22</f>
        <v>0</v>
      </c>
      <c r="H416" s="243">
        <f>(H295+H302+H309)*'OLD Formulas'!$D$22</f>
        <v>0</v>
      </c>
      <c r="I416" s="243">
        <f>(I295+I302+I309)*'OLD Formulas'!$D$22</f>
        <v>0</v>
      </c>
      <c r="J416" s="243">
        <f>(J295+J302+J309)*'OLD Formulas'!$D$22</f>
        <v>0</v>
      </c>
      <c r="K416" s="243">
        <f>(K295+K302+K309)*'OLD Formulas'!$D$22</f>
        <v>0</v>
      </c>
      <c r="L416" s="243">
        <f>(L295+L302+L309)*'OLD Formulas'!$D$22</f>
        <v>0</v>
      </c>
      <c r="M416" s="243">
        <f>(M295+M302+M309)*'OLD Formulas'!$D$22</f>
        <v>0</v>
      </c>
      <c r="N416" s="243">
        <f>(N295+N302+N309)*'OLD Formulas'!$D$22</f>
        <v>0</v>
      </c>
      <c r="O416" s="243">
        <f>(O295+O302+O309)*'OLD Formulas'!$D$22</f>
        <v>0</v>
      </c>
      <c r="P416" s="243">
        <f>(P295+P302+P309)*'OLD Formulas'!$D$22</f>
        <v>0</v>
      </c>
      <c r="Q416" s="243">
        <f>(Q295+Q302+Q309)*'OLD Formulas'!$D$22</f>
        <v>0</v>
      </c>
      <c r="R416" s="243">
        <f>(R295+R302+R309)*'OLD Formulas'!$D$22</f>
        <v>0</v>
      </c>
      <c r="S416" s="243">
        <f>(S295+S302+S309)*'OLD Formulas'!$D$22</f>
        <v>0</v>
      </c>
      <c r="T416" s="243">
        <f>(T295+T302+T309)*'OLD Formulas'!$D$22</f>
        <v>0</v>
      </c>
      <c r="U416" s="243">
        <f>(U295+U302+U309)*'OLD Formulas'!$D$22</f>
        <v>0</v>
      </c>
      <c r="V416" s="243">
        <f>(V295+V302+V309)*'OLD Formulas'!$D$22</f>
        <v>0</v>
      </c>
      <c r="W416" s="243">
        <f>(W295+W302+W309)*'OLD Formulas'!$D$22</f>
        <v>0</v>
      </c>
      <c r="X416" s="243">
        <f>(X295+X302+X309)*'OLD Formulas'!$D$22</f>
        <v>0</v>
      </c>
      <c r="Y416" s="243">
        <f>(Y295+Y302+Y309)*'OLD Formulas'!$D$22</f>
        <v>0</v>
      </c>
      <c r="Z416" s="243">
        <f>(Z295+Z302+Z309)*'OLD Formulas'!$D$22</f>
        <v>0</v>
      </c>
      <c r="AA416" s="243">
        <f>(AA295+AA302+AA309)*'OLD Formulas'!$D$22</f>
        <v>0</v>
      </c>
      <c r="AB416" s="243">
        <f>(AB295+AB302+AB309)*'OLD Formulas'!$D$22</f>
        <v>0</v>
      </c>
      <c r="AC416" s="243">
        <f>(AC295+AC302+AC309)*'OLD Formulas'!$D$22</f>
        <v>0</v>
      </c>
      <c r="AD416" s="243">
        <f>(AD295+AD302+AD309)*'OLD Formulas'!$D$22</f>
        <v>0</v>
      </c>
      <c r="AE416" s="243">
        <f>(AE295+AE302+AE309)*'OLD Formulas'!$D$22</f>
        <v>0</v>
      </c>
      <c r="AF416" s="980"/>
      <c r="AG416" s="981"/>
    </row>
    <row r="417" hidden="1" outlineLevel="1">
      <c r="A417" s="975" t="s">
        <v>1262</v>
      </c>
      <c r="B417" s="243">
        <f>(B295+B302+B309)*'OLD Formulas'!$D$23</f>
        <v>0</v>
      </c>
      <c r="C417" s="243">
        <f>(C295+C302+C309)*'OLD Formulas'!$D$23</f>
        <v>0</v>
      </c>
      <c r="D417" s="243">
        <f>(D295+D302+D309)*'OLD Formulas'!$D$23</f>
        <v>0</v>
      </c>
      <c r="E417" s="243">
        <f>(E295+E302+E309)*'OLD Formulas'!$D$23</f>
        <v>0</v>
      </c>
      <c r="F417" s="243">
        <f>(F295+F302+F309)*'OLD Formulas'!$D$23</f>
        <v>0</v>
      </c>
      <c r="G417" s="243">
        <f>(G295+G302+G309)*'OLD Formulas'!$D$23</f>
        <v>0</v>
      </c>
      <c r="H417" s="243">
        <f>(H295+H302+H309)*'OLD Formulas'!$D$23</f>
        <v>0</v>
      </c>
      <c r="I417" s="243">
        <f>(I295+I302+I309)*'OLD Formulas'!$D$23</f>
        <v>0</v>
      </c>
      <c r="J417" s="243">
        <f>(J295+J302+J309)*'OLD Formulas'!$D$23</f>
        <v>0</v>
      </c>
      <c r="K417" s="243">
        <f>(K295+K302+K309)*'OLD Formulas'!$D$23</f>
        <v>0</v>
      </c>
      <c r="L417" s="243">
        <f>(L295+L302+L309)*'OLD Formulas'!$D$23</f>
        <v>0</v>
      </c>
      <c r="M417" s="243">
        <f>(M295+M302+M309)*'OLD Formulas'!$D$23</f>
        <v>0</v>
      </c>
      <c r="N417" s="243">
        <f>(N295+N302+N309)*'OLD Formulas'!$D$23</f>
        <v>0</v>
      </c>
      <c r="O417" s="243">
        <f>(O295+O302+O309)*'OLD Formulas'!$D$23</f>
        <v>0</v>
      </c>
      <c r="P417" s="243">
        <f>(P295+P302+P309)*'OLD Formulas'!$D$23</f>
        <v>0</v>
      </c>
      <c r="Q417" s="243">
        <f>(Q295+Q302+Q309)*'OLD Formulas'!$D$23</f>
        <v>0</v>
      </c>
      <c r="R417" s="243">
        <f>(R295+R302+R309)*'OLD Formulas'!$D$23</f>
        <v>0</v>
      </c>
      <c r="S417" s="243">
        <f>(S295+S302+S309)*'OLD Formulas'!$D$23</f>
        <v>0</v>
      </c>
      <c r="T417" s="243">
        <f>(T295+T302+T309)*'OLD Formulas'!$D$23</f>
        <v>0</v>
      </c>
      <c r="U417" s="243">
        <f>(U295+U302+U309)*'OLD Formulas'!$D$23</f>
        <v>0</v>
      </c>
      <c r="V417" s="243">
        <f>(V295+V302+V309)*'OLD Formulas'!$D$23</f>
        <v>0</v>
      </c>
      <c r="W417" s="243">
        <f>(W295+W302+W309)*'OLD Formulas'!$D$23</f>
        <v>0</v>
      </c>
      <c r="X417" s="243">
        <f>(X295+X302+X309)*'OLD Formulas'!$D$23</f>
        <v>0</v>
      </c>
      <c r="Y417" s="243">
        <f>(Y295+Y302+Y309)*'OLD Formulas'!$D$23</f>
        <v>0</v>
      </c>
      <c r="Z417" s="243">
        <f>(Z295+Z302+Z309)*'OLD Formulas'!$D$23</f>
        <v>0</v>
      </c>
      <c r="AA417" s="243">
        <f>(AA295+AA302+AA309)*'OLD Formulas'!$D$23</f>
        <v>0</v>
      </c>
      <c r="AB417" s="243">
        <f>(AB295+AB302+AB309)*'OLD Formulas'!$D$23</f>
        <v>0</v>
      </c>
      <c r="AC417" s="243">
        <f>(AC295+AC302+AC309)*'OLD Formulas'!$D$23</f>
        <v>0</v>
      </c>
      <c r="AD417" s="243">
        <f>(AD295+AD302+AD309)*'OLD Formulas'!$D$23</f>
        <v>0</v>
      </c>
      <c r="AE417" s="243">
        <f>(AE295+AE302+AE309)*'OLD Formulas'!$D$23</f>
        <v>0</v>
      </c>
      <c r="AF417" s="980"/>
      <c r="AG417" s="981"/>
    </row>
    <row r="418" hidden="1" outlineLevel="1">
      <c r="A418" s="975" t="s">
        <v>1263</v>
      </c>
      <c r="B418" s="243">
        <f>(B295+B302+B309)*'OLD Formulas'!$D$24</f>
        <v>0</v>
      </c>
      <c r="C418" s="243">
        <f>(C295+C302+C309)*'OLD Formulas'!$D$24</f>
        <v>0</v>
      </c>
      <c r="D418" s="243">
        <f>(D295+D302+D309)*'OLD Formulas'!$D$24</f>
        <v>0</v>
      </c>
      <c r="E418" s="243">
        <f>(E295+E302+E309)*'OLD Formulas'!$D$24</f>
        <v>0</v>
      </c>
      <c r="F418" s="243">
        <f>(F295+F302+F309)*'OLD Formulas'!$D$24</f>
        <v>0</v>
      </c>
      <c r="G418" s="243">
        <f>(G295+G302+G309)*'OLD Formulas'!$D$24</f>
        <v>0</v>
      </c>
      <c r="H418" s="243">
        <f>(H295+H302+H309)*'OLD Formulas'!$D$24</f>
        <v>0</v>
      </c>
      <c r="I418" s="243">
        <f>(I295+I302+I309)*'OLD Formulas'!$D$24</f>
        <v>0</v>
      </c>
      <c r="J418" s="243">
        <f>(J295+J302+J309)*'OLD Formulas'!$D$24</f>
        <v>0</v>
      </c>
      <c r="K418" s="243">
        <f>(K295+K302+K309)*'OLD Formulas'!$D$24</f>
        <v>0</v>
      </c>
      <c r="L418" s="243">
        <f>(L295+L302+L309)*'OLD Formulas'!$D$24</f>
        <v>0</v>
      </c>
      <c r="M418" s="243">
        <f>(M295+M302+M309)*'OLD Formulas'!$D$24</f>
        <v>0</v>
      </c>
      <c r="N418" s="243">
        <f>(N295+N302+N309)*'OLD Formulas'!$D$24</f>
        <v>0</v>
      </c>
      <c r="O418" s="243">
        <f>(O295+O302+O309)*'OLD Formulas'!$D$24</f>
        <v>0</v>
      </c>
      <c r="P418" s="243">
        <f>(P295+P302+P309)*'OLD Formulas'!$D$24</f>
        <v>0</v>
      </c>
      <c r="Q418" s="243">
        <f>(Q295+Q302+Q309)*'OLD Formulas'!$D$24</f>
        <v>0</v>
      </c>
      <c r="R418" s="243">
        <f>(R295+R302+R309)*'OLD Formulas'!$D$24</f>
        <v>0</v>
      </c>
      <c r="S418" s="243">
        <f>(S295+S302+S309)*'OLD Formulas'!$D$24</f>
        <v>0</v>
      </c>
      <c r="T418" s="243">
        <f>(T295+T302+T309)*'OLD Formulas'!$D$24</f>
        <v>0</v>
      </c>
      <c r="U418" s="243">
        <f>(U295+U302+U309)*'OLD Formulas'!$D$24</f>
        <v>0</v>
      </c>
      <c r="V418" s="243">
        <f>(V295+V302+V309)*'OLD Formulas'!$D$24</f>
        <v>0</v>
      </c>
      <c r="W418" s="243">
        <f>(W295+W302+W309)*'OLD Formulas'!$D$24</f>
        <v>0</v>
      </c>
      <c r="X418" s="243">
        <f>(X295+X302+X309)*'OLD Formulas'!$D$24</f>
        <v>0</v>
      </c>
      <c r="Y418" s="243">
        <f>(Y295+Y302+Y309)*'OLD Formulas'!$D$24</f>
        <v>0</v>
      </c>
      <c r="Z418" s="243">
        <f>(Z295+Z302+Z309)*'OLD Formulas'!$D$24</f>
        <v>0</v>
      </c>
      <c r="AA418" s="243">
        <f>(AA295+AA302+AA309)*'OLD Formulas'!$D$24</f>
        <v>0</v>
      </c>
      <c r="AB418" s="243">
        <f>(AB295+AB302+AB309)*'OLD Formulas'!$D$24</f>
        <v>0</v>
      </c>
      <c r="AC418" s="243">
        <f>(AC295+AC302+AC309)*'OLD Formulas'!$D$24</f>
        <v>0</v>
      </c>
      <c r="AD418" s="243">
        <f>(AD295+AD302+AD309)*'OLD Formulas'!$D$24</f>
        <v>0</v>
      </c>
      <c r="AE418" s="243">
        <f>(AE295+AE302+AE309)*'OLD Formulas'!$D$24</f>
        <v>0</v>
      </c>
      <c r="AF418" s="980"/>
      <c r="AG418" s="981"/>
    </row>
    <row r="419" hidden="1" outlineLevel="1">
      <c r="A419" s="975" t="s">
        <v>1265</v>
      </c>
      <c r="B419" s="243">
        <f>(B295+B302+B309)*'OLD Formulas'!$D$25</f>
        <v>0</v>
      </c>
      <c r="C419" s="243">
        <f>(C295+C302+C309)*'OLD Formulas'!$D$25</f>
        <v>0</v>
      </c>
      <c r="D419" s="243">
        <f>(D295+D302+D309)*'OLD Formulas'!$D$25</f>
        <v>0</v>
      </c>
      <c r="E419" s="243">
        <f>(E295+E302+E309)*'OLD Formulas'!$D$25</f>
        <v>0</v>
      </c>
      <c r="F419" s="243">
        <f>(F295+F302+F309)*'OLD Formulas'!$D$25</f>
        <v>0</v>
      </c>
      <c r="G419" s="243">
        <f>(G295+G302+G309)*'OLD Formulas'!$D$25</f>
        <v>0</v>
      </c>
      <c r="H419" s="243">
        <f>(H295+H302+H309)*'OLD Formulas'!$D$25</f>
        <v>0</v>
      </c>
      <c r="I419" s="243">
        <f>(I295+I302+I309)*'OLD Formulas'!$D$25</f>
        <v>0</v>
      </c>
      <c r="J419" s="243">
        <f>(J295+J302+J309)*'OLD Formulas'!$D$25</f>
        <v>0</v>
      </c>
      <c r="K419" s="243">
        <f>(K295+K302+K309)*'OLD Formulas'!$D$25</f>
        <v>0</v>
      </c>
      <c r="L419" s="243">
        <f>(L295+L302+L309)*'OLD Formulas'!$D$25</f>
        <v>0</v>
      </c>
      <c r="M419" s="243">
        <f>(M295+M302+M309)*'OLD Formulas'!$D$25</f>
        <v>0</v>
      </c>
      <c r="N419" s="243">
        <f>(N295+N302+N309)*'OLD Formulas'!$D$25</f>
        <v>0</v>
      </c>
      <c r="O419" s="243">
        <f>(O295+O302+O309)*'OLD Formulas'!$D$25</f>
        <v>0</v>
      </c>
      <c r="P419" s="243">
        <f>(P295+P302+P309)*'OLD Formulas'!$D$25</f>
        <v>0</v>
      </c>
      <c r="Q419" s="243">
        <f>(Q295+Q302+Q309)*'OLD Formulas'!$D$25</f>
        <v>0</v>
      </c>
      <c r="R419" s="243">
        <f>(R295+R302+R309)*'OLD Formulas'!$D$25</f>
        <v>0</v>
      </c>
      <c r="S419" s="243">
        <f>(S295+S302+S309)*'OLD Formulas'!$D$25</f>
        <v>0</v>
      </c>
      <c r="T419" s="243">
        <f>(T295+T302+T309)*'OLD Formulas'!$D$25</f>
        <v>0</v>
      </c>
      <c r="U419" s="243">
        <f>(U295+U302+U309)*'OLD Formulas'!$D$25</f>
        <v>0</v>
      </c>
      <c r="V419" s="243">
        <f>(V295+V302+V309)*'OLD Formulas'!$D$25</f>
        <v>0</v>
      </c>
      <c r="W419" s="243">
        <f>(W295+W302+W309)*'OLD Formulas'!$D$25</f>
        <v>0</v>
      </c>
      <c r="X419" s="243">
        <f>(X295+X302+X309)*'OLD Formulas'!$D$25</f>
        <v>0</v>
      </c>
      <c r="Y419" s="243">
        <f>(Y295+Y302+Y309)*'OLD Formulas'!$D$25</f>
        <v>0</v>
      </c>
      <c r="Z419" s="243">
        <f>(Z295+Z302+Z309)*'OLD Formulas'!$D$25</f>
        <v>0</v>
      </c>
      <c r="AA419" s="243">
        <f>(AA295+AA302+AA309)*'OLD Formulas'!$D$25</f>
        <v>0</v>
      </c>
      <c r="AB419" s="243">
        <f>(AB295+AB302+AB309)*'OLD Formulas'!$D$25</f>
        <v>0</v>
      </c>
      <c r="AC419" s="243">
        <f>(AC295+AC302+AC309)*'OLD Formulas'!$D$25</f>
        <v>0</v>
      </c>
      <c r="AD419" s="243">
        <f>(AD295+AD302+AD309)*'OLD Formulas'!$D$25</f>
        <v>0</v>
      </c>
      <c r="AE419" s="243">
        <f>(AE295+AE302+AE309)*'OLD Formulas'!$D$25</f>
        <v>0</v>
      </c>
      <c r="AF419" s="980"/>
      <c r="AG419" s="981"/>
    </row>
    <row r="420" hidden="1" outlineLevel="1">
      <c r="A420" s="975" t="s">
        <v>1267</v>
      </c>
      <c r="B420" s="243">
        <f>(B295+B302+B309)*'OLD Formulas'!$D$26</f>
        <v>0</v>
      </c>
      <c r="C420" s="243">
        <f>(C295+C302+C309)*'OLD Formulas'!$D$26</f>
        <v>0</v>
      </c>
      <c r="D420" s="243">
        <f>(D295+D302+D309)*'OLD Formulas'!$D$26</f>
        <v>0</v>
      </c>
      <c r="E420" s="243">
        <f>(E295+E302+E309)*'OLD Formulas'!$D$26</f>
        <v>0</v>
      </c>
      <c r="F420" s="243">
        <f>(F295+F302+F309)*'OLD Formulas'!$D$26</f>
        <v>0</v>
      </c>
      <c r="G420" s="243">
        <f>(G295+G302+G309)*'OLD Formulas'!$D$26</f>
        <v>0</v>
      </c>
      <c r="H420" s="243">
        <f>(H295+H302+H309)*'OLD Formulas'!$D$26</f>
        <v>0</v>
      </c>
      <c r="I420" s="243">
        <f>(I295+I302+I309)*'OLD Formulas'!$D$26</f>
        <v>0</v>
      </c>
      <c r="J420" s="243">
        <f>(J295+J302+J309)*'OLD Formulas'!$D$26</f>
        <v>0</v>
      </c>
      <c r="K420" s="243">
        <f>(K295+K302+K309)*'OLD Formulas'!$D$26</f>
        <v>0</v>
      </c>
      <c r="L420" s="243">
        <f>(L295+L302+L309)*'OLD Formulas'!$D$26</f>
        <v>0</v>
      </c>
      <c r="M420" s="243">
        <f>(M295+M302+M309)*'OLD Formulas'!$D$26</f>
        <v>0</v>
      </c>
      <c r="N420" s="243">
        <f>(N295+N302+N309)*'OLD Formulas'!$D$26</f>
        <v>0</v>
      </c>
      <c r="O420" s="243">
        <f>(O295+O302+O309)*'OLD Formulas'!$D$26</f>
        <v>0</v>
      </c>
      <c r="P420" s="243">
        <f>(P295+P302+P309)*'OLD Formulas'!$D$26</f>
        <v>0</v>
      </c>
      <c r="Q420" s="243">
        <f>(Q295+Q302+Q309)*'OLD Formulas'!$D$26</f>
        <v>0</v>
      </c>
      <c r="R420" s="243">
        <f>(R295+R302+R309)*'OLD Formulas'!$D$26</f>
        <v>0</v>
      </c>
      <c r="S420" s="243">
        <f>(S295+S302+S309)*'OLD Formulas'!$D$26</f>
        <v>0</v>
      </c>
      <c r="T420" s="243">
        <f>(T295+T302+T309)*'OLD Formulas'!$D$26</f>
        <v>0</v>
      </c>
      <c r="U420" s="243">
        <f>(U295+U302+U309)*'OLD Formulas'!$D$26</f>
        <v>0</v>
      </c>
      <c r="V420" s="243">
        <f>(V295+V302+V309)*'OLD Formulas'!$D$26</f>
        <v>0</v>
      </c>
      <c r="W420" s="243">
        <f>(W295+W302+W309)*'OLD Formulas'!$D$26</f>
        <v>0</v>
      </c>
      <c r="X420" s="243">
        <f>(X295+X302+X309)*'OLD Formulas'!$D$26</f>
        <v>0</v>
      </c>
      <c r="Y420" s="243">
        <f>(Y295+Y302+Y309)*'OLD Formulas'!$D$26</f>
        <v>0</v>
      </c>
      <c r="Z420" s="243">
        <f>(Z295+Z302+Z309)*'OLD Formulas'!$D$26</f>
        <v>0</v>
      </c>
      <c r="AA420" s="243">
        <f>(AA295+AA302+AA309)*'OLD Formulas'!$D$26</f>
        <v>0</v>
      </c>
      <c r="AB420" s="243">
        <f>(AB295+AB302+AB309)*'OLD Formulas'!$D$26</f>
        <v>0</v>
      </c>
      <c r="AC420" s="243">
        <f>(AC295+AC302+AC309)*'OLD Formulas'!$D$26</f>
        <v>0</v>
      </c>
      <c r="AD420" s="243">
        <f>(AD295+AD302+AD309)*'OLD Formulas'!$D$26</f>
        <v>0</v>
      </c>
      <c r="AE420" s="243">
        <f>(AE295+AE302+AE309)*'OLD Formulas'!$D$26</f>
        <v>0</v>
      </c>
      <c r="AF420" s="980"/>
      <c r="AG420" s="981"/>
    </row>
    <row r="421" hidden="1" outlineLevel="1">
      <c r="A421" s="977" t="s">
        <v>1268</v>
      </c>
      <c r="B421" s="978">
        <f>(B295+B302+B309)*'OLD Formulas'!$D$27</f>
        <v>0</v>
      </c>
      <c r="C421" s="978">
        <f>(C295+C302+C309)*'OLD Formulas'!$D$27</f>
        <v>0</v>
      </c>
      <c r="D421" s="978">
        <f>(D295+D302+D309)*'OLD Formulas'!$D$27</f>
        <v>0</v>
      </c>
      <c r="E421" s="978">
        <f>(E295+E302+E309)*'OLD Formulas'!$D$27</f>
        <v>0</v>
      </c>
      <c r="F421" s="978">
        <f>(F295+F302+F309)*'OLD Formulas'!$D$27</f>
        <v>0</v>
      </c>
      <c r="G421" s="978">
        <f>(G295+G302+G309)*'OLD Formulas'!$D$27</f>
        <v>0</v>
      </c>
      <c r="H421" s="978">
        <f>(H295+H302+H309)*'OLD Formulas'!$D$27</f>
        <v>0</v>
      </c>
      <c r="I421" s="978">
        <f>(I295+I302+I309)*'OLD Formulas'!$D$27</f>
        <v>0</v>
      </c>
      <c r="J421" s="978">
        <f>(J295+J302+J309)*'OLD Formulas'!$D$27</f>
        <v>0</v>
      </c>
      <c r="K421" s="978">
        <f>(K295+K302+K309)*'OLD Formulas'!$D$27</f>
        <v>0</v>
      </c>
      <c r="L421" s="978">
        <f>(L295+L302+L309)*'OLD Formulas'!$D$27</f>
        <v>0</v>
      </c>
      <c r="M421" s="978">
        <f>(M295+M302+M309)*'OLD Formulas'!$D$27</f>
        <v>0</v>
      </c>
      <c r="N421" s="978">
        <f>(N295+N302+N309)*'OLD Formulas'!$D$27</f>
        <v>0</v>
      </c>
      <c r="O421" s="978">
        <f>(O295+O302+O309)*'OLD Formulas'!$D$27</f>
        <v>0</v>
      </c>
      <c r="P421" s="978">
        <f>(P295+P302+P309)*'OLD Formulas'!$D$27</f>
        <v>0</v>
      </c>
      <c r="Q421" s="978">
        <f>(Q295+Q302+Q309)*'OLD Formulas'!$D$27</f>
        <v>0</v>
      </c>
      <c r="R421" s="978">
        <f>(R295+R302+R309)*'OLD Formulas'!$D$27</f>
        <v>0</v>
      </c>
      <c r="S421" s="978">
        <f>(S295+S302+S309)*'OLD Formulas'!$D$27</f>
        <v>0</v>
      </c>
      <c r="T421" s="978">
        <f>(T295+T302+T309)*'OLD Formulas'!$D$27</f>
        <v>0</v>
      </c>
      <c r="U421" s="978">
        <f>(U295+U302+U309)*'OLD Formulas'!$D$27</f>
        <v>0</v>
      </c>
      <c r="V421" s="978">
        <f>(V295+V302+V309)*'OLD Formulas'!$D$27</f>
        <v>0</v>
      </c>
      <c r="W421" s="978">
        <f>(W295+W302+W309)*'OLD Formulas'!$D$27</f>
        <v>0</v>
      </c>
      <c r="X421" s="978">
        <f>(X295+X302+X309)*'OLD Formulas'!$D$27</f>
        <v>0</v>
      </c>
      <c r="Y421" s="978">
        <f>(Y295+Y302+Y309)*'OLD Formulas'!$D$27</f>
        <v>0</v>
      </c>
      <c r="Z421" s="978">
        <f>(Z295+Z302+Z309)*'OLD Formulas'!$D$27</f>
        <v>0</v>
      </c>
      <c r="AA421" s="978">
        <f>(AA295+AA302+AA309)*'OLD Formulas'!$D$27</f>
        <v>0</v>
      </c>
      <c r="AB421" s="978">
        <f>(AB295+AB302+AB309)*'OLD Formulas'!$D$27</f>
        <v>0</v>
      </c>
      <c r="AC421" s="978">
        <f>(AC295+AC302+AC309)*'OLD Formulas'!$D$27</f>
        <v>0</v>
      </c>
      <c r="AD421" s="978">
        <f>(AD295+AD302+AD309)*'OLD Formulas'!$D$27</f>
        <v>0</v>
      </c>
      <c r="AE421" s="978">
        <f>(AE295+AE302+AE309)*'OLD Formulas'!$D$27</f>
        <v>0</v>
      </c>
      <c r="AF421" s="980"/>
      <c r="AG421" s="981"/>
    </row>
    <row r="422">
      <c r="A422" s="594" t="s">
        <v>559</v>
      </c>
      <c r="B422" s="243">
        <f t="shared" ref="B422:AF422" si="149">sum(B385:B421)</f>
        <v>0</v>
      </c>
      <c r="C422" s="243">
        <f t="shared" si="149"/>
        <v>0</v>
      </c>
      <c r="D422" s="243">
        <f t="shared" si="149"/>
        <v>0</v>
      </c>
      <c r="E422" s="243">
        <f t="shared" si="149"/>
        <v>0</v>
      </c>
      <c r="F422" s="243">
        <f t="shared" si="149"/>
        <v>0</v>
      </c>
      <c r="G422" s="243">
        <f t="shared" si="149"/>
        <v>0</v>
      </c>
      <c r="H422" s="243">
        <f t="shared" si="149"/>
        <v>0</v>
      </c>
      <c r="I422" s="243">
        <f t="shared" si="149"/>
        <v>0</v>
      </c>
      <c r="J422" s="243">
        <f t="shared" si="149"/>
        <v>0</v>
      </c>
      <c r="K422" s="243">
        <f t="shared" si="149"/>
        <v>0</v>
      </c>
      <c r="L422" s="243">
        <f t="shared" si="149"/>
        <v>0</v>
      </c>
      <c r="M422" s="243">
        <f t="shared" si="149"/>
        <v>0</v>
      </c>
      <c r="N422" s="243">
        <f t="shared" si="149"/>
        <v>0</v>
      </c>
      <c r="O422" s="243">
        <f t="shared" si="149"/>
        <v>0</v>
      </c>
      <c r="P422" s="243">
        <f t="shared" si="149"/>
        <v>0</v>
      </c>
      <c r="Q422" s="243">
        <f t="shared" si="149"/>
        <v>0</v>
      </c>
      <c r="R422" s="243">
        <f t="shared" si="149"/>
        <v>0</v>
      </c>
      <c r="S422" s="243">
        <f t="shared" si="149"/>
        <v>0</v>
      </c>
      <c r="T422" s="243">
        <f t="shared" si="149"/>
        <v>0</v>
      </c>
      <c r="U422" s="243">
        <f t="shared" si="149"/>
        <v>0</v>
      </c>
      <c r="V422" s="243">
        <f t="shared" si="149"/>
        <v>0</v>
      </c>
      <c r="W422" s="243">
        <f t="shared" si="149"/>
        <v>0</v>
      </c>
      <c r="X422" s="243">
        <f t="shared" si="149"/>
        <v>0</v>
      </c>
      <c r="Y422" s="243">
        <f t="shared" si="149"/>
        <v>0</v>
      </c>
      <c r="Z422" s="243">
        <f t="shared" si="149"/>
        <v>0</v>
      </c>
      <c r="AA422" s="243">
        <f t="shared" si="149"/>
        <v>0</v>
      </c>
      <c r="AB422" s="243">
        <f t="shared" si="149"/>
        <v>0</v>
      </c>
      <c r="AC422" s="243">
        <f t="shared" si="149"/>
        <v>0</v>
      </c>
      <c r="AD422" s="243">
        <f t="shared" si="149"/>
        <v>0</v>
      </c>
      <c r="AE422" s="243">
        <f t="shared" si="149"/>
        <v>0</v>
      </c>
      <c r="AF422" s="243">
        <f t="shared" si="149"/>
        <v>0</v>
      </c>
      <c r="AG422" s="623">
        <f>SUM(B422:AE422)</f>
        <v>0</v>
      </c>
    </row>
    <row r="423">
      <c r="A423" s="25"/>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c r="AB423" s="53"/>
      <c r="AC423" s="53"/>
      <c r="AD423" s="53"/>
      <c r="AE423" s="53"/>
      <c r="AF423" s="9"/>
      <c r="AG423" s="453"/>
    </row>
    <row r="424">
      <c r="A424" s="984" t="s">
        <v>98</v>
      </c>
      <c r="B424" s="985">
        <f t="shared" ref="B424:AF424" si="150">SUM(B345:B373)+B422</f>
        <v>7825.141945</v>
      </c>
      <c r="C424" s="985">
        <f t="shared" si="150"/>
        <v>7493.660738</v>
      </c>
      <c r="D424" s="985">
        <f t="shared" si="150"/>
        <v>9492.048698</v>
      </c>
      <c r="E424" s="985">
        <f t="shared" si="150"/>
        <v>12035.30795</v>
      </c>
      <c r="F424" s="985">
        <f t="shared" si="150"/>
        <v>12747.179</v>
      </c>
      <c r="G424" s="985">
        <f t="shared" si="150"/>
        <v>9925.950729</v>
      </c>
      <c r="H424" s="985">
        <f t="shared" si="150"/>
        <v>8896.755682</v>
      </c>
      <c r="I424" s="985">
        <f t="shared" si="150"/>
        <v>7578.835989</v>
      </c>
      <c r="J424" s="985">
        <f t="shared" si="150"/>
        <v>15904.01796</v>
      </c>
      <c r="K424" s="985">
        <f t="shared" si="150"/>
        <v>17587.92997</v>
      </c>
      <c r="L424" s="985">
        <f t="shared" si="150"/>
        <v>24302.71553</v>
      </c>
      <c r="M424" s="985">
        <f t="shared" si="150"/>
        <v>25110.13247</v>
      </c>
      <c r="N424" s="985">
        <f t="shared" si="150"/>
        <v>22657.09869</v>
      </c>
      <c r="O424" s="985">
        <f t="shared" si="150"/>
        <v>23517.59121</v>
      </c>
      <c r="P424" s="985">
        <f t="shared" si="150"/>
        <v>25137.34634</v>
      </c>
      <c r="Q424" s="985">
        <f t="shared" si="150"/>
        <v>29160.86804</v>
      </c>
      <c r="R424" s="985">
        <f t="shared" si="150"/>
        <v>34345.9336</v>
      </c>
      <c r="S424" s="985">
        <f t="shared" si="150"/>
        <v>48310.8823</v>
      </c>
      <c r="T424" s="985">
        <f t="shared" si="150"/>
        <v>27879.22223</v>
      </c>
      <c r="U424" s="985">
        <f t="shared" si="150"/>
        <v>71328.7966</v>
      </c>
      <c r="V424" s="985">
        <f t="shared" si="150"/>
        <v>73743.16704</v>
      </c>
      <c r="W424" s="985">
        <f t="shared" si="150"/>
        <v>83392.6516</v>
      </c>
      <c r="X424" s="985">
        <f t="shared" si="150"/>
        <v>125435.908</v>
      </c>
      <c r="Y424" s="985">
        <f t="shared" si="150"/>
        <v>423213.3405</v>
      </c>
      <c r="Z424" s="985">
        <f t="shared" si="150"/>
        <v>162723.3108</v>
      </c>
      <c r="AA424" s="985">
        <f t="shared" si="150"/>
        <v>159722.3557</v>
      </c>
      <c r="AB424" s="985">
        <f t="shared" si="150"/>
        <v>5733.676217</v>
      </c>
      <c r="AC424" s="985">
        <f t="shared" si="150"/>
        <v>22.86774194</v>
      </c>
      <c r="AD424" s="985">
        <f t="shared" si="150"/>
        <v>17.36774194</v>
      </c>
      <c r="AE424" s="985">
        <f t="shared" si="150"/>
        <v>502.0077419</v>
      </c>
      <c r="AF424" s="985">
        <f t="shared" si="150"/>
        <v>17.36774194</v>
      </c>
      <c r="AG424" s="623">
        <f>SUM(B424:AE424)</f>
        <v>1475744.069</v>
      </c>
    </row>
    <row r="425">
      <c r="A425" s="25"/>
      <c r="B425" s="640"/>
      <c r="C425" s="640"/>
      <c r="D425" s="640"/>
      <c r="E425" s="640"/>
      <c r="F425" s="640"/>
      <c r="G425" s="640"/>
      <c r="H425" s="640"/>
      <c r="I425" s="640"/>
      <c r="J425" s="640"/>
      <c r="K425" s="640"/>
      <c r="L425" s="640"/>
      <c r="M425" s="640"/>
      <c r="N425" s="640"/>
      <c r="O425" s="640"/>
      <c r="P425" s="640"/>
      <c r="Q425" s="640"/>
      <c r="R425" s="640"/>
      <c r="S425" s="640"/>
      <c r="T425" s="640"/>
      <c r="U425" s="640"/>
      <c r="V425" s="640"/>
      <c r="W425" s="640"/>
      <c r="X425" s="640"/>
      <c r="Y425" s="640"/>
      <c r="Z425" s="640"/>
      <c r="AA425" s="640"/>
      <c r="AB425" s="640"/>
      <c r="AC425" s="640"/>
      <c r="AD425" s="640"/>
      <c r="AE425" s="640"/>
      <c r="AF425" s="9"/>
      <c r="AG425" s="453"/>
    </row>
    <row r="426">
      <c r="A426" s="595" t="s">
        <v>1285</v>
      </c>
      <c r="B426" s="66">
        <f t="shared" ref="B426:AF426" si="151">B9-B424</f>
        <v>4754.858055</v>
      </c>
      <c r="C426" s="66">
        <f t="shared" si="151"/>
        <v>3014.189263</v>
      </c>
      <c r="D426" s="66">
        <f t="shared" si="151"/>
        <v>6050.801303</v>
      </c>
      <c r="E426" s="66">
        <f t="shared" si="151"/>
        <v>5844.692046</v>
      </c>
      <c r="F426" s="66">
        <f t="shared" si="151"/>
        <v>7088.670996</v>
      </c>
      <c r="G426" s="66">
        <f t="shared" si="151"/>
        <v>6099.049271</v>
      </c>
      <c r="H426" s="66">
        <f t="shared" si="151"/>
        <v>4412.094318</v>
      </c>
      <c r="I426" s="66">
        <f t="shared" si="151"/>
        <v>7486.014011</v>
      </c>
      <c r="J426" s="66">
        <f t="shared" si="151"/>
        <v>16107.98204</v>
      </c>
      <c r="K426" s="66">
        <f t="shared" si="151"/>
        <v>15850.07003</v>
      </c>
      <c r="L426" s="66">
        <f t="shared" si="151"/>
        <v>24941.13447</v>
      </c>
      <c r="M426" s="66">
        <f t="shared" si="151"/>
        <v>23444.86753</v>
      </c>
      <c r="N426" s="66">
        <f t="shared" si="151"/>
        <v>21219.90131</v>
      </c>
      <c r="O426" s="66">
        <f t="shared" si="151"/>
        <v>23560.25879</v>
      </c>
      <c r="P426" s="66">
        <f t="shared" si="151"/>
        <v>13285.04366</v>
      </c>
      <c r="Q426" s="66">
        <f t="shared" si="151"/>
        <v>11985.33196</v>
      </c>
      <c r="R426" s="66">
        <f t="shared" si="151"/>
        <v>16081.7364</v>
      </c>
      <c r="S426" s="66">
        <f t="shared" si="151"/>
        <v>9006.597703</v>
      </c>
      <c r="T426" s="66">
        <f t="shared" si="151"/>
        <v>11874.51777</v>
      </c>
      <c r="U426" s="66">
        <f t="shared" si="151"/>
        <v>32293.1934</v>
      </c>
      <c r="V426" s="66">
        <f t="shared" si="151"/>
        <v>31008.82296</v>
      </c>
      <c r="W426" s="66">
        <f t="shared" si="151"/>
        <v>32642.3484</v>
      </c>
      <c r="X426" s="66">
        <f t="shared" si="151"/>
        <v>61179.09201</v>
      </c>
      <c r="Y426" s="66">
        <f t="shared" si="151"/>
        <v>272602.6195</v>
      </c>
      <c r="Z426" s="66">
        <f t="shared" si="151"/>
        <v>79371.6892</v>
      </c>
      <c r="AA426" s="66">
        <f t="shared" si="151"/>
        <v>77116.64432</v>
      </c>
      <c r="AB426" s="66">
        <f t="shared" si="151"/>
        <v>-1458.866217</v>
      </c>
      <c r="AC426" s="66">
        <f t="shared" si="151"/>
        <v>32.13225806</v>
      </c>
      <c r="AD426" s="66">
        <f t="shared" si="151"/>
        <v>-17.36774194</v>
      </c>
      <c r="AE426" s="66">
        <f t="shared" si="151"/>
        <v>4.992258065</v>
      </c>
      <c r="AF426" s="66">
        <f t="shared" si="151"/>
        <v>-17.36774194</v>
      </c>
      <c r="AG426" s="623">
        <f>SUM(B426:AE426)</f>
        <v>816883.1113</v>
      </c>
    </row>
    <row r="427">
      <c r="A427" s="986">
        <f>SUM(B426:AC426)</f>
        <v>816895.4867</v>
      </c>
      <c r="B427" s="640"/>
      <c r="C427" s="640"/>
      <c r="D427" s="640"/>
      <c r="E427" s="640"/>
      <c r="F427" s="640"/>
      <c r="G427" s="640"/>
      <c r="H427" s="640"/>
      <c r="I427" s="640"/>
      <c r="J427" s="640"/>
      <c r="K427" s="640"/>
      <c r="L427" s="640"/>
      <c r="M427" s="640"/>
      <c r="N427" s="640"/>
      <c r="O427" s="640"/>
      <c r="P427" s="640"/>
      <c r="Q427" s="640"/>
      <c r="R427" s="640"/>
      <c r="S427" s="640"/>
      <c r="T427" s="640"/>
      <c r="U427" s="640"/>
      <c r="V427" s="640"/>
      <c r="W427" s="640"/>
      <c r="X427" s="640"/>
      <c r="Y427" s="640"/>
      <c r="Z427" s="640"/>
      <c r="AA427" s="640"/>
      <c r="AB427" s="640"/>
      <c r="AC427" s="640"/>
      <c r="AD427" s="640"/>
      <c r="AE427" s="640"/>
      <c r="AF427" s="22"/>
      <c r="AG427" s="987"/>
    </row>
    <row r="428">
      <c r="A428" s="25"/>
      <c r="B428" s="640"/>
      <c r="C428" s="640"/>
      <c r="D428" s="640"/>
      <c r="E428" s="640"/>
      <c r="F428" s="640"/>
      <c r="G428" s="640"/>
      <c r="H428" s="640"/>
      <c r="I428" s="640"/>
      <c r="J428" s="640"/>
      <c r="K428" s="640"/>
      <c r="L428" s="640"/>
      <c r="M428" s="640"/>
      <c r="N428" s="640"/>
      <c r="O428" s="640"/>
      <c r="P428" s="640"/>
      <c r="Q428" s="640"/>
      <c r="R428" s="640"/>
      <c r="S428" s="640"/>
      <c r="T428" s="640"/>
      <c r="U428" s="640"/>
      <c r="V428" s="640"/>
      <c r="W428" s="640"/>
      <c r="X428" s="640"/>
      <c r="Y428" s="640"/>
      <c r="Z428" s="640"/>
      <c r="AA428" s="640"/>
      <c r="AB428" s="640"/>
      <c r="AC428" s="640"/>
      <c r="AD428" s="640"/>
      <c r="AE428" s="640"/>
      <c r="AF428" s="22"/>
      <c r="AG428" s="987"/>
    </row>
    <row r="429">
      <c r="A429" s="988" t="s">
        <v>1286</v>
      </c>
      <c r="B429" s="989">
        <f t="shared" ref="B429:AF429" si="152">B426/B9</f>
        <v>0.3779696387</v>
      </c>
      <c r="C429" s="989">
        <f t="shared" si="152"/>
        <v>0.2868511886</v>
      </c>
      <c r="D429" s="989">
        <f t="shared" si="152"/>
        <v>0.3892980568</v>
      </c>
      <c r="E429" s="989">
        <f t="shared" si="152"/>
        <v>0.3268843426</v>
      </c>
      <c r="F429" s="989">
        <f t="shared" si="152"/>
        <v>0.3573666364</v>
      </c>
      <c r="G429" s="989">
        <f t="shared" si="152"/>
        <v>0.3805958983</v>
      </c>
      <c r="H429" s="989">
        <f t="shared" si="152"/>
        <v>0.3315158198</v>
      </c>
      <c r="I429" s="989">
        <f t="shared" si="152"/>
        <v>0.4969192531</v>
      </c>
      <c r="J429" s="989">
        <f t="shared" si="152"/>
        <v>0.503185744</v>
      </c>
      <c r="K429" s="989">
        <f t="shared" si="152"/>
        <v>0.4740136978</v>
      </c>
      <c r="L429" s="989">
        <f t="shared" si="152"/>
        <v>0.50648222</v>
      </c>
      <c r="M429" s="989">
        <f t="shared" si="152"/>
        <v>0.4828517666</v>
      </c>
      <c r="N429" s="989">
        <f t="shared" si="152"/>
        <v>0.4836224288</v>
      </c>
      <c r="O429" s="989">
        <f t="shared" si="152"/>
        <v>0.5004531598</v>
      </c>
      <c r="P429" s="989">
        <f t="shared" si="152"/>
        <v>0.3457630736</v>
      </c>
      <c r="Q429" s="989">
        <f t="shared" si="152"/>
        <v>0.2912864847</v>
      </c>
      <c r="R429" s="989">
        <f t="shared" si="152"/>
        <v>0.3189069889</v>
      </c>
      <c r="S429" s="989">
        <f t="shared" si="152"/>
        <v>0.1571352701</v>
      </c>
      <c r="T429" s="989">
        <f t="shared" si="152"/>
        <v>0.2987019025</v>
      </c>
      <c r="U429" s="989">
        <f t="shared" si="152"/>
        <v>0.3116442118</v>
      </c>
      <c r="V429" s="989">
        <f t="shared" si="152"/>
        <v>0.2960213258</v>
      </c>
      <c r="W429" s="989">
        <f t="shared" si="152"/>
        <v>0.2813146758</v>
      </c>
      <c r="X429" s="989">
        <f t="shared" si="152"/>
        <v>0.3278358761</v>
      </c>
      <c r="Y429" s="989">
        <f t="shared" si="152"/>
        <v>0.3917740253</v>
      </c>
      <c r="Z429" s="989">
        <f t="shared" si="152"/>
        <v>0.327853484</v>
      </c>
      <c r="AA429" s="989">
        <f t="shared" si="152"/>
        <v>0.3256078784</v>
      </c>
      <c r="AB429" s="989">
        <f t="shared" si="152"/>
        <v>-0.341270423</v>
      </c>
      <c r="AC429" s="989">
        <f t="shared" si="152"/>
        <v>0.5842228739</v>
      </c>
      <c r="AD429" s="989" t="str">
        <f t="shared" si="152"/>
        <v>#DIV/0!</v>
      </c>
      <c r="AE429" s="989">
        <f t="shared" si="152"/>
        <v>0.009846662849</v>
      </c>
      <c r="AF429" s="989" t="str">
        <f t="shared" si="152"/>
        <v>#DIV/0!</v>
      </c>
      <c r="AG429" s="987"/>
    </row>
    <row r="430">
      <c r="A430" s="990" t="s">
        <v>1287</v>
      </c>
      <c r="B430" s="413">
        <f t="shared" ref="B430:AF430" si="153">(B9-B372)/B345</f>
        <v>3.763965269</v>
      </c>
      <c r="C430" s="413">
        <f t="shared" si="153"/>
        <v>3.178783405</v>
      </c>
      <c r="D430" s="413">
        <f t="shared" si="153"/>
        <v>4.827736691</v>
      </c>
      <c r="E430" s="413">
        <f t="shared" si="153"/>
        <v>3.588948928</v>
      </c>
      <c r="F430" s="413">
        <f t="shared" si="153"/>
        <v>3.698703318</v>
      </c>
      <c r="G430" s="413">
        <f t="shared" si="153"/>
        <v>4.005188625</v>
      </c>
      <c r="H430" s="413">
        <f t="shared" si="153"/>
        <v>3.315781344</v>
      </c>
      <c r="I430" s="413">
        <f t="shared" si="153"/>
        <v>5.418016839</v>
      </c>
      <c r="J430" s="413">
        <f t="shared" si="153"/>
        <v>7.260257506</v>
      </c>
      <c r="K430" s="413">
        <f t="shared" si="153"/>
        <v>6.779310513</v>
      </c>
      <c r="L430" s="413">
        <f t="shared" si="153"/>
        <v>8.068384205</v>
      </c>
      <c r="M430" s="413">
        <f t="shared" si="153"/>
        <v>6.693612979</v>
      </c>
      <c r="N430" s="413">
        <f t="shared" si="153"/>
        <v>6.062418999</v>
      </c>
      <c r="O430" s="413">
        <f t="shared" si="153"/>
        <v>7.682629903</v>
      </c>
      <c r="P430" s="413">
        <f t="shared" si="153"/>
        <v>5.831647087</v>
      </c>
      <c r="Q430" s="413">
        <f t="shared" si="153"/>
        <v>4.580681432</v>
      </c>
      <c r="R430" s="413">
        <f t="shared" si="153"/>
        <v>5.368769417</v>
      </c>
      <c r="S430" s="413">
        <f t="shared" si="153"/>
        <v>4.944810998</v>
      </c>
      <c r="T430" s="413">
        <f t="shared" si="153"/>
        <v>3.572823928</v>
      </c>
      <c r="U430" s="413">
        <f t="shared" si="153"/>
        <v>5.932351764</v>
      </c>
      <c r="V430" s="413">
        <f t="shared" si="153"/>
        <v>5.27252205</v>
      </c>
      <c r="W430" s="413">
        <f t="shared" si="153"/>
        <v>5.090821823</v>
      </c>
      <c r="X430" s="413">
        <f t="shared" si="153"/>
        <v>6.475999778</v>
      </c>
      <c r="Y430" s="413">
        <f t="shared" si="153"/>
        <v>10.78738776</v>
      </c>
      <c r="Z430" s="413">
        <f t="shared" si="153"/>
        <v>6.412628451</v>
      </c>
      <c r="AA430" s="413">
        <f t="shared" si="153"/>
        <v>6.308177226</v>
      </c>
      <c r="AB430" s="413">
        <f t="shared" si="153"/>
        <v>1.178289296</v>
      </c>
      <c r="AC430" s="413" t="str">
        <f t="shared" si="153"/>
        <v>#DIV/0!</v>
      </c>
      <c r="AD430" s="413" t="str">
        <f t="shared" si="153"/>
        <v>#DIV/0!</v>
      </c>
      <c r="AE430" s="413">
        <f t="shared" si="153"/>
        <v>1.16836429</v>
      </c>
      <c r="AF430" s="413" t="str">
        <f t="shared" si="153"/>
        <v>#DIV/0!</v>
      </c>
      <c r="AG430" s="987"/>
    </row>
    <row r="431">
      <c r="A431" s="233" t="s">
        <v>439</v>
      </c>
      <c r="B431" s="413">
        <f>'Sales OLD'!B74</f>
        <v>3.763965269</v>
      </c>
      <c r="C431" s="413">
        <f>'Sales OLD'!C74</f>
        <v>3.178783405</v>
      </c>
      <c r="D431" s="413">
        <f>'Sales OLD'!D74</f>
        <v>4.827736691</v>
      </c>
      <c r="E431" s="413">
        <f>'Sales OLD'!E74</f>
        <v>3.588948928</v>
      </c>
      <c r="F431" s="413">
        <f>'Sales OLD'!F74</f>
        <v>3.698703318</v>
      </c>
      <c r="G431" s="413">
        <f>'Sales OLD'!G74</f>
        <v>4.005188625</v>
      </c>
      <c r="H431" s="413">
        <f>'Sales OLD'!H74</f>
        <v>3.315781344</v>
      </c>
      <c r="I431" s="413">
        <f>'Sales OLD'!I74</f>
        <v>5.418016839</v>
      </c>
      <c r="J431" s="413">
        <f>'Sales OLD'!J74</f>
        <v>7.260257506</v>
      </c>
      <c r="K431" s="413">
        <f>'Sales OLD'!K74</f>
        <v>6.779310513</v>
      </c>
      <c r="L431" s="413">
        <f>'Sales OLD'!L74</f>
        <v>8.068384205</v>
      </c>
      <c r="M431" s="413">
        <f>'Sales OLD'!M74</f>
        <v>6.693612979</v>
      </c>
      <c r="N431" s="413">
        <f>'Sales OLD'!N74</f>
        <v>6.062418999</v>
      </c>
      <c r="O431" s="413">
        <f>'Sales OLD'!O74</f>
        <v>7.682629903</v>
      </c>
      <c r="P431" s="413">
        <f>'Sales OLD'!P74</f>
        <v>5.831647087</v>
      </c>
      <c r="Q431" s="413">
        <f>'Sales OLD'!Q74</f>
        <v>4.580681432</v>
      </c>
      <c r="R431" s="413">
        <f>'Sales OLD'!R74</f>
        <v>5.368769417</v>
      </c>
      <c r="S431" s="413">
        <f>'Sales OLD'!S74</f>
        <v>4.944810998</v>
      </c>
      <c r="T431" s="413">
        <f>'Sales OLD'!T74</f>
        <v>3.572823928</v>
      </c>
      <c r="U431" s="413">
        <f>'Sales OLD'!U74</f>
        <v>5.932351764</v>
      </c>
      <c r="V431" s="413">
        <f>'Sales OLD'!V74</f>
        <v>5.27252205</v>
      </c>
      <c r="W431" s="413">
        <f>'Sales OLD'!W74</f>
        <v>5.090821823</v>
      </c>
      <c r="X431" s="413">
        <f>'Sales OLD'!X74</f>
        <v>6.475999778</v>
      </c>
      <c r="Y431" s="413">
        <f>'Sales OLD'!Y74</f>
        <v>10.78738776</v>
      </c>
      <c r="Z431" s="413">
        <f>'Sales OLD'!Z74</f>
        <v>6.412628451</v>
      </c>
      <c r="AA431" s="413">
        <f>'Sales OLD'!AA74</f>
        <v>6.308177226</v>
      </c>
      <c r="AB431" s="413">
        <f>'Sales OLD'!AB74</f>
        <v>1.178289296</v>
      </c>
      <c r="AC431" s="413" t="str">
        <f>'Sales OLD'!AC74</f>
        <v>#DIV/0!</v>
      </c>
      <c r="AD431" s="413" t="str">
        <f>'Sales OLD'!AD74</f>
        <v>#DIV/0!</v>
      </c>
      <c r="AE431" s="413">
        <f>'Sales OLD'!AE74</f>
        <v>1.16836429</v>
      </c>
      <c r="AF431" s="99" t="str">
        <f>#REF!</f>
        <v>#REF!</v>
      </c>
      <c r="AG431" s="987"/>
    </row>
    <row r="432">
      <c r="A432" s="25"/>
      <c r="B432" s="680"/>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c r="AB432" s="53"/>
      <c r="AC432" s="53"/>
      <c r="AD432" s="53"/>
      <c r="AE432" s="53"/>
      <c r="AF432" s="53"/>
      <c r="AG432" s="576"/>
    </row>
    <row r="433">
      <c r="A433" s="9"/>
      <c r="B433" s="991"/>
      <c r="C433" s="992"/>
      <c r="D433" s="992"/>
      <c r="E433" s="992"/>
      <c r="F433" s="992"/>
      <c r="G433" s="992"/>
      <c r="H433" s="992"/>
      <c r="I433" s="992"/>
      <c r="J433" s="992"/>
      <c r="K433" s="992"/>
      <c r="L433" s="992"/>
      <c r="M433" s="992"/>
      <c r="N433" s="992"/>
      <c r="O433" s="992"/>
      <c r="P433" s="992"/>
      <c r="Q433" s="992"/>
      <c r="R433" s="992"/>
      <c r="S433" s="992"/>
      <c r="T433" s="992"/>
      <c r="U433" s="9"/>
      <c r="V433" s="9"/>
      <c r="W433" s="9"/>
      <c r="X433" s="9"/>
      <c r="Y433" s="9"/>
      <c r="Z433" s="9"/>
      <c r="AA433" s="9"/>
      <c r="AB433" s="9"/>
      <c r="AC433" s="9"/>
      <c r="AD433" s="9"/>
      <c r="AE433" s="9"/>
      <c r="AF433" s="53"/>
      <c r="AG433" s="576"/>
    </row>
    <row r="434">
      <c r="A434" s="233" t="s">
        <v>105</v>
      </c>
      <c r="B434" s="993"/>
      <c r="C434" s="993"/>
      <c r="D434" s="993"/>
      <c r="E434" s="993"/>
      <c r="F434" s="993"/>
      <c r="G434" s="993"/>
      <c r="H434" s="993"/>
      <c r="I434" s="993"/>
      <c r="J434" s="993"/>
      <c r="K434" s="993"/>
      <c r="L434" s="993"/>
      <c r="M434" s="993"/>
      <c r="N434" s="993"/>
      <c r="O434" s="993"/>
      <c r="P434" s="993"/>
      <c r="Q434" s="993"/>
      <c r="R434" s="993"/>
      <c r="S434" s="993"/>
      <c r="T434" s="993"/>
      <c r="U434" s="993"/>
      <c r="V434" s="993"/>
      <c r="W434" s="993"/>
      <c r="X434" s="993"/>
      <c r="Y434" s="993"/>
      <c r="Z434" s="993"/>
      <c r="AA434" s="53"/>
      <c r="AB434" s="993"/>
      <c r="AC434" s="993"/>
      <c r="AD434" s="993"/>
      <c r="AE434" s="993"/>
      <c r="AF434" s="53"/>
      <c r="AG434" s="576"/>
    </row>
    <row r="435">
      <c r="A435" s="296">
        <f>SUM(B9:AE9)</f>
        <v>2292627.18</v>
      </c>
      <c r="B435" s="993"/>
      <c r="C435" s="993"/>
      <c r="D435" s="993"/>
      <c r="E435" s="993"/>
      <c r="F435" s="993"/>
      <c r="G435" s="993"/>
      <c r="H435" s="993"/>
      <c r="I435" s="993"/>
      <c r="J435" s="993"/>
      <c r="K435" s="993"/>
      <c r="L435" s="993"/>
      <c r="M435" s="993"/>
      <c r="N435" s="993"/>
      <c r="O435" s="993"/>
      <c r="P435" s="993"/>
      <c r="Q435" s="993"/>
      <c r="R435" s="993"/>
      <c r="S435" s="993"/>
      <c r="T435" s="993"/>
      <c r="U435" s="993"/>
      <c r="V435" s="993"/>
      <c r="W435" s="993"/>
      <c r="X435" s="993"/>
      <c r="Y435" s="993"/>
      <c r="Z435" s="993"/>
      <c r="AA435" s="993"/>
      <c r="AB435" s="993"/>
      <c r="AC435" s="993"/>
      <c r="AD435" s="993"/>
      <c r="AE435" s="993"/>
      <c r="AF435" s="993"/>
      <c r="AG435" s="994"/>
    </row>
    <row r="436">
      <c r="A436" s="25"/>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c r="AB436" s="53"/>
      <c r="AC436" s="53"/>
      <c r="AD436" s="53"/>
      <c r="AE436" s="53"/>
      <c r="AF436" s="53"/>
      <c r="AG436" s="576"/>
    </row>
    <row r="437">
      <c r="A437" s="988" t="s">
        <v>881</v>
      </c>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c r="AB437" s="53"/>
      <c r="AC437" s="53"/>
      <c r="AD437" s="53"/>
      <c r="AE437" s="53"/>
      <c r="AF437" s="53"/>
      <c r="AG437" s="576"/>
    </row>
    <row r="438">
      <c r="A438" s="296">
        <f>SUM(B424:AE424)</f>
        <v>1475744.069</v>
      </c>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c r="AB438" s="53"/>
      <c r="AC438" s="53"/>
      <c r="AD438" s="53"/>
      <c r="AE438" s="53"/>
      <c r="AF438" s="53"/>
      <c r="AG438" s="576"/>
    </row>
    <row r="439">
      <c r="A439" s="25"/>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c r="AB439" s="53"/>
      <c r="AC439" s="53"/>
      <c r="AD439" s="53"/>
      <c r="AE439" s="53"/>
      <c r="AF439" s="53"/>
      <c r="AG439" s="576"/>
    </row>
    <row r="440">
      <c r="A440" s="988" t="s">
        <v>1234</v>
      </c>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c r="AB440" s="53"/>
      <c r="AC440" s="53"/>
      <c r="AD440" s="53"/>
      <c r="AE440" s="53"/>
      <c r="AF440" s="53"/>
      <c r="AG440" s="576"/>
    </row>
    <row r="441">
      <c r="A441" s="238">
        <f>A427/A435</f>
        <v>0.3563141421</v>
      </c>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c r="AB441" s="53"/>
      <c r="AC441" s="53"/>
      <c r="AD441" s="53"/>
      <c r="AE441" s="53"/>
      <c r="AF441" s="53"/>
      <c r="AG441" s="576"/>
    </row>
    <row r="442">
      <c r="A442" s="25"/>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c r="AF442" s="53"/>
      <c r="AG442" s="576"/>
    </row>
    <row r="443">
      <c r="A443" s="723"/>
      <c r="AG443" s="555"/>
    </row>
    <row r="444">
      <c r="A444" s="723"/>
      <c r="AG444" s="555"/>
    </row>
    <row r="445">
      <c r="A445" s="723"/>
      <c r="AG445" s="555"/>
    </row>
    <row r="446">
      <c r="A446" s="723"/>
      <c r="AG446" s="555"/>
    </row>
    <row r="447">
      <c r="A447" s="723"/>
      <c r="AG447" s="555"/>
    </row>
    <row r="448">
      <c r="A448" s="723"/>
      <c r="AG448" s="555"/>
    </row>
    <row r="449">
      <c r="A449" s="723"/>
      <c r="AG449" s="555"/>
    </row>
    <row r="450">
      <c r="A450" s="723"/>
      <c r="AG450" s="555"/>
    </row>
    <row r="451">
      <c r="A451" s="723"/>
      <c r="AG451" s="555"/>
    </row>
    <row r="452">
      <c r="A452" s="723"/>
      <c r="AG452" s="555"/>
    </row>
    <row r="453">
      <c r="A453" s="723"/>
      <c r="AG453" s="555"/>
    </row>
    <row r="454">
      <c r="A454" s="723"/>
      <c r="AG454" s="555"/>
    </row>
    <row r="455">
      <c r="A455" s="723"/>
      <c r="AG455" s="555"/>
    </row>
    <row r="456">
      <c r="A456" s="723"/>
      <c r="AG456" s="555"/>
    </row>
    <row r="457">
      <c r="A457" s="723"/>
      <c r="AG457" s="555"/>
    </row>
    <row r="458">
      <c r="A458" s="723"/>
      <c r="AG458" s="555"/>
    </row>
    <row r="459">
      <c r="A459" s="723"/>
      <c r="AG459" s="555"/>
    </row>
    <row r="460">
      <c r="A460" s="723"/>
      <c r="AG460" s="555"/>
    </row>
    <row r="461">
      <c r="A461" s="723"/>
      <c r="AG461" s="555"/>
    </row>
    <row r="462">
      <c r="A462" s="723"/>
      <c r="AG462" s="555"/>
    </row>
    <row r="463">
      <c r="A463" s="723"/>
      <c r="AG463" s="555"/>
    </row>
    <row r="464">
      <c r="A464" s="723"/>
      <c r="AG464" s="555"/>
    </row>
    <row r="465">
      <c r="A465" s="723"/>
      <c r="AG465" s="555"/>
    </row>
    <row r="466">
      <c r="A466" s="723"/>
      <c r="AG466" s="555"/>
    </row>
    <row r="467">
      <c r="A467" s="723"/>
      <c r="AG467" s="555"/>
    </row>
    <row r="468">
      <c r="A468" s="723"/>
      <c r="AG468" s="555"/>
    </row>
    <row r="469">
      <c r="A469" s="723"/>
      <c r="AG469" s="555"/>
    </row>
    <row r="470">
      <c r="A470" s="723"/>
      <c r="AG470" s="555"/>
    </row>
    <row r="471">
      <c r="A471" s="723"/>
      <c r="AG471" s="555"/>
    </row>
    <row r="472">
      <c r="A472" s="723"/>
      <c r="AG472" s="555"/>
    </row>
    <row r="473">
      <c r="A473" s="723"/>
      <c r="AG473" s="555"/>
    </row>
    <row r="474">
      <c r="A474" s="723"/>
      <c r="AG474" s="555"/>
    </row>
    <row r="475">
      <c r="A475" s="723"/>
      <c r="AG475" s="555"/>
    </row>
    <row r="476">
      <c r="A476" s="723"/>
      <c r="AG476" s="555"/>
    </row>
    <row r="477">
      <c r="A477" s="723"/>
      <c r="AG477" s="555"/>
    </row>
    <row r="478">
      <c r="A478" s="723"/>
      <c r="AG478" s="555"/>
    </row>
    <row r="479">
      <c r="A479" s="723"/>
      <c r="AG479" s="555"/>
    </row>
    <row r="480">
      <c r="A480" s="723"/>
      <c r="AG480" s="555"/>
    </row>
    <row r="481">
      <c r="A481" s="723"/>
      <c r="AG481" s="555"/>
    </row>
    <row r="482">
      <c r="A482" s="723"/>
      <c r="AG482" s="555"/>
    </row>
    <row r="483">
      <c r="A483" s="723"/>
      <c r="AG483" s="555"/>
    </row>
    <row r="484">
      <c r="A484" s="723"/>
      <c r="AG484" s="555"/>
    </row>
    <row r="485">
      <c r="A485" s="723"/>
      <c r="AG485" s="555"/>
    </row>
    <row r="486">
      <c r="A486" s="723"/>
      <c r="AG486" s="555"/>
    </row>
    <row r="487">
      <c r="A487" s="723"/>
      <c r="AG487" s="555"/>
    </row>
    <row r="488">
      <c r="A488" s="723"/>
      <c r="AG488" s="555"/>
    </row>
    <row r="489">
      <c r="A489" s="723"/>
      <c r="AG489" s="555"/>
    </row>
    <row r="490">
      <c r="A490" s="723"/>
      <c r="AG490" s="555"/>
    </row>
    <row r="491">
      <c r="A491" s="723"/>
      <c r="AG491" s="555"/>
    </row>
    <row r="492">
      <c r="A492" s="723"/>
      <c r="AG492" s="555"/>
    </row>
    <row r="493">
      <c r="A493" s="723"/>
      <c r="AG493" s="555"/>
    </row>
    <row r="494">
      <c r="A494" s="723"/>
      <c r="AG494" s="555"/>
    </row>
    <row r="495">
      <c r="A495" s="723"/>
      <c r="AG495" s="555"/>
    </row>
    <row r="496">
      <c r="A496" s="723"/>
      <c r="AG496" s="555"/>
    </row>
    <row r="497">
      <c r="A497" s="723"/>
      <c r="AG497" s="555"/>
    </row>
    <row r="498">
      <c r="A498" s="723"/>
      <c r="AG498" s="555"/>
    </row>
    <row r="499">
      <c r="A499" s="723"/>
      <c r="AG499" s="555"/>
    </row>
    <row r="500">
      <c r="A500" s="723"/>
      <c r="AG500" s="555"/>
    </row>
    <row r="501">
      <c r="A501" s="723"/>
      <c r="AG501" s="555"/>
    </row>
    <row r="502">
      <c r="A502" s="723"/>
      <c r="AG502" s="555"/>
    </row>
    <row r="503">
      <c r="A503" s="723"/>
      <c r="AG503" s="555"/>
    </row>
    <row r="504">
      <c r="A504" s="723"/>
      <c r="AG504" s="555"/>
    </row>
    <row r="505">
      <c r="A505" s="723"/>
      <c r="AG505" s="555"/>
    </row>
    <row r="506">
      <c r="A506" s="723"/>
      <c r="AG506" s="555"/>
    </row>
    <row r="507">
      <c r="A507" s="723"/>
      <c r="AG507" s="555"/>
    </row>
    <row r="508">
      <c r="A508" s="723"/>
      <c r="AG508" s="555"/>
    </row>
    <row r="509">
      <c r="A509" s="723"/>
      <c r="AG509" s="555"/>
    </row>
    <row r="510">
      <c r="A510" s="723"/>
      <c r="AG510" s="555"/>
    </row>
    <row r="511">
      <c r="A511" s="723"/>
      <c r="AG511" s="555"/>
    </row>
    <row r="512">
      <c r="A512" s="723"/>
      <c r="AG512" s="555"/>
    </row>
    <row r="513">
      <c r="A513" s="723"/>
      <c r="AG513" s="555"/>
    </row>
    <row r="514">
      <c r="A514" s="723"/>
      <c r="AG514" s="555"/>
    </row>
    <row r="515">
      <c r="A515" s="723"/>
      <c r="AG515" s="555"/>
    </row>
    <row r="516">
      <c r="A516" s="723"/>
      <c r="AG516" s="555"/>
    </row>
    <row r="517">
      <c r="A517" s="723"/>
      <c r="AG517" s="555"/>
    </row>
    <row r="518">
      <c r="A518" s="723"/>
      <c r="AG518" s="555"/>
    </row>
    <row r="519">
      <c r="A519" s="723"/>
      <c r="AG519" s="555"/>
    </row>
    <row r="520">
      <c r="A520" s="723"/>
      <c r="AG520" s="555"/>
    </row>
    <row r="521">
      <c r="A521" s="723"/>
      <c r="AG521" s="555"/>
    </row>
    <row r="522">
      <c r="A522" s="723"/>
      <c r="AG522" s="555"/>
    </row>
    <row r="523">
      <c r="A523" s="723"/>
      <c r="AG523" s="555"/>
    </row>
    <row r="524">
      <c r="A524" s="723"/>
      <c r="AG524" s="555"/>
    </row>
    <row r="525">
      <c r="A525" s="723"/>
      <c r="AG525" s="555"/>
    </row>
    <row r="526">
      <c r="A526" s="723"/>
      <c r="AG526" s="555"/>
    </row>
    <row r="527">
      <c r="A527" s="723"/>
      <c r="AG527" s="555"/>
    </row>
    <row r="528">
      <c r="A528" s="723"/>
      <c r="AG528" s="555"/>
    </row>
    <row r="529">
      <c r="A529" s="723"/>
      <c r="AG529" s="555"/>
    </row>
    <row r="530">
      <c r="A530" s="723"/>
      <c r="AG530" s="555"/>
    </row>
    <row r="531">
      <c r="A531" s="723"/>
      <c r="AG531" s="555"/>
    </row>
    <row r="532">
      <c r="A532" s="723"/>
      <c r="AG532" s="555"/>
    </row>
    <row r="533">
      <c r="A533" s="723"/>
      <c r="AG533" s="555"/>
    </row>
    <row r="534">
      <c r="A534" s="723"/>
      <c r="AG534" s="555"/>
    </row>
    <row r="535">
      <c r="A535" s="723"/>
      <c r="AG535" s="555"/>
    </row>
    <row r="536">
      <c r="A536" s="723"/>
      <c r="AG536" s="555"/>
    </row>
    <row r="537">
      <c r="A537" s="723"/>
      <c r="AG537" s="555"/>
    </row>
    <row r="538">
      <c r="A538" s="723"/>
      <c r="AG538" s="555"/>
    </row>
    <row r="539">
      <c r="A539" s="723"/>
      <c r="AG539" s="555"/>
    </row>
    <row r="540">
      <c r="A540" s="723"/>
      <c r="AG540" s="555"/>
    </row>
    <row r="541">
      <c r="A541" s="723"/>
      <c r="AG541" s="555"/>
    </row>
    <row r="542">
      <c r="A542" s="723"/>
      <c r="AG542" s="555"/>
    </row>
    <row r="543">
      <c r="A543" s="723"/>
      <c r="AG543" s="555"/>
    </row>
    <row r="544">
      <c r="A544" s="723"/>
      <c r="AG544" s="555"/>
    </row>
    <row r="545">
      <c r="A545" s="723"/>
      <c r="AG545" s="555"/>
    </row>
    <row r="546">
      <c r="A546" s="723"/>
      <c r="AG546" s="555"/>
    </row>
    <row r="547">
      <c r="A547" s="723"/>
      <c r="AG547" s="555"/>
    </row>
    <row r="548">
      <c r="A548" s="723"/>
      <c r="AG548" s="555"/>
    </row>
    <row r="549">
      <c r="A549" s="723"/>
      <c r="AG549" s="555"/>
    </row>
    <row r="550">
      <c r="A550" s="723"/>
      <c r="AG550" s="555"/>
    </row>
    <row r="551">
      <c r="A551" s="723"/>
      <c r="AG551" s="555"/>
    </row>
    <row r="552">
      <c r="A552" s="723"/>
      <c r="AG552" s="555"/>
    </row>
    <row r="553">
      <c r="A553" s="723"/>
      <c r="AG553" s="555"/>
    </row>
    <row r="554">
      <c r="A554" s="723"/>
      <c r="AG554" s="555"/>
    </row>
    <row r="555">
      <c r="A555" s="723"/>
      <c r="AG555" s="555"/>
    </row>
    <row r="556">
      <c r="A556" s="723"/>
      <c r="AG556" s="555"/>
    </row>
    <row r="557">
      <c r="A557" s="723"/>
      <c r="AG557" s="555"/>
    </row>
    <row r="558">
      <c r="A558" s="723"/>
      <c r="AG558" s="555"/>
    </row>
    <row r="559">
      <c r="A559" s="723"/>
      <c r="AG559" s="555"/>
    </row>
    <row r="560">
      <c r="A560" s="723"/>
      <c r="AG560" s="555"/>
    </row>
    <row r="561">
      <c r="A561" s="723"/>
      <c r="AG561" s="555"/>
    </row>
    <row r="562">
      <c r="A562" s="723"/>
      <c r="AG562" s="555"/>
    </row>
    <row r="563">
      <c r="A563" s="723"/>
      <c r="AG563" s="555"/>
    </row>
    <row r="564">
      <c r="A564" s="723"/>
      <c r="AG564" s="555"/>
    </row>
    <row r="565">
      <c r="A565" s="723"/>
      <c r="AG565" s="555"/>
    </row>
    <row r="566">
      <c r="A566" s="723"/>
      <c r="AG566" s="555"/>
    </row>
    <row r="567">
      <c r="A567" s="723"/>
      <c r="AG567" s="555"/>
    </row>
    <row r="568">
      <c r="A568" s="723"/>
      <c r="AG568" s="555"/>
    </row>
    <row r="569">
      <c r="A569" s="723"/>
      <c r="AG569" s="555"/>
    </row>
    <row r="570">
      <c r="A570" s="723"/>
      <c r="AG570" s="555"/>
    </row>
    <row r="571">
      <c r="A571" s="723"/>
      <c r="AG571" s="555"/>
    </row>
    <row r="572">
      <c r="A572" s="723"/>
      <c r="AG572" s="555"/>
    </row>
    <row r="573">
      <c r="A573" s="723"/>
      <c r="AG573" s="555"/>
    </row>
    <row r="574">
      <c r="A574" s="723"/>
      <c r="AG574" s="555"/>
    </row>
    <row r="575">
      <c r="A575" s="723"/>
      <c r="AG575" s="555"/>
    </row>
    <row r="576">
      <c r="A576" s="723"/>
      <c r="AG576" s="555"/>
    </row>
    <row r="577">
      <c r="A577" s="723"/>
      <c r="AG577" s="555"/>
    </row>
    <row r="578">
      <c r="A578" s="723"/>
      <c r="AG578" s="555"/>
    </row>
    <row r="579">
      <c r="A579" s="723"/>
      <c r="AG579" s="555"/>
    </row>
    <row r="580">
      <c r="A580" s="723"/>
      <c r="AG580" s="555"/>
    </row>
    <row r="581">
      <c r="A581" s="723"/>
      <c r="AG581" s="555"/>
    </row>
    <row r="582">
      <c r="A582" s="723"/>
      <c r="AG582" s="555"/>
    </row>
    <row r="583">
      <c r="A583" s="723"/>
      <c r="AG583" s="555"/>
    </row>
    <row r="584">
      <c r="A584" s="723"/>
      <c r="AG584" s="555"/>
    </row>
    <row r="585">
      <c r="A585" s="723"/>
      <c r="AG585" s="555"/>
    </row>
    <row r="586">
      <c r="A586" s="723"/>
      <c r="AG586" s="555"/>
    </row>
    <row r="587">
      <c r="A587" s="723"/>
      <c r="AG587" s="555"/>
    </row>
    <row r="588">
      <c r="A588" s="723"/>
      <c r="AG588" s="555"/>
    </row>
    <row r="589">
      <c r="A589" s="723"/>
      <c r="AG589" s="555"/>
    </row>
    <row r="590">
      <c r="A590" s="723"/>
      <c r="AG590" s="555"/>
    </row>
    <row r="591">
      <c r="A591" s="723"/>
      <c r="AG591" s="555"/>
    </row>
    <row r="592">
      <c r="A592" s="723"/>
      <c r="AG592" s="555"/>
    </row>
    <row r="593">
      <c r="A593" s="723"/>
      <c r="AG593" s="555"/>
    </row>
    <row r="594">
      <c r="A594" s="723"/>
      <c r="AG594" s="555"/>
    </row>
    <row r="595">
      <c r="A595" s="723"/>
      <c r="AG595" s="555"/>
    </row>
    <row r="596">
      <c r="A596" s="723"/>
      <c r="AG596" s="555"/>
    </row>
    <row r="597">
      <c r="A597" s="723"/>
      <c r="AG597" s="555"/>
    </row>
    <row r="598">
      <c r="A598" s="723"/>
      <c r="AG598" s="555"/>
    </row>
    <row r="599">
      <c r="A599" s="723"/>
      <c r="AG599" s="555"/>
    </row>
    <row r="600">
      <c r="A600" s="723"/>
      <c r="AG600" s="555"/>
    </row>
    <row r="601">
      <c r="A601" s="723"/>
      <c r="AG601" s="555"/>
    </row>
    <row r="602">
      <c r="A602" s="723"/>
      <c r="AG602" s="555"/>
    </row>
    <row r="603">
      <c r="A603" s="723"/>
      <c r="AG603" s="555"/>
    </row>
    <row r="604">
      <c r="A604" s="723"/>
      <c r="AG604" s="555"/>
    </row>
    <row r="605">
      <c r="A605" s="723"/>
      <c r="AG605" s="555"/>
    </row>
    <row r="606">
      <c r="A606" s="723"/>
      <c r="AG606" s="555"/>
    </row>
    <row r="607">
      <c r="A607" s="723"/>
      <c r="AG607" s="555"/>
    </row>
    <row r="608">
      <c r="A608" s="723"/>
      <c r="AG608" s="555"/>
    </row>
    <row r="609">
      <c r="A609" s="723"/>
      <c r="AG609" s="555"/>
    </row>
    <row r="610">
      <c r="A610" s="723"/>
      <c r="AG610" s="555"/>
    </row>
    <row r="611">
      <c r="A611" s="723"/>
      <c r="AG611" s="555"/>
    </row>
    <row r="612">
      <c r="A612" s="723"/>
      <c r="AG612" s="555"/>
    </row>
    <row r="613">
      <c r="A613" s="723"/>
      <c r="AG613" s="555"/>
    </row>
    <row r="614">
      <c r="A614" s="723"/>
      <c r="AG614" s="555"/>
    </row>
    <row r="615">
      <c r="A615" s="723"/>
      <c r="AG615" s="555"/>
    </row>
    <row r="616">
      <c r="A616" s="723"/>
      <c r="AG616" s="555"/>
    </row>
    <row r="617">
      <c r="A617" s="723"/>
      <c r="AG617" s="555"/>
    </row>
    <row r="618">
      <c r="A618" s="723"/>
      <c r="AG618" s="555"/>
    </row>
    <row r="619">
      <c r="A619" s="723"/>
      <c r="AG619" s="555"/>
    </row>
    <row r="620">
      <c r="A620" s="723"/>
      <c r="AG620" s="555"/>
    </row>
    <row r="621">
      <c r="A621" s="723"/>
      <c r="AG621" s="555"/>
    </row>
    <row r="622">
      <c r="A622" s="723"/>
      <c r="AG622" s="555"/>
    </row>
    <row r="623">
      <c r="A623" s="723"/>
      <c r="AG623" s="555"/>
    </row>
    <row r="624">
      <c r="A624" s="723"/>
      <c r="AG624" s="555"/>
    </row>
    <row r="625">
      <c r="A625" s="723"/>
      <c r="AG625" s="555"/>
    </row>
    <row r="626">
      <c r="A626" s="723"/>
      <c r="AG626" s="555"/>
    </row>
    <row r="627">
      <c r="A627" s="723"/>
      <c r="AG627" s="555"/>
    </row>
    <row r="628">
      <c r="A628" s="723"/>
      <c r="AG628" s="555"/>
    </row>
    <row r="629">
      <c r="A629" s="723"/>
      <c r="AG629" s="555"/>
    </row>
    <row r="630">
      <c r="A630" s="723"/>
      <c r="AG630" s="555"/>
    </row>
    <row r="631">
      <c r="A631" s="723"/>
      <c r="AG631" s="555"/>
    </row>
    <row r="632">
      <c r="A632" s="723"/>
      <c r="AG632" s="555"/>
    </row>
    <row r="633">
      <c r="A633" s="723"/>
      <c r="AG633" s="555"/>
    </row>
    <row r="634">
      <c r="A634" s="723"/>
      <c r="AG634" s="555"/>
    </row>
    <row r="635">
      <c r="A635" s="723"/>
      <c r="AG635" s="555"/>
    </row>
    <row r="636">
      <c r="A636" s="723"/>
      <c r="AG636" s="555"/>
    </row>
    <row r="637">
      <c r="A637" s="723"/>
      <c r="AG637" s="555"/>
    </row>
    <row r="638">
      <c r="A638" s="723"/>
      <c r="AG638" s="555"/>
    </row>
    <row r="639">
      <c r="A639" s="723"/>
      <c r="AG639" s="555"/>
    </row>
    <row r="640">
      <c r="A640" s="723"/>
      <c r="AG640" s="555"/>
    </row>
    <row r="641">
      <c r="A641" s="723"/>
      <c r="AG641" s="555"/>
    </row>
    <row r="642">
      <c r="A642" s="723"/>
      <c r="AG642" s="555"/>
    </row>
    <row r="643">
      <c r="A643" s="723"/>
      <c r="AG643" s="555"/>
    </row>
    <row r="644">
      <c r="A644" s="723"/>
      <c r="AG644" s="555"/>
    </row>
    <row r="645">
      <c r="A645" s="723"/>
      <c r="AG645" s="555"/>
    </row>
    <row r="646">
      <c r="A646" s="723"/>
      <c r="AG646" s="555"/>
    </row>
    <row r="647">
      <c r="A647" s="723"/>
      <c r="AG647" s="555"/>
    </row>
    <row r="648">
      <c r="A648" s="723"/>
      <c r="AG648" s="555"/>
    </row>
    <row r="649">
      <c r="A649" s="723"/>
      <c r="AG649" s="555"/>
    </row>
    <row r="650">
      <c r="A650" s="723"/>
      <c r="AG650" s="555"/>
    </row>
    <row r="651">
      <c r="A651" s="723"/>
      <c r="AG651" s="555"/>
    </row>
    <row r="652">
      <c r="A652" s="723"/>
      <c r="AG652" s="555"/>
    </row>
    <row r="653">
      <c r="A653" s="723"/>
      <c r="AG653" s="555"/>
    </row>
    <row r="654">
      <c r="A654" s="723"/>
      <c r="AG654" s="555"/>
    </row>
    <row r="655">
      <c r="A655" s="723"/>
      <c r="AG655" s="555"/>
    </row>
    <row r="656">
      <c r="A656" s="723"/>
      <c r="AG656" s="555"/>
    </row>
    <row r="657">
      <c r="A657" s="723"/>
      <c r="AG657" s="555"/>
    </row>
    <row r="658">
      <c r="A658" s="723"/>
      <c r="AG658" s="555"/>
    </row>
    <row r="659">
      <c r="A659" s="723"/>
      <c r="AG659" s="555"/>
    </row>
    <row r="660">
      <c r="A660" s="723"/>
      <c r="AG660" s="555"/>
    </row>
    <row r="661">
      <c r="A661" s="723"/>
      <c r="AG661" s="555"/>
    </row>
    <row r="662">
      <c r="A662" s="723"/>
      <c r="AG662" s="555"/>
    </row>
    <row r="663">
      <c r="A663" s="723"/>
      <c r="AG663" s="555"/>
    </row>
    <row r="664">
      <c r="A664" s="723"/>
      <c r="AG664" s="555"/>
    </row>
    <row r="665">
      <c r="A665" s="723"/>
      <c r="AG665" s="555"/>
    </row>
    <row r="666">
      <c r="A666" s="723"/>
      <c r="AG666" s="555"/>
    </row>
    <row r="667">
      <c r="A667" s="723"/>
      <c r="AG667" s="555"/>
    </row>
    <row r="668">
      <c r="A668" s="723"/>
      <c r="AG668" s="555"/>
    </row>
    <row r="669">
      <c r="A669" s="723"/>
      <c r="AG669" s="555"/>
    </row>
    <row r="670">
      <c r="A670" s="723"/>
      <c r="AG670" s="555"/>
    </row>
    <row r="671">
      <c r="A671" s="723"/>
      <c r="AG671" s="555"/>
    </row>
    <row r="672">
      <c r="A672" s="723"/>
      <c r="AG672" s="555"/>
    </row>
    <row r="673">
      <c r="A673" s="723"/>
      <c r="AG673" s="555"/>
    </row>
    <row r="674">
      <c r="A674" s="723"/>
      <c r="AG674" s="555"/>
    </row>
    <row r="675">
      <c r="A675" s="723"/>
      <c r="AG675" s="555"/>
    </row>
    <row r="676">
      <c r="A676" s="723"/>
      <c r="AG676" s="555"/>
    </row>
    <row r="677">
      <c r="A677" s="723"/>
      <c r="AG677" s="555"/>
    </row>
    <row r="678">
      <c r="A678" s="723"/>
      <c r="AG678" s="555"/>
    </row>
    <row r="679">
      <c r="A679" s="723"/>
      <c r="AG679" s="555"/>
    </row>
    <row r="680">
      <c r="A680" s="723"/>
      <c r="AG680" s="555"/>
    </row>
    <row r="681">
      <c r="A681" s="723"/>
      <c r="AG681" s="555"/>
    </row>
    <row r="682">
      <c r="A682" s="723"/>
      <c r="AG682" s="555"/>
    </row>
    <row r="683">
      <c r="A683" s="723"/>
      <c r="AG683" s="555"/>
    </row>
    <row r="684">
      <c r="A684" s="723"/>
      <c r="AG684" s="555"/>
    </row>
    <row r="685">
      <c r="A685" s="723"/>
      <c r="AG685" s="555"/>
    </row>
    <row r="686">
      <c r="A686" s="723"/>
      <c r="AG686" s="555"/>
    </row>
    <row r="687">
      <c r="A687" s="723"/>
      <c r="AG687" s="555"/>
    </row>
    <row r="688">
      <c r="A688" s="723"/>
      <c r="AG688" s="555"/>
    </row>
    <row r="689">
      <c r="A689" s="723"/>
      <c r="AG689" s="555"/>
    </row>
    <row r="690">
      <c r="A690" s="723"/>
      <c r="AG690" s="555"/>
    </row>
    <row r="691">
      <c r="A691" s="723"/>
      <c r="AG691" s="555"/>
    </row>
    <row r="692">
      <c r="A692" s="723"/>
      <c r="AG692" s="555"/>
    </row>
    <row r="693">
      <c r="A693" s="723"/>
      <c r="AG693" s="555"/>
    </row>
    <row r="694">
      <c r="A694" s="723"/>
      <c r="AG694" s="555"/>
    </row>
    <row r="695">
      <c r="A695" s="723"/>
      <c r="AG695" s="555"/>
    </row>
    <row r="696">
      <c r="A696" s="723"/>
      <c r="AG696" s="555"/>
    </row>
    <row r="697">
      <c r="A697" s="723"/>
      <c r="AG697" s="555"/>
    </row>
    <row r="698">
      <c r="A698" s="723"/>
      <c r="AG698" s="555"/>
    </row>
    <row r="699">
      <c r="A699" s="723"/>
      <c r="AG699" s="555"/>
    </row>
    <row r="700">
      <c r="A700" s="723"/>
      <c r="AG700" s="555"/>
    </row>
    <row r="701">
      <c r="A701" s="723"/>
      <c r="AG701" s="555"/>
    </row>
    <row r="702">
      <c r="A702" s="723"/>
      <c r="AG702" s="555"/>
    </row>
    <row r="703">
      <c r="A703" s="723"/>
      <c r="AG703" s="555"/>
    </row>
    <row r="704">
      <c r="A704" s="723"/>
      <c r="AG704" s="555"/>
    </row>
    <row r="705">
      <c r="A705" s="723"/>
      <c r="AG705" s="555"/>
    </row>
    <row r="706">
      <c r="A706" s="723"/>
      <c r="AG706" s="555"/>
    </row>
    <row r="707">
      <c r="A707" s="723"/>
      <c r="AG707" s="555"/>
    </row>
    <row r="708">
      <c r="A708" s="723"/>
      <c r="AG708" s="555"/>
    </row>
    <row r="709">
      <c r="A709" s="723"/>
      <c r="AG709" s="555"/>
    </row>
    <row r="710">
      <c r="A710" s="723"/>
      <c r="AG710" s="555"/>
    </row>
    <row r="711">
      <c r="A711" s="723"/>
      <c r="AG711" s="555"/>
    </row>
    <row r="712">
      <c r="A712" s="723"/>
      <c r="AG712" s="555"/>
    </row>
    <row r="713">
      <c r="A713" s="723"/>
      <c r="AG713" s="555"/>
    </row>
    <row r="714">
      <c r="A714" s="723"/>
      <c r="AG714" s="555"/>
    </row>
    <row r="715">
      <c r="A715" s="723"/>
      <c r="AG715" s="555"/>
    </row>
    <row r="716">
      <c r="A716" s="723"/>
      <c r="AG716" s="555"/>
    </row>
    <row r="717">
      <c r="A717" s="723"/>
      <c r="AG717" s="555"/>
    </row>
    <row r="718">
      <c r="A718" s="723"/>
      <c r="AG718" s="555"/>
    </row>
    <row r="719">
      <c r="A719" s="723"/>
      <c r="AG719" s="555"/>
    </row>
    <row r="720">
      <c r="A720" s="723"/>
      <c r="AG720" s="555"/>
    </row>
    <row r="721">
      <c r="A721" s="723"/>
      <c r="AG721" s="555"/>
    </row>
    <row r="722">
      <c r="A722" s="723"/>
      <c r="AG722" s="555"/>
    </row>
    <row r="723">
      <c r="A723" s="723"/>
      <c r="AG723" s="555"/>
    </row>
    <row r="724">
      <c r="A724" s="723"/>
      <c r="AG724" s="555"/>
    </row>
    <row r="725">
      <c r="A725" s="723"/>
      <c r="AG725" s="555"/>
    </row>
    <row r="726">
      <c r="A726" s="723"/>
      <c r="AG726" s="555"/>
    </row>
    <row r="727">
      <c r="A727" s="723"/>
      <c r="AG727" s="555"/>
    </row>
    <row r="728">
      <c r="A728" s="723"/>
      <c r="AG728" s="555"/>
    </row>
    <row r="729">
      <c r="A729" s="723"/>
      <c r="AG729" s="555"/>
    </row>
    <row r="730">
      <c r="A730" s="723"/>
      <c r="AG730" s="555"/>
    </row>
    <row r="731">
      <c r="A731" s="723"/>
      <c r="AG731" s="555"/>
    </row>
    <row r="732">
      <c r="A732" s="723"/>
      <c r="AG732" s="555"/>
    </row>
    <row r="733">
      <c r="A733" s="723"/>
      <c r="AG733" s="555"/>
    </row>
    <row r="734">
      <c r="A734" s="723"/>
      <c r="AG734" s="555"/>
    </row>
    <row r="735">
      <c r="A735" s="723"/>
      <c r="AG735" s="555"/>
    </row>
    <row r="736">
      <c r="A736" s="723"/>
      <c r="AG736" s="555"/>
    </row>
    <row r="737">
      <c r="A737" s="723"/>
      <c r="AG737" s="555"/>
    </row>
    <row r="738">
      <c r="A738" s="723"/>
      <c r="AG738" s="555"/>
    </row>
    <row r="739">
      <c r="A739" s="723"/>
      <c r="AG739" s="555"/>
    </row>
    <row r="740">
      <c r="A740" s="723"/>
      <c r="AG740" s="555"/>
    </row>
    <row r="741">
      <c r="A741" s="723"/>
      <c r="AG741" s="555"/>
    </row>
    <row r="742">
      <c r="A742" s="723"/>
      <c r="AG742" s="555"/>
    </row>
    <row r="743">
      <c r="A743" s="723"/>
      <c r="AG743" s="555"/>
    </row>
    <row r="744">
      <c r="A744" s="723"/>
      <c r="AG744" s="555"/>
    </row>
    <row r="745">
      <c r="A745" s="723"/>
      <c r="AG745" s="555"/>
    </row>
    <row r="746">
      <c r="A746" s="723"/>
      <c r="AG746" s="555"/>
    </row>
    <row r="747">
      <c r="A747" s="723"/>
      <c r="AG747" s="555"/>
    </row>
    <row r="748">
      <c r="A748" s="723"/>
      <c r="AG748" s="555"/>
    </row>
    <row r="749">
      <c r="A749" s="723"/>
      <c r="AG749" s="555"/>
    </row>
    <row r="750">
      <c r="A750" s="723"/>
      <c r="AG750" s="555"/>
    </row>
    <row r="751">
      <c r="A751" s="723"/>
      <c r="AG751" s="555"/>
    </row>
    <row r="752">
      <c r="A752" s="723"/>
      <c r="AG752" s="555"/>
    </row>
    <row r="753">
      <c r="A753" s="723"/>
      <c r="AG753" s="555"/>
    </row>
    <row r="754">
      <c r="A754" s="723"/>
      <c r="AG754" s="555"/>
    </row>
    <row r="755">
      <c r="A755" s="723"/>
      <c r="AG755" s="555"/>
    </row>
    <row r="756">
      <c r="A756" s="723"/>
      <c r="AG756" s="555"/>
    </row>
    <row r="757">
      <c r="A757" s="723"/>
      <c r="AG757" s="555"/>
    </row>
    <row r="758">
      <c r="A758" s="723"/>
      <c r="AG758" s="555"/>
    </row>
    <row r="759">
      <c r="A759" s="723"/>
      <c r="AG759" s="555"/>
    </row>
    <row r="760">
      <c r="A760" s="723"/>
      <c r="AG760" s="555"/>
    </row>
    <row r="761">
      <c r="A761" s="723"/>
      <c r="AG761" s="555"/>
    </row>
    <row r="762">
      <c r="A762" s="723"/>
      <c r="AG762" s="555"/>
    </row>
    <row r="763">
      <c r="A763" s="723"/>
      <c r="AG763" s="555"/>
    </row>
    <row r="764">
      <c r="A764" s="723"/>
      <c r="AG764" s="555"/>
    </row>
    <row r="765">
      <c r="A765" s="723"/>
      <c r="AG765" s="555"/>
    </row>
    <row r="766">
      <c r="A766" s="723"/>
      <c r="AG766" s="555"/>
    </row>
    <row r="767">
      <c r="A767" s="723"/>
      <c r="AG767" s="555"/>
    </row>
    <row r="768">
      <c r="A768" s="723"/>
      <c r="AG768" s="555"/>
    </row>
    <row r="769">
      <c r="A769" s="723"/>
      <c r="AG769" s="555"/>
    </row>
    <row r="770">
      <c r="A770" s="723"/>
      <c r="AG770" s="555"/>
    </row>
    <row r="771">
      <c r="A771" s="723"/>
      <c r="AG771" s="555"/>
    </row>
    <row r="772">
      <c r="A772" s="723"/>
      <c r="AG772" s="555"/>
    </row>
    <row r="773">
      <c r="A773" s="723"/>
      <c r="AG773" s="555"/>
    </row>
    <row r="774">
      <c r="A774" s="723"/>
      <c r="AG774" s="555"/>
    </row>
    <row r="775">
      <c r="A775" s="723"/>
      <c r="AG775" s="555"/>
    </row>
    <row r="776">
      <c r="A776" s="723"/>
      <c r="AG776" s="555"/>
    </row>
    <row r="777">
      <c r="A777" s="723"/>
      <c r="AG777" s="555"/>
    </row>
    <row r="778">
      <c r="A778" s="723"/>
      <c r="AG778" s="555"/>
    </row>
    <row r="779">
      <c r="A779" s="723"/>
      <c r="AG779" s="555"/>
    </row>
    <row r="780">
      <c r="A780" s="723"/>
      <c r="AG780" s="555"/>
    </row>
    <row r="781">
      <c r="A781" s="723"/>
      <c r="AG781" s="555"/>
    </row>
    <row r="782">
      <c r="A782" s="723"/>
      <c r="AG782" s="555"/>
    </row>
    <row r="783">
      <c r="A783" s="723"/>
      <c r="AG783" s="555"/>
    </row>
    <row r="784">
      <c r="A784" s="723"/>
      <c r="AG784" s="555"/>
    </row>
    <row r="785">
      <c r="A785" s="723"/>
      <c r="AG785" s="555"/>
    </row>
    <row r="786">
      <c r="A786" s="723"/>
      <c r="AG786" s="555"/>
    </row>
    <row r="787">
      <c r="A787" s="723"/>
      <c r="AG787" s="555"/>
    </row>
    <row r="788">
      <c r="A788" s="723"/>
      <c r="AG788" s="555"/>
    </row>
    <row r="789">
      <c r="A789" s="723"/>
      <c r="AG789" s="555"/>
    </row>
    <row r="790">
      <c r="A790" s="723"/>
      <c r="AG790" s="555"/>
    </row>
    <row r="791">
      <c r="A791" s="723"/>
      <c r="AG791" s="555"/>
    </row>
    <row r="792">
      <c r="A792" s="723"/>
      <c r="AG792" s="555"/>
    </row>
    <row r="793">
      <c r="A793" s="723"/>
      <c r="AG793" s="555"/>
    </row>
    <row r="794">
      <c r="A794" s="723"/>
      <c r="AG794" s="555"/>
    </row>
    <row r="795">
      <c r="A795" s="723"/>
      <c r="AG795" s="555"/>
    </row>
    <row r="796">
      <c r="A796" s="723"/>
      <c r="AG796" s="555"/>
    </row>
    <row r="797">
      <c r="A797" s="723"/>
      <c r="AG797" s="555"/>
    </row>
    <row r="798">
      <c r="A798" s="723"/>
      <c r="AG798" s="555"/>
    </row>
    <row r="799">
      <c r="A799" s="723"/>
      <c r="AG799" s="555"/>
    </row>
    <row r="800">
      <c r="A800" s="723"/>
      <c r="AG800" s="555"/>
    </row>
    <row r="801">
      <c r="A801" s="723"/>
      <c r="AG801" s="555"/>
    </row>
    <row r="802">
      <c r="A802" s="723"/>
      <c r="AG802" s="555"/>
    </row>
    <row r="803">
      <c r="A803" s="723"/>
      <c r="AG803" s="555"/>
    </row>
    <row r="804">
      <c r="A804" s="723"/>
      <c r="AG804" s="555"/>
    </row>
    <row r="805">
      <c r="A805" s="723"/>
      <c r="AG805" s="555"/>
    </row>
    <row r="806">
      <c r="A806" s="723"/>
      <c r="AG806" s="555"/>
    </row>
    <row r="807">
      <c r="A807" s="723"/>
      <c r="AG807" s="555"/>
    </row>
    <row r="808">
      <c r="A808" s="723"/>
      <c r="AG808" s="555"/>
    </row>
    <row r="809">
      <c r="A809" s="723"/>
      <c r="AG809" s="555"/>
    </row>
    <row r="810">
      <c r="A810" s="723"/>
      <c r="AG810" s="555"/>
    </row>
    <row r="811">
      <c r="A811" s="723"/>
      <c r="AG811" s="555"/>
    </row>
    <row r="812">
      <c r="A812" s="723"/>
      <c r="AG812" s="555"/>
    </row>
    <row r="813">
      <c r="A813" s="723"/>
      <c r="AG813" s="555"/>
    </row>
    <row r="814">
      <c r="A814" s="723"/>
      <c r="AG814" s="555"/>
    </row>
    <row r="815">
      <c r="A815" s="723"/>
      <c r="AG815" s="555"/>
    </row>
    <row r="816">
      <c r="A816" s="723"/>
      <c r="AG816" s="555"/>
    </row>
    <row r="817">
      <c r="A817" s="723"/>
      <c r="AG817" s="555"/>
    </row>
    <row r="818">
      <c r="A818" s="723"/>
      <c r="AG818" s="555"/>
    </row>
    <row r="819">
      <c r="A819" s="723"/>
      <c r="AG819" s="555"/>
    </row>
    <row r="820">
      <c r="A820" s="723"/>
      <c r="AG820" s="555"/>
    </row>
    <row r="821">
      <c r="A821" s="723"/>
      <c r="AG821" s="555"/>
    </row>
    <row r="822">
      <c r="A822" s="723"/>
      <c r="AG822" s="555"/>
    </row>
    <row r="823">
      <c r="A823" s="723"/>
      <c r="AG823" s="555"/>
    </row>
    <row r="824">
      <c r="A824" s="723"/>
      <c r="AG824" s="555"/>
    </row>
    <row r="825">
      <c r="A825" s="723"/>
      <c r="AG825" s="555"/>
    </row>
    <row r="826">
      <c r="A826" s="723"/>
      <c r="AG826" s="555"/>
    </row>
    <row r="827">
      <c r="A827" s="723"/>
      <c r="AG827" s="555"/>
    </row>
    <row r="828">
      <c r="A828" s="723"/>
      <c r="AG828" s="555"/>
    </row>
    <row r="829">
      <c r="A829" s="723"/>
      <c r="AG829" s="555"/>
    </row>
    <row r="830">
      <c r="A830" s="723"/>
      <c r="AG830" s="555"/>
    </row>
    <row r="831">
      <c r="A831" s="723"/>
      <c r="AG831" s="555"/>
    </row>
    <row r="832">
      <c r="A832" s="723"/>
      <c r="AG832" s="555"/>
    </row>
    <row r="833">
      <c r="A833" s="723"/>
      <c r="AG833" s="555"/>
    </row>
    <row r="834">
      <c r="A834" s="723"/>
      <c r="AG834" s="555"/>
    </row>
    <row r="835">
      <c r="A835" s="723"/>
      <c r="AG835" s="555"/>
    </row>
    <row r="836">
      <c r="A836" s="723"/>
      <c r="AG836" s="555"/>
    </row>
    <row r="837">
      <c r="A837" s="723"/>
      <c r="AG837" s="555"/>
    </row>
    <row r="838">
      <c r="A838" s="723"/>
      <c r="AG838" s="555"/>
    </row>
    <row r="839">
      <c r="A839" s="723"/>
      <c r="AG839" s="555"/>
    </row>
    <row r="840">
      <c r="A840" s="723"/>
      <c r="AG840" s="555"/>
    </row>
    <row r="841">
      <c r="A841" s="723"/>
      <c r="AG841" s="555"/>
    </row>
    <row r="842">
      <c r="A842" s="723"/>
      <c r="AG842" s="555"/>
    </row>
    <row r="843">
      <c r="A843" s="723"/>
      <c r="AG843" s="555"/>
    </row>
    <row r="844">
      <c r="A844" s="723"/>
      <c r="AG844" s="555"/>
    </row>
    <row r="845">
      <c r="A845" s="723"/>
      <c r="AG845" s="555"/>
    </row>
    <row r="846">
      <c r="A846" s="723"/>
      <c r="AG846" s="555"/>
    </row>
    <row r="847">
      <c r="A847" s="723"/>
      <c r="AG847" s="555"/>
    </row>
    <row r="848">
      <c r="A848" s="723"/>
      <c r="AG848" s="555"/>
    </row>
    <row r="849">
      <c r="A849" s="723"/>
      <c r="AG849" s="555"/>
    </row>
    <row r="850">
      <c r="A850" s="723"/>
      <c r="AG850" s="555"/>
    </row>
    <row r="851">
      <c r="A851" s="723"/>
      <c r="AG851" s="555"/>
    </row>
    <row r="852">
      <c r="A852" s="723"/>
      <c r="AG852" s="555"/>
    </row>
    <row r="853">
      <c r="A853" s="723"/>
      <c r="AG853" s="555"/>
    </row>
    <row r="854">
      <c r="A854" s="723"/>
      <c r="AG854" s="555"/>
    </row>
    <row r="855">
      <c r="A855" s="723"/>
      <c r="AG855" s="555"/>
    </row>
    <row r="856">
      <c r="A856" s="723"/>
      <c r="AG856" s="555"/>
    </row>
    <row r="857">
      <c r="A857" s="723"/>
      <c r="AG857" s="555"/>
    </row>
    <row r="858">
      <c r="A858" s="723"/>
      <c r="AG858" s="555"/>
    </row>
    <row r="859">
      <c r="A859" s="723"/>
      <c r="AG859" s="555"/>
    </row>
    <row r="860">
      <c r="A860" s="723"/>
      <c r="AG860" s="555"/>
    </row>
    <row r="861">
      <c r="A861" s="723"/>
      <c r="AG861" s="555"/>
    </row>
    <row r="862">
      <c r="A862" s="723"/>
      <c r="AG862" s="555"/>
    </row>
    <row r="863">
      <c r="A863" s="723"/>
      <c r="AG863" s="555"/>
    </row>
    <row r="864">
      <c r="A864" s="723"/>
      <c r="AG864" s="555"/>
    </row>
    <row r="865">
      <c r="A865" s="723"/>
      <c r="AG865" s="555"/>
    </row>
    <row r="866">
      <c r="A866" s="723"/>
      <c r="AG866" s="555"/>
    </row>
    <row r="867">
      <c r="A867" s="723"/>
      <c r="AG867" s="555"/>
    </row>
    <row r="868">
      <c r="A868" s="723"/>
      <c r="AG868" s="555"/>
    </row>
    <row r="869">
      <c r="A869" s="723"/>
      <c r="AG869" s="555"/>
    </row>
    <row r="870">
      <c r="A870" s="723"/>
      <c r="AG870" s="555"/>
    </row>
    <row r="871">
      <c r="A871" s="723"/>
      <c r="AG871" s="555"/>
    </row>
    <row r="872">
      <c r="A872" s="723"/>
      <c r="AG872" s="555"/>
    </row>
    <row r="873">
      <c r="A873" s="723"/>
      <c r="AG873" s="555"/>
    </row>
    <row r="874">
      <c r="A874" s="723"/>
      <c r="AG874" s="555"/>
    </row>
    <row r="875">
      <c r="A875" s="723"/>
      <c r="AG875" s="555"/>
    </row>
    <row r="876">
      <c r="A876" s="723"/>
      <c r="AG876" s="555"/>
    </row>
    <row r="877">
      <c r="A877" s="723"/>
      <c r="AG877" s="555"/>
    </row>
    <row r="878">
      <c r="A878" s="723"/>
      <c r="AG878" s="555"/>
    </row>
    <row r="879">
      <c r="A879" s="723"/>
      <c r="AG879" s="555"/>
    </row>
    <row r="880">
      <c r="A880" s="723"/>
      <c r="AG880" s="555"/>
    </row>
    <row r="881">
      <c r="A881" s="723"/>
      <c r="AG881" s="555"/>
    </row>
    <row r="882">
      <c r="A882" s="723"/>
      <c r="AG882" s="555"/>
    </row>
    <row r="883">
      <c r="A883" s="723"/>
      <c r="AG883" s="555"/>
    </row>
    <row r="884">
      <c r="A884" s="723"/>
      <c r="AG884" s="555"/>
    </row>
    <row r="885">
      <c r="A885" s="723"/>
      <c r="AG885" s="555"/>
    </row>
    <row r="886">
      <c r="A886" s="723"/>
      <c r="AG886" s="555"/>
    </row>
    <row r="887">
      <c r="A887" s="723"/>
      <c r="AG887" s="555"/>
    </row>
    <row r="888">
      <c r="A888" s="723"/>
      <c r="AG888" s="555"/>
    </row>
    <row r="889">
      <c r="A889" s="723"/>
      <c r="AG889" s="555"/>
    </row>
    <row r="890">
      <c r="A890" s="723"/>
      <c r="AG890" s="555"/>
    </row>
    <row r="891">
      <c r="A891" s="723"/>
      <c r="AG891" s="555"/>
    </row>
    <row r="892">
      <c r="A892" s="723"/>
      <c r="AG892" s="555"/>
    </row>
    <row r="893">
      <c r="A893" s="723"/>
      <c r="AG893" s="555"/>
    </row>
    <row r="894">
      <c r="A894" s="723"/>
      <c r="AG894" s="555"/>
    </row>
    <row r="895">
      <c r="A895" s="723"/>
      <c r="AG895" s="555"/>
    </row>
    <row r="896">
      <c r="A896" s="723"/>
      <c r="AG896" s="555"/>
    </row>
    <row r="897">
      <c r="A897" s="723"/>
      <c r="AG897" s="555"/>
    </row>
    <row r="898">
      <c r="A898" s="723"/>
      <c r="AG898" s="555"/>
    </row>
    <row r="899">
      <c r="A899" s="723"/>
      <c r="AG899" s="555"/>
    </row>
    <row r="900">
      <c r="A900" s="723"/>
      <c r="AG900" s="555"/>
    </row>
    <row r="901">
      <c r="A901" s="723"/>
      <c r="AG901" s="555"/>
    </row>
    <row r="902">
      <c r="A902" s="723"/>
      <c r="AG902" s="555"/>
    </row>
    <row r="903">
      <c r="A903" s="723"/>
      <c r="AG903" s="555"/>
    </row>
    <row r="904">
      <c r="A904" s="723"/>
      <c r="AG904" s="555"/>
    </row>
    <row r="905">
      <c r="A905" s="723"/>
      <c r="AG905" s="555"/>
    </row>
    <row r="906">
      <c r="A906" s="723"/>
      <c r="AG906" s="555"/>
    </row>
    <row r="907">
      <c r="A907" s="723"/>
      <c r="AG907" s="555"/>
    </row>
    <row r="908">
      <c r="A908" s="723"/>
      <c r="AG908" s="555"/>
    </row>
    <row r="909">
      <c r="A909" s="723"/>
      <c r="AG909" s="555"/>
    </row>
    <row r="910">
      <c r="A910" s="723"/>
      <c r="AG910" s="555"/>
    </row>
    <row r="911">
      <c r="A911" s="723"/>
      <c r="AG911" s="555"/>
    </row>
    <row r="912">
      <c r="A912" s="723"/>
      <c r="AG912" s="555"/>
    </row>
    <row r="913">
      <c r="A913" s="723"/>
      <c r="AG913" s="555"/>
    </row>
    <row r="914">
      <c r="A914" s="723"/>
      <c r="AG914" s="555"/>
    </row>
    <row r="915">
      <c r="A915" s="723"/>
      <c r="AG915" s="555"/>
    </row>
    <row r="916">
      <c r="A916" s="723"/>
      <c r="AG916" s="555"/>
    </row>
    <row r="917">
      <c r="A917" s="723"/>
      <c r="AG917" s="555"/>
    </row>
    <row r="918">
      <c r="A918" s="723"/>
      <c r="AG918" s="555"/>
    </row>
    <row r="919">
      <c r="A919" s="723"/>
      <c r="AG919" s="555"/>
    </row>
    <row r="920">
      <c r="A920" s="723"/>
      <c r="AG920" s="555"/>
    </row>
    <row r="921">
      <c r="A921" s="723"/>
      <c r="AG921" s="555"/>
    </row>
    <row r="922">
      <c r="A922" s="723"/>
      <c r="AG922" s="555"/>
    </row>
    <row r="923">
      <c r="A923" s="723"/>
      <c r="AG923" s="555"/>
    </row>
    <row r="924">
      <c r="A924" s="723"/>
      <c r="AG924" s="555"/>
    </row>
    <row r="925">
      <c r="A925" s="723"/>
      <c r="AG925" s="555"/>
    </row>
    <row r="926">
      <c r="A926" s="723"/>
      <c r="AG926" s="555"/>
    </row>
    <row r="927">
      <c r="A927" s="723"/>
      <c r="AG927" s="555"/>
    </row>
    <row r="928">
      <c r="A928" s="723"/>
      <c r="AG928" s="555"/>
    </row>
    <row r="929">
      <c r="A929" s="723"/>
      <c r="AG929" s="555"/>
    </row>
    <row r="930">
      <c r="A930" s="723"/>
      <c r="AG930" s="555"/>
    </row>
    <row r="931">
      <c r="A931" s="723"/>
      <c r="AG931" s="555"/>
    </row>
    <row r="932">
      <c r="A932" s="723"/>
      <c r="AG932" s="555"/>
    </row>
    <row r="933">
      <c r="A933" s="723"/>
      <c r="AG933" s="555"/>
    </row>
    <row r="934">
      <c r="A934" s="723"/>
      <c r="AG934" s="555"/>
    </row>
    <row r="935">
      <c r="A935" s="723"/>
      <c r="AG935" s="555"/>
    </row>
    <row r="936">
      <c r="A936" s="723"/>
      <c r="AG936" s="555"/>
    </row>
    <row r="937">
      <c r="A937" s="723"/>
      <c r="AG937" s="555"/>
    </row>
    <row r="938">
      <c r="A938" s="723"/>
      <c r="AG938" s="555"/>
    </row>
    <row r="939">
      <c r="A939" s="723"/>
      <c r="AG939" s="555"/>
    </row>
    <row r="940">
      <c r="A940" s="723"/>
      <c r="AG940" s="555"/>
    </row>
    <row r="941">
      <c r="A941" s="723"/>
      <c r="AG941" s="555"/>
    </row>
    <row r="942">
      <c r="A942" s="723"/>
      <c r="AG942" s="555"/>
    </row>
    <row r="943">
      <c r="A943" s="723"/>
      <c r="AG943" s="555"/>
    </row>
    <row r="944">
      <c r="A944" s="723"/>
      <c r="AG944" s="555"/>
    </row>
    <row r="945">
      <c r="A945" s="723"/>
      <c r="AG945" s="555"/>
    </row>
    <row r="946">
      <c r="A946" s="723"/>
      <c r="AG946" s="555"/>
    </row>
    <row r="947">
      <c r="A947" s="723"/>
      <c r="AG947" s="555"/>
    </row>
    <row r="948">
      <c r="A948" s="723"/>
      <c r="AG948" s="555"/>
    </row>
    <row r="949">
      <c r="A949" s="723"/>
      <c r="AG949" s="555"/>
    </row>
    <row r="950">
      <c r="A950" s="723"/>
      <c r="AG950" s="555"/>
    </row>
    <row r="951">
      <c r="A951" s="723"/>
      <c r="AG951" s="555"/>
    </row>
    <row r="952">
      <c r="A952" s="723"/>
      <c r="AG952" s="555"/>
    </row>
    <row r="953">
      <c r="A953" s="723"/>
      <c r="AG953" s="555"/>
    </row>
    <row r="954">
      <c r="A954" s="723"/>
      <c r="AG954" s="555"/>
    </row>
    <row r="955">
      <c r="A955" s="723"/>
      <c r="AG955" s="555"/>
    </row>
    <row r="956">
      <c r="A956" s="723"/>
      <c r="AG956" s="555"/>
    </row>
    <row r="957">
      <c r="A957" s="723"/>
      <c r="AG957" s="555"/>
    </row>
    <row r="958">
      <c r="A958" s="723"/>
      <c r="AG958" s="555"/>
    </row>
    <row r="959">
      <c r="A959" s="723"/>
      <c r="AG959" s="555"/>
    </row>
    <row r="960">
      <c r="A960" s="723"/>
      <c r="AG960" s="555"/>
    </row>
    <row r="961">
      <c r="A961" s="723"/>
      <c r="AG961" s="555"/>
    </row>
    <row r="962">
      <c r="A962" s="723"/>
      <c r="AG962" s="555"/>
    </row>
    <row r="963">
      <c r="A963" s="723"/>
      <c r="AG963" s="555"/>
    </row>
    <row r="964">
      <c r="A964" s="723"/>
      <c r="AG964" s="555"/>
    </row>
    <row r="965">
      <c r="A965" s="723"/>
      <c r="AG965" s="555"/>
    </row>
    <row r="966">
      <c r="A966" s="723"/>
      <c r="AG966" s="555"/>
    </row>
    <row r="967">
      <c r="A967" s="723"/>
      <c r="AG967" s="555"/>
    </row>
    <row r="968">
      <c r="A968" s="723"/>
      <c r="AG968" s="555"/>
    </row>
    <row r="969">
      <c r="A969" s="723"/>
      <c r="AG969" s="555"/>
    </row>
    <row r="970">
      <c r="A970" s="723"/>
      <c r="AG970" s="555"/>
    </row>
    <row r="971">
      <c r="A971" s="723"/>
      <c r="AG971" s="555"/>
    </row>
    <row r="972">
      <c r="A972" s="723"/>
      <c r="AG972" s="555"/>
    </row>
    <row r="973">
      <c r="A973" s="723"/>
      <c r="AG973" s="555"/>
    </row>
    <row r="974">
      <c r="A974" s="723"/>
      <c r="AG974" s="555"/>
    </row>
    <row r="975">
      <c r="A975" s="723"/>
      <c r="AG975" s="555"/>
    </row>
    <row r="976">
      <c r="A976" s="723"/>
      <c r="AG976" s="555"/>
    </row>
    <row r="977">
      <c r="A977" s="723"/>
      <c r="AG977" s="555"/>
    </row>
    <row r="978">
      <c r="A978" s="723"/>
      <c r="AG978" s="555"/>
    </row>
    <row r="979">
      <c r="A979" s="723"/>
      <c r="AG979" s="555"/>
    </row>
    <row r="980">
      <c r="A980" s="723"/>
      <c r="AG980" s="555"/>
    </row>
    <row r="981">
      <c r="A981" s="723"/>
      <c r="AG981" s="555"/>
    </row>
    <row r="982">
      <c r="A982" s="723"/>
      <c r="AG982" s="555"/>
    </row>
    <row r="983">
      <c r="A983" s="723"/>
      <c r="AG983" s="555"/>
    </row>
    <row r="984">
      <c r="A984" s="723"/>
      <c r="AG984" s="555"/>
    </row>
    <row r="985">
      <c r="A985" s="723"/>
      <c r="AG985" s="555"/>
    </row>
    <row r="986">
      <c r="A986" s="723"/>
      <c r="AG986" s="555"/>
    </row>
    <row r="987">
      <c r="A987" s="723"/>
      <c r="AG987" s="555"/>
    </row>
    <row r="988">
      <c r="A988" s="723"/>
      <c r="AG988" s="555"/>
    </row>
    <row r="989">
      <c r="A989" s="723"/>
      <c r="AG989" s="555"/>
    </row>
    <row r="990">
      <c r="A990" s="723"/>
      <c r="AG990" s="555"/>
    </row>
    <row r="991">
      <c r="A991" s="723"/>
      <c r="AG991" s="555"/>
    </row>
    <row r="992">
      <c r="A992" s="723"/>
      <c r="AG992" s="555"/>
    </row>
    <row r="993">
      <c r="A993" s="723"/>
      <c r="AG993" s="555"/>
    </row>
    <row r="994">
      <c r="A994" s="723"/>
      <c r="AG994" s="555"/>
    </row>
    <row r="995">
      <c r="A995" s="723"/>
      <c r="AG995" s="555"/>
    </row>
    <row r="996">
      <c r="A996" s="723"/>
      <c r="AG996" s="555"/>
    </row>
    <row r="997">
      <c r="A997" s="723"/>
      <c r="AG997" s="555"/>
    </row>
    <row r="998">
      <c r="A998" s="723"/>
      <c r="AG998" s="555"/>
    </row>
    <row r="999">
      <c r="A999" s="723"/>
      <c r="AG999" s="555"/>
    </row>
    <row r="1000">
      <c r="A1000" s="723"/>
      <c r="AG1000" s="555"/>
    </row>
  </sheetData>
  <conditionalFormatting sqref="B426:AF426">
    <cfRule type="cellIs" dxfId="2" priority="1" operator="lessThan">
      <formula>0</formula>
    </cfRule>
  </conditionalFormatting>
  <conditionalFormatting sqref="B426:AF426">
    <cfRule type="cellIs" dxfId="3" priority="2" operator="greaterThan">
      <formula>0</formula>
    </cfRule>
  </conditionalFormatting>
  <conditionalFormatting sqref="B345:AF345">
    <cfRule type="colorScale" priority="3">
      <colorScale>
        <cfvo type="min"/>
        <cfvo type="max"/>
        <color rgb="FFFFFFFF"/>
        <color rgb="FFE67C73"/>
      </colorScale>
    </cfRule>
  </conditionalFormatting>
  <conditionalFormatting sqref="B27:AE27">
    <cfRule type="cellIs" dxfId="3" priority="4" operator="greaterThan">
      <formula>0</formula>
    </cfRule>
  </conditionalFormatting>
  <conditionalFormatting sqref="B27:AE27">
    <cfRule type="cellIs" dxfId="2" priority="5" operator="lessThan">
      <formula>0</formula>
    </cfRule>
  </conditionalFormatting>
  <conditionalFormatting sqref="B429:AF429">
    <cfRule type="colorScale" priority="6">
      <colorScale>
        <cfvo type="min"/>
        <cfvo type="max"/>
        <color rgb="FFFFFFFF"/>
        <color rgb="FF57BB8A"/>
      </colorScale>
    </cfRule>
  </conditionalFormatting>
  <conditionalFormatting sqref="B431:AF431">
    <cfRule type="colorScale" priority="7">
      <colorScale>
        <cfvo type="min"/>
        <cfvo type="max"/>
        <color rgb="FFFFFFFF"/>
        <color rgb="FF57BB8A"/>
      </colorScale>
    </cfRule>
  </conditionalFormatting>
  <conditionalFormatting sqref="A28">
    <cfRule type="cellIs" dxfId="4" priority="8" operator="greaterThan">
      <formula>0</formula>
    </cfRule>
  </conditionalFormatting>
  <conditionalFormatting sqref="A28">
    <cfRule type="cellIs" dxfId="2" priority="9" operator="lessThan">
      <formula>0</formula>
    </cfRule>
  </conditionalFormatting>
  <conditionalFormatting sqref="A427">
    <cfRule type="cellIs" dxfId="0" priority="10" operator="greaterThan">
      <formula>0</formula>
    </cfRule>
  </conditionalFormatting>
  <conditionalFormatting sqref="A427">
    <cfRule type="cellIs" dxfId="5" priority="11" operator="lessThan">
      <formula>0</formula>
    </cfRule>
  </conditionalFormatting>
  <conditionalFormatting sqref="B373:AF374 AE384">
    <cfRule type="colorScale" priority="12">
      <colorScale>
        <cfvo type="min"/>
        <cfvo type="max"/>
        <color rgb="FFFFFFFF"/>
        <color rgb="FFE67C73"/>
      </colorScale>
    </cfRule>
  </conditionalFormatting>
  <conditionalFormatting sqref="B375:AF375">
    <cfRule type="colorScale" priority="13">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4" max="4" width="15.75"/>
  </cols>
  <sheetData>
    <row r="1">
      <c r="A1" s="1"/>
      <c r="B1" s="759" t="s">
        <v>105</v>
      </c>
      <c r="C1" s="759" t="s">
        <v>332</v>
      </c>
      <c r="D1" s="759" t="s">
        <v>950</v>
      </c>
    </row>
    <row r="2">
      <c r="A2" s="760" t="s">
        <v>951</v>
      </c>
      <c r="B2" s="761">
        <f>('Detailed Report OLD'!AG287+'Detailed Report OLD'!AG292)</f>
        <v>1363923.11</v>
      </c>
      <c r="C2" s="762">
        <f>'Detailed Report OLD'!AG231+'Detailed Report OLD'!AG236</f>
        <v>8147</v>
      </c>
      <c r="D2" s="761">
        <f t="shared" ref="D2:D5" si="1">B2/C2</f>
        <v>167.4141537</v>
      </c>
    </row>
    <row r="3">
      <c r="A3" s="760" t="s">
        <v>953</v>
      </c>
      <c r="B3" s="761">
        <f>'Detailed Report OLD'!AG288+'Detailed Report OLD'!AG293</f>
        <v>118161.4</v>
      </c>
      <c r="C3" s="762">
        <f>'Detailed Report OLD'!AG232+'Detailed Report OLD'!AG237</f>
        <v>690</v>
      </c>
      <c r="D3" s="761">
        <f t="shared" si="1"/>
        <v>171.2484058</v>
      </c>
    </row>
    <row r="4">
      <c r="A4" s="760" t="s">
        <v>954</v>
      </c>
      <c r="B4" s="761">
        <f>'Detailed Report OLD'!AG289+'Detailed Report OLD'!AG294</f>
        <v>2724297.7</v>
      </c>
      <c r="C4" s="762">
        <f>'Detailed Report OLD'!AG233+'Detailed Report OLD'!AG238</f>
        <v>13069</v>
      </c>
      <c r="D4" s="761">
        <f t="shared" si="1"/>
        <v>208.4549468</v>
      </c>
    </row>
    <row r="5">
      <c r="A5" s="760" t="s">
        <v>956</v>
      </c>
      <c r="B5" s="761">
        <f>'Detailed Report OLD'!AG290+'Detailed Report OLD'!AG295</f>
        <v>460034.34</v>
      </c>
      <c r="C5" s="762">
        <f>'Detailed Report OLD'!AG234+'Detailed Report OLD'!AG239</f>
        <v>2115</v>
      </c>
      <c r="D5" s="761">
        <f t="shared" si="1"/>
        <v>217.5103262</v>
      </c>
    </row>
    <row r="6">
      <c r="A6" s="763"/>
      <c r="B6" s="764"/>
      <c r="C6" s="764"/>
      <c r="D6" s="764"/>
    </row>
    <row r="7">
      <c r="A7" s="760" t="s">
        <v>957</v>
      </c>
      <c r="B7" s="761">
        <f>'Detailed Report OLD'!AG312+'Detailed Report OLD'!AG324</f>
        <v>126385.47</v>
      </c>
      <c r="C7" s="762">
        <f>'Detailed Report OLD'!AG256+'Detailed Report OLD'!AG268</f>
        <v>5428</v>
      </c>
      <c r="D7" s="761">
        <f t="shared" ref="D7:D14" si="2">B7/C7</f>
        <v>23.28398489</v>
      </c>
    </row>
    <row r="8">
      <c r="A8" s="760" t="s">
        <v>958</v>
      </c>
      <c r="B8" s="761">
        <f>'Detailed Report OLD'!AG313+'Detailed Report OLD'!AG325</f>
        <v>20261.91</v>
      </c>
      <c r="C8" s="762">
        <f>'Detailed Report OLD'!AG257+'Detailed Report OLD'!AG269</f>
        <v>859</v>
      </c>
      <c r="D8" s="761">
        <f t="shared" si="2"/>
        <v>23.58778813</v>
      </c>
    </row>
    <row r="9">
      <c r="A9" s="760" t="s">
        <v>959</v>
      </c>
      <c r="B9" s="761">
        <f>'Detailed Report OLD'!AG310+'Detailed Report OLD'!AG322</f>
        <v>42185.72</v>
      </c>
      <c r="C9" s="762">
        <f>'Detailed Report OLD'!AG254+'Detailed Report OLD'!AG266</f>
        <v>571</v>
      </c>
      <c r="D9" s="761">
        <f t="shared" si="2"/>
        <v>73.88042032</v>
      </c>
    </row>
    <row r="10">
      <c r="A10" s="760" t="s">
        <v>960</v>
      </c>
      <c r="B10" s="761">
        <f>'Detailed Report OLD'!AG311+'Detailed Report OLD'!AG323</f>
        <v>8227.16</v>
      </c>
      <c r="C10" s="762">
        <f>'Detailed Report OLD'!AG255+'Detailed Report OLD'!AG267</f>
        <v>109</v>
      </c>
      <c r="D10" s="761">
        <f t="shared" si="2"/>
        <v>75.47853211</v>
      </c>
    </row>
    <row r="11">
      <c r="A11" s="760" t="s">
        <v>961</v>
      </c>
      <c r="B11" s="761">
        <f>'Detailed Report OLD'!AG308+'Detailed Report OLD'!AG320</f>
        <v>86278.4</v>
      </c>
      <c r="C11" s="762">
        <f>'Detailed Report OLD'!AG252+'Detailed Report OLD'!AG264</f>
        <v>2660</v>
      </c>
      <c r="D11" s="761">
        <f t="shared" si="2"/>
        <v>32.43548872</v>
      </c>
    </row>
    <row r="12">
      <c r="A12" s="760" t="s">
        <v>962</v>
      </c>
      <c r="B12" s="761">
        <f>'Detailed Report OLD'!AG309+'Detailed Report OLD'!AG321</f>
        <v>13029.91</v>
      </c>
      <c r="C12" s="762">
        <f>'Detailed Report OLD'!AG253+'Detailed Report OLD'!AG265</f>
        <v>394</v>
      </c>
      <c r="D12" s="761">
        <f t="shared" si="2"/>
        <v>33.07083756</v>
      </c>
    </row>
    <row r="13">
      <c r="A13" s="760" t="s">
        <v>964</v>
      </c>
      <c r="B13" s="761">
        <f>'Detailed Report OLD'!AG307+'Detailed Report OLD'!AG319</f>
        <v>37232.42</v>
      </c>
      <c r="C13" s="762">
        <f>'Detailed Report OLD'!AG251+'Detailed Report OLD'!AG263</f>
        <v>19490</v>
      </c>
      <c r="D13" s="761">
        <f t="shared" si="2"/>
        <v>1.910334531</v>
      </c>
    </row>
    <row r="14">
      <c r="A14" s="760" t="s">
        <v>150</v>
      </c>
      <c r="B14" s="765">
        <f>'Detailed Report OLD'!AG305+'Detailed Report OLD'!AG317</f>
        <v>143719.36</v>
      </c>
      <c r="C14" s="766">
        <f>'Detailed Report OLD'!AG249+'Detailed Report OLD'!AG261</f>
        <v>6149</v>
      </c>
      <c r="D14" s="765">
        <f t="shared" si="2"/>
        <v>23.37280208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6.25"/>
    <col customWidth="1" min="2" max="2" width="11.75"/>
    <col customWidth="1" min="3" max="6" width="10.25"/>
    <col customWidth="1" min="7" max="7" width="11.0"/>
    <col customWidth="1" min="8" max="13" width="10.25"/>
    <col customWidth="1" min="14" max="14" width="11.25"/>
    <col customWidth="1" min="15" max="31" width="10.25"/>
  </cols>
  <sheetData>
    <row r="1">
      <c r="A1" s="767">
        <v>45231.0</v>
      </c>
      <c r="B1" s="768">
        <v>45231.0</v>
      </c>
      <c r="C1" s="768">
        <v>45232.0</v>
      </c>
      <c r="D1" s="768">
        <v>45233.0</v>
      </c>
      <c r="E1" s="768">
        <v>45234.0</v>
      </c>
      <c r="F1" s="768">
        <v>45235.0</v>
      </c>
      <c r="G1" s="768">
        <v>45236.0</v>
      </c>
      <c r="H1" s="768">
        <v>45237.0</v>
      </c>
      <c r="I1" s="768">
        <v>45238.0</v>
      </c>
      <c r="J1" s="768">
        <v>45239.0</v>
      </c>
      <c r="K1" s="768">
        <v>45240.0</v>
      </c>
      <c r="L1" s="768">
        <v>45241.0</v>
      </c>
      <c r="M1" s="768">
        <v>45242.0</v>
      </c>
      <c r="N1" s="768">
        <v>45243.0</v>
      </c>
      <c r="O1" s="768">
        <v>45244.0</v>
      </c>
      <c r="P1" s="768">
        <v>45245.0</v>
      </c>
      <c r="Q1" s="768">
        <v>45246.0</v>
      </c>
      <c r="R1" s="768">
        <v>45247.0</v>
      </c>
      <c r="S1" s="768">
        <v>45248.0</v>
      </c>
      <c r="T1" s="768">
        <v>45249.0</v>
      </c>
      <c r="U1" s="768">
        <v>45250.0</v>
      </c>
      <c r="V1" s="768">
        <v>45251.0</v>
      </c>
      <c r="W1" s="768">
        <v>45252.0</v>
      </c>
      <c r="X1" s="768">
        <v>45253.0</v>
      </c>
      <c r="Y1" s="768">
        <v>45254.0</v>
      </c>
      <c r="Z1" s="768">
        <v>45255.0</v>
      </c>
      <c r="AA1" s="768">
        <v>45256.0</v>
      </c>
      <c r="AB1" s="768">
        <v>45257.0</v>
      </c>
      <c r="AC1" s="768">
        <v>45258.0</v>
      </c>
      <c r="AD1" s="768">
        <v>45259.0</v>
      </c>
      <c r="AE1" s="768">
        <v>45260.0</v>
      </c>
    </row>
    <row r="2">
      <c r="B2" s="11" t="s">
        <v>44</v>
      </c>
      <c r="C2" s="11" t="s">
        <v>45</v>
      </c>
      <c r="D2" s="11" t="s">
        <v>46</v>
      </c>
      <c r="E2" s="11" t="s">
        <v>47</v>
      </c>
      <c r="F2" s="11" t="s">
        <v>48</v>
      </c>
      <c r="G2" s="11" t="s">
        <v>49</v>
      </c>
      <c r="H2" s="11" t="s">
        <v>50</v>
      </c>
      <c r="I2" s="11" t="s">
        <v>44</v>
      </c>
      <c r="J2" s="11" t="s">
        <v>45</v>
      </c>
      <c r="K2" s="11" t="s">
        <v>46</v>
      </c>
      <c r="L2" s="11" t="s">
        <v>47</v>
      </c>
      <c r="M2" s="11" t="s">
        <v>48</v>
      </c>
      <c r="N2" s="11" t="s">
        <v>49</v>
      </c>
      <c r="O2" s="11" t="s">
        <v>50</v>
      </c>
      <c r="P2" s="11" t="s">
        <v>44</v>
      </c>
      <c r="Q2" s="11" t="s">
        <v>45</v>
      </c>
      <c r="R2" s="11" t="s">
        <v>46</v>
      </c>
      <c r="S2" s="11" t="s">
        <v>47</v>
      </c>
      <c r="T2" s="11" t="s">
        <v>48</v>
      </c>
      <c r="U2" s="11" t="s">
        <v>49</v>
      </c>
      <c r="V2" s="11" t="s">
        <v>50</v>
      </c>
      <c r="W2" s="11" t="s">
        <v>44</v>
      </c>
      <c r="X2" s="11" t="s">
        <v>45</v>
      </c>
      <c r="Y2" s="11" t="s">
        <v>46</v>
      </c>
      <c r="Z2" s="11" t="s">
        <v>47</v>
      </c>
      <c r="AA2" s="11" t="s">
        <v>48</v>
      </c>
      <c r="AB2" s="11" t="s">
        <v>49</v>
      </c>
      <c r="AC2" s="11" t="s">
        <v>50</v>
      </c>
      <c r="AD2" s="11" t="s">
        <v>44</v>
      </c>
      <c r="AE2" s="11" t="s">
        <v>45</v>
      </c>
    </row>
    <row r="4">
      <c r="A4" s="772" t="s">
        <v>975</v>
      </c>
      <c r="B4" s="773">
        <f>'PPS Formulas'!B10</f>
        <v>290</v>
      </c>
      <c r="C4" s="773">
        <f>'PPS Formulas'!C10</f>
        <v>321</v>
      </c>
      <c r="D4" s="773">
        <f>'PPS Formulas'!D10</f>
        <v>342</v>
      </c>
      <c r="E4" s="773">
        <f>'PPS Formulas'!E10</f>
        <v>319</v>
      </c>
      <c r="F4" s="773">
        <f>'PPS Formulas'!F10</f>
        <v>376</v>
      </c>
      <c r="G4" s="773">
        <f>'PPS Formulas'!G10</f>
        <v>360</v>
      </c>
      <c r="H4" s="773">
        <f>'PPS Formulas'!H10</f>
        <v>340</v>
      </c>
      <c r="I4" s="773">
        <f>'PPS Formulas'!I10</f>
        <v>327</v>
      </c>
      <c r="J4" s="773">
        <f>'PPS Formulas'!J10</f>
        <v>359</v>
      </c>
      <c r="K4" s="773">
        <f>'PPS Formulas'!K10</f>
        <v>369</v>
      </c>
      <c r="L4" s="773">
        <f>'PPS Formulas'!L10</f>
        <v>456</v>
      </c>
      <c r="M4" s="773">
        <f>'PPS Formulas'!M10</f>
        <v>433</v>
      </c>
      <c r="N4" s="773">
        <f>'PPS Formulas'!N10</f>
        <v>356</v>
      </c>
      <c r="O4" s="773">
        <f>'PPS Formulas'!O10</f>
        <v>453</v>
      </c>
      <c r="P4" s="773">
        <f>'PPS Formulas'!P10</f>
        <v>380</v>
      </c>
      <c r="Q4" s="773">
        <f>'PPS Formulas'!Q10</f>
        <v>352</v>
      </c>
      <c r="R4" s="773">
        <f>'PPS Formulas'!R10</f>
        <v>384</v>
      </c>
      <c r="S4" s="773">
        <f>'PPS Formulas'!S10</f>
        <v>460</v>
      </c>
      <c r="T4" s="773">
        <f>'PPS Formulas'!T10</f>
        <v>464</v>
      </c>
      <c r="U4" s="773">
        <f>'PPS Formulas'!U10</f>
        <v>490</v>
      </c>
      <c r="V4" s="773">
        <f>'PPS Formulas'!V10</f>
        <v>519</v>
      </c>
      <c r="W4" s="773">
        <f>'PPS Formulas'!W10</f>
        <v>783</v>
      </c>
      <c r="X4" s="773">
        <f>'PPS Formulas'!X10</f>
        <v>840</v>
      </c>
      <c r="Y4" s="773">
        <f>'PPS Formulas'!Y10</f>
        <v>2448</v>
      </c>
      <c r="Z4" s="773">
        <f>'PPS Formulas'!Z10</f>
        <v>1536</v>
      </c>
      <c r="AA4" s="773">
        <f>'PPS Formulas'!AA10</f>
        <v>471</v>
      </c>
      <c r="AB4" s="773">
        <f>'PPS Formulas'!AB10</f>
        <v>1759</v>
      </c>
      <c r="AC4" s="773">
        <f>'PPS Formulas'!AC10</f>
        <v>1194</v>
      </c>
      <c r="AD4" s="773">
        <f>'PPS Formulas'!AD10</f>
        <v>203</v>
      </c>
      <c r="AE4" s="773">
        <f>'PPS Formulas'!AE10</f>
        <v>194</v>
      </c>
    </row>
    <row r="5">
      <c r="A5" s="775" t="s">
        <v>979</v>
      </c>
      <c r="B5" s="776">
        <f>B4/'Sales OLD'!B39</f>
        <v>0.6502242152</v>
      </c>
      <c r="C5" s="776">
        <f>C4/'Sales OLD'!C39</f>
        <v>0.6102661597</v>
      </c>
      <c r="D5" s="776">
        <f>D4/'Sales OLD'!D39</f>
        <v>0.6719056974</v>
      </c>
      <c r="E5" s="776">
        <f>E4/'Sales OLD'!E39</f>
        <v>0.6030245747</v>
      </c>
      <c r="F5" s="776">
        <f>F4/'Sales OLD'!F39</f>
        <v>0.6308724832</v>
      </c>
      <c r="G5" s="776">
        <f>G4/'Sales OLD'!G39</f>
        <v>0.6315789474</v>
      </c>
      <c r="H5" s="776">
        <f>H4/'Sales OLD'!H39</f>
        <v>0.6589147287</v>
      </c>
      <c r="I5" s="776">
        <f>I4/'Sales OLD'!I39</f>
        <v>0.6216730038</v>
      </c>
      <c r="J5" s="776">
        <f>J4/'Sales OLD'!J39</f>
        <v>0.6399286988</v>
      </c>
      <c r="K5" s="776">
        <f>K4/'Sales OLD'!K39</f>
        <v>0.6660649819</v>
      </c>
      <c r="L5" s="776">
        <f>L4/'Sales OLD'!L39</f>
        <v>0.6666666667</v>
      </c>
      <c r="M5" s="776">
        <f>M4/'Sales OLD'!M39</f>
        <v>0.653092006</v>
      </c>
      <c r="N5" s="776">
        <f>N4/'Sales OLD'!N39</f>
        <v>0.6568265683</v>
      </c>
      <c r="O5" s="776">
        <f>O4/'Sales OLD'!O39</f>
        <v>0.7271268058</v>
      </c>
      <c r="P5" s="776">
        <f>P4/'Sales OLD'!P39</f>
        <v>0.6529209622</v>
      </c>
      <c r="Q5" s="776">
        <f>Q4/'Sales OLD'!Q39</f>
        <v>0.6470588235</v>
      </c>
      <c r="R5" s="776">
        <f>R4/'Sales OLD'!R39</f>
        <v>0.6643598616</v>
      </c>
      <c r="S5" s="776">
        <f>S4/'Sales OLD'!S39</f>
        <v>0.6318681319</v>
      </c>
      <c r="T5" s="776">
        <f>T4/'Sales OLD'!T39</f>
        <v>0.6178428762</v>
      </c>
      <c r="U5" s="776">
        <f>U4/'Sales OLD'!U39</f>
        <v>0.6242038217</v>
      </c>
      <c r="V5" s="776">
        <f>V4/'Sales OLD'!V39</f>
        <v>0.6313868613</v>
      </c>
      <c r="W5" s="776">
        <f>W4/'Sales OLD'!W39</f>
        <v>0.6433853739</v>
      </c>
      <c r="X5" s="776">
        <f>X4/'Sales OLD'!X39</f>
        <v>0.5949008499</v>
      </c>
      <c r="Y5" s="776">
        <f>Y4/'Sales OLD'!Y39</f>
        <v>0.6243305279</v>
      </c>
      <c r="Z5" s="776">
        <f>Z4/'Sales OLD'!Z39</f>
        <v>0.6269387755</v>
      </c>
      <c r="AA5" s="776">
        <f>AA4/'Sales OLD'!AA39</f>
        <v>0.2596471885</v>
      </c>
      <c r="AB5" s="776">
        <f>AB4/'Sales OLD'!AB39</f>
        <v>0.6311445999</v>
      </c>
      <c r="AC5" s="776">
        <f>AC4/'Sales OLD'!AC39</f>
        <v>0.6110542477</v>
      </c>
      <c r="AD5" s="776">
        <f>AD4/'Sales OLD'!AD39</f>
        <v>0.6114457831</v>
      </c>
      <c r="AE5" s="776">
        <f>AE4/'Sales OLD'!AE39</f>
        <v>0.6198083067</v>
      </c>
    </row>
    <row r="7">
      <c r="A7" s="775" t="s">
        <v>982</v>
      </c>
      <c r="B7" s="780"/>
      <c r="C7" s="780"/>
      <c r="D7" s="780"/>
      <c r="E7" s="780"/>
      <c r="F7" s="780"/>
      <c r="G7" s="780"/>
      <c r="H7" s="780"/>
      <c r="I7" s="780"/>
      <c r="J7" s="780"/>
      <c r="K7" s="780"/>
      <c r="L7" s="780"/>
      <c r="M7" s="780"/>
      <c r="N7" s="780"/>
      <c r="O7" s="780"/>
      <c r="P7" s="780"/>
      <c r="Q7" s="780"/>
      <c r="R7" s="780"/>
      <c r="S7" s="780"/>
      <c r="T7" s="780"/>
      <c r="U7" s="780"/>
      <c r="V7" s="780"/>
      <c r="W7" s="780"/>
      <c r="X7" s="780"/>
      <c r="Y7" s="780"/>
      <c r="Z7" s="781"/>
      <c r="AA7" s="780"/>
      <c r="AB7" s="780"/>
      <c r="AC7" s="780"/>
      <c r="AD7" s="780"/>
      <c r="AE7" s="780"/>
    </row>
    <row r="8" collapsed="1">
      <c r="A8" s="1" t="s">
        <v>983</v>
      </c>
      <c r="B8" s="782">
        <f>'PPS Formulas'!B12</f>
        <v>0.5620689655</v>
      </c>
      <c r="C8" s="782">
        <f>'PPS Formulas'!C12</f>
        <v>0.5015576324</v>
      </c>
      <c r="D8" s="782">
        <f>'PPS Formulas'!D12</f>
        <v>0.5438596491</v>
      </c>
      <c r="E8" s="782">
        <f>'PPS Formulas'!E12</f>
        <v>0.5485893417</v>
      </c>
      <c r="F8" s="782">
        <f>'PPS Formulas'!F12</f>
        <v>0.6063829787</v>
      </c>
      <c r="G8" s="782">
        <f>'PPS Formulas'!G12</f>
        <v>0.5888888889</v>
      </c>
      <c r="H8" s="782">
        <f>'PPS Formulas'!H12</f>
        <v>0.5529411765</v>
      </c>
      <c r="I8" s="782">
        <f>'PPS Formulas'!I12</f>
        <v>0.5443425076</v>
      </c>
      <c r="J8" s="782">
        <f>'PPS Formulas'!J12</f>
        <v>0.5181058496</v>
      </c>
      <c r="K8" s="782">
        <f>'PPS Formulas'!K12</f>
        <v>0.5528455285</v>
      </c>
      <c r="L8" s="782">
        <f>'PPS Formulas'!L12</f>
        <v>0.4473684211</v>
      </c>
      <c r="M8" s="782">
        <f>'PPS Formulas'!M12</f>
        <v>0.4757505774</v>
      </c>
      <c r="N8" s="782">
        <f>'PPS Formulas'!N12</f>
        <v>0.4719101124</v>
      </c>
      <c r="O8" s="782">
        <f>'PPS Formulas'!O12</f>
        <v>0.4657836645</v>
      </c>
      <c r="P8" s="782">
        <f>'PPS Formulas'!P12</f>
        <v>0.4868421053</v>
      </c>
      <c r="Q8" s="782">
        <f>'PPS Formulas'!Q12</f>
        <v>0.5795454545</v>
      </c>
      <c r="R8" s="782">
        <f>'PPS Formulas'!R12</f>
        <v>0.5390625</v>
      </c>
      <c r="S8" s="782">
        <f>'PPS Formulas'!S12</f>
        <v>0.5543478261</v>
      </c>
      <c r="T8" s="782">
        <f>'PPS Formulas'!T12</f>
        <v>0.5086206897</v>
      </c>
      <c r="U8" s="782">
        <f>'PPS Formulas'!U12</f>
        <v>0.5163265306</v>
      </c>
      <c r="V8" s="782">
        <f>'PPS Formulas'!V12</f>
        <v>0.5125240848</v>
      </c>
      <c r="W8" s="782">
        <f>'PPS Formulas'!W12</f>
        <v>0.5044699872</v>
      </c>
      <c r="X8" s="782">
        <f>'PPS Formulas'!X12</f>
        <v>0.5154761905</v>
      </c>
      <c r="Y8" s="782">
        <f>'PPS Formulas'!Y12</f>
        <v>0.5204248366</v>
      </c>
      <c r="Z8" s="782">
        <f>'PPS Formulas'!Z12</f>
        <v>0.5208333333</v>
      </c>
      <c r="AA8" s="782">
        <f>'PPS Formulas'!AA12</f>
        <v>0.5180467091</v>
      </c>
      <c r="AB8" s="782">
        <f>'PPS Formulas'!AB12</f>
        <v>0.4928936896</v>
      </c>
      <c r="AC8" s="782">
        <f>'PPS Formulas'!AC12</f>
        <v>0.5008375209</v>
      </c>
      <c r="AD8" s="782">
        <f>'PPS Formulas'!AD12</f>
        <v>0.4236453202</v>
      </c>
      <c r="AE8" s="782">
        <f>'PPS Formulas'!AE12</f>
        <v>0.3402061856</v>
      </c>
    </row>
    <row r="9" hidden="1" outlineLevel="1">
      <c r="A9" s="784" t="s">
        <v>986</v>
      </c>
    </row>
    <row r="10" hidden="1" outlineLevel="1">
      <c r="A10" s="785" t="s">
        <v>987</v>
      </c>
      <c r="B10" s="786">
        <f>'PPS Formulas'!B28</f>
        <v>0.8711656442</v>
      </c>
      <c r="C10" s="786">
        <f>'PPS Formulas'!C28</f>
        <v>0.8757763975</v>
      </c>
      <c r="D10" s="786">
        <f>'PPS Formulas'!D28</f>
        <v>0.8333333333</v>
      </c>
      <c r="E10" s="786">
        <f>'PPS Formulas'!E28</f>
        <v>0.8514285714</v>
      </c>
      <c r="F10" s="786">
        <f>'PPS Formulas'!F28</f>
        <v>0.8859649123</v>
      </c>
      <c r="G10" s="786">
        <f>'PPS Formulas'!G28</f>
        <v>0.8726415094</v>
      </c>
      <c r="H10" s="786">
        <f>'PPS Formulas'!H28</f>
        <v>0.8617021277</v>
      </c>
      <c r="I10" s="786">
        <f>'PPS Formulas'!I28</f>
        <v>0.8539325843</v>
      </c>
      <c r="J10" s="786">
        <f>'PPS Formulas'!J28</f>
        <v>0.8817204301</v>
      </c>
      <c r="K10" s="786">
        <f>'PPS Formulas'!K28</f>
        <v>0.8970588235</v>
      </c>
      <c r="L10" s="786">
        <f>'PPS Formulas'!L28</f>
        <v>0.862745098</v>
      </c>
      <c r="M10" s="786">
        <f>'PPS Formulas'!M28</f>
        <v>0.8786407767</v>
      </c>
      <c r="N10" s="786">
        <f>'PPS Formulas'!N28</f>
        <v>0.869047619</v>
      </c>
      <c r="O10" s="786">
        <f>'PPS Formulas'!O28</f>
        <v>0.8578199052</v>
      </c>
      <c r="P10" s="786">
        <f>'PPS Formulas'!P28</f>
        <v>0.8702702703</v>
      </c>
      <c r="Q10" s="782">
        <f>'PPS Formulas'!Q28</f>
        <v>0.8970588235</v>
      </c>
      <c r="R10" s="782">
        <f>'PPS Formulas'!R28</f>
        <v>0.8550724638</v>
      </c>
      <c r="S10" s="782">
        <f>'PPS Formulas'!S28</f>
        <v>0.8745098039</v>
      </c>
      <c r="T10" s="782">
        <f>'PPS Formulas'!T28</f>
        <v>0.9025423729</v>
      </c>
      <c r="U10" s="782">
        <f>'PPS Formulas'!U28</f>
        <v>0.8774703557</v>
      </c>
      <c r="V10" s="782">
        <f>'PPS Formulas'!V28</f>
        <v>0.8270676692</v>
      </c>
      <c r="W10" s="782">
        <f>'PPS Formulas'!W28</f>
        <v>0.8050632911</v>
      </c>
      <c r="X10" s="782">
        <f>'PPS Formulas'!X28</f>
        <v>0.8429561201</v>
      </c>
      <c r="Y10" s="782">
        <f>'PPS Formulas'!Y28</f>
        <v>0.8775510204</v>
      </c>
      <c r="Z10" s="782">
        <f>'PPS Formulas'!Z28</f>
        <v>0.875</v>
      </c>
      <c r="AA10" s="782">
        <f>'PPS Formulas'!AA28</f>
        <v>0.881147541</v>
      </c>
      <c r="AB10" s="782">
        <f>'PPS Formulas'!AB28</f>
        <v>0.8615916955</v>
      </c>
      <c r="AC10" s="782">
        <f>'PPS Formulas'!AC28</f>
        <v>0.872909699</v>
      </c>
      <c r="AD10" s="782">
        <f>'PPS Formulas'!AD28</f>
        <v>0.9069767442</v>
      </c>
      <c r="AE10" s="782">
        <f>'PPS Formulas'!AE28</f>
        <v>0.8636363636</v>
      </c>
    </row>
    <row r="11" hidden="1" outlineLevel="1">
      <c r="A11" s="788" t="s">
        <v>993</v>
      </c>
      <c r="B11" s="786">
        <f>'PPS Formulas'!B29</f>
        <v>0.0490797546</v>
      </c>
      <c r="C11" s="786">
        <f>'PPS Formulas'!C29</f>
        <v>0.04968944099</v>
      </c>
      <c r="D11" s="786">
        <f>'PPS Formulas'!D29</f>
        <v>0.04301075269</v>
      </c>
      <c r="E11" s="786">
        <f>'PPS Formulas'!E29</f>
        <v>0.06285714286</v>
      </c>
      <c r="F11" s="786">
        <f>'PPS Formulas'!F29</f>
        <v>0.02631578947</v>
      </c>
      <c r="G11" s="786">
        <f>'PPS Formulas'!G29</f>
        <v>0.04716981132</v>
      </c>
      <c r="H11" s="786">
        <f>'PPS Formulas'!H29</f>
        <v>0.03191489362</v>
      </c>
      <c r="I11" s="786">
        <f>'PPS Formulas'!I29</f>
        <v>0.03370786517</v>
      </c>
      <c r="J11" s="786">
        <f>'PPS Formulas'!J29</f>
        <v>0.05376344086</v>
      </c>
      <c r="K11" s="786">
        <f>'PPS Formulas'!K29</f>
        <v>0.03431372549</v>
      </c>
      <c r="L11" s="786">
        <f>'PPS Formulas'!L29</f>
        <v>0.05882352941</v>
      </c>
      <c r="M11" s="786">
        <f>'PPS Formulas'!M29</f>
        <v>0.02912621359</v>
      </c>
      <c r="N11" s="786">
        <f>'PPS Formulas'!N29</f>
        <v>0.05357142857</v>
      </c>
      <c r="O11" s="786">
        <f>'PPS Formulas'!O29</f>
        <v>0.04739336493</v>
      </c>
      <c r="P11" s="786">
        <f>'PPS Formulas'!P29</f>
        <v>0.06486486486</v>
      </c>
      <c r="Q11" s="782">
        <f>'PPS Formulas'!Q29</f>
        <v>0.04411764706</v>
      </c>
      <c r="R11" s="782">
        <f>'PPS Formulas'!R29</f>
        <v>0.04830917874</v>
      </c>
      <c r="S11" s="782">
        <f>'PPS Formulas'!S29</f>
        <v>0.06274509804</v>
      </c>
      <c r="T11" s="782">
        <f>'PPS Formulas'!T29</f>
        <v>0.02966101695</v>
      </c>
      <c r="U11" s="782">
        <f>'PPS Formulas'!U29</f>
        <v>0.05533596838</v>
      </c>
      <c r="V11" s="782">
        <f>'PPS Formulas'!V29</f>
        <v>0.07894736842</v>
      </c>
      <c r="W11" s="782">
        <f>'PPS Formulas'!W29</f>
        <v>0.06329113924</v>
      </c>
      <c r="X11" s="782">
        <f>'PPS Formulas'!X29</f>
        <v>0.08083140878</v>
      </c>
      <c r="Y11" s="782">
        <f>'PPS Formulas'!Y29</f>
        <v>0.04788069074</v>
      </c>
      <c r="Z11" s="782">
        <f>'PPS Formulas'!Z29</f>
        <v>0.0575</v>
      </c>
      <c r="AA11" s="782">
        <f>'PPS Formulas'!AA29</f>
        <v>0.07786885246</v>
      </c>
      <c r="AB11" s="782">
        <f>'PPS Formulas'!AB29</f>
        <v>0.07266435986</v>
      </c>
      <c r="AC11" s="782">
        <f>'PPS Formulas'!AC29</f>
        <v>0.0602006689</v>
      </c>
      <c r="AD11" s="782">
        <f>'PPS Formulas'!AD29</f>
        <v>0.02325581395</v>
      </c>
      <c r="AE11" s="782">
        <f>'PPS Formulas'!AE29</f>
        <v>0.04545454545</v>
      </c>
    </row>
    <row r="12" hidden="1" outlineLevel="1">
      <c r="A12" s="788" t="s">
        <v>997</v>
      </c>
      <c r="B12" s="786">
        <f>'PPS Formulas'!B30</f>
        <v>0.07975460123</v>
      </c>
      <c r="C12" s="786">
        <f>'PPS Formulas'!C30</f>
        <v>0.07453416149</v>
      </c>
      <c r="D12" s="786">
        <f>'PPS Formulas'!D30</f>
        <v>0.123655914</v>
      </c>
      <c r="E12" s="786">
        <f>'PPS Formulas'!E30</f>
        <v>0.08571428571</v>
      </c>
      <c r="F12" s="786">
        <f>'PPS Formulas'!F30</f>
        <v>0.08771929825</v>
      </c>
      <c r="G12" s="786">
        <f>'PPS Formulas'!G30</f>
        <v>0.08018867925</v>
      </c>
      <c r="H12" s="786">
        <f>'PPS Formulas'!H30</f>
        <v>0.1063829787</v>
      </c>
      <c r="I12" s="786">
        <f>'PPS Formulas'!I30</f>
        <v>0.1123595506</v>
      </c>
      <c r="J12" s="786">
        <f>'PPS Formulas'!J30</f>
        <v>0.06451612903</v>
      </c>
      <c r="K12" s="786">
        <f>'PPS Formulas'!K30</f>
        <v>0.06862745098</v>
      </c>
      <c r="L12" s="786">
        <f>'PPS Formulas'!L30</f>
        <v>0.07843137255</v>
      </c>
      <c r="M12" s="786">
        <f>'PPS Formulas'!M30</f>
        <v>0.09223300971</v>
      </c>
      <c r="N12" s="786">
        <f>'PPS Formulas'!N30</f>
        <v>0.07738095238</v>
      </c>
      <c r="O12" s="786">
        <f>'PPS Formulas'!O30</f>
        <v>0.09478672986</v>
      </c>
      <c r="P12" s="786">
        <f>'PPS Formulas'!P30</f>
        <v>0.06486486486</v>
      </c>
      <c r="Q12" s="782">
        <f>'PPS Formulas'!Q30</f>
        <v>0.05882352941</v>
      </c>
      <c r="R12" s="782">
        <f>'PPS Formulas'!R30</f>
        <v>0.09661835749</v>
      </c>
      <c r="S12" s="782">
        <f>'PPS Formulas'!S30</f>
        <v>0.06274509804</v>
      </c>
      <c r="T12" s="782">
        <f>'PPS Formulas'!T30</f>
        <v>0.06779661017</v>
      </c>
      <c r="U12" s="782">
        <f>'PPS Formulas'!U30</f>
        <v>0.06719367589</v>
      </c>
      <c r="V12" s="782">
        <f>'PPS Formulas'!V30</f>
        <v>0.09398496241</v>
      </c>
      <c r="W12" s="782">
        <f>'PPS Formulas'!W30</f>
        <v>0.1316455696</v>
      </c>
      <c r="X12" s="782">
        <f>'PPS Formulas'!X30</f>
        <v>0.07621247113</v>
      </c>
      <c r="Y12" s="782">
        <f>'PPS Formulas'!Y30</f>
        <v>0.07456828885</v>
      </c>
      <c r="Z12" s="782">
        <f>'PPS Formulas'!Z30</f>
        <v>0.0675</v>
      </c>
      <c r="AA12" s="782">
        <f>'PPS Formulas'!AA30</f>
        <v>0.04098360656</v>
      </c>
      <c r="AB12" s="782">
        <f>'PPS Formulas'!AB30</f>
        <v>0.06574394464</v>
      </c>
      <c r="AC12" s="782">
        <f>'PPS Formulas'!AC30</f>
        <v>0.06688963211</v>
      </c>
      <c r="AD12" s="782">
        <f>'PPS Formulas'!AD30</f>
        <v>0.06976744186</v>
      </c>
      <c r="AE12" s="782">
        <f>'PPS Formulas'!AE30</f>
        <v>0.09090909091</v>
      </c>
    </row>
    <row r="13">
      <c r="A13" s="1" t="s">
        <v>999</v>
      </c>
      <c r="B13" s="782">
        <f>'PPS Formulas'!B13</f>
        <v>0.275862069</v>
      </c>
      <c r="C13" s="782">
        <f>'PPS Formulas'!C13</f>
        <v>0.3457943925</v>
      </c>
      <c r="D13" s="782">
        <f>'PPS Formulas'!D13</f>
        <v>0.3099415205</v>
      </c>
      <c r="E13" s="782">
        <f>'PPS Formulas'!E13</f>
        <v>0.2978056426</v>
      </c>
      <c r="F13" s="782">
        <f>'PPS Formulas'!F13</f>
        <v>0.2765957447</v>
      </c>
      <c r="G13" s="782">
        <f>'PPS Formulas'!G13</f>
        <v>0.2666666667</v>
      </c>
      <c r="H13" s="782">
        <f>'PPS Formulas'!H13</f>
        <v>0.3235294118</v>
      </c>
      <c r="I13" s="782">
        <f>'PPS Formulas'!I13</f>
        <v>0.3180428135</v>
      </c>
      <c r="J13" s="782">
        <f>'PPS Formulas'!J13</f>
        <v>0.2924791086</v>
      </c>
      <c r="K13" s="782">
        <f>'PPS Formulas'!K13</f>
        <v>0.2574525745</v>
      </c>
      <c r="L13" s="782">
        <f>'PPS Formulas'!L13</f>
        <v>0.2587719298</v>
      </c>
      <c r="M13" s="782">
        <f>'PPS Formulas'!M13</f>
        <v>0.2586605081</v>
      </c>
      <c r="N13" s="782">
        <f>'PPS Formulas'!N13</f>
        <v>0.3286516854</v>
      </c>
      <c r="O13" s="782">
        <f>'PPS Formulas'!O13</f>
        <v>0.2781456954</v>
      </c>
      <c r="P13" s="782">
        <f>'PPS Formulas'!P13</f>
        <v>0.3105263158</v>
      </c>
      <c r="Q13" s="782">
        <f>'PPS Formulas'!Q13</f>
        <v>0.2613636364</v>
      </c>
      <c r="R13" s="782">
        <f>'PPS Formulas'!R13</f>
        <v>0.2682291667</v>
      </c>
      <c r="S13" s="782">
        <f>'PPS Formulas'!S13</f>
        <v>0.2695652174</v>
      </c>
      <c r="T13" s="782">
        <f>'PPS Formulas'!T13</f>
        <v>0.286637931</v>
      </c>
      <c r="U13" s="782">
        <f>'PPS Formulas'!U13</f>
        <v>0.2959183673</v>
      </c>
      <c r="V13" s="782">
        <f>'PPS Formulas'!V13</f>
        <v>0.2851637765</v>
      </c>
      <c r="W13" s="782">
        <f>'PPS Formulas'!W13</f>
        <v>0.3014048531</v>
      </c>
      <c r="X13" s="782">
        <f>'PPS Formulas'!X13</f>
        <v>0.3095238095</v>
      </c>
      <c r="Y13" s="782">
        <f>'PPS Formulas'!Y13</f>
        <v>0.2908496732</v>
      </c>
      <c r="Z13" s="782">
        <f>'PPS Formulas'!Z13</f>
        <v>0.298828125</v>
      </c>
      <c r="AA13" s="782">
        <f>'PPS Formulas'!AA13</f>
        <v>0.2823779193</v>
      </c>
      <c r="AB13" s="782">
        <f>'PPS Formulas'!AB13</f>
        <v>0.2973280273</v>
      </c>
      <c r="AC13" s="782">
        <f>'PPS Formulas'!AC13</f>
        <v>0.2881072027</v>
      </c>
      <c r="AD13" s="782">
        <f>'PPS Formulas'!AD13</f>
        <v>0.3497536946</v>
      </c>
      <c r="AE13" s="782">
        <f>'PPS Formulas'!AE13</f>
        <v>0.3402061856</v>
      </c>
    </row>
    <row r="14">
      <c r="A14" s="1" t="s">
        <v>97</v>
      </c>
      <c r="B14" s="782">
        <f>'PPS Formulas'!B14</f>
        <v>0.01379310345</v>
      </c>
      <c r="C14" s="782">
        <f>'PPS Formulas'!C14</f>
        <v>0.01869158879</v>
      </c>
      <c r="D14" s="782">
        <f>'PPS Formulas'!D14</f>
        <v>0.02339181287</v>
      </c>
      <c r="E14" s="782">
        <f>'PPS Formulas'!E14</f>
        <v>0.01253918495</v>
      </c>
      <c r="F14" s="782">
        <f>'PPS Formulas'!F14</f>
        <v>0.01063829787</v>
      </c>
      <c r="G14" s="782">
        <f>'PPS Formulas'!G14</f>
        <v>0.02777777778</v>
      </c>
      <c r="H14" s="782">
        <f>'PPS Formulas'!H14</f>
        <v>0.005882352941</v>
      </c>
      <c r="I14" s="782">
        <f>'PPS Formulas'!I14</f>
        <v>0.01529051988</v>
      </c>
      <c r="J14" s="782">
        <f>'PPS Formulas'!J14</f>
        <v>0.01114206128</v>
      </c>
      <c r="K14" s="782">
        <f>'PPS Formulas'!K14</f>
        <v>0.0135501355</v>
      </c>
      <c r="L14" s="782">
        <f>'PPS Formulas'!L14</f>
        <v>0.01096491228</v>
      </c>
      <c r="M14" s="782">
        <f>'PPS Formulas'!M14</f>
        <v>0.01847575058</v>
      </c>
      <c r="N14" s="782">
        <f>'PPS Formulas'!N14</f>
        <v>0.005617977528</v>
      </c>
      <c r="O14" s="782">
        <f>'PPS Formulas'!O14</f>
        <v>0.008830022075</v>
      </c>
      <c r="P14" s="782">
        <f>'PPS Formulas'!P14</f>
        <v>0.01052631579</v>
      </c>
      <c r="Q14" s="782">
        <f>'PPS Formulas'!Q14</f>
        <v>0.01704545455</v>
      </c>
      <c r="R14" s="782">
        <f>'PPS Formulas'!R14</f>
        <v>0.02083333333</v>
      </c>
      <c r="S14" s="782">
        <f>'PPS Formulas'!S14</f>
        <v>0.0152173913</v>
      </c>
      <c r="T14" s="782">
        <f>'PPS Formulas'!T14</f>
        <v>0.02801724138</v>
      </c>
      <c r="U14" s="782">
        <f>'PPS Formulas'!U14</f>
        <v>0.01224489796</v>
      </c>
      <c r="V14" s="782">
        <f>'PPS Formulas'!V14</f>
        <v>0.02697495183</v>
      </c>
      <c r="W14" s="782">
        <f>'PPS Formulas'!W14</f>
        <v>0.01787994891</v>
      </c>
      <c r="X14" s="782">
        <f>'PPS Formulas'!X14</f>
        <v>0.02738095238</v>
      </c>
      <c r="Y14" s="782">
        <f>'PPS Formulas'!Y14</f>
        <v>0.01919934641</v>
      </c>
      <c r="Z14" s="782">
        <f>'PPS Formulas'!Z14</f>
        <v>0.02473958333</v>
      </c>
      <c r="AA14" s="782">
        <f>'PPS Formulas'!AA14</f>
        <v>0.01061571125</v>
      </c>
      <c r="AB14" s="782">
        <f>'PPS Formulas'!AB14</f>
        <v>0.02046617396</v>
      </c>
      <c r="AC14" s="782">
        <f>'PPS Formulas'!AC14</f>
        <v>0.02596314908</v>
      </c>
      <c r="AD14" s="782">
        <f>'PPS Formulas'!AD14</f>
        <v>0.02463054187</v>
      </c>
      <c r="AE14" s="782">
        <f>'PPS Formulas'!AE14</f>
        <v>0.0206185567</v>
      </c>
    </row>
    <row r="15">
      <c r="A15" s="1" t="s">
        <v>1001</v>
      </c>
      <c r="B15" s="782">
        <f>'PPS Formulas'!B15</f>
        <v>0.01034482759</v>
      </c>
      <c r="C15" s="782">
        <f>'PPS Formulas'!C15</f>
        <v>0.02180685358</v>
      </c>
      <c r="D15" s="782">
        <f>'PPS Formulas'!D15</f>
        <v>0.01461988304</v>
      </c>
      <c r="E15" s="782">
        <f>'PPS Formulas'!E15</f>
        <v>0.006269592476</v>
      </c>
      <c r="F15" s="782">
        <f>'PPS Formulas'!F15</f>
        <v>0.005319148936</v>
      </c>
      <c r="G15" s="782">
        <f>'PPS Formulas'!G15</f>
        <v>0.01111111111</v>
      </c>
      <c r="H15" s="782">
        <f>'PPS Formulas'!H15</f>
        <v>0.01470588235</v>
      </c>
      <c r="I15" s="782">
        <f>'PPS Formulas'!I15</f>
        <v>0.003058103976</v>
      </c>
      <c r="J15" s="782">
        <f>'PPS Formulas'!J15</f>
        <v>0.03342618384</v>
      </c>
      <c r="K15" s="782">
        <f>'PPS Formulas'!K15</f>
        <v>0.0325203252</v>
      </c>
      <c r="L15" s="782">
        <f>'PPS Formulas'!L15</f>
        <v>0.01096491228</v>
      </c>
      <c r="M15" s="782">
        <f>'PPS Formulas'!M15</f>
        <v>0.01154734411</v>
      </c>
      <c r="N15" s="782">
        <f>'PPS Formulas'!N15</f>
        <v>0.01685393258</v>
      </c>
      <c r="O15" s="782">
        <f>'PPS Formulas'!O15</f>
        <v>0.01324503311</v>
      </c>
      <c r="P15" s="782">
        <f>'PPS Formulas'!P15</f>
        <v>0.01315789474</v>
      </c>
      <c r="Q15" s="782">
        <f>'PPS Formulas'!Q15</f>
        <v>0.002840909091</v>
      </c>
      <c r="R15" s="782">
        <f>'PPS Formulas'!R15</f>
        <v>0.03125</v>
      </c>
      <c r="S15" s="782">
        <f>'PPS Formulas'!S15</f>
        <v>0.01086956522</v>
      </c>
      <c r="T15" s="782">
        <f>'PPS Formulas'!T15</f>
        <v>0.02801724138</v>
      </c>
      <c r="U15" s="782">
        <f>'PPS Formulas'!U15</f>
        <v>0.01224489796</v>
      </c>
      <c r="V15" s="782">
        <f>'PPS Formulas'!V15</f>
        <v>0.01734104046</v>
      </c>
      <c r="W15" s="782">
        <f>'PPS Formulas'!W15</f>
        <v>0.01021711367</v>
      </c>
      <c r="X15" s="782">
        <f>'PPS Formulas'!X15</f>
        <v>0.0119047619</v>
      </c>
      <c r="Y15" s="782">
        <f>'PPS Formulas'!Y15</f>
        <v>0.04370915033</v>
      </c>
      <c r="Z15" s="782">
        <f>'PPS Formulas'!Z15</f>
        <v>0.01888020833</v>
      </c>
      <c r="AA15" s="782">
        <f>'PPS Formulas'!AA15</f>
        <v>0.01910828025</v>
      </c>
      <c r="AB15" s="782">
        <f>'PPS Formulas'!AB15</f>
        <v>0.02103467879</v>
      </c>
      <c r="AC15" s="782">
        <f>'PPS Formulas'!AC15</f>
        <v>0.01423785595</v>
      </c>
      <c r="AD15" s="782">
        <f>'PPS Formulas'!AD15</f>
        <v>0.009852216749</v>
      </c>
      <c r="AE15" s="782">
        <f>'PPS Formulas'!AE15</f>
        <v>0.01546391753</v>
      </c>
    </row>
    <row r="16">
      <c r="A16" s="1" t="s">
        <v>1009</v>
      </c>
      <c r="B16" s="782">
        <f>'PPS Formulas'!B16</f>
        <v>0.05517241379</v>
      </c>
      <c r="C16" s="782">
        <f>'PPS Formulas'!C16</f>
        <v>0.05607476636</v>
      </c>
      <c r="D16" s="782">
        <f>'PPS Formulas'!D16</f>
        <v>0.04678362573</v>
      </c>
      <c r="E16" s="782">
        <f>'PPS Formulas'!E16</f>
        <v>0.06896551724</v>
      </c>
      <c r="F16" s="782">
        <f>'PPS Formulas'!F16</f>
        <v>0.06117021277</v>
      </c>
      <c r="G16" s="782">
        <f>'PPS Formulas'!G16</f>
        <v>0.05277777778</v>
      </c>
      <c r="H16" s="782">
        <f>'PPS Formulas'!H16</f>
        <v>0.02941176471</v>
      </c>
      <c r="I16" s="782">
        <f>'PPS Formulas'!I16</f>
        <v>0.03363914373</v>
      </c>
      <c r="J16" s="782">
        <f>'PPS Formulas'!J16</f>
        <v>0.05571030641</v>
      </c>
      <c r="K16" s="782">
        <f>'PPS Formulas'!K16</f>
        <v>0.05149051491</v>
      </c>
      <c r="L16" s="782">
        <f>'PPS Formulas'!L16</f>
        <v>0.2061403509</v>
      </c>
      <c r="M16" s="782">
        <f>'PPS Formulas'!M16</f>
        <v>0.1755196305</v>
      </c>
      <c r="N16" s="782">
        <f>'PPS Formulas'!N16</f>
        <v>0.09550561798</v>
      </c>
      <c r="O16" s="782">
        <f>'PPS Formulas'!O16</f>
        <v>0.1766004415</v>
      </c>
      <c r="P16" s="782">
        <f>'PPS Formulas'!P16</f>
        <v>0.1026315789</v>
      </c>
      <c r="Q16" s="782">
        <f>'PPS Formulas'!Q16</f>
        <v>0.05113636364</v>
      </c>
      <c r="R16" s="782">
        <f>'PPS Formulas'!R16</f>
        <v>0.078125</v>
      </c>
      <c r="S16" s="782">
        <f>'PPS Formulas'!S16</f>
        <v>0.06304347826</v>
      </c>
      <c r="T16" s="782">
        <f>'PPS Formulas'!T16</f>
        <v>0.07543103448</v>
      </c>
      <c r="U16" s="782">
        <f>'PPS Formulas'!U16</f>
        <v>0.08979591837</v>
      </c>
      <c r="V16" s="782">
        <f>'PPS Formulas'!V16</f>
        <v>0.06165703276</v>
      </c>
      <c r="W16" s="782">
        <f>'PPS Formulas'!W16</f>
        <v>0.07535121328</v>
      </c>
      <c r="X16" s="782">
        <f>'PPS Formulas'!X16</f>
        <v>0.04523809524</v>
      </c>
      <c r="Y16" s="782">
        <f>'PPS Formulas'!Y16</f>
        <v>0.0420751634</v>
      </c>
      <c r="Z16" s="782">
        <f>'PPS Formulas'!Z16</f>
        <v>0.04947916667</v>
      </c>
      <c r="AA16" s="782">
        <f>'PPS Formulas'!AA16</f>
        <v>0.06581740977</v>
      </c>
      <c r="AB16" s="782">
        <f>'PPS Formulas'!AB16</f>
        <v>0.06708357021</v>
      </c>
      <c r="AC16" s="782">
        <f>'PPS Formulas'!AC16</f>
        <v>0.06700167504</v>
      </c>
      <c r="AD16" s="782">
        <f>'PPS Formulas'!AD16</f>
        <v>0.07389162562</v>
      </c>
      <c r="AE16" s="782">
        <f>'PPS Formulas'!AE16</f>
        <v>0.1288659794</v>
      </c>
    </row>
    <row r="17">
      <c r="A17" s="1" t="s">
        <v>1015</v>
      </c>
      <c r="B17" s="782">
        <f>'PPS Formulas'!B17</f>
        <v>0.006896551724</v>
      </c>
      <c r="C17" s="782">
        <f>'PPS Formulas'!C17</f>
        <v>0</v>
      </c>
      <c r="D17" s="782">
        <f>'PPS Formulas'!D17</f>
        <v>0.002923976608</v>
      </c>
      <c r="E17" s="782">
        <f>'PPS Formulas'!E17</f>
        <v>0.006269592476</v>
      </c>
      <c r="F17" s="782">
        <f>'PPS Formulas'!F17</f>
        <v>0</v>
      </c>
      <c r="G17" s="782">
        <f>'PPS Formulas'!G17</f>
        <v>0.008333333333</v>
      </c>
      <c r="H17" s="782">
        <f>'PPS Formulas'!H17</f>
        <v>0.008823529412</v>
      </c>
      <c r="I17" s="782">
        <f>'PPS Formulas'!I17</f>
        <v>0.009174311927</v>
      </c>
      <c r="J17" s="782">
        <f>'PPS Formulas'!J17</f>
        <v>0.01671309192</v>
      </c>
      <c r="K17" s="782">
        <f>'PPS Formulas'!K17</f>
        <v>0.0027100271</v>
      </c>
      <c r="L17" s="782">
        <f>'PPS Formulas'!L17</f>
        <v>0</v>
      </c>
      <c r="M17" s="782">
        <f>'PPS Formulas'!M17</f>
        <v>0.006928406467</v>
      </c>
      <c r="N17" s="782">
        <f>'PPS Formulas'!N17</f>
        <v>0.01685393258</v>
      </c>
      <c r="O17" s="782">
        <f>'PPS Formulas'!O17</f>
        <v>0.002207505519</v>
      </c>
      <c r="P17" s="782">
        <f>'PPS Formulas'!P17</f>
        <v>0</v>
      </c>
      <c r="Q17" s="782">
        <f>'PPS Formulas'!Q17</f>
        <v>0.002840909091</v>
      </c>
      <c r="R17" s="782">
        <f>'PPS Formulas'!R17</f>
        <v>0.005208333333</v>
      </c>
      <c r="S17" s="782">
        <f>'PPS Formulas'!S17</f>
        <v>0.00652173913</v>
      </c>
      <c r="T17" s="782">
        <f>'PPS Formulas'!T17</f>
        <v>0</v>
      </c>
      <c r="U17" s="782">
        <f>'PPS Formulas'!U17</f>
        <v>0.00612244898</v>
      </c>
      <c r="V17" s="782">
        <f>'PPS Formulas'!V17</f>
        <v>0.009633911368</v>
      </c>
      <c r="W17" s="782">
        <f>'PPS Formulas'!W17</f>
        <v>0.008939974457</v>
      </c>
      <c r="X17" s="782">
        <f>'PPS Formulas'!X17</f>
        <v>0.008333333333</v>
      </c>
      <c r="Y17" s="782">
        <f>'PPS Formulas'!Y17</f>
        <v>0.007761437908</v>
      </c>
      <c r="Z17" s="782">
        <f>'PPS Formulas'!Z17</f>
        <v>0.004557291667</v>
      </c>
      <c r="AA17" s="782">
        <f>'PPS Formulas'!AA17</f>
        <v>0.004246284501</v>
      </c>
      <c r="AB17" s="782">
        <f>'PPS Formulas'!AB17</f>
        <v>0.009096077317</v>
      </c>
      <c r="AC17" s="782">
        <f>'PPS Formulas'!AC17</f>
        <v>0.01591289782</v>
      </c>
      <c r="AD17" s="782">
        <f>'PPS Formulas'!AD17</f>
        <v>0.009852216749</v>
      </c>
      <c r="AE17" s="782">
        <f>'PPS Formulas'!AE17</f>
        <v>0.01546391753</v>
      </c>
    </row>
    <row r="18">
      <c r="A18" s="1" t="s">
        <v>1020</v>
      </c>
      <c r="B18" s="782">
        <f>'PPS Formulas'!B18</f>
        <v>0.0724137931</v>
      </c>
      <c r="C18" s="782">
        <f>'PPS Formulas'!C18</f>
        <v>0.05295950156</v>
      </c>
      <c r="D18" s="782">
        <f>'PPS Formulas'!D18</f>
        <v>0.05847953216</v>
      </c>
      <c r="E18" s="782">
        <f>'PPS Formulas'!E18</f>
        <v>0.05956112853</v>
      </c>
      <c r="F18" s="782">
        <f>'PPS Formulas'!F18</f>
        <v>0.03457446809</v>
      </c>
      <c r="G18" s="782">
        <f>'PPS Formulas'!G18</f>
        <v>0.04166666667</v>
      </c>
      <c r="H18" s="782">
        <f>'PPS Formulas'!H18</f>
        <v>0.05588235294</v>
      </c>
      <c r="I18" s="782">
        <f>'PPS Formulas'!I18</f>
        <v>0.07033639144</v>
      </c>
      <c r="J18" s="782">
        <f>'PPS Formulas'!J18</f>
        <v>0.06963788301</v>
      </c>
      <c r="K18" s="782">
        <f>'PPS Formulas'!K18</f>
        <v>0.08943089431</v>
      </c>
      <c r="L18" s="782">
        <f>'PPS Formulas'!L18</f>
        <v>0.06140350877</v>
      </c>
      <c r="M18" s="782">
        <f>'PPS Formulas'!M18</f>
        <v>0.05311778291</v>
      </c>
      <c r="N18" s="782">
        <f>'PPS Formulas'!N18</f>
        <v>0.05898876404</v>
      </c>
      <c r="O18" s="782">
        <f>'PPS Formulas'!O18</f>
        <v>0.05518763797</v>
      </c>
      <c r="P18" s="782">
        <f>'PPS Formulas'!P18</f>
        <v>0.07631578947</v>
      </c>
      <c r="Q18" s="782">
        <f>'PPS Formulas'!Q18</f>
        <v>0.08238636364</v>
      </c>
      <c r="R18" s="782">
        <f>'PPS Formulas'!R18</f>
        <v>0.05729166667</v>
      </c>
      <c r="S18" s="782">
        <f>'PPS Formulas'!S18</f>
        <v>0.07826086957</v>
      </c>
      <c r="T18" s="782">
        <f>'PPS Formulas'!T18</f>
        <v>0.07112068966</v>
      </c>
      <c r="U18" s="782">
        <f>'PPS Formulas'!U18</f>
        <v>0.06734693878</v>
      </c>
      <c r="V18" s="782">
        <f>'PPS Formulas'!V18</f>
        <v>0.08477842004</v>
      </c>
      <c r="W18" s="782">
        <f>'PPS Formulas'!W18</f>
        <v>0.07918263091</v>
      </c>
      <c r="X18" s="782">
        <f>'PPS Formulas'!X18</f>
        <v>0.07857142857</v>
      </c>
      <c r="Y18" s="782">
        <f>'PPS Formulas'!Y18</f>
        <v>0.07434640523</v>
      </c>
      <c r="Z18" s="782">
        <f>'PPS Formulas'!Z18</f>
        <v>0.08072916667</v>
      </c>
      <c r="AA18" s="782">
        <f>'PPS Formulas'!AA18</f>
        <v>0.09554140127</v>
      </c>
      <c r="AB18" s="782">
        <f>'PPS Formulas'!AB18</f>
        <v>0.08698123934</v>
      </c>
      <c r="AC18" s="782">
        <f>'PPS Formulas'!AC18</f>
        <v>0.08542713568</v>
      </c>
      <c r="AD18" s="782">
        <f>'PPS Formulas'!AD18</f>
        <v>0.1083743842</v>
      </c>
      <c r="AE18" s="782">
        <f>'PPS Formulas'!AE18</f>
        <v>0.1391752577</v>
      </c>
    </row>
    <row r="19">
      <c r="A19" s="806" t="s">
        <v>1024</v>
      </c>
      <c r="B19" s="807">
        <f>'PPS Formulas'!B19</f>
        <v>0.003448275862</v>
      </c>
      <c r="C19" s="807">
        <f>'PPS Formulas'!C19</f>
        <v>0.003115264798</v>
      </c>
      <c r="D19" s="807">
        <f>'PPS Formulas'!D19</f>
        <v>0</v>
      </c>
      <c r="E19" s="807">
        <f>'PPS Formulas'!E19</f>
        <v>0</v>
      </c>
      <c r="F19" s="807">
        <f>'PPS Formulas'!F19</f>
        <v>0.005319148936</v>
      </c>
      <c r="G19" s="807">
        <f>'PPS Formulas'!G19</f>
        <v>0.002777777778</v>
      </c>
      <c r="H19" s="807">
        <f>'PPS Formulas'!H19</f>
        <v>0.008823529412</v>
      </c>
      <c r="I19" s="807">
        <f>'PPS Formulas'!I19</f>
        <v>0.006116207951</v>
      </c>
      <c r="J19" s="807">
        <f>'PPS Formulas'!J19</f>
        <v>0.00278551532</v>
      </c>
      <c r="K19" s="807">
        <f>'PPS Formulas'!K19</f>
        <v>0</v>
      </c>
      <c r="L19" s="807">
        <f>'PPS Formulas'!L19</f>
        <v>0.004385964912</v>
      </c>
      <c r="M19" s="807">
        <f>'PPS Formulas'!M19</f>
        <v>0</v>
      </c>
      <c r="N19" s="807">
        <f>'PPS Formulas'!N19</f>
        <v>0.005617977528</v>
      </c>
      <c r="O19" s="807">
        <f>'PPS Formulas'!O19</f>
        <v>0</v>
      </c>
      <c r="P19" s="807">
        <f>'PPS Formulas'!P19</f>
        <v>0</v>
      </c>
      <c r="Q19" s="807">
        <f>'PPS Formulas'!Q19</f>
        <v>0.002840909091</v>
      </c>
      <c r="R19" s="807">
        <f>'PPS Formulas'!R19</f>
        <v>0</v>
      </c>
      <c r="S19" s="807">
        <f>'PPS Formulas'!S19</f>
        <v>0.002173913043</v>
      </c>
      <c r="T19" s="807">
        <f>'PPS Formulas'!T19</f>
        <v>0.002155172414</v>
      </c>
      <c r="U19" s="807">
        <f>'PPS Formulas'!U19</f>
        <v>0</v>
      </c>
      <c r="V19" s="807">
        <f>'PPS Formulas'!V19</f>
        <v>0.001926782274</v>
      </c>
      <c r="W19" s="807">
        <f>'PPS Formulas'!W19</f>
        <v>0.002554278416</v>
      </c>
      <c r="X19" s="807">
        <f>'PPS Formulas'!X19</f>
        <v>0.003571428571</v>
      </c>
      <c r="Y19" s="807">
        <f>'PPS Formulas'!Y19</f>
        <v>0.001633986928</v>
      </c>
      <c r="Z19" s="807">
        <f>'PPS Formulas'!Z19</f>
        <v>0.001953125</v>
      </c>
      <c r="AA19" s="807">
        <f>'PPS Formulas'!AA19</f>
        <v>0.004246284501</v>
      </c>
      <c r="AB19" s="807">
        <f>'PPS Formulas'!AB19</f>
        <v>0.005116543491</v>
      </c>
      <c r="AC19" s="807">
        <f>'PPS Formulas'!AC19</f>
        <v>0.002512562814</v>
      </c>
      <c r="AD19" s="807">
        <f>'PPS Formulas'!AD19</f>
        <v>0</v>
      </c>
      <c r="AE19" s="807">
        <f>'PPS Formulas'!AE19</f>
        <v>0</v>
      </c>
    </row>
    <row r="20">
      <c r="G20" s="810"/>
    </row>
    <row r="21">
      <c r="A21" s="772" t="s">
        <v>975</v>
      </c>
      <c r="B21" s="773">
        <f>'PPS Formulas'!B58</f>
        <v>0</v>
      </c>
      <c r="C21" s="773">
        <f>'PPS Formulas'!C58</f>
        <v>0</v>
      </c>
      <c r="D21" s="773">
        <f>'PPS Formulas'!D58</f>
        <v>0</v>
      </c>
      <c r="E21" s="773">
        <f>'PPS Formulas'!E58</f>
        <v>0</v>
      </c>
      <c r="F21" s="773">
        <f>'PPS Formulas'!F58</f>
        <v>0</v>
      </c>
      <c r="G21" s="773">
        <f>'PPS Formulas'!G58</f>
        <v>0</v>
      </c>
      <c r="H21" s="773">
        <f>'PPS Formulas'!H58</f>
        <v>0</v>
      </c>
      <c r="I21" s="773">
        <f>'PPS Formulas'!I58</f>
        <v>0</v>
      </c>
      <c r="J21" s="773">
        <f>'PPS Formulas'!J58</f>
        <v>0</v>
      </c>
      <c r="K21" s="773">
        <f>'PPS Formulas'!K58</f>
        <v>0</v>
      </c>
      <c r="L21" s="773">
        <f>'PPS Formulas'!L58</f>
        <v>0</v>
      </c>
      <c r="M21" s="773">
        <f>'PPS Formulas'!M58</f>
        <v>0</v>
      </c>
      <c r="N21" s="773">
        <f>'PPS Formulas'!N58</f>
        <v>0</v>
      </c>
      <c r="O21" s="773">
        <f>'PPS Formulas'!O58</f>
        <v>0</v>
      </c>
      <c r="P21" s="773">
        <f>'PPS Formulas'!P58</f>
        <v>249</v>
      </c>
      <c r="Q21" s="773">
        <f>'PPS Formulas'!Q58</f>
        <v>352</v>
      </c>
      <c r="R21" s="773">
        <f>'PPS Formulas'!R58</f>
        <v>385</v>
      </c>
      <c r="S21" s="773">
        <f>'PPS Formulas'!S58</f>
        <v>461</v>
      </c>
      <c r="T21" s="773">
        <f>'PPS Formulas'!T58</f>
        <v>464</v>
      </c>
      <c r="U21" s="773">
        <f>'PPS Formulas'!U58</f>
        <v>490</v>
      </c>
      <c r="V21" s="773">
        <f>'PPS Formulas'!V58</f>
        <v>519</v>
      </c>
      <c r="W21" s="773">
        <f>'PPS Formulas'!W58</f>
        <v>783</v>
      </c>
      <c r="X21" s="773">
        <f>'PPS Formulas'!X58</f>
        <v>839</v>
      </c>
      <c r="Y21" s="773">
        <f>'PPS Formulas'!Y58</f>
        <v>2449</v>
      </c>
      <c r="Z21" s="773">
        <f>'PPS Formulas'!Z58</f>
        <v>1536</v>
      </c>
      <c r="AA21" s="773">
        <f>'PPS Formulas'!AA58</f>
        <v>471</v>
      </c>
      <c r="AB21" s="773">
        <f>'PPS Formulas'!AB58</f>
        <v>1751</v>
      </c>
      <c r="AC21" s="773">
        <f>'PPS Formulas'!AC58</f>
        <v>1193</v>
      </c>
      <c r="AD21" s="773">
        <f>'PPS Formulas'!AD58</f>
        <v>300</v>
      </c>
      <c r="AE21" s="773">
        <f>'PPS Formulas'!AE58</f>
        <v>194</v>
      </c>
    </row>
    <row r="22">
      <c r="A22" s="775" t="s">
        <v>979</v>
      </c>
      <c r="B22" s="776">
        <f>B21/'Sales OLD'!B39</f>
        <v>0</v>
      </c>
      <c r="C22" s="776">
        <f>C21/'Sales OLD'!C39</f>
        <v>0</v>
      </c>
      <c r="D22" s="776">
        <f>D21/'Sales OLD'!D39</f>
        <v>0</v>
      </c>
      <c r="E22" s="776">
        <f>E21/'Sales OLD'!E39</f>
        <v>0</v>
      </c>
      <c r="F22" s="776">
        <f>F21/'Sales OLD'!F39</f>
        <v>0</v>
      </c>
      <c r="G22" s="776">
        <f>G21/'Sales OLD'!G39</f>
        <v>0</v>
      </c>
      <c r="H22" s="776">
        <f>H21/'Sales OLD'!H39</f>
        <v>0</v>
      </c>
      <c r="I22" s="776">
        <f>I21/'Sales OLD'!I39</f>
        <v>0</v>
      </c>
      <c r="J22" s="776">
        <f>J21/'Sales OLD'!J39</f>
        <v>0</v>
      </c>
      <c r="K22" s="776">
        <f>K21/'Sales OLD'!K39</f>
        <v>0</v>
      </c>
      <c r="L22" s="776">
        <f>L21/'Sales OLD'!L39</f>
        <v>0</v>
      </c>
      <c r="M22" s="776">
        <f>M21/'Sales OLD'!M39</f>
        <v>0</v>
      </c>
      <c r="N22" s="776">
        <f>N21/'Sales OLD'!N39</f>
        <v>0</v>
      </c>
      <c r="O22" s="776">
        <f>O21/'Sales OLD'!O39</f>
        <v>0</v>
      </c>
      <c r="P22" s="776">
        <f>P21/'Sales OLD'!P39</f>
        <v>0.4278350515</v>
      </c>
      <c r="Q22" s="776">
        <f>Q21/'Sales OLD'!Q39</f>
        <v>0.6470588235</v>
      </c>
      <c r="R22" s="776">
        <f>R21/'Sales OLD'!R39</f>
        <v>0.6660899654</v>
      </c>
      <c r="S22" s="776">
        <f>S21/'Sales OLD'!S39</f>
        <v>0.6332417582</v>
      </c>
      <c r="T22" s="776">
        <f>T21/'Sales OLD'!T39</f>
        <v>0.6178428762</v>
      </c>
      <c r="U22" s="776">
        <f>U21/'Sales OLD'!U39</f>
        <v>0.6242038217</v>
      </c>
      <c r="V22" s="776">
        <f>V21/'Sales OLD'!V39</f>
        <v>0.6313868613</v>
      </c>
      <c r="W22" s="776">
        <f>W21/'Sales OLD'!W39</f>
        <v>0.6433853739</v>
      </c>
      <c r="X22" s="776">
        <f>X21/'Sales OLD'!X39</f>
        <v>0.5941926346</v>
      </c>
      <c r="Y22" s="776">
        <f>Y21/'Sales OLD'!Y39</f>
        <v>0.6245855649</v>
      </c>
      <c r="Z22" s="776">
        <f>Z21/'Sales OLD'!Z39</f>
        <v>0.6269387755</v>
      </c>
      <c r="AA22" s="776">
        <f>AA21/'Sales OLD'!AA39</f>
        <v>0.2596471885</v>
      </c>
      <c r="AB22" s="776">
        <f>AB21/'Sales OLD'!AB39</f>
        <v>0.6282741299</v>
      </c>
      <c r="AC22" s="776">
        <f>AC21/'Sales OLD'!AC39</f>
        <v>0.610542477</v>
      </c>
      <c r="AD22" s="776">
        <f>AD21/'Sales OLD'!AD39</f>
        <v>0.9036144578</v>
      </c>
      <c r="AE22" s="776">
        <f>AE21/'Sales OLD'!AE39</f>
        <v>0.6198083067</v>
      </c>
    </row>
    <row r="24">
      <c r="A24" s="812" t="s">
        <v>1039</v>
      </c>
      <c r="B24" s="813"/>
      <c r="C24" s="813"/>
      <c r="D24" s="813"/>
      <c r="E24" s="813"/>
      <c r="F24" s="813"/>
      <c r="G24" s="814"/>
      <c r="H24" s="813"/>
      <c r="I24" s="813"/>
      <c r="J24" s="813"/>
      <c r="K24" s="813"/>
      <c r="L24" s="813"/>
      <c r="M24" s="813"/>
      <c r="N24" s="813"/>
      <c r="O24" s="813"/>
      <c r="P24" s="813"/>
      <c r="Q24" s="813"/>
      <c r="R24" s="813"/>
      <c r="S24" s="813"/>
      <c r="T24" s="813"/>
      <c r="U24" s="813"/>
      <c r="V24" s="813"/>
      <c r="W24" s="813"/>
      <c r="X24" s="813"/>
      <c r="Y24" s="813"/>
      <c r="Z24" s="813"/>
      <c r="AA24" s="813"/>
      <c r="AB24" s="813"/>
      <c r="AC24" s="813"/>
      <c r="AD24" s="813"/>
      <c r="AE24" s="813"/>
    </row>
    <row r="25">
      <c r="A25" s="1" t="s">
        <v>1041</v>
      </c>
      <c r="B25" s="815" t="str">
        <f>'PPS Formulas'!B60</f>
        <v/>
      </c>
      <c r="C25" s="815" t="str">
        <f>'PPS Formulas'!C60</f>
        <v/>
      </c>
      <c r="D25" s="815" t="str">
        <f>'PPS Formulas'!D60</f>
        <v/>
      </c>
      <c r="E25" s="815" t="str">
        <f>'PPS Formulas'!E60</f>
        <v/>
      </c>
      <c r="F25" s="815" t="str">
        <f>'PPS Formulas'!F60</f>
        <v/>
      </c>
      <c r="G25" s="815" t="str">
        <f>'PPS Formulas'!G60</f>
        <v/>
      </c>
      <c r="H25" s="815" t="str">
        <f>'PPS Formulas'!H60</f>
        <v/>
      </c>
      <c r="I25" s="815" t="str">
        <f>'PPS Formulas'!I60</f>
        <v/>
      </c>
      <c r="J25" s="815" t="str">
        <f>'PPS Formulas'!J60</f>
        <v/>
      </c>
      <c r="K25" s="815" t="str">
        <f>'PPS Formulas'!K60</f>
        <v/>
      </c>
      <c r="L25" s="815" t="str">
        <f>'PPS Formulas'!L60</f>
        <v/>
      </c>
      <c r="M25" s="815" t="str">
        <f>'PPS Formulas'!M60</f>
        <v/>
      </c>
      <c r="N25" s="815" t="str">
        <f>'PPS Formulas'!N60</f>
        <v/>
      </c>
      <c r="O25" s="815" t="str">
        <f>'PPS Formulas'!O60</f>
        <v/>
      </c>
      <c r="P25" s="782">
        <f>'PPS Formulas'!P60</f>
        <v>0.08032128514</v>
      </c>
      <c r="Q25" s="782">
        <f>'PPS Formulas'!Q60</f>
        <v>0.07386363636</v>
      </c>
      <c r="R25" s="782">
        <f>'PPS Formulas'!R60</f>
        <v>0.05974025974</v>
      </c>
      <c r="S25" s="782">
        <f>'PPS Formulas'!S60</f>
        <v>0.05206073753</v>
      </c>
      <c r="T25" s="782">
        <f>'PPS Formulas'!T60</f>
        <v>0.04310344828</v>
      </c>
      <c r="U25" s="782">
        <f>'PPS Formulas'!U60</f>
        <v>0.04693877551</v>
      </c>
      <c r="V25" s="782">
        <f>'PPS Formulas'!V60</f>
        <v>0.04816955684</v>
      </c>
      <c r="W25" s="782">
        <f>'PPS Formulas'!W60</f>
        <v>0.07024265645</v>
      </c>
      <c r="X25" s="782">
        <f>'PPS Formulas'!X60</f>
        <v>0.05005959476</v>
      </c>
      <c r="Y25" s="782">
        <f>'PPS Formulas'!Y60</f>
        <v>0.05185790118</v>
      </c>
      <c r="Z25" s="782">
        <f>'PPS Formulas'!Z60</f>
        <v>0.03645833333</v>
      </c>
      <c r="AA25" s="782">
        <f>'PPS Formulas'!AA60</f>
        <v>0.03821656051</v>
      </c>
      <c r="AB25" s="782">
        <f>'PPS Formulas'!AB60</f>
        <v>0.03826384923</v>
      </c>
      <c r="AC25" s="782">
        <f>'PPS Formulas'!AC60</f>
        <v>0.03352891869</v>
      </c>
      <c r="AD25" s="782">
        <f>'PPS Formulas'!AD60</f>
        <v>0.02333333333</v>
      </c>
      <c r="AE25" s="782">
        <f>'PPS Formulas'!AE60</f>
        <v>0.0412371134</v>
      </c>
    </row>
    <row r="26" outlineLevel="1">
      <c r="A26" s="816" t="s">
        <v>1047</v>
      </c>
      <c r="B26" s="817"/>
      <c r="C26" s="817"/>
      <c r="D26" s="817"/>
      <c r="E26" s="817"/>
      <c r="F26" s="817"/>
      <c r="G26" s="817"/>
      <c r="H26" s="817"/>
      <c r="I26" s="817"/>
      <c r="J26" s="817"/>
      <c r="K26" s="817"/>
      <c r="L26" s="817"/>
      <c r="M26" s="817"/>
      <c r="N26" s="817"/>
      <c r="O26" s="817"/>
      <c r="P26" s="817"/>
      <c r="Q26" s="817"/>
      <c r="R26" s="817"/>
      <c r="S26" s="817"/>
      <c r="T26" s="817"/>
      <c r="U26" s="817"/>
      <c r="V26" s="817"/>
      <c r="W26" s="817"/>
      <c r="X26" s="817"/>
      <c r="Y26" s="817"/>
      <c r="Z26" s="817"/>
      <c r="AA26" s="817"/>
      <c r="AB26" s="817"/>
      <c r="AC26" s="817"/>
      <c r="AD26" s="817"/>
      <c r="AE26" s="817"/>
    </row>
    <row r="27" outlineLevel="1">
      <c r="A27" s="1" t="s">
        <v>1051</v>
      </c>
      <c r="B27" s="815" t="str">
        <f>'PPS Formulas'!B62</f>
        <v/>
      </c>
      <c r="C27" s="815" t="str">
        <f>'PPS Formulas'!C62</f>
        <v/>
      </c>
      <c r="D27" s="815" t="str">
        <f>'PPS Formulas'!D62</f>
        <v/>
      </c>
      <c r="E27" s="815" t="str">
        <f>'PPS Formulas'!E62</f>
        <v/>
      </c>
      <c r="F27" s="815" t="str">
        <f>'PPS Formulas'!F62</f>
        <v/>
      </c>
      <c r="G27" s="815" t="str">
        <f>'PPS Formulas'!G62</f>
        <v/>
      </c>
      <c r="H27" s="815" t="str">
        <f>'PPS Formulas'!H62</f>
        <v/>
      </c>
      <c r="I27" s="815" t="str">
        <f>'PPS Formulas'!I62</f>
        <v/>
      </c>
      <c r="J27" s="815" t="str">
        <f>'PPS Formulas'!J62</f>
        <v/>
      </c>
      <c r="K27" s="815" t="str">
        <f>'PPS Formulas'!K62</f>
        <v/>
      </c>
      <c r="L27" s="815" t="str">
        <f>'PPS Formulas'!L62</f>
        <v/>
      </c>
      <c r="M27" s="815" t="str">
        <f>'PPS Formulas'!M62</f>
        <v/>
      </c>
      <c r="N27" s="815" t="str">
        <f>'PPS Formulas'!N62</f>
        <v/>
      </c>
      <c r="O27" s="815" t="str">
        <f>'PPS Formulas'!O62</f>
        <v/>
      </c>
      <c r="P27" s="782">
        <f>'PPS Formulas'!P62</f>
        <v>0.4</v>
      </c>
      <c r="Q27" s="782">
        <f>'PPS Formulas'!Q62</f>
        <v>0.1923076923</v>
      </c>
      <c r="R27" s="782">
        <f>'PPS Formulas'!R62</f>
        <v>0.2608695652</v>
      </c>
      <c r="S27" s="782">
        <f>'PPS Formulas'!S62</f>
        <v>0.2083333333</v>
      </c>
      <c r="T27" s="782">
        <f>'PPS Formulas'!T62</f>
        <v>0.5</v>
      </c>
      <c r="U27" s="782">
        <f>'PPS Formulas'!U62</f>
        <v>0.1304347826</v>
      </c>
      <c r="V27" s="782">
        <f>'PPS Formulas'!V62</f>
        <v>0.28</v>
      </c>
      <c r="W27" s="782">
        <f>'PPS Formulas'!W62</f>
        <v>0.3157894737</v>
      </c>
      <c r="X27" s="782">
        <f>'PPS Formulas'!X62</f>
        <v>0.2857142857</v>
      </c>
      <c r="Y27" s="782">
        <f>'PPS Formulas'!Y62</f>
        <v>0.2380952381</v>
      </c>
      <c r="Z27" s="782">
        <f>'PPS Formulas'!Z62</f>
        <v>0.3571428571</v>
      </c>
      <c r="AA27" s="782">
        <f>'PPS Formulas'!AA62</f>
        <v>0.3888888889</v>
      </c>
      <c r="AB27" s="782">
        <f>'PPS Formulas'!AB62</f>
        <v>0.2463768116</v>
      </c>
      <c r="AC27" s="782">
        <f>'PPS Formulas'!AC62</f>
        <v>0.275</v>
      </c>
      <c r="AD27" s="782">
        <f>'PPS Formulas'!AD62</f>
        <v>0</v>
      </c>
      <c r="AE27" s="782">
        <f>'PPS Formulas'!AE62</f>
        <v>0.125</v>
      </c>
    </row>
    <row r="28" outlineLevel="1">
      <c r="A28" s="1" t="s">
        <v>1055</v>
      </c>
      <c r="B28" s="815" t="str">
        <f>'PPS Formulas'!B63</f>
        <v/>
      </c>
      <c r="C28" s="815" t="str">
        <f>'PPS Formulas'!C63</f>
        <v/>
      </c>
      <c r="D28" s="815" t="str">
        <f>'PPS Formulas'!D63</f>
        <v/>
      </c>
      <c r="E28" s="815" t="str">
        <f>'PPS Formulas'!E63</f>
        <v/>
      </c>
      <c r="F28" s="815" t="str">
        <f>'PPS Formulas'!F63</f>
        <v/>
      </c>
      <c r="G28" s="815" t="str">
        <f>'PPS Formulas'!G63</f>
        <v/>
      </c>
      <c r="H28" s="815" t="str">
        <f>'PPS Formulas'!H63</f>
        <v/>
      </c>
      <c r="I28" s="815" t="str">
        <f>'PPS Formulas'!I63</f>
        <v/>
      </c>
      <c r="J28" s="815" t="str">
        <f>'PPS Formulas'!J63</f>
        <v/>
      </c>
      <c r="K28" s="815" t="str">
        <f>'PPS Formulas'!K63</f>
        <v/>
      </c>
      <c r="L28" s="815" t="str">
        <f>'PPS Formulas'!L63</f>
        <v/>
      </c>
      <c r="M28" s="815" t="str">
        <f>'PPS Formulas'!M63</f>
        <v/>
      </c>
      <c r="N28" s="815" t="str">
        <f>'PPS Formulas'!N63</f>
        <v/>
      </c>
      <c r="O28" s="815" t="str">
        <f>'PPS Formulas'!O63</f>
        <v/>
      </c>
      <c r="P28" s="782">
        <f>'PPS Formulas'!P63</f>
        <v>0.2</v>
      </c>
      <c r="Q28" s="782">
        <f>'PPS Formulas'!Q63</f>
        <v>0.3461538462</v>
      </c>
      <c r="R28" s="782">
        <f>'PPS Formulas'!R63</f>
        <v>0.2608695652</v>
      </c>
      <c r="S28" s="782">
        <f>'PPS Formulas'!S63</f>
        <v>0.375</v>
      </c>
      <c r="T28" s="782">
        <f>'PPS Formulas'!T63</f>
        <v>0.2</v>
      </c>
      <c r="U28" s="782">
        <f>'PPS Formulas'!U63</f>
        <v>0.3043478261</v>
      </c>
      <c r="V28" s="782">
        <f>'PPS Formulas'!V63</f>
        <v>0.32</v>
      </c>
      <c r="W28" s="782">
        <f>'PPS Formulas'!W63</f>
        <v>0.3684210526</v>
      </c>
      <c r="X28" s="782">
        <f>'PPS Formulas'!X63</f>
        <v>0.380952381</v>
      </c>
      <c r="Y28" s="782">
        <f>'PPS Formulas'!Y63</f>
        <v>0.3571428571</v>
      </c>
      <c r="Z28" s="782">
        <f>'PPS Formulas'!Z63</f>
        <v>0.3214285714</v>
      </c>
      <c r="AA28" s="782">
        <f>'PPS Formulas'!AA63</f>
        <v>0.2777777778</v>
      </c>
      <c r="AB28" s="782">
        <f>'PPS Formulas'!AB63</f>
        <v>0.3623188406</v>
      </c>
      <c r="AC28" s="782">
        <f>'PPS Formulas'!AC63</f>
        <v>0.35</v>
      </c>
      <c r="AD28" s="782">
        <f>'PPS Formulas'!AD63</f>
        <v>0.4285714286</v>
      </c>
      <c r="AE28" s="782">
        <f>'PPS Formulas'!AE63</f>
        <v>0.5</v>
      </c>
    </row>
    <row r="29" outlineLevel="1">
      <c r="A29" s="1" t="s">
        <v>1061</v>
      </c>
      <c r="B29" s="815" t="str">
        <f>'PPS Formulas'!B64</f>
        <v/>
      </c>
      <c r="C29" s="815" t="str">
        <f>'PPS Formulas'!C64</f>
        <v/>
      </c>
      <c r="D29" s="815" t="str">
        <f>'PPS Formulas'!D64</f>
        <v/>
      </c>
      <c r="E29" s="815" t="str">
        <f>'PPS Formulas'!E64</f>
        <v/>
      </c>
      <c r="F29" s="815" t="str">
        <f>'PPS Formulas'!F64</f>
        <v/>
      </c>
      <c r="G29" s="815" t="str">
        <f>'PPS Formulas'!G64</f>
        <v/>
      </c>
      <c r="H29" s="815" t="str">
        <f>'PPS Formulas'!H64</f>
        <v/>
      </c>
      <c r="I29" s="815" t="str">
        <f>'PPS Formulas'!I64</f>
        <v/>
      </c>
      <c r="J29" s="815" t="str">
        <f>'PPS Formulas'!J64</f>
        <v/>
      </c>
      <c r="K29" s="815" t="str">
        <f>'PPS Formulas'!K64</f>
        <v/>
      </c>
      <c r="L29" s="815" t="str">
        <f>'PPS Formulas'!L64</f>
        <v/>
      </c>
      <c r="M29" s="815" t="str">
        <f>'PPS Formulas'!M64</f>
        <v/>
      </c>
      <c r="N29" s="815" t="str">
        <f>'PPS Formulas'!N64</f>
        <v/>
      </c>
      <c r="O29" s="815" t="str">
        <f>'PPS Formulas'!O64</f>
        <v/>
      </c>
      <c r="P29" s="782">
        <f>'PPS Formulas'!P64</f>
        <v>0.4</v>
      </c>
      <c r="Q29" s="782">
        <f>'PPS Formulas'!Q64</f>
        <v>0.4615384615</v>
      </c>
      <c r="R29" s="782">
        <f>'PPS Formulas'!R64</f>
        <v>0.4782608696</v>
      </c>
      <c r="S29" s="782">
        <f>'PPS Formulas'!S64</f>
        <v>0.4166666667</v>
      </c>
      <c r="T29" s="782">
        <f>'PPS Formulas'!T64</f>
        <v>0.3</v>
      </c>
      <c r="U29" s="782">
        <f>'PPS Formulas'!U64</f>
        <v>0.5652173913</v>
      </c>
      <c r="V29" s="782">
        <f>'PPS Formulas'!V64</f>
        <v>0.4</v>
      </c>
      <c r="W29" s="782">
        <f>'PPS Formulas'!W64</f>
        <v>0.3157894737</v>
      </c>
      <c r="X29" s="782">
        <f>'PPS Formulas'!X64</f>
        <v>0.3333333333</v>
      </c>
      <c r="Y29" s="782">
        <f>'PPS Formulas'!Y64</f>
        <v>0.4047619048</v>
      </c>
      <c r="Z29" s="782">
        <f>'PPS Formulas'!Z64</f>
        <v>0.3214285714</v>
      </c>
      <c r="AA29" s="782">
        <f>'PPS Formulas'!AA64</f>
        <v>0.3333333333</v>
      </c>
      <c r="AB29" s="782">
        <f>'PPS Formulas'!AB64</f>
        <v>0.3913043478</v>
      </c>
      <c r="AC29" s="782">
        <f>'PPS Formulas'!AC64</f>
        <v>0.375</v>
      </c>
      <c r="AD29" s="782">
        <f>'PPS Formulas'!AD64</f>
        <v>0.5714285714</v>
      </c>
      <c r="AE29" s="782">
        <f>'PPS Formulas'!AE64</f>
        <v>0.375</v>
      </c>
    </row>
    <row r="30" outlineLevel="1">
      <c r="A30" s="820"/>
      <c r="B30" s="821"/>
      <c r="C30" s="821"/>
      <c r="D30" s="821"/>
      <c r="E30" s="821"/>
      <c r="F30" s="821"/>
      <c r="G30" s="821"/>
      <c r="H30" s="821"/>
      <c r="I30" s="821"/>
      <c r="J30" s="821"/>
      <c r="K30" s="821"/>
      <c r="L30" s="821"/>
      <c r="M30" s="821"/>
      <c r="N30" s="821"/>
      <c r="O30" s="821"/>
      <c r="P30" s="821"/>
      <c r="Q30" s="821"/>
      <c r="R30" s="821"/>
      <c r="S30" s="821"/>
      <c r="T30" s="821"/>
      <c r="U30" s="821"/>
      <c r="V30" s="821"/>
      <c r="W30" s="821"/>
      <c r="X30" s="821"/>
      <c r="Y30" s="821"/>
      <c r="Z30" s="821"/>
      <c r="AA30" s="821"/>
      <c r="AB30" s="821"/>
      <c r="AC30" s="821"/>
      <c r="AD30" s="821"/>
      <c r="AE30" s="821"/>
    </row>
    <row r="31">
      <c r="A31" s="1" t="s">
        <v>1071</v>
      </c>
      <c r="B31" s="815" t="str">
        <f>'PPS Formulas'!B66</f>
        <v/>
      </c>
      <c r="C31" s="815" t="str">
        <f>'PPS Formulas'!C66</f>
        <v/>
      </c>
      <c r="D31" s="815" t="str">
        <f>'PPS Formulas'!D66</f>
        <v/>
      </c>
      <c r="E31" s="815" t="str">
        <f>'PPS Formulas'!E66</f>
        <v/>
      </c>
      <c r="F31" s="815" t="str">
        <f>'PPS Formulas'!F66</f>
        <v/>
      </c>
      <c r="G31" s="815" t="str">
        <f>'PPS Formulas'!G66</f>
        <v/>
      </c>
      <c r="H31" s="815" t="str">
        <f>'PPS Formulas'!H66</f>
        <v/>
      </c>
      <c r="I31" s="815" t="str">
        <f>'PPS Formulas'!I66</f>
        <v/>
      </c>
      <c r="J31" s="815" t="str">
        <f>'PPS Formulas'!J66</f>
        <v/>
      </c>
      <c r="K31" s="815" t="str">
        <f>'PPS Formulas'!K66</f>
        <v/>
      </c>
      <c r="L31" s="815" t="str">
        <f>'PPS Formulas'!L66</f>
        <v/>
      </c>
      <c r="M31" s="815" t="str">
        <f>'PPS Formulas'!M66</f>
        <v/>
      </c>
      <c r="N31" s="815" t="str">
        <f>'PPS Formulas'!N66</f>
        <v/>
      </c>
      <c r="O31" s="815" t="str">
        <f>'PPS Formulas'!O66</f>
        <v/>
      </c>
      <c r="P31" s="782">
        <f>'PPS Formulas'!P66</f>
        <v>0.2048192771</v>
      </c>
      <c r="Q31" s="782">
        <f>'PPS Formulas'!Q66</f>
        <v>0.1875</v>
      </c>
      <c r="R31" s="782">
        <f>'PPS Formulas'!R66</f>
        <v>0.2181818182</v>
      </c>
      <c r="S31" s="782">
        <f>'PPS Formulas'!S66</f>
        <v>0.2104121475</v>
      </c>
      <c r="T31" s="782">
        <f>'PPS Formulas'!T66</f>
        <v>0.1573275862</v>
      </c>
      <c r="U31" s="782">
        <f>'PPS Formulas'!U66</f>
        <v>0.1734693878</v>
      </c>
      <c r="V31" s="782">
        <f>'PPS Formulas'!V66</f>
        <v>0.1868978805</v>
      </c>
      <c r="W31" s="782">
        <f>'PPS Formulas'!W66</f>
        <v>0.2107279693</v>
      </c>
      <c r="X31" s="782">
        <f>'PPS Formulas'!X66</f>
        <v>0.2133492253</v>
      </c>
      <c r="Y31" s="782">
        <f>'PPS Formulas'!Y66</f>
        <v>0.1845651286</v>
      </c>
      <c r="Z31" s="782">
        <f>'PPS Formulas'!Z66</f>
        <v>0.1770833333</v>
      </c>
      <c r="AA31" s="782">
        <f>'PPS Formulas'!AA66</f>
        <v>0.1634819533</v>
      </c>
      <c r="AB31" s="782">
        <f>'PPS Formulas'!AB66</f>
        <v>0.1804683038</v>
      </c>
      <c r="AC31" s="782">
        <f>'PPS Formulas'!AC66</f>
        <v>0.1634534786</v>
      </c>
      <c r="AD31" s="782">
        <f>'PPS Formulas'!AD66</f>
        <v>0.1533333333</v>
      </c>
      <c r="AE31" s="782">
        <f>'PPS Formulas'!AE66</f>
        <v>0.2268041237</v>
      </c>
    </row>
    <row r="32" outlineLevel="1">
      <c r="A32" s="816" t="s">
        <v>1047</v>
      </c>
      <c r="B32" s="817"/>
      <c r="C32" s="817"/>
      <c r="D32" s="817"/>
      <c r="E32" s="817"/>
      <c r="F32" s="817"/>
      <c r="G32" s="817"/>
      <c r="H32" s="817"/>
      <c r="I32" s="817"/>
      <c r="J32" s="817"/>
      <c r="K32" s="817"/>
      <c r="L32" s="817"/>
      <c r="M32" s="817"/>
      <c r="N32" s="817"/>
      <c r="O32" s="817"/>
      <c r="P32" s="817"/>
      <c r="Q32" s="817"/>
      <c r="R32" s="817"/>
      <c r="S32" s="817"/>
      <c r="T32" s="817"/>
      <c r="U32" s="817"/>
      <c r="V32" s="817"/>
      <c r="W32" s="817"/>
      <c r="X32" s="817"/>
      <c r="Y32" s="817"/>
      <c r="Z32" s="817"/>
      <c r="AA32" s="817"/>
      <c r="AB32" s="817"/>
      <c r="AC32" s="817"/>
      <c r="AD32" s="817"/>
      <c r="AE32" s="817"/>
    </row>
    <row r="33" outlineLevel="1">
      <c r="A33" s="1" t="s">
        <v>1051</v>
      </c>
      <c r="B33" s="815" t="str">
        <f>'PPS Formulas'!B68</f>
        <v/>
      </c>
      <c r="C33" s="815" t="str">
        <f>'PPS Formulas'!C68</f>
        <v/>
      </c>
      <c r="D33" s="815" t="str">
        <f>'PPS Formulas'!D68</f>
        <v/>
      </c>
      <c r="E33" s="815" t="str">
        <f>'PPS Formulas'!E68</f>
        <v/>
      </c>
      <c r="F33" s="815" t="str">
        <f>'PPS Formulas'!F68</f>
        <v/>
      </c>
      <c r="G33" s="815" t="str">
        <f>'PPS Formulas'!G68</f>
        <v/>
      </c>
      <c r="H33" s="815" t="str">
        <f>'PPS Formulas'!H68</f>
        <v/>
      </c>
      <c r="I33" s="815" t="str">
        <f>'PPS Formulas'!I68</f>
        <v/>
      </c>
      <c r="J33" s="815" t="str">
        <f>'PPS Formulas'!J68</f>
        <v/>
      </c>
      <c r="K33" s="815" t="str">
        <f>'PPS Formulas'!K68</f>
        <v/>
      </c>
      <c r="L33" s="815" t="str">
        <f>'PPS Formulas'!L68</f>
        <v/>
      </c>
      <c r="M33" s="815" t="str">
        <f>'PPS Formulas'!M68</f>
        <v/>
      </c>
      <c r="N33" s="815" t="str">
        <f>'PPS Formulas'!N68</f>
        <v/>
      </c>
      <c r="O33" s="815" t="str">
        <f>'PPS Formulas'!O68</f>
        <v/>
      </c>
      <c r="P33" s="782">
        <f>'PPS Formulas'!P68</f>
        <v>0.2941176471</v>
      </c>
      <c r="Q33" s="782">
        <f>'PPS Formulas'!Q68</f>
        <v>0.1515151515</v>
      </c>
      <c r="R33" s="782">
        <f>'PPS Formulas'!R68</f>
        <v>0.2857142857</v>
      </c>
      <c r="S33" s="782">
        <f>'PPS Formulas'!S68</f>
        <v>0.2783505155</v>
      </c>
      <c r="T33" s="782">
        <f>'PPS Formulas'!T68</f>
        <v>0.2602739726</v>
      </c>
      <c r="U33" s="782">
        <f>'PPS Formulas'!U68</f>
        <v>0.2117647059</v>
      </c>
      <c r="V33" s="782">
        <f>'PPS Formulas'!V68</f>
        <v>0.2268041237</v>
      </c>
      <c r="W33" s="782">
        <f>'PPS Formulas'!W68</f>
        <v>0.2606060606</v>
      </c>
      <c r="X33" s="782">
        <f>'PPS Formulas'!X68</f>
        <v>0.2159090909</v>
      </c>
      <c r="Y33" s="782">
        <f>'PPS Formulas'!Y68</f>
        <v>0.2168141593</v>
      </c>
      <c r="Z33" s="782">
        <f>'PPS Formulas'!Z68</f>
        <v>0.2794117647</v>
      </c>
      <c r="AA33" s="782">
        <f>'PPS Formulas'!AA68</f>
        <v>0.2077922078</v>
      </c>
      <c r="AB33" s="782">
        <f>'PPS Formulas'!AB68</f>
        <v>0.2232704403</v>
      </c>
      <c r="AC33" s="782">
        <f>'PPS Formulas'!AC68</f>
        <v>0.2615384615</v>
      </c>
      <c r="AD33" s="782">
        <f>'PPS Formulas'!AD68</f>
        <v>0.2826086957</v>
      </c>
      <c r="AE33" s="782">
        <f>'PPS Formulas'!AE68</f>
        <v>0.2272727273</v>
      </c>
    </row>
    <row r="34" outlineLevel="1">
      <c r="A34" s="1" t="s">
        <v>1055</v>
      </c>
      <c r="B34" s="815" t="str">
        <f>'PPS Formulas'!B69</f>
        <v/>
      </c>
      <c r="C34" s="815" t="str">
        <f>'PPS Formulas'!C69</f>
        <v/>
      </c>
      <c r="D34" s="815" t="str">
        <f>'PPS Formulas'!D69</f>
        <v/>
      </c>
      <c r="E34" s="815" t="str">
        <f>'PPS Formulas'!E69</f>
        <v/>
      </c>
      <c r="F34" s="815" t="str">
        <f>'PPS Formulas'!F69</f>
        <v/>
      </c>
      <c r="G34" s="815" t="str">
        <f>'PPS Formulas'!G69</f>
        <v/>
      </c>
      <c r="H34" s="815" t="str">
        <f>'PPS Formulas'!H69</f>
        <v/>
      </c>
      <c r="I34" s="815" t="str">
        <f>'PPS Formulas'!I69</f>
        <v/>
      </c>
      <c r="J34" s="815" t="str">
        <f>'PPS Formulas'!J69</f>
        <v/>
      </c>
      <c r="K34" s="815" t="str">
        <f>'PPS Formulas'!K69</f>
        <v/>
      </c>
      <c r="L34" s="815" t="str">
        <f>'PPS Formulas'!L69</f>
        <v/>
      </c>
      <c r="M34" s="815" t="str">
        <f>'PPS Formulas'!M69</f>
        <v/>
      </c>
      <c r="N34" s="815" t="str">
        <f>'PPS Formulas'!N69</f>
        <v/>
      </c>
      <c r="O34" s="815" t="str">
        <f>'PPS Formulas'!O69</f>
        <v/>
      </c>
      <c r="P34" s="782">
        <f>'PPS Formulas'!P69</f>
        <v>0.2549019608</v>
      </c>
      <c r="Q34" s="782">
        <f>'PPS Formulas'!Q69</f>
        <v>0.4393939394</v>
      </c>
      <c r="R34" s="782">
        <f>'PPS Formulas'!R69</f>
        <v>0.4166666667</v>
      </c>
      <c r="S34" s="782">
        <f>'PPS Formulas'!S69</f>
        <v>0.3505154639</v>
      </c>
      <c r="T34" s="782">
        <f>'PPS Formulas'!T69</f>
        <v>0.301369863</v>
      </c>
      <c r="U34" s="782">
        <f>'PPS Formulas'!U69</f>
        <v>0.2823529412</v>
      </c>
      <c r="V34" s="782">
        <f>'PPS Formulas'!V69</f>
        <v>0.3402061856</v>
      </c>
      <c r="W34" s="782">
        <f>'PPS Formulas'!W69</f>
        <v>0.3272727273</v>
      </c>
      <c r="X34" s="782">
        <f>'PPS Formulas'!X69</f>
        <v>0.3693181818</v>
      </c>
      <c r="Y34" s="782">
        <f>'PPS Formulas'!Y69</f>
        <v>0.3938053097</v>
      </c>
      <c r="Z34" s="782">
        <f>'PPS Formulas'!Z69</f>
        <v>0.3272058824</v>
      </c>
      <c r="AA34" s="782">
        <f>'PPS Formulas'!AA69</f>
        <v>0.3636363636</v>
      </c>
      <c r="AB34" s="782">
        <f>'PPS Formulas'!AB69</f>
        <v>0.3993710692</v>
      </c>
      <c r="AC34" s="782">
        <f>'PPS Formulas'!AC69</f>
        <v>0.2923076923</v>
      </c>
      <c r="AD34" s="782">
        <f>'PPS Formulas'!AD69</f>
        <v>0.3260869565</v>
      </c>
      <c r="AE34" s="782">
        <f>'PPS Formulas'!AE69</f>
        <v>0.3636363636</v>
      </c>
    </row>
    <row r="35" outlineLevel="1">
      <c r="A35" s="1" t="s">
        <v>1061</v>
      </c>
      <c r="B35" s="815" t="str">
        <f>'PPS Formulas'!B70</f>
        <v/>
      </c>
      <c r="C35" s="815" t="str">
        <f>'PPS Formulas'!C70</f>
        <v/>
      </c>
      <c r="D35" s="815" t="str">
        <f>'PPS Formulas'!D70</f>
        <v/>
      </c>
      <c r="E35" s="815" t="str">
        <f>'PPS Formulas'!E70</f>
        <v/>
      </c>
      <c r="F35" s="815" t="str">
        <f>'PPS Formulas'!F70</f>
        <v/>
      </c>
      <c r="G35" s="815" t="str">
        <f>'PPS Formulas'!G70</f>
        <v/>
      </c>
      <c r="H35" s="815" t="str">
        <f>'PPS Formulas'!H70</f>
        <v/>
      </c>
      <c r="I35" s="815" t="str">
        <f>'PPS Formulas'!I70</f>
        <v/>
      </c>
      <c r="J35" s="815" t="str">
        <f>'PPS Formulas'!J70</f>
        <v/>
      </c>
      <c r="K35" s="815" t="str">
        <f>'PPS Formulas'!K70</f>
        <v/>
      </c>
      <c r="L35" s="815" t="str">
        <f>'PPS Formulas'!L70</f>
        <v/>
      </c>
      <c r="M35" s="815" t="str">
        <f>'PPS Formulas'!M70</f>
        <v/>
      </c>
      <c r="N35" s="815" t="str">
        <f>'PPS Formulas'!N70</f>
        <v/>
      </c>
      <c r="O35" s="815" t="str">
        <f>'PPS Formulas'!O70</f>
        <v/>
      </c>
      <c r="P35" s="782">
        <f>'PPS Formulas'!P70</f>
        <v>0.4509803922</v>
      </c>
      <c r="Q35" s="782">
        <f>'PPS Formulas'!Q70</f>
        <v>0.4090909091</v>
      </c>
      <c r="R35" s="782">
        <f>'PPS Formulas'!R70</f>
        <v>0.2976190476</v>
      </c>
      <c r="S35" s="782">
        <f>'PPS Formulas'!S70</f>
        <v>0.3711340206</v>
      </c>
      <c r="T35" s="782">
        <f>'PPS Formulas'!T70</f>
        <v>0.4383561644</v>
      </c>
      <c r="U35" s="782">
        <f>'PPS Formulas'!U70</f>
        <v>0.5058823529</v>
      </c>
      <c r="V35" s="782">
        <f>'PPS Formulas'!V70</f>
        <v>0.4329896907</v>
      </c>
      <c r="W35" s="782">
        <f>'PPS Formulas'!W70</f>
        <v>0.4121212121</v>
      </c>
      <c r="X35" s="782">
        <f>'PPS Formulas'!X70</f>
        <v>0.4147727273</v>
      </c>
      <c r="Y35" s="782">
        <f>'PPS Formulas'!Y70</f>
        <v>0.389380531</v>
      </c>
      <c r="Z35" s="782">
        <f>'PPS Formulas'!Z70</f>
        <v>0.3933823529</v>
      </c>
      <c r="AA35" s="782">
        <f>'PPS Formulas'!AA70</f>
        <v>0.4285714286</v>
      </c>
      <c r="AB35" s="782">
        <f>'PPS Formulas'!AB70</f>
        <v>0.3773584906</v>
      </c>
      <c r="AC35" s="782">
        <f>'PPS Formulas'!AC70</f>
        <v>0.4461538462</v>
      </c>
      <c r="AD35" s="782">
        <f>'PPS Formulas'!AD70</f>
        <v>0.3913043478</v>
      </c>
      <c r="AE35" s="782">
        <f>'PPS Formulas'!AE70</f>
        <v>0.4090909091</v>
      </c>
    </row>
    <row r="36" outlineLevel="1">
      <c r="A36" s="820"/>
      <c r="B36" s="821"/>
      <c r="C36" s="821"/>
      <c r="D36" s="821"/>
      <c r="E36" s="821"/>
      <c r="F36" s="821"/>
      <c r="G36" s="821"/>
      <c r="H36" s="821"/>
      <c r="I36" s="821"/>
      <c r="J36" s="821"/>
      <c r="K36" s="821"/>
      <c r="L36" s="821"/>
      <c r="M36" s="821"/>
      <c r="N36" s="821"/>
      <c r="O36" s="821"/>
      <c r="P36" s="821"/>
      <c r="Q36" s="821"/>
      <c r="R36" s="821"/>
      <c r="S36" s="821"/>
      <c r="T36" s="821"/>
      <c r="U36" s="821"/>
      <c r="V36" s="821"/>
      <c r="W36" s="821"/>
      <c r="X36" s="821"/>
      <c r="Y36" s="821"/>
      <c r="Z36" s="821"/>
      <c r="AA36" s="821"/>
      <c r="AB36" s="821"/>
      <c r="AC36" s="821"/>
      <c r="AD36" s="821"/>
      <c r="AE36" s="821"/>
    </row>
    <row r="37" collapsed="1">
      <c r="A37" s="1" t="s">
        <v>1090</v>
      </c>
      <c r="B37" s="815" t="str">
        <f>'PPS Formulas'!B72</f>
        <v/>
      </c>
      <c r="C37" s="815" t="str">
        <f>'PPS Formulas'!C72</f>
        <v/>
      </c>
      <c r="D37" s="815" t="str">
        <f>'PPS Formulas'!D72</f>
        <v/>
      </c>
      <c r="E37" s="815" t="str">
        <f>'PPS Formulas'!E72</f>
        <v/>
      </c>
      <c r="F37" s="815" t="str">
        <f>'PPS Formulas'!F72</f>
        <v/>
      </c>
      <c r="G37" s="815" t="str">
        <f>'PPS Formulas'!G72</f>
        <v/>
      </c>
      <c r="H37" s="815" t="str">
        <f>'PPS Formulas'!H72</f>
        <v/>
      </c>
      <c r="I37" s="815" t="str">
        <f>'PPS Formulas'!I72</f>
        <v/>
      </c>
      <c r="J37" s="815" t="str">
        <f>'PPS Formulas'!J72</f>
        <v/>
      </c>
      <c r="K37" s="815" t="str">
        <f>'PPS Formulas'!K72</f>
        <v/>
      </c>
      <c r="L37" s="815" t="str">
        <f>'PPS Formulas'!L72</f>
        <v/>
      </c>
      <c r="M37" s="815" t="str">
        <f>'PPS Formulas'!M72</f>
        <v/>
      </c>
      <c r="N37" s="815" t="str">
        <f>'PPS Formulas'!N72</f>
        <v/>
      </c>
      <c r="O37" s="815" t="str">
        <f>'PPS Formulas'!O72</f>
        <v/>
      </c>
      <c r="P37" s="782">
        <f>'PPS Formulas'!P72</f>
        <v>0.4297188755</v>
      </c>
      <c r="Q37" s="782">
        <f>'PPS Formulas'!Q72</f>
        <v>0.5085227273</v>
      </c>
      <c r="R37" s="782">
        <f>'PPS Formulas'!R72</f>
        <v>0.4571428571</v>
      </c>
      <c r="S37" s="782">
        <f>'PPS Formulas'!S72</f>
        <v>0.5292841649</v>
      </c>
      <c r="T37" s="782">
        <f>'PPS Formulas'!T72</f>
        <v>0.5474137931</v>
      </c>
      <c r="U37" s="782">
        <f>'PPS Formulas'!U72</f>
        <v>0.4734693878</v>
      </c>
      <c r="V37" s="782">
        <f>'PPS Formulas'!V72</f>
        <v>0.4778420039</v>
      </c>
      <c r="W37" s="782">
        <f>'PPS Formulas'!W72</f>
        <v>0.466155811</v>
      </c>
      <c r="X37" s="782">
        <f>'PPS Formulas'!X72</f>
        <v>0.4910607867</v>
      </c>
      <c r="Y37" s="782">
        <f>'PPS Formulas'!Y72</f>
        <v>0.5185790118</v>
      </c>
      <c r="Z37" s="782">
        <f>'PPS Formulas'!Z72</f>
        <v>0.552734375</v>
      </c>
      <c r="AA37" s="782">
        <f>'PPS Formulas'!AA72</f>
        <v>0.5668789809</v>
      </c>
      <c r="AB37" s="782">
        <f>'PPS Formulas'!AB72</f>
        <v>0.5037121645</v>
      </c>
      <c r="AC37" s="782">
        <f>'PPS Formulas'!AC72</f>
        <v>0.5666387259</v>
      </c>
      <c r="AD37" s="782">
        <f>'PPS Formulas'!AD72</f>
        <v>0.5</v>
      </c>
      <c r="AE37" s="782">
        <f>'PPS Formulas'!AE72</f>
        <v>0.412371134</v>
      </c>
    </row>
    <row r="38" hidden="1" outlineLevel="1">
      <c r="A38" s="812" t="s">
        <v>1047</v>
      </c>
      <c r="B38" s="813"/>
      <c r="C38" s="813"/>
      <c r="D38" s="813"/>
      <c r="E38" s="813"/>
      <c r="F38" s="813"/>
      <c r="G38" s="813"/>
      <c r="H38" s="813"/>
      <c r="I38" s="813"/>
      <c r="J38" s="813"/>
      <c r="K38" s="813"/>
      <c r="L38" s="813"/>
      <c r="M38" s="813"/>
      <c r="N38" s="813"/>
      <c r="O38" s="813"/>
      <c r="P38" s="813"/>
      <c r="Q38" s="813"/>
      <c r="R38" s="813"/>
      <c r="S38" s="813"/>
      <c r="T38" s="813"/>
      <c r="U38" s="813"/>
      <c r="V38" s="813"/>
      <c r="W38" s="813"/>
      <c r="X38" s="813"/>
      <c r="Y38" s="813"/>
      <c r="Z38" s="813"/>
      <c r="AA38" s="813"/>
      <c r="AB38" s="813"/>
      <c r="AC38" s="813"/>
      <c r="AD38" s="813"/>
      <c r="AE38" s="813"/>
    </row>
    <row r="39" hidden="1" outlineLevel="1">
      <c r="A39" s="1" t="s">
        <v>1051</v>
      </c>
      <c r="B39" s="815" t="str">
        <f>'PPS Formulas'!B74</f>
        <v/>
      </c>
      <c r="C39" s="815" t="str">
        <f>'PPS Formulas'!C74</f>
        <v/>
      </c>
      <c r="D39" s="815" t="str">
        <f>'PPS Formulas'!D74</f>
        <v/>
      </c>
      <c r="E39" s="815" t="str">
        <f>'PPS Formulas'!E74</f>
        <v/>
      </c>
      <c r="F39" s="815" t="str">
        <f>'PPS Formulas'!F74</f>
        <v/>
      </c>
      <c r="G39" s="815" t="str">
        <f>'PPS Formulas'!G74</f>
        <v/>
      </c>
      <c r="H39" s="815" t="str">
        <f>'PPS Formulas'!H74</f>
        <v/>
      </c>
      <c r="I39" s="815" t="str">
        <f>'PPS Formulas'!I74</f>
        <v/>
      </c>
      <c r="J39" s="815" t="str">
        <f>'PPS Formulas'!J74</f>
        <v/>
      </c>
      <c r="K39" s="815" t="str">
        <f>'PPS Formulas'!K74</f>
        <v/>
      </c>
      <c r="L39" s="815" t="str">
        <f>'PPS Formulas'!L74</f>
        <v/>
      </c>
      <c r="M39" s="815" t="str">
        <f>'PPS Formulas'!M74</f>
        <v/>
      </c>
      <c r="N39" s="815" t="str">
        <f>'PPS Formulas'!N74</f>
        <v/>
      </c>
      <c r="O39" s="815" t="str">
        <f>'PPS Formulas'!O74</f>
        <v/>
      </c>
      <c r="P39" s="782">
        <f>'PPS Formulas'!P74</f>
        <v>0.1588785047</v>
      </c>
      <c r="Q39" s="782">
        <f>'PPS Formulas'!Q74</f>
        <v>0.1731843575</v>
      </c>
      <c r="R39" s="782">
        <f>'PPS Formulas'!R74</f>
        <v>0.1818181818</v>
      </c>
      <c r="S39" s="782">
        <f>'PPS Formulas'!S74</f>
        <v>0.2008196721</v>
      </c>
      <c r="T39" s="782">
        <f>'PPS Formulas'!T74</f>
        <v>0.1535433071</v>
      </c>
      <c r="U39" s="782">
        <f>'PPS Formulas'!U74</f>
        <v>0.2068965517</v>
      </c>
      <c r="V39" s="782">
        <f>'PPS Formulas'!V74</f>
        <v>0.185483871</v>
      </c>
      <c r="W39" s="782">
        <f>'PPS Formulas'!W74</f>
        <v>0.1780821918</v>
      </c>
      <c r="X39" s="782">
        <f>'PPS Formulas'!X74</f>
        <v>0.1723300971</v>
      </c>
      <c r="Y39" s="782">
        <f>'PPS Formulas'!Y74</f>
        <v>0.1755905512</v>
      </c>
      <c r="Z39" s="782">
        <f>'PPS Formulas'!Z74</f>
        <v>0.1590106007</v>
      </c>
      <c r="AA39" s="782">
        <f>'PPS Formulas'!AA74</f>
        <v>0.1348314607</v>
      </c>
      <c r="AB39" s="782">
        <f>'PPS Formulas'!AB74</f>
        <v>0.1609977324</v>
      </c>
      <c r="AC39" s="782">
        <f>'PPS Formulas'!AC74</f>
        <v>0.1715976331</v>
      </c>
      <c r="AD39" s="782">
        <f>'PPS Formulas'!AD74</f>
        <v>0.6</v>
      </c>
      <c r="AE39" s="782">
        <f>'PPS Formulas'!AE74</f>
        <v>0.15</v>
      </c>
    </row>
    <row r="40" hidden="1" outlineLevel="1">
      <c r="A40" s="1" t="s">
        <v>1055</v>
      </c>
      <c r="B40" s="815" t="str">
        <f>'PPS Formulas'!B75</f>
        <v/>
      </c>
      <c r="C40" s="815" t="str">
        <f>'PPS Formulas'!C75</f>
        <v/>
      </c>
      <c r="D40" s="815" t="str">
        <f>'PPS Formulas'!D75</f>
        <v/>
      </c>
      <c r="E40" s="815" t="str">
        <f>'PPS Formulas'!E75</f>
        <v/>
      </c>
      <c r="F40" s="815" t="str">
        <f>'PPS Formulas'!F75</f>
        <v/>
      </c>
      <c r="G40" s="815" t="str">
        <f>'PPS Formulas'!G75</f>
        <v/>
      </c>
      <c r="H40" s="815" t="str">
        <f>'PPS Formulas'!H75</f>
        <v/>
      </c>
      <c r="I40" s="815" t="str">
        <f>'PPS Formulas'!I75</f>
        <v/>
      </c>
      <c r="J40" s="815" t="str">
        <f>'PPS Formulas'!J75</f>
        <v/>
      </c>
      <c r="K40" s="815" t="str">
        <f>'PPS Formulas'!K75</f>
        <v/>
      </c>
      <c r="L40" s="815" t="str">
        <f>'PPS Formulas'!L75</f>
        <v/>
      </c>
      <c r="M40" s="815" t="str">
        <f>'PPS Formulas'!M75</f>
        <v/>
      </c>
      <c r="N40" s="815" t="str">
        <f>'PPS Formulas'!N75</f>
        <v/>
      </c>
      <c r="O40" s="815" t="str">
        <f>'PPS Formulas'!O75</f>
        <v/>
      </c>
      <c r="P40" s="782">
        <f>'PPS Formulas'!P75</f>
        <v>0.3925233645</v>
      </c>
      <c r="Q40" s="782">
        <f>'PPS Formulas'!Q75</f>
        <v>0.3351955307</v>
      </c>
      <c r="R40" s="782">
        <f>'PPS Formulas'!R75</f>
        <v>0.4375</v>
      </c>
      <c r="S40" s="782">
        <f>'PPS Formulas'!S75</f>
        <v>0.3975409836</v>
      </c>
      <c r="T40" s="782">
        <f>'PPS Formulas'!T75</f>
        <v>0.4448818898</v>
      </c>
      <c r="U40" s="782">
        <f>'PPS Formulas'!U75</f>
        <v>0.3189655172</v>
      </c>
      <c r="V40" s="782">
        <f>'PPS Formulas'!V75</f>
        <v>0.4475806452</v>
      </c>
      <c r="W40" s="782">
        <f>'PPS Formulas'!W75</f>
        <v>0.3808219178</v>
      </c>
      <c r="X40" s="782">
        <f>'PPS Formulas'!X75</f>
        <v>0.3834951456</v>
      </c>
      <c r="Y40" s="782">
        <f>'PPS Formulas'!Y75</f>
        <v>0.3692913386</v>
      </c>
      <c r="Z40" s="782">
        <f>'PPS Formulas'!Z75</f>
        <v>0.394581861</v>
      </c>
      <c r="AA40" s="782">
        <f>'PPS Formulas'!AA75</f>
        <v>0.4307116105</v>
      </c>
      <c r="AB40" s="782">
        <f>'PPS Formulas'!AB75</f>
        <v>0.3741496599</v>
      </c>
      <c r="AC40" s="782">
        <f>'PPS Formulas'!AC75</f>
        <v>0.3565088757</v>
      </c>
      <c r="AD40" s="782">
        <f>'PPS Formulas'!AD75</f>
        <v>0.1133333333</v>
      </c>
      <c r="AE40" s="782">
        <f>'PPS Formulas'!AE75</f>
        <v>0.3</v>
      </c>
    </row>
    <row r="41" hidden="1" outlineLevel="1">
      <c r="A41" s="1" t="s">
        <v>1061</v>
      </c>
      <c r="B41" s="815" t="str">
        <f>'PPS Formulas'!B76</f>
        <v/>
      </c>
      <c r="C41" s="815" t="str">
        <f>'PPS Formulas'!C76</f>
        <v/>
      </c>
      <c r="D41" s="815" t="str">
        <f>'PPS Formulas'!D76</f>
        <v/>
      </c>
      <c r="E41" s="815" t="str">
        <f>'PPS Formulas'!E76</f>
        <v/>
      </c>
      <c r="F41" s="815" t="str">
        <f>'PPS Formulas'!F76</f>
        <v/>
      </c>
      <c r="G41" s="815" t="str">
        <f>'PPS Formulas'!G76</f>
        <v/>
      </c>
      <c r="H41" s="815" t="str">
        <f>'PPS Formulas'!H76</f>
        <v/>
      </c>
      <c r="I41" s="815" t="str">
        <f>'PPS Formulas'!I76</f>
        <v/>
      </c>
      <c r="J41" s="815" t="str">
        <f>'PPS Formulas'!J76</f>
        <v/>
      </c>
      <c r="K41" s="815" t="str">
        <f>'PPS Formulas'!K76</f>
        <v/>
      </c>
      <c r="L41" s="815" t="str">
        <f>'PPS Formulas'!L76</f>
        <v/>
      </c>
      <c r="M41" s="815" t="str">
        <f>'PPS Formulas'!M76</f>
        <v/>
      </c>
      <c r="N41" s="815" t="str">
        <f>'PPS Formulas'!N76</f>
        <v/>
      </c>
      <c r="O41" s="815" t="str">
        <f>'PPS Formulas'!O76</f>
        <v/>
      </c>
      <c r="P41" s="782">
        <f>'PPS Formulas'!P76</f>
        <v>0.4485981308</v>
      </c>
      <c r="Q41" s="782">
        <f>'PPS Formulas'!Q76</f>
        <v>0.4916201117</v>
      </c>
      <c r="R41" s="782">
        <f>'PPS Formulas'!R76</f>
        <v>0.3806818182</v>
      </c>
      <c r="S41" s="782">
        <f>'PPS Formulas'!S76</f>
        <v>0.4016393443</v>
      </c>
      <c r="T41" s="782">
        <f>'PPS Formulas'!T76</f>
        <v>0.4015748031</v>
      </c>
      <c r="U41" s="782">
        <f>'PPS Formulas'!U76</f>
        <v>0.474137931</v>
      </c>
      <c r="V41" s="782">
        <f>'PPS Formulas'!V76</f>
        <v>0.3669354839</v>
      </c>
      <c r="W41" s="782">
        <f>'PPS Formulas'!W76</f>
        <v>0.4410958904</v>
      </c>
      <c r="X41" s="782">
        <f>'PPS Formulas'!X76</f>
        <v>0.4441747573</v>
      </c>
      <c r="Y41" s="782">
        <f>'PPS Formulas'!Y76</f>
        <v>0.4551181102</v>
      </c>
      <c r="Z41" s="782">
        <f>'PPS Formulas'!Z76</f>
        <v>0.4464075383</v>
      </c>
      <c r="AA41" s="782">
        <f>'PPS Formulas'!AA76</f>
        <v>0.4344569288</v>
      </c>
      <c r="AB41" s="782">
        <f>'PPS Formulas'!AB76</f>
        <v>0.4648526077</v>
      </c>
      <c r="AC41" s="782">
        <f>'PPS Formulas'!AC76</f>
        <v>0.4718934911</v>
      </c>
      <c r="AD41" s="782">
        <f>'PPS Formulas'!AD76</f>
        <v>0.2866666667</v>
      </c>
      <c r="AE41" s="782">
        <f>'PPS Formulas'!AE76</f>
        <v>0.55</v>
      </c>
    </row>
    <row r="42" hidden="1" outlineLevel="1">
      <c r="A42" s="820"/>
      <c r="B42" s="821"/>
      <c r="C42" s="821"/>
      <c r="D42" s="821"/>
      <c r="E42" s="821"/>
      <c r="F42" s="821"/>
      <c r="G42" s="821"/>
      <c r="H42" s="821"/>
      <c r="I42" s="821"/>
      <c r="J42" s="821"/>
      <c r="K42" s="821"/>
      <c r="L42" s="821"/>
      <c r="M42" s="821"/>
      <c r="N42" s="821"/>
      <c r="O42" s="821"/>
      <c r="P42" s="821"/>
      <c r="Q42" s="821"/>
      <c r="R42" s="821"/>
      <c r="S42" s="821"/>
      <c r="T42" s="821"/>
      <c r="U42" s="821"/>
      <c r="V42" s="821"/>
      <c r="W42" s="821"/>
      <c r="X42" s="821"/>
      <c r="Y42" s="821"/>
      <c r="Z42" s="821"/>
      <c r="AA42" s="821"/>
      <c r="AB42" s="821"/>
      <c r="AC42" s="821"/>
      <c r="AD42" s="821"/>
      <c r="AE42" s="821"/>
    </row>
    <row r="43" collapsed="1">
      <c r="A43" s="806" t="s">
        <v>1103</v>
      </c>
      <c r="B43" s="834" t="str">
        <f>'PPS Formulas'!B78</f>
        <v/>
      </c>
      <c r="C43" s="834" t="str">
        <f>'PPS Formulas'!C78</f>
        <v/>
      </c>
      <c r="D43" s="834" t="str">
        <f>'PPS Formulas'!D78</f>
        <v/>
      </c>
      <c r="E43" s="834" t="str">
        <f>'PPS Formulas'!E78</f>
        <v/>
      </c>
      <c r="F43" s="834" t="str">
        <f>'PPS Formulas'!F78</f>
        <v/>
      </c>
      <c r="G43" s="834" t="str">
        <f>'PPS Formulas'!G78</f>
        <v/>
      </c>
      <c r="H43" s="834" t="str">
        <f>'PPS Formulas'!H78</f>
        <v/>
      </c>
      <c r="I43" s="834" t="str">
        <f>'PPS Formulas'!I78</f>
        <v/>
      </c>
      <c r="J43" s="834" t="str">
        <f>'PPS Formulas'!J78</f>
        <v/>
      </c>
      <c r="K43" s="834" t="str">
        <f>'PPS Formulas'!K78</f>
        <v/>
      </c>
      <c r="L43" s="834" t="str">
        <f>'PPS Formulas'!L78</f>
        <v/>
      </c>
      <c r="M43" s="834" t="str">
        <f>'PPS Formulas'!M78</f>
        <v/>
      </c>
      <c r="N43" s="834" t="str">
        <f>'PPS Formulas'!N78</f>
        <v/>
      </c>
      <c r="O43" s="834" t="str">
        <f>'PPS Formulas'!O78</f>
        <v/>
      </c>
      <c r="P43" s="807">
        <f>'PPS Formulas'!P78</f>
        <v>0.2851405622</v>
      </c>
      <c r="Q43" s="807">
        <f>'PPS Formulas'!Q78</f>
        <v>0.2301136364</v>
      </c>
      <c r="R43" s="807">
        <f>'PPS Formulas'!R78</f>
        <v>0.2649350649</v>
      </c>
      <c r="S43" s="807">
        <f>'PPS Formulas'!S78</f>
        <v>0.2082429501</v>
      </c>
      <c r="T43" s="807">
        <f>'PPS Formulas'!T78</f>
        <v>0.2521551724</v>
      </c>
      <c r="U43" s="807">
        <f>'PPS Formulas'!U78</f>
        <v>0.306122449</v>
      </c>
      <c r="V43" s="807">
        <f>'PPS Formulas'!V78</f>
        <v>0.2870905588</v>
      </c>
      <c r="W43" s="807">
        <f>'PPS Formulas'!W78</f>
        <v>0.2528735632</v>
      </c>
      <c r="X43" s="807">
        <f>'PPS Formulas'!X78</f>
        <v>0.2455303933</v>
      </c>
      <c r="Y43" s="807">
        <f>'PPS Formulas'!Y78</f>
        <v>0.2449979584</v>
      </c>
      <c r="Z43" s="807">
        <f>'PPS Formulas'!Z78</f>
        <v>0.2337239583</v>
      </c>
      <c r="AA43" s="807">
        <f>'PPS Formulas'!AA78</f>
        <v>0.2314225053</v>
      </c>
      <c r="AB43" s="807">
        <f>'PPS Formulas'!AB78</f>
        <v>0.2775556825</v>
      </c>
      <c r="AC43" s="807">
        <f>'PPS Formulas'!AC78</f>
        <v>0.2363788768</v>
      </c>
      <c r="AD43" s="807">
        <f>'PPS Formulas'!AD78</f>
        <v>0.3233333333</v>
      </c>
      <c r="AE43" s="807">
        <f>'PPS Formulas'!AE78</f>
        <v>0.3195876289</v>
      </c>
    </row>
    <row r="44" hidden="1" outlineLevel="1">
      <c r="A44" s="812" t="s">
        <v>1047</v>
      </c>
      <c r="B44" s="813"/>
      <c r="C44" s="813"/>
      <c r="D44" s="813"/>
      <c r="E44" s="813"/>
      <c r="F44" s="813"/>
      <c r="G44" s="814"/>
      <c r="H44" s="813"/>
      <c r="I44" s="813"/>
      <c r="J44" s="813"/>
      <c r="K44" s="813"/>
      <c r="L44" s="813"/>
      <c r="M44" s="813"/>
      <c r="N44" s="813"/>
      <c r="O44" s="813"/>
      <c r="P44" s="813"/>
      <c r="Q44" s="813"/>
      <c r="R44" s="813"/>
      <c r="S44" s="813"/>
      <c r="T44" s="813"/>
      <c r="U44" s="813"/>
      <c r="V44" s="813"/>
      <c r="W44" s="813"/>
      <c r="X44" s="813"/>
      <c r="Y44" s="813"/>
      <c r="Z44" s="813"/>
      <c r="AA44" s="813"/>
      <c r="AB44" s="813"/>
      <c r="AC44" s="813"/>
      <c r="AD44" s="813"/>
      <c r="AE44" s="813"/>
    </row>
    <row r="45" hidden="1" outlineLevel="1">
      <c r="A45" s="1" t="s">
        <v>1051</v>
      </c>
      <c r="B45" s="782" t="str">
        <f>'PPS Formulas'!B80</f>
        <v/>
      </c>
      <c r="C45" s="782" t="str">
        <f>'PPS Formulas'!C80</f>
        <v/>
      </c>
      <c r="D45" s="782" t="str">
        <f>'PPS Formulas'!D80</f>
        <v/>
      </c>
      <c r="E45" s="782" t="str">
        <f>'PPS Formulas'!E80</f>
        <v/>
      </c>
      <c r="F45" s="782" t="str">
        <f>'PPS Formulas'!F80</f>
        <v/>
      </c>
      <c r="G45" s="782" t="str">
        <f>'PPS Formulas'!G80</f>
        <v/>
      </c>
      <c r="H45" s="782" t="str">
        <f>'PPS Formulas'!H80</f>
        <v/>
      </c>
      <c r="I45" s="782" t="str">
        <f>'PPS Formulas'!I80</f>
        <v/>
      </c>
      <c r="J45" s="782" t="str">
        <f>'PPS Formulas'!J80</f>
        <v/>
      </c>
      <c r="K45" s="782" t="str">
        <f>'PPS Formulas'!K80</f>
        <v/>
      </c>
      <c r="L45" s="782" t="str">
        <f>'PPS Formulas'!L80</f>
        <v/>
      </c>
      <c r="M45" s="782" t="str">
        <f>'PPS Formulas'!M80</f>
        <v/>
      </c>
      <c r="N45" s="782" t="str">
        <f>'PPS Formulas'!N80</f>
        <v/>
      </c>
      <c r="O45" s="782" t="str">
        <f>'PPS Formulas'!O80</f>
        <v/>
      </c>
      <c r="P45" s="782">
        <f>'PPS Formulas'!P80</f>
        <v>0.1830985915</v>
      </c>
      <c r="Q45" s="782">
        <f>'PPS Formulas'!Q80</f>
        <v>0.2098765432</v>
      </c>
      <c r="R45" s="782">
        <f>'PPS Formulas'!R80</f>
        <v>0.2941176471</v>
      </c>
      <c r="S45" s="782">
        <f>'PPS Formulas'!S80</f>
        <v>0.1875</v>
      </c>
      <c r="T45" s="782">
        <f>'PPS Formulas'!T80</f>
        <v>0.2564102564</v>
      </c>
      <c r="U45" s="782">
        <f>'PPS Formulas'!U80</f>
        <v>0.2133333333</v>
      </c>
      <c r="V45" s="782">
        <f>'PPS Formulas'!V80</f>
        <v>0.2483221477</v>
      </c>
      <c r="W45" s="782">
        <f>'PPS Formulas'!W80</f>
        <v>0.2878787879</v>
      </c>
      <c r="X45" s="782">
        <f>'PPS Formulas'!X80</f>
        <v>0.2378640777</v>
      </c>
      <c r="Y45" s="782">
        <f>'PPS Formulas'!Y80</f>
        <v>0.2212978369</v>
      </c>
      <c r="Z45" s="782">
        <f>'PPS Formulas'!Z80</f>
        <v>0.2256267409</v>
      </c>
      <c r="AA45" s="782">
        <f>'PPS Formulas'!AA80</f>
        <v>0.1743119266</v>
      </c>
      <c r="AB45" s="782">
        <f>'PPS Formulas'!AB80</f>
        <v>0.2325102881</v>
      </c>
      <c r="AC45" s="782">
        <f>'PPS Formulas'!AC80</f>
        <v>0.2127659574</v>
      </c>
      <c r="AD45" s="782">
        <f>'PPS Formulas'!AD80</f>
        <v>0.6082474227</v>
      </c>
      <c r="AE45" s="782">
        <f>'PPS Formulas'!AE80</f>
        <v>0.1774193548</v>
      </c>
    </row>
    <row r="46" hidden="1" outlineLevel="1">
      <c r="A46" s="1" t="s">
        <v>1055</v>
      </c>
      <c r="B46" s="782" t="str">
        <f>'PPS Formulas'!B81</f>
        <v/>
      </c>
      <c r="C46" s="782" t="str">
        <f>'PPS Formulas'!C81</f>
        <v/>
      </c>
      <c r="D46" s="782" t="str">
        <f>'PPS Formulas'!D81</f>
        <v/>
      </c>
      <c r="E46" s="782" t="str">
        <f>'PPS Formulas'!E81</f>
        <v/>
      </c>
      <c r="F46" s="782" t="str">
        <f>'PPS Formulas'!F81</f>
        <v/>
      </c>
      <c r="G46" s="782" t="str">
        <f>'PPS Formulas'!G81</f>
        <v/>
      </c>
      <c r="H46" s="782" t="str">
        <f>'PPS Formulas'!H81</f>
        <v/>
      </c>
      <c r="I46" s="782" t="str">
        <f>'PPS Formulas'!I81</f>
        <v/>
      </c>
      <c r="J46" s="782" t="str">
        <f>'PPS Formulas'!J81</f>
        <v/>
      </c>
      <c r="K46" s="782" t="str">
        <f>'PPS Formulas'!K81</f>
        <v/>
      </c>
      <c r="L46" s="782" t="str">
        <f>'PPS Formulas'!L81</f>
        <v/>
      </c>
      <c r="M46" s="782" t="str">
        <f>'PPS Formulas'!M81</f>
        <v/>
      </c>
      <c r="N46" s="782" t="str">
        <f>'PPS Formulas'!N81</f>
        <v/>
      </c>
      <c r="O46" s="782" t="str">
        <f>'PPS Formulas'!O81</f>
        <v/>
      </c>
      <c r="P46" s="782">
        <f>'PPS Formulas'!P81</f>
        <v>0.3661971831</v>
      </c>
      <c r="Q46" s="782">
        <f>'PPS Formulas'!Q81</f>
        <v>0.3209876543</v>
      </c>
      <c r="R46" s="782">
        <f>'PPS Formulas'!R81</f>
        <v>0.3137254902</v>
      </c>
      <c r="S46" s="782">
        <f>'PPS Formulas'!S81</f>
        <v>0.3958333333</v>
      </c>
      <c r="T46" s="782">
        <f>'PPS Formulas'!T81</f>
        <v>0.2820512821</v>
      </c>
      <c r="U46" s="782">
        <f>'PPS Formulas'!U81</f>
        <v>0.3666666667</v>
      </c>
      <c r="V46" s="782">
        <f>'PPS Formulas'!V81</f>
        <v>0.2818791946</v>
      </c>
      <c r="W46" s="782">
        <f>'PPS Formulas'!W81</f>
        <v>0.3181818182</v>
      </c>
      <c r="X46" s="782">
        <f>'PPS Formulas'!X81</f>
        <v>0.3398058252</v>
      </c>
      <c r="Y46" s="782">
        <f>'PPS Formulas'!Y81</f>
        <v>0.3510815308</v>
      </c>
      <c r="Z46" s="782">
        <f>'PPS Formulas'!Z81</f>
        <v>0.4094707521</v>
      </c>
      <c r="AA46" s="782">
        <f>'PPS Formulas'!AA81</f>
        <v>0.3394495413</v>
      </c>
      <c r="AB46" s="782">
        <f>'PPS Formulas'!AB81</f>
        <v>0.3518518519</v>
      </c>
      <c r="AC46" s="782">
        <f>'PPS Formulas'!AC81</f>
        <v>0.3333333333</v>
      </c>
      <c r="AD46" s="782">
        <f>'PPS Formulas'!AD81</f>
        <v>0.1546391753</v>
      </c>
      <c r="AE46" s="782">
        <f>'PPS Formulas'!AE81</f>
        <v>0.3548387097</v>
      </c>
    </row>
    <row r="47" hidden="1" outlineLevel="1">
      <c r="A47" s="1" t="s">
        <v>1061</v>
      </c>
      <c r="B47" s="782" t="str">
        <f>'PPS Formulas'!B82</f>
        <v/>
      </c>
      <c r="C47" s="782" t="str">
        <f>'PPS Formulas'!C82</f>
        <v/>
      </c>
      <c r="D47" s="782" t="str">
        <f>'PPS Formulas'!D82</f>
        <v/>
      </c>
      <c r="E47" s="782" t="str">
        <f>'PPS Formulas'!E82</f>
        <v/>
      </c>
      <c r="F47" s="782" t="str">
        <f>'PPS Formulas'!F82</f>
        <v/>
      </c>
      <c r="G47" s="782" t="str">
        <f>'PPS Formulas'!G82</f>
        <v/>
      </c>
      <c r="H47" s="782" t="str">
        <f>'PPS Formulas'!H82</f>
        <v/>
      </c>
      <c r="I47" s="782" t="str">
        <f>'PPS Formulas'!I82</f>
        <v/>
      </c>
      <c r="J47" s="782" t="str">
        <f>'PPS Formulas'!J82</f>
        <v/>
      </c>
      <c r="K47" s="782" t="str">
        <f>'PPS Formulas'!K82</f>
        <v/>
      </c>
      <c r="L47" s="782" t="str">
        <f>'PPS Formulas'!L82</f>
        <v/>
      </c>
      <c r="M47" s="782" t="str">
        <f>'PPS Formulas'!M82</f>
        <v/>
      </c>
      <c r="N47" s="782" t="str">
        <f>'PPS Formulas'!N82</f>
        <v/>
      </c>
      <c r="O47" s="782" t="str">
        <f>'PPS Formulas'!O82</f>
        <v/>
      </c>
      <c r="P47" s="782">
        <f>'PPS Formulas'!P82</f>
        <v>0.4507042254</v>
      </c>
      <c r="Q47" s="782">
        <f>'PPS Formulas'!Q82</f>
        <v>0.4691358025</v>
      </c>
      <c r="R47" s="782">
        <f>'PPS Formulas'!R82</f>
        <v>0.3921568627</v>
      </c>
      <c r="S47" s="782">
        <f>'PPS Formulas'!S82</f>
        <v>0.4166666667</v>
      </c>
      <c r="T47" s="782">
        <f>'PPS Formulas'!T82</f>
        <v>0.4615384615</v>
      </c>
      <c r="U47" s="782">
        <f>'PPS Formulas'!U82</f>
        <v>0.42</v>
      </c>
      <c r="V47" s="782">
        <f>'PPS Formulas'!V82</f>
        <v>0.4697986577</v>
      </c>
      <c r="W47" s="782">
        <f>'PPS Formulas'!W82</f>
        <v>0.3939393939</v>
      </c>
      <c r="X47" s="782">
        <f>'PPS Formulas'!X82</f>
        <v>0.4223300971</v>
      </c>
      <c r="Y47" s="782">
        <f>'PPS Formulas'!Y82</f>
        <v>0.4276206323</v>
      </c>
      <c r="Z47" s="782">
        <f>'PPS Formulas'!Z82</f>
        <v>0.364902507</v>
      </c>
      <c r="AA47" s="782">
        <f>'PPS Formulas'!AA82</f>
        <v>0.4862385321</v>
      </c>
      <c r="AB47" s="782">
        <f>'PPS Formulas'!AB82</f>
        <v>0.4156378601</v>
      </c>
      <c r="AC47" s="782">
        <f>'PPS Formulas'!AC82</f>
        <v>0.4539007092</v>
      </c>
      <c r="AD47" s="782">
        <f>'PPS Formulas'!AD82</f>
        <v>0.2371134021</v>
      </c>
      <c r="AE47" s="782">
        <f>'PPS Formulas'!AE82</f>
        <v>0.4677419355</v>
      </c>
    </row>
    <row r="48" hidden="1" outlineLevel="1">
      <c r="A48" s="820"/>
      <c r="B48" s="821"/>
      <c r="C48" s="821"/>
      <c r="D48" s="821"/>
      <c r="E48" s="821"/>
      <c r="F48" s="821"/>
      <c r="G48" s="821"/>
      <c r="H48" s="821"/>
      <c r="I48" s="821"/>
      <c r="J48" s="821"/>
      <c r="K48" s="821"/>
      <c r="L48" s="821"/>
      <c r="M48" s="821"/>
      <c r="N48" s="821"/>
      <c r="O48" s="821"/>
      <c r="P48" s="821"/>
      <c r="Q48" s="821"/>
      <c r="R48" s="821"/>
      <c r="S48" s="821"/>
      <c r="T48" s="821"/>
      <c r="U48" s="821"/>
      <c r="V48" s="821"/>
      <c r="W48" s="821"/>
      <c r="X48" s="821"/>
      <c r="Y48" s="821"/>
      <c r="Z48" s="821"/>
      <c r="AA48" s="821"/>
      <c r="AB48" s="821"/>
      <c r="AC48" s="821"/>
      <c r="AD48" s="821"/>
      <c r="AE48" s="821"/>
    </row>
    <row r="49">
      <c r="G49" s="810"/>
    </row>
    <row r="50">
      <c r="G50" s="810"/>
    </row>
    <row r="51">
      <c r="A51" s="772" t="s">
        <v>975</v>
      </c>
      <c r="B51" s="773">
        <f>'PPS Formulas'!B89</f>
        <v>0</v>
      </c>
      <c r="C51" s="773">
        <f>'PPS Formulas'!C89</f>
        <v>0</v>
      </c>
      <c r="D51" s="773">
        <f>'PPS Formulas'!D89</f>
        <v>0</v>
      </c>
      <c r="E51" s="773">
        <f>'PPS Formulas'!E89</f>
        <v>0</v>
      </c>
      <c r="F51" s="773">
        <f>'PPS Formulas'!F89</f>
        <v>0</v>
      </c>
      <c r="G51" s="773">
        <f>'PPS Formulas'!G89</f>
        <v>0</v>
      </c>
      <c r="H51" s="773">
        <f>'PPS Formulas'!H89</f>
        <v>0</v>
      </c>
      <c r="I51" s="773">
        <f>'PPS Formulas'!I89</f>
        <v>0</v>
      </c>
      <c r="J51" s="773">
        <f>'PPS Formulas'!J89</f>
        <v>144</v>
      </c>
      <c r="K51" s="773">
        <f>'PPS Formulas'!K89</f>
        <v>348</v>
      </c>
      <c r="L51" s="773">
        <f>'PPS Formulas'!L89</f>
        <v>456</v>
      </c>
      <c r="M51" s="773">
        <f>'PPS Formulas'!M89</f>
        <v>246</v>
      </c>
      <c r="N51" s="773">
        <f>'PPS Formulas'!N89</f>
        <v>201</v>
      </c>
      <c r="O51" s="773">
        <f>'PPS Formulas'!O89</f>
        <v>453</v>
      </c>
      <c r="P51" s="773">
        <f>'PPS Formulas'!P89</f>
        <v>0</v>
      </c>
      <c r="Q51" s="773">
        <f>'PPS Formulas'!Q89</f>
        <v>0</v>
      </c>
      <c r="R51" s="773">
        <f>'PPS Formulas'!R89</f>
        <v>0</v>
      </c>
      <c r="S51" s="773">
        <f>'PPS Formulas'!S89</f>
        <v>0</v>
      </c>
      <c r="T51" s="773">
        <f>'PPS Formulas'!T89</f>
        <v>0</v>
      </c>
      <c r="U51" s="773">
        <f>'PPS Formulas'!U89</f>
        <v>0</v>
      </c>
      <c r="V51" s="773">
        <f>'PPS Formulas'!V89</f>
        <v>0</v>
      </c>
      <c r="W51" s="773">
        <f>'PPS Formulas'!W89</f>
        <v>0</v>
      </c>
      <c r="X51" s="773">
        <f>'PPS Formulas'!X89</f>
        <v>0</v>
      </c>
      <c r="Y51" s="773">
        <f>'PPS Formulas'!Y89</f>
        <v>0</v>
      </c>
      <c r="Z51" s="773">
        <f>'PPS Formulas'!Z89</f>
        <v>0</v>
      </c>
      <c r="AA51" s="773">
        <f>'PPS Formulas'!AA89</f>
        <v>0</v>
      </c>
      <c r="AB51" s="773">
        <f>'PPS Formulas'!AB89</f>
        <v>0</v>
      </c>
      <c r="AC51" s="773">
        <f>'PPS Formulas'!AC89</f>
        <v>0</v>
      </c>
      <c r="AD51" s="773">
        <f>'PPS Formulas'!AD89</f>
        <v>0</v>
      </c>
      <c r="AE51" s="773">
        <f>'PPS Formulas'!AE89</f>
        <v>0</v>
      </c>
    </row>
    <row r="52">
      <c r="A52" s="775" t="s">
        <v>979</v>
      </c>
      <c r="B52" s="776">
        <f>B51/'Sales OLD'!B39</f>
        <v>0</v>
      </c>
      <c r="C52" s="776">
        <f>C51/'Sales OLD'!C39</f>
        <v>0</v>
      </c>
      <c r="D52" s="776">
        <f>D51/'Sales OLD'!D39</f>
        <v>0</v>
      </c>
      <c r="E52" s="776">
        <f>E51/'Sales OLD'!E39</f>
        <v>0</v>
      </c>
      <c r="F52" s="776">
        <f>F51/'Sales OLD'!F39</f>
        <v>0</v>
      </c>
      <c r="G52" s="776">
        <f>G51/'Sales OLD'!G39</f>
        <v>0</v>
      </c>
      <c r="H52" s="776">
        <f>H51/'Sales OLD'!H39</f>
        <v>0</v>
      </c>
      <c r="I52" s="776">
        <f>I51/'Sales OLD'!I39</f>
        <v>0</v>
      </c>
      <c r="J52" s="776">
        <f>J51/'Sales OLD'!J39</f>
        <v>0.256684492</v>
      </c>
      <c r="K52" s="776">
        <f>K51/'Sales OLD'!K39</f>
        <v>0.6281588448</v>
      </c>
      <c r="L52" s="776">
        <f>L51/'Sales OLD'!L39</f>
        <v>0.6666666667</v>
      </c>
      <c r="M52" s="776">
        <f>M51/'Sales OLD'!M39</f>
        <v>0.371040724</v>
      </c>
      <c r="N52" s="776">
        <f>N51/'Sales OLD'!N39</f>
        <v>0.3708487085</v>
      </c>
      <c r="O52" s="776">
        <f>O51/'Sales OLD'!O39</f>
        <v>0.7271268058</v>
      </c>
      <c r="P52" s="776">
        <f>P51/'Sales OLD'!P39</f>
        <v>0</v>
      </c>
      <c r="Q52" s="776">
        <f>Q51/'Sales OLD'!Q39</f>
        <v>0</v>
      </c>
      <c r="R52" s="776">
        <f>R51/'Sales OLD'!R39</f>
        <v>0</v>
      </c>
      <c r="S52" s="776">
        <f>S51/'Sales OLD'!S39</f>
        <v>0</v>
      </c>
      <c r="T52" s="776">
        <f>T51/'Sales OLD'!T39</f>
        <v>0</v>
      </c>
      <c r="U52" s="776">
        <f>U51/'Sales OLD'!U39</f>
        <v>0</v>
      </c>
      <c r="V52" s="776">
        <f>V51/'Sales OLD'!V39</f>
        <v>0</v>
      </c>
      <c r="W52" s="776">
        <f>W51/'Sales OLD'!W39</f>
        <v>0</v>
      </c>
      <c r="X52" s="776">
        <f>X51/'Sales OLD'!X39</f>
        <v>0</v>
      </c>
      <c r="Y52" s="776">
        <f>Y51/'Sales OLD'!Y39</f>
        <v>0</v>
      </c>
      <c r="Z52" s="776">
        <f>Z51/'Sales OLD'!Z39</f>
        <v>0</v>
      </c>
      <c r="AA52" s="776">
        <f>AA51/'Sales OLD'!AA39</f>
        <v>0</v>
      </c>
      <c r="AB52" s="776">
        <f>AB51/'Sales OLD'!AB39</f>
        <v>0</v>
      </c>
      <c r="AC52" s="776">
        <f>AC51/'Sales OLD'!AC39</f>
        <v>0</v>
      </c>
      <c r="AD52" s="776">
        <f>AD51/'Sales OLD'!AD39</f>
        <v>0</v>
      </c>
      <c r="AE52" s="776">
        <f>AE51/'Sales OLD'!AE39</f>
        <v>0</v>
      </c>
    </row>
    <row r="53">
      <c r="G53" s="810"/>
    </row>
    <row r="54" ht="27.0" customHeight="1">
      <c r="A54" s="812" t="s">
        <v>1128</v>
      </c>
      <c r="B54" s="813"/>
      <c r="C54" s="813"/>
      <c r="D54" s="813"/>
      <c r="E54" s="813"/>
      <c r="F54" s="813"/>
      <c r="G54" s="814"/>
      <c r="H54" s="813"/>
      <c r="I54" s="813"/>
      <c r="J54" s="813"/>
      <c r="K54" s="813"/>
      <c r="L54" s="813"/>
      <c r="M54" s="813"/>
      <c r="N54" s="813"/>
      <c r="O54" s="813"/>
      <c r="P54" s="813"/>
      <c r="Q54" s="813"/>
      <c r="R54" s="813"/>
      <c r="S54" s="813"/>
      <c r="T54" s="813"/>
      <c r="U54" s="813"/>
      <c r="V54" s="813"/>
      <c r="W54" s="813"/>
      <c r="X54" s="813"/>
      <c r="Y54" s="813"/>
      <c r="Z54" s="813"/>
      <c r="AA54" s="813"/>
      <c r="AB54" s="813"/>
      <c r="AC54" s="813"/>
      <c r="AD54" s="813"/>
      <c r="AE54" s="813"/>
    </row>
    <row r="55">
      <c r="A55" s="1" t="s">
        <v>1131</v>
      </c>
      <c r="B55" s="815" t="str">
        <f>'PPS Formulas'!B91</f>
        <v/>
      </c>
      <c r="C55" s="815" t="str">
        <f>'PPS Formulas'!C91</f>
        <v/>
      </c>
      <c r="D55" s="815" t="str">
        <f>'PPS Formulas'!D91</f>
        <v/>
      </c>
      <c r="E55" s="815" t="str">
        <f>'PPS Formulas'!E91</f>
        <v/>
      </c>
      <c r="F55" s="815" t="str">
        <f>'PPS Formulas'!F91</f>
        <v/>
      </c>
      <c r="G55" s="815" t="str">
        <f>'PPS Formulas'!G91</f>
        <v/>
      </c>
      <c r="H55" s="815" t="str">
        <f>'PPS Formulas'!H91</f>
        <v/>
      </c>
      <c r="I55" s="815" t="str">
        <f>'PPS Formulas'!I91</f>
        <v/>
      </c>
      <c r="J55" s="815">
        <f>'PPS Formulas'!J91</f>
        <v>0.7430555556</v>
      </c>
      <c r="K55" s="815">
        <f>'PPS Formulas'!K91</f>
        <v>0.6982758621</v>
      </c>
      <c r="L55" s="815">
        <f>'PPS Formulas'!L91</f>
        <v>0.6776315789</v>
      </c>
      <c r="M55" s="815">
        <f>'PPS Formulas'!M91</f>
        <v>0.6666666667</v>
      </c>
      <c r="N55" s="815">
        <f>'PPS Formulas'!N91</f>
        <v>0.6865671642</v>
      </c>
      <c r="O55" s="815">
        <f>'PPS Formulas'!O91</f>
        <v>0.7174392936</v>
      </c>
      <c r="P55" s="815" t="str">
        <f>'PPS Formulas'!P91</f>
        <v/>
      </c>
      <c r="Q55" s="815" t="str">
        <f>'PPS Formulas'!Q91</f>
        <v/>
      </c>
      <c r="R55" s="815" t="str">
        <f>'PPS Formulas'!R91</f>
        <v/>
      </c>
      <c r="S55" s="815" t="str">
        <f>'PPS Formulas'!S91</f>
        <v/>
      </c>
      <c r="T55" s="815" t="str">
        <f>'PPS Formulas'!T91</f>
        <v/>
      </c>
      <c r="U55" s="815" t="str">
        <f>'PPS Formulas'!U91</f>
        <v/>
      </c>
      <c r="V55" s="815" t="str">
        <f>'PPS Formulas'!V91</f>
        <v/>
      </c>
      <c r="W55" s="815" t="str">
        <f>'PPS Formulas'!W91</f>
        <v/>
      </c>
      <c r="X55" s="815" t="str">
        <f>'PPS Formulas'!X91</f>
        <v/>
      </c>
      <c r="Y55" s="815" t="str">
        <f>'PPS Formulas'!Y91</f>
        <v/>
      </c>
      <c r="Z55" s="815" t="str">
        <f>'PPS Formulas'!Z91</f>
        <v/>
      </c>
      <c r="AA55" s="815" t="str">
        <f>'PPS Formulas'!AA91</f>
        <v/>
      </c>
      <c r="AB55" s="815" t="str">
        <f>'PPS Formulas'!AB91</f>
        <v/>
      </c>
      <c r="AC55" s="815" t="str">
        <f>'PPS Formulas'!AC91</f>
        <v/>
      </c>
      <c r="AD55" s="815" t="str">
        <f>'PPS Formulas'!AD91</f>
        <v/>
      </c>
      <c r="AE55" s="815" t="str">
        <f>'PPS Formulas'!AE91</f>
        <v/>
      </c>
    </row>
    <row r="56">
      <c r="A56" s="806" t="s">
        <v>1137</v>
      </c>
      <c r="B56" s="834" t="str">
        <f>'PPS Formulas'!B92</f>
        <v/>
      </c>
      <c r="C56" s="834" t="str">
        <f>'PPS Formulas'!C92</f>
        <v/>
      </c>
      <c r="D56" s="834" t="str">
        <f>'PPS Formulas'!D92</f>
        <v/>
      </c>
      <c r="E56" s="834" t="str">
        <f>'PPS Formulas'!E92</f>
        <v/>
      </c>
      <c r="F56" s="834" t="str">
        <f>'PPS Formulas'!F92</f>
        <v/>
      </c>
      <c r="G56" s="834" t="str">
        <f>'PPS Formulas'!G92</f>
        <v/>
      </c>
      <c r="H56" s="834" t="str">
        <f>'PPS Formulas'!H92</f>
        <v/>
      </c>
      <c r="I56" s="834" t="str">
        <f>'PPS Formulas'!I92</f>
        <v/>
      </c>
      <c r="J56" s="834">
        <f>'PPS Formulas'!J92</f>
        <v>0.2569444444</v>
      </c>
      <c r="K56" s="834">
        <f>'PPS Formulas'!K92</f>
        <v>0.3017241379</v>
      </c>
      <c r="L56" s="834">
        <f>'PPS Formulas'!L92</f>
        <v>0.3223684211</v>
      </c>
      <c r="M56" s="834">
        <f>'PPS Formulas'!M92</f>
        <v>0.3333333333</v>
      </c>
      <c r="N56" s="834">
        <f>'PPS Formulas'!N92</f>
        <v>0.3134328358</v>
      </c>
      <c r="O56" s="834">
        <f>'PPS Formulas'!O92</f>
        <v>0.2825607064</v>
      </c>
      <c r="P56" s="834" t="str">
        <f>'PPS Formulas'!P92</f>
        <v/>
      </c>
      <c r="Q56" s="834" t="str">
        <f>'PPS Formulas'!Q92</f>
        <v/>
      </c>
      <c r="R56" s="834" t="str">
        <f>'PPS Formulas'!R92</f>
        <v/>
      </c>
      <c r="S56" s="834" t="str">
        <f>'PPS Formulas'!S92</f>
        <v/>
      </c>
      <c r="T56" s="834" t="str">
        <f>'PPS Formulas'!T92</f>
        <v/>
      </c>
      <c r="U56" s="834" t="str">
        <f>'PPS Formulas'!U92</f>
        <v/>
      </c>
      <c r="V56" s="834" t="str">
        <f>'PPS Formulas'!V92</f>
        <v/>
      </c>
      <c r="W56" s="834" t="str">
        <f>'PPS Formulas'!W92</f>
        <v/>
      </c>
      <c r="X56" s="834" t="str">
        <f>'PPS Formulas'!X92</f>
        <v/>
      </c>
      <c r="Y56" s="834" t="str">
        <f>'PPS Formulas'!Y92</f>
        <v/>
      </c>
      <c r="Z56" s="834" t="str">
        <f>'PPS Formulas'!Z92</f>
        <v/>
      </c>
      <c r="AA56" s="834" t="str">
        <f>'PPS Formulas'!AA92</f>
        <v/>
      </c>
      <c r="AB56" s="834" t="str">
        <f>'PPS Formulas'!AB92</f>
        <v/>
      </c>
      <c r="AC56" s="834" t="str">
        <f>'PPS Formulas'!AC92</f>
        <v/>
      </c>
      <c r="AD56" s="834" t="str">
        <f>'PPS Formulas'!AD92</f>
        <v/>
      </c>
      <c r="AE56" s="834" t="str">
        <f>'PPS Formulas'!AE92</f>
        <v/>
      </c>
    </row>
    <row r="57">
      <c r="G57" s="810"/>
    </row>
    <row r="58">
      <c r="G58" s="810"/>
    </row>
  </sheetData>
  <conditionalFormatting sqref="Z7">
    <cfRule type="colorScale" priority="1">
      <colorScale>
        <cfvo type="min"/>
        <cfvo type="max"/>
        <color rgb="FFFFFFFF"/>
        <color rgb="FF57BB8A"/>
      </colorScale>
    </cfRule>
  </conditionalFormatting>
  <conditionalFormatting sqref="B8:AE19">
    <cfRule type="colorScale" priority="2">
      <colorScale>
        <cfvo type="min"/>
        <cfvo type="max"/>
        <color rgb="FFFFFFFF"/>
        <color rgb="FF57BB8A"/>
      </colorScale>
    </cfRule>
  </conditionalFormatting>
  <conditionalFormatting sqref="B55:AE56">
    <cfRule type="colorScale" priority="3">
      <colorScale>
        <cfvo type="min"/>
        <cfvo type="max"/>
        <color rgb="FFFFFFFF"/>
        <color rgb="FF57BB8A"/>
      </colorScale>
    </cfRule>
  </conditionalFormatting>
  <conditionalFormatting sqref="B25:AE25">
    <cfRule type="colorScale" priority="4">
      <colorScale>
        <cfvo type="min"/>
        <cfvo type="max"/>
        <color rgb="FFFFFFFF"/>
        <color rgb="FF57BB8A"/>
      </colorScale>
    </cfRule>
  </conditionalFormatting>
  <conditionalFormatting sqref="B27:AE29">
    <cfRule type="colorScale" priority="5">
      <colorScale>
        <cfvo type="min"/>
        <cfvo type="max"/>
        <color rgb="FFFCFCFF"/>
        <color rgb="FF57BB8A"/>
      </colorScale>
    </cfRule>
  </conditionalFormatting>
  <conditionalFormatting sqref="B31:AE31">
    <cfRule type="colorScale" priority="6">
      <colorScale>
        <cfvo type="min"/>
        <cfvo type="max"/>
        <color rgb="FFFCFCFF"/>
        <color rgb="FF57BB8A"/>
      </colorScale>
    </cfRule>
  </conditionalFormatting>
  <conditionalFormatting sqref="G33:AE35">
    <cfRule type="colorScale" priority="7">
      <colorScale>
        <cfvo type="min"/>
        <cfvo type="max"/>
        <color rgb="FFFCFCFF"/>
        <color rgb="FF57BB8A"/>
      </colorScale>
    </cfRule>
  </conditionalFormatting>
  <conditionalFormatting sqref="B37:AE37">
    <cfRule type="colorScale" priority="8">
      <colorScale>
        <cfvo type="min"/>
        <cfvo type="max"/>
        <color rgb="FFFCFCFF"/>
        <color rgb="FF57BB8A"/>
      </colorScale>
    </cfRule>
  </conditionalFormatting>
  <conditionalFormatting sqref="B39:AE41">
    <cfRule type="colorScale" priority="9">
      <colorScale>
        <cfvo type="min"/>
        <cfvo type="max"/>
        <color rgb="FFFCFCFF"/>
        <color rgb="FF57BB8A"/>
      </colorScale>
    </cfRule>
  </conditionalFormatting>
  <conditionalFormatting sqref="B43:AE43">
    <cfRule type="colorScale" priority="10">
      <colorScale>
        <cfvo type="min"/>
        <cfvo type="max"/>
        <color rgb="FFFCFCFF"/>
        <color rgb="FF57BB8A"/>
      </colorScale>
    </cfRule>
  </conditionalFormatting>
  <conditionalFormatting sqref="B45:AE47">
    <cfRule type="colorScale" priority="11">
      <colorScale>
        <cfvo type="min"/>
        <cfvo type="max"/>
        <color rgb="FFFCFCFF"/>
        <color rgb="FF57BB8A"/>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Col="1"/>
  <cols>
    <col customWidth="1" min="1" max="1" width="49.5"/>
  </cols>
  <sheetData>
    <row r="1">
      <c r="A1" s="861" t="s">
        <v>982</v>
      </c>
      <c r="B1" s="862">
        <v>45231.0</v>
      </c>
      <c r="C1" s="862">
        <v>45232.0</v>
      </c>
      <c r="D1" s="862">
        <v>45233.0</v>
      </c>
      <c r="E1" s="862">
        <v>45234.0</v>
      </c>
      <c r="F1" s="862">
        <v>45235.0</v>
      </c>
      <c r="G1" s="862">
        <v>45236.0</v>
      </c>
      <c r="H1" s="862">
        <v>45237.0</v>
      </c>
      <c r="I1" s="862">
        <v>45238.0</v>
      </c>
      <c r="J1" s="862">
        <v>45239.0</v>
      </c>
      <c r="K1" s="862">
        <v>45240.0</v>
      </c>
      <c r="L1" s="862">
        <v>45241.0</v>
      </c>
      <c r="M1" s="862">
        <v>45242.0</v>
      </c>
      <c r="N1" s="862">
        <v>45243.0</v>
      </c>
      <c r="O1" s="862">
        <v>45244.0</v>
      </c>
      <c r="P1" s="862">
        <v>45245.0</v>
      </c>
      <c r="Q1" s="862">
        <v>45246.0</v>
      </c>
      <c r="R1" s="862">
        <v>45247.0</v>
      </c>
      <c r="S1" s="862">
        <v>45248.0</v>
      </c>
      <c r="T1" s="862">
        <v>45249.0</v>
      </c>
      <c r="U1" s="862">
        <v>45250.0</v>
      </c>
      <c r="V1" s="862">
        <v>45251.0</v>
      </c>
      <c r="W1" s="862">
        <v>45252.0</v>
      </c>
      <c r="X1" s="862">
        <v>45253.0</v>
      </c>
      <c r="Y1" s="862">
        <v>45254.0</v>
      </c>
      <c r="Z1" s="862">
        <v>45255.0</v>
      </c>
      <c r="AA1" s="862">
        <v>45256.0</v>
      </c>
      <c r="AB1" s="862">
        <v>45257.0</v>
      </c>
      <c r="AC1" s="862">
        <v>45258.0</v>
      </c>
      <c r="AD1" s="862">
        <v>45259.0</v>
      </c>
      <c r="AE1" s="862">
        <v>45260.0</v>
      </c>
    </row>
    <row r="2">
      <c r="A2" s="863" t="s">
        <v>983</v>
      </c>
      <c r="B2" s="864">
        <v>163.0</v>
      </c>
      <c r="C2" s="864">
        <v>161.0</v>
      </c>
      <c r="D2" s="864">
        <v>186.0</v>
      </c>
      <c r="E2" s="864">
        <v>175.0</v>
      </c>
      <c r="F2" s="864">
        <v>228.0</v>
      </c>
      <c r="G2" s="864">
        <v>212.0</v>
      </c>
      <c r="H2" s="864">
        <v>188.0</v>
      </c>
      <c r="I2" s="864">
        <v>178.0</v>
      </c>
      <c r="J2" s="864">
        <v>186.0</v>
      </c>
      <c r="K2" s="864">
        <v>204.0</v>
      </c>
      <c r="L2" s="864">
        <v>204.0</v>
      </c>
      <c r="M2" s="864">
        <v>206.0</v>
      </c>
      <c r="N2" s="865">
        <v>168.0</v>
      </c>
      <c r="O2" s="866">
        <v>211.0</v>
      </c>
      <c r="P2" s="866">
        <v>185.0</v>
      </c>
      <c r="Q2" s="866">
        <v>204.0</v>
      </c>
      <c r="R2" s="866">
        <v>207.0</v>
      </c>
      <c r="S2" s="866">
        <v>255.0</v>
      </c>
      <c r="T2" s="866">
        <v>236.0</v>
      </c>
      <c r="U2" s="867">
        <v>253.0</v>
      </c>
      <c r="V2" s="867">
        <v>266.0</v>
      </c>
      <c r="W2" s="867">
        <v>395.0</v>
      </c>
      <c r="X2" s="867">
        <v>433.0</v>
      </c>
      <c r="Y2" s="866">
        <v>1274.0</v>
      </c>
      <c r="Z2" s="866">
        <v>800.0</v>
      </c>
      <c r="AA2" s="866">
        <v>244.0</v>
      </c>
      <c r="AB2" s="866">
        <v>867.0</v>
      </c>
      <c r="AC2" s="866">
        <v>598.0</v>
      </c>
      <c r="AD2" s="866">
        <v>86.0</v>
      </c>
      <c r="AE2" s="866">
        <v>66.0</v>
      </c>
    </row>
    <row r="3">
      <c r="A3" s="868" t="s">
        <v>999</v>
      </c>
      <c r="B3" s="866">
        <v>80.0</v>
      </c>
      <c r="C3" s="866">
        <v>111.0</v>
      </c>
      <c r="D3" s="866">
        <v>106.0</v>
      </c>
      <c r="E3" s="866">
        <v>95.0</v>
      </c>
      <c r="F3" s="866">
        <v>104.0</v>
      </c>
      <c r="G3" s="866">
        <v>96.0</v>
      </c>
      <c r="H3" s="866">
        <v>110.0</v>
      </c>
      <c r="I3" s="866">
        <v>104.0</v>
      </c>
      <c r="J3" s="866">
        <v>105.0</v>
      </c>
      <c r="K3" s="866">
        <v>95.0</v>
      </c>
      <c r="L3" s="866">
        <v>118.0</v>
      </c>
      <c r="M3" s="866">
        <v>112.0</v>
      </c>
      <c r="N3" s="865">
        <v>117.0</v>
      </c>
      <c r="O3" s="865">
        <v>126.0</v>
      </c>
      <c r="P3" s="865">
        <v>118.0</v>
      </c>
      <c r="Q3" s="866">
        <v>92.0</v>
      </c>
      <c r="R3" s="866">
        <v>103.0</v>
      </c>
      <c r="S3" s="866">
        <v>124.0</v>
      </c>
      <c r="T3" s="866">
        <v>133.0</v>
      </c>
      <c r="U3" s="866">
        <v>145.0</v>
      </c>
      <c r="V3" s="866">
        <v>148.0</v>
      </c>
      <c r="W3" s="866">
        <v>236.0</v>
      </c>
      <c r="X3" s="866">
        <v>260.0</v>
      </c>
      <c r="Y3" s="866">
        <v>712.0</v>
      </c>
      <c r="Z3" s="866">
        <v>459.0</v>
      </c>
      <c r="AA3" s="866">
        <v>133.0</v>
      </c>
      <c r="AB3" s="866">
        <v>523.0</v>
      </c>
      <c r="AC3" s="866">
        <v>344.0</v>
      </c>
      <c r="AD3" s="866">
        <v>71.0</v>
      </c>
      <c r="AE3" s="866">
        <v>66.0</v>
      </c>
    </row>
    <row r="4">
      <c r="A4" s="868" t="s">
        <v>97</v>
      </c>
      <c r="B4" s="866">
        <v>4.0</v>
      </c>
      <c r="C4" s="866">
        <v>6.0</v>
      </c>
      <c r="D4" s="866">
        <v>8.0</v>
      </c>
      <c r="E4" s="866">
        <v>4.0</v>
      </c>
      <c r="F4" s="866">
        <v>4.0</v>
      </c>
      <c r="G4" s="866">
        <v>10.0</v>
      </c>
      <c r="H4" s="866">
        <v>2.0</v>
      </c>
      <c r="I4" s="866">
        <v>5.0</v>
      </c>
      <c r="J4" s="866">
        <v>4.0</v>
      </c>
      <c r="K4" s="866">
        <v>5.0</v>
      </c>
      <c r="L4" s="866">
        <v>5.0</v>
      </c>
      <c r="M4" s="866">
        <v>8.0</v>
      </c>
      <c r="N4" s="865">
        <v>2.0</v>
      </c>
      <c r="O4" s="865">
        <v>4.0</v>
      </c>
      <c r="P4" s="865">
        <v>4.0</v>
      </c>
      <c r="Q4" s="866">
        <v>6.0</v>
      </c>
      <c r="R4" s="866">
        <v>8.0</v>
      </c>
      <c r="S4" s="866">
        <v>7.0</v>
      </c>
      <c r="T4" s="866">
        <v>13.0</v>
      </c>
      <c r="U4" s="866">
        <v>6.0</v>
      </c>
      <c r="V4" s="866">
        <v>14.0</v>
      </c>
      <c r="W4" s="866">
        <v>14.0</v>
      </c>
      <c r="X4" s="866">
        <v>23.0</v>
      </c>
      <c r="Y4" s="866">
        <v>47.0</v>
      </c>
      <c r="Z4" s="866">
        <v>38.0</v>
      </c>
      <c r="AA4" s="866">
        <v>5.0</v>
      </c>
      <c r="AB4" s="866">
        <v>36.0</v>
      </c>
      <c r="AC4" s="866">
        <v>31.0</v>
      </c>
      <c r="AD4" s="866">
        <v>5.0</v>
      </c>
      <c r="AE4" s="866">
        <v>4.0</v>
      </c>
    </row>
    <row r="5">
      <c r="A5" s="868" t="s">
        <v>1001</v>
      </c>
      <c r="B5" s="866">
        <v>3.0</v>
      </c>
      <c r="C5" s="866">
        <v>7.0</v>
      </c>
      <c r="D5" s="866">
        <v>5.0</v>
      </c>
      <c r="E5" s="866">
        <v>2.0</v>
      </c>
      <c r="F5" s="866">
        <v>2.0</v>
      </c>
      <c r="G5" s="866">
        <v>4.0</v>
      </c>
      <c r="H5" s="866">
        <v>5.0</v>
      </c>
      <c r="I5" s="866">
        <v>1.0</v>
      </c>
      <c r="J5" s="866">
        <v>12.0</v>
      </c>
      <c r="K5" s="866">
        <v>12.0</v>
      </c>
      <c r="L5" s="866">
        <v>5.0</v>
      </c>
      <c r="M5" s="866">
        <v>5.0</v>
      </c>
      <c r="N5" s="865">
        <v>6.0</v>
      </c>
      <c r="O5" s="865">
        <v>6.0</v>
      </c>
      <c r="P5" s="865">
        <v>5.0</v>
      </c>
      <c r="Q5" s="866">
        <v>1.0</v>
      </c>
      <c r="R5" s="866">
        <v>12.0</v>
      </c>
      <c r="S5" s="866">
        <v>5.0</v>
      </c>
      <c r="T5" s="866">
        <v>13.0</v>
      </c>
      <c r="U5" s="866">
        <v>6.0</v>
      </c>
      <c r="V5" s="866">
        <v>9.0</v>
      </c>
      <c r="W5" s="866">
        <v>8.0</v>
      </c>
      <c r="X5" s="866">
        <v>10.0</v>
      </c>
      <c r="Y5" s="866">
        <v>107.0</v>
      </c>
      <c r="Z5" s="866">
        <v>29.0</v>
      </c>
      <c r="AA5" s="866">
        <v>9.0</v>
      </c>
      <c r="AB5" s="866">
        <v>37.0</v>
      </c>
      <c r="AC5" s="866">
        <v>17.0</v>
      </c>
      <c r="AD5" s="866">
        <v>2.0</v>
      </c>
      <c r="AE5" s="866">
        <v>3.0</v>
      </c>
    </row>
    <row r="6">
      <c r="A6" s="868" t="s">
        <v>1009</v>
      </c>
      <c r="B6" s="866">
        <v>16.0</v>
      </c>
      <c r="C6" s="866">
        <v>18.0</v>
      </c>
      <c r="D6" s="866">
        <v>16.0</v>
      </c>
      <c r="E6" s="866">
        <v>22.0</v>
      </c>
      <c r="F6" s="866">
        <v>23.0</v>
      </c>
      <c r="G6" s="866">
        <v>19.0</v>
      </c>
      <c r="H6" s="866">
        <v>10.0</v>
      </c>
      <c r="I6" s="866">
        <v>11.0</v>
      </c>
      <c r="J6" s="866">
        <v>20.0</v>
      </c>
      <c r="K6" s="866">
        <v>19.0</v>
      </c>
      <c r="L6" s="866">
        <v>94.0</v>
      </c>
      <c r="M6" s="866">
        <v>76.0</v>
      </c>
      <c r="N6" s="865">
        <v>34.0</v>
      </c>
      <c r="O6" s="865">
        <v>80.0</v>
      </c>
      <c r="P6" s="865">
        <v>39.0</v>
      </c>
      <c r="Q6" s="866">
        <v>18.0</v>
      </c>
      <c r="R6" s="866">
        <v>30.0</v>
      </c>
      <c r="S6" s="866">
        <v>29.0</v>
      </c>
      <c r="T6" s="866">
        <v>35.0</v>
      </c>
      <c r="U6" s="866">
        <v>44.0</v>
      </c>
      <c r="V6" s="866">
        <v>32.0</v>
      </c>
      <c r="W6" s="866">
        <v>59.0</v>
      </c>
      <c r="X6" s="866">
        <v>38.0</v>
      </c>
      <c r="Y6" s="866">
        <v>103.0</v>
      </c>
      <c r="Z6" s="866">
        <v>76.0</v>
      </c>
      <c r="AA6" s="866">
        <v>31.0</v>
      </c>
      <c r="AB6" s="866">
        <v>118.0</v>
      </c>
      <c r="AC6" s="866">
        <v>80.0</v>
      </c>
      <c r="AD6" s="866">
        <v>15.0</v>
      </c>
      <c r="AE6" s="866">
        <v>25.0</v>
      </c>
    </row>
    <row r="7">
      <c r="A7" s="869" t="s">
        <v>1015</v>
      </c>
      <c r="B7" s="866">
        <v>2.0</v>
      </c>
      <c r="C7" s="865">
        <v>0.0</v>
      </c>
      <c r="D7" s="865">
        <v>1.0</v>
      </c>
      <c r="E7" s="865">
        <v>2.0</v>
      </c>
      <c r="F7" s="865">
        <v>0.0</v>
      </c>
      <c r="G7" s="865">
        <v>3.0</v>
      </c>
      <c r="H7" s="865">
        <v>3.0</v>
      </c>
      <c r="I7" s="865">
        <v>3.0</v>
      </c>
      <c r="J7" s="865">
        <v>6.0</v>
      </c>
      <c r="K7" s="865">
        <v>1.0</v>
      </c>
      <c r="L7" s="865">
        <v>0.0</v>
      </c>
      <c r="M7" s="865">
        <v>3.0</v>
      </c>
      <c r="N7" s="865">
        <v>6.0</v>
      </c>
      <c r="O7" s="865">
        <v>1.0</v>
      </c>
      <c r="P7" s="865">
        <v>0.0</v>
      </c>
      <c r="Q7" s="866">
        <v>1.0</v>
      </c>
      <c r="R7" s="866">
        <v>2.0</v>
      </c>
      <c r="S7" s="866">
        <v>3.0</v>
      </c>
      <c r="T7" s="866">
        <v>0.0</v>
      </c>
      <c r="U7" s="866">
        <v>3.0</v>
      </c>
      <c r="V7" s="866">
        <v>5.0</v>
      </c>
      <c r="W7" s="866">
        <v>7.0</v>
      </c>
      <c r="X7" s="866">
        <v>7.0</v>
      </c>
      <c r="Y7" s="866">
        <v>19.0</v>
      </c>
      <c r="Z7" s="866">
        <v>7.0</v>
      </c>
      <c r="AA7" s="866">
        <v>2.0</v>
      </c>
      <c r="AB7" s="866">
        <v>16.0</v>
      </c>
      <c r="AC7" s="866">
        <v>19.0</v>
      </c>
      <c r="AD7" s="866">
        <v>2.0</v>
      </c>
      <c r="AE7" s="866">
        <v>3.0</v>
      </c>
    </row>
    <row r="8">
      <c r="A8" s="869" t="s">
        <v>1020</v>
      </c>
      <c r="B8" s="865">
        <v>21.0</v>
      </c>
      <c r="C8" s="865">
        <v>17.0</v>
      </c>
      <c r="D8" s="865">
        <v>20.0</v>
      </c>
      <c r="E8" s="865">
        <v>19.0</v>
      </c>
      <c r="F8" s="865">
        <v>13.0</v>
      </c>
      <c r="G8" s="865">
        <v>15.0</v>
      </c>
      <c r="H8" s="865">
        <v>19.0</v>
      </c>
      <c r="I8" s="865">
        <v>23.0</v>
      </c>
      <c r="J8" s="865">
        <v>25.0</v>
      </c>
      <c r="K8" s="865">
        <v>33.0</v>
      </c>
      <c r="L8" s="865">
        <v>28.0</v>
      </c>
      <c r="M8" s="865">
        <v>23.0</v>
      </c>
      <c r="N8" s="865">
        <v>21.0</v>
      </c>
      <c r="O8" s="865">
        <v>25.0</v>
      </c>
      <c r="P8" s="865">
        <v>29.0</v>
      </c>
      <c r="Q8" s="866">
        <v>29.0</v>
      </c>
      <c r="R8" s="866">
        <v>22.0</v>
      </c>
      <c r="S8" s="866">
        <v>36.0</v>
      </c>
      <c r="T8" s="866">
        <v>33.0</v>
      </c>
      <c r="U8" s="866">
        <v>33.0</v>
      </c>
      <c r="V8" s="866">
        <v>44.0</v>
      </c>
      <c r="W8" s="866">
        <v>62.0</v>
      </c>
      <c r="X8" s="866">
        <v>66.0</v>
      </c>
      <c r="Y8" s="866">
        <v>182.0</v>
      </c>
      <c r="Z8" s="866">
        <v>124.0</v>
      </c>
      <c r="AA8" s="866">
        <v>45.0</v>
      </c>
      <c r="AB8" s="866">
        <v>153.0</v>
      </c>
      <c r="AC8" s="866">
        <v>102.0</v>
      </c>
      <c r="AD8" s="866">
        <v>22.0</v>
      </c>
      <c r="AE8" s="866">
        <v>27.0</v>
      </c>
    </row>
    <row r="9">
      <c r="A9" s="869" t="s">
        <v>1024</v>
      </c>
      <c r="B9" s="865">
        <v>1.0</v>
      </c>
      <c r="C9" s="865">
        <v>1.0</v>
      </c>
      <c r="D9" s="865">
        <v>0.0</v>
      </c>
      <c r="E9" s="865">
        <v>0.0</v>
      </c>
      <c r="F9" s="865">
        <v>2.0</v>
      </c>
      <c r="G9" s="865">
        <v>1.0</v>
      </c>
      <c r="H9" s="865">
        <v>3.0</v>
      </c>
      <c r="I9" s="865">
        <v>2.0</v>
      </c>
      <c r="J9" s="865">
        <v>1.0</v>
      </c>
      <c r="K9" s="865">
        <v>0.0</v>
      </c>
      <c r="L9" s="865">
        <v>2.0</v>
      </c>
      <c r="M9" s="865">
        <v>0.0</v>
      </c>
      <c r="N9" s="865">
        <v>2.0</v>
      </c>
      <c r="O9" s="865">
        <v>0.0</v>
      </c>
      <c r="P9" s="865">
        <v>0.0</v>
      </c>
      <c r="Q9" s="866">
        <v>1.0</v>
      </c>
      <c r="R9" s="866">
        <v>0.0</v>
      </c>
      <c r="S9" s="866">
        <v>1.0</v>
      </c>
      <c r="T9" s="866">
        <v>1.0</v>
      </c>
      <c r="U9" s="866"/>
      <c r="V9" s="866">
        <v>1.0</v>
      </c>
      <c r="W9" s="866">
        <v>2.0</v>
      </c>
      <c r="X9" s="866">
        <v>3.0</v>
      </c>
      <c r="Y9" s="866">
        <v>4.0</v>
      </c>
      <c r="Z9" s="866">
        <v>3.0</v>
      </c>
      <c r="AA9" s="866">
        <v>2.0</v>
      </c>
      <c r="AB9" s="866">
        <v>9.0</v>
      </c>
      <c r="AC9" s="866">
        <v>3.0</v>
      </c>
      <c r="AD9" s="866">
        <v>0.0</v>
      </c>
      <c r="AE9" s="866">
        <v>0.0</v>
      </c>
    </row>
    <row r="10">
      <c r="A10" s="870" t="s">
        <v>1164</v>
      </c>
      <c r="B10" s="872">
        <f t="shared" ref="B10:AE10" si="1">SUM(B2:B9)</f>
        <v>290</v>
      </c>
      <c r="C10" s="872">
        <f t="shared" si="1"/>
        <v>321</v>
      </c>
      <c r="D10" s="872">
        <f t="shared" si="1"/>
        <v>342</v>
      </c>
      <c r="E10" s="872">
        <f t="shared" si="1"/>
        <v>319</v>
      </c>
      <c r="F10" s="872">
        <f t="shared" si="1"/>
        <v>376</v>
      </c>
      <c r="G10" s="872">
        <f t="shared" si="1"/>
        <v>360</v>
      </c>
      <c r="H10" s="872">
        <f t="shared" si="1"/>
        <v>340</v>
      </c>
      <c r="I10" s="872">
        <f t="shared" si="1"/>
        <v>327</v>
      </c>
      <c r="J10" s="872">
        <f t="shared" si="1"/>
        <v>359</v>
      </c>
      <c r="K10" s="872">
        <f t="shared" si="1"/>
        <v>369</v>
      </c>
      <c r="L10" s="872">
        <f t="shared" si="1"/>
        <v>456</v>
      </c>
      <c r="M10" s="872">
        <f t="shared" si="1"/>
        <v>433</v>
      </c>
      <c r="N10" s="872">
        <f t="shared" si="1"/>
        <v>356</v>
      </c>
      <c r="O10" s="872">
        <f t="shared" si="1"/>
        <v>453</v>
      </c>
      <c r="P10" s="872">
        <f t="shared" si="1"/>
        <v>380</v>
      </c>
      <c r="Q10" s="872">
        <f t="shared" si="1"/>
        <v>352</v>
      </c>
      <c r="R10" s="872">
        <f t="shared" si="1"/>
        <v>384</v>
      </c>
      <c r="S10" s="872">
        <f t="shared" si="1"/>
        <v>460</v>
      </c>
      <c r="T10" s="872">
        <f t="shared" si="1"/>
        <v>464</v>
      </c>
      <c r="U10" s="872">
        <f t="shared" si="1"/>
        <v>490</v>
      </c>
      <c r="V10" s="872">
        <f t="shared" si="1"/>
        <v>519</v>
      </c>
      <c r="W10" s="872">
        <f t="shared" si="1"/>
        <v>783</v>
      </c>
      <c r="X10" s="872">
        <f t="shared" si="1"/>
        <v>840</v>
      </c>
      <c r="Y10" s="872">
        <f t="shared" si="1"/>
        <v>2448</v>
      </c>
      <c r="Z10" s="872">
        <f t="shared" si="1"/>
        <v>1536</v>
      </c>
      <c r="AA10" s="872">
        <f t="shared" si="1"/>
        <v>471</v>
      </c>
      <c r="AB10" s="872">
        <f t="shared" si="1"/>
        <v>1759</v>
      </c>
      <c r="AC10" s="872">
        <f t="shared" si="1"/>
        <v>1194</v>
      </c>
      <c r="AD10" s="872">
        <f t="shared" si="1"/>
        <v>203</v>
      </c>
      <c r="AE10" s="872">
        <f t="shared" si="1"/>
        <v>194</v>
      </c>
    </row>
    <row r="11">
      <c r="A11" s="875" t="s">
        <v>1166</v>
      </c>
      <c r="B11" s="876">
        <v>45231.0</v>
      </c>
      <c r="C11" s="876">
        <v>45232.0</v>
      </c>
      <c r="D11" s="876">
        <v>45233.0</v>
      </c>
      <c r="E11" s="876">
        <v>45234.0</v>
      </c>
      <c r="F11" s="876">
        <v>45235.0</v>
      </c>
      <c r="G11" s="876">
        <v>45236.0</v>
      </c>
      <c r="H11" s="876">
        <v>45237.0</v>
      </c>
      <c r="I11" s="876">
        <v>45238.0</v>
      </c>
      <c r="J11" s="876">
        <v>45239.0</v>
      </c>
      <c r="K11" s="876">
        <v>45240.0</v>
      </c>
      <c r="L11" s="876">
        <v>45241.0</v>
      </c>
      <c r="M11" s="876">
        <v>45242.0</v>
      </c>
      <c r="N11" s="876">
        <v>45243.0</v>
      </c>
      <c r="O11" s="876">
        <v>45244.0</v>
      </c>
      <c r="P11" s="876">
        <v>45245.0</v>
      </c>
      <c r="Q11" s="876">
        <v>45246.0</v>
      </c>
      <c r="R11" s="876">
        <v>45247.0</v>
      </c>
      <c r="S11" s="876">
        <v>45248.0</v>
      </c>
      <c r="T11" s="876">
        <v>45249.0</v>
      </c>
      <c r="U11" s="876">
        <v>45250.0</v>
      </c>
      <c r="V11" s="876">
        <v>45251.0</v>
      </c>
      <c r="W11" s="876">
        <v>45252.0</v>
      </c>
      <c r="X11" s="876">
        <v>45253.0</v>
      </c>
      <c r="Y11" s="876">
        <v>45254.0</v>
      </c>
      <c r="Z11" s="876">
        <v>45255.0</v>
      </c>
      <c r="AA11" s="876">
        <v>45256.0</v>
      </c>
      <c r="AB11" s="876">
        <v>45257.0</v>
      </c>
      <c r="AC11" s="876">
        <v>45258.0</v>
      </c>
      <c r="AD11" s="876">
        <v>45259.0</v>
      </c>
      <c r="AE11" s="876">
        <v>45260.0</v>
      </c>
    </row>
    <row r="12">
      <c r="A12" s="878" t="s">
        <v>983</v>
      </c>
      <c r="B12" s="879">
        <f t="shared" ref="B12:AE12" si="2">iferror(B2/B$10,"")</f>
        <v>0.5620689655</v>
      </c>
      <c r="C12" s="879">
        <f t="shared" si="2"/>
        <v>0.5015576324</v>
      </c>
      <c r="D12" s="879">
        <f t="shared" si="2"/>
        <v>0.5438596491</v>
      </c>
      <c r="E12" s="879">
        <f t="shared" si="2"/>
        <v>0.5485893417</v>
      </c>
      <c r="F12" s="879">
        <f t="shared" si="2"/>
        <v>0.6063829787</v>
      </c>
      <c r="G12" s="879">
        <f t="shared" si="2"/>
        <v>0.5888888889</v>
      </c>
      <c r="H12" s="879">
        <f t="shared" si="2"/>
        <v>0.5529411765</v>
      </c>
      <c r="I12" s="879">
        <f t="shared" si="2"/>
        <v>0.5443425076</v>
      </c>
      <c r="J12" s="879">
        <f t="shared" si="2"/>
        <v>0.5181058496</v>
      </c>
      <c r="K12" s="879">
        <f t="shared" si="2"/>
        <v>0.5528455285</v>
      </c>
      <c r="L12" s="879">
        <f t="shared" si="2"/>
        <v>0.4473684211</v>
      </c>
      <c r="M12" s="879">
        <f t="shared" si="2"/>
        <v>0.4757505774</v>
      </c>
      <c r="N12" s="879">
        <f t="shared" si="2"/>
        <v>0.4719101124</v>
      </c>
      <c r="O12" s="879">
        <f t="shared" si="2"/>
        <v>0.4657836645</v>
      </c>
      <c r="P12" s="879">
        <f t="shared" si="2"/>
        <v>0.4868421053</v>
      </c>
      <c r="Q12" s="879">
        <f t="shared" si="2"/>
        <v>0.5795454545</v>
      </c>
      <c r="R12" s="879">
        <f t="shared" si="2"/>
        <v>0.5390625</v>
      </c>
      <c r="S12" s="879">
        <f t="shared" si="2"/>
        <v>0.5543478261</v>
      </c>
      <c r="T12" s="879">
        <f t="shared" si="2"/>
        <v>0.5086206897</v>
      </c>
      <c r="U12" s="879">
        <f t="shared" si="2"/>
        <v>0.5163265306</v>
      </c>
      <c r="V12" s="879">
        <f t="shared" si="2"/>
        <v>0.5125240848</v>
      </c>
      <c r="W12" s="879">
        <f t="shared" si="2"/>
        <v>0.5044699872</v>
      </c>
      <c r="X12" s="879">
        <f t="shared" si="2"/>
        <v>0.5154761905</v>
      </c>
      <c r="Y12" s="879">
        <f t="shared" si="2"/>
        <v>0.5204248366</v>
      </c>
      <c r="Z12" s="879">
        <f t="shared" si="2"/>
        <v>0.5208333333</v>
      </c>
      <c r="AA12" s="879">
        <f t="shared" si="2"/>
        <v>0.5180467091</v>
      </c>
      <c r="AB12" s="879">
        <f t="shared" si="2"/>
        <v>0.4928936896</v>
      </c>
      <c r="AC12" s="879">
        <f t="shared" si="2"/>
        <v>0.5008375209</v>
      </c>
      <c r="AD12" s="879">
        <f t="shared" si="2"/>
        <v>0.4236453202</v>
      </c>
      <c r="AE12" s="879">
        <f t="shared" si="2"/>
        <v>0.3402061856</v>
      </c>
    </row>
    <row r="13">
      <c r="A13" s="878" t="s">
        <v>999</v>
      </c>
      <c r="B13" s="879">
        <f t="shared" ref="B13:AE13" si="3">iferror(B3/B$10,"")</f>
        <v>0.275862069</v>
      </c>
      <c r="C13" s="879">
        <f t="shared" si="3"/>
        <v>0.3457943925</v>
      </c>
      <c r="D13" s="879">
        <f t="shared" si="3"/>
        <v>0.3099415205</v>
      </c>
      <c r="E13" s="879">
        <f t="shared" si="3"/>
        <v>0.2978056426</v>
      </c>
      <c r="F13" s="879">
        <f t="shared" si="3"/>
        <v>0.2765957447</v>
      </c>
      <c r="G13" s="879">
        <f t="shared" si="3"/>
        <v>0.2666666667</v>
      </c>
      <c r="H13" s="879">
        <f t="shared" si="3"/>
        <v>0.3235294118</v>
      </c>
      <c r="I13" s="879">
        <f t="shared" si="3"/>
        <v>0.3180428135</v>
      </c>
      <c r="J13" s="879">
        <f t="shared" si="3"/>
        <v>0.2924791086</v>
      </c>
      <c r="K13" s="879">
        <f t="shared" si="3"/>
        <v>0.2574525745</v>
      </c>
      <c r="L13" s="879">
        <f t="shared" si="3"/>
        <v>0.2587719298</v>
      </c>
      <c r="M13" s="879">
        <f t="shared" si="3"/>
        <v>0.2586605081</v>
      </c>
      <c r="N13" s="879">
        <f t="shared" si="3"/>
        <v>0.3286516854</v>
      </c>
      <c r="O13" s="879">
        <f t="shared" si="3"/>
        <v>0.2781456954</v>
      </c>
      <c r="P13" s="879">
        <f t="shared" si="3"/>
        <v>0.3105263158</v>
      </c>
      <c r="Q13" s="879">
        <f t="shared" si="3"/>
        <v>0.2613636364</v>
      </c>
      <c r="R13" s="879">
        <f t="shared" si="3"/>
        <v>0.2682291667</v>
      </c>
      <c r="S13" s="879">
        <f t="shared" si="3"/>
        <v>0.2695652174</v>
      </c>
      <c r="T13" s="879">
        <f t="shared" si="3"/>
        <v>0.286637931</v>
      </c>
      <c r="U13" s="879">
        <f t="shared" si="3"/>
        <v>0.2959183673</v>
      </c>
      <c r="V13" s="879">
        <f t="shared" si="3"/>
        <v>0.2851637765</v>
      </c>
      <c r="W13" s="879">
        <f t="shared" si="3"/>
        <v>0.3014048531</v>
      </c>
      <c r="X13" s="879">
        <f t="shared" si="3"/>
        <v>0.3095238095</v>
      </c>
      <c r="Y13" s="879">
        <f t="shared" si="3"/>
        <v>0.2908496732</v>
      </c>
      <c r="Z13" s="879">
        <f t="shared" si="3"/>
        <v>0.298828125</v>
      </c>
      <c r="AA13" s="879">
        <f t="shared" si="3"/>
        <v>0.2823779193</v>
      </c>
      <c r="AB13" s="879">
        <f t="shared" si="3"/>
        <v>0.2973280273</v>
      </c>
      <c r="AC13" s="879">
        <f t="shared" si="3"/>
        <v>0.2881072027</v>
      </c>
      <c r="AD13" s="879">
        <f t="shared" si="3"/>
        <v>0.3497536946</v>
      </c>
      <c r="AE13" s="879">
        <f t="shared" si="3"/>
        <v>0.3402061856</v>
      </c>
    </row>
    <row r="14">
      <c r="A14" s="878" t="s">
        <v>97</v>
      </c>
      <c r="B14" s="879">
        <f t="shared" ref="B14:AE14" si="4">iferror(B4/B$10,"")</f>
        <v>0.01379310345</v>
      </c>
      <c r="C14" s="879">
        <f t="shared" si="4"/>
        <v>0.01869158879</v>
      </c>
      <c r="D14" s="879">
        <f t="shared" si="4"/>
        <v>0.02339181287</v>
      </c>
      <c r="E14" s="879">
        <f t="shared" si="4"/>
        <v>0.01253918495</v>
      </c>
      <c r="F14" s="879">
        <f t="shared" si="4"/>
        <v>0.01063829787</v>
      </c>
      <c r="G14" s="879">
        <f t="shared" si="4"/>
        <v>0.02777777778</v>
      </c>
      <c r="H14" s="879">
        <f t="shared" si="4"/>
        <v>0.005882352941</v>
      </c>
      <c r="I14" s="879">
        <f t="shared" si="4"/>
        <v>0.01529051988</v>
      </c>
      <c r="J14" s="879">
        <f t="shared" si="4"/>
        <v>0.01114206128</v>
      </c>
      <c r="K14" s="879">
        <f t="shared" si="4"/>
        <v>0.0135501355</v>
      </c>
      <c r="L14" s="879">
        <f t="shared" si="4"/>
        <v>0.01096491228</v>
      </c>
      <c r="M14" s="879">
        <f t="shared" si="4"/>
        <v>0.01847575058</v>
      </c>
      <c r="N14" s="879">
        <f t="shared" si="4"/>
        <v>0.005617977528</v>
      </c>
      <c r="O14" s="879">
        <f t="shared" si="4"/>
        <v>0.008830022075</v>
      </c>
      <c r="P14" s="879">
        <f t="shared" si="4"/>
        <v>0.01052631579</v>
      </c>
      <c r="Q14" s="879">
        <f t="shared" si="4"/>
        <v>0.01704545455</v>
      </c>
      <c r="R14" s="879">
        <f t="shared" si="4"/>
        <v>0.02083333333</v>
      </c>
      <c r="S14" s="879">
        <f t="shared" si="4"/>
        <v>0.0152173913</v>
      </c>
      <c r="T14" s="879">
        <f t="shared" si="4"/>
        <v>0.02801724138</v>
      </c>
      <c r="U14" s="879">
        <f t="shared" si="4"/>
        <v>0.01224489796</v>
      </c>
      <c r="V14" s="879">
        <f t="shared" si="4"/>
        <v>0.02697495183</v>
      </c>
      <c r="W14" s="879">
        <f t="shared" si="4"/>
        <v>0.01787994891</v>
      </c>
      <c r="X14" s="879">
        <f t="shared" si="4"/>
        <v>0.02738095238</v>
      </c>
      <c r="Y14" s="879">
        <f t="shared" si="4"/>
        <v>0.01919934641</v>
      </c>
      <c r="Z14" s="879">
        <f t="shared" si="4"/>
        <v>0.02473958333</v>
      </c>
      <c r="AA14" s="879">
        <f t="shared" si="4"/>
        <v>0.01061571125</v>
      </c>
      <c r="AB14" s="879">
        <f t="shared" si="4"/>
        <v>0.02046617396</v>
      </c>
      <c r="AC14" s="879">
        <f t="shared" si="4"/>
        <v>0.02596314908</v>
      </c>
      <c r="AD14" s="879">
        <f t="shared" si="4"/>
        <v>0.02463054187</v>
      </c>
      <c r="AE14" s="879">
        <f t="shared" si="4"/>
        <v>0.0206185567</v>
      </c>
    </row>
    <row r="15">
      <c r="A15" s="878" t="s">
        <v>1001</v>
      </c>
      <c r="B15" s="879">
        <f t="shared" ref="B15:AE15" si="5">iferror(B5/B$10,"")</f>
        <v>0.01034482759</v>
      </c>
      <c r="C15" s="879">
        <f t="shared" si="5"/>
        <v>0.02180685358</v>
      </c>
      <c r="D15" s="879">
        <f t="shared" si="5"/>
        <v>0.01461988304</v>
      </c>
      <c r="E15" s="879">
        <f t="shared" si="5"/>
        <v>0.006269592476</v>
      </c>
      <c r="F15" s="879">
        <f t="shared" si="5"/>
        <v>0.005319148936</v>
      </c>
      <c r="G15" s="879">
        <f t="shared" si="5"/>
        <v>0.01111111111</v>
      </c>
      <c r="H15" s="879">
        <f t="shared" si="5"/>
        <v>0.01470588235</v>
      </c>
      <c r="I15" s="879">
        <f t="shared" si="5"/>
        <v>0.003058103976</v>
      </c>
      <c r="J15" s="879">
        <f t="shared" si="5"/>
        <v>0.03342618384</v>
      </c>
      <c r="K15" s="879">
        <f t="shared" si="5"/>
        <v>0.0325203252</v>
      </c>
      <c r="L15" s="879">
        <f t="shared" si="5"/>
        <v>0.01096491228</v>
      </c>
      <c r="M15" s="879">
        <f t="shared" si="5"/>
        <v>0.01154734411</v>
      </c>
      <c r="N15" s="879">
        <f t="shared" si="5"/>
        <v>0.01685393258</v>
      </c>
      <c r="O15" s="879">
        <f t="shared" si="5"/>
        <v>0.01324503311</v>
      </c>
      <c r="P15" s="879">
        <f t="shared" si="5"/>
        <v>0.01315789474</v>
      </c>
      <c r="Q15" s="879">
        <f t="shared" si="5"/>
        <v>0.002840909091</v>
      </c>
      <c r="R15" s="879">
        <f t="shared" si="5"/>
        <v>0.03125</v>
      </c>
      <c r="S15" s="879">
        <f t="shared" si="5"/>
        <v>0.01086956522</v>
      </c>
      <c r="T15" s="879">
        <f t="shared" si="5"/>
        <v>0.02801724138</v>
      </c>
      <c r="U15" s="879">
        <f t="shared" si="5"/>
        <v>0.01224489796</v>
      </c>
      <c r="V15" s="879">
        <f t="shared" si="5"/>
        <v>0.01734104046</v>
      </c>
      <c r="W15" s="879">
        <f t="shared" si="5"/>
        <v>0.01021711367</v>
      </c>
      <c r="X15" s="879">
        <f t="shared" si="5"/>
        <v>0.0119047619</v>
      </c>
      <c r="Y15" s="879">
        <f t="shared" si="5"/>
        <v>0.04370915033</v>
      </c>
      <c r="Z15" s="879">
        <f t="shared" si="5"/>
        <v>0.01888020833</v>
      </c>
      <c r="AA15" s="879">
        <f t="shared" si="5"/>
        <v>0.01910828025</v>
      </c>
      <c r="AB15" s="879">
        <f t="shared" si="5"/>
        <v>0.02103467879</v>
      </c>
      <c r="AC15" s="879">
        <f t="shared" si="5"/>
        <v>0.01423785595</v>
      </c>
      <c r="AD15" s="879">
        <f t="shared" si="5"/>
        <v>0.009852216749</v>
      </c>
      <c r="AE15" s="879">
        <f t="shared" si="5"/>
        <v>0.01546391753</v>
      </c>
    </row>
    <row r="16">
      <c r="A16" s="878" t="s">
        <v>1009</v>
      </c>
      <c r="B16" s="879">
        <f t="shared" ref="B16:AE16" si="6">iferror(B6/B$10,"")</f>
        <v>0.05517241379</v>
      </c>
      <c r="C16" s="879">
        <f t="shared" si="6"/>
        <v>0.05607476636</v>
      </c>
      <c r="D16" s="879">
        <f t="shared" si="6"/>
        <v>0.04678362573</v>
      </c>
      <c r="E16" s="879">
        <f t="shared" si="6"/>
        <v>0.06896551724</v>
      </c>
      <c r="F16" s="879">
        <f t="shared" si="6"/>
        <v>0.06117021277</v>
      </c>
      <c r="G16" s="879">
        <f t="shared" si="6"/>
        <v>0.05277777778</v>
      </c>
      <c r="H16" s="879">
        <f t="shared" si="6"/>
        <v>0.02941176471</v>
      </c>
      <c r="I16" s="879">
        <f t="shared" si="6"/>
        <v>0.03363914373</v>
      </c>
      <c r="J16" s="879">
        <f t="shared" si="6"/>
        <v>0.05571030641</v>
      </c>
      <c r="K16" s="879">
        <f t="shared" si="6"/>
        <v>0.05149051491</v>
      </c>
      <c r="L16" s="879">
        <f t="shared" si="6"/>
        <v>0.2061403509</v>
      </c>
      <c r="M16" s="879">
        <f t="shared" si="6"/>
        <v>0.1755196305</v>
      </c>
      <c r="N16" s="879">
        <f t="shared" si="6"/>
        <v>0.09550561798</v>
      </c>
      <c r="O16" s="879">
        <f t="shared" si="6"/>
        <v>0.1766004415</v>
      </c>
      <c r="P16" s="879">
        <f t="shared" si="6"/>
        <v>0.1026315789</v>
      </c>
      <c r="Q16" s="879">
        <f t="shared" si="6"/>
        <v>0.05113636364</v>
      </c>
      <c r="R16" s="879">
        <f t="shared" si="6"/>
        <v>0.078125</v>
      </c>
      <c r="S16" s="879">
        <f t="shared" si="6"/>
        <v>0.06304347826</v>
      </c>
      <c r="T16" s="879">
        <f t="shared" si="6"/>
        <v>0.07543103448</v>
      </c>
      <c r="U16" s="879">
        <f t="shared" si="6"/>
        <v>0.08979591837</v>
      </c>
      <c r="V16" s="879">
        <f t="shared" si="6"/>
        <v>0.06165703276</v>
      </c>
      <c r="W16" s="879">
        <f t="shared" si="6"/>
        <v>0.07535121328</v>
      </c>
      <c r="X16" s="879">
        <f t="shared" si="6"/>
        <v>0.04523809524</v>
      </c>
      <c r="Y16" s="879">
        <f t="shared" si="6"/>
        <v>0.0420751634</v>
      </c>
      <c r="Z16" s="879">
        <f t="shared" si="6"/>
        <v>0.04947916667</v>
      </c>
      <c r="AA16" s="879">
        <f t="shared" si="6"/>
        <v>0.06581740977</v>
      </c>
      <c r="AB16" s="879">
        <f t="shared" si="6"/>
        <v>0.06708357021</v>
      </c>
      <c r="AC16" s="879">
        <f t="shared" si="6"/>
        <v>0.06700167504</v>
      </c>
      <c r="AD16" s="879">
        <f t="shared" si="6"/>
        <v>0.07389162562</v>
      </c>
      <c r="AE16" s="879">
        <f t="shared" si="6"/>
        <v>0.1288659794</v>
      </c>
    </row>
    <row r="17">
      <c r="A17" s="883" t="s">
        <v>1015</v>
      </c>
      <c r="B17" s="879">
        <f t="shared" ref="B17:AE17" si="7">iferror(B7/B$10,"")</f>
        <v>0.006896551724</v>
      </c>
      <c r="C17" s="879">
        <f t="shared" si="7"/>
        <v>0</v>
      </c>
      <c r="D17" s="879">
        <f t="shared" si="7"/>
        <v>0.002923976608</v>
      </c>
      <c r="E17" s="879">
        <f t="shared" si="7"/>
        <v>0.006269592476</v>
      </c>
      <c r="F17" s="879">
        <f t="shared" si="7"/>
        <v>0</v>
      </c>
      <c r="G17" s="879">
        <f t="shared" si="7"/>
        <v>0.008333333333</v>
      </c>
      <c r="H17" s="879">
        <f t="shared" si="7"/>
        <v>0.008823529412</v>
      </c>
      <c r="I17" s="879">
        <f t="shared" si="7"/>
        <v>0.009174311927</v>
      </c>
      <c r="J17" s="879">
        <f t="shared" si="7"/>
        <v>0.01671309192</v>
      </c>
      <c r="K17" s="879">
        <f t="shared" si="7"/>
        <v>0.0027100271</v>
      </c>
      <c r="L17" s="879">
        <f t="shared" si="7"/>
        <v>0</v>
      </c>
      <c r="M17" s="879">
        <f t="shared" si="7"/>
        <v>0.006928406467</v>
      </c>
      <c r="N17" s="879">
        <f t="shared" si="7"/>
        <v>0.01685393258</v>
      </c>
      <c r="O17" s="879">
        <f t="shared" si="7"/>
        <v>0.002207505519</v>
      </c>
      <c r="P17" s="879">
        <f t="shared" si="7"/>
        <v>0</v>
      </c>
      <c r="Q17" s="879">
        <f t="shared" si="7"/>
        <v>0.002840909091</v>
      </c>
      <c r="R17" s="879">
        <f t="shared" si="7"/>
        <v>0.005208333333</v>
      </c>
      <c r="S17" s="879">
        <f t="shared" si="7"/>
        <v>0.00652173913</v>
      </c>
      <c r="T17" s="879">
        <f t="shared" si="7"/>
        <v>0</v>
      </c>
      <c r="U17" s="879">
        <f t="shared" si="7"/>
        <v>0.00612244898</v>
      </c>
      <c r="V17" s="879">
        <f t="shared" si="7"/>
        <v>0.009633911368</v>
      </c>
      <c r="W17" s="879">
        <f t="shared" si="7"/>
        <v>0.008939974457</v>
      </c>
      <c r="X17" s="879">
        <f t="shared" si="7"/>
        <v>0.008333333333</v>
      </c>
      <c r="Y17" s="879">
        <f t="shared" si="7"/>
        <v>0.007761437908</v>
      </c>
      <c r="Z17" s="879">
        <f t="shared" si="7"/>
        <v>0.004557291667</v>
      </c>
      <c r="AA17" s="879">
        <f t="shared" si="7"/>
        <v>0.004246284501</v>
      </c>
      <c r="AB17" s="879">
        <f t="shared" si="7"/>
        <v>0.009096077317</v>
      </c>
      <c r="AC17" s="879">
        <f t="shared" si="7"/>
        <v>0.01591289782</v>
      </c>
      <c r="AD17" s="879">
        <f t="shared" si="7"/>
        <v>0.009852216749</v>
      </c>
      <c r="AE17" s="879">
        <f t="shared" si="7"/>
        <v>0.01546391753</v>
      </c>
    </row>
    <row r="18">
      <c r="A18" s="883" t="s">
        <v>1020</v>
      </c>
      <c r="B18" s="879">
        <f t="shared" ref="B18:AE18" si="8">iferror(B8/B$10,"")</f>
        <v>0.0724137931</v>
      </c>
      <c r="C18" s="879">
        <f t="shared" si="8"/>
        <v>0.05295950156</v>
      </c>
      <c r="D18" s="879">
        <f t="shared" si="8"/>
        <v>0.05847953216</v>
      </c>
      <c r="E18" s="879">
        <f t="shared" si="8"/>
        <v>0.05956112853</v>
      </c>
      <c r="F18" s="879">
        <f t="shared" si="8"/>
        <v>0.03457446809</v>
      </c>
      <c r="G18" s="879">
        <f t="shared" si="8"/>
        <v>0.04166666667</v>
      </c>
      <c r="H18" s="879">
        <f t="shared" si="8"/>
        <v>0.05588235294</v>
      </c>
      <c r="I18" s="879">
        <f t="shared" si="8"/>
        <v>0.07033639144</v>
      </c>
      <c r="J18" s="879">
        <f t="shared" si="8"/>
        <v>0.06963788301</v>
      </c>
      <c r="K18" s="879">
        <f t="shared" si="8"/>
        <v>0.08943089431</v>
      </c>
      <c r="L18" s="879">
        <f t="shared" si="8"/>
        <v>0.06140350877</v>
      </c>
      <c r="M18" s="879">
        <f t="shared" si="8"/>
        <v>0.05311778291</v>
      </c>
      <c r="N18" s="879">
        <f t="shared" si="8"/>
        <v>0.05898876404</v>
      </c>
      <c r="O18" s="879">
        <f t="shared" si="8"/>
        <v>0.05518763797</v>
      </c>
      <c r="P18" s="879">
        <f t="shared" si="8"/>
        <v>0.07631578947</v>
      </c>
      <c r="Q18" s="879">
        <f t="shared" si="8"/>
        <v>0.08238636364</v>
      </c>
      <c r="R18" s="879">
        <f t="shared" si="8"/>
        <v>0.05729166667</v>
      </c>
      <c r="S18" s="879">
        <f t="shared" si="8"/>
        <v>0.07826086957</v>
      </c>
      <c r="T18" s="879">
        <f t="shared" si="8"/>
        <v>0.07112068966</v>
      </c>
      <c r="U18" s="879">
        <f t="shared" si="8"/>
        <v>0.06734693878</v>
      </c>
      <c r="V18" s="879">
        <f t="shared" si="8"/>
        <v>0.08477842004</v>
      </c>
      <c r="W18" s="879">
        <f t="shared" si="8"/>
        <v>0.07918263091</v>
      </c>
      <c r="X18" s="879">
        <f t="shared" si="8"/>
        <v>0.07857142857</v>
      </c>
      <c r="Y18" s="879">
        <f t="shared" si="8"/>
        <v>0.07434640523</v>
      </c>
      <c r="Z18" s="879">
        <f t="shared" si="8"/>
        <v>0.08072916667</v>
      </c>
      <c r="AA18" s="879">
        <f t="shared" si="8"/>
        <v>0.09554140127</v>
      </c>
      <c r="AB18" s="879">
        <f t="shared" si="8"/>
        <v>0.08698123934</v>
      </c>
      <c r="AC18" s="879">
        <f t="shared" si="8"/>
        <v>0.08542713568</v>
      </c>
      <c r="AD18" s="879">
        <f t="shared" si="8"/>
        <v>0.1083743842</v>
      </c>
      <c r="AE18" s="879">
        <f t="shared" si="8"/>
        <v>0.1391752577</v>
      </c>
    </row>
    <row r="19">
      <c r="A19" s="884" t="s">
        <v>1024</v>
      </c>
      <c r="B19" s="879">
        <f t="shared" ref="B19:AE19" si="9">iferror(B9/B$10,"")</f>
        <v>0.003448275862</v>
      </c>
      <c r="C19" s="879">
        <f t="shared" si="9"/>
        <v>0.003115264798</v>
      </c>
      <c r="D19" s="879">
        <f t="shared" si="9"/>
        <v>0</v>
      </c>
      <c r="E19" s="879">
        <f t="shared" si="9"/>
        <v>0</v>
      </c>
      <c r="F19" s="879">
        <f t="shared" si="9"/>
        <v>0.005319148936</v>
      </c>
      <c r="G19" s="879">
        <f t="shared" si="9"/>
        <v>0.002777777778</v>
      </c>
      <c r="H19" s="879">
        <f t="shared" si="9"/>
        <v>0.008823529412</v>
      </c>
      <c r="I19" s="879">
        <f t="shared" si="9"/>
        <v>0.006116207951</v>
      </c>
      <c r="J19" s="879">
        <f t="shared" si="9"/>
        <v>0.00278551532</v>
      </c>
      <c r="K19" s="879">
        <f t="shared" si="9"/>
        <v>0</v>
      </c>
      <c r="L19" s="879">
        <f t="shared" si="9"/>
        <v>0.004385964912</v>
      </c>
      <c r="M19" s="879">
        <f t="shared" si="9"/>
        <v>0</v>
      </c>
      <c r="N19" s="879">
        <f t="shared" si="9"/>
        <v>0.005617977528</v>
      </c>
      <c r="O19" s="879">
        <f t="shared" si="9"/>
        <v>0</v>
      </c>
      <c r="P19" s="879">
        <f t="shared" si="9"/>
        <v>0</v>
      </c>
      <c r="Q19" s="879">
        <f t="shared" si="9"/>
        <v>0.002840909091</v>
      </c>
      <c r="R19" s="879">
        <f t="shared" si="9"/>
        <v>0</v>
      </c>
      <c r="S19" s="879">
        <f t="shared" si="9"/>
        <v>0.002173913043</v>
      </c>
      <c r="T19" s="879">
        <f t="shared" si="9"/>
        <v>0.002155172414</v>
      </c>
      <c r="U19" s="879">
        <f t="shared" si="9"/>
        <v>0</v>
      </c>
      <c r="V19" s="879">
        <f t="shared" si="9"/>
        <v>0.001926782274</v>
      </c>
      <c r="W19" s="879">
        <f t="shared" si="9"/>
        <v>0.002554278416</v>
      </c>
      <c r="X19" s="879">
        <f t="shared" si="9"/>
        <v>0.003571428571</v>
      </c>
      <c r="Y19" s="879">
        <f t="shared" si="9"/>
        <v>0.001633986928</v>
      </c>
      <c r="Z19" s="879">
        <f t="shared" si="9"/>
        <v>0.001953125</v>
      </c>
      <c r="AA19" s="879">
        <f t="shared" si="9"/>
        <v>0.004246284501</v>
      </c>
      <c r="AB19" s="879">
        <f t="shared" si="9"/>
        <v>0.005116543491</v>
      </c>
      <c r="AC19" s="879">
        <f t="shared" si="9"/>
        <v>0.002512562814</v>
      </c>
      <c r="AD19" s="879">
        <f t="shared" si="9"/>
        <v>0</v>
      </c>
      <c r="AE19" s="879">
        <f t="shared" si="9"/>
        <v>0</v>
      </c>
    </row>
    <row r="20">
      <c r="A20" s="869"/>
      <c r="B20" s="885"/>
      <c r="C20" s="885"/>
      <c r="D20" s="885"/>
      <c r="E20" s="885"/>
      <c r="F20" s="885"/>
      <c r="G20" s="885"/>
      <c r="H20" s="885"/>
      <c r="I20" s="885"/>
      <c r="J20" s="885"/>
      <c r="K20" s="885"/>
      <c r="L20" s="885"/>
      <c r="M20" s="885"/>
      <c r="N20" s="885"/>
      <c r="O20" s="885"/>
      <c r="P20" s="885"/>
      <c r="Q20" s="885"/>
      <c r="R20" s="885"/>
      <c r="S20" s="885"/>
      <c r="T20" s="885"/>
      <c r="U20" s="885"/>
      <c r="V20" s="885"/>
      <c r="W20" s="885"/>
      <c r="X20" s="885"/>
      <c r="Y20" s="885"/>
      <c r="Z20" s="885"/>
      <c r="AA20" s="885"/>
      <c r="AB20" s="885"/>
      <c r="AC20" s="885"/>
      <c r="AD20" s="885"/>
      <c r="AE20" s="885"/>
    </row>
    <row r="21">
      <c r="A21" s="869"/>
      <c r="B21" s="886"/>
      <c r="C21" s="886"/>
      <c r="D21" s="886"/>
      <c r="E21" s="886"/>
      <c r="F21" s="886"/>
      <c r="G21" s="886"/>
      <c r="H21" s="886"/>
      <c r="I21" s="886"/>
      <c r="J21" s="886"/>
      <c r="K21" s="886"/>
      <c r="L21" s="886"/>
      <c r="M21" s="886"/>
      <c r="N21" s="886"/>
      <c r="O21" s="886"/>
      <c r="P21" s="886"/>
      <c r="Q21" s="886"/>
      <c r="R21" s="886"/>
      <c r="S21" s="886"/>
      <c r="T21" s="886"/>
      <c r="U21" s="886"/>
      <c r="V21" s="886"/>
      <c r="W21" s="886"/>
      <c r="X21" s="886"/>
      <c r="Y21" s="886"/>
      <c r="Z21" s="886"/>
      <c r="AA21" s="886"/>
      <c r="AB21" s="886"/>
      <c r="AC21" s="886"/>
      <c r="AD21" s="886"/>
      <c r="AE21" s="886"/>
    </row>
    <row r="22">
      <c r="A22" s="887" t="s">
        <v>1181</v>
      </c>
      <c r="B22" s="888">
        <v>45231.0</v>
      </c>
      <c r="C22" s="888">
        <v>45232.0</v>
      </c>
      <c r="D22" s="888">
        <v>45233.0</v>
      </c>
      <c r="E22" s="888">
        <v>45234.0</v>
      </c>
      <c r="F22" s="888">
        <v>45235.0</v>
      </c>
      <c r="G22" s="888">
        <v>45236.0</v>
      </c>
      <c r="H22" s="888">
        <v>45237.0</v>
      </c>
      <c r="I22" s="888">
        <v>45238.0</v>
      </c>
      <c r="J22" s="888">
        <v>45239.0</v>
      </c>
      <c r="K22" s="888">
        <v>45240.0</v>
      </c>
      <c r="L22" s="888">
        <v>45241.0</v>
      </c>
      <c r="M22" s="888">
        <v>45242.0</v>
      </c>
      <c r="N22" s="888">
        <v>45243.0</v>
      </c>
      <c r="O22" s="888">
        <v>45244.0</v>
      </c>
      <c r="P22" s="888">
        <v>45245.0</v>
      </c>
      <c r="Q22" s="888">
        <v>45246.0</v>
      </c>
      <c r="R22" s="888">
        <v>45247.0</v>
      </c>
      <c r="S22" s="888">
        <v>45248.0</v>
      </c>
      <c r="T22" s="888">
        <v>45249.0</v>
      </c>
      <c r="U22" s="888">
        <v>45250.0</v>
      </c>
      <c r="V22" s="888">
        <v>45251.0</v>
      </c>
      <c r="W22" s="888">
        <v>45252.0</v>
      </c>
      <c r="X22" s="888">
        <v>45253.0</v>
      </c>
      <c r="Y22" s="888">
        <v>45254.0</v>
      </c>
      <c r="Z22" s="888">
        <v>45255.0</v>
      </c>
      <c r="AA22" s="888">
        <v>45256.0</v>
      </c>
      <c r="AB22" s="888">
        <v>45257.0</v>
      </c>
      <c r="AC22" s="888">
        <v>45258.0</v>
      </c>
      <c r="AD22" s="888">
        <v>45259.0</v>
      </c>
      <c r="AE22" s="888">
        <v>45260.0</v>
      </c>
    </row>
    <row r="23">
      <c r="A23" s="863" t="s">
        <v>987</v>
      </c>
      <c r="B23" s="864">
        <v>142.0</v>
      </c>
      <c r="C23" s="864">
        <v>141.0</v>
      </c>
      <c r="D23" s="864">
        <v>155.0</v>
      </c>
      <c r="E23" s="864">
        <v>149.0</v>
      </c>
      <c r="F23" s="864">
        <v>202.0</v>
      </c>
      <c r="G23" s="864">
        <v>185.0</v>
      </c>
      <c r="H23" s="864">
        <v>162.0</v>
      </c>
      <c r="I23" s="864">
        <v>152.0</v>
      </c>
      <c r="J23" s="864">
        <v>164.0</v>
      </c>
      <c r="K23" s="864">
        <v>183.0</v>
      </c>
      <c r="L23" s="864">
        <v>176.0</v>
      </c>
      <c r="M23" s="864">
        <v>181.0</v>
      </c>
      <c r="N23" s="866">
        <v>146.0</v>
      </c>
      <c r="O23" s="866">
        <v>181.0</v>
      </c>
      <c r="P23" s="866">
        <v>161.0</v>
      </c>
      <c r="Q23" s="866">
        <v>183.0</v>
      </c>
      <c r="R23" s="866">
        <v>177.0</v>
      </c>
      <c r="S23" s="866">
        <v>223.0</v>
      </c>
      <c r="T23" s="866">
        <v>213.0</v>
      </c>
      <c r="U23" s="864">
        <v>222.0</v>
      </c>
      <c r="V23" s="864">
        <v>220.0</v>
      </c>
      <c r="W23" s="864">
        <v>318.0</v>
      </c>
      <c r="X23" s="864">
        <v>365.0</v>
      </c>
      <c r="Y23" s="866">
        <v>1118.0</v>
      </c>
      <c r="Z23" s="866">
        <v>700.0</v>
      </c>
      <c r="AA23" s="866">
        <v>215.0</v>
      </c>
      <c r="AB23" s="866">
        <v>747.0</v>
      </c>
      <c r="AC23" s="866">
        <v>522.0</v>
      </c>
      <c r="AD23" s="866">
        <v>78.0</v>
      </c>
      <c r="AE23" s="866">
        <v>57.0</v>
      </c>
    </row>
    <row r="24">
      <c r="A24" s="889" t="s">
        <v>993</v>
      </c>
      <c r="B24" s="866">
        <v>8.0</v>
      </c>
      <c r="C24" s="866">
        <v>8.0</v>
      </c>
      <c r="D24" s="866">
        <v>8.0</v>
      </c>
      <c r="E24" s="866">
        <v>11.0</v>
      </c>
      <c r="F24" s="866">
        <v>6.0</v>
      </c>
      <c r="G24" s="866">
        <v>10.0</v>
      </c>
      <c r="H24" s="866">
        <v>6.0</v>
      </c>
      <c r="I24" s="866">
        <v>6.0</v>
      </c>
      <c r="J24" s="866">
        <v>10.0</v>
      </c>
      <c r="K24" s="866">
        <v>7.0</v>
      </c>
      <c r="L24" s="866">
        <v>12.0</v>
      </c>
      <c r="M24" s="890">
        <v>6.0</v>
      </c>
      <c r="N24" s="866">
        <v>9.0</v>
      </c>
      <c r="O24" s="866">
        <v>10.0</v>
      </c>
      <c r="P24" s="866">
        <v>12.0</v>
      </c>
      <c r="Q24" s="866">
        <v>9.0</v>
      </c>
      <c r="R24" s="866">
        <v>10.0</v>
      </c>
      <c r="S24" s="866">
        <v>16.0</v>
      </c>
      <c r="T24" s="866">
        <v>7.0</v>
      </c>
      <c r="U24" s="866">
        <v>14.0</v>
      </c>
      <c r="V24" s="866">
        <v>21.0</v>
      </c>
      <c r="W24" s="866">
        <v>25.0</v>
      </c>
      <c r="X24" s="866">
        <v>35.0</v>
      </c>
      <c r="Y24" s="866">
        <v>61.0</v>
      </c>
      <c r="Z24" s="866">
        <v>46.0</v>
      </c>
      <c r="AA24" s="866">
        <v>19.0</v>
      </c>
      <c r="AB24" s="866">
        <v>63.0</v>
      </c>
      <c r="AC24" s="866">
        <v>36.0</v>
      </c>
      <c r="AD24" s="866">
        <v>2.0</v>
      </c>
      <c r="AE24" s="866">
        <v>3.0</v>
      </c>
    </row>
    <row r="25">
      <c r="A25" s="891" t="s">
        <v>997</v>
      </c>
      <c r="B25" s="892">
        <v>13.0</v>
      </c>
      <c r="C25" s="892">
        <v>12.0</v>
      </c>
      <c r="D25" s="892">
        <v>23.0</v>
      </c>
      <c r="E25" s="892">
        <v>15.0</v>
      </c>
      <c r="F25" s="892">
        <v>20.0</v>
      </c>
      <c r="G25" s="892">
        <v>17.0</v>
      </c>
      <c r="H25" s="892">
        <v>20.0</v>
      </c>
      <c r="I25" s="892">
        <v>20.0</v>
      </c>
      <c r="J25" s="892">
        <v>12.0</v>
      </c>
      <c r="K25" s="892">
        <v>14.0</v>
      </c>
      <c r="L25" s="892">
        <v>16.0</v>
      </c>
      <c r="M25" s="893">
        <v>19.0</v>
      </c>
      <c r="N25" s="892">
        <v>13.0</v>
      </c>
      <c r="O25" s="892">
        <v>20.0</v>
      </c>
      <c r="P25" s="892">
        <v>12.0</v>
      </c>
      <c r="Q25" s="892">
        <v>12.0</v>
      </c>
      <c r="R25" s="892">
        <v>20.0</v>
      </c>
      <c r="S25" s="892">
        <v>16.0</v>
      </c>
      <c r="T25" s="892">
        <v>16.0</v>
      </c>
      <c r="U25" s="892">
        <v>17.0</v>
      </c>
      <c r="V25" s="892">
        <v>25.0</v>
      </c>
      <c r="W25" s="892">
        <v>52.0</v>
      </c>
      <c r="X25" s="892">
        <v>33.0</v>
      </c>
      <c r="Y25" s="892">
        <v>95.0</v>
      </c>
      <c r="Z25" s="892">
        <v>54.0</v>
      </c>
      <c r="AA25" s="892">
        <v>10.0</v>
      </c>
      <c r="AB25" s="892">
        <v>57.0</v>
      </c>
      <c r="AC25" s="892">
        <v>40.0</v>
      </c>
      <c r="AD25" s="892">
        <v>6.0</v>
      </c>
      <c r="AE25" s="892">
        <v>6.0</v>
      </c>
    </row>
    <row r="26">
      <c r="A26" s="894" t="s">
        <v>1164</v>
      </c>
      <c r="B26" s="872">
        <f t="shared" ref="B26:AE26" si="10">SUM(B23:B25)</f>
        <v>163</v>
      </c>
      <c r="C26" s="872">
        <f t="shared" si="10"/>
        <v>161</v>
      </c>
      <c r="D26" s="872">
        <f t="shared" si="10"/>
        <v>186</v>
      </c>
      <c r="E26" s="872">
        <f t="shared" si="10"/>
        <v>175</v>
      </c>
      <c r="F26" s="872">
        <f t="shared" si="10"/>
        <v>228</v>
      </c>
      <c r="G26" s="872">
        <f t="shared" si="10"/>
        <v>212</v>
      </c>
      <c r="H26" s="872">
        <f t="shared" si="10"/>
        <v>188</v>
      </c>
      <c r="I26" s="872">
        <f t="shared" si="10"/>
        <v>178</v>
      </c>
      <c r="J26" s="872">
        <f t="shared" si="10"/>
        <v>186</v>
      </c>
      <c r="K26" s="872">
        <f t="shared" si="10"/>
        <v>204</v>
      </c>
      <c r="L26" s="872">
        <f t="shared" si="10"/>
        <v>204</v>
      </c>
      <c r="M26" s="872">
        <f t="shared" si="10"/>
        <v>206</v>
      </c>
      <c r="N26" s="872">
        <f t="shared" si="10"/>
        <v>168</v>
      </c>
      <c r="O26" s="872">
        <f t="shared" si="10"/>
        <v>211</v>
      </c>
      <c r="P26" s="872">
        <f t="shared" si="10"/>
        <v>185</v>
      </c>
      <c r="Q26" s="872">
        <f t="shared" si="10"/>
        <v>204</v>
      </c>
      <c r="R26" s="872">
        <f t="shared" si="10"/>
        <v>207</v>
      </c>
      <c r="S26" s="872">
        <f t="shared" si="10"/>
        <v>255</v>
      </c>
      <c r="T26" s="872">
        <f t="shared" si="10"/>
        <v>236</v>
      </c>
      <c r="U26" s="872">
        <f t="shared" si="10"/>
        <v>253</v>
      </c>
      <c r="V26" s="872">
        <f t="shared" si="10"/>
        <v>266</v>
      </c>
      <c r="W26" s="872">
        <f t="shared" si="10"/>
        <v>395</v>
      </c>
      <c r="X26" s="872">
        <f t="shared" si="10"/>
        <v>433</v>
      </c>
      <c r="Y26" s="872">
        <f t="shared" si="10"/>
        <v>1274</v>
      </c>
      <c r="Z26" s="872">
        <f t="shared" si="10"/>
        <v>800</v>
      </c>
      <c r="AA26" s="872">
        <f t="shared" si="10"/>
        <v>244</v>
      </c>
      <c r="AB26" s="872">
        <f t="shared" si="10"/>
        <v>867</v>
      </c>
      <c r="AC26" s="872">
        <f t="shared" si="10"/>
        <v>598</v>
      </c>
      <c r="AD26" s="872">
        <f t="shared" si="10"/>
        <v>86</v>
      </c>
      <c r="AE26" s="872">
        <f t="shared" si="10"/>
        <v>66</v>
      </c>
    </row>
    <row r="27">
      <c r="A27" s="875" t="s">
        <v>1187</v>
      </c>
      <c r="B27" s="876">
        <v>45231.0</v>
      </c>
      <c r="C27" s="876">
        <v>45232.0</v>
      </c>
      <c r="D27" s="876">
        <v>45233.0</v>
      </c>
      <c r="E27" s="876">
        <v>45234.0</v>
      </c>
      <c r="F27" s="876">
        <v>45235.0</v>
      </c>
      <c r="G27" s="876">
        <v>45236.0</v>
      </c>
      <c r="H27" s="876">
        <v>45237.0</v>
      </c>
      <c r="I27" s="876">
        <v>45238.0</v>
      </c>
      <c r="J27" s="876">
        <v>45239.0</v>
      </c>
      <c r="K27" s="876">
        <v>45240.0</v>
      </c>
      <c r="L27" s="876">
        <v>45241.0</v>
      </c>
      <c r="M27" s="876">
        <v>45242.0</v>
      </c>
      <c r="N27" s="876">
        <v>45243.0</v>
      </c>
      <c r="O27" s="876">
        <v>45244.0</v>
      </c>
      <c r="P27" s="876">
        <v>45245.0</v>
      </c>
      <c r="Q27" s="876">
        <v>45246.0</v>
      </c>
      <c r="R27" s="876">
        <v>45247.0</v>
      </c>
      <c r="S27" s="876">
        <v>45248.0</v>
      </c>
      <c r="T27" s="876">
        <v>45249.0</v>
      </c>
      <c r="U27" s="876">
        <v>45250.0</v>
      </c>
      <c r="V27" s="876">
        <v>45251.0</v>
      </c>
      <c r="W27" s="876">
        <v>45252.0</v>
      </c>
      <c r="X27" s="876">
        <v>45253.0</v>
      </c>
      <c r="Y27" s="876">
        <v>45254.0</v>
      </c>
      <c r="Z27" s="876">
        <v>45255.0</v>
      </c>
      <c r="AA27" s="876">
        <v>45256.0</v>
      </c>
      <c r="AB27" s="876">
        <v>45257.0</v>
      </c>
      <c r="AC27" s="876">
        <v>45258.0</v>
      </c>
      <c r="AD27" s="876">
        <v>45259.0</v>
      </c>
      <c r="AE27" s="876">
        <v>45260.0</v>
      </c>
    </row>
    <row r="28">
      <c r="A28" s="896" t="s">
        <v>987</v>
      </c>
      <c r="B28" s="879">
        <f t="shared" ref="B28:AE28" si="11">iferror(B23/B$26,"")</f>
        <v>0.8711656442</v>
      </c>
      <c r="C28" s="879">
        <f t="shared" si="11"/>
        <v>0.8757763975</v>
      </c>
      <c r="D28" s="879">
        <f t="shared" si="11"/>
        <v>0.8333333333</v>
      </c>
      <c r="E28" s="879">
        <f t="shared" si="11"/>
        <v>0.8514285714</v>
      </c>
      <c r="F28" s="879">
        <f t="shared" si="11"/>
        <v>0.8859649123</v>
      </c>
      <c r="G28" s="879">
        <f t="shared" si="11"/>
        <v>0.8726415094</v>
      </c>
      <c r="H28" s="879">
        <f t="shared" si="11"/>
        <v>0.8617021277</v>
      </c>
      <c r="I28" s="879">
        <f t="shared" si="11"/>
        <v>0.8539325843</v>
      </c>
      <c r="J28" s="879">
        <f t="shared" si="11"/>
        <v>0.8817204301</v>
      </c>
      <c r="K28" s="879">
        <f t="shared" si="11"/>
        <v>0.8970588235</v>
      </c>
      <c r="L28" s="879">
        <f t="shared" si="11"/>
        <v>0.862745098</v>
      </c>
      <c r="M28" s="879">
        <f t="shared" si="11"/>
        <v>0.8786407767</v>
      </c>
      <c r="N28" s="879">
        <f t="shared" si="11"/>
        <v>0.869047619</v>
      </c>
      <c r="O28" s="879">
        <f t="shared" si="11"/>
        <v>0.8578199052</v>
      </c>
      <c r="P28" s="879">
        <f t="shared" si="11"/>
        <v>0.8702702703</v>
      </c>
      <c r="Q28" s="879">
        <f t="shared" si="11"/>
        <v>0.8970588235</v>
      </c>
      <c r="R28" s="879">
        <f t="shared" si="11"/>
        <v>0.8550724638</v>
      </c>
      <c r="S28" s="879">
        <f t="shared" si="11"/>
        <v>0.8745098039</v>
      </c>
      <c r="T28" s="879">
        <f t="shared" si="11"/>
        <v>0.9025423729</v>
      </c>
      <c r="U28" s="879">
        <f t="shared" si="11"/>
        <v>0.8774703557</v>
      </c>
      <c r="V28" s="879">
        <f t="shared" si="11"/>
        <v>0.8270676692</v>
      </c>
      <c r="W28" s="879">
        <f t="shared" si="11"/>
        <v>0.8050632911</v>
      </c>
      <c r="X28" s="879">
        <f t="shared" si="11"/>
        <v>0.8429561201</v>
      </c>
      <c r="Y28" s="879">
        <f t="shared" si="11"/>
        <v>0.8775510204</v>
      </c>
      <c r="Z28" s="879">
        <f t="shared" si="11"/>
        <v>0.875</v>
      </c>
      <c r="AA28" s="879">
        <f t="shared" si="11"/>
        <v>0.881147541</v>
      </c>
      <c r="AB28" s="879">
        <f t="shared" si="11"/>
        <v>0.8615916955</v>
      </c>
      <c r="AC28" s="879">
        <f t="shared" si="11"/>
        <v>0.872909699</v>
      </c>
      <c r="AD28" s="879">
        <f t="shared" si="11"/>
        <v>0.9069767442</v>
      </c>
      <c r="AE28" s="879">
        <f t="shared" si="11"/>
        <v>0.8636363636</v>
      </c>
    </row>
    <row r="29">
      <c r="A29" s="878" t="s">
        <v>993</v>
      </c>
      <c r="B29" s="879">
        <f t="shared" ref="B29:AE29" si="12">iferror(B24/B$26,"")</f>
        <v>0.0490797546</v>
      </c>
      <c r="C29" s="879">
        <f t="shared" si="12"/>
        <v>0.04968944099</v>
      </c>
      <c r="D29" s="879">
        <f t="shared" si="12"/>
        <v>0.04301075269</v>
      </c>
      <c r="E29" s="879">
        <f t="shared" si="12"/>
        <v>0.06285714286</v>
      </c>
      <c r="F29" s="879">
        <f t="shared" si="12"/>
        <v>0.02631578947</v>
      </c>
      <c r="G29" s="879">
        <f t="shared" si="12"/>
        <v>0.04716981132</v>
      </c>
      <c r="H29" s="879">
        <f t="shared" si="12"/>
        <v>0.03191489362</v>
      </c>
      <c r="I29" s="879">
        <f t="shared" si="12"/>
        <v>0.03370786517</v>
      </c>
      <c r="J29" s="879">
        <f t="shared" si="12"/>
        <v>0.05376344086</v>
      </c>
      <c r="K29" s="879">
        <f t="shared" si="12"/>
        <v>0.03431372549</v>
      </c>
      <c r="L29" s="879">
        <f t="shared" si="12"/>
        <v>0.05882352941</v>
      </c>
      <c r="M29" s="879">
        <f t="shared" si="12"/>
        <v>0.02912621359</v>
      </c>
      <c r="N29" s="879">
        <f t="shared" si="12"/>
        <v>0.05357142857</v>
      </c>
      <c r="O29" s="879">
        <f t="shared" si="12"/>
        <v>0.04739336493</v>
      </c>
      <c r="P29" s="879">
        <f t="shared" si="12"/>
        <v>0.06486486486</v>
      </c>
      <c r="Q29" s="879">
        <f t="shared" si="12"/>
        <v>0.04411764706</v>
      </c>
      <c r="R29" s="879">
        <f t="shared" si="12"/>
        <v>0.04830917874</v>
      </c>
      <c r="S29" s="879">
        <f t="shared" si="12"/>
        <v>0.06274509804</v>
      </c>
      <c r="T29" s="879">
        <f t="shared" si="12"/>
        <v>0.02966101695</v>
      </c>
      <c r="U29" s="879">
        <f t="shared" si="12"/>
        <v>0.05533596838</v>
      </c>
      <c r="V29" s="879">
        <f t="shared" si="12"/>
        <v>0.07894736842</v>
      </c>
      <c r="W29" s="879">
        <f t="shared" si="12"/>
        <v>0.06329113924</v>
      </c>
      <c r="X29" s="879">
        <f t="shared" si="12"/>
        <v>0.08083140878</v>
      </c>
      <c r="Y29" s="879">
        <f t="shared" si="12"/>
        <v>0.04788069074</v>
      </c>
      <c r="Z29" s="879">
        <f t="shared" si="12"/>
        <v>0.0575</v>
      </c>
      <c r="AA29" s="879">
        <f t="shared" si="12"/>
        <v>0.07786885246</v>
      </c>
      <c r="AB29" s="879">
        <f t="shared" si="12"/>
        <v>0.07266435986</v>
      </c>
      <c r="AC29" s="879">
        <f t="shared" si="12"/>
        <v>0.0602006689</v>
      </c>
      <c r="AD29" s="879">
        <f t="shared" si="12"/>
        <v>0.02325581395</v>
      </c>
      <c r="AE29" s="879">
        <f t="shared" si="12"/>
        <v>0.04545454545</v>
      </c>
    </row>
    <row r="30">
      <c r="A30" s="897" t="s">
        <v>997</v>
      </c>
      <c r="B30" s="898">
        <f t="shared" ref="B30:AE30" si="13">iferror(B25/B$26,"")</f>
        <v>0.07975460123</v>
      </c>
      <c r="C30" s="898">
        <f t="shared" si="13"/>
        <v>0.07453416149</v>
      </c>
      <c r="D30" s="898">
        <f t="shared" si="13"/>
        <v>0.123655914</v>
      </c>
      <c r="E30" s="898">
        <f t="shared" si="13"/>
        <v>0.08571428571</v>
      </c>
      <c r="F30" s="898">
        <f t="shared" si="13"/>
        <v>0.08771929825</v>
      </c>
      <c r="G30" s="898">
        <f t="shared" si="13"/>
        <v>0.08018867925</v>
      </c>
      <c r="H30" s="898">
        <f t="shared" si="13"/>
        <v>0.1063829787</v>
      </c>
      <c r="I30" s="898">
        <f t="shared" si="13"/>
        <v>0.1123595506</v>
      </c>
      <c r="J30" s="898">
        <f t="shared" si="13"/>
        <v>0.06451612903</v>
      </c>
      <c r="K30" s="898">
        <f t="shared" si="13"/>
        <v>0.06862745098</v>
      </c>
      <c r="L30" s="898">
        <f t="shared" si="13"/>
        <v>0.07843137255</v>
      </c>
      <c r="M30" s="898">
        <f t="shared" si="13"/>
        <v>0.09223300971</v>
      </c>
      <c r="N30" s="898">
        <f t="shared" si="13"/>
        <v>0.07738095238</v>
      </c>
      <c r="O30" s="898">
        <f t="shared" si="13"/>
        <v>0.09478672986</v>
      </c>
      <c r="P30" s="898">
        <f t="shared" si="13"/>
        <v>0.06486486486</v>
      </c>
      <c r="Q30" s="898">
        <f t="shared" si="13"/>
        <v>0.05882352941</v>
      </c>
      <c r="R30" s="898">
        <f t="shared" si="13"/>
        <v>0.09661835749</v>
      </c>
      <c r="S30" s="898">
        <f t="shared" si="13"/>
        <v>0.06274509804</v>
      </c>
      <c r="T30" s="898">
        <f t="shared" si="13"/>
        <v>0.06779661017</v>
      </c>
      <c r="U30" s="898">
        <f t="shared" si="13"/>
        <v>0.06719367589</v>
      </c>
      <c r="V30" s="898">
        <f t="shared" si="13"/>
        <v>0.09398496241</v>
      </c>
      <c r="W30" s="898">
        <f t="shared" si="13"/>
        <v>0.1316455696</v>
      </c>
      <c r="X30" s="898">
        <f t="shared" si="13"/>
        <v>0.07621247113</v>
      </c>
      <c r="Y30" s="898">
        <f t="shared" si="13"/>
        <v>0.07456828885</v>
      </c>
      <c r="Z30" s="898">
        <f t="shared" si="13"/>
        <v>0.0675</v>
      </c>
      <c r="AA30" s="898">
        <f t="shared" si="13"/>
        <v>0.04098360656</v>
      </c>
      <c r="AB30" s="898">
        <f t="shared" si="13"/>
        <v>0.06574394464</v>
      </c>
      <c r="AC30" s="898">
        <f t="shared" si="13"/>
        <v>0.06688963211</v>
      </c>
      <c r="AD30" s="898">
        <f t="shared" si="13"/>
        <v>0.06976744186</v>
      </c>
      <c r="AE30" s="898">
        <f t="shared" si="13"/>
        <v>0.09090909091</v>
      </c>
    </row>
    <row r="31">
      <c r="B31" s="899"/>
      <c r="C31" s="899"/>
      <c r="D31" s="899"/>
      <c r="E31" s="899"/>
      <c r="F31" s="899"/>
      <c r="G31" s="899"/>
      <c r="H31" s="899"/>
      <c r="I31" s="899"/>
      <c r="J31" s="899"/>
      <c r="K31" s="899"/>
      <c r="L31" s="899"/>
      <c r="M31" s="899"/>
      <c r="N31" s="899"/>
      <c r="O31" s="899"/>
      <c r="P31" s="899"/>
      <c r="Q31" s="899"/>
      <c r="R31" s="899"/>
      <c r="S31" s="899"/>
      <c r="T31" s="899"/>
      <c r="U31" s="899"/>
      <c r="V31" s="899"/>
      <c r="W31" s="899"/>
      <c r="X31" s="899"/>
      <c r="Y31" s="899"/>
      <c r="Z31" s="899"/>
      <c r="AA31" s="899"/>
      <c r="AB31" s="899"/>
      <c r="AC31" s="899"/>
      <c r="AD31" s="899"/>
      <c r="AE31" s="899"/>
    </row>
    <row r="32">
      <c r="B32" s="899"/>
      <c r="C32" s="899"/>
      <c r="D32" s="899"/>
      <c r="E32" s="899"/>
      <c r="F32" s="899"/>
      <c r="G32" s="899"/>
      <c r="H32" s="899"/>
      <c r="I32" s="899"/>
      <c r="J32" s="899"/>
      <c r="K32" s="899"/>
      <c r="L32" s="899"/>
      <c r="M32" s="899"/>
      <c r="N32" s="899"/>
      <c r="O32" s="899"/>
      <c r="P32" s="899"/>
      <c r="Q32" s="899"/>
      <c r="R32" s="899"/>
      <c r="S32" s="899"/>
      <c r="T32" s="899"/>
      <c r="U32" s="899"/>
      <c r="V32" s="899"/>
      <c r="W32" s="899"/>
      <c r="X32" s="899"/>
      <c r="Y32" s="899"/>
      <c r="Z32" s="899"/>
      <c r="AA32" s="899"/>
      <c r="AB32" s="899"/>
      <c r="AC32" s="899"/>
      <c r="AD32" s="899"/>
      <c r="AE32" s="899"/>
    </row>
    <row r="33">
      <c r="A33" s="900" t="s">
        <v>1039</v>
      </c>
      <c r="B33" s="901">
        <v>45231.0</v>
      </c>
      <c r="C33" s="901">
        <v>45232.0</v>
      </c>
      <c r="D33" s="901">
        <v>45233.0</v>
      </c>
      <c r="E33" s="901">
        <v>45234.0</v>
      </c>
      <c r="F33" s="901">
        <v>45235.0</v>
      </c>
      <c r="G33" s="901">
        <v>45236.0</v>
      </c>
      <c r="H33" s="901">
        <v>45237.0</v>
      </c>
      <c r="I33" s="901">
        <v>45238.0</v>
      </c>
      <c r="J33" s="901">
        <v>45239.0</v>
      </c>
      <c r="K33" s="901">
        <v>45240.0</v>
      </c>
      <c r="L33" s="901">
        <v>45241.0</v>
      </c>
      <c r="M33" s="901">
        <v>45242.0</v>
      </c>
      <c r="N33" s="901">
        <v>45243.0</v>
      </c>
      <c r="O33" s="901">
        <v>45244.0</v>
      </c>
      <c r="P33" s="901">
        <v>45245.0</v>
      </c>
      <c r="Q33" s="901">
        <v>45246.0</v>
      </c>
      <c r="R33" s="901">
        <v>45247.0</v>
      </c>
      <c r="S33" s="901">
        <v>45248.0</v>
      </c>
      <c r="T33" s="901">
        <v>45249.0</v>
      </c>
      <c r="U33" s="901">
        <v>45250.0</v>
      </c>
      <c r="V33" s="901">
        <v>45251.0</v>
      </c>
      <c r="W33" s="901">
        <v>45252.0</v>
      </c>
      <c r="X33" s="901">
        <v>45253.0</v>
      </c>
      <c r="Y33" s="901">
        <v>45254.0</v>
      </c>
      <c r="Z33" s="901">
        <v>45255.0</v>
      </c>
      <c r="AA33" s="901">
        <v>45256.0</v>
      </c>
      <c r="AB33" s="901">
        <v>45257.0</v>
      </c>
      <c r="AC33" s="901">
        <v>45258.0</v>
      </c>
      <c r="AD33" s="901">
        <v>45259.0</v>
      </c>
      <c r="AE33" s="901">
        <v>45260.0</v>
      </c>
    </row>
    <row r="34">
      <c r="A34" s="863" t="s">
        <v>1041</v>
      </c>
      <c r="B34" s="902"/>
      <c r="C34" s="902"/>
      <c r="D34" s="902"/>
      <c r="E34" s="902"/>
      <c r="F34" s="902"/>
      <c r="G34" s="902"/>
      <c r="H34" s="902"/>
      <c r="I34" s="902"/>
      <c r="J34" s="902"/>
      <c r="K34" s="902"/>
      <c r="L34" s="902"/>
      <c r="M34" s="902"/>
      <c r="N34" s="903"/>
      <c r="O34" s="903"/>
      <c r="P34" s="866">
        <v>20.0</v>
      </c>
      <c r="Q34" s="866">
        <v>26.0</v>
      </c>
      <c r="R34" s="866">
        <v>23.0</v>
      </c>
      <c r="S34" s="866">
        <v>24.0</v>
      </c>
      <c r="T34" s="866">
        <v>20.0</v>
      </c>
      <c r="U34" s="867">
        <v>23.0</v>
      </c>
      <c r="V34" s="867">
        <v>25.0</v>
      </c>
      <c r="W34" s="867">
        <v>55.0</v>
      </c>
      <c r="X34" s="867">
        <v>42.0</v>
      </c>
      <c r="Y34" s="866">
        <v>127.0</v>
      </c>
      <c r="Z34" s="866">
        <v>56.0</v>
      </c>
      <c r="AA34" s="866">
        <v>18.0</v>
      </c>
      <c r="AB34" s="866">
        <v>67.0</v>
      </c>
      <c r="AC34" s="866">
        <f t="shared" ref="AC34:AE34" si="14">AC39</f>
        <v>40</v>
      </c>
      <c r="AD34" s="866">
        <f t="shared" si="14"/>
        <v>7</v>
      </c>
      <c r="AE34" s="866">
        <f t="shared" si="14"/>
        <v>8</v>
      </c>
    </row>
    <row r="35" outlineLevel="1">
      <c r="A35" s="904" t="s">
        <v>1047</v>
      </c>
      <c r="B35" s="902"/>
      <c r="C35" s="902"/>
      <c r="D35" s="902"/>
      <c r="E35" s="902"/>
      <c r="F35" s="902"/>
      <c r="G35" s="902"/>
      <c r="H35" s="902"/>
      <c r="I35" s="902"/>
      <c r="J35" s="902"/>
      <c r="K35" s="902"/>
      <c r="L35" s="902"/>
      <c r="M35" s="902"/>
      <c r="N35" s="903"/>
      <c r="O35" s="903"/>
      <c r="P35" s="866"/>
      <c r="Q35" s="866"/>
      <c r="R35" s="866"/>
      <c r="S35" s="866"/>
      <c r="T35" s="866"/>
      <c r="U35" s="864"/>
      <c r="V35" s="864"/>
      <c r="W35" s="864"/>
      <c r="X35" s="864"/>
      <c r="Y35" s="866"/>
      <c r="Z35" s="866"/>
      <c r="AA35" s="866"/>
      <c r="AB35" s="866"/>
      <c r="AC35" s="866"/>
      <c r="AD35" s="866"/>
      <c r="AE35" s="866"/>
    </row>
    <row r="36" outlineLevel="1">
      <c r="A36" s="868" t="s">
        <v>1051</v>
      </c>
      <c r="B36" s="902"/>
      <c r="C36" s="902"/>
      <c r="D36" s="902"/>
      <c r="E36" s="902"/>
      <c r="F36" s="902"/>
      <c r="G36" s="902"/>
      <c r="H36" s="902"/>
      <c r="I36" s="902"/>
      <c r="J36" s="902"/>
      <c r="K36" s="902"/>
      <c r="L36" s="902"/>
      <c r="M36" s="902"/>
      <c r="N36" s="903"/>
      <c r="O36" s="903"/>
      <c r="P36" s="864">
        <v>8.0</v>
      </c>
      <c r="Q36" s="866">
        <v>5.0</v>
      </c>
      <c r="R36" s="866">
        <v>6.0</v>
      </c>
      <c r="S36" s="866">
        <v>5.0</v>
      </c>
      <c r="T36" s="866">
        <v>10.0</v>
      </c>
      <c r="U36" s="864">
        <v>3.0</v>
      </c>
      <c r="V36" s="864">
        <v>7.0</v>
      </c>
      <c r="W36" s="864">
        <v>18.0</v>
      </c>
      <c r="X36" s="864">
        <v>12.0</v>
      </c>
      <c r="Y36" s="866">
        <v>30.0</v>
      </c>
      <c r="Z36" s="866">
        <v>20.0</v>
      </c>
      <c r="AA36" s="866">
        <v>7.0</v>
      </c>
      <c r="AB36" s="866">
        <v>17.0</v>
      </c>
      <c r="AC36" s="866">
        <v>11.0</v>
      </c>
      <c r="AD36" s="866">
        <v>0.0</v>
      </c>
      <c r="AE36" s="866">
        <v>1.0</v>
      </c>
    </row>
    <row r="37" outlineLevel="1">
      <c r="A37" s="868" t="s">
        <v>1055</v>
      </c>
      <c r="B37" s="902"/>
      <c r="C37" s="902"/>
      <c r="D37" s="902"/>
      <c r="E37" s="902"/>
      <c r="F37" s="902"/>
      <c r="G37" s="902"/>
      <c r="H37" s="902"/>
      <c r="I37" s="902"/>
      <c r="J37" s="902"/>
      <c r="K37" s="902"/>
      <c r="L37" s="902"/>
      <c r="M37" s="902"/>
      <c r="N37" s="903"/>
      <c r="O37" s="903"/>
      <c r="P37" s="864">
        <v>4.0</v>
      </c>
      <c r="Q37" s="866">
        <v>9.0</v>
      </c>
      <c r="R37" s="866">
        <v>6.0</v>
      </c>
      <c r="S37" s="866">
        <v>9.0</v>
      </c>
      <c r="T37" s="866">
        <v>4.0</v>
      </c>
      <c r="U37" s="864">
        <v>7.0</v>
      </c>
      <c r="V37" s="864">
        <v>8.0</v>
      </c>
      <c r="W37" s="864">
        <v>21.0</v>
      </c>
      <c r="X37" s="864">
        <v>16.0</v>
      </c>
      <c r="Y37" s="866">
        <v>45.0</v>
      </c>
      <c r="Z37" s="866">
        <v>18.0</v>
      </c>
      <c r="AA37" s="866">
        <v>5.0</v>
      </c>
      <c r="AB37" s="866">
        <v>25.0</v>
      </c>
      <c r="AC37" s="866">
        <v>14.0</v>
      </c>
      <c r="AD37" s="866">
        <v>3.0</v>
      </c>
      <c r="AE37" s="866">
        <v>4.0</v>
      </c>
    </row>
    <row r="38" outlineLevel="1">
      <c r="A38" s="868" t="s">
        <v>1061</v>
      </c>
      <c r="B38" s="902"/>
      <c r="C38" s="902"/>
      <c r="D38" s="902"/>
      <c r="E38" s="902"/>
      <c r="F38" s="902"/>
      <c r="G38" s="902"/>
      <c r="H38" s="902"/>
      <c r="I38" s="902"/>
      <c r="J38" s="902"/>
      <c r="K38" s="902"/>
      <c r="L38" s="902"/>
      <c r="M38" s="902"/>
      <c r="N38" s="903"/>
      <c r="O38" s="903"/>
      <c r="P38" s="864">
        <v>8.0</v>
      </c>
      <c r="Q38" s="866">
        <v>12.0</v>
      </c>
      <c r="R38" s="866">
        <v>11.0</v>
      </c>
      <c r="S38" s="866">
        <v>10.0</v>
      </c>
      <c r="T38" s="866">
        <v>6.0</v>
      </c>
      <c r="U38" s="864">
        <v>13.0</v>
      </c>
      <c r="V38" s="864">
        <v>10.0</v>
      </c>
      <c r="W38" s="864">
        <v>18.0</v>
      </c>
      <c r="X38" s="864">
        <v>14.0</v>
      </c>
      <c r="Y38" s="866">
        <v>51.0</v>
      </c>
      <c r="Z38" s="866">
        <v>18.0</v>
      </c>
      <c r="AA38" s="866">
        <v>6.0</v>
      </c>
      <c r="AB38" s="866">
        <v>27.0</v>
      </c>
      <c r="AC38" s="866">
        <v>15.0</v>
      </c>
      <c r="AD38" s="866">
        <v>4.0</v>
      </c>
      <c r="AE38" s="866">
        <v>3.0</v>
      </c>
    </row>
    <row r="39" outlineLevel="1">
      <c r="A39" s="907" t="s">
        <v>1164</v>
      </c>
      <c r="B39" s="908">
        <f t="shared" ref="B39:AE39" si="15">SUM(B36:B38)</f>
        <v>0</v>
      </c>
      <c r="C39" s="908">
        <f t="shared" si="15"/>
        <v>0</v>
      </c>
      <c r="D39" s="908">
        <f t="shared" si="15"/>
        <v>0</v>
      </c>
      <c r="E39" s="908">
        <f t="shared" si="15"/>
        <v>0</v>
      </c>
      <c r="F39" s="908">
        <f t="shared" si="15"/>
        <v>0</v>
      </c>
      <c r="G39" s="908">
        <f t="shared" si="15"/>
        <v>0</v>
      </c>
      <c r="H39" s="908">
        <f t="shared" si="15"/>
        <v>0</v>
      </c>
      <c r="I39" s="908">
        <f t="shared" si="15"/>
        <v>0</v>
      </c>
      <c r="J39" s="908">
        <f t="shared" si="15"/>
        <v>0</v>
      </c>
      <c r="K39" s="908">
        <f t="shared" si="15"/>
        <v>0</v>
      </c>
      <c r="L39" s="908">
        <f t="shared" si="15"/>
        <v>0</v>
      </c>
      <c r="M39" s="908">
        <f t="shared" si="15"/>
        <v>0</v>
      </c>
      <c r="N39" s="908">
        <f t="shared" si="15"/>
        <v>0</v>
      </c>
      <c r="O39" s="908">
        <f t="shared" si="15"/>
        <v>0</v>
      </c>
      <c r="P39" s="908">
        <f t="shared" si="15"/>
        <v>20</v>
      </c>
      <c r="Q39" s="908">
        <f t="shared" si="15"/>
        <v>26</v>
      </c>
      <c r="R39" s="908">
        <f t="shared" si="15"/>
        <v>23</v>
      </c>
      <c r="S39" s="908">
        <f t="shared" si="15"/>
        <v>24</v>
      </c>
      <c r="T39" s="908">
        <f t="shared" si="15"/>
        <v>20</v>
      </c>
      <c r="U39" s="908">
        <f t="shared" si="15"/>
        <v>23</v>
      </c>
      <c r="V39" s="908">
        <f t="shared" si="15"/>
        <v>25</v>
      </c>
      <c r="W39" s="908">
        <f t="shared" si="15"/>
        <v>57</v>
      </c>
      <c r="X39" s="908">
        <f t="shared" si="15"/>
        <v>42</v>
      </c>
      <c r="Y39" s="908">
        <f t="shared" si="15"/>
        <v>126</v>
      </c>
      <c r="Z39" s="908">
        <f t="shared" si="15"/>
        <v>56</v>
      </c>
      <c r="AA39" s="908">
        <f t="shared" si="15"/>
        <v>18</v>
      </c>
      <c r="AB39" s="908">
        <f t="shared" si="15"/>
        <v>69</v>
      </c>
      <c r="AC39" s="908">
        <f t="shared" si="15"/>
        <v>40</v>
      </c>
      <c r="AD39" s="908">
        <f t="shared" si="15"/>
        <v>7</v>
      </c>
      <c r="AE39" s="908">
        <f t="shared" si="15"/>
        <v>8</v>
      </c>
    </row>
    <row r="40">
      <c r="A40" s="889" t="s">
        <v>1071</v>
      </c>
      <c r="B40" s="903"/>
      <c r="C40" s="903"/>
      <c r="D40" s="903"/>
      <c r="E40" s="903"/>
      <c r="F40" s="903"/>
      <c r="G40" s="903"/>
      <c r="H40" s="903"/>
      <c r="I40" s="903"/>
      <c r="J40" s="903"/>
      <c r="K40" s="903"/>
      <c r="L40" s="903"/>
      <c r="M40" s="903"/>
      <c r="N40" s="903"/>
      <c r="O40" s="903"/>
      <c r="P40" s="866">
        <v>51.0</v>
      </c>
      <c r="Q40" s="866">
        <v>66.0</v>
      </c>
      <c r="R40" s="866">
        <v>84.0</v>
      </c>
      <c r="S40" s="866">
        <v>97.0</v>
      </c>
      <c r="T40" s="866">
        <v>73.0</v>
      </c>
      <c r="U40" s="866">
        <v>85.0</v>
      </c>
      <c r="V40" s="866">
        <v>97.0</v>
      </c>
      <c r="W40" s="866">
        <v>165.0</v>
      </c>
      <c r="X40" s="866">
        <v>179.0</v>
      </c>
      <c r="Y40" s="866">
        <v>452.0</v>
      </c>
      <c r="Z40" s="866">
        <v>272.0</v>
      </c>
      <c r="AA40" s="866">
        <v>77.0</v>
      </c>
      <c r="AB40" s="866">
        <v>316.0</v>
      </c>
      <c r="AC40" s="866">
        <f t="shared" ref="AC40:AE40" si="16">AC45</f>
        <v>195</v>
      </c>
      <c r="AD40" s="866">
        <f t="shared" si="16"/>
        <v>46</v>
      </c>
      <c r="AE40" s="866">
        <f t="shared" si="16"/>
        <v>44</v>
      </c>
    </row>
    <row r="41" outlineLevel="1">
      <c r="A41" s="904" t="s">
        <v>1047</v>
      </c>
      <c r="B41" s="903"/>
      <c r="C41" s="903"/>
      <c r="D41" s="903"/>
      <c r="E41" s="903"/>
      <c r="F41" s="903"/>
      <c r="G41" s="903"/>
      <c r="H41" s="903"/>
      <c r="I41" s="903"/>
      <c r="J41" s="903"/>
      <c r="K41" s="903"/>
      <c r="L41" s="903"/>
      <c r="M41" s="903"/>
      <c r="N41" s="903"/>
      <c r="O41" s="903"/>
      <c r="P41" s="866"/>
      <c r="Q41" s="866"/>
      <c r="R41" s="866"/>
      <c r="S41" s="866"/>
      <c r="T41" s="866"/>
      <c r="U41" s="866"/>
      <c r="V41" s="866"/>
      <c r="W41" s="866"/>
      <c r="X41" s="866"/>
      <c r="Y41" s="866"/>
      <c r="Z41" s="866"/>
      <c r="AA41" s="909"/>
      <c r="AB41" s="909"/>
      <c r="AC41" s="909"/>
      <c r="AD41" s="909"/>
      <c r="AE41" s="909"/>
    </row>
    <row r="42" outlineLevel="1">
      <c r="A42" s="868" t="s">
        <v>1051</v>
      </c>
      <c r="B42" s="903"/>
      <c r="C42" s="903"/>
      <c r="D42" s="903"/>
      <c r="E42" s="903"/>
      <c r="F42" s="903"/>
      <c r="G42" s="903"/>
      <c r="H42" s="903"/>
      <c r="I42" s="903"/>
      <c r="J42" s="903"/>
      <c r="K42" s="903"/>
      <c r="L42" s="903"/>
      <c r="M42" s="903"/>
      <c r="N42" s="903"/>
      <c r="O42" s="903"/>
      <c r="P42" s="866">
        <v>15.0</v>
      </c>
      <c r="Q42" s="866">
        <v>10.0</v>
      </c>
      <c r="R42" s="866">
        <v>24.0</v>
      </c>
      <c r="S42" s="866">
        <v>27.0</v>
      </c>
      <c r="T42" s="866">
        <v>19.0</v>
      </c>
      <c r="U42" s="866">
        <v>18.0</v>
      </c>
      <c r="V42" s="866">
        <v>22.0</v>
      </c>
      <c r="W42" s="866">
        <v>43.0</v>
      </c>
      <c r="X42" s="866">
        <v>38.0</v>
      </c>
      <c r="Y42" s="866">
        <v>98.0</v>
      </c>
      <c r="Z42" s="866">
        <v>76.0</v>
      </c>
      <c r="AA42" s="866">
        <v>16.0</v>
      </c>
      <c r="AB42" s="866">
        <v>71.0</v>
      </c>
      <c r="AC42" s="866">
        <v>51.0</v>
      </c>
      <c r="AD42" s="866">
        <v>13.0</v>
      </c>
      <c r="AE42" s="866">
        <v>10.0</v>
      </c>
    </row>
    <row r="43" outlineLevel="1">
      <c r="A43" s="868" t="s">
        <v>1055</v>
      </c>
      <c r="B43" s="903"/>
      <c r="C43" s="903"/>
      <c r="D43" s="903"/>
      <c r="E43" s="903"/>
      <c r="F43" s="903"/>
      <c r="G43" s="903"/>
      <c r="H43" s="903"/>
      <c r="I43" s="903"/>
      <c r="J43" s="903"/>
      <c r="K43" s="903"/>
      <c r="L43" s="903"/>
      <c r="M43" s="903"/>
      <c r="N43" s="903"/>
      <c r="O43" s="903"/>
      <c r="P43" s="866">
        <v>13.0</v>
      </c>
      <c r="Q43" s="866">
        <v>29.0</v>
      </c>
      <c r="R43" s="866">
        <v>35.0</v>
      </c>
      <c r="S43" s="866">
        <v>34.0</v>
      </c>
      <c r="T43" s="866">
        <v>22.0</v>
      </c>
      <c r="U43" s="866">
        <v>24.0</v>
      </c>
      <c r="V43" s="866">
        <v>33.0</v>
      </c>
      <c r="W43" s="866">
        <v>54.0</v>
      </c>
      <c r="X43" s="866">
        <v>65.0</v>
      </c>
      <c r="Y43" s="866">
        <v>178.0</v>
      </c>
      <c r="Z43" s="866">
        <v>89.0</v>
      </c>
      <c r="AA43" s="866">
        <v>28.0</v>
      </c>
      <c r="AB43" s="866">
        <v>127.0</v>
      </c>
      <c r="AC43" s="866">
        <v>57.0</v>
      </c>
      <c r="AD43" s="866">
        <v>15.0</v>
      </c>
      <c r="AE43" s="866">
        <v>16.0</v>
      </c>
    </row>
    <row r="44" outlineLevel="1">
      <c r="A44" s="868" t="s">
        <v>1061</v>
      </c>
      <c r="B44" s="903"/>
      <c r="C44" s="903"/>
      <c r="D44" s="903"/>
      <c r="E44" s="903"/>
      <c r="F44" s="903"/>
      <c r="G44" s="903"/>
      <c r="H44" s="903"/>
      <c r="I44" s="903"/>
      <c r="J44" s="903"/>
      <c r="K44" s="903"/>
      <c r="L44" s="903"/>
      <c r="M44" s="903"/>
      <c r="N44" s="903"/>
      <c r="O44" s="903"/>
      <c r="P44" s="866">
        <v>23.0</v>
      </c>
      <c r="Q44" s="866">
        <v>27.0</v>
      </c>
      <c r="R44" s="866">
        <v>25.0</v>
      </c>
      <c r="S44" s="866">
        <v>36.0</v>
      </c>
      <c r="T44" s="866">
        <v>32.0</v>
      </c>
      <c r="U44" s="866">
        <v>43.0</v>
      </c>
      <c r="V44" s="866">
        <v>42.0</v>
      </c>
      <c r="W44" s="866">
        <v>68.0</v>
      </c>
      <c r="X44" s="866">
        <v>73.0</v>
      </c>
      <c r="Y44" s="866">
        <v>176.0</v>
      </c>
      <c r="Z44" s="866">
        <v>107.0</v>
      </c>
      <c r="AA44" s="866">
        <v>33.0</v>
      </c>
      <c r="AB44" s="866">
        <v>120.0</v>
      </c>
      <c r="AC44" s="866">
        <v>87.0</v>
      </c>
      <c r="AD44" s="866">
        <v>18.0</v>
      </c>
      <c r="AE44" s="866">
        <v>18.0</v>
      </c>
    </row>
    <row r="45" outlineLevel="1">
      <c r="A45" s="907" t="s">
        <v>1164</v>
      </c>
      <c r="B45" s="910">
        <f t="shared" ref="B45:AE45" si="17">SUM(B42:B44)</f>
        <v>0</v>
      </c>
      <c r="C45" s="910">
        <f t="shared" si="17"/>
        <v>0</v>
      </c>
      <c r="D45" s="910">
        <f t="shared" si="17"/>
        <v>0</v>
      </c>
      <c r="E45" s="910">
        <f t="shared" si="17"/>
        <v>0</v>
      </c>
      <c r="F45" s="910">
        <f t="shared" si="17"/>
        <v>0</v>
      </c>
      <c r="G45" s="910">
        <f t="shared" si="17"/>
        <v>0</v>
      </c>
      <c r="H45" s="910">
        <f t="shared" si="17"/>
        <v>0</v>
      </c>
      <c r="I45" s="910">
        <f t="shared" si="17"/>
        <v>0</v>
      </c>
      <c r="J45" s="910">
        <f t="shared" si="17"/>
        <v>0</v>
      </c>
      <c r="K45" s="910">
        <f t="shared" si="17"/>
        <v>0</v>
      </c>
      <c r="L45" s="910">
        <f t="shared" si="17"/>
        <v>0</v>
      </c>
      <c r="M45" s="910">
        <f t="shared" si="17"/>
        <v>0</v>
      </c>
      <c r="N45" s="910">
        <f t="shared" si="17"/>
        <v>0</v>
      </c>
      <c r="O45" s="910">
        <f t="shared" si="17"/>
        <v>0</v>
      </c>
      <c r="P45" s="910">
        <f t="shared" si="17"/>
        <v>51</v>
      </c>
      <c r="Q45" s="910">
        <f t="shared" si="17"/>
        <v>66</v>
      </c>
      <c r="R45" s="910">
        <f t="shared" si="17"/>
        <v>84</v>
      </c>
      <c r="S45" s="910">
        <f t="shared" si="17"/>
        <v>97</v>
      </c>
      <c r="T45" s="910">
        <f t="shared" si="17"/>
        <v>73</v>
      </c>
      <c r="U45" s="910">
        <f t="shared" si="17"/>
        <v>85</v>
      </c>
      <c r="V45" s="910">
        <f t="shared" si="17"/>
        <v>97</v>
      </c>
      <c r="W45" s="910">
        <f t="shared" si="17"/>
        <v>165</v>
      </c>
      <c r="X45" s="910">
        <f t="shared" si="17"/>
        <v>176</v>
      </c>
      <c r="Y45" s="910">
        <f t="shared" si="17"/>
        <v>452</v>
      </c>
      <c r="Z45" s="910">
        <f t="shared" si="17"/>
        <v>272</v>
      </c>
      <c r="AA45" s="910">
        <f t="shared" si="17"/>
        <v>77</v>
      </c>
      <c r="AB45" s="910">
        <f t="shared" si="17"/>
        <v>318</v>
      </c>
      <c r="AC45" s="910">
        <f t="shared" si="17"/>
        <v>195</v>
      </c>
      <c r="AD45" s="910">
        <f t="shared" si="17"/>
        <v>46</v>
      </c>
      <c r="AE45" s="910">
        <f t="shared" si="17"/>
        <v>44</v>
      </c>
    </row>
    <row r="46">
      <c r="A46" s="889" t="s">
        <v>1090</v>
      </c>
      <c r="B46" s="903"/>
      <c r="C46" s="903"/>
      <c r="D46" s="903"/>
      <c r="E46" s="903"/>
      <c r="F46" s="903"/>
      <c r="G46" s="903"/>
      <c r="H46" s="903"/>
      <c r="I46" s="903"/>
      <c r="J46" s="903"/>
      <c r="K46" s="903"/>
      <c r="L46" s="903"/>
      <c r="M46" s="903"/>
      <c r="N46" s="903"/>
      <c r="O46" s="903"/>
      <c r="P46" s="866">
        <v>107.0</v>
      </c>
      <c r="Q46" s="866">
        <v>179.0</v>
      </c>
      <c r="R46" s="866">
        <v>176.0</v>
      </c>
      <c r="S46" s="866">
        <v>244.0</v>
      </c>
      <c r="T46" s="866">
        <v>254.0</v>
      </c>
      <c r="U46" s="866">
        <v>232.0</v>
      </c>
      <c r="V46" s="866">
        <v>248.0</v>
      </c>
      <c r="W46" s="866">
        <v>365.0</v>
      </c>
      <c r="X46" s="866">
        <v>412.0</v>
      </c>
      <c r="Y46" s="866">
        <v>1270.0</v>
      </c>
      <c r="Z46" s="866">
        <v>849.0</v>
      </c>
      <c r="AA46" s="866">
        <v>267.0</v>
      </c>
      <c r="AB46" s="866">
        <v>882.0</v>
      </c>
      <c r="AC46" s="909">
        <f t="shared" ref="AC46:AE46" si="18">AC51</f>
        <v>676</v>
      </c>
      <c r="AD46" s="909">
        <f t="shared" si="18"/>
        <v>150</v>
      </c>
      <c r="AE46" s="909">
        <f t="shared" si="18"/>
        <v>80</v>
      </c>
    </row>
    <row r="47" outlineLevel="1">
      <c r="A47" s="904" t="s">
        <v>1047</v>
      </c>
      <c r="B47" s="903"/>
      <c r="C47" s="903"/>
      <c r="D47" s="903"/>
      <c r="E47" s="903"/>
      <c r="F47" s="903"/>
      <c r="G47" s="903"/>
      <c r="H47" s="903"/>
      <c r="I47" s="903"/>
      <c r="J47" s="903"/>
      <c r="K47" s="903"/>
      <c r="L47" s="903"/>
      <c r="M47" s="903"/>
      <c r="N47" s="903"/>
      <c r="O47" s="903"/>
      <c r="P47" s="866"/>
      <c r="Q47" s="866"/>
      <c r="R47" s="866"/>
      <c r="S47" s="866"/>
      <c r="T47" s="866"/>
      <c r="U47" s="866"/>
      <c r="V47" s="866"/>
      <c r="W47" s="866"/>
      <c r="X47" s="866"/>
      <c r="Y47" s="866"/>
      <c r="Z47" s="866"/>
      <c r="AA47" s="909"/>
      <c r="AB47" s="909"/>
      <c r="AC47" s="909"/>
      <c r="AD47" s="909"/>
      <c r="AE47" s="909"/>
    </row>
    <row r="48" outlineLevel="1">
      <c r="A48" s="868" t="s">
        <v>1051</v>
      </c>
      <c r="B48" s="903"/>
      <c r="C48" s="903"/>
      <c r="D48" s="903"/>
      <c r="E48" s="903"/>
      <c r="F48" s="903"/>
      <c r="G48" s="903"/>
      <c r="H48" s="903"/>
      <c r="I48" s="903"/>
      <c r="J48" s="903"/>
      <c r="K48" s="903"/>
      <c r="L48" s="903"/>
      <c r="M48" s="903"/>
      <c r="N48" s="903"/>
      <c r="O48" s="903"/>
      <c r="P48" s="866">
        <v>17.0</v>
      </c>
      <c r="Q48" s="866">
        <v>31.0</v>
      </c>
      <c r="R48" s="866">
        <v>32.0</v>
      </c>
      <c r="S48" s="866">
        <v>49.0</v>
      </c>
      <c r="T48" s="866">
        <v>39.0</v>
      </c>
      <c r="U48" s="866">
        <v>48.0</v>
      </c>
      <c r="V48" s="866">
        <v>46.0</v>
      </c>
      <c r="W48" s="866">
        <v>65.0</v>
      </c>
      <c r="X48" s="866">
        <v>71.0</v>
      </c>
      <c r="Y48" s="866">
        <v>223.0</v>
      </c>
      <c r="Z48" s="866">
        <v>135.0</v>
      </c>
      <c r="AA48" s="866">
        <v>36.0</v>
      </c>
      <c r="AB48" s="866">
        <v>142.0</v>
      </c>
      <c r="AC48" s="866">
        <v>116.0</v>
      </c>
      <c r="AD48" s="866">
        <v>90.0</v>
      </c>
      <c r="AE48" s="866">
        <v>12.0</v>
      </c>
    </row>
    <row r="49" outlineLevel="1">
      <c r="A49" s="868" t="s">
        <v>1055</v>
      </c>
      <c r="B49" s="903"/>
      <c r="C49" s="903"/>
      <c r="D49" s="903"/>
      <c r="E49" s="903"/>
      <c r="F49" s="903"/>
      <c r="G49" s="903"/>
      <c r="H49" s="903"/>
      <c r="I49" s="903"/>
      <c r="J49" s="903"/>
      <c r="K49" s="903"/>
      <c r="L49" s="903"/>
      <c r="M49" s="903"/>
      <c r="N49" s="903"/>
      <c r="O49" s="903"/>
      <c r="P49" s="866">
        <v>42.0</v>
      </c>
      <c r="Q49" s="866">
        <v>60.0</v>
      </c>
      <c r="R49" s="866">
        <v>77.0</v>
      </c>
      <c r="S49" s="866">
        <v>97.0</v>
      </c>
      <c r="T49" s="866">
        <v>113.0</v>
      </c>
      <c r="U49" s="866">
        <v>74.0</v>
      </c>
      <c r="V49" s="866">
        <v>111.0</v>
      </c>
      <c r="W49" s="866">
        <v>139.0</v>
      </c>
      <c r="X49" s="866">
        <v>158.0</v>
      </c>
      <c r="Y49" s="866">
        <v>469.0</v>
      </c>
      <c r="Z49" s="866">
        <v>335.0</v>
      </c>
      <c r="AA49" s="866">
        <v>115.0</v>
      </c>
      <c r="AB49" s="866">
        <v>330.0</v>
      </c>
      <c r="AC49" s="866">
        <v>241.0</v>
      </c>
      <c r="AD49" s="866">
        <v>17.0</v>
      </c>
      <c r="AE49" s="866">
        <v>24.0</v>
      </c>
    </row>
    <row r="50" outlineLevel="1">
      <c r="A50" s="868" t="s">
        <v>1061</v>
      </c>
      <c r="B50" s="903"/>
      <c r="C50" s="903"/>
      <c r="D50" s="903"/>
      <c r="E50" s="903"/>
      <c r="F50" s="903"/>
      <c r="G50" s="903"/>
      <c r="H50" s="903"/>
      <c r="I50" s="903"/>
      <c r="J50" s="903"/>
      <c r="K50" s="903"/>
      <c r="L50" s="903"/>
      <c r="M50" s="903"/>
      <c r="N50" s="903"/>
      <c r="O50" s="903"/>
      <c r="P50" s="866">
        <v>48.0</v>
      </c>
      <c r="Q50" s="866">
        <v>88.0</v>
      </c>
      <c r="R50" s="866">
        <v>67.0</v>
      </c>
      <c r="S50" s="866">
        <v>98.0</v>
      </c>
      <c r="T50" s="866">
        <v>102.0</v>
      </c>
      <c r="U50" s="866">
        <v>110.0</v>
      </c>
      <c r="V50" s="866">
        <v>91.0</v>
      </c>
      <c r="W50" s="866">
        <v>161.0</v>
      </c>
      <c r="X50" s="866">
        <v>183.0</v>
      </c>
      <c r="Y50" s="866">
        <v>578.0</v>
      </c>
      <c r="Z50" s="866">
        <v>379.0</v>
      </c>
      <c r="AA50" s="866">
        <v>116.0</v>
      </c>
      <c r="AB50" s="866">
        <v>410.0</v>
      </c>
      <c r="AC50" s="866">
        <v>319.0</v>
      </c>
      <c r="AD50" s="866">
        <v>43.0</v>
      </c>
      <c r="AE50" s="866">
        <v>44.0</v>
      </c>
    </row>
    <row r="51" outlineLevel="1">
      <c r="A51" s="907" t="s">
        <v>1164</v>
      </c>
      <c r="B51" s="910">
        <f t="shared" ref="B51:AE51" si="19">SUM(B48:B50)</f>
        <v>0</v>
      </c>
      <c r="C51" s="910">
        <f t="shared" si="19"/>
        <v>0</v>
      </c>
      <c r="D51" s="910">
        <f t="shared" si="19"/>
        <v>0</v>
      </c>
      <c r="E51" s="910">
        <f t="shared" si="19"/>
        <v>0</v>
      </c>
      <c r="F51" s="910">
        <f t="shared" si="19"/>
        <v>0</v>
      </c>
      <c r="G51" s="910">
        <f t="shared" si="19"/>
        <v>0</v>
      </c>
      <c r="H51" s="910">
        <f t="shared" si="19"/>
        <v>0</v>
      </c>
      <c r="I51" s="910">
        <f t="shared" si="19"/>
        <v>0</v>
      </c>
      <c r="J51" s="910">
        <f t="shared" si="19"/>
        <v>0</v>
      </c>
      <c r="K51" s="910">
        <f t="shared" si="19"/>
        <v>0</v>
      </c>
      <c r="L51" s="910">
        <f t="shared" si="19"/>
        <v>0</v>
      </c>
      <c r="M51" s="910">
        <f t="shared" si="19"/>
        <v>0</v>
      </c>
      <c r="N51" s="910">
        <f t="shared" si="19"/>
        <v>0</v>
      </c>
      <c r="O51" s="910">
        <f t="shared" si="19"/>
        <v>0</v>
      </c>
      <c r="P51" s="910">
        <f t="shared" si="19"/>
        <v>107</v>
      </c>
      <c r="Q51" s="910">
        <f t="shared" si="19"/>
        <v>179</v>
      </c>
      <c r="R51" s="910">
        <f t="shared" si="19"/>
        <v>176</v>
      </c>
      <c r="S51" s="910">
        <f t="shared" si="19"/>
        <v>244</v>
      </c>
      <c r="T51" s="910">
        <f t="shared" si="19"/>
        <v>254</v>
      </c>
      <c r="U51" s="910">
        <f t="shared" si="19"/>
        <v>232</v>
      </c>
      <c r="V51" s="910">
        <f t="shared" si="19"/>
        <v>248</v>
      </c>
      <c r="W51" s="910">
        <f t="shared" si="19"/>
        <v>365</v>
      </c>
      <c r="X51" s="910">
        <f t="shared" si="19"/>
        <v>412</v>
      </c>
      <c r="Y51" s="910">
        <f t="shared" si="19"/>
        <v>1270</v>
      </c>
      <c r="Z51" s="910">
        <f t="shared" si="19"/>
        <v>849</v>
      </c>
      <c r="AA51" s="910">
        <f t="shared" si="19"/>
        <v>267</v>
      </c>
      <c r="AB51" s="910">
        <f t="shared" si="19"/>
        <v>882</v>
      </c>
      <c r="AC51" s="910">
        <f t="shared" si="19"/>
        <v>676</v>
      </c>
      <c r="AD51" s="910">
        <f t="shared" si="19"/>
        <v>150</v>
      </c>
      <c r="AE51" s="910">
        <f t="shared" si="19"/>
        <v>80</v>
      </c>
    </row>
    <row r="52" collapsed="1">
      <c r="A52" s="913" t="s">
        <v>1103</v>
      </c>
      <c r="B52" s="903"/>
      <c r="C52" s="903"/>
      <c r="D52" s="903"/>
      <c r="E52" s="903"/>
      <c r="F52" s="903"/>
      <c r="G52" s="903"/>
      <c r="H52" s="903"/>
      <c r="I52" s="903"/>
      <c r="J52" s="903"/>
      <c r="K52" s="903"/>
      <c r="L52" s="903"/>
      <c r="M52" s="903"/>
      <c r="N52" s="903"/>
      <c r="O52" s="903"/>
      <c r="P52" s="866">
        <v>71.0</v>
      </c>
      <c r="Q52" s="866">
        <v>81.0</v>
      </c>
      <c r="R52" s="866">
        <v>102.0</v>
      </c>
      <c r="S52" s="866">
        <v>96.0</v>
      </c>
      <c r="T52" s="866">
        <v>117.0</v>
      </c>
      <c r="U52" s="866">
        <v>150.0</v>
      </c>
      <c r="V52" s="866">
        <v>149.0</v>
      </c>
      <c r="W52" s="866">
        <v>198.0</v>
      </c>
      <c r="X52" s="866">
        <v>206.0</v>
      </c>
      <c r="Y52" s="866">
        <v>600.0</v>
      </c>
      <c r="Z52" s="866">
        <v>359.0</v>
      </c>
      <c r="AA52" s="866">
        <v>109.0</v>
      </c>
      <c r="AB52" s="866">
        <v>486.0</v>
      </c>
      <c r="AC52" s="909">
        <f t="shared" ref="AC52:AE52" si="20">AC57</f>
        <v>282</v>
      </c>
      <c r="AD52" s="909">
        <f t="shared" si="20"/>
        <v>97</v>
      </c>
      <c r="AE52" s="909">
        <f t="shared" si="20"/>
        <v>62</v>
      </c>
    </row>
    <row r="53" hidden="1" outlineLevel="1">
      <c r="A53" s="904" t="s">
        <v>1047</v>
      </c>
      <c r="B53" s="903"/>
      <c r="C53" s="903"/>
      <c r="D53" s="903"/>
      <c r="E53" s="903"/>
      <c r="F53" s="903"/>
      <c r="G53" s="903"/>
      <c r="H53" s="903"/>
      <c r="I53" s="903"/>
      <c r="J53" s="903"/>
      <c r="K53" s="903"/>
      <c r="L53" s="903"/>
      <c r="M53" s="903"/>
      <c r="N53" s="903"/>
      <c r="O53" s="903"/>
      <c r="P53" s="866"/>
      <c r="Q53" s="866"/>
      <c r="R53" s="866"/>
      <c r="S53" s="866"/>
      <c r="T53" s="866"/>
      <c r="U53" s="866"/>
      <c r="V53" s="866"/>
      <c r="W53" s="866"/>
      <c r="X53" s="866"/>
      <c r="Y53" s="866"/>
      <c r="Z53" s="866"/>
      <c r="AA53" s="909"/>
      <c r="AB53" s="909"/>
      <c r="AC53" s="909"/>
      <c r="AD53" s="909"/>
      <c r="AE53" s="909"/>
    </row>
    <row r="54" hidden="1" outlineLevel="1">
      <c r="A54" s="868" t="s">
        <v>1051</v>
      </c>
      <c r="B54" s="903"/>
      <c r="C54" s="903"/>
      <c r="D54" s="903"/>
      <c r="E54" s="903"/>
      <c r="F54" s="903"/>
      <c r="G54" s="903"/>
      <c r="H54" s="903"/>
      <c r="I54" s="903"/>
      <c r="J54" s="903"/>
      <c r="K54" s="903"/>
      <c r="L54" s="903"/>
      <c r="M54" s="903"/>
      <c r="N54" s="903"/>
      <c r="O54" s="903"/>
      <c r="P54" s="866">
        <v>13.0</v>
      </c>
      <c r="Q54" s="866">
        <v>17.0</v>
      </c>
      <c r="R54" s="866">
        <v>30.0</v>
      </c>
      <c r="S54" s="866">
        <v>18.0</v>
      </c>
      <c r="T54" s="866">
        <v>30.0</v>
      </c>
      <c r="U54" s="866">
        <v>32.0</v>
      </c>
      <c r="V54" s="866">
        <v>37.0</v>
      </c>
      <c r="W54" s="866">
        <v>57.0</v>
      </c>
      <c r="X54" s="866">
        <v>49.0</v>
      </c>
      <c r="Y54" s="866">
        <v>133.0</v>
      </c>
      <c r="Z54" s="866">
        <v>81.0</v>
      </c>
      <c r="AA54" s="866">
        <v>19.0</v>
      </c>
      <c r="AB54" s="866">
        <v>113.0</v>
      </c>
      <c r="AC54" s="866">
        <v>60.0</v>
      </c>
      <c r="AD54" s="866">
        <v>59.0</v>
      </c>
      <c r="AE54" s="866">
        <v>11.0</v>
      </c>
    </row>
    <row r="55" hidden="1" outlineLevel="1">
      <c r="A55" s="868" t="s">
        <v>1055</v>
      </c>
      <c r="B55" s="903"/>
      <c r="C55" s="903"/>
      <c r="D55" s="903"/>
      <c r="E55" s="903"/>
      <c r="F55" s="903"/>
      <c r="G55" s="903"/>
      <c r="H55" s="903"/>
      <c r="I55" s="903"/>
      <c r="J55" s="903"/>
      <c r="K55" s="903"/>
      <c r="L55" s="903"/>
      <c r="M55" s="903"/>
      <c r="N55" s="903"/>
      <c r="O55" s="903"/>
      <c r="P55" s="866">
        <v>26.0</v>
      </c>
      <c r="Q55" s="866">
        <v>26.0</v>
      </c>
      <c r="R55" s="866">
        <v>32.0</v>
      </c>
      <c r="S55" s="866">
        <v>38.0</v>
      </c>
      <c r="T55" s="866">
        <v>33.0</v>
      </c>
      <c r="U55" s="866">
        <v>55.0</v>
      </c>
      <c r="V55" s="866">
        <v>42.0</v>
      </c>
      <c r="W55" s="866">
        <v>63.0</v>
      </c>
      <c r="X55" s="866">
        <v>70.0</v>
      </c>
      <c r="Y55" s="866">
        <v>211.0</v>
      </c>
      <c r="Z55" s="866">
        <v>147.0</v>
      </c>
      <c r="AA55" s="866">
        <v>37.0</v>
      </c>
      <c r="AB55" s="866">
        <v>171.0</v>
      </c>
      <c r="AC55" s="866">
        <v>94.0</v>
      </c>
      <c r="AD55" s="866">
        <v>15.0</v>
      </c>
      <c r="AE55" s="866">
        <v>22.0</v>
      </c>
    </row>
    <row r="56" hidden="1" outlineLevel="1">
      <c r="A56" s="868" t="s">
        <v>1061</v>
      </c>
      <c r="B56" s="903"/>
      <c r="C56" s="903"/>
      <c r="D56" s="903"/>
      <c r="E56" s="903"/>
      <c r="F56" s="903"/>
      <c r="G56" s="903"/>
      <c r="H56" s="903"/>
      <c r="I56" s="903"/>
      <c r="J56" s="903"/>
      <c r="K56" s="903"/>
      <c r="L56" s="903"/>
      <c r="M56" s="903"/>
      <c r="N56" s="903"/>
      <c r="O56" s="903"/>
      <c r="P56" s="866">
        <v>32.0</v>
      </c>
      <c r="Q56" s="866">
        <v>38.0</v>
      </c>
      <c r="R56" s="866">
        <v>40.0</v>
      </c>
      <c r="S56" s="866">
        <v>40.0</v>
      </c>
      <c r="T56" s="866">
        <v>54.0</v>
      </c>
      <c r="U56" s="866">
        <v>63.0</v>
      </c>
      <c r="V56" s="866">
        <v>70.0</v>
      </c>
      <c r="W56" s="866">
        <v>78.0</v>
      </c>
      <c r="X56" s="866">
        <v>87.0</v>
      </c>
      <c r="Y56" s="866">
        <v>257.0</v>
      </c>
      <c r="Z56" s="866">
        <v>131.0</v>
      </c>
      <c r="AA56" s="866">
        <v>53.0</v>
      </c>
      <c r="AB56" s="866">
        <v>202.0</v>
      </c>
      <c r="AC56" s="866">
        <v>128.0</v>
      </c>
      <c r="AD56" s="866">
        <v>23.0</v>
      </c>
      <c r="AE56" s="866">
        <v>29.0</v>
      </c>
    </row>
    <row r="57" hidden="1" outlineLevel="1">
      <c r="A57" s="907" t="s">
        <v>1164</v>
      </c>
      <c r="B57" s="910">
        <f t="shared" ref="B57:AE57" si="21">SUM(B54:B56)</f>
        <v>0</v>
      </c>
      <c r="C57" s="910">
        <f t="shared" si="21"/>
        <v>0</v>
      </c>
      <c r="D57" s="910">
        <f t="shared" si="21"/>
        <v>0</v>
      </c>
      <c r="E57" s="910">
        <f t="shared" si="21"/>
        <v>0</v>
      </c>
      <c r="F57" s="910">
        <f t="shared" si="21"/>
        <v>0</v>
      </c>
      <c r="G57" s="910">
        <f t="shared" si="21"/>
        <v>0</v>
      </c>
      <c r="H57" s="910">
        <f t="shared" si="21"/>
        <v>0</v>
      </c>
      <c r="I57" s="910">
        <f t="shared" si="21"/>
        <v>0</v>
      </c>
      <c r="J57" s="910">
        <f t="shared" si="21"/>
        <v>0</v>
      </c>
      <c r="K57" s="910">
        <f t="shared" si="21"/>
        <v>0</v>
      </c>
      <c r="L57" s="910">
        <f t="shared" si="21"/>
        <v>0</v>
      </c>
      <c r="M57" s="910">
        <f t="shared" si="21"/>
        <v>0</v>
      </c>
      <c r="N57" s="910">
        <f t="shared" si="21"/>
        <v>0</v>
      </c>
      <c r="O57" s="910">
        <f t="shared" si="21"/>
        <v>0</v>
      </c>
      <c r="P57" s="910">
        <f t="shared" si="21"/>
        <v>71</v>
      </c>
      <c r="Q57" s="910">
        <f t="shared" si="21"/>
        <v>81</v>
      </c>
      <c r="R57" s="910">
        <f t="shared" si="21"/>
        <v>102</v>
      </c>
      <c r="S57" s="910">
        <f t="shared" si="21"/>
        <v>96</v>
      </c>
      <c r="T57" s="910">
        <f t="shared" si="21"/>
        <v>117</v>
      </c>
      <c r="U57" s="910">
        <f t="shared" si="21"/>
        <v>150</v>
      </c>
      <c r="V57" s="910">
        <f t="shared" si="21"/>
        <v>149</v>
      </c>
      <c r="W57" s="910">
        <f t="shared" si="21"/>
        <v>198</v>
      </c>
      <c r="X57" s="910">
        <f t="shared" si="21"/>
        <v>206</v>
      </c>
      <c r="Y57" s="910">
        <f t="shared" si="21"/>
        <v>601</v>
      </c>
      <c r="Z57" s="910">
        <f t="shared" si="21"/>
        <v>359</v>
      </c>
      <c r="AA57" s="910">
        <f t="shared" si="21"/>
        <v>109</v>
      </c>
      <c r="AB57" s="910">
        <f t="shared" si="21"/>
        <v>486</v>
      </c>
      <c r="AC57" s="910">
        <f t="shared" si="21"/>
        <v>282</v>
      </c>
      <c r="AD57" s="910">
        <f t="shared" si="21"/>
        <v>97</v>
      </c>
      <c r="AE57" s="910">
        <f t="shared" si="21"/>
        <v>62</v>
      </c>
    </row>
    <row r="58">
      <c r="A58" s="914" t="s">
        <v>1164</v>
      </c>
      <c r="B58" s="915">
        <f t="shared" ref="B58:AE58" si="22">SUM(B34,B40,B46,B52)</f>
        <v>0</v>
      </c>
      <c r="C58" s="915">
        <f t="shared" si="22"/>
        <v>0</v>
      </c>
      <c r="D58" s="915">
        <f t="shared" si="22"/>
        <v>0</v>
      </c>
      <c r="E58" s="915">
        <f t="shared" si="22"/>
        <v>0</v>
      </c>
      <c r="F58" s="915">
        <f t="shared" si="22"/>
        <v>0</v>
      </c>
      <c r="G58" s="915">
        <f t="shared" si="22"/>
        <v>0</v>
      </c>
      <c r="H58" s="915">
        <f t="shared" si="22"/>
        <v>0</v>
      </c>
      <c r="I58" s="915">
        <f t="shared" si="22"/>
        <v>0</v>
      </c>
      <c r="J58" s="915">
        <f t="shared" si="22"/>
        <v>0</v>
      </c>
      <c r="K58" s="915">
        <f t="shared" si="22"/>
        <v>0</v>
      </c>
      <c r="L58" s="915">
        <f t="shared" si="22"/>
        <v>0</v>
      </c>
      <c r="M58" s="915">
        <f t="shared" si="22"/>
        <v>0</v>
      </c>
      <c r="N58" s="915">
        <f t="shared" si="22"/>
        <v>0</v>
      </c>
      <c r="O58" s="915">
        <f t="shared" si="22"/>
        <v>0</v>
      </c>
      <c r="P58" s="915">
        <f t="shared" si="22"/>
        <v>249</v>
      </c>
      <c r="Q58" s="915">
        <f t="shared" si="22"/>
        <v>352</v>
      </c>
      <c r="R58" s="915">
        <f t="shared" si="22"/>
        <v>385</v>
      </c>
      <c r="S58" s="915">
        <f t="shared" si="22"/>
        <v>461</v>
      </c>
      <c r="T58" s="915">
        <f t="shared" si="22"/>
        <v>464</v>
      </c>
      <c r="U58" s="915">
        <f t="shared" si="22"/>
        <v>490</v>
      </c>
      <c r="V58" s="915">
        <f t="shared" si="22"/>
        <v>519</v>
      </c>
      <c r="W58" s="915">
        <f t="shared" si="22"/>
        <v>783</v>
      </c>
      <c r="X58" s="915">
        <f t="shared" si="22"/>
        <v>839</v>
      </c>
      <c r="Y58" s="915">
        <f t="shared" si="22"/>
        <v>2449</v>
      </c>
      <c r="Z58" s="915">
        <f t="shared" si="22"/>
        <v>1536</v>
      </c>
      <c r="AA58" s="915">
        <f t="shared" si="22"/>
        <v>471</v>
      </c>
      <c r="AB58" s="915">
        <f t="shared" si="22"/>
        <v>1751</v>
      </c>
      <c r="AC58" s="915">
        <f t="shared" si="22"/>
        <v>1193</v>
      </c>
      <c r="AD58" s="915">
        <f t="shared" si="22"/>
        <v>300</v>
      </c>
      <c r="AE58" s="915">
        <f t="shared" si="22"/>
        <v>194</v>
      </c>
    </row>
    <row r="59">
      <c r="A59" s="916" t="s">
        <v>1208</v>
      </c>
      <c r="B59" s="917">
        <v>45231.0</v>
      </c>
      <c r="C59" s="917">
        <v>45232.0</v>
      </c>
      <c r="D59" s="917">
        <v>45233.0</v>
      </c>
      <c r="E59" s="917">
        <v>45234.0</v>
      </c>
      <c r="F59" s="917">
        <v>45235.0</v>
      </c>
      <c r="G59" s="917">
        <v>45236.0</v>
      </c>
      <c r="H59" s="917">
        <v>45237.0</v>
      </c>
      <c r="I59" s="917">
        <v>45238.0</v>
      </c>
      <c r="J59" s="917">
        <v>45239.0</v>
      </c>
      <c r="K59" s="917">
        <v>45240.0</v>
      </c>
      <c r="L59" s="917">
        <v>45241.0</v>
      </c>
      <c r="M59" s="917">
        <v>45242.0</v>
      </c>
      <c r="N59" s="917">
        <v>45243.0</v>
      </c>
      <c r="O59" s="917">
        <v>45244.0</v>
      </c>
      <c r="P59" s="917">
        <v>45245.0</v>
      </c>
      <c r="Q59" s="917">
        <v>45246.0</v>
      </c>
      <c r="R59" s="917">
        <v>45247.0</v>
      </c>
      <c r="S59" s="917">
        <v>45248.0</v>
      </c>
      <c r="T59" s="917">
        <v>45249.0</v>
      </c>
      <c r="U59" s="917">
        <v>45250.0</v>
      </c>
      <c r="V59" s="917">
        <v>45251.0</v>
      </c>
      <c r="W59" s="917">
        <v>45252.0</v>
      </c>
      <c r="X59" s="917">
        <v>45253.0</v>
      </c>
      <c r="Y59" s="917">
        <v>45254.0</v>
      </c>
      <c r="Z59" s="917">
        <v>45255.0</v>
      </c>
      <c r="AA59" s="917">
        <v>45256.0</v>
      </c>
      <c r="AB59" s="917">
        <v>45257.0</v>
      </c>
      <c r="AC59" s="917">
        <v>45258.0</v>
      </c>
      <c r="AD59" s="917">
        <v>45259.0</v>
      </c>
      <c r="AE59" s="917">
        <v>45260.0</v>
      </c>
    </row>
    <row r="60" collapsed="1">
      <c r="A60" s="896" t="s">
        <v>1041</v>
      </c>
      <c r="B60" s="918" t="str">
        <f t="shared" ref="B60:AE60" si="23">iferror(B34/B$58,"")</f>
        <v/>
      </c>
      <c r="C60" s="918" t="str">
        <f t="shared" si="23"/>
        <v/>
      </c>
      <c r="D60" s="918" t="str">
        <f t="shared" si="23"/>
        <v/>
      </c>
      <c r="E60" s="918" t="str">
        <f t="shared" si="23"/>
        <v/>
      </c>
      <c r="F60" s="918" t="str">
        <f t="shared" si="23"/>
        <v/>
      </c>
      <c r="G60" s="918" t="str">
        <f t="shared" si="23"/>
        <v/>
      </c>
      <c r="H60" s="918" t="str">
        <f t="shared" si="23"/>
        <v/>
      </c>
      <c r="I60" s="918" t="str">
        <f t="shared" si="23"/>
        <v/>
      </c>
      <c r="J60" s="918" t="str">
        <f t="shared" si="23"/>
        <v/>
      </c>
      <c r="K60" s="918" t="str">
        <f t="shared" si="23"/>
        <v/>
      </c>
      <c r="L60" s="918" t="str">
        <f t="shared" si="23"/>
        <v/>
      </c>
      <c r="M60" s="918" t="str">
        <f t="shared" si="23"/>
        <v/>
      </c>
      <c r="N60" s="918" t="str">
        <f t="shared" si="23"/>
        <v/>
      </c>
      <c r="O60" s="918" t="str">
        <f t="shared" si="23"/>
        <v/>
      </c>
      <c r="P60" s="879">
        <f t="shared" si="23"/>
        <v>0.08032128514</v>
      </c>
      <c r="Q60" s="879">
        <f t="shared" si="23"/>
        <v>0.07386363636</v>
      </c>
      <c r="R60" s="879">
        <f t="shared" si="23"/>
        <v>0.05974025974</v>
      </c>
      <c r="S60" s="879">
        <f t="shared" si="23"/>
        <v>0.05206073753</v>
      </c>
      <c r="T60" s="879">
        <f t="shared" si="23"/>
        <v>0.04310344828</v>
      </c>
      <c r="U60" s="879">
        <f t="shared" si="23"/>
        <v>0.04693877551</v>
      </c>
      <c r="V60" s="879">
        <f t="shared" si="23"/>
        <v>0.04816955684</v>
      </c>
      <c r="W60" s="879">
        <f t="shared" si="23"/>
        <v>0.07024265645</v>
      </c>
      <c r="X60" s="879">
        <f t="shared" si="23"/>
        <v>0.05005959476</v>
      </c>
      <c r="Y60" s="879">
        <f t="shared" si="23"/>
        <v>0.05185790118</v>
      </c>
      <c r="Z60" s="879">
        <f t="shared" si="23"/>
        <v>0.03645833333</v>
      </c>
      <c r="AA60" s="879">
        <f t="shared" si="23"/>
        <v>0.03821656051</v>
      </c>
      <c r="AB60" s="879">
        <f t="shared" si="23"/>
        <v>0.03826384923</v>
      </c>
      <c r="AC60" s="879">
        <f t="shared" si="23"/>
        <v>0.03352891869</v>
      </c>
      <c r="AD60" s="879">
        <f t="shared" si="23"/>
        <v>0.02333333333</v>
      </c>
      <c r="AE60" s="879">
        <f t="shared" si="23"/>
        <v>0.0412371134</v>
      </c>
    </row>
    <row r="61" hidden="1" outlineLevel="1">
      <c r="A61" s="919" t="s">
        <v>1047</v>
      </c>
      <c r="B61" s="918" t="str">
        <f t="shared" ref="B61:O61" si="24">iferror(B35/B$58,"")</f>
        <v/>
      </c>
      <c r="C61" s="918" t="str">
        <f t="shared" si="24"/>
        <v/>
      </c>
      <c r="D61" s="918" t="str">
        <f t="shared" si="24"/>
        <v/>
      </c>
      <c r="E61" s="918" t="str">
        <f t="shared" si="24"/>
        <v/>
      </c>
      <c r="F61" s="918" t="str">
        <f t="shared" si="24"/>
        <v/>
      </c>
      <c r="G61" s="918" t="str">
        <f t="shared" si="24"/>
        <v/>
      </c>
      <c r="H61" s="918" t="str">
        <f t="shared" si="24"/>
        <v/>
      </c>
      <c r="I61" s="918" t="str">
        <f t="shared" si="24"/>
        <v/>
      </c>
      <c r="J61" s="918" t="str">
        <f t="shared" si="24"/>
        <v/>
      </c>
      <c r="K61" s="918" t="str">
        <f t="shared" si="24"/>
        <v/>
      </c>
      <c r="L61" s="918" t="str">
        <f t="shared" si="24"/>
        <v/>
      </c>
      <c r="M61" s="918" t="str">
        <f t="shared" si="24"/>
        <v/>
      </c>
      <c r="N61" s="918" t="str">
        <f t="shared" si="24"/>
        <v/>
      </c>
      <c r="O61" s="918" t="str">
        <f t="shared" si="24"/>
        <v/>
      </c>
      <c r="P61" s="879"/>
      <c r="Q61" s="879"/>
      <c r="R61" s="879">
        <f t="shared" ref="R61:AE61" si="25">iferror(R35/R$58,"")</f>
        <v>0</v>
      </c>
      <c r="S61" s="879">
        <f t="shared" si="25"/>
        <v>0</v>
      </c>
      <c r="T61" s="879">
        <f t="shared" si="25"/>
        <v>0</v>
      </c>
      <c r="U61" s="879">
        <f t="shared" si="25"/>
        <v>0</v>
      </c>
      <c r="V61" s="879">
        <f t="shared" si="25"/>
        <v>0</v>
      </c>
      <c r="W61" s="879">
        <f t="shared" si="25"/>
        <v>0</v>
      </c>
      <c r="X61" s="879">
        <f t="shared" si="25"/>
        <v>0</v>
      </c>
      <c r="Y61" s="879">
        <f t="shared" si="25"/>
        <v>0</v>
      </c>
      <c r="Z61" s="879">
        <f t="shared" si="25"/>
        <v>0</v>
      </c>
      <c r="AA61" s="879">
        <f t="shared" si="25"/>
        <v>0</v>
      </c>
      <c r="AB61" s="879">
        <f t="shared" si="25"/>
        <v>0</v>
      </c>
      <c r="AC61" s="879">
        <f t="shared" si="25"/>
        <v>0</v>
      </c>
      <c r="AD61" s="879">
        <f t="shared" si="25"/>
        <v>0</v>
      </c>
      <c r="AE61" s="879">
        <f t="shared" si="25"/>
        <v>0</v>
      </c>
    </row>
    <row r="62" hidden="1" outlineLevel="1">
      <c r="A62" s="878" t="s">
        <v>1051</v>
      </c>
      <c r="B62" s="918" t="str">
        <f t="shared" ref="B62:AE62" si="26">iferror(B36/B$39,"")</f>
        <v/>
      </c>
      <c r="C62" s="918" t="str">
        <f t="shared" si="26"/>
        <v/>
      </c>
      <c r="D62" s="918" t="str">
        <f t="shared" si="26"/>
        <v/>
      </c>
      <c r="E62" s="918" t="str">
        <f t="shared" si="26"/>
        <v/>
      </c>
      <c r="F62" s="918" t="str">
        <f t="shared" si="26"/>
        <v/>
      </c>
      <c r="G62" s="918" t="str">
        <f t="shared" si="26"/>
        <v/>
      </c>
      <c r="H62" s="918" t="str">
        <f t="shared" si="26"/>
        <v/>
      </c>
      <c r="I62" s="918" t="str">
        <f t="shared" si="26"/>
        <v/>
      </c>
      <c r="J62" s="918" t="str">
        <f t="shared" si="26"/>
        <v/>
      </c>
      <c r="K62" s="918" t="str">
        <f t="shared" si="26"/>
        <v/>
      </c>
      <c r="L62" s="918" t="str">
        <f t="shared" si="26"/>
        <v/>
      </c>
      <c r="M62" s="918" t="str">
        <f t="shared" si="26"/>
        <v/>
      </c>
      <c r="N62" s="918" t="str">
        <f t="shared" si="26"/>
        <v/>
      </c>
      <c r="O62" s="918" t="str">
        <f t="shared" si="26"/>
        <v/>
      </c>
      <c r="P62" s="879">
        <f t="shared" si="26"/>
        <v>0.4</v>
      </c>
      <c r="Q62" s="879">
        <f t="shared" si="26"/>
        <v>0.1923076923</v>
      </c>
      <c r="R62" s="879">
        <f t="shared" si="26"/>
        <v>0.2608695652</v>
      </c>
      <c r="S62" s="879">
        <f t="shared" si="26"/>
        <v>0.2083333333</v>
      </c>
      <c r="T62" s="879">
        <f t="shared" si="26"/>
        <v>0.5</v>
      </c>
      <c r="U62" s="879">
        <f t="shared" si="26"/>
        <v>0.1304347826</v>
      </c>
      <c r="V62" s="879">
        <f t="shared" si="26"/>
        <v>0.28</v>
      </c>
      <c r="W62" s="879">
        <f t="shared" si="26"/>
        <v>0.3157894737</v>
      </c>
      <c r="X62" s="879">
        <f t="shared" si="26"/>
        <v>0.2857142857</v>
      </c>
      <c r="Y62" s="879">
        <f t="shared" si="26"/>
        <v>0.2380952381</v>
      </c>
      <c r="Z62" s="879">
        <f t="shared" si="26"/>
        <v>0.3571428571</v>
      </c>
      <c r="AA62" s="879">
        <f t="shared" si="26"/>
        <v>0.3888888889</v>
      </c>
      <c r="AB62" s="879">
        <f t="shared" si="26"/>
        <v>0.2463768116</v>
      </c>
      <c r="AC62" s="879">
        <f t="shared" si="26"/>
        <v>0.275</v>
      </c>
      <c r="AD62" s="879">
        <f t="shared" si="26"/>
        <v>0</v>
      </c>
      <c r="AE62" s="879">
        <f t="shared" si="26"/>
        <v>0.125</v>
      </c>
    </row>
    <row r="63" hidden="1" outlineLevel="1">
      <c r="A63" s="878" t="s">
        <v>1055</v>
      </c>
      <c r="B63" s="918" t="str">
        <f t="shared" ref="B63:AE63" si="27">iferror(B37/B$39,"")</f>
        <v/>
      </c>
      <c r="C63" s="918" t="str">
        <f t="shared" si="27"/>
        <v/>
      </c>
      <c r="D63" s="918" t="str">
        <f t="shared" si="27"/>
        <v/>
      </c>
      <c r="E63" s="918" t="str">
        <f t="shared" si="27"/>
        <v/>
      </c>
      <c r="F63" s="918" t="str">
        <f t="shared" si="27"/>
        <v/>
      </c>
      <c r="G63" s="918" t="str">
        <f t="shared" si="27"/>
        <v/>
      </c>
      <c r="H63" s="918" t="str">
        <f t="shared" si="27"/>
        <v/>
      </c>
      <c r="I63" s="918" t="str">
        <f t="shared" si="27"/>
        <v/>
      </c>
      <c r="J63" s="918" t="str">
        <f t="shared" si="27"/>
        <v/>
      </c>
      <c r="K63" s="918" t="str">
        <f t="shared" si="27"/>
        <v/>
      </c>
      <c r="L63" s="918" t="str">
        <f t="shared" si="27"/>
        <v/>
      </c>
      <c r="M63" s="918" t="str">
        <f t="shared" si="27"/>
        <v/>
      </c>
      <c r="N63" s="918" t="str">
        <f t="shared" si="27"/>
        <v/>
      </c>
      <c r="O63" s="918" t="str">
        <f t="shared" si="27"/>
        <v/>
      </c>
      <c r="P63" s="879">
        <f t="shared" si="27"/>
        <v>0.2</v>
      </c>
      <c r="Q63" s="879">
        <f t="shared" si="27"/>
        <v>0.3461538462</v>
      </c>
      <c r="R63" s="879">
        <f t="shared" si="27"/>
        <v>0.2608695652</v>
      </c>
      <c r="S63" s="879">
        <f t="shared" si="27"/>
        <v>0.375</v>
      </c>
      <c r="T63" s="879">
        <f t="shared" si="27"/>
        <v>0.2</v>
      </c>
      <c r="U63" s="879">
        <f t="shared" si="27"/>
        <v>0.3043478261</v>
      </c>
      <c r="V63" s="879">
        <f t="shared" si="27"/>
        <v>0.32</v>
      </c>
      <c r="W63" s="879">
        <f t="shared" si="27"/>
        <v>0.3684210526</v>
      </c>
      <c r="X63" s="879">
        <f t="shared" si="27"/>
        <v>0.380952381</v>
      </c>
      <c r="Y63" s="879">
        <f t="shared" si="27"/>
        <v>0.3571428571</v>
      </c>
      <c r="Z63" s="879">
        <f t="shared" si="27"/>
        <v>0.3214285714</v>
      </c>
      <c r="AA63" s="879">
        <f t="shared" si="27"/>
        <v>0.2777777778</v>
      </c>
      <c r="AB63" s="879">
        <f t="shared" si="27"/>
        <v>0.3623188406</v>
      </c>
      <c r="AC63" s="879">
        <f t="shared" si="27"/>
        <v>0.35</v>
      </c>
      <c r="AD63" s="879">
        <f t="shared" si="27"/>
        <v>0.4285714286</v>
      </c>
      <c r="AE63" s="879">
        <f t="shared" si="27"/>
        <v>0.5</v>
      </c>
    </row>
    <row r="64" hidden="1" outlineLevel="1">
      <c r="A64" s="878" t="s">
        <v>1061</v>
      </c>
      <c r="B64" s="918" t="str">
        <f t="shared" ref="B64:AE64" si="28">iferror(B38/B$39,"")</f>
        <v/>
      </c>
      <c r="C64" s="918" t="str">
        <f t="shared" si="28"/>
        <v/>
      </c>
      <c r="D64" s="918" t="str">
        <f t="shared" si="28"/>
        <v/>
      </c>
      <c r="E64" s="918" t="str">
        <f t="shared" si="28"/>
        <v/>
      </c>
      <c r="F64" s="918" t="str">
        <f t="shared" si="28"/>
        <v/>
      </c>
      <c r="G64" s="918" t="str">
        <f t="shared" si="28"/>
        <v/>
      </c>
      <c r="H64" s="918" t="str">
        <f t="shared" si="28"/>
        <v/>
      </c>
      <c r="I64" s="918" t="str">
        <f t="shared" si="28"/>
        <v/>
      </c>
      <c r="J64" s="918" t="str">
        <f t="shared" si="28"/>
        <v/>
      </c>
      <c r="K64" s="918" t="str">
        <f t="shared" si="28"/>
        <v/>
      </c>
      <c r="L64" s="918" t="str">
        <f t="shared" si="28"/>
        <v/>
      </c>
      <c r="M64" s="918" t="str">
        <f t="shared" si="28"/>
        <v/>
      </c>
      <c r="N64" s="918" t="str">
        <f t="shared" si="28"/>
        <v/>
      </c>
      <c r="O64" s="918" t="str">
        <f t="shared" si="28"/>
        <v/>
      </c>
      <c r="P64" s="879">
        <f t="shared" si="28"/>
        <v>0.4</v>
      </c>
      <c r="Q64" s="879">
        <f t="shared" si="28"/>
        <v>0.4615384615</v>
      </c>
      <c r="R64" s="879">
        <f t="shared" si="28"/>
        <v>0.4782608696</v>
      </c>
      <c r="S64" s="879">
        <f t="shared" si="28"/>
        <v>0.4166666667</v>
      </c>
      <c r="T64" s="879">
        <f t="shared" si="28"/>
        <v>0.3</v>
      </c>
      <c r="U64" s="879">
        <f t="shared" si="28"/>
        <v>0.5652173913</v>
      </c>
      <c r="V64" s="879">
        <f t="shared" si="28"/>
        <v>0.4</v>
      </c>
      <c r="W64" s="879">
        <f t="shared" si="28"/>
        <v>0.3157894737</v>
      </c>
      <c r="X64" s="879">
        <f t="shared" si="28"/>
        <v>0.3333333333</v>
      </c>
      <c r="Y64" s="879">
        <f t="shared" si="28"/>
        <v>0.4047619048</v>
      </c>
      <c r="Z64" s="879">
        <f t="shared" si="28"/>
        <v>0.3214285714</v>
      </c>
      <c r="AA64" s="879">
        <f t="shared" si="28"/>
        <v>0.3333333333</v>
      </c>
      <c r="AB64" s="879">
        <f t="shared" si="28"/>
        <v>0.3913043478</v>
      </c>
      <c r="AC64" s="879">
        <f t="shared" si="28"/>
        <v>0.375</v>
      </c>
      <c r="AD64" s="879">
        <f t="shared" si="28"/>
        <v>0.5714285714</v>
      </c>
      <c r="AE64" s="879">
        <f t="shared" si="28"/>
        <v>0.375</v>
      </c>
    </row>
    <row r="65" hidden="1" outlineLevel="1">
      <c r="A65" s="923"/>
      <c r="B65" s="924" t="str">
        <f t="shared" ref="B65:O65" si="29">iferror(B39/B$58,"")</f>
        <v/>
      </c>
      <c r="C65" s="924" t="str">
        <f t="shared" si="29"/>
        <v/>
      </c>
      <c r="D65" s="924" t="str">
        <f t="shared" si="29"/>
        <v/>
      </c>
      <c r="E65" s="924" t="str">
        <f t="shared" si="29"/>
        <v/>
      </c>
      <c r="F65" s="924" t="str">
        <f t="shared" si="29"/>
        <v/>
      </c>
      <c r="G65" s="924" t="str">
        <f t="shared" si="29"/>
        <v/>
      </c>
      <c r="H65" s="924" t="str">
        <f t="shared" si="29"/>
        <v/>
      </c>
      <c r="I65" s="924" t="str">
        <f t="shared" si="29"/>
        <v/>
      </c>
      <c r="J65" s="924" t="str">
        <f t="shared" si="29"/>
        <v/>
      </c>
      <c r="K65" s="924" t="str">
        <f t="shared" si="29"/>
        <v/>
      </c>
      <c r="L65" s="924" t="str">
        <f t="shared" si="29"/>
        <v/>
      </c>
      <c r="M65" s="924" t="str">
        <f t="shared" si="29"/>
        <v/>
      </c>
      <c r="N65" s="924" t="str">
        <f t="shared" si="29"/>
        <v/>
      </c>
      <c r="O65" s="924" t="str">
        <f t="shared" si="29"/>
        <v/>
      </c>
      <c r="P65" s="898"/>
      <c r="Q65" s="898"/>
      <c r="R65" s="898">
        <f t="shared" ref="R65:AE65" si="30">iferror(R39/R$58,"")</f>
        <v>0.05974025974</v>
      </c>
      <c r="S65" s="898">
        <f t="shared" si="30"/>
        <v>0.05206073753</v>
      </c>
      <c r="T65" s="898">
        <f t="shared" si="30"/>
        <v>0.04310344828</v>
      </c>
      <c r="U65" s="898">
        <f t="shared" si="30"/>
        <v>0.04693877551</v>
      </c>
      <c r="V65" s="898">
        <f t="shared" si="30"/>
        <v>0.04816955684</v>
      </c>
      <c r="W65" s="898">
        <f t="shared" si="30"/>
        <v>0.07279693487</v>
      </c>
      <c r="X65" s="898">
        <f t="shared" si="30"/>
        <v>0.05005959476</v>
      </c>
      <c r="Y65" s="898">
        <f t="shared" si="30"/>
        <v>0.05144957125</v>
      </c>
      <c r="Z65" s="898">
        <f t="shared" si="30"/>
        <v>0.03645833333</v>
      </c>
      <c r="AA65" s="898">
        <f t="shared" si="30"/>
        <v>0.03821656051</v>
      </c>
      <c r="AB65" s="898">
        <f t="shared" si="30"/>
        <v>0.03940605368</v>
      </c>
      <c r="AC65" s="898">
        <f t="shared" si="30"/>
        <v>0.03352891869</v>
      </c>
      <c r="AD65" s="898">
        <f t="shared" si="30"/>
        <v>0.02333333333</v>
      </c>
      <c r="AE65" s="898">
        <f t="shared" si="30"/>
        <v>0.0412371134</v>
      </c>
    </row>
    <row r="66" collapsed="1">
      <c r="A66" s="878" t="s">
        <v>1071</v>
      </c>
      <c r="B66" s="918" t="str">
        <f t="shared" ref="B66:AE66" si="31">iferror(B40/B$58,"")</f>
        <v/>
      </c>
      <c r="C66" s="918" t="str">
        <f t="shared" si="31"/>
        <v/>
      </c>
      <c r="D66" s="918" t="str">
        <f t="shared" si="31"/>
        <v/>
      </c>
      <c r="E66" s="918" t="str">
        <f t="shared" si="31"/>
        <v/>
      </c>
      <c r="F66" s="918" t="str">
        <f t="shared" si="31"/>
        <v/>
      </c>
      <c r="G66" s="918" t="str">
        <f t="shared" si="31"/>
        <v/>
      </c>
      <c r="H66" s="918" t="str">
        <f t="shared" si="31"/>
        <v/>
      </c>
      <c r="I66" s="918" t="str">
        <f t="shared" si="31"/>
        <v/>
      </c>
      <c r="J66" s="918" t="str">
        <f t="shared" si="31"/>
        <v/>
      </c>
      <c r="K66" s="918" t="str">
        <f t="shared" si="31"/>
        <v/>
      </c>
      <c r="L66" s="918" t="str">
        <f t="shared" si="31"/>
        <v/>
      </c>
      <c r="M66" s="918" t="str">
        <f t="shared" si="31"/>
        <v/>
      </c>
      <c r="N66" s="918" t="str">
        <f t="shared" si="31"/>
        <v/>
      </c>
      <c r="O66" s="918" t="str">
        <f t="shared" si="31"/>
        <v/>
      </c>
      <c r="P66" s="879">
        <f t="shared" si="31"/>
        <v>0.2048192771</v>
      </c>
      <c r="Q66" s="879">
        <f t="shared" si="31"/>
        <v>0.1875</v>
      </c>
      <c r="R66" s="879">
        <f t="shared" si="31"/>
        <v>0.2181818182</v>
      </c>
      <c r="S66" s="879">
        <f t="shared" si="31"/>
        <v>0.2104121475</v>
      </c>
      <c r="T66" s="879">
        <f t="shared" si="31"/>
        <v>0.1573275862</v>
      </c>
      <c r="U66" s="879">
        <f t="shared" si="31"/>
        <v>0.1734693878</v>
      </c>
      <c r="V66" s="879">
        <f t="shared" si="31"/>
        <v>0.1868978805</v>
      </c>
      <c r="W66" s="879">
        <f t="shared" si="31"/>
        <v>0.2107279693</v>
      </c>
      <c r="X66" s="879">
        <f t="shared" si="31"/>
        <v>0.2133492253</v>
      </c>
      <c r="Y66" s="879">
        <f t="shared" si="31"/>
        <v>0.1845651286</v>
      </c>
      <c r="Z66" s="879">
        <f t="shared" si="31"/>
        <v>0.1770833333</v>
      </c>
      <c r="AA66" s="879">
        <f t="shared" si="31"/>
        <v>0.1634819533</v>
      </c>
      <c r="AB66" s="879">
        <f t="shared" si="31"/>
        <v>0.1804683038</v>
      </c>
      <c r="AC66" s="879">
        <f t="shared" si="31"/>
        <v>0.1634534786</v>
      </c>
      <c r="AD66" s="879">
        <f t="shared" si="31"/>
        <v>0.1533333333</v>
      </c>
      <c r="AE66" s="879">
        <f t="shared" si="31"/>
        <v>0.2268041237</v>
      </c>
    </row>
    <row r="67" hidden="1" outlineLevel="1">
      <c r="A67" s="919" t="s">
        <v>1047</v>
      </c>
      <c r="B67" s="918"/>
      <c r="C67" s="918"/>
      <c r="D67" s="918"/>
      <c r="E67" s="918"/>
      <c r="F67" s="918"/>
      <c r="G67" s="918"/>
      <c r="H67" s="918"/>
      <c r="I67" s="918"/>
      <c r="J67" s="918"/>
      <c r="K67" s="918"/>
      <c r="L67" s="918"/>
      <c r="M67" s="918"/>
      <c r="N67" s="918"/>
      <c r="O67" s="918"/>
      <c r="P67" s="879"/>
      <c r="Q67" s="879"/>
      <c r="R67" s="879"/>
      <c r="S67" s="879"/>
      <c r="T67" s="879"/>
      <c r="U67" s="879"/>
      <c r="V67" s="879"/>
      <c r="W67" s="879"/>
      <c r="X67" s="879"/>
      <c r="Y67" s="879"/>
      <c r="Z67" s="879"/>
      <c r="AA67" s="879"/>
      <c r="AB67" s="879"/>
      <c r="AC67" s="879"/>
      <c r="AD67" s="879"/>
      <c r="AE67" s="879"/>
    </row>
    <row r="68" hidden="1" outlineLevel="1">
      <c r="A68" s="878" t="s">
        <v>1051</v>
      </c>
      <c r="B68" s="918" t="str">
        <f t="shared" ref="B68:AE68" si="32">iferror(B42/B$45,"")</f>
        <v/>
      </c>
      <c r="C68" s="918" t="str">
        <f t="shared" si="32"/>
        <v/>
      </c>
      <c r="D68" s="918" t="str">
        <f t="shared" si="32"/>
        <v/>
      </c>
      <c r="E68" s="918" t="str">
        <f t="shared" si="32"/>
        <v/>
      </c>
      <c r="F68" s="918" t="str">
        <f t="shared" si="32"/>
        <v/>
      </c>
      <c r="G68" s="918" t="str">
        <f t="shared" si="32"/>
        <v/>
      </c>
      <c r="H68" s="918" t="str">
        <f t="shared" si="32"/>
        <v/>
      </c>
      <c r="I68" s="918" t="str">
        <f t="shared" si="32"/>
        <v/>
      </c>
      <c r="J68" s="918" t="str">
        <f t="shared" si="32"/>
        <v/>
      </c>
      <c r="K68" s="918" t="str">
        <f t="shared" si="32"/>
        <v/>
      </c>
      <c r="L68" s="918" t="str">
        <f t="shared" si="32"/>
        <v/>
      </c>
      <c r="M68" s="918" t="str">
        <f t="shared" si="32"/>
        <v/>
      </c>
      <c r="N68" s="918" t="str">
        <f t="shared" si="32"/>
        <v/>
      </c>
      <c r="O68" s="918" t="str">
        <f t="shared" si="32"/>
        <v/>
      </c>
      <c r="P68" s="879">
        <f t="shared" si="32"/>
        <v>0.2941176471</v>
      </c>
      <c r="Q68" s="879">
        <f t="shared" si="32"/>
        <v>0.1515151515</v>
      </c>
      <c r="R68" s="879">
        <f t="shared" si="32"/>
        <v>0.2857142857</v>
      </c>
      <c r="S68" s="879">
        <f t="shared" si="32"/>
        <v>0.2783505155</v>
      </c>
      <c r="T68" s="879">
        <f t="shared" si="32"/>
        <v>0.2602739726</v>
      </c>
      <c r="U68" s="879">
        <f t="shared" si="32"/>
        <v>0.2117647059</v>
      </c>
      <c r="V68" s="879">
        <f t="shared" si="32"/>
        <v>0.2268041237</v>
      </c>
      <c r="W68" s="879">
        <f t="shared" si="32"/>
        <v>0.2606060606</v>
      </c>
      <c r="X68" s="879">
        <f t="shared" si="32"/>
        <v>0.2159090909</v>
      </c>
      <c r="Y68" s="879">
        <f t="shared" si="32"/>
        <v>0.2168141593</v>
      </c>
      <c r="Z68" s="879">
        <f t="shared" si="32"/>
        <v>0.2794117647</v>
      </c>
      <c r="AA68" s="879">
        <f t="shared" si="32"/>
        <v>0.2077922078</v>
      </c>
      <c r="AB68" s="879">
        <f t="shared" si="32"/>
        <v>0.2232704403</v>
      </c>
      <c r="AC68" s="879">
        <f t="shared" si="32"/>
        <v>0.2615384615</v>
      </c>
      <c r="AD68" s="879">
        <f t="shared" si="32"/>
        <v>0.2826086957</v>
      </c>
      <c r="AE68" s="879">
        <f t="shared" si="32"/>
        <v>0.2272727273</v>
      </c>
    </row>
    <row r="69" hidden="1" outlineLevel="1">
      <c r="A69" s="878" t="s">
        <v>1055</v>
      </c>
      <c r="B69" s="918" t="str">
        <f t="shared" ref="B69:AE69" si="33">iferror(B43/B$45,"")</f>
        <v/>
      </c>
      <c r="C69" s="918" t="str">
        <f t="shared" si="33"/>
        <v/>
      </c>
      <c r="D69" s="918" t="str">
        <f t="shared" si="33"/>
        <v/>
      </c>
      <c r="E69" s="918" t="str">
        <f t="shared" si="33"/>
        <v/>
      </c>
      <c r="F69" s="918" t="str">
        <f t="shared" si="33"/>
        <v/>
      </c>
      <c r="G69" s="918" t="str">
        <f t="shared" si="33"/>
        <v/>
      </c>
      <c r="H69" s="918" t="str">
        <f t="shared" si="33"/>
        <v/>
      </c>
      <c r="I69" s="918" t="str">
        <f t="shared" si="33"/>
        <v/>
      </c>
      <c r="J69" s="918" t="str">
        <f t="shared" si="33"/>
        <v/>
      </c>
      <c r="K69" s="918" t="str">
        <f t="shared" si="33"/>
        <v/>
      </c>
      <c r="L69" s="918" t="str">
        <f t="shared" si="33"/>
        <v/>
      </c>
      <c r="M69" s="918" t="str">
        <f t="shared" si="33"/>
        <v/>
      </c>
      <c r="N69" s="918" t="str">
        <f t="shared" si="33"/>
        <v/>
      </c>
      <c r="O69" s="918" t="str">
        <f t="shared" si="33"/>
        <v/>
      </c>
      <c r="P69" s="879">
        <f t="shared" si="33"/>
        <v>0.2549019608</v>
      </c>
      <c r="Q69" s="879">
        <f t="shared" si="33"/>
        <v>0.4393939394</v>
      </c>
      <c r="R69" s="879">
        <f t="shared" si="33"/>
        <v>0.4166666667</v>
      </c>
      <c r="S69" s="879">
        <f t="shared" si="33"/>
        <v>0.3505154639</v>
      </c>
      <c r="T69" s="879">
        <f t="shared" si="33"/>
        <v>0.301369863</v>
      </c>
      <c r="U69" s="879">
        <f t="shared" si="33"/>
        <v>0.2823529412</v>
      </c>
      <c r="V69" s="879">
        <f t="shared" si="33"/>
        <v>0.3402061856</v>
      </c>
      <c r="W69" s="879">
        <f t="shared" si="33"/>
        <v>0.3272727273</v>
      </c>
      <c r="X69" s="879">
        <f t="shared" si="33"/>
        <v>0.3693181818</v>
      </c>
      <c r="Y69" s="879">
        <f t="shared" si="33"/>
        <v>0.3938053097</v>
      </c>
      <c r="Z69" s="879">
        <f t="shared" si="33"/>
        <v>0.3272058824</v>
      </c>
      <c r="AA69" s="879">
        <f t="shared" si="33"/>
        <v>0.3636363636</v>
      </c>
      <c r="AB69" s="879">
        <f t="shared" si="33"/>
        <v>0.3993710692</v>
      </c>
      <c r="AC69" s="879">
        <f t="shared" si="33"/>
        <v>0.2923076923</v>
      </c>
      <c r="AD69" s="879">
        <f t="shared" si="33"/>
        <v>0.3260869565</v>
      </c>
      <c r="AE69" s="879">
        <f t="shared" si="33"/>
        <v>0.3636363636</v>
      </c>
    </row>
    <row r="70" hidden="1" outlineLevel="1">
      <c r="A70" s="878" t="s">
        <v>1061</v>
      </c>
      <c r="B70" s="918" t="str">
        <f t="shared" ref="B70:AE70" si="34">iferror(B44/B$45,"")</f>
        <v/>
      </c>
      <c r="C70" s="918" t="str">
        <f t="shared" si="34"/>
        <v/>
      </c>
      <c r="D70" s="918" t="str">
        <f t="shared" si="34"/>
        <v/>
      </c>
      <c r="E70" s="918" t="str">
        <f t="shared" si="34"/>
        <v/>
      </c>
      <c r="F70" s="918" t="str">
        <f t="shared" si="34"/>
        <v/>
      </c>
      <c r="G70" s="918" t="str">
        <f t="shared" si="34"/>
        <v/>
      </c>
      <c r="H70" s="918" t="str">
        <f t="shared" si="34"/>
        <v/>
      </c>
      <c r="I70" s="918" t="str">
        <f t="shared" si="34"/>
        <v/>
      </c>
      <c r="J70" s="918" t="str">
        <f t="shared" si="34"/>
        <v/>
      </c>
      <c r="K70" s="918" t="str">
        <f t="shared" si="34"/>
        <v/>
      </c>
      <c r="L70" s="918" t="str">
        <f t="shared" si="34"/>
        <v/>
      </c>
      <c r="M70" s="918" t="str">
        <f t="shared" si="34"/>
        <v/>
      </c>
      <c r="N70" s="918" t="str">
        <f t="shared" si="34"/>
        <v/>
      </c>
      <c r="O70" s="918" t="str">
        <f t="shared" si="34"/>
        <v/>
      </c>
      <c r="P70" s="879">
        <f t="shared" si="34"/>
        <v>0.4509803922</v>
      </c>
      <c r="Q70" s="879">
        <f t="shared" si="34"/>
        <v>0.4090909091</v>
      </c>
      <c r="R70" s="879">
        <f t="shared" si="34"/>
        <v>0.2976190476</v>
      </c>
      <c r="S70" s="879">
        <f t="shared" si="34"/>
        <v>0.3711340206</v>
      </c>
      <c r="T70" s="879">
        <f t="shared" si="34"/>
        <v>0.4383561644</v>
      </c>
      <c r="U70" s="879">
        <f t="shared" si="34"/>
        <v>0.5058823529</v>
      </c>
      <c r="V70" s="879">
        <f t="shared" si="34"/>
        <v>0.4329896907</v>
      </c>
      <c r="W70" s="879">
        <f t="shared" si="34"/>
        <v>0.4121212121</v>
      </c>
      <c r="X70" s="879">
        <f t="shared" si="34"/>
        <v>0.4147727273</v>
      </c>
      <c r="Y70" s="879">
        <f t="shared" si="34"/>
        <v>0.389380531</v>
      </c>
      <c r="Z70" s="879">
        <f t="shared" si="34"/>
        <v>0.3933823529</v>
      </c>
      <c r="AA70" s="879">
        <f t="shared" si="34"/>
        <v>0.4285714286</v>
      </c>
      <c r="AB70" s="879">
        <f t="shared" si="34"/>
        <v>0.3773584906</v>
      </c>
      <c r="AC70" s="879">
        <f t="shared" si="34"/>
        <v>0.4461538462</v>
      </c>
      <c r="AD70" s="879">
        <f t="shared" si="34"/>
        <v>0.3913043478</v>
      </c>
      <c r="AE70" s="879">
        <f t="shared" si="34"/>
        <v>0.4090909091</v>
      </c>
    </row>
    <row r="71" hidden="1" outlineLevel="1">
      <c r="A71" s="923"/>
      <c r="B71" s="924"/>
      <c r="C71" s="924"/>
      <c r="D71" s="924"/>
      <c r="E71" s="924"/>
      <c r="F71" s="924"/>
      <c r="G71" s="924"/>
      <c r="H71" s="924"/>
      <c r="I71" s="924"/>
      <c r="J71" s="924"/>
      <c r="K71" s="924"/>
      <c r="L71" s="924"/>
      <c r="M71" s="924"/>
      <c r="N71" s="924"/>
      <c r="O71" s="924"/>
      <c r="P71" s="898"/>
      <c r="Q71" s="898"/>
      <c r="R71" s="898"/>
      <c r="S71" s="898"/>
      <c r="T71" s="898"/>
      <c r="U71" s="898"/>
      <c r="V71" s="898"/>
      <c r="W71" s="898"/>
      <c r="X71" s="898"/>
      <c r="Y71" s="898"/>
      <c r="Z71" s="898"/>
      <c r="AA71" s="898"/>
      <c r="AB71" s="898"/>
      <c r="AC71" s="898"/>
      <c r="AD71" s="898"/>
      <c r="AE71" s="898"/>
    </row>
    <row r="72" collapsed="1">
      <c r="A72" s="878" t="s">
        <v>1090</v>
      </c>
      <c r="B72" s="918" t="str">
        <f t="shared" ref="B72:AE72" si="35">iferror(B46/B$58,"")</f>
        <v/>
      </c>
      <c r="C72" s="918" t="str">
        <f t="shared" si="35"/>
        <v/>
      </c>
      <c r="D72" s="918" t="str">
        <f t="shared" si="35"/>
        <v/>
      </c>
      <c r="E72" s="918" t="str">
        <f t="shared" si="35"/>
        <v/>
      </c>
      <c r="F72" s="918" t="str">
        <f t="shared" si="35"/>
        <v/>
      </c>
      <c r="G72" s="918" t="str">
        <f t="shared" si="35"/>
        <v/>
      </c>
      <c r="H72" s="918" t="str">
        <f t="shared" si="35"/>
        <v/>
      </c>
      <c r="I72" s="918" t="str">
        <f t="shared" si="35"/>
        <v/>
      </c>
      <c r="J72" s="918" t="str">
        <f t="shared" si="35"/>
        <v/>
      </c>
      <c r="K72" s="918" t="str">
        <f t="shared" si="35"/>
        <v/>
      </c>
      <c r="L72" s="918" t="str">
        <f t="shared" si="35"/>
        <v/>
      </c>
      <c r="M72" s="918" t="str">
        <f t="shared" si="35"/>
        <v/>
      </c>
      <c r="N72" s="918" t="str">
        <f t="shared" si="35"/>
        <v/>
      </c>
      <c r="O72" s="918" t="str">
        <f t="shared" si="35"/>
        <v/>
      </c>
      <c r="P72" s="879">
        <f t="shared" si="35"/>
        <v>0.4297188755</v>
      </c>
      <c r="Q72" s="879">
        <f t="shared" si="35"/>
        <v>0.5085227273</v>
      </c>
      <c r="R72" s="879">
        <f t="shared" si="35"/>
        <v>0.4571428571</v>
      </c>
      <c r="S72" s="879">
        <f t="shared" si="35"/>
        <v>0.5292841649</v>
      </c>
      <c r="T72" s="879">
        <f t="shared" si="35"/>
        <v>0.5474137931</v>
      </c>
      <c r="U72" s="879">
        <f t="shared" si="35"/>
        <v>0.4734693878</v>
      </c>
      <c r="V72" s="879">
        <f t="shared" si="35"/>
        <v>0.4778420039</v>
      </c>
      <c r="W72" s="879">
        <f t="shared" si="35"/>
        <v>0.466155811</v>
      </c>
      <c r="X72" s="879">
        <f t="shared" si="35"/>
        <v>0.4910607867</v>
      </c>
      <c r="Y72" s="879">
        <f t="shared" si="35"/>
        <v>0.5185790118</v>
      </c>
      <c r="Z72" s="879">
        <f t="shared" si="35"/>
        <v>0.552734375</v>
      </c>
      <c r="AA72" s="879">
        <f t="shared" si="35"/>
        <v>0.5668789809</v>
      </c>
      <c r="AB72" s="879">
        <f t="shared" si="35"/>
        <v>0.5037121645</v>
      </c>
      <c r="AC72" s="879">
        <f t="shared" si="35"/>
        <v>0.5666387259</v>
      </c>
      <c r="AD72" s="879">
        <f t="shared" si="35"/>
        <v>0.5</v>
      </c>
      <c r="AE72" s="879">
        <f t="shared" si="35"/>
        <v>0.412371134</v>
      </c>
    </row>
    <row r="73" hidden="1" outlineLevel="1">
      <c r="A73" s="919" t="s">
        <v>1047</v>
      </c>
      <c r="B73" s="918"/>
      <c r="C73" s="918"/>
      <c r="D73" s="918"/>
      <c r="E73" s="918"/>
      <c r="F73" s="918"/>
      <c r="G73" s="918"/>
      <c r="H73" s="918"/>
      <c r="I73" s="918"/>
      <c r="J73" s="918"/>
      <c r="K73" s="918"/>
      <c r="L73" s="918"/>
      <c r="M73" s="918"/>
      <c r="N73" s="918"/>
      <c r="O73" s="918"/>
      <c r="P73" s="879"/>
      <c r="Q73" s="879"/>
      <c r="R73" s="879"/>
      <c r="S73" s="879"/>
      <c r="T73" s="879"/>
      <c r="U73" s="879"/>
      <c r="V73" s="879"/>
      <c r="W73" s="879"/>
      <c r="X73" s="879"/>
      <c r="Y73" s="879"/>
      <c r="Z73" s="879"/>
      <c r="AA73" s="879"/>
      <c r="AB73" s="879"/>
      <c r="AC73" s="879"/>
      <c r="AD73" s="879"/>
      <c r="AE73" s="879"/>
    </row>
    <row r="74" hidden="1" outlineLevel="1">
      <c r="A74" s="878" t="s">
        <v>1051</v>
      </c>
      <c r="B74" s="918" t="str">
        <f t="shared" ref="B74:AE74" si="36">iferror(B48/B$51,"")</f>
        <v/>
      </c>
      <c r="C74" s="918" t="str">
        <f t="shared" si="36"/>
        <v/>
      </c>
      <c r="D74" s="918" t="str">
        <f t="shared" si="36"/>
        <v/>
      </c>
      <c r="E74" s="918" t="str">
        <f t="shared" si="36"/>
        <v/>
      </c>
      <c r="F74" s="918" t="str">
        <f t="shared" si="36"/>
        <v/>
      </c>
      <c r="G74" s="918" t="str">
        <f t="shared" si="36"/>
        <v/>
      </c>
      <c r="H74" s="918" t="str">
        <f t="shared" si="36"/>
        <v/>
      </c>
      <c r="I74" s="918" t="str">
        <f t="shared" si="36"/>
        <v/>
      </c>
      <c r="J74" s="918" t="str">
        <f t="shared" si="36"/>
        <v/>
      </c>
      <c r="K74" s="918" t="str">
        <f t="shared" si="36"/>
        <v/>
      </c>
      <c r="L74" s="918" t="str">
        <f t="shared" si="36"/>
        <v/>
      </c>
      <c r="M74" s="918" t="str">
        <f t="shared" si="36"/>
        <v/>
      </c>
      <c r="N74" s="918" t="str">
        <f t="shared" si="36"/>
        <v/>
      </c>
      <c r="O74" s="918" t="str">
        <f t="shared" si="36"/>
        <v/>
      </c>
      <c r="P74" s="879">
        <f t="shared" si="36"/>
        <v>0.1588785047</v>
      </c>
      <c r="Q74" s="879">
        <f t="shared" si="36"/>
        <v>0.1731843575</v>
      </c>
      <c r="R74" s="879">
        <f t="shared" si="36"/>
        <v>0.1818181818</v>
      </c>
      <c r="S74" s="879">
        <f t="shared" si="36"/>
        <v>0.2008196721</v>
      </c>
      <c r="T74" s="879">
        <f t="shared" si="36"/>
        <v>0.1535433071</v>
      </c>
      <c r="U74" s="879">
        <f t="shared" si="36"/>
        <v>0.2068965517</v>
      </c>
      <c r="V74" s="879">
        <f t="shared" si="36"/>
        <v>0.185483871</v>
      </c>
      <c r="W74" s="879">
        <f t="shared" si="36"/>
        <v>0.1780821918</v>
      </c>
      <c r="X74" s="879">
        <f t="shared" si="36"/>
        <v>0.1723300971</v>
      </c>
      <c r="Y74" s="879">
        <f t="shared" si="36"/>
        <v>0.1755905512</v>
      </c>
      <c r="Z74" s="879">
        <f t="shared" si="36"/>
        <v>0.1590106007</v>
      </c>
      <c r="AA74" s="879">
        <f t="shared" si="36"/>
        <v>0.1348314607</v>
      </c>
      <c r="AB74" s="879">
        <f t="shared" si="36"/>
        <v>0.1609977324</v>
      </c>
      <c r="AC74" s="879">
        <f t="shared" si="36"/>
        <v>0.1715976331</v>
      </c>
      <c r="AD74" s="879">
        <f t="shared" si="36"/>
        <v>0.6</v>
      </c>
      <c r="AE74" s="879">
        <f t="shared" si="36"/>
        <v>0.15</v>
      </c>
    </row>
    <row r="75" hidden="1" outlineLevel="1">
      <c r="A75" s="878" t="s">
        <v>1055</v>
      </c>
      <c r="B75" s="918" t="str">
        <f t="shared" ref="B75:AE75" si="37">iferror(B49/B$51,"")</f>
        <v/>
      </c>
      <c r="C75" s="918" t="str">
        <f t="shared" si="37"/>
        <v/>
      </c>
      <c r="D75" s="918" t="str">
        <f t="shared" si="37"/>
        <v/>
      </c>
      <c r="E75" s="918" t="str">
        <f t="shared" si="37"/>
        <v/>
      </c>
      <c r="F75" s="918" t="str">
        <f t="shared" si="37"/>
        <v/>
      </c>
      <c r="G75" s="918" t="str">
        <f t="shared" si="37"/>
        <v/>
      </c>
      <c r="H75" s="918" t="str">
        <f t="shared" si="37"/>
        <v/>
      </c>
      <c r="I75" s="918" t="str">
        <f t="shared" si="37"/>
        <v/>
      </c>
      <c r="J75" s="918" t="str">
        <f t="shared" si="37"/>
        <v/>
      </c>
      <c r="K75" s="918" t="str">
        <f t="shared" si="37"/>
        <v/>
      </c>
      <c r="L75" s="918" t="str">
        <f t="shared" si="37"/>
        <v/>
      </c>
      <c r="M75" s="918" t="str">
        <f t="shared" si="37"/>
        <v/>
      </c>
      <c r="N75" s="918" t="str">
        <f t="shared" si="37"/>
        <v/>
      </c>
      <c r="O75" s="918" t="str">
        <f t="shared" si="37"/>
        <v/>
      </c>
      <c r="P75" s="879">
        <f t="shared" si="37"/>
        <v>0.3925233645</v>
      </c>
      <c r="Q75" s="879">
        <f t="shared" si="37"/>
        <v>0.3351955307</v>
      </c>
      <c r="R75" s="879">
        <f t="shared" si="37"/>
        <v>0.4375</v>
      </c>
      <c r="S75" s="879">
        <f t="shared" si="37"/>
        <v>0.3975409836</v>
      </c>
      <c r="T75" s="879">
        <f t="shared" si="37"/>
        <v>0.4448818898</v>
      </c>
      <c r="U75" s="879">
        <f t="shared" si="37"/>
        <v>0.3189655172</v>
      </c>
      <c r="V75" s="879">
        <f t="shared" si="37"/>
        <v>0.4475806452</v>
      </c>
      <c r="W75" s="879">
        <f t="shared" si="37"/>
        <v>0.3808219178</v>
      </c>
      <c r="X75" s="879">
        <f t="shared" si="37"/>
        <v>0.3834951456</v>
      </c>
      <c r="Y75" s="879">
        <f t="shared" si="37"/>
        <v>0.3692913386</v>
      </c>
      <c r="Z75" s="879">
        <f t="shared" si="37"/>
        <v>0.394581861</v>
      </c>
      <c r="AA75" s="879">
        <f t="shared" si="37"/>
        <v>0.4307116105</v>
      </c>
      <c r="AB75" s="879">
        <f t="shared" si="37"/>
        <v>0.3741496599</v>
      </c>
      <c r="AC75" s="879">
        <f t="shared" si="37"/>
        <v>0.3565088757</v>
      </c>
      <c r="AD75" s="879">
        <f t="shared" si="37"/>
        <v>0.1133333333</v>
      </c>
      <c r="AE75" s="879">
        <f t="shared" si="37"/>
        <v>0.3</v>
      </c>
    </row>
    <row r="76" hidden="1" outlineLevel="1">
      <c r="A76" s="878" t="s">
        <v>1061</v>
      </c>
      <c r="B76" s="918" t="str">
        <f t="shared" ref="B76:AE76" si="38">iferror(B50/B$51,"")</f>
        <v/>
      </c>
      <c r="C76" s="918" t="str">
        <f t="shared" si="38"/>
        <v/>
      </c>
      <c r="D76" s="918" t="str">
        <f t="shared" si="38"/>
        <v/>
      </c>
      <c r="E76" s="918" t="str">
        <f t="shared" si="38"/>
        <v/>
      </c>
      <c r="F76" s="918" t="str">
        <f t="shared" si="38"/>
        <v/>
      </c>
      <c r="G76" s="918" t="str">
        <f t="shared" si="38"/>
        <v/>
      </c>
      <c r="H76" s="918" t="str">
        <f t="shared" si="38"/>
        <v/>
      </c>
      <c r="I76" s="918" t="str">
        <f t="shared" si="38"/>
        <v/>
      </c>
      <c r="J76" s="918" t="str">
        <f t="shared" si="38"/>
        <v/>
      </c>
      <c r="K76" s="918" t="str">
        <f t="shared" si="38"/>
        <v/>
      </c>
      <c r="L76" s="918" t="str">
        <f t="shared" si="38"/>
        <v/>
      </c>
      <c r="M76" s="918" t="str">
        <f t="shared" si="38"/>
        <v/>
      </c>
      <c r="N76" s="918" t="str">
        <f t="shared" si="38"/>
        <v/>
      </c>
      <c r="O76" s="918" t="str">
        <f t="shared" si="38"/>
        <v/>
      </c>
      <c r="P76" s="879">
        <f t="shared" si="38"/>
        <v>0.4485981308</v>
      </c>
      <c r="Q76" s="879">
        <f t="shared" si="38"/>
        <v>0.4916201117</v>
      </c>
      <c r="R76" s="879">
        <f t="shared" si="38"/>
        <v>0.3806818182</v>
      </c>
      <c r="S76" s="879">
        <f t="shared" si="38"/>
        <v>0.4016393443</v>
      </c>
      <c r="T76" s="879">
        <f t="shared" si="38"/>
        <v>0.4015748031</v>
      </c>
      <c r="U76" s="879">
        <f t="shared" si="38"/>
        <v>0.474137931</v>
      </c>
      <c r="V76" s="879">
        <f t="shared" si="38"/>
        <v>0.3669354839</v>
      </c>
      <c r="W76" s="879">
        <f t="shared" si="38"/>
        <v>0.4410958904</v>
      </c>
      <c r="X76" s="879">
        <f t="shared" si="38"/>
        <v>0.4441747573</v>
      </c>
      <c r="Y76" s="879">
        <f t="shared" si="38"/>
        <v>0.4551181102</v>
      </c>
      <c r="Z76" s="879">
        <f t="shared" si="38"/>
        <v>0.4464075383</v>
      </c>
      <c r="AA76" s="879">
        <f t="shared" si="38"/>
        <v>0.4344569288</v>
      </c>
      <c r="AB76" s="879">
        <f t="shared" si="38"/>
        <v>0.4648526077</v>
      </c>
      <c r="AC76" s="879">
        <f t="shared" si="38"/>
        <v>0.4718934911</v>
      </c>
      <c r="AD76" s="879">
        <f t="shared" si="38"/>
        <v>0.2866666667</v>
      </c>
      <c r="AE76" s="879">
        <f t="shared" si="38"/>
        <v>0.55</v>
      </c>
    </row>
    <row r="77" hidden="1" outlineLevel="1">
      <c r="A77" s="923"/>
      <c r="B77" s="918"/>
      <c r="C77" s="918"/>
      <c r="D77" s="918"/>
      <c r="E77" s="918"/>
      <c r="F77" s="918"/>
      <c r="G77" s="918"/>
      <c r="H77" s="918"/>
      <c r="I77" s="918"/>
      <c r="J77" s="918"/>
      <c r="K77" s="918"/>
      <c r="L77" s="918"/>
      <c r="M77" s="918"/>
      <c r="N77" s="918"/>
      <c r="O77" s="918"/>
      <c r="P77" s="879"/>
      <c r="Q77" s="879"/>
      <c r="R77" s="879"/>
      <c r="S77" s="879"/>
      <c r="T77" s="879"/>
      <c r="U77" s="879"/>
      <c r="V77" s="879"/>
      <c r="W77" s="879"/>
      <c r="X77" s="879"/>
      <c r="Y77" s="879"/>
      <c r="Z77" s="879"/>
      <c r="AA77" s="879"/>
      <c r="AB77" s="879"/>
      <c r="AC77" s="879"/>
      <c r="AD77" s="879"/>
      <c r="AE77" s="879"/>
    </row>
    <row r="78" collapsed="1">
      <c r="A78" s="927" t="s">
        <v>1103</v>
      </c>
      <c r="B78" s="924" t="str">
        <f t="shared" ref="B78:AE78" si="39">iferror(B52/B$58,"")</f>
        <v/>
      </c>
      <c r="C78" s="924" t="str">
        <f t="shared" si="39"/>
        <v/>
      </c>
      <c r="D78" s="924" t="str">
        <f t="shared" si="39"/>
        <v/>
      </c>
      <c r="E78" s="924" t="str">
        <f t="shared" si="39"/>
        <v/>
      </c>
      <c r="F78" s="924" t="str">
        <f t="shared" si="39"/>
        <v/>
      </c>
      <c r="G78" s="924" t="str">
        <f t="shared" si="39"/>
        <v/>
      </c>
      <c r="H78" s="924" t="str">
        <f t="shared" si="39"/>
        <v/>
      </c>
      <c r="I78" s="924" t="str">
        <f t="shared" si="39"/>
        <v/>
      </c>
      <c r="J78" s="924" t="str">
        <f t="shared" si="39"/>
        <v/>
      </c>
      <c r="K78" s="924" t="str">
        <f t="shared" si="39"/>
        <v/>
      </c>
      <c r="L78" s="924" t="str">
        <f t="shared" si="39"/>
        <v/>
      </c>
      <c r="M78" s="924" t="str">
        <f t="shared" si="39"/>
        <v/>
      </c>
      <c r="N78" s="924" t="str">
        <f t="shared" si="39"/>
        <v/>
      </c>
      <c r="O78" s="924" t="str">
        <f t="shared" si="39"/>
        <v/>
      </c>
      <c r="P78" s="898">
        <f t="shared" si="39"/>
        <v>0.2851405622</v>
      </c>
      <c r="Q78" s="898">
        <f t="shared" si="39"/>
        <v>0.2301136364</v>
      </c>
      <c r="R78" s="898">
        <f t="shared" si="39"/>
        <v>0.2649350649</v>
      </c>
      <c r="S78" s="898">
        <f t="shared" si="39"/>
        <v>0.2082429501</v>
      </c>
      <c r="T78" s="898">
        <f t="shared" si="39"/>
        <v>0.2521551724</v>
      </c>
      <c r="U78" s="898">
        <f t="shared" si="39"/>
        <v>0.306122449</v>
      </c>
      <c r="V78" s="898">
        <f t="shared" si="39"/>
        <v>0.2870905588</v>
      </c>
      <c r="W78" s="898">
        <f t="shared" si="39"/>
        <v>0.2528735632</v>
      </c>
      <c r="X78" s="898">
        <f t="shared" si="39"/>
        <v>0.2455303933</v>
      </c>
      <c r="Y78" s="898">
        <f t="shared" si="39"/>
        <v>0.2449979584</v>
      </c>
      <c r="Z78" s="898">
        <f t="shared" si="39"/>
        <v>0.2337239583</v>
      </c>
      <c r="AA78" s="898">
        <f t="shared" si="39"/>
        <v>0.2314225053</v>
      </c>
      <c r="AB78" s="898">
        <f t="shared" si="39"/>
        <v>0.2775556825</v>
      </c>
      <c r="AC78" s="898">
        <f t="shared" si="39"/>
        <v>0.2363788768</v>
      </c>
      <c r="AD78" s="898">
        <f t="shared" si="39"/>
        <v>0.3233333333</v>
      </c>
      <c r="AE78" s="898">
        <f t="shared" si="39"/>
        <v>0.3195876289</v>
      </c>
    </row>
    <row r="79" hidden="1" outlineLevel="1">
      <c r="A79" s="919" t="s">
        <v>1047</v>
      </c>
      <c r="B79" s="918"/>
      <c r="C79" s="918"/>
      <c r="D79" s="918"/>
      <c r="E79" s="918"/>
      <c r="F79" s="918"/>
      <c r="G79" s="918"/>
      <c r="H79" s="918"/>
      <c r="I79" s="918"/>
      <c r="J79" s="918"/>
      <c r="K79" s="918"/>
      <c r="L79" s="918"/>
      <c r="M79" s="918"/>
      <c r="N79" s="918"/>
      <c r="O79" s="918"/>
      <c r="P79" s="879"/>
      <c r="Q79" s="879"/>
      <c r="R79" s="879"/>
      <c r="S79" s="879"/>
      <c r="T79" s="879"/>
      <c r="U79" s="879"/>
      <c r="V79" s="879"/>
      <c r="W79" s="879"/>
      <c r="X79" s="879"/>
      <c r="Y79" s="879"/>
      <c r="Z79" s="879"/>
      <c r="AA79" s="879"/>
      <c r="AB79" s="879"/>
      <c r="AC79" s="879"/>
      <c r="AD79" s="879"/>
      <c r="AE79" s="879"/>
    </row>
    <row r="80" hidden="1" outlineLevel="1">
      <c r="A80" s="878" t="s">
        <v>1051</v>
      </c>
      <c r="B80" s="918" t="str">
        <f t="shared" ref="B80:AE80" si="40">iferror(B54/B$57,"")</f>
        <v/>
      </c>
      <c r="C80" s="918" t="str">
        <f t="shared" si="40"/>
        <v/>
      </c>
      <c r="D80" s="918" t="str">
        <f t="shared" si="40"/>
        <v/>
      </c>
      <c r="E80" s="918" t="str">
        <f t="shared" si="40"/>
        <v/>
      </c>
      <c r="F80" s="918" t="str">
        <f t="shared" si="40"/>
        <v/>
      </c>
      <c r="G80" s="918" t="str">
        <f t="shared" si="40"/>
        <v/>
      </c>
      <c r="H80" s="918" t="str">
        <f t="shared" si="40"/>
        <v/>
      </c>
      <c r="I80" s="918" t="str">
        <f t="shared" si="40"/>
        <v/>
      </c>
      <c r="J80" s="918" t="str">
        <f t="shared" si="40"/>
        <v/>
      </c>
      <c r="K80" s="918" t="str">
        <f t="shared" si="40"/>
        <v/>
      </c>
      <c r="L80" s="918" t="str">
        <f t="shared" si="40"/>
        <v/>
      </c>
      <c r="M80" s="918" t="str">
        <f t="shared" si="40"/>
        <v/>
      </c>
      <c r="N80" s="918" t="str">
        <f t="shared" si="40"/>
        <v/>
      </c>
      <c r="O80" s="918" t="str">
        <f t="shared" si="40"/>
        <v/>
      </c>
      <c r="P80" s="879">
        <f t="shared" si="40"/>
        <v>0.1830985915</v>
      </c>
      <c r="Q80" s="879">
        <f t="shared" si="40"/>
        <v>0.2098765432</v>
      </c>
      <c r="R80" s="879">
        <f t="shared" si="40"/>
        <v>0.2941176471</v>
      </c>
      <c r="S80" s="879">
        <f t="shared" si="40"/>
        <v>0.1875</v>
      </c>
      <c r="T80" s="879">
        <f t="shared" si="40"/>
        <v>0.2564102564</v>
      </c>
      <c r="U80" s="879">
        <f t="shared" si="40"/>
        <v>0.2133333333</v>
      </c>
      <c r="V80" s="879">
        <f t="shared" si="40"/>
        <v>0.2483221477</v>
      </c>
      <c r="W80" s="879">
        <f t="shared" si="40"/>
        <v>0.2878787879</v>
      </c>
      <c r="X80" s="879">
        <f t="shared" si="40"/>
        <v>0.2378640777</v>
      </c>
      <c r="Y80" s="879">
        <f t="shared" si="40"/>
        <v>0.2212978369</v>
      </c>
      <c r="Z80" s="879">
        <f t="shared" si="40"/>
        <v>0.2256267409</v>
      </c>
      <c r="AA80" s="879">
        <f t="shared" si="40"/>
        <v>0.1743119266</v>
      </c>
      <c r="AB80" s="879">
        <f t="shared" si="40"/>
        <v>0.2325102881</v>
      </c>
      <c r="AC80" s="879">
        <f t="shared" si="40"/>
        <v>0.2127659574</v>
      </c>
      <c r="AD80" s="879">
        <f t="shared" si="40"/>
        <v>0.6082474227</v>
      </c>
      <c r="AE80" s="879">
        <f t="shared" si="40"/>
        <v>0.1774193548</v>
      </c>
    </row>
    <row r="81" hidden="1" outlineLevel="1">
      <c r="A81" s="878" t="s">
        <v>1055</v>
      </c>
      <c r="B81" s="918" t="str">
        <f t="shared" ref="B81:AE81" si="41">iferror(B55/B$57,"")</f>
        <v/>
      </c>
      <c r="C81" s="918" t="str">
        <f t="shared" si="41"/>
        <v/>
      </c>
      <c r="D81" s="918" t="str">
        <f t="shared" si="41"/>
        <v/>
      </c>
      <c r="E81" s="918" t="str">
        <f t="shared" si="41"/>
        <v/>
      </c>
      <c r="F81" s="918" t="str">
        <f t="shared" si="41"/>
        <v/>
      </c>
      <c r="G81" s="918" t="str">
        <f t="shared" si="41"/>
        <v/>
      </c>
      <c r="H81" s="918" t="str">
        <f t="shared" si="41"/>
        <v/>
      </c>
      <c r="I81" s="918" t="str">
        <f t="shared" si="41"/>
        <v/>
      </c>
      <c r="J81" s="918" t="str">
        <f t="shared" si="41"/>
        <v/>
      </c>
      <c r="K81" s="918" t="str">
        <f t="shared" si="41"/>
        <v/>
      </c>
      <c r="L81" s="918" t="str">
        <f t="shared" si="41"/>
        <v/>
      </c>
      <c r="M81" s="918" t="str">
        <f t="shared" si="41"/>
        <v/>
      </c>
      <c r="N81" s="918" t="str">
        <f t="shared" si="41"/>
        <v/>
      </c>
      <c r="O81" s="918" t="str">
        <f t="shared" si="41"/>
        <v/>
      </c>
      <c r="P81" s="879">
        <f t="shared" si="41"/>
        <v>0.3661971831</v>
      </c>
      <c r="Q81" s="879">
        <f t="shared" si="41"/>
        <v>0.3209876543</v>
      </c>
      <c r="R81" s="879">
        <f t="shared" si="41"/>
        <v>0.3137254902</v>
      </c>
      <c r="S81" s="879">
        <f t="shared" si="41"/>
        <v>0.3958333333</v>
      </c>
      <c r="T81" s="879">
        <f t="shared" si="41"/>
        <v>0.2820512821</v>
      </c>
      <c r="U81" s="879">
        <f t="shared" si="41"/>
        <v>0.3666666667</v>
      </c>
      <c r="V81" s="879">
        <f t="shared" si="41"/>
        <v>0.2818791946</v>
      </c>
      <c r="W81" s="879">
        <f t="shared" si="41"/>
        <v>0.3181818182</v>
      </c>
      <c r="X81" s="879">
        <f t="shared" si="41"/>
        <v>0.3398058252</v>
      </c>
      <c r="Y81" s="879">
        <f t="shared" si="41"/>
        <v>0.3510815308</v>
      </c>
      <c r="Z81" s="879">
        <f t="shared" si="41"/>
        <v>0.4094707521</v>
      </c>
      <c r="AA81" s="879">
        <f t="shared" si="41"/>
        <v>0.3394495413</v>
      </c>
      <c r="AB81" s="879">
        <f t="shared" si="41"/>
        <v>0.3518518519</v>
      </c>
      <c r="AC81" s="879">
        <f t="shared" si="41"/>
        <v>0.3333333333</v>
      </c>
      <c r="AD81" s="879">
        <f t="shared" si="41"/>
        <v>0.1546391753</v>
      </c>
      <c r="AE81" s="879">
        <f t="shared" si="41"/>
        <v>0.3548387097</v>
      </c>
    </row>
    <row r="82" hidden="1" outlineLevel="1">
      <c r="A82" s="878" t="s">
        <v>1061</v>
      </c>
      <c r="B82" s="918" t="str">
        <f t="shared" ref="B82:AE82" si="42">iferror(B56/B$57,"")</f>
        <v/>
      </c>
      <c r="C82" s="918" t="str">
        <f t="shared" si="42"/>
        <v/>
      </c>
      <c r="D82" s="918" t="str">
        <f t="shared" si="42"/>
        <v/>
      </c>
      <c r="E82" s="918" t="str">
        <f t="shared" si="42"/>
        <v/>
      </c>
      <c r="F82" s="918" t="str">
        <f t="shared" si="42"/>
        <v/>
      </c>
      <c r="G82" s="918" t="str">
        <f t="shared" si="42"/>
        <v/>
      </c>
      <c r="H82" s="918" t="str">
        <f t="shared" si="42"/>
        <v/>
      </c>
      <c r="I82" s="918" t="str">
        <f t="shared" si="42"/>
        <v/>
      </c>
      <c r="J82" s="918" t="str">
        <f t="shared" si="42"/>
        <v/>
      </c>
      <c r="K82" s="918" t="str">
        <f t="shared" si="42"/>
        <v/>
      </c>
      <c r="L82" s="918" t="str">
        <f t="shared" si="42"/>
        <v/>
      </c>
      <c r="M82" s="918" t="str">
        <f t="shared" si="42"/>
        <v/>
      </c>
      <c r="N82" s="918" t="str">
        <f t="shared" si="42"/>
        <v/>
      </c>
      <c r="O82" s="918" t="str">
        <f t="shared" si="42"/>
        <v/>
      </c>
      <c r="P82" s="879">
        <f t="shared" si="42"/>
        <v>0.4507042254</v>
      </c>
      <c r="Q82" s="879">
        <f t="shared" si="42"/>
        <v>0.4691358025</v>
      </c>
      <c r="R82" s="879">
        <f t="shared" si="42"/>
        <v>0.3921568627</v>
      </c>
      <c r="S82" s="879">
        <f t="shared" si="42"/>
        <v>0.4166666667</v>
      </c>
      <c r="T82" s="879">
        <f t="shared" si="42"/>
        <v>0.4615384615</v>
      </c>
      <c r="U82" s="879">
        <f t="shared" si="42"/>
        <v>0.42</v>
      </c>
      <c r="V82" s="879">
        <f t="shared" si="42"/>
        <v>0.4697986577</v>
      </c>
      <c r="W82" s="879">
        <f t="shared" si="42"/>
        <v>0.3939393939</v>
      </c>
      <c r="X82" s="879">
        <f t="shared" si="42"/>
        <v>0.4223300971</v>
      </c>
      <c r="Y82" s="879">
        <f t="shared" si="42"/>
        <v>0.4276206323</v>
      </c>
      <c r="Z82" s="879">
        <f t="shared" si="42"/>
        <v>0.364902507</v>
      </c>
      <c r="AA82" s="879">
        <f t="shared" si="42"/>
        <v>0.4862385321</v>
      </c>
      <c r="AB82" s="879">
        <f t="shared" si="42"/>
        <v>0.4156378601</v>
      </c>
      <c r="AC82" s="879">
        <f t="shared" si="42"/>
        <v>0.4539007092</v>
      </c>
      <c r="AD82" s="879">
        <f t="shared" si="42"/>
        <v>0.2371134021</v>
      </c>
      <c r="AE82" s="879">
        <f t="shared" si="42"/>
        <v>0.4677419355</v>
      </c>
    </row>
    <row r="83" hidden="1" outlineLevel="1">
      <c r="A83" s="923"/>
      <c r="B83" s="924"/>
      <c r="C83" s="924"/>
      <c r="D83" s="924"/>
      <c r="E83" s="924"/>
      <c r="F83" s="924"/>
      <c r="G83" s="924"/>
      <c r="H83" s="924"/>
      <c r="I83" s="924"/>
      <c r="J83" s="924"/>
      <c r="K83" s="924"/>
      <c r="L83" s="924"/>
      <c r="M83" s="924"/>
      <c r="N83" s="924"/>
      <c r="O83" s="924"/>
      <c r="P83" s="898"/>
      <c r="Q83" s="898"/>
      <c r="R83" s="898"/>
      <c r="S83" s="898"/>
      <c r="T83" s="898"/>
      <c r="U83" s="898"/>
      <c r="V83" s="898"/>
      <c r="W83" s="898"/>
      <c r="X83" s="898"/>
      <c r="Y83" s="898"/>
      <c r="Z83" s="898"/>
      <c r="AA83" s="898"/>
      <c r="AB83" s="898"/>
      <c r="AC83" s="898"/>
      <c r="AD83" s="898"/>
      <c r="AE83" s="898"/>
    </row>
    <row r="84">
      <c r="B84" s="899"/>
      <c r="C84" s="899"/>
      <c r="D84" s="899"/>
      <c r="E84" s="899"/>
      <c r="F84" s="899"/>
      <c r="G84" s="899"/>
      <c r="H84" s="899"/>
      <c r="I84" s="899"/>
      <c r="J84" s="899"/>
      <c r="K84" s="899"/>
      <c r="L84" s="899"/>
      <c r="M84" s="899"/>
      <c r="N84" s="899"/>
      <c r="O84" s="899"/>
      <c r="P84" s="899"/>
      <c r="Q84" s="899"/>
      <c r="R84" s="899"/>
      <c r="S84" s="899"/>
      <c r="T84" s="899"/>
      <c r="U84" s="899"/>
      <c r="V84" s="899"/>
      <c r="W84" s="899"/>
      <c r="X84" s="899"/>
      <c r="Y84" s="899"/>
      <c r="Z84" s="899"/>
      <c r="AA84" s="899"/>
      <c r="AB84" s="899"/>
      <c r="AC84" s="899"/>
      <c r="AD84" s="899"/>
      <c r="AE84" s="899"/>
    </row>
    <row r="85">
      <c r="B85" s="899"/>
      <c r="C85" s="899"/>
      <c r="D85" s="899"/>
      <c r="E85" s="899"/>
      <c r="F85" s="899"/>
      <c r="G85" s="899"/>
      <c r="H85" s="899"/>
      <c r="I85" s="899"/>
      <c r="J85" s="899"/>
      <c r="K85" s="899"/>
      <c r="L85" s="899"/>
      <c r="M85" s="899"/>
      <c r="N85" s="899"/>
      <c r="O85" s="899"/>
      <c r="P85" s="899"/>
      <c r="Q85" s="899"/>
      <c r="R85" s="899"/>
      <c r="S85" s="899"/>
      <c r="T85" s="899"/>
      <c r="U85" s="899"/>
      <c r="V85" s="899"/>
      <c r="W85" s="899"/>
      <c r="X85" s="899"/>
      <c r="Y85" s="899"/>
      <c r="Z85" s="899"/>
      <c r="AA85" s="899"/>
      <c r="AB85" s="899"/>
      <c r="AC85" s="899"/>
      <c r="AD85" s="899"/>
      <c r="AE85" s="899"/>
    </row>
    <row r="86">
      <c r="A86" s="929" t="s">
        <v>1128</v>
      </c>
      <c r="B86" s="930">
        <v>45200.0</v>
      </c>
      <c r="C86" s="930">
        <v>45201.0</v>
      </c>
      <c r="D86" s="930">
        <v>45202.0</v>
      </c>
      <c r="E86" s="930">
        <v>45203.0</v>
      </c>
      <c r="F86" s="930">
        <v>45204.0</v>
      </c>
      <c r="G86" s="930">
        <v>45205.0</v>
      </c>
      <c r="H86" s="930">
        <v>45206.0</v>
      </c>
      <c r="I86" s="930">
        <v>45207.0</v>
      </c>
      <c r="J86" s="930">
        <v>45208.0</v>
      </c>
      <c r="K86" s="930">
        <v>45209.0</v>
      </c>
      <c r="L86" s="930">
        <v>45210.0</v>
      </c>
      <c r="M86" s="930">
        <v>45211.0</v>
      </c>
      <c r="N86" s="930">
        <v>45212.0</v>
      </c>
      <c r="O86" s="930">
        <v>45213.0</v>
      </c>
      <c r="P86" s="930">
        <v>45214.0</v>
      </c>
      <c r="Q86" s="930">
        <v>45215.0</v>
      </c>
      <c r="R86" s="930">
        <v>45216.0</v>
      </c>
      <c r="S86" s="930">
        <v>45217.0</v>
      </c>
      <c r="T86" s="930">
        <v>45218.0</v>
      </c>
      <c r="U86" s="930">
        <v>45219.0</v>
      </c>
      <c r="V86" s="930">
        <v>45220.0</v>
      </c>
      <c r="W86" s="930">
        <v>45221.0</v>
      </c>
      <c r="X86" s="930">
        <v>45222.0</v>
      </c>
      <c r="Y86" s="930">
        <v>45223.0</v>
      </c>
      <c r="Z86" s="930">
        <v>45224.0</v>
      </c>
      <c r="AA86" s="930">
        <v>45225.0</v>
      </c>
      <c r="AB86" s="930">
        <v>45226.0</v>
      </c>
      <c r="AC86" s="930">
        <v>45227.0</v>
      </c>
      <c r="AD86" s="930">
        <v>45228.0</v>
      </c>
      <c r="AE86" s="930">
        <v>45229.0</v>
      </c>
    </row>
    <row r="87">
      <c r="A87" s="863" t="s">
        <v>1131</v>
      </c>
      <c r="B87" s="931"/>
      <c r="C87" s="931"/>
      <c r="D87" s="931"/>
      <c r="E87" s="931"/>
      <c r="F87" s="931"/>
      <c r="G87" s="931"/>
      <c r="H87" s="931"/>
      <c r="I87" s="931"/>
      <c r="J87" s="864">
        <v>107.0</v>
      </c>
      <c r="K87" s="864">
        <v>243.0</v>
      </c>
      <c r="L87" s="864">
        <v>309.0</v>
      </c>
      <c r="M87" s="864">
        <v>164.0</v>
      </c>
      <c r="N87" s="865">
        <v>138.0</v>
      </c>
      <c r="O87" s="866">
        <v>325.0</v>
      </c>
      <c r="P87" s="932"/>
      <c r="Q87" s="932"/>
      <c r="R87" s="932"/>
      <c r="S87" s="932"/>
      <c r="T87" s="932"/>
      <c r="U87" s="933"/>
      <c r="V87" s="933"/>
      <c r="W87" s="933"/>
      <c r="X87" s="933"/>
      <c r="Y87" s="932"/>
      <c r="Z87" s="932"/>
      <c r="AA87" s="932"/>
      <c r="AB87" s="932"/>
      <c r="AC87" s="932"/>
      <c r="AD87" s="932"/>
      <c r="AE87" s="932"/>
    </row>
    <row r="88">
      <c r="A88" s="868" t="s">
        <v>1226</v>
      </c>
      <c r="B88" s="932"/>
      <c r="C88" s="932"/>
      <c r="D88" s="932"/>
      <c r="E88" s="932"/>
      <c r="F88" s="932"/>
      <c r="G88" s="932"/>
      <c r="H88" s="932"/>
      <c r="I88" s="932"/>
      <c r="J88" s="866">
        <v>37.0</v>
      </c>
      <c r="K88" s="866">
        <v>105.0</v>
      </c>
      <c r="L88" s="866">
        <v>147.0</v>
      </c>
      <c r="M88" s="866">
        <v>82.0</v>
      </c>
      <c r="N88" s="865">
        <v>63.0</v>
      </c>
      <c r="O88" s="865">
        <v>128.0</v>
      </c>
      <c r="P88" s="934"/>
      <c r="Q88" s="932"/>
      <c r="R88" s="932"/>
      <c r="S88" s="932"/>
      <c r="T88" s="932"/>
      <c r="U88" s="932"/>
      <c r="V88" s="932"/>
      <c r="W88" s="932"/>
      <c r="X88" s="932"/>
      <c r="Y88" s="932"/>
      <c r="Z88" s="932"/>
      <c r="AA88" s="932"/>
      <c r="AB88" s="932"/>
      <c r="AC88" s="932"/>
      <c r="AD88" s="932"/>
      <c r="AE88" s="932"/>
    </row>
    <row r="89">
      <c r="A89" s="870" t="s">
        <v>1164</v>
      </c>
      <c r="B89" s="872">
        <f t="shared" ref="B89:AE89" si="43">SUM(B87:B88)</f>
        <v>0</v>
      </c>
      <c r="C89" s="872">
        <f t="shared" si="43"/>
        <v>0</v>
      </c>
      <c r="D89" s="872">
        <f t="shared" si="43"/>
        <v>0</v>
      </c>
      <c r="E89" s="872">
        <f t="shared" si="43"/>
        <v>0</v>
      </c>
      <c r="F89" s="872">
        <f t="shared" si="43"/>
        <v>0</v>
      </c>
      <c r="G89" s="872">
        <f t="shared" si="43"/>
        <v>0</v>
      </c>
      <c r="H89" s="872">
        <f t="shared" si="43"/>
        <v>0</v>
      </c>
      <c r="I89" s="872">
        <f t="shared" si="43"/>
        <v>0</v>
      </c>
      <c r="J89" s="872">
        <f t="shared" si="43"/>
        <v>144</v>
      </c>
      <c r="K89" s="872">
        <f t="shared" si="43"/>
        <v>348</v>
      </c>
      <c r="L89" s="872">
        <f t="shared" si="43"/>
        <v>456</v>
      </c>
      <c r="M89" s="872">
        <f t="shared" si="43"/>
        <v>246</v>
      </c>
      <c r="N89" s="872">
        <f t="shared" si="43"/>
        <v>201</v>
      </c>
      <c r="O89" s="872">
        <f t="shared" si="43"/>
        <v>453</v>
      </c>
      <c r="P89" s="872">
        <f t="shared" si="43"/>
        <v>0</v>
      </c>
      <c r="Q89" s="872">
        <f t="shared" si="43"/>
        <v>0</v>
      </c>
      <c r="R89" s="872">
        <f t="shared" si="43"/>
        <v>0</v>
      </c>
      <c r="S89" s="872">
        <f t="shared" si="43"/>
        <v>0</v>
      </c>
      <c r="T89" s="872">
        <f t="shared" si="43"/>
        <v>0</v>
      </c>
      <c r="U89" s="872">
        <f t="shared" si="43"/>
        <v>0</v>
      </c>
      <c r="V89" s="872">
        <f t="shared" si="43"/>
        <v>0</v>
      </c>
      <c r="W89" s="872">
        <f t="shared" si="43"/>
        <v>0</v>
      </c>
      <c r="X89" s="872">
        <f t="shared" si="43"/>
        <v>0</v>
      </c>
      <c r="Y89" s="872">
        <f t="shared" si="43"/>
        <v>0</v>
      </c>
      <c r="Z89" s="872">
        <f t="shared" si="43"/>
        <v>0</v>
      </c>
      <c r="AA89" s="872">
        <f t="shared" si="43"/>
        <v>0</v>
      </c>
      <c r="AB89" s="872">
        <f t="shared" si="43"/>
        <v>0</v>
      </c>
      <c r="AC89" s="872">
        <f t="shared" si="43"/>
        <v>0</v>
      </c>
      <c r="AD89" s="872">
        <f t="shared" si="43"/>
        <v>0</v>
      </c>
      <c r="AE89" s="872">
        <f t="shared" si="43"/>
        <v>0</v>
      </c>
    </row>
    <row r="90">
      <c r="A90" s="935" t="s">
        <v>1230</v>
      </c>
      <c r="B90" s="930">
        <v>45200.0</v>
      </c>
      <c r="C90" s="930">
        <v>45201.0</v>
      </c>
      <c r="D90" s="930">
        <v>45202.0</v>
      </c>
      <c r="E90" s="930">
        <v>45203.0</v>
      </c>
      <c r="F90" s="930">
        <v>45204.0</v>
      </c>
      <c r="G90" s="930">
        <v>45205.0</v>
      </c>
      <c r="H90" s="930">
        <v>45206.0</v>
      </c>
      <c r="I90" s="930">
        <v>45207.0</v>
      </c>
      <c r="J90" s="930">
        <v>45208.0</v>
      </c>
      <c r="K90" s="930">
        <v>45209.0</v>
      </c>
      <c r="L90" s="930">
        <v>45210.0</v>
      </c>
      <c r="M90" s="930">
        <v>45211.0</v>
      </c>
      <c r="N90" s="930">
        <v>45212.0</v>
      </c>
      <c r="O90" s="930">
        <v>45213.0</v>
      </c>
      <c r="P90" s="930">
        <v>45214.0</v>
      </c>
      <c r="Q90" s="930">
        <v>45215.0</v>
      </c>
      <c r="R90" s="930">
        <v>45216.0</v>
      </c>
      <c r="S90" s="930">
        <v>45217.0</v>
      </c>
      <c r="T90" s="930">
        <v>45218.0</v>
      </c>
      <c r="U90" s="930">
        <v>45219.0</v>
      </c>
      <c r="V90" s="930">
        <v>45220.0</v>
      </c>
      <c r="W90" s="930">
        <v>45221.0</v>
      </c>
      <c r="X90" s="930">
        <v>45222.0</v>
      </c>
      <c r="Y90" s="930">
        <v>45223.0</v>
      </c>
      <c r="Z90" s="930">
        <v>45224.0</v>
      </c>
      <c r="AA90" s="930">
        <v>45225.0</v>
      </c>
      <c r="AB90" s="930">
        <v>45226.0</v>
      </c>
      <c r="AC90" s="930">
        <v>45227.0</v>
      </c>
      <c r="AD90" s="930">
        <v>45228.0</v>
      </c>
      <c r="AE90" s="930">
        <v>45229.0</v>
      </c>
    </row>
    <row r="91">
      <c r="A91" s="878" t="s">
        <v>1131</v>
      </c>
      <c r="B91" s="918" t="str">
        <f t="shared" ref="B91:AE91" si="44">iferror(B87/B$89,"")</f>
        <v/>
      </c>
      <c r="C91" s="918" t="str">
        <f t="shared" si="44"/>
        <v/>
      </c>
      <c r="D91" s="918" t="str">
        <f t="shared" si="44"/>
        <v/>
      </c>
      <c r="E91" s="918" t="str">
        <f t="shared" si="44"/>
        <v/>
      </c>
      <c r="F91" s="918" t="str">
        <f t="shared" si="44"/>
        <v/>
      </c>
      <c r="G91" s="918" t="str">
        <f t="shared" si="44"/>
        <v/>
      </c>
      <c r="H91" s="918" t="str">
        <f t="shared" si="44"/>
        <v/>
      </c>
      <c r="I91" s="918" t="str">
        <f t="shared" si="44"/>
        <v/>
      </c>
      <c r="J91" s="879">
        <f t="shared" si="44"/>
        <v>0.7430555556</v>
      </c>
      <c r="K91" s="879">
        <f t="shared" si="44"/>
        <v>0.6982758621</v>
      </c>
      <c r="L91" s="879">
        <f t="shared" si="44"/>
        <v>0.6776315789</v>
      </c>
      <c r="M91" s="879">
        <f t="shared" si="44"/>
        <v>0.6666666667</v>
      </c>
      <c r="N91" s="879">
        <f t="shared" si="44"/>
        <v>0.6865671642</v>
      </c>
      <c r="O91" s="879">
        <f t="shared" si="44"/>
        <v>0.7174392936</v>
      </c>
      <c r="P91" s="879" t="str">
        <f t="shared" si="44"/>
        <v/>
      </c>
      <c r="Q91" s="879" t="str">
        <f t="shared" si="44"/>
        <v/>
      </c>
      <c r="R91" s="879" t="str">
        <f t="shared" si="44"/>
        <v/>
      </c>
      <c r="S91" s="879" t="str">
        <f t="shared" si="44"/>
        <v/>
      </c>
      <c r="T91" s="879" t="str">
        <f t="shared" si="44"/>
        <v/>
      </c>
      <c r="U91" s="879" t="str">
        <f t="shared" si="44"/>
        <v/>
      </c>
      <c r="V91" s="879" t="str">
        <f t="shared" si="44"/>
        <v/>
      </c>
      <c r="W91" s="879" t="str">
        <f t="shared" si="44"/>
        <v/>
      </c>
      <c r="X91" s="879" t="str">
        <f t="shared" si="44"/>
        <v/>
      </c>
      <c r="Y91" s="879" t="str">
        <f t="shared" si="44"/>
        <v/>
      </c>
      <c r="Z91" s="879" t="str">
        <f t="shared" si="44"/>
        <v/>
      </c>
      <c r="AA91" s="879" t="str">
        <f t="shared" si="44"/>
        <v/>
      </c>
      <c r="AB91" s="879" t="str">
        <f t="shared" si="44"/>
        <v/>
      </c>
      <c r="AC91" s="879" t="str">
        <f t="shared" si="44"/>
        <v/>
      </c>
      <c r="AD91" s="879" t="str">
        <f t="shared" si="44"/>
        <v/>
      </c>
      <c r="AE91" s="879" t="str">
        <f t="shared" si="44"/>
        <v/>
      </c>
    </row>
    <row r="92">
      <c r="A92" s="897" t="s">
        <v>1226</v>
      </c>
      <c r="B92" s="924" t="str">
        <f t="shared" ref="B92:AE92" si="45">iferror(B88/B$89,"")</f>
        <v/>
      </c>
      <c r="C92" s="924" t="str">
        <f t="shared" si="45"/>
        <v/>
      </c>
      <c r="D92" s="924" t="str">
        <f t="shared" si="45"/>
        <v/>
      </c>
      <c r="E92" s="924" t="str">
        <f t="shared" si="45"/>
        <v/>
      </c>
      <c r="F92" s="924" t="str">
        <f t="shared" si="45"/>
        <v/>
      </c>
      <c r="G92" s="924" t="str">
        <f t="shared" si="45"/>
        <v/>
      </c>
      <c r="H92" s="924" t="str">
        <f t="shared" si="45"/>
        <v/>
      </c>
      <c r="I92" s="924" t="str">
        <f t="shared" si="45"/>
        <v/>
      </c>
      <c r="J92" s="898">
        <f t="shared" si="45"/>
        <v>0.2569444444</v>
      </c>
      <c r="K92" s="898">
        <f t="shared" si="45"/>
        <v>0.3017241379</v>
      </c>
      <c r="L92" s="898">
        <f t="shared" si="45"/>
        <v>0.3223684211</v>
      </c>
      <c r="M92" s="898">
        <f t="shared" si="45"/>
        <v>0.3333333333</v>
      </c>
      <c r="N92" s="898">
        <f t="shared" si="45"/>
        <v>0.3134328358</v>
      </c>
      <c r="O92" s="898">
        <f t="shared" si="45"/>
        <v>0.2825607064</v>
      </c>
      <c r="P92" s="898" t="str">
        <f t="shared" si="45"/>
        <v/>
      </c>
      <c r="Q92" s="898" t="str">
        <f t="shared" si="45"/>
        <v/>
      </c>
      <c r="R92" s="898" t="str">
        <f t="shared" si="45"/>
        <v/>
      </c>
      <c r="S92" s="898" t="str">
        <f t="shared" si="45"/>
        <v/>
      </c>
      <c r="T92" s="898" t="str">
        <f t="shared" si="45"/>
        <v/>
      </c>
      <c r="U92" s="898" t="str">
        <f t="shared" si="45"/>
        <v/>
      </c>
      <c r="V92" s="898" t="str">
        <f t="shared" si="45"/>
        <v/>
      </c>
      <c r="W92" s="898" t="str">
        <f t="shared" si="45"/>
        <v/>
      </c>
      <c r="X92" s="898" t="str">
        <f t="shared" si="45"/>
        <v/>
      </c>
      <c r="Y92" s="898" t="str">
        <f t="shared" si="45"/>
        <v/>
      </c>
      <c r="Z92" s="898" t="str">
        <f t="shared" si="45"/>
        <v/>
      </c>
      <c r="AA92" s="898" t="str">
        <f t="shared" si="45"/>
        <v/>
      </c>
      <c r="AB92" s="898" t="str">
        <f t="shared" si="45"/>
        <v/>
      </c>
      <c r="AC92" s="898" t="str">
        <f t="shared" si="45"/>
        <v/>
      </c>
      <c r="AD92" s="898" t="str">
        <f t="shared" si="45"/>
        <v/>
      </c>
      <c r="AE92" s="898" t="str">
        <f t="shared" si="45"/>
        <v/>
      </c>
    </row>
    <row r="93">
      <c r="A93" s="13"/>
      <c r="B93" s="865"/>
      <c r="C93" s="865"/>
      <c r="D93" s="865"/>
      <c r="E93" s="865"/>
      <c r="F93" s="865"/>
      <c r="G93" s="865"/>
      <c r="H93" s="865"/>
      <c r="I93" s="865"/>
      <c r="J93" s="865"/>
      <c r="K93" s="865"/>
      <c r="L93" s="865"/>
      <c r="M93" s="865"/>
      <c r="N93" s="865"/>
      <c r="O93" s="865"/>
      <c r="P93" s="865"/>
      <c r="Q93" s="866"/>
      <c r="R93" s="866"/>
      <c r="S93" s="866"/>
      <c r="T93" s="866"/>
      <c r="U93" s="866"/>
      <c r="V93" s="866"/>
      <c r="W93" s="866"/>
      <c r="X93" s="866"/>
      <c r="Y93" s="866"/>
      <c r="Z93" s="866"/>
      <c r="AA93" s="866"/>
      <c r="AB93" s="866"/>
      <c r="AC93" s="866"/>
      <c r="AD93" s="866"/>
      <c r="AE93" s="866"/>
    </row>
    <row r="94">
      <c r="A94" s="13"/>
      <c r="B94" s="865"/>
      <c r="C94" s="865"/>
      <c r="D94" s="865"/>
      <c r="E94" s="865"/>
      <c r="F94" s="865"/>
      <c r="G94" s="865"/>
      <c r="H94" s="865"/>
      <c r="I94" s="865"/>
      <c r="J94" s="865"/>
      <c r="K94" s="865"/>
      <c r="L94" s="865"/>
      <c r="M94" s="865"/>
      <c r="N94" s="865"/>
      <c r="O94" s="865"/>
      <c r="P94" s="865"/>
      <c r="Q94" s="866"/>
      <c r="R94" s="866"/>
      <c r="S94" s="866"/>
      <c r="T94" s="866"/>
      <c r="U94" s="866"/>
      <c r="V94" s="866"/>
      <c r="W94" s="866"/>
      <c r="X94" s="866"/>
      <c r="Y94" s="866"/>
      <c r="Z94" s="866"/>
      <c r="AA94" s="866"/>
      <c r="AB94" s="866"/>
      <c r="AC94" s="866"/>
      <c r="AD94" s="866"/>
      <c r="AE94" s="866"/>
    </row>
    <row r="95">
      <c r="A95" s="939"/>
      <c r="B95" s="940"/>
      <c r="C95" s="940"/>
      <c r="D95" s="940"/>
      <c r="E95" s="940"/>
      <c r="F95" s="940"/>
      <c r="G95" s="940"/>
      <c r="H95" s="940"/>
      <c r="I95" s="940"/>
      <c r="J95" s="940"/>
      <c r="K95" s="940"/>
      <c r="L95" s="940"/>
      <c r="M95" s="940"/>
      <c r="N95" s="940"/>
      <c r="O95" s="940"/>
      <c r="P95" s="940"/>
      <c r="Q95" s="940"/>
      <c r="R95" s="940"/>
      <c r="S95" s="940"/>
      <c r="T95" s="940"/>
      <c r="U95" s="940"/>
      <c r="V95" s="940"/>
      <c r="W95" s="940"/>
      <c r="X95" s="940"/>
      <c r="Y95" s="940"/>
      <c r="Z95" s="940"/>
      <c r="AA95" s="940"/>
      <c r="AB95" s="940"/>
      <c r="AC95" s="940"/>
      <c r="AD95" s="940"/>
      <c r="AE95" s="940"/>
    </row>
    <row r="96">
      <c r="A96" s="941"/>
      <c r="B96" s="942"/>
      <c r="C96" s="942"/>
      <c r="D96" s="942"/>
      <c r="E96" s="942"/>
      <c r="F96" s="942"/>
      <c r="G96" s="942"/>
      <c r="H96" s="942"/>
      <c r="I96" s="942"/>
      <c r="J96" s="942"/>
      <c r="K96" s="942"/>
      <c r="L96" s="942"/>
      <c r="M96" s="942"/>
      <c r="N96" s="942"/>
      <c r="O96" s="942"/>
      <c r="P96" s="942"/>
      <c r="Q96" s="942"/>
      <c r="R96" s="942"/>
      <c r="S96" s="942"/>
      <c r="T96" s="942"/>
      <c r="U96" s="942"/>
      <c r="V96" s="942"/>
      <c r="W96" s="942"/>
      <c r="X96" s="942"/>
      <c r="Y96" s="942"/>
      <c r="Z96" s="942"/>
      <c r="AA96" s="942"/>
      <c r="AB96" s="942"/>
      <c r="AC96" s="942"/>
      <c r="AD96" s="942"/>
      <c r="AE96" s="942"/>
    </row>
    <row r="97">
      <c r="A97" s="1"/>
      <c r="B97" s="886"/>
      <c r="C97" s="886"/>
      <c r="D97" s="886"/>
      <c r="E97" s="886"/>
      <c r="F97" s="886"/>
      <c r="G97" s="886"/>
      <c r="H97" s="886"/>
      <c r="I97" s="886"/>
      <c r="J97" s="886"/>
      <c r="K97" s="886"/>
      <c r="L97" s="886"/>
      <c r="M97" s="886"/>
      <c r="N97" s="886"/>
      <c r="O97" s="886"/>
      <c r="P97" s="886"/>
      <c r="Q97" s="886"/>
      <c r="R97" s="886"/>
      <c r="S97" s="886"/>
      <c r="T97" s="886"/>
      <c r="U97" s="886"/>
      <c r="V97" s="886"/>
      <c r="W97" s="886"/>
      <c r="X97" s="886"/>
      <c r="Y97" s="886"/>
      <c r="Z97" s="886"/>
      <c r="AA97" s="886"/>
      <c r="AB97" s="886"/>
      <c r="AC97" s="886"/>
      <c r="AD97" s="886"/>
      <c r="AE97" s="886"/>
    </row>
    <row r="98">
      <c r="A98" s="1"/>
      <c r="B98" s="886"/>
      <c r="C98" s="886"/>
      <c r="D98" s="886"/>
      <c r="E98" s="886"/>
      <c r="F98" s="886"/>
      <c r="G98" s="886"/>
      <c r="H98" s="886"/>
      <c r="I98" s="886"/>
      <c r="J98" s="886"/>
      <c r="K98" s="886"/>
      <c r="L98" s="886"/>
      <c r="M98" s="886"/>
      <c r="N98" s="886"/>
      <c r="O98" s="886"/>
      <c r="P98" s="886"/>
      <c r="Q98" s="886"/>
      <c r="R98" s="886"/>
      <c r="S98" s="886"/>
      <c r="T98" s="886"/>
      <c r="U98" s="886"/>
      <c r="V98" s="886"/>
      <c r="W98" s="886"/>
      <c r="X98" s="886"/>
      <c r="Y98" s="886"/>
      <c r="Z98" s="886"/>
      <c r="AA98" s="886"/>
      <c r="AB98" s="886"/>
      <c r="AC98" s="886"/>
      <c r="AD98" s="886"/>
      <c r="AE98" s="886"/>
    </row>
    <row r="99">
      <c r="A99" s="1"/>
      <c r="B99" s="886"/>
      <c r="C99" s="886"/>
      <c r="D99" s="886"/>
      <c r="E99" s="886"/>
      <c r="F99" s="886"/>
      <c r="G99" s="886"/>
      <c r="H99" s="886"/>
      <c r="I99" s="886"/>
      <c r="J99" s="886"/>
      <c r="K99" s="886"/>
      <c r="L99" s="886"/>
      <c r="M99" s="886"/>
      <c r="N99" s="886"/>
      <c r="O99" s="886"/>
      <c r="P99" s="886"/>
      <c r="Q99" s="886"/>
      <c r="R99" s="886"/>
      <c r="S99" s="886"/>
      <c r="T99" s="886"/>
      <c r="U99" s="886"/>
      <c r="V99" s="886"/>
      <c r="W99" s="886"/>
      <c r="X99" s="886"/>
      <c r="Y99" s="886"/>
      <c r="Z99" s="886"/>
      <c r="AA99" s="886"/>
      <c r="AB99" s="886"/>
      <c r="AC99" s="886"/>
      <c r="AD99" s="886"/>
      <c r="AE99" s="886"/>
    </row>
    <row r="100">
      <c r="B100" s="899"/>
      <c r="C100" s="899"/>
      <c r="D100" s="899"/>
      <c r="E100" s="899"/>
      <c r="F100" s="899"/>
      <c r="G100" s="899"/>
      <c r="H100" s="899"/>
      <c r="I100" s="899"/>
      <c r="J100" s="899"/>
      <c r="K100" s="899"/>
      <c r="L100" s="899"/>
      <c r="M100" s="899"/>
      <c r="N100" s="899"/>
      <c r="O100" s="899"/>
      <c r="P100" s="899"/>
      <c r="Q100" s="899"/>
      <c r="R100" s="899"/>
      <c r="S100" s="899"/>
      <c r="T100" s="899"/>
      <c r="U100" s="899"/>
      <c r="V100" s="899"/>
      <c r="W100" s="899"/>
      <c r="X100" s="899"/>
      <c r="Y100" s="899"/>
      <c r="Z100" s="899"/>
      <c r="AA100" s="899"/>
      <c r="AB100" s="899"/>
      <c r="AC100" s="899"/>
      <c r="AD100" s="899"/>
      <c r="AE100" s="899"/>
    </row>
    <row r="101">
      <c r="B101" s="899"/>
      <c r="C101" s="899"/>
      <c r="D101" s="899"/>
      <c r="E101" s="899"/>
      <c r="F101" s="899"/>
      <c r="G101" s="899"/>
      <c r="H101" s="899"/>
      <c r="I101" s="899"/>
      <c r="J101" s="899"/>
      <c r="K101" s="899"/>
      <c r="L101" s="899"/>
      <c r="M101" s="899"/>
      <c r="N101" s="899"/>
      <c r="O101" s="899"/>
      <c r="P101" s="899"/>
      <c r="Q101" s="899"/>
      <c r="R101" s="899"/>
      <c r="S101" s="899"/>
      <c r="T101" s="899"/>
      <c r="U101" s="899"/>
      <c r="V101" s="899"/>
      <c r="W101" s="899"/>
      <c r="X101" s="899"/>
      <c r="Y101" s="899"/>
      <c r="Z101" s="899"/>
      <c r="AA101" s="899"/>
      <c r="AB101" s="899"/>
      <c r="AC101" s="899"/>
      <c r="AD101" s="899"/>
      <c r="AE101" s="899"/>
    </row>
    <row r="102">
      <c r="A102" s="944"/>
      <c r="B102" s="945"/>
      <c r="C102" s="945"/>
      <c r="D102" s="945"/>
      <c r="E102" s="945"/>
      <c r="F102" s="945"/>
      <c r="G102" s="945"/>
      <c r="H102" s="945"/>
      <c r="I102" s="945"/>
      <c r="J102" s="945"/>
      <c r="K102" s="945"/>
      <c r="L102" s="945"/>
      <c r="M102" s="945"/>
      <c r="N102" s="899"/>
      <c r="O102" s="899"/>
      <c r="P102" s="899"/>
      <c r="Q102" s="899"/>
      <c r="R102" s="899"/>
      <c r="S102" s="899"/>
      <c r="T102" s="899"/>
      <c r="U102" s="899"/>
      <c r="V102" s="899"/>
      <c r="W102" s="899"/>
      <c r="X102" s="899"/>
      <c r="Y102" s="899"/>
      <c r="Z102" s="899"/>
      <c r="AA102" s="899"/>
      <c r="AB102" s="899"/>
      <c r="AC102" s="899"/>
      <c r="AD102" s="899"/>
      <c r="AE102" s="899"/>
    </row>
    <row r="103">
      <c r="A103" s="944"/>
      <c r="B103" s="945"/>
      <c r="C103" s="945"/>
      <c r="D103" s="945"/>
      <c r="E103" s="945"/>
      <c r="F103" s="945"/>
      <c r="G103" s="945"/>
      <c r="H103" s="945"/>
      <c r="I103" s="945"/>
      <c r="J103" s="945"/>
      <c r="K103" s="945"/>
      <c r="L103" s="945"/>
      <c r="M103" s="945"/>
      <c r="N103" s="899"/>
      <c r="O103" s="899"/>
      <c r="P103" s="899"/>
      <c r="Q103" s="899"/>
      <c r="R103" s="899"/>
      <c r="S103" s="899"/>
      <c r="T103" s="899"/>
      <c r="U103" s="899"/>
      <c r="V103" s="899"/>
      <c r="W103" s="899"/>
      <c r="X103" s="899"/>
      <c r="Y103" s="899"/>
      <c r="Z103" s="899"/>
      <c r="AA103" s="899"/>
      <c r="AB103" s="899"/>
      <c r="AC103" s="899"/>
      <c r="AD103" s="899"/>
      <c r="AE103" s="899"/>
    </row>
    <row r="104">
      <c r="A104" s="944"/>
      <c r="B104" s="945"/>
      <c r="C104" s="945"/>
      <c r="D104" s="945"/>
      <c r="E104" s="945"/>
      <c r="F104" s="945"/>
      <c r="G104" s="945"/>
      <c r="H104" s="945"/>
      <c r="I104" s="945"/>
      <c r="J104" s="945"/>
      <c r="K104" s="945"/>
      <c r="L104" s="945"/>
      <c r="M104" s="945"/>
      <c r="N104" s="899"/>
      <c r="O104" s="899"/>
      <c r="P104" s="899"/>
      <c r="Q104" s="899"/>
      <c r="R104" s="899"/>
      <c r="S104" s="899"/>
      <c r="T104" s="899"/>
      <c r="U104" s="899"/>
      <c r="V104" s="899"/>
      <c r="W104" s="899"/>
      <c r="X104" s="899"/>
      <c r="Y104" s="899"/>
      <c r="Z104" s="899"/>
      <c r="AA104" s="899"/>
      <c r="AB104" s="899"/>
      <c r="AC104" s="899"/>
      <c r="AD104" s="899"/>
      <c r="AE104" s="899"/>
    </row>
    <row r="105">
      <c r="A105" s="944"/>
      <c r="B105" s="945"/>
      <c r="C105" s="945"/>
      <c r="D105" s="945"/>
      <c r="E105" s="945"/>
      <c r="F105" s="945"/>
      <c r="G105" s="945"/>
      <c r="H105" s="945"/>
      <c r="I105" s="945"/>
      <c r="J105" s="945"/>
      <c r="K105" s="945"/>
      <c r="L105" s="945"/>
      <c r="M105" s="945"/>
      <c r="N105" s="899"/>
      <c r="O105" s="899"/>
      <c r="P105" s="899"/>
      <c r="Q105" s="899"/>
      <c r="R105" s="899"/>
      <c r="S105" s="899"/>
      <c r="T105" s="899"/>
      <c r="U105" s="899"/>
      <c r="V105" s="899"/>
      <c r="W105" s="899"/>
      <c r="X105" s="899"/>
      <c r="Y105" s="899"/>
      <c r="Z105" s="899"/>
      <c r="AA105" s="899"/>
      <c r="AB105" s="899"/>
      <c r="AC105" s="899"/>
      <c r="AD105" s="899"/>
      <c r="AE105" s="899"/>
    </row>
    <row r="106">
      <c r="A106" s="944"/>
      <c r="B106" s="945"/>
      <c r="C106" s="945"/>
      <c r="D106" s="945"/>
      <c r="E106" s="945"/>
      <c r="F106" s="945"/>
      <c r="G106" s="945"/>
      <c r="H106" s="945"/>
      <c r="I106" s="945"/>
      <c r="J106" s="945"/>
      <c r="K106" s="945"/>
      <c r="L106" s="945"/>
      <c r="M106" s="945"/>
      <c r="N106" s="899"/>
      <c r="O106" s="899"/>
      <c r="P106" s="899"/>
      <c r="Q106" s="899"/>
      <c r="R106" s="899"/>
      <c r="S106" s="899"/>
      <c r="T106" s="899"/>
      <c r="U106" s="899"/>
      <c r="V106" s="899"/>
      <c r="W106" s="899"/>
      <c r="X106" s="899"/>
      <c r="Y106" s="899"/>
      <c r="Z106" s="899"/>
      <c r="AA106" s="899"/>
      <c r="AB106" s="899"/>
      <c r="AC106" s="899"/>
      <c r="AD106" s="899"/>
      <c r="AE106" s="899"/>
    </row>
    <row r="107">
      <c r="A107" s="944"/>
      <c r="B107" s="945"/>
      <c r="C107" s="945"/>
      <c r="D107" s="945"/>
      <c r="E107" s="945"/>
      <c r="F107" s="945"/>
      <c r="G107" s="945"/>
      <c r="H107" s="945"/>
      <c r="I107" s="945"/>
      <c r="J107" s="945"/>
      <c r="K107" s="945"/>
      <c r="L107" s="945"/>
      <c r="M107" s="945"/>
      <c r="N107" s="899"/>
      <c r="O107" s="899"/>
      <c r="P107" s="899"/>
      <c r="Q107" s="899"/>
      <c r="R107" s="899"/>
      <c r="S107" s="899"/>
      <c r="T107" s="899"/>
      <c r="U107" s="899"/>
      <c r="V107" s="899"/>
      <c r="W107" s="899"/>
      <c r="X107" s="899"/>
      <c r="Y107" s="899"/>
      <c r="Z107" s="899"/>
      <c r="AA107" s="899"/>
      <c r="AB107" s="899"/>
      <c r="AC107" s="899"/>
      <c r="AD107" s="899"/>
      <c r="AE107" s="899"/>
    </row>
    <row r="108">
      <c r="A108" s="944"/>
      <c r="B108" s="945"/>
      <c r="C108" s="945"/>
      <c r="D108" s="945"/>
      <c r="E108" s="945"/>
      <c r="F108" s="945"/>
      <c r="G108" s="945"/>
      <c r="H108" s="945"/>
      <c r="I108" s="945"/>
      <c r="J108" s="945"/>
      <c r="K108" s="945"/>
      <c r="L108" s="945"/>
      <c r="M108" s="945"/>
      <c r="N108" s="899"/>
      <c r="O108" s="899"/>
      <c r="P108" s="899"/>
      <c r="Q108" s="899"/>
      <c r="R108" s="899"/>
      <c r="S108" s="899"/>
      <c r="T108" s="899"/>
      <c r="U108" s="899"/>
      <c r="V108" s="899"/>
      <c r="W108" s="899"/>
      <c r="X108" s="899"/>
      <c r="Y108" s="899"/>
      <c r="Z108" s="899"/>
      <c r="AA108" s="899"/>
      <c r="AB108" s="899"/>
      <c r="AC108" s="899"/>
      <c r="AD108" s="899"/>
      <c r="AE108" s="899"/>
    </row>
    <row r="109">
      <c r="A109" s="944"/>
      <c r="B109" s="945"/>
      <c r="C109" s="945"/>
      <c r="D109" s="945"/>
      <c r="E109" s="945"/>
      <c r="F109" s="945"/>
      <c r="G109" s="945"/>
      <c r="H109" s="945"/>
      <c r="I109" s="945"/>
      <c r="J109" s="945"/>
      <c r="K109" s="945"/>
      <c r="L109" s="945"/>
      <c r="M109" s="945"/>
      <c r="N109" s="899"/>
      <c r="O109" s="899"/>
      <c r="P109" s="899"/>
      <c r="Q109" s="899"/>
      <c r="R109" s="899"/>
      <c r="S109" s="899"/>
      <c r="T109" s="899"/>
      <c r="U109" s="899"/>
      <c r="V109" s="899"/>
      <c r="W109" s="899"/>
      <c r="X109" s="899"/>
      <c r="Y109" s="899"/>
      <c r="Z109" s="899"/>
      <c r="AA109" s="899"/>
      <c r="AB109" s="899"/>
      <c r="AC109" s="899"/>
      <c r="AD109" s="899"/>
      <c r="AE109" s="899"/>
    </row>
    <row r="110">
      <c r="A110" s="944"/>
      <c r="B110" s="945"/>
      <c r="C110" s="945"/>
      <c r="D110" s="945"/>
      <c r="E110" s="945"/>
      <c r="F110" s="945"/>
      <c r="G110" s="945"/>
      <c r="H110" s="945"/>
      <c r="I110" s="945"/>
      <c r="J110" s="945"/>
      <c r="K110" s="945"/>
      <c r="L110" s="945"/>
      <c r="M110" s="945"/>
      <c r="N110" s="899"/>
      <c r="O110" s="899"/>
      <c r="P110" s="899"/>
      <c r="Q110" s="899"/>
      <c r="R110" s="899"/>
      <c r="S110" s="899"/>
      <c r="T110" s="899"/>
      <c r="U110" s="899"/>
      <c r="V110" s="899"/>
      <c r="W110" s="899"/>
      <c r="X110" s="899"/>
      <c r="Y110" s="899"/>
      <c r="Z110" s="899"/>
      <c r="AA110" s="899"/>
      <c r="AB110" s="899"/>
      <c r="AC110" s="899"/>
      <c r="AD110" s="899"/>
      <c r="AE110" s="899"/>
    </row>
    <row r="111">
      <c r="A111" s="944"/>
      <c r="B111" s="945"/>
      <c r="C111" s="945"/>
      <c r="D111" s="945"/>
      <c r="E111" s="945"/>
      <c r="F111" s="945"/>
      <c r="G111" s="945"/>
      <c r="H111" s="945"/>
      <c r="I111" s="945"/>
      <c r="J111" s="945"/>
      <c r="K111" s="945"/>
      <c r="L111" s="945"/>
      <c r="M111" s="945"/>
      <c r="N111" s="899"/>
      <c r="O111" s="899"/>
      <c r="P111" s="899"/>
      <c r="Q111" s="899"/>
      <c r="R111" s="899"/>
      <c r="S111" s="899"/>
      <c r="T111" s="899"/>
      <c r="U111" s="899"/>
      <c r="V111" s="899"/>
      <c r="W111" s="899"/>
      <c r="X111" s="899"/>
      <c r="Y111" s="899"/>
      <c r="Z111" s="899"/>
      <c r="AA111" s="899"/>
      <c r="AB111" s="899"/>
      <c r="AC111" s="899"/>
      <c r="AD111" s="899"/>
      <c r="AE111" s="899"/>
    </row>
    <row r="112">
      <c r="A112" s="944"/>
      <c r="B112" s="945"/>
      <c r="C112" s="945"/>
      <c r="D112" s="945"/>
      <c r="E112" s="945"/>
      <c r="F112" s="945"/>
      <c r="G112" s="945"/>
      <c r="H112" s="945"/>
      <c r="I112" s="945"/>
      <c r="J112" s="945"/>
      <c r="K112" s="945"/>
      <c r="L112" s="945"/>
      <c r="M112" s="945"/>
      <c r="N112" s="899"/>
      <c r="O112" s="899"/>
      <c r="P112" s="899"/>
      <c r="Q112" s="899"/>
      <c r="R112" s="899"/>
      <c r="S112" s="899"/>
      <c r="T112" s="899"/>
      <c r="U112" s="899"/>
      <c r="V112" s="899"/>
      <c r="W112" s="899"/>
      <c r="X112" s="899"/>
      <c r="Y112" s="899"/>
      <c r="Z112" s="899"/>
      <c r="AA112" s="899"/>
      <c r="AB112" s="899"/>
      <c r="AC112" s="899"/>
      <c r="AD112" s="899"/>
      <c r="AE112" s="899"/>
    </row>
    <row r="113">
      <c r="A113" s="944"/>
      <c r="B113" s="945"/>
      <c r="C113" s="945"/>
      <c r="D113" s="945"/>
      <c r="E113" s="945"/>
      <c r="F113" s="945"/>
      <c r="G113" s="945"/>
      <c r="H113" s="945"/>
      <c r="I113" s="945"/>
      <c r="J113" s="945"/>
      <c r="K113" s="945"/>
      <c r="L113" s="945"/>
      <c r="M113" s="945"/>
      <c r="N113" s="899"/>
      <c r="O113" s="899"/>
      <c r="P113" s="899"/>
      <c r="Q113" s="899"/>
      <c r="R113" s="899"/>
      <c r="S113" s="899"/>
      <c r="T113" s="899"/>
      <c r="U113" s="899"/>
      <c r="V113" s="899"/>
      <c r="W113" s="899"/>
      <c r="X113" s="899"/>
      <c r="Y113" s="899"/>
      <c r="Z113" s="899"/>
      <c r="AA113" s="899"/>
      <c r="AB113" s="899"/>
      <c r="AC113" s="899"/>
      <c r="AD113" s="899"/>
      <c r="AE113" s="899"/>
    </row>
    <row r="114">
      <c r="A114" s="944"/>
      <c r="B114" s="945"/>
      <c r="C114" s="945"/>
      <c r="D114" s="945"/>
      <c r="E114" s="945"/>
      <c r="F114" s="945"/>
      <c r="G114" s="945"/>
      <c r="H114" s="945"/>
      <c r="I114" s="945"/>
      <c r="J114" s="945"/>
      <c r="K114" s="945"/>
      <c r="L114" s="945"/>
      <c r="M114" s="945"/>
      <c r="N114" s="899"/>
      <c r="O114" s="899"/>
      <c r="P114" s="899"/>
      <c r="Q114" s="899"/>
      <c r="R114" s="899"/>
      <c r="S114" s="899"/>
      <c r="T114" s="899"/>
      <c r="U114" s="899"/>
      <c r="V114" s="899"/>
      <c r="W114" s="899"/>
      <c r="X114" s="899"/>
      <c r="Y114" s="899"/>
      <c r="Z114" s="899"/>
      <c r="AA114" s="899"/>
      <c r="AB114" s="899"/>
      <c r="AC114" s="899"/>
      <c r="AD114" s="899"/>
      <c r="AE114" s="899"/>
    </row>
    <row r="115">
      <c r="A115" s="944"/>
      <c r="B115" s="945"/>
      <c r="C115" s="945"/>
      <c r="D115" s="945"/>
      <c r="E115" s="945"/>
      <c r="F115" s="945"/>
      <c r="G115" s="945"/>
      <c r="H115" s="945"/>
      <c r="I115" s="945"/>
      <c r="J115" s="945"/>
      <c r="K115" s="945"/>
      <c r="L115" s="945"/>
      <c r="M115" s="945"/>
      <c r="N115" s="899"/>
      <c r="O115" s="899"/>
      <c r="P115" s="899"/>
      <c r="Q115" s="899"/>
      <c r="R115" s="899"/>
      <c r="S115" s="899"/>
      <c r="T115" s="899"/>
      <c r="U115" s="899"/>
      <c r="V115" s="899"/>
      <c r="W115" s="899"/>
      <c r="X115" s="899"/>
      <c r="Y115" s="899"/>
      <c r="Z115" s="899"/>
      <c r="AA115" s="899"/>
      <c r="AB115" s="899"/>
      <c r="AC115" s="899"/>
      <c r="AD115" s="899"/>
      <c r="AE115" s="899"/>
    </row>
    <row r="116">
      <c r="A116" s="944"/>
      <c r="B116" s="945"/>
      <c r="C116" s="945"/>
      <c r="D116" s="945"/>
      <c r="E116" s="945"/>
      <c r="F116" s="945"/>
      <c r="G116" s="945"/>
      <c r="H116" s="945"/>
      <c r="I116" s="945"/>
      <c r="J116" s="945"/>
      <c r="K116" s="945"/>
      <c r="L116" s="945"/>
      <c r="M116" s="945"/>
      <c r="N116" s="899"/>
      <c r="O116" s="899"/>
      <c r="P116" s="899"/>
      <c r="Q116" s="899"/>
      <c r="R116" s="899"/>
      <c r="S116" s="899"/>
      <c r="T116" s="899"/>
      <c r="U116" s="899"/>
      <c r="V116" s="899"/>
      <c r="W116" s="899"/>
      <c r="X116" s="899"/>
      <c r="Y116" s="899"/>
      <c r="Z116" s="899"/>
      <c r="AA116" s="899"/>
      <c r="AB116" s="899"/>
      <c r="AC116" s="899"/>
      <c r="AD116" s="899"/>
      <c r="AE116" s="899"/>
    </row>
    <row r="117">
      <c r="A117" s="944"/>
      <c r="B117" s="945"/>
      <c r="C117" s="945"/>
      <c r="D117" s="945"/>
      <c r="E117" s="945"/>
      <c r="F117" s="945"/>
      <c r="G117" s="945"/>
      <c r="H117" s="945"/>
      <c r="I117" s="945"/>
      <c r="J117" s="945"/>
      <c r="K117" s="945"/>
      <c r="L117" s="945"/>
      <c r="M117" s="945"/>
      <c r="N117" s="899"/>
      <c r="O117" s="899"/>
      <c r="P117" s="899"/>
      <c r="Q117" s="899"/>
      <c r="R117" s="899"/>
      <c r="S117" s="899"/>
      <c r="T117" s="899"/>
      <c r="U117" s="899"/>
      <c r="V117" s="899"/>
      <c r="W117" s="899"/>
      <c r="X117" s="899"/>
      <c r="Y117" s="899"/>
      <c r="Z117" s="899"/>
      <c r="AA117" s="899"/>
      <c r="AB117" s="899"/>
      <c r="AC117" s="899"/>
      <c r="AD117" s="899"/>
      <c r="AE117" s="899"/>
    </row>
    <row r="118">
      <c r="A118" s="944"/>
      <c r="B118" s="945"/>
      <c r="C118" s="945"/>
      <c r="D118" s="945"/>
      <c r="E118" s="945"/>
      <c r="F118" s="945"/>
      <c r="G118" s="945"/>
      <c r="H118" s="945"/>
      <c r="I118" s="945"/>
      <c r="J118" s="945"/>
      <c r="K118" s="945"/>
      <c r="L118" s="945"/>
      <c r="M118" s="945"/>
      <c r="N118" s="899"/>
      <c r="O118" s="899"/>
      <c r="P118" s="899"/>
      <c r="Q118" s="899"/>
      <c r="R118" s="899"/>
      <c r="S118" s="899"/>
      <c r="T118" s="899"/>
      <c r="U118" s="899"/>
      <c r="V118" s="899"/>
      <c r="W118" s="899"/>
      <c r="X118" s="899"/>
      <c r="Y118" s="899"/>
      <c r="Z118" s="899"/>
      <c r="AA118" s="899"/>
      <c r="AB118" s="899"/>
      <c r="AC118" s="899"/>
      <c r="AD118" s="899"/>
      <c r="AE118" s="899"/>
    </row>
    <row r="119">
      <c r="A119" s="944"/>
      <c r="B119" s="945"/>
      <c r="C119" s="945"/>
      <c r="D119" s="945"/>
      <c r="E119" s="945"/>
      <c r="F119" s="945"/>
      <c r="G119" s="945"/>
      <c r="H119" s="945"/>
      <c r="I119" s="945"/>
      <c r="J119" s="945"/>
      <c r="K119" s="945"/>
      <c r="L119" s="945"/>
      <c r="M119" s="945"/>
      <c r="N119" s="899"/>
      <c r="O119" s="899"/>
      <c r="P119" s="899"/>
      <c r="Q119" s="899"/>
      <c r="R119" s="899"/>
      <c r="S119" s="899"/>
      <c r="T119" s="899"/>
      <c r="U119" s="899"/>
      <c r="V119" s="899"/>
      <c r="W119" s="899"/>
      <c r="X119" s="899"/>
      <c r="Y119" s="899"/>
      <c r="Z119" s="899"/>
      <c r="AA119" s="899"/>
      <c r="AB119" s="899"/>
      <c r="AC119" s="899"/>
      <c r="AD119" s="899"/>
      <c r="AE119" s="899"/>
    </row>
    <row r="120">
      <c r="A120" s="944"/>
      <c r="B120" s="945"/>
      <c r="C120" s="945"/>
      <c r="D120" s="945"/>
      <c r="E120" s="945"/>
      <c r="F120" s="945"/>
      <c r="G120" s="945"/>
      <c r="H120" s="945"/>
      <c r="I120" s="945"/>
      <c r="J120" s="945"/>
      <c r="K120" s="945"/>
      <c r="L120" s="945"/>
      <c r="M120" s="945"/>
      <c r="N120" s="899"/>
      <c r="O120" s="899"/>
      <c r="P120" s="899"/>
      <c r="Q120" s="899"/>
      <c r="R120" s="899"/>
      <c r="S120" s="899"/>
      <c r="T120" s="899"/>
      <c r="U120" s="899"/>
      <c r="V120" s="899"/>
      <c r="W120" s="899"/>
      <c r="X120" s="899"/>
      <c r="Y120" s="899"/>
      <c r="Z120" s="899"/>
      <c r="AA120" s="899"/>
      <c r="AB120" s="899"/>
      <c r="AC120" s="899"/>
      <c r="AD120" s="899"/>
      <c r="AE120" s="899"/>
    </row>
    <row r="121">
      <c r="A121" s="944"/>
      <c r="B121" s="945"/>
      <c r="C121" s="945"/>
      <c r="D121" s="945"/>
      <c r="E121" s="945"/>
      <c r="F121" s="945"/>
      <c r="G121" s="945"/>
      <c r="H121" s="945"/>
      <c r="I121" s="945"/>
      <c r="J121" s="945"/>
      <c r="K121" s="945"/>
      <c r="L121" s="945"/>
      <c r="M121" s="945"/>
      <c r="N121" s="899"/>
      <c r="O121" s="899"/>
      <c r="P121" s="899"/>
      <c r="Q121" s="899"/>
      <c r="R121" s="899"/>
      <c r="S121" s="899"/>
      <c r="T121" s="899"/>
      <c r="U121" s="899"/>
      <c r="V121" s="899"/>
      <c r="W121" s="899"/>
      <c r="X121" s="899"/>
      <c r="Y121" s="899"/>
      <c r="Z121" s="899"/>
      <c r="AA121" s="899"/>
      <c r="AB121" s="899"/>
      <c r="AC121" s="899"/>
      <c r="AD121" s="899"/>
      <c r="AE121" s="899"/>
    </row>
    <row r="122">
      <c r="A122" s="944"/>
      <c r="B122" s="945"/>
      <c r="C122" s="945"/>
      <c r="D122" s="945"/>
      <c r="E122" s="945"/>
      <c r="F122" s="945"/>
      <c r="G122" s="945"/>
      <c r="H122" s="945"/>
      <c r="I122" s="945"/>
      <c r="J122" s="945"/>
      <c r="K122" s="945"/>
      <c r="L122" s="945"/>
      <c r="M122" s="945"/>
      <c r="N122" s="899"/>
      <c r="O122" s="899"/>
      <c r="P122" s="899"/>
      <c r="Q122" s="899"/>
      <c r="R122" s="899"/>
      <c r="S122" s="899"/>
      <c r="T122" s="899"/>
      <c r="U122" s="899"/>
      <c r="V122" s="899"/>
      <c r="W122" s="899"/>
      <c r="X122" s="899"/>
      <c r="Y122" s="899"/>
      <c r="Z122" s="899"/>
      <c r="AA122" s="899"/>
      <c r="AB122" s="899"/>
      <c r="AC122" s="899"/>
      <c r="AD122" s="899"/>
      <c r="AE122" s="899"/>
    </row>
    <row r="123">
      <c r="A123" s="944"/>
      <c r="B123" s="945"/>
      <c r="C123" s="945"/>
      <c r="D123" s="945"/>
      <c r="E123" s="945"/>
      <c r="F123" s="945"/>
      <c r="G123" s="945"/>
      <c r="H123" s="945"/>
      <c r="I123" s="945"/>
      <c r="J123" s="945"/>
      <c r="K123" s="945"/>
      <c r="L123" s="945"/>
      <c r="M123" s="945"/>
      <c r="N123" s="899"/>
      <c r="O123" s="899"/>
      <c r="P123" s="899"/>
      <c r="Q123" s="899"/>
      <c r="R123" s="899"/>
      <c r="S123" s="899"/>
      <c r="T123" s="899"/>
      <c r="U123" s="899"/>
      <c r="V123" s="899"/>
      <c r="W123" s="899"/>
      <c r="X123" s="899"/>
      <c r="Y123" s="899"/>
      <c r="Z123" s="899"/>
      <c r="AA123" s="899"/>
      <c r="AB123" s="899"/>
      <c r="AC123" s="899"/>
      <c r="AD123" s="899"/>
      <c r="AE123" s="899"/>
    </row>
    <row r="124">
      <c r="A124" s="944"/>
      <c r="B124" s="945"/>
      <c r="C124" s="945"/>
      <c r="D124" s="945"/>
      <c r="E124" s="945"/>
      <c r="F124" s="945"/>
      <c r="G124" s="945"/>
      <c r="H124" s="945"/>
      <c r="I124" s="945"/>
      <c r="J124" s="945"/>
      <c r="K124" s="945"/>
      <c r="L124" s="945"/>
      <c r="M124" s="945"/>
      <c r="N124" s="899"/>
      <c r="O124" s="899"/>
      <c r="P124" s="899"/>
      <c r="Q124" s="899"/>
      <c r="R124" s="899"/>
      <c r="S124" s="899"/>
      <c r="T124" s="899"/>
      <c r="U124" s="899"/>
      <c r="V124" s="899"/>
      <c r="W124" s="899"/>
      <c r="X124" s="899"/>
      <c r="Y124" s="899"/>
      <c r="Z124" s="899"/>
      <c r="AA124" s="899"/>
      <c r="AB124" s="899"/>
      <c r="AC124" s="899"/>
      <c r="AD124" s="899"/>
      <c r="AE124" s="899"/>
    </row>
    <row r="125">
      <c r="A125" s="944"/>
      <c r="B125" s="945"/>
      <c r="C125" s="945"/>
      <c r="D125" s="945"/>
      <c r="E125" s="945"/>
      <c r="F125" s="945"/>
      <c r="G125" s="945"/>
      <c r="H125" s="945"/>
      <c r="I125" s="945"/>
      <c r="J125" s="945"/>
      <c r="K125" s="945"/>
      <c r="L125" s="945"/>
      <c r="M125" s="945"/>
      <c r="N125" s="899"/>
      <c r="O125" s="899"/>
      <c r="P125" s="899"/>
      <c r="Q125" s="899"/>
      <c r="R125" s="899"/>
      <c r="S125" s="899"/>
      <c r="T125" s="899"/>
      <c r="U125" s="899"/>
      <c r="V125" s="899"/>
      <c r="W125" s="899"/>
      <c r="X125" s="899"/>
      <c r="Y125" s="899"/>
      <c r="Z125" s="899"/>
      <c r="AA125" s="899"/>
      <c r="AB125" s="899"/>
      <c r="AC125" s="899"/>
      <c r="AD125" s="899"/>
      <c r="AE125" s="899"/>
    </row>
    <row r="126">
      <c r="A126" s="944"/>
      <c r="B126" s="945"/>
      <c r="C126" s="945"/>
      <c r="D126" s="945"/>
      <c r="E126" s="945"/>
      <c r="F126" s="945"/>
      <c r="G126" s="945"/>
      <c r="H126" s="945"/>
      <c r="I126" s="945"/>
      <c r="J126" s="945"/>
      <c r="K126" s="945"/>
      <c r="L126" s="945"/>
      <c r="M126" s="945"/>
      <c r="N126" s="899"/>
      <c r="O126" s="899"/>
      <c r="P126" s="899"/>
      <c r="Q126" s="899"/>
      <c r="R126" s="899"/>
      <c r="S126" s="899"/>
      <c r="T126" s="899"/>
      <c r="U126" s="899"/>
      <c r="V126" s="899"/>
      <c r="W126" s="899"/>
      <c r="X126" s="899"/>
      <c r="Y126" s="899"/>
      <c r="Z126" s="899"/>
      <c r="AA126" s="899"/>
      <c r="AB126" s="899"/>
      <c r="AC126" s="899"/>
      <c r="AD126" s="899"/>
      <c r="AE126" s="899"/>
    </row>
    <row r="127">
      <c r="A127" s="944"/>
      <c r="B127" s="945"/>
      <c r="C127" s="945"/>
      <c r="D127" s="945"/>
      <c r="E127" s="945"/>
      <c r="F127" s="945"/>
      <c r="G127" s="945"/>
      <c r="H127" s="945"/>
      <c r="I127" s="945"/>
      <c r="J127" s="945"/>
      <c r="K127" s="945"/>
      <c r="L127" s="945"/>
      <c r="M127" s="945"/>
      <c r="N127" s="899"/>
      <c r="O127" s="899"/>
      <c r="P127" s="899"/>
      <c r="Q127" s="899"/>
      <c r="R127" s="899"/>
      <c r="S127" s="899"/>
      <c r="T127" s="899"/>
      <c r="U127" s="899"/>
      <c r="V127" s="899"/>
      <c r="W127" s="899"/>
      <c r="X127" s="899"/>
      <c r="Y127" s="899"/>
      <c r="Z127" s="899"/>
      <c r="AA127" s="899"/>
      <c r="AB127" s="899"/>
      <c r="AC127" s="899"/>
      <c r="AD127" s="899"/>
      <c r="AE127" s="899"/>
    </row>
    <row r="128">
      <c r="A128" s="944"/>
      <c r="B128" s="945"/>
      <c r="C128" s="945"/>
      <c r="D128" s="945"/>
      <c r="E128" s="945"/>
      <c r="F128" s="945"/>
      <c r="G128" s="945"/>
      <c r="H128" s="945"/>
      <c r="I128" s="945"/>
      <c r="J128" s="945"/>
      <c r="K128" s="945"/>
      <c r="L128" s="945"/>
      <c r="M128" s="945"/>
      <c r="N128" s="899"/>
      <c r="O128" s="899"/>
      <c r="P128" s="899"/>
      <c r="Q128" s="899"/>
      <c r="R128" s="899"/>
      <c r="S128" s="899"/>
      <c r="T128" s="899"/>
      <c r="U128" s="899"/>
      <c r="V128" s="899"/>
      <c r="W128" s="899"/>
      <c r="X128" s="899"/>
      <c r="Y128" s="899"/>
      <c r="Z128" s="899"/>
      <c r="AA128" s="899"/>
      <c r="AB128" s="899"/>
      <c r="AC128" s="899"/>
      <c r="AD128" s="899"/>
      <c r="AE128" s="899"/>
    </row>
    <row r="129">
      <c r="A129" s="944"/>
      <c r="B129" s="945"/>
      <c r="C129" s="945"/>
      <c r="D129" s="945"/>
      <c r="E129" s="945"/>
      <c r="F129" s="945"/>
      <c r="G129" s="945"/>
      <c r="H129" s="945"/>
      <c r="I129" s="945"/>
      <c r="J129" s="945"/>
      <c r="K129" s="945"/>
      <c r="L129" s="945"/>
      <c r="M129" s="945"/>
      <c r="N129" s="899"/>
      <c r="O129" s="899"/>
      <c r="P129" s="899"/>
      <c r="Q129" s="899"/>
      <c r="R129" s="899"/>
      <c r="S129" s="899"/>
      <c r="T129" s="899"/>
      <c r="U129" s="899"/>
      <c r="V129" s="899"/>
      <c r="W129" s="899"/>
      <c r="X129" s="899"/>
      <c r="Y129" s="899"/>
      <c r="Z129" s="899"/>
      <c r="AA129" s="899"/>
      <c r="AB129" s="899"/>
      <c r="AC129" s="899"/>
      <c r="AD129" s="899"/>
      <c r="AE129" s="899"/>
    </row>
    <row r="130">
      <c r="A130" s="944"/>
      <c r="B130" s="945"/>
      <c r="C130" s="945"/>
      <c r="D130" s="945"/>
      <c r="E130" s="945"/>
      <c r="F130" s="945"/>
      <c r="G130" s="945"/>
      <c r="H130" s="945"/>
      <c r="I130" s="945"/>
      <c r="J130" s="945"/>
      <c r="K130" s="945"/>
      <c r="L130" s="945"/>
      <c r="M130" s="945"/>
      <c r="N130" s="899"/>
      <c r="O130" s="899"/>
      <c r="P130" s="899"/>
      <c r="Q130" s="899"/>
      <c r="R130" s="899"/>
      <c r="S130" s="899"/>
      <c r="T130" s="899"/>
      <c r="U130" s="899"/>
      <c r="V130" s="899"/>
      <c r="W130" s="899"/>
      <c r="X130" s="899"/>
      <c r="Y130" s="899"/>
      <c r="Z130" s="899"/>
      <c r="AA130" s="899"/>
      <c r="AB130" s="899"/>
      <c r="AC130" s="899"/>
      <c r="AD130" s="899"/>
      <c r="AE130" s="899"/>
    </row>
    <row r="131">
      <c r="A131" s="944"/>
      <c r="B131" s="945"/>
      <c r="C131" s="945"/>
      <c r="D131" s="945"/>
      <c r="E131" s="945"/>
      <c r="F131" s="945"/>
      <c r="G131" s="945"/>
      <c r="H131" s="945"/>
      <c r="I131" s="945"/>
      <c r="J131" s="945"/>
      <c r="K131" s="945"/>
      <c r="L131" s="945"/>
      <c r="M131" s="945"/>
      <c r="N131" s="899"/>
      <c r="O131" s="899"/>
      <c r="P131" s="899"/>
      <c r="Q131" s="899"/>
      <c r="R131" s="899"/>
      <c r="S131" s="899"/>
      <c r="T131" s="899"/>
      <c r="U131" s="899"/>
      <c r="V131" s="899"/>
      <c r="W131" s="899"/>
      <c r="X131" s="899"/>
      <c r="Y131" s="899"/>
      <c r="Z131" s="899"/>
      <c r="AA131" s="899"/>
      <c r="AB131" s="899"/>
      <c r="AC131" s="899"/>
      <c r="AD131" s="899"/>
      <c r="AE131" s="899"/>
    </row>
    <row r="132">
      <c r="A132" s="944"/>
      <c r="B132" s="945"/>
      <c r="C132" s="945"/>
      <c r="D132" s="945"/>
      <c r="E132" s="945"/>
      <c r="F132" s="945"/>
      <c r="G132" s="945"/>
      <c r="H132" s="945"/>
      <c r="I132" s="945"/>
      <c r="J132" s="945"/>
      <c r="K132" s="945"/>
      <c r="L132" s="945"/>
      <c r="M132" s="945"/>
      <c r="N132" s="899"/>
      <c r="O132" s="899"/>
      <c r="P132" s="899"/>
      <c r="Q132" s="899"/>
      <c r="R132" s="899"/>
      <c r="S132" s="899"/>
      <c r="T132" s="899"/>
      <c r="U132" s="899"/>
      <c r="V132" s="899"/>
      <c r="W132" s="899"/>
      <c r="X132" s="899"/>
      <c r="Y132" s="899"/>
      <c r="Z132" s="899"/>
      <c r="AA132" s="899"/>
      <c r="AB132" s="899"/>
      <c r="AC132" s="899"/>
      <c r="AD132" s="899"/>
      <c r="AE132" s="899"/>
    </row>
    <row r="133">
      <c r="A133" s="944"/>
      <c r="B133" s="945"/>
      <c r="C133" s="945"/>
      <c r="D133" s="945"/>
      <c r="E133" s="945"/>
      <c r="F133" s="945"/>
      <c r="G133" s="945"/>
      <c r="H133" s="945"/>
      <c r="I133" s="945"/>
      <c r="J133" s="945"/>
      <c r="K133" s="945"/>
      <c r="L133" s="945"/>
      <c r="M133" s="945"/>
      <c r="N133" s="899"/>
      <c r="O133" s="899"/>
      <c r="P133" s="899"/>
      <c r="Q133" s="899"/>
      <c r="R133" s="899"/>
      <c r="S133" s="899"/>
      <c r="T133" s="899"/>
      <c r="U133" s="899"/>
      <c r="V133" s="899"/>
      <c r="W133" s="899"/>
      <c r="X133" s="899"/>
      <c r="Y133" s="899"/>
      <c r="Z133" s="899"/>
      <c r="AA133" s="899"/>
      <c r="AB133" s="899"/>
      <c r="AC133" s="899"/>
      <c r="AD133" s="899"/>
      <c r="AE133" s="899"/>
    </row>
    <row r="134">
      <c r="A134" s="944"/>
      <c r="B134" s="945"/>
      <c r="C134" s="945"/>
      <c r="D134" s="945"/>
      <c r="E134" s="945"/>
      <c r="F134" s="945"/>
      <c r="G134" s="945"/>
      <c r="H134" s="945"/>
      <c r="I134" s="945"/>
      <c r="J134" s="945"/>
      <c r="K134" s="945"/>
      <c r="L134" s="945"/>
      <c r="M134" s="945"/>
      <c r="N134" s="899"/>
      <c r="O134" s="899"/>
      <c r="P134" s="899"/>
      <c r="Q134" s="899"/>
      <c r="R134" s="899"/>
      <c r="S134" s="899"/>
      <c r="T134" s="899"/>
      <c r="U134" s="899"/>
      <c r="V134" s="899"/>
      <c r="W134" s="899"/>
      <c r="X134" s="899"/>
      <c r="Y134" s="899"/>
      <c r="Z134" s="899"/>
      <c r="AA134" s="899"/>
      <c r="AB134" s="899"/>
      <c r="AC134" s="899"/>
      <c r="AD134" s="899"/>
      <c r="AE134" s="899"/>
    </row>
    <row r="135">
      <c r="A135" s="944"/>
      <c r="B135" s="945"/>
      <c r="C135" s="945"/>
      <c r="D135" s="945"/>
      <c r="E135" s="945"/>
      <c r="F135" s="945"/>
      <c r="G135" s="945"/>
      <c r="H135" s="945"/>
      <c r="I135" s="945"/>
      <c r="J135" s="945"/>
      <c r="K135" s="945"/>
      <c r="L135" s="945"/>
      <c r="M135" s="945"/>
      <c r="N135" s="899"/>
      <c r="O135" s="899"/>
      <c r="P135" s="899"/>
      <c r="Q135" s="899"/>
      <c r="R135" s="899"/>
      <c r="S135" s="899"/>
      <c r="T135" s="899"/>
      <c r="U135" s="899"/>
      <c r="V135" s="899"/>
      <c r="W135" s="899"/>
      <c r="X135" s="899"/>
      <c r="Y135" s="899"/>
      <c r="Z135" s="899"/>
      <c r="AA135" s="899"/>
      <c r="AB135" s="899"/>
      <c r="AC135" s="899"/>
      <c r="AD135" s="899"/>
      <c r="AE135" s="899"/>
    </row>
    <row r="136">
      <c r="A136" s="944"/>
      <c r="B136" s="945"/>
      <c r="C136" s="945"/>
      <c r="D136" s="945"/>
      <c r="E136" s="945"/>
      <c r="F136" s="945"/>
      <c r="G136" s="945"/>
      <c r="H136" s="945"/>
      <c r="I136" s="945"/>
      <c r="J136" s="945"/>
      <c r="K136" s="945"/>
      <c r="L136" s="945"/>
      <c r="M136" s="945"/>
      <c r="N136" s="899"/>
      <c r="O136" s="899"/>
      <c r="P136" s="899"/>
      <c r="Q136" s="899"/>
      <c r="R136" s="899"/>
      <c r="S136" s="899"/>
      <c r="T136" s="899"/>
      <c r="U136" s="899"/>
      <c r="V136" s="899"/>
      <c r="W136" s="899"/>
      <c r="X136" s="899"/>
      <c r="Y136" s="899"/>
      <c r="Z136" s="899"/>
      <c r="AA136" s="899"/>
      <c r="AB136" s="899"/>
      <c r="AC136" s="899"/>
      <c r="AD136" s="899"/>
      <c r="AE136" s="899"/>
    </row>
    <row r="137">
      <c r="A137" s="944"/>
      <c r="B137" s="945"/>
      <c r="C137" s="945"/>
      <c r="D137" s="945"/>
      <c r="E137" s="945"/>
      <c r="F137" s="945"/>
      <c r="G137" s="945"/>
      <c r="H137" s="945"/>
      <c r="I137" s="945"/>
      <c r="J137" s="945"/>
      <c r="K137" s="945"/>
      <c r="L137" s="945"/>
      <c r="M137" s="945"/>
      <c r="N137" s="899"/>
      <c r="O137" s="899"/>
      <c r="P137" s="899"/>
      <c r="Q137" s="899"/>
      <c r="R137" s="899"/>
      <c r="S137" s="899"/>
      <c r="T137" s="899"/>
      <c r="U137" s="899"/>
      <c r="V137" s="899"/>
      <c r="W137" s="899"/>
      <c r="X137" s="899"/>
      <c r="Y137" s="899"/>
      <c r="Z137" s="899"/>
      <c r="AA137" s="899"/>
      <c r="AB137" s="899"/>
      <c r="AC137" s="899"/>
      <c r="AD137" s="899"/>
      <c r="AE137" s="899"/>
    </row>
    <row r="138">
      <c r="A138" s="944"/>
      <c r="B138" s="945"/>
      <c r="C138" s="945"/>
      <c r="D138" s="945"/>
      <c r="E138" s="945"/>
      <c r="F138" s="945"/>
      <c r="G138" s="945"/>
      <c r="H138" s="945"/>
      <c r="I138" s="945"/>
      <c r="J138" s="945"/>
      <c r="K138" s="945"/>
      <c r="L138" s="945"/>
      <c r="M138" s="945"/>
      <c r="N138" s="899"/>
      <c r="O138" s="899"/>
      <c r="P138" s="899"/>
      <c r="Q138" s="899"/>
      <c r="R138" s="899"/>
      <c r="S138" s="899"/>
      <c r="T138" s="899"/>
      <c r="U138" s="899"/>
      <c r="V138" s="899"/>
      <c r="W138" s="899"/>
      <c r="X138" s="899"/>
      <c r="Y138" s="899"/>
      <c r="Z138" s="899"/>
      <c r="AA138" s="899"/>
      <c r="AB138" s="899"/>
      <c r="AC138" s="899"/>
      <c r="AD138" s="899"/>
      <c r="AE138" s="899"/>
    </row>
    <row r="139">
      <c r="A139" s="944"/>
      <c r="B139" s="945"/>
      <c r="C139" s="945"/>
      <c r="D139" s="945"/>
      <c r="E139" s="945"/>
      <c r="F139" s="945"/>
      <c r="G139" s="945"/>
      <c r="H139" s="945"/>
      <c r="I139" s="945"/>
      <c r="J139" s="945"/>
      <c r="K139" s="945"/>
      <c r="L139" s="945"/>
      <c r="M139" s="945"/>
      <c r="N139" s="899"/>
      <c r="O139" s="899"/>
      <c r="P139" s="899"/>
      <c r="Q139" s="899"/>
      <c r="R139" s="899"/>
      <c r="S139" s="899"/>
      <c r="T139" s="899"/>
      <c r="U139" s="899"/>
      <c r="V139" s="899"/>
      <c r="W139" s="899"/>
      <c r="X139" s="899"/>
      <c r="Y139" s="899"/>
      <c r="Z139" s="899"/>
      <c r="AA139" s="899"/>
      <c r="AB139" s="899"/>
      <c r="AC139" s="899"/>
      <c r="AD139" s="899"/>
      <c r="AE139" s="899"/>
    </row>
    <row r="140">
      <c r="A140" s="944"/>
      <c r="B140" s="945"/>
      <c r="C140" s="945"/>
      <c r="D140" s="945"/>
      <c r="E140" s="945"/>
      <c r="F140" s="945"/>
      <c r="G140" s="945"/>
      <c r="H140" s="945"/>
      <c r="I140" s="945"/>
      <c r="J140" s="945"/>
      <c r="K140" s="945"/>
      <c r="L140" s="945"/>
      <c r="M140" s="945"/>
      <c r="N140" s="899"/>
      <c r="O140" s="899"/>
      <c r="P140" s="899"/>
      <c r="Q140" s="899"/>
      <c r="R140" s="899"/>
      <c r="S140" s="899"/>
      <c r="T140" s="899"/>
      <c r="U140" s="899"/>
      <c r="V140" s="899"/>
      <c r="W140" s="899"/>
      <c r="X140" s="899"/>
      <c r="Y140" s="899"/>
      <c r="Z140" s="899"/>
      <c r="AA140" s="899"/>
      <c r="AB140" s="899"/>
      <c r="AC140" s="899"/>
      <c r="AD140" s="899"/>
      <c r="AE140" s="899"/>
    </row>
    <row r="141">
      <c r="A141" s="944"/>
      <c r="B141" s="945"/>
      <c r="C141" s="945"/>
      <c r="D141" s="945"/>
      <c r="E141" s="945"/>
      <c r="F141" s="945"/>
      <c r="G141" s="945"/>
      <c r="H141" s="945"/>
      <c r="I141" s="945"/>
      <c r="J141" s="945"/>
      <c r="K141" s="945"/>
      <c r="L141" s="945"/>
      <c r="M141" s="945"/>
      <c r="N141" s="899"/>
      <c r="O141" s="899"/>
      <c r="P141" s="899"/>
      <c r="Q141" s="899"/>
      <c r="R141" s="899"/>
      <c r="S141" s="899"/>
      <c r="T141" s="899"/>
      <c r="U141" s="899"/>
      <c r="V141" s="899"/>
      <c r="W141" s="899"/>
      <c r="X141" s="899"/>
      <c r="Y141" s="899"/>
      <c r="Z141" s="899"/>
      <c r="AA141" s="899"/>
      <c r="AB141" s="899"/>
      <c r="AC141" s="899"/>
      <c r="AD141" s="899"/>
      <c r="AE141" s="899"/>
    </row>
    <row r="142">
      <c r="A142" s="944"/>
      <c r="B142" s="945"/>
      <c r="C142" s="945"/>
      <c r="D142" s="945"/>
      <c r="E142" s="945"/>
      <c r="F142" s="945"/>
      <c r="G142" s="945"/>
      <c r="H142" s="945"/>
      <c r="I142" s="945"/>
      <c r="J142" s="945"/>
      <c r="K142" s="945"/>
      <c r="L142" s="945"/>
      <c r="M142" s="945"/>
      <c r="N142" s="899"/>
      <c r="O142" s="899"/>
      <c r="P142" s="899"/>
      <c r="Q142" s="899"/>
      <c r="R142" s="899"/>
      <c r="S142" s="899"/>
      <c r="T142" s="899"/>
      <c r="U142" s="899"/>
      <c r="V142" s="899"/>
      <c r="W142" s="899"/>
      <c r="X142" s="899"/>
      <c r="Y142" s="899"/>
      <c r="Z142" s="899"/>
      <c r="AA142" s="899"/>
      <c r="AB142" s="899"/>
      <c r="AC142" s="899"/>
      <c r="AD142" s="899"/>
      <c r="AE142" s="899"/>
    </row>
    <row r="143">
      <c r="A143" s="944"/>
      <c r="B143" s="945"/>
      <c r="C143" s="945"/>
      <c r="D143" s="945"/>
      <c r="E143" s="945"/>
      <c r="F143" s="945"/>
      <c r="G143" s="945"/>
      <c r="H143" s="945"/>
      <c r="I143" s="945"/>
      <c r="J143" s="945"/>
      <c r="K143" s="945"/>
      <c r="L143" s="945"/>
      <c r="M143" s="945"/>
      <c r="N143" s="899"/>
      <c r="O143" s="899"/>
      <c r="P143" s="899"/>
      <c r="Q143" s="899"/>
      <c r="R143" s="899"/>
      <c r="S143" s="899"/>
      <c r="T143" s="899"/>
      <c r="U143" s="899"/>
      <c r="V143" s="899"/>
      <c r="W143" s="899"/>
      <c r="X143" s="899"/>
      <c r="Y143" s="899"/>
      <c r="Z143" s="899"/>
      <c r="AA143" s="899"/>
      <c r="AB143" s="899"/>
      <c r="AC143" s="899"/>
      <c r="AD143" s="899"/>
      <c r="AE143" s="899"/>
    </row>
    <row r="144">
      <c r="A144" s="944"/>
      <c r="B144" s="945"/>
      <c r="C144" s="945"/>
      <c r="D144" s="945"/>
      <c r="E144" s="945"/>
      <c r="F144" s="945"/>
      <c r="G144" s="945"/>
      <c r="H144" s="945"/>
      <c r="I144" s="945"/>
      <c r="J144" s="945"/>
      <c r="K144" s="945"/>
      <c r="L144" s="945"/>
      <c r="M144" s="945"/>
      <c r="N144" s="899"/>
      <c r="O144" s="899"/>
      <c r="P144" s="899"/>
      <c r="Q144" s="899"/>
      <c r="R144" s="899"/>
      <c r="S144" s="899"/>
      <c r="T144" s="899"/>
      <c r="U144" s="899"/>
      <c r="V144" s="899"/>
      <c r="W144" s="899"/>
      <c r="X144" s="899"/>
      <c r="Y144" s="899"/>
      <c r="Z144" s="899"/>
      <c r="AA144" s="899"/>
      <c r="AB144" s="899"/>
      <c r="AC144" s="899"/>
      <c r="AD144" s="899"/>
      <c r="AE144" s="899"/>
    </row>
    <row r="145">
      <c r="A145" s="944"/>
      <c r="B145" s="945"/>
      <c r="C145" s="945"/>
      <c r="D145" s="945"/>
      <c r="E145" s="945"/>
      <c r="F145" s="945"/>
      <c r="G145" s="945"/>
      <c r="H145" s="945"/>
      <c r="I145" s="945"/>
      <c r="J145" s="945"/>
      <c r="K145" s="945"/>
      <c r="L145" s="945"/>
      <c r="M145" s="945"/>
      <c r="N145" s="899"/>
      <c r="O145" s="899"/>
      <c r="P145" s="899"/>
      <c r="Q145" s="899"/>
      <c r="R145" s="899"/>
      <c r="S145" s="899"/>
      <c r="T145" s="899"/>
      <c r="U145" s="899"/>
      <c r="V145" s="899"/>
      <c r="W145" s="899"/>
      <c r="X145" s="899"/>
      <c r="Y145" s="899"/>
      <c r="Z145" s="899"/>
      <c r="AA145" s="899"/>
      <c r="AB145" s="899"/>
      <c r="AC145" s="899"/>
      <c r="AD145" s="899"/>
      <c r="AE145" s="899"/>
    </row>
    <row r="146">
      <c r="A146" s="944"/>
      <c r="B146" s="945"/>
      <c r="C146" s="945"/>
      <c r="D146" s="945"/>
      <c r="E146" s="945"/>
      <c r="F146" s="945"/>
      <c r="G146" s="945"/>
      <c r="H146" s="945"/>
      <c r="I146" s="945"/>
      <c r="J146" s="945"/>
      <c r="K146" s="945"/>
      <c r="L146" s="945"/>
      <c r="M146" s="945"/>
      <c r="N146" s="899"/>
      <c r="O146" s="899"/>
      <c r="P146" s="899"/>
      <c r="Q146" s="899"/>
      <c r="R146" s="899"/>
      <c r="S146" s="899"/>
      <c r="T146" s="899"/>
      <c r="U146" s="899"/>
      <c r="V146" s="899"/>
      <c r="W146" s="899"/>
      <c r="X146" s="899"/>
      <c r="Y146" s="899"/>
      <c r="Z146" s="899"/>
      <c r="AA146" s="899"/>
      <c r="AB146" s="899"/>
      <c r="AC146" s="899"/>
      <c r="AD146" s="899"/>
      <c r="AE146" s="899"/>
    </row>
    <row r="147">
      <c r="A147" s="944"/>
      <c r="B147" s="945"/>
      <c r="C147" s="945"/>
      <c r="D147" s="945"/>
      <c r="E147" s="945"/>
      <c r="F147" s="945"/>
      <c r="G147" s="945"/>
      <c r="H147" s="945"/>
      <c r="I147" s="945"/>
      <c r="J147" s="945"/>
      <c r="K147" s="945"/>
      <c r="L147" s="945"/>
      <c r="M147" s="945"/>
      <c r="N147" s="899"/>
      <c r="O147" s="899"/>
      <c r="P147" s="899"/>
      <c r="Q147" s="899"/>
      <c r="R147" s="899"/>
      <c r="S147" s="899"/>
      <c r="T147" s="899"/>
      <c r="U147" s="899"/>
      <c r="V147" s="899"/>
      <c r="W147" s="899"/>
      <c r="X147" s="899"/>
      <c r="Y147" s="899"/>
      <c r="Z147" s="899"/>
      <c r="AA147" s="899"/>
      <c r="AB147" s="899"/>
      <c r="AC147" s="899"/>
      <c r="AD147" s="899"/>
      <c r="AE147" s="899"/>
    </row>
    <row r="148">
      <c r="A148" s="944"/>
      <c r="B148" s="945"/>
      <c r="C148" s="945"/>
      <c r="D148" s="945"/>
      <c r="E148" s="945"/>
      <c r="F148" s="945"/>
      <c r="G148" s="945"/>
      <c r="H148" s="945"/>
      <c r="I148" s="945"/>
      <c r="J148" s="945"/>
      <c r="K148" s="945"/>
      <c r="L148" s="945"/>
      <c r="M148" s="945"/>
      <c r="N148" s="899"/>
      <c r="O148" s="899"/>
      <c r="P148" s="899"/>
      <c r="Q148" s="899"/>
      <c r="R148" s="899"/>
      <c r="S148" s="899"/>
      <c r="T148" s="899"/>
      <c r="U148" s="899"/>
      <c r="V148" s="899"/>
      <c r="W148" s="899"/>
      <c r="X148" s="899"/>
      <c r="Y148" s="899"/>
      <c r="Z148" s="899"/>
      <c r="AA148" s="899"/>
      <c r="AB148" s="899"/>
      <c r="AC148" s="899"/>
      <c r="AD148" s="899"/>
      <c r="AE148" s="899"/>
    </row>
    <row r="149">
      <c r="A149" s="944"/>
      <c r="B149" s="945"/>
      <c r="C149" s="945"/>
      <c r="D149" s="945"/>
      <c r="E149" s="945"/>
      <c r="F149" s="945"/>
      <c r="G149" s="945"/>
      <c r="H149" s="945"/>
      <c r="I149" s="945"/>
      <c r="J149" s="945"/>
      <c r="K149" s="945"/>
      <c r="L149" s="945"/>
      <c r="M149" s="945"/>
      <c r="N149" s="899"/>
      <c r="O149" s="899"/>
      <c r="P149" s="899"/>
      <c r="Q149" s="899"/>
      <c r="R149" s="899"/>
      <c r="S149" s="899"/>
      <c r="T149" s="899"/>
      <c r="U149" s="899"/>
      <c r="V149" s="899"/>
      <c r="W149" s="899"/>
      <c r="X149" s="899"/>
      <c r="Y149" s="899"/>
      <c r="Z149" s="899"/>
      <c r="AA149" s="899"/>
      <c r="AB149" s="899"/>
      <c r="AC149" s="899"/>
      <c r="AD149" s="899"/>
      <c r="AE149" s="899"/>
    </row>
    <row r="150">
      <c r="A150" s="944"/>
      <c r="B150" s="945"/>
      <c r="C150" s="945"/>
      <c r="D150" s="945"/>
      <c r="E150" s="945"/>
      <c r="F150" s="945"/>
      <c r="G150" s="945"/>
      <c r="H150" s="945"/>
      <c r="I150" s="945"/>
      <c r="J150" s="945"/>
      <c r="K150" s="945"/>
      <c r="L150" s="945"/>
      <c r="M150" s="945"/>
      <c r="N150" s="899"/>
      <c r="O150" s="899"/>
      <c r="P150" s="899"/>
      <c r="Q150" s="899"/>
      <c r="R150" s="899"/>
      <c r="S150" s="899"/>
      <c r="T150" s="899"/>
      <c r="U150" s="899"/>
      <c r="V150" s="899"/>
      <c r="W150" s="899"/>
      <c r="X150" s="899"/>
      <c r="Y150" s="899"/>
      <c r="Z150" s="899"/>
      <c r="AA150" s="899"/>
      <c r="AB150" s="899"/>
      <c r="AC150" s="899"/>
      <c r="AD150" s="899"/>
      <c r="AE150" s="899"/>
    </row>
    <row r="151">
      <c r="A151" s="944"/>
      <c r="B151" s="945"/>
      <c r="C151" s="945"/>
      <c r="D151" s="945"/>
      <c r="E151" s="945"/>
      <c r="F151" s="945"/>
      <c r="G151" s="945"/>
      <c r="H151" s="945"/>
      <c r="I151" s="945"/>
      <c r="J151" s="945"/>
      <c r="K151" s="945"/>
      <c r="L151" s="945"/>
      <c r="M151" s="945"/>
      <c r="N151" s="899"/>
      <c r="O151" s="899"/>
      <c r="P151" s="899"/>
      <c r="Q151" s="899"/>
      <c r="R151" s="899"/>
      <c r="S151" s="899"/>
      <c r="T151" s="899"/>
      <c r="U151" s="899"/>
      <c r="V151" s="899"/>
      <c r="W151" s="899"/>
      <c r="X151" s="899"/>
      <c r="Y151" s="899"/>
      <c r="Z151" s="899"/>
      <c r="AA151" s="899"/>
      <c r="AB151" s="899"/>
      <c r="AC151" s="899"/>
      <c r="AD151" s="899"/>
      <c r="AE151" s="899"/>
    </row>
    <row r="152">
      <c r="A152" s="944"/>
      <c r="B152" s="945"/>
      <c r="C152" s="945"/>
      <c r="D152" s="945"/>
      <c r="E152" s="945"/>
      <c r="F152" s="945"/>
      <c r="G152" s="945"/>
      <c r="H152" s="945"/>
      <c r="I152" s="945"/>
      <c r="J152" s="945"/>
      <c r="K152" s="945"/>
      <c r="L152" s="945"/>
      <c r="M152" s="945"/>
      <c r="N152" s="899"/>
      <c r="O152" s="899"/>
      <c r="P152" s="899"/>
      <c r="Q152" s="899"/>
      <c r="R152" s="899"/>
      <c r="S152" s="899"/>
      <c r="T152" s="899"/>
      <c r="U152" s="899"/>
      <c r="V152" s="899"/>
      <c r="W152" s="899"/>
      <c r="X152" s="899"/>
      <c r="Y152" s="899"/>
      <c r="Z152" s="899"/>
      <c r="AA152" s="899"/>
      <c r="AB152" s="899"/>
      <c r="AC152" s="899"/>
      <c r="AD152" s="899"/>
      <c r="AE152" s="899"/>
    </row>
    <row r="153">
      <c r="A153" s="944"/>
      <c r="B153" s="945"/>
      <c r="C153" s="945"/>
      <c r="D153" s="945"/>
      <c r="E153" s="945"/>
      <c r="F153" s="945"/>
      <c r="G153" s="945"/>
      <c r="H153" s="945"/>
      <c r="I153" s="945"/>
      <c r="J153" s="945"/>
      <c r="K153" s="945"/>
      <c r="L153" s="945"/>
      <c r="M153" s="945"/>
      <c r="N153" s="899"/>
      <c r="O153" s="899"/>
      <c r="P153" s="899"/>
      <c r="Q153" s="899"/>
      <c r="R153" s="899"/>
      <c r="S153" s="899"/>
      <c r="T153" s="899"/>
      <c r="U153" s="899"/>
      <c r="V153" s="899"/>
      <c r="W153" s="899"/>
      <c r="X153" s="899"/>
      <c r="Y153" s="899"/>
      <c r="Z153" s="899"/>
      <c r="AA153" s="899"/>
      <c r="AB153" s="899"/>
      <c r="AC153" s="899"/>
      <c r="AD153" s="899"/>
      <c r="AE153" s="899"/>
    </row>
    <row r="154">
      <c r="A154" s="944"/>
      <c r="B154" s="945"/>
      <c r="C154" s="945"/>
      <c r="D154" s="945"/>
      <c r="E154" s="945"/>
      <c r="F154" s="945"/>
      <c r="G154" s="945"/>
      <c r="H154" s="945"/>
      <c r="I154" s="945"/>
      <c r="J154" s="945"/>
      <c r="K154" s="945"/>
      <c r="L154" s="945"/>
      <c r="M154" s="945"/>
      <c r="N154" s="899"/>
      <c r="O154" s="899"/>
      <c r="P154" s="899"/>
      <c r="Q154" s="899"/>
      <c r="R154" s="899"/>
      <c r="S154" s="899"/>
      <c r="T154" s="899"/>
      <c r="U154" s="899"/>
      <c r="V154" s="899"/>
      <c r="W154" s="899"/>
      <c r="X154" s="899"/>
      <c r="Y154" s="899"/>
      <c r="Z154" s="899"/>
      <c r="AA154" s="899"/>
      <c r="AB154" s="899"/>
      <c r="AC154" s="899"/>
      <c r="AD154" s="899"/>
      <c r="AE154" s="899"/>
    </row>
    <row r="155">
      <c r="A155" s="944"/>
      <c r="B155" s="945"/>
      <c r="C155" s="945"/>
      <c r="D155" s="945"/>
      <c r="E155" s="945"/>
      <c r="F155" s="945"/>
      <c r="G155" s="945"/>
      <c r="H155" s="945"/>
      <c r="I155" s="945"/>
      <c r="J155" s="945"/>
      <c r="K155" s="945"/>
      <c r="L155" s="945"/>
      <c r="M155" s="945"/>
      <c r="N155" s="899"/>
      <c r="O155" s="899"/>
      <c r="P155" s="899"/>
      <c r="Q155" s="899"/>
      <c r="R155" s="899"/>
      <c r="S155" s="899"/>
      <c r="T155" s="899"/>
      <c r="U155" s="899"/>
      <c r="V155" s="899"/>
      <c r="W155" s="899"/>
      <c r="X155" s="899"/>
      <c r="Y155" s="899"/>
      <c r="Z155" s="899"/>
      <c r="AA155" s="899"/>
      <c r="AB155" s="899"/>
      <c r="AC155" s="899"/>
      <c r="AD155" s="899"/>
      <c r="AE155" s="899"/>
    </row>
    <row r="156">
      <c r="A156" s="944"/>
      <c r="B156" s="945"/>
      <c r="C156" s="945"/>
      <c r="D156" s="945"/>
      <c r="E156" s="945"/>
      <c r="F156" s="945"/>
      <c r="G156" s="945"/>
      <c r="H156" s="945"/>
      <c r="I156" s="945"/>
      <c r="J156" s="945"/>
      <c r="K156" s="945"/>
      <c r="L156" s="945"/>
      <c r="M156" s="945"/>
      <c r="N156" s="899"/>
      <c r="O156" s="899"/>
      <c r="P156" s="899"/>
      <c r="Q156" s="899"/>
      <c r="R156" s="899"/>
      <c r="S156" s="899"/>
      <c r="T156" s="899"/>
      <c r="U156" s="899"/>
      <c r="V156" s="899"/>
      <c r="W156" s="899"/>
      <c r="X156" s="899"/>
      <c r="Y156" s="899"/>
      <c r="Z156" s="899"/>
      <c r="AA156" s="899"/>
      <c r="AB156" s="899"/>
      <c r="AC156" s="899"/>
      <c r="AD156" s="899"/>
      <c r="AE156" s="899"/>
    </row>
    <row r="157">
      <c r="A157" s="944"/>
      <c r="B157" s="945"/>
      <c r="C157" s="945"/>
      <c r="D157" s="945"/>
      <c r="E157" s="945"/>
      <c r="F157" s="945"/>
      <c r="G157" s="945"/>
      <c r="H157" s="945"/>
      <c r="I157" s="945"/>
      <c r="J157" s="945"/>
      <c r="K157" s="945"/>
      <c r="L157" s="945"/>
      <c r="M157" s="945"/>
      <c r="N157" s="899"/>
      <c r="O157" s="899"/>
      <c r="P157" s="899"/>
      <c r="Q157" s="899"/>
      <c r="R157" s="899"/>
      <c r="S157" s="899"/>
      <c r="T157" s="899"/>
      <c r="U157" s="899"/>
      <c r="V157" s="899"/>
      <c r="W157" s="899"/>
      <c r="X157" s="899"/>
      <c r="Y157" s="899"/>
      <c r="Z157" s="899"/>
      <c r="AA157" s="899"/>
      <c r="AB157" s="899"/>
      <c r="AC157" s="899"/>
      <c r="AD157" s="899"/>
      <c r="AE157" s="899"/>
    </row>
    <row r="158">
      <c r="A158" s="944"/>
      <c r="B158" s="945"/>
      <c r="C158" s="945"/>
      <c r="D158" s="945"/>
      <c r="E158" s="945"/>
      <c r="F158" s="945"/>
      <c r="G158" s="945"/>
      <c r="H158" s="945"/>
      <c r="I158" s="945"/>
      <c r="J158" s="945"/>
      <c r="K158" s="945"/>
      <c r="L158" s="945"/>
      <c r="M158" s="945"/>
      <c r="N158" s="899"/>
      <c r="O158" s="899"/>
      <c r="P158" s="899"/>
      <c r="Q158" s="899"/>
      <c r="R158" s="899"/>
      <c r="S158" s="899"/>
      <c r="T158" s="899"/>
      <c r="U158" s="899"/>
      <c r="V158" s="899"/>
      <c r="W158" s="899"/>
      <c r="X158" s="899"/>
      <c r="Y158" s="899"/>
      <c r="Z158" s="899"/>
      <c r="AA158" s="899"/>
      <c r="AB158" s="899"/>
      <c r="AC158" s="899"/>
      <c r="AD158" s="899"/>
      <c r="AE158" s="899"/>
    </row>
    <row r="159">
      <c r="A159" s="944"/>
      <c r="B159" s="945"/>
      <c r="C159" s="945"/>
      <c r="D159" s="945"/>
      <c r="E159" s="945"/>
      <c r="F159" s="945"/>
      <c r="G159" s="945"/>
      <c r="H159" s="945"/>
      <c r="I159" s="945"/>
      <c r="J159" s="945"/>
      <c r="K159" s="945"/>
      <c r="L159" s="945"/>
      <c r="M159" s="945"/>
      <c r="N159" s="899"/>
      <c r="O159" s="899"/>
      <c r="P159" s="899"/>
      <c r="Q159" s="899"/>
      <c r="R159" s="899"/>
      <c r="S159" s="899"/>
      <c r="T159" s="899"/>
      <c r="U159" s="899"/>
      <c r="V159" s="899"/>
      <c r="W159" s="899"/>
      <c r="X159" s="899"/>
      <c r="Y159" s="899"/>
      <c r="Z159" s="899"/>
      <c r="AA159" s="899"/>
      <c r="AB159" s="899"/>
      <c r="AC159" s="899"/>
      <c r="AD159" s="899"/>
      <c r="AE159" s="899"/>
    </row>
    <row r="160">
      <c r="A160" s="944"/>
      <c r="B160" s="945"/>
      <c r="C160" s="945"/>
      <c r="D160" s="945"/>
      <c r="E160" s="945"/>
      <c r="F160" s="945"/>
      <c r="G160" s="945"/>
      <c r="H160" s="945"/>
      <c r="I160" s="945"/>
      <c r="J160" s="945"/>
      <c r="K160" s="945"/>
      <c r="L160" s="945"/>
      <c r="M160" s="945"/>
      <c r="N160" s="899"/>
      <c r="O160" s="899"/>
      <c r="P160" s="899"/>
      <c r="Q160" s="899"/>
      <c r="R160" s="899"/>
      <c r="S160" s="899"/>
      <c r="T160" s="899"/>
      <c r="U160" s="899"/>
      <c r="V160" s="899"/>
      <c r="W160" s="899"/>
      <c r="X160" s="899"/>
      <c r="Y160" s="899"/>
      <c r="Z160" s="899"/>
      <c r="AA160" s="899"/>
      <c r="AB160" s="899"/>
      <c r="AC160" s="899"/>
      <c r="AD160" s="899"/>
      <c r="AE160" s="899"/>
    </row>
    <row r="161">
      <c r="A161" s="944"/>
      <c r="B161" s="945"/>
      <c r="C161" s="945"/>
      <c r="D161" s="945"/>
      <c r="E161" s="945"/>
      <c r="F161" s="945"/>
      <c r="G161" s="945"/>
      <c r="H161" s="945"/>
      <c r="I161" s="945"/>
      <c r="J161" s="945"/>
      <c r="K161" s="945"/>
      <c r="L161" s="945"/>
      <c r="M161" s="945"/>
      <c r="N161" s="899"/>
      <c r="O161" s="899"/>
      <c r="P161" s="899"/>
      <c r="Q161" s="899"/>
      <c r="R161" s="899"/>
      <c r="S161" s="899"/>
      <c r="T161" s="899"/>
      <c r="U161" s="899"/>
      <c r="V161" s="899"/>
      <c r="W161" s="899"/>
      <c r="X161" s="899"/>
      <c r="Y161" s="899"/>
      <c r="Z161" s="899"/>
      <c r="AA161" s="899"/>
      <c r="AB161" s="899"/>
      <c r="AC161" s="899"/>
      <c r="AD161" s="899"/>
      <c r="AE161" s="899"/>
    </row>
    <row r="162">
      <c r="A162" s="944"/>
      <c r="B162" s="945"/>
      <c r="C162" s="945"/>
      <c r="D162" s="945"/>
      <c r="E162" s="945"/>
      <c r="F162" s="945"/>
      <c r="G162" s="945"/>
      <c r="H162" s="945"/>
      <c r="I162" s="945"/>
      <c r="J162" s="945"/>
      <c r="K162" s="945"/>
      <c r="L162" s="945"/>
      <c r="M162" s="945"/>
      <c r="N162" s="899"/>
      <c r="O162" s="899"/>
      <c r="P162" s="899"/>
      <c r="Q162" s="899"/>
      <c r="R162" s="899"/>
      <c r="S162" s="899"/>
      <c r="T162" s="899"/>
      <c r="U162" s="899"/>
      <c r="V162" s="899"/>
      <c r="W162" s="899"/>
      <c r="X162" s="899"/>
      <c r="Y162" s="899"/>
      <c r="Z162" s="899"/>
      <c r="AA162" s="899"/>
      <c r="AB162" s="899"/>
      <c r="AC162" s="899"/>
      <c r="AD162" s="899"/>
      <c r="AE162" s="899"/>
    </row>
    <row r="163">
      <c r="A163" s="944"/>
      <c r="B163" s="945"/>
      <c r="C163" s="945"/>
      <c r="D163" s="945"/>
      <c r="E163" s="945"/>
      <c r="F163" s="945"/>
      <c r="G163" s="945"/>
      <c r="H163" s="945"/>
      <c r="I163" s="945"/>
      <c r="J163" s="945"/>
      <c r="K163" s="945"/>
      <c r="L163" s="945"/>
      <c r="M163" s="945"/>
      <c r="N163" s="899"/>
      <c r="O163" s="899"/>
      <c r="P163" s="899"/>
      <c r="Q163" s="899"/>
      <c r="R163" s="899"/>
      <c r="S163" s="899"/>
      <c r="T163" s="899"/>
      <c r="U163" s="899"/>
      <c r="V163" s="899"/>
      <c r="W163" s="899"/>
      <c r="X163" s="899"/>
      <c r="Y163" s="899"/>
      <c r="Z163" s="899"/>
      <c r="AA163" s="899"/>
      <c r="AB163" s="899"/>
      <c r="AC163" s="899"/>
      <c r="AD163" s="899"/>
      <c r="AE163" s="899"/>
    </row>
    <row r="164">
      <c r="A164" s="944"/>
      <c r="B164" s="945"/>
      <c r="C164" s="945"/>
      <c r="D164" s="945"/>
      <c r="E164" s="945"/>
      <c r="F164" s="945"/>
      <c r="G164" s="945"/>
      <c r="H164" s="945"/>
      <c r="I164" s="945"/>
      <c r="J164" s="945"/>
      <c r="K164" s="945"/>
      <c r="L164" s="945"/>
      <c r="M164" s="945"/>
      <c r="N164" s="899"/>
      <c r="O164" s="899"/>
      <c r="P164" s="899"/>
      <c r="Q164" s="899"/>
      <c r="R164" s="899"/>
      <c r="S164" s="899"/>
      <c r="T164" s="899"/>
      <c r="U164" s="899"/>
      <c r="V164" s="899"/>
      <c r="W164" s="899"/>
      <c r="X164" s="899"/>
      <c r="Y164" s="899"/>
      <c r="Z164" s="899"/>
      <c r="AA164" s="899"/>
      <c r="AB164" s="899"/>
      <c r="AC164" s="899"/>
      <c r="AD164" s="899"/>
      <c r="AE164" s="899"/>
    </row>
    <row r="165">
      <c r="A165" s="944"/>
      <c r="B165" s="945"/>
      <c r="C165" s="945"/>
      <c r="D165" s="945"/>
      <c r="E165" s="945"/>
      <c r="F165" s="945"/>
      <c r="G165" s="945"/>
      <c r="H165" s="945"/>
      <c r="I165" s="945"/>
      <c r="J165" s="945"/>
      <c r="K165" s="945"/>
      <c r="L165" s="945"/>
      <c r="M165" s="945"/>
      <c r="N165" s="899"/>
      <c r="O165" s="899"/>
      <c r="P165" s="899"/>
      <c r="Q165" s="899"/>
      <c r="R165" s="899"/>
      <c r="S165" s="899"/>
      <c r="T165" s="899"/>
      <c r="U165" s="899"/>
      <c r="V165" s="899"/>
      <c r="W165" s="899"/>
      <c r="X165" s="899"/>
      <c r="Y165" s="899"/>
      <c r="Z165" s="899"/>
      <c r="AA165" s="899"/>
      <c r="AB165" s="899"/>
      <c r="AC165" s="899"/>
      <c r="AD165" s="899"/>
      <c r="AE165" s="899"/>
    </row>
    <row r="166">
      <c r="A166" s="944"/>
      <c r="B166" s="945"/>
      <c r="C166" s="945"/>
      <c r="D166" s="945"/>
      <c r="E166" s="945"/>
      <c r="F166" s="945"/>
      <c r="G166" s="945"/>
      <c r="H166" s="945"/>
      <c r="I166" s="945"/>
      <c r="J166" s="945"/>
      <c r="K166" s="945"/>
      <c r="L166" s="945"/>
      <c r="M166" s="945"/>
      <c r="N166" s="899"/>
      <c r="O166" s="899"/>
      <c r="P166" s="899"/>
      <c r="Q166" s="899"/>
      <c r="R166" s="899"/>
      <c r="S166" s="899"/>
      <c r="T166" s="899"/>
      <c r="U166" s="899"/>
      <c r="V166" s="899"/>
      <c r="W166" s="899"/>
      <c r="X166" s="899"/>
      <c r="Y166" s="899"/>
      <c r="Z166" s="899"/>
      <c r="AA166" s="899"/>
      <c r="AB166" s="899"/>
      <c r="AC166" s="899"/>
      <c r="AD166" s="899"/>
      <c r="AE166" s="899"/>
    </row>
    <row r="167">
      <c r="A167" s="944"/>
      <c r="B167" s="945"/>
      <c r="C167" s="945"/>
      <c r="D167" s="945"/>
      <c r="E167" s="945"/>
      <c r="F167" s="945"/>
      <c r="G167" s="945"/>
      <c r="H167" s="945"/>
      <c r="I167" s="945"/>
      <c r="J167" s="945"/>
      <c r="K167" s="945"/>
      <c r="L167" s="945"/>
      <c r="M167" s="945"/>
      <c r="N167" s="899"/>
      <c r="O167" s="899"/>
      <c r="P167" s="899"/>
      <c r="Q167" s="899"/>
      <c r="R167" s="899"/>
      <c r="S167" s="899"/>
      <c r="T167" s="899"/>
      <c r="U167" s="899"/>
      <c r="V167" s="899"/>
      <c r="W167" s="899"/>
      <c r="X167" s="899"/>
      <c r="Y167" s="899"/>
      <c r="Z167" s="899"/>
      <c r="AA167" s="899"/>
      <c r="AB167" s="899"/>
      <c r="AC167" s="899"/>
      <c r="AD167" s="899"/>
      <c r="AE167" s="899"/>
    </row>
    <row r="168">
      <c r="A168" s="944"/>
      <c r="B168" s="945"/>
      <c r="C168" s="945"/>
      <c r="D168" s="945"/>
      <c r="E168" s="945"/>
      <c r="F168" s="945"/>
      <c r="G168" s="945"/>
      <c r="H168" s="945"/>
      <c r="I168" s="945"/>
      <c r="J168" s="945"/>
      <c r="K168" s="945"/>
      <c r="L168" s="945"/>
      <c r="M168" s="945"/>
      <c r="N168" s="899"/>
      <c r="O168" s="899"/>
      <c r="P168" s="899"/>
      <c r="Q168" s="899"/>
      <c r="R168" s="899"/>
      <c r="S168" s="899"/>
      <c r="T168" s="899"/>
      <c r="U168" s="899"/>
      <c r="V168" s="899"/>
      <c r="W168" s="899"/>
      <c r="X168" s="899"/>
      <c r="Y168" s="899"/>
      <c r="Z168" s="899"/>
      <c r="AA168" s="899"/>
      <c r="AB168" s="899"/>
      <c r="AC168" s="899"/>
      <c r="AD168" s="899"/>
      <c r="AE168" s="899"/>
    </row>
    <row r="169">
      <c r="A169" s="944"/>
      <c r="B169" s="945"/>
      <c r="C169" s="945"/>
      <c r="D169" s="945"/>
      <c r="E169" s="945"/>
      <c r="F169" s="945"/>
      <c r="G169" s="945"/>
      <c r="H169" s="945"/>
      <c r="I169" s="945"/>
      <c r="J169" s="945"/>
      <c r="K169" s="945"/>
      <c r="L169" s="945"/>
      <c r="M169" s="945"/>
      <c r="N169" s="899"/>
      <c r="O169" s="899"/>
      <c r="P169" s="899"/>
      <c r="Q169" s="899"/>
      <c r="R169" s="899"/>
      <c r="S169" s="899"/>
      <c r="T169" s="899"/>
      <c r="U169" s="899"/>
      <c r="V169" s="899"/>
      <c r="W169" s="899"/>
      <c r="X169" s="899"/>
      <c r="Y169" s="899"/>
      <c r="Z169" s="899"/>
      <c r="AA169" s="899"/>
      <c r="AB169" s="899"/>
      <c r="AC169" s="899"/>
      <c r="AD169" s="899"/>
      <c r="AE169" s="899"/>
    </row>
    <row r="170">
      <c r="A170" s="944"/>
      <c r="B170" s="945"/>
      <c r="C170" s="945"/>
      <c r="D170" s="945"/>
      <c r="E170" s="945"/>
      <c r="F170" s="945"/>
      <c r="G170" s="945"/>
      <c r="H170" s="945"/>
      <c r="I170" s="945"/>
      <c r="J170" s="945"/>
      <c r="K170" s="945"/>
      <c r="L170" s="945"/>
      <c r="M170" s="945"/>
      <c r="N170" s="899"/>
      <c r="O170" s="899"/>
      <c r="P170" s="899"/>
      <c r="Q170" s="899"/>
      <c r="R170" s="899"/>
      <c r="S170" s="899"/>
      <c r="T170" s="899"/>
      <c r="U170" s="899"/>
      <c r="V170" s="899"/>
      <c r="W170" s="899"/>
      <c r="X170" s="899"/>
      <c r="Y170" s="899"/>
      <c r="Z170" s="899"/>
      <c r="AA170" s="899"/>
      <c r="AB170" s="899"/>
      <c r="AC170" s="899"/>
      <c r="AD170" s="899"/>
      <c r="AE170" s="899"/>
    </row>
    <row r="171">
      <c r="A171" s="944"/>
      <c r="B171" s="945"/>
      <c r="C171" s="945"/>
      <c r="D171" s="945"/>
      <c r="E171" s="945"/>
      <c r="F171" s="945"/>
      <c r="G171" s="945"/>
      <c r="H171" s="945"/>
      <c r="I171" s="945"/>
      <c r="J171" s="945"/>
      <c r="K171" s="945"/>
      <c r="L171" s="945"/>
      <c r="M171" s="945"/>
      <c r="N171" s="899"/>
      <c r="O171" s="899"/>
      <c r="P171" s="899"/>
      <c r="Q171" s="899"/>
      <c r="R171" s="899"/>
      <c r="S171" s="899"/>
      <c r="T171" s="899"/>
      <c r="U171" s="899"/>
      <c r="V171" s="899"/>
      <c r="W171" s="899"/>
      <c r="X171" s="899"/>
      <c r="Y171" s="899"/>
      <c r="Z171" s="899"/>
      <c r="AA171" s="899"/>
      <c r="AB171" s="899"/>
      <c r="AC171" s="899"/>
      <c r="AD171" s="899"/>
      <c r="AE171" s="899"/>
    </row>
    <row r="172">
      <c r="A172" s="944"/>
      <c r="B172" s="945"/>
      <c r="C172" s="945"/>
      <c r="D172" s="945"/>
      <c r="E172" s="945"/>
      <c r="F172" s="945"/>
      <c r="G172" s="945"/>
      <c r="H172" s="945"/>
      <c r="I172" s="945"/>
      <c r="J172" s="945"/>
      <c r="K172" s="945"/>
      <c r="L172" s="945"/>
      <c r="M172" s="945"/>
      <c r="N172" s="899"/>
      <c r="O172" s="899"/>
      <c r="P172" s="899"/>
      <c r="Q172" s="899"/>
      <c r="R172" s="899"/>
      <c r="S172" s="899"/>
      <c r="T172" s="899"/>
      <c r="U172" s="899"/>
      <c r="V172" s="899"/>
      <c r="W172" s="899"/>
      <c r="X172" s="899"/>
      <c r="Y172" s="899"/>
      <c r="Z172" s="899"/>
      <c r="AA172" s="899"/>
      <c r="AB172" s="899"/>
      <c r="AC172" s="899"/>
      <c r="AD172" s="899"/>
      <c r="AE172" s="899"/>
    </row>
    <row r="173">
      <c r="A173" s="944"/>
      <c r="B173" s="945"/>
      <c r="C173" s="945"/>
      <c r="D173" s="945"/>
      <c r="E173" s="945"/>
      <c r="F173" s="945"/>
      <c r="G173" s="945"/>
      <c r="H173" s="945"/>
      <c r="I173" s="945"/>
      <c r="J173" s="945"/>
      <c r="K173" s="945"/>
      <c r="L173" s="945"/>
      <c r="M173" s="945"/>
      <c r="N173" s="899"/>
      <c r="O173" s="899"/>
      <c r="P173" s="899"/>
      <c r="Q173" s="899"/>
      <c r="R173" s="899"/>
      <c r="S173" s="899"/>
      <c r="T173" s="899"/>
      <c r="U173" s="899"/>
      <c r="V173" s="899"/>
      <c r="W173" s="899"/>
      <c r="X173" s="899"/>
      <c r="Y173" s="899"/>
      <c r="Z173" s="899"/>
      <c r="AA173" s="899"/>
      <c r="AB173" s="899"/>
      <c r="AC173" s="899"/>
      <c r="AD173" s="899"/>
      <c r="AE173" s="899"/>
    </row>
    <row r="174">
      <c r="A174" s="944"/>
      <c r="B174" s="945"/>
      <c r="C174" s="945"/>
      <c r="D174" s="945"/>
      <c r="E174" s="945"/>
      <c r="F174" s="945"/>
      <c r="G174" s="945"/>
      <c r="H174" s="945"/>
      <c r="I174" s="945"/>
      <c r="J174" s="945"/>
      <c r="K174" s="945"/>
      <c r="L174" s="945"/>
      <c r="M174" s="945"/>
      <c r="N174" s="899"/>
      <c r="O174" s="899"/>
      <c r="P174" s="899"/>
      <c r="Q174" s="899"/>
      <c r="R174" s="899"/>
      <c r="S174" s="899"/>
      <c r="T174" s="899"/>
      <c r="U174" s="899"/>
      <c r="V174" s="899"/>
      <c r="W174" s="899"/>
      <c r="X174" s="899"/>
      <c r="Y174" s="899"/>
      <c r="Z174" s="899"/>
      <c r="AA174" s="899"/>
      <c r="AB174" s="899"/>
      <c r="AC174" s="899"/>
      <c r="AD174" s="899"/>
      <c r="AE174" s="899"/>
    </row>
    <row r="175">
      <c r="A175" s="944"/>
      <c r="B175" s="945"/>
      <c r="C175" s="945"/>
      <c r="D175" s="945"/>
      <c r="E175" s="945"/>
      <c r="F175" s="945"/>
      <c r="G175" s="945"/>
      <c r="H175" s="945"/>
      <c r="I175" s="945"/>
      <c r="J175" s="945"/>
      <c r="K175" s="945"/>
      <c r="L175" s="945"/>
      <c r="M175" s="945"/>
      <c r="N175" s="899"/>
      <c r="O175" s="899"/>
      <c r="P175" s="899"/>
      <c r="Q175" s="899"/>
      <c r="R175" s="899"/>
      <c r="S175" s="899"/>
      <c r="T175" s="899"/>
      <c r="U175" s="899"/>
      <c r="V175" s="899"/>
      <c r="W175" s="899"/>
      <c r="X175" s="899"/>
      <c r="Y175" s="899"/>
      <c r="Z175" s="899"/>
      <c r="AA175" s="899"/>
      <c r="AB175" s="899"/>
      <c r="AC175" s="899"/>
      <c r="AD175" s="899"/>
      <c r="AE175" s="899"/>
    </row>
    <row r="176">
      <c r="A176" s="944"/>
      <c r="B176" s="945"/>
      <c r="C176" s="945"/>
      <c r="D176" s="945"/>
      <c r="E176" s="945"/>
      <c r="F176" s="945"/>
      <c r="G176" s="945"/>
      <c r="H176" s="945"/>
      <c r="I176" s="945"/>
      <c r="J176" s="945"/>
      <c r="K176" s="945"/>
      <c r="L176" s="945"/>
      <c r="M176" s="945"/>
      <c r="N176" s="899"/>
      <c r="O176" s="899"/>
      <c r="P176" s="899"/>
      <c r="Q176" s="899"/>
      <c r="R176" s="899"/>
      <c r="S176" s="899"/>
      <c r="T176" s="899"/>
      <c r="U176" s="899"/>
      <c r="V176" s="899"/>
      <c r="W176" s="899"/>
      <c r="X176" s="899"/>
      <c r="Y176" s="899"/>
      <c r="Z176" s="899"/>
      <c r="AA176" s="899"/>
      <c r="AB176" s="899"/>
      <c r="AC176" s="899"/>
      <c r="AD176" s="899"/>
      <c r="AE176" s="899"/>
    </row>
    <row r="177">
      <c r="A177" s="944"/>
      <c r="B177" s="945"/>
      <c r="C177" s="945"/>
      <c r="D177" s="945"/>
      <c r="E177" s="945"/>
      <c r="F177" s="945"/>
      <c r="G177" s="945"/>
      <c r="H177" s="945"/>
      <c r="I177" s="945"/>
      <c r="J177" s="945"/>
      <c r="K177" s="945"/>
      <c r="L177" s="945"/>
      <c r="M177" s="945"/>
      <c r="N177" s="899"/>
      <c r="O177" s="899"/>
      <c r="P177" s="899"/>
      <c r="Q177" s="899"/>
      <c r="R177" s="899"/>
      <c r="S177" s="899"/>
      <c r="T177" s="899"/>
      <c r="U177" s="899"/>
      <c r="V177" s="899"/>
      <c r="W177" s="899"/>
      <c r="X177" s="899"/>
      <c r="Y177" s="899"/>
      <c r="Z177" s="899"/>
      <c r="AA177" s="899"/>
      <c r="AB177" s="899"/>
      <c r="AC177" s="899"/>
      <c r="AD177" s="899"/>
      <c r="AE177" s="899"/>
    </row>
    <row r="178">
      <c r="A178" s="944"/>
      <c r="B178" s="945"/>
      <c r="C178" s="945"/>
      <c r="D178" s="945"/>
      <c r="E178" s="945"/>
      <c r="F178" s="945"/>
      <c r="G178" s="945"/>
      <c r="H178" s="945"/>
      <c r="I178" s="945"/>
      <c r="J178" s="945"/>
      <c r="K178" s="945"/>
      <c r="L178" s="945"/>
      <c r="M178" s="945"/>
      <c r="N178" s="899"/>
      <c r="O178" s="899"/>
      <c r="P178" s="899"/>
      <c r="Q178" s="899"/>
      <c r="R178" s="899"/>
      <c r="S178" s="899"/>
      <c r="T178" s="899"/>
      <c r="U178" s="899"/>
      <c r="V178" s="899"/>
      <c r="W178" s="899"/>
      <c r="X178" s="899"/>
      <c r="Y178" s="899"/>
      <c r="Z178" s="899"/>
      <c r="AA178" s="899"/>
      <c r="AB178" s="899"/>
      <c r="AC178" s="899"/>
      <c r="AD178" s="899"/>
      <c r="AE178" s="899"/>
    </row>
    <row r="179">
      <c r="A179" s="944"/>
      <c r="B179" s="945"/>
      <c r="C179" s="945"/>
      <c r="D179" s="945"/>
      <c r="E179" s="945"/>
      <c r="F179" s="945"/>
      <c r="G179" s="945"/>
      <c r="H179" s="945"/>
      <c r="I179" s="945"/>
      <c r="J179" s="945"/>
      <c r="K179" s="945"/>
      <c r="L179" s="945"/>
      <c r="M179" s="945"/>
      <c r="N179" s="899"/>
      <c r="O179" s="899"/>
      <c r="P179" s="899"/>
      <c r="Q179" s="899"/>
      <c r="R179" s="899"/>
      <c r="S179" s="899"/>
      <c r="T179" s="899"/>
      <c r="U179" s="899"/>
      <c r="V179" s="899"/>
      <c r="W179" s="899"/>
      <c r="X179" s="899"/>
      <c r="Y179" s="899"/>
      <c r="Z179" s="899"/>
      <c r="AA179" s="899"/>
      <c r="AB179" s="899"/>
      <c r="AC179" s="899"/>
      <c r="AD179" s="899"/>
      <c r="AE179" s="899"/>
    </row>
    <row r="180">
      <c r="A180" s="944"/>
      <c r="B180" s="945"/>
      <c r="C180" s="945"/>
      <c r="D180" s="945"/>
      <c r="E180" s="945"/>
      <c r="F180" s="945"/>
      <c r="G180" s="945"/>
      <c r="H180" s="945"/>
      <c r="I180" s="945"/>
      <c r="J180" s="945"/>
      <c r="K180" s="945"/>
      <c r="L180" s="945"/>
      <c r="M180" s="945"/>
      <c r="N180" s="899"/>
      <c r="O180" s="899"/>
      <c r="P180" s="899"/>
      <c r="Q180" s="899"/>
      <c r="R180" s="899"/>
      <c r="S180" s="899"/>
      <c r="T180" s="899"/>
      <c r="U180" s="899"/>
      <c r="V180" s="899"/>
      <c r="W180" s="899"/>
      <c r="X180" s="899"/>
      <c r="Y180" s="899"/>
      <c r="Z180" s="899"/>
      <c r="AA180" s="899"/>
      <c r="AB180" s="899"/>
      <c r="AC180" s="899"/>
      <c r="AD180" s="899"/>
      <c r="AE180" s="899"/>
    </row>
    <row r="181">
      <c r="A181" s="944"/>
      <c r="B181" s="945"/>
      <c r="C181" s="945"/>
      <c r="D181" s="945"/>
      <c r="E181" s="945"/>
      <c r="F181" s="945"/>
      <c r="G181" s="945"/>
      <c r="H181" s="945"/>
      <c r="I181" s="945"/>
      <c r="J181" s="945"/>
      <c r="K181" s="945"/>
      <c r="L181" s="945"/>
      <c r="M181" s="945"/>
      <c r="N181" s="899"/>
      <c r="O181" s="899"/>
      <c r="P181" s="899"/>
      <c r="Q181" s="899"/>
      <c r="R181" s="899"/>
      <c r="S181" s="899"/>
      <c r="T181" s="899"/>
      <c r="U181" s="899"/>
      <c r="V181" s="899"/>
      <c r="W181" s="899"/>
      <c r="X181" s="899"/>
      <c r="Y181" s="899"/>
      <c r="Z181" s="899"/>
      <c r="AA181" s="899"/>
      <c r="AB181" s="899"/>
      <c r="AC181" s="899"/>
      <c r="AD181" s="899"/>
      <c r="AE181" s="899"/>
    </row>
    <row r="182">
      <c r="A182" s="944"/>
      <c r="B182" s="945"/>
      <c r="C182" s="945"/>
      <c r="D182" s="945"/>
      <c r="E182" s="945"/>
      <c r="F182" s="945"/>
      <c r="G182" s="945"/>
      <c r="H182" s="945"/>
      <c r="I182" s="945"/>
      <c r="J182" s="945"/>
      <c r="K182" s="945"/>
      <c r="L182" s="945"/>
      <c r="M182" s="945"/>
      <c r="N182" s="899"/>
      <c r="O182" s="899"/>
      <c r="P182" s="899"/>
      <c r="Q182" s="899"/>
      <c r="R182" s="899"/>
      <c r="S182" s="899"/>
      <c r="T182" s="899"/>
      <c r="U182" s="899"/>
      <c r="V182" s="899"/>
      <c r="W182" s="899"/>
      <c r="X182" s="899"/>
      <c r="Y182" s="899"/>
      <c r="Z182" s="899"/>
      <c r="AA182" s="899"/>
      <c r="AB182" s="899"/>
      <c r="AC182" s="899"/>
      <c r="AD182" s="899"/>
      <c r="AE182" s="899"/>
    </row>
    <row r="183">
      <c r="A183" s="944"/>
      <c r="B183" s="945"/>
      <c r="C183" s="945"/>
      <c r="D183" s="945"/>
      <c r="E183" s="945"/>
      <c r="F183" s="945"/>
      <c r="G183" s="945"/>
      <c r="H183" s="945"/>
      <c r="I183" s="945"/>
      <c r="J183" s="945"/>
      <c r="K183" s="945"/>
      <c r="L183" s="945"/>
      <c r="M183" s="945"/>
      <c r="N183" s="899"/>
      <c r="O183" s="899"/>
      <c r="P183" s="899"/>
      <c r="Q183" s="899"/>
      <c r="R183" s="899"/>
      <c r="S183" s="899"/>
      <c r="T183" s="899"/>
      <c r="U183" s="899"/>
      <c r="V183" s="899"/>
      <c r="W183" s="899"/>
      <c r="X183" s="899"/>
      <c r="Y183" s="899"/>
      <c r="Z183" s="899"/>
      <c r="AA183" s="899"/>
      <c r="AB183" s="899"/>
      <c r="AC183" s="899"/>
      <c r="AD183" s="899"/>
      <c r="AE183" s="899"/>
    </row>
    <row r="184">
      <c r="A184" s="944"/>
      <c r="B184" s="945"/>
      <c r="C184" s="945"/>
      <c r="D184" s="945"/>
      <c r="E184" s="945"/>
      <c r="F184" s="945"/>
      <c r="G184" s="945"/>
      <c r="H184" s="945"/>
      <c r="I184" s="945"/>
      <c r="J184" s="945"/>
      <c r="K184" s="945"/>
      <c r="L184" s="945"/>
      <c r="M184" s="945"/>
      <c r="N184" s="899"/>
      <c r="O184" s="899"/>
      <c r="P184" s="899"/>
      <c r="Q184" s="899"/>
      <c r="R184" s="899"/>
      <c r="S184" s="899"/>
      <c r="T184" s="899"/>
      <c r="U184" s="899"/>
      <c r="V184" s="899"/>
      <c r="W184" s="899"/>
      <c r="X184" s="899"/>
      <c r="Y184" s="899"/>
      <c r="Z184" s="899"/>
      <c r="AA184" s="899"/>
      <c r="AB184" s="899"/>
      <c r="AC184" s="899"/>
      <c r="AD184" s="899"/>
      <c r="AE184" s="899"/>
    </row>
    <row r="185">
      <c r="A185" s="944"/>
      <c r="B185" s="945"/>
      <c r="C185" s="945"/>
      <c r="D185" s="945"/>
      <c r="E185" s="945"/>
      <c r="F185" s="945"/>
      <c r="G185" s="945"/>
      <c r="H185" s="945"/>
      <c r="I185" s="945"/>
      <c r="J185" s="945"/>
      <c r="K185" s="945"/>
      <c r="L185" s="945"/>
      <c r="M185" s="945"/>
      <c r="N185" s="899"/>
      <c r="O185" s="899"/>
      <c r="P185" s="899"/>
      <c r="Q185" s="899"/>
      <c r="R185" s="899"/>
      <c r="S185" s="899"/>
      <c r="T185" s="899"/>
      <c r="U185" s="899"/>
      <c r="V185" s="899"/>
      <c r="W185" s="899"/>
      <c r="X185" s="899"/>
      <c r="Y185" s="899"/>
      <c r="Z185" s="899"/>
      <c r="AA185" s="899"/>
      <c r="AB185" s="899"/>
      <c r="AC185" s="899"/>
      <c r="AD185" s="899"/>
      <c r="AE185" s="899"/>
    </row>
    <row r="186">
      <c r="A186" s="944"/>
      <c r="B186" s="945"/>
      <c r="C186" s="945"/>
      <c r="D186" s="945"/>
      <c r="E186" s="945"/>
      <c r="F186" s="945"/>
      <c r="G186" s="945"/>
      <c r="H186" s="945"/>
      <c r="I186" s="945"/>
      <c r="J186" s="945"/>
      <c r="K186" s="945"/>
      <c r="L186" s="945"/>
      <c r="M186" s="945"/>
      <c r="N186" s="899"/>
      <c r="O186" s="899"/>
      <c r="P186" s="899"/>
      <c r="Q186" s="899"/>
      <c r="R186" s="899"/>
      <c r="S186" s="899"/>
      <c r="T186" s="899"/>
      <c r="U186" s="899"/>
      <c r="V186" s="899"/>
      <c r="W186" s="899"/>
      <c r="X186" s="899"/>
      <c r="Y186" s="899"/>
      <c r="Z186" s="899"/>
      <c r="AA186" s="899"/>
      <c r="AB186" s="899"/>
      <c r="AC186" s="899"/>
      <c r="AD186" s="899"/>
      <c r="AE186" s="899"/>
    </row>
    <row r="187">
      <c r="A187" s="944"/>
      <c r="B187" s="945"/>
      <c r="C187" s="945"/>
      <c r="D187" s="945"/>
      <c r="E187" s="945"/>
      <c r="F187" s="945"/>
      <c r="G187" s="945"/>
      <c r="H187" s="945"/>
      <c r="I187" s="945"/>
      <c r="J187" s="945"/>
      <c r="K187" s="945"/>
      <c r="L187" s="945"/>
      <c r="M187" s="945"/>
      <c r="N187" s="899"/>
      <c r="O187" s="899"/>
      <c r="P187" s="899"/>
      <c r="Q187" s="899"/>
      <c r="R187" s="899"/>
      <c r="S187" s="899"/>
      <c r="T187" s="899"/>
      <c r="U187" s="899"/>
      <c r="V187" s="899"/>
      <c r="W187" s="899"/>
      <c r="X187" s="899"/>
      <c r="Y187" s="899"/>
      <c r="Z187" s="899"/>
      <c r="AA187" s="899"/>
      <c r="AB187" s="899"/>
      <c r="AC187" s="899"/>
      <c r="AD187" s="899"/>
      <c r="AE187" s="899"/>
    </row>
    <row r="188">
      <c r="A188" s="944"/>
      <c r="B188" s="945"/>
      <c r="C188" s="945"/>
      <c r="D188" s="945"/>
      <c r="E188" s="945"/>
      <c r="F188" s="945"/>
      <c r="G188" s="945"/>
      <c r="H188" s="945"/>
      <c r="I188" s="945"/>
      <c r="J188" s="945"/>
      <c r="K188" s="945"/>
      <c r="L188" s="945"/>
      <c r="M188" s="945"/>
      <c r="N188" s="899"/>
      <c r="O188" s="899"/>
      <c r="P188" s="899"/>
      <c r="Q188" s="899"/>
      <c r="R188" s="899"/>
      <c r="S188" s="899"/>
      <c r="T188" s="899"/>
      <c r="U188" s="899"/>
      <c r="V188" s="899"/>
      <c r="W188" s="899"/>
      <c r="X188" s="899"/>
      <c r="Y188" s="899"/>
      <c r="Z188" s="899"/>
      <c r="AA188" s="899"/>
      <c r="AB188" s="899"/>
      <c r="AC188" s="899"/>
      <c r="AD188" s="899"/>
      <c r="AE188" s="899"/>
    </row>
    <row r="189">
      <c r="A189" s="944"/>
      <c r="B189" s="945"/>
      <c r="C189" s="945"/>
      <c r="D189" s="945"/>
      <c r="E189" s="945"/>
      <c r="F189" s="945"/>
      <c r="G189" s="945"/>
      <c r="H189" s="945"/>
      <c r="I189" s="945"/>
      <c r="J189" s="945"/>
      <c r="K189" s="945"/>
      <c r="L189" s="945"/>
      <c r="M189" s="945"/>
      <c r="N189" s="899"/>
      <c r="O189" s="899"/>
      <c r="P189" s="899"/>
      <c r="Q189" s="899"/>
      <c r="R189" s="899"/>
      <c r="S189" s="899"/>
      <c r="T189" s="899"/>
      <c r="U189" s="899"/>
      <c r="V189" s="899"/>
      <c r="W189" s="899"/>
      <c r="X189" s="899"/>
      <c r="Y189" s="899"/>
      <c r="Z189" s="899"/>
      <c r="AA189" s="899"/>
      <c r="AB189" s="899"/>
      <c r="AC189" s="899"/>
      <c r="AD189" s="899"/>
      <c r="AE189" s="899"/>
    </row>
    <row r="190">
      <c r="A190" s="944"/>
      <c r="B190" s="945"/>
      <c r="C190" s="945"/>
      <c r="D190" s="945"/>
      <c r="E190" s="945"/>
      <c r="F190" s="945"/>
      <c r="G190" s="945"/>
      <c r="H190" s="945"/>
      <c r="I190" s="945"/>
      <c r="J190" s="945"/>
      <c r="K190" s="945"/>
      <c r="L190" s="945"/>
      <c r="M190" s="945"/>
      <c r="N190" s="899"/>
      <c r="O190" s="899"/>
      <c r="P190" s="899"/>
      <c r="Q190" s="899"/>
      <c r="R190" s="899"/>
      <c r="S190" s="899"/>
      <c r="T190" s="899"/>
      <c r="U190" s="899"/>
      <c r="V190" s="899"/>
      <c r="W190" s="899"/>
      <c r="X190" s="899"/>
      <c r="Y190" s="899"/>
      <c r="Z190" s="899"/>
      <c r="AA190" s="899"/>
      <c r="AB190" s="899"/>
      <c r="AC190" s="899"/>
      <c r="AD190" s="899"/>
      <c r="AE190" s="899"/>
    </row>
    <row r="191">
      <c r="A191" s="944"/>
      <c r="B191" s="945"/>
      <c r="C191" s="945"/>
      <c r="D191" s="945"/>
      <c r="E191" s="945"/>
      <c r="F191" s="945"/>
      <c r="G191" s="945"/>
      <c r="H191" s="945"/>
      <c r="I191" s="945"/>
      <c r="J191" s="945"/>
      <c r="K191" s="945"/>
      <c r="L191" s="945"/>
      <c r="M191" s="945"/>
      <c r="N191" s="899"/>
      <c r="O191" s="899"/>
      <c r="P191" s="899"/>
      <c r="Q191" s="899"/>
      <c r="R191" s="899"/>
      <c r="S191" s="899"/>
      <c r="T191" s="899"/>
      <c r="U191" s="899"/>
      <c r="V191" s="899"/>
      <c r="W191" s="899"/>
      <c r="X191" s="899"/>
      <c r="Y191" s="899"/>
      <c r="Z191" s="899"/>
      <c r="AA191" s="899"/>
      <c r="AB191" s="899"/>
      <c r="AC191" s="899"/>
      <c r="AD191" s="899"/>
      <c r="AE191" s="899"/>
    </row>
    <row r="192">
      <c r="A192" s="944"/>
      <c r="B192" s="945"/>
      <c r="C192" s="945"/>
      <c r="D192" s="945"/>
      <c r="E192" s="945"/>
      <c r="F192" s="945"/>
      <c r="G192" s="945"/>
      <c r="H192" s="945"/>
      <c r="I192" s="945"/>
      <c r="J192" s="945"/>
      <c r="K192" s="945"/>
      <c r="L192" s="945"/>
      <c r="M192" s="945"/>
      <c r="N192" s="899"/>
      <c r="O192" s="899"/>
      <c r="P192" s="899"/>
      <c r="Q192" s="899"/>
      <c r="R192" s="899"/>
      <c r="S192" s="899"/>
      <c r="T192" s="899"/>
      <c r="U192" s="899"/>
      <c r="V192" s="899"/>
      <c r="W192" s="899"/>
      <c r="X192" s="899"/>
      <c r="Y192" s="899"/>
      <c r="Z192" s="899"/>
      <c r="AA192" s="899"/>
      <c r="AB192" s="899"/>
      <c r="AC192" s="899"/>
      <c r="AD192" s="899"/>
      <c r="AE192" s="899"/>
    </row>
    <row r="193">
      <c r="A193" s="944"/>
      <c r="B193" s="945"/>
      <c r="C193" s="945"/>
      <c r="D193" s="945"/>
      <c r="E193" s="945"/>
      <c r="F193" s="945"/>
      <c r="G193" s="945"/>
      <c r="H193" s="945"/>
      <c r="I193" s="945"/>
      <c r="J193" s="945"/>
      <c r="K193" s="945"/>
      <c r="L193" s="945"/>
      <c r="M193" s="945"/>
      <c r="N193" s="899"/>
      <c r="O193" s="899"/>
      <c r="P193" s="899"/>
      <c r="Q193" s="899"/>
      <c r="R193" s="899"/>
      <c r="S193" s="899"/>
      <c r="T193" s="899"/>
      <c r="U193" s="899"/>
      <c r="V193" s="899"/>
      <c r="W193" s="899"/>
      <c r="X193" s="899"/>
      <c r="Y193" s="899"/>
      <c r="Z193" s="899"/>
      <c r="AA193" s="899"/>
      <c r="AB193" s="899"/>
      <c r="AC193" s="899"/>
      <c r="AD193" s="899"/>
      <c r="AE193" s="899"/>
    </row>
    <row r="194">
      <c r="A194" s="944"/>
      <c r="B194" s="945"/>
      <c r="C194" s="945"/>
      <c r="D194" s="945"/>
      <c r="E194" s="945"/>
      <c r="F194" s="945"/>
      <c r="G194" s="945"/>
      <c r="H194" s="945"/>
      <c r="I194" s="945"/>
      <c r="J194" s="945"/>
      <c r="K194" s="945"/>
      <c r="L194" s="945"/>
      <c r="M194" s="945"/>
      <c r="N194" s="899"/>
      <c r="O194" s="899"/>
      <c r="P194" s="899"/>
      <c r="Q194" s="899"/>
      <c r="R194" s="899"/>
      <c r="S194" s="899"/>
      <c r="T194" s="899"/>
      <c r="U194" s="899"/>
      <c r="V194" s="899"/>
      <c r="W194" s="899"/>
      <c r="X194" s="899"/>
      <c r="Y194" s="899"/>
      <c r="Z194" s="899"/>
      <c r="AA194" s="899"/>
      <c r="AB194" s="899"/>
      <c r="AC194" s="899"/>
      <c r="AD194" s="899"/>
      <c r="AE194" s="899"/>
    </row>
    <row r="195">
      <c r="A195" s="944"/>
      <c r="B195" s="945"/>
      <c r="C195" s="945"/>
      <c r="D195" s="945"/>
      <c r="E195" s="945"/>
      <c r="F195" s="945"/>
      <c r="G195" s="945"/>
      <c r="H195" s="945"/>
      <c r="I195" s="945"/>
      <c r="J195" s="945"/>
      <c r="K195" s="945"/>
      <c r="L195" s="945"/>
      <c r="M195" s="945"/>
      <c r="N195" s="899"/>
      <c r="O195" s="899"/>
      <c r="P195" s="899"/>
      <c r="Q195" s="899"/>
      <c r="R195" s="899"/>
      <c r="S195" s="899"/>
      <c r="T195" s="899"/>
      <c r="U195" s="899"/>
      <c r="V195" s="899"/>
      <c r="W195" s="899"/>
      <c r="X195" s="899"/>
      <c r="Y195" s="899"/>
      <c r="Z195" s="899"/>
      <c r="AA195" s="899"/>
      <c r="AB195" s="899"/>
      <c r="AC195" s="899"/>
      <c r="AD195" s="899"/>
      <c r="AE195" s="899"/>
    </row>
    <row r="196">
      <c r="A196" s="944"/>
      <c r="B196" s="945"/>
      <c r="C196" s="945"/>
      <c r="D196" s="945"/>
      <c r="E196" s="945"/>
      <c r="F196" s="945"/>
      <c r="G196" s="945"/>
      <c r="H196" s="945"/>
      <c r="I196" s="945"/>
      <c r="J196" s="945"/>
      <c r="K196" s="945"/>
      <c r="L196" s="945"/>
      <c r="M196" s="945"/>
      <c r="N196" s="899"/>
      <c r="O196" s="899"/>
      <c r="P196" s="899"/>
      <c r="Q196" s="899"/>
      <c r="R196" s="899"/>
      <c r="S196" s="899"/>
      <c r="T196" s="899"/>
      <c r="U196" s="899"/>
      <c r="V196" s="899"/>
      <c r="W196" s="899"/>
      <c r="X196" s="899"/>
      <c r="Y196" s="899"/>
      <c r="Z196" s="899"/>
      <c r="AA196" s="899"/>
      <c r="AB196" s="899"/>
      <c r="AC196" s="899"/>
      <c r="AD196" s="899"/>
      <c r="AE196" s="899"/>
    </row>
    <row r="197">
      <c r="A197" s="944"/>
      <c r="B197" s="945"/>
      <c r="C197" s="945"/>
      <c r="D197" s="945"/>
      <c r="E197" s="945"/>
      <c r="F197" s="945"/>
      <c r="G197" s="945"/>
      <c r="H197" s="945"/>
      <c r="I197" s="945"/>
      <c r="J197" s="945"/>
      <c r="K197" s="945"/>
      <c r="L197" s="945"/>
      <c r="M197" s="945"/>
      <c r="N197" s="899"/>
      <c r="O197" s="899"/>
      <c r="P197" s="899"/>
      <c r="Q197" s="899"/>
      <c r="R197" s="899"/>
      <c r="S197" s="899"/>
      <c r="T197" s="899"/>
      <c r="U197" s="899"/>
      <c r="V197" s="899"/>
      <c r="W197" s="899"/>
      <c r="X197" s="899"/>
      <c r="Y197" s="899"/>
      <c r="Z197" s="899"/>
      <c r="AA197" s="899"/>
      <c r="AB197" s="899"/>
      <c r="AC197" s="899"/>
      <c r="AD197" s="899"/>
      <c r="AE197" s="899"/>
    </row>
    <row r="198">
      <c r="A198" s="944"/>
      <c r="B198" s="945"/>
      <c r="C198" s="945"/>
      <c r="D198" s="945"/>
      <c r="E198" s="945"/>
      <c r="F198" s="945"/>
      <c r="G198" s="945"/>
      <c r="H198" s="945"/>
      <c r="I198" s="945"/>
      <c r="J198" s="945"/>
      <c r="K198" s="945"/>
      <c r="L198" s="945"/>
      <c r="M198" s="945"/>
      <c r="N198" s="899"/>
      <c r="O198" s="899"/>
      <c r="P198" s="899"/>
      <c r="Q198" s="899"/>
      <c r="R198" s="899"/>
      <c r="S198" s="899"/>
      <c r="T198" s="899"/>
      <c r="U198" s="899"/>
      <c r="V198" s="899"/>
      <c r="W198" s="899"/>
      <c r="X198" s="899"/>
      <c r="Y198" s="899"/>
      <c r="Z198" s="899"/>
      <c r="AA198" s="899"/>
      <c r="AB198" s="899"/>
      <c r="AC198" s="899"/>
      <c r="AD198" s="899"/>
      <c r="AE198" s="899"/>
    </row>
    <row r="199">
      <c r="A199" s="944"/>
      <c r="B199" s="945"/>
      <c r="C199" s="945"/>
      <c r="D199" s="945"/>
      <c r="E199" s="945"/>
      <c r="F199" s="945"/>
      <c r="G199" s="945"/>
      <c r="H199" s="945"/>
      <c r="I199" s="945"/>
      <c r="J199" s="945"/>
      <c r="K199" s="945"/>
      <c r="L199" s="945"/>
      <c r="M199" s="945"/>
      <c r="N199" s="899"/>
      <c r="O199" s="899"/>
      <c r="P199" s="899"/>
      <c r="Q199" s="899"/>
      <c r="R199" s="899"/>
      <c r="S199" s="899"/>
      <c r="T199" s="899"/>
      <c r="U199" s="899"/>
      <c r="V199" s="899"/>
      <c r="W199" s="899"/>
      <c r="X199" s="899"/>
      <c r="Y199" s="899"/>
      <c r="Z199" s="899"/>
      <c r="AA199" s="899"/>
      <c r="AB199" s="899"/>
      <c r="AC199" s="899"/>
      <c r="AD199" s="899"/>
      <c r="AE199" s="899"/>
    </row>
    <row r="200">
      <c r="A200" s="944"/>
      <c r="B200" s="945"/>
      <c r="C200" s="945"/>
      <c r="D200" s="945"/>
      <c r="E200" s="945"/>
      <c r="F200" s="945"/>
      <c r="G200" s="945"/>
      <c r="H200" s="945"/>
      <c r="I200" s="945"/>
      <c r="J200" s="945"/>
      <c r="K200" s="945"/>
      <c r="L200" s="945"/>
      <c r="M200" s="945"/>
      <c r="N200" s="899"/>
      <c r="O200" s="899"/>
      <c r="P200" s="899"/>
      <c r="Q200" s="899"/>
      <c r="R200" s="899"/>
      <c r="S200" s="899"/>
      <c r="T200" s="899"/>
      <c r="U200" s="899"/>
      <c r="V200" s="899"/>
      <c r="W200" s="899"/>
      <c r="X200" s="899"/>
      <c r="Y200" s="899"/>
      <c r="Z200" s="899"/>
      <c r="AA200" s="899"/>
      <c r="AB200" s="899"/>
      <c r="AC200" s="899"/>
      <c r="AD200" s="899"/>
      <c r="AE200" s="899"/>
    </row>
    <row r="201">
      <c r="A201" s="944"/>
      <c r="B201" s="945"/>
      <c r="C201" s="945"/>
      <c r="D201" s="945"/>
      <c r="E201" s="945"/>
      <c r="F201" s="945"/>
      <c r="G201" s="945"/>
      <c r="H201" s="945"/>
      <c r="I201" s="945"/>
      <c r="J201" s="945"/>
      <c r="K201" s="945"/>
      <c r="L201" s="945"/>
      <c r="M201" s="945"/>
      <c r="N201" s="899"/>
      <c r="O201" s="899"/>
      <c r="P201" s="899"/>
      <c r="Q201" s="899"/>
      <c r="R201" s="899"/>
      <c r="S201" s="899"/>
      <c r="T201" s="899"/>
      <c r="U201" s="899"/>
      <c r="V201" s="899"/>
      <c r="W201" s="899"/>
      <c r="X201" s="899"/>
      <c r="Y201" s="899"/>
      <c r="Z201" s="899"/>
      <c r="AA201" s="899"/>
      <c r="AB201" s="899"/>
      <c r="AC201" s="899"/>
      <c r="AD201" s="899"/>
      <c r="AE201" s="899"/>
    </row>
    <row r="202">
      <c r="A202" s="944"/>
      <c r="B202" s="945"/>
      <c r="C202" s="945"/>
      <c r="D202" s="945"/>
      <c r="E202" s="945"/>
      <c r="F202" s="945"/>
      <c r="G202" s="945"/>
      <c r="H202" s="945"/>
      <c r="I202" s="945"/>
      <c r="J202" s="945"/>
      <c r="K202" s="945"/>
      <c r="L202" s="945"/>
      <c r="M202" s="945"/>
      <c r="N202" s="899"/>
      <c r="O202" s="899"/>
      <c r="P202" s="899"/>
      <c r="Q202" s="899"/>
      <c r="R202" s="899"/>
      <c r="S202" s="899"/>
      <c r="T202" s="899"/>
      <c r="U202" s="899"/>
      <c r="V202" s="899"/>
      <c r="W202" s="899"/>
      <c r="X202" s="899"/>
      <c r="Y202" s="899"/>
      <c r="Z202" s="899"/>
      <c r="AA202" s="899"/>
      <c r="AB202" s="899"/>
      <c r="AC202" s="899"/>
      <c r="AD202" s="899"/>
      <c r="AE202" s="899"/>
    </row>
    <row r="203">
      <c r="A203" s="944"/>
      <c r="B203" s="945"/>
      <c r="C203" s="945"/>
      <c r="D203" s="945"/>
      <c r="E203" s="945"/>
      <c r="F203" s="945"/>
      <c r="G203" s="945"/>
      <c r="H203" s="945"/>
      <c r="I203" s="945"/>
      <c r="J203" s="945"/>
      <c r="K203" s="945"/>
      <c r="L203" s="945"/>
      <c r="M203" s="945"/>
      <c r="N203" s="899"/>
      <c r="O203" s="899"/>
      <c r="P203" s="899"/>
      <c r="Q203" s="899"/>
      <c r="R203" s="899"/>
      <c r="S203" s="899"/>
      <c r="T203" s="899"/>
      <c r="U203" s="899"/>
      <c r="V203" s="899"/>
      <c r="W203" s="899"/>
      <c r="X203" s="899"/>
      <c r="Y203" s="899"/>
      <c r="Z203" s="899"/>
      <c r="AA203" s="899"/>
      <c r="AB203" s="899"/>
      <c r="AC203" s="899"/>
      <c r="AD203" s="899"/>
      <c r="AE203" s="899"/>
    </row>
    <row r="204">
      <c r="A204" s="944"/>
      <c r="B204" s="945"/>
      <c r="C204" s="945"/>
      <c r="D204" s="945"/>
      <c r="E204" s="945"/>
      <c r="F204" s="945"/>
      <c r="G204" s="945"/>
      <c r="H204" s="945"/>
      <c r="I204" s="945"/>
      <c r="J204" s="945"/>
      <c r="K204" s="945"/>
      <c r="L204" s="945"/>
      <c r="M204" s="945"/>
      <c r="N204" s="899"/>
      <c r="O204" s="899"/>
      <c r="P204" s="899"/>
      <c r="Q204" s="899"/>
      <c r="R204" s="899"/>
      <c r="S204" s="899"/>
      <c r="T204" s="899"/>
      <c r="U204" s="899"/>
      <c r="V204" s="899"/>
      <c r="W204" s="899"/>
      <c r="X204" s="899"/>
      <c r="Y204" s="899"/>
      <c r="Z204" s="899"/>
      <c r="AA204" s="899"/>
      <c r="AB204" s="899"/>
      <c r="AC204" s="899"/>
      <c r="AD204" s="899"/>
      <c r="AE204" s="899"/>
    </row>
    <row r="205">
      <c r="A205" s="944"/>
      <c r="B205" s="945"/>
      <c r="C205" s="945"/>
      <c r="D205" s="945"/>
      <c r="E205" s="945"/>
      <c r="F205" s="945"/>
      <c r="G205" s="945"/>
      <c r="H205" s="945"/>
      <c r="I205" s="945"/>
      <c r="J205" s="945"/>
      <c r="K205" s="945"/>
      <c r="L205" s="945"/>
      <c r="M205" s="945"/>
      <c r="N205" s="899"/>
      <c r="O205" s="899"/>
      <c r="P205" s="899"/>
      <c r="Q205" s="899"/>
      <c r="R205" s="899"/>
      <c r="S205" s="899"/>
      <c r="T205" s="899"/>
      <c r="U205" s="899"/>
      <c r="V205" s="899"/>
      <c r="W205" s="899"/>
      <c r="X205" s="899"/>
      <c r="Y205" s="899"/>
      <c r="Z205" s="899"/>
      <c r="AA205" s="899"/>
      <c r="AB205" s="899"/>
      <c r="AC205" s="899"/>
      <c r="AD205" s="899"/>
      <c r="AE205" s="899"/>
    </row>
    <row r="206">
      <c r="A206" s="944"/>
      <c r="B206" s="945"/>
      <c r="C206" s="945"/>
      <c r="D206" s="945"/>
      <c r="E206" s="945"/>
      <c r="F206" s="945"/>
      <c r="G206" s="945"/>
      <c r="H206" s="945"/>
      <c r="I206" s="945"/>
      <c r="J206" s="945"/>
      <c r="K206" s="945"/>
      <c r="L206" s="945"/>
      <c r="M206" s="945"/>
      <c r="N206" s="899"/>
      <c r="O206" s="899"/>
      <c r="P206" s="899"/>
      <c r="Q206" s="899"/>
      <c r="R206" s="899"/>
      <c r="S206" s="899"/>
      <c r="T206" s="899"/>
      <c r="U206" s="899"/>
      <c r="V206" s="899"/>
      <c r="W206" s="899"/>
      <c r="X206" s="899"/>
      <c r="Y206" s="899"/>
      <c r="Z206" s="899"/>
      <c r="AA206" s="899"/>
      <c r="AB206" s="899"/>
      <c r="AC206" s="899"/>
      <c r="AD206" s="899"/>
      <c r="AE206" s="899"/>
    </row>
    <row r="207">
      <c r="A207" s="944"/>
      <c r="B207" s="945"/>
      <c r="C207" s="945"/>
      <c r="D207" s="945"/>
      <c r="E207" s="945"/>
      <c r="F207" s="945"/>
      <c r="G207" s="945"/>
      <c r="H207" s="945"/>
      <c r="I207" s="945"/>
      <c r="J207" s="945"/>
      <c r="K207" s="945"/>
      <c r="L207" s="945"/>
      <c r="M207" s="945"/>
      <c r="N207" s="899"/>
      <c r="O207" s="899"/>
      <c r="P207" s="899"/>
      <c r="Q207" s="899"/>
      <c r="R207" s="899"/>
      <c r="S207" s="899"/>
      <c r="T207" s="899"/>
      <c r="U207" s="899"/>
      <c r="V207" s="899"/>
      <c r="W207" s="899"/>
      <c r="X207" s="899"/>
      <c r="Y207" s="899"/>
      <c r="Z207" s="899"/>
      <c r="AA207" s="899"/>
      <c r="AB207" s="899"/>
      <c r="AC207" s="899"/>
      <c r="AD207" s="899"/>
      <c r="AE207" s="899"/>
    </row>
    <row r="208">
      <c r="A208" s="944"/>
      <c r="B208" s="945"/>
      <c r="C208" s="945"/>
      <c r="D208" s="945"/>
      <c r="E208" s="945"/>
      <c r="F208" s="945"/>
      <c r="G208" s="945"/>
      <c r="H208" s="945"/>
      <c r="I208" s="945"/>
      <c r="J208" s="945"/>
      <c r="K208" s="945"/>
      <c r="L208" s="945"/>
      <c r="M208" s="945"/>
      <c r="N208" s="899"/>
      <c r="O208" s="899"/>
      <c r="P208" s="899"/>
      <c r="Q208" s="899"/>
      <c r="R208" s="899"/>
      <c r="S208" s="899"/>
      <c r="T208" s="899"/>
      <c r="U208" s="899"/>
      <c r="V208" s="899"/>
      <c r="W208" s="899"/>
      <c r="X208" s="899"/>
      <c r="Y208" s="899"/>
      <c r="Z208" s="899"/>
      <c r="AA208" s="899"/>
      <c r="AB208" s="899"/>
      <c r="AC208" s="899"/>
      <c r="AD208" s="899"/>
      <c r="AE208" s="899"/>
    </row>
    <row r="209">
      <c r="A209" s="944"/>
      <c r="B209" s="945"/>
      <c r="C209" s="945"/>
      <c r="D209" s="945"/>
      <c r="E209" s="945"/>
      <c r="F209" s="945"/>
      <c r="G209" s="945"/>
      <c r="H209" s="945"/>
      <c r="I209" s="945"/>
      <c r="J209" s="945"/>
      <c r="K209" s="945"/>
      <c r="L209" s="945"/>
      <c r="M209" s="945"/>
      <c r="N209" s="899"/>
      <c r="O209" s="899"/>
      <c r="P209" s="899"/>
      <c r="Q209" s="899"/>
      <c r="R209" s="899"/>
      <c r="S209" s="899"/>
      <c r="T209" s="899"/>
      <c r="U209" s="899"/>
      <c r="V209" s="899"/>
      <c r="W209" s="899"/>
      <c r="X209" s="899"/>
      <c r="Y209" s="899"/>
      <c r="Z209" s="899"/>
      <c r="AA209" s="899"/>
      <c r="AB209" s="899"/>
      <c r="AC209" s="899"/>
      <c r="AD209" s="899"/>
      <c r="AE209" s="899"/>
    </row>
    <row r="210">
      <c r="A210" s="944"/>
      <c r="B210" s="945"/>
      <c r="C210" s="945"/>
      <c r="D210" s="945"/>
      <c r="E210" s="945"/>
      <c r="F210" s="945"/>
      <c r="G210" s="945"/>
      <c r="H210" s="945"/>
      <c r="I210" s="945"/>
      <c r="J210" s="945"/>
      <c r="K210" s="945"/>
      <c r="L210" s="945"/>
      <c r="M210" s="945"/>
      <c r="N210" s="899"/>
      <c r="O210" s="899"/>
      <c r="P210" s="899"/>
      <c r="Q210" s="899"/>
      <c r="R210" s="899"/>
      <c r="S210" s="899"/>
      <c r="T210" s="899"/>
      <c r="U210" s="899"/>
      <c r="V210" s="899"/>
      <c r="W210" s="899"/>
      <c r="X210" s="899"/>
      <c r="Y210" s="899"/>
      <c r="Z210" s="899"/>
      <c r="AA210" s="899"/>
      <c r="AB210" s="899"/>
      <c r="AC210" s="899"/>
      <c r="AD210" s="899"/>
      <c r="AE210" s="899"/>
    </row>
    <row r="211">
      <c r="A211" s="944"/>
      <c r="B211" s="945"/>
      <c r="C211" s="945"/>
      <c r="D211" s="945"/>
      <c r="E211" s="945"/>
      <c r="F211" s="945"/>
      <c r="G211" s="945"/>
      <c r="H211" s="945"/>
      <c r="I211" s="945"/>
      <c r="J211" s="945"/>
      <c r="K211" s="945"/>
      <c r="L211" s="945"/>
      <c r="M211" s="945"/>
      <c r="N211" s="899"/>
      <c r="O211" s="899"/>
      <c r="P211" s="899"/>
      <c r="Q211" s="899"/>
      <c r="R211" s="899"/>
      <c r="S211" s="899"/>
      <c r="T211" s="899"/>
      <c r="U211" s="899"/>
      <c r="V211" s="899"/>
      <c r="W211" s="899"/>
      <c r="X211" s="899"/>
      <c r="Y211" s="899"/>
      <c r="Z211" s="899"/>
      <c r="AA211" s="899"/>
      <c r="AB211" s="899"/>
      <c r="AC211" s="899"/>
      <c r="AD211" s="899"/>
      <c r="AE211" s="899"/>
    </row>
    <row r="212">
      <c r="A212" s="944"/>
      <c r="B212" s="945"/>
      <c r="C212" s="945"/>
      <c r="D212" s="945"/>
      <c r="E212" s="945"/>
      <c r="F212" s="945"/>
      <c r="G212" s="945"/>
      <c r="H212" s="945"/>
      <c r="I212" s="945"/>
      <c r="J212" s="945"/>
      <c r="K212" s="945"/>
      <c r="L212" s="945"/>
      <c r="M212" s="945"/>
      <c r="N212" s="899"/>
      <c r="O212" s="899"/>
      <c r="P212" s="899"/>
      <c r="Q212" s="899"/>
      <c r="R212" s="899"/>
      <c r="S212" s="899"/>
      <c r="T212" s="899"/>
      <c r="U212" s="899"/>
      <c r="V212" s="899"/>
      <c r="W212" s="899"/>
      <c r="X212" s="899"/>
      <c r="Y212" s="899"/>
      <c r="Z212" s="899"/>
      <c r="AA212" s="899"/>
      <c r="AB212" s="899"/>
      <c r="AC212" s="899"/>
      <c r="AD212" s="899"/>
      <c r="AE212" s="899"/>
    </row>
    <row r="213">
      <c r="A213" s="944"/>
      <c r="B213" s="945"/>
      <c r="C213" s="945"/>
      <c r="D213" s="945"/>
      <c r="E213" s="945"/>
      <c r="F213" s="945"/>
      <c r="G213" s="945"/>
      <c r="H213" s="945"/>
      <c r="I213" s="945"/>
      <c r="J213" s="945"/>
      <c r="K213" s="945"/>
      <c r="L213" s="945"/>
      <c r="M213" s="945"/>
      <c r="N213" s="899"/>
      <c r="O213" s="899"/>
      <c r="P213" s="899"/>
      <c r="Q213" s="899"/>
      <c r="R213" s="899"/>
      <c r="S213" s="899"/>
      <c r="T213" s="899"/>
      <c r="U213" s="899"/>
      <c r="V213" s="899"/>
      <c r="W213" s="899"/>
      <c r="X213" s="899"/>
      <c r="Y213" s="899"/>
      <c r="Z213" s="899"/>
      <c r="AA213" s="899"/>
      <c r="AB213" s="899"/>
      <c r="AC213" s="899"/>
      <c r="AD213" s="899"/>
      <c r="AE213" s="899"/>
    </row>
    <row r="214">
      <c r="A214" s="944"/>
      <c r="B214" s="945"/>
      <c r="C214" s="945"/>
      <c r="D214" s="945"/>
      <c r="E214" s="945"/>
      <c r="F214" s="945"/>
      <c r="G214" s="945"/>
      <c r="H214" s="945"/>
      <c r="I214" s="945"/>
      <c r="J214" s="945"/>
      <c r="K214" s="945"/>
      <c r="L214" s="945"/>
      <c r="M214" s="945"/>
      <c r="N214" s="899"/>
      <c r="O214" s="899"/>
      <c r="P214" s="899"/>
      <c r="Q214" s="899"/>
      <c r="R214" s="899"/>
      <c r="S214" s="899"/>
      <c r="T214" s="899"/>
      <c r="U214" s="899"/>
      <c r="V214" s="899"/>
      <c r="W214" s="899"/>
      <c r="X214" s="899"/>
      <c r="Y214" s="899"/>
      <c r="Z214" s="899"/>
      <c r="AA214" s="899"/>
      <c r="AB214" s="899"/>
      <c r="AC214" s="899"/>
      <c r="AD214" s="899"/>
      <c r="AE214" s="899"/>
    </row>
    <row r="215">
      <c r="A215" s="944"/>
      <c r="B215" s="945"/>
      <c r="C215" s="945"/>
      <c r="D215" s="945"/>
      <c r="E215" s="945"/>
      <c r="F215" s="945"/>
      <c r="G215" s="945"/>
      <c r="H215" s="945"/>
      <c r="I215" s="945"/>
      <c r="J215" s="945"/>
      <c r="K215" s="945"/>
      <c r="L215" s="945"/>
      <c r="M215" s="945"/>
      <c r="N215" s="899"/>
      <c r="O215" s="899"/>
      <c r="P215" s="899"/>
      <c r="Q215" s="899"/>
      <c r="R215" s="899"/>
      <c r="S215" s="899"/>
      <c r="T215" s="899"/>
      <c r="U215" s="899"/>
      <c r="V215" s="899"/>
      <c r="W215" s="899"/>
      <c r="X215" s="899"/>
      <c r="Y215" s="899"/>
      <c r="Z215" s="899"/>
      <c r="AA215" s="899"/>
      <c r="AB215" s="899"/>
      <c r="AC215" s="899"/>
      <c r="AD215" s="899"/>
      <c r="AE215" s="899"/>
    </row>
    <row r="216">
      <c r="A216" s="944"/>
      <c r="B216" s="945"/>
      <c r="C216" s="945"/>
      <c r="D216" s="945"/>
      <c r="E216" s="945"/>
      <c r="F216" s="945"/>
      <c r="G216" s="945"/>
      <c r="H216" s="945"/>
      <c r="I216" s="945"/>
      <c r="J216" s="945"/>
      <c r="K216" s="945"/>
      <c r="L216" s="945"/>
      <c r="M216" s="945"/>
      <c r="N216" s="899"/>
      <c r="O216" s="899"/>
      <c r="P216" s="899"/>
      <c r="Q216" s="899"/>
      <c r="R216" s="899"/>
      <c r="S216" s="899"/>
      <c r="T216" s="899"/>
      <c r="U216" s="899"/>
      <c r="V216" s="899"/>
      <c r="W216" s="899"/>
      <c r="X216" s="899"/>
      <c r="Y216" s="899"/>
      <c r="Z216" s="899"/>
      <c r="AA216" s="899"/>
      <c r="AB216" s="899"/>
      <c r="AC216" s="899"/>
      <c r="AD216" s="899"/>
      <c r="AE216" s="899"/>
    </row>
    <row r="217">
      <c r="A217" s="944"/>
      <c r="B217" s="945"/>
      <c r="C217" s="945"/>
      <c r="D217" s="945"/>
      <c r="E217" s="945"/>
      <c r="F217" s="945"/>
      <c r="G217" s="945"/>
      <c r="H217" s="945"/>
      <c r="I217" s="945"/>
      <c r="J217" s="945"/>
      <c r="K217" s="945"/>
      <c r="L217" s="945"/>
      <c r="M217" s="945"/>
      <c r="N217" s="899"/>
      <c r="O217" s="899"/>
      <c r="P217" s="899"/>
      <c r="Q217" s="899"/>
      <c r="R217" s="899"/>
      <c r="S217" s="899"/>
      <c r="T217" s="899"/>
      <c r="U217" s="899"/>
      <c r="V217" s="899"/>
      <c r="W217" s="899"/>
      <c r="X217" s="899"/>
      <c r="Y217" s="899"/>
      <c r="Z217" s="899"/>
      <c r="AA217" s="899"/>
      <c r="AB217" s="899"/>
      <c r="AC217" s="899"/>
      <c r="AD217" s="899"/>
      <c r="AE217" s="899"/>
    </row>
    <row r="218">
      <c r="A218" s="944"/>
      <c r="B218" s="945"/>
      <c r="C218" s="945"/>
      <c r="D218" s="945"/>
      <c r="E218" s="945"/>
      <c r="F218" s="945"/>
      <c r="G218" s="945"/>
      <c r="H218" s="945"/>
      <c r="I218" s="945"/>
      <c r="J218" s="945"/>
      <c r="K218" s="945"/>
      <c r="L218" s="945"/>
      <c r="M218" s="945"/>
      <c r="N218" s="899"/>
      <c r="O218" s="899"/>
      <c r="P218" s="899"/>
      <c r="Q218" s="899"/>
      <c r="R218" s="899"/>
      <c r="S218" s="899"/>
      <c r="T218" s="899"/>
      <c r="U218" s="899"/>
      <c r="V218" s="899"/>
      <c r="W218" s="899"/>
      <c r="X218" s="899"/>
      <c r="Y218" s="899"/>
      <c r="Z218" s="899"/>
      <c r="AA218" s="899"/>
      <c r="AB218" s="899"/>
      <c r="AC218" s="899"/>
      <c r="AD218" s="899"/>
      <c r="AE218" s="899"/>
    </row>
    <row r="219">
      <c r="A219" s="944"/>
      <c r="B219" s="945"/>
      <c r="C219" s="945"/>
      <c r="D219" s="945"/>
      <c r="E219" s="945"/>
      <c r="F219" s="945"/>
      <c r="G219" s="945"/>
      <c r="H219" s="945"/>
      <c r="I219" s="945"/>
      <c r="J219" s="945"/>
      <c r="K219" s="945"/>
      <c r="L219" s="945"/>
      <c r="M219" s="945"/>
      <c r="N219" s="899"/>
      <c r="O219" s="899"/>
      <c r="P219" s="899"/>
      <c r="Q219" s="899"/>
      <c r="R219" s="899"/>
      <c r="S219" s="899"/>
      <c r="T219" s="899"/>
      <c r="U219" s="899"/>
      <c r="V219" s="899"/>
      <c r="W219" s="899"/>
      <c r="X219" s="899"/>
      <c r="Y219" s="899"/>
      <c r="Z219" s="899"/>
      <c r="AA219" s="899"/>
      <c r="AB219" s="899"/>
      <c r="AC219" s="899"/>
      <c r="AD219" s="899"/>
      <c r="AE219" s="899"/>
    </row>
    <row r="220">
      <c r="A220" s="944"/>
      <c r="B220" s="945"/>
      <c r="C220" s="945"/>
      <c r="D220" s="945"/>
      <c r="E220" s="945"/>
      <c r="F220" s="945"/>
      <c r="G220" s="945"/>
      <c r="H220" s="945"/>
      <c r="I220" s="945"/>
      <c r="J220" s="945"/>
      <c r="K220" s="945"/>
      <c r="L220" s="945"/>
      <c r="M220" s="945"/>
      <c r="N220" s="899"/>
      <c r="O220" s="899"/>
      <c r="P220" s="899"/>
      <c r="Q220" s="899"/>
      <c r="R220" s="899"/>
      <c r="S220" s="899"/>
      <c r="T220" s="899"/>
      <c r="U220" s="899"/>
      <c r="V220" s="899"/>
      <c r="W220" s="899"/>
      <c r="X220" s="899"/>
      <c r="Y220" s="899"/>
      <c r="Z220" s="899"/>
      <c r="AA220" s="899"/>
      <c r="AB220" s="899"/>
      <c r="AC220" s="899"/>
      <c r="AD220" s="899"/>
      <c r="AE220" s="899"/>
    </row>
    <row r="221">
      <c r="A221" s="944"/>
      <c r="B221" s="945"/>
      <c r="C221" s="945"/>
      <c r="D221" s="945"/>
      <c r="E221" s="945"/>
      <c r="F221" s="945"/>
      <c r="G221" s="945"/>
      <c r="H221" s="945"/>
      <c r="I221" s="945"/>
      <c r="J221" s="945"/>
      <c r="K221" s="945"/>
      <c r="L221" s="945"/>
      <c r="M221" s="945"/>
      <c r="N221" s="899"/>
      <c r="O221" s="899"/>
      <c r="P221" s="899"/>
      <c r="Q221" s="899"/>
      <c r="R221" s="899"/>
      <c r="S221" s="899"/>
      <c r="T221" s="899"/>
      <c r="U221" s="899"/>
      <c r="V221" s="899"/>
      <c r="W221" s="899"/>
      <c r="X221" s="899"/>
      <c r="Y221" s="899"/>
      <c r="Z221" s="899"/>
      <c r="AA221" s="899"/>
      <c r="AB221" s="899"/>
      <c r="AC221" s="899"/>
      <c r="AD221" s="899"/>
      <c r="AE221" s="899"/>
    </row>
    <row r="222">
      <c r="A222" s="944"/>
      <c r="B222" s="945"/>
      <c r="C222" s="945"/>
      <c r="D222" s="945"/>
      <c r="E222" s="945"/>
      <c r="F222" s="945"/>
      <c r="G222" s="945"/>
      <c r="H222" s="945"/>
      <c r="I222" s="945"/>
      <c r="J222" s="945"/>
      <c r="K222" s="945"/>
      <c r="L222" s="945"/>
      <c r="M222" s="945"/>
      <c r="N222" s="899"/>
      <c r="O222" s="899"/>
      <c r="P222" s="899"/>
      <c r="Q222" s="899"/>
      <c r="R222" s="899"/>
      <c r="S222" s="899"/>
      <c r="T222" s="899"/>
      <c r="U222" s="899"/>
      <c r="V222" s="899"/>
      <c r="W222" s="899"/>
      <c r="X222" s="899"/>
      <c r="Y222" s="899"/>
      <c r="Z222" s="899"/>
      <c r="AA222" s="899"/>
      <c r="AB222" s="899"/>
      <c r="AC222" s="899"/>
      <c r="AD222" s="899"/>
      <c r="AE222" s="899"/>
    </row>
    <row r="223">
      <c r="A223" s="944"/>
      <c r="B223" s="945"/>
      <c r="C223" s="945"/>
      <c r="D223" s="945"/>
      <c r="E223" s="945"/>
      <c r="F223" s="945"/>
      <c r="G223" s="945"/>
      <c r="H223" s="945"/>
      <c r="I223" s="945"/>
      <c r="J223" s="945"/>
      <c r="K223" s="945"/>
      <c r="L223" s="945"/>
      <c r="M223" s="945"/>
      <c r="N223" s="899"/>
      <c r="O223" s="899"/>
      <c r="P223" s="899"/>
      <c r="Q223" s="899"/>
      <c r="R223" s="899"/>
      <c r="S223" s="899"/>
      <c r="T223" s="899"/>
      <c r="U223" s="899"/>
      <c r="V223" s="899"/>
      <c r="W223" s="899"/>
      <c r="X223" s="899"/>
      <c r="Y223" s="899"/>
      <c r="Z223" s="899"/>
      <c r="AA223" s="899"/>
      <c r="AB223" s="899"/>
      <c r="AC223" s="899"/>
      <c r="AD223" s="899"/>
      <c r="AE223" s="899"/>
    </row>
    <row r="224">
      <c r="A224" s="944"/>
      <c r="B224" s="945"/>
      <c r="C224" s="945"/>
      <c r="D224" s="945"/>
      <c r="E224" s="945"/>
      <c r="F224" s="945"/>
      <c r="G224" s="945"/>
      <c r="H224" s="945"/>
      <c r="I224" s="945"/>
      <c r="J224" s="945"/>
      <c r="K224" s="945"/>
      <c r="L224" s="945"/>
      <c r="M224" s="945"/>
      <c r="N224" s="899"/>
      <c r="O224" s="899"/>
      <c r="P224" s="899"/>
      <c r="Q224" s="899"/>
      <c r="R224" s="899"/>
      <c r="S224" s="899"/>
      <c r="T224" s="899"/>
      <c r="U224" s="899"/>
      <c r="V224" s="899"/>
      <c r="W224" s="899"/>
      <c r="X224" s="899"/>
      <c r="Y224" s="899"/>
      <c r="Z224" s="899"/>
      <c r="AA224" s="899"/>
      <c r="AB224" s="899"/>
      <c r="AC224" s="899"/>
      <c r="AD224" s="899"/>
      <c r="AE224" s="899"/>
    </row>
    <row r="225">
      <c r="A225" s="944"/>
      <c r="B225" s="945"/>
      <c r="C225" s="945"/>
      <c r="D225" s="945"/>
      <c r="E225" s="945"/>
      <c r="F225" s="945"/>
      <c r="G225" s="945"/>
      <c r="H225" s="945"/>
      <c r="I225" s="945"/>
      <c r="J225" s="945"/>
      <c r="K225" s="945"/>
      <c r="L225" s="945"/>
      <c r="M225" s="945"/>
      <c r="N225" s="899"/>
      <c r="O225" s="899"/>
      <c r="P225" s="899"/>
      <c r="Q225" s="899"/>
      <c r="R225" s="899"/>
      <c r="S225" s="899"/>
      <c r="T225" s="899"/>
      <c r="U225" s="899"/>
      <c r="V225" s="899"/>
      <c r="W225" s="899"/>
      <c r="X225" s="899"/>
      <c r="Y225" s="899"/>
      <c r="Z225" s="899"/>
      <c r="AA225" s="899"/>
      <c r="AB225" s="899"/>
      <c r="AC225" s="899"/>
      <c r="AD225" s="899"/>
      <c r="AE225" s="899"/>
    </row>
    <row r="226">
      <c r="A226" s="944"/>
      <c r="B226" s="945"/>
      <c r="C226" s="945"/>
      <c r="D226" s="945"/>
      <c r="E226" s="945"/>
      <c r="F226" s="945"/>
      <c r="G226" s="945"/>
      <c r="H226" s="945"/>
      <c r="I226" s="945"/>
      <c r="J226" s="945"/>
      <c r="K226" s="945"/>
      <c r="L226" s="945"/>
      <c r="M226" s="945"/>
      <c r="N226" s="899"/>
      <c r="O226" s="899"/>
      <c r="P226" s="899"/>
      <c r="Q226" s="899"/>
      <c r="R226" s="899"/>
      <c r="S226" s="899"/>
      <c r="T226" s="899"/>
      <c r="U226" s="899"/>
      <c r="V226" s="899"/>
      <c r="W226" s="899"/>
      <c r="X226" s="899"/>
      <c r="Y226" s="899"/>
      <c r="Z226" s="899"/>
      <c r="AA226" s="899"/>
      <c r="AB226" s="899"/>
      <c r="AC226" s="899"/>
      <c r="AD226" s="899"/>
      <c r="AE226" s="899"/>
    </row>
    <row r="227">
      <c r="A227" s="944"/>
      <c r="B227" s="945"/>
      <c r="C227" s="945"/>
      <c r="D227" s="945"/>
      <c r="E227" s="945"/>
      <c r="F227" s="945"/>
      <c r="G227" s="945"/>
      <c r="H227" s="945"/>
      <c r="I227" s="945"/>
      <c r="J227" s="945"/>
      <c r="K227" s="945"/>
      <c r="L227" s="945"/>
      <c r="M227" s="945"/>
      <c r="N227" s="899"/>
      <c r="O227" s="899"/>
      <c r="P227" s="899"/>
      <c r="Q227" s="899"/>
      <c r="R227" s="899"/>
      <c r="S227" s="899"/>
      <c r="T227" s="899"/>
      <c r="U227" s="899"/>
      <c r="V227" s="899"/>
      <c r="W227" s="899"/>
      <c r="X227" s="899"/>
      <c r="Y227" s="899"/>
      <c r="Z227" s="899"/>
      <c r="AA227" s="899"/>
      <c r="AB227" s="899"/>
      <c r="AC227" s="899"/>
      <c r="AD227" s="899"/>
      <c r="AE227" s="899"/>
    </row>
    <row r="228">
      <c r="A228" s="944"/>
      <c r="B228" s="945"/>
      <c r="C228" s="945"/>
      <c r="D228" s="945"/>
      <c r="E228" s="945"/>
      <c r="F228" s="945"/>
      <c r="G228" s="945"/>
      <c r="H228" s="945"/>
      <c r="I228" s="945"/>
      <c r="J228" s="945"/>
      <c r="K228" s="945"/>
      <c r="L228" s="945"/>
      <c r="M228" s="945"/>
      <c r="N228" s="899"/>
      <c r="O228" s="899"/>
      <c r="P228" s="899"/>
      <c r="Q228" s="899"/>
      <c r="R228" s="899"/>
      <c r="S228" s="899"/>
      <c r="T228" s="899"/>
      <c r="U228" s="899"/>
      <c r="V228" s="899"/>
      <c r="W228" s="899"/>
      <c r="X228" s="899"/>
      <c r="Y228" s="899"/>
      <c r="Z228" s="899"/>
      <c r="AA228" s="899"/>
      <c r="AB228" s="899"/>
      <c r="AC228" s="899"/>
      <c r="AD228" s="899"/>
      <c r="AE228" s="899"/>
    </row>
    <row r="229">
      <c r="A229" s="944"/>
      <c r="B229" s="945"/>
      <c r="C229" s="945"/>
      <c r="D229" s="945"/>
      <c r="E229" s="945"/>
      <c r="F229" s="945"/>
      <c r="G229" s="945"/>
      <c r="H229" s="945"/>
      <c r="I229" s="945"/>
      <c r="J229" s="945"/>
      <c r="K229" s="945"/>
      <c r="L229" s="945"/>
      <c r="M229" s="945"/>
      <c r="N229" s="899"/>
      <c r="O229" s="899"/>
      <c r="P229" s="899"/>
      <c r="Q229" s="899"/>
      <c r="R229" s="899"/>
      <c r="S229" s="899"/>
      <c r="T229" s="899"/>
      <c r="U229" s="899"/>
      <c r="V229" s="899"/>
      <c r="W229" s="899"/>
      <c r="X229" s="899"/>
      <c r="Y229" s="899"/>
      <c r="Z229" s="899"/>
      <c r="AA229" s="899"/>
      <c r="AB229" s="899"/>
      <c r="AC229" s="899"/>
      <c r="AD229" s="899"/>
      <c r="AE229" s="899"/>
    </row>
    <row r="230">
      <c r="A230" s="944"/>
      <c r="B230" s="945"/>
      <c r="C230" s="945"/>
      <c r="D230" s="945"/>
      <c r="E230" s="945"/>
      <c r="F230" s="945"/>
      <c r="G230" s="945"/>
      <c r="H230" s="945"/>
      <c r="I230" s="945"/>
      <c r="J230" s="945"/>
      <c r="K230" s="945"/>
      <c r="L230" s="945"/>
      <c r="M230" s="945"/>
      <c r="N230" s="899"/>
      <c r="O230" s="899"/>
      <c r="P230" s="899"/>
      <c r="Q230" s="899"/>
      <c r="R230" s="899"/>
      <c r="S230" s="899"/>
      <c r="T230" s="899"/>
      <c r="U230" s="899"/>
      <c r="V230" s="899"/>
      <c r="W230" s="899"/>
      <c r="X230" s="899"/>
      <c r="Y230" s="899"/>
      <c r="Z230" s="899"/>
      <c r="AA230" s="899"/>
      <c r="AB230" s="899"/>
      <c r="AC230" s="899"/>
      <c r="AD230" s="899"/>
      <c r="AE230" s="899"/>
    </row>
    <row r="231">
      <c r="A231" s="944"/>
      <c r="B231" s="945"/>
      <c r="C231" s="945"/>
      <c r="D231" s="945"/>
      <c r="E231" s="945"/>
      <c r="F231" s="945"/>
      <c r="G231" s="945"/>
      <c r="H231" s="945"/>
      <c r="I231" s="945"/>
      <c r="J231" s="945"/>
      <c r="K231" s="945"/>
      <c r="L231" s="945"/>
      <c r="M231" s="945"/>
      <c r="N231" s="899"/>
      <c r="O231" s="899"/>
      <c r="P231" s="899"/>
      <c r="Q231" s="899"/>
      <c r="R231" s="899"/>
      <c r="S231" s="899"/>
      <c r="T231" s="899"/>
      <c r="U231" s="899"/>
      <c r="V231" s="899"/>
      <c r="W231" s="899"/>
      <c r="X231" s="899"/>
      <c r="Y231" s="899"/>
      <c r="Z231" s="899"/>
      <c r="AA231" s="899"/>
      <c r="AB231" s="899"/>
      <c r="AC231" s="899"/>
      <c r="AD231" s="899"/>
      <c r="AE231" s="899"/>
    </row>
    <row r="232">
      <c r="A232" s="944"/>
      <c r="B232" s="945"/>
      <c r="C232" s="945"/>
      <c r="D232" s="945"/>
      <c r="E232" s="945"/>
      <c r="F232" s="945"/>
      <c r="G232" s="945"/>
      <c r="H232" s="945"/>
      <c r="I232" s="945"/>
      <c r="J232" s="945"/>
      <c r="K232" s="945"/>
      <c r="L232" s="945"/>
      <c r="M232" s="945"/>
      <c r="N232" s="899"/>
      <c r="O232" s="899"/>
      <c r="P232" s="899"/>
      <c r="Q232" s="899"/>
      <c r="R232" s="899"/>
      <c r="S232" s="899"/>
      <c r="T232" s="899"/>
      <c r="U232" s="899"/>
      <c r="V232" s="899"/>
      <c r="W232" s="899"/>
      <c r="X232" s="899"/>
      <c r="Y232" s="899"/>
      <c r="Z232" s="899"/>
      <c r="AA232" s="899"/>
      <c r="AB232" s="899"/>
      <c r="AC232" s="899"/>
      <c r="AD232" s="899"/>
      <c r="AE232" s="899"/>
    </row>
    <row r="233">
      <c r="A233" s="944"/>
      <c r="B233" s="945"/>
      <c r="C233" s="945"/>
      <c r="D233" s="945"/>
      <c r="E233" s="945"/>
      <c r="F233" s="945"/>
      <c r="G233" s="945"/>
      <c r="H233" s="945"/>
      <c r="I233" s="945"/>
      <c r="J233" s="945"/>
      <c r="K233" s="945"/>
      <c r="L233" s="945"/>
      <c r="M233" s="945"/>
      <c r="N233" s="899"/>
      <c r="O233" s="899"/>
      <c r="P233" s="899"/>
      <c r="Q233" s="899"/>
      <c r="R233" s="899"/>
      <c r="S233" s="899"/>
      <c r="T233" s="899"/>
      <c r="U233" s="899"/>
      <c r="V233" s="899"/>
      <c r="W233" s="899"/>
      <c r="X233" s="899"/>
      <c r="Y233" s="899"/>
      <c r="Z233" s="899"/>
      <c r="AA233" s="899"/>
      <c r="AB233" s="899"/>
      <c r="AC233" s="899"/>
      <c r="AD233" s="899"/>
      <c r="AE233" s="899"/>
    </row>
    <row r="234">
      <c r="A234" s="944"/>
      <c r="B234" s="945"/>
      <c r="C234" s="945"/>
      <c r="D234" s="945"/>
      <c r="E234" s="945"/>
      <c r="F234" s="945"/>
      <c r="G234" s="945"/>
      <c r="H234" s="945"/>
      <c r="I234" s="945"/>
      <c r="J234" s="945"/>
      <c r="K234" s="945"/>
      <c r="L234" s="945"/>
      <c r="M234" s="945"/>
      <c r="N234" s="899"/>
      <c r="O234" s="899"/>
      <c r="P234" s="899"/>
      <c r="Q234" s="899"/>
      <c r="R234" s="899"/>
      <c r="S234" s="899"/>
      <c r="T234" s="899"/>
      <c r="U234" s="899"/>
      <c r="V234" s="899"/>
      <c r="W234" s="899"/>
      <c r="X234" s="899"/>
      <c r="Y234" s="899"/>
      <c r="Z234" s="899"/>
      <c r="AA234" s="899"/>
      <c r="AB234" s="899"/>
      <c r="AC234" s="899"/>
      <c r="AD234" s="899"/>
      <c r="AE234" s="899"/>
    </row>
    <row r="235">
      <c r="A235" s="944"/>
      <c r="B235" s="945"/>
      <c r="C235" s="945"/>
      <c r="D235" s="945"/>
      <c r="E235" s="945"/>
      <c r="F235" s="945"/>
      <c r="G235" s="945"/>
      <c r="H235" s="945"/>
      <c r="I235" s="945"/>
      <c r="J235" s="945"/>
      <c r="K235" s="945"/>
      <c r="L235" s="945"/>
      <c r="M235" s="945"/>
      <c r="N235" s="899"/>
      <c r="O235" s="899"/>
      <c r="P235" s="899"/>
      <c r="Q235" s="899"/>
      <c r="R235" s="899"/>
      <c r="S235" s="899"/>
      <c r="T235" s="899"/>
      <c r="U235" s="899"/>
      <c r="V235" s="899"/>
      <c r="W235" s="899"/>
      <c r="X235" s="899"/>
      <c r="Y235" s="899"/>
      <c r="Z235" s="899"/>
      <c r="AA235" s="899"/>
      <c r="AB235" s="899"/>
      <c r="AC235" s="899"/>
      <c r="AD235" s="899"/>
      <c r="AE235" s="899"/>
    </row>
    <row r="236">
      <c r="A236" s="944"/>
      <c r="B236" s="945"/>
      <c r="C236" s="945"/>
      <c r="D236" s="945"/>
      <c r="E236" s="945"/>
      <c r="F236" s="945"/>
      <c r="G236" s="945"/>
      <c r="H236" s="945"/>
      <c r="I236" s="945"/>
      <c r="J236" s="945"/>
      <c r="K236" s="945"/>
      <c r="L236" s="945"/>
      <c r="M236" s="945"/>
      <c r="N236" s="899"/>
      <c r="O236" s="899"/>
      <c r="P236" s="899"/>
      <c r="Q236" s="899"/>
      <c r="R236" s="899"/>
      <c r="S236" s="899"/>
      <c r="T236" s="899"/>
      <c r="U236" s="899"/>
      <c r="V236" s="899"/>
      <c r="W236" s="899"/>
      <c r="X236" s="899"/>
      <c r="Y236" s="899"/>
      <c r="Z236" s="899"/>
      <c r="AA236" s="899"/>
      <c r="AB236" s="899"/>
      <c r="AC236" s="899"/>
      <c r="AD236" s="899"/>
      <c r="AE236" s="899"/>
    </row>
    <row r="237">
      <c r="A237" s="944"/>
      <c r="B237" s="945"/>
      <c r="C237" s="945"/>
      <c r="D237" s="945"/>
      <c r="E237" s="945"/>
      <c r="F237" s="945"/>
      <c r="G237" s="945"/>
      <c r="H237" s="945"/>
      <c r="I237" s="945"/>
      <c r="J237" s="945"/>
      <c r="K237" s="945"/>
      <c r="L237" s="945"/>
      <c r="M237" s="945"/>
      <c r="N237" s="899"/>
      <c r="O237" s="899"/>
      <c r="P237" s="899"/>
      <c r="Q237" s="899"/>
      <c r="R237" s="899"/>
      <c r="S237" s="899"/>
      <c r="T237" s="899"/>
      <c r="U237" s="899"/>
      <c r="V237" s="899"/>
      <c r="W237" s="899"/>
      <c r="X237" s="899"/>
      <c r="Y237" s="899"/>
      <c r="Z237" s="899"/>
      <c r="AA237" s="899"/>
      <c r="AB237" s="899"/>
      <c r="AC237" s="899"/>
      <c r="AD237" s="899"/>
      <c r="AE237" s="899"/>
    </row>
    <row r="238">
      <c r="A238" s="944"/>
      <c r="B238" s="945"/>
      <c r="C238" s="945"/>
      <c r="D238" s="945"/>
      <c r="E238" s="945"/>
      <c r="F238" s="945"/>
      <c r="G238" s="945"/>
      <c r="H238" s="945"/>
      <c r="I238" s="945"/>
      <c r="J238" s="945"/>
      <c r="K238" s="945"/>
      <c r="L238" s="945"/>
      <c r="M238" s="945"/>
      <c r="N238" s="899"/>
      <c r="O238" s="899"/>
      <c r="P238" s="899"/>
      <c r="Q238" s="899"/>
      <c r="R238" s="899"/>
      <c r="S238" s="899"/>
      <c r="T238" s="899"/>
      <c r="U238" s="899"/>
      <c r="V238" s="899"/>
      <c r="W238" s="899"/>
      <c r="X238" s="899"/>
      <c r="Y238" s="899"/>
      <c r="Z238" s="899"/>
      <c r="AA238" s="899"/>
      <c r="AB238" s="899"/>
      <c r="AC238" s="899"/>
      <c r="AD238" s="899"/>
      <c r="AE238" s="899"/>
    </row>
    <row r="239">
      <c r="A239" s="944"/>
      <c r="B239" s="945"/>
      <c r="C239" s="945"/>
      <c r="D239" s="945"/>
      <c r="E239" s="945"/>
      <c r="F239" s="945"/>
      <c r="G239" s="945"/>
      <c r="H239" s="945"/>
      <c r="I239" s="945"/>
      <c r="J239" s="945"/>
      <c r="K239" s="945"/>
      <c r="L239" s="945"/>
      <c r="M239" s="945"/>
      <c r="N239" s="899"/>
      <c r="O239" s="899"/>
      <c r="P239" s="899"/>
      <c r="Q239" s="899"/>
      <c r="R239" s="899"/>
      <c r="S239" s="899"/>
      <c r="T239" s="899"/>
      <c r="U239" s="899"/>
      <c r="V239" s="899"/>
      <c r="W239" s="899"/>
      <c r="X239" s="899"/>
      <c r="Y239" s="899"/>
      <c r="Z239" s="899"/>
      <c r="AA239" s="899"/>
      <c r="AB239" s="899"/>
      <c r="AC239" s="899"/>
      <c r="AD239" s="899"/>
      <c r="AE239" s="899"/>
    </row>
    <row r="240">
      <c r="A240" s="944"/>
      <c r="B240" s="945"/>
      <c r="C240" s="945"/>
      <c r="D240" s="945"/>
      <c r="E240" s="945"/>
      <c r="F240" s="945"/>
      <c r="G240" s="945"/>
      <c r="H240" s="945"/>
      <c r="I240" s="945"/>
      <c r="J240" s="945"/>
      <c r="K240" s="945"/>
      <c r="L240" s="945"/>
      <c r="M240" s="945"/>
      <c r="N240" s="899"/>
      <c r="O240" s="899"/>
      <c r="P240" s="899"/>
      <c r="Q240" s="899"/>
      <c r="R240" s="899"/>
      <c r="S240" s="899"/>
      <c r="T240" s="899"/>
      <c r="U240" s="899"/>
      <c r="V240" s="899"/>
      <c r="W240" s="899"/>
      <c r="X240" s="899"/>
      <c r="Y240" s="899"/>
      <c r="Z240" s="899"/>
      <c r="AA240" s="899"/>
      <c r="AB240" s="899"/>
      <c r="AC240" s="899"/>
      <c r="AD240" s="899"/>
      <c r="AE240" s="899"/>
    </row>
    <row r="241">
      <c r="A241" s="944"/>
      <c r="B241" s="945"/>
      <c r="C241" s="945"/>
      <c r="D241" s="945"/>
      <c r="E241" s="945"/>
      <c r="F241" s="945"/>
      <c r="G241" s="945"/>
      <c r="H241" s="945"/>
      <c r="I241" s="945"/>
      <c r="J241" s="945"/>
      <c r="K241" s="945"/>
      <c r="L241" s="945"/>
      <c r="M241" s="945"/>
      <c r="N241" s="899"/>
      <c r="O241" s="899"/>
      <c r="P241" s="899"/>
      <c r="Q241" s="899"/>
      <c r="R241" s="899"/>
      <c r="S241" s="899"/>
      <c r="T241" s="899"/>
      <c r="U241" s="899"/>
      <c r="V241" s="899"/>
      <c r="W241" s="899"/>
      <c r="X241" s="899"/>
      <c r="Y241" s="899"/>
      <c r="Z241" s="899"/>
      <c r="AA241" s="899"/>
      <c r="AB241" s="899"/>
      <c r="AC241" s="899"/>
      <c r="AD241" s="899"/>
      <c r="AE241" s="899"/>
    </row>
    <row r="242">
      <c r="A242" s="944"/>
      <c r="B242" s="945"/>
      <c r="C242" s="945"/>
      <c r="D242" s="945"/>
      <c r="E242" s="945"/>
      <c r="F242" s="945"/>
      <c r="G242" s="945"/>
      <c r="H242" s="945"/>
      <c r="I242" s="945"/>
      <c r="J242" s="945"/>
      <c r="K242" s="945"/>
      <c r="L242" s="945"/>
      <c r="M242" s="945"/>
      <c r="N242" s="899"/>
      <c r="O242" s="899"/>
      <c r="P242" s="899"/>
      <c r="Q242" s="899"/>
      <c r="R242" s="899"/>
      <c r="S242" s="899"/>
      <c r="T242" s="899"/>
      <c r="U242" s="899"/>
      <c r="V242" s="899"/>
      <c r="W242" s="899"/>
      <c r="X242" s="899"/>
      <c r="Y242" s="899"/>
      <c r="Z242" s="899"/>
      <c r="AA242" s="899"/>
      <c r="AB242" s="899"/>
      <c r="AC242" s="899"/>
      <c r="AD242" s="899"/>
      <c r="AE242" s="899"/>
    </row>
    <row r="243">
      <c r="A243" s="944"/>
      <c r="B243" s="945"/>
      <c r="C243" s="945"/>
      <c r="D243" s="945"/>
      <c r="E243" s="945"/>
      <c r="F243" s="945"/>
      <c r="G243" s="945"/>
      <c r="H243" s="945"/>
      <c r="I243" s="945"/>
      <c r="J243" s="945"/>
      <c r="K243" s="945"/>
      <c r="L243" s="945"/>
      <c r="M243" s="945"/>
      <c r="N243" s="899"/>
      <c r="O243" s="899"/>
      <c r="P243" s="899"/>
      <c r="Q243" s="899"/>
      <c r="R243" s="899"/>
      <c r="S243" s="899"/>
      <c r="T243" s="899"/>
      <c r="U243" s="899"/>
      <c r="V243" s="899"/>
      <c r="W243" s="899"/>
      <c r="X243" s="899"/>
      <c r="Y243" s="899"/>
      <c r="Z243" s="899"/>
      <c r="AA243" s="899"/>
      <c r="AB243" s="899"/>
      <c r="AC243" s="899"/>
      <c r="AD243" s="899"/>
      <c r="AE243" s="899"/>
    </row>
    <row r="244">
      <c r="A244" s="944"/>
      <c r="B244" s="945"/>
      <c r="C244" s="945"/>
      <c r="D244" s="945"/>
      <c r="E244" s="945"/>
      <c r="F244" s="945"/>
      <c r="G244" s="945"/>
      <c r="H244" s="945"/>
      <c r="I244" s="945"/>
      <c r="J244" s="945"/>
      <c r="K244" s="945"/>
      <c r="L244" s="945"/>
      <c r="M244" s="945"/>
      <c r="N244" s="899"/>
      <c r="O244" s="899"/>
      <c r="P244" s="899"/>
      <c r="Q244" s="899"/>
      <c r="R244" s="899"/>
      <c r="S244" s="899"/>
      <c r="T244" s="899"/>
      <c r="U244" s="899"/>
      <c r="V244" s="899"/>
      <c r="W244" s="899"/>
      <c r="X244" s="899"/>
      <c r="Y244" s="899"/>
      <c r="Z244" s="899"/>
      <c r="AA244" s="899"/>
      <c r="AB244" s="899"/>
      <c r="AC244" s="899"/>
      <c r="AD244" s="899"/>
      <c r="AE244" s="899"/>
    </row>
    <row r="245">
      <c r="A245" s="944"/>
      <c r="B245" s="945"/>
      <c r="C245" s="945"/>
      <c r="D245" s="945"/>
      <c r="E245" s="945"/>
      <c r="F245" s="945"/>
      <c r="G245" s="945"/>
      <c r="H245" s="945"/>
      <c r="I245" s="945"/>
      <c r="J245" s="945"/>
      <c r="K245" s="945"/>
      <c r="L245" s="945"/>
      <c r="M245" s="945"/>
      <c r="N245" s="899"/>
      <c r="O245" s="899"/>
      <c r="P245" s="899"/>
      <c r="Q245" s="899"/>
      <c r="R245" s="899"/>
      <c r="S245" s="899"/>
      <c r="T245" s="899"/>
      <c r="U245" s="899"/>
      <c r="V245" s="899"/>
      <c r="W245" s="899"/>
      <c r="X245" s="899"/>
      <c r="Y245" s="899"/>
      <c r="Z245" s="899"/>
      <c r="AA245" s="899"/>
      <c r="AB245" s="899"/>
      <c r="AC245" s="899"/>
      <c r="AD245" s="899"/>
      <c r="AE245" s="899"/>
    </row>
    <row r="246">
      <c r="A246" s="944"/>
      <c r="B246" s="945"/>
      <c r="C246" s="945"/>
      <c r="D246" s="945"/>
      <c r="E246" s="945"/>
      <c r="F246" s="945"/>
      <c r="G246" s="945"/>
      <c r="H246" s="945"/>
      <c r="I246" s="945"/>
      <c r="J246" s="945"/>
      <c r="K246" s="945"/>
      <c r="L246" s="945"/>
      <c r="M246" s="945"/>
      <c r="N246" s="899"/>
      <c r="O246" s="899"/>
      <c r="P246" s="899"/>
      <c r="Q246" s="899"/>
      <c r="R246" s="899"/>
      <c r="S246" s="899"/>
      <c r="T246" s="899"/>
      <c r="U246" s="899"/>
      <c r="V246" s="899"/>
      <c r="W246" s="899"/>
      <c r="X246" s="899"/>
      <c r="Y246" s="899"/>
      <c r="Z246" s="899"/>
      <c r="AA246" s="899"/>
      <c r="AB246" s="899"/>
      <c r="AC246" s="899"/>
      <c r="AD246" s="899"/>
      <c r="AE246" s="899"/>
    </row>
    <row r="247">
      <c r="A247" s="944"/>
      <c r="B247" s="945"/>
      <c r="C247" s="945"/>
      <c r="D247" s="945"/>
      <c r="E247" s="945"/>
      <c r="F247" s="945"/>
      <c r="G247" s="945"/>
      <c r="H247" s="945"/>
      <c r="I247" s="945"/>
      <c r="J247" s="945"/>
      <c r="K247" s="945"/>
      <c r="L247" s="945"/>
      <c r="M247" s="945"/>
      <c r="N247" s="899"/>
      <c r="O247" s="899"/>
      <c r="P247" s="899"/>
      <c r="Q247" s="899"/>
      <c r="R247" s="899"/>
      <c r="S247" s="899"/>
      <c r="T247" s="899"/>
      <c r="U247" s="899"/>
      <c r="V247" s="899"/>
      <c r="W247" s="899"/>
      <c r="X247" s="899"/>
      <c r="Y247" s="899"/>
      <c r="Z247" s="899"/>
      <c r="AA247" s="899"/>
      <c r="AB247" s="899"/>
      <c r="AC247" s="899"/>
      <c r="AD247" s="899"/>
      <c r="AE247" s="899"/>
    </row>
    <row r="248">
      <c r="A248" s="944"/>
      <c r="B248" s="945"/>
      <c r="C248" s="945"/>
      <c r="D248" s="945"/>
      <c r="E248" s="945"/>
      <c r="F248" s="945"/>
      <c r="G248" s="945"/>
      <c r="H248" s="945"/>
      <c r="I248" s="945"/>
      <c r="J248" s="945"/>
      <c r="K248" s="945"/>
      <c r="L248" s="945"/>
      <c r="M248" s="945"/>
      <c r="N248" s="899"/>
      <c r="O248" s="899"/>
      <c r="P248" s="899"/>
      <c r="Q248" s="899"/>
      <c r="R248" s="899"/>
      <c r="S248" s="899"/>
      <c r="T248" s="899"/>
      <c r="U248" s="899"/>
      <c r="V248" s="899"/>
      <c r="W248" s="899"/>
      <c r="X248" s="899"/>
      <c r="Y248" s="899"/>
      <c r="Z248" s="899"/>
      <c r="AA248" s="899"/>
      <c r="AB248" s="899"/>
      <c r="AC248" s="899"/>
      <c r="AD248" s="899"/>
      <c r="AE248" s="899"/>
    </row>
    <row r="249">
      <c r="A249" s="944"/>
      <c r="B249" s="945"/>
      <c r="C249" s="945"/>
      <c r="D249" s="945"/>
      <c r="E249" s="945"/>
      <c r="F249" s="945"/>
      <c r="G249" s="945"/>
      <c r="H249" s="945"/>
      <c r="I249" s="945"/>
      <c r="J249" s="945"/>
      <c r="K249" s="945"/>
      <c r="L249" s="945"/>
      <c r="M249" s="945"/>
      <c r="N249" s="899"/>
      <c r="O249" s="899"/>
      <c r="P249" s="899"/>
      <c r="Q249" s="899"/>
      <c r="R249" s="899"/>
      <c r="S249" s="899"/>
      <c r="T249" s="899"/>
      <c r="U249" s="899"/>
      <c r="V249" s="899"/>
      <c r="W249" s="899"/>
      <c r="X249" s="899"/>
      <c r="Y249" s="899"/>
      <c r="Z249" s="899"/>
      <c r="AA249" s="899"/>
      <c r="AB249" s="899"/>
      <c r="AC249" s="899"/>
      <c r="AD249" s="899"/>
      <c r="AE249" s="899"/>
    </row>
    <row r="250">
      <c r="A250" s="944"/>
      <c r="B250" s="945"/>
      <c r="C250" s="945"/>
      <c r="D250" s="945"/>
      <c r="E250" s="945"/>
      <c r="F250" s="945"/>
      <c r="G250" s="945"/>
      <c r="H250" s="945"/>
      <c r="I250" s="945"/>
      <c r="J250" s="945"/>
      <c r="K250" s="945"/>
      <c r="L250" s="945"/>
      <c r="M250" s="945"/>
      <c r="N250" s="899"/>
      <c r="O250" s="899"/>
      <c r="P250" s="899"/>
      <c r="Q250" s="899"/>
      <c r="R250" s="899"/>
      <c r="S250" s="899"/>
      <c r="T250" s="899"/>
      <c r="U250" s="899"/>
      <c r="V250" s="899"/>
      <c r="W250" s="899"/>
      <c r="X250" s="899"/>
      <c r="Y250" s="899"/>
      <c r="Z250" s="899"/>
      <c r="AA250" s="899"/>
      <c r="AB250" s="899"/>
      <c r="AC250" s="899"/>
      <c r="AD250" s="899"/>
      <c r="AE250" s="899"/>
    </row>
    <row r="251">
      <c r="A251" s="944"/>
      <c r="B251" s="945"/>
      <c r="C251" s="945"/>
      <c r="D251" s="945"/>
      <c r="E251" s="945"/>
      <c r="F251" s="945"/>
      <c r="G251" s="945"/>
      <c r="H251" s="945"/>
      <c r="I251" s="945"/>
      <c r="J251" s="945"/>
      <c r="K251" s="945"/>
      <c r="L251" s="945"/>
      <c r="M251" s="945"/>
      <c r="N251" s="899"/>
      <c r="O251" s="899"/>
      <c r="P251" s="899"/>
      <c r="Q251" s="899"/>
      <c r="R251" s="899"/>
      <c r="S251" s="899"/>
      <c r="T251" s="899"/>
      <c r="U251" s="899"/>
      <c r="V251" s="899"/>
      <c r="W251" s="899"/>
      <c r="X251" s="899"/>
      <c r="Y251" s="899"/>
      <c r="Z251" s="899"/>
      <c r="AA251" s="899"/>
      <c r="AB251" s="899"/>
      <c r="AC251" s="899"/>
      <c r="AD251" s="899"/>
      <c r="AE251" s="899"/>
    </row>
    <row r="252">
      <c r="A252" s="944"/>
      <c r="B252" s="945"/>
      <c r="C252" s="945"/>
      <c r="D252" s="945"/>
      <c r="E252" s="945"/>
      <c r="F252" s="945"/>
      <c r="G252" s="945"/>
      <c r="H252" s="945"/>
      <c r="I252" s="945"/>
      <c r="J252" s="945"/>
      <c r="K252" s="945"/>
      <c r="L252" s="945"/>
      <c r="M252" s="945"/>
      <c r="N252" s="899"/>
      <c r="O252" s="899"/>
      <c r="P252" s="899"/>
      <c r="Q252" s="899"/>
      <c r="R252" s="899"/>
      <c r="S252" s="899"/>
      <c r="T252" s="899"/>
      <c r="U252" s="899"/>
      <c r="V252" s="899"/>
      <c r="W252" s="899"/>
      <c r="X252" s="899"/>
      <c r="Y252" s="899"/>
      <c r="Z252" s="899"/>
      <c r="AA252" s="899"/>
      <c r="AB252" s="899"/>
      <c r="AC252" s="899"/>
      <c r="AD252" s="899"/>
      <c r="AE252" s="899"/>
    </row>
    <row r="253">
      <c r="A253" s="944"/>
      <c r="B253" s="945"/>
      <c r="C253" s="945"/>
      <c r="D253" s="945"/>
      <c r="E253" s="945"/>
      <c r="F253" s="945"/>
      <c r="G253" s="945"/>
      <c r="H253" s="945"/>
      <c r="I253" s="945"/>
      <c r="J253" s="945"/>
      <c r="K253" s="945"/>
      <c r="L253" s="945"/>
      <c r="M253" s="945"/>
      <c r="N253" s="899"/>
      <c r="O253" s="899"/>
      <c r="P253" s="899"/>
      <c r="Q253" s="899"/>
      <c r="R253" s="899"/>
      <c r="S253" s="899"/>
      <c r="T253" s="899"/>
      <c r="U253" s="899"/>
      <c r="V253" s="899"/>
      <c r="W253" s="899"/>
      <c r="X253" s="899"/>
      <c r="Y253" s="899"/>
      <c r="Z253" s="899"/>
      <c r="AA253" s="899"/>
      <c r="AB253" s="899"/>
      <c r="AC253" s="899"/>
      <c r="AD253" s="899"/>
      <c r="AE253" s="899"/>
    </row>
    <row r="254">
      <c r="A254" s="944"/>
      <c r="B254" s="945"/>
      <c r="C254" s="945"/>
      <c r="D254" s="945"/>
      <c r="E254" s="945"/>
      <c r="F254" s="945"/>
      <c r="G254" s="945"/>
      <c r="H254" s="945"/>
      <c r="I254" s="945"/>
      <c r="J254" s="945"/>
      <c r="K254" s="945"/>
      <c r="L254" s="945"/>
      <c r="M254" s="945"/>
      <c r="N254" s="899"/>
      <c r="O254" s="899"/>
      <c r="P254" s="899"/>
      <c r="Q254" s="899"/>
      <c r="R254" s="899"/>
      <c r="S254" s="899"/>
      <c r="T254" s="899"/>
      <c r="U254" s="899"/>
      <c r="V254" s="899"/>
      <c r="W254" s="899"/>
      <c r="X254" s="899"/>
      <c r="Y254" s="899"/>
      <c r="Z254" s="899"/>
      <c r="AA254" s="899"/>
      <c r="AB254" s="899"/>
      <c r="AC254" s="899"/>
      <c r="AD254" s="899"/>
      <c r="AE254" s="899"/>
    </row>
    <row r="255">
      <c r="A255" s="944"/>
      <c r="B255" s="945"/>
      <c r="C255" s="945"/>
      <c r="D255" s="945"/>
      <c r="E255" s="945"/>
      <c r="F255" s="945"/>
      <c r="G255" s="945"/>
      <c r="H255" s="945"/>
      <c r="I255" s="945"/>
      <c r="J255" s="945"/>
      <c r="K255" s="945"/>
      <c r="L255" s="945"/>
      <c r="M255" s="945"/>
      <c r="N255" s="899"/>
      <c r="O255" s="899"/>
      <c r="P255" s="899"/>
      <c r="Q255" s="899"/>
      <c r="R255" s="899"/>
      <c r="S255" s="899"/>
      <c r="T255" s="899"/>
      <c r="U255" s="899"/>
      <c r="V255" s="899"/>
      <c r="W255" s="899"/>
      <c r="X255" s="899"/>
      <c r="Y255" s="899"/>
      <c r="Z255" s="899"/>
      <c r="AA255" s="899"/>
      <c r="AB255" s="899"/>
      <c r="AC255" s="899"/>
      <c r="AD255" s="899"/>
      <c r="AE255" s="899"/>
    </row>
    <row r="256">
      <c r="A256" s="944"/>
      <c r="B256" s="945"/>
      <c r="C256" s="945"/>
      <c r="D256" s="945"/>
      <c r="E256" s="945"/>
      <c r="F256" s="945"/>
      <c r="G256" s="945"/>
      <c r="H256" s="945"/>
      <c r="I256" s="945"/>
      <c r="J256" s="945"/>
      <c r="K256" s="945"/>
      <c r="L256" s="945"/>
      <c r="M256" s="945"/>
      <c r="N256" s="899"/>
      <c r="O256" s="899"/>
      <c r="P256" s="899"/>
      <c r="Q256" s="899"/>
      <c r="R256" s="899"/>
      <c r="S256" s="899"/>
      <c r="T256" s="899"/>
      <c r="U256" s="899"/>
      <c r="V256" s="899"/>
      <c r="W256" s="899"/>
      <c r="X256" s="899"/>
      <c r="Y256" s="899"/>
      <c r="Z256" s="899"/>
      <c r="AA256" s="899"/>
      <c r="AB256" s="899"/>
      <c r="AC256" s="899"/>
      <c r="AD256" s="899"/>
      <c r="AE256" s="899"/>
    </row>
    <row r="257">
      <c r="A257" s="944"/>
      <c r="B257" s="945"/>
      <c r="C257" s="945"/>
      <c r="D257" s="945"/>
      <c r="E257" s="945"/>
      <c r="F257" s="945"/>
      <c r="G257" s="945"/>
      <c r="H257" s="945"/>
      <c r="I257" s="945"/>
      <c r="J257" s="945"/>
      <c r="K257" s="945"/>
      <c r="L257" s="945"/>
      <c r="M257" s="945"/>
      <c r="N257" s="899"/>
      <c r="O257" s="899"/>
      <c r="P257" s="899"/>
      <c r="Q257" s="899"/>
      <c r="R257" s="899"/>
      <c r="S257" s="899"/>
      <c r="T257" s="899"/>
      <c r="U257" s="899"/>
      <c r="V257" s="899"/>
      <c r="W257" s="899"/>
      <c r="X257" s="899"/>
      <c r="Y257" s="899"/>
      <c r="Z257" s="899"/>
      <c r="AA257" s="899"/>
      <c r="AB257" s="899"/>
      <c r="AC257" s="899"/>
      <c r="AD257" s="899"/>
      <c r="AE257" s="899"/>
    </row>
    <row r="258">
      <c r="A258" s="944"/>
      <c r="B258" s="945"/>
      <c r="C258" s="945"/>
      <c r="D258" s="945"/>
      <c r="E258" s="945"/>
      <c r="F258" s="945"/>
      <c r="G258" s="945"/>
      <c r="H258" s="945"/>
      <c r="I258" s="945"/>
      <c r="J258" s="945"/>
      <c r="K258" s="945"/>
      <c r="L258" s="945"/>
      <c r="M258" s="945"/>
      <c r="N258" s="899"/>
      <c r="O258" s="899"/>
      <c r="P258" s="899"/>
      <c r="Q258" s="899"/>
      <c r="R258" s="899"/>
      <c r="S258" s="899"/>
      <c r="T258" s="899"/>
      <c r="U258" s="899"/>
      <c r="V258" s="899"/>
      <c r="W258" s="899"/>
      <c r="X258" s="899"/>
      <c r="Y258" s="899"/>
      <c r="Z258" s="899"/>
      <c r="AA258" s="899"/>
      <c r="AB258" s="899"/>
      <c r="AC258" s="899"/>
      <c r="AD258" s="899"/>
      <c r="AE258" s="899"/>
    </row>
    <row r="259">
      <c r="A259" s="944"/>
      <c r="B259" s="945"/>
      <c r="C259" s="945"/>
      <c r="D259" s="945"/>
      <c r="E259" s="945"/>
      <c r="F259" s="945"/>
      <c r="G259" s="945"/>
      <c r="H259" s="945"/>
      <c r="I259" s="945"/>
      <c r="J259" s="945"/>
      <c r="K259" s="945"/>
      <c r="L259" s="945"/>
      <c r="M259" s="945"/>
      <c r="N259" s="899"/>
      <c r="O259" s="899"/>
      <c r="P259" s="899"/>
      <c r="Q259" s="899"/>
      <c r="R259" s="899"/>
      <c r="S259" s="899"/>
      <c r="T259" s="899"/>
      <c r="U259" s="899"/>
      <c r="V259" s="899"/>
      <c r="W259" s="899"/>
      <c r="X259" s="899"/>
      <c r="Y259" s="899"/>
      <c r="Z259" s="899"/>
      <c r="AA259" s="899"/>
      <c r="AB259" s="899"/>
      <c r="AC259" s="899"/>
      <c r="AD259" s="899"/>
      <c r="AE259" s="899"/>
    </row>
    <row r="260">
      <c r="A260" s="944"/>
      <c r="B260" s="945"/>
      <c r="C260" s="945"/>
      <c r="D260" s="945"/>
      <c r="E260" s="945"/>
      <c r="F260" s="945"/>
      <c r="G260" s="945"/>
      <c r="H260" s="945"/>
      <c r="I260" s="945"/>
      <c r="J260" s="945"/>
      <c r="K260" s="945"/>
      <c r="L260" s="945"/>
      <c r="M260" s="945"/>
      <c r="N260" s="899"/>
      <c r="O260" s="899"/>
      <c r="P260" s="899"/>
      <c r="Q260" s="899"/>
      <c r="R260" s="899"/>
      <c r="S260" s="899"/>
      <c r="T260" s="899"/>
      <c r="U260" s="899"/>
      <c r="V260" s="899"/>
      <c r="W260" s="899"/>
      <c r="X260" s="899"/>
      <c r="Y260" s="899"/>
      <c r="Z260" s="899"/>
      <c r="AA260" s="899"/>
      <c r="AB260" s="899"/>
      <c r="AC260" s="899"/>
      <c r="AD260" s="899"/>
      <c r="AE260" s="899"/>
    </row>
    <row r="261">
      <c r="A261" s="944"/>
      <c r="B261" s="945"/>
      <c r="C261" s="945"/>
      <c r="D261" s="945"/>
      <c r="E261" s="945"/>
      <c r="F261" s="945"/>
      <c r="G261" s="945"/>
      <c r="H261" s="945"/>
      <c r="I261" s="945"/>
      <c r="J261" s="945"/>
      <c r="K261" s="945"/>
      <c r="L261" s="945"/>
      <c r="M261" s="945"/>
      <c r="N261" s="899"/>
      <c r="O261" s="899"/>
      <c r="P261" s="899"/>
      <c r="Q261" s="899"/>
      <c r="R261" s="899"/>
      <c r="S261" s="899"/>
      <c r="T261" s="899"/>
      <c r="U261" s="899"/>
      <c r="V261" s="899"/>
      <c r="W261" s="899"/>
      <c r="X261" s="899"/>
      <c r="Y261" s="899"/>
      <c r="Z261" s="899"/>
      <c r="AA261" s="899"/>
      <c r="AB261" s="899"/>
      <c r="AC261" s="899"/>
      <c r="AD261" s="899"/>
      <c r="AE261" s="899"/>
    </row>
    <row r="262">
      <c r="A262" s="944"/>
      <c r="B262" s="945"/>
      <c r="C262" s="945"/>
      <c r="D262" s="945"/>
      <c r="E262" s="945"/>
      <c r="F262" s="945"/>
      <c r="G262" s="945"/>
      <c r="H262" s="945"/>
      <c r="I262" s="945"/>
      <c r="J262" s="945"/>
      <c r="K262" s="945"/>
      <c r="L262" s="945"/>
      <c r="M262" s="945"/>
      <c r="N262" s="899"/>
      <c r="O262" s="899"/>
      <c r="P262" s="899"/>
      <c r="Q262" s="899"/>
      <c r="R262" s="899"/>
      <c r="S262" s="899"/>
      <c r="T262" s="899"/>
      <c r="U262" s="899"/>
      <c r="V262" s="899"/>
      <c r="W262" s="899"/>
      <c r="X262" s="899"/>
      <c r="Y262" s="899"/>
      <c r="Z262" s="899"/>
      <c r="AA262" s="899"/>
      <c r="AB262" s="899"/>
      <c r="AC262" s="899"/>
      <c r="AD262" s="899"/>
      <c r="AE262" s="899"/>
    </row>
    <row r="263">
      <c r="A263" s="944"/>
      <c r="B263" s="945"/>
      <c r="C263" s="945"/>
      <c r="D263" s="945"/>
      <c r="E263" s="945"/>
      <c r="F263" s="945"/>
      <c r="G263" s="945"/>
      <c r="H263" s="945"/>
      <c r="I263" s="945"/>
      <c r="J263" s="945"/>
      <c r="K263" s="945"/>
      <c r="L263" s="945"/>
      <c r="M263" s="945"/>
      <c r="N263" s="899"/>
      <c r="O263" s="899"/>
      <c r="P263" s="899"/>
      <c r="Q263" s="899"/>
      <c r="R263" s="899"/>
      <c r="S263" s="899"/>
      <c r="T263" s="899"/>
      <c r="U263" s="899"/>
      <c r="V263" s="899"/>
      <c r="W263" s="899"/>
      <c r="X263" s="899"/>
      <c r="Y263" s="899"/>
      <c r="Z263" s="899"/>
      <c r="AA263" s="899"/>
      <c r="AB263" s="899"/>
      <c r="AC263" s="899"/>
      <c r="AD263" s="899"/>
      <c r="AE263" s="899"/>
    </row>
    <row r="264">
      <c r="A264" s="944"/>
      <c r="B264" s="945"/>
      <c r="C264" s="945"/>
      <c r="D264" s="945"/>
      <c r="E264" s="945"/>
      <c r="F264" s="945"/>
      <c r="G264" s="945"/>
      <c r="H264" s="945"/>
      <c r="I264" s="945"/>
      <c r="J264" s="945"/>
      <c r="K264" s="945"/>
      <c r="L264" s="945"/>
      <c r="M264" s="945"/>
      <c r="N264" s="899"/>
      <c r="O264" s="899"/>
      <c r="P264" s="899"/>
      <c r="Q264" s="899"/>
      <c r="R264" s="899"/>
      <c r="S264" s="899"/>
      <c r="T264" s="899"/>
      <c r="U264" s="899"/>
      <c r="V264" s="899"/>
      <c r="W264" s="899"/>
      <c r="X264" s="899"/>
      <c r="Y264" s="899"/>
      <c r="Z264" s="899"/>
      <c r="AA264" s="899"/>
      <c r="AB264" s="899"/>
      <c r="AC264" s="899"/>
      <c r="AD264" s="899"/>
      <c r="AE264" s="899"/>
    </row>
    <row r="265">
      <c r="A265" s="944"/>
      <c r="B265" s="945"/>
      <c r="C265" s="945"/>
      <c r="D265" s="945"/>
      <c r="E265" s="945"/>
      <c r="F265" s="945"/>
      <c r="G265" s="945"/>
      <c r="H265" s="945"/>
      <c r="I265" s="945"/>
      <c r="J265" s="945"/>
      <c r="K265" s="945"/>
      <c r="L265" s="945"/>
      <c r="M265" s="945"/>
      <c r="N265" s="899"/>
      <c r="O265" s="899"/>
      <c r="P265" s="899"/>
      <c r="Q265" s="899"/>
      <c r="R265" s="899"/>
      <c r="S265" s="899"/>
      <c r="T265" s="899"/>
      <c r="U265" s="899"/>
      <c r="V265" s="899"/>
      <c r="W265" s="899"/>
      <c r="X265" s="899"/>
      <c r="Y265" s="899"/>
      <c r="Z265" s="899"/>
      <c r="AA265" s="899"/>
      <c r="AB265" s="899"/>
      <c r="AC265" s="899"/>
      <c r="AD265" s="899"/>
      <c r="AE265" s="899"/>
    </row>
    <row r="266">
      <c r="A266" s="944"/>
      <c r="B266" s="945"/>
      <c r="C266" s="945"/>
      <c r="D266" s="945"/>
      <c r="E266" s="945"/>
      <c r="F266" s="945"/>
      <c r="G266" s="945"/>
      <c r="H266" s="945"/>
      <c r="I266" s="945"/>
      <c r="J266" s="945"/>
      <c r="K266" s="945"/>
      <c r="L266" s="945"/>
      <c r="M266" s="945"/>
      <c r="N266" s="899"/>
      <c r="O266" s="899"/>
      <c r="P266" s="899"/>
      <c r="Q266" s="899"/>
      <c r="R266" s="899"/>
      <c r="S266" s="899"/>
      <c r="T266" s="899"/>
      <c r="U266" s="899"/>
      <c r="V266" s="899"/>
      <c r="W266" s="899"/>
      <c r="X266" s="899"/>
      <c r="Y266" s="899"/>
      <c r="Z266" s="899"/>
      <c r="AA266" s="899"/>
      <c r="AB266" s="899"/>
      <c r="AC266" s="899"/>
      <c r="AD266" s="899"/>
      <c r="AE266" s="899"/>
    </row>
    <row r="267">
      <c r="A267" s="944"/>
      <c r="B267" s="945"/>
      <c r="C267" s="945"/>
      <c r="D267" s="945"/>
      <c r="E267" s="945"/>
      <c r="F267" s="945"/>
      <c r="G267" s="945"/>
      <c r="H267" s="945"/>
      <c r="I267" s="945"/>
      <c r="J267" s="945"/>
      <c r="K267" s="945"/>
      <c r="L267" s="945"/>
      <c r="M267" s="945"/>
      <c r="N267" s="899"/>
      <c r="O267" s="899"/>
      <c r="P267" s="899"/>
      <c r="Q267" s="899"/>
      <c r="R267" s="899"/>
      <c r="S267" s="899"/>
      <c r="T267" s="899"/>
      <c r="U267" s="899"/>
      <c r="V267" s="899"/>
      <c r="W267" s="899"/>
      <c r="X267" s="899"/>
      <c r="Y267" s="899"/>
      <c r="Z267" s="899"/>
      <c r="AA267" s="899"/>
      <c r="AB267" s="899"/>
      <c r="AC267" s="899"/>
      <c r="AD267" s="899"/>
      <c r="AE267" s="899"/>
    </row>
    <row r="268">
      <c r="A268" s="944"/>
      <c r="B268" s="945"/>
      <c r="C268" s="945"/>
      <c r="D268" s="945"/>
      <c r="E268" s="945"/>
      <c r="F268" s="945"/>
      <c r="G268" s="945"/>
      <c r="H268" s="945"/>
      <c r="I268" s="945"/>
      <c r="J268" s="945"/>
      <c r="K268" s="945"/>
      <c r="L268" s="945"/>
      <c r="M268" s="945"/>
      <c r="N268" s="899"/>
      <c r="O268" s="899"/>
      <c r="P268" s="899"/>
      <c r="Q268" s="899"/>
      <c r="R268" s="899"/>
      <c r="S268" s="899"/>
      <c r="T268" s="899"/>
      <c r="U268" s="899"/>
      <c r="V268" s="899"/>
      <c r="W268" s="899"/>
      <c r="X268" s="899"/>
      <c r="Y268" s="899"/>
      <c r="Z268" s="899"/>
      <c r="AA268" s="899"/>
      <c r="AB268" s="899"/>
      <c r="AC268" s="899"/>
      <c r="AD268" s="899"/>
      <c r="AE268" s="899"/>
    </row>
    <row r="269">
      <c r="A269" s="944"/>
      <c r="B269" s="945"/>
      <c r="C269" s="945"/>
      <c r="D269" s="945"/>
      <c r="E269" s="945"/>
      <c r="F269" s="945"/>
      <c r="G269" s="945"/>
      <c r="H269" s="945"/>
      <c r="I269" s="945"/>
      <c r="J269" s="945"/>
      <c r="K269" s="945"/>
      <c r="L269" s="945"/>
      <c r="M269" s="945"/>
      <c r="N269" s="899"/>
      <c r="O269" s="899"/>
      <c r="P269" s="899"/>
      <c r="Q269" s="899"/>
      <c r="R269" s="899"/>
      <c r="S269" s="899"/>
      <c r="T269" s="899"/>
      <c r="U269" s="899"/>
      <c r="V269" s="899"/>
      <c r="W269" s="899"/>
      <c r="X269" s="899"/>
      <c r="Y269" s="899"/>
      <c r="Z269" s="899"/>
      <c r="AA269" s="899"/>
      <c r="AB269" s="899"/>
      <c r="AC269" s="899"/>
      <c r="AD269" s="899"/>
      <c r="AE269" s="899"/>
    </row>
    <row r="270">
      <c r="A270" s="944"/>
      <c r="B270" s="945"/>
      <c r="C270" s="945"/>
      <c r="D270" s="945"/>
      <c r="E270" s="945"/>
      <c r="F270" s="945"/>
      <c r="G270" s="945"/>
      <c r="H270" s="945"/>
      <c r="I270" s="945"/>
      <c r="J270" s="945"/>
      <c r="K270" s="945"/>
      <c r="L270" s="945"/>
      <c r="M270" s="945"/>
      <c r="N270" s="899"/>
      <c r="O270" s="899"/>
      <c r="P270" s="899"/>
      <c r="Q270" s="899"/>
      <c r="R270" s="899"/>
      <c r="S270" s="899"/>
      <c r="T270" s="899"/>
      <c r="U270" s="899"/>
      <c r="V270" s="899"/>
      <c r="W270" s="899"/>
      <c r="X270" s="899"/>
      <c r="Y270" s="899"/>
      <c r="Z270" s="899"/>
      <c r="AA270" s="899"/>
      <c r="AB270" s="899"/>
      <c r="AC270" s="899"/>
      <c r="AD270" s="899"/>
      <c r="AE270" s="899"/>
    </row>
    <row r="271">
      <c r="A271" s="944"/>
      <c r="B271" s="945"/>
      <c r="C271" s="945"/>
      <c r="D271" s="945"/>
      <c r="E271" s="945"/>
      <c r="F271" s="945"/>
      <c r="G271" s="945"/>
      <c r="H271" s="945"/>
      <c r="I271" s="945"/>
      <c r="J271" s="945"/>
      <c r="K271" s="945"/>
      <c r="L271" s="945"/>
      <c r="M271" s="945"/>
      <c r="N271" s="899"/>
      <c r="O271" s="899"/>
      <c r="P271" s="899"/>
      <c r="Q271" s="899"/>
      <c r="R271" s="899"/>
      <c r="S271" s="899"/>
      <c r="T271" s="899"/>
      <c r="U271" s="899"/>
      <c r="V271" s="899"/>
      <c r="W271" s="899"/>
      <c r="X271" s="899"/>
      <c r="Y271" s="899"/>
      <c r="Z271" s="899"/>
      <c r="AA271" s="899"/>
      <c r="AB271" s="899"/>
      <c r="AC271" s="899"/>
      <c r="AD271" s="899"/>
      <c r="AE271" s="899"/>
    </row>
    <row r="272">
      <c r="A272" s="944"/>
      <c r="B272" s="945"/>
      <c r="C272" s="945"/>
      <c r="D272" s="945"/>
      <c r="E272" s="945"/>
      <c r="F272" s="945"/>
      <c r="G272" s="945"/>
      <c r="H272" s="945"/>
      <c r="I272" s="945"/>
      <c r="J272" s="945"/>
      <c r="K272" s="945"/>
      <c r="L272" s="945"/>
      <c r="M272" s="945"/>
      <c r="N272" s="899"/>
      <c r="O272" s="899"/>
      <c r="P272" s="899"/>
      <c r="Q272" s="899"/>
      <c r="R272" s="899"/>
      <c r="S272" s="899"/>
      <c r="T272" s="899"/>
      <c r="U272" s="899"/>
      <c r="V272" s="899"/>
      <c r="W272" s="899"/>
      <c r="X272" s="899"/>
      <c r="Y272" s="899"/>
      <c r="Z272" s="899"/>
      <c r="AA272" s="899"/>
      <c r="AB272" s="899"/>
      <c r="AC272" s="899"/>
      <c r="AD272" s="899"/>
      <c r="AE272" s="899"/>
    </row>
    <row r="273">
      <c r="A273" s="944"/>
      <c r="B273" s="945"/>
      <c r="C273" s="945"/>
      <c r="D273" s="945"/>
      <c r="E273" s="945"/>
      <c r="F273" s="945"/>
      <c r="G273" s="945"/>
      <c r="H273" s="945"/>
      <c r="I273" s="945"/>
      <c r="J273" s="945"/>
      <c r="K273" s="945"/>
      <c r="L273" s="945"/>
      <c r="M273" s="945"/>
      <c r="N273" s="899"/>
      <c r="O273" s="899"/>
      <c r="P273" s="899"/>
      <c r="Q273" s="899"/>
      <c r="R273" s="899"/>
      <c r="S273" s="899"/>
      <c r="T273" s="899"/>
      <c r="U273" s="899"/>
      <c r="V273" s="899"/>
      <c r="W273" s="899"/>
      <c r="X273" s="899"/>
      <c r="Y273" s="899"/>
      <c r="Z273" s="899"/>
      <c r="AA273" s="899"/>
      <c r="AB273" s="899"/>
      <c r="AC273" s="899"/>
      <c r="AD273" s="899"/>
      <c r="AE273" s="899"/>
    </row>
    <row r="274">
      <c r="A274" s="944"/>
      <c r="B274" s="945"/>
      <c r="C274" s="945"/>
      <c r="D274" s="945"/>
      <c r="E274" s="945"/>
      <c r="F274" s="945"/>
      <c r="G274" s="945"/>
      <c r="H274" s="945"/>
      <c r="I274" s="945"/>
      <c r="J274" s="945"/>
      <c r="K274" s="945"/>
      <c r="L274" s="945"/>
      <c r="M274" s="945"/>
      <c r="N274" s="899"/>
      <c r="O274" s="899"/>
      <c r="P274" s="899"/>
      <c r="Q274" s="899"/>
      <c r="R274" s="899"/>
      <c r="S274" s="899"/>
      <c r="T274" s="899"/>
      <c r="U274" s="899"/>
      <c r="V274" s="899"/>
      <c r="W274" s="899"/>
      <c r="X274" s="899"/>
      <c r="Y274" s="899"/>
      <c r="Z274" s="899"/>
      <c r="AA274" s="899"/>
      <c r="AB274" s="899"/>
      <c r="AC274" s="899"/>
      <c r="AD274" s="899"/>
      <c r="AE274" s="899"/>
    </row>
    <row r="275">
      <c r="A275" s="944"/>
      <c r="B275" s="945"/>
      <c r="C275" s="945"/>
      <c r="D275" s="945"/>
      <c r="E275" s="945"/>
      <c r="F275" s="945"/>
      <c r="G275" s="945"/>
      <c r="H275" s="945"/>
      <c r="I275" s="945"/>
      <c r="J275" s="945"/>
      <c r="K275" s="945"/>
      <c r="L275" s="945"/>
      <c r="M275" s="945"/>
      <c r="N275" s="899"/>
      <c r="O275" s="899"/>
      <c r="P275" s="899"/>
      <c r="Q275" s="899"/>
      <c r="R275" s="899"/>
      <c r="S275" s="899"/>
      <c r="T275" s="899"/>
      <c r="U275" s="899"/>
      <c r="V275" s="899"/>
      <c r="W275" s="899"/>
      <c r="X275" s="899"/>
      <c r="Y275" s="899"/>
      <c r="Z275" s="899"/>
      <c r="AA275" s="899"/>
      <c r="AB275" s="899"/>
      <c r="AC275" s="899"/>
      <c r="AD275" s="899"/>
      <c r="AE275" s="899"/>
    </row>
    <row r="276">
      <c r="A276" s="944"/>
      <c r="B276" s="945"/>
      <c r="C276" s="945"/>
      <c r="D276" s="945"/>
      <c r="E276" s="945"/>
      <c r="F276" s="945"/>
      <c r="G276" s="945"/>
      <c r="H276" s="945"/>
      <c r="I276" s="945"/>
      <c r="J276" s="945"/>
      <c r="K276" s="945"/>
      <c r="L276" s="945"/>
      <c r="M276" s="945"/>
      <c r="N276" s="899"/>
      <c r="O276" s="899"/>
      <c r="P276" s="899"/>
      <c r="Q276" s="899"/>
      <c r="R276" s="899"/>
      <c r="S276" s="899"/>
      <c r="T276" s="899"/>
      <c r="U276" s="899"/>
      <c r="V276" s="899"/>
      <c r="W276" s="899"/>
      <c r="X276" s="899"/>
      <c r="Y276" s="899"/>
      <c r="Z276" s="899"/>
      <c r="AA276" s="899"/>
      <c r="AB276" s="899"/>
      <c r="AC276" s="899"/>
      <c r="AD276" s="899"/>
      <c r="AE276" s="899"/>
    </row>
    <row r="277">
      <c r="A277" s="944"/>
      <c r="B277" s="945"/>
      <c r="C277" s="945"/>
      <c r="D277" s="945"/>
      <c r="E277" s="945"/>
      <c r="F277" s="945"/>
      <c r="G277" s="945"/>
      <c r="H277" s="945"/>
      <c r="I277" s="945"/>
      <c r="J277" s="945"/>
      <c r="K277" s="945"/>
      <c r="L277" s="945"/>
      <c r="M277" s="945"/>
      <c r="N277" s="899"/>
      <c r="O277" s="899"/>
      <c r="P277" s="899"/>
      <c r="Q277" s="899"/>
      <c r="R277" s="899"/>
      <c r="S277" s="899"/>
      <c r="T277" s="899"/>
      <c r="U277" s="899"/>
      <c r="V277" s="899"/>
      <c r="W277" s="899"/>
      <c r="X277" s="899"/>
      <c r="Y277" s="899"/>
      <c r="Z277" s="899"/>
      <c r="AA277" s="899"/>
      <c r="AB277" s="899"/>
      <c r="AC277" s="899"/>
      <c r="AD277" s="899"/>
      <c r="AE277" s="899"/>
    </row>
    <row r="278">
      <c r="A278" s="944"/>
      <c r="B278" s="945"/>
      <c r="C278" s="945"/>
      <c r="D278" s="945"/>
      <c r="E278" s="945"/>
      <c r="F278" s="945"/>
      <c r="G278" s="945"/>
      <c r="H278" s="945"/>
      <c r="I278" s="945"/>
      <c r="J278" s="945"/>
      <c r="K278" s="945"/>
      <c r="L278" s="945"/>
      <c r="M278" s="945"/>
      <c r="N278" s="899"/>
      <c r="O278" s="899"/>
      <c r="P278" s="899"/>
      <c r="Q278" s="899"/>
      <c r="R278" s="899"/>
      <c r="S278" s="899"/>
      <c r="T278" s="899"/>
      <c r="U278" s="899"/>
      <c r="V278" s="899"/>
      <c r="W278" s="899"/>
      <c r="X278" s="899"/>
      <c r="Y278" s="899"/>
      <c r="Z278" s="899"/>
      <c r="AA278" s="899"/>
      <c r="AB278" s="899"/>
      <c r="AC278" s="899"/>
      <c r="AD278" s="899"/>
      <c r="AE278" s="899"/>
    </row>
    <row r="279">
      <c r="A279" s="944"/>
      <c r="B279" s="945"/>
      <c r="C279" s="945"/>
      <c r="D279" s="945"/>
      <c r="E279" s="945"/>
      <c r="F279" s="945"/>
      <c r="G279" s="945"/>
      <c r="H279" s="945"/>
      <c r="I279" s="945"/>
      <c r="J279" s="945"/>
      <c r="K279" s="945"/>
      <c r="L279" s="945"/>
      <c r="M279" s="945"/>
      <c r="N279" s="899"/>
      <c r="O279" s="899"/>
      <c r="P279" s="899"/>
      <c r="Q279" s="899"/>
      <c r="R279" s="899"/>
      <c r="S279" s="899"/>
      <c r="T279" s="899"/>
      <c r="U279" s="899"/>
      <c r="V279" s="899"/>
      <c r="W279" s="899"/>
      <c r="X279" s="899"/>
      <c r="Y279" s="899"/>
      <c r="Z279" s="899"/>
      <c r="AA279" s="899"/>
      <c r="AB279" s="899"/>
      <c r="AC279" s="899"/>
      <c r="AD279" s="899"/>
      <c r="AE279" s="899"/>
    </row>
    <row r="280">
      <c r="A280" s="944"/>
      <c r="B280" s="945"/>
      <c r="C280" s="945"/>
      <c r="D280" s="945"/>
      <c r="E280" s="945"/>
      <c r="F280" s="945"/>
      <c r="G280" s="945"/>
      <c r="H280" s="945"/>
      <c r="I280" s="945"/>
      <c r="J280" s="945"/>
      <c r="K280" s="945"/>
      <c r="L280" s="945"/>
      <c r="M280" s="945"/>
      <c r="N280" s="899"/>
      <c r="O280" s="899"/>
      <c r="P280" s="899"/>
      <c r="Q280" s="899"/>
      <c r="R280" s="899"/>
      <c r="S280" s="899"/>
      <c r="T280" s="899"/>
      <c r="U280" s="899"/>
      <c r="V280" s="899"/>
      <c r="W280" s="899"/>
      <c r="X280" s="899"/>
      <c r="Y280" s="899"/>
      <c r="Z280" s="899"/>
      <c r="AA280" s="899"/>
      <c r="AB280" s="899"/>
      <c r="AC280" s="899"/>
      <c r="AD280" s="899"/>
      <c r="AE280" s="899"/>
    </row>
    <row r="281">
      <c r="A281" s="944"/>
      <c r="B281" s="945"/>
      <c r="C281" s="945"/>
      <c r="D281" s="945"/>
      <c r="E281" s="945"/>
      <c r="F281" s="945"/>
      <c r="G281" s="945"/>
      <c r="H281" s="945"/>
      <c r="I281" s="945"/>
      <c r="J281" s="945"/>
      <c r="K281" s="945"/>
      <c r="L281" s="945"/>
      <c r="M281" s="945"/>
      <c r="N281" s="899"/>
      <c r="O281" s="899"/>
      <c r="P281" s="899"/>
      <c r="Q281" s="899"/>
      <c r="R281" s="899"/>
      <c r="S281" s="899"/>
      <c r="T281" s="899"/>
      <c r="U281" s="899"/>
      <c r="V281" s="899"/>
      <c r="W281" s="899"/>
      <c r="X281" s="899"/>
      <c r="Y281" s="899"/>
      <c r="Z281" s="899"/>
      <c r="AA281" s="899"/>
      <c r="AB281" s="899"/>
      <c r="AC281" s="899"/>
      <c r="AD281" s="899"/>
      <c r="AE281" s="899"/>
    </row>
    <row r="282">
      <c r="A282" s="944"/>
      <c r="B282" s="945"/>
      <c r="C282" s="945"/>
      <c r="D282" s="945"/>
      <c r="E282" s="945"/>
      <c r="F282" s="945"/>
      <c r="G282" s="945"/>
      <c r="H282" s="945"/>
      <c r="I282" s="945"/>
      <c r="J282" s="945"/>
      <c r="K282" s="945"/>
      <c r="L282" s="945"/>
      <c r="M282" s="945"/>
      <c r="N282" s="899"/>
      <c r="O282" s="899"/>
      <c r="P282" s="899"/>
      <c r="Q282" s="899"/>
      <c r="R282" s="899"/>
      <c r="S282" s="899"/>
      <c r="T282" s="899"/>
      <c r="U282" s="899"/>
      <c r="V282" s="899"/>
      <c r="W282" s="899"/>
      <c r="X282" s="899"/>
      <c r="Y282" s="899"/>
      <c r="Z282" s="899"/>
      <c r="AA282" s="899"/>
      <c r="AB282" s="899"/>
      <c r="AC282" s="899"/>
      <c r="AD282" s="899"/>
      <c r="AE282" s="899"/>
    </row>
    <row r="283">
      <c r="A283" s="944"/>
      <c r="B283" s="945"/>
      <c r="C283" s="945"/>
      <c r="D283" s="945"/>
      <c r="E283" s="945"/>
      <c r="F283" s="945"/>
      <c r="G283" s="945"/>
      <c r="H283" s="945"/>
      <c r="I283" s="945"/>
      <c r="J283" s="945"/>
      <c r="K283" s="945"/>
      <c r="L283" s="945"/>
      <c r="M283" s="945"/>
      <c r="N283" s="899"/>
      <c r="O283" s="899"/>
      <c r="P283" s="899"/>
      <c r="Q283" s="899"/>
      <c r="R283" s="899"/>
      <c r="S283" s="899"/>
      <c r="T283" s="899"/>
      <c r="U283" s="899"/>
      <c r="V283" s="899"/>
      <c r="W283" s="899"/>
      <c r="X283" s="899"/>
      <c r="Y283" s="899"/>
      <c r="Z283" s="899"/>
      <c r="AA283" s="899"/>
      <c r="AB283" s="899"/>
      <c r="AC283" s="899"/>
      <c r="AD283" s="899"/>
      <c r="AE283" s="899"/>
    </row>
    <row r="284">
      <c r="A284" s="944"/>
      <c r="B284" s="945"/>
      <c r="C284" s="945"/>
      <c r="D284" s="945"/>
      <c r="E284" s="945"/>
      <c r="F284" s="945"/>
      <c r="G284" s="945"/>
      <c r="H284" s="945"/>
      <c r="I284" s="945"/>
      <c r="J284" s="945"/>
      <c r="K284" s="945"/>
      <c r="L284" s="945"/>
      <c r="M284" s="945"/>
      <c r="N284" s="899"/>
      <c r="O284" s="899"/>
      <c r="P284" s="899"/>
      <c r="Q284" s="899"/>
      <c r="R284" s="899"/>
      <c r="S284" s="899"/>
      <c r="T284" s="899"/>
      <c r="U284" s="899"/>
      <c r="V284" s="899"/>
      <c r="W284" s="899"/>
      <c r="X284" s="899"/>
      <c r="Y284" s="899"/>
      <c r="Z284" s="899"/>
      <c r="AA284" s="899"/>
      <c r="AB284" s="899"/>
      <c r="AC284" s="899"/>
      <c r="AD284" s="899"/>
      <c r="AE284" s="899"/>
    </row>
    <row r="285">
      <c r="A285" s="944"/>
      <c r="B285" s="945"/>
      <c r="C285" s="945"/>
      <c r="D285" s="945"/>
      <c r="E285" s="945"/>
      <c r="F285" s="945"/>
      <c r="G285" s="945"/>
      <c r="H285" s="945"/>
      <c r="I285" s="945"/>
      <c r="J285" s="945"/>
      <c r="K285" s="945"/>
      <c r="L285" s="945"/>
      <c r="M285" s="945"/>
      <c r="N285" s="899"/>
      <c r="O285" s="899"/>
      <c r="P285" s="899"/>
      <c r="Q285" s="899"/>
      <c r="R285" s="899"/>
      <c r="S285" s="899"/>
      <c r="T285" s="899"/>
      <c r="U285" s="899"/>
      <c r="V285" s="899"/>
      <c r="W285" s="899"/>
      <c r="X285" s="899"/>
      <c r="Y285" s="899"/>
      <c r="Z285" s="899"/>
      <c r="AA285" s="899"/>
      <c r="AB285" s="899"/>
      <c r="AC285" s="899"/>
      <c r="AD285" s="899"/>
      <c r="AE285" s="899"/>
    </row>
    <row r="286">
      <c r="A286" s="944"/>
      <c r="B286" s="945"/>
      <c r="C286" s="945"/>
      <c r="D286" s="945"/>
      <c r="E286" s="945"/>
      <c r="F286" s="945"/>
      <c r="G286" s="945"/>
      <c r="H286" s="945"/>
      <c r="I286" s="945"/>
      <c r="J286" s="945"/>
      <c r="K286" s="945"/>
      <c r="L286" s="945"/>
      <c r="M286" s="945"/>
      <c r="N286" s="899"/>
      <c r="O286" s="899"/>
      <c r="P286" s="899"/>
      <c r="Q286" s="899"/>
      <c r="R286" s="899"/>
      <c r="S286" s="899"/>
      <c r="T286" s="899"/>
      <c r="U286" s="899"/>
      <c r="V286" s="899"/>
      <c r="W286" s="899"/>
      <c r="X286" s="899"/>
      <c r="Y286" s="899"/>
      <c r="Z286" s="899"/>
      <c r="AA286" s="899"/>
      <c r="AB286" s="899"/>
      <c r="AC286" s="899"/>
      <c r="AD286" s="899"/>
      <c r="AE286" s="899"/>
    </row>
    <row r="287">
      <c r="A287" s="944"/>
      <c r="B287" s="945"/>
      <c r="C287" s="945"/>
      <c r="D287" s="945"/>
      <c r="E287" s="945"/>
      <c r="F287" s="945"/>
      <c r="G287" s="945"/>
      <c r="H287" s="945"/>
      <c r="I287" s="945"/>
      <c r="J287" s="945"/>
      <c r="K287" s="945"/>
      <c r="L287" s="945"/>
      <c r="M287" s="945"/>
      <c r="N287" s="899"/>
      <c r="O287" s="899"/>
      <c r="P287" s="899"/>
      <c r="Q287" s="899"/>
      <c r="R287" s="899"/>
      <c r="S287" s="899"/>
      <c r="T287" s="899"/>
      <c r="U287" s="899"/>
      <c r="V287" s="899"/>
      <c r="W287" s="899"/>
      <c r="X287" s="899"/>
      <c r="Y287" s="899"/>
      <c r="Z287" s="899"/>
      <c r="AA287" s="899"/>
      <c r="AB287" s="899"/>
      <c r="AC287" s="899"/>
      <c r="AD287" s="899"/>
      <c r="AE287" s="899"/>
    </row>
    <row r="288">
      <c r="A288" s="944"/>
      <c r="B288" s="945"/>
      <c r="C288" s="945"/>
      <c r="D288" s="945"/>
      <c r="E288" s="945"/>
      <c r="F288" s="945"/>
      <c r="G288" s="945"/>
      <c r="H288" s="945"/>
      <c r="I288" s="945"/>
      <c r="J288" s="945"/>
      <c r="K288" s="945"/>
      <c r="L288" s="945"/>
      <c r="M288" s="945"/>
      <c r="N288" s="899"/>
      <c r="O288" s="899"/>
      <c r="P288" s="899"/>
      <c r="Q288" s="899"/>
      <c r="R288" s="899"/>
      <c r="S288" s="899"/>
      <c r="T288" s="899"/>
      <c r="U288" s="899"/>
      <c r="V288" s="899"/>
      <c r="W288" s="899"/>
      <c r="X288" s="899"/>
      <c r="Y288" s="899"/>
      <c r="Z288" s="899"/>
      <c r="AA288" s="899"/>
      <c r="AB288" s="899"/>
      <c r="AC288" s="899"/>
      <c r="AD288" s="899"/>
      <c r="AE288" s="899"/>
    </row>
    <row r="289">
      <c r="A289" s="944"/>
      <c r="B289" s="945"/>
      <c r="C289" s="945"/>
      <c r="D289" s="945"/>
      <c r="E289" s="945"/>
      <c r="F289" s="945"/>
      <c r="G289" s="945"/>
      <c r="H289" s="945"/>
      <c r="I289" s="945"/>
      <c r="J289" s="945"/>
      <c r="K289" s="945"/>
      <c r="L289" s="945"/>
      <c r="M289" s="945"/>
      <c r="N289" s="899"/>
      <c r="O289" s="899"/>
      <c r="P289" s="899"/>
      <c r="Q289" s="899"/>
      <c r="R289" s="899"/>
      <c r="S289" s="899"/>
      <c r="T289" s="899"/>
      <c r="U289" s="899"/>
      <c r="V289" s="899"/>
      <c r="W289" s="899"/>
      <c r="X289" s="899"/>
      <c r="Y289" s="899"/>
      <c r="Z289" s="899"/>
      <c r="AA289" s="899"/>
      <c r="AB289" s="899"/>
      <c r="AC289" s="899"/>
      <c r="AD289" s="899"/>
      <c r="AE289" s="899"/>
    </row>
    <row r="290">
      <c r="A290" s="944"/>
      <c r="B290" s="945"/>
      <c r="C290" s="945"/>
      <c r="D290" s="945"/>
      <c r="E290" s="945"/>
      <c r="F290" s="945"/>
      <c r="G290" s="945"/>
      <c r="H290" s="945"/>
      <c r="I290" s="945"/>
      <c r="J290" s="945"/>
      <c r="K290" s="945"/>
      <c r="L290" s="945"/>
      <c r="M290" s="945"/>
      <c r="N290" s="899"/>
      <c r="O290" s="899"/>
      <c r="P290" s="899"/>
      <c r="Q290" s="899"/>
      <c r="R290" s="899"/>
      <c r="S290" s="899"/>
      <c r="T290" s="899"/>
      <c r="U290" s="899"/>
      <c r="V290" s="899"/>
      <c r="W290" s="899"/>
      <c r="X290" s="899"/>
      <c r="Y290" s="899"/>
      <c r="Z290" s="899"/>
      <c r="AA290" s="899"/>
      <c r="AB290" s="899"/>
      <c r="AC290" s="899"/>
      <c r="AD290" s="899"/>
      <c r="AE290" s="899"/>
    </row>
    <row r="291">
      <c r="A291" s="944"/>
      <c r="B291" s="945"/>
      <c r="C291" s="945"/>
      <c r="D291" s="945"/>
      <c r="E291" s="945"/>
      <c r="F291" s="945"/>
      <c r="G291" s="945"/>
      <c r="H291" s="945"/>
      <c r="I291" s="945"/>
      <c r="J291" s="945"/>
      <c r="K291" s="945"/>
      <c r="L291" s="945"/>
      <c r="M291" s="945"/>
      <c r="N291" s="899"/>
      <c r="O291" s="899"/>
      <c r="P291" s="899"/>
      <c r="Q291" s="899"/>
      <c r="R291" s="899"/>
      <c r="S291" s="899"/>
      <c r="T291" s="899"/>
      <c r="U291" s="899"/>
      <c r="V291" s="899"/>
      <c r="W291" s="899"/>
      <c r="X291" s="899"/>
      <c r="Y291" s="899"/>
      <c r="Z291" s="899"/>
      <c r="AA291" s="899"/>
      <c r="AB291" s="899"/>
      <c r="AC291" s="899"/>
      <c r="AD291" s="899"/>
      <c r="AE291" s="899"/>
    </row>
    <row r="292">
      <c r="A292" s="944"/>
      <c r="B292" s="945"/>
      <c r="C292" s="945"/>
      <c r="D292" s="945"/>
      <c r="E292" s="945"/>
      <c r="F292" s="945"/>
      <c r="G292" s="945"/>
      <c r="H292" s="945"/>
      <c r="I292" s="945"/>
      <c r="J292" s="945"/>
      <c r="K292" s="945"/>
      <c r="L292" s="945"/>
      <c r="M292" s="945"/>
      <c r="N292" s="899"/>
      <c r="O292" s="899"/>
      <c r="P292" s="899"/>
      <c r="Q292" s="899"/>
      <c r="R292" s="899"/>
      <c r="S292" s="899"/>
      <c r="T292" s="899"/>
      <c r="U292" s="899"/>
      <c r="V292" s="899"/>
      <c r="W292" s="899"/>
      <c r="X292" s="899"/>
      <c r="Y292" s="899"/>
      <c r="Z292" s="899"/>
      <c r="AA292" s="899"/>
      <c r="AB292" s="899"/>
      <c r="AC292" s="899"/>
      <c r="AD292" s="899"/>
      <c r="AE292" s="899"/>
    </row>
    <row r="293">
      <c r="A293" s="944"/>
      <c r="B293" s="945"/>
      <c r="C293" s="945"/>
      <c r="D293" s="945"/>
      <c r="E293" s="945"/>
      <c r="F293" s="945"/>
      <c r="G293" s="945"/>
      <c r="H293" s="945"/>
      <c r="I293" s="945"/>
      <c r="J293" s="945"/>
      <c r="K293" s="945"/>
      <c r="L293" s="945"/>
      <c r="M293" s="945"/>
      <c r="N293" s="899"/>
      <c r="O293" s="899"/>
      <c r="P293" s="899"/>
      <c r="Q293" s="899"/>
      <c r="R293" s="899"/>
      <c r="S293" s="899"/>
      <c r="T293" s="899"/>
      <c r="U293" s="899"/>
      <c r="V293" s="899"/>
      <c r="W293" s="899"/>
      <c r="X293" s="899"/>
      <c r="Y293" s="899"/>
      <c r="Z293" s="899"/>
      <c r="AA293" s="899"/>
      <c r="AB293" s="899"/>
      <c r="AC293" s="899"/>
      <c r="AD293" s="899"/>
      <c r="AE293" s="899"/>
    </row>
    <row r="294">
      <c r="A294" s="944"/>
      <c r="B294" s="945"/>
      <c r="C294" s="945"/>
      <c r="D294" s="945"/>
      <c r="E294" s="945"/>
      <c r="F294" s="945"/>
      <c r="G294" s="945"/>
      <c r="H294" s="945"/>
      <c r="I294" s="945"/>
      <c r="J294" s="945"/>
      <c r="K294" s="945"/>
      <c r="L294" s="945"/>
      <c r="M294" s="945"/>
      <c r="N294" s="899"/>
      <c r="O294" s="899"/>
      <c r="P294" s="899"/>
      <c r="Q294" s="899"/>
      <c r="R294" s="899"/>
      <c r="S294" s="899"/>
      <c r="T294" s="899"/>
      <c r="U294" s="899"/>
      <c r="V294" s="899"/>
      <c r="W294" s="899"/>
      <c r="X294" s="899"/>
      <c r="Y294" s="899"/>
      <c r="Z294" s="899"/>
      <c r="AA294" s="899"/>
      <c r="AB294" s="899"/>
      <c r="AC294" s="899"/>
      <c r="AD294" s="899"/>
      <c r="AE294" s="899"/>
    </row>
    <row r="295">
      <c r="A295" s="944"/>
      <c r="B295" s="945"/>
      <c r="C295" s="945"/>
      <c r="D295" s="945"/>
      <c r="E295" s="945"/>
      <c r="F295" s="945"/>
      <c r="G295" s="945"/>
      <c r="H295" s="945"/>
      <c r="I295" s="945"/>
      <c r="J295" s="945"/>
      <c r="K295" s="945"/>
      <c r="L295" s="945"/>
      <c r="M295" s="945"/>
      <c r="N295" s="899"/>
      <c r="O295" s="899"/>
      <c r="P295" s="899"/>
      <c r="Q295" s="899"/>
      <c r="R295" s="899"/>
      <c r="S295" s="899"/>
      <c r="T295" s="899"/>
      <c r="U295" s="899"/>
      <c r="V295" s="899"/>
      <c r="W295" s="899"/>
      <c r="X295" s="899"/>
      <c r="Y295" s="899"/>
      <c r="Z295" s="899"/>
      <c r="AA295" s="899"/>
      <c r="AB295" s="899"/>
      <c r="AC295" s="899"/>
      <c r="AD295" s="899"/>
      <c r="AE295" s="899"/>
    </row>
    <row r="296">
      <c r="A296" s="944"/>
      <c r="B296" s="945"/>
      <c r="C296" s="945"/>
      <c r="D296" s="945"/>
      <c r="E296" s="945"/>
      <c r="F296" s="945"/>
      <c r="G296" s="945"/>
      <c r="H296" s="945"/>
      <c r="I296" s="945"/>
      <c r="J296" s="945"/>
      <c r="K296" s="945"/>
      <c r="L296" s="945"/>
      <c r="M296" s="945"/>
      <c r="N296" s="899"/>
      <c r="O296" s="899"/>
      <c r="P296" s="899"/>
      <c r="Q296" s="899"/>
      <c r="R296" s="899"/>
      <c r="S296" s="899"/>
      <c r="T296" s="899"/>
      <c r="U296" s="899"/>
      <c r="V296" s="899"/>
      <c r="W296" s="899"/>
      <c r="X296" s="899"/>
      <c r="Y296" s="899"/>
      <c r="Z296" s="899"/>
      <c r="AA296" s="899"/>
      <c r="AB296" s="899"/>
      <c r="AC296" s="899"/>
      <c r="AD296" s="899"/>
      <c r="AE296" s="899"/>
    </row>
    <row r="297">
      <c r="A297" s="944"/>
      <c r="B297" s="945"/>
      <c r="C297" s="945"/>
      <c r="D297" s="945"/>
      <c r="E297" s="945"/>
      <c r="F297" s="945"/>
      <c r="G297" s="945"/>
      <c r="H297" s="945"/>
      <c r="I297" s="945"/>
      <c r="J297" s="945"/>
      <c r="K297" s="945"/>
      <c r="L297" s="945"/>
      <c r="M297" s="945"/>
      <c r="N297" s="899"/>
      <c r="O297" s="899"/>
      <c r="P297" s="899"/>
      <c r="Q297" s="899"/>
      <c r="R297" s="899"/>
      <c r="S297" s="899"/>
      <c r="T297" s="899"/>
      <c r="U297" s="899"/>
      <c r="V297" s="899"/>
      <c r="W297" s="899"/>
      <c r="X297" s="899"/>
      <c r="Y297" s="899"/>
      <c r="Z297" s="899"/>
      <c r="AA297" s="899"/>
      <c r="AB297" s="899"/>
      <c r="AC297" s="899"/>
      <c r="AD297" s="899"/>
      <c r="AE297" s="899"/>
    </row>
    <row r="298">
      <c r="A298" s="944"/>
      <c r="B298" s="945"/>
      <c r="C298" s="945"/>
      <c r="D298" s="945"/>
      <c r="E298" s="945"/>
      <c r="F298" s="945"/>
      <c r="G298" s="945"/>
      <c r="H298" s="945"/>
      <c r="I298" s="945"/>
      <c r="J298" s="945"/>
      <c r="K298" s="945"/>
      <c r="L298" s="945"/>
      <c r="M298" s="945"/>
      <c r="N298" s="899"/>
      <c r="O298" s="899"/>
      <c r="P298" s="899"/>
      <c r="Q298" s="899"/>
      <c r="R298" s="899"/>
      <c r="S298" s="899"/>
      <c r="T298" s="899"/>
      <c r="U298" s="899"/>
      <c r="V298" s="899"/>
      <c r="W298" s="899"/>
      <c r="X298" s="899"/>
      <c r="Y298" s="899"/>
      <c r="Z298" s="899"/>
      <c r="AA298" s="899"/>
      <c r="AB298" s="899"/>
      <c r="AC298" s="899"/>
      <c r="AD298" s="899"/>
      <c r="AE298" s="899"/>
    </row>
    <row r="299">
      <c r="A299" s="944"/>
      <c r="B299" s="945"/>
      <c r="C299" s="945"/>
      <c r="D299" s="945"/>
      <c r="E299" s="945"/>
      <c r="F299" s="945"/>
      <c r="G299" s="945"/>
      <c r="H299" s="945"/>
      <c r="I299" s="945"/>
      <c r="J299" s="945"/>
      <c r="K299" s="945"/>
      <c r="L299" s="945"/>
      <c r="M299" s="945"/>
      <c r="N299" s="899"/>
      <c r="O299" s="899"/>
      <c r="P299" s="899"/>
      <c r="Q299" s="899"/>
      <c r="R299" s="899"/>
      <c r="S299" s="899"/>
      <c r="T299" s="899"/>
      <c r="U299" s="899"/>
      <c r="V299" s="899"/>
      <c r="W299" s="899"/>
      <c r="X299" s="899"/>
      <c r="Y299" s="899"/>
      <c r="Z299" s="899"/>
      <c r="AA299" s="899"/>
      <c r="AB299" s="899"/>
      <c r="AC299" s="899"/>
      <c r="AD299" s="899"/>
      <c r="AE299" s="899"/>
    </row>
    <row r="300">
      <c r="A300" s="944"/>
      <c r="B300" s="945"/>
      <c r="C300" s="945"/>
      <c r="D300" s="945"/>
      <c r="E300" s="945"/>
      <c r="F300" s="945"/>
      <c r="G300" s="945"/>
      <c r="H300" s="945"/>
      <c r="I300" s="945"/>
      <c r="J300" s="945"/>
      <c r="K300" s="945"/>
      <c r="L300" s="945"/>
      <c r="M300" s="945"/>
      <c r="N300" s="899"/>
      <c r="O300" s="899"/>
      <c r="P300" s="899"/>
      <c r="Q300" s="899"/>
      <c r="R300" s="899"/>
      <c r="S300" s="899"/>
      <c r="T300" s="899"/>
      <c r="U300" s="899"/>
      <c r="V300" s="899"/>
      <c r="W300" s="899"/>
      <c r="X300" s="899"/>
      <c r="Y300" s="899"/>
      <c r="Z300" s="899"/>
      <c r="AA300" s="899"/>
      <c r="AB300" s="899"/>
      <c r="AC300" s="899"/>
      <c r="AD300" s="899"/>
      <c r="AE300" s="899"/>
    </row>
    <row r="301">
      <c r="A301" s="944"/>
      <c r="B301" s="945"/>
      <c r="C301" s="945"/>
      <c r="D301" s="945"/>
      <c r="E301" s="945"/>
      <c r="F301" s="945"/>
      <c r="G301" s="945"/>
      <c r="H301" s="945"/>
      <c r="I301" s="945"/>
      <c r="J301" s="945"/>
      <c r="K301" s="945"/>
      <c r="L301" s="945"/>
      <c r="M301" s="945"/>
      <c r="N301" s="899"/>
      <c r="O301" s="899"/>
      <c r="P301" s="899"/>
      <c r="Q301" s="899"/>
      <c r="R301" s="899"/>
      <c r="S301" s="899"/>
      <c r="T301" s="899"/>
      <c r="U301" s="899"/>
      <c r="V301" s="899"/>
      <c r="W301" s="899"/>
      <c r="X301" s="899"/>
      <c r="Y301" s="899"/>
      <c r="Z301" s="899"/>
      <c r="AA301" s="899"/>
      <c r="AB301" s="899"/>
      <c r="AC301" s="899"/>
      <c r="AD301" s="899"/>
      <c r="AE301" s="899"/>
    </row>
    <row r="302">
      <c r="A302" s="944"/>
      <c r="B302" s="945"/>
      <c r="C302" s="945"/>
      <c r="D302" s="945"/>
      <c r="E302" s="945"/>
      <c r="F302" s="945"/>
      <c r="G302" s="945"/>
      <c r="H302" s="945"/>
      <c r="I302" s="945"/>
      <c r="J302" s="945"/>
      <c r="K302" s="945"/>
      <c r="L302" s="945"/>
      <c r="M302" s="945"/>
      <c r="N302" s="899"/>
      <c r="O302" s="899"/>
      <c r="P302" s="899"/>
      <c r="Q302" s="899"/>
      <c r="R302" s="899"/>
      <c r="S302" s="899"/>
      <c r="T302" s="899"/>
      <c r="U302" s="899"/>
      <c r="V302" s="899"/>
      <c r="W302" s="899"/>
      <c r="X302" s="899"/>
      <c r="Y302" s="899"/>
      <c r="Z302" s="899"/>
      <c r="AA302" s="899"/>
      <c r="AB302" s="899"/>
      <c r="AC302" s="899"/>
      <c r="AD302" s="899"/>
      <c r="AE302" s="899"/>
    </row>
    <row r="303">
      <c r="A303" s="944"/>
      <c r="B303" s="945"/>
      <c r="C303" s="945"/>
      <c r="D303" s="945"/>
      <c r="E303" s="945"/>
      <c r="F303" s="945"/>
      <c r="G303" s="945"/>
      <c r="H303" s="945"/>
      <c r="I303" s="945"/>
      <c r="J303" s="945"/>
      <c r="K303" s="945"/>
      <c r="L303" s="945"/>
      <c r="M303" s="945"/>
      <c r="N303" s="899"/>
      <c r="O303" s="899"/>
      <c r="P303" s="899"/>
      <c r="Q303" s="899"/>
      <c r="R303" s="899"/>
      <c r="S303" s="899"/>
      <c r="T303" s="899"/>
      <c r="U303" s="899"/>
      <c r="V303" s="899"/>
      <c r="W303" s="899"/>
      <c r="X303" s="899"/>
      <c r="Y303" s="899"/>
      <c r="Z303" s="899"/>
      <c r="AA303" s="899"/>
      <c r="AB303" s="899"/>
      <c r="AC303" s="899"/>
      <c r="AD303" s="899"/>
      <c r="AE303" s="899"/>
    </row>
    <row r="304">
      <c r="A304" s="944"/>
      <c r="B304" s="945"/>
      <c r="C304" s="945"/>
      <c r="D304" s="945"/>
      <c r="E304" s="945"/>
      <c r="F304" s="945"/>
      <c r="G304" s="945"/>
      <c r="H304" s="945"/>
      <c r="I304" s="945"/>
      <c r="J304" s="945"/>
      <c r="K304" s="945"/>
      <c r="L304" s="945"/>
      <c r="M304" s="945"/>
      <c r="N304" s="899"/>
      <c r="O304" s="899"/>
      <c r="P304" s="899"/>
      <c r="Q304" s="899"/>
      <c r="R304" s="899"/>
      <c r="S304" s="899"/>
      <c r="T304" s="899"/>
      <c r="U304" s="899"/>
      <c r="V304" s="899"/>
      <c r="W304" s="899"/>
      <c r="X304" s="899"/>
      <c r="Y304" s="899"/>
      <c r="Z304" s="899"/>
      <c r="AA304" s="899"/>
      <c r="AB304" s="899"/>
      <c r="AC304" s="899"/>
      <c r="AD304" s="899"/>
      <c r="AE304" s="899"/>
    </row>
    <row r="305">
      <c r="A305" s="944"/>
      <c r="B305" s="945"/>
      <c r="C305" s="945"/>
      <c r="D305" s="945"/>
      <c r="E305" s="945"/>
      <c r="F305" s="945"/>
      <c r="G305" s="945"/>
      <c r="H305" s="945"/>
      <c r="I305" s="945"/>
      <c r="J305" s="945"/>
      <c r="K305" s="945"/>
      <c r="L305" s="945"/>
      <c r="M305" s="945"/>
      <c r="N305" s="899"/>
      <c r="O305" s="899"/>
      <c r="P305" s="899"/>
      <c r="Q305" s="899"/>
      <c r="R305" s="899"/>
      <c r="S305" s="899"/>
      <c r="T305" s="899"/>
      <c r="U305" s="899"/>
      <c r="V305" s="899"/>
      <c r="W305" s="899"/>
      <c r="X305" s="899"/>
      <c r="Y305" s="899"/>
      <c r="Z305" s="899"/>
      <c r="AA305" s="899"/>
      <c r="AB305" s="899"/>
      <c r="AC305" s="899"/>
      <c r="AD305" s="899"/>
      <c r="AE305" s="899"/>
    </row>
    <row r="306">
      <c r="A306" s="944"/>
      <c r="B306" s="945"/>
      <c r="C306" s="945"/>
      <c r="D306" s="945"/>
      <c r="E306" s="945"/>
      <c r="F306" s="945"/>
      <c r="G306" s="945"/>
      <c r="H306" s="945"/>
      <c r="I306" s="945"/>
      <c r="J306" s="945"/>
      <c r="K306" s="945"/>
      <c r="L306" s="945"/>
      <c r="M306" s="945"/>
      <c r="N306" s="899"/>
      <c r="O306" s="899"/>
      <c r="P306" s="899"/>
      <c r="Q306" s="899"/>
      <c r="R306" s="899"/>
      <c r="S306" s="899"/>
      <c r="T306" s="899"/>
      <c r="U306" s="899"/>
      <c r="V306" s="899"/>
      <c r="W306" s="899"/>
      <c r="X306" s="899"/>
      <c r="Y306" s="899"/>
      <c r="Z306" s="899"/>
      <c r="AA306" s="899"/>
      <c r="AB306" s="899"/>
      <c r="AC306" s="899"/>
      <c r="AD306" s="899"/>
      <c r="AE306" s="899"/>
    </row>
    <row r="307">
      <c r="A307" s="944"/>
      <c r="B307" s="945"/>
      <c r="C307" s="945"/>
      <c r="D307" s="945"/>
      <c r="E307" s="945"/>
      <c r="F307" s="945"/>
      <c r="G307" s="945"/>
      <c r="H307" s="945"/>
      <c r="I307" s="945"/>
      <c r="J307" s="945"/>
      <c r="K307" s="945"/>
      <c r="L307" s="945"/>
      <c r="M307" s="945"/>
      <c r="N307" s="899"/>
      <c r="O307" s="899"/>
      <c r="P307" s="899"/>
      <c r="Q307" s="899"/>
      <c r="R307" s="899"/>
      <c r="S307" s="899"/>
      <c r="T307" s="899"/>
      <c r="U307" s="899"/>
      <c r="V307" s="899"/>
      <c r="W307" s="899"/>
      <c r="X307" s="899"/>
      <c r="Y307" s="899"/>
      <c r="Z307" s="899"/>
      <c r="AA307" s="899"/>
      <c r="AB307" s="899"/>
      <c r="AC307" s="899"/>
      <c r="AD307" s="899"/>
      <c r="AE307" s="899"/>
    </row>
    <row r="308">
      <c r="A308" s="944"/>
      <c r="B308" s="945"/>
      <c r="C308" s="945"/>
      <c r="D308" s="945"/>
      <c r="E308" s="945"/>
      <c r="F308" s="945"/>
      <c r="G308" s="945"/>
      <c r="H308" s="945"/>
      <c r="I308" s="945"/>
      <c r="J308" s="945"/>
      <c r="K308" s="945"/>
      <c r="L308" s="945"/>
      <c r="M308" s="945"/>
      <c r="N308" s="899"/>
      <c r="O308" s="899"/>
      <c r="P308" s="899"/>
      <c r="Q308" s="899"/>
      <c r="R308" s="899"/>
      <c r="S308" s="899"/>
      <c r="T308" s="899"/>
      <c r="U308" s="899"/>
      <c r="V308" s="899"/>
      <c r="W308" s="899"/>
      <c r="X308" s="899"/>
      <c r="Y308" s="899"/>
      <c r="Z308" s="899"/>
      <c r="AA308" s="899"/>
      <c r="AB308" s="899"/>
      <c r="AC308" s="899"/>
      <c r="AD308" s="899"/>
      <c r="AE308" s="899"/>
    </row>
    <row r="309">
      <c r="A309" s="944"/>
      <c r="B309" s="945"/>
      <c r="C309" s="945"/>
      <c r="D309" s="945"/>
      <c r="E309" s="945"/>
      <c r="F309" s="945"/>
      <c r="G309" s="945"/>
      <c r="H309" s="945"/>
      <c r="I309" s="945"/>
      <c r="J309" s="945"/>
      <c r="K309" s="945"/>
      <c r="L309" s="945"/>
      <c r="M309" s="945"/>
      <c r="N309" s="899"/>
      <c r="O309" s="899"/>
      <c r="P309" s="899"/>
      <c r="Q309" s="899"/>
      <c r="R309" s="899"/>
      <c r="S309" s="899"/>
      <c r="T309" s="899"/>
      <c r="U309" s="899"/>
      <c r="V309" s="899"/>
      <c r="W309" s="899"/>
      <c r="X309" s="899"/>
      <c r="Y309" s="899"/>
      <c r="Z309" s="899"/>
      <c r="AA309" s="899"/>
      <c r="AB309" s="899"/>
      <c r="AC309" s="899"/>
      <c r="AD309" s="899"/>
      <c r="AE309" s="899"/>
    </row>
    <row r="310">
      <c r="A310" s="944"/>
      <c r="B310" s="945"/>
      <c r="C310" s="945"/>
      <c r="D310" s="945"/>
      <c r="E310" s="945"/>
      <c r="F310" s="945"/>
      <c r="G310" s="945"/>
      <c r="H310" s="945"/>
      <c r="I310" s="945"/>
      <c r="J310" s="945"/>
      <c r="K310" s="945"/>
      <c r="L310" s="945"/>
      <c r="M310" s="945"/>
      <c r="N310" s="899"/>
      <c r="O310" s="899"/>
      <c r="P310" s="899"/>
      <c r="Q310" s="899"/>
      <c r="R310" s="899"/>
      <c r="S310" s="899"/>
      <c r="T310" s="899"/>
      <c r="U310" s="899"/>
      <c r="V310" s="899"/>
      <c r="W310" s="899"/>
      <c r="X310" s="899"/>
      <c r="Y310" s="899"/>
      <c r="Z310" s="899"/>
      <c r="AA310" s="899"/>
      <c r="AB310" s="899"/>
      <c r="AC310" s="899"/>
      <c r="AD310" s="899"/>
      <c r="AE310" s="899"/>
    </row>
    <row r="311">
      <c r="A311" s="944"/>
      <c r="B311" s="945"/>
      <c r="C311" s="945"/>
      <c r="D311" s="945"/>
      <c r="E311" s="945"/>
      <c r="F311" s="945"/>
      <c r="G311" s="945"/>
      <c r="H311" s="945"/>
      <c r="I311" s="945"/>
      <c r="J311" s="945"/>
      <c r="K311" s="945"/>
      <c r="L311" s="945"/>
      <c r="M311" s="945"/>
      <c r="N311" s="899"/>
      <c r="O311" s="899"/>
      <c r="P311" s="899"/>
      <c r="Q311" s="899"/>
      <c r="R311" s="899"/>
      <c r="S311" s="899"/>
      <c r="T311" s="899"/>
      <c r="U311" s="899"/>
      <c r="V311" s="899"/>
      <c r="W311" s="899"/>
      <c r="X311" s="899"/>
      <c r="Y311" s="899"/>
      <c r="Z311" s="899"/>
      <c r="AA311" s="899"/>
      <c r="AB311" s="899"/>
      <c r="AC311" s="899"/>
      <c r="AD311" s="899"/>
      <c r="AE311" s="899"/>
    </row>
    <row r="312">
      <c r="A312" s="944"/>
      <c r="B312" s="945"/>
      <c r="C312" s="945"/>
      <c r="D312" s="945"/>
      <c r="E312" s="945"/>
      <c r="F312" s="945"/>
      <c r="G312" s="945"/>
      <c r="H312" s="945"/>
      <c r="I312" s="945"/>
      <c r="J312" s="945"/>
      <c r="K312" s="945"/>
      <c r="L312" s="945"/>
      <c r="M312" s="945"/>
      <c r="N312" s="899"/>
      <c r="O312" s="899"/>
      <c r="P312" s="899"/>
      <c r="Q312" s="899"/>
      <c r="R312" s="899"/>
      <c r="S312" s="899"/>
      <c r="T312" s="899"/>
      <c r="U312" s="899"/>
      <c r="V312" s="899"/>
      <c r="W312" s="899"/>
      <c r="X312" s="899"/>
      <c r="Y312" s="899"/>
      <c r="Z312" s="899"/>
      <c r="AA312" s="899"/>
      <c r="AB312" s="899"/>
      <c r="AC312" s="899"/>
      <c r="AD312" s="899"/>
      <c r="AE312" s="899"/>
    </row>
    <row r="313">
      <c r="A313" s="944"/>
      <c r="B313" s="945"/>
      <c r="C313" s="945"/>
      <c r="D313" s="945"/>
      <c r="E313" s="945"/>
      <c r="F313" s="945"/>
      <c r="G313" s="945"/>
      <c r="H313" s="945"/>
      <c r="I313" s="945"/>
      <c r="J313" s="945"/>
      <c r="K313" s="945"/>
      <c r="L313" s="945"/>
      <c r="M313" s="945"/>
      <c r="N313" s="899"/>
      <c r="O313" s="899"/>
      <c r="P313" s="899"/>
      <c r="Q313" s="899"/>
      <c r="R313" s="899"/>
      <c r="S313" s="899"/>
      <c r="T313" s="899"/>
      <c r="U313" s="899"/>
      <c r="V313" s="899"/>
      <c r="W313" s="899"/>
      <c r="X313" s="899"/>
      <c r="Y313" s="899"/>
      <c r="Z313" s="899"/>
      <c r="AA313" s="899"/>
      <c r="AB313" s="899"/>
      <c r="AC313" s="899"/>
      <c r="AD313" s="899"/>
      <c r="AE313" s="899"/>
    </row>
    <row r="314">
      <c r="A314" s="944"/>
      <c r="B314" s="945"/>
      <c r="C314" s="945"/>
      <c r="D314" s="945"/>
      <c r="E314" s="945"/>
      <c r="F314" s="945"/>
      <c r="G314" s="945"/>
      <c r="H314" s="945"/>
      <c r="I314" s="945"/>
      <c r="J314" s="945"/>
      <c r="K314" s="945"/>
      <c r="L314" s="945"/>
      <c r="M314" s="945"/>
      <c r="N314" s="899"/>
      <c r="O314" s="899"/>
      <c r="P314" s="899"/>
      <c r="Q314" s="899"/>
      <c r="R314" s="899"/>
      <c r="S314" s="899"/>
      <c r="T314" s="899"/>
      <c r="U314" s="899"/>
      <c r="V314" s="899"/>
      <c r="W314" s="899"/>
      <c r="X314" s="899"/>
      <c r="Y314" s="899"/>
      <c r="Z314" s="899"/>
      <c r="AA314" s="899"/>
      <c r="AB314" s="899"/>
      <c r="AC314" s="899"/>
      <c r="AD314" s="899"/>
      <c r="AE314" s="899"/>
    </row>
    <row r="315">
      <c r="A315" s="944"/>
      <c r="B315" s="945"/>
      <c r="C315" s="945"/>
      <c r="D315" s="945"/>
      <c r="E315" s="945"/>
      <c r="F315" s="945"/>
      <c r="G315" s="945"/>
      <c r="H315" s="945"/>
      <c r="I315" s="945"/>
      <c r="J315" s="945"/>
      <c r="K315" s="945"/>
      <c r="L315" s="945"/>
      <c r="M315" s="945"/>
      <c r="N315" s="899"/>
      <c r="O315" s="899"/>
      <c r="P315" s="899"/>
      <c r="Q315" s="899"/>
      <c r="R315" s="899"/>
      <c r="S315" s="899"/>
      <c r="T315" s="899"/>
      <c r="U315" s="899"/>
      <c r="V315" s="899"/>
      <c r="W315" s="899"/>
      <c r="X315" s="899"/>
      <c r="Y315" s="899"/>
      <c r="Z315" s="899"/>
      <c r="AA315" s="899"/>
      <c r="AB315" s="899"/>
      <c r="AC315" s="899"/>
      <c r="AD315" s="899"/>
      <c r="AE315" s="899"/>
    </row>
    <row r="316">
      <c r="A316" s="944"/>
      <c r="B316" s="945"/>
      <c r="C316" s="945"/>
      <c r="D316" s="945"/>
      <c r="E316" s="945"/>
      <c r="F316" s="945"/>
      <c r="G316" s="945"/>
      <c r="H316" s="945"/>
      <c r="I316" s="945"/>
      <c r="J316" s="945"/>
      <c r="K316" s="945"/>
      <c r="L316" s="945"/>
      <c r="M316" s="945"/>
      <c r="N316" s="899"/>
      <c r="O316" s="899"/>
      <c r="P316" s="899"/>
      <c r="Q316" s="899"/>
      <c r="R316" s="899"/>
      <c r="S316" s="899"/>
      <c r="T316" s="899"/>
      <c r="U316" s="899"/>
      <c r="V316" s="899"/>
      <c r="W316" s="899"/>
      <c r="X316" s="899"/>
      <c r="Y316" s="899"/>
      <c r="Z316" s="899"/>
      <c r="AA316" s="899"/>
      <c r="AB316" s="899"/>
      <c r="AC316" s="899"/>
      <c r="AD316" s="899"/>
      <c r="AE316" s="899"/>
    </row>
    <row r="317">
      <c r="A317" s="944"/>
      <c r="B317" s="945"/>
      <c r="C317" s="945"/>
      <c r="D317" s="945"/>
      <c r="E317" s="945"/>
      <c r="F317" s="945"/>
      <c r="G317" s="945"/>
      <c r="H317" s="945"/>
      <c r="I317" s="945"/>
      <c r="J317" s="945"/>
      <c r="K317" s="945"/>
      <c r="L317" s="945"/>
      <c r="M317" s="945"/>
      <c r="N317" s="899"/>
      <c r="O317" s="899"/>
      <c r="P317" s="899"/>
      <c r="Q317" s="899"/>
      <c r="R317" s="899"/>
      <c r="S317" s="899"/>
      <c r="T317" s="899"/>
      <c r="U317" s="899"/>
      <c r="V317" s="899"/>
      <c r="W317" s="899"/>
      <c r="X317" s="899"/>
      <c r="Y317" s="899"/>
      <c r="Z317" s="899"/>
      <c r="AA317" s="899"/>
      <c r="AB317" s="899"/>
      <c r="AC317" s="899"/>
      <c r="AD317" s="899"/>
      <c r="AE317" s="899"/>
    </row>
    <row r="318">
      <c r="A318" s="944"/>
      <c r="B318" s="945"/>
      <c r="C318" s="945"/>
      <c r="D318" s="945"/>
      <c r="E318" s="945"/>
      <c r="F318" s="945"/>
      <c r="G318" s="945"/>
      <c r="H318" s="945"/>
      <c r="I318" s="945"/>
      <c r="J318" s="945"/>
      <c r="K318" s="945"/>
      <c r="L318" s="945"/>
      <c r="M318" s="945"/>
      <c r="N318" s="899"/>
      <c r="O318" s="899"/>
      <c r="P318" s="899"/>
      <c r="Q318" s="899"/>
      <c r="R318" s="899"/>
      <c r="S318" s="899"/>
      <c r="T318" s="899"/>
      <c r="U318" s="899"/>
      <c r="V318" s="899"/>
      <c r="W318" s="899"/>
      <c r="X318" s="899"/>
      <c r="Y318" s="899"/>
      <c r="Z318" s="899"/>
      <c r="AA318" s="899"/>
      <c r="AB318" s="899"/>
      <c r="AC318" s="899"/>
      <c r="AD318" s="899"/>
      <c r="AE318" s="899"/>
    </row>
    <row r="319">
      <c r="A319" s="944"/>
      <c r="B319" s="945"/>
      <c r="C319" s="945"/>
      <c r="D319" s="945"/>
      <c r="E319" s="945"/>
      <c r="F319" s="945"/>
      <c r="G319" s="945"/>
      <c r="H319" s="945"/>
      <c r="I319" s="945"/>
      <c r="J319" s="945"/>
      <c r="K319" s="945"/>
      <c r="L319" s="945"/>
      <c r="M319" s="945"/>
      <c r="N319" s="899"/>
      <c r="O319" s="899"/>
      <c r="P319" s="899"/>
      <c r="Q319" s="899"/>
      <c r="R319" s="899"/>
      <c r="S319" s="899"/>
      <c r="T319" s="899"/>
      <c r="U319" s="899"/>
      <c r="V319" s="899"/>
      <c r="W319" s="899"/>
      <c r="X319" s="899"/>
      <c r="Y319" s="899"/>
      <c r="Z319" s="899"/>
      <c r="AA319" s="899"/>
      <c r="AB319" s="899"/>
      <c r="AC319" s="899"/>
      <c r="AD319" s="899"/>
      <c r="AE319" s="899"/>
    </row>
    <row r="320">
      <c r="A320" s="944"/>
      <c r="B320" s="945"/>
      <c r="C320" s="945"/>
      <c r="D320" s="945"/>
      <c r="E320" s="945"/>
      <c r="F320" s="945"/>
      <c r="G320" s="945"/>
      <c r="H320" s="945"/>
      <c r="I320" s="945"/>
      <c r="J320" s="945"/>
      <c r="K320" s="945"/>
      <c r="L320" s="945"/>
      <c r="M320" s="945"/>
      <c r="N320" s="899"/>
      <c r="O320" s="899"/>
      <c r="P320" s="899"/>
      <c r="Q320" s="899"/>
      <c r="R320" s="899"/>
      <c r="S320" s="899"/>
      <c r="T320" s="899"/>
      <c r="U320" s="899"/>
      <c r="V320" s="899"/>
      <c r="W320" s="899"/>
      <c r="X320" s="899"/>
      <c r="Y320" s="899"/>
      <c r="Z320" s="899"/>
      <c r="AA320" s="899"/>
      <c r="AB320" s="899"/>
      <c r="AC320" s="899"/>
      <c r="AD320" s="899"/>
      <c r="AE320" s="899"/>
    </row>
    <row r="321">
      <c r="A321" s="944"/>
      <c r="B321" s="945"/>
      <c r="C321" s="945"/>
      <c r="D321" s="945"/>
      <c r="E321" s="945"/>
      <c r="F321" s="945"/>
      <c r="G321" s="945"/>
      <c r="H321" s="945"/>
      <c r="I321" s="945"/>
      <c r="J321" s="945"/>
      <c r="K321" s="945"/>
      <c r="L321" s="945"/>
      <c r="M321" s="945"/>
      <c r="N321" s="899"/>
      <c r="O321" s="899"/>
      <c r="P321" s="899"/>
      <c r="Q321" s="899"/>
      <c r="R321" s="899"/>
      <c r="S321" s="899"/>
      <c r="T321" s="899"/>
      <c r="U321" s="899"/>
      <c r="V321" s="899"/>
      <c r="W321" s="899"/>
      <c r="X321" s="899"/>
      <c r="Y321" s="899"/>
      <c r="Z321" s="899"/>
      <c r="AA321" s="899"/>
      <c r="AB321" s="899"/>
      <c r="AC321" s="899"/>
      <c r="AD321" s="899"/>
      <c r="AE321" s="899"/>
    </row>
    <row r="322">
      <c r="A322" s="944"/>
      <c r="B322" s="945"/>
      <c r="C322" s="945"/>
      <c r="D322" s="945"/>
      <c r="E322" s="945"/>
      <c r="F322" s="945"/>
      <c r="G322" s="945"/>
      <c r="H322" s="945"/>
      <c r="I322" s="945"/>
      <c r="J322" s="945"/>
      <c r="K322" s="945"/>
      <c r="L322" s="945"/>
      <c r="M322" s="945"/>
      <c r="N322" s="899"/>
      <c r="O322" s="899"/>
      <c r="P322" s="899"/>
      <c r="Q322" s="899"/>
      <c r="R322" s="899"/>
      <c r="S322" s="899"/>
      <c r="T322" s="899"/>
      <c r="U322" s="899"/>
      <c r="V322" s="899"/>
      <c r="W322" s="899"/>
      <c r="X322" s="899"/>
      <c r="Y322" s="899"/>
      <c r="Z322" s="899"/>
      <c r="AA322" s="899"/>
      <c r="AB322" s="899"/>
      <c r="AC322" s="899"/>
      <c r="AD322" s="899"/>
      <c r="AE322" s="899"/>
    </row>
    <row r="323">
      <c r="A323" s="944"/>
      <c r="B323" s="945"/>
      <c r="C323" s="945"/>
      <c r="D323" s="945"/>
      <c r="E323" s="945"/>
      <c r="F323" s="945"/>
      <c r="G323" s="945"/>
      <c r="H323" s="945"/>
      <c r="I323" s="945"/>
      <c r="J323" s="945"/>
      <c r="K323" s="945"/>
      <c r="L323" s="945"/>
      <c r="M323" s="945"/>
      <c r="N323" s="899"/>
      <c r="O323" s="899"/>
      <c r="P323" s="899"/>
      <c r="Q323" s="899"/>
      <c r="R323" s="899"/>
      <c r="S323" s="899"/>
      <c r="T323" s="899"/>
      <c r="U323" s="899"/>
      <c r="V323" s="899"/>
      <c r="W323" s="899"/>
      <c r="X323" s="899"/>
      <c r="Y323" s="899"/>
      <c r="Z323" s="899"/>
      <c r="AA323" s="899"/>
      <c r="AB323" s="899"/>
      <c r="AC323" s="899"/>
      <c r="AD323" s="899"/>
      <c r="AE323" s="899"/>
    </row>
    <row r="324">
      <c r="A324" s="944"/>
      <c r="B324" s="945"/>
      <c r="C324" s="945"/>
      <c r="D324" s="945"/>
      <c r="E324" s="945"/>
      <c r="F324" s="945"/>
      <c r="G324" s="945"/>
      <c r="H324" s="945"/>
      <c r="I324" s="945"/>
      <c r="J324" s="945"/>
      <c r="K324" s="945"/>
      <c r="L324" s="945"/>
      <c r="M324" s="945"/>
      <c r="N324" s="899"/>
      <c r="O324" s="899"/>
      <c r="P324" s="899"/>
      <c r="Q324" s="899"/>
      <c r="R324" s="899"/>
      <c r="S324" s="899"/>
      <c r="T324" s="899"/>
      <c r="U324" s="899"/>
      <c r="V324" s="899"/>
      <c r="W324" s="899"/>
      <c r="X324" s="899"/>
      <c r="Y324" s="899"/>
      <c r="Z324" s="899"/>
      <c r="AA324" s="899"/>
      <c r="AB324" s="899"/>
      <c r="AC324" s="899"/>
      <c r="AD324" s="899"/>
      <c r="AE324" s="899"/>
    </row>
    <row r="325">
      <c r="A325" s="944"/>
      <c r="B325" s="945"/>
      <c r="C325" s="945"/>
      <c r="D325" s="945"/>
      <c r="E325" s="945"/>
      <c r="F325" s="945"/>
      <c r="G325" s="945"/>
      <c r="H325" s="945"/>
      <c r="I325" s="945"/>
      <c r="J325" s="945"/>
      <c r="K325" s="945"/>
      <c r="L325" s="945"/>
      <c r="M325" s="945"/>
      <c r="N325" s="899"/>
      <c r="O325" s="899"/>
      <c r="P325" s="899"/>
      <c r="Q325" s="899"/>
      <c r="R325" s="899"/>
      <c r="S325" s="899"/>
      <c r="T325" s="899"/>
      <c r="U325" s="899"/>
      <c r="V325" s="899"/>
      <c r="W325" s="899"/>
      <c r="X325" s="899"/>
      <c r="Y325" s="899"/>
      <c r="Z325" s="899"/>
      <c r="AA325" s="899"/>
      <c r="AB325" s="899"/>
      <c r="AC325" s="899"/>
      <c r="AD325" s="899"/>
      <c r="AE325" s="899"/>
    </row>
    <row r="326">
      <c r="A326" s="944"/>
      <c r="B326" s="945"/>
      <c r="C326" s="945"/>
      <c r="D326" s="945"/>
      <c r="E326" s="945"/>
      <c r="F326" s="945"/>
      <c r="G326" s="945"/>
      <c r="H326" s="945"/>
      <c r="I326" s="945"/>
      <c r="J326" s="945"/>
      <c r="K326" s="945"/>
      <c r="L326" s="945"/>
      <c r="M326" s="945"/>
      <c r="N326" s="899"/>
      <c r="O326" s="899"/>
      <c r="P326" s="899"/>
      <c r="Q326" s="899"/>
      <c r="R326" s="899"/>
      <c r="S326" s="899"/>
      <c r="T326" s="899"/>
      <c r="U326" s="899"/>
      <c r="V326" s="899"/>
      <c r="W326" s="899"/>
      <c r="X326" s="899"/>
      <c r="Y326" s="899"/>
      <c r="Z326" s="899"/>
      <c r="AA326" s="899"/>
      <c r="AB326" s="899"/>
      <c r="AC326" s="899"/>
      <c r="AD326" s="899"/>
      <c r="AE326" s="899"/>
    </row>
    <row r="327">
      <c r="A327" s="944"/>
      <c r="B327" s="945"/>
      <c r="C327" s="945"/>
      <c r="D327" s="945"/>
      <c r="E327" s="945"/>
      <c r="F327" s="945"/>
      <c r="G327" s="945"/>
      <c r="H327" s="945"/>
      <c r="I327" s="945"/>
      <c r="J327" s="945"/>
      <c r="K327" s="945"/>
      <c r="L327" s="945"/>
      <c r="M327" s="945"/>
      <c r="N327" s="899"/>
      <c r="O327" s="899"/>
      <c r="P327" s="899"/>
      <c r="Q327" s="899"/>
      <c r="R327" s="899"/>
      <c r="S327" s="899"/>
      <c r="T327" s="899"/>
      <c r="U327" s="899"/>
      <c r="V327" s="899"/>
      <c r="W327" s="899"/>
      <c r="X327" s="899"/>
      <c r="Y327" s="899"/>
      <c r="Z327" s="899"/>
      <c r="AA327" s="899"/>
      <c r="AB327" s="899"/>
      <c r="AC327" s="899"/>
      <c r="AD327" s="899"/>
      <c r="AE327" s="899"/>
    </row>
    <row r="328">
      <c r="A328" s="944"/>
      <c r="B328" s="945"/>
      <c r="C328" s="945"/>
      <c r="D328" s="945"/>
      <c r="E328" s="945"/>
      <c r="F328" s="945"/>
      <c r="G328" s="945"/>
      <c r="H328" s="945"/>
      <c r="I328" s="945"/>
      <c r="J328" s="945"/>
      <c r="K328" s="945"/>
      <c r="L328" s="945"/>
      <c r="M328" s="945"/>
      <c r="N328" s="899"/>
      <c r="O328" s="899"/>
      <c r="P328" s="899"/>
      <c r="Q328" s="899"/>
      <c r="R328" s="899"/>
      <c r="S328" s="899"/>
      <c r="T328" s="899"/>
      <c r="U328" s="899"/>
      <c r="V328" s="899"/>
      <c r="W328" s="899"/>
      <c r="X328" s="899"/>
      <c r="Y328" s="899"/>
      <c r="Z328" s="899"/>
      <c r="AA328" s="899"/>
      <c r="AB328" s="899"/>
      <c r="AC328" s="899"/>
      <c r="AD328" s="899"/>
      <c r="AE328" s="899"/>
    </row>
    <row r="329">
      <c r="A329" s="944"/>
      <c r="B329" s="945"/>
      <c r="C329" s="945"/>
      <c r="D329" s="945"/>
      <c r="E329" s="945"/>
      <c r="F329" s="945"/>
      <c r="G329" s="945"/>
      <c r="H329" s="945"/>
      <c r="I329" s="945"/>
      <c r="J329" s="945"/>
      <c r="K329" s="945"/>
      <c r="L329" s="945"/>
      <c r="M329" s="945"/>
      <c r="N329" s="899"/>
      <c r="O329" s="899"/>
      <c r="P329" s="899"/>
      <c r="Q329" s="899"/>
      <c r="R329" s="899"/>
      <c r="S329" s="899"/>
      <c r="T329" s="899"/>
      <c r="U329" s="899"/>
      <c r="V329" s="899"/>
      <c r="W329" s="899"/>
      <c r="X329" s="899"/>
      <c r="Y329" s="899"/>
      <c r="Z329" s="899"/>
      <c r="AA329" s="899"/>
      <c r="AB329" s="899"/>
      <c r="AC329" s="899"/>
      <c r="AD329" s="899"/>
      <c r="AE329" s="899"/>
    </row>
    <row r="330">
      <c r="A330" s="944"/>
      <c r="B330" s="945"/>
      <c r="C330" s="945"/>
      <c r="D330" s="945"/>
      <c r="E330" s="945"/>
      <c r="F330" s="945"/>
      <c r="G330" s="945"/>
      <c r="H330" s="945"/>
      <c r="I330" s="945"/>
      <c r="J330" s="945"/>
      <c r="K330" s="945"/>
      <c r="L330" s="945"/>
      <c r="M330" s="945"/>
      <c r="N330" s="899"/>
      <c r="O330" s="899"/>
      <c r="P330" s="899"/>
      <c r="Q330" s="899"/>
      <c r="R330" s="899"/>
      <c r="S330" s="899"/>
      <c r="T330" s="899"/>
      <c r="U330" s="899"/>
      <c r="V330" s="899"/>
      <c r="W330" s="899"/>
      <c r="X330" s="899"/>
      <c r="Y330" s="899"/>
      <c r="Z330" s="899"/>
      <c r="AA330" s="899"/>
      <c r="AB330" s="899"/>
      <c r="AC330" s="899"/>
      <c r="AD330" s="899"/>
      <c r="AE330" s="899"/>
    </row>
    <row r="331">
      <c r="A331" s="944"/>
      <c r="B331" s="945"/>
      <c r="C331" s="945"/>
      <c r="D331" s="945"/>
      <c r="E331" s="945"/>
      <c r="F331" s="945"/>
      <c r="G331" s="945"/>
      <c r="H331" s="945"/>
      <c r="I331" s="945"/>
      <c r="J331" s="945"/>
      <c r="K331" s="945"/>
      <c r="L331" s="945"/>
      <c r="M331" s="945"/>
      <c r="N331" s="899"/>
      <c r="O331" s="899"/>
      <c r="P331" s="899"/>
      <c r="Q331" s="899"/>
      <c r="R331" s="899"/>
      <c r="S331" s="899"/>
      <c r="T331" s="899"/>
      <c r="U331" s="899"/>
      <c r="V331" s="899"/>
      <c r="W331" s="899"/>
      <c r="X331" s="899"/>
      <c r="Y331" s="899"/>
      <c r="Z331" s="899"/>
      <c r="AA331" s="899"/>
      <c r="AB331" s="899"/>
      <c r="AC331" s="899"/>
      <c r="AD331" s="899"/>
      <c r="AE331" s="899"/>
    </row>
    <row r="332">
      <c r="A332" s="944"/>
      <c r="B332" s="945"/>
      <c r="C332" s="945"/>
      <c r="D332" s="945"/>
      <c r="E332" s="945"/>
      <c r="F332" s="945"/>
      <c r="G332" s="945"/>
      <c r="H332" s="945"/>
      <c r="I332" s="945"/>
      <c r="J332" s="945"/>
      <c r="K332" s="945"/>
      <c r="L332" s="945"/>
      <c r="M332" s="945"/>
      <c r="N332" s="899"/>
      <c r="O332" s="899"/>
      <c r="P332" s="899"/>
      <c r="Q332" s="899"/>
      <c r="R332" s="899"/>
      <c r="S332" s="899"/>
      <c r="T332" s="899"/>
      <c r="U332" s="899"/>
      <c r="V332" s="899"/>
      <c r="W332" s="899"/>
      <c r="X332" s="899"/>
      <c r="Y332" s="899"/>
      <c r="Z332" s="899"/>
      <c r="AA332" s="899"/>
      <c r="AB332" s="899"/>
      <c r="AC332" s="899"/>
      <c r="AD332" s="899"/>
      <c r="AE332" s="899"/>
    </row>
    <row r="333">
      <c r="A333" s="944"/>
      <c r="B333" s="945"/>
      <c r="C333" s="945"/>
      <c r="D333" s="945"/>
      <c r="E333" s="945"/>
      <c r="F333" s="945"/>
      <c r="G333" s="945"/>
      <c r="H333" s="945"/>
      <c r="I333" s="945"/>
      <c r="J333" s="945"/>
      <c r="K333" s="945"/>
      <c r="L333" s="945"/>
      <c r="M333" s="945"/>
      <c r="N333" s="899"/>
      <c r="O333" s="899"/>
      <c r="P333" s="899"/>
      <c r="Q333" s="899"/>
      <c r="R333" s="899"/>
      <c r="S333" s="899"/>
      <c r="T333" s="899"/>
      <c r="U333" s="899"/>
      <c r="V333" s="899"/>
      <c r="W333" s="899"/>
      <c r="X333" s="899"/>
      <c r="Y333" s="899"/>
      <c r="Z333" s="899"/>
      <c r="AA333" s="899"/>
      <c r="AB333" s="899"/>
      <c r="AC333" s="899"/>
      <c r="AD333" s="899"/>
      <c r="AE333" s="899"/>
    </row>
    <row r="334">
      <c r="A334" s="944"/>
      <c r="B334" s="945"/>
      <c r="C334" s="945"/>
      <c r="D334" s="945"/>
      <c r="E334" s="945"/>
      <c r="F334" s="945"/>
      <c r="G334" s="945"/>
      <c r="H334" s="945"/>
      <c r="I334" s="945"/>
      <c r="J334" s="945"/>
      <c r="K334" s="945"/>
      <c r="L334" s="945"/>
      <c r="M334" s="945"/>
      <c r="N334" s="899"/>
      <c r="O334" s="899"/>
      <c r="P334" s="899"/>
      <c r="Q334" s="899"/>
      <c r="R334" s="899"/>
      <c r="S334" s="899"/>
      <c r="T334" s="899"/>
      <c r="U334" s="899"/>
      <c r="V334" s="899"/>
      <c r="W334" s="899"/>
      <c r="X334" s="899"/>
      <c r="Y334" s="899"/>
      <c r="Z334" s="899"/>
      <c r="AA334" s="899"/>
      <c r="AB334" s="899"/>
      <c r="AC334" s="899"/>
      <c r="AD334" s="899"/>
      <c r="AE334" s="899"/>
    </row>
    <row r="335">
      <c r="A335" s="944"/>
      <c r="B335" s="945"/>
      <c r="C335" s="945"/>
      <c r="D335" s="945"/>
      <c r="E335" s="945"/>
      <c r="F335" s="945"/>
      <c r="G335" s="945"/>
      <c r="H335" s="945"/>
      <c r="I335" s="945"/>
      <c r="J335" s="945"/>
      <c r="K335" s="945"/>
      <c r="L335" s="945"/>
      <c r="M335" s="945"/>
      <c r="N335" s="899"/>
      <c r="O335" s="899"/>
      <c r="P335" s="899"/>
      <c r="Q335" s="899"/>
      <c r="R335" s="899"/>
      <c r="S335" s="899"/>
      <c r="T335" s="899"/>
      <c r="U335" s="899"/>
      <c r="V335" s="899"/>
      <c r="W335" s="899"/>
      <c r="X335" s="899"/>
      <c r="Y335" s="899"/>
      <c r="Z335" s="899"/>
      <c r="AA335" s="899"/>
      <c r="AB335" s="899"/>
      <c r="AC335" s="899"/>
      <c r="AD335" s="899"/>
      <c r="AE335" s="899"/>
    </row>
    <row r="336">
      <c r="A336" s="944"/>
      <c r="B336" s="945"/>
      <c r="C336" s="945"/>
      <c r="D336" s="945"/>
      <c r="E336" s="945"/>
      <c r="F336" s="945"/>
      <c r="G336" s="945"/>
      <c r="H336" s="945"/>
      <c r="I336" s="945"/>
      <c r="J336" s="945"/>
      <c r="K336" s="945"/>
      <c r="L336" s="945"/>
      <c r="M336" s="945"/>
      <c r="N336" s="899"/>
      <c r="O336" s="899"/>
      <c r="P336" s="899"/>
      <c r="Q336" s="899"/>
      <c r="R336" s="899"/>
      <c r="S336" s="899"/>
      <c r="T336" s="899"/>
      <c r="U336" s="899"/>
      <c r="V336" s="899"/>
      <c r="W336" s="899"/>
      <c r="X336" s="899"/>
      <c r="Y336" s="899"/>
      <c r="Z336" s="899"/>
      <c r="AA336" s="899"/>
      <c r="AB336" s="899"/>
      <c r="AC336" s="899"/>
      <c r="AD336" s="899"/>
      <c r="AE336" s="899"/>
    </row>
    <row r="337">
      <c r="A337" s="944"/>
      <c r="B337" s="945"/>
      <c r="C337" s="945"/>
      <c r="D337" s="945"/>
      <c r="E337" s="945"/>
      <c r="F337" s="945"/>
      <c r="G337" s="945"/>
      <c r="H337" s="945"/>
      <c r="I337" s="945"/>
      <c r="J337" s="945"/>
      <c r="K337" s="945"/>
      <c r="L337" s="945"/>
      <c r="M337" s="945"/>
      <c r="N337" s="899"/>
      <c r="O337" s="899"/>
      <c r="P337" s="899"/>
      <c r="Q337" s="899"/>
      <c r="R337" s="899"/>
      <c r="S337" s="899"/>
      <c r="T337" s="899"/>
      <c r="U337" s="899"/>
      <c r="V337" s="899"/>
      <c r="W337" s="899"/>
      <c r="X337" s="899"/>
      <c r="Y337" s="899"/>
      <c r="Z337" s="899"/>
      <c r="AA337" s="899"/>
      <c r="AB337" s="899"/>
      <c r="AC337" s="899"/>
      <c r="AD337" s="899"/>
      <c r="AE337" s="899"/>
    </row>
    <row r="338">
      <c r="A338" s="944"/>
      <c r="B338" s="945"/>
      <c r="C338" s="945"/>
      <c r="D338" s="945"/>
      <c r="E338" s="945"/>
      <c r="F338" s="945"/>
      <c r="G338" s="945"/>
      <c r="H338" s="945"/>
      <c r="I338" s="945"/>
      <c r="J338" s="945"/>
      <c r="K338" s="945"/>
      <c r="L338" s="945"/>
      <c r="M338" s="945"/>
      <c r="N338" s="899"/>
      <c r="O338" s="899"/>
      <c r="P338" s="899"/>
      <c r="Q338" s="899"/>
      <c r="R338" s="899"/>
      <c r="S338" s="899"/>
      <c r="T338" s="899"/>
      <c r="U338" s="899"/>
      <c r="V338" s="899"/>
      <c r="W338" s="899"/>
      <c r="X338" s="899"/>
      <c r="Y338" s="899"/>
      <c r="Z338" s="899"/>
      <c r="AA338" s="899"/>
      <c r="AB338" s="899"/>
      <c r="AC338" s="899"/>
      <c r="AD338" s="899"/>
      <c r="AE338" s="899"/>
    </row>
    <row r="339">
      <c r="A339" s="944"/>
      <c r="B339" s="945"/>
      <c r="C339" s="945"/>
      <c r="D339" s="945"/>
      <c r="E339" s="945"/>
      <c r="F339" s="945"/>
      <c r="G339" s="945"/>
      <c r="H339" s="945"/>
      <c r="I339" s="945"/>
      <c r="J339" s="945"/>
      <c r="K339" s="945"/>
      <c r="L339" s="945"/>
      <c r="M339" s="945"/>
      <c r="N339" s="899"/>
      <c r="O339" s="899"/>
      <c r="P339" s="899"/>
      <c r="Q339" s="899"/>
      <c r="R339" s="899"/>
      <c r="S339" s="899"/>
      <c r="T339" s="899"/>
      <c r="U339" s="899"/>
      <c r="V339" s="899"/>
      <c r="W339" s="899"/>
      <c r="X339" s="899"/>
      <c r="Y339" s="899"/>
      <c r="Z339" s="899"/>
      <c r="AA339" s="899"/>
      <c r="AB339" s="899"/>
      <c r="AC339" s="899"/>
      <c r="AD339" s="899"/>
      <c r="AE339" s="899"/>
    </row>
    <row r="340">
      <c r="A340" s="944"/>
      <c r="B340" s="945"/>
      <c r="C340" s="945"/>
      <c r="D340" s="945"/>
      <c r="E340" s="945"/>
      <c r="F340" s="945"/>
      <c r="G340" s="945"/>
      <c r="H340" s="945"/>
      <c r="I340" s="945"/>
      <c r="J340" s="945"/>
      <c r="K340" s="945"/>
      <c r="L340" s="945"/>
      <c r="M340" s="945"/>
      <c r="N340" s="899"/>
      <c r="O340" s="899"/>
      <c r="P340" s="899"/>
      <c r="Q340" s="899"/>
      <c r="R340" s="899"/>
      <c r="S340" s="899"/>
      <c r="T340" s="899"/>
      <c r="U340" s="899"/>
      <c r="V340" s="899"/>
      <c r="W340" s="899"/>
      <c r="X340" s="899"/>
      <c r="Y340" s="899"/>
      <c r="Z340" s="899"/>
      <c r="AA340" s="899"/>
      <c r="AB340" s="899"/>
      <c r="AC340" s="899"/>
      <c r="AD340" s="899"/>
      <c r="AE340" s="899"/>
    </row>
    <row r="341">
      <c r="A341" s="944"/>
      <c r="B341" s="945"/>
      <c r="C341" s="945"/>
      <c r="D341" s="945"/>
      <c r="E341" s="945"/>
      <c r="F341" s="945"/>
      <c r="G341" s="945"/>
      <c r="H341" s="945"/>
      <c r="I341" s="945"/>
      <c r="J341" s="945"/>
      <c r="K341" s="945"/>
      <c r="L341" s="945"/>
      <c r="M341" s="945"/>
      <c r="N341" s="899"/>
      <c r="O341" s="899"/>
      <c r="P341" s="899"/>
      <c r="Q341" s="899"/>
      <c r="R341" s="899"/>
      <c r="S341" s="899"/>
      <c r="T341" s="899"/>
      <c r="U341" s="899"/>
      <c r="V341" s="899"/>
      <c r="W341" s="899"/>
      <c r="X341" s="899"/>
      <c r="Y341" s="899"/>
      <c r="Z341" s="899"/>
      <c r="AA341" s="899"/>
      <c r="AB341" s="899"/>
      <c r="AC341" s="899"/>
      <c r="AD341" s="899"/>
      <c r="AE341" s="899"/>
    </row>
    <row r="342">
      <c r="A342" s="944"/>
      <c r="B342" s="945"/>
      <c r="C342" s="945"/>
      <c r="D342" s="945"/>
      <c r="E342" s="945"/>
      <c r="F342" s="945"/>
      <c r="G342" s="945"/>
      <c r="H342" s="945"/>
      <c r="I342" s="945"/>
      <c r="J342" s="945"/>
      <c r="K342" s="945"/>
      <c r="L342" s="945"/>
      <c r="M342" s="945"/>
      <c r="N342" s="899"/>
      <c r="O342" s="899"/>
      <c r="P342" s="899"/>
      <c r="Q342" s="899"/>
      <c r="R342" s="899"/>
      <c r="S342" s="899"/>
      <c r="T342" s="899"/>
      <c r="U342" s="899"/>
      <c r="V342" s="899"/>
      <c r="W342" s="899"/>
      <c r="X342" s="899"/>
      <c r="Y342" s="899"/>
      <c r="Z342" s="899"/>
      <c r="AA342" s="899"/>
      <c r="AB342" s="899"/>
      <c r="AC342" s="899"/>
      <c r="AD342" s="899"/>
      <c r="AE342" s="899"/>
    </row>
    <row r="343">
      <c r="A343" s="944"/>
      <c r="B343" s="945"/>
      <c r="C343" s="945"/>
      <c r="D343" s="945"/>
      <c r="E343" s="945"/>
      <c r="F343" s="945"/>
      <c r="G343" s="945"/>
      <c r="H343" s="945"/>
      <c r="I343" s="945"/>
      <c r="J343" s="945"/>
      <c r="K343" s="945"/>
      <c r="L343" s="945"/>
      <c r="M343" s="945"/>
      <c r="N343" s="899"/>
      <c r="O343" s="899"/>
      <c r="P343" s="899"/>
      <c r="Q343" s="899"/>
      <c r="R343" s="899"/>
      <c r="S343" s="899"/>
      <c r="T343" s="899"/>
      <c r="U343" s="899"/>
      <c r="V343" s="899"/>
      <c r="W343" s="899"/>
      <c r="X343" s="899"/>
      <c r="Y343" s="899"/>
      <c r="Z343" s="899"/>
      <c r="AA343" s="899"/>
      <c r="AB343" s="899"/>
      <c r="AC343" s="899"/>
      <c r="AD343" s="899"/>
      <c r="AE343" s="899"/>
    </row>
    <row r="344">
      <c r="A344" s="944"/>
      <c r="B344" s="945"/>
      <c r="C344" s="945"/>
      <c r="D344" s="945"/>
      <c r="E344" s="945"/>
      <c r="F344" s="945"/>
      <c r="G344" s="945"/>
      <c r="H344" s="945"/>
      <c r="I344" s="945"/>
      <c r="J344" s="945"/>
      <c r="K344" s="945"/>
      <c r="L344" s="945"/>
      <c r="M344" s="945"/>
      <c r="N344" s="899"/>
      <c r="O344" s="899"/>
      <c r="P344" s="899"/>
      <c r="Q344" s="899"/>
      <c r="R344" s="899"/>
      <c r="S344" s="899"/>
      <c r="T344" s="899"/>
      <c r="U344" s="899"/>
      <c r="V344" s="899"/>
      <c r="W344" s="899"/>
      <c r="X344" s="899"/>
      <c r="Y344" s="899"/>
      <c r="Z344" s="899"/>
      <c r="AA344" s="899"/>
      <c r="AB344" s="899"/>
      <c r="AC344" s="899"/>
      <c r="AD344" s="899"/>
      <c r="AE344" s="899"/>
    </row>
    <row r="345">
      <c r="A345" s="944"/>
      <c r="B345" s="945"/>
      <c r="C345" s="945"/>
      <c r="D345" s="945"/>
      <c r="E345" s="945"/>
      <c r="F345" s="945"/>
      <c r="G345" s="945"/>
      <c r="H345" s="945"/>
      <c r="I345" s="945"/>
      <c r="J345" s="945"/>
      <c r="K345" s="945"/>
      <c r="L345" s="945"/>
      <c r="M345" s="945"/>
      <c r="N345" s="899"/>
      <c r="O345" s="899"/>
      <c r="P345" s="899"/>
      <c r="Q345" s="899"/>
      <c r="R345" s="899"/>
      <c r="S345" s="899"/>
      <c r="T345" s="899"/>
      <c r="U345" s="899"/>
      <c r="V345" s="899"/>
      <c r="W345" s="899"/>
      <c r="X345" s="899"/>
      <c r="Y345" s="899"/>
      <c r="Z345" s="899"/>
      <c r="AA345" s="899"/>
      <c r="AB345" s="899"/>
      <c r="AC345" s="899"/>
      <c r="AD345" s="899"/>
      <c r="AE345" s="899"/>
    </row>
    <row r="346">
      <c r="A346" s="944"/>
      <c r="B346" s="945"/>
      <c r="C346" s="945"/>
      <c r="D346" s="945"/>
      <c r="E346" s="945"/>
      <c r="F346" s="945"/>
      <c r="G346" s="945"/>
      <c r="H346" s="945"/>
      <c r="I346" s="945"/>
      <c r="J346" s="945"/>
      <c r="K346" s="945"/>
      <c r="L346" s="945"/>
      <c r="M346" s="945"/>
      <c r="N346" s="899"/>
      <c r="O346" s="899"/>
      <c r="P346" s="899"/>
      <c r="Q346" s="899"/>
      <c r="R346" s="899"/>
      <c r="S346" s="899"/>
      <c r="T346" s="899"/>
      <c r="U346" s="899"/>
      <c r="V346" s="899"/>
      <c r="W346" s="899"/>
      <c r="X346" s="899"/>
      <c r="Y346" s="899"/>
      <c r="Z346" s="899"/>
      <c r="AA346" s="899"/>
      <c r="AB346" s="899"/>
      <c r="AC346" s="899"/>
      <c r="AD346" s="899"/>
      <c r="AE346" s="899"/>
    </row>
    <row r="347">
      <c r="A347" s="944"/>
      <c r="B347" s="945"/>
      <c r="C347" s="945"/>
      <c r="D347" s="945"/>
      <c r="E347" s="945"/>
      <c r="F347" s="945"/>
      <c r="G347" s="945"/>
      <c r="H347" s="945"/>
      <c r="I347" s="945"/>
      <c r="J347" s="945"/>
      <c r="K347" s="945"/>
      <c r="L347" s="945"/>
      <c r="M347" s="945"/>
      <c r="N347" s="899"/>
      <c r="O347" s="899"/>
      <c r="P347" s="899"/>
      <c r="Q347" s="899"/>
      <c r="R347" s="899"/>
      <c r="S347" s="899"/>
      <c r="T347" s="899"/>
      <c r="U347" s="899"/>
      <c r="V347" s="899"/>
      <c r="W347" s="899"/>
      <c r="X347" s="899"/>
      <c r="Y347" s="899"/>
      <c r="Z347" s="899"/>
      <c r="AA347" s="899"/>
      <c r="AB347" s="899"/>
      <c r="AC347" s="899"/>
      <c r="AD347" s="899"/>
      <c r="AE347" s="899"/>
    </row>
    <row r="348">
      <c r="A348" s="944"/>
      <c r="B348" s="945"/>
      <c r="C348" s="945"/>
      <c r="D348" s="945"/>
      <c r="E348" s="945"/>
      <c r="F348" s="945"/>
      <c r="G348" s="945"/>
      <c r="H348" s="945"/>
      <c r="I348" s="945"/>
      <c r="J348" s="945"/>
      <c r="K348" s="945"/>
      <c r="L348" s="945"/>
      <c r="M348" s="945"/>
      <c r="N348" s="899"/>
      <c r="O348" s="899"/>
      <c r="P348" s="899"/>
      <c r="Q348" s="899"/>
      <c r="R348" s="899"/>
      <c r="S348" s="899"/>
      <c r="T348" s="899"/>
      <c r="U348" s="899"/>
      <c r="V348" s="899"/>
      <c r="W348" s="899"/>
      <c r="X348" s="899"/>
      <c r="Y348" s="899"/>
      <c r="Z348" s="899"/>
      <c r="AA348" s="899"/>
      <c r="AB348" s="899"/>
      <c r="AC348" s="899"/>
      <c r="AD348" s="899"/>
      <c r="AE348" s="899"/>
    </row>
    <row r="349">
      <c r="A349" s="944"/>
      <c r="B349" s="945"/>
      <c r="C349" s="945"/>
      <c r="D349" s="945"/>
      <c r="E349" s="945"/>
      <c r="F349" s="945"/>
      <c r="G349" s="945"/>
      <c r="H349" s="945"/>
      <c r="I349" s="945"/>
      <c r="J349" s="945"/>
      <c r="K349" s="945"/>
      <c r="L349" s="945"/>
      <c r="M349" s="945"/>
      <c r="N349" s="899"/>
      <c r="O349" s="899"/>
      <c r="P349" s="899"/>
      <c r="Q349" s="899"/>
      <c r="R349" s="899"/>
      <c r="S349" s="899"/>
      <c r="T349" s="899"/>
      <c r="U349" s="899"/>
      <c r="V349" s="899"/>
      <c r="W349" s="899"/>
      <c r="X349" s="899"/>
      <c r="Y349" s="899"/>
      <c r="Z349" s="899"/>
      <c r="AA349" s="899"/>
      <c r="AB349" s="899"/>
      <c r="AC349" s="899"/>
      <c r="AD349" s="899"/>
      <c r="AE349" s="899"/>
    </row>
    <row r="350">
      <c r="A350" s="944"/>
      <c r="B350" s="945"/>
      <c r="C350" s="945"/>
      <c r="D350" s="945"/>
      <c r="E350" s="945"/>
      <c r="F350" s="945"/>
      <c r="G350" s="945"/>
      <c r="H350" s="945"/>
      <c r="I350" s="945"/>
      <c r="J350" s="945"/>
      <c r="K350" s="945"/>
      <c r="L350" s="945"/>
      <c r="M350" s="945"/>
      <c r="N350" s="899"/>
      <c r="O350" s="899"/>
      <c r="P350" s="899"/>
      <c r="Q350" s="899"/>
      <c r="R350" s="899"/>
      <c r="S350" s="899"/>
      <c r="T350" s="899"/>
      <c r="U350" s="899"/>
      <c r="V350" s="899"/>
      <c r="W350" s="899"/>
      <c r="X350" s="899"/>
      <c r="Y350" s="899"/>
      <c r="Z350" s="899"/>
      <c r="AA350" s="899"/>
      <c r="AB350" s="899"/>
      <c r="AC350" s="899"/>
      <c r="AD350" s="899"/>
      <c r="AE350" s="899"/>
    </row>
    <row r="351">
      <c r="A351" s="944"/>
      <c r="B351" s="945"/>
      <c r="C351" s="945"/>
      <c r="D351" s="945"/>
      <c r="E351" s="945"/>
      <c r="F351" s="945"/>
      <c r="G351" s="945"/>
      <c r="H351" s="945"/>
      <c r="I351" s="945"/>
      <c r="J351" s="945"/>
      <c r="K351" s="945"/>
      <c r="L351" s="945"/>
      <c r="M351" s="945"/>
      <c r="N351" s="899"/>
      <c r="O351" s="899"/>
      <c r="P351" s="899"/>
      <c r="Q351" s="899"/>
      <c r="R351" s="899"/>
      <c r="S351" s="899"/>
      <c r="T351" s="899"/>
      <c r="U351" s="899"/>
      <c r="V351" s="899"/>
      <c r="W351" s="899"/>
      <c r="X351" s="899"/>
      <c r="Y351" s="899"/>
      <c r="Z351" s="899"/>
      <c r="AA351" s="899"/>
      <c r="AB351" s="899"/>
      <c r="AC351" s="899"/>
      <c r="AD351" s="899"/>
      <c r="AE351" s="899"/>
    </row>
    <row r="352">
      <c r="A352" s="944"/>
      <c r="B352" s="945"/>
      <c r="C352" s="945"/>
      <c r="D352" s="945"/>
      <c r="E352" s="945"/>
      <c r="F352" s="945"/>
      <c r="G352" s="945"/>
      <c r="H352" s="945"/>
      <c r="I352" s="945"/>
      <c r="J352" s="945"/>
      <c r="K352" s="945"/>
      <c r="L352" s="945"/>
      <c r="M352" s="945"/>
      <c r="N352" s="899"/>
      <c r="O352" s="899"/>
      <c r="P352" s="899"/>
      <c r="Q352" s="899"/>
      <c r="R352" s="899"/>
      <c r="S352" s="899"/>
      <c r="T352" s="899"/>
      <c r="U352" s="899"/>
      <c r="V352" s="899"/>
      <c r="W352" s="899"/>
      <c r="X352" s="899"/>
      <c r="Y352" s="899"/>
      <c r="Z352" s="899"/>
      <c r="AA352" s="899"/>
      <c r="AB352" s="899"/>
      <c r="AC352" s="899"/>
      <c r="AD352" s="899"/>
      <c r="AE352" s="899"/>
    </row>
    <row r="353">
      <c r="A353" s="944"/>
      <c r="B353" s="945"/>
      <c r="C353" s="945"/>
      <c r="D353" s="945"/>
      <c r="E353" s="945"/>
      <c r="F353" s="945"/>
      <c r="G353" s="945"/>
      <c r="H353" s="945"/>
      <c r="I353" s="945"/>
      <c r="J353" s="945"/>
      <c r="K353" s="945"/>
      <c r="L353" s="945"/>
      <c r="M353" s="945"/>
      <c r="N353" s="899"/>
      <c r="O353" s="899"/>
      <c r="P353" s="899"/>
      <c r="Q353" s="899"/>
      <c r="R353" s="899"/>
      <c r="S353" s="899"/>
      <c r="T353" s="899"/>
      <c r="U353" s="899"/>
      <c r="V353" s="899"/>
      <c r="W353" s="899"/>
      <c r="X353" s="899"/>
      <c r="Y353" s="899"/>
      <c r="Z353" s="899"/>
      <c r="AA353" s="899"/>
      <c r="AB353" s="899"/>
      <c r="AC353" s="899"/>
      <c r="AD353" s="899"/>
      <c r="AE353" s="899"/>
    </row>
    <row r="354">
      <c r="A354" s="944"/>
      <c r="B354" s="945"/>
      <c r="C354" s="945"/>
      <c r="D354" s="945"/>
      <c r="E354" s="945"/>
      <c r="F354" s="945"/>
      <c r="G354" s="945"/>
      <c r="H354" s="945"/>
      <c r="I354" s="945"/>
      <c r="J354" s="945"/>
      <c r="K354" s="945"/>
      <c r="L354" s="945"/>
      <c r="M354" s="945"/>
      <c r="N354" s="899"/>
      <c r="O354" s="899"/>
      <c r="P354" s="899"/>
      <c r="Q354" s="899"/>
      <c r="R354" s="899"/>
      <c r="S354" s="899"/>
      <c r="T354" s="899"/>
      <c r="U354" s="899"/>
      <c r="V354" s="899"/>
      <c r="W354" s="899"/>
      <c r="X354" s="899"/>
      <c r="Y354" s="899"/>
      <c r="Z354" s="899"/>
      <c r="AA354" s="899"/>
      <c r="AB354" s="899"/>
      <c r="AC354" s="899"/>
      <c r="AD354" s="899"/>
      <c r="AE354" s="899"/>
    </row>
    <row r="355">
      <c r="A355" s="944"/>
      <c r="B355" s="945"/>
      <c r="C355" s="945"/>
      <c r="D355" s="945"/>
      <c r="E355" s="945"/>
      <c r="F355" s="945"/>
      <c r="G355" s="945"/>
      <c r="H355" s="945"/>
      <c r="I355" s="945"/>
      <c r="J355" s="945"/>
      <c r="K355" s="945"/>
      <c r="L355" s="945"/>
      <c r="M355" s="945"/>
      <c r="N355" s="899"/>
      <c r="O355" s="899"/>
      <c r="P355" s="899"/>
      <c r="Q355" s="899"/>
      <c r="R355" s="899"/>
      <c r="S355" s="899"/>
      <c r="T355" s="899"/>
      <c r="U355" s="899"/>
      <c r="V355" s="899"/>
      <c r="W355" s="899"/>
      <c r="X355" s="899"/>
      <c r="Y355" s="899"/>
      <c r="Z355" s="899"/>
      <c r="AA355" s="899"/>
      <c r="AB355" s="899"/>
      <c r="AC355" s="899"/>
      <c r="AD355" s="899"/>
      <c r="AE355" s="899"/>
    </row>
    <row r="356">
      <c r="A356" s="944"/>
      <c r="B356" s="945"/>
      <c r="C356" s="945"/>
      <c r="D356" s="945"/>
      <c r="E356" s="945"/>
      <c r="F356" s="945"/>
      <c r="G356" s="945"/>
      <c r="H356" s="945"/>
      <c r="I356" s="945"/>
      <c r="J356" s="945"/>
      <c r="K356" s="945"/>
      <c r="L356" s="945"/>
      <c r="M356" s="945"/>
      <c r="N356" s="899"/>
      <c r="O356" s="899"/>
      <c r="P356" s="899"/>
      <c r="Q356" s="899"/>
      <c r="R356" s="899"/>
      <c r="S356" s="899"/>
      <c r="T356" s="899"/>
      <c r="U356" s="899"/>
      <c r="V356" s="899"/>
      <c r="W356" s="899"/>
      <c r="X356" s="899"/>
      <c r="Y356" s="899"/>
      <c r="Z356" s="899"/>
      <c r="AA356" s="899"/>
      <c r="AB356" s="899"/>
      <c r="AC356" s="899"/>
      <c r="AD356" s="899"/>
      <c r="AE356" s="899"/>
    </row>
    <row r="357">
      <c r="A357" s="944"/>
      <c r="B357" s="945"/>
      <c r="C357" s="945"/>
      <c r="D357" s="945"/>
      <c r="E357" s="945"/>
      <c r="F357" s="945"/>
      <c r="G357" s="945"/>
      <c r="H357" s="945"/>
      <c r="I357" s="945"/>
      <c r="J357" s="945"/>
      <c r="K357" s="945"/>
      <c r="L357" s="945"/>
      <c r="M357" s="945"/>
      <c r="N357" s="899"/>
      <c r="O357" s="899"/>
      <c r="P357" s="899"/>
      <c r="Q357" s="899"/>
      <c r="R357" s="899"/>
      <c r="S357" s="899"/>
      <c r="T357" s="899"/>
      <c r="U357" s="899"/>
      <c r="V357" s="899"/>
      <c r="W357" s="899"/>
      <c r="X357" s="899"/>
      <c r="Y357" s="899"/>
      <c r="Z357" s="899"/>
      <c r="AA357" s="899"/>
      <c r="AB357" s="899"/>
      <c r="AC357" s="899"/>
      <c r="AD357" s="899"/>
      <c r="AE357" s="899"/>
    </row>
    <row r="358">
      <c r="A358" s="944"/>
      <c r="B358" s="945"/>
      <c r="C358" s="945"/>
      <c r="D358" s="945"/>
      <c r="E358" s="945"/>
      <c r="F358" s="945"/>
      <c r="G358" s="945"/>
      <c r="H358" s="945"/>
      <c r="I358" s="945"/>
      <c r="J358" s="945"/>
      <c r="K358" s="945"/>
      <c r="L358" s="945"/>
      <c r="M358" s="945"/>
      <c r="N358" s="899"/>
      <c r="O358" s="899"/>
      <c r="P358" s="899"/>
      <c r="Q358" s="899"/>
      <c r="R358" s="899"/>
      <c r="S358" s="899"/>
      <c r="T358" s="899"/>
      <c r="U358" s="899"/>
      <c r="V358" s="899"/>
      <c r="W358" s="899"/>
      <c r="X358" s="899"/>
      <c r="Y358" s="899"/>
      <c r="Z358" s="899"/>
      <c r="AA358" s="899"/>
      <c r="AB358" s="899"/>
      <c r="AC358" s="899"/>
      <c r="AD358" s="899"/>
      <c r="AE358" s="899"/>
    </row>
    <row r="359">
      <c r="A359" s="944"/>
      <c r="B359" s="945"/>
      <c r="C359" s="945"/>
      <c r="D359" s="945"/>
      <c r="E359" s="945"/>
      <c r="F359" s="945"/>
      <c r="G359" s="945"/>
      <c r="H359" s="945"/>
      <c r="I359" s="945"/>
      <c r="J359" s="945"/>
      <c r="K359" s="945"/>
      <c r="L359" s="945"/>
      <c r="M359" s="945"/>
      <c r="N359" s="899"/>
      <c r="O359" s="899"/>
      <c r="P359" s="899"/>
      <c r="Q359" s="899"/>
      <c r="R359" s="899"/>
      <c r="S359" s="899"/>
      <c r="T359" s="899"/>
      <c r="U359" s="899"/>
      <c r="V359" s="899"/>
      <c r="W359" s="899"/>
      <c r="X359" s="899"/>
      <c r="Y359" s="899"/>
      <c r="Z359" s="899"/>
      <c r="AA359" s="899"/>
      <c r="AB359" s="899"/>
      <c r="AC359" s="899"/>
      <c r="AD359" s="899"/>
      <c r="AE359" s="899"/>
    </row>
    <row r="360">
      <c r="A360" s="944"/>
      <c r="B360" s="945"/>
      <c r="C360" s="945"/>
      <c r="D360" s="945"/>
      <c r="E360" s="945"/>
      <c r="F360" s="945"/>
      <c r="G360" s="945"/>
      <c r="H360" s="945"/>
      <c r="I360" s="945"/>
      <c r="J360" s="945"/>
      <c r="K360" s="945"/>
      <c r="L360" s="945"/>
      <c r="M360" s="945"/>
      <c r="N360" s="899"/>
      <c r="O360" s="899"/>
      <c r="P360" s="899"/>
      <c r="Q360" s="899"/>
      <c r="R360" s="899"/>
      <c r="S360" s="899"/>
      <c r="T360" s="899"/>
      <c r="U360" s="899"/>
      <c r="V360" s="899"/>
      <c r="W360" s="899"/>
      <c r="X360" s="899"/>
      <c r="Y360" s="899"/>
      <c r="Z360" s="899"/>
      <c r="AA360" s="899"/>
      <c r="AB360" s="899"/>
      <c r="AC360" s="899"/>
      <c r="AD360" s="899"/>
      <c r="AE360" s="899"/>
    </row>
    <row r="361">
      <c r="A361" s="944"/>
      <c r="B361" s="945"/>
      <c r="C361" s="945"/>
      <c r="D361" s="945"/>
      <c r="E361" s="945"/>
      <c r="F361" s="945"/>
      <c r="G361" s="945"/>
      <c r="H361" s="945"/>
      <c r="I361" s="945"/>
      <c r="J361" s="945"/>
      <c r="K361" s="945"/>
      <c r="L361" s="945"/>
      <c r="M361" s="945"/>
      <c r="N361" s="899"/>
      <c r="O361" s="899"/>
      <c r="P361" s="899"/>
      <c r="Q361" s="899"/>
      <c r="R361" s="899"/>
      <c r="S361" s="899"/>
      <c r="T361" s="899"/>
      <c r="U361" s="899"/>
      <c r="V361" s="899"/>
      <c r="W361" s="899"/>
      <c r="X361" s="899"/>
      <c r="Y361" s="899"/>
      <c r="Z361" s="899"/>
      <c r="AA361" s="899"/>
      <c r="AB361" s="899"/>
      <c r="AC361" s="899"/>
      <c r="AD361" s="899"/>
      <c r="AE361" s="899"/>
    </row>
    <row r="362">
      <c r="A362" s="944"/>
      <c r="B362" s="945"/>
      <c r="C362" s="945"/>
      <c r="D362" s="945"/>
      <c r="E362" s="945"/>
      <c r="F362" s="945"/>
      <c r="G362" s="945"/>
      <c r="H362" s="945"/>
      <c r="I362" s="945"/>
      <c r="J362" s="945"/>
      <c r="K362" s="945"/>
      <c r="L362" s="945"/>
      <c r="M362" s="945"/>
      <c r="N362" s="899"/>
      <c r="O362" s="899"/>
      <c r="P362" s="899"/>
      <c r="Q362" s="899"/>
      <c r="R362" s="899"/>
      <c r="S362" s="899"/>
      <c r="T362" s="899"/>
      <c r="U362" s="899"/>
      <c r="V362" s="899"/>
      <c r="W362" s="899"/>
      <c r="X362" s="899"/>
      <c r="Y362" s="899"/>
      <c r="Z362" s="899"/>
      <c r="AA362" s="899"/>
      <c r="AB362" s="899"/>
      <c r="AC362" s="899"/>
      <c r="AD362" s="899"/>
      <c r="AE362" s="899"/>
    </row>
    <row r="363">
      <c r="A363" s="944"/>
      <c r="B363" s="945"/>
      <c r="C363" s="945"/>
      <c r="D363" s="945"/>
      <c r="E363" s="945"/>
      <c r="F363" s="945"/>
      <c r="G363" s="945"/>
      <c r="H363" s="945"/>
      <c r="I363" s="945"/>
      <c r="J363" s="945"/>
      <c r="K363" s="945"/>
      <c r="L363" s="945"/>
      <c r="M363" s="945"/>
      <c r="N363" s="899"/>
      <c r="O363" s="899"/>
      <c r="P363" s="899"/>
      <c r="Q363" s="899"/>
      <c r="R363" s="899"/>
      <c r="S363" s="899"/>
      <c r="T363" s="899"/>
      <c r="U363" s="899"/>
      <c r="V363" s="899"/>
      <c r="W363" s="899"/>
      <c r="X363" s="899"/>
      <c r="Y363" s="899"/>
      <c r="Z363" s="899"/>
      <c r="AA363" s="899"/>
      <c r="AB363" s="899"/>
      <c r="AC363" s="899"/>
      <c r="AD363" s="899"/>
      <c r="AE363" s="899"/>
    </row>
    <row r="364">
      <c r="A364" s="944"/>
      <c r="B364" s="945"/>
      <c r="C364" s="945"/>
      <c r="D364" s="945"/>
      <c r="E364" s="945"/>
      <c r="F364" s="945"/>
      <c r="G364" s="945"/>
      <c r="H364" s="945"/>
      <c r="I364" s="945"/>
      <c r="J364" s="945"/>
      <c r="K364" s="945"/>
      <c r="L364" s="945"/>
      <c r="M364" s="945"/>
      <c r="N364" s="899"/>
      <c r="O364" s="899"/>
      <c r="P364" s="899"/>
      <c r="Q364" s="899"/>
      <c r="R364" s="899"/>
      <c r="S364" s="899"/>
      <c r="T364" s="899"/>
      <c r="U364" s="899"/>
      <c r="V364" s="899"/>
      <c r="W364" s="899"/>
      <c r="X364" s="899"/>
      <c r="Y364" s="899"/>
      <c r="Z364" s="899"/>
      <c r="AA364" s="899"/>
      <c r="AB364" s="899"/>
      <c r="AC364" s="899"/>
      <c r="AD364" s="899"/>
      <c r="AE364" s="899"/>
    </row>
    <row r="365">
      <c r="A365" s="944"/>
      <c r="B365" s="945"/>
      <c r="C365" s="945"/>
      <c r="D365" s="945"/>
      <c r="E365" s="945"/>
      <c r="F365" s="945"/>
      <c r="G365" s="945"/>
      <c r="H365" s="945"/>
      <c r="I365" s="945"/>
      <c r="J365" s="945"/>
      <c r="K365" s="945"/>
      <c r="L365" s="945"/>
      <c r="M365" s="945"/>
      <c r="N365" s="899"/>
      <c r="O365" s="899"/>
      <c r="P365" s="899"/>
      <c r="Q365" s="899"/>
      <c r="R365" s="899"/>
      <c r="S365" s="899"/>
      <c r="T365" s="899"/>
      <c r="U365" s="899"/>
      <c r="V365" s="899"/>
      <c r="W365" s="899"/>
      <c r="X365" s="899"/>
      <c r="Y365" s="899"/>
      <c r="Z365" s="899"/>
      <c r="AA365" s="899"/>
      <c r="AB365" s="899"/>
      <c r="AC365" s="899"/>
      <c r="AD365" s="899"/>
      <c r="AE365" s="899"/>
    </row>
    <row r="366">
      <c r="A366" s="944"/>
      <c r="B366" s="945"/>
      <c r="C366" s="945"/>
      <c r="D366" s="945"/>
      <c r="E366" s="945"/>
      <c r="F366" s="945"/>
      <c r="G366" s="945"/>
      <c r="H366" s="945"/>
      <c r="I366" s="945"/>
      <c r="J366" s="945"/>
      <c r="K366" s="945"/>
      <c r="L366" s="945"/>
      <c r="M366" s="945"/>
      <c r="N366" s="899"/>
      <c r="O366" s="899"/>
      <c r="P366" s="899"/>
      <c r="Q366" s="899"/>
      <c r="R366" s="899"/>
      <c r="S366" s="899"/>
      <c r="T366" s="899"/>
      <c r="U366" s="899"/>
      <c r="V366" s="899"/>
      <c r="W366" s="899"/>
      <c r="X366" s="899"/>
      <c r="Y366" s="899"/>
      <c r="Z366" s="899"/>
      <c r="AA366" s="899"/>
      <c r="AB366" s="899"/>
      <c r="AC366" s="899"/>
      <c r="AD366" s="899"/>
      <c r="AE366" s="899"/>
    </row>
    <row r="367">
      <c r="A367" s="944"/>
      <c r="B367" s="945"/>
      <c r="C367" s="945"/>
      <c r="D367" s="945"/>
      <c r="E367" s="945"/>
      <c r="F367" s="945"/>
      <c r="G367" s="945"/>
      <c r="H367" s="945"/>
      <c r="I367" s="945"/>
      <c r="J367" s="945"/>
      <c r="K367" s="945"/>
      <c r="L367" s="945"/>
      <c r="M367" s="945"/>
      <c r="N367" s="899"/>
      <c r="O367" s="899"/>
      <c r="P367" s="899"/>
      <c r="Q367" s="899"/>
      <c r="R367" s="899"/>
      <c r="S367" s="899"/>
      <c r="T367" s="899"/>
      <c r="U367" s="899"/>
      <c r="V367" s="899"/>
      <c r="W367" s="899"/>
      <c r="X367" s="899"/>
      <c r="Y367" s="899"/>
      <c r="Z367" s="899"/>
      <c r="AA367" s="899"/>
      <c r="AB367" s="899"/>
      <c r="AC367" s="899"/>
      <c r="AD367" s="899"/>
      <c r="AE367" s="899"/>
    </row>
    <row r="368">
      <c r="A368" s="944"/>
      <c r="B368" s="945"/>
      <c r="C368" s="945"/>
      <c r="D368" s="945"/>
      <c r="E368" s="945"/>
      <c r="F368" s="945"/>
      <c r="G368" s="945"/>
      <c r="H368" s="945"/>
      <c r="I368" s="945"/>
      <c r="J368" s="945"/>
      <c r="K368" s="945"/>
      <c r="L368" s="945"/>
      <c r="M368" s="945"/>
      <c r="N368" s="899"/>
      <c r="O368" s="899"/>
      <c r="P368" s="899"/>
      <c r="Q368" s="899"/>
      <c r="R368" s="899"/>
      <c r="S368" s="899"/>
      <c r="T368" s="899"/>
      <c r="U368" s="899"/>
      <c r="V368" s="899"/>
      <c r="W368" s="899"/>
      <c r="X368" s="899"/>
      <c r="Y368" s="899"/>
      <c r="Z368" s="899"/>
      <c r="AA368" s="899"/>
      <c r="AB368" s="899"/>
      <c r="AC368" s="899"/>
      <c r="AD368" s="899"/>
      <c r="AE368" s="899"/>
    </row>
    <row r="369">
      <c r="A369" s="944"/>
      <c r="B369" s="945"/>
      <c r="C369" s="945"/>
      <c r="D369" s="945"/>
      <c r="E369" s="945"/>
      <c r="F369" s="945"/>
      <c r="G369" s="945"/>
      <c r="H369" s="945"/>
      <c r="I369" s="945"/>
      <c r="J369" s="945"/>
      <c r="K369" s="945"/>
      <c r="L369" s="945"/>
      <c r="M369" s="945"/>
      <c r="N369" s="899"/>
      <c r="O369" s="899"/>
      <c r="P369" s="899"/>
      <c r="Q369" s="899"/>
      <c r="R369" s="899"/>
      <c r="S369" s="899"/>
      <c r="T369" s="899"/>
      <c r="U369" s="899"/>
      <c r="V369" s="899"/>
      <c r="W369" s="899"/>
      <c r="X369" s="899"/>
      <c r="Y369" s="899"/>
      <c r="Z369" s="899"/>
      <c r="AA369" s="899"/>
      <c r="AB369" s="899"/>
      <c r="AC369" s="899"/>
      <c r="AD369" s="899"/>
      <c r="AE369" s="899"/>
    </row>
    <row r="370">
      <c r="A370" s="944"/>
      <c r="B370" s="945"/>
      <c r="C370" s="945"/>
      <c r="D370" s="945"/>
      <c r="E370" s="945"/>
      <c r="F370" s="945"/>
      <c r="G370" s="945"/>
      <c r="H370" s="945"/>
      <c r="I370" s="945"/>
      <c r="J370" s="945"/>
      <c r="K370" s="945"/>
      <c r="L370" s="945"/>
      <c r="M370" s="945"/>
      <c r="N370" s="899"/>
      <c r="O370" s="899"/>
      <c r="P370" s="899"/>
      <c r="Q370" s="899"/>
      <c r="R370" s="899"/>
      <c r="S370" s="899"/>
      <c r="T370" s="899"/>
      <c r="U370" s="899"/>
      <c r="V370" s="899"/>
      <c r="W370" s="899"/>
      <c r="X370" s="899"/>
      <c r="Y370" s="899"/>
      <c r="Z370" s="899"/>
      <c r="AA370" s="899"/>
      <c r="AB370" s="899"/>
      <c r="AC370" s="899"/>
      <c r="AD370" s="899"/>
      <c r="AE370" s="899"/>
    </row>
    <row r="371">
      <c r="A371" s="944"/>
      <c r="B371" s="945"/>
      <c r="C371" s="945"/>
      <c r="D371" s="945"/>
      <c r="E371" s="945"/>
      <c r="F371" s="945"/>
      <c r="G371" s="945"/>
      <c r="H371" s="945"/>
      <c r="I371" s="945"/>
      <c r="J371" s="945"/>
      <c r="K371" s="945"/>
      <c r="L371" s="945"/>
      <c r="M371" s="945"/>
      <c r="N371" s="899"/>
      <c r="O371" s="899"/>
      <c r="P371" s="899"/>
      <c r="Q371" s="899"/>
      <c r="R371" s="899"/>
      <c r="S371" s="899"/>
      <c r="T371" s="899"/>
      <c r="U371" s="899"/>
      <c r="V371" s="899"/>
      <c r="W371" s="899"/>
      <c r="X371" s="899"/>
      <c r="Y371" s="899"/>
      <c r="Z371" s="899"/>
      <c r="AA371" s="899"/>
      <c r="AB371" s="899"/>
      <c r="AC371" s="899"/>
      <c r="AD371" s="899"/>
      <c r="AE371" s="899"/>
    </row>
    <row r="372">
      <c r="A372" s="944"/>
      <c r="B372" s="945"/>
      <c r="C372" s="945"/>
      <c r="D372" s="945"/>
      <c r="E372" s="945"/>
      <c r="F372" s="945"/>
      <c r="G372" s="945"/>
      <c r="H372" s="945"/>
      <c r="I372" s="945"/>
      <c r="J372" s="945"/>
      <c r="K372" s="945"/>
      <c r="L372" s="945"/>
      <c r="M372" s="945"/>
      <c r="N372" s="899"/>
      <c r="O372" s="899"/>
      <c r="P372" s="899"/>
      <c r="Q372" s="899"/>
      <c r="R372" s="899"/>
      <c r="S372" s="899"/>
      <c r="T372" s="899"/>
      <c r="U372" s="899"/>
      <c r="V372" s="899"/>
      <c r="W372" s="899"/>
      <c r="X372" s="899"/>
      <c r="Y372" s="899"/>
      <c r="Z372" s="899"/>
      <c r="AA372" s="899"/>
      <c r="AB372" s="899"/>
      <c r="AC372" s="899"/>
      <c r="AD372" s="899"/>
      <c r="AE372" s="899"/>
    </row>
    <row r="373">
      <c r="A373" s="944"/>
      <c r="B373" s="945"/>
      <c r="C373" s="945"/>
      <c r="D373" s="945"/>
      <c r="E373" s="945"/>
      <c r="F373" s="945"/>
      <c r="G373" s="945"/>
      <c r="H373" s="945"/>
      <c r="I373" s="945"/>
      <c r="J373" s="945"/>
      <c r="K373" s="945"/>
      <c r="L373" s="945"/>
      <c r="M373" s="945"/>
      <c r="N373" s="899"/>
      <c r="O373" s="899"/>
      <c r="P373" s="899"/>
      <c r="Q373" s="899"/>
      <c r="R373" s="899"/>
      <c r="S373" s="899"/>
      <c r="T373" s="899"/>
      <c r="U373" s="899"/>
      <c r="V373" s="899"/>
      <c r="W373" s="899"/>
      <c r="X373" s="899"/>
      <c r="Y373" s="899"/>
      <c r="Z373" s="899"/>
      <c r="AA373" s="899"/>
      <c r="AB373" s="899"/>
      <c r="AC373" s="899"/>
      <c r="AD373" s="899"/>
      <c r="AE373" s="899"/>
    </row>
    <row r="374">
      <c r="A374" s="944"/>
      <c r="B374" s="945"/>
      <c r="C374" s="945"/>
      <c r="D374" s="945"/>
      <c r="E374" s="945"/>
      <c r="F374" s="945"/>
      <c r="G374" s="945"/>
      <c r="H374" s="945"/>
      <c r="I374" s="945"/>
      <c r="J374" s="945"/>
      <c r="K374" s="945"/>
      <c r="L374" s="945"/>
      <c r="M374" s="945"/>
      <c r="N374" s="899"/>
      <c r="O374" s="899"/>
      <c r="P374" s="899"/>
      <c r="Q374" s="899"/>
      <c r="R374" s="899"/>
      <c r="S374" s="899"/>
      <c r="T374" s="899"/>
      <c r="U374" s="899"/>
      <c r="V374" s="899"/>
      <c r="W374" s="899"/>
      <c r="X374" s="899"/>
      <c r="Y374" s="899"/>
      <c r="Z374" s="899"/>
      <c r="AA374" s="899"/>
      <c r="AB374" s="899"/>
      <c r="AC374" s="899"/>
      <c r="AD374" s="899"/>
      <c r="AE374" s="899"/>
    </row>
    <row r="375">
      <c r="A375" s="944"/>
      <c r="B375" s="945"/>
      <c r="C375" s="945"/>
      <c r="D375" s="945"/>
      <c r="E375" s="945"/>
      <c r="F375" s="945"/>
      <c r="G375" s="945"/>
      <c r="H375" s="945"/>
      <c r="I375" s="945"/>
      <c r="J375" s="945"/>
      <c r="K375" s="945"/>
      <c r="L375" s="945"/>
      <c r="M375" s="945"/>
      <c r="N375" s="899"/>
      <c r="O375" s="899"/>
      <c r="P375" s="899"/>
      <c r="Q375" s="899"/>
      <c r="R375" s="899"/>
      <c r="S375" s="899"/>
      <c r="T375" s="899"/>
      <c r="U375" s="899"/>
      <c r="V375" s="899"/>
      <c r="W375" s="899"/>
      <c r="X375" s="899"/>
      <c r="Y375" s="899"/>
      <c r="Z375" s="899"/>
      <c r="AA375" s="899"/>
      <c r="AB375" s="899"/>
      <c r="AC375" s="899"/>
      <c r="AD375" s="899"/>
      <c r="AE375" s="899"/>
    </row>
    <row r="376">
      <c r="A376" s="944"/>
      <c r="B376" s="945"/>
      <c r="C376" s="945"/>
      <c r="D376" s="945"/>
      <c r="E376" s="945"/>
      <c r="F376" s="945"/>
      <c r="G376" s="945"/>
      <c r="H376" s="945"/>
      <c r="I376" s="945"/>
      <c r="J376" s="945"/>
      <c r="K376" s="945"/>
      <c r="L376" s="945"/>
      <c r="M376" s="945"/>
      <c r="N376" s="899"/>
      <c r="O376" s="899"/>
      <c r="P376" s="899"/>
      <c r="Q376" s="899"/>
      <c r="R376" s="899"/>
      <c r="S376" s="899"/>
      <c r="T376" s="899"/>
      <c r="U376" s="899"/>
      <c r="V376" s="899"/>
      <c r="W376" s="899"/>
      <c r="X376" s="899"/>
      <c r="Y376" s="899"/>
      <c r="Z376" s="899"/>
      <c r="AA376" s="899"/>
      <c r="AB376" s="899"/>
      <c r="AC376" s="899"/>
      <c r="AD376" s="899"/>
      <c r="AE376" s="899"/>
    </row>
    <row r="377">
      <c r="A377" s="944"/>
      <c r="B377" s="945"/>
      <c r="C377" s="945"/>
      <c r="D377" s="945"/>
      <c r="E377" s="945"/>
      <c r="F377" s="945"/>
      <c r="G377" s="945"/>
      <c r="H377" s="945"/>
      <c r="I377" s="945"/>
      <c r="J377" s="945"/>
      <c r="K377" s="945"/>
      <c r="L377" s="945"/>
      <c r="M377" s="945"/>
      <c r="N377" s="899"/>
      <c r="O377" s="899"/>
      <c r="P377" s="899"/>
      <c r="Q377" s="899"/>
      <c r="R377" s="899"/>
      <c r="S377" s="899"/>
      <c r="T377" s="899"/>
      <c r="U377" s="899"/>
      <c r="V377" s="899"/>
      <c r="W377" s="899"/>
      <c r="X377" s="899"/>
      <c r="Y377" s="899"/>
      <c r="Z377" s="899"/>
      <c r="AA377" s="899"/>
      <c r="AB377" s="899"/>
      <c r="AC377" s="899"/>
      <c r="AD377" s="899"/>
      <c r="AE377" s="899"/>
    </row>
    <row r="378">
      <c r="A378" s="944"/>
      <c r="B378" s="945"/>
      <c r="C378" s="945"/>
      <c r="D378" s="945"/>
      <c r="E378" s="945"/>
      <c r="F378" s="945"/>
      <c r="G378" s="945"/>
      <c r="H378" s="945"/>
      <c r="I378" s="945"/>
      <c r="J378" s="945"/>
      <c r="K378" s="945"/>
      <c r="L378" s="945"/>
      <c r="M378" s="945"/>
      <c r="N378" s="899"/>
      <c r="O378" s="899"/>
      <c r="P378" s="899"/>
      <c r="Q378" s="899"/>
      <c r="R378" s="899"/>
      <c r="S378" s="899"/>
      <c r="T378" s="899"/>
      <c r="U378" s="899"/>
      <c r="V378" s="899"/>
      <c r="W378" s="899"/>
      <c r="X378" s="899"/>
      <c r="Y378" s="899"/>
      <c r="Z378" s="899"/>
      <c r="AA378" s="899"/>
      <c r="AB378" s="899"/>
      <c r="AC378" s="899"/>
      <c r="AD378" s="899"/>
      <c r="AE378" s="899"/>
    </row>
    <row r="379">
      <c r="A379" s="944"/>
      <c r="B379" s="945"/>
      <c r="C379" s="945"/>
      <c r="D379" s="945"/>
      <c r="E379" s="945"/>
      <c r="F379" s="945"/>
      <c r="G379" s="945"/>
      <c r="H379" s="945"/>
      <c r="I379" s="945"/>
      <c r="J379" s="945"/>
      <c r="K379" s="945"/>
      <c r="L379" s="945"/>
      <c r="M379" s="945"/>
      <c r="N379" s="899"/>
      <c r="O379" s="899"/>
      <c r="P379" s="899"/>
      <c r="Q379" s="899"/>
      <c r="R379" s="899"/>
      <c r="S379" s="899"/>
      <c r="T379" s="899"/>
      <c r="U379" s="899"/>
      <c r="V379" s="899"/>
      <c r="W379" s="899"/>
      <c r="X379" s="899"/>
      <c r="Y379" s="899"/>
      <c r="Z379" s="899"/>
      <c r="AA379" s="899"/>
      <c r="AB379" s="899"/>
      <c r="AC379" s="899"/>
      <c r="AD379" s="899"/>
      <c r="AE379" s="899"/>
    </row>
    <row r="380">
      <c r="A380" s="944"/>
      <c r="B380" s="945"/>
      <c r="C380" s="945"/>
      <c r="D380" s="945"/>
      <c r="E380" s="945"/>
      <c r="F380" s="945"/>
      <c r="G380" s="945"/>
      <c r="H380" s="945"/>
      <c r="I380" s="945"/>
      <c r="J380" s="945"/>
      <c r="K380" s="945"/>
      <c r="L380" s="945"/>
      <c r="M380" s="945"/>
      <c r="N380" s="899"/>
      <c r="O380" s="899"/>
      <c r="P380" s="899"/>
      <c r="Q380" s="899"/>
      <c r="R380" s="899"/>
      <c r="S380" s="899"/>
      <c r="T380" s="899"/>
      <c r="U380" s="899"/>
      <c r="V380" s="899"/>
      <c r="W380" s="899"/>
      <c r="X380" s="899"/>
      <c r="Y380" s="899"/>
      <c r="Z380" s="899"/>
      <c r="AA380" s="899"/>
      <c r="AB380" s="899"/>
      <c r="AC380" s="899"/>
      <c r="AD380" s="899"/>
      <c r="AE380" s="899"/>
    </row>
    <row r="381">
      <c r="A381" s="944"/>
      <c r="B381" s="945"/>
      <c r="C381" s="945"/>
      <c r="D381" s="945"/>
      <c r="E381" s="945"/>
      <c r="F381" s="945"/>
      <c r="G381" s="945"/>
      <c r="H381" s="945"/>
      <c r="I381" s="945"/>
      <c r="J381" s="945"/>
      <c r="K381" s="945"/>
      <c r="L381" s="945"/>
      <c r="M381" s="945"/>
      <c r="N381" s="899"/>
      <c r="O381" s="899"/>
      <c r="P381" s="899"/>
      <c r="Q381" s="899"/>
      <c r="R381" s="899"/>
      <c r="S381" s="899"/>
      <c r="T381" s="899"/>
      <c r="U381" s="899"/>
      <c r="V381" s="899"/>
      <c r="W381" s="899"/>
      <c r="X381" s="899"/>
      <c r="Y381" s="899"/>
      <c r="Z381" s="899"/>
      <c r="AA381" s="899"/>
      <c r="AB381" s="899"/>
      <c r="AC381" s="899"/>
      <c r="AD381" s="899"/>
      <c r="AE381" s="899"/>
    </row>
    <row r="382">
      <c r="A382" s="944"/>
      <c r="B382" s="945"/>
      <c r="C382" s="945"/>
      <c r="D382" s="945"/>
      <c r="E382" s="945"/>
      <c r="F382" s="945"/>
      <c r="G382" s="945"/>
      <c r="H382" s="945"/>
      <c r="I382" s="945"/>
      <c r="J382" s="945"/>
      <c r="K382" s="945"/>
      <c r="L382" s="945"/>
      <c r="M382" s="945"/>
      <c r="N382" s="899"/>
      <c r="O382" s="899"/>
      <c r="P382" s="899"/>
      <c r="Q382" s="899"/>
      <c r="R382" s="899"/>
      <c r="S382" s="899"/>
      <c r="T382" s="899"/>
      <c r="U382" s="899"/>
      <c r="V382" s="899"/>
      <c r="W382" s="899"/>
      <c r="X382" s="899"/>
      <c r="Y382" s="899"/>
      <c r="Z382" s="899"/>
      <c r="AA382" s="899"/>
      <c r="AB382" s="899"/>
      <c r="AC382" s="899"/>
      <c r="AD382" s="899"/>
      <c r="AE382" s="899"/>
    </row>
    <row r="383">
      <c r="A383" s="944"/>
      <c r="B383" s="945"/>
      <c r="C383" s="945"/>
      <c r="D383" s="945"/>
      <c r="E383" s="945"/>
      <c r="F383" s="945"/>
      <c r="G383" s="945"/>
      <c r="H383" s="945"/>
      <c r="I383" s="945"/>
      <c r="J383" s="945"/>
      <c r="K383" s="945"/>
      <c r="L383" s="945"/>
      <c r="M383" s="945"/>
      <c r="N383" s="899"/>
      <c r="O383" s="899"/>
      <c r="P383" s="899"/>
      <c r="Q383" s="899"/>
      <c r="R383" s="899"/>
      <c r="S383" s="899"/>
      <c r="T383" s="899"/>
      <c r="U383" s="899"/>
      <c r="V383" s="899"/>
      <c r="W383" s="899"/>
      <c r="X383" s="899"/>
      <c r="Y383" s="899"/>
      <c r="Z383" s="899"/>
      <c r="AA383" s="899"/>
      <c r="AB383" s="899"/>
      <c r="AC383" s="899"/>
      <c r="AD383" s="899"/>
      <c r="AE383" s="899"/>
    </row>
    <row r="384">
      <c r="A384" s="944"/>
      <c r="B384" s="945"/>
      <c r="C384" s="945"/>
      <c r="D384" s="945"/>
      <c r="E384" s="945"/>
      <c r="F384" s="945"/>
      <c r="G384" s="945"/>
      <c r="H384" s="945"/>
      <c r="I384" s="945"/>
      <c r="J384" s="945"/>
      <c r="K384" s="945"/>
      <c r="L384" s="945"/>
      <c r="M384" s="945"/>
      <c r="N384" s="899"/>
      <c r="O384" s="899"/>
      <c r="P384" s="899"/>
      <c r="Q384" s="899"/>
      <c r="R384" s="899"/>
      <c r="S384" s="899"/>
      <c r="T384" s="899"/>
      <c r="U384" s="899"/>
      <c r="V384" s="899"/>
      <c r="W384" s="899"/>
      <c r="X384" s="899"/>
      <c r="Y384" s="899"/>
      <c r="Z384" s="899"/>
      <c r="AA384" s="899"/>
      <c r="AB384" s="899"/>
      <c r="AC384" s="899"/>
      <c r="AD384" s="899"/>
      <c r="AE384" s="899"/>
    </row>
    <row r="385">
      <c r="A385" s="944"/>
      <c r="B385" s="945"/>
      <c r="C385" s="945"/>
      <c r="D385" s="945"/>
      <c r="E385" s="945"/>
      <c r="F385" s="945"/>
      <c r="G385" s="945"/>
      <c r="H385" s="945"/>
      <c r="I385" s="945"/>
      <c r="J385" s="945"/>
      <c r="K385" s="945"/>
      <c r="L385" s="945"/>
      <c r="M385" s="945"/>
      <c r="N385" s="899"/>
      <c r="O385" s="899"/>
      <c r="P385" s="899"/>
      <c r="Q385" s="899"/>
      <c r="R385" s="899"/>
      <c r="S385" s="899"/>
      <c r="T385" s="899"/>
      <c r="U385" s="899"/>
      <c r="V385" s="899"/>
      <c r="W385" s="899"/>
      <c r="X385" s="899"/>
      <c r="Y385" s="899"/>
      <c r="Z385" s="899"/>
      <c r="AA385" s="899"/>
      <c r="AB385" s="899"/>
      <c r="AC385" s="899"/>
      <c r="AD385" s="899"/>
      <c r="AE385" s="899"/>
    </row>
    <row r="386">
      <c r="A386" s="944"/>
      <c r="B386" s="945"/>
      <c r="C386" s="945"/>
      <c r="D386" s="945"/>
      <c r="E386" s="945"/>
      <c r="F386" s="945"/>
      <c r="G386" s="945"/>
      <c r="H386" s="945"/>
      <c r="I386" s="945"/>
      <c r="J386" s="945"/>
      <c r="K386" s="945"/>
      <c r="L386" s="945"/>
      <c r="M386" s="945"/>
      <c r="N386" s="899"/>
      <c r="O386" s="899"/>
      <c r="P386" s="899"/>
      <c r="Q386" s="899"/>
      <c r="R386" s="899"/>
      <c r="S386" s="899"/>
      <c r="T386" s="899"/>
      <c r="U386" s="899"/>
      <c r="V386" s="899"/>
      <c r="W386" s="899"/>
      <c r="X386" s="899"/>
      <c r="Y386" s="899"/>
      <c r="Z386" s="899"/>
      <c r="AA386" s="899"/>
      <c r="AB386" s="899"/>
      <c r="AC386" s="899"/>
      <c r="AD386" s="899"/>
      <c r="AE386" s="899"/>
    </row>
    <row r="387">
      <c r="A387" s="944"/>
      <c r="B387" s="945"/>
      <c r="C387" s="945"/>
      <c r="D387" s="945"/>
      <c r="E387" s="945"/>
      <c r="F387" s="945"/>
      <c r="G387" s="945"/>
      <c r="H387" s="945"/>
      <c r="I387" s="945"/>
      <c r="J387" s="945"/>
      <c r="K387" s="945"/>
      <c r="L387" s="945"/>
      <c r="M387" s="945"/>
      <c r="N387" s="899"/>
      <c r="O387" s="899"/>
      <c r="P387" s="899"/>
      <c r="Q387" s="899"/>
      <c r="R387" s="899"/>
      <c r="S387" s="899"/>
      <c r="T387" s="899"/>
      <c r="U387" s="899"/>
      <c r="V387" s="899"/>
      <c r="W387" s="899"/>
      <c r="X387" s="899"/>
      <c r="Y387" s="899"/>
      <c r="Z387" s="899"/>
      <c r="AA387" s="899"/>
      <c r="AB387" s="899"/>
      <c r="AC387" s="899"/>
      <c r="AD387" s="899"/>
      <c r="AE387" s="899"/>
    </row>
    <row r="388">
      <c r="A388" s="944"/>
      <c r="B388" s="945"/>
      <c r="C388" s="945"/>
      <c r="D388" s="945"/>
      <c r="E388" s="945"/>
      <c r="F388" s="945"/>
      <c r="G388" s="945"/>
      <c r="H388" s="945"/>
      <c r="I388" s="945"/>
      <c r="J388" s="945"/>
      <c r="K388" s="945"/>
      <c r="L388" s="945"/>
      <c r="M388" s="945"/>
      <c r="N388" s="899"/>
      <c r="O388" s="899"/>
      <c r="P388" s="899"/>
      <c r="Q388" s="899"/>
      <c r="R388" s="899"/>
      <c r="S388" s="899"/>
      <c r="T388" s="899"/>
      <c r="U388" s="899"/>
      <c r="V388" s="899"/>
      <c r="W388" s="899"/>
      <c r="X388" s="899"/>
      <c r="Y388" s="899"/>
      <c r="Z388" s="899"/>
      <c r="AA388" s="899"/>
      <c r="AB388" s="899"/>
      <c r="AC388" s="899"/>
      <c r="AD388" s="899"/>
      <c r="AE388" s="899"/>
    </row>
    <row r="389">
      <c r="A389" s="944"/>
      <c r="B389" s="945"/>
      <c r="C389" s="945"/>
      <c r="D389" s="945"/>
      <c r="E389" s="945"/>
      <c r="F389" s="945"/>
      <c r="G389" s="945"/>
      <c r="H389" s="945"/>
      <c r="I389" s="945"/>
      <c r="J389" s="945"/>
      <c r="K389" s="945"/>
      <c r="L389" s="945"/>
      <c r="M389" s="945"/>
      <c r="N389" s="899"/>
      <c r="O389" s="899"/>
      <c r="P389" s="899"/>
      <c r="Q389" s="899"/>
      <c r="R389" s="899"/>
      <c r="S389" s="899"/>
      <c r="T389" s="899"/>
      <c r="U389" s="899"/>
      <c r="V389" s="899"/>
      <c r="W389" s="899"/>
      <c r="X389" s="899"/>
      <c r="Y389" s="899"/>
      <c r="Z389" s="899"/>
      <c r="AA389" s="899"/>
      <c r="AB389" s="899"/>
      <c r="AC389" s="899"/>
      <c r="AD389" s="899"/>
      <c r="AE389" s="899"/>
    </row>
    <row r="390">
      <c r="A390" s="944"/>
      <c r="B390" s="945"/>
      <c r="C390" s="945"/>
      <c r="D390" s="945"/>
      <c r="E390" s="945"/>
      <c r="F390" s="945"/>
      <c r="G390" s="945"/>
      <c r="H390" s="945"/>
      <c r="I390" s="945"/>
      <c r="J390" s="945"/>
      <c r="K390" s="945"/>
      <c r="L390" s="945"/>
      <c r="M390" s="945"/>
      <c r="N390" s="899"/>
      <c r="O390" s="899"/>
      <c r="P390" s="899"/>
      <c r="Q390" s="899"/>
      <c r="R390" s="899"/>
      <c r="S390" s="899"/>
      <c r="T390" s="899"/>
      <c r="U390" s="899"/>
      <c r="V390" s="899"/>
      <c r="W390" s="899"/>
      <c r="X390" s="899"/>
      <c r="Y390" s="899"/>
      <c r="Z390" s="899"/>
      <c r="AA390" s="899"/>
      <c r="AB390" s="899"/>
      <c r="AC390" s="899"/>
      <c r="AD390" s="899"/>
      <c r="AE390" s="899"/>
    </row>
    <row r="391">
      <c r="A391" s="944"/>
      <c r="B391" s="945"/>
      <c r="C391" s="945"/>
      <c r="D391" s="945"/>
      <c r="E391" s="945"/>
      <c r="F391" s="945"/>
      <c r="G391" s="945"/>
      <c r="H391" s="945"/>
      <c r="I391" s="945"/>
      <c r="J391" s="945"/>
      <c r="K391" s="945"/>
      <c r="L391" s="945"/>
      <c r="M391" s="945"/>
      <c r="N391" s="899"/>
      <c r="O391" s="899"/>
      <c r="P391" s="899"/>
      <c r="Q391" s="899"/>
      <c r="R391" s="899"/>
      <c r="S391" s="899"/>
      <c r="T391" s="899"/>
      <c r="U391" s="899"/>
      <c r="V391" s="899"/>
      <c r="W391" s="899"/>
      <c r="X391" s="899"/>
      <c r="Y391" s="899"/>
      <c r="Z391" s="899"/>
      <c r="AA391" s="899"/>
      <c r="AB391" s="899"/>
      <c r="AC391" s="899"/>
      <c r="AD391" s="899"/>
      <c r="AE391" s="899"/>
    </row>
    <row r="392">
      <c r="A392" s="944"/>
      <c r="B392" s="945"/>
      <c r="C392" s="945"/>
      <c r="D392" s="945"/>
      <c r="E392" s="945"/>
      <c r="F392" s="945"/>
      <c r="G392" s="945"/>
      <c r="H392" s="945"/>
      <c r="I392" s="945"/>
      <c r="J392" s="945"/>
      <c r="K392" s="945"/>
      <c r="L392" s="945"/>
      <c r="M392" s="945"/>
      <c r="N392" s="899"/>
      <c r="O392" s="899"/>
      <c r="P392" s="899"/>
      <c r="Q392" s="899"/>
      <c r="R392" s="899"/>
      <c r="S392" s="899"/>
      <c r="T392" s="899"/>
      <c r="U392" s="899"/>
      <c r="V392" s="899"/>
      <c r="W392" s="899"/>
      <c r="X392" s="899"/>
      <c r="Y392" s="899"/>
      <c r="Z392" s="899"/>
      <c r="AA392" s="899"/>
      <c r="AB392" s="899"/>
      <c r="AC392" s="899"/>
      <c r="AD392" s="899"/>
      <c r="AE392" s="899"/>
    </row>
    <row r="393">
      <c r="A393" s="944"/>
      <c r="B393" s="945"/>
      <c r="C393" s="945"/>
      <c r="D393" s="945"/>
      <c r="E393" s="945"/>
      <c r="F393" s="945"/>
      <c r="G393" s="945"/>
      <c r="H393" s="945"/>
      <c r="I393" s="945"/>
      <c r="J393" s="945"/>
      <c r="K393" s="945"/>
      <c r="L393" s="945"/>
      <c r="M393" s="945"/>
      <c r="N393" s="899"/>
      <c r="O393" s="899"/>
      <c r="P393" s="899"/>
      <c r="Q393" s="899"/>
      <c r="R393" s="899"/>
      <c r="S393" s="899"/>
      <c r="T393" s="899"/>
      <c r="U393" s="899"/>
      <c r="V393" s="899"/>
      <c r="W393" s="899"/>
      <c r="X393" s="899"/>
      <c r="Y393" s="899"/>
      <c r="Z393" s="899"/>
      <c r="AA393" s="899"/>
      <c r="AB393" s="899"/>
      <c r="AC393" s="899"/>
      <c r="AD393" s="899"/>
      <c r="AE393" s="899"/>
    </row>
    <row r="394">
      <c r="A394" s="944"/>
      <c r="B394" s="945"/>
      <c r="C394" s="945"/>
      <c r="D394" s="945"/>
      <c r="E394" s="945"/>
      <c r="F394" s="945"/>
      <c r="G394" s="945"/>
      <c r="H394" s="945"/>
      <c r="I394" s="945"/>
      <c r="J394" s="945"/>
      <c r="K394" s="945"/>
      <c r="L394" s="945"/>
      <c r="M394" s="945"/>
      <c r="N394" s="899"/>
      <c r="O394" s="899"/>
      <c r="P394" s="899"/>
      <c r="Q394" s="899"/>
      <c r="R394" s="899"/>
      <c r="S394" s="899"/>
      <c r="T394" s="899"/>
      <c r="U394" s="899"/>
      <c r="V394" s="899"/>
      <c r="W394" s="899"/>
      <c r="X394" s="899"/>
      <c r="Y394" s="899"/>
      <c r="Z394" s="899"/>
      <c r="AA394" s="899"/>
      <c r="AB394" s="899"/>
      <c r="AC394" s="899"/>
      <c r="AD394" s="899"/>
      <c r="AE394" s="899"/>
    </row>
    <row r="395">
      <c r="A395" s="944"/>
      <c r="B395" s="945"/>
      <c r="C395" s="945"/>
      <c r="D395" s="945"/>
      <c r="E395" s="945"/>
      <c r="F395" s="945"/>
      <c r="G395" s="945"/>
      <c r="H395" s="945"/>
      <c r="I395" s="945"/>
      <c r="J395" s="945"/>
      <c r="K395" s="945"/>
      <c r="L395" s="945"/>
      <c r="M395" s="945"/>
      <c r="N395" s="899"/>
      <c r="O395" s="899"/>
      <c r="P395" s="899"/>
      <c r="Q395" s="899"/>
      <c r="R395" s="899"/>
      <c r="S395" s="899"/>
      <c r="T395" s="899"/>
      <c r="U395" s="899"/>
      <c r="V395" s="899"/>
      <c r="W395" s="899"/>
      <c r="X395" s="899"/>
      <c r="Y395" s="899"/>
      <c r="Z395" s="899"/>
      <c r="AA395" s="899"/>
      <c r="AB395" s="899"/>
      <c r="AC395" s="899"/>
      <c r="AD395" s="899"/>
      <c r="AE395" s="899"/>
    </row>
    <row r="396">
      <c r="A396" s="944"/>
      <c r="B396" s="945"/>
      <c r="C396" s="945"/>
      <c r="D396" s="945"/>
      <c r="E396" s="945"/>
      <c r="F396" s="945"/>
      <c r="G396" s="945"/>
      <c r="H396" s="945"/>
      <c r="I396" s="945"/>
      <c r="J396" s="945"/>
      <c r="K396" s="945"/>
      <c r="L396" s="945"/>
      <c r="M396" s="945"/>
      <c r="N396" s="899"/>
      <c r="O396" s="899"/>
      <c r="P396" s="899"/>
      <c r="Q396" s="899"/>
      <c r="R396" s="899"/>
      <c r="S396" s="899"/>
      <c r="T396" s="899"/>
      <c r="U396" s="899"/>
      <c r="V396" s="899"/>
      <c r="W396" s="899"/>
      <c r="X396" s="899"/>
      <c r="Y396" s="899"/>
      <c r="Z396" s="899"/>
      <c r="AA396" s="899"/>
      <c r="AB396" s="899"/>
      <c r="AC396" s="899"/>
      <c r="AD396" s="899"/>
      <c r="AE396" s="899"/>
    </row>
    <row r="397">
      <c r="A397" s="944"/>
      <c r="B397" s="945"/>
      <c r="C397" s="945"/>
      <c r="D397" s="945"/>
      <c r="E397" s="945"/>
      <c r="F397" s="945"/>
      <c r="G397" s="945"/>
      <c r="H397" s="945"/>
      <c r="I397" s="945"/>
      <c r="J397" s="945"/>
      <c r="K397" s="945"/>
      <c r="L397" s="945"/>
      <c r="M397" s="945"/>
      <c r="N397" s="899"/>
      <c r="O397" s="899"/>
      <c r="P397" s="899"/>
      <c r="Q397" s="899"/>
      <c r="R397" s="899"/>
      <c r="S397" s="899"/>
      <c r="T397" s="899"/>
      <c r="U397" s="899"/>
      <c r="V397" s="899"/>
      <c r="W397" s="899"/>
      <c r="X397" s="899"/>
      <c r="Y397" s="899"/>
      <c r="Z397" s="899"/>
      <c r="AA397" s="899"/>
      <c r="AB397" s="899"/>
      <c r="AC397" s="899"/>
      <c r="AD397" s="899"/>
      <c r="AE397" s="899"/>
    </row>
    <row r="398">
      <c r="A398" s="944"/>
      <c r="B398" s="945"/>
      <c r="C398" s="945"/>
      <c r="D398" s="945"/>
      <c r="E398" s="945"/>
      <c r="F398" s="945"/>
      <c r="G398" s="945"/>
      <c r="H398" s="945"/>
      <c r="I398" s="945"/>
      <c r="J398" s="945"/>
      <c r="K398" s="945"/>
      <c r="L398" s="945"/>
      <c r="M398" s="945"/>
      <c r="N398" s="899"/>
      <c r="O398" s="899"/>
      <c r="P398" s="899"/>
      <c r="Q398" s="899"/>
      <c r="R398" s="899"/>
      <c r="S398" s="899"/>
      <c r="T398" s="899"/>
      <c r="U398" s="899"/>
      <c r="V398" s="899"/>
      <c r="W398" s="899"/>
      <c r="X398" s="899"/>
      <c r="Y398" s="899"/>
      <c r="Z398" s="899"/>
      <c r="AA398" s="899"/>
      <c r="AB398" s="899"/>
      <c r="AC398" s="899"/>
      <c r="AD398" s="899"/>
      <c r="AE398" s="899"/>
    </row>
    <row r="399">
      <c r="A399" s="944"/>
      <c r="B399" s="945"/>
      <c r="C399" s="945"/>
      <c r="D399" s="945"/>
      <c r="E399" s="945"/>
      <c r="F399" s="945"/>
      <c r="G399" s="945"/>
      <c r="H399" s="945"/>
      <c r="I399" s="945"/>
      <c r="J399" s="945"/>
      <c r="K399" s="945"/>
      <c r="L399" s="945"/>
      <c r="M399" s="945"/>
      <c r="N399" s="899"/>
      <c r="O399" s="899"/>
      <c r="P399" s="899"/>
      <c r="Q399" s="899"/>
      <c r="R399" s="899"/>
      <c r="S399" s="899"/>
      <c r="T399" s="899"/>
      <c r="U399" s="899"/>
      <c r="V399" s="899"/>
      <c r="W399" s="899"/>
      <c r="X399" s="899"/>
      <c r="Y399" s="899"/>
      <c r="Z399" s="899"/>
      <c r="AA399" s="899"/>
      <c r="AB399" s="899"/>
      <c r="AC399" s="899"/>
      <c r="AD399" s="899"/>
      <c r="AE399" s="899"/>
    </row>
    <row r="400">
      <c r="A400" s="944"/>
      <c r="B400" s="945"/>
      <c r="C400" s="945"/>
      <c r="D400" s="945"/>
      <c r="E400" s="945"/>
      <c r="F400" s="945"/>
      <c r="G400" s="945"/>
      <c r="H400" s="945"/>
      <c r="I400" s="945"/>
      <c r="J400" s="945"/>
      <c r="K400" s="945"/>
      <c r="L400" s="945"/>
      <c r="M400" s="945"/>
      <c r="N400" s="899"/>
      <c r="O400" s="899"/>
      <c r="P400" s="899"/>
      <c r="Q400" s="899"/>
      <c r="R400" s="899"/>
      <c r="S400" s="899"/>
      <c r="T400" s="899"/>
      <c r="U400" s="899"/>
      <c r="V400" s="899"/>
      <c r="W400" s="899"/>
      <c r="X400" s="899"/>
      <c r="Y400" s="899"/>
      <c r="Z400" s="899"/>
      <c r="AA400" s="899"/>
      <c r="AB400" s="899"/>
      <c r="AC400" s="899"/>
      <c r="AD400" s="899"/>
      <c r="AE400" s="899"/>
    </row>
    <row r="401">
      <c r="A401" s="944"/>
      <c r="B401" s="945"/>
      <c r="C401" s="945"/>
      <c r="D401" s="945"/>
      <c r="E401" s="945"/>
      <c r="F401" s="945"/>
      <c r="G401" s="945"/>
      <c r="H401" s="945"/>
      <c r="I401" s="945"/>
      <c r="J401" s="945"/>
      <c r="K401" s="945"/>
      <c r="L401" s="945"/>
      <c r="M401" s="945"/>
      <c r="N401" s="899"/>
      <c r="O401" s="899"/>
      <c r="P401" s="899"/>
      <c r="Q401" s="899"/>
      <c r="R401" s="899"/>
      <c r="S401" s="899"/>
      <c r="T401" s="899"/>
      <c r="U401" s="899"/>
      <c r="V401" s="899"/>
      <c r="W401" s="899"/>
      <c r="X401" s="899"/>
      <c r="Y401" s="899"/>
      <c r="Z401" s="899"/>
      <c r="AA401" s="899"/>
      <c r="AB401" s="899"/>
      <c r="AC401" s="899"/>
      <c r="AD401" s="899"/>
      <c r="AE401" s="899"/>
    </row>
    <row r="402">
      <c r="A402" s="944"/>
      <c r="B402" s="945"/>
      <c r="C402" s="945"/>
      <c r="D402" s="945"/>
      <c r="E402" s="945"/>
      <c r="F402" s="945"/>
      <c r="G402" s="945"/>
      <c r="H402" s="945"/>
      <c r="I402" s="945"/>
      <c r="J402" s="945"/>
      <c r="K402" s="945"/>
      <c r="L402" s="945"/>
      <c r="M402" s="945"/>
      <c r="N402" s="899"/>
      <c r="O402" s="899"/>
      <c r="P402" s="899"/>
      <c r="Q402" s="899"/>
      <c r="R402" s="899"/>
      <c r="S402" s="899"/>
      <c r="T402" s="899"/>
      <c r="U402" s="899"/>
      <c r="V402" s="899"/>
      <c r="W402" s="899"/>
      <c r="X402" s="899"/>
      <c r="Y402" s="899"/>
      <c r="Z402" s="899"/>
      <c r="AA402" s="899"/>
      <c r="AB402" s="899"/>
      <c r="AC402" s="899"/>
      <c r="AD402" s="899"/>
      <c r="AE402" s="899"/>
    </row>
    <row r="403">
      <c r="A403" s="944"/>
      <c r="B403" s="945"/>
      <c r="C403" s="945"/>
      <c r="D403" s="945"/>
      <c r="E403" s="945"/>
      <c r="F403" s="945"/>
      <c r="G403" s="945"/>
      <c r="H403" s="945"/>
      <c r="I403" s="945"/>
      <c r="J403" s="945"/>
      <c r="K403" s="945"/>
      <c r="L403" s="945"/>
      <c r="M403" s="945"/>
      <c r="N403" s="899"/>
      <c r="O403" s="899"/>
      <c r="P403" s="899"/>
      <c r="Q403" s="899"/>
      <c r="R403" s="899"/>
      <c r="S403" s="899"/>
      <c r="T403" s="899"/>
      <c r="U403" s="899"/>
      <c r="V403" s="899"/>
      <c r="W403" s="899"/>
      <c r="X403" s="899"/>
      <c r="Y403" s="899"/>
      <c r="Z403" s="899"/>
      <c r="AA403" s="899"/>
      <c r="AB403" s="899"/>
      <c r="AC403" s="899"/>
      <c r="AD403" s="899"/>
      <c r="AE403" s="899"/>
    </row>
    <row r="404">
      <c r="A404" s="944"/>
      <c r="B404" s="945"/>
      <c r="C404" s="945"/>
      <c r="D404" s="945"/>
      <c r="E404" s="945"/>
      <c r="F404" s="945"/>
      <c r="G404" s="945"/>
      <c r="H404" s="945"/>
      <c r="I404" s="945"/>
      <c r="J404" s="945"/>
      <c r="K404" s="945"/>
      <c r="L404" s="945"/>
      <c r="M404" s="945"/>
      <c r="N404" s="899"/>
      <c r="O404" s="899"/>
      <c r="P404" s="899"/>
      <c r="Q404" s="899"/>
      <c r="R404" s="899"/>
      <c r="S404" s="899"/>
      <c r="T404" s="899"/>
      <c r="U404" s="899"/>
      <c r="V404" s="899"/>
      <c r="W404" s="899"/>
      <c r="X404" s="899"/>
      <c r="Y404" s="899"/>
      <c r="Z404" s="899"/>
      <c r="AA404" s="899"/>
      <c r="AB404" s="899"/>
      <c r="AC404" s="899"/>
      <c r="AD404" s="899"/>
      <c r="AE404" s="899"/>
    </row>
    <row r="405">
      <c r="A405" s="944"/>
      <c r="B405" s="945"/>
      <c r="C405" s="945"/>
      <c r="D405" s="945"/>
      <c r="E405" s="945"/>
      <c r="F405" s="945"/>
      <c r="G405" s="945"/>
      <c r="H405" s="945"/>
      <c r="I405" s="945"/>
      <c r="J405" s="945"/>
      <c r="K405" s="945"/>
      <c r="L405" s="945"/>
      <c r="M405" s="945"/>
      <c r="N405" s="899"/>
      <c r="O405" s="899"/>
      <c r="P405" s="899"/>
      <c r="Q405" s="899"/>
      <c r="R405" s="899"/>
      <c r="S405" s="899"/>
      <c r="T405" s="899"/>
      <c r="U405" s="899"/>
      <c r="V405" s="899"/>
      <c r="W405" s="899"/>
      <c r="X405" s="899"/>
      <c r="Y405" s="899"/>
      <c r="Z405" s="899"/>
      <c r="AA405" s="899"/>
      <c r="AB405" s="899"/>
      <c r="AC405" s="899"/>
      <c r="AD405" s="899"/>
      <c r="AE405" s="899"/>
    </row>
    <row r="406">
      <c r="A406" s="944"/>
      <c r="B406" s="945"/>
      <c r="C406" s="945"/>
      <c r="D406" s="945"/>
      <c r="E406" s="945"/>
      <c r="F406" s="945"/>
      <c r="G406" s="945"/>
      <c r="H406" s="945"/>
      <c r="I406" s="945"/>
      <c r="J406" s="945"/>
      <c r="K406" s="945"/>
      <c r="L406" s="945"/>
      <c r="M406" s="945"/>
      <c r="N406" s="899"/>
      <c r="O406" s="899"/>
      <c r="P406" s="899"/>
      <c r="Q406" s="899"/>
      <c r="R406" s="899"/>
      <c r="S406" s="899"/>
      <c r="T406" s="899"/>
      <c r="U406" s="899"/>
      <c r="V406" s="899"/>
      <c r="W406" s="899"/>
      <c r="X406" s="899"/>
      <c r="Y406" s="899"/>
      <c r="Z406" s="899"/>
      <c r="AA406" s="899"/>
      <c r="AB406" s="899"/>
      <c r="AC406" s="899"/>
      <c r="AD406" s="899"/>
      <c r="AE406" s="899"/>
    </row>
    <row r="407">
      <c r="A407" s="944"/>
      <c r="B407" s="945"/>
      <c r="C407" s="945"/>
      <c r="D407" s="945"/>
      <c r="E407" s="945"/>
      <c r="F407" s="945"/>
      <c r="G407" s="945"/>
      <c r="H407" s="945"/>
      <c r="I407" s="945"/>
      <c r="J407" s="945"/>
      <c r="K407" s="945"/>
      <c r="L407" s="945"/>
      <c r="M407" s="945"/>
      <c r="N407" s="899"/>
      <c r="O407" s="899"/>
      <c r="P407" s="899"/>
      <c r="Q407" s="899"/>
      <c r="R407" s="899"/>
      <c r="S407" s="899"/>
      <c r="T407" s="899"/>
      <c r="U407" s="899"/>
      <c r="V407" s="899"/>
      <c r="W407" s="899"/>
      <c r="X407" s="899"/>
      <c r="Y407" s="899"/>
      <c r="Z407" s="899"/>
      <c r="AA407" s="899"/>
      <c r="AB407" s="899"/>
      <c r="AC407" s="899"/>
      <c r="AD407" s="899"/>
      <c r="AE407" s="899"/>
    </row>
    <row r="408">
      <c r="A408" s="944"/>
      <c r="B408" s="945"/>
      <c r="C408" s="945"/>
      <c r="D408" s="945"/>
      <c r="E408" s="945"/>
      <c r="F408" s="945"/>
      <c r="G408" s="945"/>
      <c r="H408" s="945"/>
      <c r="I408" s="945"/>
      <c r="J408" s="945"/>
      <c r="K408" s="945"/>
      <c r="L408" s="945"/>
      <c r="M408" s="945"/>
      <c r="N408" s="899"/>
      <c r="O408" s="899"/>
      <c r="P408" s="899"/>
      <c r="Q408" s="899"/>
      <c r="R408" s="899"/>
      <c r="S408" s="899"/>
      <c r="T408" s="899"/>
      <c r="U408" s="899"/>
      <c r="V408" s="899"/>
      <c r="W408" s="899"/>
      <c r="X408" s="899"/>
      <c r="Y408" s="899"/>
      <c r="Z408" s="899"/>
      <c r="AA408" s="899"/>
      <c r="AB408" s="899"/>
      <c r="AC408" s="899"/>
      <c r="AD408" s="899"/>
      <c r="AE408" s="899"/>
    </row>
    <row r="409">
      <c r="A409" s="944"/>
      <c r="B409" s="945"/>
      <c r="C409" s="945"/>
      <c r="D409" s="945"/>
      <c r="E409" s="945"/>
      <c r="F409" s="945"/>
      <c r="G409" s="945"/>
      <c r="H409" s="945"/>
      <c r="I409" s="945"/>
      <c r="J409" s="945"/>
      <c r="K409" s="945"/>
      <c r="L409" s="945"/>
      <c r="M409" s="945"/>
      <c r="N409" s="899"/>
      <c r="O409" s="899"/>
      <c r="P409" s="899"/>
      <c r="Q409" s="899"/>
      <c r="R409" s="899"/>
      <c r="S409" s="899"/>
      <c r="T409" s="899"/>
      <c r="U409" s="899"/>
      <c r="V409" s="899"/>
      <c r="W409" s="899"/>
      <c r="X409" s="899"/>
      <c r="Y409" s="899"/>
      <c r="Z409" s="899"/>
      <c r="AA409" s="899"/>
      <c r="AB409" s="899"/>
      <c r="AC409" s="899"/>
      <c r="AD409" s="899"/>
      <c r="AE409" s="899"/>
    </row>
    <row r="410">
      <c r="A410" s="944"/>
      <c r="B410" s="945"/>
      <c r="C410" s="945"/>
      <c r="D410" s="945"/>
      <c r="E410" s="945"/>
      <c r="F410" s="945"/>
      <c r="G410" s="945"/>
      <c r="H410" s="945"/>
      <c r="I410" s="945"/>
      <c r="J410" s="945"/>
      <c r="K410" s="945"/>
      <c r="L410" s="945"/>
      <c r="M410" s="945"/>
      <c r="N410" s="899"/>
      <c r="O410" s="899"/>
      <c r="P410" s="899"/>
      <c r="Q410" s="899"/>
      <c r="R410" s="899"/>
      <c r="S410" s="899"/>
      <c r="T410" s="899"/>
      <c r="U410" s="899"/>
      <c r="V410" s="899"/>
      <c r="W410" s="899"/>
      <c r="X410" s="899"/>
      <c r="Y410" s="899"/>
      <c r="Z410" s="899"/>
      <c r="AA410" s="899"/>
      <c r="AB410" s="899"/>
      <c r="AC410" s="899"/>
      <c r="AD410" s="899"/>
      <c r="AE410" s="899"/>
    </row>
    <row r="411">
      <c r="A411" s="944"/>
      <c r="B411" s="945"/>
      <c r="C411" s="945"/>
      <c r="D411" s="945"/>
      <c r="E411" s="945"/>
      <c r="F411" s="945"/>
      <c r="G411" s="945"/>
      <c r="H411" s="945"/>
      <c r="I411" s="945"/>
      <c r="J411" s="945"/>
      <c r="K411" s="945"/>
      <c r="L411" s="945"/>
      <c r="M411" s="945"/>
      <c r="N411" s="899"/>
      <c r="O411" s="899"/>
      <c r="P411" s="899"/>
      <c r="Q411" s="899"/>
      <c r="R411" s="899"/>
      <c r="S411" s="899"/>
      <c r="T411" s="899"/>
      <c r="U411" s="899"/>
      <c r="V411" s="899"/>
      <c r="W411" s="899"/>
      <c r="X411" s="899"/>
      <c r="Y411" s="899"/>
      <c r="Z411" s="899"/>
      <c r="AA411" s="899"/>
      <c r="AB411" s="899"/>
      <c r="AC411" s="899"/>
      <c r="AD411" s="899"/>
      <c r="AE411" s="899"/>
    </row>
    <row r="412">
      <c r="A412" s="944"/>
      <c r="B412" s="945"/>
      <c r="C412" s="945"/>
      <c r="D412" s="945"/>
      <c r="E412" s="945"/>
      <c r="F412" s="945"/>
      <c r="G412" s="945"/>
      <c r="H412" s="945"/>
      <c r="I412" s="945"/>
      <c r="J412" s="945"/>
      <c r="K412" s="945"/>
      <c r="L412" s="945"/>
      <c r="M412" s="945"/>
      <c r="N412" s="899"/>
      <c r="O412" s="899"/>
      <c r="P412" s="899"/>
      <c r="Q412" s="899"/>
      <c r="R412" s="899"/>
      <c r="S412" s="899"/>
      <c r="T412" s="899"/>
      <c r="U412" s="899"/>
      <c r="V412" s="899"/>
      <c r="W412" s="899"/>
      <c r="X412" s="899"/>
      <c r="Y412" s="899"/>
      <c r="Z412" s="899"/>
      <c r="AA412" s="899"/>
      <c r="AB412" s="899"/>
      <c r="AC412" s="899"/>
      <c r="AD412" s="899"/>
      <c r="AE412" s="899"/>
    </row>
    <row r="413">
      <c r="A413" s="944"/>
      <c r="B413" s="945"/>
      <c r="C413" s="945"/>
      <c r="D413" s="945"/>
      <c r="E413" s="945"/>
      <c r="F413" s="945"/>
      <c r="G413" s="945"/>
      <c r="H413" s="945"/>
      <c r="I413" s="945"/>
      <c r="J413" s="945"/>
      <c r="K413" s="945"/>
      <c r="L413" s="945"/>
      <c r="M413" s="945"/>
      <c r="N413" s="899"/>
      <c r="O413" s="899"/>
      <c r="P413" s="899"/>
      <c r="Q413" s="899"/>
      <c r="R413" s="899"/>
      <c r="S413" s="899"/>
      <c r="T413" s="899"/>
      <c r="U413" s="899"/>
      <c r="V413" s="899"/>
      <c r="W413" s="899"/>
      <c r="X413" s="899"/>
      <c r="Y413" s="899"/>
      <c r="Z413" s="899"/>
      <c r="AA413" s="899"/>
      <c r="AB413" s="899"/>
      <c r="AC413" s="899"/>
      <c r="AD413" s="899"/>
      <c r="AE413" s="899"/>
    </row>
    <row r="414">
      <c r="A414" s="944"/>
      <c r="B414" s="945"/>
      <c r="C414" s="945"/>
      <c r="D414" s="945"/>
      <c r="E414" s="945"/>
      <c r="F414" s="945"/>
      <c r="G414" s="945"/>
      <c r="H414" s="945"/>
      <c r="I414" s="945"/>
      <c r="J414" s="945"/>
      <c r="K414" s="945"/>
      <c r="L414" s="945"/>
      <c r="M414" s="945"/>
      <c r="N414" s="899"/>
      <c r="O414" s="899"/>
      <c r="P414" s="899"/>
      <c r="Q414" s="899"/>
      <c r="R414" s="899"/>
      <c r="S414" s="899"/>
      <c r="T414" s="899"/>
      <c r="U414" s="899"/>
      <c r="V414" s="899"/>
      <c r="W414" s="899"/>
      <c r="X414" s="899"/>
      <c r="Y414" s="899"/>
      <c r="Z414" s="899"/>
      <c r="AA414" s="899"/>
      <c r="AB414" s="899"/>
      <c r="AC414" s="899"/>
      <c r="AD414" s="899"/>
      <c r="AE414" s="899"/>
    </row>
    <row r="415">
      <c r="A415" s="944"/>
      <c r="B415" s="945"/>
      <c r="C415" s="945"/>
      <c r="D415" s="945"/>
      <c r="E415" s="945"/>
      <c r="F415" s="945"/>
      <c r="G415" s="945"/>
      <c r="H415" s="945"/>
      <c r="I415" s="945"/>
      <c r="J415" s="945"/>
      <c r="K415" s="945"/>
      <c r="L415" s="945"/>
      <c r="M415" s="945"/>
      <c r="N415" s="899"/>
      <c r="O415" s="899"/>
      <c r="P415" s="899"/>
      <c r="Q415" s="899"/>
      <c r="R415" s="899"/>
      <c r="S415" s="899"/>
      <c r="T415" s="899"/>
      <c r="U415" s="899"/>
      <c r="V415" s="899"/>
      <c r="W415" s="899"/>
      <c r="X415" s="899"/>
      <c r="Y415" s="899"/>
      <c r="Z415" s="899"/>
      <c r="AA415" s="899"/>
      <c r="AB415" s="899"/>
      <c r="AC415" s="899"/>
      <c r="AD415" s="899"/>
      <c r="AE415" s="899"/>
    </row>
    <row r="416">
      <c r="A416" s="944"/>
      <c r="B416" s="945"/>
      <c r="C416" s="945"/>
      <c r="D416" s="945"/>
      <c r="E416" s="945"/>
      <c r="F416" s="945"/>
      <c r="G416" s="945"/>
      <c r="H416" s="945"/>
      <c r="I416" s="945"/>
      <c r="J416" s="945"/>
      <c r="K416" s="945"/>
      <c r="L416" s="945"/>
      <c r="M416" s="945"/>
      <c r="N416" s="899"/>
      <c r="O416" s="899"/>
      <c r="P416" s="899"/>
      <c r="Q416" s="899"/>
      <c r="R416" s="899"/>
      <c r="S416" s="899"/>
      <c r="T416" s="899"/>
      <c r="U416" s="899"/>
      <c r="V416" s="899"/>
      <c r="W416" s="899"/>
      <c r="X416" s="899"/>
      <c r="Y416" s="899"/>
      <c r="Z416" s="899"/>
      <c r="AA416" s="899"/>
      <c r="AB416" s="899"/>
      <c r="AC416" s="899"/>
      <c r="AD416" s="899"/>
      <c r="AE416" s="899"/>
    </row>
    <row r="417">
      <c r="A417" s="944"/>
      <c r="B417" s="945"/>
      <c r="C417" s="945"/>
      <c r="D417" s="945"/>
      <c r="E417" s="945"/>
      <c r="F417" s="945"/>
      <c r="G417" s="945"/>
      <c r="H417" s="945"/>
      <c r="I417" s="945"/>
      <c r="J417" s="945"/>
      <c r="K417" s="945"/>
      <c r="L417" s="945"/>
      <c r="M417" s="945"/>
      <c r="N417" s="899"/>
      <c r="O417" s="899"/>
      <c r="P417" s="899"/>
      <c r="Q417" s="899"/>
      <c r="R417" s="899"/>
      <c r="S417" s="899"/>
      <c r="T417" s="899"/>
      <c r="U417" s="899"/>
      <c r="V417" s="899"/>
      <c r="W417" s="899"/>
      <c r="X417" s="899"/>
      <c r="Y417" s="899"/>
      <c r="Z417" s="899"/>
      <c r="AA417" s="899"/>
      <c r="AB417" s="899"/>
      <c r="AC417" s="899"/>
      <c r="AD417" s="899"/>
      <c r="AE417" s="899"/>
    </row>
    <row r="418">
      <c r="A418" s="944"/>
      <c r="B418" s="945"/>
      <c r="C418" s="945"/>
      <c r="D418" s="945"/>
      <c r="E418" s="945"/>
      <c r="F418" s="945"/>
      <c r="G418" s="945"/>
      <c r="H418" s="945"/>
      <c r="I418" s="945"/>
      <c r="J418" s="945"/>
      <c r="K418" s="945"/>
      <c r="L418" s="945"/>
      <c r="M418" s="945"/>
      <c r="N418" s="899"/>
      <c r="O418" s="899"/>
      <c r="P418" s="899"/>
      <c r="Q418" s="899"/>
      <c r="R418" s="899"/>
      <c r="S418" s="899"/>
      <c r="T418" s="899"/>
      <c r="U418" s="899"/>
      <c r="V418" s="899"/>
      <c r="W418" s="899"/>
      <c r="X418" s="899"/>
      <c r="Y418" s="899"/>
      <c r="Z418" s="899"/>
      <c r="AA418" s="899"/>
      <c r="AB418" s="899"/>
      <c r="AC418" s="899"/>
      <c r="AD418" s="899"/>
      <c r="AE418" s="899"/>
    </row>
    <row r="419">
      <c r="A419" s="944"/>
      <c r="B419" s="945"/>
      <c r="C419" s="945"/>
      <c r="D419" s="945"/>
      <c r="E419" s="945"/>
      <c r="F419" s="945"/>
      <c r="G419" s="945"/>
      <c r="H419" s="945"/>
      <c r="I419" s="945"/>
      <c r="J419" s="945"/>
      <c r="K419" s="945"/>
      <c r="L419" s="945"/>
      <c r="M419" s="945"/>
      <c r="N419" s="899"/>
      <c r="O419" s="899"/>
      <c r="P419" s="899"/>
      <c r="Q419" s="899"/>
      <c r="R419" s="899"/>
      <c r="S419" s="899"/>
      <c r="T419" s="899"/>
      <c r="U419" s="899"/>
      <c r="V419" s="899"/>
      <c r="W419" s="899"/>
      <c r="X419" s="899"/>
      <c r="Y419" s="899"/>
      <c r="Z419" s="899"/>
      <c r="AA419" s="899"/>
      <c r="AB419" s="899"/>
      <c r="AC419" s="899"/>
      <c r="AD419" s="899"/>
      <c r="AE419" s="899"/>
    </row>
    <row r="420">
      <c r="A420" s="944"/>
      <c r="B420" s="945"/>
      <c r="C420" s="945"/>
      <c r="D420" s="945"/>
      <c r="E420" s="945"/>
      <c r="F420" s="945"/>
      <c r="G420" s="945"/>
      <c r="H420" s="945"/>
      <c r="I420" s="945"/>
      <c r="J420" s="945"/>
      <c r="K420" s="945"/>
      <c r="L420" s="945"/>
      <c r="M420" s="945"/>
      <c r="N420" s="899"/>
      <c r="O420" s="899"/>
      <c r="P420" s="899"/>
      <c r="Q420" s="899"/>
      <c r="R420" s="899"/>
      <c r="S420" s="899"/>
      <c r="T420" s="899"/>
      <c r="U420" s="899"/>
      <c r="V420" s="899"/>
      <c r="W420" s="899"/>
      <c r="X420" s="899"/>
      <c r="Y420" s="899"/>
      <c r="Z420" s="899"/>
      <c r="AA420" s="899"/>
      <c r="AB420" s="899"/>
      <c r="AC420" s="899"/>
      <c r="AD420" s="899"/>
      <c r="AE420" s="899"/>
    </row>
    <row r="421">
      <c r="A421" s="944"/>
      <c r="B421" s="945"/>
      <c r="C421" s="945"/>
      <c r="D421" s="945"/>
      <c r="E421" s="945"/>
      <c r="F421" s="945"/>
      <c r="G421" s="945"/>
      <c r="H421" s="945"/>
      <c r="I421" s="945"/>
      <c r="J421" s="945"/>
      <c r="K421" s="945"/>
      <c r="L421" s="945"/>
      <c r="M421" s="945"/>
      <c r="N421" s="899"/>
      <c r="O421" s="899"/>
      <c r="P421" s="899"/>
      <c r="Q421" s="899"/>
      <c r="R421" s="899"/>
      <c r="S421" s="899"/>
      <c r="T421" s="899"/>
      <c r="U421" s="899"/>
      <c r="V421" s="899"/>
      <c r="W421" s="899"/>
      <c r="X421" s="899"/>
      <c r="Y421" s="899"/>
      <c r="Z421" s="899"/>
      <c r="AA421" s="899"/>
      <c r="AB421" s="899"/>
      <c r="AC421" s="899"/>
      <c r="AD421" s="899"/>
      <c r="AE421" s="899"/>
    </row>
    <row r="422">
      <c r="A422" s="944"/>
      <c r="B422" s="945"/>
      <c r="C422" s="945"/>
      <c r="D422" s="945"/>
      <c r="E422" s="945"/>
      <c r="F422" s="945"/>
      <c r="G422" s="945"/>
      <c r="H422" s="945"/>
      <c r="I422" s="945"/>
      <c r="J422" s="945"/>
      <c r="K422" s="945"/>
      <c r="L422" s="945"/>
      <c r="M422" s="945"/>
      <c r="N422" s="899"/>
      <c r="O422" s="899"/>
      <c r="P422" s="899"/>
      <c r="Q422" s="899"/>
      <c r="R422" s="899"/>
      <c r="S422" s="899"/>
      <c r="T422" s="899"/>
      <c r="U422" s="899"/>
      <c r="V422" s="899"/>
      <c r="W422" s="899"/>
      <c r="X422" s="899"/>
      <c r="Y422" s="899"/>
      <c r="Z422" s="899"/>
      <c r="AA422" s="899"/>
      <c r="AB422" s="899"/>
      <c r="AC422" s="899"/>
      <c r="AD422" s="899"/>
      <c r="AE422" s="899"/>
    </row>
    <row r="423">
      <c r="A423" s="944"/>
      <c r="B423" s="945"/>
      <c r="C423" s="945"/>
      <c r="D423" s="945"/>
      <c r="E423" s="945"/>
      <c r="F423" s="945"/>
      <c r="G423" s="945"/>
      <c r="H423" s="945"/>
      <c r="I423" s="945"/>
      <c r="J423" s="945"/>
      <c r="K423" s="945"/>
      <c r="L423" s="945"/>
      <c r="M423" s="945"/>
      <c r="N423" s="899"/>
      <c r="O423" s="899"/>
      <c r="P423" s="899"/>
      <c r="Q423" s="899"/>
      <c r="R423" s="899"/>
      <c r="S423" s="899"/>
      <c r="T423" s="899"/>
      <c r="U423" s="899"/>
      <c r="V423" s="899"/>
      <c r="W423" s="899"/>
      <c r="X423" s="899"/>
      <c r="Y423" s="899"/>
      <c r="Z423" s="899"/>
      <c r="AA423" s="899"/>
      <c r="AB423" s="899"/>
      <c r="AC423" s="899"/>
      <c r="AD423" s="899"/>
      <c r="AE423" s="899"/>
    </row>
    <row r="424">
      <c r="A424" s="944"/>
      <c r="B424" s="945"/>
      <c r="C424" s="945"/>
      <c r="D424" s="945"/>
      <c r="E424" s="945"/>
      <c r="F424" s="945"/>
      <c r="G424" s="945"/>
      <c r="H424" s="945"/>
      <c r="I424" s="945"/>
      <c r="J424" s="945"/>
      <c r="K424" s="945"/>
      <c r="L424" s="945"/>
      <c r="M424" s="945"/>
      <c r="N424" s="899"/>
      <c r="O424" s="899"/>
      <c r="P424" s="899"/>
      <c r="Q424" s="899"/>
      <c r="R424" s="899"/>
      <c r="S424" s="899"/>
      <c r="T424" s="899"/>
      <c r="U424" s="899"/>
      <c r="V424" s="899"/>
      <c r="W424" s="899"/>
      <c r="X424" s="899"/>
      <c r="Y424" s="899"/>
      <c r="Z424" s="899"/>
      <c r="AA424" s="899"/>
      <c r="AB424" s="899"/>
      <c r="AC424" s="899"/>
      <c r="AD424" s="899"/>
      <c r="AE424" s="899"/>
    </row>
    <row r="425">
      <c r="A425" s="944"/>
      <c r="B425" s="945"/>
      <c r="C425" s="945"/>
      <c r="D425" s="945"/>
      <c r="E425" s="945"/>
      <c r="F425" s="945"/>
      <c r="G425" s="945"/>
      <c r="H425" s="945"/>
      <c r="I425" s="945"/>
      <c r="J425" s="945"/>
      <c r="K425" s="945"/>
      <c r="L425" s="945"/>
      <c r="M425" s="945"/>
      <c r="N425" s="899"/>
      <c r="O425" s="899"/>
      <c r="P425" s="899"/>
      <c r="Q425" s="899"/>
      <c r="R425" s="899"/>
      <c r="S425" s="899"/>
      <c r="T425" s="899"/>
      <c r="U425" s="899"/>
      <c r="V425" s="899"/>
      <c r="W425" s="899"/>
      <c r="X425" s="899"/>
      <c r="Y425" s="899"/>
      <c r="Z425" s="899"/>
      <c r="AA425" s="899"/>
      <c r="AB425" s="899"/>
      <c r="AC425" s="899"/>
      <c r="AD425" s="899"/>
      <c r="AE425" s="899"/>
    </row>
    <row r="426">
      <c r="A426" s="944"/>
      <c r="B426" s="945"/>
      <c r="C426" s="945"/>
      <c r="D426" s="945"/>
      <c r="E426" s="945"/>
      <c r="F426" s="945"/>
      <c r="G426" s="945"/>
      <c r="H426" s="945"/>
      <c r="I426" s="945"/>
      <c r="J426" s="945"/>
      <c r="K426" s="945"/>
      <c r="L426" s="945"/>
      <c r="M426" s="945"/>
      <c r="N426" s="899"/>
      <c r="O426" s="899"/>
      <c r="P426" s="899"/>
      <c r="Q426" s="899"/>
      <c r="R426" s="899"/>
      <c r="S426" s="899"/>
      <c r="T426" s="899"/>
      <c r="U426" s="899"/>
      <c r="V426" s="899"/>
      <c r="W426" s="899"/>
      <c r="X426" s="899"/>
      <c r="Y426" s="899"/>
      <c r="Z426" s="899"/>
      <c r="AA426" s="899"/>
      <c r="AB426" s="899"/>
      <c r="AC426" s="899"/>
      <c r="AD426" s="899"/>
      <c r="AE426" s="899"/>
    </row>
    <row r="427">
      <c r="A427" s="944"/>
      <c r="B427" s="945"/>
      <c r="C427" s="945"/>
      <c r="D427" s="945"/>
      <c r="E427" s="945"/>
      <c r="F427" s="945"/>
      <c r="G427" s="945"/>
      <c r="H427" s="945"/>
      <c r="I427" s="945"/>
      <c r="J427" s="945"/>
      <c r="K427" s="945"/>
      <c r="L427" s="945"/>
      <c r="M427" s="945"/>
      <c r="N427" s="899"/>
      <c r="O427" s="899"/>
      <c r="P427" s="899"/>
      <c r="Q427" s="899"/>
      <c r="R427" s="899"/>
      <c r="S427" s="899"/>
      <c r="T427" s="899"/>
      <c r="U427" s="899"/>
      <c r="V427" s="899"/>
      <c r="W427" s="899"/>
      <c r="X427" s="899"/>
      <c r="Y427" s="899"/>
      <c r="Z427" s="899"/>
      <c r="AA427" s="899"/>
      <c r="AB427" s="899"/>
      <c r="AC427" s="899"/>
      <c r="AD427" s="899"/>
      <c r="AE427" s="899"/>
    </row>
    <row r="428">
      <c r="A428" s="944"/>
      <c r="B428" s="945"/>
      <c r="C428" s="945"/>
      <c r="D428" s="945"/>
      <c r="E428" s="945"/>
      <c r="F428" s="945"/>
      <c r="G428" s="945"/>
      <c r="H428" s="945"/>
      <c r="I428" s="945"/>
      <c r="J428" s="945"/>
      <c r="K428" s="945"/>
      <c r="L428" s="945"/>
      <c r="M428" s="945"/>
      <c r="N428" s="899"/>
      <c r="O428" s="899"/>
      <c r="P428" s="899"/>
      <c r="Q428" s="899"/>
      <c r="R428" s="899"/>
      <c r="S428" s="899"/>
      <c r="T428" s="899"/>
      <c r="U428" s="899"/>
      <c r="V428" s="899"/>
      <c r="W428" s="899"/>
      <c r="X428" s="899"/>
      <c r="Y428" s="899"/>
      <c r="Z428" s="899"/>
      <c r="AA428" s="899"/>
      <c r="AB428" s="899"/>
      <c r="AC428" s="899"/>
      <c r="AD428" s="899"/>
      <c r="AE428" s="899"/>
    </row>
    <row r="429">
      <c r="A429" s="944"/>
      <c r="B429" s="945"/>
      <c r="C429" s="945"/>
      <c r="D429" s="945"/>
      <c r="E429" s="945"/>
      <c r="F429" s="945"/>
      <c r="G429" s="945"/>
      <c r="H429" s="945"/>
      <c r="I429" s="945"/>
      <c r="J429" s="945"/>
      <c r="K429" s="945"/>
      <c r="L429" s="945"/>
      <c r="M429" s="945"/>
      <c r="N429" s="899"/>
      <c r="O429" s="899"/>
      <c r="P429" s="899"/>
      <c r="Q429" s="899"/>
      <c r="R429" s="899"/>
      <c r="S429" s="899"/>
      <c r="T429" s="899"/>
      <c r="U429" s="899"/>
      <c r="V429" s="899"/>
      <c r="W429" s="899"/>
      <c r="X429" s="899"/>
      <c r="Y429" s="899"/>
      <c r="Z429" s="899"/>
      <c r="AA429" s="899"/>
      <c r="AB429" s="899"/>
      <c r="AC429" s="899"/>
      <c r="AD429" s="899"/>
      <c r="AE429" s="899"/>
    </row>
    <row r="430">
      <c r="A430" s="944"/>
      <c r="B430" s="945"/>
      <c r="C430" s="945"/>
      <c r="D430" s="945"/>
      <c r="E430" s="945"/>
      <c r="F430" s="945"/>
      <c r="G430" s="945"/>
      <c r="H430" s="945"/>
      <c r="I430" s="945"/>
      <c r="J430" s="945"/>
      <c r="K430" s="945"/>
      <c r="L430" s="945"/>
      <c r="M430" s="945"/>
      <c r="N430" s="899"/>
      <c r="O430" s="899"/>
      <c r="P430" s="899"/>
      <c r="Q430" s="899"/>
      <c r="R430" s="899"/>
      <c r="S430" s="899"/>
      <c r="T430" s="899"/>
      <c r="U430" s="899"/>
      <c r="V430" s="899"/>
      <c r="W430" s="899"/>
      <c r="X430" s="899"/>
      <c r="Y430" s="899"/>
      <c r="Z430" s="899"/>
      <c r="AA430" s="899"/>
      <c r="AB430" s="899"/>
      <c r="AC430" s="899"/>
      <c r="AD430" s="899"/>
      <c r="AE430" s="899"/>
    </row>
    <row r="431">
      <c r="A431" s="944"/>
      <c r="B431" s="945"/>
      <c r="C431" s="945"/>
      <c r="D431" s="945"/>
      <c r="E431" s="945"/>
      <c r="F431" s="945"/>
      <c r="G431" s="945"/>
      <c r="H431" s="945"/>
      <c r="I431" s="945"/>
      <c r="J431" s="945"/>
      <c r="K431" s="945"/>
      <c r="L431" s="945"/>
      <c r="M431" s="945"/>
      <c r="N431" s="899"/>
      <c r="O431" s="899"/>
      <c r="P431" s="899"/>
      <c r="Q431" s="899"/>
      <c r="R431" s="899"/>
      <c r="S431" s="899"/>
      <c r="T431" s="899"/>
      <c r="U431" s="899"/>
      <c r="V431" s="899"/>
      <c r="W431" s="899"/>
      <c r="X431" s="899"/>
      <c r="Y431" s="899"/>
      <c r="Z431" s="899"/>
      <c r="AA431" s="899"/>
      <c r="AB431" s="899"/>
      <c r="AC431" s="899"/>
      <c r="AD431" s="899"/>
      <c r="AE431" s="899"/>
    </row>
    <row r="432">
      <c r="A432" s="944"/>
      <c r="B432" s="945"/>
      <c r="C432" s="945"/>
      <c r="D432" s="945"/>
      <c r="E432" s="945"/>
      <c r="F432" s="945"/>
      <c r="G432" s="945"/>
      <c r="H432" s="945"/>
      <c r="I432" s="945"/>
      <c r="J432" s="945"/>
      <c r="K432" s="945"/>
      <c r="L432" s="945"/>
      <c r="M432" s="945"/>
      <c r="N432" s="899"/>
      <c r="O432" s="899"/>
      <c r="P432" s="899"/>
      <c r="Q432" s="899"/>
      <c r="R432" s="899"/>
      <c r="S432" s="899"/>
      <c r="T432" s="899"/>
      <c r="U432" s="899"/>
      <c r="V432" s="899"/>
      <c r="W432" s="899"/>
      <c r="X432" s="899"/>
      <c r="Y432" s="899"/>
      <c r="Z432" s="899"/>
      <c r="AA432" s="899"/>
      <c r="AB432" s="899"/>
      <c r="AC432" s="899"/>
      <c r="AD432" s="899"/>
      <c r="AE432" s="899"/>
    </row>
    <row r="433">
      <c r="A433" s="944"/>
      <c r="B433" s="945"/>
      <c r="C433" s="945"/>
      <c r="D433" s="945"/>
      <c r="E433" s="945"/>
      <c r="F433" s="945"/>
      <c r="G433" s="945"/>
      <c r="H433" s="945"/>
      <c r="I433" s="945"/>
      <c r="J433" s="945"/>
      <c r="K433" s="945"/>
      <c r="L433" s="945"/>
      <c r="M433" s="945"/>
      <c r="N433" s="899"/>
      <c r="O433" s="899"/>
      <c r="P433" s="899"/>
      <c r="Q433" s="899"/>
      <c r="R433" s="899"/>
      <c r="S433" s="899"/>
      <c r="T433" s="899"/>
      <c r="U433" s="899"/>
      <c r="V433" s="899"/>
      <c r="W433" s="899"/>
      <c r="X433" s="899"/>
      <c r="Y433" s="899"/>
      <c r="Z433" s="899"/>
      <c r="AA433" s="899"/>
      <c r="AB433" s="899"/>
      <c r="AC433" s="899"/>
      <c r="AD433" s="899"/>
      <c r="AE433" s="899"/>
    </row>
    <row r="434">
      <c r="A434" s="944"/>
      <c r="B434" s="945"/>
      <c r="C434" s="945"/>
      <c r="D434" s="945"/>
      <c r="E434" s="945"/>
      <c r="F434" s="945"/>
      <c r="G434" s="945"/>
      <c r="H434" s="945"/>
      <c r="I434" s="945"/>
      <c r="J434" s="945"/>
      <c r="K434" s="945"/>
      <c r="L434" s="945"/>
      <c r="M434" s="945"/>
      <c r="N434" s="899"/>
      <c r="O434" s="899"/>
      <c r="P434" s="899"/>
      <c r="Q434" s="899"/>
      <c r="R434" s="899"/>
      <c r="S434" s="899"/>
      <c r="T434" s="899"/>
      <c r="U434" s="899"/>
      <c r="V434" s="899"/>
      <c r="W434" s="899"/>
      <c r="X434" s="899"/>
      <c r="Y434" s="899"/>
      <c r="Z434" s="899"/>
      <c r="AA434" s="899"/>
      <c r="AB434" s="899"/>
      <c r="AC434" s="899"/>
      <c r="AD434" s="899"/>
      <c r="AE434" s="899"/>
    </row>
    <row r="435">
      <c r="A435" s="944"/>
      <c r="B435" s="945"/>
      <c r="C435" s="945"/>
      <c r="D435" s="945"/>
      <c r="E435" s="945"/>
      <c r="F435" s="945"/>
      <c r="G435" s="945"/>
      <c r="H435" s="945"/>
      <c r="I435" s="945"/>
      <c r="J435" s="945"/>
      <c r="K435" s="945"/>
      <c r="L435" s="945"/>
      <c r="M435" s="945"/>
      <c r="N435" s="899"/>
      <c r="O435" s="899"/>
      <c r="P435" s="899"/>
      <c r="Q435" s="899"/>
      <c r="R435" s="899"/>
      <c r="S435" s="899"/>
      <c r="T435" s="899"/>
      <c r="U435" s="899"/>
      <c r="V435" s="899"/>
      <c r="W435" s="899"/>
      <c r="X435" s="899"/>
      <c r="Y435" s="899"/>
      <c r="Z435" s="899"/>
      <c r="AA435" s="899"/>
      <c r="AB435" s="899"/>
      <c r="AC435" s="899"/>
      <c r="AD435" s="899"/>
      <c r="AE435" s="899"/>
    </row>
    <row r="436">
      <c r="A436" s="944"/>
      <c r="B436" s="945"/>
      <c r="C436" s="945"/>
      <c r="D436" s="945"/>
      <c r="E436" s="945"/>
      <c r="F436" s="945"/>
      <c r="G436" s="945"/>
      <c r="H436" s="945"/>
      <c r="I436" s="945"/>
      <c r="J436" s="945"/>
      <c r="K436" s="945"/>
      <c r="L436" s="945"/>
      <c r="M436" s="945"/>
      <c r="N436" s="899"/>
      <c r="O436" s="899"/>
      <c r="P436" s="899"/>
      <c r="Q436" s="899"/>
      <c r="R436" s="899"/>
      <c r="S436" s="899"/>
      <c r="T436" s="899"/>
      <c r="U436" s="899"/>
      <c r="V436" s="899"/>
      <c r="W436" s="899"/>
      <c r="X436" s="899"/>
      <c r="Y436" s="899"/>
      <c r="Z436" s="899"/>
      <c r="AA436" s="899"/>
      <c r="AB436" s="899"/>
      <c r="AC436" s="899"/>
      <c r="AD436" s="899"/>
      <c r="AE436" s="899"/>
    </row>
    <row r="437">
      <c r="A437" s="944"/>
      <c r="B437" s="945"/>
      <c r="C437" s="945"/>
      <c r="D437" s="945"/>
      <c r="E437" s="945"/>
      <c r="F437" s="945"/>
      <c r="G437" s="945"/>
      <c r="H437" s="945"/>
      <c r="I437" s="945"/>
      <c r="J437" s="945"/>
      <c r="K437" s="945"/>
      <c r="L437" s="945"/>
      <c r="M437" s="945"/>
      <c r="N437" s="899"/>
      <c r="O437" s="899"/>
      <c r="P437" s="899"/>
      <c r="Q437" s="899"/>
      <c r="R437" s="899"/>
      <c r="S437" s="899"/>
      <c r="T437" s="899"/>
      <c r="U437" s="899"/>
      <c r="V437" s="899"/>
      <c r="W437" s="899"/>
      <c r="X437" s="899"/>
      <c r="Y437" s="899"/>
      <c r="Z437" s="899"/>
      <c r="AA437" s="899"/>
      <c r="AB437" s="899"/>
      <c r="AC437" s="899"/>
      <c r="AD437" s="899"/>
      <c r="AE437" s="899"/>
    </row>
    <row r="438">
      <c r="A438" s="944"/>
      <c r="B438" s="945"/>
      <c r="C438" s="945"/>
      <c r="D438" s="945"/>
      <c r="E438" s="945"/>
      <c r="F438" s="945"/>
      <c r="G438" s="945"/>
      <c r="H438" s="945"/>
      <c r="I438" s="945"/>
      <c r="J438" s="945"/>
      <c r="K438" s="945"/>
      <c r="L438" s="945"/>
      <c r="M438" s="945"/>
      <c r="N438" s="899"/>
      <c r="O438" s="899"/>
      <c r="P438" s="899"/>
      <c r="Q438" s="899"/>
      <c r="R438" s="899"/>
      <c r="S438" s="899"/>
      <c r="T438" s="899"/>
      <c r="U438" s="899"/>
      <c r="V438" s="899"/>
      <c r="W438" s="899"/>
      <c r="X438" s="899"/>
      <c r="Y438" s="899"/>
      <c r="Z438" s="899"/>
      <c r="AA438" s="899"/>
      <c r="AB438" s="899"/>
      <c r="AC438" s="899"/>
      <c r="AD438" s="899"/>
      <c r="AE438" s="899"/>
    </row>
    <row r="439">
      <c r="A439" s="944"/>
      <c r="B439" s="945"/>
      <c r="C439" s="945"/>
      <c r="D439" s="945"/>
      <c r="E439" s="945"/>
      <c r="F439" s="945"/>
      <c r="G439" s="945"/>
      <c r="H439" s="945"/>
      <c r="I439" s="945"/>
      <c r="J439" s="945"/>
      <c r="K439" s="945"/>
      <c r="L439" s="945"/>
      <c r="M439" s="945"/>
      <c r="N439" s="899"/>
      <c r="O439" s="899"/>
      <c r="P439" s="899"/>
      <c r="Q439" s="899"/>
      <c r="R439" s="899"/>
      <c r="S439" s="899"/>
      <c r="T439" s="899"/>
      <c r="U439" s="899"/>
      <c r="V439" s="899"/>
      <c r="W439" s="899"/>
      <c r="X439" s="899"/>
      <c r="Y439" s="899"/>
      <c r="Z439" s="899"/>
      <c r="AA439" s="899"/>
      <c r="AB439" s="899"/>
      <c r="AC439" s="899"/>
      <c r="AD439" s="899"/>
      <c r="AE439" s="899"/>
    </row>
    <row r="440">
      <c r="A440" s="944"/>
      <c r="B440" s="945"/>
      <c r="C440" s="945"/>
      <c r="D440" s="945"/>
      <c r="E440" s="945"/>
      <c r="F440" s="945"/>
      <c r="G440" s="945"/>
      <c r="H440" s="945"/>
      <c r="I440" s="945"/>
      <c r="J440" s="945"/>
      <c r="K440" s="945"/>
      <c r="L440" s="945"/>
      <c r="M440" s="945"/>
      <c r="N440" s="899"/>
      <c r="O440" s="899"/>
      <c r="P440" s="899"/>
      <c r="Q440" s="899"/>
      <c r="R440" s="899"/>
      <c r="S440" s="899"/>
      <c r="T440" s="899"/>
      <c r="U440" s="899"/>
      <c r="V440" s="899"/>
      <c r="W440" s="899"/>
      <c r="X440" s="899"/>
      <c r="Y440" s="899"/>
      <c r="Z440" s="899"/>
      <c r="AA440" s="899"/>
      <c r="AB440" s="899"/>
      <c r="AC440" s="899"/>
      <c r="AD440" s="899"/>
      <c r="AE440" s="899"/>
    </row>
    <row r="441">
      <c r="A441" s="944"/>
      <c r="B441" s="945"/>
      <c r="C441" s="945"/>
      <c r="D441" s="945"/>
      <c r="E441" s="945"/>
      <c r="F441" s="945"/>
      <c r="G441" s="945"/>
      <c r="H441" s="945"/>
      <c r="I441" s="945"/>
      <c r="J441" s="945"/>
      <c r="K441" s="945"/>
      <c r="L441" s="945"/>
      <c r="M441" s="945"/>
      <c r="N441" s="899"/>
      <c r="O441" s="899"/>
      <c r="P441" s="899"/>
      <c r="Q441" s="899"/>
      <c r="R441" s="899"/>
      <c r="S441" s="899"/>
      <c r="T441" s="899"/>
      <c r="U441" s="899"/>
      <c r="V441" s="899"/>
      <c r="W441" s="899"/>
      <c r="X441" s="899"/>
      <c r="Y441" s="899"/>
      <c r="Z441" s="899"/>
      <c r="AA441" s="899"/>
      <c r="AB441" s="899"/>
      <c r="AC441" s="899"/>
      <c r="AD441" s="899"/>
      <c r="AE441" s="899"/>
    </row>
    <row r="442">
      <c r="A442" s="944"/>
      <c r="B442" s="945"/>
      <c r="C442" s="945"/>
      <c r="D442" s="945"/>
      <c r="E442" s="945"/>
      <c r="F442" s="945"/>
      <c r="G442" s="945"/>
      <c r="H442" s="945"/>
      <c r="I442" s="945"/>
      <c r="J442" s="945"/>
      <c r="K442" s="945"/>
      <c r="L442" s="945"/>
      <c r="M442" s="945"/>
      <c r="N442" s="899"/>
      <c r="O442" s="899"/>
      <c r="P442" s="899"/>
      <c r="Q442" s="899"/>
      <c r="R442" s="899"/>
      <c r="S442" s="899"/>
      <c r="T442" s="899"/>
      <c r="U442" s="899"/>
      <c r="V442" s="899"/>
      <c r="W442" s="899"/>
      <c r="X442" s="899"/>
      <c r="Y442" s="899"/>
      <c r="Z442" s="899"/>
      <c r="AA442" s="899"/>
      <c r="AB442" s="899"/>
      <c r="AC442" s="899"/>
      <c r="AD442" s="899"/>
      <c r="AE442" s="899"/>
    </row>
    <row r="443">
      <c r="A443" s="944"/>
      <c r="B443" s="945"/>
      <c r="C443" s="945"/>
      <c r="D443" s="945"/>
      <c r="E443" s="945"/>
      <c r="F443" s="945"/>
      <c r="G443" s="945"/>
      <c r="H443" s="945"/>
      <c r="I443" s="945"/>
      <c r="J443" s="945"/>
      <c r="K443" s="945"/>
      <c r="L443" s="945"/>
      <c r="M443" s="945"/>
      <c r="N443" s="899"/>
      <c r="O443" s="899"/>
      <c r="P443" s="899"/>
      <c r="Q443" s="899"/>
      <c r="R443" s="899"/>
      <c r="S443" s="899"/>
      <c r="T443" s="899"/>
      <c r="U443" s="899"/>
      <c r="V443" s="899"/>
      <c r="W443" s="899"/>
      <c r="X443" s="899"/>
      <c r="Y443" s="899"/>
      <c r="Z443" s="899"/>
      <c r="AA443" s="899"/>
      <c r="AB443" s="899"/>
      <c r="AC443" s="899"/>
      <c r="AD443" s="899"/>
      <c r="AE443" s="899"/>
    </row>
    <row r="444">
      <c r="A444" s="944"/>
      <c r="B444" s="945"/>
      <c r="C444" s="945"/>
      <c r="D444" s="945"/>
      <c r="E444" s="945"/>
      <c r="F444" s="945"/>
      <c r="G444" s="945"/>
      <c r="H444" s="945"/>
      <c r="I444" s="945"/>
      <c r="J444" s="945"/>
      <c r="K444" s="945"/>
      <c r="L444" s="945"/>
      <c r="M444" s="945"/>
      <c r="N444" s="899"/>
      <c r="O444" s="899"/>
      <c r="P444" s="899"/>
      <c r="Q444" s="899"/>
      <c r="R444" s="899"/>
      <c r="S444" s="899"/>
      <c r="T444" s="899"/>
      <c r="U444" s="899"/>
      <c r="V444" s="899"/>
      <c r="W444" s="899"/>
      <c r="X444" s="899"/>
      <c r="Y444" s="899"/>
      <c r="Z444" s="899"/>
      <c r="AA444" s="899"/>
      <c r="AB444" s="899"/>
      <c r="AC444" s="899"/>
      <c r="AD444" s="899"/>
      <c r="AE444" s="899"/>
    </row>
    <row r="445">
      <c r="A445" s="944"/>
      <c r="B445" s="945"/>
      <c r="C445" s="945"/>
      <c r="D445" s="945"/>
      <c r="E445" s="945"/>
      <c r="F445" s="945"/>
      <c r="G445" s="945"/>
      <c r="H445" s="945"/>
      <c r="I445" s="945"/>
      <c r="J445" s="945"/>
      <c r="K445" s="945"/>
      <c r="L445" s="945"/>
      <c r="M445" s="945"/>
      <c r="N445" s="899"/>
      <c r="O445" s="899"/>
      <c r="P445" s="899"/>
      <c r="Q445" s="899"/>
      <c r="R445" s="899"/>
      <c r="S445" s="899"/>
      <c r="T445" s="899"/>
      <c r="U445" s="899"/>
      <c r="V445" s="899"/>
      <c r="W445" s="899"/>
      <c r="X445" s="899"/>
      <c r="Y445" s="899"/>
      <c r="Z445" s="899"/>
      <c r="AA445" s="899"/>
      <c r="AB445" s="899"/>
      <c r="AC445" s="899"/>
      <c r="AD445" s="899"/>
      <c r="AE445" s="899"/>
    </row>
    <row r="446">
      <c r="A446" s="944"/>
      <c r="B446" s="945"/>
      <c r="C446" s="945"/>
      <c r="D446" s="945"/>
      <c r="E446" s="945"/>
      <c r="F446" s="945"/>
      <c r="G446" s="945"/>
      <c r="H446" s="945"/>
      <c r="I446" s="945"/>
      <c r="J446" s="945"/>
      <c r="K446" s="945"/>
      <c r="L446" s="945"/>
      <c r="M446" s="945"/>
      <c r="N446" s="899"/>
      <c r="O446" s="899"/>
      <c r="P446" s="899"/>
      <c r="Q446" s="899"/>
      <c r="R446" s="899"/>
      <c r="S446" s="899"/>
      <c r="T446" s="899"/>
      <c r="U446" s="899"/>
      <c r="V446" s="899"/>
      <c r="W446" s="899"/>
      <c r="X446" s="899"/>
      <c r="Y446" s="899"/>
      <c r="Z446" s="899"/>
      <c r="AA446" s="899"/>
      <c r="AB446" s="899"/>
      <c r="AC446" s="899"/>
      <c r="AD446" s="899"/>
      <c r="AE446" s="899"/>
    </row>
    <row r="447">
      <c r="A447" s="944"/>
      <c r="B447" s="945"/>
      <c r="C447" s="945"/>
      <c r="D447" s="945"/>
      <c r="E447" s="945"/>
      <c r="F447" s="945"/>
      <c r="G447" s="945"/>
      <c r="H447" s="945"/>
      <c r="I447" s="945"/>
      <c r="J447" s="945"/>
      <c r="K447" s="945"/>
      <c r="L447" s="945"/>
      <c r="M447" s="945"/>
      <c r="N447" s="899"/>
      <c r="O447" s="899"/>
      <c r="P447" s="899"/>
      <c r="Q447" s="899"/>
      <c r="R447" s="899"/>
      <c r="S447" s="899"/>
      <c r="T447" s="899"/>
      <c r="U447" s="899"/>
      <c r="V447" s="899"/>
      <c r="W447" s="899"/>
      <c r="X447" s="899"/>
      <c r="Y447" s="899"/>
      <c r="Z447" s="899"/>
      <c r="AA447" s="899"/>
      <c r="AB447" s="899"/>
      <c r="AC447" s="899"/>
      <c r="AD447" s="899"/>
      <c r="AE447" s="899"/>
    </row>
    <row r="448">
      <c r="A448" s="944"/>
      <c r="B448" s="945"/>
      <c r="C448" s="945"/>
      <c r="D448" s="945"/>
      <c r="E448" s="945"/>
      <c r="F448" s="945"/>
      <c r="G448" s="945"/>
      <c r="H448" s="945"/>
      <c r="I448" s="945"/>
      <c r="J448" s="945"/>
      <c r="K448" s="945"/>
      <c r="L448" s="945"/>
      <c r="M448" s="945"/>
      <c r="N448" s="899"/>
      <c r="O448" s="899"/>
      <c r="P448" s="899"/>
      <c r="Q448" s="899"/>
      <c r="R448" s="899"/>
      <c r="S448" s="899"/>
      <c r="T448" s="899"/>
      <c r="U448" s="899"/>
      <c r="V448" s="899"/>
      <c r="W448" s="899"/>
      <c r="X448" s="899"/>
      <c r="Y448" s="899"/>
      <c r="Z448" s="899"/>
      <c r="AA448" s="899"/>
      <c r="AB448" s="899"/>
      <c r="AC448" s="899"/>
      <c r="AD448" s="899"/>
      <c r="AE448" s="899"/>
    </row>
    <row r="449">
      <c r="A449" s="944"/>
      <c r="B449" s="945"/>
      <c r="C449" s="945"/>
      <c r="D449" s="945"/>
      <c r="E449" s="945"/>
      <c r="F449" s="945"/>
      <c r="G449" s="945"/>
      <c r="H449" s="945"/>
      <c r="I449" s="945"/>
      <c r="J449" s="945"/>
      <c r="K449" s="945"/>
      <c r="L449" s="945"/>
      <c r="M449" s="945"/>
      <c r="N449" s="899"/>
      <c r="O449" s="899"/>
      <c r="P449" s="899"/>
      <c r="Q449" s="899"/>
      <c r="R449" s="899"/>
      <c r="S449" s="899"/>
      <c r="T449" s="899"/>
      <c r="U449" s="899"/>
      <c r="V449" s="899"/>
      <c r="W449" s="899"/>
      <c r="X449" s="899"/>
      <c r="Y449" s="899"/>
      <c r="Z449" s="899"/>
      <c r="AA449" s="899"/>
      <c r="AB449" s="899"/>
      <c r="AC449" s="899"/>
      <c r="AD449" s="899"/>
      <c r="AE449" s="899"/>
    </row>
    <row r="450">
      <c r="A450" s="944"/>
      <c r="B450" s="945"/>
      <c r="C450" s="945"/>
      <c r="D450" s="945"/>
      <c r="E450" s="945"/>
      <c r="F450" s="945"/>
      <c r="G450" s="945"/>
      <c r="H450" s="945"/>
      <c r="I450" s="945"/>
      <c r="J450" s="945"/>
      <c r="K450" s="945"/>
      <c r="L450" s="945"/>
      <c r="M450" s="945"/>
      <c r="N450" s="899"/>
      <c r="O450" s="899"/>
      <c r="P450" s="899"/>
      <c r="Q450" s="899"/>
      <c r="R450" s="899"/>
      <c r="S450" s="899"/>
      <c r="T450" s="899"/>
      <c r="U450" s="899"/>
      <c r="V450" s="899"/>
      <c r="W450" s="899"/>
      <c r="X450" s="899"/>
      <c r="Y450" s="899"/>
      <c r="Z450" s="899"/>
      <c r="AA450" s="899"/>
      <c r="AB450" s="899"/>
      <c r="AC450" s="899"/>
      <c r="AD450" s="899"/>
      <c r="AE450" s="899"/>
    </row>
    <row r="451">
      <c r="A451" s="944"/>
      <c r="B451" s="945"/>
      <c r="C451" s="945"/>
      <c r="D451" s="945"/>
      <c r="E451" s="945"/>
      <c r="F451" s="945"/>
      <c r="G451" s="945"/>
      <c r="H451" s="945"/>
      <c r="I451" s="945"/>
      <c r="J451" s="945"/>
      <c r="K451" s="945"/>
      <c r="L451" s="945"/>
      <c r="M451" s="945"/>
      <c r="N451" s="899"/>
      <c r="O451" s="899"/>
      <c r="P451" s="899"/>
      <c r="Q451" s="899"/>
      <c r="R451" s="899"/>
      <c r="S451" s="899"/>
      <c r="T451" s="899"/>
      <c r="U451" s="899"/>
      <c r="V451" s="899"/>
      <c r="W451" s="899"/>
      <c r="X451" s="899"/>
      <c r="Y451" s="899"/>
      <c r="Z451" s="899"/>
      <c r="AA451" s="899"/>
      <c r="AB451" s="899"/>
      <c r="AC451" s="899"/>
      <c r="AD451" s="899"/>
      <c r="AE451" s="899"/>
    </row>
    <row r="452">
      <c r="A452" s="944"/>
      <c r="B452" s="945"/>
      <c r="C452" s="945"/>
      <c r="D452" s="945"/>
      <c r="E452" s="945"/>
      <c r="F452" s="945"/>
      <c r="G452" s="945"/>
      <c r="H452" s="945"/>
      <c r="I452" s="945"/>
      <c r="J452" s="945"/>
      <c r="K452" s="945"/>
      <c r="L452" s="945"/>
      <c r="M452" s="945"/>
      <c r="N452" s="899"/>
      <c r="O452" s="899"/>
      <c r="P452" s="899"/>
      <c r="Q452" s="899"/>
      <c r="R452" s="899"/>
      <c r="S452" s="899"/>
      <c r="T452" s="899"/>
      <c r="U452" s="899"/>
      <c r="V452" s="899"/>
      <c r="W452" s="899"/>
      <c r="X452" s="899"/>
      <c r="Y452" s="899"/>
      <c r="Z452" s="899"/>
      <c r="AA452" s="899"/>
      <c r="AB452" s="899"/>
      <c r="AC452" s="899"/>
      <c r="AD452" s="899"/>
      <c r="AE452" s="899"/>
    </row>
    <row r="453">
      <c r="A453" s="944"/>
      <c r="B453" s="945"/>
      <c r="C453" s="945"/>
      <c r="D453" s="945"/>
      <c r="E453" s="945"/>
      <c r="F453" s="945"/>
      <c r="G453" s="945"/>
      <c r="H453" s="945"/>
      <c r="I453" s="945"/>
      <c r="J453" s="945"/>
      <c r="K453" s="945"/>
      <c r="L453" s="945"/>
      <c r="M453" s="945"/>
      <c r="N453" s="899"/>
      <c r="O453" s="899"/>
      <c r="P453" s="899"/>
      <c r="Q453" s="899"/>
      <c r="R453" s="899"/>
      <c r="S453" s="899"/>
      <c r="T453" s="899"/>
      <c r="U453" s="899"/>
      <c r="V453" s="899"/>
      <c r="W453" s="899"/>
      <c r="X453" s="899"/>
      <c r="Y453" s="899"/>
      <c r="Z453" s="899"/>
      <c r="AA453" s="899"/>
      <c r="AB453" s="899"/>
      <c r="AC453" s="899"/>
      <c r="AD453" s="899"/>
      <c r="AE453" s="899"/>
    </row>
    <row r="454">
      <c r="A454" s="944"/>
      <c r="B454" s="945"/>
      <c r="C454" s="945"/>
      <c r="D454" s="945"/>
      <c r="E454" s="945"/>
      <c r="F454" s="945"/>
      <c r="G454" s="945"/>
      <c r="H454" s="945"/>
      <c r="I454" s="945"/>
      <c r="J454" s="945"/>
      <c r="K454" s="945"/>
      <c r="L454" s="945"/>
      <c r="M454" s="945"/>
      <c r="N454" s="899"/>
      <c r="O454" s="899"/>
      <c r="P454" s="899"/>
      <c r="Q454" s="899"/>
      <c r="R454" s="899"/>
      <c r="S454" s="899"/>
      <c r="T454" s="899"/>
      <c r="U454" s="899"/>
      <c r="V454" s="899"/>
      <c r="W454" s="899"/>
      <c r="X454" s="899"/>
      <c r="Y454" s="899"/>
      <c r="Z454" s="899"/>
      <c r="AA454" s="899"/>
      <c r="AB454" s="899"/>
      <c r="AC454" s="899"/>
      <c r="AD454" s="899"/>
      <c r="AE454" s="899"/>
    </row>
    <row r="455">
      <c r="A455" s="944"/>
      <c r="B455" s="945"/>
      <c r="C455" s="945"/>
      <c r="D455" s="945"/>
      <c r="E455" s="945"/>
      <c r="F455" s="945"/>
      <c r="G455" s="945"/>
      <c r="H455" s="945"/>
      <c r="I455" s="945"/>
      <c r="J455" s="945"/>
      <c r="K455" s="945"/>
      <c r="L455" s="945"/>
      <c r="M455" s="945"/>
      <c r="N455" s="899"/>
      <c r="O455" s="899"/>
      <c r="P455" s="899"/>
      <c r="Q455" s="899"/>
      <c r="R455" s="899"/>
      <c r="S455" s="899"/>
      <c r="T455" s="899"/>
      <c r="U455" s="899"/>
      <c r="V455" s="899"/>
      <c r="W455" s="899"/>
      <c r="X455" s="899"/>
      <c r="Y455" s="899"/>
      <c r="Z455" s="899"/>
      <c r="AA455" s="899"/>
      <c r="AB455" s="899"/>
      <c r="AC455" s="899"/>
      <c r="AD455" s="899"/>
      <c r="AE455" s="899"/>
    </row>
    <row r="456">
      <c r="A456" s="944"/>
      <c r="B456" s="945"/>
      <c r="C456" s="945"/>
      <c r="D456" s="945"/>
      <c r="E456" s="945"/>
      <c r="F456" s="945"/>
      <c r="G456" s="945"/>
      <c r="H456" s="945"/>
      <c r="I456" s="945"/>
      <c r="J456" s="945"/>
      <c r="K456" s="945"/>
      <c r="L456" s="945"/>
      <c r="M456" s="945"/>
      <c r="N456" s="899"/>
      <c r="O456" s="899"/>
      <c r="P456" s="899"/>
      <c r="Q456" s="899"/>
      <c r="R456" s="899"/>
      <c r="S456" s="899"/>
      <c r="T456" s="899"/>
      <c r="U456" s="899"/>
      <c r="V456" s="899"/>
      <c r="W456" s="899"/>
      <c r="X456" s="899"/>
      <c r="Y456" s="899"/>
      <c r="Z456" s="899"/>
      <c r="AA456" s="899"/>
      <c r="AB456" s="899"/>
      <c r="AC456" s="899"/>
      <c r="AD456" s="899"/>
      <c r="AE456" s="899"/>
    </row>
    <row r="457">
      <c r="A457" s="944"/>
      <c r="B457" s="945"/>
      <c r="C457" s="945"/>
      <c r="D457" s="945"/>
      <c r="E457" s="945"/>
      <c r="F457" s="945"/>
      <c r="G457" s="945"/>
      <c r="H457" s="945"/>
      <c r="I457" s="945"/>
      <c r="J457" s="945"/>
      <c r="K457" s="945"/>
      <c r="L457" s="945"/>
      <c r="M457" s="945"/>
      <c r="N457" s="899"/>
      <c r="O457" s="899"/>
      <c r="P457" s="899"/>
      <c r="Q457" s="899"/>
      <c r="R457" s="899"/>
      <c r="S457" s="899"/>
      <c r="T457" s="899"/>
      <c r="U457" s="899"/>
      <c r="V457" s="899"/>
      <c r="W457" s="899"/>
      <c r="X457" s="899"/>
      <c r="Y457" s="899"/>
      <c r="Z457" s="899"/>
      <c r="AA457" s="899"/>
      <c r="AB457" s="899"/>
      <c r="AC457" s="899"/>
      <c r="AD457" s="899"/>
      <c r="AE457" s="899"/>
    </row>
    <row r="458">
      <c r="A458" s="944"/>
      <c r="B458" s="945"/>
      <c r="C458" s="945"/>
      <c r="D458" s="945"/>
      <c r="E458" s="945"/>
      <c r="F458" s="945"/>
      <c r="G458" s="945"/>
      <c r="H458" s="945"/>
      <c r="I458" s="945"/>
      <c r="J458" s="945"/>
      <c r="K458" s="945"/>
      <c r="L458" s="945"/>
      <c r="M458" s="945"/>
      <c r="N458" s="899"/>
      <c r="O458" s="899"/>
      <c r="P458" s="899"/>
      <c r="Q458" s="899"/>
      <c r="R458" s="899"/>
      <c r="S458" s="899"/>
      <c r="T458" s="899"/>
      <c r="U458" s="899"/>
      <c r="V458" s="899"/>
      <c r="W458" s="899"/>
      <c r="X458" s="899"/>
      <c r="Y458" s="899"/>
      <c r="Z458" s="899"/>
      <c r="AA458" s="899"/>
      <c r="AB458" s="899"/>
      <c r="AC458" s="899"/>
      <c r="AD458" s="899"/>
      <c r="AE458" s="899"/>
    </row>
    <row r="459">
      <c r="A459" s="944"/>
      <c r="B459" s="945"/>
      <c r="C459" s="945"/>
      <c r="D459" s="945"/>
      <c r="E459" s="945"/>
      <c r="F459" s="945"/>
      <c r="G459" s="945"/>
      <c r="H459" s="945"/>
      <c r="I459" s="945"/>
      <c r="J459" s="945"/>
      <c r="K459" s="945"/>
      <c r="L459" s="945"/>
      <c r="M459" s="945"/>
      <c r="N459" s="899"/>
      <c r="O459" s="899"/>
      <c r="P459" s="899"/>
      <c r="Q459" s="899"/>
      <c r="R459" s="899"/>
      <c r="S459" s="899"/>
      <c r="T459" s="899"/>
      <c r="U459" s="899"/>
      <c r="V459" s="899"/>
      <c r="W459" s="899"/>
      <c r="X459" s="899"/>
      <c r="Y459" s="899"/>
      <c r="Z459" s="899"/>
      <c r="AA459" s="899"/>
      <c r="AB459" s="899"/>
      <c r="AC459" s="899"/>
      <c r="AD459" s="899"/>
      <c r="AE459" s="899"/>
    </row>
    <row r="460">
      <c r="A460" s="944"/>
      <c r="B460" s="945"/>
      <c r="C460" s="945"/>
      <c r="D460" s="945"/>
      <c r="E460" s="945"/>
      <c r="F460" s="945"/>
      <c r="G460" s="945"/>
      <c r="H460" s="945"/>
      <c r="I460" s="945"/>
      <c r="J460" s="945"/>
      <c r="K460" s="945"/>
      <c r="L460" s="945"/>
      <c r="M460" s="945"/>
      <c r="N460" s="899"/>
      <c r="O460" s="899"/>
      <c r="P460" s="899"/>
      <c r="Q460" s="899"/>
      <c r="R460" s="899"/>
      <c r="S460" s="899"/>
      <c r="T460" s="899"/>
      <c r="U460" s="899"/>
      <c r="V460" s="899"/>
      <c r="W460" s="899"/>
      <c r="X460" s="899"/>
      <c r="Y460" s="899"/>
      <c r="Z460" s="899"/>
      <c r="AA460" s="899"/>
      <c r="AB460" s="899"/>
      <c r="AC460" s="899"/>
      <c r="AD460" s="899"/>
      <c r="AE460" s="899"/>
    </row>
    <row r="461">
      <c r="A461" s="944"/>
      <c r="B461" s="945"/>
      <c r="C461" s="945"/>
      <c r="D461" s="945"/>
      <c r="E461" s="945"/>
      <c r="F461" s="945"/>
      <c r="G461" s="945"/>
      <c r="H461" s="945"/>
      <c r="I461" s="945"/>
      <c r="J461" s="945"/>
      <c r="K461" s="945"/>
      <c r="L461" s="945"/>
      <c r="M461" s="945"/>
      <c r="N461" s="899"/>
      <c r="O461" s="899"/>
      <c r="P461" s="899"/>
      <c r="Q461" s="899"/>
      <c r="R461" s="899"/>
      <c r="S461" s="899"/>
      <c r="T461" s="899"/>
      <c r="U461" s="899"/>
      <c r="V461" s="899"/>
      <c r="W461" s="899"/>
      <c r="X461" s="899"/>
      <c r="Y461" s="899"/>
      <c r="Z461" s="899"/>
      <c r="AA461" s="899"/>
      <c r="AB461" s="899"/>
      <c r="AC461" s="899"/>
      <c r="AD461" s="899"/>
      <c r="AE461" s="899"/>
    </row>
    <row r="462">
      <c r="A462" s="944"/>
      <c r="B462" s="945"/>
      <c r="C462" s="945"/>
      <c r="D462" s="945"/>
      <c r="E462" s="945"/>
      <c r="F462" s="945"/>
      <c r="G462" s="945"/>
      <c r="H462" s="945"/>
      <c r="I462" s="945"/>
      <c r="J462" s="945"/>
      <c r="K462" s="945"/>
      <c r="L462" s="945"/>
      <c r="M462" s="945"/>
      <c r="N462" s="899"/>
      <c r="O462" s="899"/>
      <c r="P462" s="899"/>
      <c r="Q462" s="899"/>
      <c r="R462" s="899"/>
      <c r="S462" s="899"/>
      <c r="T462" s="899"/>
      <c r="U462" s="899"/>
      <c r="V462" s="899"/>
      <c r="W462" s="899"/>
      <c r="X462" s="899"/>
      <c r="Y462" s="899"/>
      <c r="Z462" s="899"/>
      <c r="AA462" s="899"/>
      <c r="AB462" s="899"/>
      <c r="AC462" s="899"/>
      <c r="AD462" s="899"/>
      <c r="AE462" s="899"/>
    </row>
    <row r="463">
      <c r="A463" s="944"/>
      <c r="B463" s="945"/>
      <c r="C463" s="945"/>
      <c r="D463" s="945"/>
      <c r="E463" s="945"/>
      <c r="F463" s="945"/>
      <c r="G463" s="945"/>
      <c r="H463" s="945"/>
      <c r="I463" s="945"/>
      <c r="J463" s="945"/>
      <c r="K463" s="945"/>
      <c r="L463" s="945"/>
      <c r="M463" s="945"/>
      <c r="N463" s="899"/>
      <c r="O463" s="899"/>
      <c r="P463" s="899"/>
      <c r="Q463" s="899"/>
      <c r="R463" s="899"/>
      <c r="S463" s="899"/>
      <c r="T463" s="899"/>
      <c r="U463" s="899"/>
      <c r="V463" s="899"/>
      <c r="W463" s="899"/>
      <c r="X463" s="899"/>
      <c r="Y463" s="899"/>
      <c r="Z463" s="899"/>
      <c r="AA463" s="899"/>
      <c r="AB463" s="899"/>
      <c r="AC463" s="899"/>
      <c r="AD463" s="899"/>
      <c r="AE463" s="899"/>
    </row>
    <row r="464">
      <c r="A464" s="944"/>
      <c r="B464" s="945"/>
      <c r="C464" s="945"/>
      <c r="D464" s="945"/>
      <c r="E464" s="945"/>
      <c r="F464" s="945"/>
      <c r="G464" s="945"/>
      <c r="H464" s="945"/>
      <c r="I464" s="945"/>
      <c r="J464" s="945"/>
      <c r="K464" s="945"/>
      <c r="L464" s="945"/>
      <c r="M464" s="945"/>
      <c r="N464" s="899"/>
      <c r="O464" s="899"/>
      <c r="P464" s="899"/>
      <c r="Q464" s="899"/>
      <c r="R464" s="899"/>
      <c r="S464" s="899"/>
      <c r="T464" s="899"/>
      <c r="U464" s="899"/>
      <c r="V464" s="899"/>
      <c r="W464" s="899"/>
      <c r="X464" s="899"/>
      <c r="Y464" s="899"/>
      <c r="Z464" s="899"/>
      <c r="AA464" s="899"/>
      <c r="AB464" s="899"/>
      <c r="AC464" s="899"/>
      <c r="AD464" s="899"/>
      <c r="AE464" s="899"/>
    </row>
    <row r="465">
      <c r="A465" s="944"/>
      <c r="B465" s="945"/>
      <c r="C465" s="945"/>
      <c r="D465" s="945"/>
      <c r="E465" s="945"/>
      <c r="F465" s="945"/>
      <c r="G465" s="945"/>
      <c r="H465" s="945"/>
      <c r="I465" s="945"/>
      <c r="J465" s="945"/>
      <c r="K465" s="945"/>
      <c r="L465" s="945"/>
      <c r="M465" s="945"/>
      <c r="N465" s="899"/>
      <c r="O465" s="899"/>
      <c r="P465" s="899"/>
      <c r="Q465" s="899"/>
      <c r="R465" s="899"/>
      <c r="S465" s="899"/>
      <c r="T465" s="899"/>
      <c r="U465" s="899"/>
      <c r="V465" s="899"/>
      <c r="W465" s="899"/>
      <c r="X465" s="899"/>
      <c r="Y465" s="899"/>
      <c r="Z465" s="899"/>
      <c r="AA465" s="899"/>
      <c r="AB465" s="899"/>
      <c r="AC465" s="899"/>
      <c r="AD465" s="899"/>
      <c r="AE465" s="899"/>
    </row>
    <row r="466">
      <c r="A466" s="944"/>
      <c r="B466" s="945"/>
      <c r="C466" s="945"/>
      <c r="D466" s="945"/>
      <c r="E466" s="945"/>
      <c r="F466" s="945"/>
      <c r="G466" s="945"/>
      <c r="H466" s="945"/>
      <c r="I466" s="945"/>
      <c r="J466" s="945"/>
      <c r="K466" s="945"/>
      <c r="L466" s="945"/>
      <c r="M466" s="945"/>
      <c r="N466" s="899"/>
      <c r="O466" s="899"/>
      <c r="P466" s="899"/>
      <c r="Q466" s="899"/>
      <c r="R466" s="899"/>
      <c r="S466" s="899"/>
      <c r="T466" s="899"/>
      <c r="U466" s="899"/>
      <c r="V466" s="899"/>
      <c r="W466" s="899"/>
      <c r="X466" s="899"/>
      <c r="Y466" s="899"/>
      <c r="Z466" s="899"/>
      <c r="AA466" s="899"/>
      <c r="AB466" s="899"/>
      <c r="AC466" s="899"/>
      <c r="AD466" s="899"/>
      <c r="AE466" s="899"/>
    </row>
    <row r="467">
      <c r="A467" s="944"/>
      <c r="B467" s="945"/>
      <c r="C467" s="945"/>
      <c r="D467" s="945"/>
      <c r="E467" s="945"/>
      <c r="F467" s="945"/>
      <c r="G467" s="945"/>
      <c r="H467" s="945"/>
      <c r="I467" s="945"/>
      <c r="J467" s="945"/>
      <c r="K467" s="945"/>
      <c r="L467" s="945"/>
      <c r="M467" s="945"/>
      <c r="N467" s="899"/>
      <c r="O467" s="899"/>
      <c r="P467" s="899"/>
      <c r="Q467" s="899"/>
      <c r="R467" s="899"/>
      <c r="S467" s="899"/>
      <c r="T467" s="899"/>
      <c r="U467" s="899"/>
      <c r="V467" s="899"/>
      <c r="W467" s="899"/>
      <c r="X467" s="899"/>
      <c r="Y467" s="899"/>
      <c r="Z467" s="899"/>
      <c r="AA467" s="899"/>
      <c r="AB467" s="899"/>
      <c r="AC467" s="899"/>
      <c r="AD467" s="899"/>
      <c r="AE467" s="899"/>
    </row>
    <row r="468">
      <c r="A468" s="944"/>
      <c r="B468" s="945"/>
      <c r="C468" s="945"/>
      <c r="D468" s="945"/>
      <c r="E468" s="945"/>
      <c r="F468" s="945"/>
      <c r="G468" s="945"/>
      <c r="H468" s="945"/>
      <c r="I468" s="945"/>
      <c r="J468" s="945"/>
      <c r="K468" s="945"/>
      <c r="L468" s="945"/>
      <c r="M468" s="945"/>
      <c r="N468" s="899"/>
      <c r="O468" s="899"/>
      <c r="P468" s="899"/>
      <c r="Q468" s="899"/>
      <c r="R468" s="899"/>
      <c r="S468" s="899"/>
      <c r="T468" s="899"/>
      <c r="U468" s="899"/>
      <c r="V468" s="899"/>
      <c r="W468" s="899"/>
      <c r="X468" s="899"/>
      <c r="Y468" s="899"/>
      <c r="Z468" s="899"/>
      <c r="AA468" s="899"/>
      <c r="AB468" s="899"/>
      <c r="AC468" s="899"/>
      <c r="AD468" s="899"/>
      <c r="AE468" s="899"/>
    </row>
    <row r="469">
      <c r="A469" s="944"/>
      <c r="B469" s="945"/>
      <c r="C469" s="945"/>
      <c r="D469" s="945"/>
      <c r="E469" s="945"/>
      <c r="F469" s="945"/>
      <c r="G469" s="945"/>
      <c r="H469" s="945"/>
      <c r="I469" s="945"/>
      <c r="J469" s="945"/>
      <c r="K469" s="945"/>
      <c r="L469" s="945"/>
      <c r="M469" s="945"/>
      <c r="N469" s="899"/>
      <c r="O469" s="899"/>
      <c r="P469" s="899"/>
      <c r="Q469" s="899"/>
      <c r="R469" s="899"/>
      <c r="S469" s="899"/>
      <c r="T469" s="899"/>
      <c r="U469" s="899"/>
      <c r="V469" s="899"/>
      <c r="W469" s="899"/>
      <c r="X469" s="899"/>
      <c r="Y469" s="899"/>
      <c r="Z469" s="899"/>
      <c r="AA469" s="899"/>
      <c r="AB469" s="899"/>
      <c r="AC469" s="899"/>
      <c r="AD469" s="899"/>
      <c r="AE469" s="899"/>
    </row>
    <row r="470">
      <c r="A470" s="944"/>
      <c r="B470" s="945"/>
      <c r="C470" s="945"/>
      <c r="D470" s="945"/>
      <c r="E470" s="945"/>
      <c r="F470" s="945"/>
      <c r="G470" s="945"/>
      <c r="H470" s="945"/>
      <c r="I470" s="945"/>
      <c r="J470" s="945"/>
      <c r="K470" s="945"/>
      <c r="L470" s="945"/>
      <c r="M470" s="945"/>
      <c r="N470" s="899"/>
      <c r="O470" s="899"/>
      <c r="P470" s="899"/>
      <c r="Q470" s="899"/>
      <c r="R470" s="899"/>
      <c r="S470" s="899"/>
      <c r="T470" s="899"/>
      <c r="U470" s="899"/>
      <c r="V470" s="899"/>
      <c r="W470" s="899"/>
      <c r="X470" s="899"/>
      <c r="Y470" s="899"/>
      <c r="Z470" s="899"/>
      <c r="AA470" s="899"/>
      <c r="AB470" s="899"/>
      <c r="AC470" s="899"/>
      <c r="AD470" s="899"/>
      <c r="AE470" s="899"/>
    </row>
    <row r="471">
      <c r="A471" s="944"/>
      <c r="B471" s="945"/>
      <c r="C471" s="945"/>
      <c r="D471" s="945"/>
      <c r="E471" s="945"/>
      <c r="F471" s="945"/>
      <c r="G471" s="945"/>
      <c r="H471" s="945"/>
      <c r="I471" s="945"/>
      <c r="J471" s="945"/>
      <c r="K471" s="945"/>
      <c r="L471" s="945"/>
      <c r="M471" s="945"/>
      <c r="N471" s="899"/>
      <c r="O471" s="899"/>
      <c r="P471" s="899"/>
      <c r="Q471" s="899"/>
      <c r="R471" s="899"/>
      <c r="S471" s="899"/>
      <c r="T471" s="899"/>
      <c r="U471" s="899"/>
      <c r="V471" s="899"/>
      <c r="W471" s="899"/>
      <c r="X471" s="899"/>
      <c r="Y471" s="899"/>
      <c r="Z471" s="899"/>
      <c r="AA471" s="899"/>
      <c r="AB471" s="899"/>
      <c r="AC471" s="899"/>
      <c r="AD471" s="899"/>
      <c r="AE471" s="899"/>
    </row>
    <row r="472">
      <c r="A472" s="944"/>
      <c r="B472" s="945"/>
      <c r="C472" s="945"/>
      <c r="D472" s="945"/>
      <c r="E472" s="945"/>
      <c r="F472" s="945"/>
      <c r="G472" s="945"/>
      <c r="H472" s="945"/>
      <c r="I472" s="945"/>
      <c r="J472" s="945"/>
      <c r="K472" s="945"/>
      <c r="L472" s="945"/>
      <c r="M472" s="945"/>
      <c r="N472" s="899"/>
      <c r="O472" s="899"/>
      <c r="P472" s="899"/>
      <c r="Q472" s="899"/>
      <c r="R472" s="899"/>
      <c r="S472" s="899"/>
      <c r="T472" s="899"/>
      <c r="U472" s="899"/>
      <c r="V472" s="899"/>
      <c r="W472" s="899"/>
      <c r="X472" s="899"/>
      <c r="Y472" s="899"/>
      <c r="Z472" s="899"/>
      <c r="AA472" s="899"/>
      <c r="AB472" s="899"/>
      <c r="AC472" s="899"/>
      <c r="AD472" s="899"/>
      <c r="AE472" s="899"/>
    </row>
    <row r="473">
      <c r="A473" s="944"/>
      <c r="B473" s="945"/>
      <c r="C473" s="945"/>
      <c r="D473" s="945"/>
      <c r="E473" s="945"/>
      <c r="F473" s="945"/>
      <c r="G473" s="945"/>
      <c r="H473" s="945"/>
      <c r="I473" s="945"/>
      <c r="J473" s="945"/>
      <c r="K473" s="945"/>
      <c r="L473" s="945"/>
      <c r="M473" s="945"/>
      <c r="N473" s="899"/>
      <c r="O473" s="899"/>
      <c r="P473" s="899"/>
      <c r="Q473" s="899"/>
      <c r="R473" s="899"/>
      <c r="S473" s="899"/>
      <c r="T473" s="899"/>
      <c r="U473" s="899"/>
      <c r="V473" s="899"/>
      <c r="W473" s="899"/>
      <c r="X473" s="899"/>
      <c r="Y473" s="899"/>
      <c r="Z473" s="899"/>
      <c r="AA473" s="899"/>
      <c r="AB473" s="899"/>
      <c r="AC473" s="899"/>
      <c r="AD473" s="899"/>
      <c r="AE473" s="899"/>
    </row>
    <row r="474">
      <c r="A474" s="944"/>
      <c r="B474" s="945"/>
      <c r="C474" s="945"/>
      <c r="D474" s="945"/>
      <c r="E474" s="945"/>
      <c r="F474" s="945"/>
      <c r="G474" s="945"/>
      <c r="H474" s="945"/>
      <c r="I474" s="945"/>
      <c r="J474" s="945"/>
      <c r="K474" s="945"/>
      <c r="L474" s="945"/>
      <c r="M474" s="945"/>
      <c r="N474" s="899"/>
      <c r="O474" s="899"/>
      <c r="P474" s="899"/>
      <c r="Q474" s="899"/>
      <c r="R474" s="899"/>
      <c r="S474" s="899"/>
      <c r="T474" s="899"/>
      <c r="U474" s="899"/>
      <c r="V474" s="899"/>
      <c r="W474" s="899"/>
      <c r="X474" s="899"/>
      <c r="Y474" s="899"/>
      <c r="Z474" s="899"/>
      <c r="AA474" s="899"/>
      <c r="AB474" s="899"/>
      <c r="AC474" s="899"/>
      <c r="AD474" s="899"/>
      <c r="AE474" s="899"/>
    </row>
    <row r="475">
      <c r="A475" s="944"/>
      <c r="B475" s="945"/>
      <c r="C475" s="945"/>
      <c r="D475" s="945"/>
      <c r="E475" s="945"/>
      <c r="F475" s="945"/>
      <c r="G475" s="945"/>
      <c r="H475" s="945"/>
      <c r="I475" s="945"/>
      <c r="J475" s="945"/>
      <c r="K475" s="945"/>
      <c r="L475" s="945"/>
      <c r="M475" s="945"/>
      <c r="N475" s="899"/>
      <c r="O475" s="899"/>
      <c r="P475" s="899"/>
      <c r="Q475" s="899"/>
      <c r="R475" s="899"/>
      <c r="S475" s="899"/>
      <c r="T475" s="899"/>
      <c r="U475" s="899"/>
      <c r="V475" s="899"/>
      <c r="W475" s="899"/>
      <c r="X475" s="899"/>
      <c r="Y475" s="899"/>
      <c r="Z475" s="899"/>
      <c r="AA475" s="899"/>
      <c r="AB475" s="899"/>
      <c r="AC475" s="899"/>
      <c r="AD475" s="899"/>
      <c r="AE475" s="899"/>
    </row>
    <row r="476">
      <c r="A476" s="944"/>
      <c r="B476" s="945"/>
      <c r="C476" s="945"/>
      <c r="D476" s="945"/>
      <c r="E476" s="945"/>
      <c r="F476" s="945"/>
      <c r="G476" s="945"/>
      <c r="H476" s="945"/>
      <c r="I476" s="945"/>
      <c r="J476" s="945"/>
      <c r="K476" s="945"/>
      <c r="L476" s="945"/>
      <c r="M476" s="945"/>
      <c r="N476" s="899"/>
      <c r="O476" s="899"/>
      <c r="P476" s="899"/>
      <c r="Q476" s="899"/>
      <c r="R476" s="899"/>
      <c r="S476" s="899"/>
      <c r="T476" s="899"/>
      <c r="U476" s="899"/>
      <c r="V476" s="899"/>
      <c r="W476" s="899"/>
      <c r="X476" s="899"/>
      <c r="Y476" s="899"/>
      <c r="Z476" s="899"/>
      <c r="AA476" s="899"/>
      <c r="AB476" s="899"/>
      <c r="AC476" s="899"/>
      <c r="AD476" s="899"/>
      <c r="AE476" s="899"/>
    </row>
    <row r="477">
      <c r="A477" s="944"/>
      <c r="B477" s="945"/>
      <c r="C477" s="945"/>
      <c r="D477" s="945"/>
      <c r="E477" s="945"/>
      <c r="F477" s="945"/>
      <c r="G477" s="945"/>
      <c r="H477" s="945"/>
      <c r="I477" s="945"/>
      <c r="J477" s="945"/>
      <c r="K477" s="945"/>
      <c r="L477" s="945"/>
      <c r="M477" s="945"/>
      <c r="N477" s="899"/>
      <c r="O477" s="899"/>
      <c r="P477" s="899"/>
      <c r="Q477" s="899"/>
      <c r="R477" s="899"/>
      <c r="S477" s="899"/>
      <c r="T477" s="899"/>
      <c r="U477" s="899"/>
      <c r="V477" s="899"/>
      <c r="W477" s="899"/>
      <c r="X477" s="899"/>
      <c r="Y477" s="899"/>
      <c r="Z477" s="899"/>
      <c r="AA477" s="899"/>
      <c r="AB477" s="899"/>
      <c r="AC477" s="899"/>
      <c r="AD477" s="899"/>
      <c r="AE477" s="899"/>
    </row>
    <row r="478">
      <c r="A478" s="944"/>
      <c r="B478" s="945"/>
      <c r="C478" s="945"/>
      <c r="D478" s="945"/>
      <c r="E478" s="945"/>
      <c r="F478" s="945"/>
      <c r="G478" s="945"/>
      <c r="H478" s="945"/>
      <c r="I478" s="945"/>
      <c r="J478" s="945"/>
      <c r="K478" s="945"/>
      <c r="L478" s="945"/>
      <c r="M478" s="945"/>
      <c r="N478" s="899"/>
      <c r="O478" s="899"/>
      <c r="P478" s="899"/>
      <c r="Q478" s="899"/>
      <c r="R478" s="899"/>
      <c r="S478" s="899"/>
      <c r="T478" s="899"/>
      <c r="U478" s="899"/>
      <c r="V478" s="899"/>
      <c r="W478" s="899"/>
      <c r="X478" s="899"/>
      <c r="Y478" s="899"/>
      <c r="Z478" s="899"/>
      <c r="AA478" s="899"/>
      <c r="AB478" s="899"/>
      <c r="AC478" s="899"/>
      <c r="AD478" s="899"/>
      <c r="AE478" s="899"/>
    </row>
    <row r="479">
      <c r="A479" s="944"/>
      <c r="B479" s="945"/>
      <c r="C479" s="945"/>
      <c r="D479" s="945"/>
      <c r="E479" s="945"/>
      <c r="F479" s="945"/>
      <c r="G479" s="945"/>
      <c r="H479" s="945"/>
      <c r="I479" s="945"/>
      <c r="J479" s="945"/>
      <c r="K479" s="945"/>
      <c r="L479" s="945"/>
      <c r="M479" s="945"/>
      <c r="N479" s="899"/>
      <c r="O479" s="899"/>
      <c r="P479" s="899"/>
      <c r="Q479" s="899"/>
      <c r="R479" s="899"/>
      <c r="S479" s="899"/>
      <c r="T479" s="899"/>
      <c r="U479" s="899"/>
      <c r="V479" s="899"/>
      <c r="W479" s="899"/>
      <c r="X479" s="899"/>
      <c r="Y479" s="899"/>
      <c r="Z479" s="899"/>
      <c r="AA479" s="899"/>
      <c r="AB479" s="899"/>
      <c r="AC479" s="899"/>
      <c r="AD479" s="899"/>
      <c r="AE479" s="899"/>
    </row>
    <row r="480">
      <c r="A480" s="944"/>
      <c r="B480" s="945"/>
      <c r="C480" s="945"/>
      <c r="D480" s="945"/>
      <c r="E480" s="945"/>
      <c r="F480" s="945"/>
      <c r="G480" s="945"/>
      <c r="H480" s="945"/>
      <c r="I480" s="945"/>
      <c r="J480" s="945"/>
      <c r="K480" s="945"/>
      <c r="L480" s="945"/>
      <c r="M480" s="945"/>
      <c r="N480" s="899"/>
      <c r="O480" s="899"/>
      <c r="P480" s="899"/>
      <c r="Q480" s="899"/>
      <c r="R480" s="899"/>
      <c r="S480" s="899"/>
      <c r="T480" s="899"/>
      <c r="U480" s="899"/>
      <c r="V480" s="899"/>
      <c r="W480" s="899"/>
      <c r="X480" s="899"/>
      <c r="Y480" s="899"/>
      <c r="Z480" s="899"/>
      <c r="AA480" s="899"/>
      <c r="AB480" s="899"/>
      <c r="AC480" s="899"/>
      <c r="AD480" s="899"/>
      <c r="AE480" s="899"/>
    </row>
    <row r="481">
      <c r="A481" s="944"/>
      <c r="B481" s="945"/>
      <c r="C481" s="945"/>
      <c r="D481" s="945"/>
      <c r="E481" s="945"/>
      <c r="F481" s="945"/>
      <c r="G481" s="945"/>
      <c r="H481" s="945"/>
      <c r="I481" s="945"/>
      <c r="J481" s="945"/>
      <c r="K481" s="945"/>
      <c r="L481" s="945"/>
      <c r="M481" s="945"/>
      <c r="N481" s="899"/>
      <c r="O481" s="899"/>
      <c r="P481" s="899"/>
      <c r="Q481" s="899"/>
      <c r="R481" s="899"/>
      <c r="S481" s="899"/>
      <c r="T481" s="899"/>
      <c r="U481" s="899"/>
      <c r="V481" s="899"/>
      <c r="W481" s="899"/>
      <c r="X481" s="899"/>
      <c r="Y481" s="899"/>
      <c r="Z481" s="899"/>
      <c r="AA481" s="899"/>
      <c r="AB481" s="899"/>
      <c r="AC481" s="899"/>
      <c r="AD481" s="899"/>
      <c r="AE481" s="899"/>
    </row>
    <row r="482">
      <c r="A482" s="944"/>
      <c r="B482" s="945"/>
      <c r="C482" s="945"/>
      <c r="D482" s="945"/>
      <c r="E482" s="945"/>
      <c r="F482" s="945"/>
      <c r="G482" s="945"/>
      <c r="H482" s="945"/>
      <c r="I482" s="945"/>
      <c r="J482" s="945"/>
      <c r="K482" s="945"/>
      <c r="L482" s="945"/>
      <c r="M482" s="945"/>
      <c r="N482" s="899"/>
      <c r="O482" s="899"/>
      <c r="P482" s="899"/>
      <c r="Q482" s="899"/>
      <c r="R482" s="899"/>
      <c r="S482" s="899"/>
      <c r="T482" s="899"/>
      <c r="U482" s="899"/>
      <c r="V482" s="899"/>
      <c r="W482" s="899"/>
      <c r="X482" s="899"/>
      <c r="Y482" s="899"/>
      <c r="Z482" s="899"/>
      <c r="AA482" s="899"/>
      <c r="AB482" s="899"/>
      <c r="AC482" s="899"/>
      <c r="AD482" s="899"/>
      <c r="AE482" s="899"/>
    </row>
    <row r="483">
      <c r="A483" s="944"/>
      <c r="B483" s="945"/>
      <c r="C483" s="945"/>
      <c r="D483" s="945"/>
      <c r="E483" s="945"/>
      <c r="F483" s="945"/>
      <c r="G483" s="945"/>
      <c r="H483" s="945"/>
      <c r="I483" s="945"/>
      <c r="J483" s="945"/>
      <c r="K483" s="945"/>
      <c r="L483" s="945"/>
      <c r="M483" s="945"/>
      <c r="N483" s="899"/>
      <c r="O483" s="899"/>
      <c r="P483" s="899"/>
      <c r="Q483" s="899"/>
      <c r="R483" s="899"/>
      <c r="S483" s="899"/>
      <c r="T483" s="899"/>
      <c r="U483" s="899"/>
      <c r="V483" s="899"/>
      <c r="W483" s="899"/>
      <c r="X483" s="899"/>
      <c r="Y483" s="899"/>
      <c r="Z483" s="899"/>
      <c r="AA483" s="899"/>
      <c r="AB483" s="899"/>
      <c r="AC483" s="899"/>
      <c r="AD483" s="899"/>
      <c r="AE483" s="899"/>
    </row>
    <row r="484">
      <c r="A484" s="944"/>
      <c r="B484" s="945"/>
      <c r="C484" s="945"/>
      <c r="D484" s="945"/>
      <c r="E484" s="945"/>
      <c r="F484" s="945"/>
      <c r="G484" s="945"/>
      <c r="H484" s="945"/>
      <c r="I484" s="945"/>
      <c r="J484" s="945"/>
      <c r="K484" s="945"/>
      <c r="L484" s="945"/>
      <c r="M484" s="945"/>
      <c r="N484" s="899"/>
      <c r="O484" s="899"/>
      <c r="P484" s="899"/>
      <c r="Q484" s="899"/>
      <c r="R484" s="899"/>
      <c r="S484" s="899"/>
      <c r="T484" s="899"/>
      <c r="U484" s="899"/>
      <c r="V484" s="899"/>
      <c r="W484" s="899"/>
      <c r="X484" s="899"/>
      <c r="Y484" s="899"/>
      <c r="Z484" s="899"/>
      <c r="AA484" s="899"/>
      <c r="AB484" s="899"/>
      <c r="AC484" s="899"/>
      <c r="AD484" s="899"/>
      <c r="AE484" s="899"/>
    </row>
    <row r="485">
      <c r="A485" s="944"/>
      <c r="B485" s="945"/>
      <c r="C485" s="945"/>
      <c r="D485" s="945"/>
      <c r="E485" s="945"/>
      <c r="F485" s="945"/>
      <c r="G485" s="945"/>
      <c r="H485" s="945"/>
      <c r="I485" s="945"/>
      <c r="J485" s="945"/>
      <c r="K485" s="945"/>
      <c r="L485" s="945"/>
      <c r="M485" s="945"/>
      <c r="N485" s="899"/>
      <c r="O485" s="899"/>
      <c r="P485" s="899"/>
      <c r="Q485" s="899"/>
      <c r="R485" s="899"/>
      <c r="S485" s="899"/>
      <c r="T485" s="899"/>
      <c r="U485" s="899"/>
      <c r="V485" s="899"/>
      <c r="W485" s="899"/>
      <c r="X485" s="899"/>
      <c r="Y485" s="899"/>
      <c r="Z485" s="899"/>
      <c r="AA485" s="899"/>
      <c r="AB485" s="899"/>
      <c r="AC485" s="899"/>
      <c r="AD485" s="899"/>
      <c r="AE485" s="899"/>
    </row>
    <row r="486">
      <c r="A486" s="944"/>
      <c r="B486" s="945"/>
      <c r="C486" s="945"/>
      <c r="D486" s="945"/>
      <c r="E486" s="945"/>
      <c r="F486" s="945"/>
      <c r="G486" s="945"/>
      <c r="H486" s="945"/>
      <c r="I486" s="945"/>
      <c r="J486" s="945"/>
      <c r="K486" s="945"/>
      <c r="L486" s="945"/>
      <c r="M486" s="945"/>
      <c r="N486" s="899"/>
      <c r="O486" s="899"/>
      <c r="P486" s="899"/>
      <c r="Q486" s="899"/>
      <c r="R486" s="899"/>
      <c r="S486" s="899"/>
      <c r="T486" s="899"/>
      <c r="U486" s="899"/>
      <c r="V486" s="899"/>
      <c r="W486" s="899"/>
      <c r="X486" s="899"/>
      <c r="Y486" s="899"/>
      <c r="Z486" s="899"/>
      <c r="AA486" s="899"/>
      <c r="AB486" s="899"/>
      <c r="AC486" s="899"/>
      <c r="AD486" s="899"/>
      <c r="AE486" s="899"/>
    </row>
    <row r="487">
      <c r="A487" s="944"/>
      <c r="B487" s="945"/>
      <c r="C487" s="945"/>
      <c r="D487" s="945"/>
      <c r="E487" s="945"/>
      <c r="F487" s="945"/>
      <c r="G487" s="945"/>
      <c r="H487" s="945"/>
      <c r="I487" s="945"/>
      <c r="J487" s="945"/>
      <c r="K487" s="945"/>
      <c r="L487" s="945"/>
      <c r="M487" s="945"/>
      <c r="N487" s="899"/>
      <c r="O487" s="899"/>
      <c r="P487" s="899"/>
      <c r="Q487" s="899"/>
      <c r="R487" s="899"/>
      <c r="S487" s="899"/>
      <c r="T487" s="899"/>
      <c r="U487" s="899"/>
      <c r="V487" s="899"/>
      <c r="W487" s="899"/>
      <c r="X487" s="899"/>
      <c r="Y487" s="899"/>
      <c r="Z487" s="899"/>
      <c r="AA487" s="899"/>
      <c r="AB487" s="899"/>
      <c r="AC487" s="899"/>
      <c r="AD487" s="899"/>
      <c r="AE487" s="899"/>
    </row>
    <row r="488">
      <c r="A488" s="944"/>
      <c r="B488" s="945"/>
      <c r="C488" s="945"/>
      <c r="D488" s="945"/>
      <c r="E488" s="945"/>
      <c r="F488" s="945"/>
      <c r="G488" s="945"/>
      <c r="H488" s="945"/>
      <c r="I488" s="945"/>
      <c r="J488" s="945"/>
      <c r="K488" s="945"/>
      <c r="L488" s="945"/>
      <c r="M488" s="945"/>
      <c r="N488" s="899"/>
      <c r="O488" s="899"/>
      <c r="P488" s="899"/>
      <c r="Q488" s="899"/>
      <c r="R488" s="899"/>
      <c r="S488" s="899"/>
      <c r="T488" s="899"/>
      <c r="U488" s="899"/>
      <c r="V488" s="899"/>
      <c r="W488" s="899"/>
      <c r="X488" s="899"/>
      <c r="Y488" s="899"/>
      <c r="Z488" s="899"/>
      <c r="AA488" s="899"/>
      <c r="AB488" s="899"/>
      <c r="AC488" s="899"/>
      <c r="AD488" s="899"/>
      <c r="AE488" s="899"/>
    </row>
    <row r="489">
      <c r="A489" s="944"/>
      <c r="B489" s="945"/>
      <c r="C489" s="945"/>
      <c r="D489" s="945"/>
      <c r="E489" s="945"/>
      <c r="F489" s="945"/>
      <c r="G489" s="945"/>
      <c r="H489" s="945"/>
      <c r="I489" s="945"/>
      <c r="J489" s="945"/>
      <c r="K489" s="945"/>
      <c r="L489" s="945"/>
      <c r="M489" s="945"/>
      <c r="N489" s="899"/>
      <c r="O489" s="899"/>
      <c r="P489" s="899"/>
      <c r="Q489" s="899"/>
      <c r="R489" s="899"/>
      <c r="S489" s="899"/>
      <c r="T489" s="899"/>
      <c r="U489" s="899"/>
      <c r="V489" s="899"/>
      <c r="W489" s="899"/>
      <c r="X489" s="899"/>
      <c r="Y489" s="899"/>
      <c r="Z489" s="899"/>
      <c r="AA489" s="899"/>
      <c r="AB489" s="899"/>
      <c r="AC489" s="899"/>
      <c r="AD489" s="899"/>
      <c r="AE489" s="899"/>
    </row>
    <row r="490">
      <c r="A490" s="944"/>
      <c r="B490" s="945"/>
      <c r="C490" s="945"/>
      <c r="D490" s="945"/>
      <c r="E490" s="945"/>
      <c r="F490" s="945"/>
      <c r="G490" s="945"/>
      <c r="H490" s="945"/>
      <c r="I490" s="945"/>
      <c r="J490" s="945"/>
      <c r="K490" s="945"/>
      <c r="L490" s="945"/>
      <c r="M490" s="945"/>
      <c r="N490" s="899"/>
      <c r="O490" s="899"/>
      <c r="P490" s="899"/>
      <c r="Q490" s="899"/>
      <c r="R490" s="899"/>
      <c r="S490" s="899"/>
      <c r="T490" s="899"/>
      <c r="U490" s="899"/>
      <c r="V490" s="899"/>
      <c r="W490" s="899"/>
      <c r="X490" s="899"/>
      <c r="Y490" s="899"/>
      <c r="Z490" s="899"/>
      <c r="AA490" s="899"/>
      <c r="AB490" s="899"/>
      <c r="AC490" s="899"/>
      <c r="AD490" s="899"/>
      <c r="AE490" s="899"/>
    </row>
    <row r="491">
      <c r="A491" s="944"/>
      <c r="B491" s="945"/>
      <c r="C491" s="945"/>
      <c r="D491" s="945"/>
      <c r="E491" s="945"/>
      <c r="F491" s="945"/>
      <c r="G491" s="945"/>
      <c r="H491" s="945"/>
      <c r="I491" s="945"/>
      <c r="J491" s="945"/>
      <c r="K491" s="945"/>
      <c r="L491" s="945"/>
      <c r="M491" s="945"/>
      <c r="N491" s="899"/>
      <c r="O491" s="899"/>
      <c r="P491" s="899"/>
      <c r="Q491" s="899"/>
      <c r="R491" s="899"/>
      <c r="S491" s="899"/>
      <c r="T491" s="899"/>
      <c r="U491" s="899"/>
      <c r="V491" s="899"/>
      <c r="W491" s="899"/>
      <c r="X491" s="899"/>
      <c r="Y491" s="899"/>
      <c r="Z491" s="899"/>
      <c r="AA491" s="899"/>
      <c r="AB491" s="899"/>
      <c r="AC491" s="899"/>
      <c r="AD491" s="899"/>
      <c r="AE491" s="899"/>
    </row>
    <row r="492">
      <c r="A492" s="944"/>
      <c r="B492" s="945"/>
      <c r="C492" s="945"/>
      <c r="D492" s="945"/>
      <c r="E492" s="945"/>
      <c r="F492" s="945"/>
      <c r="G492" s="945"/>
      <c r="H492" s="945"/>
      <c r="I492" s="945"/>
      <c r="J492" s="945"/>
      <c r="K492" s="945"/>
      <c r="L492" s="945"/>
      <c r="M492" s="945"/>
      <c r="N492" s="899"/>
      <c r="O492" s="899"/>
      <c r="P492" s="899"/>
      <c r="Q492" s="899"/>
      <c r="R492" s="899"/>
      <c r="S492" s="899"/>
      <c r="T492" s="899"/>
      <c r="U492" s="899"/>
      <c r="V492" s="899"/>
      <c r="W492" s="899"/>
      <c r="X492" s="899"/>
      <c r="Y492" s="899"/>
      <c r="Z492" s="899"/>
      <c r="AA492" s="899"/>
      <c r="AB492" s="899"/>
      <c r="AC492" s="899"/>
      <c r="AD492" s="899"/>
      <c r="AE492" s="899"/>
    </row>
    <row r="493">
      <c r="A493" s="944"/>
      <c r="B493" s="945"/>
      <c r="C493" s="945"/>
      <c r="D493" s="945"/>
      <c r="E493" s="945"/>
      <c r="F493" s="945"/>
      <c r="G493" s="945"/>
      <c r="H493" s="945"/>
      <c r="I493" s="945"/>
      <c r="J493" s="945"/>
      <c r="K493" s="945"/>
      <c r="L493" s="945"/>
      <c r="M493" s="945"/>
      <c r="N493" s="899"/>
      <c r="O493" s="899"/>
      <c r="P493" s="899"/>
      <c r="Q493" s="899"/>
      <c r="R493" s="899"/>
      <c r="S493" s="899"/>
      <c r="T493" s="899"/>
      <c r="U493" s="899"/>
      <c r="V493" s="899"/>
      <c r="W493" s="899"/>
      <c r="X493" s="899"/>
      <c r="Y493" s="899"/>
      <c r="Z493" s="899"/>
      <c r="AA493" s="899"/>
      <c r="AB493" s="899"/>
      <c r="AC493" s="899"/>
      <c r="AD493" s="899"/>
      <c r="AE493" s="899"/>
    </row>
    <row r="494">
      <c r="A494" s="944"/>
      <c r="B494" s="945"/>
      <c r="C494" s="945"/>
      <c r="D494" s="945"/>
      <c r="E494" s="945"/>
      <c r="F494" s="945"/>
      <c r="G494" s="945"/>
      <c r="H494" s="945"/>
      <c r="I494" s="945"/>
      <c r="J494" s="945"/>
      <c r="K494" s="945"/>
      <c r="L494" s="945"/>
      <c r="M494" s="945"/>
      <c r="N494" s="899"/>
      <c r="O494" s="899"/>
      <c r="P494" s="899"/>
      <c r="Q494" s="899"/>
      <c r="R494" s="899"/>
      <c r="S494" s="899"/>
      <c r="T494" s="899"/>
      <c r="U494" s="899"/>
      <c r="V494" s="899"/>
      <c r="W494" s="899"/>
      <c r="X494" s="899"/>
      <c r="Y494" s="899"/>
      <c r="Z494" s="899"/>
      <c r="AA494" s="899"/>
      <c r="AB494" s="899"/>
      <c r="AC494" s="899"/>
      <c r="AD494" s="899"/>
      <c r="AE494" s="899"/>
    </row>
    <row r="495">
      <c r="A495" s="944"/>
      <c r="B495" s="945"/>
      <c r="C495" s="945"/>
      <c r="D495" s="945"/>
      <c r="E495" s="945"/>
      <c r="F495" s="945"/>
      <c r="G495" s="945"/>
      <c r="H495" s="945"/>
      <c r="I495" s="945"/>
      <c r="J495" s="945"/>
      <c r="K495" s="945"/>
      <c r="L495" s="945"/>
      <c r="M495" s="945"/>
      <c r="N495" s="899"/>
      <c r="O495" s="899"/>
      <c r="P495" s="899"/>
      <c r="Q495" s="899"/>
      <c r="R495" s="899"/>
      <c r="S495" s="899"/>
      <c r="T495" s="899"/>
      <c r="U495" s="899"/>
      <c r="V495" s="899"/>
      <c r="W495" s="899"/>
      <c r="X495" s="899"/>
      <c r="Y495" s="899"/>
      <c r="Z495" s="899"/>
      <c r="AA495" s="899"/>
      <c r="AB495" s="899"/>
      <c r="AC495" s="899"/>
      <c r="AD495" s="899"/>
      <c r="AE495" s="899"/>
    </row>
    <row r="496">
      <c r="A496" s="944"/>
      <c r="B496" s="945"/>
      <c r="C496" s="945"/>
      <c r="D496" s="945"/>
      <c r="E496" s="945"/>
      <c r="F496" s="945"/>
      <c r="G496" s="945"/>
      <c r="H496" s="945"/>
      <c r="I496" s="945"/>
      <c r="J496" s="945"/>
      <c r="K496" s="945"/>
      <c r="L496" s="945"/>
      <c r="M496" s="945"/>
      <c r="N496" s="899"/>
      <c r="O496" s="899"/>
      <c r="P496" s="899"/>
      <c r="Q496" s="899"/>
      <c r="R496" s="899"/>
      <c r="S496" s="899"/>
      <c r="T496" s="899"/>
      <c r="U496" s="899"/>
      <c r="V496" s="899"/>
      <c r="W496" s="899"/>
      <c r="X496" s="899"/>
      <c r="Y496" s="899"/>
      <c r="Z496" s="899"/>
      <c r="AA496" s="899"/>
      <c r="AB496" s="899"/>
      <c r="AC496" s="899"/>
      <c r="AD496" s="899"/>
      <c r="AE496" s="899"/>
    </row>
    <row r="497">
      <c r="A497" s="944"/>
      <c r="B497" s="945"/>
      <c r="C497" s="945"/>
      <c r="D497" s="945"/>
      <c r="E497" s="945"/>
      <c r="F497" s="945"/>
      <c r="G497" s="945"/>
      <c r="H497" s="945"/>
      <c r="I497" s="945"/>
      <c r="J497" s="945"/>
      <c r="K497" s="945"/>
      <c r="L497" s="945"/>
      <c r="M497" s="945"/>
      <c r="N497" s="899"/>
      <c r="O497" s="899"/>
      <c r="P497" s="899"/>
      <c r="Q497" s="899"/>
      <c r="R497" s="899"/>
      <c r="S497" s="899"/>
      <c r="T497" s="899"/>
      <c r="U497" s="899"/>
      <c r="V497" s="899"/>
      <c r="W497" s="899"/>
      <c r="X497" s="899"/>
      <c r="Y497" s="899"/>
      <c r="Z497" s="899"/>
      <c r="AA497" s="899"/>
      <c r="AB497" s="899"/>
      <c r="AC497" s="899"/>
      <c r="AD497" s="899"/>
      <c r="AE497" s="899"/>
    </row>
    <row r="498">
      <c r="A498" s="944"/>
      <c r="B498" s="945"/>
      <c r="C498" s="945"/>
      <c r="D498" s="945"/>
      <c r="E498" s="945"/>
      <c r="F498" s="945"/>
      <c r="G498" s="945"/>
      <c r="H498" s="945"/>
      <c r="I498" s="945"/>
      <c r="J498" s="945"/>
      <c r="K498" s="945"/>
      <c r="L498" s="945"/>
      <c r="M498" s="945"/>
      <c r="N498" s="899"/>
      <c r="O498" s="899"/>
      <c r="P498" s="899"/>
      <c r="Q498" s="899"/>
      <c r="R498" s="899"/>
      <c r="S498" s="899"/>
      <c r="T498" s="899"/>
      <c r="U498" s="899"/>
      <c r="V498" s="899"/>
      <c r="W498" s="899"/>
      <c r="X498" s="899"/>
      <c r="Y498" s="899"/>
      <c r="Z498" s="899"/>
      <c r="AA498" s="899"/>
      <c r="AB498" s="899"/>
      <c r="AC498" s="899"/>
      <c r="AD498" s="899"/>
      <c r="AE498" s="899"/>
    </row>
    <row r="499">
      <c r="A499" s="944"/>
      <c r="B499" s="945"/>
      <c r="C499" s="945"/>
      <c r="D499" s="945"/>
      <c r="E499" s="945"/>
      <c r="F499" s="945"/>
      <c r="G499" s="945"/>
      <c r="H499" s="945"/>
      <c r="I499" s="945"/>
      <c r="J499" s="945"/>
      <c r="K499" s="945"/>
      <c r="L499" s="945"/>
      <c r="M499" s="945"/>
      <c r="N499" s="899"/>
      <c r="O499" s="899"/>
      <c r="P499" s="899"/>
      <c r="Q499" s="899"/>
      <c r="R499" s="899"/>
      <c r="S499" s="899"/>
      <c r="T499" s="899"/>
      <c r="U499" s="899"/>
      <c r="V499" s="899"/>
      <c r="W499" s="899"/>
      <c r="X499" s="899"/>
      <c r="Y499" s="899"/>
      <c r="Z499" s="899"/>
      <c r="AA499" s="899"/>
      <c r="AB499" s="899"/>
      <c r="AC499" s="899"/>
      <c r="AD499" s="899"/>
      <c r="AE499" s="899"/>
    </row>
    <row r="500">
      <c r="A500" s="944"/>
      <c r="B500" s="945"/>
      <c r="C500" s="945"/>
      <c r="D500" s="945"/>
      <c r="E500" s="945"/>
      <c r="F500" s="945"/>
      <c r="G500" s="945"/>
      <c r="H500" s="945"/>
      <c r="I500" s="945"/>
      <c r="J500" s="945"/>
      <c r="K500" s="945"/>
      <c r="L500" s="945"/>
      <c r="M500" s="945"/>
      <c r="N500" s="899"/>
      <c r="O500" s="899"/>
      <c r="P500" s="899"/>
      <c r="Q500" s="899"/>
      <c r="R500" s="899"/>
      <c r="S500" s="899"/>
      <c r="T500" s="899"/>
      <c r="U500" s="899"/>
      <c r="V500" s="899"/>
      <c r="W500" s="899"/>
      <c r="X500" s="899"/>
      <c r="Y500" s="899"/>
      <c r="Z500" s="899"/>
      <c r="AA500" s="899"/>
      <c r="AB500" s="899"/>
      <c r="AC500" s="899"/>
      <c r="AD500" s="899"/>
      <c r="AE500" s="899"/>
    </row>
    <row r="501">
      <c r="A501" s="944"/>
      <c r="B501" s="945"/>
      <c r="C501" s="945"/>
      <c r="D501" s="945"/>
      <c r="E501" s="945"/>
      <c r="F501" s="945"/>
      <c r="G501" s="945"/>
      <c r="H501" s="945"/>
      <c r="I501" s="945"/>
      <c r="J501" s="945"/>
      <c r="K501" s="945"/>
      <c r="L501" s="945"/>
      <c r="M501" s="945"/>
      <c r="N501" s="899"/>
      <c r="O501" s="899"/>
      <c r="P501" s="899"/>
      <c r="Q501" s="899"/>
      <c r="R501" s="899"/>
      <c r="S501" s="899"/>
      <c r="T501" s="899"/>
      <c r="U501" s="899"/>
      <c r="V501" s="899"/>
      <c r="W501" s="899"/>
      <c r="X501" s="899"/>
      <c r="Y501" s="899"/>
      <c r="Z501" s="899"/>
      <c r="AA501" s="899"/>
      <c r="AB501" s="899"/>
      <c r="AC501" s="899"/>
      <c r="AD501" s="899"/>
      <c r="AE501" s="899"/>
    </row>
    <row r="502">
      <c r="A502" s="944"/>
      <c r="B502" s="945"/>
      <c r="C502" s="945"/>
      <c r="D502" s="945"/>
      <c r="E502" s="945"/>
      <c r="F502" s="945"/>
      <c r="G502" s="945"/>
      <c r="H502" s="945"/>
      <c r="I502" s="945"/>
      <c r="J502" s="945"/>
      <c r="K502" s="945"/>
      <c r="L502" s="945"/>
      <c r="M502" s="945"/>
      <c r="N502" s="899"/>
      <c r="O502" s="899"/>
      <c r="P502" s="899"/>
      <c r="Q502" s="899"/>
      <c r="R502" s="899"/>
      <c r="S502" s="899"/>
      <c r="T502" s="899"/>
      <c r="U502" s="899"/>
      <c r="V502" s="899"/>
      <c r="W502" s="899"/>
      <c r="X502" s="899"/>
      <c r="Y502" s="899"/>
      <c r="Z502" s="899"/>
      <c r="AA502" s="899"/>
      <c r="AB502" s="899"/>
      <c r="AC502" s="899"/>
      <c r="AD502" s="899"/>
      <c r="AE502" s="899"/>
    </row>
    <row r="503">
      <c r="A503" s="944"/>
      <c r="B503" s="945"/>
      <c r="C503" s="945"/>
      <c r="D503" s="945"/>
      <c r="E503" s="945"/>
      <c r="F503" s="945"/>
      <c r="G503" s="945"/>
      <c r="H503" s="945"/>
      <c r="I503" s="945"/>
      <c r="J503" s="945"/>
      <c r="K503" s="945"/>
      <c r="L503" s="945"/>
      <c r="M503" s="945"/>
      <c r="N503" s="899"/>
      <c r="O503" s="899"/>
      <c r="P503" s="899"/>
      <c r="Q503" s="899"/>
      <c r="R503" s="899"/>
      <c r="S503" s="899"/>
      <c r="T503" s="899"/>
      <c r="U503" s="899"/>
      <c r="V503" s="899"/>
      <c r="W503" s="899"/>
      <c r="X503" s="899"/>
      <c r="Y503" s="899"/>
      <c r="Z503" s="899"/>
      <c r="AA503" s="899"/>
      <c r="AB503" s="899"/>
      <c r="AC503" s="899"/>
      <c r="AD503" s="899"/>
      <c r="AE503" s="899"/>
    </row>
    <row r="504">
      <c r="A504" s="944"/>
      <c r="B504" s="945"/>
      <c r="C504" s="945"/>
      <c r="D504" s="945"/>
      <c r="E504" s="945"/>
      <c r="F504" s="945"/>
      <c r="G504" s="945"/>
      <c r="H504" s="945"/>
      <c r="I504" s="945"/>
      <c r="J504" s="945"/>
      <c r="K504" s="945"/>
      <c r="L504" s="945"/>
      <c r="M504" s="945"/>
      <c r="N504" s="899"/>
      <c r="O504" s="899"/>
      <c r="P504" s="899"/>
      <c r="Q504" s="899"/>
      <c r="R504" s="899"/>
      <c r="S504" s="899"/>
      <c r="T504" s="899"/>
      <c r="U504" s="899"/>
      <c r="V504" s="899"/>
      <c r="W504" s="899"/>
      <c r="X504" s="899"/>
      <c r="Y504" s="899"/>
      <c r="Z504" s="899"/>
      <c r="AA504" s="899"/>
      <c r="AB504" s="899"/>
      <c r="AC504" s="899"/>
      <c r="AD504" s="899"/>
      <c r="AE504" s="899"/>
    </row>
    <row r="505">
      <c r="A505" s="944"/>
      <c r="B505" s="945"/>
      <c r="C505" s="945"/>
      <c r="D505" s="945"/>
      <c r="E505" s="945"/>
      <c r="F505" s="945"/>
      <c r="G505" s="945"/>
      <c r="H505" s="945"/>
      <c r="I505" s="945"/>
      <c r="J505" s="945"/>
      <c r="K505" s="945"/>
      <c r="L505" s="945"/>
      <c r="M505" s="945"/>
      <c r="N505" s="899"/>
      <c r="O505" s="899"/>
      <c r="P505" s="899"/>
      <c r="Q505" s="899"/>
      <c r="R505" s="899"/>
      <c r="S505" s="899"/>
      <c r="T505" s="899"/>
      <c r="U505" s="899"/>
      <c r="V505" s="899"/>
      <c r="W505" s="899"/>
      <c r="X505" s="899"/>
      <c r="Y505" s="899"/>
      <c r="Z505" s="899"/>
      <c r="AA505" s="899"/>
      <c r="AB505" s="899"/>
      <c r="AC505" s="899"/>
      <c r="AD505" s="899"/>
      <c r="AE505" s="899"/>
    </row>
    <row r="506">
      <c r="A506" s="944"/>
      <c r="B506" s="945"/>
      <c r="C506" s="945"/>
      <c r="D506" s="945"/>
      <c r="E506" s="945"/>
      <c r="F506" s="945"/>
      <c r="G506" s="945"/>
      <c r="H506" s="945"/>
      <c r="I506" s="945"/>
      <c r="J506" s="945"/>
      <c r="K506" s="945"/>
      <c r="L506" s="945"/>
      <c r="M506" s="945"/>
      <c r="N506" s="899"/>
      <c r="O506" s="899"/>
      <c r="P506" s="899"/>
      <c r="Q506" s="899"/>
      <c r="R506" s="899"/>
      <c r="S506" s="899"/>
      <c r="T506" s="899"/>
      <c r="U506" s="899"/>
      <c r="V506" s="899"/>
      <c r="W506" s="899"/>
      <c r="X506" s="899"/>
      <c r="Y506" s="899"/>
      <c r="Z506" s="899"/>
      <c r="AA506" s="899"/>
      <c r="AB506" s="899"/>
      <c r="AC506" s="899"/>
      <c r="AD506" s="899"/>
      <c r="AE506" s="899"/>
    </row>
    <row r="507">
      <c r="A507" s="944"/>
      <c r="B507" s="945"/>
      <c r="C507" s="945"/>
      <c r="D507" s="945"/>
      <c r="E507" s="945"/>
      <c r="F507" s="945"/>
      <c r="G507" s="945"/>
      <c r="H507" s="945"/>
      <c r="I507" s="945"/>
      <c r="J507" s="945"/>
      <c r="K507" s="945"/>
      <c r="L507" s="945"/>
      <c r="M507" s="945"/>
      <c r="N507" s="899"/>
      <c r="O507" s="899"/>
      <c r="P507" s="899"/>
      <c r="Q507" s="899"/>
      <c r="R507" s="899"/>
      <c r="S507" s="899"/>
      <c r="T507" s="899"/>
      <c r="U507" s="899"/>
      <c r="V507" s="899"/>
      <c r="W507" s="899"/>
      <c r="X507" s="899"/>
      <c r="Y507" s="899"/>
      <c r="Z507" s="899"/>
      <c r="AA507" s="899"/>
      <c r="AB507" s="899"/>
      <c r="AC507" s="899"/>
      <c r="AD507" s="899"/>
      <c r="AE507" s="899"/>
    </row>
    <row r="508">
      <c r="A508" s="944"/>
      <c r="B508" s="945"/>
      <c r="C508" s="945"/>
      <c r="D508" s="945"/>
      <c r="E508" s="945"/>
      <c r="F508" s="945"/>
      <c r="G508" s="945"/>
      <c r="H508" s="945"/>
      <c r="I508" s="945"/>
      <c r="J508" s="945"/>
      <c r="K508" s="945"/>
      <c r="L508" s="945"/>
      <c r="M508" s="945"/>
      <c r="N508" s="899"/>
      <c r="O508" s="899"/>
      <c r="P508" s="899"/>
      <c r="Q508" s="899"/>
      <c r="R508" s="899"/>
      <c r="S508" s="899"/>
      <c r="T508" s="899"/>
      <c r="U508" s="899"/>
      <c r="V508" s="899"/>
      <c r="W508" s="899"/>
      <c r="X508" s="899"/>
      <c r="Y508" s="899"/>
      <c r="Z508" s="899"/>
      <c r="AA508" s="899"/>
      <c r="AB508" s="899"/>
      <c r="AC508" s="899"/>
      <c r="AD508" s="899"/>
      <c r="AE508" s="899"/>
    </row>
    <row r="509">
      <c r="A509" s="944"/>
      <c r="B509" s="945"/>
      <c r="C509" s="945"/>
      <c r="D509" s="945"/>
      <c r="E509" s="945"/>
      <c r="F509" s="945"/>
      <c r="G509" s="945"/>
      <c r="H509" s="945"/>
      <c r="I509" s="945"/>
      <c r="J509" s="945"/>
      <c r="K509" s="945"/>
      <c r="L509" s="945"/>
      <c r="M509" s="945"/>
      <c r="N509" s="899"/>
      <c r="O509" s="899"/>
      <c r="P509" s="899"/>
      <c r="Q509" s="899"/>
      <c r="R509" s="899"/>
      <c r="S509" s="899"/>
      <c r="T509" s="899"/>
      <c r="U509" s="899"/>
      <c r="V509" s="899"/>
      <c r="W509" s="899"/>
      <c r="X509" s="899"/>
      <c r="Y509" s="899"/>
      <c r="Z509" s="899"/>
      <c r="AA509" s="899"/>
      <c r="AB509" s="899"/>
      <c r="AC509" s="899"/>
      <c r="AD509" s="899"/>
      <c r="AE509" s="899"/>
    </row>
    <row r="510">
      <c r="A510" s="944"/>
      <c r="B510" s="945"/>
      <c r="C510" s="945"/>
      <c r="D510" s="945"/>
      <c r="E510" s="945"/>
      <c r="F510" s="945"/>
      <c r="G510" s="945"/>
      <c r="H510" s="945"/>
      <c r="I510" s="945"/>
      <c r="J510" s="945"/>
      <c r="K510" s="945"/>
      <c r="L510" s="945"/>
      <c r="M510" s="945"/>
      <c r="N510" s="899"/>
      <c r="O510" s="899"/>
      <c r="P510" s="899"/>
      <c r="Q510" s="899"/>
      <c r="R510" s="899"/>
      <c r="S510" s="899"/>
      <c r="T510" s="899"/>
      <c r="U510" s="899"/>
      <c r="V510" s="899"/>
      <c r="W510" s="899"/>
      <c r="X510" s="899"/>
      <c r="Y510" s="899"/>
      <c r="Z510" s="899"/>
      <c r="AA510" s="899"/>
      <c r="AB510" s="899"/>
      <c r="AC510" s="899"/>
      <c r="AD510" s="899"/>
      <c r="AE510" s="899"/>
    </row>
    <row r="511">
      <c r="A511" s="944"/>
      <c r="B511" s="945"/>
      <c r="C511" s="945"/>
      <c r="D511" s="945"/>
      <c r="E511" s="945"/>
      <c r="F511" s="945"/>
      <c r="G511" s="945"/>
      <c r="H511" s="945"/>
      <c r="I511" s="945"/>
      <c r="J511" s="945"/>
      <c r="K511" s="945"/>
      <c r="L511" s="945"/>
      <c r="M511" s="945"/>
      <c r="N511" s="899"/>
      <c r="O511" s="899"/>
      <c r="P511" s="899"/>
      <c r="Q511" s="899"/>
      <c r="R511" s="899"/>
      <c r="S511" s="899"/>
      <c r="T511" s="899"/>
      <c r="U511" s="899"/>
      <c r="V511" s="899"/>
      <c r="W511" s="899"/>
      <c r="X511" s="899"/>
      <c r="Y511" s="899"/>
      <c r="Z511" s="899"/>
      <c r="AA511" s="899"/>
      <c r="AB511" s="899"/>
      <c r="AC511" s="899"/>
      <c r="AD511" s="899"/>
      <c r="AE511" s="899"/>
    </row>
    <row r="512">
      <c r="A512" s="944"/>
      <c r="B512" s="945"/>
      <c r="C512" s="945"/>
      <c r="D512" s="945"/>
      <c r="E512" s="945"/>
      <c r="F512" s="945"/>
      <c r="G512" s="945"/>
      <c r="H512" s="945"/>
      <c r="I512" s="945"/>
      <c r="J512" s="945"/>
      <c r="K512" s="945"/>
      <c r="L512" s="945"/>
      <c r="M512" s="945"/>
      <c r="N512" s="899"/>
      <c r="O512" s="899"/>
      <c r="P512" s="899"/>
      <c r="Q512" s="899"/>
      <c r="R512" s="899"/>
      <c r="S512" s="899"/>
      <c r="T512" s="899"/>
      <c r="U512" s="899"/>
      <c r="V512" s="899"/>
      <c r="W512" s="899"/>
      <c r="X512" s="899"/>
      <c r="Y512" s="899"/>
      <c r="Z512" s="899"/>
      <c r="AA512" s="899"/>
      <c r="AB512" s="899"/>
      <c r="AC512" s="899"/>
      <c r="AD512" s="899"/>
      <c r="AE512" s="899"/>
    </row>
    <row r="513">
      <c r="A513" s="944"/>
      <c r="B513" s="945"/>
      <c r="C513" s="945"/>
      <c r="D513" s="945"/>
      <c r="E513" s="945"/>
      <c r="F513" s="945"/>
      <c r="G513" s="945"/>
      <c r="H513" s="945"/>
      <c r="I513" s="945"/>
      <c r="J513" s="945"/>
      <c r="K513" s="945"/>
      <c r="L513" s="945"/>
      <c r="M513" s="945"/>
      <c r="N513" s="899"/>
      <c r="O513" s="899"/>
      <c r="P513" s="899"/>
      <c r="Q513" s="899"/>
      <c r="R513" s="899"/>
      <c r="S513" s="899"/>
      <c r="T513" s="899"/>
      <c r="U513" s="899"/>
      <c r="V513" s="899"/>
      <c r="W513" s="899"/>
      <c r="X513" s="899"/>
      <c r="Y513" s="899"/>
      <c r="Z513" s="899"/>
      <c r="AA513" s="899"/>
      <c r="AB513" s="899"/>
      <c r="AC513" s="899"/>
      <c r="AD513" s="899"/>
      <c r="AE513" s="899"/>
    </row>
    <row r="514">
      <c r="A514" s="944"/>
      <c r="B514" s="945"/>
      <c r="C514" s="945"/>
      <c r="D514" s="945"/>
      <c r="E514" s="945"/>
      <c r="F514" s="945"/>
      <c r="G514" s="945"/>
      <c r="H514" s="945"/>
      <c r="I514" s="945"/>
      <c r="J514" s="945"/>
      <c r="K514" s="945"/>
      <c r="L514" s="945"/>
      <c r="M514" s="945"/>
      <c r="N514" s="899"/>
      <c r="O514" s="899"/>
      <c r="P514" s="899"/>
      <c r="Q514" s="899"/>
      <c r="R514" s="899"/>
      <c r="S514" s="899"/>
      <c r="T514" s="899"/>
      <c r="U514" s="899"/>
      <c r="V514" s="899"/>
      <c r="W514" s="899"/>
      <c r="X514" s="899"/>
      <c r="Y514" s="899"/>
      <c r="Z514" s="899"/>
      <c r="AA514" s="899"/>
      <c r="AB514" s="899"/>
      <c r="AC514" s="899"/>
      <c r="AD514" s="899"/>
      <c r="AE514" s="899"/>
    </row>
    <row r="515">
      <c r="A515" s="944"/>
      <c r="B515" s="945"/>
      <c r="C515" s="945"/>
      <c r="D515" s="945"/>
      <c r="E515" s="945"/>
      <c r="F515" s="945"/>
      <c r="G515" s="945"/>
      <c r="H515" s="945"/>
      <c r="I515" s="945"/>
      <c r="J515" s="945"/>
      <c r="K515" s="945"/>
      <c r="L515" s="945"/>
      <c r="M515" s="945"/>
      <c r="N515" s="899"/>
      <c r="O515" s="899"/>
      <c r="P515" s="899"/>
      <c r="Q515" s="899"/>
      <c r="R515" s="899"/>
      <c r="S515" s="899"/>
      <c r="T515" s="899"/>
      <c r="U515" s="899"/>
      <c r="V515" s="899"/>
      <c r="W515" s="899"/>
      <c r="X515" s="899"/>
      <c r="Y515" s="899"/>
      <c r="Z515" s="899"/>
      <c r="AA515" s="899"/>
      <c r="AB515" s="899"/>
      <c r="AC515" s="899"/>
      <c r="AD515" s="899"/>
      <c r="AE515" s="899"/>
    </row>
    <row r="516">
      <c r="A516" s="944"/>
      <c r="B516" s="945"/>
      <c r="C516" s="945"/>
      <c r="D516" s="945"/>
      <c r="E516" s="945"/>
      <c r="F516" s="945"/>
      <c r="G516" s="945"/>
      <c r="H516" s="945"/>
      <c r="I516" s="945"/>
      <c r="J516" s="945"/>
      <c r="K516" s="945"/>
      <c r="L516" s="945"/>
      <c r="M516" s="945"/>
      <c r="N516" s="899"/>
      <c r="O516" s="899"/>
      <c r="P516" s="899"/>
      <c r="Q516" s="899"/>
      <c r="R516" s="899"/>
      <c r="S516" s="899"/>
      <c r="T516" s="899"/>
      <c r="U516" s="899"/>
      <c r="V516" s="899"/>
      <c r="W516" s="899"/>
      <c r="X516" s="899"/>
      <c r="Y516" s="899"/>
      <c r="Z516" s="899"/>
      <c r="AA516" s="899"/>
      <c r="AB516" s="899"/>
      <c r="AC516" s="899"/>
      <c r="AD516" s="899"/>
      <c r="AE516" s="899"/>
    </row>
    <row r="517">
      <c r="A517" s="944"/>
      <c r="B517" s="945"/>
      <c r="C517" s="945"/>
      <c r="D517" s="945"/>
      <c r="E517" s="945"/>
      <c r="F517" s="945"/>
      <c r="G517" s="945"/>
      <c r="H517" s="945"/>
      <c r="I517" s="945"/>
      <c r="J517" s="945"/>
      <c r="K517" s="945"/>
      <c r="L517" s="945"/>
      <c r="M517" s="945"/>
      <c r="N517" s="899"/>
      <c r="O517" s="899"/>
      <c r="P517" s="899"/>
      <c r="Q517" s="899"/>
      <c r="R517" s="899"/>
      <c r="S517" s="899"/>
      <c r="T517" s="899"/>
      <c r="U517" s="899"/>
      <c r="V517" s="899"/>
      <c r="W517" s="899"/>
      <c r="X517" s="899"/>
      <c r="Y517" s="899"/>
      <c r="Z517" s="899"/>
      <c r="AA517" s="899"/>
      <c r="AB517" s="899"/>
      <c r="AC517" s="899"/>
      <c r="AD517" s="899"/>
      <c r="AE517" s="899"/>
    </row>
    <row r="518">
      <c r="A518" s="944"/>
      <c r="B518" s="945"/>
      <c r="C518" s="945"/>
      <c r="D518" s="945"/>
      <c r="E518" s="945"/>
      <c r="F518" s="945"/>
      <c r="G518" s="945"/>
      <c r="H518" s="945"/>
      <c r="I518" s="945"/>
      <c r="J518" s="945"/>
      <c r="K518" s="945"/>
      <c r="L518" s="945"/>
      <c r="M518" s="945"/>
      <c r="N518" s="899"/>
      <c r="O518" s="899"/>
      <c r="P518" s="899"/>
      <c r="Q518" s="899"/>
      <c r="R518" s="899"/>
      <c r="S518" s="899"/>
      <c r="T518" s="899"/>
      <c r="U518" s="899"/>
      <c r="V518" s="899"/>
      <c r="W518" s="899"/>
      <c r="X518" s="899"/>
      <c r="Y518" s="899"/>
      <c r="Z518" s="899"/>
      <c r="AA518" s="899"/>
      <c r="AB518" s="899"/>
      <c r="AC518" s="899"/>
      <c r="AD518" s="899"/>
      <c r="AE518" s="899"/>
    </row>
    <row r="519">
      <c r="A519" s="944"/>
      <c r="B519" s="945"/>
      <c r="C519" s="945"/>
      <c r="D519" s="945"/>
      <c r="E519" s="945"/>
      <c r="F519" s="945"/>
      <c r="G519" s="945"/>
      <c r="H519" s="945"/>
      <c r="I519" s="945"/>
      <c r="J519" s="945"/>
      <c r="K519" s="945"/>
      <c r="L519" s="945"/>
      <c r="M519" s="945"/>
      <c r="N519" s="899"/>
      <c r="O519" s="899"/>
      <c r="P519" s="899"/>
      <c r="Q519" s="899"/>
      <c r="R519" s="899"/>
      <c r="S519" s="899"/>
      <c r="T519" s="899"/>
      <c r="U519" s="899"/>
      <c r="V519" s="899"/>
      <c r="W519" s="899"/>
      <c r="X519" s="899"/>
      <c r="Y519" s="899"/>
      <c r="Z519" s="899"/>
      <c r="AA519" s="899"/>
      <c r="AB519" s="899"/>
      <c r="AC519" s="899"/>
      <c r="AD519" s="899"/>
      <c r="AE519" s="899"/>
    </row>
    <row r="520">
      <c r="A520" s="944"/>
      <c r="B520" s="945"/>
      <c r="C520" s="945"/>
      <c r="D520" s="945"/>
      <c r="E520" s="945"/>
      <c r="F520" s="945"/>
      <c r="G520" s="945"/>
      <c r="H520" s="945"/>
      <c r="I520" s="945"/>
      <c r="J520" s="945"/>
      <c r="K520" s="945"/>
      <c r="L520" s="945"/>
      <c r="M520" s="945"/>
      <c r="N520" s="899"/>
      <c r="O520" s="899"/>
      <c r="P520" s="899"/>
      <c r="Q520" s="899"/>
      <c r="R520" s="899"/>
      <c r="S520" s="899"/>
      <c r="T520" s="899"/>
      <c r="U520" s="899"/>
      <c r="V520" s="899"/>
      <c r="W520" s="899"/>
      <c r="X520" s="899"/>
      <c r="Y520" s="899"/>
      <c r="Z520" s="899"/>
      <c r="AA520" s="899"/>
      <c r="AB520" s="899"/>
      <c r="AC520" s="899"/>
      <c r="AD520" s="899"/>
      <c r="AE520" s="899"/>
    </row>
    <row r="521">
      <c r="A521" s="944"/>
      <c r="B521" s="945"/>
      <c r="C521" s="945"/>
      <c r="D521" s="945"/>
      <c r="E521" s="945"/>
      <c r="F521" s="945"/>
      <c r="G521" s="945"/>
      <c r="H521" s="945"/>
      <c r="I521" s="945"/>
      <c r="J521" s="945"/>
      <c r="K521" s="945"/>
      <c r="L521" s="945"/>
      <c r="M521" s="945"/>
      <c r="N521" s="899"/>
      <c r="O521" s="899"/>
      <c r="P521" s="899"/>
      <c r="Q521" s="899"/>
      <c r="R521" s="899"/>
      <c r="S521" s="899"/>
      <c r="T521" s="899"/>
      <c r="U521" s="899"/>
      <c r="V521" s="899"/>
      <c r="W521" s="899"/>
      <c r="X521" s="899"/>
      <c r="Y521" s="899"/>
      <c r="Z521" s="899"/>
      <c r="AA521" s="899"/>
      <c r="AB521" s="899"/>
      <c r="AC521" s="899"/>
      <c r="AD521" s="899"/>
      <c r="AE521" s="899"/>
    </row>
    <row r="522">
      <c r="A522" s="944"/>
      <c r="B522" s="945"/>
      <c r="C522" s="945"/>
      <c r="D522" s="945"/>
      <c r="E522" s="945"/>
      <c r="F522" s="945"/>
      <c r="G522" s="945"/>
      <c r="H522" s="945"/>
      <c r="I522" s="945"/>
      <c r="J522" s="945"/>
      <c r="K522" s="945"/>
      <c r="L522" s="945"/>
      <c r="M522" s="945"/>
      <c r="N522" s="899"/>
      <c r="O522" s="899"/>
      <c r="P522" s="899"/>
      <c r="Q522" s="899"/>
      <c r="R522" s="899"/>
      <c r="S522" s="899"/>
      <c r="T522" s="899"/>
      <c r="U522" s="899"/>
      <c r="V522" s="899"/>
      <c r="W522" s="899"/>
      <c r="X522" s="899"/>
      <c r="Y522" s="899"/>
      <c r="Z522" s="899"/>
      <c r="AA522" s="899"/>
      <c r="AB522" s="899"/>
      <c r="AC522" s="899"/>
      <c r="AD522" s="899"/>
      <c r="AE522" s="899"/>
    </row>
    <row r="523">
      <c r="A523" s="944"/>
      <c r="B523" s="945"/>
      <c r="C523" s="945"/>
      <c r="D523" s="945"/>
      <c r="E523" s="945"/>
      <c r="F523" s="945"/>
      <c r="G523" s="945"/>
      <c r="H523" s="945"/>
      <c r="I523" s="945"/>
      <c r="J523" s="945"/>
      <c r="K523" s="945"/>
      <c r="L523" s="945"/>
      <c r="M523" s="945"/>
      <c r="N523" s="899"/>
      <c r="O523" s="899"/>
      <c r="P523" s="899"/>
      <c r="Q523" s="899"/>
      <c r="R523" s="899"/>
      <c r="S523" s="899"/>
      <c r="T523" s="899"/>
      <c r="U523" s="899"/>
      <c r="V523" s="899"/>
      <c r="W523" s="899"/>
      <c r="X523" s="899"/>
      <c r="Y523" s="899"/>
      <c r="Z523" s="899"/>
      <c r="AA523" s="899"/>
      <c r="AB523" s="899"/>
      <c r="AC523" s="899"/>
      <c r="AD523" s="899"/>
      <c r="AE523" s="899"/>
    </row>
    <row r="524">
      <c r="A524" s="944"/>
      <c r="B524" s="945"/>
      <c r="C524" s="945"/>
      <c r="D524" s="945"/>
      <c r="E524" s="945"/>
      <c r="F524" s="945"/>
      <c r="G524" s="945"/>
      <c r="H524" s="945"/>
      <c r="I524" s="945"/>
      <c r="J524" s="945"/>
      <c r="K524" s="945"/>
      <c r="L524" s="945"/>
      <c r="M524" s="945"/>
      <c r="N524" s="899"/>
      <c r="O524" s="899"/>
      <c r="P524" s="899"/>
      <c r="Q524" s="899"/>
      <c r="R524" s="899"/>
      <c r="S524" s="899"/>
      <c r="T524" s="899"/>
      <c r="U524" s="899"/>
      <c r="V524" s="899"/>
      <c r="W524" s="899"/>
      <c r="X524" s="899"/>
      <c r="Y524" s="899"/>
      <c r="Z524" s="899"/>
      <c r="AA524" s="899"/>
      <c r="AB524" s="899"/>
      <c r="AC524" s="899"/>
      <c r="AD524" s="899"/>
      <c r="AE524" s="899"/>
    </row>
    <row r="525">
      <c r="A525" s="944"/>
      <c r="B525" s="945"/>
      <c r="C525" s="945"/>
      <c r="D525" s="945"/>
      <c r="E525" s="945"/>
      <c r="F525" s="945"/>
      <c r="G525" s="945"/>
      <c r="H525" s="945"/>
      <c r="I525" s="945"/>
      <c r="J525" s="945"/>
      <c r="K525" s="945"/>
      <c r="L525" s="945"/>
      <c r="M525" s="945"/>
      <c r="N525" s="899"/>
      <c r="O525" s="899"/>
      <c r="P525" s="899"/>
      <c r="Q525" s="899"/>
      <c r="R525" s="899"/>
      <c r="S525" s="899"/>
      <c r="T525" s="899"/>
      <c r="U525" s="899"/>
      <c r="V525" s="899"/>
      <c r="W525" s="899"/>
      <c r="X525" s="899"/>
      <c r="Y525" s="899"/>
      <c r="Z525" s="899"/>
      <c r="AA525" s="899"/>
      <c r="AB525" s="899"/>
      <c r="AC525" s="899"/>
      <c r="AD525" s="899"/>
      <c r="AE525" s="899"/>
    </row>
    <row r="526">
      <c r="A526" s="944"/>
      <c r="B526" s="945"/>
      <c r="C526" s="945"/>
      <c r="D526" s="945"/>
      <c r="E526" s="945"/>
      <c r="F526" s="945"/>
      <c r="G526" s="945"/>
      <c r="H526" s="945"/>
      <c r="I526" s="945"/>
      <c r="J526" s="945"/>
      <c r="K526" s="945"/>
      <c r="L526" s="945"/>
      <c r="M526" s="945"/>
      <c r="N526" s="899"/>
      <c r="O526" s="899"/>
      <c r="P526" s="899"/>
      <c r="Q526" s="899"/>
      <c r="R526" s="899"/>
      <c r="S526" s="899"/>
      <c r="T526" s="899"/>
      <c r="U526" s="899"/>
      <c r="V526" s="899"/>
      <c r="W526" s="899"/>
      <c r="X526" s="899"/>
      <c r="Y526" s="899"/>
      <c r="Z526" s="899"/>
      <c r="AA526" s="899"/>
      <c r="AB526" s="899"/>
      <c r="AC526" s="899"/>
      <c r="AD526" s="899"/>
      <c r="AE526" s="899"/>
    </row>
    <row r="527">
      <c r="A527" s="944"/>
      <c r="B527" s="945"/>
      <c r="C527" s="945"/>
      <c r="D527" s="945"/>
      <c r="E527" s="945"/>
      <c r="F527" s="945"/>
      <c r="G527" s="945"/>
      <c r="H527" s="945"/>
      <c r="I527" s="945"/>
      <c r="J527" s="945"/>
      <c r="K527" s="945"/>
      <c r="L527" s="945"/>
      <c r="M527" s="945"/>
      <c r="N527" s="899"/>
      <c r="O527" s="899"/>
      <c r="P527" s="899"/>
      <c r="Q527" s="899"/>
      <c r="R527" s="899"/>
      <c r="S527" s="899"/>
      <c r="T527" s="899"/>
      <c r="U527" s="899"/>
      <c r="V527" s="899"/>
      <c r="W527" s="899"/>
      <c r="X527" s="899"/>
      <c r="Y527" s="899"/>
      <c r="Z527" s="899"/>
      <c r="AA527" s="899"/>
      <c r="AB527" s="899"/>
      <c r="AC527" s="899"/>
      <c r="AD527" s="899"/>
      <c r="AE527" s="899"/>
    </row>
    <row r="528">
      <c r="A528" s="944"/>
      <c r="B528" s="945"/>
      <c r="C528" s="945"/>
      <c r="D528" s="945"/>
      <c r="E528" s="945"/>
      <c r="F528" s="945"/>
      <c r="G528" s="945"/>
      <c r="H528" s="945"/>
      <c r="I528" s="945"/>
      <c r="J528" s="945"/>
      <c r="K528" s="945"/>
      <c r="L528" s="945"/>
      <c r="M528" s="945"/>
      <c r="N528" s="899"/>
      <c r="O528" s="899"/>
      <c r="P528" s="899"/>
      <c r="Q528" s="899"/>
      <c r="R528" s="899"/>
      <c r="S528" s="899"/>
      <c r="T528" s="899"/>
      <c r="U528" s="899"/>
      <c r="V528" s="899"/>
      <c r="W528" s="899"/>
      <c r="X528" s="899"/>
      <c r="Y528" s="899"/>
      <c r="Z528" s="899"/>
      <c r="AA528" s="899"/>
      <c r="AB528" s="899"/>
      <c r="AC528" s="899"/>
      <c r="AD528" s="899"/>
      <c r="AE528" s="899"/>
    </row>
    <row r="529">
      <c r="A529" s="944"/>
      <c r="B529" s="945"/>
      <c r="C529" s="945"/>
      <c r="D529" s="945"/>
      <c r="E529" s="945"/>
      <c r="F529" s="945"/>
      <c r="G529" s="945"/>
      <c r="H529" s="945"/>
      <c r="I529" s="945"/>
      <c r="J529" s="945"/>
      <c r="K529" s="945"/>
      <c r="L529" s="945"/>
      <c r="M529" s="945"/>
      <c r="N529" s="899"/>
      <c r="O529" s="899"/>
      <c r="P529" s="899"/>
      <c r="Q529" s="899"/>
      <c r="R529" s="899"/>
      <c r="S529" s="899"/>
      <c r="T529" s="899"/>
      <c r="U529" s="899"/>
      <c r="V529" s="899"/>
      <c r="W529" s="899"/>
      <c r="X529" s="899"/>
      <c r="Y529" s="899"/>
      <c r="Z529" s="899"/>
      <c r="AA529" s="899"/>
      <c r="AB529" s="899"/>
      <c r="AC529" s="899"/>
      <c r="AD529" s="899"/>
      <c r="AE529" s="899"/>
    </row>
    <row r="530">
      <c r="A530" s="944"/>
      <c r="B530" s="945"/>
      <c r="C530" s="945"/>
      <c r="D530" s="945"/>
      <c r="E530" s="945"/>
      <c r="F530" s="945"/>
      <c r="G530" s="945"/>
      <c r="H530" s="945"/>
      <c r="I530" s="945"/>
      <c r="J530" s="945"/>
      <c r="K530" s="945"/>
      <c r="L530" s="945"/>
      <c r="M530" s="945"/>
      <c r="N530" s="899"/>
      <c r="O530" s="899"/>
      <c r="P530" s="899"/>
      <c r="Q530" s="899"/>
      <c r="R530" s="899"/>
      <c r="S530" s="899"/>
      <c r="T530" s="899"/>
      <c r="U530" s="899"/>
      <c r="V530" s="899"/>
      <c r="W530" s="899"/>
      <c r="X530" s="899"/>
      <c r="Y530" s="899"/>
      <c r="Z530" s="899"/>
      <c r="AA530" s="899"/>
      <c r="AB530" s="899"/>
      <c r="AC530" s="899"/>
      <c r="AD530" s="899"/>
      <c r="AE530" s="899"/>
    </row>
    <row r="531">
      <c r="A531" s="944"/>
      <c r="B531" s="945"/>
      <c r="C531" s="945"/>
      <c r="D531" s="945"/>
      <c r="E531" s="945"/>
      <c r="F531" s="945"/>
      <c r="G531" s="945"/>
      <c r="H531" s="945"/>
      <c r="I531" s="945"/>
      <c r="J531" s="945"/>
      <c r="K531" s="945"/>
      <c r="L531" s="945"/>
      <c r="M531" s="945"/>
      <c r="N531" s="899"/>
      <c r="O531" s="899"/>
      <c r="P531" s="899"/>
      <c r="Q531" s="899"/>
      <c r="R531" s="899"/>
      <c r="S531" s="899"/>
      <c r="T531" s="899"/>
      <c r="U531" s="899"/>
      <c r="V531" s="899"/>
      <c r="W531" s="899"/>
      <c r="X531" s="899"/>
      <c r="Y531" s="899"/>
      <c r="Z531" s="899"/>
      <c r="AA531" s="899"/>
      <c r="AB531" s="899"/>
      <c r="AC531" s="899"/>
      <c r="AD531" s="899"/>
      <c r="AE531" s="899"/>
    </row>
    <row r="532">
      <c r="A532" s="944"/>
      <c r="B532" s="945"/>
      <c r="C532" s="945"/>
      <c r="D532" s="945"/>
      <c r="E532" s="945"/>
      <c r="F532" s="945"/>
      <c r="G532" s="945"/>
      <c r="H532" s="945"/>
      <c r="I532" s="945"/>
      <c r="J532" s="945"/>
      <c r="K532" s="945"/>
      <c r="L532" s="945"/>
      <c r="M532" s="945"/>
      <c r="N532" s="899"/>
      <c r="O532" s="899"/>
      <c r="P532" s="899"/>
      <c r="Q532" s="899"/>
      <c r="R532" s="899"/>
      <c r="S532" s="899"/>
      <c r="T532" s="899"/>
      <c r="U532" s="899"/>
      <c r="V532" s="899"/>
      <c r="W532" s="899"/>
      <c r="X532" s="899"/>
      <c r="Y532" s="899"/>
      <c r="Z532" s="899"/>
      <c r="AA532" s="899"/>
      <c r="AB532" s="899"/>
      <c r="AC532" s="899"/>
      <c r="AD532" s="899"/>
      <c r="AE532" s="899"/>
    </row>
    <row r="533">
      <c r="A533" s="944"/>
      <c r="B533" s="945"/>
      <c r="C533" s="945"/>
      <c r="D533" s="945"/>
      <c r="E533" s="945"/>
      <c r="F533" s="945"/>
      <c r="G533" s="945"/>
      <c r="H533" s="945"/>
      <c r="I533" s="945"/>
      <c r="J533" s="945"/>
      <c r="K533" s="945"/>
      <c r="L533" s="945"/>
      <c r="M533" s="945"/>
      <c r="N533" s="899"/>
      <c r="O533" s="899"/>
      <c r="P533" s="899"/>
      <c r="Q533" s="899"/>
      <c r="R533" s="899"/>
      <c r="S533" s="899"/>
      <c r="T533" s="899"/>
      <c r="U533" s="899"/>
      <c r="V533" s="899"/>
      <c r="W533" s="899"/>
      <c r="X533" s="899"/>
      <c r="Y533" s="899"/>
      <c r="Z533" s="899"/>
      <c r="AA533" s="899"/>
      <c r="AB533" s="899"/>
      <c r="AC533" s="899"/>
      <c r="AD533" s="899"/>
      <c r="AE533" s="899"/>
    </row>
    <row r="534">
      <c r="A534" s="944"/>
      <c r="B534" s="945"/>
      <c r="C534" s="945"/>
      <c r="D534" s="945"/>
      <c r="E534" s="945"/>
      <c r="F534" s="945"/>
      <c r="G534" s="945"/>
      <c r="H534" s="945"/>
      <c r="I534" s="945"/>
      <c r="J534" s="945"/>
      <c r="K534" s="945"/>
      <c r="L534" s="945"/>
      <c r="M534" s="945"/>
      <c r="N534" s="899"/>
      <c r="O534" s="899"/>
      <c r="P534" s="899"/>
      <c r="Q534" s="899"/>
      <c r="R534" s="899"/>
      <c r="S534" s="899"/>
      <c r="T534" s="899"/>
      <c r="U534" s="899"/>
      <c r="V534" s="899"/>
      <c r="W534" s="899"/>
      <c r="X534" s="899"/>
      <c r="Y534" s="899"/>
      <c r="Z534" s="899"/>
      <c r="AA534" s="899"/>
      <c r="AB534" s="899"/>
      <c r="AC534" s="899"/>
      <c r="AD534" s="899"/>
      <c r="AE534" s="899"/>
    </row>
    <row r="535">
      <c r="A535" s="944"/>
      <c r="B535" s="945"/>
      <c r="C535" s="945"/>
      <c r="D535" s="945"/>
      <c r="E535" s="945"/>
      <c r="F535" s="945"/>
      <c r="G535" s="945"/>
      <c r="H535" s="945"/>
      <c r="I535" s="945"/>
      <c r="J535" s="945"/>
      <c r="K535" s="945"/>
      <c r="L535" s="945"/>
      <c r="M535" s="945"/>
      <c r="N535" s="899"/>
      <c r="O535" s="899"/>
      <c r="P535" s="899"/>
      <c r="Q535" s="899"/>
      <c r="R535" s="899"/>
      <c r="S535" s="899"/>
      <c r="T535" s="899"/>
      <c r="U535" s="899"/>
      <c r="V535" s="899"/>
      <c r="W535" s="899"/>
      <c r="X535" s="899"/>
      <c r="Y535" s="899"/>
      <c r="Z535" s="899"/>
      <c r="AA535" s="899"/>
      <c r="AB535" s="899"/>
      <c r="AC535" s="899"/>
      <c r="AD535" s="899"/>
      <c r="AE535" s="899"/>
    </row>
    <row r="536">
      <c r="A536" s="944"/>
      <c r="B536" s="945"/>
      <c r="C536" s="945"/>
      <c r="D536" s="945"/>
      <c r="E536" s="945"/>
      <c r="F536" s="945"/>
      <c r="G536" s="945"/>
      <c r="H536" s="945"/>
      <c r="I536" s="945"/>
      <c r="J536" s="945"/>
      <c r="K536" s="945"/>
      <c r="L536" s="945"/>
      <c r="M536" s="945"/>
      <c r="N536" s="899"/>
      <c r="O536" s="899"/>
      <c r="P536" s="899"/>
      <c r="Q536" s="899"/>
      <c r="R536" s="899"/>
      <c r="S536" s="899"/>
      <c r="T536" s="899"/>
      <c r="U536" s="899"/>
      <c r="V536" s="899"/>
      <c r="W536" s="899"/>
      <c r="X536" s="899"/>
      <c r="Y536" s="899"/>
      <c r="Z536" s="899"/>
      <c r="AA536" s="899"/>
      <c r="AB536" s="899"/>
      <c r="AC536" s="899"/>
      <c r="AD536" s="899"/>
      <c r="AE536" s="899"/>
    </row>
    <row r="537">
      <c r="A537" s="944"/>
      <c r="B537" s="945"/>
      <c r="C537" s="945"/>
      <c r="D537" s="945"/>
      <c r="E537" s="945"/>
      <c r="F537" s="945"/>
      <c r="G537" s="945"/>
      <c r="H537" s="945"/>
      <c r="I537" s="945"/>
      <c r="J537" s="945"/>
      <c r="K537" s="945"/>
      <c r="L537" s="945"/>
      <c r="M537" s="945"/>
      <c r="N537" s="899"/>
      <c r="O537" s="899"/>
      <c r="P537" s="899"/>
      <c r="Q537" s="899"/>
      <c r="R537" s="899"/>
      <c r="S537" s="899"/>
      <c r="T537" s="899"/>
      <c r="U537" s="899"/>
      <c r="V537" s="899"/>
      <c r="W537" s="899"/>
      <c r="X537" s="899"/>
      <c r="Y537" s="899"/>
      <c r="Z537" s="899"/>
      <c r="AA537" s="899"/>
      <c r="AB537" s="899"/>
      <c r="AC537" s="899"/>
      <c r="AD537" s="899"/>
      <c r="AE537" s="899"/>
    </row>
    <row r="538">
      <c r="A538" s="944"/>
      <c r="B538" s="945"/>
      <c r="C538" s="945"/>
      <c r="D538" s="945"/>
      <c r="E538" s="945"/>
      <c r="F538" s="945"/>
      <c r="G538" s="945"/>
      <c r="H538" s="945"/>
      <c r="I538" s="945"/>
      <c r="J538" s="945"/>
      <c r="K538" s="945"/>
      <c r="L538" s="945"/>
      <c r="M538" s="945"/>
      <c r="N538" s="899"/>
      <c r="O538" s="899"/>
      <c r="P538" s="899"/>
      <c r="Q538" s="899"/>
      <c r="R538" s="899"/>
      <c r="S538" s="899"/>
      <c r="T538" s="899"/>
      <c r="U538" s="899"/>
      <c r="V538" s="899"/>
      <c r="W538" s="899"/>
      <c r="X538" s="899"/>
      <c r="Y538" s="899"/>
      <c r="Z538" s="899"/>
      <c r="AA538" s="899"/>
      <c r="AB538" s="899"/>
      <c r="AC538" s="899"/>
      <c r="AD538" s="899"/>
      <c r="AE538" s="899"/>
    </row>
    <row r="539">
      <c r="A539" s="944"/>
      <c r="B539" s="945"/>
      <c r="C539" s="945"/>
      <c r="D539" s="945"/>
      <c r="E539" s="945"/>
      <c r="F539" s="945"/>
      <c r="G539" s="945"/>
      <c r="H539" s="945"/>
      <c r="I539" s="945"/>
      <c r="J539" s="945"/>
      <c r="K539" s="945"/>
      <c r="L539" s="945"/>
      <c r="M539" s="945"/>
      <c r="N539" s="899"/>
      <c r="O539" s="899"/>
      <c r="P539" s="899"/>
      <c r="Q539" s="899"/>
      <c r="R539" s="899"/>
      <c r="S539" s="899"/>
      <c r="T539" s="899"/>
      <c r="U539" s="899"/>
      <c r="V539" s="899"/>
      <c r="W539" s="899"/>
      <c r="X539" s="899"/>
      <c r="Y539" s="899"/>
      <c r="Z539" s="899"/>
      <c r="AA539" s="899"/>
      <c r="AB539" s="899"/>
      <c r="AC539" s="899"/>
      <c r="AD539" s="899"/>
      <c r="AE539" s="899"/>
    </row>
    <row r="540">
      <c r="A540" s="944"/>
      <c r="B540" s="945"/>
      <c r="C540" s="945"/>
      <c r="D540" s="945"/>
      <c r="E540" s="945"/>
      <c r="F540" s="945"/>
      <c r="G540" s="945"/>
      <c r="H540" s="945"/>
      <c r="I540" s="945"/>
      <c r="J540" s="945"/>
      <c r="K540" s="945"/>
      <c r="L540" s="945"/>
      <c r="M540" s="945"/>
      <c r="N540" s="899"/>
      <c r="O540" s="899"/>
      <c r="P540" s="899"/>
      <c r="Q540" s="899"/>
      <c r="R540" s="899"/>
      <c r="S540" s="899"/>
      <c r="T540" s="899"/>
      <c r="U540" s="899"/>
      <c r="V540" s="899"/>
      <c r="W540" s="899"/>
      <c r="X540" s="899"/>
      <c r="Y540" s="899"/>
      <c r="Z540" s="899"/>
      <c r="AA540" s="899"/>
      <c r="AB540" s="899"/>
      <c r="AC540" s="899"/>
      <c r="AD540" s="899"/>
      <c r="AE540" s="899"/>
    </row>
    <row r="541">
      <c r="A541" s="944"/>
      <c r="B541" s="945"/>
      <c r="C541" s="945"/>
      <c r="D541" s="945"/>
      <c r="E541" s="945"/>
      <c r="F541" s="945"/>
      <c r="G541" s="945"/>
      <c r="H541" s="945"/>
      <c r="I541" s="945"/>
      <c r="J541" s="945"/>
      <c r="K541" s="945"/>
      <c r="L541" s="945"/>
      <c r="M541" s="945"/>
      <c r="N541" s="899"/>
      <c r="O541" s="899"/>
      <c r="P541" s="899"/>
      <c r="Q541" s="899"/>
      <c r="R541" s="899"/>
      <c r="S541" s="899"/>
      <c r="T541" s="899"/>
      <c r="U541" s="899"/>
      <c r="V541" s="899"/>
      <c r="W541" s="899"/>
      <c r="X541" s="899"/>
      <c r="Y541" s="899"/>
      <c r="Z541" s="899"/>
      <c r="AA541" s="899"/>
      <c r="AB541" s="899"/>
      <c r="AC541" s="899"/>
      <c r="AD541" s="899"/>
      <c r="AE541" s="899"/>
    </row>
    <row r="542">
      <c r="A542" s="944"/>
      <c r="B542" s="945"/>
      <c r="C542" s="945"/>
      <c r="D542" s="945"/>
      <c r="E542" s="945"/>
      <c r="F542" s="945"/>
      <c r="G542" s="945"/>
      <c r="H542" s="945"/>
      <c r="I542" s="945"/>
      <c r="J542" s="945"/>
      <c r="K542" s="945"/>
      <c r="L542" s="945"/>
      <c r="M542" s="945"/>
      <c r="N542" s="899"/>
      <c r="O542" s="899"/>
      <c r="P542" s="899"/>
      <c r="Q542" s="899"/>
      <c r="R542" s="899"/>
      <c r="S542" s="899"/>
      <c r="T542" s="899"/>
      <c r="U542" s="899"/>
      <c r="V542" s="899"/>
      <c r="W542" s="899"/>
      <c r="X542" s="899"/>
      <c r="Y542" s="899"/>
      <c r="Z542" s="899"/>
      <c r="AA542" s="899"/>
      <c r="AB542" s="899"/>
      <c r="AC542" s="899"/>
      <c r="AD542" s="899"/>
      <c r="AE542" s="899"/>
    </row>
    <row r="543">
      <c r="A543" s="944"/>
      <c r="B543" s="945"/>
      <c r="C543" s="945"/>
      <c r="D543" s="945"/>
      <c r="E543" s="945"/>
      <c r="F543" s="945"/>
      <c r="G543" s="945"/>
      <c r="H543" s="945"/>
      <c r="I543" s="945"/>
      <c r="J543" s="945"/>
      <c r="K543" s="945"/>
      <c r="L543" s="945"/>
      <c r="M543" s="945"/>
      <c r="N543" s="899"/>
      <c r="O543" s="899"/>
      <c r="P543" s="899"/>
      <c r="Q543" s="899"/>
      <c r="R543" s="899"/>
      <c r="S543" s="899"/>
      <c r="T543" s="899"/>
      <c r="U543" s="899"/>
      <c r="V543" s="899"/>
      <c r="W543" s="899"/>
      <c r="X543" s="899"/>
      <c r="Y543" s="899"/>
      <c r="Z543" s="899"/>
      <c r="AA543" s="899"/>
      <c r="AB543" s="899"/>
      <c r="AC543" s="899"/>
      <c r="AD543" s="899"/>
      <c r="AE543" s="899"/>
    </row>
    <row r="544">
      <c r="A544" s="944"/>
      <c r="B544" s="945"/>
      <c r="C544" s="945"/>
      <c r="D544" s="945"/>
      <c r="E544" s="945"/>
      <c r="F544" s="945"/>
      <c r="G544" s="945"/>
      <c r="H544" s="945"/>
      <c r="I544" s="945"/>
      <c r="J544" s="945"/>
      <c r="K544" s="945"/>
      <c r="L544" s="945"/>
      <c r="M544" s="945"/>
      <c r="N544" s="899"/>
      <c r="O544" s="899"/>
      <c r="P544" s="899"/>
      <c r="Q544" s="899"/>
      <c r="R544" s="899"/>
      <c r="S544" s="899"/>
      <c r="T544" s="899"/>
      <c r="U544" s="899"/>
      <c r="V544" s="899"/>
      <c r="W544" s="899"/>
      <c r="X544" s="899"/>
      <c r="Y544" s="899"/>
      <c r="Z544" s="899"/>
      <c r="AA544" s="899"/>
      <c r="AB544" s="899"/>
      <c r="AC544" s="899"/>
      <c r="AD544" s="899"/>
      <c r="AE544" s="899"/>
    </row>
    <row r="545">
      <c r="A545" s="944"/>
      <c r="B545" s="945"/>
      <c r="C545" s="945"/>
      <c r="D545" s="945"/>
      <c r="E545" s="945"/>
      <c r="F545" s="945"/>
      <c r="G545" s="945"/>
      <c r="H545" s="945"/>
      <c r="I545" s="945"/>
      <c r="J545" s="945"/>
      <c r="K545" s="945"/>
      <c r="L545" s="945"/>
      <c r="M545" s="945"/>
      <c r="N545" s="899"/>
      <c r="O545" s="899"/>
      <c r="P545" s="899"/>
      <c r="Q545" s="899"/>
      <c r="R545" s="899"/>
      <c r="S545" s="899"/>
      <c r="T545" s="899"/>
      <c r="U545" s="899"/>
      <c r="V545" s="899"/>
      <c r="W545" s="899"/>
      <c r="X545" s="899"/>
      <c r="Y545" s="899"/>
      <c r="Z545" s="899"/>
      <c r="AA545" s="899"/>
      <c r="AB545" s="899"/>
      <c r="AC545" s="899"/>
      <c r="AD545" s="899"/>
      <c r="AE545" s="899"/>
    </row>
    <row r="546">
      <c r="A546" s="944"/>
      <c r="B546" s="945"/>
      <c r="C546" s="945"/>
      <c r="D546" s="945"/>
      <c r="E546" s="945"/>
      <c r="F546" s="945"/>
      <c r="G546" s="945"/>
      <c r="H546" s="945"/>
      <c r="I546" s="945"/>
      <c r="J546" s="945"/>
      <c r="K546" s="945"/>
      <c r="L546" s="945"/>
      <c r="M546" s="945"/>
      <c r="N546" s="899"/>
      <c r="O546" s="899"/>
      <c r="P546" s="899"/>
      <c r="Q546" s="899"/>
      <c r="R546" s="899"/>
      <c r="S546" s="899"/>
      <c r="T546" s="899"/>
      <c r="U546" s="899"/>
      <c r="V546" s="899"/>
      <c r="W546" s="899"/>
      <c r="X546" s="899"/>
      <c r="Y546" s="899"/>
      <c r="Z546" s="899"/>
      <c r="AA546" s="899"/>
      <c r="AB546" s="899"/>
      <c r="AC546" s="899"/>
      <c r="AD546" s="899"/>
      <c r="AE546" s="899"/>
    </row>
    <row r="547">
      <c r="A547" s="944"/>
      <c r="B547" s="945"/>
      <c r="C547" s="945"/>
      <c r="D547" s="945"/>
      <c r="E547" s="945"/>
      <c r="F547" s="945"/>
      <c r="G547" s="945"/>
      <c r="H547" s="945"/>
      <c r="I547" s="945"/>
      <c r="J547" s="945"/>
      <c r="K547" s="945"/>
      <c r="L547" s="945"/>
      <c r="M547" s="945"/>
      <c r="N547" s="899"/>
      <c r="O547" s="899"/>
      <c r="P547" s="899"/>
      <c r="Q547" s="899"/>
      <c r="R547" s="899"/>
      <c r="S547" s="899"/>
      <c r="T547" s="899"/>
      <c r="U547" s="899"/>
      <c r="V547" s="899"/>
      <c r="W547" s="899"/>
      <c r="X547" s="899"/>
      <c r="Y547" s="899"/>
      <c r="Z547" s="899"/>
      <c r="AA547" s="899"/>
      <c r="AB547" s="899"/>
      <c r="AC547" s="899"/>
      <c r="AD547" s="899"/>
      <c r="AE547" s="899"/>
    </row>
    <row r="548">
      <c r="A548" s="944"/>
      <c r="B548" s="945"/>
      <c r="C548" s="945"/>
      <c r="D548" s="945"/>
      <c r="E548" s="945"/>
      <c r="F548" s="945"/>
      <c r="G548" s="945"/>
      <c r="H548" s="945"/>
      <c r="I548" s="945"/>
      <c r="J548" s="945"/>
      <c r="K548" s="945"/>
      <c r="L548" s="945"/>
      <c r="M548" s="945"/>
      <c r="N548" s="899"/>
      <c r="O548" s="899"/>
      <c r="P548" s="899"/>
      <c r="Q548" s="899"/>
      <c r="R548" s="899"/>
      <c r="S548" s="899"/>
      <c r="T548" s="899"/>
      <c r="U548" s="899"/>
      <c r="V548" s="899"/>
      <c r="W548" s="899"/>
      <c r="X548" s="899"/>
      <c r="Y548" s="899"/>
      <c r="Z548" s="899"/>
      <c r="AA548" s="899"/>
      <c r="AB548" s="899"/>
      <c r="AC548" s="899"/>
      <c r="AD548" s="899"/>
      <c r="AE548" s="899"/>
    </row>
    <row r="549">
      <c r="A549" s="944"/>
      <c r="B549" s="945"/>
      <c r="C549" s="945"/>
      <c r="D549" s="945"/>
      <c r="E549" s="945"/>
      <c r="F549" s="945"/>
      <c r="G549" s="945"/>
      <c r="H549" s="945"/>
      <c r="I549" s="945"/>
      <c r="J549" s="945"/>
      <c r="K549" s="945"/>
      <c r="L549" s="945"/>
      <c r="M549" s="945"/>
      <c r="N549" s="899"/>
      <c r="O549" s="899"/>
      <c r="P549" s="899"/>
      <c r="Q549" s="899"/>
      <c r="R549" s="899"/>
      <c r="S549" s="899"/>
      <c r="T549" s="899"/>
      <c r="U549" s="899"/>
      <c r="V549" s="899"/>
      <c r="W549" s="899"/>
      <c r="X549" s="899"/>
      <c r="Y549" s="899"/>
      <c r="Z549" s="899"/>
      <c r="AA549" s="899"/>
      <c r="AB549" s="899"/>
      <c r="AC549" s="899"/>
      <c r="AD549" s="899"/>
      <c r="AE549" s="899"/>
    </row>
    <row r="550">
      <c r="A550" s="944"/>
      <c r="B550" s="945"/>
      <c r="C550" s="945"/>
      <c r="D550" s="945"/>
      <c r="E550" s="945"/>
      <c r="F550" s="945"/>
      <c r="G550" s="945"/>
      <c r="H550" s="945"/>
      <c r="I550" s="945"/>
      <c r="J550" s="945"/>
      <c r="K550" s="945"/>
      <c r="L550" s="945"/>
      <c r="M550" s="945"/>
      <c r="N550" s="899"/>
      <c r="O550" s="899"/>
      <c r="P550" s="899"/>
      <c r="Q550" s="899"/>
      <c r="R550" s="899"/>
      <c r="S550" s="899"/>
      <c r="T550" s="899"/>
      <c r="U550" s="899"/>
      <c r="V550" s="899"/>
      <c r="W550" s="899"/>
      <c r="X550" s="899"/>
      <c r="Y550" s="899"/>
      <c r="Z550" s="899"/>
      <c r="AA550" s="899"/>
      <c r="AB550" s="899"/>
      <c r="AC550" s="899"/>
      <c r="AD550" s="899"/>
      <c r="AE550" s="899"/>
    </row>
    <row r="551">
      <c r="A551" s="944"/>
      <c r="B551" s="945"/>
      <c r="C551" s="945"/>
      <c r="D551" s="945"/>
      <c r="E551" s="945"/>
      <c r="F551" s="945"/>
      <c r="G551" s="945"/>
      <c r="H551" s="945"/>
      <c r="I551" s="945"/>
      <c r="J551" s="945"/>
      <c r="K551" s="945"/>
      <c r="L551" s="945"/>
      <c r="M551" s="945"/>
      <c r="N551" s="899"/>
      <c r="O551" s="899"/>
      <c r="P551" s="899"/>
      <c r="Q551" s="899"/>
      <c r="R551" s="899"/>
      <c r="S551" s="899"/>
      <c r="T551" s="899"/>
      <c r="U551" s="899"/>
      <c r="V551" s="899"/>
      <c r="W551" s="899"/>
      <c r="X551" s="899"/>
      <c r="Y551" s="899"/>
      <c r="Z551" s="899"/>
      <c r="AA551" s="899"/>
      <c r="AB551" s="899"/>
      <c r="AC551" s="899"/>
      <c r="AD551" s="899"/>
      <c r="AE551" s="899"/>
    </row>
    <row r="552">
      <c r="A552" s="944"/>
      <c r="B552" s="945"/>
      <c r="C552" s="945"/>
      <c r="D552" s="945"/>
      <c r="E552" s="945"/>
      <c r="F552" s="945"/>
      <c r="G552" s="945"/>
      <c r="H552" s="945"/>
      <c r="I552" s="945"/>
      <c r="J552" s="945"/>
      <c r="K552" s="945"/>
      <c r="L552" s="945"/>
      <c r="M552" s="945"/>
      <c r="N552" s="899"/>
      <c r="O552" s="899"/>
      <c r="P552" s="899"/>
      <c r="Q552" s="899"/>
      <c r="R552" s="899"/>
      <c r="S552" s="899"/>
      <c r="T552" s="899"/>
      <c r="U552" s="899"/>
      <c r="V552" s="899"/>
      <c r="W552" s="899"/>
      <c r="X552" s="899"/>
      <c r="Y552" s="899"/>
      <c r="Z552" s="899"/>
      <c r="AA552" s="899"/>
      <c r="AB552" s="899"/>
      <c r="AC552" s="899"/>
      <c r="AD552" s="899"/>
      <c r="AE552" s="899"/>
    </row>
    <row r="553">
      <c r="A553" s="944"/>
      <c r="B553" s="945"/>
      <c r="C553" s="945"/>
      <c r="D553" s="945"/>
      <c r="E553" s="945"/>
      <c r="F553" s="945"/>
      <c r="G553" s="945"/>
      <c r="H553" s="945"/>
      <c r="I553" s="945"/>
      <c r="J553" s="945"/>
      <c r="K553" s="945"/>
      <c r="L553" s="945"/>
      <c r="M553" s="945"/>
      <c r="N553" s="899"/>
      <c r="O553" s="899"/>
      <c r="P553" s="899"/>
      <c r="Q553" s="899"/>
      <c r="R553" s="899"/>
      <c r="S553" s="899"/>
      <c r="T553" s="899"/>
      <c r="U553" s="899"/>
      <c r="V553" s="899"/>
      <c r="W553" s="899"/>
      <c r="X553" s="899"/>
      <c r="Y553" s="899"/>
      <c r="Z553" s="899"/>
      <c r="AA553" s="899"/>
      <c r="AB553" s="899"/>
      <c r="AC553" s="899"/>
      <c r="AD553" s="899"/>
      <c r="AE553" s="899"/>
    </row>
    <row r="554">
      <c r="A554" s="944"/>
      <c r="B554" s="945"/>
      <c r="C554" s="945"/>
      <c r="D554" s="945"/>
      <c r="E554" s="945"/>
      <c r="F554" s="945"/>
      <c r="G554" s="945"/>
      <c r="H554" s="945"/>
      <c r="I554" s="945"/>
      <c r="J554" s="945"/>
      <c r="K554" s="945"/>
      <c r="L554" s="945"/>
      <c r="M554" s="945"/>
      <c r="N554" s="899"/>
      <c r="O554" s="899"/>
      <c r="P554" s="899"/>
      <c r="Q554" s="899"/>
      <c r="R554" s="899"/>
      <c r="S554" s="899"/>
      <c r="T554" s="899"/>
      <c r="U554" s="899"/>
      <c r="V554" s="899"/>
      <c r="W554" s="899"/>
      <c r="X554" s="899"/>
      <c r="Y554" s="899"/>
      <c r="Z554" s="899"/>
      <c r="AA554" s="899"/>
      <c r="AB554" s="899"/>
      <c r="AC554" s="899"/>
      <c r="AD554" s="899"/>
      <c r="AE554" s="899"/>
    </row>
    <row r="555">
      <c r="A555" s="944"/>
      <c r="B555" s="945"/>
      <c r="C555" s="945"/>
      <c r="D555" s="945"/>
      <c r="E555" s="945"/>
      <c r="F555" s="945"/>
      <c r="G555" s="945"/>
      <c r="H555" s="945"/>
      <c r="I555" s="945"/>
      <c r="J555" s="945"/>
      <c r="K555" s="945"/>
      <c r="L555" s="945"/>
      <c r="M555" s="945"/>
      <c r="N555" s="899"/>
      <c r="O555" s="899"/>
      <c r="P555" s="899"/>
      <c r="Q555" s="899"/>
      <c r="R555" s="899"/>
      <c r="S555" s="899"/>
      <c r="T555" s="899"/>
      <c r="U555" s="899"/>
      <c r="V555" s="899"/>
      <c r="W555" s="899"/>
      <c r="X555" s="899"/>
      <c r="Y555" s="899"/>
      <c r="Z555" s="899"/>
      <c r="AA555" s="899"/>
      <c r="AB555" s="899"/>
      <c r="AC555" s="899"/>
      <c r="AD555" s="899"/>
      <c r="AE555" s="899"/>
    </row>
    <row r="556">
      <c r="A556" s="944"/>
      <c r="B556" s="945"/>
      <c r="C556" s="945"/>
      <c r="D556" s="945"/>
      <c r="E556" s="945"/>
      <c r="F556" s="945"/>
      <c r="G556" s="945"/>
      <c r="H556" s="945"/>
      <c r="I556" s="945"/>
      <c r="J556" s="945"/>
      <c r="K556" s="945"/>
      <c r="L556" s="945"/>
      <c r="M556" s="945"/>
      <c r="N556" s="899"/>
      <c r="O556" s="899"/>
      <c r="P556" s="899"/>
      <c r="Q556" s="899"/>
      <c r="R556" s="899"/>
      <c r="S556" s="899"/>
      <c r="T556" s="899"/>
      <c r="U556" s="899"/>
      <c r="V556" s="899"/>
      <c r="W556" s="899"/>
      <c r="X556" s="899"/>
      <c r="Y556" s="899"/>
      <c r="Z556" s="899"/>
      <c r="AA556" s="899"/>
      <c r="AB556" s="899"/>
      <c r="AC556" s="899"/>
      <c r="AD556" s="899"/>
      <c r="AE556" s="899"/>
    </row>
    <row r="557">
      <c r="A557" s="944"/>
      <c r="B557" s="945"/>
      <c r="C557" s="945"/>
      <c r="D557" s="945"/>
      <c r="E557" s="945"/>
      <c r="F557" s="945"/>
      <c r="G557" s="945"/>
      <c r="H557" s="945"/>
      <c r="I557" s="945"/>
      <c r="J557" s="945"/>
      <c r="K557" s="945"/>
      <c r="L557" s="945"/>
      <c r="M557" s="945"/>
      <c r="N557" s="899"/>
      <c r="O557" s="899"/>
      <c r="P557" s="899"/>
      <c r="Q557" s="899"/>
      <c r="R557" s="899"/>
      <c r="S557" s="899"/>
      <c r="T557" s="899"/>
      <c r="U557" s="899"/>
      <c r="V557" s="899"/>
      <c r="W557" s="899"/>
      <c r="X557" s="899"/>
      <c r="Y557" s="899"/>
      <c r="Z557" s="899"/>
      <c r="AA557" s="899"/>
      <c r="AB557" s="899"/>
      <c r="AC557" s="899"/>
      <c r="AD557" s="899"/>
      <c r="AE557" s="899"/>
    </row>
    <row r="558">
      <c r="A558" s="944"/>
      <c r="B558" s="945"/>
      <c r="C558" s="945"/>
      <c r="D558" s="945"/>
      <c r="E558" s="945"/>
      <c r="F558" s="945"/>
      <c r="G558" s="945"/>
      <c r="H558" s="945"/>
      <c r="I558" s="945"/>
      <c r="J558" s="945"/>
      <c r="K558" s="945"/>
      <c r="L558" s="945"/>
      <c r="M558" s="945"/>
      <c r="N558" s="899"/>
      <c r="O558" s="899"/>
      <c r="P558" s="899"/>
      <c r="Q558" s="899"/>
      <c r="R558" s="899"/>
      <c r="S558" s="899"/>
      <c r="T558" s="899"/>
      <c r="U558" s="899"/>
      <c r="V558" s="899"/>
      <c r="W558" s="899"/>
      <c r="X558" s="899"/>
      <c r="Y558" s="899"/>
      <c r="Z558" s="899"/>
      <c r="AA558" s="899"/>
      <c r="AB558" s="899"/>
      <c r="AC558" s="899"/>
      <c r="AD558" s="899"/>
      <c r="AE558" s="899"/>
    </row>
    <row r="559">
      <c r="A559" s="944"/>
      <c r="B559" s="945"/>
      <c r="C559" s="945"/>
      <c r="D559" s="945"/>
      <c r="E559" s="945"/>
      <c r="F559" s="945"/>
      <c r="G559" s="945"/>
      <c r="H559" s="945"/>
      <c r="I559" s="945"/>
      <c r="J559" s="945"/>
      <c r="K559" s="945"/>
      <c r="L559" s="945"/>
      <c r="M559" s="945"/>
      <c r="N559" s="899"/>
      <c r="O559" s="899"/>
      <c r="P559" s="899"/>
      <c r="Q559" s="899"/>
      <c r="R559" s="899"/>
      <c r="S559" s="899"/>
      <c r="T559" s="899"/>
      <c r="U559" s="899"/>
      <c r="V559" s="899"/>
      <c r="W559" s="899"/>
      <c r="X559" s="899"/>
      <c r="Y559" s="899"/>
      <c r="Z559" s="899"/>
      <c r="AA559" s="899"/>
      <c r="AB559" s="899"/>
      <c r="AC559" s="899"/>
      <c r="AD559" s="899"/>
      <c r="AE559" s="899"/>
    </row>
    <row r="560">
      <c r="A560" s="944"/>
      <c r="B560" s="945"/>
      <c r="C560" s="945"/>
      <c r="D560" s="945"/>
      <c r="E560" s="945"/>
      <c r="F560" s="945"/>
      <c r="G560" s="945"/>
      <c r="H560" s="945"/>
      <c r="I560" s="945"/>
      <c r="J560" s="945"/>
      <c r="K560" s="945"/>
      <c r="L560" s="945"/>
      <c r="M560" s="945"/>
      <c r="N560" s="899"/>
      <c r="O560" s="899"/>
      <c r="P560" s="899"/>
      <c r="Q560" s="899"/>
      <c r="R560" s="899"/>
      <c r="S560" s="899"/>
      <c r="T560" s="899"/>
      <c r="U560" s="899"/>
      <c r="V560" s="899"/>
      <c r="W560" s="899"/>
      <c r="X560" s="899"/>
      <c r="Y560" s="899"/>
      <c r="Z560" s="899"/>
      <c r="AA560" s="899"/>
      <c r="AB560" s="899"/>
      <c r="AC560" s="899"/>
      <c r="AD560" s="899"/>
      <c r="AE560" s="899"/>
    </row>
    <row r="561">
      <c r="A561" s="944"/>
      <c r="B561" s="945"/>
      <c r="C561" s="945"/>
      <c r="D561" s="945"/>
      <c r="E561" s="945"/>
      <c r="F561" s="945"/>
      <c r="G561" s="945"/>
      <c r="H561" s="945"/>
      <c r="I561" s="945"/>
      <c r="J561" s="945"/>
      <c r="K561" s="945"/>
      <c r="L561" s="945"/>
      <c r="M561" s="945"/>
      <c r="N561" s="899"/>
      <c r="O561" s="899"/>
      <c r="P561" s="899"/>
      <c r="Q561" s="899"/>
      <c r="R561" s="899"/>
      <c r="S561" s="899"/>
      <c r="T561" s="899"/>
      <c r="U561" s="899"/>
      <c r="V561" s="899"/>
      <c r="W561" s="899"/>
      <c r="X561" s="899"/>
      <c r="Y561" s="899"/>
      <c r="Z561" s="899"/>
      <c r="AA561" s="899"/>
      <c r="AB561" s="899"/>
      <c r="AC561" s="899"/>
      <c r="AD561" s="899"/>
      <c r="AE561" s="899"/>
    </row>
    <row r="562">
      <c r="A562" s="944"/>
      <c r="B562" s="945"/>
      <c r="C562" s="945"/>
      <c r="D562" s="945"/>
      <c r="E562" s="945"/>
      <c r="F562" s="945"/>
      <c r="G562" s="945"/>
      <c r="H562" s="945"/>
      <c r="I562" s="945"/>
      <c r="J562" s="945"/>
      <c r="K562" s="945"/>
      <c r="L562" s="945"/>
      <c r="M562" s="945"/>
      <c r="N562" s="899"/>
      <c r="O562" s="899"/>
      <c r="P562" s="899"/>
      <c r="Q562" s="899"/>
      <c r="R562" s="899"/>
      <c r="S562" s="899"/>
      <c r="T562" s="899"/>
      <c r="U562" s="899"/>
      <c r="V562" s="899"/>
      <c r="W562" s="899"/>
      <c r="X562" s="899"/>
      <c r="Y562" s="899"/>
      <c r="Z562" s="899"/>
      <c r="AA562" s="899"/>
      <c r="AB562" s="899"/>
      <c r="AC562" s="899"/>
      <c r="AD562" s="899"/>
      <c r="AE562" s="899"/>
    </row>
    <row r="563">
      <c r="A563" s="944"/>
      <c r="B563" s="945"/>
      <c r="C563" s="945"/>
      <c r="D563" s="945"/>
      <c r="E563" s="945"/>
      <c r="F563" s="945"/>
      <c r="G563" s="945"/>
      <c r="H563" s="945"/>
      <c r="I563" s="945"/>
      <c r="J563" s="945"/>
      <c r="K563" s="945"/>
      <c r="L563" s="945"/>
      <c r="M563" s="945"/>
      <c r="N563" s="899"/>
      <c r="O563" s="899"/>
      <c r="P563" s="899"/>
      <c r="Q563" s="899"/>
      <c r="R563" s="899"/>
      <c r="S563" s="899"/>
      <c r="T563" s="899"/>
      <c r="U563" s="899"/>
      <c r="V563" s="899"/>
      <c r="W563" s="899"/>
      <c r="X563" s="899"/>
      <c r="Y563" s="899"/>
      <c r="Z563" s="899"/>
      <c r="AA563" s="899"/>
      <c r="AB563" s="899"/>
      <c r="AC563" s="899"/>
      <c r="AD563" s="899"/>
      <c r="AE563" s="899"/>
    </row>
    <row r="564">
      <c r="A564" s="944"/>
      <c r="B564" s="945"/>
      <c r="C564" s="945"/>
      <c r="D564" s="945"/>
      <c r="E564" s="945"/>
      <c r="F564" s="945"/>
      <c r="G564" s="945"/>
      <c r="H564" s="945"/>
      <c r="I564" s="945"/>
      <c r="J564" s="945"/>
      <c r="K564" s="945"/>
      <c r="L564" s="945"/>
      <c r="M564" s="945"/>
      <c r="N564" s="899"/>
      <c r="O564" s="899"/>
      <c r="P564" s="899"/>
      <c r="Q564" s="899"/>
      <c r="R564" s="899"/>
      <c r="S564" s="899"/>
      <c r="T564" s="899"/>
      <c r="U564" s="899"/>
      <c r="V564" s="899"/>
      <c r="W564" s="899"/>
      <c r="X564" s="899"/>
      <c r="Y564" s="899"/>
      <c r="Z564" s="899"/>
      <c r="AA564" s="899"/>
      <c r="AB564" s="899"/>
      <c r="AC564" s="899"/>
      <c r="AD564" s="899"/>
      <c r="AE564" s="899"/>
    </row>
    <row r="565">
      <c r="A565" s="944"/>
      <c r="B565" s="945"/>
      <c r="C565" s="945"/>
      <c r="D565" s="945"/>
      <c r="E565" s="945"/>
      <c r="F565" s="945"/>
      <c r="G565" s="945"/>
      <c r="H565" s="945"/>
      <c r="I565" s="945"/>
      <c r="J565" s="945"/>
      <c r="K565" s="945"/>
      <c r="L565" s="945"/>
      <c r="M565" s="945"/>
      <c r="N565" s="899"/>
      <c r="O565" s="899"/>
      <c r="P565" s="899"/>
      <c r="Q565" s="899"/>
      <c r="R565" s="899"/>
      <c r="S565" s="899"/>
      <c r="T565" s="899"/>
      <c r="U565" s="899"/>
      <c r="V565" s="899"/>
      <c r="W565" s="899"/>
      <c r="X565" s="899"/>
      <c r="Y565" s="899"/>
      <c r="Z565" s="899"/>
      <c r="AA565" s="899"/>
      <c r="AB565" s="899"/>
      <c r="AC565" s="899"/>
      <c r="AD565" s="899"/>
      <c r="AE565" s="899"/>
    </row>
    <row r="566">
      <c r="A566" s="944"/>
      <c r="B566" s="945"/>
      <c r="C566" s="945"/>
      <c r="D566" s="945"/>
      <c r="E566" s="945"/>
      <c r="F566" s="945"/>
      <c r="G566" s="945"/>
      <c r="H566" s="945"/>
      <c r="I566" s="945"/>
      <c r="J566" s="945"/>
      <c r="K566" s="945"/>
      <c r="L566" s="945"/>
      <c r="M566" s="945"/>
      <c r="N566" s="899"/>
      <c r="O566" s="899"/>
      <c r="P566" s="899"/>
      <c r="Q566" s="899"/>
      <c r="R566" s="899"/>
      <c r="S566" s="899"/>
      <c r="T566" s="899"/>
      <c r="U566" s="899"/>
      <c r="V566" s="899"/>
      <c r="W566" s="899"/>
      <c r="X566" s="899"/>
      <c r="Y566" s="899"/>
      <c r="Z566" s="899"/>
      <c r="AA566" s="899"/>
      <c r="AB566" s="899"/>
      <c r="AC566" s="899"/>
      <c r="AD566" s="899"/>
      <c r="AE566" s="899"/>
    </row>
    <row r="567">
      <c r="A567" s="944"/>
      <c r="B567" s="945"/>
      <c r="C567" s="945"/>
      <c r="D567" s="945"/>
      <c r="E567" s="945"/>
      <c r="F567" s="945"/>
      <c r="G567" s="945"/>
      <c r="H567" s="945"/>
      <c r="I567" s="945"/>
      <c r="J567" s="945"/>
      <c r="K567" s="945"/>
      <c r="L567" s="945"/>
      <c r="M567" s="945"/>
      <c r="N567" s="899"/>
      <c r="O567" s="899"/>
      <c r="P567" s="899"/>
      <c r="Q567" s="899"/>
      <c r="R567" s="899"/>
      <c r="S567" s="899"/>
      <c r="T567" s="899"/>
      <c r="U567" s="899"/>
      <c r="V567" s="899"/>
      <c r="W567" s="899"/>
      <c r="X567" s="899"/>
      <c r="Y567" s="899"/>
      <c r="Z567" s="899"/>
      <c r="AA567" s="899"/>
      <c r="AB567" s="899"/>
      <c r="AC567" s="899"/>
      <c r="AD567" s="899"/>
      <c r="AE567" s="899"/>
    </row>
    <row r="568">
      <c r="A568" s="944"/>
      <c r="B568" s="945"/>
      <c r="C568" s="945"/>
      <c r="D568" s="945"/>
      <c r="E568" s="945"/>
      <c r="F568" s="945"/>
      <c r="G568" s="945"/>
      <c r="H568" s="945"/>
      <c r="I568" s="945"/>
      <c r="J568" s="945"/>
      <c r="K568" s="945"/>
      <c r="L568" s="945"/>
      <c r="M568" s="945"/>
      <c r="N568" s="899"/>
      <c r="O568" s="899"/>
      <c r="P568" s="899"/>
      <c r="Q568" s="899"/>
      <c r="R568" s="899"/>
      <c r="S568" s="899"/>
      <c r="T568" s="899"/>
      <c r="U568" s="899"/>
      <c r="V568" s="899"/>
      <c r="W568" s="899"/>
      <c r="X568" s="899"/>
      <c r="Y568" s="899"/>
      <c r="Z568" s="899"/>
      <c r="AA568" s="899"/>
      <c r="AB568" s="899"/>
      <c r="AC568" s="899"/>
      <c r="AD568" s="899"/>
      <c r="AE568" s="899"/>
    </row>
    <row r="569">
      <c r="A569" s="944"/>
      <c r="B569" s="945"/>
      <c r="C569" s="945"/>
      <c r="D569" s="945"/>
      <c r="E569" s="945"/>
      <c r="F569" s="945"/>
      <c r="G569" s="945"/>
      <c r="H569" s="945"/>
      <c r="I569" s="945"/>
      <c r="J569" s="945"/>
      <c r="K569" s="945"/>
      <c r="L569" s="945"/>
      <c r="M569" s="945"/>
      <c r="N569" s="899"/>
      <c r="O569" s="899"/>
      <c r="P569" s="899"/>
      <c r="Q569" s="899"/>
      <c r="R569" s="899"/>
      <c r="S569" s="899"/>
      <c r="T569" s="899"/>
      <c r="U569" s="899"/>
      <c r="V569" s="899"/>
      <c r="W569" s="899"/>
      <c r="X569" s="899"/>
      <c r="Y569" s="899"/>
      <c r="Z569" s="899"/>
      <c r="AA569" s="899"/>
      <c r="AB569" s="899"/>
      <c r="AC569" s="899"/>
      <c r="AD569" s="899"/>
      <c r="AE569" s="899"/>
    </row>
    <row r="570">
      <c r="A570" s="944"/>
      <c r="B570" s="945"/>
      <c r="C570" s="945"/>
      <c r="D570" s="945"/>
      <c r="E570" s="945"/>
      <c r="F570" s="945"/>
      <c r="G570" s="945"/>
      <c r="H570" s="945"/>
      <c r="I570" s="945"/>
      <c r="J570" s="945"/>
      <c r="K570" s="945"/>
      <c r="L570" s="945"/>
      <c r="M570" s="945"/>
      <c r="N570" s="899"/>
      <c r="O570" s="899"/>
      <c r="P570" s="899"/>
      <c r="Q570" s="899"/>
      <c r="R570" s="899"/>
      <c r="S570" s="899"/>
      <c r="T570" s="899"/>
      <c r="U570" s="899"/>
      <c r="V570" s="899"/>
      <c r="W570" s="899"/>
      <c r="X570" s="899"/>
      <c r="Y570" s="899"/>
      <c r="Z570" s="899"/>
      <c r="AA570" s="899"/>
      <c r="AB570" s="899"/>
      <c r="AC570" s="899"/>
      <c r="AD570" s="899"/>
      <c r="AE570" s="899"/>
    </row>
    <row r="571">
      <c r="A571" s="944"/>
      <c r="B571" s="945"/>
      <c r="C571" s="945"/>
      <c r="D571" s="945"/>
      <c r="E571" s="945"/>
      <c r="F571" s="945"/>
      <c r="G571" s="945"/>
      <c r="H571" s="945"/>
      <c r="I571" s="945"/>
      <c r="J571" s="945"/>
      <c r="K571" s="945"/>
      <c r="L571" s="945"/>
      <c r="M571" s="945"/>
      <c r="N571" s="899"/>
      <c r="O571" s="899"/>
      <c r="P571" s="899"/>
      <c r="Q571" s="899"/>
      <c r="R571" s="899"/>
      <c r="S571" s="899"/>
      <c r="T571" s="899"/>
      <c r="U571" s="899"/>
      <c r="V571" s="899"/>
      <c r="W571" s="899"/>
      <c r="X571" s="899"/>
      <c r="Y571" s="899"/>
      <c r="Z571" s="899"/>
      <c r="AA571" s="899"/>
      <c r="AB571" s="899"/>
      <c r="AC571" s="899"/>
      <c r="AD571" s="899"/>
      <c r="AE571" s="899"/>
    </row>
    <row r="572">
      <c r="A572" s="944"/>
      <c r="B572" s="945"/>
      <c r="C572" s="945"/>
      <c r="D572" s="945"/>
      <c r="E572" s="945"/>
      <c r="F572" s="945"/>
      <c r="G572" s="945"/>
      <c r="H572" s="945"/>
      <c r="I572" s="945"/>
      <c r="J572" s="945"/>
      <c r="K572" s="945"/>
      <c r="L572" s="945"/>
      <c r="M572" s="945"/>
      <c r="N572" s="899"/>
      <c r="O572" s="899"/>
      <c r="P572" s="899"/>
      <c r="Q572" s="899"/>
      <c r="R572" s="899"/>
      <c r="S572" s="899"/>
      <c r="T572" s="899"/>
      <c r="U572" s="899"/>
      <c r="V572" s="899"/>
      <c r="W572" s="899"/>
      <c r="X572" s="899"/>
      <c r="Y572" s="899"/>
      <c r="Z572" s="899"/>
      <c r="AA572" s="899"/>
      <c r="AB572" s="899"/>
      <c r="AC572" s="899"/>
      <c r="AD572" s="899"/>
      <c r="AE572" s="899"/>
    </row>
    <row r="573">
      <c r="A573" s="944"/>
      <c r="B573" s="945"/>
      <c r="C573" s="945"/>
      <c r="D573" s="945"/>
      <c r="E573" s="945"/>
      <c r="F573" s="945"/>
      <c r="G573" s="945"/>
      <c r="H573" s="945"/>
      <c r="I573" s="945"/>
      <c r="J573" s="945"/>
      <c r="K573" s="945"/>
      <c r="L573" s="945"/>
      <c r="M573" s="945"/>
      <c r="N573" s="899"/>
      <c r="O573" s="899"/>
      <c r="P573" s="899"/>
      <c r="Q573" s="899"/>
      <c r="R573" s="899"/>
      <c r="S573" s="899"/>
      <c r="T573" s="899"/>
      <c r="U573" s="899"/>
      <c r="V573" s="899"/>
      <c r="W573" s="899"/>
      <c r="X573" s="899"/>
      <c r="Y573" s="899"/>
      <c r="Z573" s="899"/>
      <c r="AA573" s="899"/>
      <c r="AB573" s="899"/>
      <c r="AC573" s="899"/>
      <c r="AD573" s="899"/>
      <c r="AE573" s="899"/>
    </row>
    <row r="574">
      <c r="A574" s="944"/>
      <c r="B574" s="945"/>
      <c r="C574" s="945"/>
      <c r="D574" s="945"/>
      <c r="E574" s="945"/>
      <c r="F574" s="945"/>
      <c r="G574" s="945"/>
      <c r="H574" s="945"/>
      <c r="I574" s="945"/>
      <c r="J574" s="945"/>
      <c r="K574" s="945"/>
      <c r="L574" s="945"/>
      <c r="M574" s="945"/>
      <c r="N574" s="899"/>
      <c r="O574" s="899"/>
      <c r="P574" s="899"/>
      <c r="Q574" s="899"/>
      <c r="R574" s="899"/>
      <c r="S574" s="899"/>
      <c r="T574" s="899"/>
      <c r="U574" s="899"/>
      <c r="V574" s="899"/>
      <c r="W574" s="899"/>
      <c r="X574" s="899"/>
      <c r="Y574" s="899"/>
      <c r="Z574" s="899"/>
      <c r="AA574" s="899"/>
      <c r="AB574" s="899"/>
      <c r="AC574" s="899"/>
      <c r="AD574" s="899"/>
      <c r="AE574" s="899"/>
    </row>
    <row r="575">
      <c r="A575" s="944"/>
      <c r="B575" s="945"/>
      <c r="C575" s="945"/>
      <c r="D575" s="945"/>
      <c r="E575" s="945"/>
      <c r="F575" s="945"/>
      <c r="G575" s="945"/>
      <c r="H575" s="945"/>
      <c r="I575" s="945"/>
      <c r="J575" s="945"/>
      <c r="K575" s="945"/>
      <c r="L575" s="945"/>
      <c r="M575" s="945"/>
      <c r="N575" s="899"/>
      <c r="O575" s="899"/>
      <c r="P575" s="899"/>
      <c r="Q575" s="899"/>
      <c r="R575" s="899"/>
      <c r="S575" s="899"/>
      <c r="T575" s="899"/>
      <c r="U575" s="899"/>
      <c r="V575" s="899"/>
      <c r="W575" s="899"/>
      <c r="X575" s="899"/>
      <c r="Y575" s="899"/>
      <c r="Z575" s="899"/>
      <c r="AA575" s="899"/>
      <c r="AB575" s="899"/>
      <c r="AC575" s="899"/>
      <c r="AD575" s="899"/>
      <c r="AE575" s="899"/>
    </row>
    <row r="576">
      <c r="A576" s="944"/>
      <c r="B576" s="945"/>
      <c r="C576" s="945"/>
      <c r="D576" s="945"/>
      <c r="E576" s="945"/>
      <c r="F576" s="945"/>
      <c r="G576" s="945"/>
      <c r="H576" s="945"/>
      <c r="I576" s="945"/>
      <c r="J576" s="945"/>
      <c r="K576" s="945"/>
      <c r="L576" s="945"/>
      <c r="M576" s="945"/>
      <c r="N576" s="899"/>
      <c r="O576" s="899"/>
      <c r="P576" s="899"/>
      <c r="Q576" s="899"/>
      <c r="R576" s="899"/>
      <c r="S576" s="899"/>
      <c r="T576" s="899"/>
      <c r="U576" s="899"/>
      <c r="V576" s="899"/>
      <c r="W576" s="899"/>
      <c r="X576" s="899"/>
      <c r="Y576" s="899"/>
      <c r="Z576" s="899"/>
      <c r="AA576" s="899"/>
      <c r="AB576" s="899"/>
      <c r="AC576" s="899"/>
      <c r="AD576" s="899"/>
      <c r="AE576" s="899"/>
    </row>
    <row r="577">
      <c r="A577" s="944"/>
      <c r="B577" s="945"/>
      <c r="C577" s="945"/>
      <c r="D577" s="945"/>
      <c r="E577" s="945"/>
      <c r="F577" s="945"/>
      <c r="G577" s="945"/>
      <c r="H577" s="945"/>
      <c r="I577" s="945"/>
      <c r="J577" s="945"/>
      <c r="K577" s="945"/>
      <c r="L577" s="945"/>
      <c r="M577" s="945"/>
      <c r="N577" s="899"/>
      <c r="O577" s="899"/>
      <c r="P577" s="899"/>
      <c r="Q577" s="899"/>
      <c r="R577" s="899"/>
      <c r="S577" s="899"/>
      <c r="T577" s="899"/>
      <c r="U577" s="899"/>
      <c r="V577" s="899"/>
      <c r="W577" s="899"/>
      <c r="X577" s="899"/>
      <c r="Y577" s="899"/>
      <c r="Z577" s="899"/>
      <c r="AA577" s="899"/>
      <c r="AB577" s="899"/>
      <c r="AC577" s="899"/>
      <c r="AD577" s="899"/>
      <c r="AE577" s="899"/>
    </row>
    <row r="578">
      <c r="A578" s="944"/>
      <c r="B578" s="945"/>
      <c r="C578" s="945"/>
      <c r="D578" s="945"/>
      <c r="E578" s="945"/>
      <c r="F578" s="945"/>
      <c r="G578" s="945"/>
      <c r="H578" s="945"/>
      <c r="I578" s="945"/>
      <c r="J578" s="945"/>
      <c r="K578" s="945"/>
      <c r="L578" s="945"/>
      <c r="M578" s="945"/>
      <c r="N578" s="899"/>
      <c r="O578" s="899"/>
      <c r="P578" s="899"/>
      <c r="Q578" s="899"/>
      <c r="R578" s="899"/>
      <c r="S578" s="899"/>
      <c r="T578" s="899"/>
      <c r="U578" s="899"/>
      <c r="V578" s="899"/>
      <c r="W578" s="899"/>
      <c r="X578" s="899"/>
      <c r="Y578" s="899"/>
      <c r="Z578" s="899"/>
      <c r="AA578" s="899"/>
      <c r="AB578" s="899"/>
      <c r="AC578" s="899"/>
      <c r="AD578" s="899"/>
      <c r="AE578" s="899"/>
    </row>
    <row r="579">
      <c r="A579" s="944"/>
      <c r="B579" s="945"/>
      <c r="C579" s="945"/>
      <c r="D579" s="945"/>
      <c r="E579" s="945"/>
      <c r="F579" s="945"/>
      <c r="G579" s="945"/>
      <c r="H579" s="945"/>
      <c r="I579" s="945"/>
      <c r="J579" s="945"/>
      <c r="K579" s="945"/>
      <c r="L579" s="945"/>
      <c r="M579" s="945"/>
      <c r="N579" s="899"/>
      <c r="O579" s="899"/>
      <c r="P579" s="899"/>
      <c r="Q579" s="899"/>
      <c r="R579" s="899"/>
      <c r="S579" s="899"/>
      <c r="T579" s="899"/>
      <c r="U579" s="899"/>
      <c r="V579" s="899"/>
      <c r="W579" s="899"/>
      <c r="X579" s="899"/>
      <c r="Y579" s="899"/>
      <c r="Z579" s="899"/>
      <c r="AA579" s="899"/>
      <c r="AB579" s="899"/>
      <c r="AC579" s="899"/>
      <c r="AD579" s="899"/>
      <c r="AE579" s="899"/>
    </row>
    <row r="580">
      <c r="A580" s="944"/>
      <c r="B580" s="945"/>
      <c r="C580" s="945"/>
      <c r="D580" s="945"/>
      <c r="E580" s="945"/>
      <c r="F580" s="945"/>
      <c r="G580" s="945"/>
      <c r="H580" s="945"/>
      <c r="I580" s="945"/>
      <c r="J580" s="945"/>
      <c r="K580" s="945"/>
      <c r="L580" s="945"/>
      <c r="M580" s="945"/>
      <c r="N580" s="899"/>
      <c r="O580" s="899"/>
      <c r="P580" s="899"/>
      <c r="Q580" s="899"/>
      <c r="R580" s="899"/>
      <c r="S580" s="899"/>
      <c r="T580" s="899"/>
      <c r="U580" s="899"/>
      <c r="V580" s="899"/>
      <c r="W580" s="899"/>
      <c r="X580" s="899"/>
      <c r="Y580" s="899"/>
      <c r="Z580" s="899"/>
      <c r="AA580" s="899"/>
      <c r="AB580" s="899"/>
      <c r="AC580" s="899"/>
      <c r="AD580" s="899"/>
      <c r="AE580" s="899"/>
    </row>
    <row r="581">
      <c r="A581" s="944"/>
      <c r="B581" s="945"/>
      <c r="C581" s="945"/>
      <c r="D581" s="945"/>
      <c r="E581" s="945"/>
      <c r="F581" s="945"/>
      <c r="G581" s="945"/>
      <c r="H581" s="945"/>
      <c r="I581" s="945"/>
      <c r="J581" s="945"/>
      <c r="K581" s="945"/>
      <c r="L581" s="945"/>
      <c r="M581" s="945"/>
      <c r="N581" s="899"/>
      <c r="O581" s="899"/>
      <c r="P581" s="899"/>
      <c r="Q581" s="899"/>
      <c r="R581" s="899"/>
      <c r="S581" s="899"/>
      <c r="T581" s="899"/>
      <c r="U581" s="899"/>
      <c r="V581" s="899"/>
      <c r="W581" s="899"/>
      <c r="X581" s="899"/>
      <c r="Y581" s="899"/>
      <c r="Z581" s="899"/>
      <c r="AA581" s="899"/>
      <c r="AB581" s="899"/>
      <c r="AC581" s="899"/>
      <c r="AD581" s="899"/>
      <c r="AE581" s="899"/>
    </row>
    <row r="582">
      <c r="A582" s="944"/>
      <c r="B582" s="945"/>
      <c r="C582" s="945"/>
      <c r="D582" s="945"/>
      <c r="E582" s="945"/>
      <c r="F582" s="945"/>
      <c r="G582" s="945"/>
      <c r="H582" s="945"/>
      <c r="I582" s="945"/>
      <c r="J582" s="945"/>
      <c r="K582" s="945"/>
      <c r="L582" s="945"/>
      <c r="M582" s="945"/>
      <c r="N582" s="899"/>
      <c r="O582" s="899"/>
      <c r="P582" s="899"/>
      <c r="Q582" s="899"/>
      <c r="R582" s="899"/>
      <c r="S582" s="899"/>
      <c r="T582" s="899"/>
      <c r="U582" s="899"/>
      <c r="V582" s="899"/>
      <c r="W582" s="899"/>
      <c r="X582" s="899"/>
      <c r="Y582" s="899"/>
      <c r="Z582" s="899"/>
      <c r="AA582" s="899"/>
      <c r="AB582" s="899"/>
      <c r="AC582" s="899"/>
      <c r="AD582" s="899"/>
      <c r="AE582" s="899"/>
    </row>
    <row r="583">
      <c r="A583" s="944"/>
      <c r="B583" s="945"/>
      <c r="C583" s="945"/>
      <c r="D583" s="945"/>
      <c r="E583" s="945"/>
      <c r="F583" s="945"/>
      <c r="G583" s="945"/>
      <c r="H583" s="945"/>
      <c r="I583" s="945"/>
      <c r="J583" s="945"/>
      <c r="K583" s="945"/>
      <c r="L583" s="945"/>
      <c r="M583" s="945"/>
      <c r="N583" s="899"/>
      <c r="O583" s="899"/>
      <c r="P583" s="899"/>
      <c r="Q583" s="899"/>
      <c r="R583" s="899"/>
      <c r="S583" s="899"/>
      <c r="T583" s="899"/>
      <c r="U583" s="899"/>
      <c r="V583" s="899"/>
      <c r="W583" s="899"/>
      <c r="X583" s="899"/>
      <c r="Y583" s="899"/>
      <c r="Z583" s="899"/>
      <c r="AA583" s="899"/>
      <c r="AB583" s="899"/>
      <c r="AC583" s="899"/>
      <c r="AD583" s="899"/>
      <c r="AE583" s="899"/>
    </row>
    <row r="584">
      <c r="A584" s="944"/>
      <c r="B584" s="945"/>
      <c r="C584" s="945"/>
      <c r="D584" s="945"/>
      <c r="E584" s="945"/>
      <c r="F584" s="945"/>
      <c r="G584" s="945"/>
      <c r="H584" s="945"/>
      <c r="I584" s="945"/>
      <c r="J584" s="945"/>
      <c r="K584" s="945"/>
      <c r="L584" s="945"/>
      <c r="M584" s="945"/>
      <c r="N584" s="899"/>
      <c r="O584" s="899"/>
      <c r="P584" s="899"/>
      <c r="Q584" s="899"/>
      <c r="R584" s="899"/>
      <c r="S584" s="899"/>
      <c r="T584" s="899"/>
      <c r="U584" s="899"/>
      <c r="V584" s="899"/>
      <c r="W584" s="899"/>
      <c r="X584" s="899"/>
      <c r="Y584" s="899"/>
      <c r="Z584" s="899"/>
      <c r="AA584" s="899"/>
      <c r="AB584" s="899"/>
      <c r="AC584" s="899"/>
      <c r="AD584" s="899"/>
      <c r="AE584" s="899"/>
    </row>
    <row r="585">
      <c r="A585" s="944"/>
      <c r="B585" s="945"/>
      <c r="C585" s="945"/>
      <c r="D585" s="945"/>
      <c r="E585" s="945"/>
      <c r="F585" s="945"/>
      <c r="G585" s="945"/>
      <c r="H585" s="945"/>
      <c r="I585" s="945"/>
      <c r="J585" s="945"/>
      <c r="K585" s="945"/>
      <c r="L585" s="945"/>
      <c r="M585" s="945"/>
      <c r="N585" s="899"/>
      <c r="O585" s="899"/>
      <c r="P585" s="899"/>
      <c r="Q585" s="899"/>
      <c r="R585" s="899"/>
      <c r="S585" s="899"/>
      <c r="T585" s="899"/>
      <c r="U585" s="899"/>
      <c r="V585" s="899"/>
      <c r="W585" s="899"/>
      <c r="X585" s="899"/>
      <c r="Y585" s="899"/>
      <c r="Z585" s="899"/>
      <c r="AA585" s="899"/>
      <c r="AB585" s="899"/>
      <c r="AC585" s="899"/>
      <c r="AD585" s="899"/>
      <c r="AE585" s="899"/>
    </row>
    <row r="586">
      <c r="A586" s="944"/>
      <c r="B586" s="945"/>
      <c r="C586" s="945"/>
      <c r="D586" s="945"/>
      <c r="E586" s="945"/>
      <c r="F586" s="945"/>
      <c r="G586" s="945"/>
      <c r="H586" s="945"/>
      <c r="I586" s="945"/>
      <c r="J586" s="945"/>
      <c r="K586" s="945"/>
      <c r="L586" s="945"/>
      <c r="M586" s="945"/>
      <c r="N586" s="899"/>
      <c r="O586" s="899"/>
      <c r="P586" s="899"/>
      <c r="Q586" s="899"/>
      <c r="R586" s="899"/>
      <c r="S586" s="899"/>
      <c r="T586" s="899"/>
      <c r="U586" s="899"/>
      <c r="V586" s="899"/>
      <c r="W586" s="899"/>
      <c r="X586" s="899"/>
      <c r="Y586" s="899"/>
      <c r="Z586" s="899"/>
      <c r="AA586" s="899"/>
      <c r="AB586" s="899"/>
      <c r="AC586" s="899"/>
      <c r="AD586" s="899"/>
      <c r="AE586" s="899"/>
    </row>
    <row r="587">
      <c r="A587" s="944"/>
      <c r="B587" s="945"/>
      <c r="C587" s="945"/>
      <c r="D587" s="945"/>
      <c r="E587" s="945"/>
      <c r="F587" s="945"/>
      <c r="G587" s="945"/>
      <c r="H587" s="945"/>
      <c r="I587" s="945"/>
      <c r="J587" s="945"/>
      <c r="K587" s="945"/>
      <c r="L587" s="945"/>
      <c r="M587" s="945"/>
      <c r="N587" s="899"/>
      <c r="O587" s="899"/>
      <c r="P587" s="899"/>
      <c r="Q587" s="899"/>
      <c r="R587" s="899"/>
      <c r="S587" s="899"/>
      <c r="T587" s="899"/>
      <c r="U587" s="899"/>
      <c r="V587" s="899"/>
      <c r="W587" s="899"/>
      <c r="X587" s="899"/>
      <c r="Y587" s="899"/>
      <c r="Z587" s="899"/>
      <c r="AA587" s="899"/>
      <c r="AB587" s="899"/>
      <c r="AC587" s="899"/>
      <c r="AD587" s="899"/>
      <c r="AE587" s="899"/>
    </row>
    <row r="588">
      <c r="A588" s="944"/>
      <c r="B588" s="945"/>
      <c r="C588" s="945"/>
      <c r="D588" s="945"/>
      <c r="E588" s="945"/>
      <c r="F588" s="945"/>
      <c r="G588" s="945"/>
      <c r="H588" s="945"/>
      <c r="I588" s="945"/>
      <c r="J588" s="945"/>
      <c r="K588" s="945"/>
      <c r="L588" s="945"/>
      <c r="M588" s="945"/>
      <c r="N588" s="899"/>
      <c r="O588" s="899"/>
      <c r="P588" s="899"/>
      <c r="Q588" s="899"/>
      <c r="R588" s="899"/>
      <c r="S588" s="899"/>
      <c r="T588" s="899"/>
      <c r="U588" s="899"/>
      <c r="V588" s="899"/>
      <c r="W588" s="899"/>
      <c r="X588" s="899"/>
      <c r="Y588" s="899"/>
      <c r="Z588" s="899"/>
      <c r="AA588" s="899"/>
      <c r="AB588" s="899"/>
      <c r="AC588" s="899"/>
      <c r="AD588" s="899"/>
      <c r="AE588" s="899"/>
    </row>
    <row r="589">
      <c r="A589" s="944"/>
      <c r="B589" s="945"/>
      <c r="C589" s="945"/>
      <c r="D589" s="945"/>
      <c r="E589" s="945"/>
      <c r="F589" s="945"/>
      <c r="G589" s="945"/>
      <c r="H589" s="945"/>
      <c r="I589" s="945"/>
      <c r="J589" s="945"/>
      <c r="K589" s="945"/>
      <c r="L589" s="945"/>
      <c r="M589" s="945"/>
      <c r="N589" s="899"/>
      <c r="O589" s="899"/>
      <c r="P589" s="899"/>
      <c r="Q589" s="899"/>
      <c r="R589" s="899"/>
      <c r="S589" s="899"/>
      <c r="T589" s="899"/>
      <c r="U589" s="899"/>
      <c r="V589" s="899"/>
      <c r="W589" s="899"/>
      <c r="X589" s="899"/>
      <c r="Y589" s="899"/>
      <c r="Z589" s="899"/>
      <c r="AA589" s="899"/>
      <c r="AB589" s="899"/>
      <c r="AC589" s="899"/>
      <c r="AD589" s="899"/>
      <c r="AE589" s="899"/>
    </row>
    <row r="590">
      <c r="A590" s="944"/>
      <c r="B590" s="945"/>
      <c r="C590" s="945"/>
      <c r="D590" s="945"/>
      <c r="E590" s="945"/>
      <c r="F590" s="945"/>
      <c r="G590" s="945"/>
      <c r="H590" s="945"/>
      <c r="I590" s="945"/>
      <c r="J590" s="945"/>
      <c r="K590" s="945"/>
      <c r="L590" s="945"/>
      <c r="M590" s="945"/>
      <c r="N590" s="899"/>
      <c r="O590" s="899"/>
      <c r="P590" s="899"/>
      <c r="Q590" s="899"/>
      <c r="R590" s="899"/>
      <c r="S590" s="899"/>
      <c r="T590" s="899"/>
      <c r="U590" s="899"/>
      <c r="V590" s="899"/>
      <c r="W590" s="899"/>
      <c r="X590" s="899"/>
      <c r="Y590" s="899"/>
      <c r="Z590" s="899"/>
      <c r="AA590" s="899"/>
      <c r="AB590" s="899"/>
      <c r="AC590" s="899"/>
      <c r="AD590" s="899"/>
      <c r="AE590" s="899"/>
    </row>
    <row r="591">
      <c r="A591" s="944"/>
      <c r="B591" s="945"/>
      <c r="C591" s="945"/>
      <c r="D591" s="945"/>
      <c r="E591" s="945"/>
      <c r="F591" s="945"/>
      <c r="G591" s="945"/>
      <c r="H591" s="945"/>
      <c r="I591" s="945"/>
      <c r="J591" s="945"/>
      <c r="K591" s="945"/>
      <c r="L591" s="945"/>
      <c r="M591" s="945"/>
      <c r="N591" s="899"/>
      <c r="O591" s="899"/>
      <c r="P591" s="899"/>
      <c r="Q591" s="899"/>
      <c r="R591" s="899"/>
      <c r="S591" s="899"/>
      <c r="T591" s="899"/>
      <c r="U591" s="899"/>
      <c r="V591" s="899"/>
      <c r="W591" s="899"/>
      <c r="X591" s="899"/>
      <c r="Y591" s="899"/>
      <c r="Z591" s="899"/>
      <c r="AA591" s="899"/>
      <c r="AB591" s="899"/>
      <c r="AC591" s="899"/>
      <c r="AD591" s="899"/>
      <c r="AE591" s="899"/>
    </row>
    <row r="592">
      <c r="A592" s="944"/>
      <c r="B592" s="945"/>
      <c r="C592" s="945"/>
      <c r="D592" s="945"/>
      <c r="E592" s="945"/>
      <c r="F592" s="945"/>
      <c r="G592" s="945"/>
      <c r="H592" s="945"/>
      <c r="I592" s="945"/>
      <c r="J592" s="945"/>
      <c r="K592" s="945"/>
      <c r="L592" s="945"/>
      <c r="M592" s="945"/>
      <c r="N592" s="899"/>
      <c r="O592" s="899"/>
      <c r="P592" s="899"/>
      <c r="Q592" s="899"/>
      <c r="R592" s="899"/>
      <c r="S592" s="899"/>
      <c r="T592" s="899"/>
      <c r="U592" s="899"/>
      <c r="V592" s="899"/>
      <c r="W592" s="899"/>
      <c r="X592" s="899"/>
      <c r="Y592" s="899"/>
      <c r="Z592" s="899"/>
      <c r="AA592" s="899"/>
      <c r="AB592" s="899"/>
      <c r="AC592" s="899"/>
      <c r="AD592" s="899"/>
      <c r="AE592" s="899"/>
    </row>
    <row r="593">
      <c r="A593" s="944"/>
      <c r="B593" s="945"/>
      <c r="C593" s="945"/>
      <c r="D593" s="945"/>
      <c r="E593" s="945"/>
      <c r="F593" s="945"/>
      <c r="G593" s="945"/>
      <c r="H593" s="945"/>
      <c r="I593" s="945"/>
      <c r="J593" s="945"/>
      <c r="K593" s="945"/>
      <c r="L593" s="945"/>
      <c r="M593" s="945"/>
      <c r="N593" s="899"/>
      <c r="O593" s="899"/>
      <c r="P593" s="899"/>
      <c r="Q593" s="899"/>
      <c r="R593" s="899"/>
      <c r="S593" s="899"/>
      <c r="T593" s="899"/>
      <c r="U593" s="899"/>
      <c r="V593" s="899"/>
      <c r="W593" s="899"/>
      <c r="X593" s="899"/>
      <c r="Y593" s="899"/>
      <c r="Z593" s="899"/>
      <c r="AA593" s="899"/>
      <c r="AB593" s="899"/>
      <c r="AC593" s="899"/>
      <c r="AD593" s="899"/>
      <c r="AE593" s="899"/>
    </row>
    <row r="594">
      <c r="A594" s="944"/>
      <c r="B594" s="945"/>
      <c r="C594" s="945"/>
      <c r="D594" s="945"/>
      <c r="E594" s="945"/>
      <c r="F594" s="945"/>
      <c r="G594" s="945"/>
      <c r="H594" s="945"/>
      <c r="I594" s="945"/>
      <c r="J594" s="945"/>
      <c r="K594" s="945"/>
      <c r="L594" s="945"/>
      <c r="M594" s="945"/>
      <c r="N594" s="899"/>
      <c r="O594" s="899"/>
      <c r="P594" s="899"/>
      <c r="Q594" s="899"/>
      <c r="R594" s="899"/>
      <c r="S594" s="899"/>
      <c r="T594" s="899"/>
      <c r="U594" s="899"/>
      <c r="V594" s="899"/>
      <c r="W594" s="899"/>
      <c r="X594" s="899"/>
      <c r="Y594" s="899"/>
      <c r="Z594" s="899"/>
      <c r="AA594" s="899"/>
      <c r="AB594" s="899"/>
      <c r="AC594" s="899"/>
      <c r="AD594" s="899"/>
      <c r="AE594" s="899"/>
    </row>
    <row r="595">
      <c r="A595" s="944"/>
      <c r="B595" s="945"/>
      <c r="C595" s="945"/>
      <c r="D595" s="945"/>
      <c r="E595" s="945"/>
      <c r="F595" s="945"/>
      <c r="G595" s="945"/>
      <c r="H595" s="945"/>
      <c r="I595" s="945"/>
      <c r="J595" s="945"/>
      <c r="K595" s="945"/>
      <c r="L595" s="945"/>
      <c r="M595" s="945"/>
      <c r="N595" s="899"/>
      <c r="O595" s="899"/>
      <c r="P595" s="899"/>
      <c r="Q595" s="899"/>
      <c r="R595" s="899"/>
      <c r="S595" s="899"/>
      <c r="T595" s="899"/>
      <c r="U595" s="899"/>
      <c r="V595" s="899"/>
      <c r="W595" s="899"/>
      <c r="X595" s="899"/>
      <c r="Y595" s="899"/>
      <c r="Z595" s="899"/>
      <c r="AA595" s="899"/>
      <c r="AB595" s="899"/>
      <c r="AC595" s="899"/>
      <c r="AD595" s="899"/>
      <c r="AE595" s="899"/>
    </row>
    <row r="596">
      <c r="A596" s="944"/>
      <c r="B596" s="945"/>
      <c r="C596" s="945"/>
      <c r="D596" s="945"/>
      <c r="E596" s="945"/>
      <c r="F596" s="945"/>
      <c r="G596" s="945"/>
      <c r="H596" s="945"/>
      <c r="I596" s="945"/>
      <c r="J596" s="945"/>
      <c r="K596" s="945"/>
      <c r="L596" s="945"/>
      <c r="M596" s="945"/>
      <c r="N596" s="899"/>
      <c r="O596" s="899"/>
      <c r="P596" s="899"/>
      <c r="Q596" s="899"/>
      <c r="R596" s="899"/>
      <c r="S596" s="899"/>
      <c r="T596" s="899"/>
      <c r="U596" s="899"/>
      <c r="V596" s="899"/>
      <c r="W596" s="899"/>
      <c r="X596" s="899"/>
      <c r="Y596" s="899"/>
      <c r="Z596" s="899"/>
      <c r="AA596" s="899"/>
      <c r="AB596" s="899"/>
      <c r="AC596" s="899"/>
      <c r="AD596" s="899"/>
      <c r="AE596" s="899"/>
    </row>
    <row r="597">
      <c r="A597" s="944"/>
      <c r="B597" s="945"/>
      <c r="C597" s="945"/>
      <c r="D597" s="945"/>
      <c r="E597" s="945"/>
      <c r="F597" s="945"/>
      <c r="G597" s="945"/>
      <c r="H597" s="945"/>
      <c r="I597" s="945"/>
      <c r="J597" s="945"/>
      <c r="K597" s="945"/>
      <c r="L597" s="945"/>
      <c r="M597" s="945"/>
      <c r="N597" s="899"/>
      <c r="O597" s="899"/>
      <c r="P597" s="899"/>
      <c r="Q597" s="899"/>
      <c r="R597" s="899"/>
      <c r="S597" s="899"/>
      <c r="T597" s="899"/>
      <c r="U597" s="899"/>
      <c r="V597" s="899"/>
      <c r="W597" s="899"/>
      <c r="X597" s="899"/>
      <c r="Y597" s="899"/>
      <c r="Z597" s="899"/>
      <c r="AA597" s="899"/>
      <c r="AB597" s="899"/>
      <c r="AC597" s="899"/>
      <c r="AD597" s="899"/>
      <c r="AE597" s="899"/>
    </row>
    <row r="598">
      <c r="A598" s="944"/>
      <c r="B598" s="945"/>
      <c r="C598" s="945"/>
      <c r="D598" s="945"/>
      <c r="E598" s="945"/>
      <c r="F598" s="945"/>
      <c r="G598" s="945"/>
      <c r="H598" s="945"/>
      <c r="I598" s="945"/>
      <c r="J598" s="945"/>
      <c r="K598" s="945"/>
      <c r="L598" s="945"/>
      <c r="M598" s="945"/>
      <c r="N598" s="899"/>
      <c r="O598" s="899"/>
      <c r="P598" s="899"/>
      <c r="Q598" s="899"/>
      <c r="R598" s="899"/>
      <c r="S598" s="899"/>
      <c r="T598" s="899"/>
      <c r="U598" s="899"/>
      <c r="V598" s="899"/>
      <c r="W598" s="899"/>
      <c r="X598" s="899"/>
      <c r="Y598" s="899"/>
      <c r="Z598" s="899"/>
      <c r="AA598" s="899"/>
      <c r="AB598" s="899"/>
      <c r="AC598" s="899"/>
      <c r="AD598" s="899"/>
      <c r="AE598" s="899"/>
    </row>
    <row r="599">
      <c r="A599" s="944"/>
      <c r="B599" s="945"/>
      <c r="C599" s="945"/>
      <c r="D599" s="945"/>
      <c r="E599" s="945"/>
      <c r="F599" s="945"/>
      <c r="G599" s="945"/>
      <c r="H599" s="945"/>
      <c r="I599" s="945"/>
      <c r="J599" s="945"/>
      <c r="K599" s="945"/>
      <c r="L599" s="945"/>
      <c r="M599" s="945"/>
      <c r="N599" s="899"/>
      <c r="O599" s="899"/>
      <c r="P599" s="899"/>
      <c r="Q599" s="899"/>
      <c r="R599" s="899"/>
      <c r="S599" s="899"/>
      <c r="T599" s="899"/>
      <c r="U599" s="899"/>
      <c r="V599" s="899"/>
      <c r="W599" s="899"/>
      <c r="X599" s="899"/>
      <c r="Y599" s="899"/>
      <c r="Z599" s="899"/>
      <c r="AA599" s="899"/>
      <c r="AB599" s="899"/>
      <c r="AC599" s="899"/>
      <c r="AD599" s="899"/>
      <c r="AE599" s="899"/>
    </row>
    <row r="600">
      <c r="A600" s="944"/>
      <c r="B600" s="945"/>
      <c r="C600" s="945"/>
      <c r="D600" s="945"/>
      <c r="E600" s="945"/>
      <c r="F600" s="945"/>
      <c r="G600" s="945"/>
      <c r="H600" s="945"/>
      <c r="I600" s="945"/>
      <c r="J600" s="945"/>
      <c r="K600" s="945"/>
      <c r="L600" s="945"/>
      <c r="M600" s="945"/>
      <c r="N600" s="899"/>
      <c r="O600" s="899"/>
      <c r="P600" s="899"/>
      <c r="Q600" s="899"/>
      <c r="R600" s="899"/>
      <c r="S600" s="899"/>
      <c r="T600" s="899"/>
      <c r="U600" s="899"/>
      <c r="V600" s="899"/>
      <c r="W600" s="899"/>
      <c r="X600" s="899"/>
      <c r="Y600" s="899"/>
      <c r="Z600" s="899"/>
      <c r="AA600" s="899"/>
      <c r="AB600" s="899"/>
      <c r="AC600" s="899"/>
      <c r="AD600" s="899"/>
      <c r="AE600" s="899"/>
    </row>
    <row r="601">
      <c r="A601" s="944"/>
      <c r="B601" s="945"/>
      <c r="C601" s="945"/>
      <c r="D601" s="945"/>
      <c r="E601" s="945"/>
      <c r="F601" s="945"/>
      <c r="G601" s="945"/>
      <c r="H601" s="945"/>
      <c r="I601" s="945"/>
      <c r="J601" s="945"/>
      <c r="K601" s="945"/>
      <c r="L601" s="945"/>
      <c r="M601" s="945"/>
      <c r="N601" s="899"/>
      <c r="O601" s="899"/>
      <c r="P601" s="899"/>
      <c r="Q601" s="899"/>
      <c r="R601" s="899"/>
      <c r="S601" s="899"/>
      <c r="T601" s="899"/>
      <c r="U601" s="899"/>
      <c r="V601" s="899"/>
      <c r="W601" s="899"/>
      <c r="X601" s="899"/>
      <c r="Y601" s="899"/>
      <c r="Z601" s="899"/>
      <c r="AA601" s="899"/>
      <c r="AB601" s="899"/>
      <c r="AC601" s="899"/>
      <c r="AD601" s="899"/>
      <c r="AE601" s="899"/>
    </row>
    <row r="602">
      <c r="A602" s="944"/>
      <c r="B602" s="945"/>
      <c r="C602" s="945"/>
      <c r="D602" s="945"/>
      <c r="E602" s="945"/>
      <c r="F602" s="945"/>
      <c r="G602" s="945"/>
      <c r="H602" s="945"/>
      <c r="I602" s="945"/>
      <c r="J602" s="945"/>
      <c r="K602" s="945"/>
      <c r="L602" s="945"/>
      <c r="M602" s="945"/>
      <c r="N602" s="899"/>
      <c r="O602" s="899"/>
      <c r="P602" s="899"/>
      <c r="Q602" s="899"/>
      <c r="R602" s="899"/>
      <c r="S602" s="899"/>
      <c r="T602" s="899"/>
      <c r="U602" s="899"/>
      <c r="V602" s="899"/>
      <c r="W602" s="899"/>
      <c r="X602" s="899"/>
      <c r="Y602" s="899"/>
      <c r="Z602" s="899"/>
      <c r="AA602" s="899"/>
      <c r="AB602" s="899"/>
      <c r="AC602" s="899"/>
      <c r="AD602" s="899"/>
      <c r="AE602" s="899"/>
    </row>
    <row r="603">
      <c r="A603" s="944"/>
      <c r="B603" s="945"/>
      <c r="C603" s="945"/>
      <c r="D603" s="945"/>
      <c r="E603" s="945"/>
      <c r="F603" s="945"/>
      <c r="G603" s="945"/>
      <c r="H603" s="945"/>
      <c r="I603" s="945"/>
      <c r="J603" s="945"/>
      <c r="K603" s="945"/>
      <c r="L603" s="945"/>
      <c r="M603" s="945"/>
      <c r="N603" s="899"/>
      <c r="O603" s="899"/>
      <c r="P603" s="899"/>
      <c r="Q603" s="899"/>
      <c r="R603" s="899"/>
      <c r="S603" s="899"/>
      <c r="T603" s="899"/>
      <c r="U603" s="899"/>
      <c r="V603" s="899"/>
      <c r="W603" s="899"/>
      <c r="X603" s="899"/>
      <c r="Y603" s="899"/>
      <c r="Z603" s="899"/>
      <c r="AA603" s="899"/>
      <c r="AB603" s="899"/>
      <c r="AC603" s="899"/>
      <c r="AD603" s="899"/>
      <c r="AE603" s="899"/>
    </row>
    <row r="604">
      <c r="A604" s="944"/>
      <c r="B604" s="945"/>
      <c r="C604" s="945"/>
      <c r="D604" s="945"/>
      <c r="E604" s="945"/>
      <c r="F604" s="945"/>
      <c r="G604" s="945"/>
      <c r="H604" s="945"/>
      <c r="I604" s="945"/>
      <c r="J604" s="945"/>
      <c r="K604" s="945"/>
      <c r="L604" s="945"/>
      <c r="M604" s="945"/>
      <c r="N604" s="899"/>
      <c r="O604" s="899"/>
      <c r="P604" s="899"/>
      <c r="Q604" s="899"/>
      <c r="R604" s="899"/>
      <c r="S604" s="899"/>
      <c r="T604" s="899"/>
      <c r="U604" s="899"/>
      <c r="V604" s="899"/>
      <c r="W604" s="899"/>
      <c r="X604" s="899"/>
      <c r="Y604" s="899"/>
      <c r="Z604" s="899"/>
      <c r="AA604" s="899"/>
      <c r="AB604" s="899"/>
      <c r="AC604" s="899"/>
      <c r="AD604" s="899"/>
      <c r="AE604" s="899"/>
    </row>
    <row r="605">
      <c r="A605" s="944"/>
      <c r="B605" s="945"/>
      <c r="C605" s="945"/>
      <c r="D605" s="945"/>
      <c r="E605" s="945"/>
      <c r="F605" s="945"/>
      <c r="G605" s="945"/>
      <c r="H605" s="945"/>
      <c r="I605" s="945"/>
      <c r="J605" s="945"/>
      <c r="K605" s="945"/>
      <c r="L605" s="945"/>
      <c r="M605" s="945"/>
      <c r="N605" s="899"/>
      <c r="O605" s="899"/>
      <c r="P605" s="899"/>
      <c r="Q605" s="899"/>
      <c r="R605" s="899"/>
      <c r="S605" s="899"/>
      <c r="T605" s="899"/>
      <c r="U605" s="899"/>
      <c r="V605" s="899"/>
      <c r="W605" s="899"/>
      <c r="X605" s="899"/>
      <c r="Y605" s="899"/>
      <c r="Z605" s="899"/>
      <c r="AA605" s="899"/>
      <c r="AB605" s="899"/>
      <c r="AC605" s="899"/>
      <c r="AD605" s="899"/>
      <c r="AE605" s="899"/>
    </row>
    <row r="606">
      <c r="A606" s="944"/>
      <c r="B606" s="945"/>
      <c r="C606" s="945"/>
      <c r="D606" s="945"/>
      <c r="E606" s="945"/>
      <c r="F606" s="945"/>
      <c r="G606" s="945"/>
      <c r="H606" s="945"/>
      <c r="I606" s="945"/>
      <c r="J606" s="945"/>
      <c r="K606" s="945"/>
      <c r="L606" s="945"/>
      <c r="M606" s="945"/>
      <c r="N606" s="899"/>
      <c r="O606" s="899"/>
      <c r="P606" s="899"/>
      <c r="Q606" s="899"/>
      <c r="R606" s="899"/>
      <c r="S606" s="899"/>
      <c r="T606" s="899"/>
      <c r="U606" s="899"/>
      <c r="V606" s="899"/>
      <c r="W606" s="899"/>
      <c r="X606" s="899"/>
      <c r="Y606" s="899"/>
      <c r="Z606" s="899"/>
      <c r="AA606" s="899"/>
      <c r="AB606" s="899"/>
      <c r="AC606" s="899"/>
      <c r="AD606" s="899"/>
      <c r="AE606" s="899"/>
    </row>
    <row r="607">
      <c r="A607" s="944"/>
      <c r="B607" s="945"/>
      <c r="C607" s="945"/>
      <c r="D607" s="945"/>
      <c r="E607" s="945"/>
      <c r="F607" s="945"/>
      <c r="G607" s="945"/>
      <c r="H607" s="945"/>
      <c r="I607" s="945"/>
      <c r="J607" s="945"/>
      <c r="K607" s="945"/>
      <c r="L607" s="945"/>
      <c r="M607" s="945"/>
      <c r="N607" s="899"/>
      <c r="O607" s="899"/>
      <c r="P607" s="899"/>
      <c r="Q607" s="899"/>
      <c r="R607" s="899"/>
      <c r="S607" s="899"/>
      <c r="T607" s="899"/>
      <c r="U607" s="899"/>
      <c r="V607" s="899"/>
      <c r="W607" s="899"/>
      <c r="X607" s="899"/>
      <c r="Y607" s="899"/>
      <c r="Z607" s="899"/>
      <c r="AA607" s="899"/>
      <c r="AB607" s="899"/>
      <c r="AC607" s="899"/>
      <c r="AD607" s="899"/>
      <c r="AE607" s="899"/>
    </row>
    <row r="608">
      <c r="A608" s="944"/>
      <c r="B608" s="945"/>
      <c r="C608" s="945"/>
      <c r="D608" s="945"/>
      <c r="E608" s="945"/>
      <c r="F608" s="945"/>
      <c r="G608" s="945"/>
      <c r="H608" s="945"/>
      <c r="I608" s="945"/>
      <c r="J608" s="945"/>
      <c r="K608" s="945"/>
      <c r="L608" s="945"/>
      <c r="M608" s="945"/>
      <c r="N608" s="899"/>
      <c r="O608" s="899"/>
      <c r="P608" s="899"/>
      <c r="Q608" s="899"/>
      <c r="R608" s="899"/>
      <c r="S608" s="899"/>
      <c r="T608" s="899"/>
      <c r="U608" s="899"/>
      <c r="V608" s="899"/>
      <c r="W608" s="899"/>
      <c r="X608" s="899"/>
      <c r="Y608" s="899"/>
      <c r="Z608" s="899"/>
      <c r="AA608" s="899"/>
      <c r="AB608" s="899"/>
      <c r="AC608" s="899"/>
      <c r="AD608" s="899"/>
      <c r="AE608" s="899"/>
    </row>
    <row r="609">
      <c r="A609" s="944"/>
      <c r="B609" s="945"/>
      <c r="C609" s="945"/>
      <c r="D609" s="945"/>
      <c r="E609" s="945"/>
      <c r="F609" s="945"/>
      <c r="G609" s="945"/>
      <c r="H609" s="945"/>
      <c r="I609" s="945"/>
      <c r="J609" s="945"/>
      <c r="K609" s="945"/>
      <c r="L609" s="945"/>
      <c r="M609" s="945"/>
      <c r="N609" s="899"/>
      <c r="O609" s="899"/>
      <c r="P609" s="899"/>
      <c r="Q609" s="899"/>
      <c r="R609" s="899"/>
      <c r="S609" s="899"/>
      <c r="T609" s="899"/>
      <c r="U609" s="899"/>
      <c r="V609" s="899"/>
      <c r="W609" s="899"/>
      <c r="X609" s="899"/>
      <c r="Y609" s="899"/>
      <c r="Z609" s="899"/>
      <c r="AA609" s="899"/>
      <c r="AB609" s="899"/>
      <c r="AC609" s="899"/>
      <c r="AD609" s="899"/>
      <c r="AE609" s="899"/>
    </row>
    <row r="610">
      <c r="A610" s="944"/>
      <c r="B610" s="945"/>
      <c r="C610" s="945"/>
      <c r="D610" s="945"/>
      <c r="E610" s="945"/>
      <c r="F610" s="945"/>
      <c r="G610" s="945"/>
      <c r="H610" s="945"/>
      <c r="I610" s="945"/>
      <c r="J610" s="945"/>
      <c r="K610" s="945"/>
      <c r="L610" s="945"/>
      <c r="M610" s="945"/>
      <c r="N610" s="899"/>
      <c r="O610" s="899"/>
      <c r="P610" s="899"/>
      <c r="Q610" s="899"/>
      <c r="R610" s="899"/>
      <c r="S610" s="899"/>
      <c r="T610" s="899"/>
      <c r="U610" s="899"/>
      <c r="V610" s="899"/>
      <c r="W610" s="899"/>
      <c r="X610" s="899"/>
      <c r="Y610" s="899"/>
      <c r="Z610" s="899"/>
      <c r="AA610" s="899"/>
      <c r="AB610" s="899"/>
      <c r="AC610" s="899"/>
      <c r="AD610" s="899"/>
      <c r="AE610" s="899"/>
    </row>
    <row r="611">
      <c r="A611" s="944"/>
      <c r="B611" s="945"/>
      <c r="C611" s="945"/>
      <c r="D611" s="945"/>
      <c r="E611" s="945"/>
      <c r="F611" s="945"/>
      <c r="G611" s="945"/>
      <c r="H611" s="945"/>
      <c r="I611" s="945"/>
      <c r="J611" s="945"/>
      <c r="K611" s="945"/>
      <c r="L611" s="945"/>
      <c r="M611" s="945"/>
      <c r="N611" s="899"/>
      <c r="O611" s="899"/>
      <c r="P611" s="899"/>
      <c r="Q611" s="899"/>
      <c r="R611" s="899"/>
      <c r="S611" s="899"/>
      <c r="T611" s="899"/>
      <c r="U611" s="899"/>
      <c r="V611" s="899"/>
      <c r="W611" s="899"/>
      <c r="X611" s="899"/>
      <c r="Y611" s="899"/>
      <c r="Z611" s="899"/>
      <c r="AA611" s="899"/>
      <c r="AB611" s="899"/>
      <c r="AC611" s="899"/>
      <c r="AD611" s="899"/>
      <c r="AE611" s="899"/>
    </row>
    <row r="612">
      <c r="A612" s="944"/>
      <c r="B612" s="945"/>
      <c r="C612" s="945"/>
      <c r="D612" s="945"/>
      <c r="E612" s="945"/>
      <c r="F612" s="945"/>
      <c r="G612" s="945"/>
      <c r="H612" s="945"/>
      <c r="I612" s="945"/>
      <c r="J612" s="945"/>
      <c r="K612" s="945"/>
      <c r="L612" s="945"/>
      <c r="M612" s="945"/>
      <c r="N612" s="899"/>
      <c r="O612" s="899"/>
      <c r="P612" s="899"/>
      <c r="Q612" s="899"/>
      <c r="R612" s="899"/>
      <c r="S612" s="899"/>
      <c r="T612" s="899"/>
      <c r="U612" s="899"/>
      <c r="V612" s="899"/>
      <c r="W612" s="899"/>
      <c r="X612" s="899"/>
      <c r="Y612" s="899"/>
      <c r="Z612" s="899"/>
      <c r="AA612" s="899"/>
      <c r="AB612" s="899"/>
      <c r="AC612" s="899"/>
      <c r="AD612" s="899"/>
      <c r="AE612" s="899"/>
    </row>
    <row r="613">
      <c r="A613" s="944"/>
      <c r="B613" s="945"/>
      <c r="C613" s="945"/>
      <c r="D613" s="945"/>
      <c r="E613" s="945"/>
      <c r="F613" s="945"/>
      <c r="G613" s="945"/>
      <c r="H613" s="945"/>
      <c r="I613" s="945"/>
      <c r="J613" s="945"/>
      <c r="K613" s="945"/>
      <c r="L613" s="945"/>
      <c r="M613" s="945"/>
      <c r="N613" s="899"/>
      <c r="O613" s="899"/>
      <c r="P613" s="899"/>
      <c r="Q613" s="899"/>
      <c r="R613" s="899"/>
      <c r="S613" s="899"/>
      <c r="T613" s="899"/>
      <c r="U613" s="899"/>
      <c r="V613" s="899"/>
      <c r="W613" s="899"/>
      <c r="X613" s="899"/>
      <c r="Y613" s="899"/>
      <c r="Z613" s="899"/>
      <c r="AA613" s="899"/>
      <c r="AB613" s="899"/>
      <c r="AC613" s="899"/>
      <c r="AD613" s="899"/>
      <c r="AE613" s="899"/>
    </row>
    <row r="614">
      <c r="A614" s="944"/>
      <c r="B614" s="945"/>
      <c r="C614" s="945"/>
      <c r="D614" s="945"/>
      <c r="E614" s="945"/>
      <c r="F614" s="945"/>
      <c r="G614" s="945"/>
      <c r="H614" s="945"/>
      <c r="I614" s="945"/>
      <c r="J614" s="945"/>
      <c r="K614" s="945"/>
      <c r="L614" s="945"/>
      <c r="M614" s="945"/>
      <c r="N614" s="899"/>
      <c r="O614" s="899"/>
      <c r="P614" s="899"/>
      <c r="Q614" s="899"/>
      <c r="R614" s="899"/>
      <c r="S614" s="899"/>
      <c r="T614" s="899"/>
      <c r="U614" s="899"/>
      <c r="V614" s="899"/>
      <c r="W614" s="899"/>
      <c r="X614" s="899"/>
      <c r="Y614" s="899"/>
      <c r="Z614" s="899"/>
      <c r="AA614" s="899"/>
      <c r="AB614" s="899"/>
      <c r="AC614" s="899"/>
      <c r="AD614" s="899"/>
      <c r="AE614" s="899"/>
    </row>
    <row r="615">
      <c r="A615" s="944"/>
      <c r="B615" s="945"/>
      <c r="C615" s="945"/>
      <c r="D615" s="945"/>
      <c r="E615" s="945"/>
      <c r="F615" s="945"/>
      <c r="G615" s="945"/>
      <c r="H615" s="945"/>
      <c r="I615" s="945"/>
      <c r="J615" s="945"/>
      <c r="K615" s="945"/>
      <c r="L615" s="945"/>
      <c r="M615" s="945"/>
      <c r="N615" s="899"/>
      <c r="O615" s="899"/>
      <c r="P615" s="899"/>
      <c r="Q615" s="899"/>
      <c r="R615" s="899"/>
      <c r="S615" s="899"/>
      <c r="T615" s="899"/>
      <c r="U615" s="899"/>
      <c r="V615" s="899"/>
      <c r="W615" s="899"/>
      <c r="X615" s="899"/>
      <c r="Y615" s="899"/>
      <c r="Z615" s="899"/>
      <c r="AA615" s="899"/>
      <c r="AB615" s="899"/>
      <c r="AC615" s="899"/>
      <c r="AD615" s="899"/>
      <c r="AE615" s="899"/>
    </row>
    <row r="616">
      <c r="A616" s="944"/>
      <c r="B616" s="945"/>
      <c r="C616" s="945"/>
      <c r="D616" s="945"/>
      <c r="E616" s="945"/>
      <c r="F616" s="945"/>
      <c r="G616" s="945"/>
      <c r="H616" s="945"/>
      <c r="I616" s="945"/>
      <c r="J616" s="945"/>
      <c r="K616" s="945"/>
      <c r="L616" s="945"/>
      <c r="M616" s="945"/>
      <c r="N616" s="899"/>
      <c r="O616" s="899"/>
      <c r="P616" s="899"/>
      <c r="Q616" s="899"/>
      <c r="R616" s="899"/>
      <c r="S616" s="899"/>
      <c r="T616" s="899"/>
      <c r="U616" s="899"/>
      <c r="V616" s="899"/>
      <c r="W616" s="899"/>
      <c r="X616" s="899"/>
      <c r="Y616" s="899"/>
      <c r="Z616" s="899"/>
      <c r="AA616" s="899"/>
      <c r="AB616" s="899"/>
      <c r="AC616" s="899"/>
      <c r="AD616" s="899"/>
      <c r="AE616" s="899"/>
    </row>
    <row r="617">
      <c r="A617" s="944"/>
      <c r="B617" s="945"/>
      <c r="C617" s="945"/>
      <c r="D617" s="945"/>
      <c r="E617" s="945"/>
      <c r="F617" s="945"/>
      <c r="G617" s="945"/>
      <c r="H617" s="945"/>
      <c r="I617" s="945"/>
      <c r="J617" s="945"/>
      <c r="K617" s="945"/>
      <c r="L617" s="945"/>
      <c r="M617" s="945"/>
      <c r="N617" s="899"/>
      <c r="O617" s="899"/>
      <c r="P617" s="899"/>
      <c r="Q617" s="899"/>
      <c r="R617" s="899"/>
      <c r="S617" s="899"/>
      <c r="T617" s="899"/>
      <c r="U617" s="899"/>
      <c r="V617" s="899"/>
      <c r="W617" s="899"/>
      <c r="X617" s="899"/>
      <c r="Y617" s="899"/>
      <c r="Z617" s="899"/>
      <c r="AA617" s="899"/>
      <c r="AB617" s="899"/>
      <c r="AC617" s="899"/>
      <c r="AD617" s="899"/>
      <c r="AE617" s="899"/>
    </row>
    <row r="618">
      <c r="A618" s="944"/>
      <c r="B618" s="945"/>
      <c r="C618" s="945"/>
      <c r="D618" s="945"/>
      <c r="E618" s="945"/>
      <c r="F618" s="945"/>
      <c r="G618" s="945"/>
      <c r="H618" s="945"/>
      <c r="I618" s="945"/>
      <c r="J618" s="945"/>
      <c r="K618" s="945"/>
      <c r="L618" s="945"/>
      <c r="M618" s="945"/>
      <c r="N618" s="899"/>
      <c r="O618" s="899"/>
      <c r="P618" s="899"/>
      <c r="Q618" s="899"/>
      <c r="R618" s="899"/>
      <c r="S618" s="899"/>
      <c r="T618" s="899"/>
      <c r="U618" s="899"/>
      <c r="V618" s="899"/>
      <c r="W618" s="899"/>
      <c r="X618" s="899"/>
      <c r="Y618" s="899"/>
      <c r="Z618" s="899"/>
      <c r="AA618" s="899"/>
      <c r="AB618" s="899"/>
      <c r="AC618" s="899"/>
      <c r="AD618" s="899"/>
      <c r="AE618" s="899"/>
    </row>
    <row r="619">
      <c r="A619" s="944"/>
      <c r="B619" s="945"/>
      <c r="C619" s="945"/>
      <c r="D619" s="945"/>
      <c r="E619" s="945"/>
      <c r="F619" s="945"/>
      <c r="G619" s="945"/>
      <c r="H619" s="945"/>
      <c r="I619" s="945"/>
      <c r="J619" s="945"/>
      <c r="K619" s="945"/>
      <c r="L619" s="945"/>
      <c r="M619" s="945"/>
      <c r="N619" s="899"/>
      <c r="O619" s="899"/>
      <c r="P619" s="899"/>
      <c r="Q619" s="899"/>
      <c r="R619" s="899"/>
      <c r="S619" s="899"/>
      <c r="T619" s="899"/>
      <c r="U619" s="899"/>
      <c r="V619" s="899"/>
      <c r="W619" s="899"/>
      <c r="X619" s="899"/>
      <c r="Y619" s="899"/>
      <c r="Z619" s="899"/>
      <c r="AA619" s="899"/>
      <c r="AB619" s="899"/>
      <c r="AC619" s="899"/>
      <c r="AD619" s="899"/>
      <c r="AE619" s="899"/>
    </row>
    <row r="620">
      <c r="A620" s="944"/>
      <c r="B620" s="945"/>
      <c r="C620" s="945"/>
      <c r="D620" s="945"/>
      <c r="E620" s="945"/>
      <c r="F620" s="945"/>
      <c r="G620" s="945"/>
      <c r="H620" s="945"/>
      <c r="I620" s="945"/>
      <c r="J620" s="945"/>
      <c r="K620" s="945"/>
      <c r="L620" s="945"/>
      <c r="M620" s="945"/>
      <c r="N620" s="899"/>
      <c r="O620" s="899"/>
      <c r="P620" s="899"/>
      <c r="Q620" s="899"/>
      <c r="R620" s="899"/>
      <c r="S620" s="899"/>
      <c r="T620" s="899"/>
      <c r="U620" s="899"/>
      <c r="V620" s="899"/>
      <c r="W620" s="899"/>
      <c r="X620" s="899"/>
      <c r="Y620" s="899"/>
      <c r="Z620" s="899"/>
      <c r="AA620" s="899"/>
      <c r="AB620" s="899"/>
      <c r="AC620" s="899"/>
      <c r="AD620" s="899"/>
      <c r="AE620" s="899"/>
    </row>
    <row r="621">
      <c r="A621" s="944"/>
      <c r="B621" s="945"/>
      <c r="C621" s="945"/>
      <c r="D621" s="945"/>
      <c r="E621" s="945"/>
      <c r="F621" s="945"/>
      <c r="G621" s="945"/>
      <c r="H621" s="945"/>
      <c r="I621" s="945"/>
      <c r="J621" s="945"/>
      <c r="K621" s="945"/>
      <c r="L621" s="945"/>
      <c r="M621" s="945"/>
      <c r="N621" s="899"/>
      <c r="O621" s="899"/>
      <c r="P621" s="899"/>
      <c r="Q621" s="899"/>
      <c r="R621" s="899"/>
      <c r="S621" s="899"/>
      <c r="T621" s="899"/>
      <c r="U621" s="899"/>
      <c r="V621" s="899"/>
      <c r="W621" s="899"/>
      <c r="X621" s="899"/>
      <c r="Y621" s="899"/>
      <c r="Z621" s="899"/>
      <c r="AA621" s="899"/>
      <c r="AB621" s="899"/>
      <c r="AC621" s="899"/>
      <c r="AD621" s="899"/>
      <c r="AE621" s="899"/>
    </row>
    <row r="622">
      <c r="A622" s="944"/>
      <c r="B622" s="945"/>
      <c r="C622" s="945"/>
      <c r="D622" s="945"/>
      <c r="E622" s="945"/>
      <c r="F622" s="945"/>
      <c r="G622" s="945"/>
      <c r="H622" s="945"/>
      <c r="I622" s="945"/>
      <c r="J622" s="945"/>
      <c r="K622" s="945"/>
      <c r="L622" s="945"/>
      <c r="M622" s="945"/>
      <c r="N622" s="899"/>
      <c r="O622" s="899"/>
      <c r="P622" s="899"/>
      <c r="Q622" s="899"/>
      <c r="R622" s="899"/>
      <c r="S622" s="899"/>
      <c r="T622" s="899"/>
      <c r="U622" s="899"/>
      <c r="V622" s="899"/>
      <c r="W622" s="899"/>
      <c r="X622" s="899"/>
      <c r="Y622" s="899"/>
      <c r="Z622" s="899"/>
      <c r="AA622" s="899"/>
      <c r="AB622" s="899"/>
      <c r="AC622" s="899"/>
      <c r="AD622" s="899"/>
      <c r="AE622" s="899"/>
    </row>
    <row r="623">
      <c r="A623" s="944"/>
      <c r="B623" s="945"/>
      <c r="C623" s="945"/>
      <c r="D623" s="945"/>
      <c r="E623" s="945"/>
      <c r="F623" s="945"/>
      <c r="G623" s="945"/>
      <c r="H623" s="945"/>
      <c r="I623" s="945"/>
      <c r="J623" s="945"/>
      <c r="K623" s="945"/>
      <c r="L623" s="945"/>
      <c r="M623" s="945"/>
      <c r="N623" s="899"/>
      <c r="O623" s="899"/>
      <c r="P623" s="899"/>
      <c r="Q623" s="899"/>
      <c r="R623" s="899"/>
      <c r="S623" s="899"/>
      <c r="T623" s="899"/>
      <c r="U623" s="899"/>
      <c r="V623" s="899"/>
      <c r="W623" s="899"/>
      <c r="X623" s="899"/>
      <c r="Y623" s="899"/>
      <c r="Z623" s="899"/>
      <c r="AA623" s="899"/>
      <c r="AB623" s="899"/>
      <c r="AC623" s="899"/>
      <c r="AD623" s="899"/>
      <c r="AE623" s="899"/>
    </row>
    <row r="624">
      <c r="A624" s="944"/>
      <c r="B624" s="945"/>
      <c r="C624" s="945"/>
      <c r="D624" s="945"/>
      <c r="E624" s="945"/>
      <c r="F624" s="945"/>
      <c r="G624" s="945"/>
      <c r="H624" s="945"/>
      <c r="I624" s="945"/>
      <c r="J624" s="945"/>
      <c r="K624" s="945"/>
      <c r="L624" s="945"/>
      <c r="M624" s="945"/>
      <c r="N624" s="899"/>
      <c r="O624" s="899"/>
      <c r="P624" s="899"/>
      <c r="Q624" s="899"/>
      <c r="R624" s="899"/>
      <c r="S624" s="899"/>
      <c r="T624" s="899"/>
      <c r="U624" s="899"/>
      <c r="V624" s="899"/>
      <c r="W624" s="899"/>
      <c r="X624" s="899"/>
      <c r="Y624" s="899"/>
      <c r="Z624" s="899"/>
      <c r="AA624" s="899"/>
      <c r="AB624" s="899"/>
      <c r="AC624" s="899"/>
      <c r="AD624" s="899"/>
      <c r="AE624" s="899"/>
    </row>
    <row r="625">
      <c r="A625" s="944"/>
      <c r="B625" s="945"/>
      <c r="C625" s="945"/>
      <c r="D625" s="945"/>
      <c r="E625" s="945"/>
      <c r="F625" s="945"/>
      <c r="G625" s="945"/>
      <c r="H625" s="945"/>
      <c r="I625" s="945"/>
      <c r="J625" s="945"/>
      <c r="K625" s="945"/>
      <c r="L625" s="945"/>
      <c r="M625" s="945"/>
      <c r="N625" s="899"/>
      <c r="O625" s="899"/>
      <c r="P625" s="899"/>
      <c r="Q625" s="899"/>
      <c r="R625" s="899"/>
      <c r="S625" s="899"/>
      <c r="T625" s="899"/>
      <c r="U625" s="899"/>
      <c r="V625" s="899"/>
      <c r="W625" s="899"/>
      <c r="X625" s="899"/>
      <c r="Y625" s="899"/>
      <c r="Z625" s="899"/>
      <c r="AA625" s="899"/>
      <c r="AB625" s="899"/>
      <c r="AC625" s="899"/>
      <c r="AD625" s="899"/>
      <c r="AE625" s="899"/>
    </row>
    <row r="626">
      <c r="A626" s="944"/>
      <c r="B626" s="945"/>
      <c r="C626" s="945"/>
      <c r="D626" s="945"/>
      <c r="E626" s="945"/>
      <c r="F626" s="945"/>
      <c r="G626" s="945"/>
      <c r="H626" s="945"/>
      <c r="I626" s="945"/>
      <c r="J626" s="945"/>
      <c r="K626" s="945"/>
      <c r="L626" s="945"/>
      <c r="M626" s="945"/>
      <c r="N626" s="899"/>
      <c r="O626" s="899"/>
      <c r="P626" s="899"/>
      <c r="Q626" s="899"/>
      <c r="R626" s="899"/>
      <c r="S626" s="899"/>
      <c r="T626" s="899"/>
      <c r="U626" s="899"/>
      <c r="V626" s="899"/>
      <c r="W626" s="899"/>
      <c r="X626" s="899"/>
      <c r="Y626" s="899"/>
      <c r="Z626" s="899"/>
      <c r="AA626" s="899"/>
      <c r="AB626" s="899"/>
      <c r="AC626" s="899"/>
      <c r="AD626" s="899"/>
      <c r="AE626" s="899"/>
    </row>
    <row r="627">
      <c r="A627" s="944"/>
      <c r="B627" s="945"/>
      <c r="C627" s="945"/>
      <c r="D627" s="945"/>
      <c r="E627" s="945"/>
      <c r="F627" s="945"/>
      <c r="G627" s="945"/>
      <c r="H627" s="945"/>
      <c r="I627" s="945"/>
      <c r="J627" s="945"/>
      <c r="K627" s="945"/>
      <c r="L627" s="945"/>
      <c r="M627" s="945"/>
      <c r="N627" s="899"/>
      <c r="O627" s="899"/>
      <c r="P627" s="899"/>
      <c r="Q627" s="899"/>
      <c r="R627" s="899"/>
      <c r="S627" s="899"/>
      <c r="T627" s="899"/>
      <c r="U627" s="899"/>
      <c r="V627" s="899"/>
      <c r="W627" s="899"/>
      <c r="X627" s="899"/>
      <c r="Y627" s="899"/>
      <c r="Z627" s="899"/>
      <c r="AA627" s="899"/>
      <c r="AB627" s="899"/>
      <c r="AC627" s="899"/>
      <c r="AD627" s="899"/>
      <c r="AE627" s="899"/>
    </row>
    <row r="628">
      <c r="A628" s="944"/>
      <c r="B628" s="945"/>
      <c r="C628" s="945"/>
      <c r="D628" s="945"/>
      <c r="E628" s="945"/>
      <c r="F628" s="945"/>
      <c r="G628" s="945"/>
      <c r="H628" s="945"/>
      <c r="I628" s="945"/>
      <c r="J628" s="945"/>
      <c r="K628" s="945"/>
      <c r="L628" s="945"/>
      <c r="M628" s="945"/>
      <c r="N628" s="899"/>
      <c r="O628" s="899"/>
      <c r="P628" s="899"/>
      <c r="Q628" s="899"/>
      <c r="R628" s="899"/>
      <c r="S628" s="899"/>
      <c r="T628" s="899"/>
      <c r="U628" s="899"/>
      <c r="V628" s="899"/>
      <c r="W628" s="899"/>
      <c r="X628" s="899"/>
      <c r="Y628" s="899"/>
      <c r="Z628" s="899"/>
      <c r="AA628" s="899"/>
      <c r="AB628" s="899"/>
      <c r="AC628" s="899"/>
      <c r="AD628" s="899"/>
      <c r="AE628" s="899"/>
    </row>
    <row r="629">
      <c r="A629" s="944"/>
      <c r="B629" s="945"/>
      <c r="C629" s="945"/>
      <c r="D629" s="945"/>
      <c r="E629" s="945"/>
      <c r="F629" s="945"/>
      <c r="G629" s="945"/>
      <c r="H629" s="945"/>
      <c r="I629" s="945"/>
      <c r="J629" s="945"/>
      <c r="K629" s="945"/>
      <c r="L629" s="945"/>
      <c r="M629" s="945"/>
      <c r="N629" s="899"/>
      <c r="O629" s="899"/>
      <c r="P629" s="899"/>
      <c r="Q629" s="899"/>
      <c r="R629" s="899"/>
      <c r="S629" s="899"/>
      <c r="T629" s="899"/>
      <c r="U629" s="899"/>
      <c r="V629" s="899"/>
      <c r="W629" s="899"/>
      <c r="X629" s="899"/>
      <c r="Y629" s="899"/>
      <c r="Z629" s="899"/>
      <c r="AA629" s="899"/>
      <c r="AB629" s="899"/>
      <c r="AC629" s="899"/>
      <c r="AD629" s="899"/>
      <c r="AE629" s="899"/>
    </row>
    <row r="630">
      <c r="A630" s="944"/>
      <c r="B630" s="945"/>
      <c r="C630" s="945"/>
      <c r="D630" s="945"/>
      <c r="E630" s="945"/>
      <c r="F630" s="945"/>
      <c r="G630" s="945"/>
      <c r="H630" s="945"/>
      <c r="I630" s="945"/>
      <c r="J630" s="945"/>
      <c r="K630" s="945"/>
      <c r="L630" s="945"/>
      <c r="M630" s="945"/>
      <c r="N630" s="899"/>
      <c r="O630" s="899"/>
      <c r="P630" s="899"/>
      <c r="Q630" s="899"/>
      <c r="R630" s="899"/>
      <c r="S630" s="899"/>
      <c r="T630" s="899"/>
      <c r="U630" s="899"/>
      <c r="V630" s="899"/>
      <c r="W630" s="899"/>
      <c r="X630" s="899"/>
      <c r="Y630" s="899"/>
      <c r="Z630" s="899"/>
      <c r="AA630" s="899"/>
      <c r="AB630" s="899"/>
      <c r="AC630" s="899"/>
      <c r="AD630" s="899"/>
      <c r="AE630" s="899"/>
    </row>
    <row r="631">
      <c r="A631" s="944"/>
      <c r="B631" s="945"/>
      <c r="C631" s="945"/>
      <c r="D631" s="945"/>
      <c r="E631" s="945"/>
      <c r="F631" s="945"/>
      <c r="G631" s="945"/>
      <c r="H631" s="945"/>
      <c r="I631" s="945"/>
      <c r="J631" s="945"/>
      <c r="K631" s="945"/>
      <c r="L631" s="945"/>
      <c r="M631" s="945"/>
      <c r="N631" s="899"/>
      <c r="O631" s="899"/>
      <c r="P631" s="899"/>
      <c r="Q631" s="899"/>
      <c r="R631" s="899"/>
      <c r="S631" s="899"/>
      <c r="T631" s="899"/>
      <c r="U631" s="899"/>
      <c r="V631" s="899"/>
      <c r="W631" s="899"/>
      <c r="X631" s="899"/>
      <c r="Y631" s="899"/>
      <c r="Z631" s="899"/>
      <c r="AA631" s="899"/>
      <c r="AB631" s="899"/>
      <c r="AC631" s="899"/>
      <c r="AD631" s="899"/>
      <c r="AE631" s="899"/>
    </row>
    <row r="632">
      <c r="A632" s="944"/>
      <c r="B632" s="945"/>
      <c r="C632" s="945"/>
      <c r="D632" s="945"/>
      <c r="E632" s="945"/>
      <c r="F632" s="945"/>
      <c r="G632" s="945"/>
      <c r="H632" s="945"/>
      <c r="I632" s="945"/>
      <c r="J632" s="945"/>
      <c r="K632" s="945"/>
      <c r="L632" s="945"/>
      <c r="M632" s="945"/>
      <c r="N632" s="899"/>
      <c r="O632" s="899"/>
      <c r="P632" s="899"/>
      <c r="Q632" s="899"/>
      <c r="R632" s="899"/>
      <c r="S632" s="899"/>
      <c r="T632" s="899"/>
      <c r="U632" s="899"/>
      <c r="V632" s="899"/>
      <c r="W632" s="899"/>
      <c r="X632" s="899"/>
      <c r="Y632" s="899"/>
      <c r="Z632" s="899"/>
      <c r="AA632" s="899"/>
      <c r="AB632" s="899"/>
      <c r="AC632" s="899"/>
      <c r="AD632" s="899"/>
      <c r="AE632" s="899"/>
    </row>
    <row r="633">
      <c r="A633" s="944"/>
      <c r="B633" s="945"/>
      <c r="C633" s="945"/>
      <c r="D633" s="945"/>
      <c r="E633" s="945"/>
      <c r="F633" s="945"/>
      <c r="G633" s="945"/>
      <c r="H633" s="945"/>
      <c r="I633" s="945"/>
      <c r="J633" s="945"/>
      <c r="K633" s="945"/>
      <c r="L633" s="945"/>
      <c r="M633" s="945"/>
      <c r="N633" s="899"/>
      <c r="O633" s="899"/>
      <c r="P633" s="899"/>
      <c r="Q633" s="899"/>
      <c r="R633" s="899"/>
      <c r="S633" s="899"/>
      <c r="T633" s="899"/>
      <c r="U633" s="899"/>
      <c r="V633" s="899"/>
      <c r="W633" s="899"/>
      <c r="X633" s="899"/>
      <c r="Y633" s="899"/>
      <c r="Z633" s="899"/>
      <c r="AA633" s="899"/>
      <c r="AB633" s="899"/>
      <c r="AC633" s="899"/>
      <c r="AD633" s="899"/>
      <c r="AE633" s="899"/>
    </row>
    <row r="634">
      <c r="A634" s="944"/>
      <c r="B634" s="945"/>
      <c r="C634" s="945"/>
      <c r="D634" s="945"/>
      <c r="E634" s="945"/>
      <c r="F634" s="945"/>
      <c r="G634" s="945"/>
      <c r="H634" s="945"/>
      <c r="I634" s="945"/>
      <c r="J634" s="945"/>
      <c r="K634" s="945"/>
      <c r="L634" s="945"/>
      <c r="M634" s="945"/>
      <c r="N634" s="899"/>
      <c r="O634" s="899"/>
      <c r="P634" s="899"/>
      <c r="Q634" s="899"/>
      <c r="R634" s="899"/>
      <c r="S634" s="899"/>
      <c r="T634" s="899"/>
      <c r="U634" s="899"/>
      <c r="V634" s="899"/>
      <c r="W634" s="899"/>
      <c r="X634" s="899"/>
      <c r="Y634" s="899"/>
      <c r="Z634" s="899"/>
      <c r="AA634" s="899"/>
      <c r="AB634" s="899"/>
      <c r="AC634" s="899"/>
      <c r="AD634" s="899"/>
      <c r="AE634" s="899"/>
    </row>
    <row r="635">
      <c r="A635" s="944"/>
      <c r="B635" s="945"/>
      <c r="C635" s="945"/>
      <c r="D635" s="945"/>
      <c r="E635" s="945"/>
      <c r="F635" s="945"/>
      <c r="G635" s="945"/>
      <c r="H635" s="945"/>
      <c r="I635" s="945"/>
      <c r="J635" s="945"/>
      <c r="K635" s="945"/>
      <c r="L635" s="945"/>
      <c r="M635" s="945"/>
      <c r="N635" s="899"/>
      <c r="O635" s="899"/>
      <c r="P635" s="899"/>
      <c r="Q635" s="899"/>
      <c r="R635" s="899"/>
      <c r="S635" s="899"/>
      <c r="T635" s="899"/>
      <c r="U635" s="899"/>
      <c r="V635" s="899"/>
      <c r="W635" s="899"/>
      <c r="X635" s="899"/>
      <c r="Y635" s="899"/>
      <c r="Z635" s="899"/>
      <c r="AA635" s="899"/>
      <c r="AB635" s="899"/>
      <c r="AC635" s="899"/>
      <c r="AD635" s="899"/>
      <c r="AE635" s="899"/>
    </row>
    <row r="636">
      <c r="A636" s="944"/>
      <c r="B636" s="945"/>
      <c r="C636" s="945"/>
      <c r="D636" s="945"/>
      <c r="E636" s="945"/>
      <c r="F636" s="945"/>
      <c r="G636" s="945"/>
      <c r="H636" s="945"/>
      <c r="I636" s="945"/>
      <c r="J636" s="945"/>
      <c r="K636" s="945"/>
      <c r="L636" s="945"/>
      <c r="M636" s="945"/>
      <c r="N636" s="899"/>
      <c r="O636" s="899"/>
      <c r="P636" s="899"/>
      <c r="Q636" s="899"/>
      <c r="R636" s="899"/>
      <c r="S636" s="899"/>
      <c r="T636" s="899"/>
      <c r="U636" s="899"/>
      <c r="V636" s="899"/>
      <c r="W636" s="899"/>
      <c r="X636" s="899"/>
      <c r="Y636" s="899"/>
      <c r="Z636" s="899"/>
      <c r="AA636" s="899"/>
      <c r="AB636" s="899"/>
      <c r="AC636" s="899"/>
      <c r="AD636" s="899"/>
      <c r="AE636" s="899"/>
    </row>
    <row r="637">
      <c r="A637" s="944"/>
      <c r="B637" s="945"/>
      <c r="C637" s="945"/>
      <c r="D637" s="945"/>
      <c r="E637" s="945"/>
      <c r="F637" s="945"/>
      <c r="G637" s="945"/>
      <c r="H637" s="945"/>
      <c r="I637" s="945"/>
      <c r="J637" s="945"/>
      <c r="K637" s="945"/>
      <c r="L637" s="945"/>
      <c r="M637" s="945"/>
      <c r="N637" s="899"/>
      <c r="O637" s="899"/>
      <c r="P637" s="899"/>
      <c r="Q637" s="899"/>
      <c r="R637" s="899"/>
      <c r="S637" s="899"/>
      <c r="T637" s="899"/>
      <c r="U637" s="899"/>
      <c r="V637" s="899"/>
      <c r="W637" s="899"/>
      <c r="X637" s="899"/>
      <c r="Y637" s="899"/>
      <c r="Z637" s="899"/>
      <c r="AA637" s="899"/>
      <c r="AB637" s="899"/>
      <c r="AC637" s="899"/>
      <c r="AD637" s="899"/>
      <c r="AE637" s="899"/>
    </row>
    <row r="638">
      <c r="A638" s="944"/>
      <c r="B638" s="945"/>
      <c r="C638" s="945"/>
      <c r="D638" s="945"/>
      <c r="E638" s="945"/>
      <c r="F638" s="945"/>
      <c r="G638" s="945"/>
      <c r="H638" s="945"/>
      <c r="I638" s="945"/>
      <c r="J638" s="945"/>
      <c r="K638" s="945"/>
      <c r="L638" s="945"/>
      <c r="M638" s="945"/>
      <c r="N638" s="899"/>
      <c r="O638" s="899"/>
      <c r="P638" s="899"/>
      <c r="Q638" s="899"/>
      <c r="R638" s="899"/>
      <c r="S638" s="899"/>
      <c r="T638" s="899"/>
      <c r="U638" s="899"/>
      <c r="V638" s="899"/>
      <c r="W638" s="899"/>
      <c r="X638" s="899"/>
      <c r="Y638" s="899"/>
      <c r="Z638" s="899"/>
      <c r="AA638" s="899"/>
      <c r="AB638" s="899"/>
      <c r="AC638" s="899"/>
      <c r="AD638" s="899"/>
      <c r="AE638" s="899"/>
    </row>
    <row r="639">
      <c r="A639" s="944"/>
      <c r="B639" s="945"/>
      <c r="C639" s="945"/>
      <c r="D639" s="945"/>
      <c r="E639" s="945"/>
      <c r="F639" s="945"/>
      <c r="G639" s="945"/>
      <c r="H639" s="945"/>
      <c r="I639" s="945"/>
      <c r="J639" s="945"/>
      <c r="K639" s="945"/>
      <c r="L639" s="945"/>
      <c r="M639" s="945"/>
      <c r="N639" s="899"/>
      <c r="O639" s="899"/>
      <c r="P639" s="899"/>
      <c r="Q639" s="899"/>
      <c r="R639" s="899"/>
      <c r="S639" s="899"/>
      <c r="T639" s="899"/>
      <c r="U639" s="899"/>
      <c r="V639" s="899"/>
      <c r="W639" s="899"/>
      <c r="X639" s="899"/>
      <c r="Y639" s="899"/>
      <c r="Z639" s="899"/>
      <c r="AA639" s="899"/>
      <c r="AB639" s="899"/>
      <c r="AC639" s="899"/>
      <c r="AD639" s="899"/>
      <c r="AE639" s="899"/>
    </row>
    <row r="640">
      <c r="A640" s="944"/>
      <c r="B640" s="945"/>
      <c r="C640" s="945"/>
      <c r="D640" s="945"/>
      <c r="E640" s="945"/>
      <c r="F640" s="945"/>
      <c r="G640" s="945"/>
      <c r="H640" s="945"/>
      <c r="I640" s="945"/>
      <c r="J640" s="945"/>
      <c r="K640" s="945"/>
      <c r="L640" s="945"/>
      <c r="M640" s="945"/>
      <c r="N640" s="899"/>
      <c r="O640" s="899"/>
      <c r="P640" s="899"/>
      <c r="Q640" s="899"/>
      <c r="R640" s="899"/>
      <c r="S640" s="899"/>
      <c r="T640" s="899"/>
      <c r="U640" s="899"/>
      <c r="V640" s="899"/>
      <c r="W640" s="899"/>
      <c r="X640" s="899"/>
      <c r="Y640" s="899"/>
      <c r="Z640" s="899"/>
      <c r="AA640" s="899"/>
      <c r="AB640" s="899"/>
      <c r="AC640" s="899"/>
      <c r="AD640" s="899"/>
      <c r="AE640" s="899"/>
    </row>
    <row r="641">
      <c r="A641" s="944"/>
      <c r="B641" s="945"/>
      <c r="C641" s="945"/>
      <c r="D641" s="945"/>
      <c r="E641" s="945"/>
      <c r="F641" s="945"/>
      <c r="G641" s="945"/>
      <c r="H641" s="945"/>
      <c r="I641" s="945"/>
      <c r="J641" s="945"/>
      <c r="K641" s="945"/>
      <c r="L641" s="945"/>
      <c r="M641" s="945"/>
      <c r="N641" s="899"/>
      <c r="O641" s="899"/>
      <c r="P641" s="899"/>
      <c r="Q641" s="899"/>
      <c r="R641" s="899"/>
      <c r="S641" s="899"/>
      <c r="T641" s="899"/>
      <c r="U641" s="899"/>
      <c r="V641" s="899"/>
      <c r="W641" s="899"/>
      <c r="X641" s="899"/>
      <c r="Y641" s="899"/>
      <c r="Z641" s="899"/>
      <c r="AA641" s="899"/>
      <c r="AB641" s="899"/>
      <c r="AC641" s="899"/>
      <c r="AD641" s="899"/>
      <c r="AE641" s="899"/>
    </row>
    <row r="642">
      <c r="A642" s="944"/>
      <c r="B642" s="945"/>
      <c r="C642" s="945"/>
      <c r="D642" s="945"/>
      <c r="E642" s="945"/>
      <c r="F642" s="945"/>
      <c r="G642" s="945"/>
      <c r="H642" s="945"/>
      <c r="I642" s="945"/>
      <c r="J642" s="945"/>
      <c r="K642" s="945"/>
      <c r="L642" s="945"/>
      <c r="M642" s="945"/>
      <c r="N642" s="899"/>
      <c r="O642" s="899"/>
      <c r="P642" s="899"/>
      <c r="Q642" s="899"/>
      <c r="R642" s="899"/>
      <c r="S642" s="899"/>
      <c r="T642" s="899"/>
      <c r="U642" s="899"/>
      <c r="V642" s="899"/>
      <c r="W642" s="899"/>
      <c r="X642" s="899"/>
      <c r="Y642" s="899"/>
      <c r="Z642" s="899"/>
      <c r="AA642" s="899"/>
      <c r="AB642" s="899"/>
      <c r="AC642" s="899"/>
      <c r="AD642" s="899"/>
      <c r="AE642" s="899"/>
    </row>
    <row r="643">
      <c r="A643" s="944"/>
      <c r="B643" s="945"/>
      <c r="C643" s="945"/>
      <c r="D643" s="945"/>
      <c r="E643" s="945"/>
      <c r="F643" s="945"/>
      <c r="G643" s="945"/>
      <c r="H643" s="945"/>
      <c r="I643" s="945"/>
      <c r="J643" s="945"/>
      <c r="K643" s="945"/>
      <c r="L643" s="945"/>
      <c r="M643" s="945"/>
      <c r="N643" s="899"/>
      <c r="O643" s="899"/>
      <c r="P643" s="899"/>
      <c r="Q643" s="899"/>
      <c r="R643" s="899"/>
      <c r="S643" s="899"/>
      <c r="T643" s="899"/>
      <c r="U643" s="899"/>
      <c r="V643" s="899"/>
      <c r="W643" s="899"/>
      <c r="X643" s="899"/>
      <c r="Y643" s="899"/>
      <c r="Z643" s="899"/>
      <c r="AA643" s="899"/>
      <c r="AB643" s="899"/>
      <c r="AC643" s="899"/>
      <c r="AD643" s="899"/>
      <c r="AE643" s="899"/>
    </row>
    <row r="644">
      <c r="A644" s="944"/>
      <c r="B644" s="945"/>
      <c r="C644" s="945"/>
      <c r="D644" s="945"/>
      <c r="E644" s="945"/>
      <c r="F644" s="945"/>
      <c r="G644" s="945"/>
      <c r="H644" s="945"/>
      <c r="I644" s="945"/>
      <c r="J644" s="945"/>
      <c r="K644" s="945"/>
      <c r="L644" s="945"/>
      <c r="M644" s="945"/>
      <c r="N644" s="899"/>
      <c r="O644" s="899"/>
      <c r="P644" s="899"/>
      <c r="Q644" s="899"/>
      <c r="R644" s="899"/>
      <c r="S644" s="899"/>
      <c r="T644" s="899"/>
      <c r="U644" s="899"/>
      <c r="V644" s="899"/>
      <c r="W644" s="899"/>
      <c r="X644" s="899"/>
      <c r="Y644" s="899"/>
      <c r="Z644" s="899"/>
      <c r="AA644" s="899"/>
      <c r="AB644" s="899"/>
      <c r="AC644" s="899"/>
      <c r="AD644" s="899"/>
      <c r="AE644" s="899"/>
    </row>
    <row r="645">
      <c r="A645" s="944"/>
      <c r="B645" s="945"/>
      <c r="C645" s="945"/>
      <c r="D645" s="945"/>
      <c r="E645" s="945"/>
      <c r="F645" s="945"/>
      <c r="G645" s="945"/>
      <c r="H645" s="945"/>
      <c r="I645" s="945"/>
      <c r="J645" s="945"/>
      <c r="K645" s="945"/>
      <c r="L645" s="945"/>
      <c r="M645" s="945"/>
      <c r="N645" s="899"/>
      <c r="O645" s="899"/>
      <c r="P645" s="899"/>
      <c r="Q645" s="899"/>
      <c r="R645" s="899"/>
      <c r="S645" s="899"/>
      <c r="T645" s="899"/>
      <c r="U645" s="899"/>
      <c r="V645" s="899"/>
      <c r="W645" s="899"/>
      <c r="X645" s="899"/>
      <c r="Y645" s="899"/>
      <c r="Z645" s="899"/>
      <c r="AA645" s="899"/>
      <c r="AB645" s="899"/>
      <c r="AC645" s="899"/>
      <c r="AD645" s="899"/>
      <c r="AE645" s="899"/>
    </row>
    <row r="646">
      <c r="A646" s="944"/>
      <c r="B646" s="945"/>
      <c r="C646" s="945"/>
      <c r="D646" s="945"/>
      <c r="E646" s="945"/>
      <c r="F646" s="945"/>
      <c r="G646" s="945"/>
      <c r="H646" s="945"/>
      <c r="I646" s="945"/>
      <c r="J646" s="945"/>
      <c r="K646" s="945"/>
      <c r="L646" s="945"/>
      <c r="M646" s="945"/>
      <c r="N646" s="899"/>
      <c r="O646" s="899"/>
      <c r="P646" s="899"/>
      <c r="Q646" s="899"/>
      <c r="R646" s="899"/>
      <c r="S646" s="899"/>
      <c r="T646" s="899"/>
      <c r="U646" s="899"/>
      <c r="V646" s="899"/>
      <c r="W646" s="899"/>
      <c r="X646" s="899"/>
      <c r="Y646" s="899"/>
      <c r="Z646" s="899"/>
      <c r="AA646" s="899"/>
      <c r="AB646" s="899"/>
      <c r="AC646" s="899"/>
      <c r="AD646" s="899"/>
      <c r="AE646" s="899"/>
    </row>
    <row r="647">
      <c r="A647" s="944"/>
      <c r="B647" s="945"/>
      <c r="C647" s="945"/>
      <c r="D647" s="945"/>
      <c r="E647" s="945"/>
      <c r="F647" s="945"/>
      <c r="G647" s="945"/>
      <c r="H647" s="945"/>
      <c r="I647" s="945"/>
      <c r="J647" s="945"/>
      <c r="K647" s="945"/>
      <c r="L647" s="945"/>
      <c r="M647" s="945"/>
      <c r="N647" s="899"/>
      <c r="O647" s="899"/>
      <c r="P647" s="899"/>
      <c r="Q647" s="899"/>
      <c r="R647" s="899"/>
      <c r="S647" s="899"/>
      <c r="T647" s="899"/>
      <c r="U647" s="899"/>
      <c r="V647" s="899"/>
      <c r="W647" s="899"/>
      <c r="X647" s="899"/>
      <c r="Y647" s="899"/>
      <c r="Z647" s="899"/>
      <c r="AA647" s="899"/>
      <c r="AB647" s="899"/>
      <c r="AC647" s="899"/>
      <c r="AD647" s="899"/>
      <c r="AE647" s="899"/>
    </row>
    <row r="648">
      <c r="A648" s="944"/>
      <c r="B648" s="945"/>
      <c r="C648" s="945"/>
      <c r="D648" s="945"/>
      <c r="E648" s="945"/>
      <c r="F648" s="945"/>
      <c r="G648" s="945"/>
      <c r="H648" s="945"/>
      <c r="I648" s="945"/>
      <c r="J648" s="945"/>
      <c r="K648" s="945"/>
      <c r="L648" s="945"/>
      <c r="M648" s="945"/>
      <c r="N648" s="899"/>
      <c r="O648" s="899"/>
      <c r="P648" s="899"/>
      <c r="Q648" s="899"/>
      <c r="R648" s="899"/>
      <c r="S648" s="899"/>
      <c r="T648" s="899"/>
      <c r="U648" s="899"/>
      <c r="V648" s="899"/>
      <c r="W648" s="899"/>
      <c r="X648" s="899"/>
      <c r="Y648" s="899"/>
      <c r="Z648" s="899"/>
      <c r="AA648" s="899"/>
      <c r="AB648" s="899"/>
      <c r="AC648" s="899"/>
      <c r="AD648" s="899"/>
      <c r="AE648" s="899"/>
    </row>
    <row r="649">
      <c r="A649" s="944"/>
      <c r="B649" s="945"/>
      <c r="C649" s="945"/>
      <c r="D649" s="945"/>
      <c r="E649" s="945"/>
      <c r="F649" s="945"/>
      <c r="G649" s="945"/>
      <c r="H649" s="945"/>
      <c r="I649" s="945"/>
      <c r="J649" s="945"/>
      <c r="K649" s="945"/>
      <c r="L649" s="945"/>
      <c r="M649" s="945"/>
      <c r="N649" s="899"/>
      <c r="O649" s="899"/>
      <c r="P649" s="899"/>
      <c r="Q649" s="899"/>
      <c r="R649" s="899"/>
      <c r="S649" s="899"/>
      <c r="T649" s="899"/>
      <c r="U649" s="899"/>
      <c r="V649" s="899"/>
      <c r="W649" s="899"/>
      <c r="X649" s="899"/>
      <c r="Y649" s="899"/>
      <c r="Z649" s="899"/>
      <c r="AA649" s="899"/>
      <c r="AB649" s="899"/>
      <c r="AC649" s="899"/>
      <c r="AD649" s="899"/>
      <c r="AE649" s="899"/>
    </row>
    <row r="650">
      <c r="A650" s="944"/>
      <c r="B650" s="945"/>
      <c r="C650" s="945"/>
      <c r="D650" s="945"/>
      <c r="E650" s="945"/>
      <c r="F650" s="945"/>
      <c r="G650" s="945"/>
      <c r="H650" s="945"/>
      <c r="I650" s="945"/>
      <c r="J650" s="945"/>
      <c r="K650" s="945"/>
      <c r="L650" s="945"/>
      <c r="M650" s="945"/>
      <c r="N650" s="899"/>
      <c r="O650" s="899"/>
      <c r="P650" s="899"/>
      <c r="Q650" s="899"/>
      <c r="R650" s="899"/>
      <c r="S650" s="899"/>
      <c r="T650" s="899"/>
      <c r="U650" s="899"/>
      <c r="V650" s="899"/>
      <c r="W650" s="899"/>
      <c r="X650" s="899"/>
      <c r="Y650" s="899"/>
      <c r="Z650" s="899"/>
      <c r="AA650" s="899"/>
      <c r="AB650" s="899"/>
      <c r="AC650" s="899"/>
      <c r="AD650" s="899"/>
      <c r="AE650" s="899"/>
    </row>
    <row r="651">
      <c r="A651" s="944"/>
      <c r="B651" s="945"/>
      <c r="C651" s="945"/>
      <c r="D651" s="945"/>
      <c r="E651" s="945"/>
      <c r="F651" s="945"/>
      <c r="G651" s="945"/>
      <c r="H651" s="945"/>
      <c r="I651" s="945"/>
      <c r="J651" s="945"/>
      <c r="K651" s="945"/>
      <c r="L651" s="945"/>
      <c r="M651" s="945"/>
      <c r="N651" s="899"/>
      <c r="O651" s="899"/>
      <c r="P651" s="899"/>
      <c r="Q651" s="899"/>
      <c r="R651" s="899"/>
      <c r="S651" s="899"/>
      <c r="T651" s="899"/>
      <c r="U651" s="899"/>
      <c r="V651" s="899"/>
      <c r="W651" s="899"/>
      <c r="X651" s="899"/>
      <c r="Y651" s="899"/>
      <c r="Z651" s="899"/>
      <c r="AA651" s="899"/>
      <c r="AB651" s="899"/>
      <c r="AC651" s="899"/>
      <c r="AD651" s="899"/>
      <c r="AE651" s="899"/>
    </row>
    <row r="652">
      <c r="A652" s="944"/>
      <c r="B652" s="945"/>
      <c r="C652" s="945"/>
      <c r="D652" s="945"/>
      <c r="E652" s="945"/>
      <c r="F652" s="945"/>
      <c r="G652" s="945"/>
      <c r="H652" s="945"/>
      <c r="I652" s="945"/>
      <c r="J652" s="945"/>
      <c r="K652" s="945"/>
      <c r="L652" s="945"/>
      <c r="M652" s="945"/>
      <c r="N652" s="899"/>
      <c r="O652" s="899"/>
      <c r="P652" s="899"/>
      <c r="Q652" s="899"/>
      <c r="R652" s="899"/>
      <c r="S652" s="899"/>
      <c r="T652" s="899"/>
      <c r="U652" s="899"/>
      <c r="V652" s="899"/>
      <c r="W652" s="899"/>
      <c r="X652" s="899"/>
      <c r="Y652" s="899"/>
      <c r="Z652" s="899"/>
      <c r="AA652" s="899"/>
      <c r="AB652" s="899"/>
      <c r="AC652" s="899"/>
      <c r="AD652" s="899"/>
      <c r="AE652" s="899"/>
    </row>
    <row r="653">
      <c r="A653" s="944"/>
      <c r="B653" s="945"/>
      <c r="C653" s="945"/>
      <c r="D653" s="945"/>
      <c r="E653" s="945"/>
      <c r="F653" s="945"/>
      <c r="G653" s="945"/>
      <c r="H653" s="945"/>
      <c r="I653" s="945"/>
      <c r="J653" s="945"/>
      <c r="K653" s="945"/>
      <c r="L653" s="945"/>
      <c r="M653" s="945"/>
      <c r="N653" s="899"/>
      <c r="O653" s="899"/>
      <c r="P653" s="899"/>
      <c r="Q653" s="899"/>
      <c r="R653" s="899"/>
      <c r="S653" s="899"/>
      <c r="T653" s="899"/>
      <c r="U653" s="899"/>
      <c r="V653" s="899"/>
      <c r="W653" s="899"/>
      <c r="X653" s="899"/>
      <c r="Y653" s="899"/>
      <c r="Z653" s="899"/>
      <c r="AA653" s="899"/>
      <c r="AB653" s="899"/>
      <c r="AC653" s="899"/>
      <c r="AD653" s="899"/>
      <c r="AE653" s="899"/>
    </row>
    <row r="654">
      <c r="A654" s="944"/>
      <c r="B654" s="945"/>
      <c r="C654" s="945"/>
      <c r="D654" s="945"/>
      <c r="E654" s="945"/>
      <c r="F654" s="945"/>
      <c r="G654" s="945"/>
      <c r="H654" s="945"/>
      <c r="I654" s="945"/>
      <c r="J654" s="945"/>
      <c r="K654" s="945"/>
      <c r="L654" s="945"/>
      <c r="M654" s="945"/>
      <c r="N654" s="899"/>
      <c r="O654" s="899"/>
      <c r="P654" s="899"/>
      <c r="Q654" s="899"/>
      <c r="R654" s="899"/>
      <c r="S654" s="899"/>
      <c r="T654" s="899"/>
      <c r="U654" s="899"/>
      <c r="V654" s="899"/>
      <c r="W654" s="899"/>
      <c r="X654" s="899"/>
      <c r="Y654" s="899"/>
      <c r="Z654" s="899"/>
      <c r="AA654" s="899"/>
      <c r="AB654" s="899"/>
      <c r="AC654" s="899"/>
      <c r="AD654" s="899"/>
      <c r="AE654" s="899"/>
    </row>
    <row r="655">
      <c r="A655" s="944"/>
      <c r="B655" s="945"/>
      <c r="C655" s="945"/>
      <c r="D655" s="945"/>
      <c r="E655" s="945"/>
      <c r="F655" s="945"/>
      <c r="G655" s="945"/>
      <c r="H655" s="945"/>
      <c r="I655" s="945"/>
      <c r="J655" s="945"/>
      <c r="K655" s="945"/>
      <c r="L655" s="945"/>
      <c r="M655" s="945"/>
      <c r="N655" s="899"/>
      <c r="O655" s="899"/>
      <c r="P655" s="899"/>
      <c r="Q655" s="899"/>
      <c r="R655" s="899"/>
      <c r="S655" s="899"/>
      <c r="T655" s="899"/>
      <c r="U655" s="899"/>
      <c r="V655" s="899"/>
      <c r="W655" s="899"/>
      <c r="X655" s="899"/>
      <c r="Y655" s="899"/>
      <c r="Z655" s="899"/>
      <c r="AA655" s="899"/>
      <c r="AB655" s="899"/>
      <c r="AC655" s="899"/>
      <c r="AD655" s="899"/>
      <c r="AE655" s="899"/>
    </row>
    <row r="656">
      <c r="A656" s="944"/>
      <c r="B656" s="945"/>
      <c r="C656" s="945"/>
      <c r="D656" s="945"/>
      <c r="E656" s="945"/>
      <c r="F656" s="945"/>
      <c r="G656" s="945"/>
      <c r="H656" s="945"/>
      <c r="I656" s="945"/>
      <c r="J656" s="945"/>
      <c r="K656" s="945"/>
      <c r="L656" s="945"/>
      <c r="M656" s="945"/>
      <c r="N656" s="899"/>
      <c r="O656" s="899"/>
      <c r="P656" s="899"/>
      <c r="Q656" s="899"/>
      <c r="R656" s="899"/>
      <c r="S656" s="899"/>
      <c r="T656" s="899"/>
      <c r="U656" s="899"/>
      <c r="V656" s="899"/>
      <c r="W656" s="899"/>
      <c r="X656" s="899"/>
      <c r="Y656" s="899"/>
      <c r="Z656" s="899"/>
      <c r="AA656" s="899"/>
      <c r="AB656" s="899"/>
      <c r="AC656" s="899"/>
      <c r="AD656" s="899"/>
      <c r="AE656" s="899"/>
    </row>
    <row r="657">
      <c r="A657" s="944"/>
      <c r="B657" s="945"/>
      <c r="C657" s="945"/>
      <c r="D657" s="945"/>
      <c r="E657" s="945"/>
      <c r="F657" s="945"/>
      <c r="G657" s="945"/>
      <c r="H657" s="945"/>
      <c r="I657" s="945"/>
      <c r="J657" s="945"/>
      <c r="K657" s="945"/>
      <c r="L657" s="945"/>
      <c r="M657" s="945"/>
      <c r="N657" s="899"/>
      <c r="O657" s="899"/>
      <c r="P657" s="899"/>
      <c r="Q657" s="899"/>
      <c r="R657" s="899"/>
      <c r="S657" s="899"/>
      <c r="T657" s="899"/>
      <c r="U657" s="899"/>
      <c r="V657" s="899"/>
      <c r="W657" s="899"/>
      <c r="X657" s="899"/>
      <c r="Y657" s="899"/>
      <c r="Z657" s="899"/>
      <c r="AA657" s="899"/>
      <c r="AB657" s="899"/>
      <c r="AC657" s="899"/>
      <c r="AD657" s="899"/>
      <c r="AE657" s="899"/>
    </row>
    <row r="658">
      <c r="A658" s="944"/>
      <c r="B658" s="945"/>
      <c r="C658" s="945"/>
      <c r="D658" s="945"/>
      <c r="E658" s="945"/>
      <c r="F658" s="945"/>
      <c r="G658" s="945"/>
      <c r="H658" s="945"/>
      <c r="I658" s="945"/>
      <c r="J658" s="945"/>
      <c r="K658" s="945"/>
      <c r="L658" s="945"/>
      <c r="M658" s="945"/>
      <c r="N658" s="899"/>
      <c r="O658" s="899"/>
      <c r="P658" s="899"/>
      <c r="Q658" s="899"/>
      <c r="R658" s="899"/>
      <c r="S658" s="899"/>
      <c r="T658" s="899"/>
      <c r="U658" s="899"/>
      <c r="V658" s="899"/>
      <c r="W658" s="899"/>
      <c r="X658" s="899"/>
      <c r="Y658" s="899"/>
      <c r="Z658" s="899"/>
      <c r="AA658" s="899"/>
      <c r="AB658" s="899"/>
      <c r="AC658" s="899"/>
      <c r="AD658" s="899"/>
      <c r="AE658" s="899"/>
    </row>
    <row r="659">
      <c r="A659" s="944"/>
      <c r="B659" s="945"/>
      <c r="C659" s="945"/>
      <c r="D659" s="945"/>
      <c r="E659" s="945"/>
      <c r="F659" s="945"/>
      <c r="G659" s="945"/>
      <c r="H659" s="945"/>
      <c r="I659" s="945"/>
      <c r="J659" s="945"/>
      <c r="K659" s="945"/>
      <c r="L659" s="945"/>
      <c r="M659" s="945"/>
      <c r="N659" s="899"/>
      <c r="O659" s="899"/>
      <c r="P659" s="899"/>
      <c r="Q659" s="899"/>
      <c r="R659" s="899"/>
      <c r="S659" s="899"/>
      <c r="T659" s="899"/>
      <c r="U659" s="899"/>
      <c r="V659" s="899"/>
      <c r="W659" s="899"/>
      <c r="X659" s="899"/>
      <c r="Y659" s="899"/>
      <c r="Z659" s="899"/>
      <c r="AA659" s="899"/>
      <c r="AB659" s="899"/>
      <c r="AC659" s="899"/>
      <c r="AD659" s="899"/>
      <c r="AE659" s="899"/>
    </row>
    <row r="660">
      <c r="A660" s="944"/>
      <c r="B660" s="945"/>
      <c r="C660" s="945"/>
      <c r="D660" s="945"/>
      <c r="E660" s="945"/>
      <c r="F660" s="945"/>
      <c r="G660" s="945"/>
      <c r="H660" s="945"/>
      <c r="I660" s="945"/>
      <c r="J660" s="945"/>
      <c r="K660" s="945"/>
      <c r="L660" s="945"/>
      <c r="M660" s="945"/>
      <c r="N660" s="899"/>
      <c r="O660" s="899"/>
      <c r="P660" s="899"/>
      <c r="Q660" s="899"/>
      <c r="R660" s="899"/>
      <c r="S660" s="899"/>
      <c r="T660" s="899"/>
      <c r="U660" s="899"/>
      <c r="V660" s="899"/>
      <c r="W660" s="899"/>
      <c r="X660" s="899"/>
      <c r="Y660" s="899"/>
      <c r="Z660" s="899"/>
      <c r="AA660" s="899"/>
      <c r="AB660" s="899"/>
      <c r="AC660" s="899"/>
      <c r="AD660" s="899"/>
      <c r="AE660" s="899"/>
    </row>
    <row r="661">
      <c r="A661" s="944"/>
      <c r="B661" s="945"/>
      <c r="C661" s="945"/>
      <c r="D661" s="945"/>
      <c r="E661" s="945"/>
      <c r="F661" s="945"/>
      <c r="G661" s="945"/>
      <c r="H661" s="945"/>
      <c r="I661" s="945"/>
      <c r="J661" s="945"/>
      <c r="K661" s="945"/>
      <c r="L661" s="945"/>
      <c r="M661" s="945"/>
      <c r="N661" s="899"/>
      <c r="O661" s="899"/>
      <c r="P661" s="899"/>
      <c r="Q661" s="899"/>
      <c r="R661" s="899"/>
      <c r="S661" s="899"/>
      <c r="T661" s="899"/>
      <c r="U661" s="899"/>
      <c r="V661" s="899"/>
      <c r="W661" s="899"/>
      <c r="X661" s="899"/>
      <c r="Y661" s="899"/>
      <c r="Z661" s="899"/>
      <c r="AA661" s="899"/>
      <c r="AB661" s="899"/>
      <c r="AC661" s="899"/>
      <c r="AD661" s="899"/>
      <c r="AE661" s="899"/>
    </row>
    <row r="662">
      <c r="A662" s="944"/>
      <c r="B662" s="945"/>
      <c r="C662" s="945"/>
      <c r="D662" s="945"/>
      <c r="E662" s="945"/>
      <c r="F662" s="945"/>
      <c r="G662" s="945"/>
      <c r="H662" s="945"/>
      <c r="I662" s="945"/>
      <c r="J662" s="945"/>
      <c r="K662" s="945"/>
      <c r="L662" s="945"/>
      <c r="M662" s="945"/>
      <c r="N662" s="899"/>
      <c r="O662" s="899"/>
      <c r="P662" s="899"/>
      <c r="Q662" s="899"/>
      <c r="R662" s="899"/>
      <c r="S662" s="899"/>
      <c r="T662" s="899"/>
      <c r="U662" s="899"/>
      <c r="V662" s="899"/>
      <c r="W662" s="899"/>
      <c r="X662" s="899"/>
      <c r="Y662" s="899"/>
      <c r="Z662" s="899"/>
      <c r="AA662" s="899"/>
      <c r="AB662" s="899"/>
      <c r="AC662" s="899"/>
      <c r="AD662" s="899"/>
      <c r="AE662" s="899"/>
    </row>
    <row r="663">
      <c r="A663" s="944"/>
      <c r="B663" s="945"/>
      <c r="C663" s="945"/>
      <c r="D663" s="945"/>
      <c r="E663" s="945"/>
      <c r="F663" s="945"/>
      <c r="G663" s="945"/>
      <c r="H663" s="945"/>
      <c r="I663" s="945"/>
      <c r="J663" s="945"/>
      <c r="K663" s="945"/>
      <c r="L663" s="945"/>
      <c r="M663" s="945"/>
      <c r="N663" s="899"/>
      <c r="O663" s="899"/>
      <c r="P663" s="899"/>
      <c r="Q663" s="899"/>
      <c r="R663" s="899"/>
      <c r="S663" s="899"/>
      <c r="T663" s="899"/>
      <c r="U663" s="899"/>
      <c r="V663" s="899"/>
      <c r="W663" s="899"/>
      <c r="X663" s="899"/>
      <c r="Y663" s="899"/>
      <c r="Z663" s="899"/>
      <c r="AA663" s="899"/>
      <c r="AB663" s="899"/>
      <c r="AC663" s="899"/>
      <c r="AD663" s="899"/>
      <c r="AE663" s="899"/>
    </row>
    <row r="664">
      <c r="A664" s="944"/>
      <c r="B664" s="945"/>
      <c r="C664" s="945"/>
      <c r="D664" s="945"/>
      <c r="E664" s="945"/>
      <c r="F664" s="945"/>
      <c r="G664" s="945"/>
      <c r="H664" s="945"/>
      <c r="I664" s="945"/>
      <c r="J664" s="945"/>
      <c r="K664" s="945"/>
      <c r="L664" s="945"/>
      <c r="M664" s="945"/>
      <c r="N664" s="899"/>
      <c r="O664" s="899"/>
      <c r="P664" s="899"/>
      <c r="Q664" s="899"/>
      <c r="R664" s="899"/>
      <c r="S664" s="899"/>
      <c r="T664" s="899"/>
      <c r="U664" s="899"/>
      <c r="V664" s="899"/>
      <c r="W664" s="899"/>
      <c r="X664" s="899"/>
      <c r="Y664" s="899"/>
      <c r="Z664" s="899"/>
      <c r="AA664" s="899"/>
      <c r="AB664" s="899"/>
      <c r="AC664" s="899"/>
      <c r="AD664" s="899"/>
      <c r="AE664" s="899"/>
    </row>
    <row r="665">
      <c r="A665" s="944"/>
      <c r="B665" s="945"/>
      <c r="C665" s="945"/>
      <c r="D665" s="945"/>
      <c r="E665" s="945"/>
      <c r="F665" s="945"/>
      <c r="G665" s="945"/>
      <c r="H665" s="945"/>
      <c r="I665" s="945"/>
      <c r="J665" s="945"/>
      <c r="K665" s="945"/>
      <c r="L665" s="945"/>
      <c r="M665" s="945"/>
      <c r="N665" s="899"/>
      <c r="O665" s="899"/>
      <c r="P665" s="899"/>
      <c r="Q665" s="899"/>
      <c r="R665" s="899"/>
      <c r="S665" s="899"/>
      <c r="T665" s="899"/>
      <c r="U665" s="899"/>
      <c r="V665" s="899"/>
      <c r="W665" s="899"/>
      <c r="X665" s="899"/>
      <c r="Y665" s="899"/>
      <c r="Z665" s="899"/>
      <c r="AA665" s="899"/>
      <c r="AB665" s="899"/>
      <c r="AC665" s="899"/>
      <c r="AD665" s="899"/>
      <c r="AE665" s="899"/>
    </row>
    <row r="666">
      <c r="A666" s="944"/>
      <c r="B666" s="945"/>
      <c r="C666" s="945"/>
      <c r="D666" s="945"/>
      <c r="E666" s="945"/>
      <c r="F666" s="945"/>
      <c r="G666" s="945"/>
      <c r="H666" s="945"/>
      <c r="I666" s="945"/>
      <c r="J666" s="945"/>
      <c r="K666" s="945"/>
      <c r="L666" s="945"/>
      <c r="M666" s="945"/>
      <c r="N666" s="899"/>
      <c r="O666" s="899"/>
      <c r="P666" s="899"/>
      <c r="Q666" s="899"/>
      <c r="R666" s="899"/>
      <c r="S666" s="899"/>
      <c r="T666" s="899"/>
      <c r="U666" s="899"/>
      <c r="V666" s="899"/>
      <c r="W666" s="899"/>
      <c r="X666" s="899"/>
      <c r="Y666" s="899"/>
      <c r="Z666" s="899"/>
      <c r="AA666" s="899"/>
      <c r="AB666" s="899"/>
      <c r="AC666" s="899"/>
      <c r="AD666" s="899"/>
      <c r="AE666" s="899"/>
    </row>
    <row r="667">
      <c r="A667" s="944"/>
      <c r="B667" s="945"/>
      <c r="C667" s="945"/>
      <c r="D667" s="945"/>
      <c r="E667" s="945"/>
      <c r="F667" s="945"/>
      <c r="G667" s="945"/>
      <c r="H667" s="945"/>
      <c r="I667" s="945"/>
      <c r="J667" s="945"/>
      <c r="K667" s="945"/>
      <c r="L667" s="945"/>
      <c r="M667" s="945"/>
      <c r="N667" s="899"/>
      <c r="O667" s="899"/>
      <c r="P667" s="899"/>
      <c r="Q667" s="899"/>
      <c r="R667" s="899"/>
      <c r="S667" s="899"/>
      <c r="T667" s="899"/>
      <c r="U667" s="899"/>
      <c r="V667" s="899"/>
      <c r="W667" s="899"/>
      <c r="X667" s="899"/>
      <c r="Y667" s="899"/>
      <c r="Z667" s="899"/>
      <c r="AA667" s="899"/>
      <c r="AB667" s="899"/>
      <c r="AC667" s="899"/>
      <c r="AD667" s="899"/>
      <c r="AE667" s="899"/>
    </row>
    <row r="668">
      <c r="A668" s="944"/>
      <c r="B668" s="945"/>
      <c r="C668" s="945"/>
      <c r="D668" s="945"/>
      <c r="E668" s="945"/>
      <c r="F668" s="945"/>
      <c r="G668" s="945"/>
      <c r="H668" s="945"/>
      <c r="I668" s="945"/>
      <c r="J668" s="945"/>
      <c r="K668" s="945"/>
      <c r="L668" s="945"/>
      <c r="M668" s="945"/>
      <c r="N668" s="899"/>
      <c r="O668" s="899"/>
      <c r="P668" s="899"/>
      <c r="Q668" s="899"/>
      <c r="R668" s="899"/>
      <c r="S668" s="899"/>
      <c r="T668" s="899"/>
      <c r="U668" s="899"/>
      <c r="V668" s="899"/>
      <c r="W668" s="899"/>
      <c r="X668" s="899"/>
      <c r="Y668" s="899"/>
      <c r="Z668" s="899"/>
      <c r="AA668" s="899"/>
      <c r="AB668" s="899"/>
      <c r="AC668" s="899"/>
      <c r="AD668" s="899"/>
      <c r="AE668" s="899"/>
    </row>
    <row r="669">
      <c r="A669" s="944"/>
      <c r="B669" s="945"/>
      <c r="C669" s="945"/>
      <c r="D669" s="945"/>
      <c r="E669" s="945"/>
      <c r="F669" s="945"/>
      <c r="G669" s="945"/>
      <c r="H669" s="945"/>
      <c r="I669" s="945"/>
      <c r="J669" s="945"/>
      <c r="K669" s="945"/>
      <c r="L669" s="945"/>
      <c r="M669" s="945"/>
      <c r="N669" s="899"/>
      <c r="O669" s="899"/>
      <c r="P669" s="899"/>
      <c r="Q669" s="899"/>
      <c r="R669" s="899"/>
      <c r="S669" s="899"/>
      <c r="T669" s="899"/>
      <c r="U669" s="899"/>
      <c r="V669" s="899"/>
      <c r="W669" s="899"/>
      <c r="X669" s="899"/>
      <c r="Y669" s="899"/>
      <c r="Z669" s="899"/>
      <c r="AA669" s="899"/>
      <c r="AB669" s="899"/>
      <c r="AC669" s="899"/>
      <c r="AD669" s="899"/>
      <c r="AE669" s="899"/>
    </row>
    <row r="670">
      <c r="A670" s="944"/>
      <c r="B670" s="945"/>
      <c r="C670" s="945"/>
      <c r="D670" s="945"/>
      <c r="E670" s="945"/>
      <c r="F670" s="945"/>
      <c r="G670" s="945"/>
      <c r="H670" s="945"/>
      <c r="I670" s="945"/>
      <c r="J670" s="945"/>
      <c r="K670" s="945"/>
      <c r="L670" s="945"/>
      <c r="M670" s="945"/>
      <c r="N670" s="899"/>
      <c r="O670" s="899"/>
      <c r="P670" s="899"/>
      <c r="Q670" s="899"/>
      <c r="R670" s="899"/>
      <c r="S670" s="899"/>
      <c r="T670" s="899"/>
      <c r="U670" s="899"/>
      <c r="V670" s="899"/>
      <c r="W670" s="899"/>
      <c r="X670" s="899"/>
      <c r="Y670" s="899"/>
      <c r="Z670" s="899"/>
      <c r="AA670" s="899"/>
      <c r="AB670" s="899"/>
      <c r="AC670" s="899"/>
      <c r="AD670" s="899"/>
      <c r="AE670" s="899"/>
    </row>
    <row r="671">
      <c r="A671" s="944"/>
      <c r="B671" s="945"/>
      <c r="C671" s="945"/>
      <c r="D671" s="945"/>
      <c r="E671" s="945"/>
      <c r="F671" s="945"/>
      <c r="G671" s="945"/>
      <c r="H671" s="945"/>
      <c r="I671" s="945"/>
      <c r="J671" s="945"/>
      <c r="K671" s="945"/>
      <c r="L671" s="945"/>
      <c r="M671" s="945"/>
      <c r="N671" s="899"/>
      <c r="O671" s="899"/>
      <c r="P671" s="899"/>
      <c r="Q671" s="899"/>
      <c r="R671" s="899"/>
      <c r="S671" s="899"/>
      <c r="T671" s="899"/>
      <c r="U671" s="899"/>
      <c r="V671" s="899"/>
      <c r="W671" s="899"/>
      <c r="X671" s="899"/>
      <c r="Y671" s="899"/>
      <c r="Z671" s="899"/>
      <c r="AA671" s="899"/>
      <c r="AB671" s="899"/>
      <c r="AC671" s="899"/>
      <c r="AD671" s="899"/>
      <c r="AE671" s="899"/>
    </row>
    <row r="672">
      <c r="A672" s="944"/>
      <c r="B672" s="945"/>
      <c r="C672" s="945"/>
      <c r="D672" s="945"/>
      <c r="E672" s="945"/>
      <c r="F672" s="945"/>
      <c r="G672" s="945"/>
      <c r="H672" s="945"/>
      <c r="I672" s="945"/>
      <c r="J672" s="945"/>
      <c r="K672" s="945"/>
      <c r="L672" s="945"/>
      <c r="M672" s="945"/>
      <c r="N672" s="899"/>
      <c r="O672" s="899"/>
      <c r="P672" s="899"/>
      <c r="Q672" s="899"/>
      <c r="R672" s="899"/>
      <c r="S672" s="899"/>
      <c r="T672" s="899"/>
      <c r="U672" s="899"/>
      <c r="V672" s="899"/>
      <c r="W672" s="899"/>
      <c r="X672" s="899"/>
      <c r="Y672" s="899"/>
      <c r="Z672" s="899"/>
      <c r="AA672" s="899"/>
      <c r="AB672" s="899"/>
      <c r="AC672" s="899"/>
      <c r="AD672" s="899"/>
      <c r="AE672" s="899"/>
    </row>
    <row r="673">
      <c r="A673" s="944"/>
      <c r="B673" s="945"/>
      <c r="C673" s="945"/>
      <c r="D673" s="945"/>
      <c r="E673" s="945"/>
      <c r="F673" s="945"/>
      <c r="G673" s="945"/>
      <c r="H673" s="945"/>
      <c r="I673" s="945"/>
      <c r="J673" s="945"/>
      <c r="K673" s="945"/>
      <c r="L673" s="945"/>
      <c r="M673" s="945"/>
      <c r="N673" s="899"/>
      <c r="O673" s="899"/>
      <c r="P673" s="899"/>
      <c r="Q673" s="899"/>
      <c r="R673" s="899"/>
      <c r="S673" s="899"/>
      <c r="T673" s="899"/>
      <c r="U673" s="899"/>
      <c r="V673" s="899"/>
      <c r="W673" s="899"/>
      <c r="X673" s="899"/>
      <c r="Y673" s="899"/>
      <c r="Z673" s="899"/>
      <c r="AA673" s="899"/>
      <c r="AB673" s="899"/>
      <c r="AC673" s="899"/>
      <c r="AD673" s="899"/>
      <c r="AE673" s="899"/>
    </row>
    <row r="674">
      <c r="A674" s="944"/>
      <c r="B674" s="945"/>
      <c r="C674" s="945"/>
      <c r="D674" s="945"/>
      <c r="E674" s="945"/>
      <c r="F674" s="945"/>
      <c r="G674" s="945"/>
      <c r="H674" s="945"/>
      <c r="I674" s="945"/>
      <c r="J674" s="945"/>
      <c r="K674" s="945"/>
      <c r="L674" s="945"/>
      <c r="M674" s="945"/>
      <c r="N674" s="899"/>
      <c r="O674" s="899"/>
      <c r="P674" s="899"/>
      <c r="Q674" s="899"/>
      <c r="R674" s="899"/>
      <c r="S674" s="899"/>
      <c r="T674" s="899"/>
      <c r="U674" s="899"/>
      <c r="V674" s="899"/>
      <c r="W674" s="899"/>
      <c r="X674" s="899"/>
      <c r="Y674" s="899"/>
      <c r="Z674" s="899"/>
      <c r="AA674" s="899"/>
      <c r="AB674" s="899"/>
      <c r="AC674" s="899"/>
      <c r="AD674" s="899"/>
      <c r="AE674" s="899"/>
    </row>
    <row r="675">
      <c r="A675" s="944"/>
      <c r="B675" s="945"/>
      <c r="C675" s="945"/>
      <c r="D675" s="945"/>
      <c r="E675" s="945"/>
      <c r="F675" s="945"/>
      <c r="G675" s="945"/>
      <c r="H675" s="945"/>
      <c r="I675" s="945"/>
      <c r="J675" s="945"/>
      <c r="K675" s="945"/>
      <c r="L675" s="945"/>
      <c r="M675" s="945"/>
      <c r="N675" s="899"/>
      <c r="O675" s="899"/>
      <c r="P675" s="899"/>
      <c r="Q675" s="899"/>
      <c r="R675" s="899"/>
      <c r="S675" s="899"/>
      <c r="T675" s="899"/>
      <c r="U675" s="899"/>
      <c r="V675" s="899"/>
      <c r="W675" s="899"/>
      <c r="X675" s="899"/>
      <c r="Y675" s="899"/>
      <c r="Z675" s="899"/>
      <c r="AA675" s="899"/>
      <c r="AB675" s="899"/>
      <c r="AC675" s="899"/>
      <c r="AD675" s="899"/>
      <c r="AE675" s="899"/>
    </row>
    <row r="676">
      <c r="A676" s="944"/>
      <c r="B676" s="945"/>
      <c r="C676" s="945"/>
      <c r="D676" s="945"/>
      <c r="E676" s="945"/>
      <c r="F676" s="945"/>
      <c r="G676" s="945"/>
      <c r="H676" s="945"/>
      <c r="I676" s="945"/>
      <c r="J676" s="945"/>
      <c r="K676" s="945"/>
      <c r="L676" s="945"/>
      <c r="M676" s="945"/>
      <c r="N676" s="899"/>
      <c r="O676" s="899"/>
      <c r="P676" s="899"/>
      <c r="Q676" s="899"/>
      <c r="R676" s="899"/>
      <c r="S676" s="899"/>
      <c r="T676" s="899"/>
      <c r="U676" s="899"/>
      <c r="V676" s="899"/>
      <c r="W676" s="899"/>
      <c r="X676" s="899"/>
      <c r="Y676" s="899"/>
      <c r="Z676" s="899"/>
      <c r="AA676" s="899"/>
      <c r="AB676" s="899"/>
      <c r="AC676" s="899"/>
      <c r="AD676" s="899"/>
      <c r="AE676" s="899"/>
    </row>
    <row r="677">
      <c r="A677" s="944"/>
      <c r="B677" s="945"/>
      <c r="C677" s="945"/>
      <c r="D677" s="945"/>
      <c r="E677" s="945"/>
      <c r="F677" s="945"/>
      <c r="G677" s="945"/>
      <c r="H677" s="945"/>
      <c r="I677" s="945"/>
      <c r="J677" s="945"/>
      <c r="K677" s="945"/>
      <c r="L677" s="945"/>
      <c r="M677" s="945"/>
      <c r="N677" s="899"/>
      <c r="O677" s="899"/>
      <c r="P677" s="899"/>
      <c r="Q677" s="899"/>
      <c r="R677" s="899"/>
      <c r="S677" s="899"/>
      <c r="T677" s="899"/>
      <c r="U677" s="899"/>
      <c r="V677" s="899"/>
      <c r="W677" s="899"/>
      <c r="X677" s="899"/>
      <c r="Y677" s="899"/>
      <c r="Z677" s="899"/>
      <c r="AA677" s="899"/>
      <c r="AB677" s="899"/>
      <c r="AC677" s="899"/>
      <c r="AD677" s="899"/>
      <c r="AE677" s="899"/>
    </row>
    <row r="678">
      <c r="A678" s="944"/>
      <c r="B678" s="945"/>
      <c r="C678" s="945"/>
      <c r="D678" s="945"/>
      <c r="E678" s="945"/>
      <c r="F678" s="945"/>
      <c r="G678" s="945"/>
      <c r="H678" s="945"/>
      <c r="I678" s="945"/>
      <c r="J678" s="945"/>
      <c r="K678" s="945"/>
      <c r="L678" s="945"/>
      <c r="M678" s="945"/>
      <c r="N678" s="899"/>
      <c r="O678" s="899"/>
      <c r="P678" s="899"/>
      <c r="Q678" s="899"/>
      <c r="R678" s="899"/>
      <c r="S678" s="899"/>
      <c r="T678" s="899"/>
      <c r="U678" s="899"/>
      <c r="V678" s="899"/>
      <c r="W678" s="899"/>
      <c r="X678" s="899"/>
      <c r="Y678" s="899"/>
      <c r="Z678" s="899"/>
      <c r="AA678" s="899"/>
      <c r="AB678" s="899"/>
      <c r="AC678" s="899"/>
      <c r="AD678" s="899"/>
      <c r="AE678" s="899"/>
    </row>
    <row r="679">
      <c r="A679" s="944"/>
      <c r="B679" s="945"/>
      <c r="C679" s="945"/>
      <c r="D679" s="945"/>
      <c r="E679" s="945"/>
      <c r="F679" s="945"/>
      <c r="G679" s="945"/>
      <c r="H679" s="945"/>
      <c r="I679" s="945"/>
      <c r="J679" s="945"/>
      <c r="K679" s="945"/>
      <c r="L679" s="945"/>
      <c r="M679" s="945"/>
      <c r="N679" s="899"/>
      <c r="O679" s="899"/>
      <c r="P679" s="899"/>
      <c r="Q679" s="899"/>
      <c r="R679" s="899"/>
      <c r="S679" s="899"/>
      <c r="T679" s="899"/>
      <c r="U679" s="899"/>
      <c r="V679" s="899"/>
      <c r="W679" s="899"/>
      <c r="X679" s="899"/>
      <c r="Y679" s="899"/>
      <c r="Z679" s="899"/>
      <c r="AA679" s="899"/>
      <c r="AB679" s="899"/>
      <c r="AC679" s="899"/>
      <c r="AD679" s="899"/>
      <c r="AE679" s="899"/>
    </row>
    <row r="680">
      <c r="A680" s="944"/>
      <c r="B680" s="945"/>
      <c r="C680" s="945"/>
      <c r="D680" s="945"/>
      <c r="E680" s="945"/>
      <c r="F680" s="945"/>
      <c r="G680" s="945"/>
      <c r="H680" s="945"/>
      <c r="I680" s="945"/>
      <c r="J680" s="945"/>
      <c r="K680" s="945"/>
      <c r="L680" s="945"/>
      <c r="M680" s="945"/>
      <c r="N680" s="899"/>
      <c r="O680" s="899"/>
      <c r="P680" s="899"/>
      <c r="Q680" s="899"/>
      <c r="R680" s="899"/>
      <c r="S680" s="899"/>
      <c r="T680" s="899"/>
      <c r="U680" s="899"/>
      <c r="V680" s="899"/>
      <c r="W680" s="899"/>
      <c r="X680" s="899"/>
      <c r="Y680" s="899"/>
      <c r="Z680" s="899"/>
      <c r="AA680" s="899"/>
      <c r="AB680" s="899"/>
      <c r="AC680" s="899"/>
      <c r="AD680" s="899"/>
      <c r="AE680" s="899"/>
    </row>
    <row r="681">
      <c r="A681" s="944"/>
      <c r="B681" s="945"/>
      <c r="C681" s="945"/>
      <c r="D681" s="945"/>
      <c r="E681" s="945"/>
      <c r="F681" s="945"/>
      <c r="G681" s="945"/>
      <c r="H681" s="945"/>
      <c r="I681" s="945"/>
      <c r="J681" s="945"/>
      <c r="K681" s="945"/>
      <c r="L681" s="945"/>
      <c r="M681" s="945"/>
      <c r="N681" s="899"/>
      <c r="O681" s="899"/>
      <c r="P681" s="899"/>
      <c r="Q681" s="899"/>
      <c r="R681" s="899"/>
      <c r="S681" s="899"/>
      <c r="T681" s="899"/>
      <c r="U681" s="899"/>
      <c r="V681" s="899"/>
      <c r="W681" s="899"/>
      <c r="X681" s="899"/>
      <c r="Y681" s="899"/>
      <c r="Z681" s="899"/>
      <c r="AA681" s="899"/>
      <c r="AB681" s="899"/>
      <c r="AC681" s="899"/>
      <c r="AD681" s="899"/>
      <c r="AE681" s="899"/>
    </row>
    <row r="682">
      <c r="A682" s="944"/>
      <c r="B682" s="945"/>
      <c r="C682" s="945"/>
      <c r="D682" s="945"/>
      <c r="E682" s="945"/>
      <c r="F682" s="945"/>
      <c r="G682" s="945"/>
      <c r="H682" s="945"/>
      <c r="I682" s="945"/>
      <c r="J682" s="945"/>
      <c r="K682" s="945"/>
      <c r="L682" s="945"/>
      <c r="M682" s="945"/>
      <c r="N682" s="899"/>
      <c r="O682" s="899"/>
      <c r="P682" s="899"/>
      <c r="Q682" s="899"/>
      <c r="R682" s="899"/>
      <c r="S682" s="899"/>
      <c r="T682" s="899"/>
      <c r="U682" s="899"/>
      <c r="V682" s="899"/>
      <c r="W682" s="899"/>
      <c r="X682" s="899"/>
      <c r="Y682" s="899"/>
      <c r="Z682" s="899"/>
      <c r="AA682" s="899"/>
      <c r="AB682" s="899"/>
      <c r="AC682" s="899"/>
      <c r="AD682" s="899"/>
      <c r="AE682" s="899"/>
    </row>
    <row r="683">
      <c r="A683" s="944"/>
      <c r="B683" s="945"/>
      <c r="C683" s="945"/>
      <c r="D683" s="945"/>
      <c r="E683" s="945"/>
      <c r="F683" s="945"/>
      <c r="G683" s="945"/>
      <c r="H683" s="945"/>
      <c r="I683" s="945"/>
      <c r="J683" s="945"/>
      <c r="K683" s="945"/>
      <c r="L683" s="945"/>
      <c r="M683" s="945"/>
      <c r="N683" s="899"/>
      <c r="O683" s="899"/>
      <c r="P683" s="899"/>
      <c r="Q683" s="899"/>
      <c r="R683" s="899"/>
      <c r="S683" s="899"/>
      <c r="T683" s="899"/>
      <c r="U683" s="899"/>
      <c r="V683" s="899"/>
      <c r="W683" s="899"/>
      <c r="X683" s="899"/>
      <c r="Y683" s="899"/>
      <c r="Z683" s="899"/>
      <c r="AA683" s="899"/>
      <c r="AB683" s="899"/>
      <c r="AC683" s="899"/>
      <c r="AD683" s="899"/>
      <c r="AE683" s="899"/>
    </row>
    <row r="684">
      <c r="A684" s="944"/>
      <c r="B684" s="945"/>
      <c r="C684" s="945"/>
      <c r="D684" s="945"/>
      <c r="E684" s="945"/>
      <c r="F684" s="945"/>
      <c r="G684" s="945"/>
      <c r="H684" s="945"/>
      <c r="I684" s="945"/>
      <c r="J684" s="945"/>
      <c r="K684" s="945"/>
      <c r="L684" s="945"/>
      <c r="M684" s="945"/>
      <c r="N684" s="899"/>
      <c r="O684" s="899"/>
      <c r="P684" s="899"/>
      <c r="Q684" s="899"/>
      <c r="R684" s="899"/>
      <c r="S684" s="899"/>
      <c r="T684" s="899"/>
      <c r="U684" s="899"/>
      <c r="V684" s="899"/>
      <c r="W684" s="899"/>
      <c r="X684" s="899"/>
      <c r="Y684" s="899"/>
      <c r="Z684" s="899"/>
      <c r="AA684" s="899"/>
      <c r="AB684" s="899"/>
      <c r="AC684" s="899"/>
      <c r="AD684" s="899"/>
      <c r="AE684" s="899"/>
    </row>
    <row r="685">
      <c r="A685" s="944"/>
      <c r="B685" s="945"/>
      <c r="C685" s="945"/>
      <c r="D685" s="945"/>
      <c r="E685" s="945"/>
      <c r="F685" s="945"/>
      <c r="G685" s="945"/>
      <c r="H685" s="945"/>
      <c r="I685" s="945"/>
      <c r="J685" s="945"/>
      <c r="K685" s="945"/>
      <c r="L685" s="945"/>
      <c r="M685" s="945"/>
      <c r="N685" s="899"/>
      <c r="O685" s="899"/>
      <c r="P685" s="899"/>
      <c r="Q685" s="899"/>
      <c r="R685" s="899"/>
      <c r="S685" s="899"/>
      <c r="T685" s="899"/>
      <c r="U685" s="899"/>
      <c r="V685" s="899"/>
      <c r="W685" s="899"/>
      <c r="X685" s="899"/>
      <c r="Y685" s="899"/>
      <c r="Z685" s="899"/>
      <c r="AA685" s="899"/>
      <c r="AB685" s="899"/>
      <c r="AC685" s="899"/>
      <c r="AD685" s="899"/>
      <c r="AE685" s="899"/>
    </row>
    <row r="686">
      <c r="A686" s="944"/>
      <c r="B686" s="945"/>
      <c r="C686" s="945"/>
      <c r="D686" s="945"/>
      <c r="E686" s="945"/>
      <c r="F686" s="945"/>
      <c r="G686" s="945"/>
      <c r="H686" s="945"/>
      <c r="I686" s="945"/>
      <c r="J686" s="945"/>
      <c r="K686" s="945"/>
      <c r="L686" s="945"/>
      <c r="M686" s="945"/>
      <c r="N686" s="899"/>
      <c r="O686" s="899"/>
      <c r="P686" s="899"/>
      <c r="Q686" s="899"/>
      <c r="R686" s="899"/>
      <c r="S686" s="899"/>
      <c r="T686" s="899"/>
      <c r="U686" s="899"/>
      <c r="V686" s="899"/>
      <c r="W686" s="899"/>
      <c r="X686" s="899"/>
      <c r="Y686" s="899"/>
      <c r="Z686" s="899"/>
      <c r="AA686" s="899"/>
      <c r="AB686" s="899"/>
      <c r="AC686" s="899"/>
      <c r="AD686" s="899"/>
      <c r="AE686" s="899"/>
    </row>
    <row r="687">
      <c r="A687" s="944"/>
      <c r="B687" s="945"/>
      <c r="C687" s="945"/>
      <c r="D687" s="945"/>
      <c r="E687" s="945"/>
      <c r="F687" s="945"/>
      <c r="G687" s="945"/>
      <c r="H687" s="945"/>
      <c r="I687" s="945"/>
      <c r="J687" s="945"/>
      <c r="K687" s="945"/>
      <c r="L687" s="945"/>
      <c r="M687" s="945"/>
      <c r="N687" s="899"/>
      <c r="O687" s="899"/>
      <c r="P687" s="899"/>
      <c r="Q687" s="899"/>
      <c r="R687" s="899"/>
      <c r="S687" s="899"/>
      <c r="T687" s="899"/>
      <c r="U687" s="899"/>
      <c r="V687" s="899"/>
      <c r="W687" s="899"/>
      <c r="X687" s="899"/>
      <c r="Y687" s="899"/>
      <c r="Z687" s="899"/>
      <c r="AA687" s="899"/>
      <c r="AB687" s="899"/>
      <c r="AC687" s="899"/>
      <c r="AD687" s="899"/>
      <c r="AE687" s="899"/>
    </row>
    <row r="688">
      <c r="A688" s="944"/>
      <c r="B688" s="945"/>
      <c r="C688" s="945"/>
      <c r="D688" s="945"/>
      <c r="E688" s="945"/>
      <c r="F688" s="945"/>
      <c r="G688" s="945"/>
      <c r="H688" s="945"/>
      <c r="I688" s="945"/>
      <c r="J688" s="945"/>
      <c r="K688" s="945"/>
      <c r="L688" s="945"/>
      <c r="M688" s="945"/>
      <c r="N688" s="899"/>
      <c r="O688" s="899"/>
      <c r="P688" s="899"/>
      <c r="Q688" s="899"/>
      <c r="R688" s="899"/>
      <c r="S688" s="899"/>
      <c r="T688" s="899"/>
      <c r="U688" s="899"/>
      <c r="V688" s="899"/>
      <c r="W688" s="899"/>
      <c r="X688" s="899"/>
      <c r="Y688" s="899"/>
      <c r="Z688" s="899"/>
      <c r="AA688" s="899"/>
      <c r="AB688" s="899"/>
      <c r="AC688" s="899"/>
      <c r="AD688" s="899"/>
      <c r="AE688" s="899"/>
    </row>
    <row r="689">
      <c r="A689" s="944"/>
      <c r="B689" s="945"/>
      <c r="C689" s="945"/>
      <c r="D689" s="945"/>
      <c r="E689" s="945"/>
      <c r="F689" s="945"/>
      <c r="G689" s="945"/>
      <c r="H689" s="945"/>
      <c r="I689" s="945"/>
      <c r="J689" s="945"/>
      <c r="K689" s="945"/>
      <c r="L689" s="945"/>
      <c r="M689" s="945"/>
      <c r="N689" s="899"/>
      <c r="O689" s="899"/>
      <c r="P689" s="899"/>
      <c r="Q689" s="899"/>
      <c r="R689" s="899"/>
      <c r="S689" s="899"/>
      <c r="T689" s="899"/>
      <c r="U689" s="899"/>
      <c r="V689" s="899"/>
      <c r="W689" s="899"/>
      <c r="X689" s="899"/>
      <c r="Y689" s="899"/>
      <c r="Z689" s="899"/>
      <c r="AA689" s="899"/>
      <c r="AB689" s="899"/>
      <c r="AC689" s="899"/>
      <c r="AD689" s="899"/>
      <c r="AE689" s="899"/>
    </row>
    <row r="690">
      <c r="A690" s="944"/>
      <c r="B690" s="945"/>
      <c r="C690" s="945"/>
      <c r="D690" s="945"/>
      <c r="E690" s="945"/>
      <c r="F690" s="945"/>
      <c r="G690" s="945"/>
      <c r="H690" s="945"/>
      <c r="I690" s="945"/>
      <c r="J690" s="945"/>
      <c r="K690" s="945"/>
      <c r="L690" s="945"/>
      <c r="M690" s="945"/>
      <c r="N690" s="899"/>
      <c r="O690" s="899"/>
      <c r="P690" s="899"/>
      <c r="Q690" s="899"/>
      <c r="R690" s="899"/>
      <c r="S690" s="899"/>
      <c r="T690" s="899"/>
      <c r="U690" s="899"/>
      <c r="V690" s="899"/>
      <c r="W690" s="899"/>
      <c r="X690" s="899"/>
      <c r="Y690" s="899"/>
      <c r="Z690" s="899"/>
      <c r="AA690" s="899"/>
      <c r="AB690" s="899"/>
      <c r="AC690" s="899"/>
      <c r="AD690" s="899"/>
      <c r="AE690" s="899"/>
    </row>
    <row r="691">
      <c r="A691" s="944"/>
      <c r="B691" s="945"/>
      <c r="C691" s="945"/>
      <c r="D691" s="945"/>
      <c r="E691" s="945"/>
      <c r="F691" s="945"/>
      <c r="G691" s="945"/>
      <c r="H691" s="945"/>
      <c r="I691" s="945"/>
      <c r="J691" s="945"/>
      <c r="K691" s="945"/>
      <c r="L691" s="945"/>
      <c r="M691" s="945"/>
      <c r="N691" s="899"/>
      <c r="O691" s="899"/>
      <c r="P691" s="899"/>
      <c r="Q691" s="899"/>
      <c r="R691" s="899"/>
      <c r="S691" s="899"/>
      <c r="T691" s="899"/>
      <c r="U691" s="899"/>
      <c r="V691" s="899"/>
      <c r="W691" s="899"/>
      <c r="X691" s="899"/>
      <c r="Y691" s="899"/>
      <c r="Z691" s="899"/>
      <c r="AA691" s="899"/>
      <c r="AB691" s="899"/>
      <c r="AC691" s="899"/>
      <c r="AD691" s="899"/>
      <c r="AE691" s="899"/>
    </row>
    <row r="692">
      <c r="A692" s="944"/>
      <c r="B692" s="945"/>
      <c r="C692" s="945"/>
      <c r="D692" s="945"/>
      <c r="E692" s="945"/>
      <c r="F692" s="945"/>
      <c r="G692" s="945"/>
      <c r="H692" s="945"/>
      <c r="I692" s="945"/>
      <c r="J692" s="945"/>
      <c r="K692" s="945"/>
      <c r="L692" s="945"/>
      <c r="M692" s="945"/>
      <c r="N692" s="899"/>
      <c r="O692" s="899"/>
      <c r="P692" s="899"/>
      <c r="Q692" s="899"/>
      <c r="R692" s="899"/>
      <c r="S692" s="899"/>
      <c r="T692" s="899"/>
      <c r="U692" s="899"/>
      <c r="V692" s="899"/>
      <c r="W692" s="899"/>
      <c r="X692" s="899"/>
      <c r="Y692" s="899"/>
      <c r="Z692" s="899"/>
      <c r="AA692" s="899"/>
      <c r="AB692" s="899"/>
      <c r="AC692" s="899"/>
      <c r="AD692" s="899"/>
      <c r="AE692" s="899"/>
    </row>
    <row r="693">
      <c r="A693" s="944"/>
      <c r="B693" s="945"/>
      <c r="C693" s="945"/>
      <c r="D693" s="945"/>
      <c r="E693" s="945"/>
      <c r="F693" s="945"/>
      <c r="G693" s="945"/>
      <c r="H693" s="945"/>
      <c r="I693" s="945"/>
      <c r="J693" s="945"/>
      <c r="K693" s="945"/>
      <c r="L693" s="945"/>
      <c r="M693" s="945"/>
      <c r="N693" s="899"/>
      <c r="O693" s="899"/>
      <c r="P693" s="899"/>
      <c r="Q693" s="899"/>
      <c r="R693" s="899"/>
      <c r="S693" s="899"/>
      <c r="T693" s="899"/>
      <c r="U693" s="899"/>
      <c r="V693" s="899"/>
      <c r="W693" s="899"/>
      <c r="X693" s="899"/>
      <c r="Y693" s="899"/>
      <c r="Z693" s="899"/>
      <c r="AA693" s="899"/>
      <c r="AB693" s="899"/>
      <c r="AC693" s="899"/>
      <c r="AD693" s="899"/>
      <c r="AE693" s="899"/>
    </row>
    <row r="694">
      <c r="A694" s="944"/>
      <c r="B694" s="945"/>
      <c r="C694" s="945"/>
      <c r="D694" s="945"/>
      <c r="E694" s="945"/>
      <c r="F694" s="945"/>
      <c r="G694" s="945"/>
      <c r="H694" s="945"/>
      <c r="I694" s="945"/>
      <c r="J694" s="945"/>
      <c r="K694" s="945"/>
      <c r="L694" s="945"/>
      <c r="M694" s="945"/>
      <c r="N694" s="899"/>
      <c r="O694" s="899"/>
      <c r="P694" s="899"/>
      <c r="Q694" s="899"/>
      <c r="R694" s="899"/>
      <c r="S694" s="899"/>
      <c r="T694" s="899"/>
      <c r="U694" s="899"/>
      <c r="V694" s="899"/>
      <c r="W694" s="899"/>
      <c r="X694" s="899"/>
      <c r="Y694" s="899"/>
      <c r="Z694" s="899"/>
      <c r="AA694" s="899"/>
      <c r="AB694" s="899"/>
      <c r="AC694" s="899"/>
      <c r="AD694" s="899"/>
      <c r="AE694" s="899"/>
    </row>
    <row r="695">
      <c r="A695" s="944"/>
      <c r="B695" s="945"/>
      <c r="C695" s="945"/>
      <c r="D695" s="945"/>
      <c r="E695" s="945"/>
      <c r="F695" s="945"/>
      <c r="G695" s="945"/>
      <c r="H695" s="945"/>
      <c r="I695" s="945"/>
      <c r="J695" s="945"/>
      <c r="K695" s="945"/>
      <c r="L695" s="945"/>
      <c r="M695" s="945"/>
      <c r="N695" s="899"/>
      <c r="O695" s="899"/>
      <c r="P695" s="899"/>
      <c r="Q695" s="899"/>
      <c r="R695" s="899"/>
      <c r="S695" s="899"/>
      <c r="T695" s="899"/>
      <c r="U695" s="899"/>
      <c r="V695" s="899"/>
      <c r="W695" s="899"/>
      <c r="X695" s="899"/>
      <c r="Y695" s="899"/>
      <c r="Z695" s="899"/>
      <c r="AA695" s="899"/>
      <c r="AB695" s="899"/>
      <c r="AC695" s="899"/>
      <c r="AD695" s="899"/>
      <c r="AE695" s="899"/>
    </row>
    <row r="696">
      <c r="A696" s="944"/>
      <c r="B696" s="945"/>
      <c r="C696" s="945"/>
      <c r="D696" s="945"/>
      <c r="E696" s="945"/>
      <c r="F696" s="945"/>
      <c r="G696" s="945"/>
      <c r="H696" s="945"/>
      <c r="I696" s="945"/>
      <c r="J696" s="945"/>
      <c r="K696" s="945"/>
      <c r="L696" s="945"/>
      <c r="M696" s="945"/>
      <c r="N696" s="899"/>
      <c r="O696" s="899"/>
      <c r="P696" s="899"/>
      <c r="Q696" s="899"/>
      <c r="R696" s="899"/>
      <c r="S696" s="899"/>
      <c r="T696" s="899"/>
      <c r="U696" s="899"/>
      <c r="V696" s="899"/>
      <c r="W696" s="899"/>
      <c r="X696" s="899"/>
      <c r="Y696" s="899"/>
      <c r="Z696" s="899"/>
      <c r="AA696" s="899"/>
      <c r="AB696" s="899"/>
      <c r="AC696" s="899"/>
      <c r="AD696" s="899"/>
      <c r="AE696" s="899"/>
    </row>
    <row r="697">
      <c r="A697" s="944"/>
      <c r="B697" s="945"/>
      <c r="C697" s="945"/>
      <c r="D697" s="945"/>
      <c r="E697" s="945"/>
      <c r="F697" s="945"/>
      <c r="G697" s="945"/>
      <c r="H697" s="945"/>
      <c r="I697" s="945"/>
      <c r="J697" s="945"/>
      <c r="K697" s="945"/>
      <c r="L697" s="945"/>
      <c r="M697" s="945"/>
      <c r="N697" s="899"/>
      <c r="O697" s="899"/>
      <c r="P697" s="899"/>
      <c r="Q697" s="899"/>
      <c r="R697" s="899"/>
      <c r="S697" s="899"/>
      <c r="T697" s="899"/>
      <c r="U697" s="899"/>
      <c r="V697" s="899"/>
      <c r="W697" s="899"/>
      <c r="X697" s="899"/>
      <c r="Y697" s="899"/>
      <c r="Z697" s="899"/>
      <c r="AA697" s="899"/>
      <c r="AB697" s="899"/>
      <c r="AC697" s="899"/>
      <c r="AD697" s="899"/>
      <c r="AE697" s="899"/>
    </row>
    <row r="698">
      <c r="A698" s="944"/>
      <c r="B698" s="945"/>
      <c r="C698" s="945"/>
      <c r="D698" s="945"/>
      <c r="E698" s="945"/>
      <c r="F698" s="945"/>
      <c r="G698" s="945"/>
      <c r="H698" s="945"/>
      <c r="I698" s="945"/>
      <c r="J698" s="945"/>
      <c r="K698" s="945"/>
      <c r="L698" s="945"/>
      <c r="M698" s="945"/>
      <c r="N698" s="899"/>
      <c r="O698" s="899"/>
      <c r="P698" s="899"/>
      <c r="Q698" s="899"/>
      <c r="R698" s="899"/>
      <c r="S698" s="899"/>
      <c r="T698" s="899"/>
      <c r="U698" s="899"/>
      <c r="V698" s="899"/>
      <c r="W698" s="899"/>
      <c r="X698" s="899"/>
      <c r="Y698" s="899"/>
      <c r="Z698" s="899"/>
      <c r="AA698" s="899"/>
      <c r="AB698" s="899"/>
      <c r="AC698" s="899"/>
      <c r="AD698" s="899"/>
      <c r="AE698" s="899"/>
    </row>
    <row r="699">
      <c r="A699" s="944"/>
      <c r="B699" s="945"/>
      <c r="C699" s="945"/>
      <c r="D699" s="945"/>
      <c r="E699" s="945"/>
      <c r="F699" s="945"/>
      <c r="G699" s="945"/>
      <c r="H699" s="945"/>
      <c r="I699" s="945"/>
      <c r="J699" s="945"/>
      <c r="K699" s="945"/>
      <c r="L699" s="945"/>
      <c r="M699" s="945"/>
      <c r="N699" s="899"/>
      <c r="O699" s="899"/>
      <c r="P699" s="899"/>
      <c r="Q699" s="899"/>
      <c r="R699" s="899"/>
      <c r="S699" s="899"/>
      <c r="T699" s="899"/>
      <c r="U699" s="899"/>
      <c r="V699" s="899"/>
      <c r="W699" s="899"/>
      <c r="X699" s="899"/>
      <c r="Y699" s="899"/>
      <c r="Z699" s="899"/>
      <c r="AA699" s="899"/>
      <c r="AB699" s="899"/>
      <c r="AC699" s="899"/>
      <c r="AD699" s="899"/>
      <c r="AE699" s="899"/>
    </row>
    <row r="700">
      <c r="A700" s="944"/>
      <c r="B700" s="945"/>
      <c r="C700" s="945"/>
      <c r="D700" s="945"/>
      <c r="E700" s="945"/>
      <c r="F700" s="945"/>
      <c r="G700" s="945"/>
      <c r="H700" s="945"/>
      <c r="I700" s="945"/>
      <c r="J700" s="945"/>
      <c r="K700" s="945"/>
      <c r="L700" s="945"/>
      <c r="M700" s="945"/>
      <c r="N700" s="899"/>
      <c r="O700" s="899"/>
      <c r="P700" s="899"/>
      <c r="Q700" s="899"/>
      <c r="R700" s="899"/>
      <c r="S700" s="899"/>
      <c r="T700" s="899"/>
      <c r="U700" s="899"/>
      <c r="V700" s="899"/>
      <c r="W700" s="899"/>
      <c r="X700" s="899"/>
      <c r="Y700" s="899"/>
      <c r="Z700" s="899"/>
      <c r="AA700" s="899"/>
      <c r="AB700" s="899"/>
      <c r="AC700" s="899"/>
      <c r="AD700" s="899"/>
      <c r="AE700" s="899"/>
    </row>
    <row r="701">
      <c r="A701" s="944"/>
      <c r="B701" s="945"/>
      <c r="C701" s="945"/>
      <c r="D701" s="945"/>
      <c r="E701" s="945"/>
      <c r="F701" s="945"/>
      <c r="G701" s="945"/>
      <c r="H701" s="945"/>
      <c r="I701" s="945"/>
      <c r="J701" s="945"/>
      <c r="K701" s="945"/>
      <c r="L701" s="945"/>
      <c r="M701" s="945"/>
      <c r="N701" s="899"/>
      <c r="O701" s="899"/>
      <c r="P701" s="899"/>
      <c r="Q701" s="899"/>
      <c r="R701" s="899"/>
      <c r="S701" s="899"/>
      <c r="T701" s="899"/>
      <c r="U701" s="899"/>
      <c r="V701" s="899"/>
      <c r="W701" s="899"/>
      <c r="X701" s="899"/>
      <c r="Y701" s="899"/>
      <c r="Z701" s="899"/>
      <c r="AA701" s="899"/>
      <c r="AB701" s="899"/>
      <c r="AC701" s="899"/>
      <c r="AD701" s="899"/>
      <c r="AE701" s="899"/>
    </row>
    <row r="702">
      <c r="A702" s="944"/>
      <c r="B702" s="945"/>
      <c r="C702" s="945"/>
      <c r="D702" s="945"/>
      <c r="E702" s="945"/>
      <c r="F702" s="945"/>
      <c r="G702" s="945"/>
      <c r="H702" s="945"/>
      <c r="I702" s="945"/>
      <c r="J702" s="945"/>
      <c r="K702" s="945"/>
      <c r="L702" s="945"/>
      <c r="M702" s="945"/>
      <c r="N702" s="899"/>
      <c r="O702" s="899"/>
      <c r="P702" s="899"/>
      <c r="Q702" s="899"/>
      <c r="R702" s="899"/>
      <c r="S702" s="899"/>
      <c r="T702" s="899"/>
      <c r="U702" s="899"/>
      <c r="V702" s="899"/>
      <c r="W702" s="899"/>
      <c r="X702" s="899"/>
      <c r="Y702" s="899"/>
      <c r="Z702" s="899"/>
      <c r="AA702" s="899"/>
      <c r="AB702" s="899"/>
      <c r="AC702" s="899"/>
      <c r="AD702" s="899"/>
      <c r="AE702" s="899"/>
    </row>
    <row r="703">
      <c r="A703" s="944"/>
      <c r="B703" s="945"/>
      <c r="C703" s="945"/>
      <c r="D703" s="945"/>
      <c r="E703" s="945"/>
      <c r="F703" s="945"/>
      <c r="G703" s="945"/>
      <c r="H703" s="945"/>
      <c r="I703" s="945"/>
      <c r="J703" s="945"/>
      <c r="K703" s="945"/>
      <c r="L703" s="945"/>
      <c r="M703" s="945"/>
      <c r="N703" s="899"/>
      <c r="O703" s="899"/>
      <c r="P703" s="899"/>
      <c r="Q703" s="899"/>
      <c r="R703" s="899"/>
      <c r="S703" s="899"/>
      <c r="T703" s="899"/>
      <c r="U703" s="899"/>
      <c r="V703" s="899"/>
      <c r="W703" s="899"/>
      <c r="X703" s="899"/>
      <c r="Y703" s="899"/>
      <c r="Z703" s="899"/>
      <c r="AA703" s="899"/>
      <c r="AB703" s="899"/>
      <c r="AC703" s="899"/>
      <c r="AD703" s="899"/>
      <c r="AE703" s="899"/>
    </row>
    <row r="704">
      <c r="A704" s="944"/>
      <c r="B704" s="945"/>
      <c r="C704" s="945"/>
      <c r="D704" s="945"/>
      <c r="E704" s="945"/>
      <c r="F704" s="945"/>
      <c r="G704" s="945"/>
      <c r="H704" s="945"/>
      <c r="I704" s="945"/>
      <c r="J704" s="945"/>
      <c r="K704" s="945"/>
      <c r="L704" s="945"/>
      <c r="M704" s="945"/>
      <c r="N704" s="899"/>
      <c r="O704" s="899"/>
      <c r="P704" s="899"/>
      <c r="Q704" s="899"/>
      <c r="R704" s="899"/>
      <c r="S704" s="899"/>
      <c r="T704" s="899"/>
      <c r="U704" s="899"/>
      <c r="V704" s="899"/>
      <c r="W704" s="899"/>
      <c r="X704" s="899"/>
      <c r="Y704" s="899"/>
      <c r="Z704" s="899"/>
      <c r="AA704" s="899"/>
      <c r="AB704" s="899"/>
      <c r="AC704" s="899"/>
      <c r="AD704" s="899"/>
      <c r="AE704" s="899"/>
    </row>
    <row r="705">
      <c r="A705" s="944"/>
      <c r="B705" s="945"/>
      <c r="C705" s="945"/>
      <c r="D705" s="945"/>
      <c r="E705" s="945"/>
      <c r="F705" s="945"/>
      <c r="G705" s="945"/>
      <c r="H705" s="945"/>
      <c r="I705" s="945"/>
      <c r="J705" s="945"/>
      <c r="K705" s="945"/>
      <c r="L705" s="945"/>
      <c r="M705" s="945"/>
      <c r="N705" s="899"/>
      <c r="O705" s="899"/>
      <c r="P705" s="899"/>
      <c r="Q705" s="899"/>
      <c r="R705" s="899"/>
      <c r="S705" s="899"/>
      <c r="T705" s="899"/>
      <c r="U705" s="899"/>
      <c r="V705" s="899"/>
      <c r="W705" s="899"/>
      <c r="X705" s="899"/>
      <c r="Y705" s="899"/>
      <c r="Z705" s="899"/>
      <c r="AA705" s="899"/>
      <c r="AB705" s="899"/>
      <c r="AC705" s="899"/>
      <c r="AD705" s="899"/>
      <c r="AE705" s="899"/>
    </row>
    <row r="706">
      <c r="A706" s="944"/>
      <c r="B706" s="945"/>
      <c r="C706" s="945"/>
      <c r="D706" s="945"/>
      <c r="E706" s="945"/>
      <c r="F706" s="945"/>
      <c r="G706" s="945"/>
      <c r="H706" s="945"/>
      <c r="I706" s="945"/>
      <c r="J706" s="945"/>
      <c r="K706" s="945"/>
      <c r="L706" s="945"/>
      <c r="M706" s="945"/>
      <c r="N706" s="899"/>
      <c r="O706" s="899"/>
      <c r="P706" s="899"/>
      <c r="Q706" s="899"/>
      <c r="R706" s="899"/>
      <c r="S706" s="899"/>
      <c r="T706" s="899"/>
      <c r="U706" s="899"/>
      <c r="V706" s="899"/>
      <c r="W706" s="899"/>
      <c r="X706" s="899"/>
      <c r="Y706" s="899"/>
      <c r="Z706" s="899"/>
      <c r="AA706" s="899"/>
      <c r="AB706" s="899"/>
      <c r="AC706" s="899"/>
      <c r="AD706" s="899"/>
      <c r="AE706" s="899"/>
    </row>
    <row r="707">
      <c r="A707" s="944"/>
      <c r="B707" s="945"/>
      <c r="C707" s="945"/>
      <c r="D707" s="945"/>
      <c r="E707" s="945"/>
      <c r="F707" s="945"/>
      <c r="G707" s="945"/>
      <c r="H707" s="945"/>
      <c r="I707" s="945"/>
      <c r="J707" s="945"/>
      <c r="K707" s="945"/>
      <c r="L707" s="945"/>
      <c r="M707" s="945"/>
      <c r="N707" s="899"/>
      <c r="O707" s="899"/>
      <c r="P707" s="899"/>
      <c r="Q707" s="899"/>
      <c r="R707" s="899"/>
      <c r="S707" s="899"/>
      <c r="T707" s="899"/>
      <c r="U707" s="899"/>
      <c r="V707" s="899"/>
      <c r="W707" s="899"/>
      <c r="X707" s="899"/>
      <c r="Y707" s="899"/>
      <c r="Z707" s="899"/>
      <c r="AA707" s="899"/>
      <c r="AB707" s="899"/>
      <c r="AC707" s="899"/>
      <c r="AD707" s="899"/>
      <c r="AE707" s="899"/>
    </row>
    <row r="708">
      <c r="A708" s="944"/>
      <c r="B708" s="945"/>
      <c r="C708" s="945"/>
      <c r="D708" s="945"/>
      <c r="E708" s="945"/>
      <c r="F708" s="945"/>
      <c r="G708" s="945"/>
      <c r="H708" s="945"/>
      <c r="I708" s="945"/>
      <c r="J708" s="945"/>
      <c r="K708" s="945"/>
      <c r="L708" s="945"/>
      <c r="M708" s="945"/>
      <c r="N708" s="899"/>
      <c r="O708" s="899"/>
      <c r="P708" s="899"/>
      <c r="Q708" s="899"/>
      <c r="R708" s="899"/>
      <c r="S708" s="899"/>
      <c r="T708" s="899"/>
      <c r="U708" s="899"/>
      <c r="V708" s="899"/>
      <c r="W708" s="899"/>
      <c r="X708" s="899"/>
      <c r="Y708" s="899"/>
      <c r="Z708" s="899"/>
      <c r="AA708" s="899"/>
      <c r="AB708" s="899"/>
      <c r="AC708" s="899"/>
      <c r="AD708" s="899"/>
      <c r="AE708" s="899"/>
    </row>
    <row r="709">
      <c r="A709" s="944"/>
      <c r="B709" s="945"/>
      <c r="C709" s="945"/>
      <c r="D709" s="945"/>
      <c r="E709" s="945"/>
      <c r="F709" s="945"/>
      <c r="G709" s="945"/>
      <c r="H709" s="945"/>
      <c r="I709" s="945"/>
      <c r="J709" s="945"/>
      <c r="K709" s="945"/>
      <c r="L709" s="945"/>
      <c r="M709" s="945"/>
      <c r="N709" s="899"/>
      <c r="O709" s="899"/>
      <c r="P709" s="899"/>
      <c r="Q709" s="899"/>
      <c r="R709" s="899"/>
      <c r="S709" s="899"/>
      <c r="T709" s="899"/>
      <c r="U709" s="899"/>
      <c r="V709" s="899"/>
      <c r="W709" s="899"/>
      <c r="X709" s="899"/>
      <c r="Y709" s="899"/>
      <c r="Z709" s="899"/>
      <c r="AA709" s="899"/>
      <c r="AB709" s="899"/>
      <c r="AC709" s="899"/>
      <c r="AD709" s="899"/>
      <c r="AE709" s="899"/>
    </row>
    <row r="710">
      <c r="A710" s="944"/>
      <c r="B710" s="945"/>
      <c r="C710" s="945"/>
      <c r="D710" s="945"/>
      <c r="E710" s="945"/>
      <c r="F710" s="945"/>
      <c r="G710" s="945"/>
      <c r="H710" s="945"/>
      <c r="I710" s="945"/>
      <c r="J710" s="945"/>
      <c r="K710" s="945"/>
      <c r="L710" s="945"/>
      <c r="M710" s="945"/>
      <c r="N710" s="899"/>
      <c r="O710" s="899"/>
      <c r="P710" s="899"/>
      <c r="Q710" s="899"/>
      <c r="R710" s="899"/>
      <c r="S710" s="899"/>
      <c r="T710" s="899"/>
      <c r="U710" s="899"/>
      <c r="V710" s="899"/>
      <c r="W710" s="899"/>
      <c r="X710" s="899"/>
      <c r="Y710" s="899"/>
      <c r="Z710" s="899"/>
      <c r="AA710" s="899"/>
      <c r="AB710" s="899"/>
      <c r="AC710" s="899"/>
      <c r="AD710" s="899"/>
      <c r="AE710" s="899"/>
    </row>
    <row r="711">
      <c r="A711" s="944"/>
      <c r="B711" s="945"/>
      <c r="C711" s="945"/>
      <c r="D711" s="945"/>
      <c r="E711" s="945"/>
      <c r="F711" s="945"/>
      <c r="G711" s="945"/>
      <c r="H711" s="945"/>
      <c r="I711" s="945"/>
      <c r="J711" s="945"/>
      <c r="K711" s="945"/>
      <c r="L711" s="945"/>
      <c r="M711" s="945"/>
      <c r="N711" s="899"/>
      <c r="O711" s="899"/>
      <c r="P711" s="899"/>
      <c r="Q711" s="899"/>
      <c r="R711" s="899"/>
      <c r="S711" s="899"/>
      <c r="T711" s="899"/>
      <c r="U711" s="899"/>
      <c r="V711" s="899"/>
      <c r="W711" s="899"/>
      <c r="X711" s="899"/>
      <c r="Y711" s="899"/>
      <c r="Z711" s="899"/>
      <c r="AA711" s="899"/>
      <c r="AB711" s="899"/>
      <c r="AC711" s="899"/>
      <c r="AD711" s="899"/>
      <c r="AE711" s="899"/>
    </row>
    <row r="712">
      <c r="A712" s="944"/>
      <c r="B712" s="945"/>
      <c r="C712" s="945"/>
      <c r="D712" s="945"/>
      <c r="E712" s="945"/>
      <c r="F712" s="945"/>
      <c r="G712" s="945"/>
      <c r="H712" s="945"/>
      <c r="I712" s="945"/>
      <c r="J712" s="945"/>
      <c r="K712" s="945"/>
      <c r="L712" s="945"/>
      <c r="M712" s="945"/>
      <c r="N712" s="899"/>
      <c r="O712" s="899"/>
      <c r="P712" s="899"/>
      <c r="Q712" s="899"/>
      <c r="R712" s="899"/>
      <c r="S712" s="899"/>
      <c r="T712" s="899"/>
      <c r="U712" s="899"/>
      <c r="V712" s="899"/>
      <c r="W712" s="899"/>
      <c r="X712" s="899"/>
      <c r="Y712" s="899"/>
      <c r="Z712" s="899"/>
      <c r="AA712" s="899"/>
      <c r="AB712" s="899"/>
      <c r="AC712" s="899"/>
      <c r="AD712" s="899"/>
      <c r="AE712" s="899"/>
    </row>
    <row r="713">
      <c r="A713" s="944"/>
      <c r="B713" s="945"/>
      <c r="C713" s="945"/>
      <c r="D713" s="945"/>
      <c r="E713" s="945"/>
      <c r="F713" s="945"/>
      <c r="G713" s="945"/>
      <c r="H713" s="945"/>
      <c r="I713" s="945"/>
      <c r="J713" s="945"/>
      <c r="K713" s="945"/>
      <c r="L713" s="945"/>
      <c r="M713" s="945"/>
      <c r="N713" s="899"/>
      <c r="O713" s="899"/>
      <c r="P713" s="899"/>
      <c r="Q713" s="899"/>
      <c r="R713" s="899"/>
      <c r="S713" s="899"/>
      <c r="T713" s="899"/>
      <c r="U713" s="899"/>
      <c r="V713" s="899"/>
      <c r="W713" s="899"/>
      <c r="X713" s="899"/>
      <c r="Y713" s="899"/>
      <c r="Z713" s="899"/>
      <c r="AA713" s="899"/>
      <c r="AB713" s="899"/>
      <c r="AC713" s="899"/>
      <c r="AD713" s="899"/>
      <c r="AE713" s="899"/>
    </row>
    <row r="714">
      <c r="A714" s="944"/>
      <c r="B714" s="945"/>
      <c r="C714" s="945"/>
      <c r="D714" s="945"/>
      <c r="E714" s="945"/>
      <c r="F714" s="945"/>
      <c r="G714" s="945"/>
      <c r="H714" s="945"/>
      <c r="I714" s="945"/>
      <c r="J714" s="945"/>
      <c r="K714" s="945"/>
      <c r="L714" s="945"/>
      <c r="M714" s="945"/>
      <c r="N714" s="899"/>
      <c r="O714" s="899"/>
      <c r="P714" s="899"/>
      <c r="Q714" s="899"/>
      <c r="R714" s="899"/>
      <c r="S714" s="899"/>
      <c r="T714" s="899"/>
      <c r="U714" s="899"/>
      <c r="V714" s="899"/>
      <c r="W714" s="899"/>
      <c r="X714" s="899"/>
      <c r="Y714" s="899"/>
      <c r="Z714" s="899"/>
      <c r="AA714" s="899"/>
      <c r="AB714" s="899"/>
      <c r="AC714" s="899"/>
      <c r="AD714" s="899"/>
      <c r="AE714" s="899"/>
    </row>
    <row r="715">
      <c r="A715" s="944"/>
      <c r="B715" s="945"/>
      <c r="C715" s="945"/>
      <c r="D715" s="945"/>
      <c r="E715" s="945"/>
      <c r="F715" s="945"/>
      <c r="G715" s="945"/>
      <c r="H715" s="945"/>
      <c r="I715" s="945"/>
      <c r="J715" s="945"/>
      <c r="K715" s="945"/>
      <c r="L715" s="945"/>
      <c r="M715" s="945"/>
      <c r="N715" s="899"/>
      <c r="O715" s="899"/>
      <c r="P715" s="899"/>
      <c r="Q715" s="899"/>
      <c r="R715" s="899"/>
      <c r="S715" s="899"/>
      <c r="T715" s="899"/>
      <c r="U715" s="899"/>
      <c r="V715" s="899"/>
      <c r="W715" s="899"/>
      <c r="X715" s="899"/>
      <c r="Y715" s="899"/>
      <c r="Z715" s="899"/>
      <c r="AA715" s="899"/>
      <c r="AB715" s="899"/>
      <c r="AC715" s="899"/>
      <c r="AD715" s="899"/>
      <c r="AE715" s="899"/>
    </row>
    <row r="716">
      <c r="A716" s="944"/>
      <c r="B716" s="945"/>
      <c r="C716" s="945"/>
      <c r="D716" s="945"/>
      <c r="E716" s="945"/>
      <c r="F716" s="945"/>
      <c r="G716" s="945"/>
      <c r="H716" s="945"/>
      <c r="I716" s="945"/>
      <c r="J716" s="945"/>
      <c r="K716" s="945"/>
      <c r="L716" s="945"/>
      <c r="M716" s="945"/>
      <c r="N716" s="899"/>
      <c r="O716" s="899"/>
      <c r="P716" s="899"/>
      <c r="Q716" s="899"/>
      <c r="R716" s="899"/>
      <c r="S716" s="899"/>
      <c r="T716" s="899"/>
      <c r="U716" s="899"/>
      <c r="V716" s="899"/>
      <c r="W716" s="899"/>
      <c r="X716" s="899"/>
      <c r="Y716" s="899"/>
      <c r="Z716" s="899"/>
      <c r="AA716" s="899"/>
      <c r="AB716" s="899"/>
      <c r="AC716" s="899"/>
      <c r="AD716" s="899"/>
      <c r="AE716" s="899"/>
    </row>
    <row r="717">
      <c r="A717" s="944"/>
      <c r="B717" s="945"/>
      <c r="C717" s="945"/>
      <c r="D717" s="945"/>
      <c r="E717" s="945"/>
      <c r="F717" s="945"/>
      <c r="G717" s="945"/>
      <c r="H717" s="945"/>
      <c r="I717" s="945"/>
      <c r="J717" s="945"/>
      <c r="K717" s="945"/>
      <c r="L717" s="945"/>
      <c r="M717" s="945"/>
      <c r="N717" s="899"/>
      <c r="O717" s="899"/>
      <c r="P717" s="899"/>
      <c r="Q717" s="899"/>
      <c r="R717" s="899"/>
      <c r="S717" s="899"/>
      <c r="T717" s="899"/>
      <c r="U717" s="899"/>
      <c r="V717" s="899"/>
      <c r="W717" s="899"/>
      <c r="X717" s="899"/>
      <c r="Y717" s="899"/>
      <c r="Z717" s="899"/>
      <c r="AA717" s="899"/>
      <c r="AB717" s="899"/>
      <c r="AC717" s="899"/>
      <c r="AD717" s="899"/>
      <c r="AE717" s="899"/>
    </row>
    <row r="718">
      <c r="A718" s="944"/>
      <c r="B718" s="945"/>
      <c r="C718" s="945"/>
      <c r="D718" s="945"/>
      <c r="E718" s="945"/>
      <c r="F718" s="945"/>
      <c r="G718" s="945"/>
      <c r="H718" s="945"/>
      <c r="I718" s="945"/>
      <c r="J718" s="945"/>
      <c r="K718" s="945"/>
      <c r="L718" s="945"/>
      <c r="M718" s="945"/>
      <c r="N718" s="899"/>
      <c r="O718" s="899"/>
      <c r="P718" s="899"/>
      <c r="Q718" s="899"/>
      <c r="R718" s="899"/>
      <c r="S718" s="899"/>
      <c r="T718" s="899"/>
      <c r="U718" s="899"/>
      <c r="V718" s="899"/>
      <c r="W718" s="899"/>
      <c r="X718" s="899"/>
      <c r="Y718" s="899"/>
      <c r="Z718" s="899"/>
      <c r="AA718" s="899"/>
      <c r="AB718" s="899"/>
      <c r="AC718" s="899"/>
      <c r="AD718" s="899"/>
      <c r="AE718" s="899"/>
    </row>
    <row r="719">
      <c r="A719" s="944"/>
      <c r="B719" s="945"/>
      <c r="C719" s="945"/>
      <c r="D719" s="945"/>
      <c r="E719" s="945"/>
      <c r="F719" s="945"/>
      <c r="G719" s="945"/>
      <c r="H719" s="945"/>
      <c r="I719" s="945"/>
      <c r="J719" s="945"/>
      <c r="K719" s="945"/>
      <c r="L719" s="945"/>
      <c r="M719" s="945"/>
      <c r="N719" s="899"/>
      <c r="O719" s="899"/>
      <c r="P719" s="899"/>
      <c r="Q719" s="899"/>
      <c r="R719" s="899"/>
      <c r="S719" s="899"/>
      <c r="T719" s="899"/>
      <c r="U719" s="899"/>
      <c r="V719" s="899"/>
      <c r="W719" s="899"/>
      <c r="X719" s="899"/>
      <c r="Y719" s="899"/>
      <c r="Z719" s="899"/>
      <c r="AA719" s="899"/>
      <c r="AB719" s="899"/>
      <c r="AC719" s="899"/>
      <c r="AD719" s="899"/>
      <c r="AE719" s="899"/>
    </row>
    <row r="720">
      <c r="A720" s="944"/>
      <c r="B720" s="945"/>
      <c r="C720" s="945"/>
      <c r="D720" s="945"/>
      <c r="E720" s="945"/>
      <c r="F720" s="945"/>
      <c r="G720" s="945"/>
      <c r="H720" s="945"/>
      <c r="I720" s="945"/>
      <c r="J720" s="945"/>
      <c r="K720" s="945"/>
      <c r="L720" s="945"/>
      <c r="M720" s="945"/>
      <c r="N720" s="899"/>
      <c r="O720" s="899"/>
      <c r="P720" s="899"/>
      <c r="Q720" s="899"/>
      <c r="R720" s="899"/>
      <c r="S720" s="899"/>
      <c r="T720" s="899"/>
      <c r="U720" s="899"/>
      <c r="V720" s="899"/>
      <c r="W720" s="899"/>
      <c r="X720" s="899"/>
      <c r="Y720" s="899"/>
      <c r="Z720" s="899"/>
      <c r="AA720" s="899"/>
      <c r="AB720" s="899"/>
      <c r="AC720" s="899"/>
      <c r="AD720" s="899"/>
      <c r="AE720" s="899"/>
    </row>
    <row r="721">
      <c r="A721" s="944"/>
      <c r="B721" s="945"/>
      <c r="C721" s="945"/>
      <c r="D721" s="945"/>
      <c r="E721" s="945"/>
      <c r="F721" s="945"/>
      <c r="G721" s="945"/>
      <c r="H721" s="945"/>
      <c r="I721" s="945"/>
      <c r="J721" s="945"/>
      <c r="K721" s="945"/>
      <c r="L721" s="945"/>
      <c r="M721" s="945"/>
      <c r="N721" s="899"/>
      <c r="O721" s="899"/>
      <c r="P721" s="899"/>
      <c r="Q721" s="899"/>
      <c r="R721" s="899"/>
      <c r="S721" s="899"/>
      <c r="T721" s="899"/>
      <c r="U721" s="899"/>
      <c r="V721" s="899"/>
      <c r="W721" s="899"/>
      <c r="X721" s="899"/>
      <c r="Y721" s="899"/>
      <c r="Z721" s="899"/>
      <c r="AA721" s="899"/>
      <c r="AB721" s="899"/>
      <c r="AC721" s="899"/>
      <c r="AD721" s="899"/>
      <c r="AE721" s="899"/>
    </row>
    <row r="722">
      <c r="A722" s="944"/>
      <c r="B722" s="945"/>
      <c r="C722" s="945"/>
      <c r="D722" s="945"/>
      <c r="E722" s="945"/>
      <c r="F722" s="945"/>
      <c r="G722" s="945"/>
      <c r="H722" s="945"/>
      <c r="I722" s="945"/>
      <c r="J722" s="945"/>
      <c r="K722" s="945"/>
      <c r="L722" s="945"/>
      <c r="M722" s="945"/>
      <c r="N722" s="899"/>
      <c r="O722" s="899"/>
      <c r="P722" s="899"/>
      <c r="Q722" s="899"/>
      <c r="R722" s="899"/>
      <c r="S722" s="899"/>
      <c r="T722" s="899"/>
      <c r="U722" s="899"/>
      <c r="V722" s="899"/>
      <c r="W722" s="899"/>
      <c r="X722" s="899"/>
      <c r="Y722" s="899"/>
      <c r="Z722" s="899"/>
      <c r="AA722" s="899"/>
      <c r="AB722" s="899"/>
      <c r="AC722" s="899"/>
      <c r="AD722" s="899"/>
      <c r="AE722" s="899"/>
    </row>
    <row r="723">
      <c r="A723" s="944"/>
      <c r="B723" s="945"/>
      <c r="C723" s="945"/>
      <c r="D723" s="945"/>
      <c r="E723" s="945"/>
      <c r="F723" s="945"/>
      <c r="G723" s="945"/>
      <c r="H723" s="945"/>
      <c r="I723" s="945"/>
      <c r="J723" s="945"/>
      <c r="K723" s="945"/>
      <c r="L723" s="945"/>
      <c r="M723" s="945"/>
      <c r="N723" s="899"/>
      <c r="O723" s="899"/>
      <c r="P723" s="899"/>
      <c r="Q723" s="899"/>
      <c r="R723" s="899"/>
      <c r="S723" s="899"/>
      <c r="T723" s="899"/>
      <c r="U723" s="899"/>
      <c r="V723" s="899"/>
      <c r="W723" s="899"/>
      <c r="X723" s="899"/>
      <c r="Y723" s="899"/>
      <c r="Z723" s="899"/>
      <c r="AA723" s="899"/>
      <c r="AB723" s="899"/>
      <c r="AC723" s="899"/>
      <c r="AD723" s="899"/>
      <c r="AE723" s="899"/>
    </row>
    <row r="724">
      <c r="A724" s="944"/>
      <c r="B724" s="945"/>
      <c r="C724" s="945"/>
      <c r="D724" s="945"/>
      <c r="E724" s="945"/>
      <c r="F724" s="945"/>
      <c r="G724" s="945"/>
      <c r="H724" s="945"/>
      <c r="I724" s="945"/>
      <c r="J724" s="945"/>
      <c r="K724" s="945"/>
      <c r="L724" s="945"/>
      <c r="M724" s="945"/>
      <c r="N724" s="899"/>
      <c r="O724" s="899"/>
      <c r="P724" s="899"/>
      <c r="Q724" s="899"/>
      <c r="R724" s="899"/>
      <c r="S724" s="899"/>
      <c r="T724" s="899"/>
      <c r="U724" s="899"/>
      <c r="V724" s="899"/>
      <c r="W724" s="899"/>
      <c r="X724" s="899"/>
      <c r="Y724" s="899"/>
      <c r="Z724" s="899"/>
      <c r="AA724" s="899"/>
      <c r="AB724" s="899"/>
      <c r="AC724" s="899"/>
      <c r="AD724" s="899"/>
      <c r="AE724" s="899"/>
    </row>
    <row r="725">
      <c r="A725" s="944"/>
      <c r="B725" s="945"/>
      <c r="C725" s="945"/>
      <c r="D725" s="945"/>
      <c r="E725" s="945"/>
      <c r="F725" s="945"/>
      <c r="G725" s="945"/>
      <c r="H725" s="945"/>
      <c r="I725" s="945"/>
      <c r="J725" s="945"/>
      <c r="K725" s="945"/>
      <c r="L725" s="945"/>
      <c r="M725" s="945"/>
      <c r="N725" s="899"/>
      <c r="O725" s="899"/>
      <c r="P725" s="899"/>
      <c r="Q725" s="899"/>
      <c r="R725" s="899"/>
      <c r="S725" s="899"/>
      <c r="T725" s="899"/>
      <c r="U725" s="899"/>
      <c r="V725" s="899"/>
      <c r="W725" s="899"/>
      <c r="X725" s="899"/>
      <c r="Y725" s="899"/>
      <c r="Z725" s="899"/>
      <c r="AA725" s="899"/>
      <c r="AB725" s="899"/>
      <c r="AC725" s="899"/>
      <c r="AD725" s="899"/>
      <c r="AE725" s="899"/>
    </row>
    <row r="726">
      <c r="A726" s="944"/>
      <c r="B726" s="945"/>
      <c r="C726" s="945"/>
      <c r="D726" s="945"/>
      <c r="E726" s="945"/>
      <c r="F726" s="945"/>
      <c r="G726" s="945"/>
      <c r="H726" s="945"/>
      <c r="I726" s="945"/>
      <c r="J726" s="945"/>
      <c r="K726" s="945"/>
      <c r="L726" s="945"/>
      <c r="M726" s="945"/>
      <c r="N726" s="899"/>
      <c r="O726" s="899"/>
      <c r="P726" s="899"/>
      <c r="Q726" s="899"/>
      <c r="R726" s="899"/>
      <c r="S726" s="899"/>
      <c r="T726" s="899"/>
      <c r="U726" s="899"/>
      <c r="V726" s="899"/>
      <c r="W726" s="899"/>
      <c r="X726" s="899"/>
      <c r="Y726" s="899"/>
      <c r="Z726" s="899"/>
      <c r="AA726" s="899"/>
      <c r="AB726" s="899"/>
      <c r="AC726" s="899"/>
      <c r="AD726" s="899"/>
      <c r="AE726" s="899"/>
    </row>
    <row r="727">
      <c r="A727" s="944"/>
      <c r="B727" s="945"/>
      <c r="C727" s="945"/>
      <c r="D727" s="945"/>
      <c r="E727" s="945"/>
      <c r="F727" s="945"/>
      <c r="G727" s="945"/>
      <c r="H727" s="945"/>
      <c r="I727" s="945"/>
      <c r="J727" s="945"/>
      <c r="K727" s="945"/>
      <c r="L727" s="945"/>
      <c r="M727" s="945"/>
      <c r="N727" s="899"/>
      <c r="O727" s="899"/>
      <c r="P727" s="899"/>
      <c r="Q727" s="899"/>
      <c r="R727" s="899"/>
      <c r="S727" s="899"/>
      <c r="T727" s="899"/>
      <c r="U727" s="899"/>
      <c r="V727" s="899"/>
      <c r="W727" s="899"/>
      <c r="X727" s="899"/>
      <c r="Y727" s="899"/>
      <c r="Z727" s="899"/>
      <c r="AA727" s="899"/>
      <c r="AB727" s="899"/>
      <c r="AC727" s="899"/>
      <c r="AD727" s="899"/>
      <c r="AE727" s="899"/>
    </row>
    <row r="728">
      <c r="A728" s="944"/>
      <c r="B728" s="945"/>
      <c r="C728" s="945"/>
      <c r="D728" s="945"/>
      <c r="E728" s="945"/>
      <c r="F728" s="945"/>
      <c r="G728" s="945"/>
      <c r="H728" s="945"/>
      <c r="I728" s="945"/>
      <c r="J728" s="945"/>
      <c r="K728" s="945"/>
      <c r="L728" s="945"/>
      <c r="M728" s="945"/>
      <c r="N728" s="899"/>
      <c r="O728" s="899"/>
      <c r="P728" s="899"/>
      <c r="Q728" s="899"/>
      <c r="R728" s="899"/>
      <c r="S728" s="899"/>
      <c r="T728" s="899"/>
      <c r="U728" s="899"/>
      <c r="V728" s="899"/>
      <c r="W728" s="899"/>
      <c r="X728" s="899"/>
      <c r="Y728" s="899"/>
      <c r="Z728" s="899"/>
      <c r="AA728" s="899"/>
      <c r="AB728" s="899"/>
      <c r="AC728" s="899"/>
      <c r="AD728" s="899"/>
      <c r="AE728" s="899"/>
    </row>
    <row r="729">
      <c r="A729" s="944"/>
      <c r="B729" s="945"/>
      <c r="C729" s="945"/>
      <c r="D729" s="945"/>
      <c r="E729" s="945"/>
      <c r="F729" s="945"/>
      <c r="G729" s="945"/>
      <c r="H729" s="945"/>
      <c r="I729" s="945"/>
      <c r="J729" s="945"/>
      <c r="K729" s="945"/>
      <c r="L729" s="945"/>
      <c r="M729" s="945"/>
      <c r="N729" s="899"/>
      <c r="O729" s="899"/>
      <c r="P729" s="899"/>
      <c r="Q729" s="899"/>
      <c r="R729" s="899"/>
      <c r="S729" s="899"/>
      <c r="T729" s="899"/>
      <c r="U729" s="899"/>
      <c r="V729" s="899"/>
      <c r="W729" s="899"/>
      <c r="X729" s="899"/>
      <c r="Y729" s="899"/>
      <c r="Z729" s="899"/>
      <c r="AA729" s="899"/>
      <c r="AB729" s="899"/>
      <c r="AC729" s="899"/>
      <c r="AD729" s="899"/>
      <c r="AE729" s="899"/>
    </row>
    <row r="730">
      <c r="A730" s="944"/>
      <c r="B730" s="945"/>
      <c r="C730" s="945"/>
      <c r="D730" s="945"/>
      <c r="E730" s="945"/>
      <c r="F730" s="945"/>
      <c r="G730" s="945"/>
      <c r="H730" s="945"/>
      <c r="I730" s="945"/>
      <c r="J730" s="945"/>
      <c r="K730" s="945"/>
      <c r="L730" s="945"/>
      <c r="M730" s="945"/>
      <c r="N730" s="899"/>
      <c r="O730" s="899"/>
      <c r="P730" s="899"/>
      <c r="Q730" s="899"/>
      <c r="R730" s="899"/>
      <c r="S730" s="899"/>
      <c r="T730" s="899"/>
      <c r="U730" s="899"/>
      <c r="V730" s="899"/>
      <c r="W730" s="899"/>
      <c r="X730" s="899"/>
      <c r="Y730" s="899"/>
      <c r="Z730" s="899"/>
      <c r="AA730" s="899"/>
      <c r="AB730" s="899"/>
      <c r="AC730" s="899"/>
      <c r="AD730" s="899"/>
      <c r="AE730" s="899"/>
    </row>
    <row r="731">
      <c r="A731" s="944"/>
      <c r="B731" s="945"/>
      <c r="C731" s="945"/>
      <c r="D731" s="945"/>
      <c r="E731" s="945"/>
      <c r="F731" s="945"/>
      <c r="G731" s="945"/>
      <c r="H731" s="945"/>
      <c r="I731" s="945"/>
      <c r="J731" s="945"/>
      <c r="K731" s="945"/>
      <c r="L731" s="945"/>
      <c r="M731" s="945"/>
      <c r="N731" s="899"/>
      <c r="O731" s="899"/>
      <c r="P731" s="899"/>
      <c r="Q731" s="899"/>
      <c r="R731" s="899"/>
      <c r="S731" s="899"/>
      <c r="T731" s="899"/>
      <c r="U731" s="899"/>
      <c r="V731" s="899"/>
      <c r="W731" s="899"/>
      <c r="X731" s="899"/>
      <c r="Y731" s="899"/>
      <c r="Z731" s="899"/>
      <c r="AA731" s="899"/>
      <c r="AB731" s="899"/>
      <c r="AC731" s="899"/>
      <c r="AD731" s="899"/>
      <c r="AE731" s="899"/>
    </row>
    <row r="732">
      <c r="A732" s="944"/>
      <c r="B732" s="945"/>
      <c r="C732" s="945"/>
      <c r="D732" s="945"/>
      <c r="E732" s="945"/>
      <c r="F732" s="945"/>
      <c r="G732" s="945"/>
      <c r="H732" s="945"/>
      <c r="I732" s="945"/>
      <c r="J732" s="945"/>
      <c r="K732" s="945"/>
      <c r="L732" s="945"/>
      <c r="M732" s="945"/>
      <c r="N732" s="899"/>
      <c r="O732" s="899"/>
      <c r="P732" s="899"/>
      <c r="Q732" s="899"/>
      <c r="R732" s="899"/>
      <c r="S732" s="899"/>
      <c r="T732" s="899"/>
      <c r="U732" s="899"/>
      <c r="V732" s="899"/>
      <c r="W732" s="899"/>
      <c r="X732" s="899"/>
      <c r="Y732" s="899"/>
      <c r="Z732" s="899"/>
      <c r="AA732" s="899"/>
      <c r="AB732" s="899"/>
      <c r="AC732" s="899"/>
      <c r="AD732" s="899"/>
      <c r="AE732" s="899"/>
    </row>
    <row r="733">
      <c r="A733" s="944"/>
      <c r="B733" s="945"/>
      <c r="C733" s="945"/>
      <c r="D733" s="945"/>
      <c r="E733" s="945"/>
      <c r="F733" s="945"/>
      <c r="G733" s="945"/>
      <c r="H733" s="945"/>
      <c r="I733" s="945"/>
      <c r="J733" s="945"/>
      <c r="K733" s="945"/>
      <c r="L733" s="945"/>
      <c r="M733" s="945"/>
      <c r="N733" s="899"/>
      <c r="O733" s="899"/>
      <c r="P733" s="899"/>
      <c r="Q733" s="899"/>
      <c r="R733" s="899"/>
      <c r="S733" s="899"/>
      <c r="T733" s="899"/>
      <c r="U733" s="899"/>
      <c r="V733" s="899"/>
      <c r="W733" s="899"/>
      <c r="X733" s="899"/>
      <c r="Y733" s="899"/>
      <c r="Z733" s="899"/>
      <c r="AA733" s="899"/>
      <c r="AB733" s="899"/>
      <c r="AC733" s="899"/>
      <c r="AD733" s="899"/>
      <c r="AE733" s="899"/>
    </row>
    <row r="734">
      <c r="A734" s="944"/>
      <c r="B734" s="945"/>
      <c r="C734" s="945"/>
      <c r="D734" s="945"/>
      <c r="E734" s="945"/>
      <c r="F734" s="945"/>
      <c r="G734" s="945"/>
      <c r="H734" s="945"/>
      <c r="I734" s="945"/>
      <c r="J734" s="945"/>
      <c r="K734" s="945"/>
      <c r="L734" s="945"/>
      <c r="M734" s="945"/>
      <c r="N734" s="899"/>
      <c r="O734" s="899"/>
      <c r="P734" s="899"/>
      <c r="Q734" s="899"/>
      <c r="R734" s="899"/>
      <c r="S734" s="899"/>
      <c r="T734" s="899"/>
      <c r="U734" s="899"/>
      <c r="V734" s="899"/>
      <c r="W734" s="899"/>
      <c r="X734" s="899"/>
      <c r="Y734" s="899"/>
      <c r="Z734" s="899"/>
      <c r="AA734" s="899"/>
      <c r="AB734" s="899"/>
      <c r="AC734" s="899"/>
      <c r="AD734" s="899"/>
      <c r="AE734" s="899"/>
    </row>
    <row r="735">
      <c r="A735" s="944"/>
      <c r="B735" s="945"/>
      <c r="C735" s="945"/>
      <c r="D735" s="945"/>
      <c r="E735" s="945"/>
      <c r="F735" s="945"/>
      <c r="G735" s="945"/>
      <c r="H735" s="945"/>
      <c r="I735" s="945"/>
      <c r="J735" s="945"/>
      <c r="K735" s="945"/>
      <c r="L735" s="945"/>
      <c r="M735" s="945"/>
      <c r="N735" s="899"/>
      <c r="O735" s="899"/>
      <c r="P735" s="899"/>
      <c r="Q735" s="899"/>
      <c r="R735" s="899"/>
      <c r="S735" s="899"/>
      <c r="T735" s="899"/>
      <c r="U735" s="899"/>
      <c r="V735" s="899"/>
      <c r="W735" s="899"/>
      <c r="X735" s="899"/>
      <c r="Y735" s="899"/>
      <c r="Z735" s="899"/>
      <c r="AA735" s="899"/>
      <c r="AB735" s="899"/>
      <c r="AC735" s="899"/>
      <c r="AD735" s="899"/>
      <c r="AE735" s="899"/>
    </row>
    <row r="736">
      <c r="A736" s="944"/>
      <c r="B736" s="945"/>
      <c r="C736" s="945"/>
      <c r="D736" s="945"/>
      <c r="E736" s="945"/>
      <c r="F736" s="945"/>
      <c r="G736" s="945"/>
      <c r="H736" s="945"/>
      <c r="I736" s="945"/>
      <c r="J736" s="945"/>
      <c r="K736" s="945"/>
      <c r="L736" s="945"/>
      <c r="M736" s="945"/>
      <c r="N736" s="899"/>
      <c r="O736" s="899"/>
      <c r="P736" s="899"/>
      <c r="Q736" s="899"/>
      <c r="R736" s="899"/>
      <c r="S736" s="899"/>
      <c r="T736" s="899"/>
      <c r="U736" s="899"/>
      <c r="V736" s="899"/>
      <c r="W736" s="899"/>
      <c r="X736" s="899"/>
      <c r="Y736" s="899"/>
      <c r="Z736" s="899"/>
      <c r="AA736" s="899"/>
      <c r="AB736" s="899"/>
      <c r="AC736" s="899"/>
      <c r="AD736" s="899"/>
      <c r="AE736" s="899"/>
    </row>
    <row r="737">
      <c r="A737" s="944"/>
      <c r="B737" s="945"/>
      <c r="C737" s="945"/>
      <c r="D737" s="945"/>
      <c r="E737" s="945"/>
      <c r="F737" s="945"/>
      <c r="G737" s="945"/>
      <c r="H737" s="945"/>
      <c r="I737" s="945"/>
      <c r="J737" s="945"/>
      <c r="K737" s="945"/>
      <c r="L737" s="945"/>
      <c r="M737" s="945"/>
      <c r="N737" s="899"/>
      <c r="O737" s="899"/>
      <c r="P737" s="899"/>
      <c r="Q737" s="899"/>
      <c r="R737" s="899"/>
      <c r="S737" s="899"/>
      <c r="T737" s="899"/>
      <c r="U737" s="899"/>
      <c r="V737" s="899"/>
      <c r="W737" s="899"/>
      <c r="X737" s="899"/>
      <c r="Y737" s="899"/>
      <c r="Z737" s="899"/>
      <c r="AA737" s="899"/>
      <c r="AB737" s="899"/>
      <c r="AC737" s="899"/>
      <c r="AD737" s="899"/>
      <c r="AE737" s="899"/>
    </row>
    <row r="738">
      <c r="A738" s="944"/>
      <c r="B738" s="945"/>
      <c r="C738" s="945"/>
      <c r="D738" s="945"/>
      <c r="E738" s="945"/>
      <c r="F738" s="945"/>
      <c r="G738" s="945"/>
      <c r="H738" s="945"/>
      <c r="I738" s="945"/>
      <c r="J738" s="945"/>
      <c r="K738" s="945"/>
      <c r="L738" s="945"/>
      <c r="M738" s="945"/>
      <c r="N738" s="899"/>
      <c r="O738" s="899"/>
      <c r="P738" s="899"/>
      <c r="Q738" s="899"/>
      <c r="R738" s="899"/>
      <c r="S738" s="899"/>
      <c r="T738" s="899"/>
      <c r="U738" s="899"/>
      <c r="V738" s="899"/>
      <c r="W738" s="899"/>
      <c r="X738" s="899"/>
      <c r="Y738" s="899"/>
      <c r="Z738" s="899"/>
      <c r="AA738" s="899"/>
      <c r="AB738" s="899"/>
      <c r="AC738" s="899"/>
      <c r="AD738" s="899"/>
      <c r="AE738" s="899"/>
    </row>
    <row r="739">
      <c r="A739" s="944"/>
      <c r="B739" s="945"/>
      <c r="C739" s="945"/>
      <c r="D739" s="945"/>
      <c r="E739" s="945"/>
      <c r="F739" s="945"/>
      <c r="G739" s="945"/>
      <c r="H739" s="945"/>
      <c r="I739" s="945"/>
      <c r="J739" s="945"/>
      <c r="K739" s="945"/>
      <c r="L739" s="945"/>
      <c r="M739" s="945"/>
      <c r="N739" s="899"/>
      <c r="O739" s="899"/>
      <c r="P739" s="899"/>
      <c r="Q739" s="899"/>
      <c r="R739" s="899"/>
      <c r="S739" s="899"/>
      <c r="T739" s="899"/>
      <c r="U739" s="899"/>
      <c r="V739" s="899"/>
      <c r="W739" s="899"/>
      <c r="X739" s="899"/>
      <c r="Y739" s="899"/>
      <c r="Z739" s="899"/>
      <c r="AA739" s="899"/>
      <c r="AB739" s="899"/>
      <c r="AC739" s="899"/>
      <c r="AD739" s="899"/>
      <c r="AE739" s="899"/>
    </row>
    <row r="740">
      <c r="A740" s="944"/>
      <c r="B740" s="945"/>
      <c r="C740" s="945"/>
      <c r="D740" s="945"/>
      <c r="E740" s="945"/>
      <c r="F740" s="945"/>
      <c r="G740" s="945"/>
      <c r="H740" s="945"/>
      <c r="I740" s="945"/>
      <c r="J740" s="945"/>
      <c r="K740" s="945"/>
      <c r="L740" s="945"/>
      <c r="M740" s="945"/>
      <c r="N740" s="899"/>
      <c r="O740" s="899"/>
      <c r="P740" s="899"/>
      <c r="Q740" s="899"/>
      <c r="R740" s="899"/>
      <c r="S740" s="899"/>
      <c r="T740" s="899"/>
      <c r="U740" s="899"/>
      <c r="V740" s="899"/>
      <c r="W740" s="899"/>
      <c r="X740" s="899"/>
      <c r="Y740" s="899"/>
      <c r="Z740" s="899"/>
      <c r="AA740" s="899"/>
      <c r="AB740" s="899"/>
      <c r="AC740" s="899"/>
      <c r="AD740" s="899"/>
      <c r="AE740" s="899"/>
    </row>
    <row r="741">
      <c r="A741" s="944"/>
      <c r="B741" s="945"/>
      <c r="C741" s="945"/>
      <c r="D741" s="945"/>
      <c r="E741" s="945"/>
      <c r="F741" s="945"/>
      <c r="G741" s="945"/>
      <c r="H741" s="945"/>
      <c r="I741" s="945"/>
      <c r="J741" s="945"/>
      <c r="K741" s="945"/>
      <c r="L741" s="945"/>
      <c r="M741" s="945"/>
      <c r="N741" s="899"/>
      <c r="O741" s="899"/>
      <c r="P741" s="899"/>
      <c r="Q741" s="899"/>
      <c r="R741" s="899"/>
      <c r="S741" s="899"/>
      <c r="T741" s="899"/>
      <c r="U741" s="899"/>
      <c r="V741" s="899"/>
      <c r="W741" s="899"/>
      <c r="X741" s="899"/>
      <c r="Y741" s="899"/>
      <c r="Z741" s="899"/>
      <c r="AA741" s="899"/>
      <c r="AB741" s="899"/>
      <c r="AC741" s="899"/>
      <c r="AD741" s="899"/>
      <c r="AE741" s="899"/>
    </row>
    <row r="742">
      <c r="A742" s="944"/>
      <c r="B742" s="945"/>
      <c r="C742" s="945"/>
      <c r="D742" s="945"/>
      <c r="E742" s="945"/>
      <c r="F742" s="945"/>
      <c r="G742" s="945"/>
      <c r="H742" s="945"/>
      <c r="I742" s="945"/>
      <c r="J742" s="945"/>
      <c r="K742" s="945"/>
      <c r="L742" s="945"/>
      <c r="M742" s="945"/>
      <c r="N742" s="899"/>
      <c r="O742" s="899"/>
      <c r="P742" s="899"/>
      <c r="Q742" s="899"/>
      <c r="R742" s="899"/>
      <c r="S742" s="899"/>
      <c r="T742" s="899"/>
      <c r="U742" s="899"/>
      <c r="V742" s="899"/>
      <c r="W742" s="899"/>
      <c r="X742" s="899"/>
      <c r="Y742" s="899"/>
      <c r="Z742" s="899"/>
      <c r="AA742" s="899"/>
      <c r="AB742" s="899"/>
      <c r="AC742" s="899"/>
      <c r="AD742" s="899"/>
      <c r="AE742" s="899"/>
    </row>
    <row r="743">
      <c r="A743" s="944"/>
      <c r="B743" s="945"/>
      <c r="C743" s="945"/>
      <c r="D743" s="945"/>
      <c r="E743" s="945"/>
      <c r="F743" s="945"/>
      <c r="G743" s="945"/>
      <c r="H743" s="945"/>
      <c r="I743" s="945"/>
      <c r="J743" s="945"/>
      <c r="K743" s="945"/>
      <c r="L743" s="945"/>
      <c r="M743" s="945"/>
      <c r="N743" s="899"/>
      <c r="O743" s="899"/>
      <c r="P743" s="899"/>
      <c r="Q743" s="899"/>
      <c r="R743" s="899"/>
      <c r="S743" s="899"/>
      <c r="T743" s="899"/>
      <c r="U743" s="899"/>
      <c r="V743" s="899"/>
      <c r="W743" s="899"/>
      <c r="X743" s="899"/>
      <c r="Y743" s="899"/>
      <c r="Z743" s="899"/>
      <c r="AA743" s="899"/>
      <c r="AB743" s="899"/>
      <c r="AC743" s="899"/>
      <c r="AD743" s="899"/>
      <c r="AE743" s="899"/>
    </row>
    <row r="744">
      <c r="A744" s="944"/>
      <c r="B744" s="945"/>
      <c r="C744" s="945"/>
      <c r="D744" s="945"/>
      <c r="E744" s="945"/>
      <c r="F744" s="945"/>
      <c r="G744" s="945"/>
      <c r="H744" s="945"/>
      <c r="I744" s="945"/>
      <c r="J744" s="945"/>
      <c r="K744" s="945"/>
      <c r="L744" s="945"/>
      <c r="M744" s="945"/>
      <c r="N744" s="899"/>
      <c r="O744" s="899"/>
      <c r="P744" s="899"/>
      <c r="Q744" s="899"/>
      <c r="R744" s="899"/>
      <c r="S744" s="899"/>
      <c r="T744" s="899"/>
      <c r="U744" s="899"/>
      <c r="V744" s="899"/>
      <c r="W744" s="899"/>
      <c r="X744" s="899"/>
      <c r="Y744" s="899"/>
      <c r="Z744" s="899"/>
      <c r="AA744" s="899"/>
      <c r="AB744" s="899"/>
      <c r="AC744" s="899"/>
      <c r="AD744" s="899"/>
      <c r="AE744" s="899"/>
    </row>
    <row r="745">
      <c r="A745" s="944"/>
      <c r="B745" s="945"/>
      <c r="C745" s="945"/>
      <c r="D745" s="945"/>
      <c r="E745" s="945"/>
      <c r="F745" s="945"/>
      <c r="G745" s="945"/>
      <c r="H745" s="945"/>
      <c r="I745" s="945"/>
      <c r="J745" s="945"/>
      <c r="K745" s="945"/>
      <c r="L745" s="945"/>
      <c r="M745" s="945"/>
      <c r="N745" s="899"/>
      <c r="O745" s="899"/>
      <c r="P745" s="899"/>
      <c r="Q745" s="899"/>
      <c r="R745" s="899"/>
      <c r="S745" s="899"/>
      <c r="T745" s="899"/>
      <c r="U745" s="899"/>
      <c r="V745" s="899"/>
      <c r="W745" s="899"/>
      <c r="X745" s="899"/>
      <c r="Y745" s="899"/>
      <c r="Z745" s="899"/>
      <c r="AA745" s="899"/>
      <c r="AB745" s="899"/>
      <c r="AC745" s="899"/>
      <c r="AD745" s="899"/>
      <c r="AE745" s="899"/>
    </row>
    <row r="746">
      <c r="A746" s="944"/>
      <c r="B746" s="945"/>
      <c r="C746" s="945"/>
      <c r="D746" s="945"/>
      <c r="E746" s="945"/>
      <c r="F746" s="945"/>
      <c r="G746" s="945"/>
      <c r="H746" s="945"/>
      <c r="I746" s="945"/>
      <c r="J746" s="945"/>
      <c r="K746" s="945"/>
      <c r="L746" s="945"/>
      <c r="M746" s="945"/>
      <c r="N746" s="899"/>
      <c r="O746" s="899"/>
      <c r="P746" s="899"/>
      <c r="Q746" s="899"/>
      <c r="R746" s="899"/>
      <c r="S746" s="899"/>
      <c r="T746" s="899"/>
      <c r="U746" s="899"/>
      <c r="V746" s="899"/>
      <c r="W746" s="899"/>
      <c r="X746" s="899"/>
      <c r="Y746" s="899"/>
      <c r="Z746" s="899"/>
      <c r="AA746" s="899"/>
      <c r="AB746" s="899"/>
      <c r="AC746" s="899"/>
      <c r="AD746" s="899"/>
      <c r="AE746" s="899"/>
    </row>
    <row r="747">
      <c r="A747" s="944"/>
      <c r="B747" s="945"/>
      <c r="C747" s="945"/>
      <c r="D747" s="945"/>
      <c r="E747" s="945"/>
      <c r="F747" s="945"/>
      <c r="G747" s="945"/>
      <c r="H747" s="945"/>
      <c r="I747" s="945"/>
      <c r="J747" s="945"/>
      <c r="K747" s="945"/>
      <c r="L747" s="945"/>
      <c r="M747" s="945"/>
      <c r="N747" s="899"/>
      <c r="O747" s="899"/>
      <c r="P747" s="899"/>
      <c r="Q747" s="899"/>
      <c r="R747" s="899"/>
      <c r="S747" s="899"/>
      <c r="T747" s="899"/>
      <c r="U747" s="899"/>
      <c r="V747" s="899"/>
      <c r="W747" s="899"/>
      <c r="X747" s="899"/>
      <c r="Y747" s="899"/>
      <c r="Z747" s="899"/>
      <c r="AA747" s="899"/>
      <c r="AB747" s="899"/>
      <c r="AC747" s="899"/>
      <c r="AD747" s="899"/>
      <c r="AE747" s="899"/>
    </row>
    <row r="748">
      <c r="A748" s="944"/>
      <c r="B748" s="945"/>
      <c r="C748" s="945"/>
      <c r="D748" s="945"/>
      <c r="E748" s="945"/>
      <c r="F748" s="945"/>
      <c r="G748" s="945"/>
      <c r="H748" s="945"/>
      <c r="I748" s="945"/>
      <c r="J748" s="945"/>
      <c r="K748" s="945"/>
      <c r="L748" s="945"/>
      <c r="M748" s="945"/>
      <c r="N748" s="899"/>
      <c r="O748" s="899"/>
      <c r="P748" s="899"/>
      <c r="Q748" s="899"/>
      <c r="R748" s="899"/>
      <c r="S748" s="899"/>
      <c r="T748" s="899"/>
      <c r="U748" s="899"/>
      <c r="V748" s="899"/>
      <c r="W748" s="899"/>
      <c r="X748" s="899"/>
      <c r="Y748" s="899"/>
      <c r="Z748" s="899"/>
      <c r="AA748" s="899"/>
      <c r="AB748" s="899"/>
      <c r="AC748" s="899"/>
      <c r="AD748" s="899"/>
      <c r="AE748" s="899"/>
    </row>
    <row r="749">
      <c r="A749" s="944"/>
      <c r="B749" s="945"/>
      <c r="C749" s="945"/>
      <c r="D749" s="945"/>
      <c r="E749" s="945"/>
      <c r="F749" s="945"/>
      <c r="G749" s="945"/>
      <c r="H749" s="945"/>
      <c r="I749" s="945"/>
      <c r="J749" s="945"/>
      <c r="K749" s="945"/>
      <c r="L749" s="945"/>
      <c r="M749" s="945"/>
      <c r="N749" s="899"/>
      <c r="O749" s="899"/>
      <c r="P749" s="899"/>
      <c r="Q749" s="899"/>
      <c r="R749" s="899"/>
      <c r="S749" s="899"/>
      <c r="T749" s="899"/>
      <c r="U749" s="899"/>
      <c r="V749" s="899"/>
      <c r="W749" s="899"/>
      <c r="X749" s="899"/>
      <c r="Y749" s="899"/>
      <c r="Z749" s="899"/>
      <c r="AA749" s="899"/>
      <c r="AB749" s="899"/>
      <c r="AC749" s="899"/>
      <c r="AD749" s="899"/>
      <c r="AE749" s="899"/>
    </row>
    <row r="750">
      <c r="A750" s="944"/>
      <c r="B750" s="945"/>
      <c r="C750" s="945"/>
      <c r="D750" s="945"/>
      <c r="E750" s="945"/>
      <c r="F750" s="945"/>
      <c r="G750" s="945"/>
      <c r="H750" s="945"/>
      <c r="I750" s="945"/>
      <c r="J750" s="945"/>
      <c r="K750" s="945"/>
      <c r="L750" s="945"/>
      <c r="M750" s="945"/>
      <c r="N750" s="899"/>
      <c r="O750" s="899"/>
      <c r="P750" s="899"/>
      <c r="Q750" s="899"/>
      <c r="R750" s="899"/>
      <c r="S750" s="899"/>
      <c r="T750" s="899"/>
      <c r="U750" s="899"/>
      <c r="V750" s="899"/>
      <c r="W750" s="899"/>
      <c r="X750" s="899"/>
      <c r="Y750" s="899"/>
      <c r="Z750" s="899"/>
      <c r="AA750" s="899"/>
      <c r="AB750" s="899"/>
      <c r="AC750" s="899"/>
      <c r="AD750" s="899"/>
      <c r="AE750" s="899"/>
    </row>
    <row r="751">
      <c r="A751" s="944"/>
      <c r="B751" s="945"/>
      <c r="C751" s="945"/>
      <c r="D751" s="945"/>
      <c r="E751" s="945"/>
      <c r="F751" s="945"/>
      <c r="G751" s="945"/>
      <c r="H751" s="945"/>
      <c r="I751" s="945"/>
      <c r="J751" s="945"/>
      <c r="K751" s="945"/>
      <c r="L751" s="945"/>
      <c r="M751" s="945"/>
      <c r="N751" s="899"/>
      <c r="O751" s="899"/>
      <c r="P751" s="899"/>
      <c r="Q751" s="899"/>
      <c r="R751" s="899"/>
      <c r="S751" s="899"/>
      <c r="T751" s="899"/>
      <c r="U751" s="899"/>
      <c r="V751" s="899"/>
      <c r="W751" s="899"/>
      <c r="X751" s="899"/>
      <c r="Y751" s="899"/>
      <c r="Z751" s="899"/>
      <c r="AA751" s="899"/>
      <c r="AB751" s="899"/>
      <c r="AC751" s="899"/>
      <c r="AD751" s="899"/>
      <c r="AE751" s="899"/>
    </row>
    <row r="752">
      <c r="A752" s="944"/>
      <c r="B752" s="945"/>
      <c r="C752" s="945"/>
      <c r="D752" s="945"/>
      <c r="E752" s="945"/>
      <c r="F752" s="945"/>
      <c r="G752" s="945"/>
      <c r="H752" s="945"/>
      <c r="I752" s="945"/>
      <c r="J752" s="945"/>
      <c r="K752" s="945"/>
      <c r="L752" s="945"/>
      <c r="M752" s="945"/>
      <c r="N752" s="899"/>
      <c r="O752" s="899"/>
      <c r="P752" s="899"/>
      <c r="Q752" s="899"/>
      <c r="R752" s="899"/>
      <c r="S752" s="899"/>
      <c r="T752" s="899"/>
      <c r="U752" s="899"/>
      <c r="V752" s="899"/>
      <c r="W752" s="899"/>
      <c r="X752" s="899"/>
      <c r="Y752" s="899"/>
      <c r="Z752" s="899"/>
      <c r="AA752" s="899"/>
      <c r="AB752" s="899"/>
      <c r="AC752" s="899"/>
      <c r="AD752" s="899"/>
      <c r="AE752" s="899"/>
    </row>
    <row r="753">
      <c r="A753" s="944"/>
      <c r="B753" s="945"/>
      <c r="C753" s="945"/>
      <c r="D753" s="945"/>
      <c r="E753" s="945"/>
      <c r="F753" s="945"/>
      <c r="G753" s="945"/>
      <c r="H753" s="945"/>
      <c r="I753" s="945"/>
      <c r="J753" s="945"/>
      <c r="K753" s="945"/>
      <c r="L753" s="945"/>
      <c r="M753" s="945"/>
      <c r="N753" s="899"/>
      <c r="O753" s="899"/>
      <c r="P753" s="899"/>
      <c r="Q753" s="899"/>
      <c r="R753" s="899"/>
      <c r="S753" s="899"/>
      <c r="T753" s="899"/>
      <c r="U753" s="899"/>
      <c r="V753" s="899"/>
      <c r="W753" s="899"/>
      <c r="X753" s="899"/>
      <c r="Y753" s="899"/>
      <c r="Z753" s="899"/>
      <c r="AA753" s="899"/>
      <c r="AB753" s="899"/>
      <c r="AC753" s="899"/>
      <c r="AD753" s="899"/>
      <c r="AE753" s="899"/>
    </row>
    <row r="754">
      <c r="A754" s="944"/>
      <c r="B754" s="945"/>
      <c r="C754" s="945"/>
      <c r="D754" s="945"/>
      <c r="E754" s="945"/>
      <c r="F754" s="945"/>
      <c r="G754" s="945"/>
      <c r="H754" s="945"/>
      <c r="I754" s="945"/>
      <c r="J754" s="945"/>
      <c r="K754" s="945"/>
      <c r="L754" s="945"/>
      <c r="M754" s="945"/>
      <c r="N754" s="899"/>
      <c r="O754" s="899"/>
      <c r="P754" s="899"/>
      <c r="Q754" s="899"/>
      <c r="R754" s="899"/>
      <c r="S754" s="899"/>
      <c r="T754" s="899"/>
      <c r="U754" s="899"/>
      <c r="V754" s="899"/>
      <c r="W754" s="899"/>
      <c r="X754" s="899"/>
      <c r="Y754" s="899"/>
      <c r="Z754" s="899"/>
      <c r="AA754" s="899"/>
      <c r="AB754" s="899"/>
      <c r="AC754" s="899"/>
      <c r="AD754" s="899"/>
      <c r="AE754" s="899"/>
    </row>
    <row r="755">
      <c r="A755" s="944"/>
      <c r="B755" s="945"/>
      <c r="C755" s="945"/>
      <c r="D755" s="945"/>
      <c r="E755" s="945"/>
      <c r="F755" s="945"/>
      <c r="G755" s="945"/>
      <c r="H755" s="945"/>
      <c r="I755" s="945"/>
      <c r="J755" s="945"/>
      <c r="K755" s="945"/>
      <c r="L755" s="945"/>
      <c r="M755" s="945"/>
      <c r="N755" s="899"/>
      <c r="O755" s="899"/>
      <c r="P755" s="899"/>
      <c r="Q755" s="899"/>
      <c r="R755" s="899"/>
      <c r="S755" s="899"/>
      <c r="T755" s="899"/>
      <c r="U755" s="899"/>
      <c r="V755" s="899"/>
      <c r="W755" s="899"/>
      <c r="X755" s="899"/>
      <c r="Y755" s="899"/>
      <c r="Z755" s="899"/>
      <c r="AA755" s="899"/>
      <c r="AB755" s="899"/>
      <c r="AC755" s="899"/>
      <c r="AD755" s="899"/>
      <c r="AE755" s="899"/>
    </row>
    <row r="756">
      <c r="A756" s="944"/>
      <c r="B756" s="945"/>
      <c r="C756" s="945"/>
      <c r="D756" s="945"/>
      <c r="E756" s="945"/>
      <c r="F756" s="945"/>
      <c r="G756" s="945"/>
      <c r="H756" s="945"/>
      <c r="I756" s="945"/>
      <c r="J756" s="945"/>
      <c r="K756" s="945"/>
      <c r="L756" s="945"/>
      <c r="M756" s="945"/>
      <c r="N756" s="899"/>
      <c r="O756" s="899"/>
      <c r="P756" s="899"/>
      <c r="Q756" s="899"/>
      <c r="R756" s="899"/>
      <c r="S756" s="899"/>
      <c r="T756" s="899"/>
      <c r="U756" s="899"/>
      <c r="V756" s="899"/>
      <c r="W756" s="899"/>
      <c r="X756" s="899"/>
      <c r="Y756" s="899"/>
      <c r="Z756" s="899"/>
      <c r="AA756" s="899"/>
      <c r="AB756" s="899"/>
      <c r="AC756" s="899"/>
      <c r="AD756" s="899"/>
      <c r="AE756" s="899"/>
    </row>
    <row r="757">
      <c r="A757" s="944"/>
      <c r="B757" s="945"/>
      <c r="C757" s="945"/>
      <c r="D757" s="945"/>
      <c r="E757" s="945"/>
      <c r="F757" s="945"/>
      <c r="G757" s="945"/>
      <c r="H757" s="945"/>
      <c r="I757" s="945"/>
      <c r="J757" s="945"/>
      <c r="K757" s="945"/>
      <c r="L757" s="945"/>
      <c r="M757" s="945"/>
      <c r="N757" s="899"/>
      <c r="O757" s="899"/>
      <c r="P757" s="899"/>
      <c r="Q757" s="899"/>
      <c r="R757" s="899"/>
      <c r="S757" s="899"/>
      <c r="T757" s="899"/>
      <c r="U757" s="899"/>
      <c r="V757" s="899"/>
      <c r="W757" s="899"/>
      <c r="X757" s="899"/>
      <c r="Y757" s="899"/>
      <c r="Z757" s="899"/>
      <c r="AA757" s="899"/>
      <c r="AB757" s="899"/>
      <c r="AC757" s="899"/>
      <c r="AD757" s="899"/>
      <c r="AE757" s="899"/>
    </row>
    <row r="758">
      <c r="A758" s="944"/>
      <c r="B758" s="945"/>
      <c r="C758" s="945"/>
      <c r="D758" s="945"/>
      <c r="E758" s="945"/>
      <c r="F758" s="945"/>
      <c r="G758" s="945"/>
      <c r="H758" s="945"/>
      <c r="I758" s="945"/>
      <c r="J758" s="945"/>
      <c r="K758" s="945"/>
      <c r="L758" s="945"/>
      <c r="M758" s="945"/>
      <c r="N758" s="899"/>
      <c r="O758" s="899"/>
      <c r="P758" s="899"/>
      <c r="Q758" s="899"/>
      <c r="R758" s="899"/>
      <c r="S758" s="899"/>
      <c r="T758" s="899"/>
      <c r="U758" s="899"/>
      <c r="V758" s="899"/>
      <c r="W758" s="899"/>
      <c r="X758" s="899"/>
      <c r="Y758" s="899"/>
      <c r="Z758" s="899"/>
      <c r="AA758" s="899"/>
      <c r="AB758" s="899"/>
      <c r="AC758" s="899"/>
      <c r="AD758" s="899"/>
      <c r="AE758" s="899"/>
    </row>
    <row r="759">
      <c r="A759" s="944"/>
      <c r="B759" s="945"/>
      <c r="C759" s="945"/>
      <c r="D759" s="945"/>
      <c r="E759" s="945"/>
      <c r="F759" s="945"/>
      <c r="G759" s="945"/>
      <c r="H759" s="945"/>
      <c r="I759" s="945"/>
      <c r="J759" s="945"/>
      <c r="K759" s="945"/>
      <c r="L759" s="945"/>
      <c r="M759" s="945"/>
      <c r="N759" s="899"/>
      <c r="O759" s="899"/>
      <c r="P759" s="899"/>
      <c r="Q759" s="899"/>
      <c r="R759" s="899"/>
      <c r="S759" s="899"/>
      <c r="T759" s="899"/>
      <c r="U759" s="899"/>
      <c r="V759" s="899"/>
      <c r="W759" s="899"/>
      <c r="X759" s="899"/>
      <c r="Y759" s="899"/>
      <c r="Z759" s="899"/>
      <c r="AA759" s="899"/>
      <c r="AB759" s="899"/>
      <c r="AC759" s="899"/>
      <c r="AD759" s="899"/>
      <c r="AE759" s="899"/>
    </row>
    <row r="760">
      <c r="A760" s="944"/>
      <c r="B760" s="945"/>
      <c r="C760" s="945"/>
      <c r="D760" s="945"/>
      <c r="E760" s="945"/>
      <c r="F760" s="945"/>
      <c r="G760" s="945"/>
      <c r="H760" s="945"/>
      <c r="I760" s="945"/>
      <c r="J760" s="945"/>
      <c r="K760" s="945"/>
      <c r="L760" s="945"/>
      <c r="M760" s="945"/>
      <c r="N760" s="899"/>
      <c r="O760" s="899"/>
      <c r="P760" s="899"/>
      <c r="Q760" s="899"/>
      <c r="R760" s="899"/>
      <c r="S760" s="899"/>
      <c r="T760" s="899"/>
      <c r="U760" s="899"/>
      <c r="V760" s="899"/>
      <c r="W760" s="899"/>
      <c r="X760" s="899"/>
      <c r="Y760" s="899"/>
      <c r="Z760" s="899"/>
      <c r="AA760" s="899"/>
      <c r="AB760" s="899"/>
      <c r="AC760" s="899"/>
      <c r="AD760" s="899"/>
      <c r="AE760" s="899"/>
    </row>
    <row r="761">
      <c r="A761" s="944"/>
      <c r="B761" s="945"/>
      <c r="C761" s="945"/>
      <c r="D761" s="945"/>
      <c r="E761" s="945"/>
      <c r="F761" s="945"/>
      <c r="G761" s="945"/>
      <c r="H761" s="945"/>
      <c r="I761" s="945"/>
      <c r="J761" s="945"/>
      <c r="K761" s="945"/>
      <c r="L761" s="945"/>
      <c r="M761" s="945"/>
      <c r="N761" s="899"/>
      <c r="O761" s="899"/>
      <c r="P761" s="899"/>
      <c r="Q761" s="899"/>
      <c r="R761" s="899"/>
      <c r="S761" s="899"/>
      <c r="T761" s="899"/>
      <c r="U761" s="899"/>
      <c r="V761" s="899"/>
      <c r="W761" s="899"/>
      <c r="X761" s="899"/>
      <c r="Y761" s="899"/>
      <c r="Z761" s="899"/>
      <c r="AA761" s="899"/>
      <c r="AB761" s="899"/>
      <c r="AC761" s="899"/>
      <c r="AD761" s="899"/>
      <c r="AE761" s="899"/>
    </row>
    <row r="762">
      <c r="A762" s="944"/>
      <c r="B762" s="945"/>
      <c r="C762" s="945"/>
      <c r="D762" s="945"/>
      <c r="E762" s="945"/>
      <c r="F762" s="945"/>
      <c r="G762" s="945"/>
      <c r="H762" s="945"/>
      <c r="I762" s="945"/>
      <c r="J762" s="945"/>
      <c r="K762" s="945"/>
      <c r="L762" s="945"/>
      <c r="M762" s="945"/>
      <c r="N762" s="899"/>
      <c r="O762" s="899"/>
      <c r="P762" s="899"/>
      <c r="Q762" s="899"/>
      <c r="R762" s="899"/>
      <c r="S762" s="899"/>
      <c r="T762" s="899"/>
      <c r="U762" s="899"/>
      <c r="V762" s="899"/>
      <c r="W762" s="899"/>
      <c r="X762" s="899"/>
      <c r="Y762" s="899"/>
      <c r="Z762" s="899"/>
      <c r="AA762" s="899"/>
      <c r="AB762" s="899"/>
      <c r="AC762" s="899"/>
      <c r="AD762" s="899"/>
      <c r="AE762" s="899"/>
    </row>
    <row r="763">
      <c r="A763" s="944"/>
      <c r="B763" s="945"/>
      <c r="C763" s="945"/>
      <c r="D763" s="945"/>
      <c r="E763" s="945"/>
      <c r="F763" s="945"/>
      <c r="G763" s="945"/>
      <c r="H763" s="945"/>
      <c r="I763" s="945"/>
      <c r="J763" s="945"/>
      <c r="K763" s="945"/>
      <c r="L763" s="945"/>
      <c r="M763" s="945"/>
      <c r="N763" s="899"/>
      <c r="O763" s="899"/>
      <c r="P763" s="899"/>
      <c r="Q763" s="899"/>
      <c r="R763" s="899"/>
      <c r="S763" s="899"/>
      <c r="T763" s="899"/>
      <c r="U763" s="899"/>
      <c r="V763" s="899"/>
      <c r="W763" s="899"/>
      <c r="X763" s="899"/>
      <c r="Y763" s="899"/>
      <c r="Z763" s="899"/>
      <c r="AA763" s="899"/>
      <c r="AB763" s="899"/>
      <c r="AC763" s="899"/>
      <c r="AD763" s="899"/>
      <c r="AE763" s="899"/>
    </row>
    <row r="764">
      <c r="A764" s="944"/>
      <c r="B764" s="945"/>
      <c r="C764" s="945"/>
      <c r="D764" s="945"/>
      <c r="E764" s="945"/>
      <c r="F764" s="945"/>
      <c r="G764" s="945"/>
      <c r="H764" s="945"/>
      <c r="I764" s="945"/>
      <c r="J764" s="945"/>
      <c r="K764" s="945"/>
      <c r="L764" s="945"/>
      <c r="M764" s="945"/>
      <c r="N764" s="899"/>
      <c r="O764" s="899"/>
      <c r="P764" s="899"/>
      <c r="Q764" s="899"/>
      <c r="R764" s="899"/>
      <c r="S764" s="899"/>
      <c r="T764" s="899"/>
      <c r="U764" s="899"/>
      <c r="V764" s="899"/>
      <c r="W764" s="899"/>
      <c r="X764" s="899"/>
      <c r="Y764" s="899"/>
      <c r="Z764" s="899"/>
      <c r="AA764" s="899"/>
      <c r="AB764" s="899"/>
      <c r="AC764" s="899"/>
      <c r="AD764" s="899"/>
      <c r="AE764" s="899"/>
    </row>
    <row r="765">
      <c r="A765" s="944"/>
      <c r="B765" s="945"/>
      <c r="C765" s="945"/>
      <c r="D765" s="945"/>
      <c r="E765" s="945"/>
      <c r="F765" s="945"/>
      <c r="G765" s="945"/>
      <c r="H765" s="945"/>
      <c r="I765" s="945"/>
      <c r="J765" s="945"/>
      <c r="K765" s="945"/>
      <c r="L765" s="945"/>
      <c r="M765" s="945"/>
      <c r="N765" s="899"/>
      <c r="O765" s="899"/>
      <c r="P765" s="899"/>
      <c r="Q765" s="899"/>
      <c r="R765" s="899"/>
      <c r="S765" s="899"/>
      <c r="T765" s="899"/>
      <c r="U765" s="899"/>
      <c r="V765" s="899"/>
      <c r="W765" s="899"/>
      <c r="X765" s="899"/>
      <c r="Y765" s="899"/>
      <c r="Z765" s="899"/>
      <c r="AA765" s="899"/>
      <c r="AB765" s="899"/>
      <c r="AC765" s="899"/>
      <c r="AD765" s="899"/>
      <c r="AE765" s="899"/>
    </row>
    <row r="766">
      <c r="A766" s="944"/>
      <c r="B766" s="945"/>
      <c r="C766" s="945"/>
      <c r="D766" s="945"/>
      <c r="E766" s="945"/>
      <c r="F766" s="945"/>
      <c r="G766" s="945"/>
      <c r="H766" s="945"/>
      <c r="I766" s="945"/>
      <c r="J766" s="945"/>
      <c r="K766" s="945"/>
      <c r="L766" s="945"/>
      <c r="M766" s="945"/>
      <c r="N766" s="899"/>
      <c r="O766" s="899"/>
      <c r="P766" s="899"/>
      <c r="Q766" s="899"/>
      <c r="R766" s="899"/>
      <c r="S766" s="899"/>
      <c r="T766" s="899"/>
      <c r="U766" s="899"/>
      <c r="V766" s="899"/>
      <c r="W766" s="899"/>
      <c r="X766" s="899"/>
      <c r="Y766" s="899"/>
      <c r="Z766" s="899"/>
      <c r="AA766" s="899"/>
      <c r="AB766" s="899"/>
      <c r="AC766" s="899"/>
      <c r="AD766" s="899"/>
      <c r="AE766" s="899"/>
    </row>
    <row r="767">
      <c r="A767" s="944"/>
      <c r="B767" s="945"/>
      <c r="C767" s="945"/>
      <c r="D767" s="945"/>
      <c r="E767" s="945"/>
      <c r="F767" s="945"/>
      <c r="G767" s="945"/>
      <c r="H767" s="945"/>
      <c r="I767" s="945"/>
      <c r="J767" s="945"/>
      <c r="K767" s="945"/>
      <c r="L767" s="945"/>
      <c r="M767" s="945"/>
      <c r="N767" s="899"/>
      <c r="O767" s="899"/>
      <c r="P767" s="899"/>
      <c r="Q767" s="899"/>
      <c r="R767" s="899"/>
      <c r="S767" s="899"/>
      <c r="T767" s="899"/>
      <c r="U767" s="899"/>
      <c r="V767" s="899"/>
      <c r="W767" s="899"/>
      <c r="X767" s="899"/>
      <c r="Y767" s="899"/>
      <c r="Z767" s="899"/>
      <c r="AA767" s="899"/>
      <c r="AB767" s="899"/>
      <c r="AC767" s="899"/>
      <c r="AD767" s="899"/>
      <c r="AE767" s="899"/>
    </row>
    <row r="768">
      <c r="A768" s="944"/>
      <c r="B768" s="945"/>
      <c r="C768" s="945"/>
      <c r="D768" s="945"/>
      <c r="E768" s="945"/>
      <c r="F768" s="945"/>
      <c r="G768" s="945"/>
      <c r="H768" s="945"/>
      <c r="I768" s="945"/>
      <c r="J768" s="945"/>
      <c r="K768" s="945"/>
      <c r="L768" s="945"/>
      <c r="M768" s="945"/>
      <c r="N768" s="899"/>
      <c r="O768" s="899"/>
      <c r="P768" s="899"/>
      <c r="Q768" s="899"/>
      <c r="R768" s="899"/>
      <c r="S768" s="899"/>
      <c r="T768" s="899"/>
      <c r="U768" s="899"/>
      <c r="V768" s="899"/>
      <c r="W768" s="899"/>
      <c r="X768" s="899"/>
      <c r="Y768" s="899"/>
      <c r="Z768" s="899"/>
      <c r="AA768" s="899"/>
      <c r="AB768" s="899"/>
      <c r="AC768" s="899"/>
      <c r="AD768" s="899"/>
      <c r="AE768" s="899"/>
    </row>
    <row r="769">
      <c r="A769" s="944"/>
      <c r="B769" s="945"/>
      <c r="C769" s="945"/>
      <c r="D769" s="945"/>
      <c r="E769" s="945"/>
      <c r="F769" s="945"/>
      <c r="G769" s="945"/>
      <c r="H769" s="945"/>
      <c r="I769" s="945"/>
      <c r="J769" s="945"/>
      <c r="K769" s="945"/>
      <c r="L769" s="945"/>
      <c r="M769" s="945"/>
      <c r="N769" s="899"/>
      <c r="O769" s="899"/>
      <c r="P769" s="899"/>
      <c r="Q769" s="899"/>
      <c r="R769" s="899"/>
      <c r="S769" s="899"/>
      <c r="T769" s="899"/>
      <c r="U769" s="899"/>
      <c r="V769" s="899"/>
      <c r="W769" s="899"/>
      <c r="X769" s="899"/>
      <c r="Y769" s="899"/>
      <c r="Z769" s="899"/>
      <c r="AA769" s="899"/>
      <c r="AB769" s="899"/>
      <c r="AC769" s="899"/>
      <c r="AD769" s="899"/>
      <c r="AE769" s="899"/>
    </row>
    <row r="770">
      <c r="A770" s="944"/>
      <c r="B770" s="945"/>
      <c r="C770" s="945"/>
      <c r="D770" s="945"/>
      <c r="E770" s="945"/>
      <c r="F770" s="945"/>
      <c r="G770" s="945"/>
      <c r="H770" s="945"/>
      <c r="I770" s="945"/>
      <c r="J770" s="945"/>
      <c r="K770" s="945"/>
      <c r="L770" s="945"/>
      <c r="M770" s="945"/>
      <c r="N770" s="899"/>
      <c r="O770" s="899"/>
      <c r="P770" s="899"/>
      <c r="Q770" s="899"/>
      <c r="R770" s="899"/>
      <c r="S770" s="899"/>
      <c r="T770" s="899"/>
      <c r="U770" s="899"/>
      <c r="V770" s="899"/>
      <c r="W770" s="899"/>
      <c r="X770" s="899"/>
      <c r="Y770" s="899"/>
      <c r="Z770" s="899"/>
      <c r="AA770" s="899"/>
      <c r="AB770" s="899"/>
      <c r="AC770" s="899"/>
      <c r="AD770" s="899"/>
      <c r="AE770" s="899"/>
    </row>
    <row r="771">
      <c r="A771" s="944"/>
      <c r="B771" s="945"/>
      <c r="C771" s="945"/>
      <c r="D771" s="945"/>
      <c r="E771" s="945"/>
      <c r="F771" s="945"/>
      <c r="G771" s="945"/>
      <c r="H771" s="945"/>
      <c r="I771" s="945"/>
      <c r="J771" s="945"/>
      <c r="K771" s="945"/>
      <c r="L771" s="945"/>
      <c r="M771" s="945"/>
      <c r="N771" s="899"/>
      <c r="O771" s="899"/>
      <c r="P771" s="899"/>
      <c r="Q771" s="899"/>
      <c r="R771" s="899"/>
      <c r="S771" s="899"/>
      <c r="T771" s="899"/>
      <c r="U771" s="899"/>
      <c r="V771" s="899"/>
      <c r="W771" s="899"/>
      <c r="X771" s="899"/>
      <c r="Y771" s="899"/>
      <c r="Z771" s="899"/>
      <c r="AA771" s="899"/>
      <c r="AB771" s="899"/>
      <c r="AC771" s="899"/>
      <c r="AD771" s="899"/>
      <c r="AE771" s="899"/>
    </row>
    <row r="772">
      <c r="A772" s="944"/>
      <c r="B772" s="945"/>
      <c r="C772" s="945"/>
      <c r="D772" s="945"/>
      <c r="E772" s="945"/>
      <c r="F772" s="945"/>
      <c r="G772" s="945"/>
      <c r="H772" s="945"/>
      <c r="I772" s="945"/>
      <c r="J772" s="945"/>
      <c r="K772" s="945"/>
      <c r="L772" s="945"/>
      <c r="M772" s="945"/>
      <c r="N772" s="899"/>
      <c r="O772" s="899"/>
      <c r="P772" s="899"/>
      <c r="Q772" s="899"/>
      <c r="R772" s="899"/>
      <c r="S772" s="899"/>
      <c r="T772" s="899"/>
      <c r="U772" s="899"/>
      <c r="V772" s="899"/>
      <c r="W772" s="899"/>
      <c r="X772" s="899"/>
      <c r="Y772" s="899"/>
      <c r="Z772" s="899"/>
      <c r="AA772" s="899"/>
      <c r="AB772" s="899"/>
      <c r="AC772" s="899"/>
      <c r="AD772" s="899"/>
      <c r="AE772" s="899"/>
    </row>
    <row r="773">
      <c r="A773" s="944"/>
      <c r="B773" s="945"/>
      <c r="C773" s="945"/>
      <c r="D773" s="945"/>
      <c r="E773" s="945"/>
      <c r="F773" s="945"/>
      <c r="G773" s="945"/>
      <c r="H773" s="945"/>
      <c r="I773" s="945"/>
      <c r="J773" s="945"/>
      <c r="K773" s="945"/>
      <c r="L773" s="945"/>
      <c r="M773" s="945"/>
      <c r="N773" s="899"/>
      <c r="O773" s="899"/>
      <c r="P773" s="899"/>
      <c r="Q773" s="899"/>
      <c r="R773" s="899"/>
      <c r="S773" s="899"/>
      <c r="T773" s="899"/>
      <c r="U773" s="899"/>
      <c r="V773" s="899"/>
      <c r="W773" s="899"/>
      <c r="X773" s="899"/>
      <c r="Y773" s="899"/>
      <c r="Z773" s="899"/>
      <c r="AA773" s="899"/>
      <c r="AB773" s="899"/>
      <c r="AC773" s="899"/>
      <c r="AD773" s="899"/>
      <c r="AE773" s="899"/>
    </row>
    <row r="774">
      <c r="A774" s="944"/>
      <c r="B774" s="945"/>
      <c r="C774" s="945"/>
      <c r="D774" s="945"/>
      <c r="E774" s="945"/>
      <c r="F774" s="945"/>
      <c r="G774" s="945"/>
      <c r="H774" s="945"/>
      <c r="I774" s="945"/>
      <c r="J774" s="945"/>
      <c r="K774" s="945"/>
      <c r="L774" s="945"/>
      <c r="M774" s="945"/>
      <c r="N774" s="899"/>
      <c r="O774" s="899"/>
      <c r="P774" s="899"/>
      <c r="Q774" s="899"/>
      <c r="R774" s="899"/>
      <c r="S774" s="899"/>
      <c r="T774" s="899"/>
      <c r="U774" s="899"/>
      <c r="V774" s="899"/>
      <c r="W774" s="899"/>
      <c r="X774" s="899"/>
      <c r="Y774" s="899"/>
      <c r="Z774" s="899"/>
      <c r="AA774" s="899"/>
      <c r="AB774" s="899"/>
      <c r="AC774" s="899"/>
      <c r="AD774" s="899"/>
      <c r="AE774" s="899"/>
    </row>
    <row r="775">
      <c r="A775" s="944"/>
      <c r="B775" s="945"/>
      <c r="C775" s="945"/>
      <c r="D775" s="945"/>
      <c r="E775" s="945"/>
      <c r="F775" s="945"/>
      <c r="G775" s="945"/>
      <c r="H775" s="945"/>
      <c r="I775" s="945"/>
      <c r="J775" s="945"/>
      <c r="K775" s="945"/>
      <c r="L775" s="945"/>
      <c r="M775" s="945"/>
      <c r="N775" s="899"/>
      <c r="O775" s="899"/>
      <c r="P775" s="899"/>
      <c r="Q775" s="899"/>
      <c r="R775" s="899"/>
      <c r="S775" s="899"/>
      <c r="T775" s="899"/>
      <c r="U775" s="899"/>
      <c r="V775" s="899"/>
      <c r="W775" s="899"/>
      <c r="X775" s="899"/>
      <c r="Y775" s="899"/>
      <c r="Z775" s="899"/>
      <c r="AA775" s="899"/>
      <c r="AB775" s="899"/>
      <c r="AC775" s="899"/>
      <c r="AD775" s="899"/>
      <c r="AE775" s="899"/>
    </row>
    <row r="776">
      <c r="A776" s="944"/>
      <c r="B776" s="945"/>
      <c r="C776" s="945"/>
      <c r="D776" s="945"/>
      <c r="E776" s="945"/>
      <c r="F776" s="945"/>
      <c r="G776" s="945"/>
      <c r="H776" s="945"/>
      <c r="I776" s="945"/>
      <c r="J776" s="945"/>
      <c r="K776" s="945"/>
      <c r="L776" s="945"/>
      <c r="M776" s="945"/>
      <c r="N776" s="899"/>
      <c r="O776" s="899"/>
      <c r="P776" s="899"/>
      <c r="Q776" s="899"/>
      <c r="R776" s="899"/>
      <c r="S776" s="899"/>
      <c r="T776" s="899"/>
      <c r="U776" s="899"/>
      <c r="V776" s="899"/>
      <c r="W776" s="899"/>
      <c r="X776" s="899"/>
      <c r="Y776" s="899"/>
      <c r="Z776" s="899"/>
      <c r="AA776" s="899"/>
      <c r="AB776" s="899"/>
      <c r="AC776" s="899"/>
      <c r="AD776" s="899"/>
      <c r="AE776" s="899"/>
    </row>
    <row r="777">
      <c r="A777" s="944"/>
      <c r="B777" s="945"/>
      <c r="C777" s="945"/>
      <c r="D777" s="945"/>
      <c r="E777" s="945"/>
      <c r="F777" s="945"/>
      <c r="G777" s="945"/>
      <c r="H777" s="945"/>
      <c r="I777" s="945"/>
      <c r="J777" s="945"/>
      <c r="K777" s="945"/>
      <c r="L777" s="945"/>
      <c r="M777" s="945"/>
      <c r="N777" s="899"/>
      <c r="O777" s="899"/>
      <c r="P777" s="899"/>
      <c r="Q777" s="899"/>
      <c r="R777" s="899"/>
      <c r="S777" s="899"/>
      <c r="T777" s="899"/>
      <c r="U777" s="899"/>
      <c r="V777" s="899"/>
      <c r="W777" s="899"/>
      <c r="X777" s="899"/>
      <c r="Y777" s="899"/>
      <c r="Z777" s="899"/>
      <c r="AA777" s="899"/>
      <c r="AB777" s="899"/>
      <c r="AC777" s="899"/>
      <c r="AD777" s="899"/>
      <c r="AE777" s="899"/>
    </row>
    <row r="778">
      <c r="A778" s="944"/>
      <c r="B778" s="945"/>
      <c r="C778" s="945"/>
      <c r="D778" s="945"/>
      <c r="E778" s="945"/>
      <c r="F778" s="945"/>
      <c r="G778" s="945"/>
      <c r="H778" s="945"/>
      <c r="I778" s="945"/>
      <c r="J778" s="945"/>
      <c r="K778" s="945"/>
      <c r="L778" s="945"/>
      <c r="M778" s="945"/>
      <c r="N778" s="899"/>
      <c r="O778" s="899"/>
      <c r="P778" s="899"/>
      <c r="Q778" s="899"/>
      <c r="R778" s="899"/>
      <c r="S778" s="899"/>
      <c r="T778" s="899"/>
      <c r="U778" s="899"/>
      <c r="V778" s="899"/>
      <c r="W778" s="899"/>
      <c r="X778" s="899"/>
      <c r="Y778" s="899"/>
      <c r="Z778" s="899"/>
      <c r="AA778" s="899"/>
      <c r="AB778" s="899"/>
      <c r="AC778" s="899"/>
      <c r="AD778" s="899"/>
      <c r="AE778" s="899"/>
    </row>
    <row r="779">
      <c r="A779" s="944"/>
      <c r="B779" s="945"/>
      <c r="C779" s="945"/>
      <c r="D779" s="945"/>
      <c r="E779" s="945"/>
      <c r="F779" s="945"/>
      <c r="G779" s="945"/>
      <c r="H779" s="945"/>
      <c r="I779" s="945"/>
      <c r="J779" s="945"/>
      <c r="K779" s="945"/>
      <c r="L779" s="945"/>
      <c r="M779" s="945"/>
      <c r="N779" s="899"/>
      <c r="O779" s="899"/>
      <c r="P779" s="899"/>
      <c r="Q779" s="899"/>
      <c r="R779" s="899"/>
      <c r="S779" s="899"/>
      <c r="T779" s="899"/>
      <c r="U779" s="899"/>
      <c r="V779" s="899"/>
      <c r="W779" s="899"/>
      <c r="X779" s="899"/>
      <c r="Y779" s="899"/>
      <c r="Z779" s="899"/>
      <c r="AA779" s="899"/>
      <c r="AB779" s="899"/>
      <c r="AC779" s="899"/>
      <c r="AD779" s="899"/>
      <c r="AE779" s="899"/>
    </row>
    <row r="780">
      <c r="A780" s="944"/>
      <c r="B780" s="945"/>
      <c r="C780" s="945"/>
      <c r="D780" s="945"/>
      <c r="E780" s="945"/>
      <c r="F780" s="945"/>
      <c r="G780" s="945"/>
      <c r="H780" s="945"/>
      <c r="I780" s="945"/>
      <c r="J780" s="945"/>
      <c r="K780" s="945"/>
      <c r="L780" s="945"/>
      <c r="M780" s="945"/>
      <c r="N780" s="899"/>
      <c r="O780" s="899"/>
      <c r="P780" s="899"/>
      <c r="Q780" s="899"/>
      <c r="R780" s="899"/>
      <c r="S780" s="899"/>
      <c r="T780" s="899"/>
      <c r="U780" s="899"/>
      <c r="V780" s="899"/>
      <c r="W780" s="899"/>
      <c r="X780" s="899"/>
      <c r="Y780" s="899"/>
      <c r="Z780" s="899"/>
      <c r="AA780" s="899"/>
      <c r="AB780" s="899"/>
      <c r="AC780" s="899"/>
      <c r="AD780" s="899"/>
      <c r="AE780" s="899"/>
    </row>
    <row r="781">
      <c r="A781" s="944"/>
      <c r="B781" s="945"/>
      <c r="C781" s="945"/>
      <c r="D781" s="945"/>
      <c r="E781" s="945"/>
      <c r="F781" s="945"/>
      <c r="G781" s="945"/>
      <c r="H781" s="945"/>
      <c r="I781" s="945"/>
      <c r="J781" s="945"/>
      <c r="K781" s="945"/>
      <c r="L781" s="945"/>
      <c r="M781" s="945"/>
      <c r="N781" s="899"/>
      <c r="O781" s="899"/>
      <c r="P781" s="899"/>
      <c r="Q781" s="899"/>
      <c r="R781" s="899"/>
      <c r="S781" s="899"/>
      <c r="T781" s="899"/>
      <c r="U781" s="899"/>
      <c r="V781" s="899"/>
      <c r="W781" s="899"/>
      <c r="X781" s="899"/>
      <c r="Y781" s="899"/>
      <c r="Z781" s="899"/>
      <c r="AA781" s="899"/>
      <c r="AB781" s="899"/>
      <c r="AC781" s="899"/>
      <c r="AD781" s="899"/>
      <c r="AE781" s="899"/>
    </row>
    <row r="782">
      <c r="A782" s="944"/>
      <c r="B782" s="945"/>
      <c r="C782" s="945"/>
      <c r="D782" s="945"/>
      <c r="E782" s="945"/>
      <c r="F782" s="945"/>
      <c r="G782" s="945"/>
      <c r="H782" s="945"/>
      <c r="I782" s="945"/>
      <c r="J782" s="945"/>
      <c r="K782" s="945"/>
      <c r="L782" s="945"/>
      <c r="M782" s="945"/>
      <c r="N782" s="899"/>
      <c r="O782" s="899"/>
      <c r="P782" s="899"/>
      <c r="Q782" s="899"/>
      <c r="R782" s="899"/>
      <c r="S782" s="899"/>
      <c r="T782" s="899"/>
      <c r="U782" s="899"/>
      <c r="V782" s="899"/>
      <c r="W782" s="899"/>
      <c r="X782" s="899"/>
      <c r="Y782" s="899"/>
      <c r="Z782" s="899"/>
      <c r="AA782" s="899"/>
      <c r="AB782" s="899"/>
      <c r="AC782" s="899"/>
      <c r="AD782" s="899"/>
      <c r="AE782" s="899"/>
    </row>
    <row r="783">
      <c r="A783" s="944"/>
      <c r="B783" s="945"/>
      <c r="C783" s="945"/>
      <c r="D783" s="945"/>
      <c r="E783" s="945"/>
      <c r="F783" s="945"/>
      <c r="G783" s="945"/>
      <c r="H783" s="945"/>
      <c r="I783" s="945"/>
      <c r="J783" s="945"/>
      <c r="K783" s="945"/>
      <c r="L783" s="945"/>
      <c r="M783" s="945"/>
      <c r="N783" s="899"/>
      <c r="O783" s="899"/>
      <c r="P783" s="899"/>
      <c r="Q783" s="899"/>
      <c r="R783" s="899"/>
      <c r="S783" s="899"/>
      <c r="T783" s="899"/>
      <c r="U783" s="899"/>
      <c r="V783" s="899"/>
      <c r="W783" s="899"/>
      <c r="X783" s="899"/>
      <c r="Y783" s="899"/>
      <c r="Z783" s="899"/>
      <c r="AA783" s="899"/>
      <c r="AB783" s="899"/>
      <c r="AC783" s="899"/>
      <c r="AD783" s="899"/>
      <c r="AE783" s="899"/>
    </row>
    <row r="784">
      <c r="A784" s="944"/>
      <c r="B784" s="945"/>
      <c r="C784" s="945"/>
      <c r="D784" s="945"/>
      <c r="E784" s="945"/>
      <c r="F784" s="945"/>
      <c r="G784" s="945"/>
      <c r="H784" s="945"/>
      <c r="I784" s="945"/>
      <c r="J784" s="945"/>
      <c r="K784" s="945"/>
      <c r="L784" s="945"/>
      <c r="M784" s="945"/>
      <c r="N784" s="899"/>
      <c r="O784" s="899"/>
      <c r="P784" s="899"/>
      <c r="Q784" s="899"/>
      <c r="R784" s="899"/>
      <c r="S784" s="899"/>
      <c r="T784" s="899"/>
      <c r="U784" s="899"/>
      <c r="V784" s="899"/>
      <c r="W784" s="899"/>
      <c r="X784" s="899"/>
      <c r="Y784" s="899"/>
      <c r="Z784" s="899"/>
      <c r="AA784" s="899"/>
      <c r="AB784" s="899"/>
      <c r="AC784" s="899"/>
      <c r="AD784" s="899"/>
      <c r="AE784" s="899"/>
    </row>
    <row r="785">
      <c r="A785" s="944"/>
      <c r="B785" s="945"/>
      <c r="C785" s="945"/>
      <c r="D785" s="945"/>
      <c r="E785" s="945"/>
      <c r="F785" s="945"/>
      <c r="G785" s="945"/>
      <c r="H785" s="945"/>
      <c r="I785" s="945"/>
      <c r="J785" s="945"/>
      <c r="K785" s="945"/>
      <c r="L785" s="945"/>
      <c r="M785" s="945"/>
      <c r="N785" s="899"/>
      <c r="O785" s="899"/>
      <c r="P785" s="899"/>
      <c r="Q785" s="899"/>
      <c r="R785" s="899"/>
      <c r="S785" s="899"/>
      <c r="T785" s="899"/>
      <c r="U785" s="899"/>
      <c r="V785" s="899"/>
      <c r="W785" s="899"/>
      <c r="X785" s="899"/>
      <c r="Y785" s="899"/>
      <c r="Z785" s="899"/>
      <c r="AA785" s="899"/>
      <c r="AB785" s="899"/>
      <c r="AC785" s="899"/>
      <c r="AD785" s="899"/>
      <c r="AE785" s="899"/>
    </row>
    <row r="786">
      <c r="A786" s="944"/>
      <c r="B786" s="945"/>
      <c r="C786" s="945"/>
      <c r="D786" s="945"/>
      <c r="E786" s="945"/>
      <c r="F786" s="945"/>
      <c r="G786" s="945"/>
      <c r="H786" s="945"/>
      <c r="I786" s="945"/>
      <c r="J786" s="945"/>
      <c r="K786" s="945"/>
      <c r="L786" s="945"/>
      <c r="M786" s="945"/>
      <c r="N786" s="899"/>
      <c r="O786" s="899"/>
      <c r="P786" s="899"/>
      <c r="Q786" s="899"/>
      <c r="R786" s="899"/>
      <c r="S786" s="899"/>
      <c r="T786" s="899"/>
      <c r="U786" s="899"/>
      <c r="V786" s="899"/>
      <c r="W786" s="899"/>
      <c r="X786" s="899"/>
      <c r="Y786" s="899"/>
      <c r="Z786" s="899"/>
      <c r="AA786" s="899"/>
      <c r="AB786" s="899"/>
      <c r="AC786" s="899"/>
      <c r="AD786" s="899"/>
      <c r="AE786" s="899"/>
    </row>
    <row r="787">
      <c r="A787" s="944"/>
      <c r="B787" s="945"/>
      <c r="C787" s="945"/>
      <c r="D787" s="945"/>
      <c r="E787" s="945"/>
      <c r="F787" s="945"/>
      <c r="G787" s="945"/>
      <c r="H787" s="945"/>
      <c r="I787" s="945"/>
      <c r="J787" s="945"/>
      <c r="K787" s="945"/>
      <c r="L787" s="945"/>
      <c r="M787" s="945"/>
      <c r="N787" s="899"/>
      <c r="O787" s="899"/>
      <c r="P787" s="899"/>
      <c r="Q787" s="899"/>
      <c r="R787" s="899"/>
      <c r="S787" s="899"/>
      <c r="T787" s="899"/>
      <c r="U787" s="899"/>
      <c r="V787" s="899"/>
      <c r="W787" s="899"/>
      <c r="X787" s="899"/>
      <c r="Y787" s="899"/>
      <c r="Z787" s="899"/>
      <c r="AA787" s="899"/>
      <c r="AB787" s="899"/>
      <c r="AC787" s="899"/>
      <c r="AD787" s="899"/>
      <c r="AE787" s="899"/>
    </row>
    <row r="788">
      <c r="A788" s="944"/>
      <c r="B788" s="945"/>
      <c r="C788" s="945"/>
      <c r="D788" s="945"/>
      <c r="E788" s="945"/>
      <c r="F788" s="945"/>
      <c r="G788" s="945"/>
      <c r="H788" s="945"/>
      <c r="I788" s="945"/>
      <c r="J788" s="945"/>
      <c r="K788" s="945"/>
      <c r="L788" s="945"/>
      <c r="M788" s="945"/>
      <c r="N788" s="899"/>
      <c r="O788" s="899"/>
      <c r="P788" s="899"/>
      <c r="Q788" s="899"/>
      <c r="R788" s="899"/>
      <c r="S788" s="899"/>
      <c r="T788" s="899"/>
      <c r="U788" s="899"/>
      <c r="V788" s="899"/>
      <c r="W788" s="899"/>
      <c r="X788" s="899"/>
      <c r="Y788" s="899"/>
      <c r="Z788" s="899"/>
      <c r="AA788" s="899"/>
      <c r="AB788" s="899"/>
      <c r="AC788" s="899"/>
      <c r="AD788" s="899"/>
      <c r="AE788" s="899"/>
    </row>
    <row r="789">
      <c r="A789" s="944"/>
      <c r="B789" s="945"/>
      <c r="C789" s="945"/>
      <c r="D789" s="945"/>
      <c r="E789" s="945"/>
      <c r="F789" s="945"/>
      <c r="G789" s="945"/>
      <c r="H789" s="945"/>
      <c r="I789" s="945"/>
      <c r="J789" s="945"/>
      <c r="K789" s="945"/>
      <c r="L789" s="945"/>
      <c r="M789" s="945"/>
      <c r="N789" s="899"/>
      <c r="O789" s="899"/>
      <c r="P789" s="899"/>
      <c r="Q789" s="899"/>
      <c r="R789" s="899"/>
      <c r="S789" s="899"/>
      <c r="T789" s="899"/>
      <c r="U789" s="899"/>
      <c r="V789" s="899"/>
      <c r="W789" s="899"/>
      <c r="X789" s="899"/>
      <c r="Y789" s="899"/>
      <c r="Z789" s="899"/>
      <c r="AA789" s="899"/>
      <c r="AB789" s="899"/>
      <c r="AC789" s="899"/>
      <c r="AD789" s="899"/>
      <c r="AE789" s="899"/>
    </row>
    <row r="790">
      <c r="A790" s="944"/>
      <c r="B790" s="945"/>
      <c r="C790" s="945"/>
      <c r="D790" s="945"/>
      <c r="E790" s="945"/>
      <c r="F790" s="945"/>
      <c r="G790" s="945"/>
      <c r="H790" s="945"/>
      <c r="I790" s="945"/>
      <c r="J790" s="945"/>
      <c r="K790" s="945"/>
      <c r="L790" s="945"/>
      <c r="M790" s="945"/>
      <c r="N790" s="899"/>
      <c r="O790" s="899"/>
      <c r="P790" s="899"/>
      <c r="Q790" s="899"/>
      <c r="R790" s="899"/>
      <c r="S790" s="899"/>
      <c r="T790" s="899"/>
      <c r="U790" s="899"/>
      <c r="V790" s="899"/>
      <c r="W790" s="899"/>
      <c r="X790" s="899"/>
      <c r="Y790" s="899"/>
      <c r="Z790" s="899"/>
      <c r="AA790" s="899"/>
      <c r="AB790" s="899"/>
      <c r="AC790" s="899"/>
      <c r="AD790" s="899"/>
      <c r="AE790" s="899"/>
    </row>
    <row r="791">
      <c r="A791" s="944"/>
      <c r="B791" s="945"/>
      <c r="C791" s="945"/>
      <c r="D791" s="945"/>
      <c r="E791" s="945"/>
      <c r="F791" s="945"/>
      <c r="G791" s="945"/>
      <c r="H791" s="945"/>
      <c r="I791" s="945"/>
      <c r="J791" s="945"/>
      <c r="K791" s="945"/>
      <c r="L791" s="945"/>
      <c r="M791" s="945"/>
      <c r="N791" s="899"/>
      <c r="O791" s="899"/>
      <c r="P791" s="899"/>
      <c r="Q791" s="899"/>
      <c r="R791" s="899"/>
      <c r="S791" s="899"/>
      <c r="T791" s="899"/>
      <c r="U791" s="899"/>
      <c r="V791" s="899"/>
      <c r="W791" s="899"/>
      <c r="X791" s="899"/>
      <c r="Y791" s="899"/>
      <c r="Z791" s="899"/>
      <c r="AA791" s="899"/>
      <c r="AB791" s="899"/>
      <c r="AC791" s="899"/>
      <c r="AD791" s="899"/>
      <c r="AE791" s="899"/>
    </row>
    <row r="792">
      <c r="A792" s="944"/>
      <c r="B792" s="945"/>
      <c r="C792" s="945"/>
      <c r="D792" s="945"/>
      <c r="E792" s="945"/>
      <c r="F792" s="945"/>
      <c r="G792" s="945"/>
      <c r="H792" s="945"/>
      <c r="I792" s="945"/>
      <c r="J792" s="945"/>
      <c r="K792" s="945"/>
      <c r="L792" s="945"/>
      <c r="M792" s="945"/>
      <c r="N792" s="899"/>
      <c r="O792" s="899"/>
      <c r="P792" s="899"/>
      <c r="Q792" s="899"/>
      <c r="R792" s="899"/>
      <c r="S792" s="899"/>
      <c r="T792" s="899"/>
      <c r="U792" s="899"/>
      <c r="V792" s="899"/>
      <c r="W792" s="899"/>
      <c r="X792" s="899"/>
      <c r="Y792" s="899"/>
      <c r="Z792" s="899"/>
      <c r="AA792" s="899"/>
      <c r="AB792" s="899"/>
      <c r="AC792" s="899"/>
      <c r="AD792" s="899"/>
      <c r="AE792" s="899"/>
    </row>
    <row r="793">
      <c r="A793" s="944"/>
      <c r="B793" s="945"/>
      <c r="C793" s="945"/>
      <c r="D793" s="945"/>
      <c r="E793" s="945"/>
      <c r="F793" s="945"/>
      <c r="G793" s="945"/>
      <c r="H793" s="945"/>
      <c r="I793" s="945"/>
      <c r="J793" s="945"/>
      <c r="K793" s="945"/>
      <c r="L793" s="945"/>
      <c r="M793" s="945"/>
      <c r="N793" s="899"/>
      <c r="O793" s="899"/>
      <c r="P793" s="899"/>
      <c r="Q793" s="899"/>
      <c r="R793" s="899"/>
      <c r="S793" s="899"/>
      <c r="T793" s="899"/>
      <c r="U793" s="899"/>
      <c r="V793" s="899"/>
      <c r="W793" s="899"/>
      <c r="X793" s="899"/>
      <c r="Y793" s="899"/>
      <c r="Z793" s="899"/>
      <c r="AA793" s="899"/>
      <c r="AB793" s="899"/>
      <c r="AC793" s="899"/>
      <c r="AD793" s="899"/>
      <c r="AE793" s="899"/>
    </row>
    <row r="794">
      <c r="A794" s="944"/>
      <c r="B794" s="945"/>
      <c r="C794" s="945"/>
      <c r="D794" s="945"/>
      <c r="E794" s="945"/>
      <c r="F794" s="945"/>
      <c r="G794" s="945"/>
      <c r="H794" s="945"/>
      <c r="I794" s="945"/>
      <c r="J794" s="945"/>
      <c r="K794" s="945"/>
      <c r="L794" s="945"/>
      <c r="M794" s="945"/>
      <c r="N794" s="899"/>
      <c r="O794" s="899"/>
      <c r="P794" s="899"/>
      <c r="Q794" s="899"/>
      <c r="R794" s="899"/>
      <c r="S794" s="899"/>
      <c r="T794" s="899"/>
      <c r="U794" s="899"/>
      <c r="V794" s="899"/>
      <c r="W794" s="899"/>
      <c r="X794" s="899"/>
      <c r="Y794" s="899"/>
      <c r="Z794" s="899"/>
      <c r="AA794" s="899"/>
      <c r="AB794" s="899"/>
      <c r="AC794" s="899"/>
      <c r="AD794" s="899"/>
      <c r="AE794" s="899"/>
    </row>
    <row r="795">
      <c r="A795" s="944"/>
      <c r="B795" s="945"/>
      <c r="C795" s="945"/>
      <c r="D795" s="945"/>
      <c r="E795" s="945"/>
      <c r="F795" s="945"/>
      <c r="G795" s="945"/>
      <c r="H795" s="945"/>
      <c r="I795" s="945"/>
      <c r="J795" s="945"/>
      <c r="K795" s="945"/>
      <c r="L795" s="945"/>
      <c r="M795" s="945"/>
      <c r="N795" s="899"/>
      <c r="O795" s="899"/>
      <c r="P795" s="899"/>
      <c r="Q795" s="899"/>
      <c r="R795" s="899"/>
      <c r="S795" s="899"/>
      <c r="T795" s="899"/>
      <c r="U795" s="899"/>
      <c r="V795" s="899"/>
      <c r="W795" s="899"/>
      <c r="X795" s="899"/>
      <c r="Y795" s="899"/>
      <c r="Z795" s="899"/>
      <c r="AA795" s="899"/>
      <c r="AB795" s="899"/>
      <c r="AC795" s="899"/>
      <c r="AD795" s="899"/>
      <c r="AE795" s="899"/>
    </row>
    <row r="796">
      <c r="A796" s="944"/>
      <c r="B796" s="945"/>
      <c r="C796" s="945"/>
      <c r="D796" s="945"/>
      <c r="E796" s="945"/>
      <c r="F796" s="945"/>
      <c r="G796" s="945"/>
      <c r="H796" s="945"/>
      <c r="I796" s="945"/>
      <c r="J796" s="945"/>
      <c r="K796" s="945"/>
      <c r="L796" s="945"/>
      <c r="M796" s="945"/>
      <c r="N796" s="899"/>
      <c r="O796" s="899"/>
      <c r="P796" s="899"/>
      <c r="Q796" s="899"/>
      <c r="R796" s="899"/>
      <c r="S796" s="899"/>
      <c r="T796" s="899"/>
      <c r="U796" s="899"/>
      <c r="V796" s="899"/>
      <c r="W796" s="899"/>
      <c r="X796" s="899"/>
      <c r="Y796" s="899"/>
      <c r="Z796" s="899"/>
      <c r="AA796" s="899"/>
      <c r="AB796" s="899"/>
      <c r="AC796" s="899"/>
      <c r="AD796" s="899"/>
      <c r="AE796" s="899"/>
    </row>
    <row r="797">
      <c r="A797" s="944"/>
      <c r="B797" s="945"/>
      <c r="C797" s="945"/>
      <c r="D797" s="945"/>
      <c r="E797" s="945"/>
      <c r="F797" s="945"/>
      <c r="G797" s="945"/>
      <c r="H797" s="945"/>
      <c r="I797" s="945"/>
      <c r="J797" s="945"/>
      <c r="K797" s="945"/>
      <c r="L797" s="945"/>
      <c r="M797" s="945"/>
      <c r="N797" s="899"/>
      <c r="O797" s="899"/>
      <c r="P797" s="899"/>
      <c r="Q797" s="899"/>
      <c r="R797" s="899"/>
      <c r="S797" s="899"/>
      <c r="T797" s="899"/>
      <c r="U797" s="899"/>
      <c r="V797" s="899"/>
      <c r="W797" s="899"/>
      <c r="X797" s="899"/>
      <c r="Y797" s="899"/>
      <c r="Z797" s="899"/>
      <c r="AA797" s="899"/>
      <c r="AB797" s="899"/>
      <c r="AC797" s="899"/>
      <c r="AD797" s="899"/>
      <c r="AE797" s="899"/>
    </row>
    <row r="798">
      <c r="A798" s="944"/>
      <c r="B798" s="945"/>
      <c r="C798" s="945"/>
      <c r="D798" s="945"/>
      <c r="E798" s="945"/>
      <c r="F798" s="945"/>
      <c r="G798" s="945"/>
      <c r="H798" s="945"/>
      <c r="I798" s="945"/>
      <c r="J798" s="945"/>
      <c r="K798" s="945"/>
      <c r="L798" s="945"/>
      <c r="M798" s="945"/>
      <c r="N798" s="899"/>
      <c r="O798" s="899"/>
      <c r="P798" s="899"/>
      <c r="Q798" s="899"/>
      <c r="R798" s="899"/>
      <c r="S798" s="899"/>
      <c r="T798" s="899"/>
      <c r="U798" s="899"/>
      <c r="V798" s="899"/>
      <c r="W798" s="899"/>
      <c r="X798" s="899"/>
      <c r="Y798" s="899"/>
      <c r="Z798" s="899"/>
      <c r="AA798" s="899"/>
      <c r="AB798" s="899"/>
      <c r="AC798" s="899"/>
      <c r="AD798" s="899"/>
      <c r="AE798" s="899"/>
    </row>
    <row r="799">
      <c r="A799" s="944"/>
      <c r="B799" s="945"/>
      <c r="C799" s="945"/>
      <c r="D799" s="945"/>
      <c r="E799" s="945"/>
      <c r="F799" s="945"/>
      <c r="G799" s="945"/>
      <c r="H799" s="945"/>
      <c r="I799" s="945"/>
      <c r="J799" s="945"/>
      <c r="K799" s="945"/>
      <c r="L799" s="945"/>
      <c r="M799" s="945"/>
      <c r="N799" s="899"/>
      <c r="O799" s="899"/>
      <c r="P799" s="899"/>
      <c r="Q799" s="899"/>
      <c r="R799" s="899"/>
      <c r="S799" s="899"/>
      <c r="T799" s="899"/>
      <c r="U799" s="899"/>
      <c r="V799" s="899"/>
      <c r="W799" s="899"/>
      <c r="X799" s="899"/>
      <c r="Y799" s="899"/>
      <c r="Z799" s="899"/>
      <c r="AA799" s="899"/>
      <c r="AB799" s="899"/>
      <c r="AC799" s="899"/>
      <c r="AD799" s="899"/>
      <c r="AE799" s="899"/>
    </row>
    <row r="800">
      <c r="A800" s="944"/>
      <c r="B800" s="945"/>
      <c r="C800" s="945"/>
      <c r="D800" s="945"/>
      <c r="E800" s="945"/>
      <c r="F800" s="945"/>
      <c r="G800" s="945"/>
      <c r="H800" s="945"/>
      <c r="I800" s="945"/>
      <c r="J800" s="945"/>
      <c r="K800" s="945"/>
      <c r="L800" s="945"/>
      <c r="M800" s="945"/>
      <c r="N800" s="899"/>
      <c r="O800" s="899"/>
      <c r="P800" s="899"/>
      <c r="Q800" s="899"/>
      <c r="R800" s="899"/>
      <c r="S800" s="899"/>
      <c r="T800" s="899"/>
      <c r="U800" s="899"/>
      <c r="V800" s="899"/>
      <c r="W800" s="899"/>
      <c r="X800" s="899"/>
      <c r="Y800" s="899"/>
      <c r="Z800" s="899"/>
      <c r="AA800" s="899"/>
      <c r="AB800" s="899"/>
      <c r="AC800" s="899"/>
      <c r="AD800" s="899"/>
      <c r="AE800" s="899"/>
    </row>
    <row r="801">
      <c r="A801" s="944"/>
      <c r="B801" s="945"/>
      <c r="C801" s="945"/>
      <c r="D801" s="945"/>
      <c r="E801" s="945"/>
      <c r="F801" s="945"/>
      <c r="G801" s="945"/>
      <c r="H801" s="945"/>
      <c r="I801" s="945"/>
      <c r="J801" s="945"/>
      <c r="K801" s="945"/>
      <c r="L801" s="945"/>
      <c r="M801" s="945"/>
      <c r="N801" s="899"/>
      <c r="O801" s="899"/>
      <c r="P801" s="899"/>
      <c r="Q801" s="899"/>
      <c r="R801" s="899"/>
      <c r="S801" s="899"/>
      <c r="T801" s="899"/>
      <c r="U801" s="899"/>
      <c r="V801" s="899"/>
      <c r="W801" s="899"/>
      <c r="X801" s="899"/>
      <c r="Y801" s="899"/>
      <c r="Z801" s="899"/>
      <c r="AA801" s="899"/>
      <c r="AB801" s="899"/>
      <c r="AC801" s="899"/>
      <c r="AD801" s="899"/>
      <c r="AE801" s="899"/>
    </row>
    <row r="802">
      <c r="A802" s="944"/>
      <c r="B802" s="945"/>
      <c r="C802" s="945"/>
      <c r="D802" s="945"/>
      <c r="E802" s="945"/>
      <c r="F802" s="945"/>
      <c r="G802" s="945"/>
      <c r="H802" s="945"/>
      <c r="I802" s="945"/>
      <c r="J802" s="945"/>
      <c r="K802" s="945"/>
      <c r="L802" s="945"/>
      <c r="M802" s="945"/>
      <c r="N802" s="899"/>
      <c r="O802" s="899"/>
      <c r="P802" s="899"/>
      <c r="Q802" s="899"/>
      <c r="R802" s="899"/>
      <c r="S802" s="899"/>
      <c r="T802" s="899"/>
      <c r="U802" s="899"/>
      <c r="V802" s="899"/>
      <c r="W802" s="899"/>
      <c r="X802" s="899"/>
      <c r="Y802" s="899"/>
      <c r="Z802" s="899"/>
      <c r="AA802" s="899"/>
      <c r="AB802" s="899"/>
      <c r="AC802" s="899"/>
      <c r="AD802" s="899"/>
      <c r="AE802" s="899"/>
    </row>
    <row r="803">
      <c r="A803" s="944"/>
      <c r="B803" s="945"/>
      <c r="C803" s="945"/>
      <c r="D803" s="945"/>
      <c r="E803" s="945"/>
      <c r="F803" s="945"/>
      <c r="G803" s="945"/>
      <c r="H803" s="945"/>
      <c r="I803" s="945"/>
      <c r="J803" s="945"/>
      <c r="K803" s="945"/>
      <c r="L803" s="945"/>
      <c r="M803" s="945"/>
      <c r="N803" s="899"/>
      <c r="O803" s="899"/>
      <c r="P803" s="899"/>
      <c r="Q803" s="899"/>
      <c r="R803" s="899"/>
      <c r="S803" s="899"/>
      <c r="T803" s="899"/>
      <c r="U803" s="899"/>
      <c r="V803" s="899"/>
      <c r="W803" s="899"/>
      <c r="X803" s="899"/>
      <c r="Y803" s="899"/>
      <c r="Z803" s="899"/>
      <c r="AA803" s="899"/>
      <c r="AB803" s="899"/>
      <c r="AC803" s="899"/>
      <c r="AD803" s="899"/>
      <c r="AE803" s="899"/>
    </row>
    <row r="804">
      <c r="A804" s="944"/>
      <c r="B804" s="945"/>
      <c r="C804" s="945"/>
      <c r="D804" s="945"/>
      <c r="E804" s="945"/>
      <c r="F804" s="945"/>
      <c r="G804" s="945"/>
      <c r="H804" s="945"/>
      <c r="I804" s="945"/>
      <c r="J804" s="945"/>
      <c r="K804" s="945"/>
      <c r="L804" s="945"/>
      <c r="M804" s="945"/>
      <c r="N804" s="899"/>
      <c r="O804" s="899"/>
      <c r="P804" s="899"/>
      <c r="Q804" s="899"/>
      <c r="R804" s="899"/>
      <c r="S804" s="899"/>
      <c r="T804" s="899"/>
      <c r="U804" s="899"/>
      <c r="V804" s="899"/>
      <c r="W804" s="899"/>
      <c r="X804" s="899"/>
      <c r="Y804" s="899"/>
      <c r="Z804" s="899"/>
      <c r="AA804" s="899"/>
      <c r="AB804" s="899"/>
      <c r="AC804" s="899"/>
      <c r="AD804" s="899"/>
      <c r="AE804" s="899"/>
    </row>
    <row r="805">
      <c r="A805" s="944"/>
      <c r="B805" s="945"/>
      <c r="C805" s="945"/>
      <c r="D805" s="945"/>
      <c r="E805" s="945"/>
      <c r="F805" s="945"/>
      <c r="G805" s="945"/>
      <c r="H805" s="945"/>
      <c r="I805" s="945"/>
      <c r="J805" s="945"/>
      <c r="K805" s="945"/>
      <c r="L805" s="945"/>
      <c r="M805" s="945"/>
      <c r="N805" s="899"/>
      <c r="O805" s="899"/>
      <c r="P805" s="899"/>
      <c r="Q805" s="899"/>
      <c r="R805" s="899"/>
      <c r="S805" s="899"/>
      <c r="T805" s="899"/>
      <c r="U805" s="899"/>
      <c r="V805" s="899"/>
      <c r="W805" s="899"/>
      <c r="X805" s="899"/>
      <c r="Y805" s="899"/>
      <c r="Z805" s="899"/>
      <c r="AA805" s="899"/>
      <c r="AB805" s="899"/>
      <c r="AC805" s="899"/>
      <c r="AD805" s="899"/>
      <c r="AE805" s="899"/>
    </row>
    <row r="806">
      <c r="A806" s="944"/>
      <c r="B806" s="945"/>
      <c r="C806" s="945"/>
      <c r="D806" s="945"/>
      <c r="E806" s="945"/>
      <c r="F806" s="945"/>
      <c r="G806" s="945"/>
      <c r="H806" s="945"/>
      <c r="I806" s="945"/>
      <c r="J806" s="945"/>
      <c r="K806" s="945"/>
      <c r="L806" s="945"/>
      <c r="M806" s="945"/>
      <c r="N806" s="899"/>
      <c r="O806" s="899"/>
      <c r="P806" s="899"/>
      <c r="Q806" s="899"/>
      <c r="R806" s="899"/>
      <c r="S806" s="899"/>
      <c r="T806" s="899"/>
      <c r="U806" s="899"/>
      <c r="V806" s="899"/>
      <c r="W806" s="899"/>
      <c r="X806" s="899"/>
      <c r="Y806" s="899"/>
      <c r="Z806" s="899"/>
      <c r="AA806" s="899"/>
      <c r="AB806" s="899"/>
      <c r="AC806" s="899"/>
      <c r="AD806" s="899"/>
      <c r="AE806" s="899"/>
    </row>
    <row r="807">
      <c r="A807" s="944"/>
      <c r="B807" s="945"/>
      <c r="C807" s="945"/>
      <c r="D807" s="945"/>
      <c r="E807" s="945"/>
      <c r="F807" s="945"/>
      <c r="G807" s="945"/>
      <c r="H807" s="945"/>
      <c r="I807" s="945"/>
      <c r="J807" s="945"/>
      <c r="K807" s="945"/>
      <c r="L807" s="945"/>
      <c r="M807" s="945"/>
      <c r="N807" s="899"/>
      <c r="O807" s="899"/>
      <c r="P807" s="899"/>
      <c r="Q807" s="899"/>
      <c r="R807" s="899"/>
      <c r="S807" s="899"/>
      <c r="T807" s="899"/>
      <c r="U807" s="899"/>
      <c r="V807" s="899"/>
      <c r="W807" s="899"/>
      <c r="X807" s="899"/>
      <c r="Y807" s="899"/>
      <c r="Z807" s="899"/>
      <c r="AA807" s="899"/>
      <c r="AB807" s="899"/>
      <c r="AC807" s="899"/>
      <c r="AD807" s="899"/>
      <c r="AE807" s="899"/>
    </row>
    <row r="808">
      <c r="A808" s="944"/>
      <c r="B808" s="945"/>
      <c r="C808" s="945"/>
      <c r="D808" s="945"/>
      <c r="E808" s="945"/>
      <c r="F808" s="945"/>
      <c r="G808" s="945"/>
      <c r="H808" s="945"/>
      <c r="I808" s="945"/>
      <c r="J808" s="945"/>
      <c r="K808" s="945"/>
      <c r="L808" s="945"/>
      <c r="M808" s="945"/>
      <c r="N808" s="899"/>
      <c r="O808" s="899"/>
      <c r="P808" s="899"/>
      <c r="Q808" s="899"/>
      <c r="R808" s="899"/>
      <c r="S808" s="899"/>
      <c r="T808" s="899"/>
      <c r="U808" s="899"/>
      <c r="V808" s="899"/>
      <c r="W808" s="899"/>
      <c r="X808" s="899"/>
      <c r="Y808" s="899"/>
      <c r="Z808" s="899"/>
      <c r="AA808" s="899"/>
      <c r="AB808" s="899"/>
      <c r="AC808" s="899"/>
      <c r="AD808" s="899"/>
      <c r="AE808" s="899"/>
    </row>
    <row r="809">
      <c r="A809" s="944"/>
      <c r="B809" s="945"/>
      <c r="C809" s="945"/>
      <c r="D809" s="945"/>
      <c r="E809" s="945"/>
      <c r="F809" s="945"/>
      <c r="G809" s="945"/>
      <c r="H809" s="945"/>
      <c r="I809" s="945"/>
      <c r="J809" s="945"/>
      <c r="K809" s="945"/>
      <c r="L809" s="945"/>
      <c r="M809" s="945"/>
      <c r="N809" s="899"/>
      <c r="O809" s="899"/>
      <c r="P809" s="899"/>
      <c r="Q809" s="899"/>
      <c r="R809" s="899"/>
      <c r="S809" s="899"/>
      <c r="T809" s="899"/>
      <c r="U809" s="899"/>
      <c r="V809" s="899"/>
      <c r="W809" s="899"/>
      <c r="X809" s="899"/>
      <c r="Y809" s="899"/>
      <c r="Z809" s="899"/>
      <c r="AA809" s="899"/>
      <c r="AB809" s="899"/>
      <c r="AC809" s="899"/>
      <c r="AD809" s="899"/>
      <c r="AE809" s="899"/>
    </row>
    <row r="810">
      <c r="A810" s="944"/>
      <c r="B810" s="945"/>
      <c r="C810" s="945"/>
      <c r="D810" s="945"/>
      <c r="E810" s="945"/>
      <c r="F810" s="945"/>
      <c r="G810" s="945"/>
      <c r="H810" s="945"/>
      <c r="I810" s="945"/>
      <c r="J810" s="945"/>
      <c r="K810" s="945"/>
      <c r="L810" s="945"/>
      <c r="M810" s="945"/>
      <c r="N810" s="899"/>
      <c r="O810" s="899"/>
      <c r="P810" s="899"/>
      <c r="Q810" s="899"/>
      <c r="R810" s="899"/>
      <c r="S810" s="899"/>
      <c r="T810" s="899"/>
      <c r="U810" s="899"/>
      <c r="V810" s="899"/>
      <c r="W810" s="899"/>
      <c r="X810" s="899"/>
      <c r="Y810" s="899"/>
      <c r="Z810" s="899"/>
      <c r="AA810" s="899"/>
      <c r="AB810" s="899"/>
      <c r="AC810" s="899"/>
      <c r="AD810" s="899"/>
      <c r="AE810" s="899"/>
    </row>
    <row r="811">
      <c r="A811" s="944"/>
      <c r="B811" s="945"/>
      <c r="C811" s="945"/>
      <c r="D811" s="945"/>
      <c r="E811" s="945"/>
      <c r="F811" s="945"/>
      <c r="G811" s="945"/>
      <c r="H811" s="945"/>
      <c r="I811" s="945"/>
      <c r="J811" s="945"/>
      <c r="K811" s="945"/>
      <c r="L811" s="945"/>
      <c r="M811" s="945"/>
      <c r="N811" s="899"/>
      <c r="O811" s="899"/>
      <c r="P811" s="899"/>
      <c r="Q811" s="899"/>
      <c r="R811" s="899"/>
      <c r="S811" s="899"/>
      <c r="T811" s="899"/>
      <c r="U811" s="899"/>
      <c r="V811" s="899"/>
      <c r="W811" s="899"/>
      <c r="X811" s="899"/>
      <c r="Y811" s="899"/>
      <c r="Z811" s="899"/>
      <c r="AA811" s="899"/>
      <c r="AB811" s="899"/>
      <c r="AC811" s="899"/>
      <c r="AD811" s="899"/>
      <c r="AE811" s="899"/>
    </row>
    <row r="812">
      <c r="A812" s="944"/>
      <c r="B812" s="945"/>
      <c r="C812" s="945"/>
      <c r="D812" s="945"/>
      <c r="E812" s="945"/>
      <c r="F812" s="945"/>
      <c r="G812" s="945"/>
      <c r="H812" s="945"/>
      <c r="I812" s="945"/>
      <c r="J812" s="945"/>
      <c r="K812" s="945"/>
      <c r="L812" s="945"/>
      <c r="M812" s="945"/>
      <c r="N812" s="899"/>
      <c r="O812" s="899"/>
      <c r="P812" s="899"/>
      <c r="Q812" s="899"/>
      <c r="R812" s="899"/>
      <c r="S812" s="899"/>
      <c r="T812" s="899"/>
      <c r="U812" s="899"/>
      <c r="V812" s="899"/>
      <c r="W812" s="899"/>
      <c r="X812" s="899"/>
      <c r="Y812" s="899"/>
      <c r="Z812" s="899"/>
      <c r="AA812" s="899"/>
      <c r="AB812" s="899"/>
      <c r="AC812" s="899"/>
      <c r="AD812" s="899"/>
      <c r="AE812" s="899"/>
    </row>
    <row r="813">
      <c r="A813" s="944"/>
      <c r="B813" s="945"/>
      <c r="C813" s="945"/>
      <c r="D813" s="945"/>
      <c r="E813" s="945"/>
      <c r="F813" s="945"/>
      <c r="G813" s="945"/>
      <c r="H813" s="945"/>
      <c r="I813" s="945"/>
      <c r="J813" s="945"/>
      <c r="K813" s="945"/>
      <c r="L813" s="945"/>
      <c r="M813" s="945"/>
      <c r="N813" s="899"/>
      <c r="O813" s="899"/>
      <c r="P813" s="899"/>
      <c r="Q813" s="899"/>
      <c r="R813" s="899"/>
      <c r="S813" s="899"/>
      <c r="T813" s="899"/>
      <c r="U813" s="899"/>
      <c r="V813" s="899"/>
      <c r="W813" s="899"/>
      <c r="X813" s="899"/>
      <c r="Y813" s="899"/>
      <c r="Z813" s="899"/>
      <c r="AA813" s="899"/>
      <c r="AB813" s="899"/>
      <c r="AC813" s="899"/>
      <c r="AD813" s="899"/>
      <c r="AE813" s="899"/>
    </row>
    <row r="814">
      <c r="A814" s="944"/>
      <c r="B814" s="945"/>
      <c r="C814" s="945"/>
      <c r="D814" s="945"/>
      <c r="E814" s="945"/>
      <c r="F814" s="945"/>
      <c r="G814" s="945"/>
      <c r="H814" s="945"/>
      <c r="I814" s="945"/>
      <c r="J814" s="945"/>
      <c r="K814" s="945"/>
      <c r="L814" s="945"/>
      <c r="M814" s="945"/>
      <c r="N814" s="899"/>
      <c r="O814" s="899"/>
      <c r="P814" s="899"/>
      <c r="Q814" s="899"/>
      <c r="R814" s="899"/>
      <c r="S814" s="899"/>
      <c r="T814" s="899"/>
      <c r="U814" s="899"/>
      <c r="V814" s="899"/>
      <c r="W814" s="899"/>
      <c r="X814" s="899"/>
      <c r="Y814" s="899"/>
      <c r="Z814" s="899"/>
      <c r="AA814" s="899"/>
      <c r="AB814" s="899"/>
      <c r="AC814" s="899"/>
      <c r="AD814" s="899"/>
      <c r="AE814" s="899"/>
    </row>
    <row r="815">
      <c r="A815" s="944"/>
      <c r="B815" s="945"/>
      <c r="C815" s="945"/>
      <c r="D815" s="945"/>
      <c r="E815" s="945"/>
      <c r="F815" s="945"/>
      <c r="G815" s="945"/>
      <c r="H815" s="945"/>
      <c r="I815" s="945"/>
      <c r="J815" s="945"/>
      <c r="K815" s="945"/>
      <c r="L815" s="945"/>
      <c r="M815" s="945"/>
      <c r="N815" s="899"/>
      <c r="O815" s="899"/>
      <c r="P815" s="899"/>
      <c r="Q815" s="899"/>
      <c r="R815" s="899"/>
      <c r="S815" s="899"/>
      <c r="T815" s="899"/>
      <c r="U815" s="899"/>
      <c r="V815" s="899"/>
      <c r="W815" s="899"/>
      <c r="X815" s="899"/>
      <c r="Y815" s="899"/>
      <c r="Z815" s="899"/>
      <c r="AA815" s="899"/>
      <c r="AB815" s="899"/>
      <c r="AC815" s="899"/>
      <c r="AD815" s="899"/>
      <c r="AE815" s="899"/>
    </row>
    <row r="816">
      <c r="A816" s="944"/>
      <c r="B816" s="945"/>
      <c r="C816" s="945"/>
      <c r="D816" s="945"/>
      <c r="E816" s="945"/>
      <c r="F816" s="945"/>
      <c r="G816" s="945"/>
      <c r="H816" s="945"/>
      <c r="I816" s="945"/>
      <c r="J816" s="945"/>
      <c r="K816" s="945"/>
      <c r="L816" s="945"/>
      <c r="M816" s="945"/>
      <c r="N816" s="899"/>
      <c r="O816" s="899"/>
      <c r="P816" s="899"/>
      <c r="Q816" s="899"/>
      <c r="R816" s="899"/>
      <c r="S816" s="899"/>
      <c r="T816" s="899"/>
      <c r="U816" s="899"/>
      <c r="V816" s="899"/>
      <c r="W816" s="899"/>
      <c r="X816" s="899"/>
      <c r="Y816" s="899"/>
      <c r="Z816" s="899"/>
      <c r="AA816" s="899"/>
      <c r="AB816" s="899"/>
      <c r="AC816" s="899"/>
      <c r="AD816" s="899"/>
      <c r="AE816" s="899"/>
    </row>
    <row r="817">
      <c r="A817" s="944"/>
      <c r="B817" s="945"/>
      <c r="C817" s="945"/>
      <c r="D817" s="945"/>
      <c r="E817" s="945"/>
      <c r="F817" s="945"/>
      <c r="G817" s="945"/>
      <c r="H817" s="945"/>
      <c r="I817" s="945"/>
      <c r="J817" s="945"/>
      <c r="K817" s="945"/>
      <c r="L817" s="945"/>
      <c r="M817" s="945"/>
      <c r="N817" s="899"/>
      <c r="O817" s="899"/>
      <c r="P817" s="899"/>
      <c r="Q817" s="899"/>
      <c r="R817" s="899"/>
      <c r="S817" s="899"/>
      <c r="T817" s="899"/>
      <c r="U817" s="899"/>
      <c r="V817" s="899"/>
      <c r="W817" s="899"/>
      <c r="X817" s="899"/>
      <c r="Y817" s="899"/>
      <c r="Z817" s="899"/>
      <c r="AA817" s="899"/>
      <c r="AB817" s="899"/>
      <c r="AC817" s="899"/>
      <c r="AD817" s="899"/>
      <c r="AE817" s="899"/>
    </row>
    <row r="818">
      <c r="A818" s="944"/>
      <c r="B818" s="945"/>
      <c r="C818" s="945"/>
      <c r="D818" s="945"/>
      <c r="E818" s="945"/>
      <c r="F818" s="945"/>
      <c r="G818" s="945"/>
      <c r="H818" s="945"/>
      <c r="I818" s="945"/>
      <c r="J818" s="945"/>
      <c r="K818" s="945"/>
      <c r="L818" s="945"/>
      <c r="M818" s="945"/>
      <c r="N818" s="899"/>
      <c r="O818" s="899"/>
      <c r="P818" s="899"/>
      <c r="Q818" s="899"/>
      <c r="R818" s="899"/>
      <c r="S818" s="899"/>
      <c r="T818" s="899"/>
      <c r="U818" s="899"/>
      <c r="V818" s="899"/>
      <c r="W818" s="899"/>
      <c r="X818" s="899"/>
      <c r="Y818" s="899"/>
      <c r="Z818" s="899"/>
      <c r="AA818" s="899"/>
      <c r="AB818" s="899"/>
      <c r="AC818" s="899"/>
      <c r="AD818" s="899"/>
      <c r="AE818" s="899"/>
    </row>
    <row r="819">
      <c r="A819" s="944"/>
      <c r="B819" s="945"/>
      <c r="C819" s="945"/>
      <c r="D819" s="945"/>
      <c r="E819" s="945"/>
      <c r="F819" s="945"/>
      <c r="G819" s="945"/>
      <c r="H819" s="945"/>
      <c r="I819" s="945"/>
      <c r="J819" s="945"/>
      <c r="K819" s="945"/>
      <c r="L819" s="945"/>
      <c r="M819" s="945"/>
      <c r="N819" s="899"/>
      <c r="O819" s="899"/>
      <c r="P819" s="899"/>
      <c r="Q819" s="899"/>
      <c r="R819" s="899"/>
      <c r="S819" s="899"/>
      <c r="T819" s="899"/>
      <c r="U819" s="899"/>
      <c r="V819" s="899"/>
      <c r="W819" s="899"/>
      <c r="X819" s="899"/>
      <c r="Y819" s="899"/>
      <c r="Z819" s="899"/>
      <c r="AA819" s="899"/>
      <c r="AB819" s="899"/>
      <c r="AC819" s="899"/>
      <c r="AD819" s="899"/>
      <c r="AE819" s="899"/>
    </row>
    <row r="820">
      <c r="A820" s="944"/>
      <c r="B820" s="945"/>
      <c r="C820" s="945"/>
      <c r="D820" s="945"/>
      <c r="E820" s="945"/>
      <c r="F820" s="945"/>
      <c r="G820" s="945"/>
      <c r="H820" s="945"/>
      <c r="I820" s="945"/>
      <c r="J820" s="945"/>
      <c r="K820" s="945"/>
      <c r="L820" s="945"/>
      <c r="M820" s="945"/>
      <c r="N820" s="899"/>
      <c r="O820" s="899"/>
      <c r="P820" s="899"/>
      <c r="Q820" s="899"/>
      <c r="R820" s="899"/>
      <c r="S820" s="899"/>
      <c r="T820" s="899"/>
      <c r="U820" s="899"/>
      <c r="V820" s="899"/>
      <c r="W820" s="899"/>
      <c r="X820" s="899"/>
      <c r="Y820" s="899"/>
      <c r="Z820" s="899"/>
      <c r="AA820" s="899"/>
      <c r="AB820" s="899"/>
      <c r="AC820" s="899"/>
      <c r="AD820" s="899"/>
      <c r="AE820" s="899"/>
    </row>
    <row r="821">
      <c r="A821" s="944"/>
      <c r="B821" s="945"/>
      <c r="C821" s="945"/>
      <c r="D821" s="945"/>
      <c r="E821" s="945"/>
      <c r="F821" s="945"/>
      <c r="G821" s="945"/>
      <c r="H821" s="945"/>
      <c r="I821" s="945"/>
      <c r="J821" s="945"/>
      <c r="K821" s="945"/>
      <c r="L821" s="945"/>
      <c r="M821" s="945"/>
      <c r="N821" s="899"/>
      <c r="O821" s="899"/>
      <c r="P821" s="899"/>
      <c r="Q821" s="899"/>
      <c r="R821" s="899"/>
      <c r="S821" s="899"/>
      <c r="T821" s="899"/>
      <c r="U821" s="899"/>
      <c r="V821" s="899"/>
      <c r="W821" s="899"/>
      <c r="X821" s="899"/>
      <c r="Y821" s="899"/>
      <c r="Z821" s="899"/>
      <c r="AA821" s="899"/>
      <c r="AB821" s="899"/>
      <c r="AC821" s="899"/>
      <c r="AD821" s="899"/>
      <c r="AE821" s="899"/>
    </row>
    <row r="822">
      <c r="A822" s="944"/>
      <c r="B822" s="945"/>
      <c r="C822" s="945"/>
      <c r="D822" s="945"/>
      <c r="E822" s="945"/>
      <c r="F822" s="945"/>
      <c r="G822" s="945"/>
      <c r="H822" s="945"/>
      <c r="I822" s="945"/>
      <c r="J822" s="945"/>
      <c r="K822" s="945"/>
      <c r="L822" s="945"/>
      <c r="M822" s="945"/>
      <c r="N822" s="899"/>
      <c r="O822" s="899"/>
      <c r="P822" s="899"/>
      <c r="Q822" s="899"/>
      <c r="R822" s="899"/>
      <c r="S822" s="899"/>
      <c r="T822" s="899"/>
      <c r="U822" s="899"/>
      <c r="V822" s="899"/>
      <c r="W822" s="899"/>
      <c r="X822" s="899"/>
      <c r="Y822" s="899"/>
      <c r="Z822" s="899"/>
      <c r="AA822" s="899"/>
      <c r="AB822" s="899"/>
      <c r="AC822" s="899"/>
      <c r="AD822" s="899"/>
      <c r="AE822" s="899"/>
    </row>
    <row r="823">
      <c r="A823" s="944"/>
      <c r="B823" s="945"/>
      <c r="C823" s="945"/>
      <c r="D823" s="945"/>
      <c r="E823" s="945"/>
      <c r="F823" s="945"/>
      <c r="G823" s="945"/>
      <c r="H823" s="945"/>
      <c r="I823" s="945"/>
      <c r="J823" s="945"/>
      <c r="K823" s="945"/>
      <c r="L823" s="945"/>
      <c r="M823" s="945"/>
      <c r="N823" s="899"/>
      <c r="O823" s="899"/>
      <c r="P823" s="899"/>
      <c r="Q823" s="899"/>
      <c r="R823" s="899"/>
      <c r="S823" s="899"/>
      <c r="T823" s="899"/>
      <c r="U823" s="899"/>
      <c r="V823" s="899"/>
      <c r="W823" s="899"/>
      <c r="X823" s="899"/>
      <c r="Y823" s="899"/>
      <c r="Z823" s="899"/>
      <c r="AA823" s="899"/>
      <c r="AB823" s="899"/>
      <c r="AC823" s="899"/>
      <c r="AD823" s="899"/>
      <c r="AE823" s="899"/>
    </row>
    <row r="824">
      <c r="A824" s="944"/>
      <c r="B824" s="945"/>
      <c r="C824" s="945"/>
      <c r="D824" s="945"/>
      <c r="E824" s="945"/>
      <c r="F824" s="945"/>
      <c r="G824" s="945"/>
      <c r="H824" s="945"/>
      <c r="I824" s="945"/>
      <c r="J824" s="945"/>
      <c r="K824" s="945"/>
      <c r="L824" s="945"/>
      <c r="M824" s="945"/>
      <c r="N824" s="899"/>
      <c r="O824" s="899"/>
      <c r="P824" s="899"/>
      <c r="Q824" s="899"/>
      <c r="R824" s="899"/>
      <c r="S824" s="899"/>
      <c r="T824" s="899"/>
      <c r="U824" s="899"/>
      <c r="V824" s="899"/>
      <c r="W824" s="899"/>
      <c r="X824" s="899"/>
      <c r="Y824" s="899"/>
      <c r="Z824" s="899"/>
      <c r="AA824" s="899"/>
      <c r="AB824" s="899"/>
      <c r="AC824" s="899"/>
      <c r="AD824" s="899"/>
      <c r="AE824" s="899"/>
    </row>
    <row r="825">
      <c r="A825" s="944"/>
      <c r="B825" s="945"/>
      <c r="C825" s="945"/>
      <c r="D825" s="945"/>
      <c r="E825" s="945"/>
      <c r="F825" s="945"/>
      <c r="G825" s="945"/>
      <c r="H825" s="945"/>
      <c r="I825" s="945"/>
      <c r="J825" s="945"/>
      <c r="K825" s="945"/>
      <c r="L825" s="945"/>
      <c r="M825" s="945"/>
      <c r="N825" s="899"/>
      <c r="O825" s="899"/>
      <c r="P825" s="899"/>
      <c r="Q825" s="899"/>
      <c r="R825" s="899"/>
      <c r="S825" s="899"/>
      <c r="T825" s="899"/>
      <c r="U825" s="899"/>
      <c r="V825" s="899"/>
      <c r="W825" s="899"/>
      <c r="X825" s="899"/>
      <c r="Y825" s="899"/>
      <c r="Z825" s="899"/>
      <c r="AA825" s="899"/>
      <c r="AB825" s="899"/>
      <c r="AC825" s="899"/>
      <c r="AD825" s="899"/>
      <c r="AE825" s="899"/>
    </row>
    <row r="826">
      <c r="A826" s="944"/>
      <c r="B826" s="945"/>
      <c r="C826" s="945"/>
      <c r="D826" s="945"/>
      <c r="E826" s="945"/>
      <c r="F826" s="945"/>
      <c r="G826" s="945"/>
      <c r="H826" s="945"/>
      <c r="I826" s="945"/>
      <c r="J826" s="945"/>
      <c r="K826" s="945"/>
      <c r="L826" s="945"/>
      <c r="M826" s="945"/>
      <c r="N826" s="899"/>
      <c r="O826" s="899"/>
      <c r="P826" s="899"/>
      <c r="Q826" s="899"/>
      <c r="R826" s="899"/>
      <c r="S826" s="899"/>
      <c r="T826" s="899"/>
      <c r="U826" s="899"/>
      <c r="V826" s="899"/>
      <c r="W826" s="899"/>
      <c r="X826" s="899"/>
      <c r="Y826" s="899"/>
      <c r="Z826" s="899"/>
      <c r="AA826" s="899"/>
      <c r="AB826" s="899"/>
      <c r="AC826" s="899"/>
      <c r="AD826" s="899"/>
      <c r="AE826" s="899"/>
    </row>
    <row r="827">
      <c r="A827" s="944"/>
      <c r="B827" s="945"/>
      <c r="C827" s="945"/>
      <c r="D827" s="945"/>
      <c r="E827" s="945"/>
      <c r="F827" s="945"/>
      <c r="G827" s="945"/>
      <c r="H827" s="945"/>
      <c r="I827" s="945"/>
      <c r="J827" s="945"/>
      <c r="K827" s="945"/>
      <c r="L827" s="945"/>
      <c r="M827" s="945"/>
      <c r="N827" s="899"/>
      <c r="O827" s="899"/>
      <c r="P827" s="899"/>
      <c r="Q827" s="899"/>
      <c r="R827" s="899"/>
      <c r="S827" s="899"/>
      <c r="T827" s="899"/>
      <c r="U827" s="899"/>
      <c r="V827" s="899"/>
      <c r="W827" s="899"/>
      <c r="X827" s="899"/>
      <c r="Y827" s="899"/>
      <c r="Z827" s="899"/>
      <c r="AA827" s="899"/>
      <c r="AB827" s="899"/>
      <c r="AC827" s="899"/>
      <c r="AD827" s="899"/>
      <c r="AE827" s="899"/>
    </row>
    <row r="828">
      <c r="A828" s="944"/>
      <c r="B828" s="945"/>
      <c r="C828" s="945"/>
      <c r="D828" s="945"/>
      <c r="E828" s="945"/>
      <c r="F828" s="945"/>
      <c r="G828" s="945"/>
      <c r="H828" s="945"/>
      <c r="I828" s="945"/>
      <c r="J828" s="945"/>
      <c r="K828" s="945"/>
      <c r="L828" s="945"/>
      <c r="M828" s="945"/>
      <c r="N828" s="899"/>
      <c r="O828" s="899"/>
      <c r="P828" s="899"/>
      <c r="Q828" s="899"/>
      <c r="R828" s="899"/>
      <c r="S828" s="899"/>
      <c r="T828" s="899"/>
      <c r="U828" s="899"/>
      <c r="V828" s="899"/>
      <c r="W828" s="899"/>
      <c r="X828" s="899"/>
      <c r="Y828" s="899"/>
      <c r="Z828" s="899"/>
      <c r="AA828" s="899"/>
      <c r="AB828" s="899"/>
      <c r="AC828" s="899"/>
      <c r="AD828" s="899"/>
      <c r="AE828" s="899"/>
    </row>
    <row r="829">
      <c r="A829" s="944"/>
      <c r="B829" s="945"/>
      <c r="C829" s="945"/>
      <c r="D829" s="945"/>
      <c r="E829" s="945"/>
      <c r="F829" s="945"/>
      <c r="G829" s="945"/>
      <c r="H829" s="945"/>
      <c r="I829" s="945"/>
      <c r="J829" s="945"/>
      <c r="K829" s="945"/>
      <c r="L829" s="945"/>
      <c r="M829" s="945"/>
      <c r="N829" s="899"/>
      <c r="O829" s="899"/>
      <c r="P829" s="899"/>
      <c r="Q829" s="899"/>
      <c r="R829" s="899"/>
      <c r="S829" s="899"/>
      <c r="T829" s="899"/>
      <c r="U829" s="899"/>
      <c r="V829" s="899"/>
      <c r="W829" s="899"/>
      <c r="X829" s="899"/>
      <c r="Y829" s="899"/>
      <c r="Z829" s="899"/>
      <c r="AA829" s="899"/>
      <c r="AB829" s="899"/>
      <c r="AC829" s="899"/>
      <c r="AD829" s="899"/>
      <c r="AE829" s="899"/>
    </row>
    <row r="830">
      <c r="A830" s="944"/>
      <c r="B830" s="945"/>
      <c r="C830" s="945"/>
      <c r="D830" s="945"/>
      <c r="E830" s="945"/>
      <c r="F830" s="945"/>
      <c r="G830" s="945"/>
      <c r="H830" s="945"/>
      <c r="I830" s="945"/>
      <c r="J830" s="945"/>
      <c r="K830" s="945"/>
      <c r="L830" s="945"/>
      <c r="M830" s="945"/>
      <c r="N830" s="899"/>
      <c r="O830" s="899"/>
      <c r="P830" s="899"/>
      <c r="Q830" s="899"/>
      <c r="R830" s="899"/>
      <c r="S830" s="899"/>
      <c r="T830" s="899"/>
      <c r="U830" s="899"/>
      <c r="V830" s="899"/>
      <c r="W830" s="899"/>
      <c r="X830" s="899"/>
      <c r="Y830" s="899"/>
      <c r="Z830" s="899"/>
      <c r="AA830" s="899"/>
      <c r="AB830" s="899"/>
      <c r="AC830" s="899"/>
      <c r="AD830" s="899"/>
      <c r="AE830" s="899"/>
    </row>
    <row r="831">
      <c r="A831" s="944"/>
      <c r="B831" s="945"/>
      <c r="C831" s="945"/>
      <c r="D831" s="945"/>
      <c r="E831" s="945"/>
      <c r="F831" s="945"/>
      <c r="G831" s="945"/>
      <c r="H831" s="945"/>
      <c r="I831" s="945"/>
      <c r="J831" s="945"/>
      <c r="K831" s="945"/>
      <c r="L831" s="945"/>
      <c r="M831" s="945"/>
      <c r="N831" s="899"/>
      <c r="O831" s="899"/>
      <c r="P831" s="899"/>
      <c r="Q831" s="899"/>
      <c r="R831" s="899"/>
      <c r="S831" s="899"/>
      <c r="T831" s="899"/>
      <c r="U831" s="899"/>
      <c r="V831" s="899"/>
      <c r="W831" s="899"/>
      <c r="X831" s="899"/>
      <c r="Y831" s="899"/>
      <c r="Z831" s="899"/>
      <c r="AA831" s="899"/>
      <c r="AB831" s="899"/>
      <c r="AC831" s="899"/>
      <c r="AD831" s="899"/>
      <c r="AE831" s="899"/>
    </row>
    <row r="832">
      <c r="A832" s="944"/>
      <c r="B832" s="945"/>
      <c r="C832" s="945"/>
      <c r="D832" s="945"/>
      <c r="E832" s="945"/>
      <c r="F832" s="945"/>
      <c r="G832" s="945"/>
      <c r="H832" s="945"/>
      <c r="I832" s="945"/>
      <c r="J832" s="945"/>
      <c r="K832" s="945"/>
      <c r="L832" s="945"/>
      <c r="M832" s="945"/>
      <c r="N832" s="899"/>
      <c r="O832" s="899"/>
      <c r="P832" s="899"/>
      <c r="Q832" s="899"/>
      <c r="R832" s="899"/>
      <c r="S832" s="899"/>
      <c r="T832" s="899"/>
      <c r="U832" s="899"/>
      <c r="V832" s="899"/>
      <c r="W832" s="899"/>
      <c r="X832" s="899"/>
      <c r="Y832" s="899"/>
      <c r="Z832" s="899"/>
      <c r="AA832" s="899"/>
      <c r="AB832" s="899"/>
      <c r="AC832" s="899"/>
      <c r="AD832" s="899"/>
      <c r="AE832" s="899"/>
    </row>
    <row r="833">
      <c r="A833" s="944"/>
      <c r="B833" s="945"/>
      <c r="C833" s="945"/>
      <c r="D833" s="945"/>
      <c r="E833" s="945"/>
      <c r="F833" s="945"/>
      <c r="G833" s="945"/>
      <c r="H833" s="945"/>
      <c r="I833" s="945"/>
      <c r="J833" s="945"/>
      <c r="K833" s="945"/>
      <c r="L833" s="945"/>
      <c r="M833" s="945"/>
      <c r="N833" s="899"/>
      <c r="O833" s="899"/>
      <c r="P833" s="899"/>
      <c r="Q833" s="899"/>
      <c r="R833" s="899"/>
      <c r="S833" s="899"/>
      <c r="T833" s="899"/>
      <c r="U833" s="899"/>
      <c r="V833" s="899"/>
      <c r="W833" s="899"/>
      <c r="X833" s="899"/>
      <c r="Y833" s="899"/>
      <c r="Z833" s="899"/>
      <c r="AA833" s="899"/>
      <c r="AB833" s="899"/>
      <c r="AC833" s="899"/>
      <c r="AD833" s="899"/>
      <c r="AE833" s="899"/>
    </row>
    <row r="834">
      <c r="A834" s="944"/>
      <c r="B834" s="945"/>
      <c r="C834" s="945"/>
      <c r="D834" s="945"/>
      <c r="E834" s="945"/>
      <c r="F834" s="945"/>
      <c r="G834" s="945"/>
      <c r="H834" s="945"/>
      <c r="I834" s="945"/>
      <c r="J834" s="945"/>
      <c r="K834" s="945"/>
      <c r="L834" s="945"/>
      <c r="M834" s="945"/>
      <c r="N834" s="899"/>
      <c r="O834" s="899"/>
      <c r="P834" s="899"/>
      <c r="Q834" s="899"/>
      <c r="R834" s="899"/>
      <c r="S834" s="899"/>
      <c r="T834" s="899"/>
      <c r="U834" s="899"/>
      <c r="V834" s="899"/>
      <c r="W834" s="899"/>
      <c r="X834" s="899"/>
      <c r="Y834" s="899"/>
      <c r="Z834" s="899"/>
      <c r="AA834" s="899"/>
      <c r="AB834" s="899"/>
      <c r="AC834" s="899"/>
      <c r="AD834" s="899"/>
      <c r="AE834" s="899"/>
    </row>
    <row r="835">
      <c r="A835" s="944"/>
      <c r="B835" s="945"/>
      <c r="C835" s="945"/>
      <c r="D835" s="945"/>
      <c r="E835" s="945"/>
      <c r="F835" s="945"/>
      <c r="G835" s="945"/>
      <c r="H835" s="945"/>
      <c r="I835" s="945"/>
      <c r="J835" s="945"/>
      <c r="K835" s="945"/>
      <c r="L835" s="945"/>
      <c r="M835" s="945"/>
      <c r="N835" s="899"/>
      <c r="O835" s="899"/>
      <c r="P835" s="899"/>
      <c r="Q835" s="899"/>
      <c r="R835" s="899"/>
      <c r="S835" s="899"/>
      <c r="T835" s="899"/>
      <c r="U835" s="899"/>
      <c r="V835" s="899"/>
      <c r="W835" s="899"/>
      <c r="X835" s="899"/>
      <c r="Y835" s="899"/>
      <c r="Z835" s="899"/>
      <c r="AA835" s="899"/>
      <c r="AB835" s="899"/>
      <c r="AC835" s="899"/>
      <c r="AD835" s="899"/>
      <c r="AE835" s="899"/>
    </row>
    <row r="836">
      <c r="A836" s="944"/>
      <c r="B836" s="945"/>
      <c r="C836" s="945"/>
      <c r="D836" s="945"/>
      <c r="E836" s="945"/>
      <c r="F836" s="945"/>
      <c r="G836" s="945"/>
      <c r="H836" s="945"/>
      <c r="I836" s="945"/>
      <c r="J836" s="945"/>
      <c r="K836" s="945"/>
      <c r="L836" s="945"/>
      <c r="M836" s="945"/>
      <c r="N836" s="899"/>
      <c r="O836" s="899"/>
      <c r="P836" s="899"/>
      <c r="Q836" s="899"/>
      <c r="R836" s="899"/>
      <c r="S836" s="899"/>
      <c r="T836" s="899"/>
      <c r="U836" s="899"/>
      <c r="V836" s="899"/>
      <c r="W836" s="899"/>
      <c r="X836" s="899"/>
      <c r="Y836" s="899"/>
      <c r="Z836" s="899"/>
      <c r="AA836" s="899"/>
      <c r="AB836" s="899"/>
      <c r="AC836" s="899"/>
      <c r="AD836" s="899"/>
      <c r="AE836" s="899"/>
    </row>
    <row r="837">
      <c r="A837" s="944"/>
      <c r="B837" s="945"/>
      <c r="C837" s="945"/>
      <c r="D837" s="945"/>
      <c r="E837" s="945"/>
      <c r="F837" s="945"/>
      <c r="G837" s="945"/>
      <c r="H837" s="945"/>
      <c r="I837" s="945"/>
      <c r="J837" s="945"/>
      <c r="K837" s="945"/>
      <c r="L837" s="945"/>
      <c r="M837" s="945"/>
      <c r="N837" s="899"/>
      <c r="O837" s="899"/>
      <c r="P837" s="899"/>
      <c r="Q837" s="899"/>
      <c r="R837" s="899"/>
      <c r="S837" s="899"/>
      <c r="T837" s="899"/>
      <c r="U837" s="899"/>
      <c r="V837" s="899"/>
      <c r="W837" s="899"/>
      <c r="X837" s="899"/>
      <c r="Y837" s="899"/>
      <c r="Z837" s="899"/>
      <c r="AA837" s="899"/>
      <c r="AB837" s="899"/>
      <c r="AC837" s="899"/>
      <c r="AD837" s="899"/>
      <c r="AE837" s="899"/>
    </row>
    <row r="838">
      <c r="A838" s="944"/>
      <c r="B838" s="945"/>
      <c r="C838" s="945"/>
      <c r="D838" s="945"/>
      <c r="E838" s="945"/>
      <c r="F838" s="945"/>
      <c r="G838" s="945"/>
      <c r="H838" s="945"/>
      <c r="I838" s="945"/>
      <c r="J838" s="945"/>
      <c r="K838" s="945"/>
      <c r="L838" s="945"/>
      <c r="M838" s="945"/>
      <c r="N838" s="899"/>
      <c r="O838" s="899"/>
      <c r="P838" s="899"/>
      <c r="Q838" s="899"/>
      <c r="R838" s="899"/>
      <c r="S838" s="899"/>
      <c r="T838" s="899"/>
      <c r="U838" s="899"/>
      <c r="V838" s="899"/>
      <c r="W838" s="899"/>
      <c r="X838" s="899"/>
      <c r="Y838" s="899"/>
      <c r="Z838" s="899"/>
      <c r="AA838" s="899"/>
      <c r="AB838" s="899"/>
      <c r="AC838" s="899"/>
      <c r="AD838" s="899"/>
      <c r="AE838" s="899"/>
    </row>
    <row r="839">
      <c r="A839" s="944"/>
      <c r="B839" s="945"/>
      <c r="C839" s="945"/>
      <c r="D839" s="945"/>
      <c r="E839" s="945"/>
      <c r="F839" s="945"/>
      <c r="G839" s="945"/>
      <c r="H839" s="945"/>
      <c r="I839" s="945"/>
      <c r="J839" s="945"/>
      <c r="K839" s="945"/>
      <c r="L839" s="945"/>
      <c r="M839" s="945"/>
      <c r="N839" s="899"/>
      <c r="O839" s="899"/>
      <c r="P839" s="899"/>
      <c r="Q839" s="899"/>
      <c r="R839" s="899"/>
      <c r="S839" s="899"/>
      <c r="T839" s="899"/>
      <c r="U839" s="899"/>
      <c r="V839" s="899"/>
      <c r="W839" s="899"/>
      <c r="X839" s="899"/>
      <c r="Y839" s="899"/>
      <c r="Z839" s="899"/>
      <c r="AA839" s="899"/>
      <c r="AB839" s="899"/>
      <c r="AC839" s="899"/>
      <c r="AD839" s="899"/>
      <c r="AE839" s="899"/>
    </row>
    <row r="840">
      <c r="A840" s="944"/>
      <c r="B840" s="945"/>
      <c r="C840" s="945"/>
      <c r="D840" s="945"/>
      <c r="E840" s="945"/>
      <c r="F840" s="945"/>
      <c r="G840" s="945"/>
      <c r="H840" s="945"/>
      <c r="I840" s="945"/>
      <c r="J840" s="945"/>
      <c r="K840" s="945"/>
      <c r="L840" s="945"/>
      <c r="M840" s="945"/>
      <c r="N840" s="899"/>
      <c r="O840" s="899"/>
      <c r="P840" s="899"/>
      <c r="Q840" s="899"/>
      <c r="R840" s="899"/>
      <c r="S840" s="899"/>
      <c r="T840" s="899"/>
      <c r="U840" s="899"/>
      <c r="V840" s="899"/>
      <c r="W840" s="899"/>
      <c r="X840" s="899"/>
      <c r="Y840" s="899"/>
      <c r="Z840" s="899"/>
      <c r="AA840" s="899"/>
      <c r="AB840" s="899"/>
      <c r="AC840" s="899"/>
      <c r="AD840" s="899"/>
      <c r="AE840" s="899"/>
    </row>
    <row r="841">
      <c r="A841" s="944"/>
      <c r="B841" s="945"/>
      <c r="C841" s="945"/>
      <c r="D841" s="945"/>
      <c r="E841" s="945"/>
      <c r="F841" s="945"/>
      <c r="G841" s="945"/>
      <c r="H841" s="945"/>
      <c r="I841" s="945"/>
      <c r="J841" s="945"/>
      <c r="K841" s="945"/>
      <c r="L841" s="945"/>
      <c r="M841" s="945"/>
      <c r="N841" s="899"/>
      <c r="O841" s="899"/>
      <c r="P841" s="899"/>
      <c r="Q841" s="899"/>
      <c r="R841" s="899"/>
      <c r="S841" s="899"/>
      <c r="T841" s="899"/>
      <c r="U841" s="899"/>
      <c r="V841" s="899"/>
      <c r="W841" s="899"/>
      <c r="X841" s="899"/>
      <c r="Y841" s="899"/>
      <c r="Z841" s="899"/>
      <c r="AA841" s="899"/>
      <c r="AB841" s="899"/>
      <c r="AC841" s="899"/>
      <c r="AD841" s="899"/>
      <c r="AE841" s="899"/>
    </row>
    <row r="842">
      <c r="A842" s="944"/>
      <c r="B842" s="945"/>
      <c r="C842" s="945"/>
      <c r="D842" s="945"/>
      <c r="E842" s="945"/>
      <c r="F842" s="945"/>
      <c r="G842" s="945"/>
      <c r="H842" s="945"/>
      <c r="I842" s="945"/>
      <c r="J842" s="945"/>
      <c r="K842" s="945"/>
      <c r="L842" s="945"/>
      <c r="M842" s="945"/>
      <c r="N842" s="899"/>
      <c r="O842" s="899"/>
      <c r="P842" s="899"/>
      <c r="Q842" s="899"/>
      <c r="R842" s="899"/>
      <c r="S842" s="899"/>
      <c r="T842" s="899"/>
      <c r="U842" s="899"/>
      <c r="V842" s="899"/>
      <c r="W842" s="899"/>
      <c r="X842" s="899"/>
      <c r="Y842" s="899"/>
      <c r="Z842" s="899"/>
      <c r="AA842" s="899"/>
      <c r="AB842" s="899"/>
      <c r="AC842" s="899"/>
      <c r="AD842" s="899"/>
      <c r="AE842" s="899"/>
    </row>
    <row r="843">
      <c r="A843" s="944"/>
      <c r="B843" s="945"/>
      <c r="C843" s="945"/>
      <c r="D843" s="945"/>
      <c r="E843" s="945"/>
      <c r="F843" s="945"/>
      <c r="G843" s="945"/>
      <c r="H843" s="945"/>
      <c r="I843" s="945"/>
      <c r="J843" s="945"/>
      <c r="K843" s="945"/>
      <c r="L843" s="945"/>
      <c r="M843" s="945"/>
      <c r="N843" s="899"/>
      <c r="O843" s="899"/>
      <c r="P843" s="899"/>
      <c r="Q843" s="899"/>
      <c r="R843" s="899"/>
      <c r="S843" s="899"/>
      <c r="T843" s="899"/>
      <c r="U843" s="899"/>
      <c r="V843" s="899"/>
      <c r="W843" s="899"/>
      <c r="X843" s="899"/>
      <c r="Y843" s="899"/>
      <c r="Z843" s="899"/>
      <c r="AA843" s="899"/>
      <c r="AB843" s="899"/>
      <c r="AC843" s="899"/>
      <c r="AD843" s="899"/>
      <c r="AE843" s="899"/>
    </row>
    <row r="844">
      <c r="A844" s="944"/>
      <c r="B844" s="945"/>
      <c r="C844" s="945"/>
      <c r="D844" s="945"/>
      <c r="E844" s="945"/>
      <c r="F844" s="945"/>
      <c r="G844" s="945"/>
      <c r="H844" s="945"/>
      <c r="I844" s="945"/>
      <c r="J844" s="945"/>
      <c r="K844" s="945"/>
      <c r="L844" s="945"/>
      <c r="M844" s="945"/>
      <c r="N844" s="899"/>
      <c r="O844" s="899"/>
      <c r="P844" s="899"/>
      <c r="Q844" s="899"/>
      <c r="R844" s="899"/>
      <c r="S844" s="899"/>
      <c r="T844" s="899"/>
      <c r="U844" s="899"/>
      <c r="V844" s="899"/>
      <c r="W844" s="899"/>
      <c r="X844" s="899"/>
      <c r="Y844" s="899"/>
      <c r="Z844" s="899"/>
      <c r="AA844" s="899"/>
      <c r="AB844" s="899"/>
      <c r="AC844" s="899"/>
      <c r="AD844" s="899"/>
      <c r="AE844" s="899"/>
    </row>
    <row r="845">
      <c r="A845" s="944"/>
      <c r="B845" s="945"/>
      <c r="C845" s="945"/>
      <c r="D845" s="945"/>
      <c r="E845" s="945"/>
      <c r="F845" s="945"/>
      <c r="G845" s="945"/>
      <c r="H845" s="945"/>
      <c r="I845" s="945"/>
      <c r="J845" s="945"/>
      <c r="K845" s="945"/>
      <c r="L845" s="945"/>
      <c r="M845" s="945"/>
      <c r="N845" s="899"/>
      <c r="O845" s="899"/>
      <c r="P845" s="899"/>
      <c r="Q845" s="899"/>
      <c r="R845" s="899"/>
      <c r="S845" s="899"/>
      <c r="T845" s="899"/>
      <c r="U845" s="899"/>
      <c r="V845" s="899"/>
      <c r="W845" s="899"/>
      <c r="X845" s="899"/>
      <c r="Y845" s="899"/>
      <c r="Z845" s="899"/>
      <c r="AA845" s="899"/>
      <c r="AB845" s="899"/>
      <c r="AC845" s="899"/>
      <c r="AD845" s="899"/>
      <c r="AE845" s="899"/>
    </row>
    <row r="846">
      <c r="A846" s="944"/>
      <c r="B846" s="945"/>
      <c r="C846" s="945"/>
      <c r="D846" s="945"/>
      <c r="E846" s="945"/>
      <c r="F846" s="945"/>
      <c r="G846" s="945"/>
      <c r="H846" s="945"/>
      <c r="I846" s="945"/>
      <c r="J846" s="945"/>
      <c r="K846" s="945"/>
      <c r="L846" s="945"/>
      <c r="M846" s="945"/>
      <c r="N846" s="899"/>
      <c r="O846" s="899"/>
      <c r="P846" s="899"/>
      <c r="Q846" s="899"/>
      <c r="R846" s="899"/>
      <c r="S846" s="899"/>
      <c r="T846" s="899"/>
      <c r="U846" s="899"/>
      <c r="V846" s="899"/>
      <c r="W846" s="899"/>
      <c r="X846" s="899"/>
      <c r="Y846" s="899"/>
      <c r="Z846" s="899"/>
      <c r="AA846" s="899"/>
      <c r="AB846" s="899"/>
      <c r="AC846" s="899"/>
      <c r="AD846" s="899"/>
      <c r="AE846" s="899"/>
    </row>
    <row r="847">
      <c r="A847" s="944"/>
      <c r="B847" s="945"/>
      <c r="C847" s="945"/>
      <c r="D847" s="945"/>
      <c r="E847" s="945"/>
      <c r="F847" s="945"/>
      <c r="G847" s="945"/>
      <c r="H847" s="945"/>
      <c r="I847" s="945"/>
      <c r="J847" s="945"/>
      <c r="K847" s="945"/>
      <c r="L847" s="945"/>
      <c r="M847" s="945"/>
      <c r="N847" s="899"/>
      <c r="O847" s="899"/>
      <c r="P847" s="899"/>
      <c r="Q847" s="899"/>
      <c r="R847" s="899"/>
      <c r="S847" s="899"/>
      <c r="T847" s="899"/>
      <c r="U847" s="899"/>
      <c r="V847" s="899"/>
      <c r="W847" s="899"/>
      <c r="X847" s="899"/>
      <c r="Y847" s="899"/>
      <c r="Z847" s="899"/>
      <c r="AA847" s="899"/>
      <c r="AB847" s="899"/>
      <c r="AC847" s="899"/>
      <c r="AD847" s="899"/>
      <c r="AE847" s="899"/>
    </row>
    <row r="848">
      <c r="A848" s="944"/>
      <c r="B848" s="945"/>
      <c r="C848" s="945"/>
      <c r="D848" s="945"/>
      <c r="E848" s="945"/>
      <c r="F848" s="945"/>
      <c r="G848" s="945"/>
      <c r="H848" s="945"/>
      <c r="I848" s="945"/>
      <c r="J848" s="945"/>
      <c r="K848" s="945"/>
      <c r="L848" s="945"/>
      <c r="M848" s="945"/>
      <c r="N848" s="899"/>
      <c r="O848" s="899"/>
      <c r="P848" s="899"/>
      <c r="Q848" s="899"/>
      <c r="R848" s="899"/>
      <c r="S848" s="899"/>
      <c r="T848" s="899"/>
      <c r="U848" s="899"/>
      <c r="V848" s="899"/>
      <c r="W848" s="899"/>
      <c r="X848" s="899"/>
      <c r="Y848" s="899"/>
      <c r="Z848" s="899"/>
      <c r="AA848" s="899"/>
      <c r="AB848" s="899"/>
      <c r="AC848" s="899"/>
      <c r="AD848" s="899"/>
      <c r="AE848" s="899"/>
    </row>
    <row r="849">
      <c r="A849" s="944"/>
      <c r="B849" s="945"/>
      <c r="C849" s="945"/>
      <c r="D849" s="945"/>
      <c r="E849" s="945"/>
      <c r="F849" s="945"/>
      <c r="G849" s="945"/>
      <c r="H849" s="945"/>
      <c r="I849" s="945"/>
      <c r="J849" s="945"/>
      <c r="K849" s="945"/>
      <c r="L849" s="945"/>
      <c r="M849" s="945"/>
      <c r="N849" s="899"/>
      <c r="O849" s="899"/>
      <c r="P849" s="899"/>
      <c r="Q849" s="899"/>
      <c r="R849" s="899"/>
      <c r="S849" s="899"/>
      <c r="T849" s="899"/>
      <c r="U849" s="899"/>
      <c r="V849" s="899"/>
      <c r="W849" s="899"/>
      <c r="X849" s="899"/>
      <c r="Y849" s="899"/>
      <c r="Z849" s="899"/>
      <c r="AA849" s="899"/>
      <c r="AB849" s="899"/>
      <c r="AC849" s="899"/>
      <c r="AD849" s="899"/>
      <c r="AE849" s="899"/>
    </row>
    <row r="850">
      <c r="A850" s="944"/>
      <c r="B850" s="945"/>
      <c r="C850" s="945"/>
      <c r="D850" s="945"/>
      <c r="E850" s="945"/>
      <c r="F850" s="945"/>
      <c r="G850" s="945"/>
      <c r="H850" s="945"/>
      <c r="I850" s="945"/>
      <c r="J850" s="945"/>
      <c r="K850" s="945"/>
      <c r="L850" s="945"/>
      <c r="M850" s="945"/>
      <c r="N850" s="899"/>
      <c r="O850" s="899"/>
      <c r="P850" s="899"/>
      <c r="Q850" s="899"/>
      <c r="R850" s="899"/>
      <c r="S850" s="899"/>
      <c r="T850" s="899"/>
      <c r="U850" s="899"/>
      <c r="V850" s="899"/>
      <c r="W850" s="899"/>
      <c r="X850" s="899"/>
      <c r="Y850" s="899"/>
      <c r="Z850" s="899"/>
      <c r="AA850" s="899"/>
      <c r="AB850" s="899"/>
      <c r="AC850" s="899"/>
      <c r="AD850" s="899"/>
      <c r="AE850" s="899"/>
    </row>
    <row r="851">
      <c r="A851" s="944"/>
      <c r="B851" s="945"/>
      <c r="C851" s="945"/>
      <c r="D851" s="945"/>
      <c r="E851" s="945"/>
      <c r="F851" s="945"/>
      <c r="G851" s="945"/>
      <c r="H851" s="945"/>
      <c r="I851" s="945"/>
      <c r="J851" s="945"/>
      <c r="K851" s="945"/>
      <c r="L851" s="945"/>
      <c r="M851" s="945"/>
      <c r="N851" s="899"/>
      <c r="O851" s="899"/>
      <c r="P851" s="899"/>
      <c r="Q851" s="899"/>
      <c r="R851" s="899"/>
      <c r="S851" s="899"/>
      <c r="T851" s="899"/>
      <c r="U851" s="899"/>
      <c r="V851" s="899"/>
      <c r="W851" s="899"/>
      <c r="X851" s="899"/>
      <c r="Y851" s="899"/>
      <c r="Z851" s="899"/>
      <c r="AA851" s="899"/>
      <c r="AB851" s="899"/>
      <c r="AC851" s="899"/>
      <c r="AD851" s="899"/>
      <c r="AE851" s="899"/>
    </row>
    <row r="852">
      <c r="A852" s="944"/>
      <c r="B852" s="945"/>
      <c r="C852" s="945"/>
      <c r="D852" s="945"/>
      <c r="E852" s="945"/>
      <c r="F852" s="945"/>
      <c r="G852" s="945"/>
      <c r="H852" s="945"/>
      <c r="I852" s="945"/>
      <c r="J852" s="945"/>
      <c r="K852" s="945"/>
      <c r="L852" s="945"/>
      <c r="M852" s="945"/>
      <c r="N852" s="899"/>
      <c r="O852" s="899"/>
      <c r="P852" s="899"/>
      <c r="Q852" s="899"/>
      <c r="R852" s="899"/>
      <c r="S852" s="899"/>
      <c r="T852" s="899"/>
      <c r="U852" s="899"/>
      <c r="V852" s="899"/>
      <c r="W852" s="899"/>
      <c r="X852" s="899"/>
      <c r="Y852" s="899"/>
      <c r="Z852" s="899"/>
      <c r="AA852" s="899"/>
      <c r="AB852" s="899"/>
      <c r="AC852" s="899"/>
      <c r="AD852" s="899"/>
      <c r="AE852" s="899"/>
    </row>
    <row r="853">
      <c r="A853" s="944"/>
      <c r="B853" s="945"/>
      <c r="C853" s="945"/>
      <c r="D853" s="945"/>
      <c r="E853" s="945"/>
      <c r="F853" s="945"/>
      <c r="G853" s="945"/>
      <c r="H853" s="945"/>
      <c r="I853" s="945"/>
      <c r="J853" s="945"/>
      <c r="K853" s="945"/>
      <c r="L853" s="945"/>
      <c r="M853" s="945"/>
      <c r="N853" s="899"/>
      <c r="O853" s="899"/>
      <c r="P853" s="899"/>
      <c r="Q853" s="899"/>
      <c r="R853" s="899"/>
      <c r="S853" s="899"/>
      <c r="T853" s="899"/>
      <c r="U853" s="899"/>
      <c r="V853" s="899"/>
      <c r="W853" s="899"/>
      <c r="X853" s="899"/>
      <c r="Y853" s="899"/>
      <c r="Z853" s="899"/>
      <c r="AA853" s="899"/>
      <c r="AB853" s="899"/>
      <c r="AC853" s="899"/>
      <c r="AD853" s="899"/>
      <c r="AE853" s="899"/>
    </row>
    <row r="854">
      <c r="A854" s="944"/>
      <c r="B854" s="945"/>
      <c r="C854" s="945"/>
      <c r="D854" s="945"/>
      <c r="E854" s="945"/>
      <c r="F854" s="945"/>
      <c r="G854" s="945"/>
      <c r="H854" s="945"/>
      <c r="I854" s="945"/>
      <c r="J854" s="945"/>
      <c r="K854" s="945"/>
      <c r="L854" s="945"/>
      <c r="M854" s="945"/>
      <c r="N854" s="899"/>
      <c r="O854" s="899"/>
      <c r="P854" s="899"/>
      <c r="Q854" s="899"/>
      <c r="R854" s="899"/>
      <c r="S854" s="899"/>
      <c r="T854" s="899"/>
      <c r="U854" s="899"/>
      <c r="V854" s="899"/>
      <c r="W854" s="899"/>
      <c r="X854" s="899"/>
      <c r="Y854" s="899"/>
      <c r="Z854" s="899"/>
      <c r="AA854" s="899"/>
      <c r="AB854" s="899"/>
      <c r="AC854" s="899"/>
      <c r="AD854" s="899"/>
      <c r="AE854" s="899"/>
    </row>
    <row r="855">
      <c r="A855" s="944"/>
      <c r="B855" s="945"/>
      <c r="C855" s="945"/>
      <c r="D855" s="945"/>
      <c r="E855" s="945"/>
      <c r="F855" s="945"/>
      <c r="G855" s="945"/>
      <c r="H855" s="945"/>
      <c r="I855" s="945"/>
      <c r="J855" s="945"/>
      <c r="K855" s="945"/>
      <c r="L855" s="945"/>
      <c r="M855" s="945"/>
      <c r="N855" s="899"/>
      <c r="O855" s="899"/>
      <c r="P855" s="899"/>
      <c r="Q855" s="899"/>
      <c r="R855" s="899"/>
      <c r="S855" s="899"/>
      <c r="T855" s="899"/>
      <c r="U855" s="899"/>
      <c r="V855" s="899"/>
      <c r="W855" s="899"/>
      <c r="X855" s="899"/>
      <c r="Y855" s="899"/>
      <c r="Z855" s="899"/>
      <c r="AA855" s="899"/>
      <c r="AB855" s="899"/>
      <c r="AC855" s="899"/>
      <c r="AD855" s="899"/>
      <c r="AE855" s="899"/>
    </row>
    <row r="856">
      <c r="A856" s="944"/>
      <c r="B856" s="945"/>
      <c r="C856" s="945"/>
      <c r="D856" s="945"/>
      <c r="E856" s="945"/>
      <c r="F856" s="945"/>
      <c r="G856" s="945"/>
      <c r="H856" s="945"/>
      <c r="I856" s="945"/>
      <c r="J856" s="945"/>
      <c r="K856" s="945"/>
      <c r="L856" s="945"/>
      <c r="M856" s="945"/>
      <c r="N856" s="899"/>
      <c r="O856" s="899"/>
      <c r="P856" s="899"/>
      <c r="Q856" s="899"/>
      <c r="R856" s="899"/>
      <c r="S856" s="899"/>
      <c r="T856" s="899"/>
      <c r="U856" s="899"/>
      <c r="V856" s="899"/>
      <c r="W856" s="899"/>
      <c r="X856" s="899"/>
      <c r="Y856" s="899"/>
      <c r="Z856" s="899"/>
      <c r="AA856" s="899"/>
      <c r="AB856" s="899"/>
      <c r="AC856" s="899"/>
      <c r="AD856" s="899"/>
      <c r="AE856" s="899"/>
    </row>
    <row r="857">
      <c r="A857" s="944"/>
      <c r="B857" s="945"/>
      <c r="C857" s="945"/>
      <c r="D857" s="945"/>
      <c r="E857" s="945"/>
      <c r="F857" s="945"/>
      <c r="G857" s="945"/>
      <c r="H857" s="945"/>
      <c r="I857" s="945"/>
      <c r="J857" s="945"/>
      <c r="K857" s="945"/>
      <c r="L857" s="945"/>
      <c r="M857" s="945"/>
      <c r="N857" s="899"/>
      <c r="O857" s="899"/>
      <c r="P857" s="899"/>
      <c r="Q857" s="899"/>
      <c r="R857" s="899"/>
      <c r="S857" s="899"/>
      <c r="T857" s="899"/>
      <c r="U857" s="899"/>
      <c r="V857" s="899"/>
      <c r="W857" s="899"/>
      <c r="X857" s="899"/>
      <c r="Y857" s="899"/>
      <c r="Z857" s="899"/>
      <c r="AA857" s="899"/>
      <c r="AB857" s="899"/>
      <c r="AC857" s="899"/>
      <c r="AD857" s="899"/>
      <c r="AE857" s="899"/>
    </row>
    <row r="858">
      <c r="A858" s="944"/>
      <c r="B858" s="945"/>
      <c r="C858" s="945"/>
      <c r="D858" s="945"/>
      <c r="E858" s="945"/>
      <c r="F858" s="945"/>
      <c r="G858" s="945"/>
      <c r="H858" s="945"/>
      <c r="I858" s="945"/>
      <c r="J858" s="945"/>
      <c r="K858" s="945"/>
      <c r="L858" s="945"/>
      <c r="M858" s="945"/>
      <c r="N858" s="899"/>
      <c r="O858" s="899"/>
      <c r="P858" s="899"/>
      <c r="Q858" s="899"/>
      <c r="R858" s="899"/>
      <c r="S858" s="899"/>
      <c r="T858" s="899"/>
      <c r="U858" s="899"/>
      <c r="V858" s="899"/>
      <c r="W858" s="899"/>
      <c r="X858" s="899"/>
      <c r="Y858" s="899"/>
      <c r="Z858" s="899"/>
      <c r="AA858" s="899"/>
      <c r="AB858" s="899"/>
      <c r="AC858" s="899"/>
      <c r="AD858" s="899"/>
      <c r="AE858" s="899"/>
    </row>
    <row r="859">
      <c r="A859" s="944"/>
      <c r="B859" s="945"/>
      <c r="C859" s="945"/>
      <c r="D859" s="945"/>
      <c r="E859" s="945"/>
      <c r="F859" s="945"/>
      <c r="G859" s="945"/>
      <c r="H859" s="945"/>
      <c r="I859" s="945"/>
      <c r="J859" s="945"/>
      <c r="K859" s="945"/>
      <c r="L859" s="945"/>
      <c r="M859" s="945"/>
      <c r="N859" s="899"/>
      <c r="O859" s="899"/>
      <c r="P859" s="899"/>
      <c r="Q859" s="899"/>
      <c r="R859" s="899"/>
      <c r="S859" s="899"/>
      <c r="T859" s="899"/>
      <c r="U859" s="899"/>
      <c r="V859" s="899"/>
      <c r="W859" s="899"/>
      <c r="X859" s="899"/>
      <c r="Y859" s="899"/>
      <c r="Z859" s="899"/>
      <c r="AA859" s="899"/>
      <c r="AB859" s="899"/>
      <c r="AC859" s="899"/>
      <c r="AD859" s="899"/>
      <c r="AE859" s="899"/>
    </row>
    <row r="860">
      <c r="A860" s="944"/>
      <c r="B860" s="945"/>
      <c r="C860" s="945"/>
      <c r="D860" s="945"/>
      <c r="E860" s="945"/>
      <c r="F860" s="945"/>
      <c r="G860" s="945"/>
      <c r="H860" s="945"/>
      <c r="I860" s="945"/>
      <c r="J860" s="945"/>
      <c r="K860" s="945"/>
      <c r="L860" s="945"/>
      <c r="M860" s="945"/>
      <c r="N860" s="899"/>
      <c r="O860" s="899"/>
      <c r="P860" s="899"/>
      <c r="Q860" s="899"/>
      <c r="R860" s="899"/>
      <c r="S860" s="899"/>
      <c r="T860" s="899"/>
      <c r="U860" s="899"/>
      <c r="V860" s="899"/>
      <c r="W860" s="899"/>
      <c r="X860" s="899"/>
      <c r="Y860" s="899"/>
      <c r="Z860" s="899"/>
      <c r="AA860" s="899"/>
      <c r="AB860" s="899"/>
      <c r="AC860" s="899"/>
      <c r="AD860" s="899"/>
      <c r="AE860" s="899"/>
    </row>
    <row r="861">
      <c r="A861" s="944"/>
      <c r="B861" s="945"/>
      <c r="C861" s="945"/>
      <c r="D861" s="945"/>
      <c r="E861" s="945"/>
      <c r="F861" s="945"/>
      <c r="G861" s="945"/>
      <c r="H861" s="945"/>
      <c r="I861" s="945"/>
      <c r="J861" s="945"/>
      <c r="K861" s="945"/>
      <c r="L861" s="945"/>
      <c r="M861" s="945"/>
      <c r="N861" s="899"/>
      <c r="O861" s="899"/>
      <c r="P861" s="899"/>
      <c r="Q861" s="899"/>
      <c r="R861" s="899"/>
      <c r="S861" s="899"/>
      <c r="T861" s="899"/>
      <c r="U861" s="899"/>
      <c r="V861" s="899"/>
      <c r="W861" s="899"/>
      <c r="X861" s="899"/>
      <c r="Y861" s="899"/>
      <c r="Z861" s="899"/>
      <c r="AA861" s="899"/>
      <c r="AB861" s="899"/>
      <c r="AC861" s="899"/>
      <c r="AD861" s="899"/>
      <c r="AE861" s="899"/>
    </row>
    <row r="862">
      <c r="A862" s="944"/>
      <c r="B862" s="945"/>
      <c r="C862" s="945"/>
      <c r="D862" s="945"/>
      <c r="E862" s="945"/>
      <c r="F862" s="945"/>
      <c r="G862" s="945"/>
      <c r="H862" s="945"/>
      <c r="I862" s="945"/>
      <c r="J862" s="945"/>
      <c r="K862" s="945"/>
      <c r="L862" s="945"/>
      <c r="M862" s="945"/>
      <c r="N862" s="899"/>
      <c r="O862" s="899"/>
      <c r="P862" s="899"/>
      <c r="Q862" s="899"/>
      <c r="R862" s="899"/>
      <c r="S862" s="899"/>
      <c r="T862" s="899"/>
      <c r="U862" s="899"/>
      <c r="V862" s="899"/>
      <c r="W862" s="899"/>
      <c r="X862" s="899"/>
      <c r="Y862" s="899"/>
      <c r="Z862" s="899"/>
      <c r="AA862" s="899"/>
      <c r="AB862" s="899"/>
      <c r="AC862" s="899"/>
      <c r="AD862" s="899"/>
      <c r="AE862" s="899"/>
    </row>
    <row r="863">
      <c r="A863" s="944"/>
      <c r="B863" s="945"/>
      <c r="C863" s="945"/>
      <c r="D863" s="945"/>
      <c r="E863" s="945"/>
      <c r="F863" s="945"/>
      <c r="G863" s="945"/>
      <c r="H863" s="945"/>
      <c r="I863" s="945"/>
      <c r="J863" s="945"/>
      <c r="K863" s="945"/>
      <c r="L863" s="945"/>
      <c r="M863" s="945"/>
      <c r="N863" s="899"/>
      <c r="O863" s="899"/>
      <c r="P863" s="899"/>
      <c r="Q863" s="899"/>
      <c r="R863" s="899"/>
      <c r="S863" s="899"/>
      <c r="T863" s="899"/>
      <c r="U863" s="899"/>
      <c r="V863" s="899"/>
      <c r="W863" s="899"/>
      <c r="X863" s="899"/>
      <c r="Y863" s="899"/>
      <c r="Z863" s="899"/>
      <c r="AA863" s="899"/>
      <c r="AB863" s="899"/>
      <c r="AC863" s="899"/>
      <c r="AD863" s="899"/>
      <c r="AE863" s="899"/>
    </row>
    <row r="864">
      <c r="A864" s="944"/>
      <c r="B864" s="945"/>
      <c r="C864" s="945"/>
      <c r="D864" s="945"/>
      <c r="E864" s="945"/>
      <c r="F864" s="945"/>
      <c r="G864" s="945"/>
      <c r="H864" s="945"/>
      <c r="I864" s="945"/>
      <c r="J864" s="945"/>
      <c r="K864" s="945"/>
      <c r="L864" s="945"/>
      <c r="M864" s="945"/>
      <c r="N864" s="899"/>
      <c r="O864" s="899"/>
      <c r="P864" s="899"/>
      <c r="Q864" s="899"/>
      <c r="R864" s="899"/>
      <c r="S864" s="899"/>
      <c r="T864" s="899"/>
      <c r="U864" s="899"/>
      <c r="V864" s="899"/>
      <c r="W864" s="899"/>
      <c r="X864" s="899"/>
      <c r="Y864" s="899"/>
      <c r="Z864" s="899"/>
      <c r="AA864" s="899"/>
      <c r="AB864" s="899"/>
      <c r="AC864" s="899"/>
      <c r="AD864" s="899"/>
      <c r="AE864" s="899"/>
    </row>
    <row r="865">
      <c r="A865" s="944"/>
      <c r="B865" s="945"/>
      <c r="C865" s="945"/>
      <c r="D865" s="945"/>
      <c r="E865" s="945"/>
      <c r="F865" s="945"/>
      <c r="G865" s="945"/>
      <c r="H865" s="945"/>
      <c r="I865" s="945"/>
      <c r="J865" s="945"/>
      <c r="K865" s="945"/>
      <c r="L865" s="945"/>
      <c r="M865" s="945"/>
      <c r="N865" s="899"/>
      <c r="O865" s="899"/>
      <c r="P865" s="899"/>
      <c r="Q865" s="899"/>
      <c r="R865" s="899"/>
      <c r="S865" s="899"/>
      <c r="T865" s="899"/>
      <c r="U865" s="899"/>
      <c r="V865" s="899"/>
      <c r="W865" s="899"/>
      <c r="X865" s="899"/>
      <c r="Y865" s="899"/>
      <c r="Z865" s="899"/>
      <c r="AA865" s="899"/>
      <c r="AB865" s="899"/>
      <c r="AC865" s="899"/>
      <c r="AD865" s="899"/>
      <c r="AE865" s="899"/>
    </row>
    <row r="866">
      <c r="A866" s="944"/>
      <c r="B866" s="945"/>
      <c r="C866" s="945"/>
      <c r="D866" s="945"/>
      <c r="E866" s="945"/>
      <c r="F866" s="945"/>
      <c r="G866" s="945"/>
      <c r="H866" s="945"/>
      <c r="I866" s="945"/>
      <c r="J866" s="945"/>
      <c r="K866" s="945"/>
      <c r="L866" s="945"/>
      <c r="M866" s="945"/>
      <c r="N866" s="899"/>
      <c r="O866" s="899"/>
      <c r="P866" s="899"/>
      <c r="Q866" s="899"/>
      <c r="R866" s="899"/>
      <c r="S866" s="899"/>
      <c r="T866" s="899"/>
      <c r="U866" s="899"/>
      <c r="V866" s="899"/>
      <c r="W866" s="899"/>
      <c r="X866" s="899"/>
      <c r="Y866" s="899"/>
      <c r="Z866" s="899"/>
      <c r="AA866" s="899"/>
      <c r="AB866" s="899"/>
      <c r="AC866" s="899"/>
      <c r="AD866" s="899"/>
      <c r="AE866" s="899"/>
    </row>
    <row r="867">
      <c r="A867" s="944"/>
      <c r="B867" s="945"/>
      <c r="C867" s="945"/>
      <c r="D867" s="945"/>
      <c r="E867" s="945"/>
      <c r="F867" s="945"/>
      <c r="G867" s="945"/>
      <c r="H867" s="945"/>
      <c r="I867" s="945"/>
      <c r="J867" s="945"/>
      <c r="K867" s="945"/>
      <c r="L867" s="945"/>
      <c r="M867" s="945"/>
      <c r="N867" s="899"/>
      <c r="O867" s="899"/>
      <c r="P867" s="899"/>
      <c r="Q867" s="899"/>
      <c r="R867" s="899"/>
      <c r="S867" s="899"/>
      <c r="T867" s="899"/>
      <c r="U867" s="899"/>
      <c r="V867" s="899"/>
      <c r="W867" s="899"/>
      <c r="X867" s="899"/>
      <c r="Y867" s="899"/>
      <c r="Z867" s="899"/>
      <c r="AA867" s="899"/>
      <c r="AB867" s="899"/>
      <c r="AC867" s="899"/>
      <c r="AD867" s="899"/>
      <c r="AE867" s="899"/>
    </row>
    <row r="868">
      <c r="A868" s="944"/>
      <c r="B868" s="945"/>
      <c r="C868" s="945"/>
      <c r="D868" s="945"/>
      <c r="E868" s="945"/>
      <c r="F868" s="945"/>
      <c r="G868" s="945"/>
      <c r="H868" s="945"/>
      <c r="I868" s="945"/>
      <c r="J868" s="945"/>
      <c r="K868" s="945"/>
      <c r="L868" s="945"/>
      <c r="M868" s="945"/>
      <c r="N868" s="899"/>
      <c r="O868" s="899"/>
      <c r="P868" s="899"/>
      <c r="Q868" s="899"/>
      <c r="R868" s="899"/>
      <c r="S868" s="899"/>
      <c r="T868" s="899"/>
      <c r="U868" s="899"/>
      <c r="V868" s="899"/>
      <c r="W868" s="899"/>
      <c r="X868" s="899"/>
      <c r="Y868" s="899"/>
      <c r="Z868" s="899"/>
      <c r="AA868" s="899"/>
      <c r="AB868" s="899"/>
      <c r="AC868" s="899"/>
      <c r="AD868" s="899"/>
      <c r="AE868" s="899"/>
    </row>
    <row r="869">
      <c r="A869" s="944"/>
      <c r="B869" s="945"/>
      <c r="C869" s="945"/>
      <c r="D869" s="945"/>
      <c r="E869" s="945"/>
      <c r="F869" s="945"/>
      <c r="G869" s="945"/>
      <c r="H869" s="945"/>
      <c r="I869" s="945"/>
      <c r="J869" s="945"/>
      <c r="K869" s="945"/>
      <c r="L869" s="945"/>
      <c r="M869" s="945"/>
      <c r="N869" s="899"/>
      <c r="O869" s="899"/>
      <c r="P869" s="899"/>
      <c r="Q869" s="899"/>
      <c r="R869" s="899"/>
      <c r="S869" s="899"/>
      <c r="T869" s="899"/>
      <c r="U869" s="899"/>
      <c r="V869" s="899"/>
      <c r="W869" s="899"/>
      <c r="X869" s="899"/>
      <c r="Y869" s="899"/>
      <c r="Z869" s="899"/>
      <c r="AA869" s="899"/>
      <c r="AB869" s="899"/>
      <c r="AC869" s="899"/>
      <c r="AD869" s="899"/>
      <c r="AE869" s="899"/>
    </row>
    <row r="870">
      <c r="A870" s="944"/>
      <c r="B870" s="945"/>
      <c r="C870" s="945"/>
      <c r="D870" s="945"/>
      <c r="E870" s="945"/>
      <c r="F870" s="945"/>
      <c r="G870" s="945"/>
      <c r="H870" s="945"/>
      <c r="I870" s="945"/>
      <c r="J870" s="945"/>
      <c r="K870" s="945"/>
      <c r="L870" s="945"/>
      <c r="M870" s="945"/>
      <c r="N870" s="899"/>
      <c r="O870" s="899"/>
      <c r="P870" s="899"/>
      <c r="Q870" s="899"/>
      <c r="R870" s="899"/>
      <c r="S870" s="899"/>
      <c r="T870" s="899"/>
      <c r="U870" s="899"/>
      <c r="V870" s="899"/>
      <c r="W870" s="899"/>
      <c r="X870" s="899"/>
      <c r="Y870" s="899"/>
      <c r="Z870" s="899"/>
      <c r="AA870" s="899"/>
      <c r="AB870" s="899"/>
      <c r="AC870" s="899"/>
      <c r="AD870" s="899"/>
      <c r="AE870" s="899"/>
    </row>
    <row r="871">
      <c r="A871" s="944"/>
      <c r="B871" s="945"/>
      <c r="C871" s="945"/>
      <c r="D871" s="945"/>
      <c r="E871" s="945"/>
      <c r="F871" s="945"/>
      <c r="G871" s="945"/>
      <c r="H871" s="945"/>
      <c r="I871" s="945"/>
      <c r="J871" s="945"/>
      <c r="K871" s="945"/>
      <c r="L871" s="945"/>
      <c r="M871" s="945"/>
      <c r="N871" s="899"/>
      <c r="O871" s="899"/>
      <c r="P871" s="899"/>
      <c r="Q871" s="899"/>
      <c r="R871" s="899"/>
      <c r="S871" s="899"/>
      <c r="T871" s="899"/>
      <c r="U871" s="899"/>
      <c r="V871" s="899"/>
      <c r="W871" s="899"/>
      <c r="X871" s="899"/>
      <c r="Y871" s="899"/>
      <c r="Z871" s="899"/>
      <c r="AA871" s="899"/>
      <c r="AB871" s="899"/>
      <c r="AC871" s="899"/>
      <c r="AD871" s="899"/>
      <c r="AE871" s="899"/>
    </row>
    <row r="872">
      <c r="A872" s="944"/>
      <c r="B872" s="945"/>
      <c r="C872" s="945"/>
      <c r="D872" s="945"/>
      <c r="E872" s="945"/>
      <c r="F872" s="945"/>
      <c r="G872" s="945"/>
      <c r="H872" s="945"/>
      <c r="I872" s="945"/>
      <c r="J872" s="945"/>
      <c r="K872" s="945"/>
      <c r="L872" s="945"/>
      <c r="M872" s="945"/>
      <c r="N872" s="899"/>
      <c r="O872" s="899"/>
      <c r="P872" s="899"/>
      <c r="Q872" s="899"/>
      <c r="R872" s="899"/>
      <c r="S872" s="899"/>
      <c r="T872" s="899"/>
      <c r="U872" s="899"/>
      <c r="V872" s="899"/>
      <c r="W872" s="899"/>
      <c r="X872" s="899"/>
      <c r="Y872" s="899"/>
      <c r="Z872" s="899"/>
      <c r="AA872" s="899"/>
      <c r="AB872" s="899"/>
      <c r="AC872" s="899"/>
      <c r="AD872" s="899"/>
      <c r="AE872" s="899"/>
    </row>
    <row r="873">
      <c r="A873" s="944"/>
      <c r="B873" s="945"/>
      <c r="C873" s="945"/>
      <c r="D873" s="945"/>
      <c r="E873" s="945"/>
      <c r="F873" s="945"/>
      <c r="G873" s="945"/>
      <c r="H873" s="945"/>
      <c r="I873" s="945"/>
      <c r="J873" s="945"/>
      <c r="K873" s="945"/>
      <c r="L873" s="945"/>
      <c r="M873" s="945"/>
      <c r="N873" s="899"/>
      <c r="O873" s="899"/>
      <c r="P873" s="899"/>
      <c r="Q873" s="899"/>
      <c r="R873" s="899"/>
      <c r="S873" s="899"/>
      <c r="T873" s="899"/>
      <c r="U873" s="899"/>
      <c r="V873" s="899"/>
      <c r="W873" s="899"/>
      <c r="X873" s="899"/>
      <c r="Y873" s="899"/>
      <c r="Z873" s="899"/>
      <c r="AA873" s="899"/>
      <c r="AB873" s="899"/>
      <c r="AC873" s="899"/>
      <c r="AD873" s="899"/>
      <c r="AE873" s="899"/>
    </row>
    <row r="874">
      <c r="A874" s="944"/>
      <c r="B874" s="945"/>
      <c r="C874" s="945"/>
      <c r="D874" s="945"/>
      <c r="E874" s="945"/>
      <c r="F874" s="945"/>
      <c r="G874" s="945"/>
      <c r="H874" s="945"/>
      <c r="I874" s="945"/>
      <c r="J874" s="945"/>
      <c r="K874" s="945"/>
      <c r="L874" s="945"/>
      <c r="M874" s="945"/>
      <c r="N874" s="899"/>
      <c r="O874" s="899"/>
      <c r="P874" s="899"/>
      <c r="Q874" s="899"/>
      <c r="R874" s="899"/>
      <c r="S874" s="899"/>
      <c r="T874" s="899"/>
      <c r="U874" s="899"/>
      <c r="V874" s="899"/>
      <c r="W874" s="899"/>
      <c r="X874" s="899"/>
      <c r="Y874" s="899"/>
      <c r="Z874" s="899"/>
      <c r="AA874" s="899"/>
      <c r="AB874" s="899"/>
      <c r="AC874" s="899"/>
      <c r="AD874" s="899"/>
      <c r="AE874" s="899"/>
    </row>
    <row r="875">
      <c r="A875" s="944"/>
      <c r="B875" s="945"/>
      <c r="C875" s="945"/>
      <c r="D875" s="945"/>
      <c r="E875" s="945"/>
      <c r="F875" s="945"/>
      <c r="G875" s="945"/>
      <c r="H875" s="945"/>
      <c r="I875" s="945"/>
      <c r="J875" s="945"/>
      <c r="K875" s="945"/>
      <c r="L875" s="945"/>
      <c r="M875" s="945"/>
      <c r="N875" s="899"/>
      <c r="O875" s="899"/>
      <c r="P875" s="899"/>
      <c r="Q875" s="899"/>
      <c r="R875" s="899"/>
      <c r="S875" s="899"/>
      <c r="T875" s="899"/>
      <c r="U875" s="899"/>
      <c r="V875" s="899"/>
      <c r="W875" s="899"/>
      <c r="X875" s="899"/>
      <c r="Y875" s="899"/>
      <c r="Z875" s="899"/>
      <c r="AA875" s="899"/>
      <c r="AB875" s="899"/>
      <c r="AC875" s="899"/>
      <c r="AD875" s="899"/>
      <c r="AE875" s="899"/>
    </row>
    <row r="876">
      <c r="A876" s="944"/>
      <c r="B876" s="945"/>
      <c r="C876" s="945"/>
      <c r="D876" s="945"/>
      <c r="E876" s="945"/>
      <c r="F876" s="945"/>
      <c r="G876" s="945"/>
      <c r="H876" s="945"/>
      <c r="I876" s="945"/>
      <c r="J876" s="945"/>
      <c r="K876" s="945"/>
      <c r="L876" s="945"/>
      <c r="M876" s="945"/>
      <c r="N876" s="899"/>
      <c r="O876" s="899"/>
      <c r="P876" s="899"/>
      <c r="Q876" s="899"/>
      <c r="R876" s="899"/>
      <c r="S876" s="899"/>
      <c r="T876" s="899"/>
      <c r="U876" s="899"/>
      <c r="V876" s="899"/>
      <c r="W876" s="899"/>
      <c r="X876" s="899"/>
      <c r="Y876" s="899"/>
      <c r="Z876" s="899"/>
      <c r="AA876" s="899"/>
      <c r="AB876" s="899"/>
      <c r="AC876" s="899"/>
      <c r="AD876" s="899"/>
      <c r="AE876" s="899"/>
    </row>
    <row r="877">
      <c r="A877" s="944"/>
      <c r="B877" s="945"/>
      <c r="C877" s="945"/>
      <c r="D877" s="945"/>
      <c r="E877" s="945"/>
      <c r="F877" s="945"/>
      <c r="G877" s="945"/>
      <c r="H877" s="945"/>
      <c r="I877" s="945"/>
      <c r="J877" s="945"/>
      <c r="K877" s="945"/>
      <c r="L877" s="945"/>
      <c r="M877" s="945"/>
      <c r="N877" s="899"/>
      <c r="O877" s="899"/>
      <c r="P877" s="899"/>
      <c r="Q877" s="899"/>
      <c r="R877" s="899"/>
      <c r="S877" s="899"/>
      <c r="T877" s="899"/>
      <c r="U877" s="899"/>
      <c r="V877" s="899"/>
      <c r="W877" s="899"/>
      <c r="X877" s="899"/>
      <c r="Y877" s="899"/>
      <c r="Z877" s="899"/>
      <c r="AA877" s="899"/>
      <c r="AB877" s="899"/>
      <c r="AC877" s="899"/>
      <c r="AD877" s="899"/>
      <c r="AE877" s="899"/>
    </row>
    <row r="878">
      <c r="A878" s="944"/>
      <c r="B878" s="945"/>
      <c r="C878" s="945"/>
      <c r="D878" s="945"/>
      <c r="E878" s="945"/>
      <c r="F878" s="945"/>
      <c r="G878" s="945"/>
      <c r="H878" s="945"/>
      <c r="I878" s="945"/>
      <c r="J878" s="945"/>
      <c r="K878" s="945"/>
      <c r="L878" s="945"/>
      <c r="M878" s="945"/>
      <c r="N878" s="899"/>
      <c r="O878" s="899"/>
      <c r="P878" s="899"/>
      <c r="Q878" s="899"/>
      <c r="R878" s="899"/>
      <c r="S878" s="899"/>
      <c r="T878" s="899"/>
      <c r="U878" s="899"/>
      <c r="V878" s="899"/>
      <c r="W878" s="899"/>
      <c r="X878" s="899"/>
      <c r="Y878" s="899"/>
      <c r="Z878" s="899"/>
      <c r="AA878" s="899"/>
      <c r="AB878" s="899"/>
      <c r="AC878" s="899"/>
      <c r="AD878" s="899"/>
      <c r="AE878" s="899"/>
    </row>
    <row r="879">
      <c r="A879" s="944"/>
      <c r="B879" s="945"/>
      <c r="C879" s="945"/>
      <c r="D879" s="945"/>
      <c r="E879" s="945"/>
      <c r="F879" s="945"/>
      <c r="G879" s="945"/>
      <c r="H879" s="945"/>
      <c r="I879" s="945"/>
      <c r="J879" s="945"/>
      <c r="K879" s="945"/>
      <c r="L879" s="945"/>
      <c r="M879" s="945"/>
      <c r="N879" s="899"/>
      <c r="O879" s="899"/>
      <c r="P879" s="899"/>
      <c r="Q879" s="899"/>
      <c r="R879" s="899"/>
      <c r="S879" s="899"/>
      <c r="T879" s="899"/>
      <c r="U879" s="899"/>
      <c r="V879" s="899"/>
      <c r="W879" s="899"/>
      <c r="X879" s="899"/>
      <c r="Y879" s="899"/>
      <c r="Z879" s="899"/>
      <c r="AA879" s="899"/>
      <c r="AB879" s="899"/>
      <c r="AC879" s="899"/>
      <c r="AD879" s="899"/>
      <c r="AE879" s="899"/>
    </row>
    <row r="880">
      <c r="A880" s="944"/>
      <c r="B880" s="945"/>
      <c r="C880" s="945"/>
      <c r="D880" s="945"/>
      <c r="E880" s="945"/>
      <c r="F880" s="945"/>
      <c r="G880" s="945"/>
      <c r="H880" s="945"/>
      <c r="I880" s="945"/>
      <c r="J880" s="945"/>
      <c r="K880" s="945"/>
      <c r="L880" s="945"/>
      <c r="M880" s="945"/>
      <c r="N880" s="899"/>
      <c r="O880" s="899"/>
      <c r="P880" s="899"/>
      <c r="Q880" s="899"/>
      <c r="R880" s="899"/>
      <c r="S880" s="899"/>
      <c r="T880" s="899"/>
      <c r="U880" s="899"/>
      <c r="V880" s="899"/>
      <c r="W880" s="899"/>
      <c r="X880" s="899"/>
      <c r="Y880" s="899"/>
      <c r="Z880" s="899"/>
      <c r="AA880" s="899"/>
      <c r="AB880" s="899"/>
      <c r="AC880" s="899"/>
      <c r="AD880" s="899"/>
      <c r="AE880" s="899"/>
    </row>
    <row r="881">
      <c r="A881" s="944"/>
      <c r="B881" s="945"/>
      <c r="C881" s="945"/>
      <c r="D881" s="945"/>
      <c r="E881" s="945"/>
      <c r="F881" s="945"/>
      <c r="G881" s="945"/>
      <c r="H881" s="945"/>
      <c r="I881" s="945"/>
      <c r="J881" s="945"/>
      <c r="K881" s="945"/>
      <c r="L881" s="945"/>
      <c r="M881" s="945"/>
      <c r="N881" s="899"/>
      <c r="O881" s="899"/>
      <c r="P881" s="899"/>
      <c r="Q881" s="899"/>
      <c r="R881" s="899"/>
      <c r="S881" s="899"/>
      <c r="T881" s="899"/>
      <c r="U881" s="899"/>
      <c r="V881" s="899"/>
      <c r="W881" s="899"/>
      <c r="X881" s="899"/>
      <c r="Y881" s="899"/>
      <c r="Z881" s="899"/>
      <c r="AA881" s="899"/>
      <c r="AB881" s="899"/>
      <c r="AC881" s="899"/>
      <c r="AD881" s="899"/>
      <c r="AE881" s="899"/>
    </row>
    <row r="882">
      <c r="A882" s="944"/>
      <c r="B882" s="945"/>
      <c r="C882" s="945"/>
      <c r="D882" s="945"/>
      <c r="E882" s="945"/>
      <c r="F882" s="945"/>
      <c r="G882" s="945"/>
      <c r="H882" s="945"/>
      <c r="I882" s="945"/>
      <c r="J882" s="945"/>
      <c r="K882" s="945"/>
      <c r="L882" s="945"/>
      <c r="M882" s="945"/>
      <c r="N882" s="899"/>
      <c r="O882" s="899"/>
      <c r="P882" s="899"/>
      <c r="Q882" s="899"/>
      <c r="R882" s="899"/>
      <c r="S882" s="899"/>
      <c r="T882" s="899"/>
      <c r="U882" s="899"/>
      <c r="V882" s="899"/>
      <c r="W882" s="899"/>
      <c r="X882" s="899"/>
      <c r="Y882" s="899"/>
      <c r="Z882" s="899"/>
      <c r="AA882" s="899"/>
      <c r="AB882" s="899"/>
      <c r="AC882" s="899"/>
      <c r="AD882" s="899"/>
      <c r="AE882" s="899"/>
    </row>
    <row r="883">
      <c r="A883" s="944"/>
      <c r="B883" s="945"/>
      <c r="C883" s="945"/>
      <c r="D883" s="945"/>
      <c r="E883" s="945"/>
      <c r="F883" s="945"/>
      <c r="G883" s="945"/>
      <c r="H883" s="945"/>
      <c r="I883" s="945"/>
      <c r="J883" s="945"/>
      <c r="K883" s="945"/>
      <c r="L883" s="945"/>
      <c r="M883" s="945"/>
      <c r="N883" s="899"/>
      <c r="O883" s="899"/>
      <c r="P883" s="899"/>
      <c r="Q883" s="899"/>
      <c r="R883" s="899"/>
      <c r="S883" s="899"/>
      <c r="T883" s="899"/>
      <c r="U883" s="899"/>
      <c r="V883" s="899"/>
      <c r="W883" s="899"/>
      <c r="X883" s="899"/>
      <c r="Y883" s="899"/>
      <c r="Z883" s="899"/>
      <c r="AA883" s="899"/>
      <c r="AB883" s="899"/>
      <c r="AC883" s="899"/>
      <c r="AD883" s="899"/>
      <c r="AE883" s="899"/>
    </row>
    <row r="884">
      <c r="A884" s="944"/>
      <c r="B884" s="945"/>
      <c r="C884" s="945"/>
      <c r="D884" s="945"/>
      <c r="E884" s="945"/>
      <c r="F884" s="945"/>
      <c r="G884" s="945"/>
      <c r="H884" s="945"/>
      <c r="I884" s="945"/>
      <c r="J884" s="945"/>
      <c r="K884" s="945"/>
      <c r="L884" s="945"/>
      <c r="M884" s="945"/>
      <c r="N884" s="899"/>
      <c r="O884" s="899"/>
      <c r="P884" s="899"/>
      <c r="Q884" s="899"/>
      <c r="R884" s="899"/>
      <c r="S884" s="899"/>
      <c r="T884" s="899"/>
      <c r="U884" s="899"/>
      <c r="V884" s="899"/>
      <c r="W884" s="899"/>
      <c r="X884" s="899"/>
      <c r="Y884" s="899"/>
      <c r="Z884" s="899"/>
      <c r="AA884" s="899"/>
      <c r="AB884" s="899"/>
      <c r="AC884" s="899"/>
      <c r="AD884" s="899"/>
      <c r="AE884" s="899"/>
    </row>
    <row r="885">
      <c r="A885" s="944"/>
      <c r="B885" s="945"/>
      <c r="C885" s="945"/>
      <c r="D885" s="945"/>
      <c r="E885" s="945"/>
      <c r="F885" s="945"/>
      <c r="G885" s="945"/>
      <c r="H885" s="945"/>
      <c r="I885" s="945"/>
      <c r="J885" s="945"/>
      <c r="K885" s="945"/>
      <c r="L885" s="945"/>
      <c r="M885" s="945"/>
      <c r="N885" s="899"/>
      <c r="O885" s="899"/>
      <c r="P885" s="899"/>
      <c r="Q885" s="899"/>
      <c r="R885" s="899"/>
      <c r="S885" s="899"/>
      <c r="T885" s="899"/>
      <c r="U885" s="899"/>
      <c r="V885" s="899"/>
      <c r="W885" s="899"/>
      <c r="X885" s="899"/>
      <c r="Y885" s="899"/>
      <c r="Z885" s="899"/>
      <c r="AA885" s="899"/>
      <c r="AB885" s="899"/>
      <c r="AC885" s="899"/>
      <c r="AD885" s="899"/>
      <c r="AE885" s="899"/>
    </row>
    <row r="886">
      <c r="A886" s="944"/>
      <c r="B886" s="945"/>
      <c r="C886" s="945"/>
      <c r="D886" s="945"/>
      <c r="E886" s="945"/>
      <c r="F886" s="945"/>
      <c r="G886" s="945"/>
      <c r="H886" s="945"/>
      <c r="I886" s="945"/>
      <c r="J886" s="945"/>
      <c r="K886" s="945"/>
      <c r="L886" s="945"/>
      <c r="M886" s="945"/>
      <c r="N886" s="899"/>
      <c r="O886" s="899"/>
      <c r="P886" s="899"/>
      <c r="Q886" s="899"/>
      <c r="R886" s="899"/>
      <c r="S886" s="899"/>
      <c r="T886" s="899"/>
      <c r="U886" s="899"/>
      <c r="V886" s="899"/>
      <c r="W886" s="899"/>
      <c r="X886" s="899"/>
      <c r="Y886" s="899"/>
      <c r="Z886" s="899"/>
      <c r="AA886" s="899"/>
      <c r="AB886" s="899"/>
      <c r="AC886" s="899"/>
      <c r="AD886" s="899"/>
      <c r="AE886" s="899"/>
    </row>
    <row r="887">
      <c r="A887" s="944"/>
      <c r="B887" s="945"/>
      <c r="C887" s="945"/>
      <c r="D887" s="945"/>
      <c r="E887" s="945"/>
      <c r="F887" s="945"/>
      <c r="G887" s="945"/>
      <c r="H887" s="945"/>
      <c r="I887" s="945"/>
      <c r="J887" s="945"/>
      <c r="K887" s="945"/>
      <c r="L887" s="945"/>
      <c r="M887" s="945"/>
      <c r="N887" s="899"/>
      <c r="O887" s="899"/>
      <c r="P887" s="899"/>
      <c r="Q887" s="899"/>
      <c r="R887" s="899"/>
      <c r="S887" s="899"/>
      <c r="T887" s="899"/>
      <c r="U887" s="899"/>
      <c r="V887" s="899"/>
      <c r="W887" s="899"/>
      <c r="X887" s="899"/>
      <c r="Y887" s="899"/>
      <c r="Z887" s="899"/>
      <c r="AA887" s="899"/>
      <c r="AB887" s="899"/>
      <c r="AC887" s="899"/>
      <c r="AD887" s="899"/>
      <c r="AE887" s="899"/>
    </row>
    <row r="888">
      <c r="A888" s="944"/>
      <c r="B888" s="945"/>
      <c r="C888" s="945"/>
      <c r="D888" s="945"/>
      <c r="E888" s="945"/>
      <c r="F888" s="945"/>
      <c r="G888" s="945"/>
      <c r="H888" s="945"/>
      <c r="I888" s="945"/>
      <c r="J888" s="945"/>
      <c r="K888" s="945"/>
      <c r="L888" s="945"/>
      <c r="M888" s="945"/>
      <c r="N888" s="899"/>
      <c r="O888" s="899"/>
      <c r="P888" s="899"/>
      <c r="Q888" s="899"/>
      <c r="R888" s="899"/>
      <c r="S888" s="899"/>
      <c r="T888" s="899"/>
      <c r="U888" s="899"/>
      <c r="V888" s="899"/>
      <c r="W888" s="899"/>
      <c r="X888" s="899"/>
      <c r="Y888" s="899"/>
      <c r="Z888" s="899"/>
      <c r="AA888" s="899"/>
      <c r="AB888" s="899"/>
      <c r="AC888" s="899"/>
      <c r="AD888" s="899"/>
      <c r="AE888" s="899"/>
    </row>
    <row r="889">
      <c r="A889" s="944"/>
      <c r="B889" s="945"/>
      <c r="C889" s="945"/>
      <c r="D889" s="945"/>
      <c r="E889" s="945"/>
      <c r="F889" s="945"/>
      <c r="G889" s="945"/>
      <c r="H889" s="945"/>
      <c r="I889" s="945"/>
      <c r="J889" s="945"/>
      <c r="K889" s="945"/>
      <c r="L889" s="945"/>
      <c r="M889" s="945"/>
      <c r="N889" s="899"/>
      <c r="O889" s="899"/>
      <c r="P889" s="899"/>
      <c r="Q889" s="899"/>
      <c r="R889" s="899"/>
      <c r="S889" s="899"/>
      <c r="T889" s="899"/>
      <c r="U889" s="899"/>
      <c r="V889" s="899"/>
      <c r="W889" s="899"/>
      <c r="X889" s="899"/>
      <c r="Y889" s="899"/>
      <c r="Z889" s="899"/>
      <c r="AA889" s="899"/>
      <c r="AB889" s="899"/>
      <c r="AC889" s="899"/>
      <c r="AD889" s="899"/>
      <c r="AE889" s="899"/>
    </row>
    <row r="890">
      <c r="A890" s="944"/>
      <c r="B890" s="945"/>
      <c r="C890" s="945"/>
      <c r="D890" s="945"/>
      <c r="E890" s="945"/>
      <c r="F890" s="945"/>
      <c r="G890" s="945"/>
      <c r="H890" s="945"/>
      <c r="I890" s="945"/>
      <c r="J890" s="945"/>
      <c r="K890" s="945"/>
      <c r="L890" s="945"/>
      <c r="M890" s="945"/>
      <c r="N890" s="899"/>
      <c r="O890" s="899"/>
      <c r="P890" s="899"/>
      <c r="Q890" s="899"/>
      <c r="R890" s="899"/>
      <c r="S890" s="899"/>
      <c r="T890" s="899"/>
      <c r="U890" s="899"/>
      <c r="V890" s="899"/>
      <c r="W890" s="899"/>
      <c r="X890" s="899"/>
      <c r="Y890" s="899"/>
      <c r="Z890" s="899"/>
      <c r="AA890" s="899"/>
      <c r="AB890" s="899"/>
      <c r="AC890" s="899"/>
      <c r="AD890" s="899"/>
      <c r="AE890" s="899"/>
    </row>
    <row r="891">
      <c r="A891" s="944"/>
      <c r="B891" s="945"/>
      <c r="C891" s="945"/>
      <c r="D891" s="945"/>
      <c r="E891" s="945"/>
      <c r="F891" s="945"/>
      <c r="G891" s="945"/>
      <c r="H891" s="945"/>
      <c r="I891" s="945"/>
      <c r="J891" s="945"/>
      <c r="K891" s="945"/>
      <c r="L891" s="945"/>
      <c r="M891" s="945"/>
      <c r="N891" s="899"/>
      <c r="O891" s="899"/>
      <c r="P891" s="899"/>
      <c r="Q891" s="899"/>
      <c r="R891" s="899"/>
      <c r="S891" s="899"/>
      <c r="T891" s="899"/>
      <c r="U891" s="899"/>
      <c r="V891" s="899"/>
      <c r="W891" s="899"/>
      <c r="X891" s="899"/>
      <c r="Y891" s="899"/>
      <c r="Z891" s="899"/>
      <c r="AA891" s="899"/>
      <c r="AB891" s="899"/>
      <c r="AC891" s="899"/>
      <c r="AD891" s="899"/>
      <c r="AE891" s="899"/>
    </row>
    <row r="892">
      <c r="A892" s="944"/>
      <c r="B892" s="945"/>
      <c r="C892" s="945"/>
      <c r="D892" s="945"/>
      <c r="E892" s="945"/>
      <c r="F892" s="945"/>
      <c r="G892" s="945"/>
      <c r="H892" s="945"/>
      <c r="I892" s="945"/>
      <c r="J892" s="945"/>
      <c r="K892" s="945"/>
      <c r="L892" s="945"/>
      <c r="M892" s="945"/>
      <c r="N892" s="899"/>
      <c r="O892" s="899"/>
      <c r="P892" s="899"/>
      <c r="Q892" s="899"/>
      <c r="R892" s="899"/>
      <c r="S892" s="899"/>
      <c r="T892" s="899"/>
      <c r="U892" s="899"/>
      <c r="V892" s="899"/>
      <c r="W892" s="899"/>
      <c r="X892" s="899"/>
      <c r="Y892" s="899"/>
      <c r="Z892" s="899"/>
      <c r="AA892" s="899"/>
      <c r="AB892" s="899"/>
      <c r="AC892" s="899"/>
      <c r="AD892" s="899"/>
      <c r="AE892" s="899"/>
    </row>
    <row r="893">
      <c r="A893" s="944"/>
      <c r="B893" s="945"/>
      <c r="C893" s="945"/>
      <c r="D893" s="945"/>
      <c r="E893" s="945"/>
      <c r="F893" s="945"/>
      <c r="G893" s="945"/>
      <c r="H893" s="945"/>
      <c r="I893" s="945"/>
      <c r="J893" s="945"/>
      <c r="K893" s="945"/>
      <c r="L893" s="945"/>
      <c r="M893" s="945"/>
      <c r="N893" s="899"/>
      <c r="O893" s="899"/>
      <c r="P893" s="899"/>
      <c r="Q893" s="899"/>
      <c r="R893" s="899"/>
      <c r="S893" s="899"/>
      <c r="T893" s="899"/>
      <c r="U893" s="899"/>
      <c r="V893" s="899"/>
      <c r="W893" s="899"/>
      <c r="X893" s="899"/>
      <c r="Y893" s="899"/>
      <c r="Z893" s="899"/>
      <c r="AA893" s="899"/>
      <c r="AB893" s="899"/>
      <c r="AC893" s="899"/>
      <c r="AD893" s="899"/>
      <c r="AE893" s="899"/>
    </row>
    <row r="894">
      <c r="A894" s="944"/>
      <c r="B894" s="945"/>
      <c r="C894" s="945"/>
      <c r="D894" s="945"/>
      <c r="E894" s="945"/>
      <c r="F894" s="945"/>
      <c r="G894" s="945"/>
      <c r="H894" s="945"/>
      <c r="I894" s="945"/>
      <c r="J894" s="945"/>
      <c r="K894" s="945"/>
      <c r="L894" s="945"/>
      <c r="M894" s="945"/>
      <c r="N894" s="899"/>
      <c r="O894" s="899"/>
      <c r="P894" s="899"/>
      <c r="Q894" s="899"/>
      <c r="R894" s="899"/>
      <c r="S894" s="899"/>
      <c r="T894" s="899"/>
      <c r="U894" s="899"/>
      <c r="V894" s="899"/>
      <c r="W894" s="899"/>
      <c r="X894" s="899"/>
      <c r="Y894" s="899"/>
      <c r="Z894" s="899"/>
      <c r="AA894" s="899"/>
      <c r="AB894" s="899"/>
      <c r="AC894" s="899"/>
      <c r="AD894" s="899"/>
      <c r="AE894" s="899"/>
    </row>
    <row r="895">
      <c r="A895" s="944"/>
      <c r="B895" s="945"/>
      <c r="C895" s="945"/>
      <c r="D895" s="945"/>
      <c r="E895" s="945"/>
      <c r="F895" s="945"/>
      <c r="G895" s="945"/>
      <c r="H895" s="945"/>
      <c r="I895" s="945"/>
      <c r="J895" s="945"/>
      <c r="K895" s="945"/>
      <c r="L895" s="945"/>
      <c r="M895" s="945"/>
      <c r="N895" s="899"/>
      <c r="O895" s="899"/>
      <c r="P895" s="899"/>
      <c r="Q895" s="899"/>
      <c r="R895" s="899"/>
      <c r="S895" s="899"/>
      <c r="T895" s="899"/>
      <c r="U895" s="899"/>
      <c r="V895" s="899"/>
      <c r="W895" s="899"/>
      <c r="X895" s="899"/>
      <c r="Y895" s="899"/>
      <c r="Z895" s="899"/>
      <c r="AA895" s="899"/>
      <c r="AB895" s="899"/>
      <c r="AC895" s="899"/>
      <c r="AD895" s="899"/>
      <c r="AE895" s="899"/>
    </row>
    <row r="896">
      <c r="A896" s="944"/>
      <c r="B896" s="945"/>
      <c r="C896" s="945"/>
      <c r="D896" s="945"/>
      <c r="E896" s="945"/>
      <c r="F896" s="945"/>
      <c r="G896" s="945"/>
      <c r="H896" s="945"/>
      <c r="I896" s="945"/>
      <c r="J896" s="945"/>
      <c r="K896" s="945"/>
      <c r="L896" s="945"/>
      <c r="M896" s="945"/>
      <c r="N896" s="899"/>
      <c r="O896" s="899"/>
      <c r="P896" s="899"/>
      <c r="Q896" s="899"/>
      <c r="R896" s="899"/>
      <c r="S896" s="899"/>
      <c r="T896" s="899"/>
      <c r="U896" s="899"/>
      <c r="V896" s="899"/>
      <c r="W896" s="899"/>
      <c r="X896" s="899"/>
      <c r="Y896" s="899"/>
      <c r="Z896" s="899"/>
      <c r="AA896" s="899"/>
      <c r="AB896" s="899"/>
      <c r="AC896" s="899"/>
      <c r="AD896" s="899"/>
      <c r="AE896" s="899"/>
    </row>
    <row r="897">
      <c r="A897" s="944"/>
      <c r="B897" s="945"/>
      <c r="C897" s="945"/>
      <c r="D897" s="945"/>
      <c r="E897" s="945"/>
      <c r="F897" s="945"/>
      <c r="G897" s="945"/>
      <c r="H897" s="945"/>
      <c r="I897" s="945"/>
      <c r="J897" s="945"/>
      <c r="K897" s="945"/>
      <c r="L897" s="945"/>
      <c r="M897" s="945"/>
      <c r="N897" s="899"/>
      <c r="O897" s="899"/>
      <c r="P897" s="899"/>
      <c r="Q897" s="899"/>
      <c r="R897" s="899"/>
      <c r="S897" s="899"/>
      <c r="T897" s="899"/>
      <c r="U897" s="899"/>
      <c r="V897" s="899"/>
      <c r="W897" s="899"/>
      <c r="X897" s="899"/>
      <c r="Y897" s="899"/>
      <c r="Z897" s="899"/>
      <c r="AA897" s="899"/>
      <c r="AB897" s="899"/>
      <c r="AC897" s="899"/>
      <c r="AD897" s="899"/>
      <c r="AE897" s="899"/>
    </row>
    <row r="898">
      <c r="A898" s="944"/>
      <c r="B898" s="945"/>
      <c r="C898" s="945"/>
      <c r="D898" s="945"/>
      <c r="E898" s="945"/>
      <c r="F898" s="945"/>
      <c r="G898" s="945"/>
      <c r="H898" s="945"/>
      <c r="I898" s="945"/>
      <c r="J898" s="945"/>
      <c r="K898" s="945"/>
      <c r="L898" s="945"/>
      <c r="M898" s="945"/>
      <c r="N898" s="899"/>
      <c r="O898" s="899"/>
      <c r="P898" s="899"/>
      <c r="Q898" s="899"/>
      <c r="R898" s="899"/>
      <c r="S898" s="899"/>
      <c r="T898" s="899"/>
      <c r="U898" s="899"/>
      <c r="V898" s="899"/>
      <c r="W898" s="899"/>
      <c r="X898" s="899"/>
      <c r="Y898" s="899"/>
      <c r="Z898" s="899"/>
      <c r="AA898" s="899"/>
      <c r="AB898" s="899"/>
      <c r="AC898" s="899"/>
      <c r="AD898" s="899"/>
      <c r="AE898" s="899"/>
    </row>
    <row r="899">
      <c r="A899" s="944"/>
      <c r="B899" s="945"/>
      <c r="C899" s="945"/>
      <c r="D899" s="945"/>
      <c r="E899" s="945"/>
      <c r="F899" s="945"/>
      <c r="G899" s="945"/>
      <c r="H899" s="945"/>
      <c r="I899" s="945"/>
      <c r="J899" s="945"/>
      <c r="K899" s="945"/>
      <c r="L899" s="945"/>
      <c r="M899" s="945"/>
      <c r="N899" s="899"/>
      <c r="O899" s="899"/>
      <c r="P899" s="899"/>
      <c r="Q899" s="899"/>
      <c r="R899" s="899"/>
      <c r="S899" s="899"/>
      <c r="T899" s="899"/>
      <c r="U899" s="899"/>
      <c r="V899" s="899"/>
      <c r="W899" s="899"/>
      <c r="X899" s="899"/>
      <c r="Y899" s="899"/>
      <c r="Z899" s="899"/>
      <c r="AA899" s="899"/>
      <c r="AB899" s="899"/>
      <c r="AC899" s="899"/>
      <c r="AD899" s="899"/>
      <c r="AE899" s="899"/>
    </row>
    <row r="900">
      <c r="A900" s="944"/>
      <c r="B900" s="945"/>
      <c r="C900" s="945"/>
      <c r="D900" s="945"/>
      <c r="E900" s="945"/>
      <c r="F900" s="945"/>
      <c r="G900" s="945"/>
      <c r="H900" s="945"/>
      <c r="I900" s="945"/>
      <c r="J900" s="945"/>
      <c r="K900" s="945"/>
      <c r="L900" s="945"/>
      <c r="M900" s="945"/>
      <c r="N900" s="899"/>
      <c r="O900" s="899"/>
      <c r="P900" s="899"/>
      <c r="Q900" s="899"/>
      <c r="R900" s="899"/>
      <c r="S900" s="899"/>
      <c r="T900" s="899"/>
      <c r="U900" s="899"/>
      <c r="V900" s="899"/>
      <c r="W900" s="899"/>
      <c r="X900" s="899"/>
      <c r="Y900" s="899"/>
      <c r="Z900" s="899"/>
      <c r="AA900" s="899"/>
      <c r="AB900" s="899"/>
      <c r="AC900" s="899"/>
      <c r="AD900" s="899"/>
      <c r="AE900" s="899"/>
    </row>
    <row r="901">
      <c r="A901" s="944"/>
      <c r="B901" s="945"/>
      <c r="C901" s="945"/>
      <c r="D901" s="945"/>
      <c r="E901" s="945"/>
      <c r="F901" s="945"/>
      <c r="G901" s="945"/>
      <c r="H901" s="945"/>
      <c r="I901" s="945"/>
      <c r="J901" s="945"/>
      <c r="K901" s="945"/>
      <c r="L901" s="945"/>
      <c r="M901" s="945"/>
      <c r="N901" s="899"/>
      <c r="O901" s="899"/>
      <c r="P901" s="899"/>
      <c r="Q901" s="899"/>
      <c r="R901" s="899"/>
      <c r="S901" s="899"/>
      <c r="T901" s="899"/>
      <c r="U901" s="899"/>
      <c r="V901" s="899"/>
      <c r="W901" s="899"/>
      <c r="X901" s="899"/>
      <c r="Y901" s="899"/>
      <c r="Z901" s="899"/>
      <c r="AA901" s="899"/>
      <c r="AB901" s="899"/>
      <c r="AC901" s="899"/>
      <c r="AD901" s="899"/>
      <c r="AE901" s="899"/>
    </row>
    <row r="902">
      <c r="A902" s="944"/>
      <c r="B902" s="945"/>
      <c r="C902" s="945"/>
      <c r="D902" s="945"/>
      <c r="E902" s="945"/>
      <c r="F902" s="945"/>
      <c r="G902" s="945"/>
      <c r="H902" s="945"/>
      <c r="I902" s="945"/>
      <c r="J902" s="945"/>
      <c r="K902" s="945"/>
      <c r="L902" s="945"/>
      <c r="M902" s="945"/>
      <c r="N902" s="899"/>
      <c r="O902" s="899"/>
      <c r="P902" s="899"/>
      <c r="Q902" s="899"/>
      <c r="R902" s="899"/>
      <c r="S902" s="899"/>
      <c r="T902" s="899"/>
      <c r="U902" s="899"/>
      <c r="V902" s="899"/>
      <c r="W902" s="899"/>
      <c r="X902" s="899"/>
      <c r="Y902" s="899"/>
      <c r="Z902" s="899"/>
      <c r="AA902" s="899"/>
      <c r="AB902" s="899"/>
      <c r="AC902" s="899"/>
      <c r="AD902" s="899"/>
      <c r="AE902" s="899"/>
    </row>
    <row r="903">
      <c r="A903" s="944"/>
      <c r="B903" s="945"/>
      <c r="C903" s="945"/>
      <c r="D903" s="945"/>
      <c r="E903" s="945"/>
      <c r="F903" s="945"/>
      <c r="G903" s="945"/>
      <c r="H903" s="945"/>
      <c r="I903" s="945"/>
      <c r="J903" s="945"/>
      <c r="K903" s="945"/>
      <c r="L903" s="945"/>
      <c r="M903" s="945"/>
      <c r="N903" s="899"/>
      <c r="O903" s="899"/>
      <c r="P903" s="899"/>
      <c r="Q903" s="899"/>
      <c r="R903" s="899"/>
      <c r="S903" s="899"/>
      <c r="T903" s="899"/>
      <c r="U903" s="899"/>
      <c r="V903" s="899"/>
      <c r="W903" s="899"/>
      <c r="X903" s="899"/>
      <c r="Y903" s="899"/>
      <c r="Z903" s="899"/>
      <c r="AA903" s="899"/>
      <c r="AB903" s="899"/>
      <c r="AC903" s="899"/>
      <c r="AD903" s="899"/>
      <c r="AE903" s="899"/>
    </row>
    <row r="904">
      <c r="A904" s="944"/>
      <c r="B904" s="945"/>
      <c r="C904" s="945"/>
      <c r="D904" s="945"/>
      <c r="E904" s="945"/>
      <c r="F904" s="945"/>
      <c r="G904" s="945"/>
      <c r="H904" s="945"/>
      <c r="I904" s="945"/>
      <c r="J904" s="945"/>
      <c r="K904" s="945"/>
      <c r="L904" s="945"/>
      <c r="M904" s="945"/>
      <c r="N904" s="899"/>
      <c r="O904" s="899"/>
      <c r="P904" s="899"/>
      <c r="Q904" s="899"/>
      <c r="R904" s="899"/>
      <c r="S904" s="899"/>
      <c r="T904" s="899"/>
      <c r="U904" s="899"/>
      <c r="V904" s="899"/>
      <c r="W904" s="899"/>
      <c r="X904" s="899"/>
      <c r="Y904" s="899"/>
      <c r="Z904" s="899"/>
      <c r="AA904" s="899"/>
      <c r="AB904" s="899"/>
      <c r="AC904" s="899"/>
      <c r="AD904" s="899"/>
      <c r="AE904" s="899"/>
    </row>
    <row r="905">
      <c r="A905" s="944"/>
      <c r="B905" s="945"/>
      <c r="C905" s="945"/>
      <c r="D905" s="945"/>
      <c r="E905" s="945"/>
      <c r="F905" s="945"/>
      <c r="G905" s="945"/>
      <c r="H905" s="945"/>
      <c r="I905" s="945"/>
      <c r="J905" s="945"/>
      <c r="K905" s="945"/>
      <c r="L905" s="945"/>
      <c r="M905" s="945"/>
      <c r="N905" s="899"/>
      <c r="O905" s="899"/>
      <c r="P905" s="899"/>
      <c r="Q905" s="899"/>
      <c r="R905" s="899"/>
      <c r="S905" s="899"/>
      <c r="T905" s="899"/>
      <c r="U905" s="899"/>
      <c r="V905" s="899"/>
      <c r="W905" s="899"/>
      <c r="X905" s="899"/>
      <c r="Y905" s="899"/>
      <c r="Z905" s="899"/>
      <c r="AA905" s="899"/>
      <c r="AB905" s="899"/>
      <c r="AC905" s="899"/>
      <c r="AD905" s="899"/>
      <c r="AE905" s="899"/>
    </row>
    <row r="906">
      <c r="A906" s="944"/>
      <c r="B906" s="945"/>
      <c r="C906" s="945"/>
      <c r="D906" s="945"/>
      <c r="E906" s="945"/>
      <c r="F906" s="945"/>
      <c r="G906" s="945"/>
      <c r="H906" s="945"/>
      <c r="I906" s="945"/>
      <c r="J906" s="945"/>
      <c r="K906" s="945"/>
      <c r="L906" s="945"/>
      <c r="M906" s="945"/>
      <c r="N906" s="899"/>
      <c r="O906" s="899"/>
      <c r="P906" s="899"/>
      <c r="Q906" s="899"/>
      <c r="R906" s="899"/>
      <c r="S906" s="899"/>
      <c r="T906" s="899"/>
      <c r="U906" s="899"/>
      <c r="V906" s="899"/>
      <c r="W906" s="899"/>
      <c r="X906" s="899"/>
      <c r="Y906" s="899"/>
      <c r="Z906" s="899"/>
      <c r="AA906" s="899"/>
      <c r="AB906" s="899"/>
      <c r="AC906" s="899"/>
      <c r="AD906" s="899"/>
      <c r="AE906" s="899"/>
    </row>
    <row r="907">
      <c r="A907" s="944"/>
      <c r="B907" s="945"/>
      <c r="C907" s="945"/>
      <c r="D907" s="945"/>
      <c r="E907" s="945"/>
      <c r="F907" s="945"/>
      <c r="G907" s="945"/>
      <c r="H907" s="945"/>
      <c r="I907" s="945"/>
      <c r="J907" s="945"/>
      <c r="K907" s="945"/>
      <c r="L907" s="945"/>
      <c r="M907" s="945"/>
      <c r="N907" s="899"/>
      <c r="O907" s="899"/>
      <c r="P907" s="899"/>
      <c r="Q907" s="899"/>
      <c r="R907" s="899"/>
      <c r="S907" s="899"/>
      <c r="T907" s="899"/>
      <c r="U907" s="899"/>
      <c r="V907" s="899"/>
      <c r="W907" s="899"/>
      <c r="X907" s="899"/>
      <c r="Y907" s="899"/>
      <c r="Z907" s="899"/>
      <c r="AA907" s="899"/>
      <c r="AB907" s="899"/>
      <c r="AC907" s="899"/>
      <c r="AD907" s="899"/>
      <c r="AE907" s="899"/>
    </row>
    <row r="908">
      <c r="A908" s="944"/>
      <c r="B908" s="945"/>
      <c r="C908" s="945"/>
      <c r="D908" s="945"/>
      <c r="E908" s="945"/>
      <c r="F908" s="945"/>
      <c r="G908" s="945"/>
      <c r="H908" s="945"/>
      <c r="I908" s="945"/>
      <c r="J908" s="945"/>
      <c r="K908" s="945"/>
      <c r="L908" s="945"/>
      <c r="M908" s="945"/>
      <c r="N908" s="899"/>
      <c r="O908" s="899"/>
      <c r="P908" s="899"/>
      <c r="Q908" s="899"/>
      <c r="R908" s="899"/>
      <c r="S908" s="899"/>
      <c r="T908" s="899"/>
      <c r="U908" s="899"/>
      <c r="V908" s="899"/>
      <c r="W908" s="899"/>
      <c r="X908" s="899"/>
      <c r="Y908" s="899"/>
      <c r="Z908" s="899"/>
      <c r="AA908" s="899"/>
      <c r="AB908" s="899"/>
      <c r="AC908" s="899"/>
      <c r="AD908" s="899"/>
      <c r="AE908" s="899"/>
    </row>
    <row r="909">
      <c r="A909" s="944"/>
      <c r="B909" s="945"/>
      <c r="C909" s="945"/>
      <c r="D909" s="945"/>
      <c r="E909" s="945"/>
      <c r="F909" s="945"/>
      <c r="G909" s="945"/>
      <c r="H909" s="945"/>
      <c r="I909" s="945"/>
      <c r="J909" s="945"/>
      <c r="K909" s="945"/>
      <c r="L909" s="945"/>
      <c r="M909" s="945"/>
      <c r="N909" s="899"/>
      <c r="O909" s="899"/>
      <c r="P909" s="899"/>
      <c r="Q909" s="899"/>
      <c r="R909" s="899"/>
      <c r="S909" s="899"/>
      <c r="T909" s="899"/>
      <c r="U909" s="899"/>
      <c r="V909" s="899"/>
      <c r="W909" s="899"/>
      <c r="X909" s="899"/>
      <c r="Y909" s="899"/>
      <c r="Z909" s="899"/>
      <c r="AA909" s="899"/>
      <c r="AB909" s="899"/>
      <c r="AC909" s="899"/>
      <c r="AD909" s="899"/>
      <c r="AE909" s="899"/>
    </row>
    <row r="910">
      <c r="A910" s="944"/>
      <c r="B910" s="945"/>
      <c r="C910" s="945"/>
      <c r="D910" s="945"/>
      <c r="E910" s="945"/>
      <c r="F910" s="945"/>
      <c r="G910" s="945"/>
      <c r="H910" s="945"/>
      <c r="I910" s="945"/>
      <c r="J910" s="945"/>
      <c r="K910" s="945"/>
      <c r="L910" s="945"/>
      <c r="M910" s="945"/>
      <c r="N910" s="899"/>
      <c r="O910" s="899"/>
      <c r="P910" s="899"/>
      <c r="Q910" s="899"/>
      <c r="R910" s="899"/>
      <c r="S910" s="899"/>
      <c r="T910" s="899"/>
      <c r="U910" s="899"/>
      <c r="V910" s="899"/>
      <c r="W910" s="899"/>
      <c r="X910" s="899"/>
      <c r="Y910" s="899"/>
      <c r="Z910" s="899"/>
      <c r="AA910" s="899"/>
      <c r="AB910" s="899"/>
      <c r="AC910" s="899"/>
      <c r="AD910" s="899"/>
      <c r="AE910" s="899"/>
    </row>
    <row r="911">
      <c r="A911" s="944"/>
      <c r="B911" s="945"/>
      <c r="C911" s="945"/>
      <c r="D911" s="945"/>
      <c r="E911" s="945"/>
      <c r="F911" s="945"/>
      <c r="G911" s="945"/>
      <c r="H911" s="945"/>
      <c r="I911" s="945"/>
      <c r="J911" s="945"/>
      <c r="K911" s="945"/>
      <c r="L911" s="945"/>
      <c r="M911" s="945"/>
      <c r="N911" s="899"/>
      <c r="O911" s="899"/>
      <c r="P911" s="899"/>
      <c r="Q911" s="899"/>
      <c r="R911" s="899"/>
      <c r="S911" s="899"/>
      <c r="T911" s="899"/>
      <c r="U911" s="899"/>
      <c r="V911" s="899"/>
      <c r="W911" s="899"/>
      <c r="X911" s="899"/>
      <c r="Y911" s="899"/>
      <c r="Z911" s="899"/>
      <c r="AA911" s="899"/>
      <c r="AB911" s="899"/>
      <c r="AC911" s="899"/>
      <c r="AD911" s="899"/>
      <c r="AE911" s="899"/>
    </row>
    <row r="912">
      <c r="A912" s="944"/>
      <c r="B912" s="945"/>
      <c r="C912" s="945"/>
      <c r="D912" s="945"/>
      <c r="E912" s="945"/>
      <c r="F912" s="945"/>
      <c r="G912" s="945"/>
      <c r="H912" s="945"/>
      <c r="I912" s="945"/>
      <c r="J912" s="945"/>
      <c r="K912" s="945"/>
      <c r="L912" s="945"/>
      <c r="M912" s="945"/>
      <c r="N912" s="899"/>
      <c r="O912" s="899"/>
      <c r="P912" s="899"/>
      <c r="Q912" s="899"/>
      <c r="R912" s="899"/>
      <c r="S912" s="899"/>
      <c r="T912" s="899"/>
      <c r="U912" s="899"/>
      <c r="V912" s="899"/>
      <c r="W912" s="899"/>
      <c r="X912" s="899"/>
      <c r="Y912" s="899"/>
      <c r="Z912" s="899"/>
      <c r="AA912" s="899"/>
      <c r="AB912" s="899"/>
      <c r="AC912" s="899"/>
      <c r="AD912" s="899"/>
      <c r="AE912" s="899"/>
    </row>
    <row r="913">
      <c r="A913" s="944"/>
      <c r="B913" s="945"/>
      <c r="C913" s="945"/>
      <c r="D913" s="945"/>
      <c r="E913" s="945"/>
      <c r="F913" s="945"/>
      <c r="G913" s="945"/>
      <c r="H913" s="945"/>
      <c r="I913" s="945"/>
      <c r="J913" s="945"/>
      <c r="K913" s="945"/>
      <c r="L913" s="945"/>
      <c r="M913" s="945"/>
      <c r="N913" s="899"/>
      <c r="O913" s="899"/>
      <c r="P913" s="899"/>
      <c r="Q913" s="899"/>
      <c r="R913" s="899"/>
      <c r="S913" s="899"/>
      <c r="T913" s="899"/>
      <c r="U913" s="899"/>
      <c r="V913" s="899"/>
      <c r="W913" s="899"/>
      <c r="X913" s="899"/>
      <c r="Y913" s="899"/>
      <c r="Z913" s="899"/>
      <c r="AA913" s="899"/>
      <c r="AB913" s="899"/>
      <c r="AC913" s="899"/>
      <c r="AD913" s="899"/>
      <c r="AE913" s="899"/>
    </row>
    <row r="914">
      <c r="A914" s="944"/>
      <c r="B914" s="945"/>
      <c r="C914" s="945"/>
      <c r="D914" s="945"/>
      <c r="E914" s="945"/>
      <c r="F914" s="945"/>
      <c r="G914" s="945"/>
      <c r="H914" s="945"/>
      <c r="I914" s="945"/>
      <c r="J914" s="945"/>
      <c r="K914" s="945"/>
      <c r="L914" s="945"/>
      <c r="M914" s="945"/>
      <c r="N914" s="899"/>
      <c r="O914" s="899"/>
      <c r="P914" s="899"/>
      <c r="Q914" s="899"/>
      <c r="R914" s="899"/>
      <c r="S914" s="899"/>
      <c r="T914" s="899"/>
      <c r="U914" s="899"/>
      <c r="V914" s="899"/>
      <c r="W914" s="899"/>
      <c r="X914" s="899"/>
      <c r="Y914" s="899"/>
      <c r="Z914" s="899"/>
      <c r="AA914" s="899"/>
      <c r="AB914" s="899"/>
      <c r="AC914" s="899"/>
      <c r="AD914" s="899"/>
      <c r="AE914" s="899"/>
    </row>
    <row r="915">
      <c r="A915" s="944"/>
      <c r="B915" s="945"/>
      <c r="C915" s="945"/>
      <c r="D915" s="945"/>
      <c r="E915" s="945"/>
      <c r="F915" s="945"/>
      <c r="G915" s="945"/>
      <c r="H915" s="945"/>
      <c r="I915" s="945"/>
      <c r="J915" s="945"/>
      <c r="K915" s="945"/>
      <c r="L915" s="945"/>
      <c r="M915" s="945"/>
      <c r="N915" s="899"/>
      <c r="O915" s="899"/>
      <c r="P915" s="899"/>
      <c r="Q915" s="899"/>
      <c r="R915" s="899"/>
      <c r="S915" s="899"/>
      <c r="T915" s="899"/>
      <c r="U915" s="899"/>
      <c r="V915" s="899"/>
      <c r="W915" s="899"/>
      <c r="X915" s="899"/>
      <c r="Y915" s="899"/>
      <c r="Z915" s="899"/>
      <c r="AA915" s="899"/>
      <c r="AB915" s="899"/>
      <c r="AC915" s="899"/>
      <c r="AD915" s="899"/>
      <c r="AE915" s="899"/>
    </row>
    <row r="916">
      <c r="A916" s="944"/>
      <c r="B916" s="945"/>
      <c r="C916" s="945"/>
      <c r="D916" s="945"/>
      <c r="E916" s="945"/>
      <c r="F916" s="945"/>
      <c r="G916" s="945"/>
      <c r="H916" s="945"/>
      <c r="I916" s="945"/>
      <c r="J916" s="945"/>
      <c r="K916" s="945"/>
      <c r="L916" s="945"/>
      <c r="M916" s="945"/>
      <c r="N916" s="899"/>
      <c r="O916" s="899"/>
      <c r="P916" s="899"/>
      <c r="Q916" s="899"/>
      <c r="R916" s="899"/>
      <c r="S916" s="899"/>
      <c r="T916" s="899"/>
      <c r="U916" s="899"/>
      <c r="V916" s="899"/>
      <c r="W916" s="899"/>
      <c r="X916" s="899"/>
      <c r="Y916" s="899"/>
      <c r="Z916" s="899"/>
      <c r="AA916" s="899"/>
      <c r="AB916" s="899"/>
      <c r="AC916" s="899"/>
      <c r="AD916" s="899"/>
      <c r="AE916" s="899"/>
    </row>
    <row r="917">
      <c r="A917" s="944"/>
      <c r="B917" s="945"/>
      <c r="C917" s="945"/>
      <c r="D917" s="945"/>
      <c r="E917" s="945"/>
      <c r="F917" s="945"/>
      <c r="G917" s="945"/>
      <c r="H917" s="945"/>
      <c r="I917" s="945"/>
      <c r="J917" s="945"/>
      <c r="K917" s="945"/>
      <c r="L917" s="945"/>
      <c r="M917" s="945"/>
      <c r="N917" s="899"/>
      <c r="O917" s="899"/>
      <c r="P917" s="899"/>
      <c r="Q917" s="899"/>
      <c r="R917" s="899"/>
      <c r="S917" s="899"/>
      <c r="T917" s="899"/>
      <c r="U917" s="899"/>
      <c r="V917" s="899"/>
      <c r="W917" s="899"/>
      <c r="X917" s="899"/>
      <c r="Y917" s="899"/>
      <c r="Z917" s="899"/>
      <c r="AA917" s="899"/>
      <c r="AB917" s="899"/>
      <c r="AC917" s="899"/>
      <c r="AD917" s="899"/>
      <c r="AE917" s="899"/>
    </row>
    <row r="918">
      <c r="A918" s="944"/>
      <c r="B918" s="945"/>
      <c r="C918" s="945"/>
      <c r="D918" s="945"/>
      <c r="E918" s="945"/>
      <c r="F918" s="945"/>
      <c r="G918" s="945"/>
      <c r="H918" s="945"/>
      <c r="I918" s="945"/>
      <c r="J918" s="945"/>
      <c r="K918" s="945"/>
      <c r="L918" s="945"/>
      <c r="M918" s="945"/>
      <c r="N918" s="899"/>
      <c r="O918" s="899"/>
      <c r="P918" s="899"/>
      <c r="Q918" s="899"/>
      <c r="R918" s="899"/>
      <c r="S918" s="899"/>
      <c r="T918" s="899"/>
      <c r="U918" s="899"/>
      <c r="V918" s="899"/>
      <c r="W918" s="899"/>
      <c r="X918" s="899"/>
      <c r="Y918" s="899"/>
      <c r="Z918" s="899"/>
      <c r="AA918" s="899"/>
      <c r="AB918" s="899"/>
      <c r="AC918" s="899"/>
      <c r="AD918" s="899"/>
      <c r="AE918" s="899"/>
    </row>
    <row r="919">
      <c r="A919" s="944"/>
      <c r="B919" s="945"/>
      <c r="C919" s="945"/>
      <c r="D919" s="945"/>
      <c r="E919" s="945"/>
      <c r="F919" s="945"/>
      <c r="G919" s="945"/>
      <c r="H919" s="945"/>
      <c r="I919" s="945"/>
      <c r="J919" s="945"/>
      <c r="K919" s="945"/>
      <c r="L919" s="945"/>
      <c r="M919" s="945"/>
      <c r="N919" s="899"/>
      <c r="O919" s="899"/>
      <c r="P919" s="899"/>
      <c r="Q919" s="899"/>
      <c r="R919" s="899"/>
      <c r="S919" s="899"/>
      <c r="T919" s="899"/>
      <c r="U919" s="899"/>
      <c r="V919" s="899"/>
      <c r="W919" s="899"/>
      <c r="X919" s="899"/>
      <c r="Y919" s="899"/>
      <c r="Z919" s="899"/>
      <c r="AA919" s="899"/>
      <c r="AB919" s="899"/>
      <c r="AC919" s="899"/>
      <c r="AD919" s="899"/>
      <c r="AE919" s="899"/>
    </row>
    <row r="920">
      <c r="A920" s="944"/>
      <c r="B920" s="945"/>
      <c r="C920" s="945"/>
      <c r="D920" s="945"/>
      <c r="E920" s="945"/>
      <c r="F920" s="945"/>
      <c r="G920" s="945"/>
      <c r="H920" s="945"/>
      <c r="I920" s="945"/>
      <c r="J920" s="945"/>
      <c r="K920" s="945"/>
      <c r="L920" s="945"/>
      <c r="M920" s="945"/>
      <c r="N920" s="899"/>
      <c r="O920" s="899"/>
      <c r="P920" s="899"/>
      <c r="Q920" s="899"/>
      <c r="R920" s="899"/>
      <c r="S920" s="899"/>
      <c r="T920" s="899"/>
      <c r="U920" s="899"/>
      <c r="V920" s="899"/>
      <c r="W920" s="899"/>
      <c r="X920" s="899"/>
      <c r="Y920" s="899"/>
      <c r="Z920" s="899"/>
      <c r="AA920" s="899"/>
      <c r="AB920" s="899"/>
      <c r="AC920" s="899"/>
      <c r="AD920" s="899"/>
      <c r="AE920" s="899"/>
    </row>
    <row r="921">
      <c r="A921" s="944"/>
      <c r="B921" s="945"/>
      <c r="C921" s="945"/>
      <c r="D921" s="945"/>
      <c r="E921" s="945"/>
      <c r="F921" s="945"/>
      <c r="G921" s="945"/>
      <c r="H921" s="945"/>
      <c r="I921" s="945"/>
      <c r="J921" s="945"/>
      <c r="K921" s="945"/>
      <c r="L921" s="945"/>
      <c r="M921" s="945"/>
      <c r="N921" s="899"/>
      <c r="O921" s="899"/>
      <c r="P921" s="899"/>
      <c r="Q921" s="899"/>
      <c r="R921" s="899"/>
      <c r="S921" s="899"/>
      <c r="T921" s="899"/>
      <c r="U921" s="899"/>
      <c r="V921" s="899"/>
      <c r="W921" s="899"/>
      <c r="X921" s="899"/>
      <c r="Y921" s="899"/>
      <c r="Z921" s="899"/>
      <c r="AA921" s="899"/>
      <c r="AB921" s="899"/>
      <c r="AC921" s="899"/>
      <c r="AD921" s="899"/>
      <c r="AE921" s="899"/>
    </row>
    <row r="922">
      <c r="A922" s="944"/>
      <c r="B922" s="945"/>
      <c r="C922" s="945"/>
      <c r="D922" s="945"/>
      <c r="E922" s="945"/>
      <c r="F922" s="945"/>
      <c r="G922" s="945"/>
      <c r="H922" s="945"/>
      <c r="I922" s="945"/>
      <c r="J922" s="945"/>
      <c r="K922" s="945"/>
      <c r="L922" s="945"/>
      <c r="M922" s="945"/>
      <c r="N922" s="899"/>
      <c r="O922" s="899"/>
      <c r="P922" s="899"/>
      <c r="Q922" s="899"/>
      <c r="R922" s="899"/>
      <c r="S922" s="899"/>
      <c r="T922" s="899"/>
      <c r="U922" s="899"/>
      <c r="V922" s="899"/>
      <c r="W922" s="899"/>
      <c r="X922" s="899"/>
      <c r="Y922" s="899"/>
      <c r="Z922" s="899"/>
      <c r="AA922" s="899"/>
      <c r="AB922" s="899"/>
      <c r="AC922" s="899"/>
      <c r="AD922" s="899"/>
      <c r="AE922" s="899"/>
    </row>
    <row r="923">
      <c r="A923" s="944"/>
      <c r="B923" s="945"/>
      <c r="C923" s="945"/>
      <c r="D923" s="945"/>
      <c r="E923" s="945"/>
      <c r="F923" s="945"/>
      <c r="G923" s="945"/>
      <c r="H923" s="945"/>
      <c r="I923" s="945"/>
      <c r="J923" s="945"/>
      <c r="K923" s="945"/>
      <c r="L923" s="945"/>
      <c r="M923" s="945"/>
      <c r="N923" s="899"/>
      <c r="O923" s="899"/>
      <c r="P923" s="899"/>
      <c r="Q923" s="899"/>
      <c r="R923" s="899"/>
      <c r="S923" s="899"/>
      <c r="T923" s="899"/>
      <c r="U923" s="899"/>
      <c r="V923" s="899"/>
      <c r="W923" s="899"/>
      <c r="X923" s="899"/>
      <c r="Y923" s="899"/>
      <c r="Z923" s="899"/>
      <c r="AA923" s="899"/>
      <c r="AB923" s="899"/>
      <c r="AC923" s="899"/>
      <c r="AD923" s="899"/>
      <c r="AE923" s="899"/>
    </row>
    <row r="924">
      <c r="A924" s="944"/>
      <c r="B924" s="945"/>
      <c r="C924" s="945"/>
      <c r="D924" s="945"/>
      <c r="E924" s="945"/>
      <c r="F924" s="945"/>
      <c r="G924" s="945"/>
      <c r="H924" s="945"/>
      <c r="I924" s="945"/>
      <c r="J924" s="945"/>
      <c r="K924" s="945"/>
      <c r="L924" s="945"/>
      <c r="M924" s="945"/>
      <c r="N924" s="899"/>
      <c r="O924" s="899"/>
      <c r="P924" s="899"/>
      <c r="Q924" s="899"/>
      <c r="R924" s="899"/>
      <c r="S924" s="899"/>
      <c r="T924" s="899"/>
      <c r="U924" s="899"/>
      <c r="V924" s="899"/>
      <c r="W924" s="899"/>
      <c r="X924" s="899"/>
      <c r="Y924" s="899"/>
      <c r="Z924" s="899"/>
      <c r="AA924" s="899"/>
      <c r="AB924" s="899"/>
      <c r="AC924" s="899"/>
      <c r="AD924" s="899"/>
      <c r="AE924" s="899"/>
    </row>
    <row r="925">
      <c r="A925" s="944"/>
      <c r="B925" s="945"/>
      <c r="C925" s="945"/>
      <c r="D925" s="945"/>
      <c r="E925" s="945"/>
      <c r="F925" s="945"/>
      <c r="G925" s="945"/>
      <c r="H925" s="945"/>
      <c r="I925" s="945"/>
      <c r="J925" s="945"/>
      <c r="K925" s="945"/>
      <c r="L925" s="945"/>
      <c r="M925" s="945"/>
      <c r="N925" s="899"/>
      <c r="O925" s="899"/>
      <c r="P925" s="899"/>
      <c r="Q925" s="899"/>
      <c r="R925" s="899"/>
      <c r="S925" s="899"/>
      <c r="T925" s="899"/>
      <c r="U925" s="899"/>
      <c r="V925" s="899"/>
      <c r="W925" s="899"/>
      <c r="X925" s="899"/>
      <c r="Y925" s="899"/>
      <c r="Z925" s="899"/>
      <c r="AA925" s="899"/>
      <c r="AB925" s="899"/>
      <c r="AC925" s="899"/>
      <c r="AD925" s="899"/>
      <c r="AE925" s="899"/>
    </row>
    <row r="926">
      <c r="A926" s="944"/>
      <c r="B926" s="945"/>
      <c r="C926" s="945"/>
      <c r="D926" s="945"/>
      <c r="E926" s="945"/>
      <c r="F926" s="945"/>
      <c r="G926" s="945"/>
      <c r="H926" s="945"/>
      <c r="I926" s="945"/>
      <c r="J926" s="945"/>
      <c r="K926" s="945"/>
      <c r="L926" s="945"/>
      <c r="M926" s="945"/>
      <c r="N926" s="899"/>
      <c r="O926" s="899"/>
      <c r="P926" s="899"/>
      <c r="Q926" s="899"/>
      <c r="R926" s="899"/>
      <c r="S926" s="899"/>
      <c r="T926" s="899"/>
      <c r="U926" s="899"/>
      <c r="V926" s="899"/>
      <c r="W926" s="899"/>
      <c r="X926" s="899"/>
      <c r="Y926" s="899"/>
      <c r="Z926" s="899"/>
      <c r="AA926" s="899"/>
      <c r="AB926" s="899"/>
      <c r="AC926" s="899"/>
      <c r="AD926" s="899"/>
      <c r="AE926" s="899"/>
    </row>
    <row r="927">
      <c r="A927" s="944"/>
      <c r="B927" s="945"/>
      <c r="C927" s="945"/>
      <c r="D927" s="945"/>
      <c r="E927" s="945"/>
      <c r="F927" s="945"/>
      <c r="G927" s="945"/>
      <c r="H927" s="945"/>
      <c r="I927" s="945"/>
      <c r="J927" s="945"/>
      <c r="K927" s="945"/>
      <c r="L927" s="945"/>
      <c r="M927" s="945"/>
      <c r="N927" s="899"/>
      <c r="O927" s="899"/>
      <c r="P927" s="899"/>
      <c r="Q927" s="899"/>
      <c r="R927" s="899"/>
      <c r="S927" s="899"/>
      <c r="T927" s="899"/>
      <c r="U927" s="899"/>
      <c r="V927" s="899"/>
      <c r="W927" s="899"/>
      <c r="X927" s="899"/>
      <c r="Y927" s="899"/>
      <c r="Z927" s="899"/>
      <c r="AA927" s="899"/>
      <c r="AB927" s="899"/>
      <c r="AC927" s="899"/>
      <c r="AD927" s="899"/>
      <c r="AE927" s="899"/>
    </row>
    <row r="928">
      <c r="A928" s="944"/>
      <c r="B928" s="945"/>
      <c r="C928" s="945"/>
      <c r="D928" s="945"/>
      <c r="E928" s="945"/>
      <c r="F928" s="945"/>
      <c r="G928" s="945"/>
      <c r="H928" s="945"/>
      <c r="I928" s="945"/>
      <c r="J928" s="945"/>
      <c r="K928" s="945"/>
      <c r="L928" s="945"/>
      <c r="M928" s="945"/>
      <c r="N928" s="899"/>
      <c r="O928" s="899"/>
      <c r="P928" s="899"/>
      <c r="Q928" s="899"/>
      <c r="R928" s="899"/>
      <c r="S928" s="899"/>
      <c r="T928" s="899"/>
      <c r="U928" s="899"/>
      <c r="V928" s="899"/>
      <c r="W928" s="899"/>
      <c r="X928" s="899"/>
      <c r="Y928" s="899"/>
      <c r="Z928" s="899"/>
      <c r="AA928" s="899"/>
      <c r="AB928" s="899"/>
      <c r="AC928" s="899"/>
      <c r="AD928" s="899"/>
      <c r="AE928" s="899"/>
    </row>
    <row r="929">
      <c r="A929" s="944"/>
      <c r="B929" s="945"/>
      <c r="C929" s="945"/>
      <c r="D929" s="945"/>
      <c r="E929" s="945"/>
      <c r="F929" s="945"/>
      <c r="G929" s="945"/>
      <c r="H929" s="945"/>
      <c r="I929" s="945"/>
      <c r="J929" s="945"/>
      <c r="K929" s="945"/>
      <c r="L929" s="945"/>
      <c r="M929" s="945"/>
      <c r="N929" s="899"/>
      <c r="O929" s="899"/>
      <c r="P929" s="899"/>
      <c r="Q929" s="899"/>
      <c r="R929" s="899"/>
      <c r="S929" s="899"/>
      <c r="T929" s="899"/>
      <c r="U929" s="899"/>
      <c r="V929" s="899"/>
      <c r="W929" s="899"/>
      <c r="X929" s="899"/>
      <c r="Y929" s="899"/>
      <c r="Z929" s="899"/>
      <c r="AA929" s="899"/>
      <c r="AB929" s="899"/>
      <c r="AC929" s="899"/>
      <c r="AD929" s="899"/>
      <c r="AE929" s="899"/>
    </row>
    <row r="930">
      <c r="A930" s="944"/>
      <c r="B930" s="945"/>
      <c r="C930" s="945"/>
      <c r="D930" s="945"/>
      <c r="E930" s="945"/>
      <c r="F930" s="945"/>
      <c r="G930" s="945"/>
      <c r="H930" s="945"/>
      <c r="I930" s="945"/>
      <c r="J930" s="945"/>
      <c r="K930" s="945"/>
      <c r="L930" s="945"/>
      <c r="M930" s="945"/>
      <c r="N930" s="899"/>
      <c r="O930" s="899"/>
      <c r="P930" s="899"/>
      <c r="Q930" s="899"/>
      <c r="R930" s="899"/>
      <c r="S930" s="899"/>
      <c r="T930" s="899"/>
      <c r="U930" s="899"/>
      <c r="V930" s="899"/>
      <c r="W930" s="899"/>
      <c r="X930" s="899"/>
      <c r="Y930" s="899"/>
      <c r="Z930" s="899"/>
      <c r="AA930" s="899"/>
      <c r="AB930" s="899"/>
      <c r="AC930" s="899"/>
      <c r="AD930" s="899"/>
      <c r="AE930" s="899"/>
    </row>
    <row r="931">
      <c r="A931" s="944"/>
      <c r="B931" s="945"/>
      <c r="C931" s="945"/>
      <c r="D931" s="945"/>
      <c r="E931" s="945"/>
      <c r="F931" s="945"/>
      <c r="G931" s="945"/>
      <c r="H931" s="945"/>
      <c r="I931" s="945"/>
      <c r="J931" s="945"/>
      <c r="K931" s="945"/>
      <c r="L931" s="945"/>
      <c r="M931" s="945"/>
      <c r="N931" s="899"/>
      <c r="O931" s="899"/>
      <c r="P931" s="899"/>
      <c r="Q931" s="899"/>
      <c r="R931" s="899"/>
      <c r="S931" s="899"/>
      <c r="T931" s="899"/>
      <c r="U931" s="899"/>
      <c r="V931" s="899"/>
      <c r="W931" s="899"/>
      <c r="X931" s="899"/>
      <c r="Y931" s="899"/>
      <c r="Z931" s="899"/>
      <c r="AA931" s="899"/>
      <c r="AB931" s="899"/>
      <c r="AC931" s="899"/>
      <c r="AD931" s="899"/>
      <c r="AE931" s="899"/>
    </row>
    <row r="932">
      <c r="A932" s="944"/>
      <c r="B932" s="945"/>
      <c r="C932" s="945"/>
      <c r="D932" s="945"/>
      <c r="E932" s="945"/>
      <c r="F932" s="945"/>
      <c r="G932" s="945"/>
      <c r="H932" s="945"/>
      <c r="I932" s="945"/>
      <c r="J932" s="945"/>
      <c r="K932" s="945"/>
      <c r="L932" s="945"/>
      <c r="M932" s="945"/>
      <c r="N932" s="899"/>
      <c r="O932" s="899"/>
      <c r="P932" s="899"/>
      <c r="Q932" s="899"/>
      <c r="R932" s="899"/>
      <c r="S932" s="899"/>
      <c r="T932" s="899"/>
      <c r="U932" s="899"/>
      <c r="V932" s="899"/>
      <c r="W932" s="899"/>
      <c r="X932" s="899"/>
      <c r="Y932" s="899"/>
      <c r="Z932" s="899"/>
      <c r="AA932" s="899"/>
      <c r="AB932" s="899"/>
      <c r="AC932" s="899"/>
      <c r="AD932" s="899"/>
      <c r="AE932" s="899"/>
    </row>
    <row r="933">
      <c r="A933" s="944"/>
      <c r="B933" s="945"/>
      <c r="C933" s="945"/>
      <c r="D933" s="945"/>
      <c r="E933" s="945"/>
      <c r="F933" s="945"/>
      <c r="G933" s="945"/>
      <c r="H933" s="945"/>
      <c r="I933" s="945"/>
      <c r="J933" s="945"/>
      <c r="K933" s="945"/>
      <c r="L933" s="945"/>
      <c r="M933" s="945"/>
      <c r="N933" s="899"/>
      <c r="O933" s="899"/>
      <c r="P933" s="899"/>
      <c r="Q933" s="899"/>
      <c r="R933" s="899"/>
      <c r="S933" s="899"/>
      <c r="T933" s="899"/>
      <c r="U933" s="899"/>
      <c r="V933" s="899"/>
      <c r="W933" s="899"/>
      <c r="X933" s="899"/>
      <c r="Y933" s="899"/>
      <c r="Z933" s="899"/>
      <c r="AA933" s="899"/>
      <c r="AB933" s="899"/>
      <c r="AC933" s="899"/>
      <c r="AD933" s="899"/>
      <c r="AE933" s="899"/>
    </row>
    <row r="934">
      <c r="A934" s="944"/>
      <c r="B934" s="945"/>
      <c r="C934" s="945"/>
      <c r="D934" s="945"/>
      <c r="E934" s="945"/>
      <c r="F934" s="945"/>
      <c r="G934" s="945"/>
      <c r="H934" s="945"/>
      <c r="I934" s="945"/>
      <c r="J934" s="945"/>
      <c r="K934" s="945"/>
      <c r="L934" s="945"/>
      <c r="M934" s="945"/>
      <c r="N934" s="899"/>
      <c r="O934" s="899"/>
      <c r="P934" s="899"/>
      <c r="Q934" s="899"/>
      <c r="R934" s="899"/>
      <c r="S934" s="899"/>
      <c r="T934" s="899"/>
      <c r="U934" s="899"/>
      <c r="V934" s="899"/>
      <c r="W934" s="899"/>
      <c r="X934" s="899"/>
      <c r="Y934" s="899"/>
      <c r="Z934" s="899"/>
      <c r="AA934" s="899"/>
      <c r="AB934" s="899"/>
      <c r="AC934" s="899"/>
      <c r="AD934" s="899"/>
      <c r="AE934" s="899"/>
    </row>
    <row r="935">
      <c r="A935" s="944"/>
      <c r="B935" s="945"/>
      <c r="C935" s="945"/>
      <c r="D935" s="945"/>
      <c r="E935" s="945"/>
      <c r="F935" s="945"/>
      <c r="G935" s="945"/>
      <c r="H935" s="945"/>
      <c r="I935" s="945"/>
      <c r="J935" s="945"/>
      <c r="K935" s="945"/>
      <c r="L935" s="945"/>
      <c r="M935" s="945"/>
      <c r="N935" s="899"/>
      <c r="O935" s="899"/>
      <c r="P935" s="899"/>
      <c r="Q935" s="899"/>
      <c r="R935" s="899"/>
      <c r="S935" s="899"/>
      <c r="T935" s="899"/>
      <c r="U935" s="899"/>
      <c r="V935" s="899"/>
      <c r="W935" s="899"/>
      <c r="X935" s="899"/>
      <c r="Y935" s="899"/>
      <c r="Z935" s="899"/>
      <c r="AA935" s="899"/>
      <c r="AB935" s="899"/>
      <c r="AC935" s="899"/>
      <c r="AD935" s="899"/>
      <c r="AE935" s="899"/>
    </row>
    <row r="936">
      <c r="A936" s="944"/>
      <c r="B936" s="945"/>
      <c r="C936" s="945"/>
      <c r="D936" s="945"/>
      <c r="E936" s="945"/>
      <c r="F936" s="945"/>
      <c r="G936" s="945"/>
      <c r="H936" s="945"/>
      <c r="I936" s="945"/>
      <c r="J936" s="945"/>
      <c r="K936" s="945"/>
      <c r="L936" s="945"/>
      <c r="M936" s="945"/>
      <c r="N936" s="899"/>
      <c r="O936" s="899"/>
      <c r="P936" s="899"/>
      <c r="Q936" s="899"/>
      <c r="R936" s="899"/>
      <c r="S936" s="899"/>
      <c r="T936" s="899"/>
      <c r="U936" s="899"/>
      <c r="V936" s="899"/>
      <c r="W936" s="899"/>
      <c r="X936" s="899"/>
      <c r="Y936" s="899"/>
      <c r="Z936" s="899"/>
      <c r="AA936" s="899"/>
      <c r="AB936" s="899"/>
      <c r="AC936" s="899"/>
      <c r="AD936" s="899"/>
      <c r="AE936" s="899"/>
    </row>
    <row r="937">
      <c r="A937" s="944"/>
      <c r="B937" s="945"/>
      <c r="C937" s="945"/>
      <c r="D937" s="945"/>
      <c r="E937" s="945"/>
      <c r="F937" s="945"/>
      <c r="G937" s="945"/>
      <c r="H937" s="945"/>
      <c r="I937" s="945"/>
      <c r="J937" s="945"/>
      <c r="K937" s="945"/>
      <c r="L937" s="945"/>
      <c r="M937" s="945"/>
      <c r="N937" s="899"/>
      <c r="O937" s="899"/>
      <c r="P937" s="899"/>
      <c r="Q937" s="899"/>
      <c r="R937" s="899"/>
      <c r="S937" s="899"/>
      <c r="T937" s="899"/>
      <c r="U937" s="899"/>
      <c r="V937" s="899"/>
      <c r="W937" s="899"/>
      <c r="X937" s="899"/>
      <c r="Y937" s="899"/>
      <c r="Z937" s="899"/>
      <c r="AA937" s="899"/>
      <c r="AB937" s="899"/>
      <c r="AC937" s="899"/>
      <c r="AD937" s="899"/>
      <c r="AE937" s="899"/>
    </row>
    <row r="938">
      <c r="A938" s="944"/>
      <c r="B938" s="945"/>
      <c r="C938" s="945"/>
      <c r="D938" s="945"/>
      <c r="E938" s="945"/>
      <c r="F938" s="945"/>
      <c r="G938" s="945"/>
      <c r="H938" s="945"/>
      <c r="I938" s="945"/>
      <c r="J938" s="945"/>
      <c r="K938" s="945"/>
      <c r="L938" s="945"/>
      <c r="M938" s="945"/>
      <c r="N938" s="899"/>
      <c r="O938" s="899"/>
      <c r="P938" s="899"/>
      <c r="Q938" s="899"/>
      <c r="R938" s="899"/>
      <c r="S938" s="899"/>
      <c r="T938" s="899"/>
      <c r="U938" s="899"/>
      <c r="V938" s="899"/>
      <c r="W938" s="899"/>
      <c r="X938" s="899"/>
      <c r="Y938" s="899"/>
      <c r="Z938" s="899"/>
      <c r="AA938" s="899"/>
      <c r="AB938" s="899"/>
      <c r="AC938" s="899"/>
      <c r="AD938" s="899"/>
      <c r="AE938" s="899"/>
    </row>
    <row r="939">
      <c r="A939" s="944"/>
      <c r="B939" s="945"/>
      <c r="C939" s="945"/>
      <c r="D939" s="945"/>
      <c r="E939" s="945"/>
      <c r="F939" s="945"/>
      <c r="G939" s="945"/>
      <c r="H939" s="945"/>
      <c r="I939" s="945"/>
      <c r="J939" s="945"/>
      <c r="K939" s="945"/>
      <c r="L939" s="945"/>
      <c r="M939" s="945"/>
      <c r="N939" s="899"/>
      <c r="O939" s="899"/>
      <c r="P939" s="899"/>
      <c r="Q939" s="899"/>
      <c r="R939" s="899"/>
      <c r="S939" s="899"/>
      <c r="T939" s="899"/>
      <c r="U939" s="899"/>
      <c r="V939" s="899"/>
      <c r="W939" s="899"/>
      <c r="X939" s="899"/>
      <c r="Y939" s="899"/>
      <c r="Z939" s="899"/>
      <c r="AA939" s="899"/>
      <c r="AB939" s="899"/>
      <c r="AC939" s="899"/>
      <c r="AD939" s="899"/>
      <c r="AE939" s="899"/>
    </row>
    <row r="940">
      <c r="A940" s="944"/>
      <c r="B940" s="945"/>
      <c r="C940" s="945"/>
      <c r="D940" s="945"/>
      <c r="E940" s="945"/>
      <c r="F940" s="945"/>
      <c r="G940" s="945"/>
      <c r="H940" s="945"/>
      <c r="I940" s="945"/>
      <c r="J940" s="945"/>
      <c r="K940" s="945"/>
      <c r="L940" s="945"/>
      <c r="M940" s="945"/>
      <c r="N940" s="899"/>
      <c r="O940" s="899"/>
      <c r="P940" s="899"/>
      <c r="Q940" s="899"/>
      <c r="R940" s="899"/>
      <c r="S940" s="899"/>
      <c r="T940" s="899"/>
      <c r="U940" s="899"/>
      <c r="V940" s="899"/>
      <c r="W940" s="899"/>
      <c r="X940" s="899"/>
      <c r="Y940" s="899"/>
      <c r="Z940" s="899"/>
      <c r="AA940" s="899"/>
      <c r="AB940" s="899"/>
      <c r="AC940" s="899"/>
      <c r="AD940" s="899"/>
      <c r="AE940" s="899"/>
    </row>
    <row r="941">
      <c r="A941" s="944"/>
      <c r="B941" s="945"/>
      <c r="C941" s="945"/>
      <c r="D941" s="945"/>
      <c r="E941" s="945"/>
      <c r="F941" s="945"/>
      <c r="G941" s="945"/>
      <c r="H941" s="945"/>
      <c r="I941" s="945"/>
      <c r="J941" s="945"/>
      <c r="K941" s="945"/>
      <c r="L941" s="945"/>
      <c r="M941" s="945"/>
      <c r="N941" s="899"/>
      <c r="O941" s="899"/>
      <c r="P941" s="899"/>
      <c r="Q941" s="899"/>
      <c r="R941" s="899"/>
      <c r="S941" s="899"/>
      <c r="T941" s="899"/>
      <c r="U941" s="899"/>
      <c r="V941" s="899"/>
      <c r="W941" s="899"/>
      <c r="X941" s="899"/>
      <c r="Y941" s="899"/>
      <c r="Z941" s="899"/>
      <c r="AA941" s="899"/>
      <c r="AB941" s="899"/>
      <c r="AC941" s="899"/>
      <c r="AD941" s="899"/>
      <c r="AE941" s="899"/>
    </row>
    <row r="942">
      <c r="A942" s="944"/>
      <c r="B942" s="945"/>
      <c r="C942" s="945"/>
      <c r="D942" s="945"/>
      <c r="E942" s="945"/>
      <c r="F942" s="945"/>
      <c r="G942" s="945"/>
      <c r="H942" s="945"/>
      <c r="I942" s="945"/>
      <c r="J942" s="945"/>
      <c r="K942" s="945"/>
      <c r="L942" s="945"/>
      <c r="M942" s="945"/>
      <c r="N942" s="899"/>
      <c r="O942" s="899"/>
      <c r="P942" s="899"/>
      <c r="Q942" s="899"/>
      <c r="R942" s="899"/>
      <c r="S942" s="899"/>
      <c r="T942" s="899"/>
      <c r="U942" s="899"/>
      <c r="V942" s="899"/>
      <c r="W942" s="899"/>
      <c r="X942" s="899"/>
      <c r="Y942" s="899"/>
      <c r="Z942" s="899"/>
      <c r="AA942" s="899"/>
      <c r="AB942" s="899"/>
      <c r="AC942" s="899"/>
      <c r="AD942" s="899"/>
      <c r="AE942" s="899"/>
    </row>
    <row r="943">
      <c r="A943" s="944"/>
      <c r="B943" s="945"/>
      <c r="C943" s="945"/>
      <c r="D943" s="945"/>
      <c r="E943" s="945"/>
      <c r="F943" s="945"/>
      <c r="G943" s="945"/>
      <c r="H943" s="945"/>
      <c r="I943" s="945"/>
      <c r="J943" s="945"/>
      <c r="K943" s="945"/>
      <c r="L943" s="945"/>
      <c r="M943" s="945"/>
      <c r="N943" s="899"/>
      <c r="O943" s="899"/>
      <c r="P943" s="899"/>
      <c r="Q943" s="899"/>
      <c r="R943" s="899"/>
      <c r="S943" s="899"/>
      <c r="T943" s="899"/>
      <c r="U943" s="899"/>
      <c r="V943" s="899"/>
      <c r="W943" s="899"/>
      <c r="X943" s="899"/>
      <c r="Y943" s="899"/>
      <c r="Z943" s="899"/>
      <c r="AA943" s="899"/>
      <c r="AB943" s="899"/>
      <c r="AC943" s="899"/>
      <c r="AD943" s="899"/>
      <c r="AE943" s="899"/>
    </row>
    <row r="944">
      <c r="A944" s="944"/>
      <c r="B944" s="945"/>
      <c r="C944" s="945"/>
      <c r="D944" s="945"/>
      <c r="E944" s="945"/>
      <c r="F944" s="945"/>
      <c r="G944" s="945"/>
      <c r="H944" s="945"/>
      <c r="I944" s="945"/>
      <c r="J944" s="945"/>
      <c r="K944" s="945"/>
      <c r="L944" s="945"/>
      <c r="M944" s="945"/>
      <c r="N944" s="899"/>
      <c r="O944" s="899"/>
      <c r="P944" s="899"/>
      <c r="Q944" s="899"/>
      <c r="R944" s="899"/>
      <c r="S944" s="899"/>
      <c r="T944" s="899"/>
      <c r="U944" s="899"/>
      <c r="V944" s="899"/>
      <c r="W944" s="899"/>
      <c r="X944" s="899"/>
      <c r="Y944" s="899"/>
      <c r="Z944" s="899"/>
      <c r="AA944" s="899"/>
      <c r="AB944" s="899"/>
      <c r="AC944" s="899"/>
      <c r="AD944" s="899"/>
      <c r="AE944" s="899"/>
    </row>
    <row r="945">
      <c r="A945" s="944"/>
      <c r="B945" s="945"/>
      <c r="C945" s="945"/>
      <c r="D945" s="945"/>
      <c r="E945" s="945"/>
      <c r="F945" s="945"/>
      <c r="G945" s="945"/>
      <c r="H945" s="945"/>
      <c r="I945" s="945"/>
      <c r="J945" s="945"/>
      <c r="K945" s="945"/>
      <c r="L945" s="945"/>
      <c r="M945" s="945"/>
      <c r="N945" s="899"/>
      <c r="O945" s="899"/>
      <c r="P945" s="899"/>
      <c r="Q945" s="899"/>
      <c r="R945" s="899"/>
      <c r="S945" s="899"/>
      <c r="T945" s="899"/>
      <c r="U945" s="899"/>
      <c r="V945" s="899"/>
      <c r="W945" s="899"/>
      <c r="X945" s="899"/>
      <c r="Y945" s="899"/>
      <c r="Z945" s="899"/>
      <c r="AA945" s="899"/>
      <c r="AB945" s="899"/>
      <c r="AC945" s="899"/>
      <c r="AD945" s="899"/>
      <c r="AE945" s="899"/>
    </row>
    <row r="946">
      <c r="A946" s="944"/>
      <c r="B946" s="945"/>
      <c r="C946" s="945"/>
      <c r="D946" s="945"/>
      <c r="E946" s="945"/>
      <c r="F946" s="945"/>
      <c r="G946" s="945"/>
      <c r="H946" s="945"/>
      <c r="I946" s="945"/>
      <c r="J946" s="945"/>
      <c r="K946" s="945"/>
      <c r="L946" s="945"/>
      <c r="M946" s="945"/>
      <c r="N946" s="899"/>
      <c r="O946" s="899"/>
      <c r="P946" s="899"/>
      <c r="Q946" s="899"/>
      <c r="R946" s="899"/>
      <c r="S946" s="899"/>
      <c r="T946" s="899"/>
      <c r="U946" s="899"/>
      <c r="V946" s="899"/>
      <c r="W946" s="899"/>
      <c r="X946" s="899"/>
      <c r="Y946" s="899"/>
      <c r="Z946" s="899"/>
      <c r="AA946" s="899"/>
      <c r="AB946" s="899"/>
      <c r="AC946" s="899"/>
      <c r="AD946" s="899"/>
      <c r="AE946" s="899"/>
    </row>
    <row r="947">
      <c r="A947" s="944"/>
      <c r="B947" s="945"/>
      <c r="C947" s="945"/>
      <c r="D947" s="945"/>
      <c r="E947" s="945"/>
      <c r="F947" s="945"/>
      <c r="G947" s="945"/>
      <c r="H947" s="945"/>
      <c r="I947" s="945"/>
      <c r="J947" s="945"/>
      <c r="K947" s="945"/>
      <c r="L947" s="945"/>
      <c r="M947" s="945"/>
      <c r="N947" s="899"/>
      <c r="O947" s="899"/>
      <c r="P947" s="899"/>
      <c r="Q947" s="899"/>
      <c r="R947" s="899"/>
      <c r="S947" s="899"/>
      <c r="T947" s="899"/>
      <c r="U947" s="899"/>
      <c r="V947" s="899"/>
      <c r="W947" s="899"/>
      <c r="X947" s="899"/>
      <c r="Y947" s="899"/>
      <c r="Z947" s="899"/>
      <c r="AA947" s="899"/>
      <c r="AB947" s="899"/>
      <c r="AC947" s="899"/>
      <c r="AD947" s="899"/>
      <c r="AE947" s="899"/>
    </row>
    <row r="948">
      <c r="A948" s="944"/>
      <c r="B948" s="945"/>
      <c r="C948" s="945"/>
      <c r="D948" s="945"/>
      <c r="E948" s="945"/>
      <c r="F948" s="945"/>
      <c r="G948" s="945"/>
      <c r="H948" s="945"/>
      <c r="I948" s="945"/>
      <c r="J948" s="945"/>
      <c r="K948" s="945"/>
      <c r="L948" s="945"/>
      <c r="M948" s="945"/>
      <c r="N948" s="899"/>
      <c r="O948" s="899"/>
      <c r="P948" s="899"/>
      <c r="Q948" s="899"/>
      <c r="R948" s="899"/>
      <c r="S948" s="899"/>
      <c r="T948" s="899"/>
      <c r="U948" s="899"/>
      <c r="V948" s="899"/>
      <c r="W948" s="899"/>
      <c r="X948" s="899"/>
      <c r="Y948" s="899"/>
      <c r="Z948" s="899"/>
      <c r="AA948" s="899"/>
      <c r="AB948" s="899"/>
      <c r="AC948" s="899"/>
      <c r="AD948" s="899"/>
      <c r="AE948" s="899"/>
    </row>
    <row r="949">
      <c r="A949" s="944"/>
      <c r="B949" s="945"/>
      <c r="C949" s="945"/>
      <c r="D949" s="945"/>
      <c r="E949" s="945"/>
      <c r="F949" s="945"/>
      <c r="G949" s="945"/>
      <c r="H949" s="945"/>
      <c r="I949" s="945"/>
      <c r="J949" s="945"/>
      <c r="K949" s="945"/>
      <c r="L949" s="945"/>
      <c r="M949" s="945"/>
      <c r="N949" s="899"/>
      <c r="O949" s="899"/>
      <c r="P949" s="899"/>
      <c r="Q949" s="899"/>
      <c r="R949" s="899"/>
      <c r="S949" s="899"/>
      <c r="T949" s="899"/>
      <c r="U949" s="899"/>
      <c r="V949" s="899"/>
      <c r="W949" s="899"/>
      <c r="X949" s="899"/>
      <c r="Y949" s="899"/>
      <c r="Z949" s="899"/>
      <c r="AA949" s="899"/>
      <c r="AB949" s="899"/>
      <c r="AC949" s="899"/>
      <c r="AD949" s="899"/>
      <c r="AE949" s="899"/>
    </row>
    <row r="950">
      <c r="A950" s="944"/>
      <c r="B950" s="945"/>
      <c r="C950" s="945"/>
      <c r="D950" s="945"/>
      <c r="E950" s="945"/>
      <c r="F950" s="945"/>
      <c r="G950" s="945"/>
      <c r="H950" s="945"/>
      <c r="I950" s="945"/>
      <c r="J950" s="945"/>
      <c r="K950" s="945"/>
      <c r="L950" s="945"/>
      <c r="M950" s="945"/>
      <c r="N950" s="899"/>
      <c r="O950" s="899"/>
      <c r="P950" s="899"/>
      <c r="Q950" s="899"/>
      <c r="R950" s="899"/>
      <c r="S950" s="899"/>
      <c r="T950" s="899"/>
      <c r="U950" s="899"/>
      <c r="V950" s="899"/>
      <c r="W950" s="899"/>
      <c r="X950" s="899"/>
      <c r="Y950" s="899"/>
      <c r="Z950" s="899"/>
      <c r="AA950" s="899"/>
      <c r="AB950" s="899"/>
      <c r="AC950" s="899"/>
      <c r="AD950" s="899"/>
      <c r="AE950" s="899"/>
    </row>
    <row r="951">
      <c r="A951" s="944"/>
      <c r="B951" s="945"/>
      <c r="C951" s="945"/>
      <c r="D951" s="945"/>
      <c r="E951" s="945"/>
      <c r="F951" s="945"/>
      <c r="G951" s="945"/>
      <c r="H951" s="945"/>
      <c r="I951" s="945"/>
      <c r="J951" s="945"/>
      <c r="K951" s="945"/>
      <c r="L951" s="945"/>
      <c r="M951" s="945"/>
      <c r="N951" s="899"/>
      <c r="O951" s="899"/>
      <c r="P951" s="899"/>
      <c r="Q951" s="899"/>
      <c r="R951" s="899"/>
      <c r="S951" s="899"/>
      <c r="T951" s="899"/>
      <c r="U951" s="899"/>
      <c r="V951" s="899"/>
      <c r="W951" s="899"/>
      <c r="X951" s="899"/>
      <c r="Y951" s="899"/>
      <c r="Z951" s="899"/>
      <c r="AA951" s="899"/>
      <c r="AB951" s="899"/>
      <c r="AC951" s="899"/>
      <c r="AD951" s="899"/>
      <c r="AE951" s="899"/>
    </row>
    <row r="952">
      <c r="A952" s="944"/>
      <c r="B952" s="945"/>
      <c r="C952" s="945"/>
      <c r="D952" s="945"/>
      <c r="E952" s="945"/>
      <c r="F952" s="945"/>
      <c r="G952" s="945"/>
      <c r="H952" s="945"/>
      <c r="I952" s="945"/>
      <c r="J952" s="945"/>
      <c r="K952" s="945"/>
      <c r="L952" s="945"/>
      <c r="M952" s="945"/>
      <c r="N952" s="899"/>
      <c r="O952" s="899"/>
      <c r="P952" s="899"/>
      <c r="Q952" s="899"/>
      <c r="R952" s="899"/>
      <c r="S952" s="899"/>
      <c r="T952" s="899"/>
      <c r="U952" s="899"/>
      <c r="V952" s="899"/>
      <c r="W952" s="899"/>
      <c r="X952" s="899"/>
      <c r="Y952" s="899"/>
      <c r="Z952" s="899"/>
      <c r="AA952" s="899"/>
      <c r="AB952" s="899"/>
      <c r="AC952" s="899"/>
      <c r="AD952" s="899"/>
      <c r="AE952" s="899"/>
    </row>
    <row r="953">
      <c r="A953" s="944"/>
      <c r="B953" s="945"/>
      <c r="C953" s="945"/>
      <c r="D953" s="945"/>
      <c r="E953" s="945"/>
      <c r="F953" s="945"/>
      <c r="G953" s="945"/>
      <c r="H953" s="945"/>
      <c r="I953" s="945"/>
      <c r="J953" s="945"/>
      <c r="K953" s="945"/>
      <c r="L953" s="945"/>
      <c r="M953" s="945"/>
      <c r="N953" s="899"/>
      <c r="O953" s="899"/>
      <c r="P953" s="899"/>
      <c r="Q953" s="899"/>
      <c r="R953" s="899"/>
      <c r="S953" s="899"/>
      <c r="T953" s="899"/>
      <c r="U953" s="899"/>
      <c r="V953" s="899"/>
      <c r="W953" s="899"/>
      <c r="X953" s="899"/>
      <c r="Y953" s="899"/>
      <c r="Z953" s="899"/>
      <c r="AA953" s="899"/>
      <c r="AB953" s="899"/>
      <c r="AC953" s="899"/>
      <c r="AD953" s="899"/>
      <c r="AE953" s="899"/>
    </row>
    <row r="954">
      <c r="A954" s="944"/>
      <c r="B954" s="945"/>
      <c r="C954" s="945"/>
      <c r="D954" s="945"/>
      <c r="E954" s="945"/>
      <c r="F954" s="945"/>
      <c r="G954" s="945"/>
      <c r="H954" s="945"/>
      <c r="I954" s="945"/>
      <c r="J954" s="945"/>
      <c r="K954" s="945"/>
      <c r="L954" s="945"/>
      <c r="M954" s="945"/>
      <c r="N954" s="899"/>
      <c r="O954" s="899"/>
      <c r="P954" s="899"/>
      <c r="Q954" s="899"/>
      <c r="R954" s="899"/>
      <c r="S954" s="899"/>
      <c r="T954" s="899"/>
      <c r="U954" s="899"/>
      <c r="V954" s="899"/>
      <c r="W954" s="899"/>
      <c r="X954" s="899"/>
      <c r="Y954" s="899"/>
      <c r="Z954" s="899"/>
      <c r="AA954" s="899"/>
      <c r="AB954" s="899"/>
      <c r="AC954" s="899"/>
      <c r="AD954" s="899"/>
      <c r="AE954" s="899"/>
    </row>
    <row r="955">
      <c r="A955" s="944"/>
      <c r="B955" s="945"/>
      <c r="C955" s="945"/>
      <c r="D955" s="945"/>
      <c r="E955" s="945"/>
      <c r="F955" s="945"/>
      <c r="G955" s="945"/>
      <c r="H955" s="945"/>
      <c r="I955" s="945"/>
      <c r="J955" s="945"/>
      <c r="K955" s="945"/>
      <c r="L955" s="945"/>
      <c r="M955" s="945"/>
      <c r="N955" s="899"/>
      <c r="O955" s="899"/>
      <c r="P955" s="899"/>
      <c r="Q955" s="899"/>
      <c r="R955" s="899"/>
      <c r="S955" s="899"/>
      <c r="T955" s="899"/>
      <c r="U955" s="899"/>
      <c r="V955" s="899"/>
      <c r="W955" s="899"/>
      <c r="X955" s="899"/>
      <c r="Y955" s="899"/>
      <c r="Z955" s="899"/>
      <c r="AA955" s="899"/>
      <c r="AB955" s="899"/>
      <c r="AC955" s="899"/>
      <c r="AD955" s="899"/>
      <c r="AE955" s="899"/>
    </row>
    <row r="956">
      <c r="A956" s="944"/>
      <c r="B956" s="945"/>
      <c r="C956" s="945"/>
      <c r="D956" s="945"/>
      <c r="E956" s="945"/>
      <c r="F956" s="945"/>
      <c r="G956" s="945"/>
      <c r="H956" s="945"/>
      <c r="I956" s="945"/>
      <c r="J956" s="945"/>
      <c r="K956" s="945"/>
      <c r="L956" s="945"/>
      <c r="M956" s="945"/>
      <c r="N956" s="899"/>
      <c r="O956" s="899"/>
      <c r="P956" s="899"/>
      <c r="Q956" s="899"/>
      <c r="R956" s="899"/>
      <c r="S956" s="899"/>
      <c r="T956" s="899"/>
      <c r="U956" s="899"/>
      <c r="V956" s="899"/>
      <c r="W956" s="899"/>
      <c r="X956" s="899"/>
      <c r="Y956" s="899"/>
      <c r="Z956" s="899"/>
      <c r="AA956" s="899"/>
      <c r="AB956" s="899"/>
      <c r="AC956" s="899"/>
      <c r="AD956" s="899"/>
      <c r="AE956" s="899"/>
    </row>
    <row r="957">
      <c r="A957" s="944"/>
      <c r="B957" s="945"/>
      <c r="C957" s="945"/>
      <c r="D957" s="945"/>
      <c r="E957" s="945"/>
      <c r="F957" s="945"/>
      <c r="G957" s="945"/>
      <c r="H957" s="945"/>
      <c r="I957" s="945"/>
      <c r="J957" s="945"/>
      <c r="K957" s="945"/>
      <c r="L957" s="945"/>
      <c r="M957" s="945"/>
      <c r="N957" s="899"/>
      <c r="O957" s="899"/>
      <c r="P957" s="899"/>
      <c r="Q957" s="899"/>
      <c r="R957" s="899"/>
      <c r="S957" s="899"/>
      <c r="T957" s="899"/>
      <c r="U957" s="899"/>
      <c r="V957" s="899"/>
      <c r="W957" s="899"/>
      <c r="X957" s="899"/>
      <c r="Y957" s="899"/>
      <c r="Z957" s="899"/>
      <c r="AA957" s="899"/>
      <c r="AB957" s="899"/>
      <c r="AC957" s="899"/>
      <c r="AD957" s="899"/>
      <c r="AE957" s="899"/>
    </row>
    <row r="958">
      <c r="A958" s="944"/>
      <c r="B958" s="945"/>
      <c r="C958" s="945"/>
      <c r="D958" s="945"/>
      <c r="E958" s="945"/>
      <c r="F958" s="945"/>
      <c r="G958" s="945"/>
      <c r="H958" s="945"/>
      <c r="I958" s="945"/>
      <c r="J958" s="945"/>
      <c r="K958" s="945"/>
      <c r="L958" s="945"/>
      <c r="M958" s="945"/>
      <c r="N958" s="899"/>
      <c r="O958" s="899"/>
      <c r="P958" s="899"/>
      <c r="Q958" s="899"/>
      <c r="R958" s="899"/>
      <c r="S958" s="899"/>
      <c r="T958" s="899"/>
      <c r="U958" s="899"/>
      <c r="V958" s="899"/>
      <c r="W958" s="899"/>
      <c r="X958" s="899"/>
      <c r="Y958" s="899"/>
      <c r="Z958" s="899"/>
      <c r="AA958" s="899"/>
      <c r="AB958" s="899"/>
      <c r="AC958" s="899"/>
      <c r="AD958" s="899"/>
      <c r="AE958" s="899"/>
    </row>
    <row r="959">
      <c r="A959" s="944"/>
      <c r="B959" s="945"/>
      <c r="C959" s="945"/>
      <c r="D959" s="945"/>
      <c r="E959" s="945"/>
      <c r="F959" s="945"/>
      <c r="G959" s="945"/>
      <c r="H959" s="945"/>
      <c r="I959" s="945"/>
      <c r="J959" s="945"/>
      <c r="K959" s="945"/>
      <c r="L959" s="945"/>
      <c r="M959" s="945"/>
      <c r="N959" s="899"/>
      <c r="O959" s="899"/>
      <c r="P959" s="899"/>
      <c r="Q959" s="899"/>
      <c r="R959" s="899"/>
      <c r="S959" s="899"/>
      <c r="T959" s="899"/>
      <c r="U959" s="899"/>
      <c r="V959" s="899"/>
      <c r="W959" s="899"/>
      <c r="X959" s="899"/>
      <c r="Y959" s="899"/>
      <c r="Z959" s="899"/>
      <c r="AA959" s="899"/>
      <c r="AB959" s="899"/>
      <c r="AC959" s="899"/>
      <c r="AD959" s="899"/>
      <c r="AE959" s="899"/>
    </row>
    <row r="960">
      <c r="A960" s="944"/>
      <c r="B960" s="945"/>
      <c r="C960" s="945"/>
      <c r="D960" s="945"/>
      <c r="E960" s="945"/>
      <c r="F960" s="945"/>
      <c r="G960" s="945"/>
      <c r="H960" s="945"/>
      <c r="I960" s="945"/>
      <c r="J960" s="945"/>
      <c r="K960" s="945"/>
      <c r="L960" s="945"/>
      <c r="M960" s="945"/>
      <c r="N960" s="899"/>
      <c r="O960" s="899"/>
      <c r="P960" s="899"/>
      <c r="Q960" s="899"/>
      <c r="R960" s="899"/>
      <c r="S960" s="899"/>
      <c r="T960" s="899"/>
      <c r="U960" s="899"/>
      <c r="V960" s="899"/>
      <c r="W960" s="899"/>
      <c r="X960" s="899"/>
      <c r="Y960" s="899"/>
      <c r="Z960" s="899"/>
      <c r="AA960" s="899"/>
      <c r="AB960" s="899"/>
      <c r="AC960" s="899"/>
      <c r="AD960" s="899"/>
      <c r="AE960" s="899"/>
    </row>
    <row r="961">
      <c r="A961" s="944"/>
      <c r="B961" s="945"/>
      <c r="C961" s="945"/>
      <c r="D961" s="945"/>
      <c r="E961" s="945"/>
      <c r="F961" s="945"/>
      <c r="G961" s="945"/>
      <c r="H961" s="945"/>
      <c r="I961" s="945"/>
      <c r="J961" s="945"/>
      <c r="K961" s="945"/>
      <c r="L961" s="945"/>
      <c r="M961" s="945"/>
      <c r="N961" s="899"/>
      <c r="O961" s="899"/>
      <c r="P961" s="899"/>
      <c r="Q961" s="899"/>
      <c r="R961" s="899"/>
      <c r="S961" s="899"/>
      <c r="T961" s="899"/>
      <c r="U961" s="899"/>
      <c r="V961" s="899"/>
      <c r="W961" s="899"/>
      <c r="X961" s="899"/>
      <c r="Y961" s="899"/>
      <c r="Z961" s="899"/>
      <c r="AA961" s="899"/>
      <c r="AB961" s="899"/>
      <c r="AC961" s="899"/>
      <c r="AD961" s="899"/>
      <c r="AE961" s="899"/>
    </row>
    <row r="962">
      <c r="A962" s="944"/>
      <c r="B962" s="945"/>
      <c r="C962" s="945"/>
      <c r="D962" s="945"/>
      <c r="E962" s="945"/>
      <c r="F962" s="945"/>
      <c r="G962" s="945"/>
      <c r="H962" s="945"/>
      <c r="I962" s="945"/>
      <c r="J962" s="945"/>
      <c r="K962" s="945"/>
      <c r="L962" s="945"/>
      <c r="M962" s="945"/>
      <c r="N962" s="899"/>
      <c r="O962" s="899"/>
      <c r="P962" s="899"/>
      <c r="Q962" s="899"/>
      <c r="R962" s="899"/>
      <c r="S962" s="899"/>
      <c r="T962" s="899"/>
      <c r="U962" s="899"/>
      <c r="V962" s="899"/>
      <c r="W962" s="899"/>
      <c r="X962" s="899"/>
      <c r="Y962" s="899"/>
      <c r="Z962" s="899"/>
      <c r="AA962" s="899"/>
      <c r="AB962" s="899"/>
      <c r="AC962" s="899"/>
      <c r="AD962" s="899"/>
      <c r="AE962" s="899"/>
    </row>
    <row r="963">
      <c r="A963" s="944"/>
      <c r="B963" s="945"/>
      <c r="C963" s="945"/>
      <c r="D963" s="945"/>
      <c r="E963" s="945"/>
      <c r="F963" s="945"/>
      <c r="G963" s="945"/>
      <c r="H963" s="945"/>
      <c r="I963" s="945"/>
      <c r="J963" s="945"/>
      <c r="K963" s="945"/>
      <c r="L963" s="945"/>
      <c r="M963" s="945"/>
      <c r="N963" s="899"/>
      <c r="O963" s="899"/>
      <c r="P963" s="899"/>
      <c r="Q963" s="899"/>
      <c r="R963" s="899"/>
      <c r="S963" s="899"/>
      <c r="T963" s="899"/>
      <c r="U963" s="899"/>
      <c r="V963" s="899"/>
      <c r="W963" s="899"/>
      <c r="X963" s="899"/>
      <c r="Y963" s="899"/>
      <c r="Z963" s="899"/>
      <c r="AA963" s="899"/>
      <c r="AB963" s="899"/>
      <c r="AC963" s="899"/>
      <c r="AD963" s="899"/>
      <c r="AE963" s="899"/>
    </row>
    <row r="964">
      <c r="A964" s="944"/>
      <c r="B964" s="945"/>
      <c r="C964" s="945"/>
      <c r="D964" s="945"/>
      <c r="E964" s="945"/>
      <c r="F964" s="945"/>
      <c r="G964" s="945"/>
      <c r="H964" s="945"/>
      <c r="I964" s="945"/>
      <c r="J964" s="945"/>
      <c r="K964" s="945"/>
      <c r="L964" s="945"/>
      <c r="M964" s="945"/>
      <c r="N964" s="899"/>
      <c r="O964" s="899"/>
      <c r="P964" s="899"/>
      <c r="Q964" s="899"/>
      <c r="R964" s="899"/>
      <c r="S964" s="899"/>
      <c r="T964" s="899"/>
      <c r="U964" s="899"/>
      <c r="V964" s="899"/>
      <c r="W964" s="899"/>
      <c r="X964" s="899"/>
      <c r="Y964" s="899"/>
      <c r="Z964" s="899"/>
      <c r="AA964" s="899"/>
      <c r="AB964" s="899"/>
      <c r="AC964" s="899"/>
      <c r="AD964" s="899"/>
      <c r="AE964" s="899"/>
    </row>
    <row r="965">
      <c r="A965" s="944"/>
      <c r="B965" s="945"/>
      <c r="C965" s="945"/>
      <c r="D965" s="945"/>
      <c r="E965" s="945"/>
      <c r="F965" s="945"/>
      <c r="G965" s="945"/>
      <c r="H965" s="945"/>
      <c r="I965" s="945"/>
      <c r="J965" s="945"/>
      <c r="K965" s="945"/>
      <c r="L965" s="945"/>
      <c r="M965" s="945"/>
      <c r="N965" s="899"/>
      <c r="O965" s="899"/>
      <c r="P965" s="899"/>
      <c r="Q965" s="899"/>
      <c r="R965" s="899"/>
      <c r="S965" s="899"/>
      <c r="T965" s="899"/>
      <c r="U965" s="899"/>
      <c r="V965" s="899"/>
      <c r="W965" s="899"/>
      <c r="X965" s="899"/>
      <c r="Y965" s="899"/>
      <c r="Z965" s="899"/>
      <c r="AA965" s="899"/>
      <c r="AB965" s="899"/>
      <c r="AC965" s="899"/>
      <c r="AD965" s="899"/>
      <c r="AE965" s="899"/>
    </row>
    <row r="966">
      <c r="A966" s="944"/>
      <c r="B966" s="945"/>
      <c r="C966" s="945"/>
      <c r="D966" s="945"/>
      <c r="E966" s="945"/>
      <c r="F966" s="945"/>
      <c r="G966" s="945"/>
      <c r="H966" s="945"/>
      <c r="I966" s="945"/>
      <c r="J966" s="945"/>
      <c r="K966" s="945"/>
      <c r="L966" s="945"/>
      <c r="M966" s="945"/>
      <c r="N966" s="899"/>
      <c r="O966" s="899"/>
      <c r="P966" s="899"/>
      <c r="Q966" s="899"/>
      <c r="R966" s="899"/>
      <c r="S966" s="899"/>
      <c r="T966" s="899"/>
      <c r="U966" s="899"/>
      <c r="V966" s="899"/>
      <c r="W966" s="899"/>
      <c r="X966" s="899"/>
      <c r="Y966" s="899"/>
      <c r="Z966" s="899"/>
      <c r="AA966" s="899"/>
      <c r="AB966" s="899"/>
      <c r="AC966" s="899"/>
      <c r="AD966" s="899"/>
      <c r="AE966" s="899"/>
    </row>
    <row r="967">
      <c r="A967" s="944"/>
      <c r="B967" s="945"/>
      <c r="C967" s="945"/>
      <c r="D967" s="945"/>
      <c r="E967" s="945"/>
      <c r="F967" s="945"/>
      <c r="G967" s="945"/>
      <c r="H967" s="945"/>
      <c r="I967" s="945"/>
      <c r="J967" s="945"/>
      <c r="K967" s="945"/>
      <c r="L967" s="945"/>
      <c r="M967" s="945"/>
      <c r="N967" s="899"/>
      <c r="O967" s="899"/>
      <c r="P967" s="899"/>
      <c r="Q967" s="899"/>
      <c r="R967" s="899"/>
      <c r="S967" s="899"/>
      <c r="T967" s="899"/>
      <c r="U967" s="899"/>
      <c r="V967" s="899"/>
      <c r="W967" s="899"/>
      <c r="X967" s="899"/>
      <c r="Y967" s="899"/>
      <c r="Z967" s="899"/>
      <c r="AA967" s="899"/>
      <c r="AB967" s="899"/>
      <c r="AC967" s="899"/>
      <c r="AD967" s="899"/>
      <c r="AE967" s="899"/>
    </row>
    <row r="968">
      <c r="A968" s="944"/>
      <c r="B968" s="945"/>
      <c r="C968" s="945"/>
      <c r="D968" s="945"/>
      <c r="E968" s="945"/>
      <c r="F968" s="945"/>
      <c r="G968" s="945"/>
      <c r="H968" s="945"/>
      <c r="I968" s="945"/>
      <c r="J968" s="945"/>
      <c r="K968" s="945"/>
      <c r="L968" s="945"/>
      <c r="M968" s="945"/>
      <c r="N968" s="899"/>
      <c r="O968" s="899"/>
      <c r="P968" s="899"/>
      <c r="Q968" s="899"/>
      <c r="R968" s="899"/>
      <c r="S968" s="899"/>
      <c r="T968" s="899"/>
      <c r="U968" s="899"/>
      <c r="V968" s="899"/>
      <c r="W968" s="899"/>
      <c r="X968" s="899"/>
      <c r="Y968" s="899"/>
      <c r="Z968" s="899"/>
      <c r="AA968" s="899"/>
      <c r="AB968" s="899"/>
      <c r="AC968" s="899"/>
      <c r="AD968" s="899"/>
      <c r="AE968" s="899"/>
    </row>
    <row r="969">
      <c r="A969" s="944"/>
      <c r="B969" s="945"/>
      <c r="C969" s="945"/>
      <c r="D969" s="945"/>
      <c r="E969" s="945"/>
      <c r="F969" s="945"/>
      <c r="G969" s="945"/>
      <c r="H969" s="945"/>
      <c r="I969" s="945"/>
      <c r="J969" s="945"/>
      <c r="K969" s="945"/>
      <c r="L969" s="945"/>
      <c r="M969" s="945"/>
      <c r="N969" s="899"/>
      <c r="O969" s="899"/>
      <c r="P969" s="899"/>
      <c r="Q969" s="899"/>
      <c r="R969" s="899"/>
      <c r="S969" s="899"/>
      <c r="T969" s="899"/>
      <c r="U969" s="899"/>
      <c r="V969" s="899"/>
      <c r="W969" s="899"/>
      <c r="X969" s="899"/>
      <c r="Y969" s="899"/>
      <c r="Z969" s="899"/>
      <c r="AA969" s="899"/>
      <c r="AB969" s="899"/>
      <c r="AC969" s="899"/>
      <c r="AD969" s="899"/>
      <c r="AE969" s="899"/>
    </row>
    <row r="970">
      <c r="A970" s="944"/>
      <c r="B970" s="945"/>
      <c r="C970" s="945"/>
      <c r="D970" s="945"/>
      <c r="E970" s="945"/>
      <c r="F970" s="945"/>
      <c r="G970" s="945"/>
      <c r="H970" s="945"/>
      <c r="I970" s="945"/>
      <c r="J970" s="945"/>
      <c r="K970" s="945"/>
      <c r="L970" s="945"/>
      <c r="M970" s="945"/>
      <c r="N970" s="899"/>
      <c r="O970" s="899"/>
      <c r="P970" s="899"/>
      <c r="Q970" s="899"/>
      <c r="R970" s="899"/>
      <c r="S970" s="899"/>
      <c r="T970" s="899"/>
      <c r="U970" s="899"/>
      <c r="V970" s="899"/>
      <c r="W970" s="899"/>
      <c r="X970" s="899"/>
      <c r="Y970" s="899"/>
      <c r="Z970" s="899"/>
      <c r="AA970" s="899"/>
      <c r="AB970" s="899"/>
      <c r="AC970" s="899"/>
      <c r="AD970" s="899"/>
      <c r="AE970" s="899"/>
    </row>
    <row r="971">
      <c r="A971" s="944"/>
      <c r="B971" s="945"/>
      <c r="C971" s="945"/>
      <c r="D971" s="945"/>
      <c r="E971" s="945"/>
      <c r="F971" s="945"/>
      <c r="G971" s="945"/>
      <c r="H971" s="945"/>
      <c r="I971" s="945"/>
      <c r="J971" s="945"/>
      <c r="K971" s="945"/>
      <c r="L971" s="945"/>
      <c r="M971" s="945"/>
      <c r="N971" s="899"/>
      <c r="O971" s="899"/>
      <c r="P971" s="899"/>
      <c r="Q971" s="899"/>
      <c r="R971" s="899"/>
      <c r="S971" s="899"/>
      <c r="T971" s="899"/>
      <c r="U971" s="899"/>
      <c r="V971" s="899"/>
      <c r="W971" s="899"/>
      <c r="X971" s="899"/>
      <c r="Y971" s="899"/>
      <c r="Z971" s="899"/>
      <c r="AA971" s="899"/>
      <c r="AB971" s="899"/>
      <c r="AC971" s="899"/>
      <c r="AD971" s="899"/>
      <c r="AE971" s="899"/>
    </row>
    <row r="972">
      <c r="A972" s="944"/>
      <c r="B972" s="945"/>
      <c r="C972" s="945"/>
      <c r="D972" s="945"/>
      <c r="E972" s="945"/>
      <c r="F972" s="945"/>
      <c r="G972" s="945"/>
      <c r="H972" s="945"/>
      <c r="I972" s="945"/>
      <c r="J972" s="945"/>
      <c r="K972" s="945"/>
      <c r="L972" s="945"/>
      <c r="M972" s="945"/>
      <c r="N972" s="899"/>
      <c r="O972" s="899"/>
      <c r="P972" s="899"/>
      <c r="Q972" s="899"/>
      <c r="R972" s="899"/>
      <c r="S972" s="899"/>
      <c r="T972" s="899"/>
      <c r="U972" s="899"/>
      <c r="V972" s="899"/>
      <c r="W972" s="899"/>
      <c r="X972" s="899"/>
      <c r="Y972" s="899"/>
      <c r="Z972" s="899"/>
      <c r="AA972" s="899"/>
      <c r="AB972" s="899"/>
      <c r="AC972" s="899"/>
      <c r="AD972" s="899"/>
      <c r="AE972" s="899"/>
    </row>
    <row r="973">
      <c r="A973" s="944"/>
      <c r="B973" s="945"/>
      <c r="C973" s="945"/>
      <c r="D973" s="945"/>
      <c r="E973" s="945"/>
      <c r="F973" s="945"/>
      <c r="G973" s="945"/>
      <c r="H973" s="945"/>
      <c r="I973" s="945"/>
      <c r="J973" s="945"/>
      <c r="K973" s="945"/>
      <c r="L973" s="945"/>
      <c r="M973" s="945"/>
      <c r="N973" s="899"/>
      <c r="O973" s="899"/>
      <c r="P973" s="899"/>
      <c r="Q973" s="899"/>
      <c r="R973" s="899"/>
      <c r="S973" s="899"/>
      <c r="T973" s="899"/>
      <c r="U973" s="899"/>
      <c r="V973" s="899"/>
      <c r="W973" s="899"/>
      <c r="X973" s="899"/>
      <c r="Y973" s="899"/>
      <c r="Z973" s="899"/>
      <c r="AA973" s="899"/>
      <c r="AB973" s="899"/>
      <c r="AC973" s="899"/>
      <c r="AD973" s="899"/>
      <c r="AE973" s="899"/>
    </row>
    <row r="974">
      <c r="A974" s="944"/>
      <c r="B974" s="945"/>
      <c r="C974" s="945"/>
      <c r="D974" s="945"/>
      <c r="E974" s="945"/>
      <c r="F974" s="945"/>
      <c r="G974" s="945"/>
      <c r="H974" s="945"/>
      <c r="I974" s="945"/>
      <c r="J974" s="945"/>
      <c r="K974" s="945"/>
      <c r="L974" s="945"/>
      <c r="M974" s="945"/>
      <c r="N974" s="899"/>
      <c r="O974" s="899"/>
      <c r="P974" s="899"/>
      <c r="Q974" s="899"/>
      <c r="R974" s="899"/>
      <c r="S974" s="899"/>
      <c r="T974" s="899"/>
      <c r="U974" s="899"/>
      <c r="V974" s="899"/>
      <c r="W974" s="899"/>
      <c r="X974" s="899"/>
      <c r="Y974" s="899"/>
      <c r="Z974" s="899"/>
      <c r="AA974" s="899"/>
      <c r="AB974" s="899"/>
      <c r="AC974" s="899"/>
      <c r="AD974" s="899"/>
      <c r="AE974" s="899"/>
    </row>
    <row r="975">
      <c r="A975" s="944"/>
      <c r="B975" s="945"/>
      <c r="C975" s="945"/>
      <c r="D975" s="945"/>
      <c r="E975" s="945"/>
      <c r="F975" s="945"/>
      <c r="G975" s="945"/>
      <c r="H975" s="945"/>
      <c r="I975" s="945"/>
      <c r="J975" s="945"/>
      <c r="K975" s="945"/>
      <c r="L975" s="945"/>
      <c r="M975" s="945"/>
      <c r="N975" s="899"/>
      <c r="O975" s="899"/>
      <c r="P975" s="899"/>
      <c r="Q975" s="899"/>
      <c r="R975" s="899"/>
      <c r="S975" s="899"/>
      <c r="T975" s="899"/>
      <c r="U975" s="899"/>
      <c r="V975" s="899"/>
      <c r="W975" s="899"/>
      <c r="X975" s="899"/>
      <c r="Y975" s="899"/>
      <c r="Z975" s="899"/>
      <c r="AA975" s="899"/>
      <c r="AB975" s="899"/>
      <c r="AC975" s="899"/>
      <c r="AD975" s="899"/>
      <c r="AE975" s="899"/>
    </row>
    <row r="976">
      <c r="A976" s="944"/>
      <c r="B976" s="945"/>
      <c r="C976" s="945"/>
      <c r="D976" s="945"/>
      <c r="E976" s="945"/>
      <c r="F976" s="945"/>
      <c r="G976" s="945"/>
      <c r="H976" s="945"/>
      <c r="I976" s="945"/>
      <c r="J976" s="945"/>
      <c r="K976" s="945"/>
      <c r="L976" s="945"/>
      <c r="M976" s="945"/>
      <c r="N976" s="899"/>
      <c r="O976" s="899"/>
      <c r="P976" s="899"/>
      <c r="Q976" s="899"/>
      <c r="R976" s="899"/>
      <c r="S976" s="899"/>
      <c r="T976" s="899"/>
      <c r="U976" s="899"/>
      <c r="V976" s="899"/>
      <c r="W976" s="899"/>
      <c r="X976" s="899"/>
      <c r="Y976" s="899"/>
      <c r="Z976" s="899"/>
      <c r="AA976" s="899"/>
      <c r="AB976" s="899"/>
      <c r="AC976" s="899"/>
      <c r="AD976" s="899"/>
      <c r="AE976" s="899"/>
    </row>
    <row r="977">
      <c r="A977" s="944"/>
      <c r="B977" s="945"/>
      <c r="C977" s="945"/>
      <c r="D977" s="945"/>
      <c r="E977" s="945"/>
      <c r="F977" s="945"/>
      <c r="G977" s="945"/>
      <c r="H977" s="945"/>
      <c r="I977" s="945"/>
      <c r="J977" s="945"/>
      <c r="K977" s="945"/>
      <c r="L977" s="945"/>
      <c r="M977" s="945"/>
      <c r="N977" s="899"/>
      <c r="O977" s="899"/>
      <c r="P977" s="899"/>
      <c r="Q977" s="899"/>
      <c r="R977" s="899"/>
      <c r="S977" s="899"/>
      <c r="T977" s="899"/>
      <c r="U977" s="899"/>
      <c r="V977" s="899"/>
      <c r="W977" s="899"/>
      <c r="X977" s="899"/>
      <c r="Y977" s="899"/>
      <c r="Z977" s="899"/>
      <c r="AA977" s="899"/>
      <c r="AB977" s="899"/>
      <c r="AC977" s="899"/>
      <c r="AD977" s="899"/>
      <c r="AE977" s="899"/>
    </row>
    <row r="978">
      <c r="A978" s="944"/>
      <c r="B978" s="945"/>
      <c r="C978" s="945"/>
      <c r="D978" s="945"/>
      <c r="E978" s="945"/>
      <c r="F978" s="945"/>
      <c r="G978" s="945"/>
      <c r="H978" s="945"/>
      <c r="I978" s="945"/>
      <c r="J978" s="945"/>
      <c r="K978" s="945"/>
      <c r="L978" s="945"/>
      <c r="M978" s="945"/>
      <c r="N978" s="899"/>
      <c r="O978" s="899"/>
      <c r="P978" s="899"/>
      <c r="Q978" s="899"/>
      <c r="R978" s="899"/>
      <c r="S978" s="899"/>
      <c r="T978" s="899"/>
      <c r="U978" s="899"/>
      <c r="V978" s="899"/>
      <c r="W978" s="899"/>
      <c r="X978" s="899"/>
      <c r="Y978" s="899"/>
      <c r="Z978" s="899"/>
      <c r="AA978" s="899"/>
      <c r="AB978" s="899"/>
      <c r="AC978" s="899"/>
      <c r="AD978" s="899"/>
      <c r="AE978" s="899"/>
    </row>
    <row r="979">
      <c r="A979" s="944"/>
      <c r="B979" s="945"/>
      <c r="C979" s="945"/>
      <c r="D979" s="945"/>
      <c r="E979" s="945"/>
      <c r="F979" s="945"/>
      <c r="G979" s="945"/>
      <c r="H979" s="945"/>
      <c r="I979" s="945"/>
      <c r="J979" s="945"/>
      <c r="K979" s="945"/>
      <c r="L979" s="945"/>
      <c r="M979" s="945"/>
      <c r="N979" s="899"/>
      <c r="O979" s="899"/>
      <c r="P979" s="899"/>
      <c r="Q979" s="899"/>
      <c r="R979" s="899"/>
      <c r="S979" s="899"/>
      <c r="T979" s="899"/>
      <c r="U979" s="899"/>
      <c r="V979" s="899"/>
      <c r="W979" s="899"/>
      <c r="X979" s="899"/>
      <c r="Y979" s="899"/>
      <c r="Z979" s="899"/>
      <c r="AA979" s="899"/>
      <c r="AB979" s="899"/>
      <c r="AC979" s="899"/>
      <c r="AD979" s="899"/>
      <c r="AE979" s="899"/>
    </row>
    <row r="980">
      <c r="A980" s="944"/>
      <c r="B980" s="945"/>
      <c r="C980" s="945"/>
      <c r="D980" s="945"/>
      <c r="E980" s="945"/>
      <c r="F980" s="945"/>
      <c r="G980" s="945"/>
      <c r="H980" s="945"/>
      <c r="I980" s="945"/>
      <c r="J980" s="945"/>
      <c r="K980" s="945"/>
      <c r="L980" s="945"/>
      <c r="M980" s="945"/>
      <c r="N980" s="899"/>
      <c r="O980" s="899"/>
      <c r="P980" s="899"/>
      <c r="Q980" s="899"/>
      <c r="R980" s="899"/>
      <c r="S980" s="899"/>
      <c r="T980" s="899"/>
      <c r="U980" s="899"/>
      <c r="V980" s="899"/>
      <c r="W980" s="899"/>
      <c r="X980" s="899"/>
      <c r="Y980" s="899"/>
      <c r="Z980" s="899"/>
      <c r="AA980" s="899"/>
      <c r="AB980" s="899"/>
      <c r="AC980" s="899"/>
      <c r="AD980" s="899"/>
      <c r="AE980" s="899"/>
    </row>
    <row r="981">
      <c r="A981" s="944"/>
      <c r="B981" s="945"/>
      <c r="C981" s="945"/>
      <c r="D981" s="945"/>
      <c r="E981" s="945"/>
      <c r="F981" s="945"/>
      <c r="G981" s="945"/>
      <c r="H981" s="945"/>
      <c r="I981" s="945"/>
      <c r="J981" s="945"/>
      <c r="K981" s="945"/>
      <c r="L981" s="945"/>
      <c r="M981" s="945"/>
      <c r="N981" s="899"/>
      <c r="O981" s="899"/>
      <c r="P981" s="899"/>
      <c r="Q981" s="899"/>
      <c r="R981" s="899"/>
      <c r="S981" s="899"/>
      <c r="T981" s="899"/>
      <c r="U981" s="899"/>
      <c r="V981" s="899"/>
      <c r="W981" s="899"/>
      <c r="X981" s="899"/>
      <c r="Y981" s="899"/>
      <c r="Z981" s="899"/>
      <c r="AA981" s="899"/>
      <c r="AB981" s="899"/>
      <c r="AC981" s="899"/>
      <c r="AD981" s="899"/>
      <c r="AE981" s="899"/>
    </row>
    <row r="982">
      <c r="A982" s="944"/>
      <c r="B982" s="945"/>
      <c r="C982" s="945"/>
      <c r="D982" s="945"/>
      <c r="E982" s="945"/>
      <c r="F982" s="945"/>
      <c r="G982" s="945"/>
      <c r="H982" s="945"/>
      <c r="I982" s="945"/>
      <c r="J982" s="945"/>
      <c r="K982" s="945"/>
      <c r="L982" s="945"/>
      <c r="M982" s="945"/>
      <c r="N982" s="899"/>
      <c r="O982" s="899"/>
      <c r="P982" s="899"/>
      <c r="Q982" s="899"/>
      <c r="R982" s="899"/>
      <c r="S982" s="899"/>
      <c r="T982" s="899"/>
      <c r="U982" s="899"/>
      <c r="V982" s="899"/>
      <c r="W982" s="899"/>
      <c r="X982" s="899"/>
      <c r="Y982" s="899"/>
      <c r="Z982" s="899"/>
      <c r="AA982" s="899"/>
      <c r="AB982" s="899"/>
      <c r="AC982" s="899"/>
      <c r="AD982" s="899"/>
      <c r="AE982" s="899"/>
    </row>
    <row r="983">
      <c r="A983" s="944"/>
      <c r="B983" s="945"/>
      <c r="C983" s="945"/>
      <c r="D983" s="945"/>
      <c r="E983" s="945"/>
      <c r="F983" s="945"/>
      <c r="G983" s="945"/>
      <c r="H983" s="945"/>
      <c r="I983" s="945"/>
      <c r="J983" s="945"/>
      <c r="K983" s="945"/>
      <c r="L983" s="945"/>
      <c r="M983" s="945"/>
      <c r="N983" s="899"/>
      <c r="O983" s="899"/>
      <c r="P983" s="899"/>
      <c r="Q983" s="899"/>
      <c r="R983" s="899"/>
      <c r="S983" s="899"/>
      <c r="T983" s="899"/>
      <c r="U983" s="899"/>
      <c r="V983" s="899"/>
      <c r="W983" s="899"/>
      <c r="X983" s="899"/>
      <c r="Y983" s="899"/>
      <c r="Z983" s="899"/>
      <c r="AA983" s="899"/>
      <c r="AB983" s="899"/>
      <c r="AC983" s="899"/>
      <c r="AD983" s="899"/>
      <c r="AE983" s="899"/>
    </row>
    <row r="984">
      <c r="A984" s="944"/>
      <c r="B984" s="945"/>
      <c r="C984" s="945"/>
      <c r="D984" s="945"/>
      <c r="E984" s="945"/>
      <c r="F984" s="945"/>
      <c r="G984" s="945"/>
      <c r="H984" s="945"/>
      <c r="I984" s="945"/>
      <c r="J984" s="945"/>
      <c r="K984" s="945"/>
      <c r="L984" s="945"/>
      <c r="M984" s="945"/>
      <c r="N984" s="899"/>
      <c r="O984" s="899"/>
      <c r="P984" s="899"/>
      <c r="Q984" s="899"/>
      <c r="R984" s="899"/>
      <c r="S984" s="899"/>
      <c r="T984" s="899"/>
      <c r="U984" s="899"/>
      <c r="V984" s="899"/>
      <c r="W984" s="899"/>
      <c r="X984" s="899"/>
      <c r="Y984" s="899"/>
      <c r="Z984" s="899"/>
      <c r="AA984" s="899"/>
      <c r="AB984" s="899"/>
      <c r="AC984" s="899"/>
      <c r="AD984" s="899"/>
      <c r="AE984" s="899"/>
    </row>
    <row r="985">
      <c r="A985" s="944"/>
      <c r="B985" s="945"/>
      <c r="C985" s="945"/>
      <c r="D985" s="945"/>
      <c r="E985" s="945"/>
      <c r="F985" s="945"/>
      <c r="G985" s="945"/>
      <c r="H985" s="945"/>
      <c r="I985" s="945"/>
      <c r="J985" s="945"/>
      <c r="K985" s="945"/>
      <c r="L985" s="945"/>
      <c r="M985" s="945"/>
      <c r="N985" s="899"/>
      <c r="O985" s="899"/>
      <c r="P985" s="899"/>
      <c r="Q985" s="899"/>
      <c r="R985" s="899"/>
      <c r="S985" s="899"/>
      <c r="T985" s="899"/>
      <c r="U985" s="899"/>
      <c r="V985" s="899"/>
      <c r="W985" s="899"/>
      <c r="X985" s="899"/>
      <c r="Y985" s="899"/>
      <c r="Z985" s="899"/>
      <c r="AA985" s="899"/>
      <c r="AB985" s="899"/>
      <c r="AC985" s="899"/>
      <c r="AD985" s="899"/>
      <c r="AE985" s="899"/>
    </row>
    <row r="986">
      <c r="A986" s="944"/>
      <c r="B986" s="945"/>
      <c r="C986" s="945"/>
      <c r="D986" s="945"/>
      <c r="E986" s="945"/>
      <c r="F986" s="945"/>
      <c r="G986" s="945"/>
      <c r="H986" s="945"/>
      <c r="I986" s="945"/>
      <c r="J986" s="945"/>
      <c r="K986" s="945"/>
      <c r="L986" s="945"/>
      <c r="M986" s="945"/>
      <c r="N986" s="899"/>
      <c r="O986" s="899"/>
      <c r="P986" s="899"/>
      <c r="Q986" s="899"/>
      <c r="R986" s="899"/>
      <c r="S986" s="899"/>
      <c r="T986" s="899"/>
      <c r="U986" s="899"/>
      <c r="V986" s="899"/>
      <c r="W986" s="899"/>
      <c r="X986" s="899"/>
      <c r="Y986" s="899"/>
      <c r="Z986" s="899"/>
      <c r="AA986" s="899"/>
      <c r="AB986" s="899"/>
      <c r="AC986" s="899"/>
      <c r="AD986" s="899"/>
      <c r="AE986" s="899"/>
    </row>
    <row r="987">
      <c r="A987" s="944"/>
      <c r="B987" s="945"/>
      <c r="C987" s="945"/>
      <c r="D987" s="945"/>
      <c r="E987" s="945"/>
      <c r="F987" s="945"/>
      <c r="G987" s="945"/>
      <c r="H987" s="945"/>
      <c r="I987" s="945"/>
      <c r="J987" s="945"/>
      <c r="K987" s="945"/>
      <c r="L987" s="945"/>
      <c r="M987" s="945"/>
      <c r="N987" s="899"/>
      <c r="O987" s="899"/>
      <c r="P987" s="899"/>
      <c r="Q987" s="899"/>
      <c r="R987" s="899"/>
      <c r="S987" s="899"/>
      <c r="T987" s="899"/>
      <c r="U987" s="899"/>
      <c r="V987" s="899"/>
      <c r="W987" s="899"/>
      <c r="X987" s="899"/>
      <c r="Y987" s="899"/>
      <c r="Z987" s="899"/>
      <c r="AA987" s="899"/>
      <c r="AB987" s="899"/>
      <c r="AC987" s="899"/>
      <c r="AD987" s="899"/>
      <c r="AE987" s="899"/>
    </row>
    <row r="988">
      <c r="A988" s="944"/>
      <c r="B988" s="945"/>
      <c r="C988" s="945"/>
      <c r="D988" s="945"/>
      <c r="E988" s="945"/>
      <c r="F988" s="945"/>
      <c r="G988" s="945"/>
      <c r="H988" s="945"/>
      <c r="I988" s="945"/>
      <c r="J988" s="945"/>
      <c r="K988" s="945"/>
      <c r="L988" s="945"/>
      <c r="M988" s="945"/>
      <c r="N988" s="899"/>
      <c r="O988" s="899"/>
      <c r="P988" s="899"/>
      <c r="Q988" s="899"/>
      <c r="R988" s="899"/>
      <c r="S988" s="899"/>
      <c r="T988" s="899"/>
      <c r="U988" s="899"/>
      <c r="V988" s="899"/>
      <c r="W988" s="899"/>
      <c r="X988" s="899"/>
      <c r="Y988" s="899"/>
      <c r="Z988" s="899"/>
      <c r="AA988" s="899"/>
      <c r="AB988" s="899"/>
      <c r="AC988" s="899"/>
      <c r="AD988" s="899"/>
      <c r="AE988" s="899"/>
    </row>
    <row r="989">
      <c r="A989" s="944"/>
      <c r="B989" s="945"/>
      <c r="C989" s="945"/>
      <c r="D989" s="945"/>
      <c r="E989" s="945"/>
      <c r="F989" s="945"/>
      <c r="G989" s="945"/>
      <c r="H989" s="945"/>
      <c r="I989" s="945"/>
      <c r="J989" s="945"/>
      <c r="K989" s="945"/>
      <c r="L989" s="945"/>
      <c r="M989" s="945"/>
      <c r="N989" s="899"/>
      <c r="O989" s="899"/>
      <c r="P989" s="899"/>
      <c r="Q989" s="899"/>
      <c r="R989" s="899"/>
      <c r="S989" s="899"/>
      <c r="T989" s="899"/>
      <c r="U989" s="899"/>
      <c r="V989" s="899"/>
      <c r="W989" s="899"/>
      <c r="X989" s="899"/>
      <c r="Y989" s="899"/>
      <c r="Z989" s="899"/>
      <c r="AA989" s="899"/>
      <c r="AB989" s="899"/>
      <c r="AC989" s="899"/>
      <c r="AD989" s="899"/>
      <c r="AE989" s="899"/>
    </row>
    <row r="990">
      <c r="A990" s="944"/>
      <c r="B990" s="945"/>
      <c r="C990" s="945"/>
      <c r="D990" s="945"/>
      <c r="E990" s="945"/>
      <c r="F990" s="945"/>
      <c r="G990" s="945"/>
      <c r="H990" s="945"/>
      <c r="I990" s="945"/>
      <c r="J990" s="945"/>
      <c r="K990" s="945"/>
      <c r="L990" s="945"/>
      <c r="M990" s="945"/>
      <c r="N990" s="899"/>
      <c r="O990" s="899"/>
      <c r="P990" s="899"/>
      <c r="Q990" s="899"/>
      <c r="R990" s="899"/>
      <c r="S990" s="899"/>
      <c r="T990" s="899"/>
      <c r="U990" s="899"/>
      <c r="V990" s="899"/>
      <c r="W990" s="899"/>
      <c r="X990" s="899"/>
      <c r="Y990" s="899"/>
      <c r="Z990" s="899"/>
      <c r="AA990" s="899"/>
      <c r="AB990" s="899"/>
      <c r="AC990" s="899"/>
      <c r="AD990" s="899"/>
      <c r="AE990" s="899"/>
    </row>
    <row r="991">
      <c r="A991" s="944"/>
      <c r="B991" s="945"/>
      <c r="C991" s="945"/>
      <c r="D991" s="945"/>
      <c r="E991" s="945"/>
      <c r="F991" s="945"/>
      <c r="G991" s="945"/>
      <c r="H991" s="945"/>
      <c r="I991" s="945"/>
      <c r="J991" s="945"/>
      <c r="K991" s="945"/>
      <c r="L991" s="945"/>
      <c r="M991" s="945"/>
      <c r="N991" s="899"/>
      <c r="O991" s="899"/>
      <c r="P991" s="899"/>
      <c r="Q991" s="899"/>
      <c r="R991" s="899"/>
      <c r="S991" s="899"/>
      <c r="T991" s="899"/>
      <c r="U991" s="899"/>
      <c r="V991" s="899"/>
      <c r="W991" s="899"/>
      <c r="X991" s="899"/>
      <c r="Y991" s="899"/>
      <c r="Z991" s="899"/>
      <c r="AA991" s="899"/>
      <c r="AB991" s="899"/>
      <c r="AC991" s="899"/>
      <c r="AD991" s="899"/>
      <c r="AE991" s="899"/>
    </row>
    <row r="992">
      <c r="A992" s="944"/>
      <c r="B992" s="945"/>
      <c r="C992" s="945"/>
      <c r="D992" s="945"/>
      <c r="E992" s="945"/>
      <c r="F992" s="945"/>
      <c r="G992" s="945"/>
      <c r="H992" s="945"/>
      <c r="I992" s="945"/>
      <c r="J992" s="945"/>
      <c r="K992" s="945"/>
      <c r="L992" s="945"/>
      <c r="M992" s="945"/>
      <c r="N992" s="899"/>
      <c r="O992" s="899"/>
      <c r="P992" s="899"/>
      <c r="Q992" s="899"/>
      <c r="R992" s="899"/>
      <c r="S992" s="899"/>
      <c r="T992" s="899"/>
      <c r="U992" s="899"/>
      <c r="V992" s="899"/>
      <c r="W992" s="899"/>
      <c r="X992" s="899"/>
      <c r="Y992" s="899"/>
      <c r="Z992" s="899"/>
      <c r="AA992" s="899"/>
      <c r="AB992" s="899"/>
      <c r="AC992" s="899"/>
      <c r="AD992" s="899"/>
      <c r="AE992" s="899"/>
    </row>
    <row r="993">
      <c r="A993" s="944"/>
      <c r="B993" s="945"/>
      <c r="C993" s="945"/>
      <c r="D993" s="945"/>
      <c r="E993" s="945"/>
      <c r="F993" s="945"/>
      <c r="G993" s="945"/>
      <c r="H993" s="945"/>
      <c r="I993" s="945"/>
      <c r="J993" s="945"/>
      <c r="K993" s="945"/>
      <c r="L993" s="945"/>
      <c r="M993" s="945"/>
      <c r="N993" s="899"/>
      <c r="O993" s="899"/>
      <c r="P993" s="899"/>
      <c r="Q993" s="899"/>
      <c r="R993" s="899"/>
      <c r="S993" s="899"/>
      <c r="T993" s="899"/>
      <c r="U993" s="899"/>
      <c r="V993" s="899"/>
      <c r="W993" s="899"/>
      <c r="X993" s="899"/>
      <c r="Y993" s="899"/>
      <c r="Z993" s="899"/>
      <c r="AA993" s="899"/>
      <c r="AB993" s="899"/>
      <c r="AC993" s="899"/>
      <c r="AD993" s="899"/>
      <c r="AE993" s="899"/>
    </row>
    <row r="994">
      <c r="A994" s="944"/>
      <c r="B994" s="945"/>
      <c r="C994" s="945"/>
      <c r="D994" s="945"/>
      <c r="E994" s="945"/>
      <c r="F994" s="945"/>
      <c r="G994" s="945"/>
      <c r="H994" s="945"/>
      <c r="I994" s="945"/>
      <c r="J994" s="945"/>
      <c r="K994" s="945"/>
      <c r="L994" s="945"/>
      <c r="M994" s="945"/>
      <c r="N994" s="899"/>
      <c r="O994" s="899"/>
      <c r="P994" s="899"/>
      <c r="Q994" s="899"/>
      <c r="R994" s="899"/>
      <c r="S994" s="899"/>
      <c r="T994" s="899"/>
      <c r="U994" s="899"/>
      <c r="V994" s="899"/>
      <c r="W994" s="899"/>
      <c r="X994" s="899"/>
      <c r="Y994" s="899"/>
      <c r="Z994" s="899"/>
      <c r="AA994" s="899"/>
      <c r="AB994" s="899"/>
      <c r="AC994" s="899"/>
      <c r="AD994" s="899"/>
      <c r="AE994" s="899"/>
    </row>
    <row r="995">
      <c r="A995" s="944"/>
      <c r="B995" s="945"/>
      <c r="C995" s="945"/>
      <c r="D995" s="945"/>
      <c r="E995" s="945"/>
      <c r="F995" s="945"/>
      <c r="G995" s="945"/>
      <c r="H995" s="945"/>
      <c r="I995" s="945"/>
      <c r="J995" s="945"/>
      <c r="K995" s="945"/>
      <c r="L995" s="945"/>
      <c r="M995" s="945"/>
      <c r="N995" s="899"/>
      <c r="O995" s="899"/>
      <c r="P995" s="899"/>
      <c r="Q995" s="899"/>
      <c r="R995" s="899"/>
      <c r="S995" s="899"/>
      <c r="T995" s="899"/>
      <c r="U995" s="899"/>
      <c r="V995" s="899"/>
      <c r="W995" s="899"/>
      <c r="X995" s="899"/>
      <c r="Y995" s="899"/>
      <c r="Z995" s="899"/>
      <c r="AA995" s="899"/>
      <c r="AB995" s="899"/>
      <c r="AC995" s="899"/>
      <c r="AD995" s="899"/>
      <c r="AE995" s="899"/>
    </row>
    <row r="996">
      <c r="A996" s="944"/>
      <c r="B996" s="945"/>
      <c r="C996" s="945"/>
      <c r="D996" s="945"/>
      <c r="E996" s="945"/>
      <c r="F996" s="945"/>
      <c r="G996" s="945"/>
      <c r="H996" s="945"/>
      <c r="I996" s="945"/>
      <c r="J996" s="945"/>
      <c r="K996" s="945"/>
      <c r="L996" s="945"/>
      <c r="M996" s="945"/>
      <c r="N996" s="899"/>
      <c r="O996" s="899"/>
      <c r="P996" s="899"/>
      <c r="Q996" s="899"/>
      <c r="R996" s="899"/>
      <c r="S996" s="899"/>
      <c r="T996" s="899"/>
      <c r="U996" s="899"/>
      <c r="V996" s="899"/>
      <c r="W996" s="899"/>
      <c r="X996" s="899"/>
      <c r="Y996" s="899"/>
      <c r="Z996" s="899"/>
      <c r="AA996" s="899"/>
      <c r="AB996" s="899"/>
      <c r="AC996" s="899"/>
      <c r="AD996" s="899"/>
      <c r="AE996" s="899"/>
    </row>
    <row r="997">
      <c r="A997" s="944"/>
      <c r="B997" s="945"/>
      <c r="C997" s="945"/>
      <c r="D997" s="945"/>
      <c r="E997" s="945"/>
      <c r="F997" s="945"/>
      <c r="G997" s="945"/>
      <c r="H997" s="945"/>
      <c r="I997" s="945"/>
      <c r="J997" s="945"/>
      <c r="K997" s="945"/>
      <c r="L997" s="945"/>
      <c r="M997" s="945"/>
      <c r="N997" s="899"/>
      <c r="O997" s="899"/>
      <c r="P997" s="899"/>
      <c r="Q997" s="899"/>
      <c r="R997" s="899"/>
      <c r="S997" s="899"/>
      <c r="T997" s="899"/>
      <c r="U997" s="899"/>
      <c r="V997" s="899"/>
      <c r="W997" s="899"/>
      <c r="X997" s="899"/>
      <c r="Y997" s="899"/>
      <c r="Z997" s="899"/>
      <c r="AA997" s="899"/>
      <c r="AB997" s="899"/>
      <c r="AC997" s="899"/>
      <c r="AD997" s="899"/>
      <c r="AE997" s="899"/>
    </row>
    <row r="998">
      <c r="A998" s="944"/>
      <c r="B998" s="945"/>
      <c r="C998" s="945"/>
      <c r="D998" s="945"/>
      <c r="E998" s="945"/>
      <c r="F998" s="945"/>
      <c r="G998" s="945"/>
      <c r="H998" s="945"/>
      <c r="I998" s="945"/>
      <c r="J998" s="945"/>
      <c r="K998" s="945"/>
      <c r="L998" s="945"/>
      <c r="M998" s="945"/>
      <c r="N998" s="899"/>
      <c r="O998" s="899"/>
      <c r="P998" s="899"/>
      <c r="Q998" s="899"/>
      <c r="R998" s="899"/>
      <c r="S998" s="899"/>
      <c r="T998" s="899"/>
      <c r="U998" s="899"/>
      <c r="V998" s="899"/>
      <c r="W998" s="899"/>
      <c r="X998" s="899"/>
      <c r="Y998" s="899"/>
      <c r="Z998" s="899"/>
      <c r="AA998" s="899"/>
      <c r="AB998" s="899"/>
      <c r="AC998" s="899"/>
      <c r="AD998" s="899"/>
      <c r="AE998" s="899"/>
    </row>
    <row r="999">
      <c r="A999" s="944"/>
      <c r="B999" s="945"/>
      <c r="C999" s="945"/>
      <c r="D999" s="945"/>
      <c r="E999" s="945"/>
      <c r="F999" s="945"/>
      <c r="G999" s="945"/>
      <c r="H999" s="945"/>
      <c r="I999" s="945"/>
      <c r="J999" s="945"/>
      <c r="K999" s="945"/>
      <c r="L999" s="945"/>
      <c r="M999" s="945"/>
      <c r="N999" s="899"/>
      <c r="O999" s="899"/>
      <c r="P999" s="899"/>
      <c r="Q999" s="899"/>
      <c r="R999" s="899"/>
      <c r="S999" s="899"/>
      <c r="T999" s="899"/>
      <c r="U999" s="899"/>
      <c r="V999" s="899"/>
      <c r="W999" s="899"/>
      <c r="X999" s="899"/>
      <c r="Y999" s="899"/>
      <c r="Z999" s="899"/>
      <c r="AA999" s="899"/>
      <c r="AB999" s="899"/>
      <c r="AC999" s="899"/>
      <c r="AD999" s="899"/>
      <c r="AE999" s="899"/>
    </row>
    <row r="1000">
      <c r="A1000" s="944"/>
      <c r="B1000" s="945"/>
      <c r="C1000" s="945"/>
      <c r="D1000" s="945"/>
      <c r="E1000" s="945"/>
      <c r="F1000" s="945"/>
      <c r="G1000" s="945"/>
      <c r="H1000" s="945"/>
      <c r="I1000" s="945"/>
      <c r="J1000" s="945"/>
      <c r="K1000" s="945"/>
      <c r="L1000" s="945"/>
      <c r="M1000" s="945"/>
      <c r="N1000" s="899"/>
      <c r="O1000" s="899"/>
      <c r="P1000" s="899"/>
      <c r="Q1000" s="899"/>
      <c r="R1000" s="899"/>
      <c r="S1000" s="899"/>
      <c r="T1000" s="899"/>
      <c r="U1000" s="899"/>
      <c r="V1000" s="899"/>
      <c r="W1000" s="899"/>
      <c r="X1000" s="899"/>
      <c r="Y1000" s="899"/>
      <c r="Z1000" s="899"/>
      <c r="AA1000" s="899"/>
      <c r="AB1000" s="899"/>
      <c r="AC1000" s="899"/>
      <c r="AD1000" s="899"/>
      <c r="AE1000" s="899"/>
    </row>
    <row r="1001">
      <c r="A1001" s="944"/>
      <c r="B1001" s="945"/>
      <c r="C1001" s="945"/>
      <c r="D1001" s="945"/>
      <c r="E1001" s="945"/>
      <c r="F1001" s="945"/>
      <c r="G1001" s="945"/>
      <c r="H1001" s="945"/>
      <c r="I1001" s="945"/>
      <c r="J1001" s="945"/>
      <c r="K1001" s="945"/>
      <c r="L1001" s="945"/>
      <c r="M1001" s="945"/>
      <c r="N1001" s="899"/>
      <c r="O1001" s="899"/>
      <c r="P1001" s="899"/>
      <c r="Q1001" s="899"/>
      <c r="R1001" s="899"/>
      <c r="S1001" s="899"/>
      <c r="T1001" s="899"/>
      <c r="U1001" s="899"/>
      <c r="V1001" s="899"/>
      <c r="W1001" s="899"/>
      <c r="X1001" s="899"/>
      <c r="Y1001" s="899"/>
      <c r="Z1001" s="899"/>
      <c r="AA1001" s="899"/>
      <c r="AB1001" s="899"/>
      <c r="AC1001" s="899"/>
      <c r="AD1001" s="899"/>
      <c r="AE1001" s="899"/>
    </row>
    <row r="1002">
      <c r="A1002" s="944"/>
      <c r="B1002" s="945"/>
      <c r="C1002" s="945"/>
      <c r="D1002" s="945"/>
      <c r="E1002" s="945"/>
      <c r="F1002" s="945"/>
      <c r="G1002" s="945"/>
      <c r="H1002" s="945"/>
      <c r="I1002" s="945"/>
      <c r="J1002" s="945"/>
      <c r="K1002" s="945"/>
      <c r="L1002" s="945"/>
      <c r="M1002" s="945"/>
      <c r="N1002" s="899"/>
      <c r="O1002" s="899"/>
      <c r="P1002" s="899"/>
      <c r="Q1002" s="899"/>
      <c r="R1002" s="899"/>
      <c r="S1002" s="899"/>
      <c r="T1002" s="899"/>
      <c r="U1002" s="899"/>
      <c r="V1002" s="899"/>
      <c r="W1002" s="899"/>
      <c r="X1002" s="899"/>
      <c r="Y1002" s="899"/>
      <c r="Z1002" s="899"/>
      <c r="AA1002" s="899"/>
      <c r="AB1002" s="899"/>
      <c r="AC1002" s="899"/>
      <c r="AD1002" s="899"/>
      <c r="AE1002" s="899"/>
    </row>
    <row r="1003">
      <c r="A1003" s="944"/>
      <c r="B1003" s="945"/>
      <c r="C1003" s="945"/>
      <c r="D1003" s="945"/>
      <c r="E1003" s="945"/>
      <c r="F1003" s="945"/>
      <c r="G1003" s="945"/>
      <c r="H1003" s="945"/>
      <c r="I1003" s="945"/>
      <c r="J1003" s="945"/>
      <c r="K1003" s="945"/>
      <c r="L1003" s="945"/>
      <c r="M1003" s="945"/>
      <c r="N1003" s="899"/>
      <c r="O1003" s="899"/>
      <c r="P1003" s="899"/>
      <c r="Q1003" s="899"/>
      <c r="R1003" s="899"/>
      <c r="S1003" s="899"/>
      <c r="T1003" s="899"/>
      <c r="U1003" s="899"/>
      <c r="V1003" s="899"/>
      <c r="W1003" s="899"/>
      <c r="X1003" s="899"/>
      <c r="Y1003" s="899"/>
      <c r="Z1003" s="899"/>
      <c r="AA1003" s="899"/>
      <c r="AB1003" s="899"/>
      <c r="AC1003" s="899"/>
      <c r="AD1003" s="899"/>
      <c r="AE1003" s="899"/>
    </row>
    <row r="1004">
      <c r="A1004" s="944"/>
      <c r="B1004" s="945"/>
      <c r="C1004" s="945"/>
      <c r="D1004" s="945"/>
      <c r="E1004" s="945"/>
      <c r="F1004" s="945"/>
      <c r="G1004" s="945"/>
      <c r="H1004" s="945"/>
      <c r="I1004" s="945"/>
      <c r="J1004" s="945"/>
      <c r="K1004" s="945"/>
      <c r="L1004" s="945"/>
      <c r="M1004" s="945"/>
      <c r="N1004" s="899"/>
      <c r="O1004" s="899"/>
      <c r="P1004" s="899"/>
      <c r="Q1004" s="899"/>
      <c r="R1004" s="899"/>
      <c r="S1004" s="899"/>
      <c r="T1004" s="899"/>
      <c r="U1004" s="899"/>
      <c r="V1004" s="899"/>
      <c r="W1004" s="899"/>
      <c r="X1004" s="899"/>
      <c r="Y1004" s="899"/>
      <c r="Z1004" s="899"/>
      <c r="AA1004" s="899"/>
      <c r="AB1004" s="899"/>
      <c r="AC1004" s="899"/>
      <c r="AD1004" s="899"/>
      <c r="AE1004" s="899"/>
    </row>
    <row r="1005">
      <c r="A1005" s="944"/>
      <c r="B1005" s="945"/>
      <c r="C1005" s="945"/>
      <c r="D1005" s="945"/>
      <c r="E1005" s="945"/>
      <c r="F1005" s="945"/>
      <c r="G1005" s="945"/>
      <c r="H1005" s="945"/>
      <c r="I1005" s="945"/>
      <c r="J1005" s="945"/>
      <c r="K1005" s="945"/>
      <c r="L1005" s="945"/>
      <c r="M1005" s="945"/>
      <c r="N1005" s="899"/>
      <c r="O1005" s="899"/>
      <c r="P1005" s="899"/>
      <c r="Q1005" s="899"/>
      <c r="R1005" s="899"/>
      <c r="S1005" s="899"/>
      <c r="T1005" s="899"/>
      <c r="U1005" s="899"/>
      <c r="V1005" s="899"/>
      <c r="W1005" s="899"/>
      <c r="X1005" s="899"/>
      <c r="Y1005" s="899"/>
      <c r="Z1005" s="899"/>
      <c r="AA1005" s="899"/>
      <c r="AB1005" s="899"/>
      <c r="AC1005" s="899"/>
      <c r="AD1005" s="899"/>
      <c r="AE1005" s="899"/>
    </row>
    <row r="1006">
      <c r="A1006" s="944"/>
      <c r="B1006" s="945"/>
      <c r="C1006" s="945"/>
      <c r="D1006" s="945"/>
      <c r="E1006" s="945"/>
      <c r="F1006" s="945"/>
      <c r="G1006" s="945"/>
      <c r="H1006" s="945"/>
      <c r="I1006" s="945"/>
      <c r="J1006" s="945"/>
      <c r="K1006" s="945"/>
      <c r="L1006" s="945"/>
      <c r="M1006" s="945"/>
      <c r="N1006" s="899"/>
      <c r="O1006" s="899"/>
      <c r="P1006" s="899"/>
      <c r="Q1006" s="899"/>
      <c r="R1006" s="899"/>
      <c r="S1006" s="899"/>
      <c r="T1006" s="899"/>
      <c r="U1006" s="899"/>
      <c r="V1006" s="899"/>
      <c r="W1006" s="899"/>
      <c r="X1006" s="899"/>
      <c r="Y1006" s="899"/>
      <c r="Z1006" s="899"/>
      <c r="AA1006" s="899"/>
      <c r="AB1006" s="899"/>
      <c r="AC1006" s="899"/>
      <c r="AD1006" s="899"/>
      <c r="AE1006" s="899"/>
    </row>
    <row r="1007">
      <c r="A1007" s="944"/>
      <c r="B1007" s="945"/>
      <c r="C1007" s="945"/>
      <c r="D1007" s="945"/>
      <c r="E1007" s="945"/>
      <c r="F1007" s="945"/>
      <c r="G1007" s="945"/>
      <c r="H1007" s="945"/>
      <c r="I1007" s="945"/>
      <c r="J1007" s="945"/>
      <c r="K1007" s="945"/>
      <c r="L1007" s="945"/>
      <c r="M1007" s="945"/>
      <c r="N1007" s="899"/>
      <c r="O1007" s="899"/>
      <c r="P1007" s="899"/>
      <c r="Q1007" s="899"/>
      <c r="R1007" s="899"/>
      <c r="S1007" s="899"/>
      <c r="T1007" s="899"/>
      <c r="U1007" s="899"/>
      <c r="V1007" s="899"/>
      <c r="W1007" s="899"/>
      <c r="X1007" s="899"/>
      <c r="Y1007" s="899"/>
      <c r="Z1007" s="899"/>
      <c r="AA1007" s="899"/>
      <c r="AB1007" s="899"/>
      <c r="AC1007" s="899"/>
      <c r="AD1007" s="899"/>
      <c r="AE1007" s="899"/>
    </row>
    <row r="1008">
      <c r="A1008" s="944"/>
      <c r="B1008" s="945"/>
      <c r="C1008" s="945"/>
      <c r="D1008" s="945"/>
      <c r="E1008" s="945"/>
      <c r="F1008" s="945"/>
      <c r="G1008" s="945"/>
      <c r="H1008" s="945"/>
      <c r="I1008" s="945"/>
      <c r="J1008" s="945"/>
      <c r="K1008" s="945"/>
      <c r="L1008" s="945"/>
      <c r="M1008" s="945"/>
      <c r="N1008" s="899"/>
      <c r="O1008" s="899"/>
      <c r="P1008" s="899"/>
      <c r="Q1008" s="899"/>
      <c r="R1008" s="899"/>
      <c r="S1008" s="899"/>
      <c r="T1008" s="899"/>
      <c r="U1008" s="899"/>
      <c r="V1008" s="899"/>
      <c r="W1008" s="899"/>
      <c r="X1008" s="899"/>
      <c r="Y1008" s="899"/>
      <c r="Z1008" s="899"/>
      <c r="AA1008" s="899"/>
      <c r="AB1008" s="899"/>
      <c r="AC1008" s="899"/>
      <c r="AD1008" s="899"/>
      <c r="AE1008" s="899"/>
    </row>
    <row r="1009">
      <c r="A1009" s="944"/>
      <c r="B1009" s="945"/>
      <c r="C1009" s="945"/>
      <c r="D1009" s="945"/>
      <c r="E1009" s="945"/>
      <c r="F1009" s="945"/>
      <c r="G1009" s="945"/>
      <c r="H1009" s="945"/>
      <c r="I1009" s="945"/>
      <c r="J1009" s="945"/>
      <c r="K1009" s="945"/>
      <c r="L1009" s="945"/>
      <c r="M1009" s="945"/>
      <c r="N1009" s="899"/>
      <c r="O1009" s="899"/>
      <c r="P1009" s="899"/>
      <c r="Q1009" s="899"/>
      <c r="R1009" s="899"/>
      <c r="S1009" s="899"/>
      <c r="T1009" s="899"/>
      <c r="U1009" s="899"/>
      <c r="V1009" s="899"/>
      <c r="W1009" s="899"/>
      <c r="X1009" s="899"/>
      <c r="Y1009" s="899"/>
      <c r="Z1009" s="899"/>
      <c r="AA1009" s="899"/>
      <c r="AB1009" s="899"/>
      <c r="AC1009" s="899"/>
      <c r="AD1009" s="899"/>
      <c r="AE1009" s="899"/>
    </row>
    <row r="1010">
      <c r="A1010" s="944"/>
      <c r="B1010" s="945"/>
      <c r="C1010" s="945"/>
      <c r="D1010" s="945"/>
      <c r="E1010" s="945"/>
      <c r="F1010" s="945"/>
      <c r="G1010" s="945"/>
      <c r="H1010" s="945"/>
      <c r="I1010" s="945"/>
      <c r="J1010" s="945"/>
      <c r="K1010" s="945"/>
      <c r="L1010" s="945"/>
      <c r="M1010" s="945"/>
      <c r="N1010" s="899"/>
      <c r="O1010" s="899"/>
      <c r="P1010" s="899"/>
      <c r="Q1010" s="899"/>
      <c r="R1010" s="899"/>
      <c r="S1010" s="899"/>
      <c r="T1010" s="899"/>
      <c r="U1010" s="899"/>
      <c r="V1010" s="899"/>
      <c r="W1010" s="899"/>
      <c r="X1010" s="899"/>
      <c r="Y1010" s="899"/>
      <c r="Z1010" s="899"/>
      <c r="AA1010" s="899"/>
      <c r="AB1010" s="899"/>
      <c r="AC1010" s="899"/>
      <c r="AD1010" s="899"/>
      <c r="AE1010" s="899"/>
    </row>
    <row r="1011">
      <c r="A1011" s="944"/>
      <c r="B1011" s="945"/>
      <c r="C1011" s="945"/>
      <c r="D1011" s="945"/>
      <c r="E1011" s="945"/>
      <c r="F1011" s="945"/>
      <c r="G1011" s="945"/>
      <c r="H1011" s="945"/>
      <c r="I1011" s="945"/>
      <c r="J1011" s="945"/>
      <c r="K1011" s="945"/>
      <c r="L1011" s="945"/>
      <c r="M1011" s="945"/>
      <c r="N1011" s="899"/>
      <c r="O1011" s="899"/>
      <c r="P1011" s="899"/>
      <c r="Q1011" s="899"/>
      <c r="R1011" s="899"/>
      <c r="S1011" s="899"/>
      <c r="T1011" s="899"/>
      <c r="U1011" s="899"/>
      <c r="V1011" s="899"/>
      <c r="W1011" s="899"/>
      <c r="X1011" s="899"/>
      <c r="Y1011" s="899"/>
      <c r="Z1011" s="899"/>
      <c r="AA1011" s="899"/>
      <c r="AB1011" s="899"/>
      <c r="AC1011" s="899"/>
      <c r="AD1011" s="899"/>
      <c r="AE1011" s="899"/>
    </row>
    <row r="1012">
      <c r="A1012" s="944"/>
      <c r="B1012" s="945"/>
      <c r="C1012" s="945"/>
      <c r="D1012" s="945"/>
      <c r="E1012" s="945"/>
      <c r="F1012" s="945"/>
      <c r="G1012" s="945"/>
      <c r="H1012" s="945"/>
      <c r="I1012" s="945"/>
      <c r="J1012" s="945"/>
      <c r="K1012" s="945"/>
      <c r="L1012" s="945"/>
      <c r="M1012" s="945"/>
      <c r="N1012" s="899"/>
      <c r="O1012" s="899"/>
      <c r="P1012" s="899"/>
      <c r="Q1012" s="899"/>
      <c r="R1012" s="899"/>
      <c r="S1012" s="899"/>
      <c r="T1012" s="899"/>
      <c r="U1012" s="899"/>
      <c r="V1012" s="899"/>
      <c r="W1012" s="899"/>
      <c r="X1012" s="899"/>
      <c r="Y1012" s="899"/>
      <c r="Z1012" s="899"/>
      <c r="AA1012" s="899"/>
      <c r="AB1012" s="899"/>
      <c r="AC1012" s="899"/>
      <c r="AD1012" s="899"/>
      <c r="AE1012" s="899"/>
    </row>
    <row r="1013">
      <c r="A1013" s="944"/>
      <c r="B1013" s="945"/>
      <c r="C1013" s="945"/>
      <c r="D1013" s="945"/>
      <c r="E1013" s="945"/>
      <c r="F1013" s="945"/>
      <c r="G1013" s="945"/>
      <c r="H1013" s="945"/>
      <c r="I1013" s="945"/>
      <c r="J1013" s="945"/>
      <c r="K1013" s="945"/>
      <c r="L1013" s="945"/>
      <c r="M1013" s="945"/>
      <c r="N1013" s="899"/>
      <c r="O1013" s="899"/>
      <c r="P1013" s="899"/>
      <c r="Q1013" s="899"/>
      <c r="R1013" s="899"/>
      <c r="S1013" s="899"/>
      <c r="T1013" s="899"/>
      <c r="U1013" s="899"/>
      <c r="V1013" s="899"/>
      <c r="W1013" s="899"/>
      <c r="X1013" s="899"/>
      <c r="Y1013" s="899"/>
      <c r="Z1013" s="899"/>
      <c r="AA1013" s="899"/>
      <c r="AB1013" s="899"/>
      <c r="AC1013" s="899"/>
      <c r="AD1013" s="899"/>
      <c r="AE1013" s="899"/>
    </row>
    <row r="1014">
      <c r="A1014" s="944"/>
      <c r="B1014" s="945"/>
      <c r="C1014" s="945"/>
      <c r="D1014" s="945"/>
      <c r="E1014" s="945"/>
      <c r="F1014" s="945"/>
      <c r="G1014" s="945"/>
      <c r="H1014" s="945"/>
      <c r="I1014" s="945"/>
      <c r="J1014" s="945"/>
      <c r="K1014" s="945"/>
      <c r="L1014" s="945"/>
      <c r="M1014" s="945"/>
      <c r="N1014" s="899"/>
      <c r="O1014" s="899"/>
      <c r="P1014" s="899"/>
      <c r="Q1014" s="899"/>
      <c r="R1014" s="899"/>
      <c r="S1014" s="899"/>
      <c r="T1014" s="899"/>
      <c r="U1014" s="899"/>
      <c r="V1014" s="899"/>
      <c r="W1014" s="899"/>
      <c r="X1014" s="899"/>
      <c r="Y1014" s="899"/>
      <c r="Z1014" s="899"/>
      <c r="AA1014" s="899"/>
      <c r="AB1014" s="899"/>
      <c r="AC1014" s="899"/>
      <c r="AD1014" s="899"/>
      <c r="AE1014" s="899"/>
    </row>
    <row r="1015">
      <c r="A1015" s="944"/>
      <c r="B1015" s="945"/>
      <c r="C1015" s="945"/>
      <c r="D1015" s="945"/>
      <c r="E1015" s="945"/>
      <c r="F1015" s="945"/>
      <c r="G1015" s="945"/>
      <c r="H1015" s="945"/>
      <c r="I1015" s="945"/>
      <c r="J1015" s="945"/>
      <c r="K1015" s="945"/>
      <c r="L1015" s="945"/>
      <c r="M1015" s="945"/>
      <c r="N1015" s="899"/>
      <c r="O1015" s="899"/>
      <c r="P1015" s="899"/>
      <c r="Q1015" s="899"/>
      <c r="R1015" s="899"/>
      <c r="S1015" s="899"/>
      <c r="T1015" s="899"/>
      <c r="U1015" s="899"/>
      <c r="V1015" s="899"/>
      <c r="W1015" s="899"/>
      <c r="X1015" s="899"/>
      <c r="Y1015" s="899"/>
      <c r="Z1015" s="899"/>
      <c r="AA1015" s="899"/>
      <c r="AB1015" s="899"/>
      <c r="AC1015" s="899"/>
      <c r="AD1015" s="899"/>
      <c r="AE1015" s="899"/>
    </row>
    <row r="1016">
      <c r="A1016" s="944"/>
      <c r="B1016" s="945"/>
      <c r="C1016" s="945"/>
      <c r="D1016" s="945"/>
      <c r="E1016" s="945"/>
      <c r="F1016" s="945"/>
      <c r="G1016" s="945"/>
      <c r="H1016" s="945"/>
      <c r="I1016" s="945"/>
      <c r="J1016" s="945"/>
      <c r="K1016" s="945"/>
      <c r="L1016" s="945"/>
      <c r="M1016" s="945"/>
      <c r="N1016" s="899"/>
      <c r="O1016" s="899"/>
      <c r="P1016" s="899"/>
      <c r="Q1016" s="899"/>
      <c r="R1016" s="899"/>
      <c r="S1016" s="899"/>
      <c r="T1016" s="899"/>
      <c r="U1016" s="899"/>
      <c r="V1016" s="899"/>
      <c r="W1016" s="899"/>
      <c r="X1016" s="899"/>
      <c r="Y1016" s="899"/>
      <c r="Z1016" s="899"/>
      <c r="AA1016" s="899"/>
      <c r="AB1016" s="899"/>
      <c r="AC1016" s="899"/>
      <c r="AD1016" s="899"/>
      <c r="AE1016" s="899"/>
    </row>
    <row r="1017">
      <c r="A1017" s="944"/>
      <c r="B1017" s="945"/>
      <c r="C1017" s="945"/>
      <c r="D1017" s="945"/>
      <c r="E1017" s="945"/>
      <c r="F1017" s="945"/>
      <c r="G1017" s="945"/>
      <c r="H1017" s="945"/>
      <c r="I1017" s="945"/>
      <c r="J1017" s="945"/>
      <c r="K1017" s="945"/>
      <c r="L1017" s="945"/>
      <c r="M1017" s="945"/>
      <c r="N1017" s="899"/>
      <c r="O1017" s="899"/>
      <c r="P1017" s="899"/>
      <c r="Q1017" s="899"/>
      <c r="R1017" s="899"/>
      <c r="S1017" s="899"/>
      <c r="T1017" s="899"/>
      <c r="U1017" s="899"/>
      <c r="V1017" s="899"/>
      <c r="W1017" s="899"/>
      <c r="X1017" s="899"/>
      <c r="Y1017" s="899"/>
      <c r="Z1017" s="899"/>
      <c r="AA1017" s="899"/>
      <c r="AB1017" s="899"/>
      <c r="AC1017" s="899"/>
      <c r="AD1017" s="899"/>
      <c r="AE1017" s="899"/>
    </row>
    <row r="1018">
      <c r="A1018" s="944"/>
      <c r="B1018" s="945"/>
      <c r="C1018" s="945"/>
      <c r="D1018" s="945"/>
      <c r="E1018" s="945"/>
      <c r="F1018" s="945"/>
      <c r="G1018" s="945"/>
      <c r="H1018" s="945"/>
      <c r="I1018" s="945"/>
      <c r="J1018" s="945"/>
      <c r="K1018" s="945"/>
      <c r="L1018" s="945"/>
      <c r="M1018" s="945"/>
      <c r="N1018" s="899"/>
      <c r="O1018" s="899"/>
      <c r="P1018" s="899"/>
      <c r="Q1018" s="899"/>
      <c r="R1018" s="899"/>
      <c r="S1018" s="899"/>
      <c r="T1018" s="899"/>
      <c r="U1018" s="899"/>
      <c r="V1018" s="899"/>
      <c r="W1018" s="899"/>
      <c r="X1018" s="899"/>
      <c r="Y1018" s="899"/>
      <c r="Z1018" s="899"/>
      <c r="AA1018" s="899"/>
      <c r="AB1018" s="899"/>
      <c r="AC1018" s="899"/>
      <c r="AD1018" s="899"/>
      <c r="AE1018" s="899"/>
    </row>
    <row r="1019">
      <c r="A1019" s="944"/>
      <c r="B1019" s="945"/>
      <c r="C1019" s="945"/>
      <c r="D1019" s="945"/>
      <c r="E1019" s="945"/>
      <c r="F1019" s="945"/>
      <c r="G1019" s="945"/>
      <c r="H1019" s="945"/>
      <c r="I1019" s="945"/>
      <c r="J1019" s="945"/>
      <c r="K1019" s="945"/>
      <c r="L1019" s="945"/>
      <c r="M1019" s="945"/>
      <c r="N1019" s="899"/>
      <c r="O1019" s="899"/>
      <c r="P1019" s="899"/>
      <c r="Q1019" s="899"/>
      <c r="R1019" s="899"/>
      <c r="S1019" s="899"/>
      <c r="T1019" s="899"/>
      <c r="U1019" s="899"/>
      <c r="V1019" s="899"/>
      <c r="W1019" s="899"/>
      <c r="X1019" s="899"/>
      <c r="Y1019" s="899"/>
      <c r="Z1019" s="899"/>
      <c r="AA1019" s="899"/>
      <c r="AB1019" s="899"/>
      <c r="AC1019" s="899"/>
      <c r="AD1019" s="899"/>
      <c r="AE1019" s="899"/>
    </row>
    <row r="1020">
      <c r="A1020" s="944"/>
      <c r="B1020" s="945"/>
      <c r="C1020" s="945"/>
      <c r="D1020" s="945"/>
      <c r="E1020" s="945"/>
      <c r="F1020" s="945"/>
      <c r="G1020" s="945"/>
      <c r="H1020" s="945"/>
      <c r="I1020" s="945"/>
      <c r="J1020" s="945"/>
      <c r="K1020" s="945"/>
      <c r="L1020" s="945"/>
      <c r="M1020" s="945"/>
      <c r="N1020" s="899"/>
      <c r="O1020" s="899"/>
      <c r="P1020" s="899"/>
      <c r="Q1020" s="899"/>
      <c r="R1020" s="899"/>
      <c r="S1020" s="899"/>
      <c r="T1020" s="899"/>
      <c r="U1020" s="899"/>
      <c r="V1020" s="899"/>
      <c r="W1020" s="899"/>
      <c r="X1020" s="899"/>
      <c r="Y1020" s="899"/>
      <c r="Z1020" s="899"/>
      <c r="AA1020" s="899"/>
      <c r="AB1020" s="899"/>
      <c r="AC1020" s="899"/>
      <c r="AD1020" s="899"/>
      <c r="AE1020" s="899"/>
    </row>
    <row r="1021">
      <c r="A1021" s="944"/>
      <c r="B1021" s="945"/>
      <c r="C1021" s="945"/>
      <c r="D1021" s="945"/>
      <c r="E1021" s="945"/>
      <c r="F1021" s="945"/>
      <c r="G1021" s="945"/>
      <c r="H1021" s="945"/>
      <c r="I1021" s="945"/>
      <c r="J1021" s="945"/>
      <c r="K1021" s="945"/>
      <c r="L1021" s="945"/>
      <c r="M1021" s="945"/>
      <c r="N1021" s="899"/>
      <c r="O1021" s="899"/>
      <c r="P1021" s="899"/>
      <c r="Q1021" s="899"/>
      <c r="R1021" s="899"/>
      <c r="S1021" s="899"/>
      <c r="T1021" s="899"/>
      <c r="U1021" s="899"/>
      <c r="V1021" s="899"/>
      <c r="W1021" s="899"/>
      <c r="X1021" s="899"/>
      <c r="Y1021" s="899"/>
      <c r="Z1021" s="899"/>
      <c r="AA1021" s="899"/>
      <c r="AB1021" s="899"/>
      <c r="AC1021" s="899"/>
      <c r="AD1021" s="899"/>
      <c r="AE1021" s="899"/>
    </row>
    <row r="1022">
      <c r="A1022" s="944"/>
      <c r="B1022" s="945"/>
      <c r="C1022" s="945"/>
      <c r="D1022" s="945"/>
      <c r="E1022" s="945"/>
      <c r="F1022" s="945"/>
      <c r="G1022" s="945"/>
      <c r="H1022" s="945"/>
      <c r="I1022" s="945"/>
      <c r="J1022" s="945"/>
      <c r="K1022" s="945"/>
      <c r="L1022" s="945"/>
      <c r="M1022" s="945"/>
      <c r="N1022" s="899"/>
      <c r="O1022" s="899"/>
      <c r="P1022" s="899"/>
      <c r="Q1022" s="899"/>
      <c r="R1022" s="899"/>
      <c r="S1022" s="899"/>
      <c r="T1022" s="899"/>
      <c r="U1022" s="899"/>
      <c r="V1022" s="899"/>
      <c r="W1022" s="899"/>
      <c r="X1022" s="899"/>
      <c r="Y1022" s="899"/>
      <c r="Z1022" s="899"/>
      <c r="AA1022" s="899"/>
      <c r="AB1022" s="899"/>
      <c r="AC1022" s="899"/>
      <c r="AD1022" s="899"/>
      <c r="AE1022" s="899"/>
    </row>
    <row r="1023">
      <c r="A1023" s="944"/>
      <c r="B1023" s="945"/>
      <c r="C1023" s="945"/>
      <c r="D1023" s="945"/>
      <c r="E1023" s="945"/>
      <c r="F1023" s="945"/>
      <c r="G1023" s="945"/>
      <c r="H1023" s="945"/>
      <c r="I1023" s="945"/>
      <c r="J1023" s="945"/>
      <c r="K1023" s="945"/>
      <c r="L1023" s="945"/>
      <c r="M1023" s="945"/>
      <c r="N1023" s="899"/>
      <c r="O1023" s="899"/>
      <c r="P1023" s="899"/>
      <c r="Q1023" s="899"/>
      <c r="R1023" s="899"/>
      <c r="S1023" s="899"/>
      <c r="T1023" s="899"/>
      <c r="U1023" s="899"/>
      <c r="V1023" s="899"/>
      <c r="W1023" s="899"/>
      <c r="X1023" s="899"/>
      <c r="Y1023" s="899"/>
      <c r="Z1023" s="899"/>
      <c r="AA1023" s="899"/>
      <c r="AB1023" s="899"/>
      <c r="AC1023" s="899"/>
      <c r="AD1023" s="899"/>
      <c r="AE1023" s="899"/>
    </row>
    <row r="1024">
      <c r="A1024" s="944"/>
      <c r="B1024" s="945"/>
      <c r="C1024" s="945"/>
      <c r="D1024" s="945"/>
      <c r="E1024" s="945"/>
      <c r="F1024" s="945"/>
      <c r="G1024" s="945"/>
      <c r="H1024" s="945"/>
      <c r="I1024" s="945"/>
      <c r="J1024" s="945"/>
      <c r="K1024" s="945"/>
      <c r="L1024" s="945"/>
      <c r="M1024" s="945"/>
      <c r="N1024" s="899"/>
      <c r="O1024" s="899"/>
      <c r="P1024" s="899"/>
      <c r="Q1024" s="899"/>
      <c r="R1024" s="899"/>
      <c r="S1024" s="899"/>
      <c r="T1024" s="899"/>
      <c r="U1024" s="899"/>
      <c r="V1024" s="899"/>
      <c r="W1024" s="899"/>
      <c r="X1024" s="899"/>
      <c r="Y1024" s="899"/>
      <c r="Z1024" s="899"/>
      <c r="AA1024" s="899"/>
      <c r="AB1024" s="899"/>
      <c r="AC1024" s="899"/>
      <c r="AD1024" s="899"/>
      <c r="AE1024" s="899"/>
    </row>
    <row r="1025">
      <c r="A1025" s="944"/>
      <c r="B1025" s="945"/>
      <c r="C1025" s="945"/>
      <c r="D1025" s="945"/>
      <c r="E1025" s="945"/>
      <c r="F1025" s="945"/>
      <c r="G1025" s="945"/>
      <c r="H1025" s="945"/>
      <c r="I1025" s="945"/>
      <c r="J1025" s="945"/>
      <c r="K1025" s="945"/>
      <c r="L1025" s="945"/>
      <c r="M1025" s="945"/>
      <c r="N1025" s="899"/>
      <c r="O1025" s="899"/>
      <c r="P1025" s="899"/>
      <c r="Q1025" s="899"/>
      <c r="R1025" s="899"/>
      <c r="S1025" s="899"/>
      <c r="T1025" s="899"/>
      <c r="U1025" s="899"/>
      <c r="V1025" s="899"/>
      <c r="W1025" s="899"/>
      <c r="X1025" s="899"/>
      <c r="Y1025" s="899"/>
      <c r="Z1025" s="899"/>
      <c r="AA1025" s="899"/>
      <c r="AB1025" s="899"/>
      <c r="AC1025" s="899"/>
      <c r="AD1025" s="899"/>
      <c r="AE1025" s="899"/>
    </row>
    <row r="1026">
      <c r="A1026" s="944"/>
      <c r="B1026" s="945"/>
      <c r="C1026" s="945"/>
      <c r="D1026" s="945"/>
      <c r="E1026" s="945"/>
      <c r="F1026" s="945"/>
      <c r="G1026" s="945"/>
      <c r="H1026" s="945"/>
      <c r="I1026" s="945"/>
      <c r="J1026" s="945"/>
      <c r="K1026" s="945"/>
      <c r="L1026" s="945"/>
      <c r="M1026" s="945"/>
      <c r="N1026" s="899"/>
      <c r="O1026" s="899"/>
      <c r="P1026" s="899"/>
      <c r="Q1026" s="899"/>
      <c r="R1026" s="899"/>
      <c r="S1026" s="899"/>
      <c r="T1026" s="899"/>
      <c r="U1026" s="899"/>
      <c r="V1026" s="899"/>
      <c r="W1026" s="899"/>
      <c r="X1026" s="899"/>
      <c r="Y1026" s="899"/>
      <c r="Z1026" s="899"/>
      <c r="AA1026" s="899"/>
      <c r="AB1026" s="899"/>
      <c r="AC1026" s="899"/>
      <c r="AD1026" s="899"/>
      <c r="AE1026" s="899"/>
    </row>
    <row r="1027">
      <c r="A1027" s="944"/>
      <c r="B1027" s="945"/>
      <c r="C1027" s="945"/>
      <c r="D1027" s="945"/>
      <c r="E1027" s="945"/>
      <c r="F1027" s="945"/>
      <c r="G1027" s="945"/>
      <c r="H1027" s="945"/>
      <c r="I1027" s="945"/>
      <c r="J1027" s="945"/>
      <c r="K1027" s="945"/>
      <c r="L1027" s="945"/>
      <c r="M1027" s="945"/>
      <c r="N1027" s="899"/>
      <c r="O1027" s="899"/>
      <c r="P1027" s="899"/>
      <c r="Q1027" s="899"/>
      <c r="R1027" s="899"/>
      <c r="S1027" s="899"/>
      <c r="T1027" s="899"/>
      <c r="U1027" s="899"/>
      <c r="V1027" s="899"/>
      <c r="W1027" s="899"/>
      <c r="X1027" s="899"/>
      <c r="Y1027" s="899"/>
      <c r="Z1027" s="899"/>
      <c r="AA1027" s="899"/>
      <c r="AB1027" s="899"/>
      <c r="AC1027" s="899"/>
      <c r="AD1027" s="899"/>
      <c r="AE1027" s="899"/>
    </row>
    <row r="1028">
      <c r="A1028" s="944"/>
      <c r="B1028" s="945"/>
      <c r="C1028" s="945"/>
      <c r="D1028" s="945"/>
      <c r="E1028" s="945"/>
      <c r="F1028" s="945"/>
      <c r="G1028" s="945"/>
      <c r="H1028" s="945"/>
      <c r="I1028" s="945"/>
      <c r="J1028" s="945"/>
      <c r="K1028" s="945"/>
      <c r="L1028" s="945"/>
      <c r="M1028" s="945"/>
      <c r="N1028" s="899"/>
      <c r="O1028" s="899"/>
      <c r="P1028" s="899"/>
      <c r="Q1028" s="899"/>
      <c r="R1028" s="899"/>
      <c r="S1028" s="899"/>
      <c r="T1028" s="899"/>
      <c r="U1028" s="899"/>
      <c r="V1028" s="899"/>
      <c r="W1028" s="899"/>
      <c r="X1028" s="899"/>
      <c r="Y1028" s="899"/>
      <c r="Z1028" s="899"/>
      <c r="AA1028" s="899"/>
      <c r="AB1028" s="899"/>
      <c r="AC1028" s="899"/>
      <c r="AD1028" s="899"/>
      <c r="AE1028" s="899"/>
    </row>
    <row r="1029">
      <c r="A1029" s="944"/>
      <c r="B1029" s="945"/>
      <c r="C1029" s="945"/>
      <c r="D1029" s="945"/>
      <c r="E1029" s="945"/>
      <c r="F1029" s="945"/>
      <c r="G1029" s="945"/>
      <c r="H1029" s="945"/>
      <c r="I1029" s="945"/>
      <c r="J1029" s="945"/>
      <c r="K1029" s="945"/>
      <c r="L1029" s="945"/>
      <c r="M1029" s="945"/>
      <c r="N1029" s="899"/>
      <c r="O1029" s="899"/>
      <c r="P1029" s="899"/>
      <c r="Q1029" s="899"/>
      <c r="R1029" s="899"/>
      <c r="S1029" s="899"/>
      <c r="T1029" s="899"/>
      <c r="U1029" s="899"/>
      <c r="V1029" s="899"/>
      <c r="W1029" s="899"/>
      <c r="X1029" s="899"/>
      <c r="Y1029" s="899"/>
      <c r="Z1029" s="899"/>
      <c r="AA1029" s="899"/>
      <c r="AB1029" s="899"/>
      <c r="AC1029" s="899"/>
      <c r="AD1029" s="899"/>
      <c r="AE1029" s="899"/>
    </row>
    <row r="1030">
      <c r="A1030" s="944"/>
      <c r="B1030" s="945"/>
      <c r="C1030" s="945"/>
      <c r="D1030" s="945"/>
      <c r="E1030" s="945"/>
      <c r="F1030" s="945"/>
      <c r="G1030" s="945"/>
      <c r="H1030" s="945"/>
      <c r="I1030" s="945"/>
      <c r="J1030" s="945"/>
      <c r="K1030" s="945"/>
      <c r="L1030" s="945"/>
      <c r="M1030" s="945"/>
      <c r="N1030" s="899"/>
      <c r="O1030" s="899"/>
      <c r="P1030" s="899"/>
      <c r="Q1030" s="899"/>
      <c r="R1030" s="899"/>
      <c r="S1030" s="899"/>
      <c r="T1030" s="899"/>
      <c r="U1030" s="899"/>
      <c r="V1030" s="899"/>
      <c r="W1030" s="899"/>
      <c r="X1030" s="899"/>
      <c r="Y1030" s="899"/>
      <c r="Z1030" s="899"/>
      <c r="AA1030" s="899"/>
      <c r="AB1030" s="899"/>
      <c r="AC1030" s="899"/>
      <c r="AD1030" s="899"/>
      <c r="AE1030" s="899"/>
    </row>
    <row r="1031">
      <c r="A1031" s="944"/>
      <c r="B1031" s="945"/>
      <c r="C1031" s="945"/>
      <c r="D1031" s="945"/>
      <c r="E1031" s="945"/>
      <c r="F1031" s="945"/>
      <c r="G1031" s="945"/>
      <c r="H1031" s="945"/>
      <c r="I1031" s="945"/>
      <c r="J1031" s="945"/>
      <c r="K1031" s="945"/>
      <c r="L1031" s="945"/>
      <c r="M1031" s="945"/>
      <c r="N1031" s="899"/>
      <c r="O1031" s="899"/>
      <c r="P1031" s="899"/>
      <c r="Q1031" s="899"/>
      <c r="R1031" s="899"/>
      <c r="S1031" s="899"/>
      <c r="T1031" s="899"/>
      <c r="U1031" s="899"/>
      <c r="V1031" s="899"/>
      <c r="W1031" s="899"/>
      <c r="X1031" s="899"/>
      <c r="Y1031" s="899"/>
      <c r="Z1031" s="899"/>
      <c r="AA1031" s="899"/>
      <c r="AB1031" s="899"/>
      <c r="AC1031" s="899"/>
      <c r="AD1031" s="899"/>
      <c r="AE1031" s="899"/>
    </row>
    <row r="1032">
      <c r="A1032" s="944"/>
      <c r="B1032" s="945"/>
      <c r="C1032" s="945"/>
      <c r="D1032" s="945"/>
      <c r="E1032" s="945"/>
      <c r="F1032" s="945"/>
      <c r="G1032" s="945"/>
      <c r="H1032" s="945"/>
      <c r="I1032" s="945"/>
      <c r="J1032" s="945"/>
      <c r="K1032" s="945"/>
      <c r="L1032" s="945"/>
      <c r="M1032" s="945"/>
      <c r="N1032" s="899"/>
      <c r="O1032" s="899"/>
      <c r="P1032" s="899"/>
      <c r="Q1032" s="899"/>
      <c r="R1032" s="899"/>
      <c r="S1032" s="899"/>
      <c r="T1032" s="899"/>
      <c r="U1032" s="899"/>
      <c r="V1032" s="899"/>
      <c r="W1032" s="899"/>
      <c r="X1032" s="899"/>
      <c r="Y1032" s="899"/>
      <c r="Z1032" s="899"/>
      <c r="AA1032" s="899"/>
      <c r="AB1032" s="899"/>
      <c r="AC1032" s="899"/>
      <c r="AD1032" s="899"/>
      <c r="AE1032" s="899"/>
    </row>
    <row r="1033">
      <c r="A1033" s="944"/>
      <c r="B1033" s="945"/>
      <c r="C1033" s="945"/>
      <c r="D1033" s="945"/>
      <c r="E1033" s="945"/>
      <c r="F1033" s="945"/>
      <c r="G1033" s="945"/>
      <c r="H1033" s="945"/>
      <c r="I1033" s="945"/>
      <c r="J1033" s="945"/>
      <c r="K1033" s="945"/>
      <c r="L1033" s="945"/>
      <c r="M1033" s="945"/>
      <c r="N1033" s="899"/>
      <c r="O1033" s="899"/>
      <c r="P1033" s="899"/>
      <c r="Q1033" s="899"/>
      <c r="R1033" s="899"/>
      <c r="S1033" s="899"/>
      <c r="T1033" s="899"/>
      <c r="U1033" s="899"/>
      <c r="V1033" s="899"/>
      <c r="W1033" s="899"/>
      <c r="X1033" s="899"/>
      <c r="Y1033" s="899"/>
      <c r="Z1033" s="899"/>
      <c r="AA1033" s="899"/>
      <c r="AB1033" s="899"/>
      <c r="AC1033" s="899"/>
      <c r="AD1033" s="899"/>
      <c r="AE1033" s="899"/>
    </row>
    <row r="1034">
      <c r="A1034" s="944"/>
      <c r="B1034" s="945"/>
      <c r="C1034" s="945"/>
      <c r="D1034" s="945"/>
      <c r="E1034" s="945"/>
      <c r="F1034" s="945"/>
      <c r="G1034" s="945"/>
      <c r="H1034" s="945"/>
      <c r="I1034" s="945"/>
      <c r="J1034" s="945"/>
      <c r="K1034" s="945"/>
      <c r="L1034" s="945"/>
      <c r="M1034" s="945"/>
      <c r="N1034" s="899"/>
      <c r="O1034" s="899"/>
      <c r="P1034" s="899"/>
      <c r="Q1034" s="899"/>
      <c r="R1034" s="899"/>
      <c r="S1034" s="899"/>
      <c r="T1034" s="899"/>
      <c r="U1034" s="899"/>
      <c r="V1034" s="899"/>
      <c r="W1034" s="899"/>
      <c r="X1034" s="899"/>
      <c r="Y1034" s="899"/>
      <c r="Z1034" s="899"/>
      <c r="AA1034" s="899"/>
      <c r="AB1034" s="899"/>
      <c r="AC1034" s="899"/>
      <c r="AD1034" s="899"/>
      <c r="AE1034" s="899"/>
    </row>
    <row r="1035">
      <c r="A1035" s="944"/>
      <c r="B1035" s="945"/>
      <c r="C1035" s="945"/>
      <c r="D1035" s="945"/>
      <c r="E1035" s="945"/>
      <c r="F1035" s="945"/>
      <c r="G1035" s="945"/>
      <c r="H1035" s="945"/>
      <c r="I1035" s="945"/>
      <c r="J1035" s="945"/>
      <c r="K1035" s="945"/>
      <c r="L1035" s="945"/>
      <c r="M1035" s="945"/>
      <c r="N1035" s="899"/>
      <c r="O1035" s="899"/>
      <c r="P1035" s="899"/>
      <c r="Q1035" s="899"/>
      <c r="R1035" s="899"/>
      <c r="S1035" s="899"/>
      <c r="T1035" s="899"/>
      <c r="U1035" s="899"/>
      <c r="V1035" s="899"/>
      <c r="W1035" s="899"/>
      <c r="X1035" s="899"/>
      <c r="Y1035" s="899"/>
      <c r="Z1035" s="899"/>
      <c r="AA1035" s="899"/>
      <c r="AB1035" s="899"/>
      <c r="AC1035" s="899"/>
      <c r="AD1035" s="899"/>
      <c r="AE1035" s="899"/>
    </row>
    <row r="1036">
      <c r="A1036" s="944"/>
      <c r="B1036" s="945"/>
      <c r="C1036" s="945"/>
      <c r="D1036" s="945"/>
      <c r="E1036" s="945"/>
      <c r="F1036" s="945"/>
      <c r="G1036" s="945"/>
      <c r="H1036" s="945"/>
      <c r="I1036" s="945"/>
      <c r="J1036" s="945"/>
      <c r="K1036" s="945"/>
      <c r="L1036" s="945"/>
      <c r="M1036" s="945"/>
      <c r="N1036" s="899"/>
      <c r="O1036" s="899"/>
      <c r="P1036" s="899"/>
      <c r="Q1036" s="899"/>
      <c r="R1036" s="899"/>
      <c r="S1036" s="899"/>
      <c r="T1036" s="899"/>
      <c r="U1036" s="899"/>
      <c r="V1036" s="899"/>
      <c r="W1036" s="899"/>
      <c r="X1036" s="899"/>
      <c r="Y1036" s="899"/>
      <c r="Z1036" s="899"/>
      <c r="AA1036" s="899"/>
      <c r="AB1036" s="899"/>
      <c r="AC1036" s="899"/>
      <c r="AD1036" s="899"/>
      <c r="AE1036" s="899"/>
    </row>
    <row r="1037">
      <c r="A1037" s="944"/>
      <c r="B1037" s="945"/>
      <c r="C1037" s="945"/>
      <c r="D1037" s="945"/>
      <c r="E1037" s="945"/>
      <c r="F1037" s="945"/>
      <c r="G1037" s="945"/>
      <c r="H1037" s="945"/>
      <c r="I1037" s="945"/>
      <c r="J1037" s="945"/>
      <c r="K1037" s="945"/>
      <c r="L1037" s="945"/>
      <c r="M1037" s="945"/>
      <c r="N1037" s="899"/>
      <c r="O1037" s="899"/>
      <c r="P1037" s="899"/>
      <c r="Q1037" s="899"/>
      <c r="R1037" s="899"/>
      <c r="S1037" s="899"/>
      <c r="T1037" s="899"/>
      <c r="U1037" s="899"/>
      <c r="V1037" s="899"/>
      <c r="W1037" s="899"/>
      <c r="X1037" s="899"/>
      <c r="Y1037" s="899"/>
      <c r="Z1037" s="899"/>
      <c r="AA1037" s="899"/>
      <c r="AB1037" s="899"/>
      <c r="AC1037" s="899"/>
      <c r="AD1037" s="899"/>
      <c r="AE1037" s="899"/>
    </row>
    <row r="1038">
      <c r="A1038" s="944"/>
      <c r="B1038" s="945"/>
      <c r="C1038" s="945"/>
      <c r="D1038" s="945"/>
      <c r="E1038" s="945"/>
      <c r="F1038" s="945"/>
      <c r="G1038" s="945"/>
      <c r="H1038" s="945"/>
      <c r="I1038" s="945"/>
      <c r="J1038" s="945"/>
      <c r="K1038" s="945"/>
      <c r="L1038" s="945"/>
      <c r="M1038" s="945"/>
      <c r="N1038" s="899"/>
      <c r="O1038" s="899"/>
      <c r="P1038" s="899"/>
      <c r="Q1038" s="899"/>
      <c r="R1038" s="899"/>
      <c r="S1038" s="899"/>
      <c r="T1038" s="899"/>
      <c r="U1038" s="899"/>
      <c r="V1038" s="899"/>
      <c r="W1038" s="899"/>
      <c r="X1038" s="899"/>
      <c r="Y1038" s="899"/>
      <c r="Z1038" s="899"/>
      <c r="AA1038" s="899"/>
      <c r="AB1038" s="899"/>
      <c r="AC1038" s="899"/>
      <c r="AD1038" s="899"/>
      <c r="AE1038" s="899"/>
    </row>
    <row r="1039">
      <c r="A1039" s="944"/>
      <c r="B1039" s="945"/>
      <c r="C1039" s="945"/>
      <c r="D1039" s="945"/>
      <c r="E1039" s="945"/>
      <c r="F1039" s="945"/>
      <c r="G1039" s="945"/>
      <c r="H1039" s="945"/>
      <c r="I1039" s="945"/>
      <c r="J1039" s="945"/>
      <c r="K1039" s="945"/>
      <c r="L1039" s="945"/>
      <c r="M1039" s="945"/>
      <c r="N1039" s="899"/>
      <c r="O1039" s="899"/>
      <c r="P1039" s="899"/>
      <c r="Q1039" s="899"/>
      <c r="R1039" s="899"/>
      <c r="S1039" s="899"/>
      <c r="T1039" s="899"/>
      <c r="U1039" s="899"/>
      <c r="V1039" s="899"/>
      <c r="W1039" s="899"/>
      <c r="X1039" s="899"/>
      <c r="Y1039" s="899"/>
      <c r="Z1039" s="899"/>
      <c r="AA1039" s="899"/>
      <c r="AB1039" s="899"/>
      <c r="AC1039" s="899"/>
      <c r="AD1039" s="899"/>
      <c r="AE1039" s="899"/>
    </row>
    <row r="1040">
      <c r="A1040" s="944"/>
      <c r="B1040" s="945"/>
      <c r="C1040" s="945"/>
      <c r="D1040" s="945"/>
      <c r="E1040" s="945"/>
      <c r="F1040" s="945"/>
      <c r="G1040" s="945"/>
      <c r="H1040" s="945"/>
      <c r="I1040" s="945"/>
      <c r="J1040" s="945"/>
      <c r="K1040" s="945"/>
      <c r="L1040" s="945"/>
      <c r="M1040" s="945"/>
      <c r="N1040" s="899"/>
      <c r="O1040" s="899"/>
      <c r="P1040" s="899"/>
      <c r="Q1040" s="899"/>
      <c r="R1040" s="899"/>
      <c r="S1040" s="899"/>
      <c r="T1040" s="899"/>
      <c r="U1040" s="899"/>
      <c r="V1040" s="899"/>
      <c r="W1040" s="899"/>
      <c r="X1040" s="899"/>
      <c r="Y1040" s="899"/>
      <c r="Z1040" s="899"/>
      <c r="AA1040" s="899"/>
      <c r="AB1040" s="899"/>
      <c r="AC1040" s="899"/>
      <c r="AD1040" s="899"/>
      <c r="AE1040" s="899"/>
    </row>
    <row r="1041">
      <c r="A1041" s="944"/>
      <c r="B1041" s="945"/>
      <c r="C1041" s="945"/>
      <c r="D1041" s="945"/>
      <c r="E1041" s="945"/>
      <c r="F1041" s="945"/>
      <c r="G1041" s="945"/>
      <c r="H1041" s="945"/>
      <c r="I1041" s="945"/>
      <c r="J1041" s="945"/>
      <c r="K1041" s="945"/>
      <c r="L1041" s="945"/>
      <c r="M1041" s="945"/>
      <c r="N1041" s="899"/>
      <c r="O1041" s="899"/>
      <c r="P1041" s="899"/>
      <c r="Q1041" s="899"/>
      <c r="R1041" s="899"/>
      <c r="S1041" s="899"/>
      <c r="T1041" s="899"/>
      <c r="U1041" s="899"/>
      <c r="V1041" s="899"/>
      <c r="W1041" s="899"/>
      <c r="X1041" s="899"/>
      <c r="Y1041" s="899"/>
      <c r="Z1041" s="899"/>
      <c r="AA1041" s="899"/>
      <c r="AB1041" s="899"/>
      <c r="AC1041" s="899"/>
      <c r="AD1041" s="899"/>
      <c r="AE1041" s="899"/>
    </row>
    <row r="1042">
      <c r="A1042" s="944"/>
      <c r="B1042" s="945"/>
      <c r="C1042" s="945"/>
      <c r="D1042" s="945"/>
      <c r="E1042" s="945"/>
      <c r="F1042" s="945"/>
      <c r="G1042" s="945"/>
      <c r="H1042" s="945"/>
      <c r="I1042" s="945"/>
      <c r="J1042" s="945"/>
      <c r="K1042" s="945"/>
      <c r="L1042" s="945"/>
      <c r="M1042" s="945"/>
      <c r="N1042" s="899"/>
      <c r="O1042" s="899"/>
      <c r="P1042" s="899"/>
      <c r="Q1042" s="899"/>
      <c r="R1042" s="899"/>
      <c r="S1042" s="899"/>
      <c r="T1042" s="899"/>
      <c r="U1042" s="899"/>
      <c r="V1042" s="899"/>
      <c r="W1042" s="899"/>
      <c r="X1042" s="899"/>
      <c r="Y1042" s="899"/>
      <c r="Z1042" s="899"/>
      <c r="AA1042" s="899"/>
      <c r="AB1042" s="899"/>
      <c r="AC1042" s="899"/>
      <c r="AD1042" s="899"/>
      <c r="AE1042" s="899"/>
    </row>
    <row r="1043">
      <c r="A1043" s="944"/>
      <c r="B1043" s="945"/>
      <c r="C1043" s="945"/>
      <c r="D1043" s="945"/>
      <c r="E1043" s="945"/>
      <c r="F1043" s="945"/>
      <c r="G1043" s="945"/>
      <c r="H1043" s="945"/>
      <c r="I1043" s="945"/>
      <c r="J1043" s="945"/>
      <c r="K1043" s="945"/>
      <c r="L1043" s="945"/>
      <c r="M1043" s="945"/>
      <c r="N1043" s="899"/>
      <c r="O1043" s="899"/>
      <c r="P1043" s="899"/>
      <c r="Q1043" s="899"/>
      <c r="R1043" s="899"/>
      <c r="S1043" s="899"/>
      <c r="T1043" s="899"/>
      <c r="U1043" s="899"/>
      <c r="V1043" s="899"/>
      <c r="W1043" s="899"/>
      <c r="X1043" s="899"/>
      <c r="Y1043" s="899"/>
      <c r="Z1043" s="899"/>
      <c r="AA1043" s="899"/>
      <c r="AB1043" s="899"/>
      <c r="AC1043" s="899"/>
      <c r="AD1043" s="899"/>
      <c r="AE1043" s="899"/>
    </row>
    <row r="1044">
      <c r="A1044" s="944"/>
      <c r="B1044" s="945"/>
      <c r="C1044" s="945"/>
      <c r="D1044" s="945"/>
      <c r="E1044" s="945"/>
      <c r="F1044" s="945"/>
      <c r="G1044" s="945"/>
      <c r="H1044" s="945"/>
      <c r="I1044" s="945"/>
      <c r="J1044" s="945"/>
      <c r="K1044" s="945"/>
      <c r="L1044" s="945"/>
      <c r="M1044" s="945"/>
      <c r="N1044" s="899"/>
      <c r="O1044" s="899"/>
      <c r="P1044" s="899"/>
      <c r="Q1044" s="899"/>
      <c r="R1044" s="899"/>
      <c r="S1044" s="899"/>
      <c r="T1044" s="899"/>
      <c r="U1044" s="899"/>
      <c r="V1044" s="899"/>
      <c r="W1044" s="899"/>
      <c r="X1044" s="899"/>
      <c r="Y1044" s="899"/>
      <c r="Z1044" s="899"/>
      <c r="AA1044" s="899"/>
      <c r="AB1044" s="899"/>
      <c r="AC1044" s="899"/>
      <c r="AD1044" s="899"/>
      <c r="AE1044" s="899"/>
    </row>
    <row r="1045">
      <c r="A1045" s="944"/>
      <c r="B1045" s="945"/>
      <c r="C1045" s="945"/>
      <c r="D1045" s="945"/>
      <c r="E1045" s="945"/>
      <c r="F1045" s="945"/>
      <c r="G1045" s="945"/>
      <c r="H1045" s="945"/>
      <c r="I1045" s="945"/>
      <c r="J1045" s="945"/>
      <c r="K1045" s="945"/>
      <c r="L1045" s="945"/>
      <c r="M1045" s="945"/>
      <c r="N1045" s="899"/>
      <c r="O1045" s="899"/>
      <c r="P1045" s="899"/>
      <c r="Q1045" s="899"/>
      <c r="R1045" s="899"/>
      <c r="S1045" s="899"/>
      <c r="T1045" s="899"/>
      <c r="U1045" s="899"/>
      <c r="V1045" s="899"/>
      <c r="W1045" s="899"/>
      <c r="X1045" s="899"/>
      <c r="Y1045" s="899"/>
      <c r="Z1045" s="899"/>
      <c r="AA1045" s="899"/>
      <c r="AB1045" s="899"/>
      <c r="AC1045" s="899"/>
      <c r="AD1045" s="899"/>
      <c r="AE1045" s="899"/>
    </row>
    <row r="1046">
      <c r="A1046" s="944"/>
      <c r="B1046" s="945"/>
      <c r="C1046" s="945"/>
      <c r="D1046" s="945"/>
      <c r="E1046" s="945"/>
      <c r="F1046" s="945"/>
      <c r="G1046" s="945"/>
      <c r="H1046" s="945"/>
      <c r="I1046" s="945"/>
      <c r="J1046" s="945"/>
      <c r="K1046" s="945"/>
      <c r="L1046" s="945"/>
      <c r="M1046" s="945"/>
      <c r="N1046" s="899"/>
      <c r="O1046" s="899"/>
      <c r="P1046" s="899"/>
      <c r="Q1046" s="899"/>
      <c r="R1046" s="899"/>
      <c r="S1046" s="899"/>
      <c r="T1046" s="899"/>
      <c r="U1046" s="899"/>
      <c r="V1046" s="899"/>
      <c r="W1046" s="899"/>
      <c r="X1046" s="899"/>
      <c r="Y1046" s="899"/>
      <c r="Z1046" s="899"/>
      <c r="AA1046" s="899"/>
      <c r="AB1046" s="899"/>
      <c r="AC1046" s="899"/>
      <c r="AD1046" s="899"/>
      <c r="AE1046" s="899"/>
    </row>
    <row r="1047">
      <c r="A1047" s="944"/>
      <c r="B1047" s="945"/>
      <c r="C1047" s="945"/>
      <c r="D1047" s="945"/>
      <c r="E1047" s="945"/>
      <c r="F1047" s="945"/>
      <c r="G1047" s="945"/>
      <c r="H1047" s="945"/>
      <c r="I1047" s="945"/>
      <c r="J1047" s="945"/>
      <c r="K1047" s="945"/>
      <c r="L1047" s="945"/>
      <c r="M1047" s="945"/>
      <c r="N1047" s="899"/>
      <c r="O1047" s="899"/>
      <c r="P1047" s="899"/>
      <c r="Q1047" s="899"/>
      <c r="R1047" s="899"/>
      <c r="S1047" s="899"/>
      <c r="T1047" s="899"/>
      <c r="U1047" s="899"/>
      <c r="V1047" s="899"/>
      <c r="W1047" s="899"/>
      <c r="X1047" s="899"/>
      <c r="Y1047" s="899"/>
      <c r="Z1047" s="899"/>
      <c r="AA1047" s="899"/>
      <c r="AB1047" s="899"/>
      <c r="AC1047" s="899"/>
      <c r="AD1047" s="899"/>
      <c r="AE1047" s="89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3" max="3" width="12.25"/>
    <col customWidth="1" min="4" max="4" width="11.75"/>
    <col customWidth="1" min="5" max="5" width="17.38"/>
    <col customWidth="1" min="7" max="7" width="10.63"/>
    <col customWidth="1" min="8" max="8" width="21.0"/>
    <col customWidth="1" min="11" max="11" width="19.5"/>
    <col customWidth="1" min="14" max="14" width="15.25"/>
  </cols>
  <sheetData>
    <row r="1">
      <c r="B1" s="1014" t="s">
        <v>620</v>
      </c>
    </row>
    <row r="2">
      <c r="A2" s="1015" t="s">
        <v>621</v>
      </c>
      <c r="B2" s="1016" t="s">
        <v>622</v>
      </c>
      <c r="C2" s="463"/>
      <c r="E2" s="1017" t="s">
        <v>623</v>
      </c>
      <c r="F2" s="463"/>
      <c r="G2" s="1018"/>
      <c r="H2" s="1017" t="s">
        <v>1294</v>
      </c>
      <c r="I2" s="463"/>
      <c r="J2" s="1019"/>
      <c r="K2" s="1017" t="s">
        <v>625</v>
      </c>
      <c r="L2" s="463"/>
      <c r="N2" s="1017" t="s">
        <v>626</v>
      </c>
      <c r="O2" s="463"/>
      <c r="Q2" s="1017" t="s">
        <v>627</v>
      </c>
      <c r="R2" s="463"/>
    </row>
    <row r="3">
      <c r="A3" s="1020"/>
      <c r="B3" s="1021" t="s">
        <v>629</v>
      </c>
      <c r="C3" s="1022">
        <v>81.22</v>
      </c>
      <c r="D3" s="1023">
        <v>86.9</v>
      </c>
      <c r="E3" s="1024" t="s">
        <v>630</v>
      </c>
      <c r="F3" s="1025">
        <f>(('Detailed Report OLD'!AG182+'Detailed Report OLD'!AG183)/'Detailed Report OLD'!AG175)</f>
        <v>0.02191050742</v>
      </c>
      <c r="G3" s="1026"/>
      <c r="H3" s="1027" t="s">
        <v>622</v>
      </c>
      <c r="I3" s="1028">
        <f>(C3*F9)+(C4*F8)+(C5*F3)+(C6*F4)+(C7*F5)+(C8*F6)+(C9*F7)</f>
        <v>89.78489692</v>
      </c>
      <c r="J3" s="1029">
        <f>(D3*F9)+(D4*F8)+(D5*F3)+(D6*F4)+(D7*F5)+(D8*F6)+(D9*F7)</f>
        <v>96.27590325</v>
      </c>
      <c r="K3" s="1030" t="s">
        <v>1295</v>
      </c>
      <c r="L3" s="1031">
        <v>0.029</v>
      </c>
      <c r="N3" s="1021" t="s">
        <v>635</v>
      </c>
      <c r="O3" s="1032">
        <v>0.22</v>
      </c>
      <c r="Q3" s="1024" t="s">
        <v>636</v>
      </c>
      <c r="R3" s="1033">
        <v>15.0</v>
      </c>
    </row>
    <row r="4">
      <c r="A4" s="1020"/>
      <c r="B4" s="1021" t="s">
        <v>638</v>
      </c>
      <c r="C4" s="1022">
        <v>91.14</v>
      </c>
      <c r="D4" s="1023">
        <v>97.61</v>
      </c>
      <c r="E4" s="1024" t="s">
        <v>150</v>
      </c>
      <c r="F4" s="1025">
        <f>('Detailed Report OLD'!AG177/'Detailed Report OLD'!AG175)</f>
        <v>0.2280617343</v>
      </c>
      <c r="G4" s="1026"/>
      <c r="H4" s="1027" t="s">
        <v>640</v>
      </c>
      <c r="I4" s="1028">
        <f>C32+(D32*0.78)</f>
        <v>13.0593</v>
      </c>
      <c r="J4" s="1036"/>
      <c r="K4" s="1024" t="s">
        <v>641</v>
      </c>
      <c r="L4" s="1031">
        <v>0.034</v>
      </c>
      <c r="N4" s="1021" t="s">
        <v>642</v>
      </c>
      <c r="O4" s="1032">
        <v>0.13</v>
      </c>
      <c r="Q4" s="1024" t="s">
        <v>643</v>
      </c>
      <c r="R4" s="1033">
        <v>40.0</v>
      </c>
    </row>
    <row r="5">
      <c r="A5" s="1020"/>
      <c r="B5" s="1021" t="s">
        <v>645</v>
      </c>
      <c r="C5" s="1028">
        <v>10.5</v>
      </c>
      <c r="D5" s="1023">
        <v>13.44</v>
      </c>
      <c r="E5" s="1024" t="s">
        <v>646</v>
      </c>
      <c r="F5" s="1025">
        <f>('Detailed Report OLD'!AG178)/'Detailed Report OLD'!AG175</f>
        <v>0</v>
      </c>
      <c r="G5" s="1026"/>
      <c r="H5" s="1021" t="s">
        <v>647</v>
      </c>
      <c r="I5" s="1028">
        <f>C28</f>
        <v>15.06</v>
      </c>
      <c r="K5" s="1024" t="s">
        <v>648</v>
      </c>
      <c r="L5" s="1031">
        <v>0.075</v>
      </c>
      <c r="N5" s="1021" t="s">
        <v>649</v>
      </c>
      <c r="O5" s="1037"/>
      <c r="Q5" s="1024" t="s">
        <v>650</v>
      </c>
      <c r="R5" s="1033">
        <v>20.0</v>
      </c>
    </row>
    <row r="6">
      <c r="A6" s="1020"/>
      <c r="B6" s="1021" t="s">
        <v>150</v>
      </c>
      <c r="C6" s="1028">
        <v>4.93</v>
      </c>
      <c r="D6" s="1023">
        <v>5.49</v>
      </c>
      <c r="E6" s="1024" t="s">
        <v>151</v>
      </c>
      <c r="F6" s="1025">
        <f>('Detailed Report OLD'!AG179)/'Detailed Report OLD'!AG175</f>
        <v>0.6585365854</v>
      </c>
      <c r="G6" s="1026"/>
      <c r="H6" s="1030" t="s">
        <v>651</v>
      </c>
      <c r="I6" s="1028">
        <v>16.81</v>
      </c>
      <c r="K6" s="1024" t="s">
        <v>652</v>
      </c>
      <c r="L6" s="1038">
        <v>0.00125</v>
      </c>
      <c r="Q6" s="1024" t="s">
        <v>653</v>
      </c>
      <c r="R6" s="1039">
        <v>1.0</v>
      </c>
    </row>
    <row r="7">
      <c r="A7" s="1020"/>
      <c r="B7" s="1021" t="s">
        <v>646</v>
      </c>
      <c r="C7" s="1028">
        <v>6.37</v>
      </c>
      <c r="D7" s="1040"/>
      <c r="E7" s="1024" t="s">
        <v>654</v>
      </c>
      <c r="F7" s="1025">
        <f>('Detailed Report OLD'!AG180+'Detailed Report OLD'!AG181)/'Detailed Report OLD'!AG175</f>
        <v>0.1067026907</v>
      </c>
      <c r="G7" s="1026"/>
      <c r="H7" s="1024" t="s">
        <v>655</v>
      </c>
      <c r="I7" s="1042">
        <f>I3*0.075</f>
        <v>6.733867269</v>
      </c>
      <c r="K7" s="1024" t="s">
        <v>656</v>
      </c>
      <c r="L7" s="1043">
        <v>0.003464</v>
      </c>
      <c r="N7" s="1003" t="s">
        <v>1297</v>
      </c>
      <c r="O7" s="1044">
        <v>0.943</v>
      </c>
    </row>
    <row r="8">
      <c r="A8" s="1020"/>
      <c r="B8" s="1021" t="s">
        <v>151</v>
      </c>
      <c r="C8" s="1028">
        <v>1.07</v>
      </c>
      <c r="D8" s="1023">
        <v>1.19</v>
      </c>
      <c r="E8" s="1024" t="s">
        <v>657</v>
      </c>
      <c r="F8" s="1025">
        <f>'Detailed Report OLD'!AG173/'Detailed Report OLD'!AG175</f>
        <v>0.5915096784</v>
      </c>
      <c r="G8" s="1026"/>
      <c r="H8" s="1024" t="s">
        <v>658</v>
      </c>
      <c r="I8" s="1028">
        <f>(C5*F3)*0.025+(C6*F4)*0.034+(C7*F5)*0.034+(C8*F6)*0.034+(C9*F7)*0.034</f>
        <v>0.08963156816</v>
      </c>
      <c r="K8" s="1024" t="s">
        <v>659</v>
      </c>
      <c r="L8" s="1031">
        <v>0.075</v>
      </c>
      <c r="M8" s="1046" t="s">
        <v>1298</v>
      </c>
      <c r="N8" s="1003" t="s">
        <v>1299</v>
      </c>
      <c r="O8" s="1044">
        <f>1-O7</f>
        <v>0.057</v>
      </c>
    </row>
    <row r="9">
      <c r="A9" s="1020"/>
      <c r="B9" s="1047" t="s">
        <v>660</v>
      </c>
      <c r="C9" s="1028">
        <v>5.98</v>
      </c>
      <c r="D9" s="1023">
        <v>6.66</v>
      </c>
      <c r="E9" s="1024" t="s">
        <v>629</v>
      </c>
      <c r="F9" s="1025">
        <f>1-F8</f>
        <v>0.4084903216</v>
      </c>
      <c r="G9" s="1026"/>
      <c r="H9" s="1048" t="s">
        <v>661</v>
      </c>
      <c r="I9" s="1028">
        <f>'Sales OLD'!B95*0.029</f>
        <v>6.752904899</v>
      </c>
      <c r="K9" s="1024" t="s">
        <v>662</v>
      </c>
      <c r="L9" s="1031">
        <v>0.025</v>
      </c>
    </row>
    <row r="10">
      <c r="A10" s="1050"/>
      <c r="B10" s="1024" t="s">
        <v>663</v>
      </c>
      <c r="C10" s="1028">
        <v>4.0</v>
      </c>
      <c r="E10" s="1024" t="s">
        <v>663</v>
      </c>
      <c r="F10" s="1025">
        <f>('Detailed Report OLD'!AG184+'Detailed Report OLD'!AG185)/'Detailed Report OLD'!AG175</f>
        <v>0.219993338</v>
      </c>
      <c r="H10" s="1024" t="s">
        <v>664</v>
      </c>
      <c r="I10" s="1042">
        <f>0.3</f>
        <v>0.3</v>
      </c>
      <c r="K10" s="1024" t="s">
        <v>665</v>
      </c>
      <c r="L10" s="1028">
        <v>15.0</v>
      </c>
    </row>
    <row r="11" outlineLevel="1">
      <c r="A11" s="1051"/>
      <c r="B11" s="1024" t="s">
        <v>667</v>
      </c>
      <c r="C11" s="1052"/>
      <c r="D11" s="1018"/>
      <c r="E11" s="1024" t="s">
        <v>667</v>
      </c>
      <c r="F11" s="1037"/>
      <c r="H11" s="1024" t="s">
        <v>668</v>
      </c>
      <c r="I11" s="1037"/>
      <c r="N11" s="1053" t="s">
        <v>1300</v>
      </c>
      <c r="O11" s="1054">
        <v>252.085</v>
      </c>
      <c r="P11" s="1056">
        <f>(O12*O7)+(O13*O8)</f>
        <v>16.80639794</v>
      </c>
    </row>
    <row r="12" outlineLevel="1">
      <c r="A12" s="1050"/>
      <c r="B12" s="1024" t="s">
        <v>670</v>
      </c>
      <c r="C12" s="1052"/>
      <c r="D12" s="1057"/>
      <c r="E12" s="1024" t="s">
        <v>670</v>
      </c>
      <c r="F12" s="1037"/>
      <c r="H12" s="1024" t="s">
        <v>667</v>
      </c>
      <c r="I12" s="1037"/>
      <c r="K12" s="1024" t="s">
        <v>671</v>
      </c>
      <c r="L12" s="1031">
        <v>0.95</v>
      </c>
      <c r="N12" s="1" t="s">
        <v>1301</v>
      </c>
      <c r="O12" s="1058">
        <v>14.469966</v>
      </c>
      <c r="Q12" s="1059"/>
    </row>
    <row r="13" outlineLevel="1">
      <c r="A13" s="1050"/>
      <c r="B13" s="1024" t="s">
        <v>673</v>
      </c>
      <c r="C13" s="1052"/>
      <c r="D13" s="1057"/>
      <c r="E13" s="1024" t="s">
        <v>673</v>
      </c>
      <c r="F13" s="1037"/>
      <c r="H13" s="1024" t="s">
        <v>670</v>
      </c>
      <c r="I13" s="1037"/>
      <c r="K13" s="1024" t="s">
        <v>674</v>
      </c>
      <c r="L13" s="1031">
        <v>0.05</v>
      </c>
      <c r="N13" s="1" t="s">
        <v>1302</v>
      </c>
      <c r="O13" s="1054">
        <v>55.46</v>
      </c>
    </row>
    <row r="14" outlineLevel="1">
      <c r="B14" s="1024" t="s">
        <v>676</v>
      </c>
      <c r="C14" s="1052"/>
      <c r="D14" s="1057"/>
      <c r="E14" s="1024" t="s">
        <v>676</v>
      </c>
      <c r="F14" s="1037"/>
      <c r="H14" s="1024" t="s">
        <v>673</v>
      </c>
      <c r="I14" s="1037"/>
      <c r="K14" s="1024" t="s">
        <v>677</v>
      </c>
      <c r="L14" s="1060">
        <v>0.0</v>
      </c>
      <c r="N14" s="865"/>
    </row>
    <row r="15">
      <c r="A15" s="1"/>
      <c r="B15" s="1061"/>
      <c r="C15" s="1018"/>
      <c r="D15" s="1018"/>
      <c r="E15" s="944"/>
      <c r="F15" s="1062"/>
      <c r="H15" s="1024" t="s">
        <v>98</v>
      </c>
      <c r="I15" s="1063">
        <f>SUM(I3:I13)</f>
        <v>148.5906007</v>
      </c>
      <c r="K15" s="1024" t="s">
        <v>678</v>
      </c>
      <c r="L15" s="1064">
        <v>0.0</v>
      </c>
      <c r="N15" s="865"/>
    </row>
    <row r="16">
      <c r="A16" s="1"/>
      <c r="B16" s="1065" t="s">
        <v>682</v>
      </c>
      <c r="C16" s="1066" t="s">
        <v>683</v>
      </c>
      <c r="D16" s="1066" t="s">
        <v>684</v>
      </c>
      <c r="E16" s="944"/>
      <c r="F16" s="1062"/>
      <c r="N16" s="865"/>
    </row>
    <row r="17">
      <c r="A17" s="1" t="s">
        <v>687</v>
      </c>
      <c r="B17" s="1024" t="s">
        <v>688</v>
      </c>
      <c r="C17" s="1028">
        <v>11.94</v>
      </c>
      <c r="D17" s="1022">
        <v>6.155</v>
      </c>
      <c r="E17" s="944"/>
      <c r="F17" s="1062"/>
      <c r="N17" s="1067"/>
    </row>
    <row r="18">
      <c r="B18" s="1024" t="s">
        <v>690</v>
      </c>
      <c r="C18" s="1037">
        <v>11.94</v>
      </c>
      <c r="D18" s="1037">
        <v>6.16</v>
      </c>
      <c r="E18" s="944"/>
      <c r="F18" s="1026"/>
      <c r="L18" s="1068"/>
    </row>
    <row r="19">
      <c r="B19" s="1024" t="s">
        <v>693</v>
      </c>
      <c r="C19" s="1037">
        <v>11.94</v>
      </c>
      <c r="D19" s="1037">
        <v>6.16</v>
      </c>
      <c r="E19" s="944"/>
      <c r="F19" s="1026"/>
    </row>
    <row r="20">
      <c r="A20" s="1015" t="s">
        <v>621</v>
      </c>
      <c r="B20" s="1024" t="s">
        <v>696</v>
      </c>
      <c r="C20" s="1042">
        <f t="shared" ref="C20:D20" si="1">sum(C21:C27)</f>
        <v>3.12</v>
      </c>
      <c r="D20" s="1042">
        <f t="shared" si="1"/>
        <v>2.31</v>
      </c>
    </row>
    <row r="21" outlineLevel="1">
      <c r="B21" s="1069" t="s">
        <v>697</v>
      </c>
      <c r="C21" s="1064"/>
      <c r="D21" s="1064"/>
      <c r="E21" s="944"/>
      <c r="F21" s="1026"/>
    </row>
    <row r="22" outlineLevel="1">
      <c r="B22" s="1069" t="s">
        <v>698</v>
      </c>
      <c r="C22" s="1028">
        <v>0.3</v>
      </c>
      <c r="D22" s="1028">
        <v>0.0</v>
      </c>
      <c r="E22" s="944"/>
      <c r="F22" s="1026"/>
    </row>
    <row r="23" outlineLevel="1">
      <c r="B23" s="1069" t="s">
        <v>699</v>
      </c>
      <c r="C23" s="1028">
        <v>0.31</v>
      </c>
      <c r="D23" s="1028">
        <v>0.31</v>
      </c>
      <c r="E23" s="944"/>
      <c r="F23" s="1026"/>
    </row>
    <row r="24" outlineLevel="1">
      <c r="B24" s="1069" t="s">
        <v>700</v>
      </c>
      <c r="C24" s="1028">
        <v>1.01</v>
      </c>
      <c r="D24" s="1028">
        <v>0.6</v>
      </c>
      <c r="E24" s="944"/>
      <c r="F24" s="1026"/>
    </row>
    <row r="25" outlineLevel="1">
      <c r="B25" s="1069" t="s">
        <v>701</v>
      </c>
      <c r="C25" s="1028">
        <v>0.3</v>
      </c>
      <c r="D25" s="1028">
        <v>0.3</v>
      </c>
      <c r="E25" s="944"/>
      <c r="F25" s="1026"/>
    </row>
    <row r="26" outlineLevel="1">
      <c r="B26" s="1069" t="s">
        <v>702</v>
      </c>
      <c r="C26" s="1028">
        <v>0.0</v>
      </c>
      <c r="D26" s="1028">
        <v>1.1</v>
      </c>
      <c r="E26" s="944"/>
      <c r="F26" s="1026"/>
    </row>
    <row r="27" outlineLevel="1">
      <c r="B27" s="1069" t="s">
        <v>703</v>
      </c>
      <c r="C27" s="1028">
        <v>1.2</v>
      </c>
      <c r="D27" s="1028">
        <v>0.0</v>
      </c>
      <c r="E27" s="944"/>
      <c r="F27" s="1026"/>
    </row>
    <row r="28">
      <c r="B28" s="759" t="s">
        <v>704</v>
      </c>
      <c r="C28" s="1070">
        <f t="shared" ref="C28:D28" si="2">C20+C17-C21</f>
        <v>15.06</v>
      </c>
      <c r="D28" s="1070">
        <f t="shared" si="2"/>
        <v>8.465</v>
      </c>
    </row>
    <row r="29">
      <c r="B29" s="759" t="s">
        <v>705</v>
      </c>
      <c r="C29" s="1037">
        <v>15.06</v>
      </c>
      <c r="D29" s="1037"/>
      <c r="E29" s="944"/>
      <c r="F29" s="1026"/>
    </row>
    <row r="30">
      <c r="B30" s="759" t="s">
        <v>706</v>
      </c>
      <c r="C30" s="1037">
        <v>20.0</v>
      </c>
      <c r="D30" s="1037"/>
      <c r="E30" s="944"/>
      <c r="F30" s="1026"/>
    </row>
    <row r="31">
      <c r="A31" s="1071" t="s">
        <v>621</v>
      </c>
      <c r="B31" s="1065" t="s">
        <v>707</v>
      </c>
      <c r="C31" s="1066" t="s">
        <v>683</v>
      </c>
      <c r="D31" s="1066" t="s">
        <v>684</v>
      </c>
    </row>
    <row r="32">
      <c r="B32" s="1021" t="s">
        <v>708</v>
      </c>
      <c r="C32" s="1028">
        <v>11.94</v>
      </c>
      <c r="D32" s="1028">
        <v>1.435</v>
      </c>
    </row>
    <row r="33">
      <c r="B33" s="1021" t="s">
        <v>710</v>
      </c>
      <c r="C33" s="1028">
        <v>11.94</v>
      </c>
      <c r="D33" s="1028">
        <v>1.44</v>
      </c>
      <c r="E33" s="1061"/>
      <c r="F33" s="944"/>
    </row>
    <row r="34">
      <c r="B34" s="1021" t="s">
        <v>711</v>
      </c>
      <c r="C34" s="1028">
        <v>11.94</v>
      </c>
      <c r="D34" s="1028">
        <v>1.44</v>
      </c>
      <c r="E34" s="944"/>
      <c r="F34" s="1072"/>
    </row>
    <row r="35">
      <c r="B35" s="1073"/>
      <c r="C35" s="1075"/>
      <c r="E35" s="944"/>
      <c r="F35" s="1072"/>
    </row>
    <row r="36">
      <c r="B36" s="1065" t="s">
        <v>712</v>
      </c>
      <c r="C36" s="1066" t="s">
        <v>683</v>
      </c>
      <c r="E36" s="1048" t="s">
        <v>1303</v>
      </c>
      <c r="F36" s="1076"/>
      <c r="G36" s="1" t="s">
        <v>1304</v>
      </c>
    </row>
    <row r="37">
      <c r="A37" s="1077">
        <f>AVERAGE(D3:D4)</f>
        <v>92.255</v>
      </c>
      <c r="B37" s="1030" t="s">
        <v>715</v>
      </c>
      <c r="C37" s="1078">
        <v>2.27</v>
      </c>
      <c r="E37" s="1048" t="s">
        <v>1305</v>
      </c>
      <c r="F37" s="1079">
        <v>0.63</v>
      </c>
    </row>
    <row r="38">
      <c r="A38" s="1077">
        <f>sum(C37:C38)</f>
        <v>2.51</v>
      </c>
      <c r="B38" s="1030" t="s">
        <v>717</v>
      </c>
      <c r="C38" s="1078">
        <v>0.24</v>
      </c>
      <c r="E38" s="1048" t="s">
        <v>717</v>
      </c>
      <c r="F38" s="1079">
        <v>0.11</v>
      </c>
    </row>
    <row r="39">
      <c r="A39" s="1080">
        <f>C40</f>
        <v>11.94</v>
      </c>
      <c r="B39" s="1065" t="s">
        <v>718</v>
      </c>
      <c r="C39" s="1066" t="s">
        <v>683</v>
      </c>
      <c r="E39" s="1048" t="s">
        <v>1306</v>
      </c>
      <c r="F39" s="1079">
        <v>1.01</v>
      </c>
    </row>
    <row r="40">
      <c r="A40" s="1077">
        <f>sum(F37:F39)</f>
        <v>1.75</v>
      </c>
      <c r="B40" s="1030" t="s">
        <v>1307</v>
      </c>
      <c r="C40" s="1081">
        <v>11.94</v>
      </c>
      <c r="E40" s="944"/>
      <c r="F40" s="1082"/>
    </row>
    <row r="41">
      <c r="A41" s="1083">
        <f>C32</f>
        <v>11.94</v>
      </c>
      <c r="B41" s="1024" t="s">
        <v>721</v>
      </c>
      <c r="C41" s="1084">
        <v>0.1</v>
      </c>
      <c r="D41" s="1" t="s">
        <v>1308</v>
      </c>
      <c r="E41" s="944"/>
      <c r="F41" s="1082"/>
    </row>
    <row r="42">
      <c r="A42" s="1086"/>
      <c r="E42" s="944"/>
      <c r="F42" s="1082"/>
    </row>
    <row r="43">
      <c r="A43" s="1077">
        <f>sum(A37:A41)</f>
        <v>120.395</v>
      </c>
      <c r="E43" s="944"/>
      <c r="F43" s="1082"/>
    </row>
    <row r="46">
      <c r="A46" s="1074"/>
      <c r="B46" s="1074"/>
    </row>
  </sheetData>
  <mergeCells count="8">
    <mergeCell ref="B1:R1"/>
    <mergeCell ref="B2:C2"/>
    <mergeCell ref="E2:F2"/>
    <mergeCell ref="H2:I2"/>
    <mergeCell ref="K2:L2"/>
    <mergeCell ref="N2:O2"/>
    <mergeCell ref="Q2:R2"/>
    <mergeCell ref="P11:P13"/>
  </mergeCells>
  <hyperlinks>
    <hyperlink r:id="rId2" location="gid=0" ref="A2"/>
    <hyperlink r:id="rId3" location="gid=1038709083" ref="A20"/>
    <hyperlink r:id="rId4" ref="A31"/>
  </hyperlinks>
  <drawing r:id="rId5"/>
  <legacy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092" t="s">
        <v>1309</v>
      </c>
      <c r="B1" s="1093"/>
      <c r="C1" s="1093"/>
      <c r="D1" s="1093"/>
      <c r="E1" s="1093"/>
      <c r="F1" s="1093"/>
      <c r="G1" s="1093"/>
      <c r="H1" s="1093"/>
      <c r="I1" s="1093"/>
      <c r="J1" s="1093"/>
      <c r="K1" s="1093"/>
      <c r="L1" s="1093"/>
      <c r="M1" s="1093"/>
      <c r="N1" s="1093"/>
      <c r="O1" s="1093"/>
      <c r="P1" s="1093"/>
      <c r="Q1" s="1093"/>
      <c r="R1" s="1093"/>
      <c r="S1" s="1093"/>
      <c r="T1" s="1093"/>
      <c r="U1" s="1093"/>
      <c r="V1" s="1093"/>
      <c r="W1" s="1093"/>
      <c r="X1" s="1093"/>
      <c r="Y1" s="1093"/>
      <c r="Z1" s="1093"/>
      <c r="AA1" s="1093"/>
      <c r="AB1" s="1093"/>
      <c r="AC1" s="1093"/>
      <c r="AD1" s="1093"/>
      <c r="AE1" s="1093"/>
      <c r="AF1" s="1093"/>
      <c r="AG1" s="1093"/>
      <c r="AH1" s="1093"/>
      <c r="AI1" s="1093"/>
      <c r="AJ1" s="1093"/>
      <c r="AK1" s="1093"/>
      <c r="AL1" s="1093"/>
      <c r="AM1" s="1093"/>
      <c r="AN1" s="1093"/>
      <c r="AO1" s="1093"/>
      <c r="AP1" s="1093"/>
      <c r="AQ1" s="1093"/>
      <c r="AR1" s="1093"/>
      <c r="AS1" s="1093"/>
      <c r="AT1" s="1093"/>
      <c r="AU1" s="1093"/>
      <c r="AV1" s="1093"/>
      <c r="AW1" s="1093"/>
      <c r="AX1" s="1093"/>
      <c r="AY1" s="1093"/>
      <c r="AZ1" s="1093"/>
      <c r="BA1" s="1093"/>
      <c r="BB1" s="1093"/>
      <c r="BC1" s="1093"/>
      <c r="BD1" s="1093"/>
      <c r="BE1" s="1093"/>
      <c r="BF1" s="1093"/>
      <c r="BG1" s="1093"/>
      <c r="BH1" s="1093"/>
      <c r="BI1" s="1093"/>
      <c r="BJ1" s="1093"/>
      <c r="BK1" s="1093"/>
      <c r="BL1" s="1093"/>
      <c r="BM1" s="1093"/>
    </row>
    <row r="2">
      <c r="A2" s="1093"/>
      <c r="B2" s="1093"/>
      <c r="C2" s="1093"/>
      <c r="D2" s="1093"/>
      <c r="E2" s="1093"/>
      <c r="F2" s="1093"/>
      <c r="G2" s="1093"/>
      <c r="H2" s="1093"/>
      <c r="I2" s="1093"/>
      <c r="J2" s="1093"/>
      <c r="K2" s="1093"/>
      <c r="L2" s="1093"/>
      <c r="M2" s="1093"/>
      <c r="N2" s="1093"/>
      <c r="O2" s="1093"/>
      <c r="P2" s="1093"/>
      <c r="Q2" s="1093"/>
      <c r="R2" s="1093"/>
      <c r="S2" s="1093"/>
      <c r="T2" s="1093"/>
      <c r="U2" s="1093"/>
      <c r="V2" s="1093"/>
      <c r="W2" s="1093"/>
      <c r="X2" s="1093"/>
      <c r="Y2" s="1093"/>
      <c r="Z2" s="1093"/>
      <c r="AA2" s="1093"/>
      <c r="AB2" s="1093"/>
      <c r="AC2" s="1093"/>
      <c r="AD2" s="1093"/>
      <c r="AE2" s="1093"/>
      <c r="AF2" s="1093"/>
      <c r="AG2" s="1093"/>
      <c r="AH2" s="1093"/>
      <c r="AI2" s="1093"/>
      <c r="AJ2" s="1093"/>
      <c r="AK2" s="1093"/>
      <c r="AL2" s="1093"/>
      <c r="AM2" s="1093"/>
      <c r="AN2" s="1093"/>
      <c r="AO2" s="1093"/>
      <c r="AP2" s="1093"/>
      <c r="AQ2" s="1093"/>
      <c r="AR2" s="1093"/>
      <c r="AS2" s="1093"/>
      <c r="AT2" s="1093"/>
      <c r="AU2" s="1093"/>
      <c r="AV2" s="1093"/>
      <c r="AW2" s="1093"/>
      <c r="AX2" s="1093"/>
      <c r="AY2" s="1093"/>
      <c r="AZ2" s="1093"/>
      <c r="BA2" s="1093"/>
      <c r="BB2" s="1093"/>
      <c r="BC2" s="1093"/>
      <c r="BD2" s="1093"/>
      <c r="BE2" s="1093"/>
      <c r="BF2" s="1093"/>
      <c r="BG2" s="1093"/>
      <c r="BH2" s="1093"/>
      <c r="BI2" s="1093"/>
      <c r="BJ2" s="1093"/>
      <c r="BK2" s="1093"/>
      <c r="BL2" s="1093"/>
      <c r="BM2" s="1093"/>
    </row>
    <row r="3">
      <c r="A3" s="1095" t="s">
        <v>1313</v>
      </c>
      <c r="B3" s="1093"/>
      <c r="C3" s="1093"/>
      <c r="D3" s="1093"/>
      <c r="E3" s="1093"/>
      <c r="F3" s="1093"/>
      <c r="G3" s="1093"/>
      <c r="H3" s="1093"/>
      <c r="I3" s="1093"/>
      <c r="J3" s="1093"/>
      <c r="K3" s="1093"/>
      <c r="L3" s="1093"/>
      <c r="M3" s="1093"/>
      <c r="N3" s="1093"/>
      <c r="O3" s="1093"/>
      <c r="P3" s="1093"/>
      <c r="Q3" s="1093"/>
      <c r="R3" s="1093"/>
      <c r="S3" s="1093"/>
      <c r="T3" s="1093"/>
      <c r="U3" s="1093"/>
      <c r="V3" s="1093"/>
      <c r="W3" s="1093"/>
      <c r="X3" s="1093"/>
      <c r="Y3" s="1093"/>
      <c r="Z3" s="1093"/>
      <c r="AA3" s="1093"/>
      <c r="AB3" s="1093"/>
      <c r="AC3" s="1093"/>
      <c r="AD3" s="1093"/>
      <c r="AE3" s="1093"/>
      <c r="AF3" s="1093"/>
      <c r="AG3" s="1093"/>
      <c r="AH3" s="1093"/>
      <c r="AI3" s="1093"/>
      <c r="AJ3" s="1093"/>
      <c r="AK3" s="1093"/>
      <c r="AL3" s="1093"/>
      <c r="AM3" s="1093"/>
      <c r="AN3" s="1093"/>
      <c r="AO3" s="1093"/>
      <c r="AP3" s="1093"/>
      <c r="AQ3" s="1093"/>
      <c r="AR3" s="1093"/>
      <c r="AS3" s="1093"/>
      <c r="AT3" s="1093"/>
      <c r="AU3" s="1093"/>
      <c r="AV3" s="1093"/>
      <c r="AW3" s="1093"/>
      <c r="AX3" s="1093"/>
      <c r="AY3" s="1093"/>
      <c r="AZ3" s="1093"/>
      <c r="BA3" s="1093"/>
      <c r="BB3" s="1093"/>
      <c r="BC3" s="1093"/>
      <c r="BD3" s="1093"/>
      <c r="BE3" s="1093"/>
      <c r="BF3" s="1093"/>
      <c r="BG3" s="1093"/>
      <c r="BH3" s="1093"/>
      <c r="BI3" s="1093"/>
      <c r="BJ3" s="1093"/>
      <c r="BK3" s="1093"/>
      <c r="BL3" s="1093"/>
      <c r="BM3" s="1093"/>
    </row>
    <row r="4">
      <c r="A4" s="1093"/>
      <c r="B4" s="1093"/>
      <c r="C4" s="1093"/>
      <c r="D4" s="1093"/>
      <c r="E4" s="1093"/>
      <c r="F4" s="1093"/>
      <c r="G4" s="1093"/>
      <c r="H4" s="1110">
        <v>1.6909567E7</v>
      </c>
      <c r="I4" s="1093"/>
      <c r="J4" s="1093"/>
      <c r="K4" s="1093"/>
      <c r="L4" s="1093"/>
      <c r="M4" s="1093"/>
      <c r="N4" s="1093"/>
      <c r="O4" s="1093"/>
      <c r="P4" s="1093"/>
      <c r="Q4" s="1093"/>
      <c r="R4" s="1093"/>
      <c r="S4" s="1093"/>
      <c r="T4" s="1093"/>
      <c r="U4" s="1093"/>
      <c r="V4" s="1093"/>
      <c r="W4" s="1093"/>
      <c r="X4" s="1093"/>
      <c r="Y4" s="1093"/>
      <c r="Z4" s="1093"/>
      <c r="AA4" s="1093"/>
      <c r="AB4" s="1093"/>
      <c r="AC4" s="1093"/>
      <c r="AD4" s="1093"/>
      <c r="AE4" s="1093"/>
      <c r="AF4" s="1093"/>
      <c r="AG4" s="1093"/>
      <c r="AH4" s="1093"/>
      <c r="AI4" s="1093"/>
      <c r="AJ4" s="1093"/>
      <c r="AK4" s="1093"/>
      <c r="AL4" s="1093"/>
      <c r="AM4" s="1093"/>
      <c r="AN4" s="1093"/>
      <c r="AO4" s="1093"/>
      <c r="AP4" s="1093"/>
      <c r="AQ4" s="1093"/>
      <c r="AR4" s="1093"/>
      <c r="AS4" s="1093"/>
      <c r="AT4" s="1093"/>
      <c r="AU4" s="1093"/>
      <c r="AV4" s="1093"/>
      <c r="AW4" s="1093"/>
      <c r="AX4" s="1093"/>
      <c r="AY4" s="1093"/>
      <c r="AZ4" s="1093"/>
      <c r="BA4" s="1093"/>
      <c r="BB4" s="1093"/>
      <c r="BC4" s="1093"/>
      <c r="BD4" s="1093"/>
      <c r="BE4" s="1093"/>
      <c r="BF4" s="1093"/>
      <c r="BG4" s="1093"/>
      <c r="BH4" s="1093"/>
      <c r="BI4" s="1093"/>
      <c r="BJ4" s="1093"/>
      <c r="BK4" s="1093"/>
      <c r="BL4" s="1093"/>
      <c r="BM4" s="1093"/>
    </row>
    <row r="5">
      <c r="A5" s="1129" t="s">
        <v>1332</v>
      </c>
      <c r="B5" s="1093"/>
      <c r="C5" s="1093"/>
      <c r="D5" s="1093"/>
      <c r="E5" s="1093"/>
      <c r="F5" s="1093"/>
      <c r="G5" s="1093"/>
      <c r="H5" s="1133"/>
      <c r="I5" s="1093"/>
      <c r="J5" s="1093"/>
      <c r="K5" s="1093"/>
      <c r="L5" s="1093"/>
      <c r="M5" s="1093"/>
      <c r="N5" s="1093"/>
      <c r="O5" s="1093"/>
      <c r="P5" s="1093"/>
      <c r="Q5" s="1093"/>
      <c r="R5" s="1093"/>
      <c r="S5" s="1093"/>
      <c r="T5" s="1093"/>
      <c r="U5" s="1093"/>
      <c r="V5" s="1093"/>
      <c r="W5" s="1093"/>
      <c r="X5" s="1093"/>
      <c r="Y5" s="1093"/>
      <c r="Z5" s="1093"/>
      <c r="AA5" s="1093"/>
      <c r="AB5" s="1093"/>
      <c r="AC5" s="1093"/>
      <c r="AD5" s="1093"/>
      <c r="AE5" s="1093"/>
      <c r="AF5" s="1093"/>
      <c r="AG5" s="1093"/>
      <c r="AH5" s="1093"/>
      <c r="AI5" s="1093"/>
      <c r="AJ5" s="1093"/>
      <c r="AK5" s="1093"/>
      <c r="AL5" s="1093"/>
      <c r="AM5" s="1093"/>
      <c r="AN5" s="1093"/>
      <c r="AO5" s="1093"/>
      <c r="AP5" s="1093"/>
      <c r="AQ5" s="1093"/>
      <c r="AR5" s="1093"/>
      <c r="AS5" s="1093"/>
      <c r="AT5" s="1093"/>
      <c r="AU5" s="1093"/>
      <c r="AV5" s="1093"/>
      <c r="AW5" s="1093"/>
      <c r="AX5" s="1093"/>
      <c r="AY5" s="1093"/>
      <c r="AZ5" s="1093"/>
      <c r="BA5" s="1093"/>
      <c r="BB5" s="1093"/>
      <c r="BC5" s="1093"/>
      <c r="BD5" s="1093"/>
      <c r="BE5" s="1093"/>
      <c r="BF5" s="1093"/>
      <c r="BG5" s="1093"/>
      <c r="BH5" s="1093"/>
      <c r="BI5" s="1093"/>
      <c r="BJ5" s="1093"/>
      <c r="BK5" s="1093"/>
      <c r="BL5" s="1093"/>
      <c r="BM5" s="1093"/>
    </row>
    <row r="6">
      <c r="A6" s="1154" t="s">
        <v>1340</v>
      </c>
      <c r="B6" s="1156"/>
      <c r="C6" s="1156"/>
      <c r="D6" s="1156"/>
      <c r="E6" s="1156"/>
      <c r="F6" s="1156"/>
      <c r="G6" s="1157"/>
      <c r="H6" s="1133"/>
      <c r="I6" s="1093"/>
      <c r="J6" s="1093"/>
      <c r="K6" s="1093"/>
      <c r="L6" s="1093"/>
      <c r="M6" s="1093"/>
      <c r="N6" s="1093"/>
      <c r="O6" s="1093"/>
      <c r="P6" s="1093"/>
      <c r="Q6" s="1093"/>
      <c r="R6" s="1093"/>
      <c r="S6" s="1093"/>
      <c r="T6" s="1093"/>
      <c r="U6" s="1093"/>
      <c r="V6" s="1093"/>
      <c r="W6" s="1093"/>
      <c r="X6" s="1093"/>
      <c r="Y6" s="1093"/>
      <c r="Z6" s="1093"/>
      <c r="AA6" s="1093"/>
      <c r="AB6" s="1093"/>
      <c r="AC6" s="1093"/>
      <c r="AD6" s="1093"/>
      <c r="AE6" s="1093"/>
      <c r="AF6" s="1093"/>
      <c r="AG6" s="1093"/>
      <c r="AH6" s="1093"/>
      <c r="AI6" s="1093"/>
      <c r="AJ6" s="1093"/>
      <c r="AK6" s="1093"/>
      <c r="AL6" s="1093"/>
      <c r="AM6" s="1093"/>
      <c r="AN6" s="1093"/>
      <c r="AO6" s="1093"/>
      <c r="AP6" s="1093"/>
      <c r="AQ6" s="1093"/>
      <c r="AR6" s="1093"/>
      <c r="AS6" s="1093"/>
      <c r="AT6" s="1093"/>
      <c r="AU6" s="1093"/>
      <c r="AV6" s="1093"/>
      <c r="AW6" s="1093"/>
      <c r="AX6" s="1093"/>
      <c r="AY6" s="1093"/>
      <c r="AZ6" s="1093"/>
      <c r="BA6" s="1093"/>
      <c r="BB6" s="1093"/>
      <c r="BC6" s="1093"/>
      <c r="BD6" s="1093"/>
      <c r="BE6" s="1093"/>
      <c r="BF6" s="1093"/>
      <c r="BG6" s="1093"/>
      <c r="BH6" s="1093"/>
      <c r="BI6" s="1093"/>
      <c r="BJ6" s="1093"/>
      <c r="BK6" s="1093"/>
      <c r="BL6" s="1093"/>
      <c r="BM6" s="1093"/>
    </row>
    <row r="7">
      <c r="A7" s="1168"/>
      <c r="B7" s="1169"/>
      <c r="C7" s="1169"/>
      <c r="D7" s="1169"/>
      <c r="E7" s="1169"/>
      <c r="F7" s="1169"/>
      <c r="G7" s="1171"/>
      <c r="H7" s="1093"/>
      <c r="I7" s="1093"/>
      <c r="J7" s="1093"/>
      <c r="K7" s="1093"/>
      <c r="L7" s="1093"/>
      <c r="M7" s="1093"/>
      <c r="N7" s="1093"/>
      <c r="O7" s="1093"/>
      <c r="P7" s="1093"/>
      <c r="Q7" s="1093"/>
      <c r="R7" s="1093"/>
      <c r="S7" s="1093"/>
      <c r="T7" s="1093"/>
      <c r="U7" s="1093"/>
      <c r="V7" s="1093"/>
      <c r="W7" s="1093"/>
      <c r="X7" s="1093"/>
      <c r="Y7" s="1093"/>
      <c r="Z7" s="1093"/>
      <c r="AA7" s="1093"/>
      <c r="AB7" s="1093"/>
      <c r="AC7" s="1093"/>
      <c r="AD7" s="1093"/>
      <c r="AE7" s="1093"/>
      <c r="AF7" s="1093"/>
      <c r="AG7" s="1093"/>
      <c r="AH7" s="1093"/>
      <c r="AI7" s="1093"/>
      <c r="AJ7" s="1093"/>
      <c r="AK7" s="1093"/>
      <c r="AL7" s="1093"/>
      <c r="AM7" s="1093"/>
      <c r="AN7" s="1093"/>
      <c r="AO7" s="1093"/>
      <c r="AP7" s="1093"/>
      <c r="AQ7" s="1093"/>
      <c r="AR7" s="1093"/>
      <c r="AS7" s="1093"/>
      <c r="AT7" s="1093"/>
      <c r="AU7" s="1093"/>
      <c r="AV7" s="1093"/>
      <c r="AW7" s="1093"/>
      <c r="AX7" s="1093"/>
      <c r="AY7" s="1093"/>
      <c r="AZ7" s="1093"/>
      <c r="BA7" s="1093"/>
      <c r="BB7" s="1093"/>
      <c r="BC7" s="1093"/>
      <c r="BD7" s="1093"/>
      <c r="BE7" s="1093"/>
      <c r="BF7" s="1093"/>
      <c r="BG7" s="1093"/>
      <c r="BH7" s="1093"/>
      <c r="BI7" s="1093"/>
      <c r="BJ7" s="1093"/>
      <c r="BK7" s="1093"/>
      <c r="BL7" s="1093"/>
      <c r="BM7" s="1093"/>
    </row>
    <row r="8">
      <c r="A8" s="1154" t="s">
        <v>1350</v>
      </c>
      <c r="B8" s="1156"/>
      <c r="C8" s="1156"/>
      <c r="D8" s="1156"/>
      <c r="E8" s="1156"/>
      <c r="F8" s="1156"/>
      <c r="G8" s="1157"/>
      <c r="H8" s="1178" t="s">
        <v>1352</v>
      </c>
      <c r="I8" s="1093"/>
      <c r="J8" s="1093"/>
      <c r="K8" s="1093"/>
      <c r="L8" s="1093"/>
      <c r="M8" s="1093"/>
      <c r="N8" s="1093"/>
      <c r="O8" s="1093"/>
      <c r="P8" s="1093"/>
      <c r="Q8" s="1093"/>
      <c r="R8" s="1093"/>
      <c r="S8" s="1093"/>
      <c r="T8" s="1093"/>
      <c r="U8" s="1093"/>
      <c r="V8" s="1093"/>
      <c r="W8" s="1093"/>
      <c r="X8" s="1093"/>
      <c r="Y8" s="1093"/>
      <c r="Z8" s="1093"/>
      <c r="AA8" s="1093"/>
      <c r="AB8" s="1093"/>
      <c r="AC8" s="1093"/>
      <c r="AD8" s="1093"/>
      <c r="AE8" s="1093"/>
      <c r="AF8" s="1093"/>
      <c r="AG8" s="1093"/>
      <c r="AH8" s="1093"/>
      <c r="AI8" s="1093"/>
      <c r="AJ8" s="1093"/>
      <c r="AK8" s="1093"/>
      <c r="AL8" s="1093"/>
      <c r="AM8" s="1093"/>
      <c r="AN8" s="1093"/>
      <c r="AO8" s="1093"/>
      <c r="AP8" s="1093"/>
      <c r="AQ8" s="1093"/>
      <c r="AR8" s="1093"/>
      <c r="AS8" s="1093"/>
      <c r="AT8" s="1093"/>
      <c r="AU8" s="1093"/>
      <c r="AV8" s="1093"/>
      <c r="AW8" s="1093"/>
      <c r="AX8" s="1093"/>
      <c r="AY8" s="1093"/>
      <c r="AZ8" s="1093"/>
      <c r="BA8" s="1093"/>
      <c r="BB8" s="1093"/>
      <c r="BC8" s="1093"/>
      <c r="BD8" s="1093"/>
      <c r="BE8" s="1093"/>
      <c r="BF8" s="1093"/>
      <c r="BG8" s="1093"/>
      <c r="BH8" s="1093"/>
      <c r="BI8" s="1093"/>
      <c r="BJ8" s="1093"/>
      <c r="BK8" s="1093"/>
      <c r="BL8" s="1093"/>
      <c r="BM8" s="1093"/>
    </row>
    <row r="9">
      <c r="A9" s="1168"/>
      <c r="B9" s="1169"/>
      <c r="C9" s="1169"/>
      <c r="D9" s="1169"/>
      <c r="E9" s="1169"/>
      <c r="F9" s="1169"/>
      <c r="G9" s="1171"/>
      <c r="H9" s="1093"/>
      <c r="I9" s="1093"/>
      <c r="J9" s="1093"/>
      <c r="K9" s="1093"/>
      <c r="L9" s="1093"/>
      <c r="M9" s="1093"/>
      <c r="N9" s="1093"/>
      <c r="O9" s="1093"/>
      <c r="P9" s="1093"/>
      <c r="Q9" s="1093"/>
      <c r="R9" s="1093"/>
      <c r="S9" s="1093"/>
      <c r="T9" s="1093"/>
      <c r="U9" s="1093"/>
      <c r="V9" s="1093"/>
      <c r="W9" s="1093"/>
      <c r="X9" s="1093"/>
      <c r="Y9" s="1093"/>
      <c r="Z9" s="1093"/>
      <c r="AA9" s="1093"/>
      <c r="AB9" s="1093"/>
      <c r="AC9" s="1093"/>
      <c r="AD9" s="1093"/>
      <c r="AE9" s="1093"/>
      <c r="AF9" s="1093"/>
      <c r="AG9" s="1093"/>
      <c r="AH9" s="1093"/>
      <c r="AI9" s="1093"/>
      <c r="AJ9" s="1093"/>
      <c r="AK9" s="1093"/>
      <c r="AL9" s="1093"/>
      <c r="AM9" s="1093"/>
      <c r="AN9" s="1093"/>
      <c r="AO9" s="1093"/>
      <c r="AP9" s="1093"/>
      <c r="AQ9" s="1093"/>
      <c r="AR9" s="1093"/>
      <c r="AS9" s="1093"/>
      <c r="AT9" s="1093"/>
      <c r="AU9" s="1093"/>
      <c r="AV9" s="1093"/>
      <c r="AW9" s="1093"/>
      <c r="AX9" s="1093"/>
      <c r="AY9" s="1093"/>
      <c r="AZ9" s="1093"/>
      <c r="BA9" s="1093"/>
      <c r="BB9" s="1093"/>
      <c r="BC9" s="1093"/>
      <c r="BD9" s="1093"/>
      <c r="BE9" s="1093"/>
      <c r="BF9" s="1093"/>
      <c r="BG9" s="1093"/>
      <c r="BH9" s="1093"/>
      <c r="BI9" s="1093"/>
      <c r="BJ9" s="1093"/>
      <c r="BK9" s="1093"/>
      <c r="BL9" s="1093"/>
      <c r="BM9" s="1093"/>
    </row>
    <row r="10">
      <c r="A10" s="1154" t="s">
        <v>1371</v>
      </c>
      <c r="B10" s="1156"/>
      <c r="C10" s="1156"/>
      <c r="D10" s="1156"/>
      <c r="E10" s="1156"/>
      <c r="F10" s="1156"/>
      <c r="G10" s="1157"/>
      <c r="H10" s="1093"/>
      <c r="I10" s="1093"/>
      <c r="J10" s="1093"/>
      <c r="K10" s="1093"/>
      <c r="L10" s="1093"/>
      <c r="M10" s="1093"/>
      <c r="N10" s="1093"/>
      <c r="O10" s="1093"/>
      <c r="P10" s="1093"/>
      <c r="Q10" s="1093"/>
      <c r="R10" s="1093"/>
      <c r="S10" s="1093"/>
      <c r="T10" s="1093"/>
      <c r="U10" s="1093"/>
      <c r="V10" s="1093"/>
      <c r="W10" s="1093"/>
      <c r="X10" s="1093"/>
      <c r="Y10" s="1093"/>
      <c r="Z10" s="1093"/>
      <c r="AA10" s="1093"/>
      <c r="AB10" s="1093"/>
      <c r="AC10" s="1093"/>
      <c r="AD10" s="1093"/>
      <c r="AE10" s="1093"/>
      <c r="AF10" s="1093"/>
      <c r="AG10" s="1093"/>
      <c r="AH10" s="1093"/>
      <c r="AI10" s="1093"/>
      <c r="AJ10" s="1093"/>
      <c r="AK10" s="1093"/>
      <c r="AL10" s="1093"/>
      <c r="AM10" s="1093"/>
      <c r="AN10" s="1093"/>
      <c r="AO10" s="1093"/>
      <c r="AP10" s="1093"/>
      <c r="AQ10" s="1093"/>
      <c r="AR10" s="1093"/>
      <c r="AS10" s="1093"/>
      <c r="AT10" s="1093"/>
      <c r="AU10" s="1093"/>
      <c r="AV10" s="1093"/>
      <c r="AW10" s="1093"/>
      <c r="AX10" s="1093"/>
      <c r="AY10" s="1093"/>
      <c r="AZ10" s="1093"/>
      <c r="BA10" s="1093"/>
      <c r="BB10" s="1093"/>
      <c r="BC10" s="1093"/>
      <c r="BD10" s="1093"/>
      <c r="BE10" s="1093"/>
      <c r="BF10" s="1093"/>
      <c r="BG10" s="1093"/>
      <c r="BH10" s="1093"/>
      <c r="BI10" s="1093"/>
      <c r="BJ10" s="1093"/>
      <c r="BK10" s="1093"/>
      <c r="BL10" s="1093"/>
      <c r="BM10" s="1093"/>
    </row>
    <row r="11">
      <c r="A11" s="1168"/>
      <c r="B11" s="1169"/>
      <c r="C11" s="1169"/>
      <c r="D11" s="1169"/>
      <c r="E11" s="1169"/>
      <c r="F11" s="1169"/>
      <c r="G11" s="1171"/>
      <c r="H11" s="1093"/>
      <c r="I11" s="1093"/>
      <c r="J11" s="1093"/>
      <c r="K11" s="1093"/>
      <c r="L11" s="1093"/>
      <c r="M11" s="1093"/>
      <c r="N11" s="1093"/>
      <c r="O11" s="1093"/>
      <c r="P11" s="1093"/>
      <c r="Q11" s="1093"/>
      <c r="R11" s="1093"/>
      <c r="S11" s="1093"/>
      <c r="T11" s="1093"/>
      <c r="U11" s="1093"/>
      <c r="V11" s="1093"/>
      <c r="W11" s="1093"/>
      <c r="X11" s="1093"/>
      <c r="Y11" s="1093"/>
      <c r="Z11" s="1093"/>
      <c r="AA11" s="1093"/>
      <c r="AB11" s="1093"/>
      <c r="AC11" s="1093"/>
      <c r="AD11" s="1093"/>
      <c r="AE11" s="1093"/>
      <c r="AF11" s="1093"/>
      <c r="AG11" s="1093"/>
      <c r="AH11" s="1093"/>
      <c r="AI11" s="1093"/>
      <c r="AJ11" s="1093"/>
      <c r="AK11" s="1093"/>
      <c r="AL11" s="1093"/>
      <c r="AM11" s="1093"/>
      <c r="AN11" s="1093"/>
      <c r="AO11" s="1093"/>
      <c r="AP11" s="1093"/>
      <c r="AQ11" s="1093"/>
      <c r="AR11" s="1093"/>
      <c r="AS11" s="1093"/>
      <c r="AT11" s="1093"/>
      <c r="AU11" s="1093"/>
      <c r="AV11" s="1093"/>
      <c r="AW11" s="1093"/>
      <c r="AX11" s="1093"/>
      <c r="AY11" s="1093"/>
      <c r="AZ11" s="1093"/>
      <c r="BA11" s="1093"/>
      <c r="BB11" s="1093"/>
      <c r="BC11" s="1093"/>
      <c r="BD11" s="1093"/>
      <c r="BE11" s="1093"/>
      <c r="BF11" s="1093"/>
      <c r="BG11" s="1093"/>
      <c r="BH11" s="1093"/>
      <c r="BI11" s="1093"/>
      <c r="BJ11" s="1093"/>
      <c r="BK11" s="1093"/>
      <c r="BL11" s="1093"/>
      <c r="BM11" s="1093"/>
    </row>
    <row r="12">
      <c r="A12" s="1093"/>
      <c r="B12" s="1093"/>
      <c r="C12" s="1093"/>
      <c r="D12" s="1093"/>
      <c r="E12" s="1093"/>
      <c r="F12" s="1093"/>
      <c r="G12" s="1093"/>
      <c r="H12" s="1093"/>
      <c r="I12" s="1093"/>
      <c r="J12" s="1093"/>
      <c r="K12" s="1093"/>
      <c r="L12" s="1093"/>
      <c r="M12" s="1093"/>
      <c r="N12" s="1093"/>
      <c r="O12" s="1093"/>
      <c r="P12" s="1093"/>
      <c r="Q12" s="1093"/>
      <c r="R12" s="1093"/>
      <c r="S12" s="1093"/>
      <c r="T12" s="1093"/>
      <c r="U12" s="1093"/>
      <c r="V12" s="1093"/>
      <c r="W12" s="1093"/>
      <c r="X12" s="1093"/>
      <c r="Y12" s="1093"/>
      <c r="Z12" s="1093"/>
      <c r="AA12" s="1093"/>
      <c r="AB12" s="1093"/>
      <c r="AC12" s="1093"/>
      <c r="AD12" s="1093"/>
      <c r="AE12" s="1093"/>
      <c r="AF12" s="1093"/>
      <c r="AG12" s="1093"/>
      <c r="AH12" s="1093"/>
      <c r="AI12" s="1093"/>
      <c r="AJ12" s="1093"/>
      <c r="AK12" s="1093"/>
      <c r="AL12" s="1093"/>
      <c r="AM12" s="1093"/>
      <c r="AN12" s="1093"/>
      <c r="AO12" s="1093"/>
      <c r="AP12" s="1093"/>
      <c r="AQ12" s="1093"/>
      <c r="AR12" s="1093"/>
      <c r="AS12" s="1093"/>
      <c r="AT12" s="1093"/>
      <c r="AU12" s="1093"/>
      <c r="AV12" s="1093"/>
      <c r="AW12" s="1093"/>
      <c r="AX12" s="1093"/>
      <c r="AY12" s="1093"/>
      <c r="AZ12" s="1093"/>
      <c r="BA12" s="1093"/>
      <c r="BB12" s="1093"/>
      <c r="BC12" s="1093"/>
      <c r="BD12" s="1093"/>
      <c r="BE12" s="1093"/>
      <c r="BF12" s="1093"/>
      <c r="BG12" s="1093"/>
      <c r="BH12" s="1093"/>
      <c r="BI12" s="1093"/>
      <c r="BJ12" s="1093"/>
      <c r="BK12" s="1093"/>
      <c r="BL12" s="1093"/>
      <c r="BM12" s="1093"/>
    </row>
    <row r="13">
      <c r="A13" s="1154" t="s">
        <v>1392</v>
      </c>
      <c r="B13" s="1156"/>
      <c r="C13" s="1156"/>
      <c r="D13" s="1156"/>
      <c r="E13" s="1156"/>
      <c r="F13" s="1156"/>
      <c r="G13" s="1156"/>
      <c r="H13" s="1157"/>
      <c r="I13" s="1093"/>
      <c r="J13" s="1093"/>
      <c r="K13" s="1093"/>
      <c r="L13" s="1093"/>
      <c r="M13" s="1093"/>
      <c r="N13" s="1093"/>
      <c r="O13" s="1093"/>
      <c r="P13" s="1093"/>
      <c r="Q13" s="1093"/>
      <c r="R13" s="1093"/>
      <c r="S13" s="1093"/>
      <c r="T13" s="1093"/>
      <c r="U13" s="1093"/>
      <c r="V13" s="1093"/>
      <c r="W13" s="1093"/>
      <c r="X13" s="1093"/>
      <c r="Y13" s="1093"/>
      <c r="Z13" s="1093"/>
      <c r="AA13" s="1093"/>
      <c r="AB13" s="1093"/>
      <c r="AC13" s="1093"/>
      <c r="AD13" s="1093"/>
      <c r="AE13" s="1093"/>
      <c r="AF13" s="1093"/>
      <c r="AG13" s="1093"/>
      <c r="AH13" s="1093"/>
      <c r="AI13" s="1093"/>
      <c r="AJ13" s="1093"/>
      <c r="AK13" s="1093"/>
      <c r="AL13" s="1093"/>
      <c r="AM13" s="1093"/>
      <c r="AN13" s="1093"/>
      <c r="AO13" s="1093"/>
      <c r="AP13" s="1093"/>
      <c r="AQ13" s="1093"/>
      <c r="AR13" s="1093"/>
      <c r="AS13" s="1093"/>
      <c r="AT13" s="1093"/>
      <c r="AU13" s="1093"/>
      <c r="AV13" s="1093"/>
      <c r="AW13" s="1093"/>
      <c r="AX13" s="1093"/>
      <c r="AY13" s="1093"/>
      <c r="AZ13" s="1093"/>
      <c r="BA13" s="1093"/>
      <c r="BB13" s="1093"/>
      <c r="BC13" s="1093"/>
      <c r="BD13" s="1093"/>
      <c r="BE13" s="1093"/>
      <c r="BF13" s="1093"/>
      <c r="BG13" s="1093"/>
      <c r="BH13" s="1093"/>
      <c r="BI13" s="1093"/>
      <c r="BJ13" s="1093"/>
      <c r="BK13" s="1093"/>
      <c r="BL13" s="1093"/>
      <c r="BM13" s="1093"/>
    </row>
    <row r="14">
      <c r="A14" s="1224"/>
      <c r="H14" s="1225"/>
      <c r="I14" s="1093"/>
      <c r="J14" s="1093"/>
      <c r="K14" s="1093"/>
      <c r="L14" s="1093"/>
      <c r="M14" s="1093"/>
      <c r="N14" s="1093"/>
      <c r="O14" s="1093"/>
      <c r="P14" s="1093"/>
      <c r="Q14" s="1093"/>
      <c r="R14" s="1093"/>
      <c r="S14" s="1093"/>
      <c r="T14" s="1093"/>
      <c r="U14" s="1093"/>
      <c r="V14" s="1093"/>
      <c r="W14" s="1093"/>
      <c r="X14" s="1093"/>
      <c r="Y14" s="1093"/>
      <c r="Z14" s="1093"/>
      <c r="AA14" s="1093"/>
      <c r="AB14" s="1093"/>
      <c r="AC14" s="1093"/>
      <c r="AD14" s="1093"/>
      <c r="AE14" s="1093"/>
      <c r="AF14" s="1093"/>
      <c r="AG14" s="1093"/>
      <c r="AH14" s="1093"/>
      <c r="AI14" s="1093"/>
      <c r="AJ14" s="1093"/>
      <c r="AK14" s="1093"/>
      <c r="AL14" s="1093"/>
      <c r="AM14" s="1093"/>
      <c r="AN14" s="1093"/>
      <c r="AO14" s="1093"/>
      <c r="AP14" s="1093"/>
      <c r="AQ14" s="1093"/>
      <c r="AR14" s="1093"/>
      <c r="AS14" s="1093"/>
      <c r="AT14" s="1093"/>
      <c r="AU14" s="1093"/>
      <c r="AV14" s="1093"/>
      <c r="AW14" s="1093"/>
      <c r="AX14" s="1093"/>
      <c r="AY14" s="1093"/>
      <c r="AZ14" s="1093"/>
      <c r="BA14" s="1093"/>
      <c r="BB14" s="1093"/>
      <c r="BC14" s="1093"/>
      <c r="BD14" s="1093"/>
      <c r="BE14" s="1093"/>
      <c r="BF14" s="1093"/>
      <c r="BG14" s="1093"/>
      <c r="BH14" s="1093"/>
      <c r="BI14" s="1093"/>
      <c r="BJ14" s="1093"/>
      <c r="BK14" s="1093"/>
      <c r="BL14" s="1093"/>
      <c r="BM14" s="1093"/>
    </row>
    <row r="15">
      <c r="A15" s="1168"/>
      <c r="B15" s="1169"/>
      <c r="C15" s="1169"/>
      <c r="D15" s="1169"/>
      <c r="E15" s="1169"/>
      <c r="F15" s="1169"/>
      <c r="G15" s="1169"/>
      <c r="H15" s="1171"/>
      <c r="I15" s="1093"/>
      <c r="J15" s="1093"/>
      <c r="K15" s="1093"/>
      <c r="L15" s="1093"/>
      <c r="M15" s="1093"/>
      <c r="N15" s="1093"/>
      <c r="O15" s="1093"/>
      <c r="P15" s="1093"/>
      <c r="Q15" s="1093"/>
      <c r="R15" s="1093"/>
      <c r="S15" s="1093"/>
      <c r="T15" s="1093"/>
      <c r="U15" s="1093"/>
      <c r="V15" s="1093"/>
      <c r="W15" s="1093"/>
      <c r="X15" s="1093"/>
      <c r="Y15" s="1093"/>
      <c r="Z15" s="1093"/>
      <c r="AA15" s="1093"/>
      <c r="AB15" s="1093"/>
      <c r="AC15" s="1093"/>
      <c r="AD15" s="1093"/>
      <c r="AE15" s="1093"/>
      <c r="AF15" s="1093"/>
      <c r="AG15" s="1093"/>
      <c r="AH15" s="1093"/>
      <c r="AI15" s="1093"/>
      <c r="AJ15" s="1093"/>
      <c r="AK15" s="1093"/>
      <c r="AL15" s="1093"/>
      <c r="AM15" s="1093"/>
      <c r="AN15" s="1093"/>
      <c r="AO15" s="1093"/>
      <c r="AP15" s="1093"/>
      <c r="AQ15" s="1093"/>
      <c r="AR15" s="1093"/>
      <c r="AS15" s="1093"/>
      <c r="AT15" s="1093"/>
      <c r="AU15" s="1093"/>
      <c r="AV15" s="1093"/>
      <c r="AW15" s="1093"/>
      <c r="AX15" s="1093"/>
      <c r="AY15" s="1093"/>
      <c r="AZ15" s="1093"/>
      <c r="BA15" s="1093"/>
      <c r="BB15" s="1093"/>
      <c r="BC15" s="1093"/>
      <c r="BD15" s="1093"/>
      <c r="BE15" s="1093"/>
      <c r="BF15" s="1093"/>
      <c r="BG15" s="1093"/>
      <c r="BH15" s="1093"/>
      <c r="BI15" s="1093"/>
      <c r="BJ15" s="1093"/>
      <c r="BK15" s="1093"/>
      <c r="BL15" s="1093"/>
      <c r="BM15" s="1093"/>
    </row>
    <row r="16">
      <c r="A16" s="1154" t="s">
        <v>1405</v>
      </c>
      <c r="B16" s="1156"/>
      <c r="C16" s="1156"/>
      <c r="D16" s="1156"/>
      <c r="E16" s="1156"/>
      <c r="F16" s="1156"/>
      <c r="G16" s="1156"/>
      <c r="H16" s="1157"/>
      <c r="I16" s="1093"/>
      <c r="J16" s="1093"/>
      <c r="K16" s="1093"/>
      <c r="L16" s="1093"/>
      <c r="M16" s="1093"/>
      <c r="N16" s="1093"/>
      <c r="O16" s="1093"/>
      <c r="P16" s="1093"/>
      <c r="Q16" s="1093"/>
      <c r="R16" s="1093"/>
      <c r="S16" s="1093"/>
      <c r="T16" s="1093"/>
      <c r="U16" s="1093"/>
      <c r="V16" s="1093"/>
      <c r="W16" s="1093"/>
      <c r="X16" s="1093"/>
      <c r="Y16" s="1093"/>
      <c r="Z16" s="1093"/>
      <c r="AA16" s="1093"/>
      <c r="AB16" s="1093"/>
      <c r="AC16" s="1093"/>
      <c r="AD16" s="1093"/>
      <c r="AE16" s="1093"/>
      <c r="AF16" s="1093"/>
      <c r="AG16" s="1093"/>
      <c r="AH16" s="1093"/>
      <c r="AI16" s="1093"/>
      <c r="AJ16" s="1093"/>
      <c r="AK16" s="1093"/>
      <c r="AL16" s="1093"/>
      <c r="AM16" s="1093"/>
      <c r="AN16" s="1093"/>
      <c r="AO16" s="1093"/>
      <c r="AP16" s="1093"/>
      <c r="AQ16" s="1093"/>
      <c r="AR16" s="1093"/>
      <c r="AS16" s="1093"/>
      <c r="AT16" s="1093"/>
      <c r="AU16" s="1093"/>
      <c r="AV16" s="1093"/>
      <c r="AW16" s="1093"/>
      <c r="AX16" s="1093"/>
      <c r="AY16" s="1093"/>
      <c r="AZ16" s="1093"/>
      <c r="BA16" s="1093"/>
      <c r="BB16" s="1093"/>
      <c r="BC16" s="1093"/>
      <c r="BD16" s="1093"/>
      <c r="BE16" s="1093"/>
      <c r="BF16" s="1093"/>
      <c r="BG16" s="1093"/>
      <c r="BH16" s="1093"/>
      <c r="BI16" s="1093"/>
      <c r="BJ16" s="1093"/>
      <c r="BK16" s="1093"/>
      <c r="BL16" s="1093"/>
      <c r="BM16" s="1093"/>
    </row>
    <row r="17">
      <c r="A17" s="1168"/>
      <c r="B17" s="1169"/>
      <c r="C17" s="1169"/>
      <c r="D17" s="1169"/>
      <c r="E17" s="1169"/>
      <c r="F17" s="1169"/>
      <c r="G17" s="1169"/>
      <c r="H17" s="1171"/>
      <c r="I17" s="1093"/>
      <c r="J17" s="1093"/>
      <c r="K17" s="1093"/>
      <c r="L17" s="1093"/>
      <c r="M17" s="1093"/>
      <c r="N17" s="1093"/>
      <c r="O17" s="1093"/>
      <c r="P17" s="1093"/>
      <c r="Q17" s="1093"/>
      <c r="R17" s="1093"/>
      <c r="S17" s="1093"/>
      <c r="T17" s="1093"/>
      <c r="U17" s="1093"/>
      <c r="V17" s="1093"/>
      <c r="W17" s="1093"/>
      <c r="X17" s="1093"/>
      <c r="Y17" s="1093"/>
      <c r="Z17" s="1093"/>
      <c r="AA17" s="1093"/>
      <c r="AB17" s="1093"/>
      <c r="AC17" s="1093"/>
      <c r="AD17" s="1093"/>
      <c r="AE17" s="1093"/>
      <c r="AF17" s="1093"/>
      <c r="AG17" s="1093"/>
      <c r="AH17" s="1093"/>
      <c r="AI17" s="1093"/>
      <c r="AJ17" s="1093"/>
      <c r="AK17" s="1093"/>
      <c r="AL17" s="1093"/>
      <c r="AM17" s="1093"/>
      <c r="AN17" s="1093"/>
      <c r="AO17" s="1093"/>
      <c r="AP17" s="1093"/>
      <c r="AQ17" s="1093"/>
      <c r="AR17" s="1093"/>
      <c r="AS17" s="1093"/>
      <c r="AT17" s="1093"/>
      <c r="AU17" s="1093"/>
      <c r="AV17" s="1093"/>
      <c r="AW17" s="1093"/>
      <c r="AX17" s="1093"/>
      <c r="AY17" s="1093"/>
      <c r="AZ17" s="1093"/>
      <c r="BA17" s="1093"/>
      <c r="BB17" s="1093"/>
      <c r="BC17" s="1093"/>
      <c r="BD17" s="1093"/>
      <c r="BE17" s="1093"/>
      <c r="BF17" s="1093"/>
      <c r="BG17" s="1093"/>
      <c r="BH17" s="1093"/>
      <c r="BI17" s="1093"/>
      <c r="BJ17" s="1093"/>
      <c r="BK17" s="1093"/>
      <c r="BL17" s="1093"/>
      <c r="BM17" s="1093"/>
    </row>
    <row r="18">
      <c r="A18" s="1093"/>
      <c r="B18" s="1093"/>
      <c r="C18" s="1093"/>
      <c r="D18" s="1093"/>
      <c r="E18" s="1093"/>
      <c r="F18" s="1093"/>
      <c r="G18" s="1093"/>
      <c r="H18" s="1093"/>
      <c r="I18" s="1093"/>
      <c r="J18" s="1093"/>
      <c r="K18" s="1093"/>
      <c r="L18" s="1093"/>
      <c r="M18" s="1093"/>
      <c r="N18" s="1093"/>
      <c r="O18" s="1093"/>
      <c r="P18" s="1093"/>
      <c r="Q18" s="1093"/>
      <c r="R18" s="1093"/>
      <c r="S18" s="1093"/>
      <c r="T18" s="1093"/>
      <c r="U18" s="1093"/>
      <c r="V18" s="1093"/>
      <c r="W18" s="1093"/>
      <c r="X18" s="1093"/>
      <c r="Y18" s="1093"/>
      <c r="Z18" s="1093"/>
      <c r="AA18" s="1093"/>
      <c r="AB18" s="1093"/>
      <c r="AC18" s="1093"/>
      <c r="AD18" s="1093"/>
      <c r="AE18" s="1093"/>
      <c r="AF18" s="1093"/>
      <c r="AG18" s="1093"/>
      <c r="AH18" s="1093"/>
      <c r="AI18" s="1093"/>
      <c r="AJ18" s="1093"/>
      <c r="AK18" s="1093"/>
      <c r="AL18" s="1093"/>
      <c r="AM18" s="1093"/>
      <c r="AN18" s="1093"/>
      <c r="AO18" s="1093"/>
      <c r="AP18" s="1093"/>
      <c r="AQ18" s="1093"/>
      <c r="AR18" s="1093"/>
      <c r="AS18" s="1093"/>
      <c r="AT18" s="1093"/>
      <c r="AU18" s="1093"/>
      <c r="AV18" s="1093"/>
      <c r="AW18" s="1093"/>
      <c r="AX18" s="1093"/>
      <c r="AY18" s="1093"/>
      <c r="AZ18" s="1093"/>
      <c r="BA18" s="1093"/>
      <c r="BB18" s="1093"/>
      <c r="BC18" s="1093"/>
      <c r="BD18" s="1093"/>
      <c r="BE18" s="1093"/>
      <c r="BF18" s="1093"/>
      <c r="BG18" s="1093"/>
      <c r="BH18" s="1093"/>
      <c r="BI18" s="1093"/>
      <c r="BJ18" s="1093"/>
      <c r="BK18" s="1093"/>
      <c r="BL18" s="1093"/>
      <c r="BM18" s="1093"/>
    </row>
    <row r="19">
      <c r="A19" s="1235" t="s">
        <v>1418</v>
      </c>
      <c r="B19" s="1236"/>
      <c r="C19" s="1236"/>
      <c r="D19" s="1235" t="s">
        <v>2</v>
      </c>
      <c r="E19" s="1235" t="s">
        <v>3</v>
      </c>
      <c r="F19" s="1236"/>
      <c r="G19" s="1235" t="s">
        <v>4</v>
      </c>
      <c r="H19" s="1235" t="s">
        <v>5</v>
      </c>
      <c r="I19" s="1235" t="s">
        <v>6</v>
      </c>
      <c r="J19" s="1235" t="s">
        <v>7</v>
      </c>
      <c r="K19" s="1235" t="s">
        <v>8</v>
      </c>
      <c r="L19" s="1235" t="s">
        <v>9</v>
      </c>
      <c r="M19" s="1235" t="s">
        <v>10</v>
      </c>
      <c r="N19" s="1235" t="s">
        <v>11</v>
      </c>
      <c r="O19" s="1235" t="s">
        <v>12</v>
      </c>
      <c r="P19" s="1236"/>
      <c r="Q19" s="1235" t="s">
        <v>13</v>
      </c>
      <c r="R19" s="1235" t="s">
        <v>14</v>
      </c>
      <c r="S19" s="1235" t="s">
        <v>15</v>
      </c>
      <c r="T19" s="1235" t="s">
        <v>16</v>
      </c>
      <c r="U19" s="1235" t="s">
        <v>17</v>
      </c>
      <c r="V19" s="1236"/>
      <c r="W19" s="1235" t="s">
        <v>18</v>
      </c>
      <c r="X19" s="1235" t="s">
        <v>19</v>
      </c>
      <c r="Y19" s="1235" t="s">
        <v>20</v>
      </c>
      <c r="Z19" s="1235" t="s">
        <v>21</v>
      </c>
      <c r="AA19" s="1235" t="s">
        <v>22</v>
      </c>
      <c r="AB19" s="1235" t="s">
        <v>23</v>
      </c>
      <c r="AC19" s="1235" t="s">
        <v>25</v>
      </c>
      <c r="AD19" s="1235" t="s">
        <v>26</v>
      </c>
      <c r="AE19" s="1235" t="s">
        <v>27</v>
      </c>
      <c r="AF19" s="1235" t="s">
        <v>28</v>
      </c>
      <c r="AG19" s="1235" t="s">
        <v>29</v>
      </c>
      <c r="AH19" s="1236"/>
      <c r="AI19" s="1236"/>
      <c r="AJ19" s="1235" t="s">
        <v>30</v>
      </c>
      <c r="AK19" s="1235" t="s">
        <v>31</v>
      </c>
      <c r="AL19" s="1235" t="s">
        <v>32</v>
      </c>
      <c r="AM19" s="1236"/>
      <c r="AN19" s="1235" t="s">
        <v>33</v>
      </c>
      <c r="AO19" s="1235" t="s">
        <v>34</v>
      </c>
      <c r="AP19" s="1235" t="s">
        <v>35</v>
      </c>
      <c r="AQ19" s="1235" t="s">
        <v>36</v>
      </c>
      <c r="AR19" s="1236"/>
      <c r="AS19" s="1236"/>
      <c r="AT19" s="1235" t="s">
        <v>37</v>
      </c>
      <c r="AU19" s="1235" t="s">
        <v>38</v>
      </c>
      <c r="AV19" s="1235" t="s">
        <v>39</v>
      </c>
      <c r="AW19" s="1235" t="s">
        <v>1424</v>
      </c>
      <c r="AX19" s="1236"/>
      <c r="AY19" s="1236"/>
      <c r="AZ19" s="1236"/>
      <c r="BA19" s="1236"/>
      <c r="BB19" s="1236"/>
      <c r="BC19" s="1236"/>
      <c r="BD19" s="1236"/>
      <c r="BE19" s="1236"/>
      <c r="BF19" s="1236"/>
      <c r="BG19" s="1236"/>
      <c r="BH19" s="1236"/>
      <c r="BI19" s="1236"/>
      <c r="BJ19" s="1236"/>
      <c r="BK19" s="1236"/>
      <c r="BL19" s="1236"/>
      <c r="BM19" s="1236"/>
    </row>
    <row r="20" hidden="1">
      <c r="A20" s="1" t="s">
        <v>1425</v>
      </c>
      <c r="C20" s="1" t="s">
        <v>1426</v>
      </c>
      <c r="D20" s="1" t="s">
        <v>1427</v>
      </c>
      <c r="E20" s="1" t="s">
        <v>1428</v>
      </c>
      <c r="G20" s="1" t="s">
        <v>1429</v>
      </c>
      <c r="H20" s="1" t="s">
        <v>1430</v>
      </c>
      <c r="I20" s="1" t="s">
        <v>1431</v>
      </c>
      <c r="J20" s="1" t="s">
        <v>1432</v>
      </c>
      <c r="K20" s="1" t="s">
        <v>1433</v>
      </c>
      <c r="L20" s="1" t="s">
        <v>1434</v>
      </c>
      <c r="M20" s="1" t="s">
        <v>1435</v>
      </c>
      <c r="N20" s="1" t="s">
        <v>1436</v>
      </c>
      <c r="O20" s="1" t="s">
        <v>1437</v>
      </c>
      <c r="Q20" s="1" t="s">
        <v>1438</v>
      </c>
      <c r="R20" s="1" t="s">
        <v>1439</v>
      </c>
      <c r="S20" s="1" t="s">
        <v>1440</v>
      </c>
      <c r="T20" s="1" t="s">
        <v>1441</v>
      </c>
      <c r="U20" s="1" t="s">
        <v>1442</v>
      </c>
      <c r="W20" s="1" t="s">
        <v>1443</v>
      </c>
      <c r="X20" s="1" t="s">
        <v>1444</v>
      </c>
      <c r="Y20" s="1" t="s">
        <v>1445</v>
      </c>
      <c r="Z20" s="1" t="s">
        <v>1446</v>
      </c>
      <c r="AA20" s="1" t="s">
        <v>1447</v>
      </c>
      <c r="AB20" s="1" t="s">
        <v>1448</v>
      </c>
      <c r="AC20" s="1" t="s">
        <v>1449</v>
      </c>
      <c r="AD20" s="1" t="s">
        <v>1450</v>
      </c>
      <c r="AE20" s="1" t="s">
        <v>1451</v>
      </c>
      <c r="AF20" s="1" t="s">
        <v>1452</v>
      </c>
      <c r="AG20" s="1" t="s">
        <v>1453</v>
      </c>
      <c r="AJ20" s="1" t="s">
        <v>1454</v>
      </c>
      <c r="AK20" s="1" t="s">
        <v>1455</v>
      </c>
      <c r="AL20" s="1" t="s">
        <v>1456</v>
      </c>
      <c r="AN20" s="1" t="s">
        <v>1457</v>
      </c>
      <c r="AO20" s="1" t="s">
        <v>1458</v>
      </c>
      <c r="AP20" s="1" t="s">
        <v>1459</v>
      </c>
      <c r="AQ20" s="1" t="s">
        <v>1460</v>
      </c>
      <c r="AR20" s="1" t="s">
        <v>1461</v>
      </c>
      <c r="AS20" s="1" t="s">
        <v>1462</v>
      </c>
      <c r="AT20" s="1" t="s">
        <v>1463</v>
      </c>
      <c r="AU20" s="1" t="s">
        <v>1464</v>
      </c>
      <c r="AV20" s="1" t="s">
        <v>1465</v>
      </c>
      <c r="AW20" s="1" t="s">
        <v>1467</v>
      </c>
    </row>
  </sheetData>
  <mergeCells count="5">
    <mergeCell ref="A6:G7"/>
    <mergeCell ref="A8:G9"/>
    <mergeCell ref="A10:G11"/>
    <mergeCell ref="A13:H15"/>
    <mergeCell ref="A16:H17"/>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1096"/>
      <c r="B1" s="1097"/>
      <c r="C1" s="1098"/>
      <c r="D1" s="1096"/>
      <c r="E1" s="1096"/>
      <c r="F1" s="1098"/>
      <c r="G1" s="1099"/>
      <c r="H1" s="1099"/>
      <c r="I1" s="1099"/>
      <c r="J1" s="1099"/>
    </row>
    <row r="2">
      <c r="A2" s="1100" t="s">
        <v>1314</v>
      </c>
      <c r="B2" s="1101">
        <v>44937.0</v>
      </c>
      <c r="C2" s="1102"/>
      <c r="D2" s="1100" t="s">
        <v>1315</v>
      </c>
      <c r="E2" s="1100" t="s">
        <v>1316</v>
      </c>
      <c r="F2" s="1102"/>
      <c r="G2" s="1103" t="s">
        <v>1317</v>
      </c>
      <c r="H2" s="463"/>
      <c r="I2" s="1106" t="s">
        <v>1318</v>
      </c>
      <c r="J2" s="463"/>
    </row>
    <row r="3">
      <c r="A3" s="1107" t="s">
        <v>1319</v>
      </c>
      <c r="B3" s="1108">
        <v>30.0</v>
      </c>
      <c r="C3" s="1111" t="s">
        <v>1320</v>
      </c>
      <c r="D3" s="1112"/>
      <c r="E3" s="1112"/>
      <c r="F3" s="1113"/>
      <c r="G3" s="1114" t="s">
        <v>1321</v>
      </c>
      <c r="H3" s="1115">
        <v>1442794.0</v>
      </c>
      <c r="I3" s="1116" t="s">
        <v>1322</v>
      </c>
      <c r="J3" s="1117">
        <v>58775.0</v>
      </c>
    </row>
    <row r="4">
      <c r="A4" s="1107" t="s">
        <v>1323</v>
      </c>
      <c r="B4" s="1119">
        <f>count('Sales OLD'!B39:AE39)</f>
        <v>30</v>
      </c>
      <c r="C4" s="1120"/>
      <c r="D4" s="456"/>
      <c r="E4" s="456"/>
      <c r="F4" s="460"/>
      <c r="G4" s="1114" t="s">
        <v>1324</v>
      </c>
      <c r="H4" s="1122">
        <v>6922.0</v>
      </c>
      <c r="I4" s="1116" t="s">
        <v>1325</v>
      </c>
      <c r="J4" s="1123">
        <v>230.0</v>
      </c>
    </row>
    <row r="5">
      <c r="A5" s="1124"/>
      <c r="B5" s="1125" t="s">
        <v>1326</v>
      </c>
      <c r="C5" s="463"/>
      <c r="D5" s="1125" t="s">
        <v>1327</v>
      </c>
      <c r="E5" s="1126"/>
      <c r="F5" s="463"/>
      <c r="G5" s="1114" t="s">
        <v>1328</v>
      </c>
      <c r="H5" s="1115">
        <v>509669.0</v>
      </c>
      <c r="I5" s="1116" t="s">
        <v>1329</v>
      </c>
      <c r="J5" s="1117">
        <v>16862.0</v>
      </c>
    </row>
    <row r="6">
      <c r="A6" s="1127" t="s">
        <v>1330</v>
      </c>
      <c r="B6" s="1127" t="s">
        <v>1331</v>
      </c>
      <c r="C6" s="1128" t="s">
        <v>1323</v>
      </c>
      <c r="D6" s="1127" t="s">
        <v>1327</v>
      </c>
      <c r="E6" s="1127" t="s">
        <v>1333</v>
      </c>
      <c r="F6" s="1127" t="s">
        <v>1334</v>
      </c>
      <c r="G6" s="1114" t="s">
        <v>1335</v>
      </c>
      <c r="H6" s="1130">
        <v>606911.0</v>
      </c>
      <c r="I6" s="1116" t="s">
        <v>1336</v>
      </c>
      <c r="J6" s="1131">
        <v>20230.0</v>
      </c>
    </row>
    <row r="7">
      <c r="A7" s="1132">
        <v>1.0</v>
      </c>
      <c r="B7" s="1134">
        <f t="shared" ref="B7:B36" si="1">$B$38/$B$3</f>
        <v>151666.6667</v>
      </c>
      <c r="C7" s="1136">
        <f>'Sales OLD'!B26</f>
        <v>118691.72</v>
      </c>
      <c r="D7" s="1138">
        <f t="shared" ref="D7:D36" si="2">C7/$B$4*$B$3</f>
        <v>118691.72</v>
      </c>
      <c r="E7" s="1140">
        <f t="shared" ref="E7:E36" si="3">D7/B7-1</f>
        <v>-0.2174172308</v>
      </c>
      <c r="F7" s="1142">
        <f t="shared" ref="F7:F36" si="4">D7-B7</f>
        <v>-32974.94667</v>
      </c>
      <c r="G7" s="1114" t="s">
        <v>1337</v>
      </c>
      <c r="H7" s="1122">
        <v>3.63</v>
      </c>
      <c r="I7" s="1143"/>
      <c r="J7" s="1143"/>
    </row>
    <row r="8">
      <c r="A8" s="1145">
        <v>2.0</v>
      </c>
      <c r="B8" s="1147">
        <f t="shared" si="1"/>
        <v>151666.6667</v>
      </c>
      <c r="C8" s="1148">
        <f>'Sales OLD'!C26</f>
        <v>126426.35</v>
      </c>
      <c r="D8" s="1138">
        <f t="shared" si="2"/>
        <v>126426.35</v>
      </c>
      <c r="E8" s="1150">
        <f t="shared" si="3"/>
        <v>-0.1664196703</v>
      </c>
      <c r="F8" s="1151">
        <f t="shared" si="4"/>
        <v>-25240.31667</v>
      </c>
      <c r="G8" s="1114" t="s">
        <v>1339</v>
      </c>
      <c r="H8" s="1153">
        <v>0.3</v>
      </c>
      <c r="I8" s="1155"/>
      <c r="J8" s="1143"/>
    </row>
    <row r="9">
      <c r="A9" s="1145">
        <v>3.0</v>
      </c>
      <c r="B9" s="1134">
        <f t="shared" si="1"/>
        <v>151666.6667</v>
      </c>
      <c r="C9" s="1159">
        <f>'Sales OLD'!D26</f>
        <v>129255.8</v>
      </c>
      <c r="D9" s="1138">
        <f t="shared" si="2"/>
        <v>129255.8</v>
      </c>
      <c r="E9" s="1150">
        <f t="shared" si="3"/>
        <v>-0.147763956</v>
      </c>
      <c r="F9" s="1151">
        <f t="shared" si="4"/>
        <v>-22410.86667</v>
      </c>
      <c r="G9" s="1162" t="s">
        <v>1341</v>
      </c>
      <c r="H9" s="1122" t="s">
        <v>1342</v>
      </c>
      <c r="I9" s="1143"/>
      <c r="J9" s="1143"/>
    </row>
    <row r="10">
      <c r="A10" s="1145">
        <v>4.0</v>
      </c>
      <c r="B10" s="1147">
        <f t="shared" si="1"/>
        <v>151666.6667</v>
      </c>
      <c r="C10" s="1148">
        <f>'Sales OLD'!E26</f>
        <v>163310.92</v>
      </c>
      <c r="D10" s="1138">
        <f t="shared" si="2"/>
        <v>163310.92</v>
      </c>
      <c r="E10" s="1150">
        <f t="shared" si="3"/>
        <v>0.0767752967</v>
      </c>
      <c r="F10" s="1151">
        <f t="shared" si="4"/>
        <v>11644.25333</v>
      </c>
      <c r="G10" s="1114" t="s">
        <v>1343</v>
      </c>
      <c r="H10" s="1164">
        <v>256.11</v>
      </c>
      <c r="I10" s="1143"/>
      <c r="J10" s="1143"/>
    </row>
    <row r="11">
      <c r="A11" s="1145">
        <v>5.0</v>
      </c>
      <c r="B11" s="1134">
        <f t="shared" si="1"/>
        <v>151666.6667</v>
      </c>
      <c r="C11" s="1159">
        <f>'Sales OLD'!F26</f>
        <v>171406.56</v>
      </c>
      <c r="D11" s="1138">
        <f t="shared" si="2"/>
        <v>171406.56</v>
      </c>
      <c r="E11" s="1150">
        <f t="shared" si="3"/>
        <v>0.1301531429</v>
      </c>
      <c r="F11" s="1151">
        <f t="shared" si="4"/>
        <v>19739.89333</v>
      </c>
    </row>
    <row r="12">
      <c r="A12" s="1145">
        <v>6.0</v>
      </c>
      <c r="B12" s="1147">
        <f t="shared" si="1"/>
        <v>151666.6667</v>
      </c>
      <c r="C12" s="1148">
        <f>'Sales OLD'!G26</f>
        <v>192541.66</v>
      </c>
      <c r="D12" s="1138">
        <f t="shared" si="2"/>
        <v>192541.66</v>
      </c>
      <c r="E12" s="1150">
        <f t="shared" si="3"/>
        <v>0.2695054505</v>
      </c>
      <c r="F12" s="1151">
        <f t="shared" si="4"/>
        <v>40874.99333</v>
      </c>
      <c r="G12" s="1166" t="s">
        <v>1344</v>
      </c>
      <c r="H12" s="1167" t="s">
        <v>1345</v>
      </c>
      <c r="I12" s="1167" t="s">
        <v>1346</v>
      </c>
      <c r="J12" s="1170" t="s">
        <v>1347</v>
      </c>
      <c r="K12" s="1099"/>
    </row>
    <row r="13">
      <c r="A13" s="1145">
        <v>7.0</v>
      </c>
      <c r="B13" s="1134">
        <f t="shared" si="1"/>
        <v>151666.6667</v>
      </c>
      <c r="C13" s="1159">
        <f>'Sales OLD'!H26</f>
        <v>140214.38</v>
      </c>
      <c r="D13" s="1138">
        <f t="shared" si="2"/>
        <v>140214.38</v>
      </c>
      <c r="E13" s="1150">
        <f t="shared" si="3"/>
        <v>-0.07550958242</v>
      </c>
      <c r="F13" s="1151">
        <f t="shared" si="4"/>
        <v>-11452.28667</v>
      </c>
      <c r="G13" s="1172" t="s">
        <v>1348</v>
      </c>
      <c r="H13" s="1173">
        <v>4550000.0</v>
      </c>
      <c r="I13" s="1174">
        <f>C38</f>
        <v>9386537.81</v>
      </c>
      <c r="J13" s="1175">
        <f t="shared" ref="J13:J20" si="5">I13/H13-1</f>
        <v>1.062975343</v>
      </c>
    </row>
    <row r="14">
      <c r="A14" s="1145">
        <v>8.0</v>
      </c>
      <c r="B14" s="1147">
        <f t="shared" si="1"/>
        <v>151666.6667</v>
      </c>
      <c r="C14" s="1148">
        <f>'Sales OLD'!I26</f>
        <v>140988.9</v>
      </c>
      <c r="D14" s="1138">
        <f t="shared" si="2"/>
        <v>140988.9</v>
      </c>
      <c r="E14" s="1150">
        <f t="shared" si="3"/>
        <v>-0.07040285714</v>
      </c>
      <c r="F14" s="1151">
        <f t="shared" si="4"/>
        <v>-10677.76667</v>
      </c>
      <c r="G14" s="1172" t="s">
        <v>1349</v>
      </c>
      <c r="H14" s="1176">
        <v>18000.0</v>
      </c>
      <c r="I14" s="1177">
        <f>sum('Sales OLD'!B49:AE49)</f>
        <v>40310</v>
      </c>
      <c r="J14" s="1175">
        <f t="shared" si="5"/>
        <v>1.239444444</v>
      </c>
    </row>
    <row r="15">
      <c r="A15" s="1145">
        <v>9.0</v>
      </c>
      <c r="B15" s="1134">
        <f t="shared" si="1"/>
        <v>151666.6667</v>
      </c>
      <c r="C15" s="1159">
        <f>'Sales OLD'!J26</f>
        <v>165204.94</v>
      </c>
      <c r="D15" s="1138">
        <f t="shared" si="2"/>
        <v>165204.94</v>
      </c>
      <c r="E15" s="1150">
        <f t="shared" si="3"/>
        <v>0.08926334066</v>
      </c>
      <c r="F15" s="1151">
        <f t="shared" si="4"/>
        <v>13538.27333</v>
      </c>
      <c r="G15" s="1172" t="s">
        <v>1351</v>
      </c>
      <c r="H15" s="1173">
        <v>1500000.0</v>
      </c>
      <c r="I15" s="1174">
        <f>sum('Sales OLD'!B70:AE70)</f>
        <v>2059338.262</v>
      </c>
      <c r="J15" s="1175">
        <f t="shared" si="5"/>
        <v>0.3728921747</v>
      </c>
    </row>
    <row r="16">
      <c r="A16" s="1145">
        <v>10.0</v>
      </c>
      <c r="B16" s="1147">
        <f t="shared" si="1"/>
        <v>151666.6667</v>
      </c>
      <c r="C16" s="1148">
        <f>'Sales OLD'!K26</f>
        <v>161590.12</v>
      </c>
      <c r="D16" s="1138">
        <f t="shared" si="2"/>
        <v>161590.12</v>
      </c>
      <c r="E16" s="1150">
        <f t="shared" si="3"/>
        <v>0.06542936264</v>
      </c>
      <c r="F16" s="1151">
        <f t="shared" si="4"/>
        <v>9923.453333</v>
      </c>
      <c r="G16" s="1172" t="s">
        <v>1353</v>
      </c>
      <c r="H16" s="1179">
        <f t="shared" ref="H16:I16" si="6">H13/H15</f>
        <v>3.033333333</v>
      </c>
      <c r="I16" s="1180">
        <f t="shared" si="6"/>
        <v>4.55803594</v>
      </c>
      <c r="J16" s="1175">
        <f t="shared" si="5"/>
        <v>0.5026492109</v>
      </c>
    </row>
    <row r="17">
      <c r="A17" s="1145">
        <v>11.0</v>
      </c>
      <c r="B17" s="1134">
        <f t="shared" si="1"/>
        <v>151666.6667</v>
      </c>
      <c r="C17" s="1159">
        <f>'Sales OLD'!L26</f>
        <v>219152.36</v>
      </c>
      <c r="D17" s="1138">
        <f t="shared" si="2"/>
        <v>219152.36</v>
      </c>
      <c r="E17" s="1150">
        <f t="shared" si="3"/>
        <v>0.4449606154</v>
      </c>
      <c r="F17" s="1151">
        <f t="shared" si="4"/>
        <v>67485.69333</v>
      </c>
      <c r="G17" s="1172" t="s">
        <v>1354</v>
      </c>
      <c r="H17" s="1181">
        <f t="shared" ref="H17:I17" si="7">H15/H13</f>
        <v>0.3296703297</v>
      </c>
      <c r="I17" s="1182">
        <f t="shared" si="7"/>
        <v>0.2193927414</v>
      </c>
      <c r="J17" s="1175">
        <f t="shared" si="5"/>
        <v>-0.3345086845</v>
      </c>
    </row>
    <row r="18">
      <c r="A18" s="1145">
        <v>12.0</v>
      </c>
      <c r="B18" s="1147">
        <f t="shared" si="1"/>
        <v>151666.6667</v>
      </c>
      <c r="C18" s="1147">
        <f>'Sales OLD'!M26</f>
        <v>216260.72</v>
      </c>
      <c r="D18" s="1138">
        <f t="shared" si="2"/>
        <v>216260.72</v>
      </c>
      <c r="E18" s="1150">
        <f t="shared" si="3"/>
        <v>0.4258948571</v>
      </c>
      <c r="F18" s="1151">
        <f t="shared" si="4"/>
        <v>64594.05333</v>
      </c>
      <c r="G18" s="1172" t="s">
        <v>1356</v>
      </c>
      <c r="H18" s="1184">
        <v>0.0125</v>
      </c>
      <c r="I18" s="1182">
        <f>L18/I20</f>
        <v>0.03198554411</v>
      </c>
      <c r="J18" s="1175">
        <f t="shared" si="5"/>
        <v>1.558843529</v>
      </c>
      <c r="K18" s="1" t="s">
        <v>1358</v>
      </c>
      <c r="L18" s="1160">
        <f>sum('Sales OLD'!B39:AE39)</f>
        <v>28835</v>
      </c>
    </row>
    <row r="19">
      <c r="A19" s="1145">
        <v>13.0</v>
      </c>
      <c r="B19" s="1134">
        <f t="shared" si="1"/>
        <v>151666.6667</v>
      </c>
      <c r="C19" s="1187">
        <f>'Sales OLD'!N26</f>
        <v>186379.37</v>
      </c>
      <c r="D19" s="1138">
        <f t="shared" si="2"/>
        <v>186379.37</v>
      </c>
      <c r="E19" s="1150">
        <f t="shared" si="3"/>
        <v>0.228874967</v>
      </c>
      <c r="F19" s="1151">
        <f t="shared" si="4"/>
        <v>34712.70333</v>
      </c>
      <c r="G19" s="1172" t="s">
        <v>1364</v>
      </c>
      <c r="H19" s="1189">
        <f t="shared" ref="H19:I19" si="8">H13/H14</f>
        <v>252.7777778</v>
      </c>
      <c r="I19" s="1189">
        <f t="shared" si="8"/>
        <v>232.8587896</v>
      </c>
      <c r="J19" s="1175">
        <f t="shared" si="5"/>
        <v>-0.07880039267</v>
      </c>
    </row>
    <row r="20">
      <c r="A20" s="1145">
        <v>14.0</v>
      </c>
      <c r="B20" s="1147">
        <f t="shared" si="1"/>
        <v>151666.6667</v>
      </c>
      <c r="C20" s="1147">
        <f>'Sales OLD'!O26</f>
        <v>195015.6</v>
      </c>
      <c r="D20" s="1138">
        <f t="shared" si="2"/>
        <v>195015.6</v>
      </c>
      <c r="E20" s="1150">
        <f t="shared" si="3"/>
        <v>0.2858171429</v>
      </c>
      <c r="F20" s="1151">
        <f t="shared" si="4"/>
        <v>43348.93333</v>
      </c>
      <c r="G20" s="1172" t="s">
        <v>1367</v>
      </c>
      <c r="H20" s="1192">
        <f>H14/H18</f>
        <v>1440000</v>
      </c>
      <c r="I20" s="1192">
        <f>sum(C83:C113)</f>
        <v>901501</v>
      </c>
      <c r="J20" s="1175">
        <f t="shared" si="5"/>
        <v>-0.3739576389</v>
      </c>
    </row>
    <row r="21">
      <c r="A21" s="1145">
        <v>15.0</v>
      </c>
      <c r="B21" s="1134">
        <f t="shared" si="1"/>
        <v>151666.6667</v>
      </c>
      <c r="C21" s="1187">
        <f>'Sales OLD'!P26</f>
        <v>179858.05</v>
      </c>
      <c r="D21" s="1138">
        <f t="shared" si="2"/>
        <v>179858.05</v>
      </c>
      <c r="E21" s="1150">
        <f t="shared" si="3"/>
        <v>0.1858772527</v>
      </c>
      <c r="F21" s="1151">
        <f t="shared" si="4"/>
        <v>28191.38333</v>
      </c>
      <c r="G21" s="1195"/>
      <c r="H21" s="1099"/>
    </row>
    <row r="22">
      <c r="A22" s="1145">
        <v>16.0</v>
      </c>
      <c r="B22" s="1147">
        <f t="shared" si="1"/>
        <v>151666.6667</v>
      </c>
      <c r="C22" s="1147">
        <f>'Sales OLD'!Q26</f>
        <v>178035.85</v>
      </c>
      <c r="D22" s="1138">
        <f t="shared" si="2"/>
        <v>178035.85</v>
      </c>
      <c r="E22" s="1150">
        <f t="shared" si="3"/>
        <v>0.1738627473</v>
      </c>
      <c r="F22" s="1151">
        <f t="shared" si="4"/>
        <v>26369.18333</v>
      </c>
      <c r="G22" s="1198" t="s">
        <v>1377</v>
      </c>
      <c r="H22" s="1199" t="s">
        <v>1378</v>
      </c>
      <c r="I22" s="1201" t="s">
        <v>1379</v>
      </c>
    </row>
    <row r="23">
      <c r="A23" s="1145">
        <v>17.0</v>
      </c>
      <c r="B23" s="1134">
        <f t="shared" si="1"/>
        <v>151666.6667</v>
      </c>
      <c r="C23" s="1187">
        <f>'Sales OLD'!R26</f>
        <v>185675.37</v>
      </c>
      <c r="D23" s="1138">
        <f t="shared" si="2"/>
        <v>185675.37</v>
      </c>
      <c r="E23" s="1150">
        <f t="shared" si="3"/>
        <v>0.2242332088</v>
      </c>
      <c r="F23" s="1151">
        <f t="shared" si="4"/>
        <v>34008.70333</v>
      </c>
      <c r="G23" s="1198"/>
      <c r="H23" s="1205"/>
      <c r="I23" s="1206"/>
    </row>
    <row r="24">
      <c r="A24" s="1145">
        <v>18.0</v>
      </c>
      <c r="B24" s="1147">
        <f t="shared" si="1"/>
        <v>151666.6667</v>
      </c>
      <c r="C24" s="1147">
        <f>'Sales OLD'!S26</f>
        <v>235148.25</v>
      </c>
      <c r="D24" s="1138">
        <f t="shared" si="2"/>
        <v>235148.25</v>
      </c>
      <c r="E24" s="1150">
        <f t="shared" si="3"/>
        <v>0.550428022</v>
      </c>
      <c r="F24" s="1151">
        <f t="shared" si="4"/>
        <v>83481.58333</v>
      </c>
      <c r="G24" s="1198"/>
      <c r="H24" s="1207"/>
      <c r="I24" s="1207"/>
    </row>
    <row r="25">
      <c r="A25" s="1145">
        <v>19.0</v>
      </c>
      <c r="B25" s="1134">
        <f t="shared" si="1"/>
        <v>151666.6667</v>
      </c>
      <c r="C25" s="1187">
        <f>'Sales OLD'!T26</f>
        <v>222731.19</v>
      </c>
      <c r="D25" s="1138">
        <f t="shared" si="2"/>
        <v>222731.19</v>
      </c>
      <c r="E25" s="1150">
        <f t="shared" si="3"/>
        <v>0.4685572967</v>
      </c>
      <c r="F25" s="1151">
        <f t="shared" si="4"/>
        <v>71064.52333</v>
      </c>
      <c r="G25" s="1198"/>
      <c r="H25" s="1208"/>
      <c r="I25" s="1206"/>
    </row>
    <row r="26">
      <c r="A26" s="1145">
        <v>20.0</v>
      </c>
      <c r="B26" s="1147">
        <f t="shared" si="1"/>
        <v>151666.6667</v>
      </c>
      <c r="C26" s="1147">
        <f>'Sales OLD'!U26</f>
        <v>296979.09</v>
      </c>
      <c r="D26" s="1138">
        <f t="shared" si="2"/>
        <v>296979.09</v>
      </c>
      <c r="E26" s="1150">
        <f t="shared" si="3"/>
        <v>0.9581038901</v>
      </c>
      <c r="F26" s="1151">
        <f t="shared" si="4"/>
        <v>145312.4233</v>
      </c>
      <c r="G26" s="1212"/>
      <c r="H26" s="1207"/>
      <c r="I26" s="1206"/>
    </row>
    <row r="27">
      <c r="A27" s="1145">
        <v>21.0</v>
      </c>
      <c r="B27" s="1134">
        <f t="shared" si="1"/>
        <v>151666.6667</v>
      </c>
      <c r="C27" s="1187">
        <f>'Sales OLD'!V26</f>
        <v>301265.98</v>
      </c>
      <c r="D27" s="1138">
        <f t="shared" si="2"/>
        <v>301265.98</v>
      </c>
      <c r="E27" s="1150">
        <f t="shared" si="3"/>
        <v>0.9863690989</v>
      </c>
      <c r="F27" s="1151">
        <f t="shared" si="4"/>
        <v>149599.3133</v>
      </c>
      <c r="G27" s="1212"/>
      <c r="H27" s="1207"/>
      <c r="I27" s="1206"/>
    </row>
    <row r="28">
      <c r="A28" s="1145">
        <v>22.0</v>
      </c>
      <c r="B28" s="1147">
        <f t="shared" si="1"/>
        <v>151666.6667</v>
      </c>
      <c r="C28" s="1147">
        <f>'Sales OLD'!W26</f>
        <v>403977.19</v>
      </c>
      <c r="D28" s="1138">
        <f t="shared" si="2"/>
        <v>403977.19</v>
      </c>
      <c r="E28" s="1150">
        <f t="shared" si="3"/>
        <v>1.663585868</v>
      </c>
      <c r="F28" s="1151">
        <f t="shared" si="4"/>
        <v>252310.5233</v>
      </c>
      <c r="G28" s="1198"/>
      <c r="H28" s="1215"/>
      <c r="I28" s="1206"/>
    </row>
    <row r="29">
      <c r="A29" s="1145">
        <v>23.0</v>
      </c>
      <c r="B29" s="1134">
        <f t="shared" si="1"/>
        <v>151666.6667</v>
      </c>
      <c r="C29" s="1187">
        <f>'Sales OLD'!X26</f>
        <v>530195.75</v>
      </c>
      <c r="D29" s="1138">
        <f t="shared" si="2"/>
        <v>530195.75</v>
      </c>
      <c r="E29" s="1150">
        <f t="shared" si="3"/>
        <v>2.495796154</v>
      </c>
      <c r="F29" s="1151">
        <f t="shared" si="4"/>
        <v>378529.0833</v>
      </c>
      <c r="G29" s="1212"/>
      <c r="H29" s="1205"/>
      <c r="I29" s="1206"/>
    </row>
    <row r="30">
      <c r="A30" s="1145">
        <v>24.0</v>
      </c>
      <c r="B30" s="1147">
        <f t="shared" si="1"/>
        <v>151666.6667</v>
      </c>
      <c r="C30" s="1147">
        <f>'Sales OLD'!Y26</f>
        <v>1636083.34</v>
      </c>
      <c r="D30" s="1138">
        <f t="shared" si="2"/>
        <v>1636083.34</v>
      </c>
      <c r="E30" s="1150">
        <f t="shared" si="3"/>
        <v>9.787362681</v>
      </c>
      <c r="F30" s="1151">
        <f t="shared" si="4"/>
        <v>1484416.673</v>
      </c>
    </row>
    <row r="31">
      <c r="A31" s="1145">
        <v>25.0</v>
      </c>
      <c r="B31" s="1134">
        <f t="shared" si="1"/>
        <v>151666.6667</v>
      </c>
      <c r="C31" s="1187">
        <f>'Sales OLD'!Z26</f>
        <v>823967.67</v>
      </c>
      <c r="D31" s="1138">
        <f t="shared" si="2"/>
        <v>823967.67</v>
      </c>
      <c r="E31" s="1150">
        <f t="shared" si="3"/>
        <v>4.432753868</v>
      </c>
      <c r="F31" s="1151">
        <f t="shared" si="4"/>
        <v>672301.0033</v>
      </c>
    </row>
    <row r="32">
      <c r="A32" s="1145">
        <v>26.0</v>
      </c>
      <c r="B32" s="1147">
        <f t="shared" si="1"/>
        <v>151666.6667</v>
      </c>
      <c r="C32" s="1147">
        <f>'Sales OLD'!AA26</f>
        <v>686571.84</v>
      </c>
      <c r="D32" s="1138">
        <f t="shared" si="2"/>
        <v>686571.84</v>
      </c>
      <c r="E32" s="1150">
        <f t="shared" si="3"/>
        <v>3.526847297</v>
      </c>
      <c r="F32" s="1151">
        <f t="shared" si="4"/>
        <v>534905.1733</v>
      </c>
    </row>
    <row r="33">
      <c r="A33" s="1145">
        <v>27.0</v>
      </c>
      <c r="B33" s="1134">
        <f t="shared" si="1"/>
        <v>151666.6667</v>
      </c>
      <c r="C33" s="1187">
        <f>'Sales OLD'!AB26</f>
        <v>697083.67</v>
      </c>
      <c r="D33" s="1138">
        <f t="shared" si="2"/>
        <v>697083.67</v>
      </c>
      <c r="E33" s="1150">
        <f t="shared" si="3"/>
        <v>3.596156066</v>
      </c>
      <c r="F33" s="1151">
        <f t="shared" si="4"/>
        <v>545417.0033</v>
      </c>
    </row>
    <row r="34">
      <c r="A34" s="1145">
        <v>28.0</v>
      </c>
      <c r="B34" s="1147">
        <f t="shared" si="1"/>
        <v>151666.6667</v>
      </c>
      <c r="C34" s="1147">
        <f>'Sales OLD'!AC26</f>
        <v>483028.34</v>
      </c>
      <c r="D34" s="1138">
        <f t="shared" si="2"/>
        <v>483028.34</v>
      </c>
      <c r="E34" s="1150">
        <f t="shared" si="3"/>
        <v>2.184802242</v>
      </c>
      <c r="F34" s="1151">
        <f t="shared" si="4"/>
        <v>331361.6733</v>
      </c>
    </row>
    <row r="35">
      <c r="A35" s="1145">
        <v>29.0</v>
      </c>
      <c r="B35" s="1134">
        <f t="shared" si="1"/>
        <v>151666.6667</v>
      </c>
      <c r="C35" s="1187">
        <f>'Sales OLD'!AD26</f>
        <v>103654.37</v>
      </c>
      <c r="D35" s="1138">
        <f t="shared" si="2"/>
        <v>103654.37</v>
      </c>
      <c r="E35" s="1150">
        <f t="shared" si="3"/>
        <v>-0.3165645934</v>
      </c>
      <c r="F35" s="1151">
        <f t="shared" si="4"/>
        <v>-48012.29667</v>
      </c>
    </row>
    <row r="36">
      <c r="A36" s="1145">
        <v>30.0</v>
      </c>
      <c r="B36" s="1147">
        <f t="shared" si="1"/>
        <v>151666.6667</v>
      </c>
      <c r="C36" s="1147">
        <f>'Sales OLD'!AE26</f>
        <v>95842.46</v>
      </c>
      <c r="D36" s="1138">
        <f t="shared" si="2"/>
        <v>95842.46</v>
      </c>
      <c r="E36" s="1150">
        <f t="shared" si="3"/>
        <v>-0.3680716923</v>
      </c>
      <c r="F36" s="1151">
        <f t="shared" si="4"/>
        <v>-55824.20667</v>
      </c>
    </row>
    <row r="37">
      <c r="A37" s="1145">
        <v>31.0</v>
      </c>
      <c r="B37" s="1147"/>
      <c r="C37" s="1147"/>
      <c r="D37" s="1138"/>
      <c r="E37" s="1150"/>
      <c r="F37" s="1151"/>
    </row>
    <row r="38">
      <c r="A38" s="1218" t="s">
        <v>1391</v>
      </c>
      <c r="B38" s="1220">
        <f>H13</f>
        <v>4550000</v>
      </c>
      <c r="C38" s="1220">
        <f>sum(C7:C37)</f>
        <v>9386537.81</v>
      </c>
      <c r="D38" s="1221">
        <f>C38/$B$4*$B$3</f>
        <v>9386537.81</v>
      </c>
      <c r="E38" s="1222">
        <f>D38/B38-1</f>
        <v>1.062975343</v>
      </c>
      <c r="F38" s="1220">
        <f>D38-B38</f>
        <v>4836537.81</v>
      </c>
    </row>
    <row r="40">
      <c r="A40" s="1100" t="s">
        <v>1314</v>
      </c>
      <c r="B40" s="1101">
        <v>44937.0</v>
      </c>
      <c r="C40" s="1102"/>
      <c r="D40" s="1100" t="s">
        <v>1315</v>
      </c>
      <c r="E40" s="1100" t="s">
        <v>1316</v>
      </c>
      <c r="F40" s="1102"/>
    </row>
    <row r="41">
      <c r="A41" s="1107" t="s">
        <v>1319</v>
      </c>
      <c r="B41" s="1108">
        <v>30.0</v>
      </c>
      <c r="C41" s="1111" t="s">
        <v>1394</v>
      </c>
      <c r="D41" s="1112"/>
      <c r="E41" s="1112"/>
      <c r="F41" s="1113"/>
    </row>
    <row r="42">
      <c r="A42" s="1107" t="s">
        <v>1323</v>
      </c>
      <c r="B42" s="1119">
        <f>COUNT('Sales OLD'!B39:AE39)</f>
        <v>30</v>
      </c>
      <c r="C42" s="1120"/>
      <c r="D42" s="456"/>
      <c r="E42" s="456"/>
      <c r="F42" s="460"/>
    </row>
    <row r="43">
      <c r="A43" s="1124"/>
      <c r="B43" s="1125" t="s">
        <v>1326</v>
      </c>
      <c r="C43" s="463"/>
      <c r="D43" s="1125" t="s">
        <v>1327</v>
      </c>
      <c r="E43" s="1126"/>
      <c r="F43" s="463"/>
    </row>
    <row r="44">
      <c r="A44" s="1127" t="s">
        <v>1330</v>
      </c>
      <c r="B44" s="1127" t="s">
        <v>1396</v>
      </c>
      <c r="C44" s="1128" t="s">
        <v>1323</v>
      </c>
      <c r="D44" s="1127" t="s">
        <v>1327</v>
      </c>
      <c r="E44" s="1127" t="s">
        <v>1333</v>
      </c>
      <c r="F44" s="1127" t="s">
        <v>1334</v>
      </c>
    </row>
    <row r="45">
      <c r="A45" s="1132">
        <v>1.0</v>
      </c>
      <c r="B45" s="1136">
        <f t="shared" ref="B45:B74" si="9">$B$76/$B$41</f>
        <v>50000</v>
      </c>
      <c r="C45" s="1136">
        <f>'Sales OLD'!B70</f>
        <v>40677.36</v>
      </c>
      <c r="D45" s="1138">
        <f t="shared" ref="D45:D74" si="10">C45/$B$4*$B$3</f>
        <v>40677.36</v>
      </c>
      <c r="E45" s="1140">
        <f t="shared" ref="E45:E74" si="11">D45/B45-1</f>
        <v>-0.1864528</v>
      </c>
      <c r="F45" s="1142">
        <f t="shared" ref="F45:F74" si="12">D45-B45</f>
        <v>-9322.64</v>
      </c>
    </row>
    <row r="46">
      <c r="A46" s="1145">
        <v>2.0</v>
      </c>
      <c r="B46" s="1148">
        <f t="shared" si="9"/>
        <v>50000</v>
      </c>
      <c r="C46" s="1148">
        <f>'Sales OLD'!C70</f>
        <v>37965.01</v>
      </c>
      <c r="D46" s="1138">
        <f t="shared" si="10"/>
        <v>37965.01</v>
      </c>
      <c r="E46" s="1150">
        <f t="shared" si="11"/>
        <v>-0.2406998</v>
      </c>
      <c r="F46" s="1151">
        <f t="shared" si="12"/>
        <v>-12034.99</v>
      </c>
    </row>
    <row r="47">
      <c r="A47" s="1145">
        <v>3.0</v>
      </c>
      <c r="B47" s="1136">
        <f t="shared" si="9"/>
        <v>50000</v>
      </c>
      <c r="C47" s="1159">
        <f>'Sales OLD'!D70</f>
        <v>40902.07</v>
      </c>
      <c r="D47" s="1138">
        <f t="shared" si="10"/>
        <v>40902.07</v>
      </c>
      <c r="E47" s="1150">
        <f t="shared" si="11"/>
        <v>-0.1819586</v>
      </c>
      <c r="F47" s="1151">
        <f t="shared" si="12"/>
        <v>-9097.93</v>
      </c>
    </row>
    <row r="48">
      <c r="A48" s="1145">
        <v>4.0</v>
      </c>
      <c r="B48" s="1148">
        <f t="shared" si="9"/>
        <v>50000</v>
      </c>
      <c r="C48" s="1148">
        <f>'Sales OLD'!E70</f>
        <v>48641.216</v>
      </c>
      <c r="D48" s="1138">
        <f t="shared" si="10"/>
        <v>48641.216</v>
      </c>
      <c r="E48" s="1150">
        <f t="shared" si="11"/>
        <v>-0.02717568</v>
      </c>
      <c r="F48" s="1151">
        <f t="shared" si="12"/>
        <v>-1358.784</v>
      </c>
    </row>
    <row r="49">
      <c r="A49" s="1145">
        <v>5.0</v>
      </c>
      <c r="B49" s="1136">
        <f t="shared" si="9"/>
        <v>50000</v>
      </c>
      <c r="C49" s="1159">
        <f>'Sales OLD'!F70</f>
        <v>47036.252</v>
      </c>
      <c r="D49" s="1138">
        <f t="shared" si="10"/>
        <v>47036.252</v>
      </c>
      <c r="E49" s="1150">
        <f t="shared" si="11"/>
        <v>-0.05927496</v>
      </c>
      <c r="F49" s="1151">
        <f t="shared" si="12"/>
        <v>-2963.748</v>
      </c>
    </row>
    <row r="50">
      <c r="A50" s="1145">
        <v>6.0</v>
      </c>
      <c r="B50" s="1148">
        <f t="shared" si="9"/>
        <v>50000</v>
      </c>
      <c r="C50" s="1148">
        <f>'Sales OLD'!G70</f>
        <v>51514.19</v>
      </c>
      <c r="D50" s="1138">
        <f t="shared" si="10"/>
        <v>51514.19</v>
      </c>
      <c r="E50" s="1150">
        <f t="shared" si="11"/>
        <v>0.0302838</v>
      </c>
      <c r="F50" s="1151">
        <f t="shared" si="12"/>
        <v>1514.19</v>
      </c>
    </row>
    <row r="51">
      <c r="A51" s="1145">
        <v>7.0</v>
      </c>
      <c r="B51" s="1136">
        <f t="shared" si="9"/>
        <v>50000</v>
      </c>
      <c r="C51" s="1159">
        <f>'Sales OLD'!H70</f>
        <v>39309.058</v>
      </c>
      <c r="D51" s="1138">
        <f t="shared" si="10"/>
        <v>39309.058</v>
      </c>
      <c r="E51" s="1150">
        <f t="shared" si="11"/>
        <v>-0.21381884</v>
      </c>
      <c r="F51" s="1151">
        <f t="shared" si="12"/>
        <v>-10690.942</v>
      </c>
    </row>
    <row r="52">
      <c r="A52" s="1145">
        <v>8.0</v>
      </c>
      <c r="B52" s="1148">
        <f t="shared" si="9"/>
        <v>50000</v>
      </c>
      <c r="C52" s="1148">
        <f>'Sales OLD'!I70</f>
        <v>44740.44</v>
      </c>
      <c r="D52" s="1138">
        <f t="shared" si="10"/>
        <v>44740.44</v>
      </c>
      <c r="E52" s="1150">
        <f t="shared" si="11"/>
        <v>-0.1051912</v>
      </c>
      <c r="F52" s="1151">
        <f t="shared" si="12"/>
        <v>-5259.56</v>
      </c>
    </row>
    <row r="53">
      <c r="A53" s="1145">
        <v>9.0</v>
      </c>
      <c r="B53" s="1136">
        <f t="shared" si="9"/>
        <v>50000</v>
      </c>
      <c r="C53" s="1159">
        <f>'Sales OLD'!J70</f>
        <v>53968.958</v>
      </c>
      <c r="D53" s="1138">
        <f t="shared" si="10"/>
        <v>53968.958</v>
      </c>
      <c r="E53" s="1150">
        <f t="shared" si="11"/>
        <v>0.07937916</v>
      </c>
      <c r="F53" s="1151">
        <f t="shared" si="12"/>
        <v>3968.958</v>
      </c>
    </row>
    <row r="54">
      <c r="A54" s="1145">
        <v>10.0</v>
      </c>
      <c r="B54" s="1148">
        <f t="shared" si="9"/>
        <v>50000</v>
      </c>
      <c r="C54" s="1148">
        <f>'Sales OLD'!K70</f>
        <v>50839.174</v>
      </c>
      <c r="D54" s="1138">
        <f t="shared" si="10"/>
        <v>50839.174</v>
      </c>
      <c r="E54" s="1150">
        <f t="shared" si="11"/>
        <v>0.01678348</v>
      </c>
      <c r="F54" s="1151">
        <f t="shared" si="12"/>
        <v>839.174</v>
      </c>
    </row>
    <row r="55">
      <c r="A55" s="1145">
        <v>11.0</v>
      </c>
      <c r="B55" s="1136">
        <f t="shared" si="9"/>
        <v>50000</v>
      </c>
      <c r="C55" s="1159">
        <f>'Sales OLD'!L70</f>
        <v>43324.544</v>
      </c>
      <c r="D55" s="1138">
        <f t="shared" si="10"/>
        <v>43324.544</v>
      </c>
      <c r="E55" s="1150">
        <f t="shared" si="11"/>
        <v>-0.13350912</v>
      </c>
      <c r="F55" s="1151">
        <f t="shared" si="12"/>
        <v>-6675.456</v>
      </c>
    </row>
    <row r="56">
      <c r="A56" s="1145">
        <v>12.0</v>
      </c>
      <c r="B56" s="1148">
        <f t="shared" si="9"/>
        <v>50000</v>
      </c>
      <c r="C56" s="1147">
        <f>'Sales OLD'!M70</f>
        <v>45788.442</v>
      </c>
      <c r="D56" s="1138">
        <f t="shared" si="10"/>
        <v>45788.442</v>
      </c>
      <c r="E56" s="1150">
        <f t="shared" si="11"/>
        <v>-0.08423116</v>
      </c>
      <c r="F56" s="1151">
        <f t="shared" si="12"/>
        <v>-4211.558</v>
      </c>
    </row>
    <row r="57">
      <c r="A57" s="1145">
        <v>13.0</v>
      </c>
      <c r="B57" s="1136">
        <f t="shared" si="9"/>
        <v>50000</v>
      </c>
      <c r="C57" s="1187">
        <f>'Sales OLD'!N70</f>
        <v>42995.022</v>
      </c>
      <c r="D57" s="1138">
        <f t="shared" si="10"/>
        <v>42995.022</v>
      </c>
      <c r="E57" s="1150">
        <f t="shared" si="11"/>
        <v>-0.14009956</v>
      </c>
      <c r="F57" s="1151">
        <f t="shared" si="12"/>
        <v>-7004.978</v>
      </c>
    </row>
    <row r="58">
      <c r="A58" s="1145">
        <v>14.0</v>
      </c>
      <c r="B58" s="1148">
        <f t="shared" si="9"/>
        <v>50000</v>
      </c>
      <c r="C58" s="1147">
        <f>'Sales OLD'!O70</f>
        <v>41957.19</v>
      </c>
      <c r="D58" s="1138">
        <f t="shared" si="10"/>
        <v>41957.19</v>
      </c>
      <c r="E58" s="1150">
        <f t="shared" si="11"/>
        <v>-0.1608562</v>
      </c>
      <c r="F58" s="1151">
        <f t="shared" si="12"/>
        <v>-8042.81</v>
      </c>
    </row>
    <row r="59">
      <c r="A59" s="1145">
        <v>15.0</v>
      </c>
      <c r="B59" s="1136">
        <f t="shared" si="9"/>
        <v>50000</v>
      </c>
      <c r="C59" s="1187">
        <f>'Sales OLD'!P70</f>
        <v>45303.35</v>
      </c>
      <c r="D59" s="1138">
        <f t="shared" si="10"/>
        <v>45303.35</v>
      </c>
      <c r="E59" s="1150">
        <f t="shared" si="11"/>
        <v>-0.093933</v>
      </c>
      <c r="F59" s="1151">
        <f t="shared" si="12"/>
        <v>-4696.65</v>
      </c>
    </row>
    <row r="60">
      <c r="A60" s="1145">
        <v>16.0</v>
      </c>
      <c r="B60" s="1148">
        <f t="shared" si="9"/>
        <v>50000</v>
      </c>
      <c r="C60" s="1147">
        <f>'Sales OLD'!Q70</f>
        <v>48288.52</v>
      </c>
      <c r="D60" s="1138">
        <f t="shared" si="10"/>
        <v>48288.52</v>
      </c>
      <c r="E60" s="1150">
        <f t="shared" si="11"/>
        <v>-0.0342296</v>
      </c>
      <c r="F60" s="1151">
        <f t="shared" si="12"/>
        <v>-1711.48</v>
      </c>
    </row>
    <row r="61">
      <c r="A61" s="1145">
        <v>17.0</v>
      </c>
      <c r="B61" s="1136">
        <f t="shared" si="9"/>
        <v>50000</v>
      </c>
      <c r="C61" s="1187">
        <f>'Sales OLD'!R70</f>
        <v>43714.698</v>
      </c>
      <c r="D61" s="1138">
        <f t="shared" si="10"/>
        <v>43714.698</v>
      </c>
      <c r="E61" s="1150">
        <f t="shared" si="11"/>
        <v>-0.12570604</v>
      </c>
      <c r="F61" s="1151">
        <f t="shared" si="12"/>
        <v>-6285.302</v>
      </c>
    </row>
    <row r="62">
      <c r="A62" s="1145">
        <v>18.0</v>
      </c>
      <c r="B62" s="1148">
        <f t="shared" si="9"/>
        <v>50000</v>
      </c>
      <c r="C62" s="1147">
        <f>'Sales OLD'!S70</f>
        <v>48253.836</v>
      </c>
      <c r="D62" s="1138">
        <f t="shared" si="10"/>
        <v>48253.836</v>
      </c>
      <c r="E62" s="1150">
        <f t="shared" si="11"/>
        <v>-0.03492328</v>
      </c>
      <c r="F62" s="1151">
        <f t="shared" si="12"/>
        <v>-1746.164</v>
      </c>
    </row>
    <row r="63">
      <c r="A63" s="1145">
        <v>19.0</v>
      </c>
      <c r="B63" s="1136">
        <f t="shared" si="9"/>
        <v>50000</v>
      </c>
      <c r="C63" s="1187">
        <f>'Sales OLD'!T70</f>
        <v>52813.094</v>
      </c>
      <c r="D63" s="1138">
        <f t="shared" si="10"/>
        <v>52813.094</v>
      </c>
      <c r="E63" s="1150">
        <f t="shared" si="11"/>
        <v>0.05626188</v>
      </c>
      <c r="F63" s="1151">
        <f t="shared" si="12"/>
        <v>2813.094</v>
      </c>
    </row>
    <row r="64">
      <c r="A64" s="1145">
        <v>20.0</v>
      </c>
      <c r="B64" s="1148">
        <f t="shared" si="9"/>
        <v>50000</v>
      </c>
      <c r="C64" s="1147">
        <f>'Sales OLD'!U70</f>
        <v>63239.16</v>
      </c>
      <c r="D64" s="1138">
        <f t="shared" si="10"/>
        <v>63239.16</v>
      </c>
      <c r="E64" s="1150">
        <f t="shared" si="11"/>
        <v>0.2647832</v>
      </c>
      <c r="F64" s="1151">
        <f t="shared" si="12"/>
        <v>13239.16</v>
      </c>
    </row>
    <row r="65">
      <c r="A65" s="1145">
        <v>21.0</v>
      </c>
      <c r="B65" s="1136">
        <f t="shared" si="9"/>
        <v>50000</v>
      </c>
      <c r="C65" s="1187">
        <f>'Sales OLD'!V70</f>
        <v>69495.074</v>
      </c>
      <c r="D65" s="1138">
        <f t="shared" si="10"/>
        <v>69495.074</v>
      </c>
      <c r="E65" s="1150">
        <f t="shared" si="11"/>
        <v>0.38990148</v>
      </c>
      <c r="F65" s="1151">
        <f t="shared" si="12"/>
        <v>19495.074</v>
      </c>
    </row>
    <row r="66">
      <c r="A66" s="1145">
        <v>22.0</v>
      </c>
      <c r="B66" s="1148">
        <f t="shared" si="9"/>
        <v>50000</v>
      </c>
      <c r="C66" s="1147">
        <f>'Sales OLD'!W70</f>
        <v>79023.354</v>
      </c>
      <c r="D66" s="1138">
        <f t="shared" si="10"/>
        <v>79023.354</v>
      </c>
      <c r="E66" s="1150">
        <f t="shared" si="11"/>
        <v>0.58046708</v>
      </c>
      <c r="F66" s="1151">
        <f t="shared" si="12"/>
        <v>29023.354</v>
      </c>
    </row>
    <row r="67">
      <c r="A67" s="1145">
        <v>23.0</v>
      </c>
      <c r="B67" s="1136">
        <f t="shared" si="9"/>
        <v>50000</v>
      </c>
      <c r="C67" s="1187">
        <f>'Sales OLD'!X70</f>
        <v>129942.306</v>
      </c>
      <c r="D67" s="1138">
        <f t="shared" si="10"/>
        <v>129942.306</v>
      </c>
      <c r="E67" s="1150">
        <f t="shared" si="11"/>
        <v>1.59884612</v>
      </c>
      <c r="F67" s="1151">
        <f t="shared" si="12"/>
        <v>79942.306</v>
      </c>
    </row>
    <row r="68">
      <c r="A68" s="1145">
        <v>24.0</v>
      </c>
      <c r="B68" s="1148">
        <f t="shared" si="9"/>
        <v>50000</v>
      </c>
      <c r="C68" s="1147">
        <f>'Sales OLD'!Y70</f>
        <v>244379.672</v>
      </c>
      <c r="D68" s="1138">
        <f t="shared" si="10"/>
        <v>244379.672</v>
      </c>
      <c r="E68" s="1150">
        <f t="shared" si="11"/>
        <v>3.88759344</v>
      </c>
      <c r="F68" s="1151">
        <f t="shared" si="12"/>
        <v>194379.672</v>
      </c>
    </row>
    <row r="69">
      <c r="A69" s="1145">
        <v>25.0</v>
      </c>
      <c r="B69" s="1136">
        <f t="shared" si="9"/>
        <v>50000</v>
      </c>
      <c r="C69" s="1187">
        <f>'Sales OLD'!Z70</f>
        <v>152001.544</v>
      </c>
      <c r="D69" s="1138">
        <f t="shared" si="10"/>
        <v>152001.544</v>
      </c>
      <c r="E69" s="1150">
        <f t="shared" si="11"/>
        <v>2.04003088</v>
      </c>
      <c r="F69" s="1151">
        <f t="shared" si="12"/>
        <v>102001.544</v>
      </c>
    </row>
    <row r="70">
      <c r="A70" s="1145">
        <v>26.0</v>
      </c>
      <c r="B70" s="1148">
        <f t="shared" si="9"/>
        <v>50000</v>
      </c>
      <c r="C70" s="1147">
        <f>'Sales OLD'!AA70</f>
        <v>150705.194</v>
      </c>
      <c r="D70" s="1138">
        <f t="shared" si="10"/>
        <v>150705.194</v>
      </c>
      <c r="E70" s="1150">
        <f t="shared" si="11"/>
        <v>2.01410388</v>
      </c>
      <c r="F70" s="1151">
        <f t="shared" si="12"/>
        <v>100705.194</v>
      </c>
    </row>
    <row r="71">
      <c r="A71" s="1145">
        <v>27.0</v>
      </c>
      <c r="B71" s="1136">
        <f t="shared" si="9"/>
        <v>50000</v>
      </c>
      <c r="C71" s="1187">
        <f>'Sales OLD'!AB70</f>
        <v>141622.594</v>
      </c>
      <c r="D71" s="1138">
        <f t="shared" si="10"/>
        <v>141622.594</v>
      </c>
      <c r="E71" s="1150">
        <f t="shared" si="11"/>
        <v>1.83245188</v>
      </c>
      <c r="F71" s="1151">
        <f t="shared" si="12"/>
        <v>91622.594</v>
      </c>
    </row>
    <row r="72">
      <c r="A72" s="1145">
        <v>28.0</v>
      </c>
      <c r="B72" s="1148">
        <f t="shared" si="9"/>
        <v>50000</v>
      </c>
      <c r="C72" s="1147">
        <f>'Sales OLD'!AC70</f>
        <v>102677.574</v>
      </c>
      <c r="D72" s="1138">
        <f t="shared" si="10"/>
        <v>102677.574</v>
      </c>
      <c r="E72" s="1150">
        <f t="shared" si="11"/>
        <v>1.05355148</v>
      </c>
      <c r="F72" s="1151">
        <f t="shared" si="12"/>
        <v>52677.574</v>
      </c>
    </row>
    <row r="73">
      <c r="A73" s="1145">
        <v>29.0</v>
      </c>
      <c r="B73" s="1136">
        <f t="shared" si="9"/>
        <v>50000</v>
      </c>
      <c r="C73" s="1187">
        <f>'Sales OLD'!AD70</f>
        <v>38247.572</v>
      </c>
      <c r="D73" s="1138">
        <f t="shared" si="10"/>
        <v>38247.572</v>
      </c>
      <c r="E73" s="1150">
        <f t="shared" si="11"/>
        <v>-0.23504856</v>
      </c>
      <c r="F73" s="1151">
        <f t="shared" si="12"/>
        <v>-11752.428</v>
      </c>
    </row>
    <row r="74">
      <c r="A74" s="1145">
        <v>30.0</v>
      </c>
      <c r="B74" s="1148">
        <f t="shared" si="9"/>
        <v>50000</v>
      </c>
      <c r="C74" s="1147">
        <f>'Sales OLD'!AE70</f>
        <v>19971.794</v>
      </c>
      <c r="D74" s="1138">
        <f t="shared" si="10"/>
        <v>19971.794</v>
      </c>
      <c r="E74" s="1150">
        <f t="shared" si="11"/>
        <v>-0.60056412</v>
      </c>
      <c r="F74" s="1151">
        <f t="shared" si="12"/>
        <v>-30028.206</v>
      </c>
    </row>
    <row r="75">
      <c r="A75" s="1145">
        <v>31.0</v>
      </c>
      <c r="B75" s="1148"/>
      <c r="C75" s="1147"/>
      <c r="D75" s="1138"/>
      <c r="E75" s="1150"/>
      <c r="F75" s="1151"/>
    </row>
    <row r="76">
      <c r="A76" s="1218" t="s">
        <v>1391</v>
      </c>
      <c r="B76" s="1220">
        <f>H15</f>
        <v>1500000</v>
      </c>
      <c r="C76" s="1220">
        <f>sum(C45:C75)</f>
        <v>2059338.262</v>
      </c>
      <c r="D76" s="1220">
        <f>C76/$B$4*$B$3</f>
        <v>2059338.262</v>
      </c>
      <c r="E76" s="1237">
        <f>D76/B76-1</f>
        <v>0.3728921747</v>
      </c>
      <c r="F76" s="1238">
        <f>D76-B76</f>
        <v>559338.262</v>
      </c>
    </row>
    <row r="78">
      <c r="A78" s="1100" t="s">
        <v>1314</v>
      </c>
      <c r="B78" s="1101">
        <v>44937.0</v>
      </c>
      <c r="C78" s="1102"/>
      <c r="D78" s="1100" t="s">
        <v>1315</v>
      </c>
      <c r="E78" s="1100" t="s">
        <v>1316</v>
      </c>
      <c r="F78" s="1102"/>
    </row>
    <row r="79">
      <c r="A79" s="1107" t="s">
        <v>1319</v>
      </c>
      <c r="B79" s="1108">
        <v>30.0</v>
      </c>
      <c r="C79" s="1111" t="s">
        <v>1466</v>
      </c>
      <c r="D79" s="1112"/>
      <c r="E79" s="1112"/>
      <c r="F79" s="1113"/>
    </row>
    <row r="80">
      <c r="A80" s="1107" t="s">
        <v>1323</v>
      </c>
      <c r="B80" s="1119">
        <f>COUNT(C83:C113)</f>
        <v>29</v>
      </c>
      <c r="C80" s="1120"/>
      <c r="D80" s="456"/>
      <c r="E80" s="456"/>
      <c r="F80" s="460"/>
    </row>
    <row r="81">
      <c r="A81" s="1124"/>
      <c r="B81" s="1125" t="s">
        <v>1326</v>
      </c>
      <c r="C81" s="463"/>
      <c r="D81" s="1125" t="s">
        <v>1327</v>
      </c>
      <c r="E81" s="1126"/>
      <c r="F81" s="463"/>
      <c r="H81" s="1239"/>
      <c r="I81" s="1239"/>
      <c r="J81" s="1239"/>
    </row>
    <row r="82">
      <c r="A82" s="1127" t="s">
        <v>1330</v>
      </c>
      <c r="B82" s="1127" t="s">
        <v>1468</v>
      </c>
      <c r="C82" s="1128" t="s">
        <v>1323</v>
      </c>
      <c r="D82" s="1127" t="s">
        <v>1327</v>
      </c>
      <c r="E82" s="1127" t="s">
        <v>1333</v>
      </c>
      <c r="F82" s="1127" t="s">
        <v>1334</v>
      </c>
      <c r="H82" s="1239"/>
      <c r="I82" s="1239"/>
      <c r="J82" s="1239"/>
    </row>
    <row r="83">
      <c r="A83" s="1132">
        <v>1.0</v>
      </c>
      <c r="B83" s="1240">
        <f t="shared" ref="B83:B112" si="13">$B$114/$B$79</f>
        <v>48000</v>
      </c>
      <c r="C83" s="1241">
        <v>16826.0</v>
      </c>
      <c r="D83" s="1242">
        <f t="shared" ref="D83:D114" si="14">C83/$B$4*$B$3</f>
        <v>16826</v>
      </c>
      <c r="E83" s="1140">
        <f t="shared" ref="E83:E112" si="15">D83/B83-1</f>
        <v>-0.6494583333</v>
      </c>
      <c r="F83" s="1243">
        <f t="shared" ref="F83:F112" si="16">D83-B83</f>
        <v>-31174</v>
      </c>
      <c r="H83" s="1239"/>
      <c r="I83" s="1239"/>
      <c r="J83" s="1239"/>
    </row>
    <row r="84">
      <c r="A84" s="1145">
        <v>2.0</v>
      </c>
      <c r="B84" s="1244">
        <f t="shared" si="13"/>
        <v>48000</v>
      </c>
      <c r="C84" s="1241">
        <v>17789.0</v>
      </c>
      <c r="D84" s="1242">
        <f t="shared" si="14"/>
        <v>17789</v>
      </c>
      <c r="E84" s="1150">
        <f t="shared" si="15"/>
        <v>-0.6293958333</v>
      </c>
      <c r="F84" s="1245">
        <f t="shared" si="16"/>
        <v>-30211</v>
      </c>
      <c r="H84" s="1239"/>
      <c r="I84" s="1239"/>
      <c r="J84" s="1239"/>
    </row>
    <row r="85">
      <c r="A85" s="1145">
        <v>3.0</v>
      </c>
      <c r="B85" s="1240">
        <f t="shared" si="13"/>
        <v>48000</v>
      </c>
      <c r="C85" s="1241">
        <v>19471.0</v>
      </c>
      <c r="D85" s="1242">
        <f t="shared" si="14"/>
        <v>19471</v>
      </c>
      <c r="E85" s="1150">
        <f t="shared" si="15"/>
        <v>-0.5943541667</v>
      </c>
      <c r="F85" s="1245">
        <f t="shared" si="16"/>
        <v>-28529</v>
      </c>
      <c r="H85" s="1239"/>
      <c r="I85" s="1246"/>
      <c r="J85" s="1239"/>
    </row>
    <row r="86">
      <c r="A86" s="1145">
        <v>4.0</v>
      </c>
      <c r="B86" s="1244">
        <f t="shared" si="13"/>
        <v>48000</v>
      </c>
      <c r="C86" s="1241">
        <v>19618.0</v>
      </c>
      <c r="D86" s="1242">
        <f t="shared" si="14"/>
        <v>19618</v>
      </c>
      <c r="E86" s="1150">
        <f t="shared" si="15"/>
        <v>-0.5912916667</v>
      </c>
      <c r="F86" s="1245">
        <f t="shared" si="16"/>
        <v>-28382</v>
      </c>
      <c r="H86" s="1239"/>
      <c r="I86" s="1239"/>
      <c r="J86" s="1239"/>
    </row>
    <row r="87">
      <c r="A87" s="1145">
        <v>5.0</v>
      </c>
      <c r="B87" s="1240">
        <f t="shared" si="13"/>
        <v>48000</v>
      </c>
      <c r="C87" s="1241">
        <v>24196.0</v>
      </c>
      <c r="D87" s="1242">
        <f t="shared" si="14"/>
        <v>24196</v>
      </c>
      <c r="E87" s="1150">
        <f t="shared" si="15"/>
        <v>-0.4959166667</v>
      </c>
      <c r="F87" s="1245">
        <f t="shared" si="16"/>
        <v>-23804</v>
      </c>
      <c r="H87" s="1239"/>
      <c r="I87" s="1239"/>
      <c r="J87" s="1239"/>
    </row>
    <row r="88">
      <c r="A88" s="1145">
        <v>6.0</v>
      </c>
      <c r="B88" s="1244">
        <f t="shared" si="13"/>
        <v>48000</v>
      </c>
      <c r="C88" s="1241">
        <v>26161.0</v>
      </c>
      <c r="D88" s="1242">
        <f t="shared" si="14"/>
        <v>26161</v>
      </c>
      <c r="E88" s="1150">
        <f t="shared" si="15"/>
        <v>-0.4549791667</v>
      </c>
      <c r="F88" s="1245">
        <f t="shared" si="16"/>
        <v>-21839</v>
      </c>
      <c r="I88" s="1239"/>
      <c r="J88" s="1239"/>
    </row>
    <row r="89">
      <c r="A89" s="1145">
        <v>7.0</v>
      </c>
      <c r="B89" s="1240">
        <f t="shared" si="13"/>
        <v>48000</v>
      </c>
      <c r="C89" s="1241">
        <v>22378.0</v>
      </c>
      <c r="D89" s="1242">
        <f t="shared" si="14"/>
        <v>22378</v>
      </c>
      <c r="E89" s="1150">
        <f t="shared" si="15"/>
        <v>-0.5337916667</v>
      </c>
      <c r="F89" s="1245">
        <f t="shared" si="16"/>
        <v>-25622</v>
      </c>
      <c r="I89" s="1239"/>
      <c r="J89" s="1239"/>
    </row>
    <row r="90">
      <c r="A90" s="1145">
        <v>8.0</v>
      </c>
      <c r="B90" s="1244">
        <f t="shared" si="13"/>
        <v>48000</v>
      </c>
      <c r="C90" s="1241">
        <v>26819.0</v>
      </c>
      <c r="D90" s="1242">
        <f t="shared" si="14"/>
        <v>26819</v>
      </c>
      <c r="E90" s="1150">
        <f t="shared" si="15"/>
        <v>-0.4412708333</v>
      </c>
      <c r="F90" s="1245">
        <f t="shared" si="16"/>
        <v>-21181</v>
      </c>
      <c r="I90" s="1239"/>
      <c r="J90" s="1239"/>
    </row>
    <row r="91">
      <c r="A91" s="1145">
        <v>9.0</v>
      </c>
      <c r="B91" s="1240">
        <f t="shared" si="13"/>
        <v>48000</v>
      </c>
      <c r="C91" s="1241">
        <v>27364.0</v>
      </c>
      <c r="D91" s="1242">
        <f t="shared" si="14"/>
        <v>27364</v>
      </c>
      <c r="E91" s="1150">
        <f t="shared" si="15"/>
        <v>-0.4299166667</v>
      </c>
      <c r="F91" s="1245">
        <f t="shared" si="16"/>
        <v>-20636</v>
      </c>
      <c r="I91" s="1239"/>
      <c r="J91" s="1239"/>
    </row>
    <row r="92">
      <c r="A92" s="1145">
        <v>10.0</v>
      </c>
      <c r="B92" s="1244">
        <f t="shared" si="13"/>
        <v>48000</v>
      </c>
      <c r="C92" s="1241">
        <v>26334.0</v>
      </c>
      <c r="D92" s="1242">
        <f t="shared" si="14"/>
        <v>26334</v>
      </c>
      <c r="E92" s="1150">
        <f t="shared" si="15"/>
        <v>-0.451375</v>
      </c>
      <c r="F92" s="1245">
        <f t="shared" si="16"/>
        <v>-21666</v>
      </c>
      <c r="I92" s="1239"/>
      <c r="J92" s="1239"/>
    </row>
    <row r="93">
      <c r="A93" s="1145">
        <v>11.0</v>
      </c>
      <c r="B93" s="1240">
        <f t="shared" si="13"/>
        <v>48000</v>
      </c>
      <c r="C93" s="1241">
        <v>23667.0</v>
      </c>
      <c r="D93" s="1242">
        <f t="shared" si="14"/>
        <v>23667</v>
      </c>
      <c r="E93" s="1150">
        <f t="shared" si="15"/>
        <v>-0.5069375</v>
      </c>
      <c r="F93" s="1245">
        <f t="shared" si="16"/>
        <v>-24333</v>
      </c>
      <c r="I93" s="1239"/>
      <c r="J93" s="1239"/>
    </row>
    <row r="94">
      <c r="A94" s="1145">
        <v>12.0</v>
      </c>
      <c r="B94" s="1244">
        <f t="shared" si="13"/>
        <v>48000</v>
      </c>
      <c r="C94" s="1241">
        <v>24636.0</v>
      </c>
      <c r="D94" s="1242">
        <f t="shared" si="14"/>
        <v>24636</v>
      </c>
      <c r="E94" s="1150">
        <f t="shared" si="15"/>
        <v>-0.48675</v>
      </c>
      <c r="F94" s="1245">
        <f t="shared" si="16"/>
        <v>-23364</v>
      </c>
      <c r="I94" s="1239"/>
      <c r="J94" s="1239"/>
    </row>
    <row r="95">
      <c r="A95" s="1145">
        <v>13.0</v>
      </c>
      <c r="B95" s="1240">
        <f t="shared" si="13"/>
        <v>48000</v>
      </c>
      <c r="C95" s="1241">
        <v>22123.0</v>
      </c>
      <c r="D95" s="1242">
        <f t="shared" si="14"/>
        <v>22123</v>
      </c>
      <c r="E95" s="1150">
        <f t="shared" si="15"/>
        <v>-0.5391041667</v>
      </c>
      <c r="F95" s="1245">
        <f t="shared" si="16"/>
        <v>-25877</v>
      </c>
      <c r="I95" s="1239"/>
      <c r="J95" s="1239"/>
    </row>
    <row r="96">
      <c r="A96" s="1145">
        <v>14.0</v>
      </c>
      <c r="B96" s="1244">
        <f t="shared" si="13"/>
        <v>48000</v>
      </c>
      <c r="C96" s="1241">
        <v>24592.0</v>
      </c>
      <c r="D96" s="1242">
        <f t="shared" si="14"/>
        <v>24592</v>
      </c>
      <c r="E96" s="1150">
        <f t="shared" si="15"/>
        <v>-0.4876666667</v>
      </c>
      <c r="F96" s="1245">
        <f t="shared" si="16"/>
        <v>-23408</v>
      </c>
      <c r="I96" s="1247"/>
      <c r="J96" s="1239"/>
    </row>
    <row r="97">
      <c r="A97" s="1145">
        <v>15.0</v>
      </c>
      <c r="B97" s="1240">
        <f t="shared" si="13"/>
        <v>48000</v>
      </c>
      <c r="C97" s="1241">
        <v>22400.0</v>
      </c>
      <c r="D97" s="1242">
        <f t="shared" si="14"/>
        <v>22400</v>
      </c>
      <c r="E97" s="1150">
        <f t="shared" si="15"/>
        <v>-0.5333333333</v>
      </c>
      <c r="F97" s="1245">
        <f t="shared" si="16"/>
        <v>-25600</v>
      </c>
      <c r="I97" s="1239"/>
      <c r="J97" s="1239"/>
    </row>
    <row r="98">
      <c r="A98" s="1145">
        <v>16.0</v>
      </c>
      <c r="B98" s="1244">
        <f t="shared" si="13"/>
        <v>48000</v>
      </c>
      <c r="C98" s="1241">
        <v>21845.0</v>
      </c>
      <c r="D98" s="1242">
        <f t="shared" si="14"/>
        <v>21845</v>
      </c>
      <c r="E98" s="1150">
        <f t="shared" si="15"/>
        <v>-0.5448958333</v>
      </c>
      <c r="F98" s="1245">
        <f t="shared" si="16"/>
        <v>-26155</v>
      </c>
      <c r="I98" s="1239"/>
      <c r="J98" s="1239"/>
    </row>
    <row r="99">
      <c r="A99" s="1145">
        <v>17.0</v>
      </c>
      <c r="B99" s="1240">
        <f t="shared" si="13"/>
        <v>48000</v>
      </c>
      <c r="C99" s="1241">
        <v>19411.0</v>
      </c>
      <c r="D99" s="1242">
        <f t="shared" si="14"/>
        <v>19411</v>
      </c>
      <c r="E99" s="1150">
        <f t="shared" si="15"/>
        <v>-0.5956041667</v>
      </c>
      <c r="F99" s="1245">
        <f t="shared" si="16"/>
        <v>-28589</v>
      </c>
      <c r="I99" s="1239"/>
      <c r="J99" s="1239"/>
    </row>
    <row r="100">
      <c r="A100" s="1145">
        <v>18.0</v>
      </c>
      <c r="B100" s="1244">
        <f t="shared" si="13"/>
        <v>48000</v>
      </c>
      <c r="C100" s="1241">
        <v>22568.0</v>
      </c>
      <c r="D100" s="1242">
        <f t="shared" si="14"/>
        <v>22568</v>
      </c>
      <c r="E100" s="1150">
        <f t="shared" si="15"/>
        <v>-0.5298333333</v>
      </c>
      <c r="F100" s="1245">
        <f t="shared" si="16"/>
        <v>-25432</v>
      </c>
    </row>
    <row r="101">
      <c r="A101" s="1145">
        <v>19.0</v>
      </c>
      <c r="B101" s="1240">
        <f t="shared" si="13"/>
        <v>48000</v>
      </c>
      <c r="C101" s="1241">
        <v>25277.0</v>
      </c>
      <c r="D101" s="1242">
        <f t="shared" si="14"/>
        <v>25277</v>
      </c>
      <c r="E101" s="1150">
        <f t="shared" si="15"/>
        <v>-0.4733958333</v>
      </c>
      <c r="F101" s="1245">
        <f t="shared" si="16"/>
        <v>-22723</v>
      </c>
    </row>
    <row r="102">
      <c r="A102" s="1145">
        <v>20.0</v>
      </c>
      <c r="B102" s="1244">
        <f t="shared" si="13"/>
        <v>48000</v>
      </c>
      <c r="C102" s="1241">
        <v>25027.0</v>
      </c>
      <c r="D102" s="1242">
        <f t="shared" si="14"/>
        <v>25027</v>
      </c>
      <c r="E102" s="1150">
        <f t="shared" si="15"/>
        <v>-0.4786041667</v>
      </c>
      <c r="F102" s="1245">
        <f t="shared" si="16"/>
        <v>-22973</v>
      </c>
    </row>
    <row r="103">
      <c r="A103" s="1145">
        <v>21.0</v>
      </c>
      <c r="B103" s="1240">
        <f t="shared" si="13"/>
        <v>48000</v>
      </c>
      <c r="C103" s="1241">
        <v>28207.0</v>
      </c>
      <c r="D103" s="1242">
        <f t="shared" si="14"/>
        <v>28207</v>
      </c>
      <c r="E103" s="1150">
        <f t="shared" si="15"/>
        <v>-0.4123541667</v>
      </c>
      <c r="F103" s="1245">
        <f t="shared" si="16"/>
        <v>-19793</v>
      </c>
    </row>
    <row r="104">
      <c r="A104" s="1145">
        <v>22.0</v>
      </c>
      <c r="B104" s="1244">
        <f t="shared" si="13"/>
        <v>48000</v>
      </c>
      <c r="C104" s="1241">
        <v>38580.0</v>
      </c>
      <c r="D104" s="1242">
        <f t="shared" si="14"/>
        <v>38580</v>
      </c>
      <c r="E104" s="1150">
        <f t="shared" si="15"/>
        <v>-0.19625</v>
      </c>
      <c r="F104" s="1245">
        <f t="shared" si="16"/>
        <v>-9420</v>
      </c>
    </row>
    <row r="105">
      <c r="A105" s="1145">
        <v>23.0</v>
      </c>
      <c r="B105" s="1240">
        <f t="shared" si="13"/>
        <v>48000</v>
      </c>
      <c r="C105" s="1241">
        <v>50869.0</v>
      </c>
      <c r="D105" s="1242">
        <f t="shared" si="14"/>
        <v>50869</v>
      </c>
      <c r="E105" s="1150">
        <f t="shared" si="15"/>
        <v>0.05977083333</v>
      </c>
      <c r="F105" s="1245">
        <f t="shared" si="16"/>
        <v>2869</v>
      </c>
    </row>
    <row r="106">
      <c r="A106" s="1145">
        <v>24.0</v>
      </c>
      <c r="B106" s="1244">
        <f t="shared" si="13"/>
        <v>48000</v>
      </c>
      <c r="C106" s="1241">
        <v>85695.0</v>
      </c>
      <c r="D106" s="1242">
        <f t="shared" si="14"/>
        <v>85695</v>
      </c>
      <c r="E106" s="1150">
        <f t="shared" si="15"/>
        <v>0.7853125</v>
      </c>
      <c r="F106" s="1245">
        <f t="shared" si="16"/>
        <v>37695</v>
      </c>
    </row>
    <row r="107">
      <c r="A107" s="1145">
        <v>25.0</v>
      </c>
      <c r="B107" s="1240">
        <f t="shared" si="13"/>
        <v>48000</v>
      </c>
      <c r="C107" s="1241">
        <v>43970.0</v>
      </c>
      <c r="D107" s="1242">
        <f t="shared" si="14"/>
        <v>43970</v>
      </c>
      <c r="E107" s="1150">
        <f t="shared" si="15"/>
        <v>-0.08395833333</v>
      </c>
      <c r="F107" s="1245">
        <f t="shared" si="16"/>
        <v>-4030</v>
      </c>
    </row>
    <row r="108">
      <c r="A108" s="1145">
        <v>26.0</v>
      </c>
      <c r="B108" s="1244">
        <f t="shared" si="13"/>
        <v>48000</v>
      </c>
      <c r="C108" s="1241">
        <v>52356.0</v>
      </c>
      <c r="D108" s="1242">
        <f t="shared" si="14"/>
        <v>52356</v>
      </c>
      <c r="E108" s="1150">
        <f t="shared" si="15"/>
        <v>0.09075</v>
      </c>
      <c r="F108" s="1245">
        <f t="shared" si="16"/>
        <v>4356</v>
      </c>
      <c r="I108" s="1254"/>
    </row>
    <row r="109">
      <c r="A109" s="1145">
        <v>27.0</v>
      </c>
      <c r="B109" s="1240">
        <f t="shared" si="13"/>
        <v>48000</v>
      </c>
      <c r="C109" s="1241">
        <v>61891.0</v>
      </c>
      <c r="D109" s="1242">
        <f t="shared" si="14"/>
        <v>61891</v>
      </c>
      <c r="E109" s="1150">
        <f t="shared" si="15"/>
        <v>0.2893958333</v>
      </c>
      <c r="F109" s="1245">
        <f t="shared" si="16"/>
        <v>13891</v>
      </c>
    </row>
    <row r="110">
      <c r="A110" s="1145">
        <v>28.0</v>
      </c>
      <c r="B110" s="1244">
        <f t="shared" si="13"/>
        <v>48000</v>
      </c>
      <c r="C110" s="1241">
        <v>52803.0</v>
      </c>
      <c r="D110" s="1242">
        <f t="shared" si="14"/>
        <v>52803</v>
      </c>
      <c r="E110" s="1150">
        <f t="shared" si="15"/>
        <v>0.1000625</v>
      </c>
      <c r="F110" s="1245">
        <f t="shared" si="16"/>
        <v>4803</v>
      </c>
    </row>
    <row r="111">
      <c r="A111" s="1145">
        <v>29.0</v>
      </c>
      <c r="B111" s="1240">
        <f t="shared" si="13"/>
        <v>48000</v>
      </c>
      <c r="C111" s="1241">
        <v>28628.0</v>
      </c>
      <c r="D111" s="1242">
        <f t="shared" si="14"/>
        <v>28628</v>
      </c>
      <c r="E111" s="1150">
        <f t="shared" si="15"/>
        <v>-0.4035833333</v>
      </c>
      <c r="F111" s="1245">
        <f t="shared" si="16"/>
        <v>-19372</v>
      </c>
    </row>
    <row r="112">
      <c r="A112" s="1145">
        <v>30.0</v>
      </c>
      <c r="B112" s="1244">
        <f t="shared" si="13"/>
        <v>48000</v>
      </c>
      <c r="C112" s="1241"/>
      <c r="D112" s="1242">
        <f t="shared" si="14"/>
        <v>0</v>
      </c>
      <c r="E112" s="1150">
        <f t="shared" si="15"/>
        <v>-1</v>
      </c>
      <c r="F112" s="1245">
        <f t="shared" si="16"/>
        <v>-48000</v>
      </c>
    </row>
    <row r="113">
      <c r="A113" s="1145">
        <v>31.0</v>
      </c>
      <c r="B113" s="1240"/>
      <c r="C113" s="1241"/>
      <c r="D113" s="1242">
        <f t="shared" si="14"/>
        <v>0</v>
      </c>
      <c r="E113" s="1150"/>
      <c r="F113" s="1245"/>
    </row>
    <row r="114">
      <c r="A114" s="1218" t="s">
        <v>1391</v>
      </c>
      <c r="B114" s="1261">
        <f>H20</f>
        <v>1440000</v>
      </c>
      <c r="C114" s="1261">
        <f>sum(C83:C113)</f>
        <v>901501</v>
      </c>
      <c r="D114" s="1261">
        <f t="shared" si="14"/>
        <v>901501</v>
      </c>
      <c r="E114" s="1222">
        <f>D114/B114-1</f>
        <v>-0.3739576389</v>
      </c>
      <c r="F114" s="1261">
        <f>D114-B114</f>
        <v>-538499</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0" priority="1" operator="greaterThan">
      <formula>"0%"</formula>
    </cfRule>
  </conditionalFormatting>
  <conditionalFormatting sqref="E7:E37 E83:E113">
    <cfRule type="cellIs" dxfId="2" priority="2" operator="lessThanOrEqual">
      <formula>"0%"</formula>
    </cfRule>
  </conditionalFormatting>
  <conditionalFormatting sqref="E38 E114">
    <cfRule type="cellIs" dxfId="0" priority="3" operator="greaterThan">
      <formula>"0%"</formula>
    </cfRule>
  </conditionalFormatting>
  <conditionalFormatting sqref="E38 E114">
    <cfRule type="cellIs" dxfId="2" priority="4" operator="lessThanOrEqual">
      <formula>"0%"</formula>
    </cfRule>
  </conditionalFormatting>
  <conditionalFormatting sqref="F7:F38 F45:F75 F83:F114">
    <cfRule type="cellIs" dxfId="0" priority="5" operator="greaterThan">
      <formula>"0$"</formula>
    </cfRule>
  </conditionalFormatting>
  <conditionalFormatting sqref="F7:F38 F45:F75 F83:F114">
    <cfRule type="cellIs" dxfId="2"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2"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2" priority="10" operator="lessThanOrEqual">
      <formula>"0%"</formula>
    </cfRule>
  </conditionalFormatting>
  <conditionalFormatting sqref="J17 I26">
    <cfRule type="cellIs" dxfId="0" priority="11" operator="lessThanOrEqual">
      <formula>"0%"</formula>
    </cfRule>
  </conditionalFormatting>
  <conditionalFormatting sqref="J17 I26">
    <cfRule type="cellIs" dxfId="2" priority="12" operator="greaterThan">
      <formula>"0%"</formula>
    </cfRule>
  </conditionalFormatting>
  <conditionalFormatting sqref="J16 I25">
    <cfRule type="cellIs" dxfId="0" priority="13" operator="greaterThan">
      <formula>"0%"</formula>
    </cfRule>
  </conditionalFormatting>
  <conditionalFormatting sqref="J16 I25">
    <cfRule type="cellIs" dxfId="2" priority="14" operator="lessThanOrEqual">
      <formula>"0%"</formula>
    </cfRule>
  </conditionalFormatting>
  <conditionalFormatting sqref="J15 I24">
    <cfRule type="cellIs" dxfId="0" priority="15" operator="lessThanOrEqual">
      <formula>"0%"</formula>
    </cfRule>
  </conditionalFormatting>
  <conditionalFormatting sqref="J15 I24">
    <cfRule type="cellIs" dxfId="2" priority="16" operator="greaterThan">
      <formula>"0%"</formula>
    </cfRule>
  </conditionalFormatting>
  <conditionalFormatting sqref="E76 E114">
    <cfRule type="cellIs" dxfId="0" priority="17" operator="lessThanOrEqual">
      <formula>"0%"</formula>
    </cfRule>
  </conditionalFormatting>
  <conditionalFormatting sqref="F76 F114">
    <cfRule type="cellIs" dxfId="0" priority="18" operator="lessThanOrEqual">
      <formula>0</formula>
    </cfRule>
  </conditionalFormatting>
  <conditionalFormatting sqref="E76 E114">
    <cfRule type="cellIs" dxfId="6" priority="19" operator="greaterThan">
      <formula>"0%"</formula>
    </cfRule>
  </conditionalFormatting>
  <conditionalFormatting sqref="F76 F114">
    <cfRule type="cellIs" dxfId="6" priority="20" operator="greaterThan">
      <formula>0</formula>
    </cfRule>
  </conditionalFormatting>
  <conditionalFormatting sqref="E45:E75">
    <cfRule type="cellIs" dxfId="0" priority="21" operator="lessThanOrEqual">
      <formula>"0%"</formula>
    </cfRule>
  </conditionalFormatting>
  <conditionalFormatting sqref="E45:E75">
    <cfRule type="cellIs" dxfId="2" priority="22" operator="greaterThan">
      <formula>"0%"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183" t="s">
        <v>1355</v>
      </c>
    </row>
    <row r="2">
      <c r="A2" s="1185" t="s">
        <v>1357</v>
      </c>
      <c r="B2" s="1185" t="s">
        <v>629</v>
      </c>
      <c r="C2" s="1185" t="s">
        <v>638</v>
      </c>
      <c r="D2" s="1185" t="s">
        <v>630</v>
      </c>
      <c r="E2" s="1185" t="s">
        <v>150</v>
      </c>
      <c r="F2" s="1185" t="s">
        <v>151</v>
      </c>
      <c r="G2" s="1185" t="s">
        <v>660</v>
      </c>
      <c r="H2" s="1" t="s">
        <v>1359</v>
      </c>
      <c r="I2" s="1" t="s">
        <v>663</v>
      </c>
      <c r="J2" s="1" t="s">
        <v>1360</v>
      </c>
    </row>
    <row r="3">
      <c r="A3" s="1186" t="s">
        <v>1361</v>
      </c>
      <c r="B3" s="1186" t="s">
        <v>1362</v>
      </c>
      <c r="C3" s="1186" t="s">
        <v>1362</v>
      </c>
      <c r="D3" s="1186" t="s">
        <v>1363</v>
      </c>
      <c r="E3" s="1186" t="s">
        <v>1363</v>
      </c>
      <c r="F3" s="1186" t="s">
        <v>1363</v>
      </c>
      <c r="G3" s="1186" t="s">
        <v>1363</v>
      </c>
    </row>
    <row r="5">
      <c r="A5" s="1188" t="s">
        <v>622</v>
      </c>
    </row>
    <row r="6">
      <c r="A6" s="1190" t="s">
        <v>621</v>
      </c>
    </row>
    <row r="7">
      <c r="A7" s="220" t="s">
        <v>1365</v>
      </c>
      <c r="B7" s="1191" t="s">
        <v>1366</v>
      </c>
      <c r="C7" s="1191" t="s">
        <v>1366</v>
      </c>
      <c r="D7" s="1191" t="s">
        <v>1366</v>
      </c>
      <c r="E7" s="1191" t="s">
        <v>1366</v>
      </c>
      <c r="F7" s="1191" t="s">
        <v>1366</v>
      </c>
      <c r="G7" s="1191" t="s">
        <v>1366</v>
      </c>
    </row>
    <row r="8">
      <c r="A8" s="220" t="s">
        <v>1368</v>
      </c>
      <c r="B8" s="1191" t="s">
        <v>1369</v>
      </c>
      <c r="C8" s="1191" t="s">
        <v>1369</v>
      </c>
      <c r="D8" s="1191" t="s">
        <v>1369</v>
      </c>
      <c r="E8" s="1191" t="s">
        <v>1369</v>
      </c>
      <c r="F8" s="1191" t="s">
        <v>1369</v>
      </c>
      <c r="G8" s="1191" t="s">
        <v>1369</v>
      </c>
    </row>
    <row r="9">
      <c r="A9" s="220" t="s">
        <v>1370</v>
      </c>
      <c r="B9" s="1191" t="s">
        <v>1372</v>
      </c>
      <c r="C9" s="1191" t="s">
        <v>1372</v>
      </c>
      <c r="D9" s="1191" t="s">
        <v>1372</v>
      </c>
      <c r="E9" s="1191" t="s">
        <v>1372</v>
      </c>
      <c r="F9" s="1191" t="s">
        <v>1372</v>
      </c>
      <c r="G9" s="1191" t="s">
        <v>1372</v>
      </c>
    </row>
    <row r="10">
      <c r="A10" s="220" t="s">
        <v>1373</v>
      </c>
      <c r="B10" s="1193">
        <v>150000.0</v>
      </c>
      <c r="C10" s="1193">
        <v>150000.0</v>
      </c>
      <c r="D10" s="1194"/>
      <c r="E10" s="1194"/>
      <c r="F10" s="1194"/>
      <c r="G10" s="1194"/>
    </row>
    <row r="11">
      <c r="A11" s="220" t="s">
        <v>1374</v>
      </c>
      <c r="B11" s="1191" t="s">
        <v>1375</v>
      </c>
      <c r="C11" s="1191" t="s">
        <v>1375</v>
      </c>
      <c r="D11" s="1194"/>
      <c r="E11" s="1194"/>
      <c r="F11" s="1194"/>
      <c r="G11" s="1194"/>
    </row>
    <row r="12">
      <c r="B12" s="1191"/>
      <c r="C12" s="1191"/>
      <c r="D12" s="1191"/>
      <c r="E12" s="1191"/>
      <c r="F12" s="1191"/>
      <c r="G12" s="1191"/>
    </row>
    <row r="13">
      <c r="A13" s="1196" t="s">
        <v>1376</v>
      </c>
      <c r="B13" s="1020">
        <v>6.1433</v>
      </c>
      <c r="C13" s="1020">
        <v>6.1433</v>
      </c>
      <c r="D13" s="1197">
        <v>0.0</v>
      </c>
      <c r="E13" s="1197">
        <v>0.0</v>
      </c>
      <c r="F13" s="1197">
        <v>0.0</v>
      </c>
      <c r="G13" s="1197">
        <v>0.0</v>
      </c>
      <c r="H13" s="1200"/>
      <c r="I13" s="1202"/>
    </row>
    <row r="14">
      <c r="A14" s="1196" t="s">
        <v>1380</v>
      </c>
      <c r="B14" s="1020">
        <v>38.23</v>
      </c>
      <c r="C14" s="1020">
        <v>45.3</v>
      </c>
      <c r="D14" s="1203">
        <v>6.87</v>
      </c>
      <c r="E14" s="1203">
        <v>3.79</v>
      </c>
      <c r="F14" s="1203">
        <v>0.82</v>
      </c>
      <c r="G14" s="1204">
        <v>3.8336</v>
      </c>
      <c r="H14" s="1200"/>
      <c r="I14" s="1202"/>
    </row>
    <row r="15">
      <c r="A15" s="1196" t="s">
        <v>1381</v>
      </c>
      <c r="B15" s="1020">
        <f t="shared" ref="B15:G15" si="1">(B13+B14)*B23</f>
        <v>15.530655</v>
      </c>
      <c r="C15" s="1020">
        <f t="shared" si="1"/>
        <v>18.005155</v>
      </c>
      <c r="D15" s="1020">
        <f t="shared" si="1"/>
        <v>2.4045</v>
      </c>
      <c r="E15" s="1020">
        <f t="shared" si="1"/>
        <v>1.137</v>
      </c>
      <c r="F15" s="1020">
        <f t="shared" si="1"/>
        <v>0.246</v>
      </c>
      <c r="G15" s="1020">
        <f t="shared" si="1"/>
        <v>1.15008</v>
      </c>
      <c r="H15" s="1200"/>
      <c r="I15" s="1202"/>
    </row>
    <row r="16">
      <c r="A16" s="1196" t="s">
        <v>1382</v>
      </c>
      <c r="B16" s="1020">
        <v>8.1762</v>
      </c>
      <c r="C16" s="1020">
        <v>8.1762</v>
      </c>
      <c r="D16" s="1209">
        <v>0.544</v>
      </c>
      <c r="E16" s="1210">
        <v>0.0</v>
      </c>
      <c r="F16" s="1210">
        <v>0.0</v>
      </c>
      <c r="G16" s="1210">
        <v>0.8422</v>
      </c>
      <c r="H16" s="1200"/>
      <c r="I16" s="1211"/>
    </row>
    <row r="17">
      <c r="A17" s="1196" t="s">
        <v>1383</v>
      </c>
      <c r="B17" s="1020">
        <f t="shared" ref="B17:G17" si="2">B16*B24</f>
        <v>2.45286</v>
      </c>
      <c r="C17" s="1020">
        <f t="shared" si="2"/>
        <v>2.45286</v>
      </c>
      <c r="D17" s="1020">
        <f t="shared" si="2"/>
        <v>0.1632</v>
      </c>
      <c r="E17" s="1020">
        <f t="shared" si="2"/>
        <v>0</v>
      </c>
      <c r="F17" s="1020">
        <f t="shared" si="2"/>
        <v>0</v>
      </c>
      <c r="G17" s="1020">
        <f t="shared" si="2"/>
        <v>0.25266</v>
      </c>
      <c r="H17" s="1200"/>
      <c r="I17" s="1202"/>
    </row>
    <row r="18">
      <c r="A18" s="1213" t="s">
        <v>1384</v>
      </c>
      <c r="B18" s="1214">
        <f t="shared" ref="B18:G18" si="3">SUM(B13:B17)</f>
        <v>70.533015</v>
      </c>
      <c r="C18" s="1214">
        <f t="shared" si="3"/>
        <v>80.077515</v>
      </c>
      <c r="D18" s="1214">
        <f t="shared" si="3"/>
        <v>9.9817</v>
      </c>
      <c r="E18" s="1214">
        <f t="shared" si="3"/>
        <v>4.927</v>
      </c>
      <c r="F18" s="1214">
        <f t="shared" si="3"/>
        <v>1.066</v>
      </c>
      <c r="G18" s="1214">
        <f t="shared" si="3"/>
        <v>6.07854</v>
      </c>
      <c r="H18" s="9"/>
      <c r="I18" s="183"/>
    </row>
    <row r="19">
      <c r="A19" s="1050"/>
      <c r="B19" s="1191"/>
      <c r="C19" s="1191"/>
      <c r="D19" s="1191"/>
      <c r="E19" s="1191"/>
      <c r="F19" s="1191"/>
      <c r="G19" s="1191"/>
      <c r="H19" s="1200"/>
      <c r="I19" s="1202"/>
    </row>
    <row r="20">
      <c r="A20" s="1191" t="s">
        <v>1385</v>
      </c>
      <c r="B20" s="1020">
        <v>10.0</v>
      </c>
      <c r="C20" s="1020">
        <v>10.0</v>
      </c>
      <c r="D20" s="1020">
        <v>0.0</v>
      </c>
      <c r="E20" s="1020">
        <v>0.0</v>
      </c>
      <c r="F20" s="1020">
        <v>0.0</v>
      </c>
      <c r="G20" s="1020">
        <v>0.0</v>
      </c>
      <c r="H20" s="1200"/>
      <c r="I20" s="1202"/>
    </row>
    <row r="21">
      <c r="A21" s="1191" t="s">
        <v>1386</v>
      </c>
      <c r="B21" s="1020">
        <v>1.88</v>
      </c>
      <c r="C21" s="1020">
        <v>1.88</v>
      </c>
      <c r="D21" s="1020">
        <v>0.0</v>
      </c>
      <c r="E21" s="1020">
        <v>0.0</v>
      </c>
      <c r="F21" s="1020">
        <v>0.0</v>
      </c>
      <c r="G21" s="1020">
        <v>0.0</v>
      </c>
      <c r="H21" s="1200"/>
      <c r="I21" s="1202"/>
    </row>
    <row r="22">
      <c r="A22" s="1050"/>
      <c r="B22" s="1191"/>
      <c r="C22" s="1191"/>
      <c r="D22" s="1191"/>
      <c r="E22" s="1191"/>
      <c r="F22" s="1191"/>
      <c r="G22" s="1191"/>
      <c r="H22" s="1200"/>
      <c r="I22" s="1202"/>
    </row>
    <row r="23">
      <c r="A23" s="1191" t="s">
        <v>1387</v>
      </c>
      <c r="B23" s="1216">
        <v>0.35</v>
      </c>
      <c r="C23" s="1216">
        <v>0.35</v>
      </c>
      <c r="D23" s="1216">
        <v>0.35</v>
      </c>
      <c r="E23" s="1216">
        <v>0.3</v>
      </c>
      <c r="F23" s="1216">
        <v>0.3</v>
      </c>
      <c r="G23" s="1217">
        <v>0.3</v>
      </c>
      <c r="H23" s="1200"/>
      <c r="I23" s="1211"/>
    </row>
    <row r="24">
      <c r="A24" s="1" t="s">
        <v>1388</v>
      </c>
      <c r="B24" s="1216">
        <v>0.3</v>
      </c>
      <c r="C24" s="1216">
        <v>0.3</v>
      </c>
      <c r="D24" s="1216">
        <v>0.3</v>
      </c>
      <c r="E24" s="1217">
        <v>0.3</v>
      </c>
      <c r="F24" s="1217">
        <v>0.3</v>
      </c>
      <c r="G24" s="1217">
        <v>0.3</v>
      </c>
      <c r="H24" s="1200"/>
      <c r="I24" s="1202"/>
    </row>
    <row r="25">
      <c r="B25" s="1191"/>
      <c r="C25" s="1191"/>
      <c r="D25" s="1191"/>
      <c r="E25" s="1191"/>
      <c r="F25" s="1191"/>
      <c r="G25" s="1191"/>
      <c r="H25" s="1200"/>
      <c r="I25" s="1202"/>
    </row>
    <row r="26">
      <c r="A26" s="1196" t="s">
        <v>1389</v>
      </c>
      <c r="B26" s="1020">
        <f t="shared" ref="B26:G26" si="4">sum(B13:B17)*B32</f>
        <v>0</v>
      </c>
      <c r="C26" s="1020">
        <f t="shared" si="4"/>
        <v>0</v>
      </c>
      <c r="D26" s="1020">
        <f t="shared" si="4"/>
        <v>0.2495425</v>
      </c>
      <c r="E26" s="1020">
        <f t="shared" si="4"/>
        <v>0.167518</v>
      </c>
      <c r="F26" s="1020">
        <f t="shared" si="4"/>
        <v>0.036244</v>
      </c>
      <c r="G26" s="1020">
        <f t="shared" si="4"/>
        <v>0.20667036</v>
      </c>
      <c r="H26" s="9"/>
      <c r="I26" s="183"/>
    </row>
    <row r="27">
      <c r="A27" s="1196" t="s">
        <v>1390</v>
      </c>
      <c r="B27" s="1020">
        <f t="shared" ref="B27:G27" si="5">sum(B13:B17)*B33</f>
        <v>5.289976125</v>
      </c>
      <c r="C27" s="1020">
        <f t="shared" si="5"/>
        <v>6.005813625</v>
      </c>
      <c r="D27" s="1020">
        <f t="shared" si="5"/>
        <v>2.495425</v>
      </c>
      <c r="E27" s="1020">
        <f t="shared" si="5"/>
        <v>0.369525</v>
      </c>
      <c r="F27" s="1020">
        <f t="shared" si="5"/>
        <v>0.07995</v>
      </c>
      <c r="G27" s="1020">
        <f t="shared" si="5"/>
        <v>0.4558905</v>
      </c>
      <c r="H27" s="1200"/>
      <c r="I27" s="1219"/>
    </row>
    <row r="28">
      <c r="A28" s="1196" t="s">
        <v>652</v>
      </c>
      <c r="B28" s="1020">
        <f t="shared" ref="B28:G28" si="6">SUM($B$13:$B$17)*B34</f>
        <v>0.08816626875</v>
      </c>
      <c r="C28" s="1020">
        <f t="shared" si="6"/>
        <v>0.08816626875</v>
      </c>
      <c r="D28" s="1020">
        <f t="shared" si="6"/>
        <v>0.08816626875</v>
      </c>
      <c r="E28" s="1020">
        <f t="shared" si="6"/>
        <v>0.08816626875</v>
      </c>
      <c r="F28" s="1020">
        <f t="shared" si="6"/>
        <v>0.08816626875</v>
      </c>
      <c r="G28" s="1020">
        <f t="shared" si="6"/>
        <v>0.08816626875</v>
      </c>
    </row>
    <row r="29">
      <c r="A29" s="1196" t="s">
        <v>656</v>
      </c>
      <c r="B29" s="1020">
        <f t="shared" ref="B29:G29" si="7">SUM($B$13:$B$17)*B35</f>
        <v>0.244326364</v>
      </c>
      <c r="C29" s="1020">
        <f t="shared" si="7"/>
        <v>0.244326364</v>
      </c>
      <c r="D29" s="1020">
        <f t="shared" si="7"/>
        <v>0.244326364</v>
      </c>
      <c r="E29" s="1020">
        <f t="shared" si="7"/>
        <v>0.244326364</v>
      </c>
      <c r="F29" s="1020">
        <f t="shared" si="7"/>
        <v>0.244326364</v>
      </c>
      <c r="G29" s="1020">
        <f t="shared" si="7"/>
        <v>0.244326364</v>
      </c>
    </row>
    <row r="30">
      <c r="A30" s="1213" t="s">
        <v>1393</v>
      </c>
      <c r="B30" s="1214">
        <f t="shared" ref="B30:G30" si="8">SUM(B26:B29)</f>
        <v>5.622468758</v>
      </c>
      <c r="C30" s="1214">
        <f t="shared" si="8"/>
        <v>6.338306258</v>
      </c>
      <c r="D30" s="1214">
        <f t="shared" si="8"/>
        <v>3.077460133</v>
      </c>
      <c r="E30" s="1214">
        <f t="shared" si="8"/>
        <v>0.8695356327</v>
      </c>
      <c r="F30" s="1214">
        <f t="shared" si="8"/>
        <v>0.4486866327</v>
      </c>
      <c r="G30" s="1214">
        <f t="shared" si="8"/>
        <v>0.9950534927</v>
      </c>
    </row>
    <row r="31">
      <c r="B31" s="1191"/>
      <c r="C31" s="1191"/>
      <c r="D31" s="1191"/>
      <c r="E31" s="1191"/>
      <c r="F31" s="1191"/>
      <c r="G31" s="1191"/>
    </row>
    <row r="32">
      <c r="A32" s="1223" t="s">
        <v>1395</v>
      </c>
      <c r="B32" s="1216">
        <v>0.0</v>
      </c>
      <c r="C32" s="1216">
        <v>0.0</v>
      </c>
      <c r="D32" s="1216">
        <v>0.025</v>
      </c>
      <c r="E32" s="1216">
        <v>0.034</v>
      </c>
      <c r="F32" s="1216">
        <v>0.034</v>
      </c>
      <c r="G32" s="1216">
        <v>0.034</v>
      </c>
    </row>
    <row r="33">
      <c r="A33" s="1223" t="s">
        <v>1397</v>
      </c>
      <c r="B33" s="1216">
        <v>0.075</v>
      </c>
      <c r="C33" s="1216">
        <v>0.075</v>
      </c>
      <c r="D33" s="1216">
        <v>0.25</v>
      </c>
      <c r="E33" s="1216">
        <v>0.075</v>
      </c>
      <c r="F33" s="1216">
        <v>0.075</v>
      </c>
      <c r="G33" s="1216">
        <v>0.075</v>
      </c>
    </row>
    <row r="34">
      <c r="A34" s="1" t="s">
        <v>1398</v>
      </c>
      <c r="B34" s="1226">
        <v>0.00125</v>
      </c>
      <c r="C34" s="1226">
        <v>0.00125</v>
      </c>
      <c r="D34" s="1226">
        <v>0.00125</v>
      </c>
      <c r="E34" s="1226">
        <v>0.00125</v>
      </c>
      <c r="F34" s="1226">
        <v>0.00125</v>
      </c>
      <c r="G34" s="1226">
        <v>0.00125</v>
      </c>
    </row>
    <row r="35">
      <c r="A35" s="1" t="s">
        <v>1399</v>
      </c>
      <c r="B35" s="1227">
        <v>0.003464</v>
      </c>
      <c r="C35" s="1227">
        <v>0.003464</v>
      </c>
      <c r="D35" s="1227">
        <v>0.003464</v>
      </c>
      <c r="E35" s="1227">
        <v>0.003464</v>
      </c>
      <c r="F35" s="1227">
        <v>0.003464</v>
      </c>
      <c r="G35" s="1227">
        <v>0.003464</v>
      </c>
    </row>
    <row r="36">
      <c r="B36" s="1191"/>
      <c r="C36" s="1191"/>
      <c r="D36" s="1191"/>
      <c r="E36" s="1191"/>
      <c r="F36" s="1191"/>
      <c r="G36" s="1191"/>
    </row>
    <row r="37">
      <c r="A37" s="1228" t="s">
        <v>559</v>
      </c>
      <c r="B37" s="1229">
        <f t="shared" ref="B37:G37" si="9">B18+B20+B21+B30</f>
        <v>88.03548376</v>
      </c>
      <c r="C37" s="1229">
        <f t="shared" si="9"/>
        <v>98.29582126</v>
      </c>
      <c r="D37" s="1229">
        <f t="shared" si="9"/>
        <v>13.05916013</v>
      </c>
      <c r="E37" s="1229">
        <f t="shared" si="9"/>
        <v>5.796535633</v>
      </c>
      <c r="F37" s="1229">
        <f t="shared" si="9"/>
        <v>1.514686633</v>
      </c>
      <c r="G37" s="1229">
        <f t="shared" si="9"/>
        <v>7.073593493</v>
      </c>
    </row>
    <row r="40">
      <c r="C40" s="1094"/>
      <c r="F40" s="1230"/>
    </row>
    <row r="41">
      <c r="A41" s="1188" t="s">
        <v>640</v>
      </c>
    </row>
    <row r="42">
      <c r="A42" s="1190" t="s">
        <v>621</v>
      </c>
    </row>
    <row r="43">
      <c r="A43" s="220" t="s">
        <v>1365</v>
      </c>
      <c r="B43" s="1191" t="s">
        <v>1400</v>
      </c>
      <c r="C43" s="1191" t="s">
        <v>1400</v>
      </c>
      <c r="D43" s="1191" t="s">
        <v>1400</v>
      </c>
      <c r="E43" s="1191" t="s">
        <v>1400</v>
      </c>
      <c r="F43" s="1191" t="s">
        <v>1400</v>
      </c>
      <c r="G43" s="1191" t="s">
        <v>1400</v>
      </c>
    </row>
    <row r="44">
      <c r="A44" s="220" t="s">
        <v>1368</v>
      </c>
      <c r="B44" s="1191" t="s">
        <v>1369</v>
      </c>
      <c r="C44" s="1191" t="s">
        <v>1369</v>
      </c>
      <c r="D44" s="1191" t="s">
        <v>1369</v>
      </c>
      <c r="E44" s="1191" t="s">
        <v>1369</v>
      </c>
      <c r="F44" s="1191" t="s">
        <v>1369</v>
      </c>
      <c r="G44" s="1191" t="s">
        <v>1369</v>
      </c>
    </row>
    <row r="45">
      <c r="A45" s="220" t="s">
        <v>1370</v>
      </c>
      <c r="B45" s="1191" t="s">
        <v>1372</v>
      </c>
      <c r="C45" s="1191" t="s">
        <v>1372</v>
      </c>
      <c r="D45" s="1191" t="s">
        <v>1372</v>
      </c>
      <c r="E45" s="1191" t="s">
        <v>1372</v>
      </c>
      <c r="F45" s="1191" t="s">
        <v>1372</v>
      </c>
      <c r="G45" s="1191" t="s">
        <v>1372</v>
      </c>
    </row>
    <row r="46">
      <c r="A46" s="220" t="s">
        <v>1373</v>
      </c>
      <c r="B46" s="1194"/>
      <c r="C46" s="1194"/>
      <c r="D46" s="1194"/>
      <c r="E46" s="1194"/>
      <c r="F46" s="1194"/>
      <c r="G46" s="1194"/>
    </row>
    <row r="47">
      <c r="A47" s="220" t="s">
        <v>1374</v>
      </c>
      <c r="B47" s="1194"/>
      <c r="C47" s="1194"/>
      <c r="D47" s="1194"/>
      <c r="E47" s="1194"/>
      <c r="F47" s="1194"/>
      <c r="G47" s="1194"/>
    </row>
    <row r="49">
      <c r="A49" s="1196" t="s">
        <v>1401</v>
      </c>
      <c r="B49" s="1062">
        <v>22.88</v>
      </c>
      <c r="C49" s="1062">
        <v>22.88</v>
      </c>
      <c r="D49" s="1062">
        <v>3.06</v>
      </c>
      <c r="E49" s="1062">
        <v>4.88</v>
      </c>
      <c r="F49" s="1062">
        <v>0.75</v>
      </c>
      <c r="G49" s="1062">
        <v>2.55</v>
      </c>
    </row>
    <row r="50">
      <c r="A50" s="1196" t="s">
        <v>1402</v>
      </c>
      <c r="B50" s="1062">
        <v>10.56</v>
      </c>
      <c r="C50" s="1062">
        <v>10.56</v>
      </c>
      <c r="D50" s="1062">
        <v>1.31</v>
      </c>
      <c r="E50" s="1231">
        <v>2.09</v>
      </c>
      <c r="F50" s="1231">
        <v>0.32</v>
      </c>
      <c r="G50" s="1231">
        <v>0.97</v>
      </c>
    </row>
    <row r="51">
      <c r="A51" s="1196" t="s">
        <v>1403</v>
      </c>
      <c r="B51" s="1062">
        <v>2.65</v>
      </c>
      <c r="C51" s="1062">
        <v>2.65</v>
      </c>
      <c r="D51" s="1062">
        <v>0.39</v>
      </c>
      <c r="E51" s="1062">
        <v>0.58</v>
      </c>
      <c r="F51" s="1062">
        <v>0.1</v>
      </c>
      <c r="G51" s="1062">
        <v>0.35</v>
      </c>
    </row>
    <row r="52">
      <c r="A52" s="1213" t="s">
        <v>1404</v>
      </c>
      <c r="B52" s="1214">
        <f t="shared" ref="B52:G52" si="10">(B49*B54)+(B50*B55)+(B56*B51)</f>
        <v>11.442</v>
      </c>
      <c r="C52" s="1214">
        <f t="shared" si="10"/>
        <v>11.442</v>
      </c>
      <c r="D52" s="1214">
        <f t="shared" si="10"/>
        <v>1.476</v>
      </c>
      <c r="E52" s="1214">
        <f t="shared" si="10"/>
        <v>2.346</v>
      </c>
      <c r="F52" s="1214">
        <f t="shared" si="10"/>
        <v>0.362</v>
      </c>
      <c r="G52" s="1214">
        <f t="shared" si="10"/>
        <v>1.162</v>
      </c>
    </row>
    <row r="53">
      <c r="A53" s="1050"/>
      <c r="B53" s="1191"/>
      <c r="C53" s="1191"/>
      <c r="D53" s="1191"/>
      <c r="E53" s="1191"/>
      <c r="F53" s="1191"/>
      <c r="G53" s="1191"/>
    </row>
    <row r="54">
      <c r="A54" s="1191" t="s">
        <v>1406</v>
      </c>
      <c r="B54" s="1217">
        <v>0.2</v>
      </c>
      <c r="C54" s="1217">
        <v>0.2</v>
      </c>
      <c r="D54" s="1217">
        <v>0.2</v>
      </c>
      <c r="E54" s="1217">
        <v>0.2</v>
      </c>
      <c r="F54" s="1217">
        <v>0.2</v>
      </c>
      <c r="G54" s="1217">
        <v>0.2</v>
      </c>
    </row>
    <row r="55">
      <c r="A55" s="1" t="s">
        <v>1407</v>
      </c>
      <c r="B55" s="1217">
        <v>0.6</v>
      </c>
      <c r="C55" s="1217">
        <v>0.6</v>
      </c>
      <c r="D55" s="1217">
        <v>0.6</v>
      </c>
      <c r="E55" s="1217">
        <v>0.6</v>
      </c>
      <c r="F55" s="1217">
        <v>0.6</v>
      </c>
      <c r="G55" s="1217">
        <v>0.6</v>
      </c>
    </row>
    <row r="56">
      <c r="A56" s="806" t="s">
        <v>1408</v>
      </c>
      <c r="B56" s="1232">
        <v>0.2</v>
      </c>
      <c r="C56" s="1232">
        <v>0.2</v>
      </c>
      <c r="D56" s="1232">
        <v>0.2</v>
      </c>
      <c r="E56" s="1232">
        <v>0.2</v>
      </c>
      <c r="F56" s="1232">
        <v>0.2</v>
      </c>
      <c r="G56" s="1232">
        <v>0.2</v>
      </c>
    </row>
    <row r="57">
      <c r="B57" s="782">
        <f t="shared" ref="B57:G57" si="11">SUM(B54:B56)</f>
        <v>1</v>
      </c>
      <c r="C57" s="782">
        <f t="shared" si="11"/>
        <v>1</v>
      </c>
      <c r="D57" s="782">
        <f t="shared" si="11"/>
        <v>1</v>
      </c>
      <c r="E57" s="782">
        <f t="shared" si="11"/>
        <v>1</v>
      </c>
      <c r="F57" s="782">
        <f t="shared" si="11"/>
        <v>1</v>
      </c>
      <c r="G57" s="782">
        <f t="shared" si="11"/>
        <v>1</v>
      </c>
    </row>
    <row r="59">
      <c r="A59" s="1228" t="s">
        <v>559</v>
      </c>
      <c r="B59" s="1229">
        <f t="shared" ref="B59:G59" si="12">B37+B52</f>
        <v>99.47748376</v>
      </c>
      <c r="C59" s="1229">
        <f t="shared" si="12"/>
        <v>109.7378213</v>
      </c>
      <c r="D59" s="1229">
        <f t="shared" si="12"/>
        <v>14.53516013</v>
      </c>
      <c r="E59" s="1229">
        <f t="shared" si="12"/>
        <v>8.142535633</v>
      </c>
      <c r="F59" s="1229">
        <f t="shared" si="12"/>
        <v>1.876686633</v>
      </c>
      <c r="G59" s="1229">
        <f t="shared" si="12"/>
        <v>8.235593493</v>
      </c>
    </row>
    <row r="63">
      <c r="A63" s="1188" t="s">
        <v>647</v>
      </c>
    </row>
    <row r="64">
      <c r="A64" s="1190" t="s">
        <v>621</v>
      </c>
    </row>
    <row r="65">
      <c r="A65" s="220" t="s">
        <v>1365</v>
      </c>
      <c r="B65" s="1191" t="s">
        <v>1409</v>
      </c>
      <c r="C65" s="1191" t="s">
        <v>1409</v>
      </c>
      <c r="D65" s="1191" t="s">
        <v>1409</v>
      </c>
      <c r="E65" s="1191" t="s">
        <v>1409</v>
      </c>
      <c r="F65" s="1191" t="s">
        <v>1409</v>
      </c>
      <c r="G65" s="1191" t="s">
        <v>1409</v>
      </c>
    </row>
    <row r="66">
      <c r="A66" s="220" t="s">
        <v>1368</v>
      </c>
      <c r="B66" s="1191" t="s">
        <v>1369</v>
      </c>
      <c r="C66" s="1191" t="s">
        <v>1369</v>
      </c>
      <c r="D66" s="1191" t="s">
        <v>1369</v>
      </c>
      <c r="E66" s="1191" t="s">
        <v>1369</v>
      </c>
      <c r="F66" s="1191" t="s">
        <v>1369</v>
      </c>
      <c r="G66" s="1191" t="s">
        <v>1369</v>
      </c>
    </row>
    <row r="67">
      <c r="A67" s="220" t="s">
        <v>1370</v>
      </c>
      <c r="B67" s="1191" t="s">
        <v>1372</v>
      </c>
      <c r="C67" s="1191" t="s">
        <v>1372</v>
      </c>
      <c r="D67" s="1191" t="s">
        <v>1372</v>
      </c>
      <c r="E67" s="1191" t="s">
        <v>1372</v>
      </c>
      <c r="F67" s="1191" t="s">
        <v>1372</v>
      </c>
      <c r="G67" s="1191" t="s">
        <v>1372</v>
      </c>
    </row>
    <row r="68">
      <c r="A68" s="220" t="s">
        <v>1373</v>
      </c>
      <c r="B68" s="1194"/>
      <c r="C68" s="1194"/>
      <c r="D68" s="1194"/>
      <c r="E68" s="1194"/>
      <c r="F68" s="1194"/>
      <c r="G68" s="1194"/>
    </row>
    <row r="69">
      <c r="A69" s="220" t="s">
        <v>1374</v>
      </c>
      <c r="B69" s="1194"/>
      <c r="C69" s="1194"/>
      <c r="D69" s="1194"/>
      <c r="E69" s="1194"/>
      <c r="F69" s="1194"/>
      <c r="G69" s="1194"/>
    </row>
    <row r="71">
      <c r="A71" s="1196" t="s">
        <v>647</v>
      </c>
      <c r="B71" s="1020">
        <v>44.0</v>
      </c>
      <c r="C71" s="1020">
        <v>44.0</v>
      </c>
      <c r="D71" s="1020">
        <v>22.0</v>
      </c>
      <c r="E71" s="1020">
        <v>22.0</v>
      </c>
      <c r="F71" s="1020">
        <v>22.0</v>
      </c>
      <c r="G71" s="1020">
        <v>22.0</v>
      </c>
    </row>
    <row r="72">
      <c r="A72" s="1196" t="s">
        <v>1410</v>
      </c>
      <c r="B72" s="1196"/>
      <c r="C72" s="1196"/>
      <c r="D72" s="1196"/>
      <c r="E72" s="1196"/>
      <c r="F72" s="1196"/>
      <c r="G72" s="1196"/>
    </row>
    <row r="73">
      <c r="A73" s="1196" t="s">
        <v>1411</v>
      </c>
      <c r="B73" s="1197">
        <v>1.01</v>
      </c>
      <c r="C73" s="1197">
        <v>1.01</v>
      </c>
      <c r="D73" s="1197">
        <v>0.6</v>
      </c>
      <c r="E73" s="1197">
        <v>0.6</v>
      </c>
      <c r="F73" s="1197">
        <v>0.6</v>
      </c>
      <c r="G73" s="1197">
        <v>0.6</v>
      </c>
    </row>
    <row r="74">
      <c r="A74" s="1196" t="s">
        <v>1412</v>
      </c>
      <c r="B74" s="1197">
        <v>0.35</v>
      </c>
      <c r="C74" s="1197">
        <v>0.35</v>
      </c>
      <c r="D74" s="1197">
        <v>0.35</v>
      </c>
      <c r="E74" s="1197">
        <v>0.35</v>
      </c>
      <c r="F74" s="1197">
        <v>0.35</v>
      </c>
      <c r="G74" s="1197">
        <v>0.35</v>
      </c>
    </row>
    <row r="75">
      <c r="A75" s="1196" t="s">
        <v>1413</v>
      </c>
      <c r="B75" s="1210">
        <v>0.31</v>
      </c>
      <c r="C75" s="1210">
        <v>0.31</v>
      </c>
      <c r="D75" s="1210">
        <v>0.03</v>
      </c>
      <c r="E75" s="1210">
        <v>0.06</v>
      </c>
      <c r="F75" s="1210">
        <v>0.01</v>
      </c>
      <c r="G75" s="1210">
        <v>0.04</v>
      </c>
      <c r="H75" s="1233"/>
      <c r="I75" s="1233"/>
      <c r="J75" s="1233"/>
      <c r="K75" s="1233"/>
      <c r="L75" s="1233"/>
      <c r="M75" s="1233"/>
      <c r="N75" s="1233"/>
      <c r="O75" s="1233"/>
      <c r="P75" s="1233"/>
      <c r="Q75" s="1233"/>
      <c r="R75" s="1233"/>
      <c r="S75" s="1233"/>
      <c r="T75" s="1233"/>
      <c r="U75" s="1233"/>
    </row>
    <row r="76">
      <c r="A76" s="1196" t="s">
        <v>1414</v>
      </c>
      <c r="B76" s="1234">
        <v>0.0</v>
      </c>
      <c r="C76" s="1234">
        <v>0.0</v>
      </c>
      <c r="D76" s="1234">
        <v>1.2</v>
      </c>
      <c r="E76" s="1234">
        <v>1.2</v>
      </c>
      <c r="F76" s="1234">
        <v>1.2</v>
      </c>
      <c r="G76" s="1234">
        <v>1.2</v>
      </c>
    </row>
    <row r="77">
      <c r="A77" s="1196" t="s">
        <v>1415</v>
      </c>
      <c r="B77" s="1234">
        <v>1.3</v>
      </c>
      <c r="C77" s="1234">
        <v>1.3</v>
      </c>
      <c r="D77" s="1234">
        <v>0.0</v>
      </c>
      <c r="E77" s="1234">
        <v>0.0</v>
      </c>
      <c r="F77" s="1234">
        <v>0.0</v>
      </c>
      <c r="G77" s="1234">
        <v>0.0</v>
      </c>
    </row>
    <row r="78">
      <c r="A78" s="1196" t="s">
        <v>1416</v>
      </c>
      <c r="B78" s="1196"/>
      <c r="C78" s="1196"/>
      <c r="D78" s="1196"/>
      <c r="E78" s="1196"/>
      <c r="F78" s="1196"/>
      <c r="G78" s="1196"/>
    </row>
    <row r="79">
      <c r="A79" s="1196" t="s">
        <v>698</v>
      </c>
      <c r="B79" s="1197">
        <v>0.3</v>
      </c>
      <c r="C79" s="1197">
        <v>0.3</v>
      </c>
      <c r="D79" s="1234">
        <v>0.0</v>
      </c>
      <c r="E79" s="1234">
        <v>0.0</v>
      </c>
      <c r="F79" s="1234">
        <v>0.0</v>
      </c>
      <c r="G79" s="1234">
        <v>0.0</v>
      </c>
    </row>
    <row r="80">
      <c r="A80" s="1196" t="s">
        <v>1417</v>
      </c>
      <c r="B80" s="1003">
        <v>0.31</v>
      </c>
      <c r="C80" s="1003">
        <v>0.31</v>
      </c>
      <c r="D80" s="1003">
        <v>0.31</v>
      </c>
      <c r="E80" s="1003">
        <v>0.31</v>
      </c>
      <c r="F80" s="1003">
        <v>0.31</v>
      </c>
      <c r="G80" s="1003">
        <v>0.31</v>
      </c>
    </row>
    <row r="81">
      <c r="A81" s="1213" t="s">
        <v>1419</v>
      </c>
      <c r="B81" s="1214">
        <f t="shared" ref="B81:G81" si="13">SUM(B71:B80)</f>
        <v>47.58</v>
      </c>
      <c r="C81" s="1214">
        <f t="shared" si="13"/>
        <v>47.58</v>
      </c>
      <c r="D81" s="1214">
        <f t="shared" si="13"/>
        <v>24.49</v>
      </c>
      <c r="E81" s="1214">
        <f t="shared" si="13"/>
        <v>24.52</v>
      </c>
      <c r="F81" s="1214">
        <f t="shared" si="13"/>
        <v>24.47</v>
      </c>
      <c r="G81" s="1214">
        <f t="shared" si="13"/>
        <v>24.5</v>
      </c>
    </row>
    <row r="83">
      <c r="A83" s="1228" t="s">
        <v>559</v>
      </c>
      <c r="B83" s="1229">
        <f t="shared" ref="B83:G83" si="14">B59+B81</f>
        <v>147.0574838</v>
      </c>
      <c r="C83" s="1229">
        <f t="shared" si="14"/>
        <v>157.3178213</v>
      </c>
      <c r="D83" s="1229">
        <f t="shared" si="14"/>
        <v>39.02516013</v>
      </c>
      <c r="E83" s="1229">
        <f t="shared" si="14"/>
        <v>32.66253563</v>
      </c>
      <c r="F83" s="1229">
        <f t="shared" si="14"/>
        <v>26.34668663</v>
      </c>
      <c r="G83" s="1229">
        <f t="shared" si="14"/>
        <v>32.73559349</v>
      </c>
    </row>
    <row r="87">
      <c r="A87" s="1050"/>
      <c r="B87" s="1191"/>
      <c r="C87" s="1191" t="s">
        <v>1420</v>
      </c>
      <c r="D87" s="1191">
        <v>70.0</v>
      </c>
      <c r="E87" s="1191">
        <v>24.0</v>
      </c>
      <c r="F87" s="1191">
        <v>14.0</v>
      </c>
      <c r="G87" s="1191">
        <v>29.0</v>
      </c>
    </row>
    <row r="88">
      <c r="C88" s="1" t="s">
        <v>1421</v>
      </c>
      <c r="D88" s="1230">
        <v>10.0</v>
      </c>
      <c r="E88" s="1230">
        <v>10.0</v>
      </c>
      <c r="F88" s="1230">
        <v>10.0</v>
      </c>
      <c r="G88" s="1230">
        <v>10.0</v>
      </c>
    </row>
    <row r="89">
      <c r="D89" s="1012">
        <f t="shared" ref="D89:G89" si="15">(D87-D83)+D88</f>
        <v>40.97483987</v>
      </c>
      <c r="E89" s="1012">
        <f t="shared" si="15"/>
        <v>1.337464367</v>
      </c>
      <c r="F89" s="1012">
        <f t="shared" si="15"/>
        <v>-2.346686633</v>
      </c>
      <c r="G89" s="1012">
        <f t="shared" si="15"/>
        <v>6.264406507</v>
      </c>
    </row>
    <row r="91">
      <c r="C91" s="1" t="s">
        <v>1422</v>
      </c>
      <c r="D91" s="1035">
        <f t="shared" ref="D91:G91" si="16">D87*0.13</f>
        <v>9.1</v>
      </c>
      <c r="E91" s="1035">
        <f t="shared" si="16"/>
        <v>3.12</v>
      </c>
      <c r="F91" s="1035">
        <f t="shared" si="16"/>
        <v>1.82</v>
      </c>
      <c r="G91" s="1035">
        <f t="shared" si="16"/>
        <v>3.77</v>
      </c>
    </row>
    <row r="93">
      <c r="C93" s="760" t="s">
        <v>1423</v>
      </c>
      <c r="D93" s="1012">
        <f t="shared" ref="D93:G93" si="17">D89-D91</f>
        <v>31.87483987</v>
      </c>
      <c r="E93" s="1012">
        <f t="shared" si="17"/>
        <v>-1.782535633</v>
      </c>
      <c r="F93" s="1012">
        <f t="shared" si="17"/>
        <v>-4.166686633</v>
      </c>
      <c r="G93" s="1012">
        <f t="shared" si="17"/>
        <v>2.494406507</v>
      </c>
    </row>
    <row r="97">
      <c r="F97" s="763"/>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183" t="s">
        <v>1469</v>
      </c>
    </row>
    <row r="2">
      <c r="A2" s="1185" t="s">
        <v>1357</v>
      </c>
      <c r="B2" s="1185" t="s">
        <v>629</v>
      </c>
      <c r="C2" s="1185" t="s">
        <v>638</v>
      </c>
      <c r="D2" s="1185" t="s">
        <v>630</v>
      </c>
      <c r="E2" s="1185" t="s">
        <v>150</v>
      </c>
      <c r="F2" s="1185" t="s">
        <v>151</v>
      </c>
      <c r="G2" s="1185" t="s">
        <v>660</v>
      </c>
      <c r="H2" s="1" t="s">
        <v>1359</v>
      </c>
      <c r="I2" s="1" t="s">
        <v>663</v>
      </c>
      <c r="J2" s="1" t="s">
        <v>1360</v>
      </c>
    </row>
    <row r="3">
      <c r="A3" s="1186" t="s">
        <v>1361</v>
      </c>
      <c r="B3" s="1186" t="s">
        <v>1362</v>
      </c>
      <c r="C3" s="1186" t="s">
        <v>1362</v>
      </c>
      <c r="D3" s="1186" t="s">
        <v>1363</v>
      </c>
      <c r="E3" s="1186" t="s">
        <v>1363</v>
      </c>
      <c r="F3" s="1186" t="s">
        <v>1363</v>
      </c>
      <c r="G3" s="1186" t="s">
        <v>1363</v>
      </c>
    </row>
    <row r="5">
      <c r="A5" s="1188" t="s">
        <v>622</v>
      </c>
    </row>
    <row r="6">
      <c r="A6" s="1190" t="s">
        <v>621</v>
      </c>
    </row>
    <row r="7">
      <c r="A7" s="220" t="s">
        <v>1365</v>
      </c>
      <c r="B7" s="1191" t="s">
        <v>1366</v>
      </c>
      <c r="C7" s="1191" t="s">
        <v>1366</v>
      </c>
      <c r="D7" s="1191" t="s">
        <v>1366</v>
      </c>
      <c r="E7" s="1191" t="s">
        <v>1366</v>
      </c>
      <c r="F7" s="1191" t="s">
        <v>1366</v>
      </c>
      <c r="G7" s="1191" t="s">
        <v>1366</v>
      </c>
    </row>
    <row r="8">
      <c r="A8" s="220" t="s">
        <v>1368</v>
      </c>
      <c r="B8" s="1191" t="s">
        <v>1369</v>
      </c>
      <c r="C8" s="1191" t="s">
        <v>1369</v>
      </c>
      <c r="D8" s="1191" t="s">
        <v>1369</v>
      </c>
      <c r="E8" s="1191" t="s">
        <v>1369</v>
      </c>
      <c r="F8" s="1191" t="s">
        <v>1369</v>
      </c>
      <c r="G8" s="1191" t="s">
        <v>1369</v>
      </c>
    </row>
    <row r="9">
      <c r="A9" s="220" t="s">
        <v>1370</v>
      </c>
      <c r="B9" s="1191" t="s">
        <v>1372</v>
      </c>
      <c r="C9" s="1191" t="s">
        <v>1372</v>
      </c>
      <c r="D9" s="1191" t="s">
        <v>1372</v>
      </c>
      <c r="E9" s="1191" t="s">
        <v>1372</v>
      </c>
      <c r="F9" s="1191" t="s">
        <v>1372</v>
      </c>
      <c r="G9" s="1191" t="s">
        <v>1372</v>
      </c>
    </row>
    <row r="10">
      <c r="A10" s="220" t="s">
        <v>1373</v>
      </c>
      <c r="B10" s="1193">
        <v>150000.0</v>
      </c>
      <c r="C10" s="1193">
        <v>150000.0</v>
      </c>
      <c r="D10" s="1194"/>
      <c r="E10" s="1194"/>
      <c r="F10" s="1194"/>
      <c r="G10" s="1194"/>
    </row>
    <row r="11">
      <c r="A11" s="220" t="s">
        <v>1374</v>
      </c>
      <c r="B11" s="1191" t="s">
        <v>1375</v>
      </c>
      <c r="C11" s="1191" t="s">
        <v>1375</v>
      </c>
      <c r="D11" s="1194"/>
      <c r="E11" s="1194"/>
      <c r="F11" s="1194"/>
      <c r="G11" s="1194"/>
    </row>
    <row r="12">
      <c r="B12" s="1191"/>
      <c r="C12" s="1191"/>
      <c r="D12" s="1191"/>
      <c r="E12" s="1191"/>
      <c r="F12" s="1191"/>
      <c r="G12" s="1191"/>
    </row>
    <row r="13">
      <c r="A13" s="1196" t="s">
        <v>1376</v>
      </c>
      <c r="B13" s="1020">
        <v>6.1433</v>
      </c>
      <c r="C13" s="1020">
        <v>6.1433</v>
      </c>
      <c r="D13" s="1197">
        <v>0.0</v>
      </c>
      <c r="E13" s="1197">
        <v>0.0</v>
      </c>
      <c r="F13" s="1197">
        <v>0.0</v>
      </c>
      <c r="G13" s="1197">
        <v>0.0</v>
      </c>
      <c r="H13" s="1200"/>
      <c r="I13" s="1202"/>
    </row>
    <row r="14">
      <c r="A14" s="1196" t="s">
        <v>1380</v>
      </c>
      <c r="B14" s="1020">
        <v>38.23</v>
      </c>
      <c r="C14" s="1020">
        <v>45.3</v>
      </c>
      <c r="D14" s="1203">
        <v>6.87</v>
      </c>
      <c r="E14" s="1203">
        <v>3.79</v>
      </c>
      <c r="F14" s="1203">
        <v>0.82</v>
      </c>
      <c r="G14" s="1204">
        <v>3.8336</v>
      </c>
      <c r="H14" s="1200"/>
      <c r="I14" s="1202"/>
    </row>
    <row r="15">
      <c r="A15" s="1196" t="s">
        <v>1381</v>
      </c>
      <c r="B15" s="1020">
        <f t="shared" ref="B15:G15" si="1">(B13+B14)*B23</f>
        <v>15.530655</v>
      </c>
      <c r="C15" s="1020">
        <f t="shared" si="1"/>
        <v>18.005155</v>
      </c>
      <c r="D15" s="1020">
        <f t="shared" si="1"/>
        <v>2.4045</v>
      </c>
      <c r="E15" s="1020">
        <f t="shared" si="1"/>
        <v>1.137</v>
      </c>
      <c r="F15" s="1020">
        <f t="shared" si="1"/>
        <v>0.246</v>
      </c>
      <c r="G15" s="1020">
        <f t="shared" si="1"/>
        <v>1.15008</v>
      </c>
      <c r="H15" s="1200"/>
      <c r="I15" s="1202"/>
    </row>
    <row r="16">
      <c r="A16" s="1196" t="s">
        <v>1382</v>
      </c>
      <c r="B16" s="1020">
        <v>8.1762</v>
      </c>
      <c r="C16" s="1020">
        <v>8.1762</v>
      </c>
      <c r="D16" s="1209">
        <v>0.544</v>
      </c>
      <c r="E16" s="1210">
        <v>0.0</v>
      </c>
      <c r="F16" s="1210">
        <v>0.0</v>
      </c>
      <c r="G16" s="1210">
        <v>0.8422</v>
      </c>
      <c r="H16" s="1200"/>
      <c r="I16" s="1211"/>
    </row>
    <row r="17">
      <c r="A17" s="1196" t="s">
        <v>1383</v>
      </c>
      <c r="B17" s="1020">
        <f t="shared" ref="B17:G17" si="2">B16*B24</f>
        <v>2.45286</v>
      </c>
      <c r="C17" s="1020">
        <f t="shared" si="2"/>
        <v>2.45286</v>
      </c>
      <c r="D17" s="1020">
        <f t="shared" si="2"/>
        <v>0.1632</v>
      </c>
      <c r="E17" s="1020">
        <f t="shared" si="2"/>
        <v>0</v>
      </c>
      <c r="F17" s="1020">
        <f t="shared" si="2"/>
        <v>0</v>
      </c>
      <c r="G17" s="1020">
        <f t="shared" si="2"/>
        <v>0.25266</v>
      </c>
      <c r="H17" s="1200"/>
      <c r="I17" s="1202"/>
    </row>
    <row r="18">
      <c r="A18" s="1213" t="s">
        <v>1384</v>
      </c>
      <c r="B18" s="1214">
        <f t="shared" ref="B18:G18" si="3">SUM(B13:B17)</f>
        <v>70.533015</v>
      </c>
      <c r="C18" s="1214">
        <f t="shared" si="3"/>
        <v>80.077515</v>
      </c>
      <c r="D18" s="1214">
        <f t="shared" si="3"/>
        <v>9.9817</v>
      </c>
      <c r="E18" s="1214">
        <f t="shared" si="3"/>
        <v>4.927</v>
      </c>
      <c r="F18" s="1214">
        <f t="shared" si="3"/>
        <v>1.066</v>
      </c>
      <c r="G18" s="1214">
        <f t="shared" si="3"/>
        <v>6.07854</v>
      </c>
      <c r="H18" s="1262"/>
      <c r="I18" s="183"/>
    </row>
    <row r="19">
      <c r="A19" s="1050"/>
      <c r="B19" s="1191"/>
      <c r="C19" s="1191"/>
      <c r="D19" s="1191"/>
      <c r="E19" s="1191"/>
      <c r="F19" s="1191"/>
      <c r="G19" s="1191"/>
      <c r="H19" s="1200"/>
      <c r="I19" s="1202"/>
    </row>
    <row r="20">
      <c r="A20" s="1191" t="s">
        <v>1385</v>
      </c>
      <c r="B20" s="1020">
        <v>10.0</v>
      </c>
      <c r="C20" s="1020">
        <v>10.0</v>
      </c>
      <c r="D20" s="1020">
        <v>0.0</v>
      </c>
      <c r="E20" s="1020">
        <v>0.0</v>
      </c>
      <c r="F20" s="1020">
        <v>0.0</v>
      </c>
      <c r="G20" s="1020">
        <v>0.0</v>
      </c>
      <c r="H20" s="1200"/>
      <c r="I20" s="1202"/>
    </row>
    <row r="21">
      <c r="A21" s="1191" t="s">
        <v>1386</v>
      </c>
      <c r="B21" s="1020">
        <v>1.88</v>
      </c>
      <c r="C21" s="1020">
        <v>1.88</v>
      </c>
      <c r="D21" s="1020">
        <v>0.0</v>
      </c>
      <c r="E21" s="1020">
        <v>0.0</v>
      </c>
      <c r="F21" s="1020">
        <v>0.0</v>
      </c>
      <c r="G21" s="1020">
        <v>0.0</v>
      </c>
      <c r="H21" s="1200"/>
      <c r="I21" s="1202"/>
    </row>
    <row r="22">
      <c r="A22" s="1050"/>
      <c r="B22" s="1191"/>
      <c r="C22" s="1191"/>
      <c r="D22" s="1191"/>
      <c r="E22" s="1191"/>
      <c r="F22" s="1191"/>
      <c r="G22" s="1191"/>
      <c r="H22" s="1200"/>
      <c r="I22" s="1202"/>
    </row>
    <row r="23">
      <c r="A23" s="1191" t="s">
        <v>1387</v>
      </c>
      <c r="B23" s="1216">
        <v>0.35</v>
      </c>
      <c r="C23" s="1216">
        <v>0.35</v>
      </c>
      <c r="D23" s="1216">
        <v>0.35</v>
      </c>
      <c r="E23" s="1216">
        <v>0.3</v>
      </c>
      <c r="F23" s="1216">
        <v>0.3</v>
      </c>
      <c r="G23" s="1217">
        <v>0.3</v>
      </c>
      <c r="H23" s="1200"/>
      <c r="I23" s="1211"/>
    </row>
    <row r="24">
      <c r="A24" s="1" t="s">
        <v>1388</v>
      </c>
      <c r="B24" s="1216">
        <v>0.3</v>
      </c>
      <c r="C24" s="1216">
        <v>0.3</v>
      </c>
      <c r="D24" s="1216">
        <v>0.3</v>
      </c>
      <c r="E24" s="1217">
        <v>0.3</v>
      </c>
      <c r="F24" s="1217">
        <v>0.3</v>
      </c>
      <c r="G24" s="1217">
        <v>0.3</v>
      </c>
      <c r="H24" s="1200"/>
      <c r="I24" s="1202"/>
    </row>
    <row r="25">
      <c r="B25" s="1191"/>
      <c r="C25" s="1191"/>
      <c r="D25" s="1191"/>
      <c r="E25" s="1191"/>
      <c r="F25" s="1191"/>
      <c r="G25" s="1191"/>
      <c r="H25" s="1200"/>
      <c r="I25" s="1202"/>
    </row>
    <row r="26">
      <c r="A26" s="1196" t="s">
        <v>1389</v>
      </c>
      <c r="B26" s="1020">
        <f t="shared" ref="B26:G26" si="4">sum(B13:B17)*B32</f>
        <v>0</v>
      </c>
      <c r="C26" s="1020">
        <f t="shared" si="4"/>
        <v>0</v>
      </c>
      <c r="D26" s="1020">
        <f t="shared" si="4"/>
        <v>0.2495425</v>
      </c>
      <c r="E26" s="1020">
        <f t="shared" si="4"/>
        <v>0.167518</v>
      </c>
      <c r="F26" s="1020">
        <f t="shared" si="4"/>
        <v>0.036244</v>
      </c>
      <c r="G26" s="1020">
        <f t="shared" si="4"/>
        <v>0.20667036</v>
      </c>
      <c r="H26" s="9"/>
      <c r="I26" s="183"/>
    </row>
    <row r="27">
      <c r="A27" s="1196" t="s">
        <v>1390</v>
      </c>
      <c r="B27" s="1020">
        <f t="shared" ref="B27:G27" si="5">sum(B13:B17)*B33</f>
        <v>5.289976125</v>
      </c>
      <c r="C27" s="1020">
        <f t="shared" si="5"/>
        <v>6.005813625</v>
      </c>
      <c r="D27" s="1020">
        <f t="shared" si="5"/>
        <v>2.495425</v>
      </c>
      <c r="E27" s="1020">
        <f t="shared" si="5"/>
        <v>0.369525</v>
      </c>
      <c r="F27" s="1020">
        <f t="shared" si="5"/>
        <v>0.07995</v>
      </c>
      <c r="G27" s="1020">
        <f t="shared" si="5"/>
        <v>0.4558905</v>
      </c>
      <c r="H27" s="1200"/>
      <c r="I27" s="1219"/>
    </row>
    <row r="28">
      <c r="A28" s="1196" t="s">
        <v>652</v>
      </c>
      <c r="B28" s="1020">
        <f t="shared" ref="B28:G28" si="6">SUM($B$13:$B$17)*B34</f>
        <v>0.08816626875</v>
      </c>
      <c r="C28" s="1020">
        <f t="shared" si="6"/>
        <v>0.08816626875</v>
      </c>
      <c r="D28" s="1020">
        <f t="shared" si="6"/>
        <v>0.08816626875</v>
      </c>
      <c r="E28" s="1020">
        <f t="shared" si="6"/>
        <v>0.08816626875</v>
      </c>
      <c r="F28" s="1020">
        <f t="shared" si="6"/>
        <v>0.08816626875</v>
      </c>
      <c r="G28" s="1020">
        <f t="shared" si="6"/>
        <v>0.08816626875</v>
      </c>
    </row>
    <row r="29">
      <c r="A29" s="1196" t="s">
        <v>656</v>
      </c>
      <c r="B29" s="1020">
        <f t="shared" ref="B29:G29" si="7">SUM($B$13:$B$17)*B35</f>
        <v>0.244326364</v>
      </c>
      <c r="C29" s="1020">
        <f t="shared" si="7"/>
        <v>0.244326364</v>
      </c>
      <c r="D29" s="1020">
        <f t="shared" si="7"/>
        <v>0.244326364</v>
      </c>
      <c r="E29" s="1020">
        <f t="shared" si="7"/>
        <v>0.244326364</v>
      </c>
      <c r="F29" s="1020">
        <f t="shared" si="7"/>
        <v>0.244326364</v>
      </c>
      <c r="G29" s="1020">
        <f t="shared" si="7"/>
        <v>0.244326364</v>
      </c>
    </row>
    <row r="30">
      <c r="A30" s="1213" t="s">
        <v>1393</v>
      </c>
      <c r="B30" s="1214">
        <f t="shared" ref="B30:G30" si="8">SUM(B26:B29)</f>
        <v>5.622468758</v>
      </c>
      <c r="C30" s="1214">
        <f t="shared" si="8"/>
        <v>6.338306258</v>
      </c>
      <c r="D30" s="1214">
        <f t="shared" si="8"/>
        <v>3.077460133</v>
      </c>
      <c r="E30" s="1214">
        <f t="shared" si="8"/>
        <v>0.8695356327</v>
      </c>
      <c r="F30" s="1214">
        <f t="shared" si="8"/>
        <v>0.4486866327</v>
      </c>
      <c r="G30" s="1214">
        <f t="shared" si="8"/>
        <v>0.9950534927</v>
      </c>
    </row>
    <row r="31">
      <c r="B31" s="1191"/>
      <c r="C31" s="1191"/>
      <c r="D31" s="1191"/>
      <c r="E31" s="1191"/>
      <c r="F31" s="1191"/>
      <c r="G31" s="1191"/>
    </row>
    <row r="32">
      <c r="A32" s="1223" t="s">
        <v>1395</v>
      </c>
      <c r="B32" s="1216">
        <v>0.0</v>
      </c>
      <c r="C32" s="1216">
        <v>0.0</v>
      </c>
      <c r="D32" s="1216">
        <v>0.025</v>
      </c>
      <c r="E32" s="1216">
        <v>0.034</v>
      </c>
      <c r="F32" s="1216">
        <v>0.034</v>
      </c>
      <c r="G32" s="1216">
        <v>0.034</v>
      </c>
    </row>
    <row r="33">
      <c r="A33" s="1223" t="s">
        <v>1397</v>
      </c>
      <c r="B33" s="1216">
        <v>0.075</v>
      </c>
      <c r="C33" s="1216">
        <v>0.075</v>
      </c>
      <c r="D33" s="1216">
        <v>0.25</v>
      </c>
      <c r="E33" s="1216">
        <v>0.075</v>
      </c>
      <c r="F33" s="1216">
        <v>0.075</v>
      </c>
      <c r="G33" s="1216">
        <v>0.075</v>
      </c>
    </row>
    <row r="34">
      <c r="A34" s="1" t="s">
        <v>1398</v>
      </c>
      <c r="B34" s="1226">
        <v>0.00125</v>
      </c>
      <c r="C34" s="1226">
        <v>0.00125</v>
      </c>
      <c r="D34" s="1226">
        <v>0.00125</v>
      </c>
      <c r="E34" s="1226">
        <v>0.00125</v>
      </c>
      <c r="F34" s="1226">
        <v>0.00125</v>
      </c>
      <c r="G34" s="1226">
        <v>0.00125</v>
      </c>
    </row>
    <row r="35">
      <c r="A35" s="1" t="s">
        <v>1399</v>
      </c>
      <c r="B35" s="1227">
        <v>0.003464</v>
      </c>
      <c r="C35" s="1227">
        <v>0.003464</v>
      </c>
      <c r="D35" s="1227">
        <v>0.003464</v>
      </c>
      <c r="E35" s="1227">
        <v>0.003464</v>
      </c>
      <c r="F35" s="1227">
        <v>0.003464</v>
      </c>
      <c r="G35" s="1227">
        <v>0.003464</v>
      </c>
    </row>
    <row r="36">
      <c r="B36" s="1191"/>
      <c r="C36" s="1191"/>
      <c r="D36" s="1191"/>
      <c r="E36" s="1191"/>
      <c r="F36" s="1191"/>
      <c r="G36" s="1191"/>
    </row>
    <row r="37">
      <c r="A37" s="1228" t="s">
        <v>559</v>
      </c>
      <c r="B37" s="1229">
        <f t="shared" ref="B37:G37" si="9">B18+B20+B21+B30</f>
        <v>88.03548376</v>
      </c>
      <c r="C37" s="1229">
        <f t="shared" si="9"/>
        <v>98.29582126</v>
      </c>
      <c r="D37" s="1229">
        <f t="shared" si="9"/>
        <v>13.05916013</v>
      </c>
      <c r="E37" s="1229">
        <f t="shared" si="9"/>
        <v>5.796535633</v>
      </c>
      <c r="F37" s="1229">
        <f t="shared" si="9"/>
        <v>1.514686633</v>
      </c>
      <c r="G37" s="1229">
        <f t="shared" si="9"/>
        <v>7.073593493</v>
      </c>
    </row>
    <row r="40">
      <c r="C40" s="1094"/>
      <c r="F40" s="1230"/>
    </row>
    <row r="41">
      <c r="A41" s="1188" t="s">
        <v>640</v>
      </c>
    </row>
    <row r="42">
      <c r="A42" s="1190" t="s">
        <v>621</v>
      </c>
    </row>
    <row r="43">
      <c r="A43" s="220" t="s">
        <v>1365</v>
      </c>
      <c r="B43" s="1191" t="s">
        <v>1400</v>
      </c>
      <c r="C43" s="1191" t="s">
        <v>1400</v>
      </c>
      <c r="D43" s="1191" t="s">
        <v>1400</v>
      </c>
      <c r="E43" s="1191" t="s">
        <v>1400</v>
      </c>
      <c r="F43" s="1191" t="s">
        <v>1400</v>
      </c>
      <c r="G43" s="1191" t="s">
        <v>1400</v>
      </c>
    </row>
    <row r="44">
      <c r="A44" s="220" t="s">
        <v>1368</v>
      </c>
      <c r="B44" s="1191" t="s">
        <v>1369</v>
      </c>
      <c r="C44" s="1191" t="s">
        <v>1369</v>
      </c>
      <c r="D44" s="1191" t="s">
        <v>1369</v>
      </c>
      <c r="E44" s="1191" t="s">
        <v>1369</v>
      </c>
      <c r="F44" s="1191" t="s">
        <v>1369</v>
      </c>
      <c r="G44" s="1191" t="s">
        <v>1369</v>
      </c>
    </row>
    <row r="45">
      <c r="A45" s="220" t="s">
        <v>1370</v>
      </c>
      <c r="B45" s="1191" t="s">
        <v>1372</v>
      </c>
      <c r="C45" s="1191" t="s">
        <v>1372</v>
      </c>
      <c r="D45" s="1191" t="s">
        <v>1372</v>
      </c>
      <c r="E45" s="1191" t="s">
        <v>1372</v>
      </c>
      <c r="F45" s="1191" t="s">
        <v>1372</v>
      </c>
      <c r="G45" s="1191" t="s">
        <v>1372</v>
      </c>
    </row>
    <row r="46">
      <c r="A46" s="220" t="s">
        <v>1373</v>
      </c>
      <c r="B46" s="1194"/>
      <c r="C46" s="1194"/>
      <c r="D46" s="1194"/>
      <c r="E46" s="1194"/>
      <c r="F46" s="1194"/>
      <c r="G46" s="1194"/>
    </row>
    <row r="47">
      <c r="A47" s="220" t="s">
        <v>1374</v>
      </c>
      <c r="B47" s="1194"/>
      <c r="C47" s="1194"/>
      <c r="D47" s="1194"/>
      <c r="E47" s="1194"/>
      <c r="F47" s="1194"/>
      <c r="G47" s="1194"/>
    </row>
    <row r="49">
      <c r="A49" s="1196" t="s">
        <v>1401</v>
      </c>
      <c r="B49" s="1062">
        <v>22.88</v>
      </c>
      <c r="C49" s="1062">
        <v>22.88</v>
      </c>
      <c r="D49" s="1062">
        <v>3.06</v>
      </c>
      <c r="E49" s="1062">
        <v>4.88</v>
      </c>
      <c r="F49" s="1062">
        <v>0.75</v>
      </c>
      <c r="G49" s="1062">
        <v>2.55</v>
      </c>
    </row>
    <row r="50">
      <c r="A50" s="1196" t="s">
        <v>1402</v>
      </c>
      <c r="B50" s="1062">
        <v>10.56</v>
      </c>
      <c r="C50" s="1062">
        <v>10.56</v>
      </c>
      <c r="D50" s="1062">
        <v>1.31</v>
      </c>
      <c r="E50" s="1231">
        <v>2.09</v>
      </c>
      <c r="F50" s="1231">
        <v>0.32</v>
      </c>
      <c r="G50" s="1231">
        <v>0.97</v>
      </c>
    </row>
    <row r="51">
      <c r="A51" s="1196" t="s">
        <v>1403</v>
      </c>
      <c r="B51" s="1062">
        <v>2.65</v>
      </c>
      <c r="C51" s="1062">
        <v>2.65</v>
      </c>
      <c r="D51" s="1062">
        <v>0.39</v>
      </c>
      <c r="E51" s="1062">
        <v>0.58</v>
      </c>
      <c r="F51" s="1062">
        <v>0.1</v>
      </c>
      <c r="G51" s="1062">
        <v>0.35</v>
      </c>
    </row>
    <row r="52">
      <c r="A52" s="1213" t="s">
        <v>1404</v>
      </c>
      <c r="B52" s="1214">
        <f t="shared" ref="B52:G52" si="10">(B49*B54)+(B50*B55)+(B56*B51)</f>
        <v>11.442</v>
      </c>
      <c r="C52" s="1214">
        <f t="shared" si="10"/>
        <v>11.442</v>
      </c>
      <c r="D52" s="1214">
        <f t="shared" si="10"/>
        <v>1.476</v>
      </c>
      <c r="E52" s="1214">
        <f t="shared" si="10"/>
        <v>2.346</v>
      </c>
      <c r="F52" s="1214">
        <f t="shared" si="10"/>
        <v>0.362</v>
      </c>
      <c r="G52" s="1214">
        <f t="shared" si="10"/>
        <v>1.162</v>
      </c>
    </row>
    <row r="53">
      <c r="A53" s="1050"/>
      <c r="B53" s="1191"/>
      <c r="C53" s="1191"/>
      <c r="D53" s="1191"/>
      <c r="E53" s="1191"/>
      <c r="F53" s="1191"/>
      <c r="G53" s="1191"/>
    </row>
    <row r="54">
      <c r="A54" s="1191" t="s">
        <v>1406</v>
      </c>
      <c r="B54" s="1217">
        <v>0.2</v>
      </c>
      <c r="C54" s="1217">
        <v>0.2</v>
      </c>
      <c r="D54" s="1217">
        <v>0.2</v>
      </c>
      <c r="E54" s="1217">
        <v>0.2</v>
      </c>
      <c r="F54" s="1217">
        <v>0.2</v>
      </c>
      <c r="G54" s="1217">
        <v>0.2</v>
      </c>
    </row>
    <row r="55">
      <c r="A55" s="1" t="s">
        <v>1407</v>
      </c>
      <c r="B55" s="1217">
        <v>0.6</v>
      </c>
      <c r="C55" s="1217">
        <v>0.6</v>
      </c>
      <c r="D55" s="1217">
        <v>0.6</v>
      </c>
      <c r="E55" s="1217">
        <v>0.6</v>
      </c>
      <c r="F55" s="1217">
        <v>0.6</v>
      </c>
      <c r="G55" s="1217">
        <v>0.6</v>
      </c>
    </row>
    <row r="56">
      <c r="A56" s="806" t="s">
        <v>1408</v>
      </c>
      <c r="B56" s="1232">
        <v>0.2</v>
      </c>
      <c r="C56" s="1232">
        <v>0.2</v>
      </c>
      <c r="D56" s="1232">
        <v>0.2</v>
      </c>
      <c r="E56" s="1232">
        <v>0.2</v>
      </c>
      <c r="F56" s="1232">
        <v>0.2</v>
      </c>
      <c r="G56" s="1232">
        <v>0.2</v>
      </c>
    </row>
    <row r="57">
      <c r="B57" s="782">
        <f t="shared" ref="B57:G57" si="11">SUM(B54:B56)</f>
        <v>1</v>
      </c>
      <c r="C57" s="782">
        <f t="shared" si="11"/>
        <v>1</v>
      </c>
      <c r="D57" s="782">
        <f t="shared" si="11"/>
        <v>1</v>
      </c>
      <c r="E57" s="782">
        <f t="shared" si="11"/>
        <v>1</v>
      </c>
      <c r="F57" s="782">
        <f t="shared" si="11"/>
        <v>1</v>
      </c>
      <c r="G57" s="782">
        <f t="shared" si="11"/>
        <v>1</v>
      </c>
    </row>
    <row r="59">
      <c r="A59" s="1228" t="s">
        <v>559</v>
      </c>
      <c r="B59" s="1229">
        <f t="shared" ref="B59:G59" si="12">B37+B52</f>
        <v>99.47748376</v>
      </c>
      <c r="C59" s="1229">
        <f t="shared" si="12"/>
        <v>109.7378213</v>
      </c>
      <c r="D59" s="1229">
        <f t="shared" si="12"/>
        <v>14.53516013</v>
      </c>
      <c r="E59" s="1229">
        <f t="shared" si="12"/>
        <v>8.142535633</v>
      </c>
      <c r="F59" s="1229">
        <f t="shared" si="12"/>
        <v>1.876686633</v>
      </c>
      <c r="G59" s="1229">
        <f t="shared" si="12"/>
        <v>8.235593493</v>
      </c>
    </row>
    <row r="63">
      <c r="A63" s="1188" t="s">
        <v>647</v>
      </c>
    </row>
    <row r="64">
      <c r="A64" s="1190" t="s">
        <v>621</v>
      </c>
    </row>
    <row r="65">
      <c r="A65" s="220" t="s">
        <v>1365</v>
      </c>
      <c r="B65" s="1191" t="s">
        <v>1409</v>
      </c>
      <c r="C65" s="1191" t="s">
        <v>1409</v>
      </c>
      <c r="D65" s="1191" t="s">
        <v>1409</v>
      </c>
      <c r="E65" s="1191" t="s">
        <v>1409</v>
      </c>
      <c r="F65" s="1191" t="s">
        <v>1409</v>
      </c>
      <c r="G65" s="1191" t="s">
        <v>1409</v>
      </c>
    </row>
    <row r="66">
      <c r="A66" s="220" t="s">
        <v>1368</v>
      </c>
      <c r="B66" s="1191" t="s">
        <v>1369</v>
      </c>
      <c r="C66" s="1191" t="s">
        <v>1369</v>
      </c>
      <c r="D66" s="1191" t="s">
        <v>1369</v>
      </c>
      <c r="E66" s="1191" t="s">
        <v>1369</v>
      </c>
      <c r="F66" s="1191" t="s">
        <v>1369</v>
      </c>
      <c r="G66" s="1191" t="s">
        <v>1369</v>
      </c>
    </row>
    <row r="67">
      <c r="A67" s="220" t="s">
        <v>1370</v>
      </c>
      <c r="B67" s="1191" t="s">
        <v>1372</v>
      </c>
      <c r="C67" s="1191" t="s">
        <v>1372</v>
      </c>
      <c r="D67" s="1191" t="s">
        <v>1372</v>
      </c>
      <c r="E67" s="1191" t="s">
        <v>1372</v>
      </c>
      <c r="F67" s="1191" t="s">
        <v>1372</v>
      </c>
      <c r="G67" s="1191" t="s">
        <v>1372</v>
      </c>
    </row>
    <row r="68">
      <c r="A68" s="220" t="s">
        <v>1373</v>
      </c>
      <c r="B68" s="1194"/>
      <c r="C68" s="1194"/>
      <c r="D68" s="1194"/>
      <c r="E68" s="1194"/>
      <c r="F68" s="1194"/>
      <c r="G68" s="1194"/>
    </row>
    <row r="69">
      <c r="A69" s="220" t="s">
        <v>1374</v>
      </c>
      <c r="B69" s="1194"/>
      <c r="C69" s="1194"/>
      <c r="D69" s="1194"/>
      <c r="E69" s="1194"/>
      <c r="F69" s="1194"/>
      <c r="G69" s="1194"/>
    </row>
    <row r="71">
      <c r="A71" s="1196" t="s">
        <v>647</v>
      </c>
      <c r="B71" s="1020">
        <v>11.94</v>
      </c>
      <c r="C71" s="1020">
        <v>11.94</v>
      </c>
      <c r="D71" s="1020">
        <v>6.28</v>
      </c>
      <c r="E71" s="1020">
        <v>6.28</v>
      </c>
      <c r="F71" s="1020">
        <v>5.78</v>
      </c>
      <c r="G71" s="1020">
        <v>6.28</v>
      </c>
    </row>
    <row r="72">
      <c r="A72" s="1196" t="s">
        <v>1410</v>
      </c>
      <c r="B72" s="1196"/>
      <c r="C72" s="1196"/>
      <c r="D72" s="1196"/>
      <c r="E72" s="1196"/>
      <c r="F72" s="1196"/>
      <c r="G72" s="1196"/>
    </row>
    <row r="73">
      <c r="A73" s="1196" t="s">
        <v>1411</v>
      </c>
      <c r="B73" s="1197">
        <v>1.01</v>
      </c>
      <c r="C73" s="1197">
        <v>1.01</v>
      </c>
      <c r="D73" s="1197">
        <v>0.6</v>
      </c>
      <c r="E73" s="1197">
        <v>0.6</v>
      </c>
      <c r="F73" s="1197">
        <v>0.6</v>
      </c>
      <c r="G73" s="1197">
        <v>0.6</v>
      </c>
    </row>
    <row r="74">
      <c r="A74" s="1196" t="s">
        <v>1412</v>
      </c>
      <c r="B74" s="1197">
        <v>0.3</v>
      </c>
      <c r="C74" s="1197">
        <v>0.3</v>
      </c>
      <c r="D74" s="1197">
        <v>0.3</v>
      </c>
      <c r="E74" s="1197">
        <v>0.3</v>
      </c>
      <c r="F74" s="1197">
        <v>0.3</v>
      </c>
      <c r="G74" s="1197">
        <v>0.3</v>
      </c>
    </row>
    <row r="75">
      <c r="A75" s="1196" t="s">
        <v>1413</v>
      </c>
      <c r="B75" s="1012">
        <f t="shared" ref="B75:C75" si="13">25/80</f>
        <v>0.3125</v>
      </c>
      <c r="C75" s="1012">
        <f t="shared" si="13"/>
        <v>0.3125</v>
      </c>
      <c r="D75" s="1012">
        <f>25/720</f>
        <v>0.03472222222</v>
      </c>
      <c r="E75" s="1012">
        <f>25/450</f>
        <v>0.05555555556</v>
      </c>
      <c r="F75" s="1012">
        <f>25/2940</f>
        <v>0.008503401361</v>
      </c>
      <c r="G75" s="1012">
        <f>25/640</f>
        <v>0.0390625</v>
      </c>
      <c r="H75" s="1233"/>
      <c r="I75" s="1233"/>
      <c r="J75" s="1233"/>
      <c r="K75" s="1233"/>
      <c r="L75" s="1233"/>
      <c r="M75" s="1233"/>
      <c r="N75" s="1233"/>
      <c r="O75" s="1233"/>
      <c r="P75" s="1233"/>
      <c r="Q75" s="1233"/>
      <c r="R75" s="1233"/>
      <c r="S75" s="1233"/>
      <c r="T75" s="1233"/>
      <c r="U75" s="1233"/>
    </row>
    <row r="76">
      <c r="A76" s="1196" t="s">
        <v>1414</v>
      </c>
      <c r="B76" s="1234">
        <v>0.0</v>
      </c>
      <c r="C76" s="1234">
        <v>0.0</v>
      </c>
      <c r="D76" s="1234">
        <v>1.2</v>
      </c>
      <c r="E76" s="1234">
        <v>1.2</v>
      </c>
      <c r="F76" s="1234">
        <v>1.2</v>
      </c>
      <c r="G76" s="1234">
        <v>1.2</v>
      </c>
    </row>
    <row r="77">
      <c r="A77" s="1196" t="s">
        <v>1415</v>
      </c>
      <c r="B77" s="1234">
        <v>1.3</v>
      </c>
      <c r="C77" s="1234">
        <v>1.3</v>
      </c>
      <c r="D77" s="1234">
        <v>0.0</v>
      </c>
      <c r="E77" s="1234">
        <v>0.0</v>
      </c>
      <c r="F77" s="1234">
        <v>0.0</v>
      </c>
      <c r="G77" s="1234">
        <v>0.0</v>
      </c>
    </row>
    <row r="78">
      <c r="A78" s="1196" t="s">
        <v>1416</v>
      </c>
      <c r="B78" s="1196"/>
      <c r="C78" s="1196"/>
      <c r="D78" s="1196"/>
      <c r="E78" s="1196"/>
      <c r="F78" s="1196"/>
      <c r="G78" s="1196"/>
    </row>
    <row r="79">
      <c r="A79" s="1196" t="s">
        <v>698</v>
      </c>
      <c r="B79" s="1197">
        <v>0.3</v>
      </c>
      <c r="C79" s="1197">
        <v>0.3</v>
      </c>
      <c r="D79" s="1234">
        <v>0.0</v>
      </c>
      <c r="E79" s="1234">
        <v>0.0</v>
      </c>
      <c r="F79" s="1234">
        <v>0.0</v>
      </c>
      <c r="G79" s="1234">
        <v>0.0</v>
      </c>
    </row>
    <row r="80">
      <c r="A80" s="1196" t="s">
        <v>1417</v>
      </c>
      <c r="B80" s="1003">
        <v>0.31</v>
      </c>
      <c r="C80" s="1003">
        <v>0.31</v>
      </c>
      <c r="D80" s="1003">
        <v>0.31</v>
      </c>
      <c r="E80" s="1003">
        <v>0.31</v>
      </c>
      <c r="F80" s="1003">
        <v>0.31</v>
      </c>
      <c r="G80" s="1003">
        <v>0.31</v>
      </c>
    </row>
    <row r="81">
      <c r="A81" s="1213" t="s">
        <v>1419</v>
      </c>
      <c r="B81" s="1214">
        <f t="shared" ref="B81:G81" si="14">SUM(B71:B80)</f>
        <v>15.4725</v>
      </c>
      <c r="C81" s="1214">
        <f t="shared" si="14"/>
        <v>15.4725</v>
      </c>
      <c r="D81" s="1214">
        <f t="shared" si="14"/>
        <v>8.724722222</v>
      </c>
      <c r="E81" s="1214">
        <f t="shared" si="14"/>
        <v>8.745555556</v>
      </c>
      <c r="F81" s="1214">
        <f t="shared" si="14"/>
        <v>8.198503401</v>
      </c>
      <c r="G81" s="1214">
        <f t="shared" si="14"/>
        <v>8.7290625</v>
      </c>
    </row>
    <row r="83">
      <c r="A83" s="1228" t="s">
        <v>559</v>
      </c>
      <c r="B83" s="1229">
        <f t="shared" ref="B83:G83" si="15">B59+B81</f>
        <v>114.9499838</v>
      </c>
      <c r="C83" s="1229">
        <f t="shared" si="15"/>
        <v>125.2103213</v>
      </c>
      <c r="D83" s="1229">
        <f t="shared" si="15"/>
        <v>23.25988235</v>
      </c>
      <c r="E83" s="1229">
        <f t="shared" si="15"/>
        <v>16.88809119</v>
      </c>
      <c r="F83" s="1229">
        <f t="shared" si="15"/>
        <v>10.07519003</v>
      </c>
      <c r="G83" s="1229">
        <f t="shared" si="15"/>
        <v>16.96465599</v>
      </c>
    </row>
    <row r="86">
      <c r="B86" s="1" t="s">
        <v>1503</v>
      </c>
      <c r="D86" s="1" t="s">
        <v>1504</v>
      </c>
      <c r="E86" s="1" t="s">
        <v>1505</v>
      </c>
      <c r="F86" s="1" t="s">
        <v>1506</v>
      </c>
      <c r="G86" s="1" t="s">
        <v>1507</v>
      </c>
    </row>
    <row r="87">
      <c r="A87" s="1050"/>
      <c r="B87" s="1191"/>
      <c r="C87" s="1191"/>
      <c r="D87" s="1191"/>
      <c r="E87" s="1191"/>
      <c r="F87" s="1191"/>
      <c r="G87" s="1191"/>
    </row>
    <row r="88">
      <c r="B88" s="1012"/>
      <c r="D88" s="1012"/>
      <c r="E88" s="1012"/>
      <c r="F88" s="1012"/>
      <c r="G88" s="1012"/>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8.38"/>
    <col customWidth="1" min="3" max="3" width="14.38"/>
    <col customWidth="1" min="4" max="4" width="14.75"/>
    <col customWidth="1" min="5" max="5" width="16.38"/>
    <col customWidth="1" min="6" max="6" width="13.63"/>
    <col customWidth="1" min="7" max="7" width="15.0"/>
    <col customWidth="1" min="8" max="8" width="17.38"/>
    <col customWidth="1" min="9" max="9" width="17.25"/>
    <col customWidth="1" min="10" max="10" width="15.88"/>
    <col customWidth="1" min="11" max="11" width="18.38"/>
    <col customWidth="1" min="12" max="12" width="16.88"/>
    <col customWidth="1" min="13" max="13" width="7.75"/>
  </cols>
  <sheetData>
    <row r="1">
      <c r="A1" s="1248" t="s">
        <v>1470</v>
      </c>
      <c r="B1" s="923" t="s">
        <v>1471</v>
      </c>
      <c r="C1" s="460"/>
      <c r="D1" s="1249" t="s">
        <v>1472</v>
      </c>
      <c r="E1" s="460"/>
      <c r="F1" s="1249" t="s">
        <v>1473</v>
      </c>
      <c r="G1" s="460"/>
      <c r="H1" s="1249" t="s">
        <v>1474</v>
      </c>
      <c r="I1" s="460"/>
      <c r="J1" s="1249" t="s">
        <v>1475</v>
      </c>
      <c r="K1" s="460"/>
      <c r="L1" s="1250"/>
      <c r="M1" s="1094"/>
      <c r="N1" s="1251"/>
    </row>
    <row r="2">
      <c r="A2" s="460"/>
      <c r="B2" s="1252" t="s">
        <v>1476</v>
      </c>
      <c r="C2" s="460"/>
      <c r="D2" s="1249" t="s">
        <v>1477</v>
      </c>
      <c r="E2" s="460"/>
      <c r="F2" s="1249" t="s">
        <v>1477</v>
      </c>
      <c r="G2" s="460"/>
      <c r="H2" s="1249" t="s">
        <v>1477</v>
      </c>
      <c r="I2" s="460"/>
      <c r="J2" s="1253" t="s">
        <v>1478</v>
      </c>
      <c r="K2" s="1253" t="s">
        <v>1479</v>
      </c>
      <c r="L2" s="1250"/>
      <c r="M2" s="1094"/>
      <c r="N2" s="1251"/>
    </row>
    <row r="3">
      <c r="A3" s="1255" t="s">
        <v>1480</v>
      </c>
      <c r="B3" s="1256" t="s">
        <v>1481</v>
      </c>
      <c r="C3" s="1257" t="s">
        <v>1482</v>
      </c>
      <c r="D3" s="1256" t="s">
        <v>1481</v>
      </c>
      <c r="E3" s="1257" t="s">
        <v>1482</v>
      </c>
      <c r="F3" s="1256" t="s">
        <v>1481</v>
      </c>
      <c r="G3" s="1257" t="s">
        <v>1482</v>
      </c>
      <c r="H3" s="1256" t="s">
        <v>1483</v>
      </c>
      <c r="I3" s="1257" t="s">
        <v>1484</v>
      </c>
      <c r="J3" s="460"/>
      <c r="K3" s="460"/>
    </row>
    <row r="4">
      <c r="A4" s="1258" t="s">
        <v>1485</v>
      </c>
      <c r="B4" s="1259">
        <v>135385.92</v>
      </c>
      <c r="C4" s="1260">
        <f t="shared" ref="C4:C5" si="1">IFERROR(B4/$B$4,"")</f>
        <v>1</v>
      </c>
      <c r="D4" s="1263">
        <f>'Sales OLD'!$B$90</f>
        <v>9386537.81</v>
      </c>
      <c r="E4" s="1260">
        <f t="shared" ref="E4:E5" si="2">IFERROR(D4/$D$4,"")</f>
        <v>1</v>
      </c>
      <c r="F4" s="1263">
        <f>'Forecast projection'!H13</f>
        <v>4550000</v>
      </c>
      <c r="G4" s="1260">
        <f t="shared" ref="G4:G6" si="3">IFERROR(F4/$F$4,"")</f>
        <v>1</v>
      </c>
      <c r="H4" s="1264">
        <f t="shared" ref="H4:H28" si="4">IFERROR(D4/F4,"")</f>
        <v>2.062975343</v>
      </c>
      <c r="I4" s="1265">
        <f t="shared" ref="I4:I28" si="5">D4-F4</f>
        <v>4836537.81</v>
      </c>
      <c r="J4" s="1264">
        <f t="shared" ref="J4:J28" si="6">IFERROR(D4/B4-1,"")</f>
        <v>68.33171345</v>
      </c>
      <c r="K4" s="1266">
        <f t="shared" ref="K4:K28" si="7">IFERROR(F4/B4-1,"")</f>
        <v>32.60763069</v>
      </c>
    </row>
    <row r="5">
      <c r="A5" s="1267" t="s">
        <v>1486</v>
      </c>
      <c r="B5" s="1268">
        <f>B4-B14</f>
        <v>37446.04</v>
      </c>
      <c r="C5" s="1260">
        <f t="shared" si="1"/>
        <v>0.2765874029</v>
      </c>
      <c r="D5" s="1269">
        <f>D4-D14</f>
        <v>9306069.91</v>
      </c>
      <c r="E5" s="1260">
        <f t="shared" si="2"/>
        <v>0.9914273077</v>
      </c>
      <c r="F5" s="1263">
        <f>F4-F14</f>
        <v>4495000</v>
      </c>
      <c r="G5" s="1260">
        <f t="shared" si="3"/>
        <v>0.9879120879</v>
      </c>
      <c r="H5" s="1264">
        <f t="shared" si="4"/>
        <v>2.070315887</v>
      </c>
      <c r="I5" s="1265">
        <f t="shared" si="5"/>
        <v>4811069.91</v>
      </c>
      <c r="J5" s="1264">
        <f t="shared" si="6"/>
        <v>247.5194672</v>
      </c>
      <c r="K5" s="1266">
        <f t="shared" si="7"/>
        <v>119.0393954</v>
      </c>
    </row>
    <row r="6">
      <c r="A6" s="1270" t="s">
        <v>1487</v>
      </c>
      <c r="B6" s="1268">
        <f>B5-B12</f>
        <v>28999.8</v>
      </c>
      <c r="C6" s="1271">
        <f t="shared" ref="C6:C7" si="8">IFERROR(B6/$B$5,"")</f>
        <v>0.7744423709</v>
      </c>
      <c r="D6" s="1269">
        <f>D5-D12</f>
        <v>6581547.892</v>
      </c>
      <c r="E6" s="1271">
        <f t="shared" ref="E6:E7" si="9">IFERROR(D6/$D$5,"")</f>
        <v>0.7072317268</v>
      </c>
      <c r="F6" s="1263">
        <f>F5-F12</f>
        <v>3795000</v>
      </c>
      <c r="G6" s="1266">
        <f t="shared" si="3"/>
        <v>0.8340659341</v>
      </c>
      <c r="H6" s="1264">
        <f t="shared" si="4"/>
        <v>1.734268219</v>
      </c>
      <c r="I6" s="1265">
        <f t="shared" si="5"/>
        <v>2786547.892</v>
      </c>
      <c r="J6" s="1264">
        <f t="shared" si="6"/>
        <v>225.9514925</v>
      </c>
      <c r="K6" s="1266">
        <f t="shared" si="7"/>
        <v>129.8629715</v>
      </c>
    </row>
    <row r="7">
      <c r="A7" s="1272" t="s">
        <v>1488</v>
      </c>
      <c r="B7" s="1273">
        <f>B5-B12-B9</f>
        <v>-12757.12</v>
      </c>
      <c r="C7" s="1274">
        <f t="shared" si="8"/>
        <v>-0.3406800826</v>
      </c>
      <c r="D7" s="1275">
        <f>D5-D12-D9</f>
        <v>4561889.428</v>
      </c>
      <c r="E7" s="1274">
        <f t="shared" si="9"/>
        <v>0.4902057981</v>
      </c>
      <c r="F7" s="1275">
        <f>F5-F12-F9</f>
        <v>2295000</v>
      </c>
      <c r="G7" s="1274">
        <f>IFERROR(F7/$F$5,"")</f>
        <v>0.510567297</v>
      </c>
      <c r="H7" s="1276">
        <f t="shared" si="4"/>
        <v>1.987751385</v>
      </c>
      <c r="I7" s="1277">
        <f t="shared" si="5"/>
        <v>2266889.428</v>
      </c>
      <c r="J7" s="1276">
        <f t="shared" si="6"/>
        <v>-358.5955567</v>
      </c>
      <c r="K7" s="1274">
        <f t="shared" si="7"/>
        <v>-180.8995385</v>
      </c>
      <c r="M7" s="1074"/>
    </row>
    <row r="8" collapsed="1">
      <c r="A8" s="1278" t="s">
        <v>1489</v>
      </c>
      <c r="B8" s="1259">
        <f>161681.9-B14</f>
        <v>63742.02</v>
      </c>
      <c r="C8" s="1266">
        <f t="shared" ref="C8:C11" si="10">IFERROR(B8/$B$4,"")</f>
        <v>0.4708172017</v>
      </c>
      <c r="D8" s="1263">
        <f>sum(D9:D13)</f>
        <v>5996611.151</v>
      </c>
      <c r="E8" s="1266">
        <f t="shared" ref="E8:E11" si="11">IFERROR(D8/$D$4,"")</f>
        <v>0.6388522874</v>
      </c>
      <c r="F8" s="1263">
        <f>sum(F9:F13)</f>
        <v>2550000</v>
      </c>
      <c r="G8" s="1266">
        <f t="shared" ref="G8:G19" si="12">IFERROR(F8/$F$4,"")</f>
        <v>0.5604395604</v>
      </c>
      <c r="H8" s="1264">
        <f t="shared" si="4"/>
        <v>2.351612216</v>
      </c>
      <c r="I8" s="1265">
        <f t="shared" si="5"/>
        <v>3446611.151</v>
      </c>
      <c r="J8" s="1264">
        <f t="shared" si="6"/>
        <v>93.07626477</v>
      </c>
      <c r="K8" s="1266">
        <f t="shared" si="7"/>
        <v>39.00500769</v>
      </c>
      <c r="M8" s="1074"/>
    </row>
    <row r="9" hidden="1" outlineLevel="1">
      <c r="A9" s="1280" t="s">
        <v>1491</v>
      </c>
      <c r="B9" s="1259">
        <v>41756.92</v>
      </c>
      <c r="C9" s="1266">
        <f t="shared" si="10"/>
        <v>0.3084288233</v>
      </c>
      <c r="D9" s="1263">
        <f>sum('Detailed Report OLD'!AG568:AG569)</f>
        <v>2019658.464</v>
      </c>
      <c r="E9" s="1266">
        <f t="shared" si="11"/>
        <v>0.2151654321</v>
      </c>
      <c r="F9" s="1263">
        <f>'Forecast projection'!H15</f>
        <v>1500000</v>
      </c>
      <c r="G9" s="1266">
        <f t="shared" si="12"/>
        <v>0.3296703297</v>
      </c>
      <c r="H9" s="1264">
        <f t="shared" si="4"/>
        <v>1.346438976</v>
      </c>
      <c r="I9" s="1265">
        <f t="shared" si="5"/>
        <v>519658.464</v>
      </c>
      <c r="J9" s="1264">
        <f t="shared" si="6"/>
        <v>47.36703627</v>
      </c>
      <c r="K9" s="1266">
        <f t="shared" si="7"/>
        <v>34.92218966</v>
      </c>
      <c r="M9" s="1074"/>
    </row>
    <row r="10" hidden="1" outlineLevel="1">
      <c r="A10" s="1280" t="s">
        <v>1492</v>
      </c>
      <c r="B10" s="1259">
        <v>5295.1</v>
      </c>
      <c r="C10" s="1266">
        <f t="shared" si="10"/>
        <v>0.0391111572</v>
      </c>
      <c r="D10" s="1263">
        <f>sum('Detailed Report OLD'!AG594:AG597)</f>
        <v>621134.96</v>
      </c>
      <c r="E10" s="1266">
        <f t="shared" si="11"/>
        <v>0.06617295669</v>
      </c>
      <c r="F10" s="1259">
        <v>180000.0</v>
      </c>
      <c r="G10" s="1266">
        <f t="shared" si="12"/>
        <v>0.03956043956</v>
      </c>
      <c r="H10" s="1264">
        <f t="shared" si="4"/>
        <v>3.450749778</v>
      </c>
      <c r="I10" s="1265">
        <f t="shared" si="5"/>
        <v>441134.96</v>
      </c>
      <c r="J10" s="1264">
        <f t="shared" si="6"/>
        <v>116.3037261</v>
      </c>
      <c r="K10" s="1266">
        <f t="shared" si="7"/>
        <v>32.99369228</v>
      </c>
      <c r="M10" s="1074"/>
    </row>
    <row r="11" hidden="1" outlineLevel="1">
      <c r="A11" s="1280" t="s">
        <v>1494</v>
      </c>
      <c r="B11" s="1259">
        <v>4060.06</v>
      </c>
      <c r="C11" s="1266">
        <f t="shared" si="10"/>
        <v>0.02998879056</v>
      </c>
      <c r="D11" s="1263">
        <f>sum('Detailed Report OLD'!AG592:AG593)</f>
        <v>196100.5422</v>
      </c>
      <c r="E11" s="1266">
        <f t="shared" si="11"/>
        <v>0.02089167979</v>
      </c>
      <c r="F11" s="1259">
        <v>50000.0</v>
      </c>
      <c r="G11" s="1266">
        <f t="shared" si="12"/>
        <v>0.01098901099</v>
      </c>
      <c r="H11" s="1264">
        <f t="shared" si="4"/>
        <v>3.922010844</v>
      </c>
      <c r="I11" s="1265">
        <f t="shared" si="5"/>
        <v>146100.5422</v>
      </c>
      <c r="J11" s="1264">
        <f t="shared" si="6"/>
        <v>47.29991237</v>
      </c>
      <c r="K11" s="1266">
        <f t="shared" si="7"/>
        <v>11.31508894</v>
      </c>
      <c r="M11" s="1074"/>
    </row>
    <row r="12" hidden="1" outlineLevel="1">
      <c r="A12" s="1280" t="s">
        <v>622</v>
      </c>
      <c r="B12" s="1259">
        <v>8446.24</v>
      </c>
      <c r="C12" s="1266">
        <f>IFERROR(B12/$B$5,"")</f>
        <v>0.2255576291</v>
      </c>
      <c r="D12" s="1282">
        <f>sum('Detailed Report OLD'!AG570:AG591)</f>
        <v>2724522.018</v>
      </c>
      <c r="E12" s="1271">
        <f>IFERROR(D12/$D$5,"")</f>
        <v>0.2927682732</v>
      </c>
      <c r="F12" s="1259">
        <v>700000.0</v>
      </c>
      <c r="G12" s="1266">
        <f t="shared" si="12"/>
        <v>0.1538461538</v>
      </c>
      <c r="H12" s="1264">
        <f t="shared" si="4"/>
        <v>3.892174312</v>
      </c>
      <c r="I12" s="1265">
        <f t="shared" si="5"/>
        <v>2024522.018</v>
      </c>
      <c r="J12" s="1264">
        <f t="shared" si="6"/>
        <v>321.5721763</v>
      </c>
      <c r="K12" s="1266">
        <f t="shared" si="7"/>
        <v>81.87711455</v>
      </c>
    </row>
    <row r="13" hidden="1" outlineLevel="1">
      <c r="A13" s="1280" t="s">
        <v>1497</v>
      </c>
      <c r="B13" s="1259">
        <v>4183.7</v>
      </c>
      <c r="C13" s="1266">
        <f t="shared" ref="C13:C19" si="13">IFERROR(B13/$B$4,"")</f>
        <v>0.03090203176</v>
      </c>
      <c r="D13" s="1263">
        <f>sum('Detailed Report OLD'!AG598:AG600)</f>
        <v>435195.1661</v>
      </c>
      <c r="E13" s="1266">
        <f t="shared" ref="E13:E19" si="14">IFERROR(D13/$D$4,"")</f>
        <v>0.04636375786</v>
      </c>
      <c r="F13" s="1259">
        <v>120000.0</v>
      </c>
      <c r="G13" s="1266">
        <f t="shared" si="12"/>
        <v>0.02637362637</v>
      </c>
      <c r="H13" s="1264">
        <f t="shared" si="4"/>
        <v>3.626626384</v>
      </c>
      <c r="I13" s="1265">
        <f t="shared" si="5"/>
        <v>315195.1661</v>
      </c>
      <c r="J13" s="1264">
        <f t="shared" si="6"/>
        <v>103.0215996</v>
      </c>
      <c r="K13" s="1266">
        <f t="shared" si="7"/>
        <v>27.68274494</v>
      </c>
    </row>
    <row r="14" collapsed="1">
      <c r="A14" s="1284" t="s">
        <v>1501</v>
      </c>
      <c r="B14" s="1259">
        <v>97939.88</v>
      </c>
      <c r="C14" s="1266">
        <f t="shared" si="13"/>
        <v>0.7234125971</v>
      </c>
      <c r="D14" s="1263">
        <f>sum(D15:D18)</f>
        <v>80467.9</v>
      </c>
      <c r="E14" s="1266">
        <f t="shared" si="14"/>
        <v>0.008572692257</v>
      </c>
      <c r="F14" s="1263">
        <f>sum(F15:F18)</f>
        <v>55000</v>
      </c>
      <c r="G14" s="1266">
        <f t="shared" si="12"/>
        <v>0.01208791209</v>
      </c>
      <c r="H14" s="1264">
        <f t="shared" si="4"/>
        <v>1.463052727</v>
      </c>
      <c r="I14" s="1265">
        <f t="shared" si="5"/>
        <v>25467.9</v>
      </c>
      <c r="J14" s="1264">
        <f t="shared" si="6"/>
        <v>-0.17839495</v>
      </c>
      <c r="K14" s="1266">
        <f t="shared" si="7"/>
        <v>-0.4384310048</v>
      </c>
      <c r="M14" s="1074"/>
    </row>
    <row r="15" hidden="1" outlineLevel="1">
      <c r="A15" s="1285" t="s">
        <v>830</v>
      </c>
      <c r="B15" s="1259"/>
      <c r="C15" s="1266">
        <f t="shared" si="13"/>
        <v>0</v>
      </c>
      <c r="D15" s="1263">
        <f>'Detailed Report OLD'!AG602</f>
        <v>57669.41</v>
      </c>
      <c r="E15" s="1266">
        <f t="shared" si="14"/>
        <v>0.006143842508</v>
      </c>
      <c r="F15" s="1259">
        <v>30000.0</v>
      </c>
      <c r="G15" s="1266">
        <f t="shared" si="12"/>
        <v>0.006593406593</v>
      </c>
      <c r="H15" s="1264">
        <f t="shared" si="4"/>
        <v>1.922313667</v>
      </c>
      <c r="I15" s="1265">
        <f t="shared" si="5"/>
        <v>27669.41</v>
      </c>
      <c r="J15" s="1264" t="str">
        <f t="shared" si="6"/>
        <v/>
      </c>
      <c r="K15" s="1266" t="str">
        <f t="shared" si="7"/>
        <v/>
      </c>
      <c r="M15" s="1074"/>
    </row>
    <row r="16" hidden="1" outlineLevel="1">
      <c r="A16" s="1285" t="s">
        <v>1508</v>
      </c>
      <c r="B16" s="1259"/>
      <c r="C16" s="1266">
        <f t="shared" si="13"/>
        <v>0</v>
      </c>
      <c r="D16" s="1263">
        <f>sum('Detailed Report OLD'!AG603:AG604)</f>
        <v>22313.76</v>
      </c>
      <c r="E16" s="1266">
        <f t="shared" si="14"/>
        <v>0.00237720877</v>
      </c>
      <c r="F16" s="1259">
        <v>15000.0</v>
      </c>
      <c r="G16" s="1266">
        <f t="shared" si="12"/>
        <v>0.003296703297</v>
      </c>
      <c r="H16" s="1264">
        <f t="shared" si="4"/>
        <v>1.487584</v>
      </c>
      <c r="I16" s="1265">
        <f t="shared" si="5"/>
        <v>7313.76</v>
      </c>
      <c r="J16" s="1264" t="str">
        <f t="shared" si="6"/>
        <v/>
      </c>
      <c r="K16" s="1266" t="str">
        <f t="shared" si="7"/>
        <v/>
      </c>
      <c r="M16" s="1074"/>
    </row>
    <row r="17" hidden="1" outlineLevel="1">
      <c r="A17" s="1285" t="s">
        <v>376</v>
      </c>
      <c r="B17" s="1259"/>
      <c r="C17" s="1266">
        <f t="shared" si="13"/>
        <v>0</v>
      </c>
      <c r="D17" s="1263">
        <f>'Detailed Report OLD'!AG605</f>
        <v>484.73</v>
      </c>
      <c r="E17" s="1266">
        <f t="shared" si="14"/>
        <v>0.00005164097879</v>
      </c>
      <c r="F17" s="1259">
        <v>5000.0</v>
      </c>
      <c r="G17" s="1266">
        <f t="shared" si="12"/>
        <v>0.001098901099</v>
      </c>
      <c r="H17" s="1264">
        <f t="shared" si="4"/>
        <v>0.096946</v>
      </c>
      <c r="I17" s="1265">
        <f t="shared" si="5"/>
        <v>-4515.27</v>
      </c>
      <c r="J17" s="1264" t="str">
        <f t="shared" si="6"/>
        <v/>
      </c>
      <c r="K17" s="1266" t="str">
        <f t="shared" si="7"/>
        <v/>
      </c>
    </row>
    <row r="18" hidden="1" outlineLevel="1">
      <c r="A18" s="1285" t="s">
        <v>1532</v>
      </c>
      <c r="B18" s="1259"/>
      <c r="C18" s="1266">
        <f t="shared" si="13"/>
        <v>0</v>
      </c>
      <c r="D18" s="1263">
        <f>'Detailed Report OLD'!AG660</f>
        <v>0</v>
      </c>
      <c r="E18" s="1266">
        <f t="shared" si="14"/>
        <v>0</v>
      </c>
      <c r="F18" s="1259">
        <v>5000.0</v>
      </c>
      <c r="G18" s="1266">
        <f t="shared" si="12"/>
        <v>0.001098901099</v>
      </c>
      <c r="H18" s="1264">
        <f t="shared" si="4"/>
        <v>0</v>
      </c>
      <c r="I18" s="1265">
        <f t="shared" si="5"/>
        <v>-5000</v>
      </c>
      <c r="J18" s="1264" t="str">
        <f t="shared" si="6"/>
        <v/>
      </c>
      <c r="K18" s="1266" t="str">
        <f t="shared" si="7"/>
        <v/>
      </c>
    </row>
    <row r="19">
      <c r="A19" s="1290" t="s">
        <v>1539</v>
      </c>
      <c r="B19" s="1291">
        <f>B4-B8-B14</f>
        <v>-26295.98</v>
      </c>
      <c r="C19" s="1294">
        <f t="shared" si="13"/>
        <v>-0.1942297988</v>
      </c>
      <c r="D19" s="1291">
        <f>D4-D8-D14</f>
        <v>3309458.759</v>
      </c>
      <c r="E19" s="1294">
        <f t="shared" si="14"/>
        <v>0.3525750204</v>
      </c>
      <c r="F19" s="1291">
        <f>F4-F8-F14</f>
        <v>1945000</v>
      </c>
      <c r="G19" s="1294">
        <f t="shared" si="12"/>
        <v>0.4274725275</v>
      </c>
      <c r="H19" s="1296">
        <f t="shared" si="4"/>
        <v>1.701521213</v>
      </c>
      <c r="I19" s="1297">
        <f t="shared" si="5"/>
        <v>1364458.759</v>
      </c>
      <c r="J19" s="1296">
        <f t="shared" si="6"/>
        <v>-126.8541708</v>
      </c>
      <c r="K19" s="1294">
        <f t="shared" si="7"/>
        <v>-74.9656784</v>
      </c>
      <c r="M19" s="782"/>
    </row>
    <row r="20">
      <c r="A20" s="1298" t="s">
        <v>1554</v>
      </c>
      <c r="B20" s="1300">
        <v>54892.0</v>
      </c>
      <c r="C20" s="1301"/>
      <c r="D20" s="1302">
        <f>'Forecast projection'!C114</f>
        <v>901501</v>
      </c>
      <c r="E20" s="1301"/>
      <c r="F20" s="1302">
        <f>'Forecast projection'!H20</f>
        <v>1440000</v>
      </c>
      <c r="G20" s="1301"/>
      <c r="H20" s="1264">
        <f t="shared" si="4"/>
        <v>0.6260423611</v>
      </c>
      <c r="I20" s="1265">
        <f t="shared" si="5"/>
        <v>-538499</v>
      </c>
      <c r="J20" s="1264">
        <f t="shared" si="6"/>
        <v>15.42317642</v>
      </c>
      <c r="K20" s="1266">
        <f t="shared" si="7"/>
        <v>25.2333309</v>
      </c>
    </row>
    <row r="21">
      <c r="A21" s="1304" t="s">
        <v>66</v>
      </c>
      <c r="B21" s="1300">
        <v>418.0</v>
      </c>
      <c r="C21" s="1301"/>
      <c r="D21" s="1302">
        <f>'Sales OLD'!B98</f>
        <v>40310</v>
      </c>
      <c r="E21" s="1301"/>
      <c r="F21" s="1302">
        <f>'Forecast projection'!H14</f>
        <v>18000</v>
      </c>
      <c r="G21" s="1301"/>
      <c r="H21" s="1264">
        <f t="shared" si="4"/>
        <v>2.239444444</v>
      </c>
      <c r="I21" s="1265">
        <f t="shared" si="5"/>
        <v>22310</v>
      </c>
      <c r="J21" s="1264">
        <f t="shared" si="6"/>
        <v>95.4354067</v>
      </c>
      <c r="K21" s="1266">
        <f t="shared" si="7"/>
        <v>42.06220096</v>
      </c>
    </row>
    <row r="22">
      <c r="A22" s="1304" t="s">
        <v>1558</v>
      </c>
      <c r="B22" s="1300">
        <v>216.0</v>
      </c>
      <c r="C22" s="1301"/>
      <c r="D22" s="1306">
        <f>'Sales OLD'!B99</f>
        <v>38475</v>
      </c>
      <c r="E22" s="1301"/>
      <c r="F22" s="1300">
        <v>5000.0</v>
      </c>
      <c r="G22" s="1301"/>
      <c r="H22" s="1264">
        <f t="shared" si="4"/>
        <v>7.695</v>
      </c>
      <c r="I22" s="1307">
        <f t="shared" si="5"/>
        <v>33475</v>
      </c>
      <c r="J22" s="1264">
        <f t="shared" si="6"/>
        <v>177.125</v>
      </c>
      <c r="K22" s="1266">
        <f t="shared" si="7"/>
        <v>22.14814815</v>
      </c>
    </row>
    <row r="23">
      <c r="A23" s="1304" t="s">
        <v>328</v>
      </c>
      <c r="B23" s="1264">
        <f>B21/B20</f>
        <v>0.007614952999</v>
      </c>
      <c r="C23" s="1301"/>
      <c r="D23" s="1264">
        <f>D21/D20</f>
        <v>0.04471431535</v>
      </c>
      <c r="E23" s="1301"/>
      <c r="F23" s="1264">
        <f>F21/F20</f>
        <v>0.0125</v>
      </c>
      <c r="G23" s="1301"/>
      <c r="H23" s="1264">
        <f t="shared" si="4"/>
        <v>3.577145228</v>
      </c>
      <c r="I23" s="1265">
        <f t="shared" si="5"/>
        <v>0.03221431535</v>
      </c>
      <c r="J23" s="1264">
        <f t="shared" si="6"/>
        <v>4.871909565</v>
      </c>
      <c r="K23" s="1266">
        <f t="shared" si="7"/>
        <v>0.641507177</v>
      </c>
    </row>
    <row r="24">
      <c r="A24" s="1311" t="s">
        <v>1565</v>
      </c>
      <c r="B24" s="1312">
        <f>B9/B21</f>
        <v>99.8969378</v>
      </c>
      <c r="C24" s="1301"/>
      <c r="D24" s="1312">
        <f>D9/D21</f>
        <v>50.10316209</v>
      </c>
      <c r="E24" s="1301"/>
      <c r="F24" s="1312">
        <f>F9/F21</f>
        <v>83.33333333</v>
      </c>
      <c r="G24" s="1301"/>
      <c r="H24" s="1264">
        <f t="shared" si="4"/>
        <v>0.6012379451</v>
      </c>
      <c r="I24" s="1265">
        <f t="shared" si="5"/>
        <v>-33.23017124</v>
      </c>
      <c r="J24" s="1264">
        <f t="shared" si="6"/>
        <v>-0.4984514721</v>
      </c>
      <c r="K24" s="1266">
        <f t="shared" si="7"/>
        <v>-0.1658069289</v>
      </c>
    </row>
    <row r="25">
      <c r="A25" s="1304" t="s">
        <v>1566</v>
      </c>
      <c r="B25" s="1269">
        <f>B9/B22</f>
        <v>193.3190741</v>
      </c>
      <c r="C25" s="1301"/>
      <c r="D25" s="1269">
        <f>D9/D22</f>
        <v>52.4927476</v>
      </c>
      <c r="E25" s="1301"/>
      <c r="F25" s="1269">
        <f>F9/F22</f>
        <v>300</v>
      </c>
      <c r="G25" s="1301"/>
      <c r="H25" s="1264">
        <f t="shared" si="4"/>
        <v>0.1749758253</v>
      </c>
      <c r="I25" s="1265">
        <f t="shared" si="5"/>
        <v>-247.5072524</v>
      </c>
      <c r="J25" s="1264">
        <f t="shared" si="6"/>
        <v>-0.7284657613</v>
      </c>
      <c r="K25" s="1266">
        <f t="shared" si="7"/>
        <v>0.5518385935</v>
      </c>
    </row>
    <row r="26">
      <c r="A26" s="1304" t="s">
        <v>329</v>
      </c>
      <c r="B26" s="1269">
        <f>B4/B21</f>
        <v>323.8897608</v>
      </c>
      <c r="C26" s="1301"/>
      <c r="D26" s="1269">
        <f>D4/D21</f>
        <v>232.8587896</v>
      </c>
      <c r="E26" s="1301"/>
      <c r="F26" s="1313">
        <f>F4/F21</f>
        <v>252.7777778</v>
      </c>
      <c r="G26" s="1301"/>
      <c r="H26" s="1264">
        <f t="shared" si="4"/>
        <v>0.9211996073</v>
      </c>
      <c r="I26" s="1265">
        <f t="shared" si="5"/>
        <v>-19.91898815</v>
      </c>
      <c r="J26" s="1264">
        <f t="shared" si="6"/>
        <v>-0.281055415</v>
      </c>
      <c r="K26" s="1266">
        <f t="shared" si="7"/>
        <v>-0.2195561318</v>
      </c>
    </row>
    <row r="27">
      <c r="A27" s="1314" t="s">
        <v>1567</v>
      </c>
      <c r="B27" s="1269">
        <f>B4/B20</f>
        <v>2.466405305</v>
      </c>
      <c r="C27" s="1301"/>
      <c r="D27" s="1269">
        <f>D4/D20</f>
        <v>10.41212135</v>
      </c>
      <c r="E27" s="1301"/>
      <c r="F27" s="1313">
        <f>F4/F20</f>
        <v>3.159722222</v>
      </c>
      <c r="G27" s="1301"/>
      <c r="H27" s="1264">
        <f t="shared" si="4"/>
        <v>3.295264779</v>
      </c>
      <c r="I27" s="1265">
        <f t="shared" si="5"/>
        <v>7.252399129</v>
      </c>
      <c r="J27" s="1264">
        <f t="shared" si="6"/>
        <v>3.221577585</v>
      </c>
      <c r="K27" s="1266">
        <f t="shared" si="7"/>
        <v>0.281104211</v>
      </c>
    </row>
    <row r="28">
      <c r="A28" s="1315" t="s">
        <v>1568</v>
      </c>
      <c r="B28" s="1316">
        <f>B9/B20</f>
        <v>0.760710486</v>
      </c>
      <c r="C28" s="460"/>
      <c r="D28" s="1316">
        <f>D9/D20</f>
        <v>2.24032859</v>
      </c>
      <c r="E28" s="460"/>
      <c r="F28" s="1317">
        <f>F9/F20</f>
        <v>1.041666667</v>
      </c>
      <c r="G28" s="460"/>
      <c r="H28" s="1276">
        <f t="shared" si="4"/>
        <v>2.150715446</v>
      </c>
      <c r="I28" s="1277">
        <f t="shared" si="5"/>
        <v>1.198661923</v>
      </c>
      <c r="J28" s="1276">
        <f t="shared" si="6"/>
        <v>1.945047598</v>
      </c>
      <c r="K28" s="1274">
        <f t="shared" si="7"/>
        <v>0.3693339132</v>
      </c>
    </row>
  </sheetData>
  <mergeCells count="39">
    <mergeCell ref="A1:A2"/>
    <mergeCell ref="B1:C1"/>
    <mergeCell ref="D1:E1"/>
    <mergeCell ref="F1:G1"/>
    <mergeCell ref="H1:I1"/>
    <mergeCell ref="J1:K1"/>
    <mergeCell ref="B2:C2"/>
    <mergeCell ref="H2:I2"/>
    <mergeCell ref="D2:E2"/>
    <mergeCell ref="F2:G2"/>
    <mergeCell ref="J2:J3"/>
    <mergeCell ref="K2:K3"/>
    <mergeCell ref="B20:C20"/>
    <mergeCell ref="D20:E20"/>
    <mergeCell ref="F20:G20"/>
    <mergeCell ref="D23:E23"/>
    <mergeCell ref="F23:G23"/>
    <mergeCell ref="B21:C21"/>
    <mergeCell ref="D21:E21"/>
    <mergeCell ref="F21:G21"/>
    <mergeCell ref="B22:C22"/>
    <mergeCell ref="D22:E22"/>
    <mergeCell ref="F22:G22"/>
    <mergeCell ref="B23:C23"/>
    <mergeCell ref="D26:E26"/>
    <mergeCell ref="F26:G26"/>
    <mergeCell ref="B27:C27"/>
    <mergeCell ref="D27:E27"/>
    <mergeCell ref="F27:G27"/>
    <mergeCell ref="B28:C28"/>
    <mergeCell ref="D28:E28"/>
    <mergeCell ref="F28:G28"/>
    <mergeCell ref="B24:C24"/>
    <mergeCell ref="D24:E24"/>
    <mergeCell ref="F24:G24"/>
    <mergeCell ref="B25:C25"/>
    <mergeCell ref="D25:E25"/>
    <mergeCell ref="F25:G25"/>
    <mergeCell ref="B26:C26"/>
  </mergeCells>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279" t="s">
        <v>1490</v>
      </c>
      <c r="H1" s="1281"/>
      <c r="I1" s="1281"/>
      <c r="J1" s="1281"/>
      <c r="K1" s="1281"/>
      <c r="L1" s="1281"/>
      <c r="M1" s="1281"/>
      <c r="N1" s="1281"/>
      <c r="O1" s="1281"/>
      <c r="P1" s="1281"/>
      <c r="Q1" s="1281"/>
      <c r="R1" s="1281"/>
      <c r="S1" s="1281"/>
      <c r="T1" s="1281"/>
      <c r="U1" s="1281"/>
      <c r="V1" s="1281"/>
      <c r="W1" s="1281"/>
      <c r="X1" s="1281"/>
      <c r="Y1" s="1281"/>
      <c r="Z1" s="1281"/>
      <c r="AA1" s="1281"/>
      <c r="AB1" s="1281"/>
      <c r="AC1" s="1281"/>
      <c r="AD1" s="1281"/>
      <c r="AE1" s="1281"/>
      <c r="AF1" s="1281"/>
      <c r="AG1" s="1281"/>
      <c r="AH1" s="1281"/>
      <c r="AI1" s="1281"/>
      <c r="AJ1" s="1281"/>
      <c r="AK1" s="1281"/>
      <c r="AL1" s="1053"/>
      <c r="AM1" s="1053"/>
      <c r="AN1" s="1053"/>
      <c r="AO1" s="865"/>
      <c r="AP1" s="1"/>
      <c r="AQ1" s="1"/>
      <c r="AR1" s="1"/>
      <c r="AS1" s="1"/>
      <c r="AT1" s="1"/>
      <c r="AU1" s="1"/>
      <c r="AV1" s="1"/>
      <c r="AW1" s="1"/>
      <c r="AX1" s="1"/>
      <c r="AY1" s="1"/>
      <c r="AZ1" s="1"/>
      <c r="BA1" s="1"/>
      <c r="BB1" s="1"/>
      <c r="BC1" s="1"/>
    </row>
    <row r="2">
      <c r="A2" s="1279" t="s">
        <v>1493</v>
      </c>
      <c r="H2" s="1281"/>
      <c r="I2" s="1281"/>
      <c r="J2" s="1281"/>
      <c r="K2" s="1281"/>
      <c r="L2" s="1281"/>
      <c r="M2" s="1281"/>
      <c r="N2" s="1281"/>
      <c r="O2" s="1281"/>
      <c r="P2" s="1281"/>
      <c r="Q2" s="1281"/>
      <c r="R2" s="1281"/>
      <c r="S2" s="1281"/>
      <c r="T2" s="1281"/>
      <c r="U2" s="1281"/>
      <c r="V2" s="1281"/>
      <c r="W2" s="1281"/>
      <c r="X2" s="1281"/>
      <c r="Y2" s="1281"/>
      <c r="Z2" s="1281"/>
      <c r="AA2" s="1281"/>
      <c r="AB2" s="1281"/>
      <c r="AC2" s="1281"/>
      <c r="AD2" s="1281"/>
      <c r="AE2" s="1281"/>
      <c r="AF2" s="1281"/>
      <c r="AG2" s="1281"/>
      <c r="AH2" s="1281"/>
      <c r="AI2" s="1281"/>
      <c r="AJ2" s="1281"/>
      <c r="AK2" s="1281"/>
      <c r="AL2" s="1053"/>
      <c r="AM2" s="1053"/>
      <c r="AN2" s="1053"/>
      <c r="AO2" s="865"/>
      <c r="AP2" s="1"/>
      <c r="AQ2" s="1"/>
      <c r="AR2" s="1"/>
      <c r="AS2" s="1"/>
      <c r="AT2" s="1"/>
      <c r="AU2" s="1"/>
      <c r="AV2" s="1"/>
      <c r="AW2" s="1"/>
      <c r="AX2" s="1"/>
      <c r="AY2" s="1"/>
      <c r="AZ2" s="1"/>
      <c r="BA2" s="1"/>
      <c r="BB2" s="1"/>
      <c r="BC2" s="1"/>
    </row>
    <row r="3">
      <c r="A3" s="1279" t="s">
        <v>1495</v>
      </c>
      <c r="H3" s="1281"/>
      <c r="I3" s="1281"/>
      <c r="J3" s="1281"/>
      <c r="K3" s="1281"/>
      <c r="L3" s="1281"/>
      <c r="M3" s="1281"/>
      <c r="N3" s="1281"/>
      <c r="O3" s="1281"/>
      <c r="P3" s="1281"/>
      <c r="Q3" s="1281"/>
      <c r="R3" s="1281"/>
      <c r="S3" s="1281"/>
      <c r="T3" s="1281"/>
      <c r="U3" s="1281"/>
      <c r="V3" s="1281"/>
      <c r="W3" s="1281"/>
      <c r="X3" s="1281"/>
      <c r="Y3" s="1281"/>
      <c r="Z3" s="1281"/>
      <c r="AA3" s="1281"/>
      <c r="AB3" s="1281"/>
      <c r="AC3" s="1281"/>
      <c r="AD3" s="1281"/>
      <c r="AE3" s="1281"/>
      <c r="AF3" s="1281"/>
      <c r="AG3" s="1281"/>
      <c r="AH3" s="1281"/>
      <c r="AI3" s="1281"/>
      <c r="AJ3" s="1281"/>
      <c r="AK3" s="1281"/>
      <c r="AL3" s="1053"/>
      <c r="AM3" s="1053"/>
      <c r="AN3" s="1053"/>
      <c r="AO3" s="865"/>
      <c r="AP3" s="1"/>
      <c r="AQ3" s="1"/>
      <c r="AR3" s="1"/>
      <c r="AS3" s="1"/>
      <c r="AT3" s="1"/>
      <c r="AU3" s="1"/>
      <c r="AV3" s="1"/>
      <c r="AW3" s="1"/>
      <c r="AX3" s="1"/>
      <c r="AY3" s="1"/>
      <c r="AZ3" s="1"/>
      <c r="BA3" s="1"/>
      <c r="BB3" s="1"/>
      <c r="BC3" s="1"/>
    </row>
    <row r="4">
      <c r="A4" s="1279" t="s">
        <v>1496</v>
      </c>
      <c r="H4" s="1281"/>
      <c r="I4" s="1281"/>
      <c r="J4" s="1281"/>
      <c r="K4" s="1281"/>
      <c r="L4" s="1281"/>
      <c r="M4" s="1281"/>
      <c r="N4" s="1281"/>
      <c r="O4" s="1281"/>
      <c r="P4" s="1281"/>
      <c r="Q4" s="1281"/>
      <c r="R4" s="1281"/>
      <c r="S4" s="1281"/>
      <c r="T4" s="1281"/>
      <c r="U4" s="1281"/>
      <c r="V4" s="1281"/>
      <c r="W4" s="1281"/>
      <c r="X4" s="1281"/>
      <c r="Y4" s="1281"/>
      <c r="Z4" s="1281"/>
      <c r="AA4" s="1281"/>
      <c r="AB4" s="1281"/>
      <c r="AC4" s="1281"/>
      <c r="AD4" s="1281"/>
      <c r="AE4" s="1281"/>
      <c r="AF4" s="1281"/>
      <c r="AG4" s="1281"/>
      <c r="AH4" s="1281"/>
      <c r="AI4" s="1281"/>
      <c r="AJ4" s="1281"/>
      <c r="AK4" s="1281"/>
      <c r="AL4" s="1053"/>
      <c r="AM4" s="1283"/>
      <c r="AN4" s="1053"/>
      <c r="AO4" s="865"/>
      <c r="AP4" s="1"/>
      <c r="AQ4" s="1"/>
      <c r="AR4" s="1"/>
      <c r="AS4" s="1"/>
      <c r="AT4" s="1"/>
      <c r="AU4" s="1"/>
      <c r="AV4" s="1"/>
      <c r="AW4" s="1"/>
      <c r="AX4" s="1"/>
      <c r="AY4" s="1"/>
      <c r="AZ4" s="1"/>
      <c r="BA4" s="1"/>
      <c r="BB4" s="1"/>
      <c r="BC4" s="1"/>
    </row>
    <row r="5">
      <c r="A5" s="1279" t="s">
        <v>1498</v>
      </c>
      <c r="AL5" s="1053"/>
      <c r="AM5" s="1053"/>
      <c r="AN5" s="1053"/>
      <c r="AO5" s="865"/>
      <c r="AP5" s="1"/>
      <c r="AQ5" s="1"/>
      <c r="AR5" s="1"/>
      <c r="AS5" s="1"/>
      <c r="AT5" s="1"/>
      <c r="AU5" s="1"/>
      <c r="AV5" s="1"/>
      <c r="AW5" s="1"/>
      <c r="AX5" s="1"/>
      <c r="AY5" s="1"/>
      <c r="AZ5" s="1"/>
      <c r="BA5" s="1"/>
      <c r="BB5" s="1"/>
      <c r="BC5" s="1"/>
    </row>
    <row r="6">
      <c r="A6" s="1279" t="s">
        <v>1499</v>
      </c>
      <c r="AO6" s="865"/>
      <c r="AP6" s="1"/>
      <c r="AQ6" s="1"/>
      <c r="AR6" s="1"/>
      <c r="AS6" s="1"/>
      <c r="AT6" s="1"/>
      <c r="AU6" s="1"/>
      <c r="AV6" s="1"/>
      <c r="AW6" s="1"/>
      <c r="AX6" s="1"/>
      <c r="AY6" s="1"/>
      <c r="AZ6" s="1"/>
      <c r="BA6" s="1"/>
      <c r="BB6" s="1"/>
      <c r="BC6" s="1"/>
    </row>
    <row r="7">
      <c r="A7" s="1279" t="s">
        <v>1500</v>
      </c>
      <c r="AN7" s="1053"/>
      <c r="AO7" s="865"/>
      <c r="AP7" s="1"/>
      <c r="AQ7" s="1"/>
      <c r="AR7" s="1"/>
      <c r="AS7" s="1"/>
      <c r="AT7" s="1"/>
      <c r="AU7" s="1"/>
      <c r="AV7" s="1"/>
      <c r="AW7" s="1"/>
      <c r="AX7" s="1"/>
      <c r="AY7" s="1"/>
      <c r="AZ7" s="1"/>
      <c r="BA7" s="1"/>
      <c r="BB7" s="1"/>
      <c r="BC7" s="1"/>
    </row>
    <row r="8">
      <c r="A8" s="1279" t="s">
        <v>1502</v>
      </c>
      <c r="H8" s="1281"/>
      <c r="I8" s="1281"/>
      <c r="J8" s="1281"/>
      <c r="K8" s="1281"/>
      <c r="L8" s="1281"/>
      <c r="M8" s="1281"/>
      <c r="N8" s="1281"/>
      <c r="O8" s="1281"/>
      <c r="P8" s="1281"/>
      <c r="Q8" s="1281"/>
      <c r="R8" s="1281"/>
      <c r="S8" s="1281"/>
      <c r="T8" s="1281"/>
      <c r="U8" s="1281"/>
      <c r="V8" s="1281"/>
      <c r="W8" s="1281"/>
      <c r="X8" s="1281"/>
      <c r="Y8" s="1281"/>
      <c r="Z8" s="1281"/>
      <c r="AA8" s="1281"/>
      <c r="AB8" s="1281"/>
      <c r="AC8" s="1281"/>
      <c r="AD8" s="1281"/>
      <c r="AE8" s="1281"/>
      <c r="AF8" s="1281"/>
      <c r="AG8" s="1281"/>
      <c r="AH8" s="1281"/>
      <c r="AI8" s="1281"/>
      <c r="AJ8" s="1281"/>
      <c r="AK8" s="1281"/>
      <c r="AL8" s="1053"/>
      <c r="AM8" s="1053"/>
      <c r="AN8" s="1053"/>
      <c r="AO8" s="865"/>
      <c r="AP8" s="1"/>
      <c r="AQ8" s="1"/>
      <c r="AR8" s="1"/>
      <c r="AS8" s="1"/>
      <c r="AT8" s="1"/>
      <c r="AU8" s="1"/>
      <c r="AV8" s="1"/>
      <c r="AW8" s="1"/>
      <c r="AX8" s="1"/>
      <c r="AY8" s="1"/>
      <c r="AZ8" s="1"/>
      <c r="BA8" s="1"/>
      <c r="BB8" s="1"/>
      <c r="BC8" s="1"/>
    </row>
    <row r="9">
      <c r="A9" s="1286"/>
      <c r="B9" s="1286"/>
      <c r="C9" s="1"/>
      <c r="D9" s="1"/>
      <c r="E9" s="1"/>
      <c r="F9" s="1"/>
      <c r="G9" s="939"/>
      <c r="H9" s="939"/>
      <c r="I9" s="939"/>
      <c r="J9" s="939"/>
      <c r="K9" s="939"/>
      <c r="L9" s="939"/>
      <c r="M9" s="939"/>
      <c r="N9" s="939"/>
      <c r="O9" s="939"/>
      <c r="P9" s="939"/>
      <c r="Q9" s="939"/>
      <c r="R9" s="939"/>
      <c r="S9" s="939"/>
      <c r="T9" s="939"/>
      <c r="U9" s="939"/>
      <c r="V9" s="939"/>
      <c r="W9" s="939"/>
      <c r="X9" s="939"/>
      <c r="Y9" s="939"/>
      <c r="Z9" s="939"/>
      <c r="AA9" s="939"/>
      <c r="AB9" s="939"/>
      <c r="AC9" s="939"/>
      <c r="AD9" s="939"/>
      <c r="AE9" s="939"/>
      <c r="AF9" s="939"/>
      <c r="AG9" s="939"/>
      <c r="AH9" s="939"/>
      <c r="AI9" s="939"/>
      <c r="AJ9" s="939"/>
      <c r="AK9" s="939"/>
      <c r="AL9" s="865"/>
      <c r="AM9" s="865"/>
      <c r="AN9" s="865"/>
      <c r="AO9" s="865"/>
      <c r="AP9" s="1"/>
      <c r="AQ9" s="1"/>
      <c r="AR9" s="1"/>
      <c r="AS9" s="1"/>
      <c r="AT9" s="1"/>
      <c r="AU9" s="1"/>
      <c r="AV9" s="1"/>
      <c r="AW9" s="1"/>
      <c r="AX9" s="1"/>
      <c r="AY9" s="1"/>
      <c r="AZ9" s="1"/>
      <c r="BA9" s="1"/>
      <c r="BB9" s="1"/>
      <c r="BC9" s="1"/>
    </row>
    <row r="10">
      <c r="A10" s="1287" t="s">
        <v>1509</v>
      </c>
      <c r="B10" s="1112"/>
      <c r="C10" s="1288" t="s">
        <v>1510</v>
      </c>
      <c r="D10" s="1288" t="s">
        <v>1511</v>
      </c>
      <c r="E10" s="1288" t="s">
        <v>1512</v>
      </c>
      <c r="F10" s="1288" t="s">
        <v>1513</v>
      </c>
      <c r="G10" s="1289" t="s">
        <v>1514</v>
      </c>
      <c r="H10" s="1289" t="s">
        <v>1515</v>
      </c>
      <c r="I10" s="1289" t="s">
        <v>1516</v>
      </c>
      <c r="J10" s="1289" t="s">
        <v>1517</v>
      </c>
      <c r="K10" s="1289" t="s">
        <v>1518</v>
      </c>
      <c r="L10" s="1289" t="s">
        <v>1519</v>
      </c>
      <c r="M10" s="1289" t="s">
        <v>1520</v>
      </c>
      <c r="N10" s="1289" t="s">
        <v>1521</v>
      </c>
      <c r="O10" s="1289" t="s">
        <v>1522</v>
      </c>
      <c r="P10" s="1289" t="s">
        <v>1523</v>
      </c>
      <c r="Q10" s="1289" t="s">
        <v>1524</v>
      </c>
      <c r="R10" s="1289" t="s">
        <v>1525</v>
      </c>
      <c r="S10" s="1289" t="s">
        <v>1526</v>
      </c>
      <c r="T10" s="1289" t="s">
        <v>1527</v>
      </c>
      <c r="U10" s="1289" t="s">
        <v>1528</v>
      </c>
      <c r="V10" s="1289" t="s">
        <v>1529</v>
      </c>
      <c r="W10" s="1289" t="s">
        <v>1530</v>
      </c>
      <c r="X10" s="1289" t="s">
        <v>1531</v>
      </c>
      <c r="Y10" s="1289" t="s">
        <v>1533</v>
      </c>
      <c r="Z10" s="1289" t="s">
        <v>1534</v>
      </c>
      <c r="AA10" s="1289" t="s">
        <v>1535</v>
      </c>
      <c r="AB10" s="1289" t="s">
        <v>1536</v>
      </c>
      <c r="AC10" s="1289" t="s">
        <v>1537</v>
      </c>
      <c r="AD10" s="1289" t="s">
        <v>1538</v>
      </c>
      <c r="AE10" s="1289" t="s">
        <v>1540</v>
      </c>
      <c r="AF10" s="1289" t="s">
        <v>1541</v>
      </c>
      <c r="AG10" s="1289" t="s">
        <v>1542</v>
      </c>
      <c r="AH10" s="1289" t="s">
        <v>1543</v>
      </c>
      <c r="AI10" s="1289" t="s">
        <v>1544</v>
      </c>
      <c r="AJ10" s="1289" t="s">
        <v>1545</v>
      </c>
      <c r="AK10" s="1289" t="s">
        <v>1546</v>
      </c>
      <c r="AL10" s="865" t="s">
        <v>1547</v>
      </c>
      <c r="AM10" s="865" t="s">
        <v>1548</v>
      </c>
      <c r="AN10" s="865" t="s">
        <v>1549</v>
      </c>
      <c r="AO10" s="865" t="s">
        <v>1550</v>
      </c>
      <c r="AP10" s="1"/>
      <c r="AQ10" s="1"/>
      <c r="AR10" s="1"/>
      <c r="AS10" s="1"/>
      <c r="AT10" s="1"/>
      <c r="AU10" s="1"/>
      <c r="AV10" s="1"/>
      <c r="AW10" s="1"/>
      <c r="AX10" s="1"/>
      <c r="AY10" s="1"/>
      <c r="AZ10" s="1"/>
      <c r="BA10" s="1"/>
      <c r="BB10" s="1"/>
      <c r="BC10" s="1"/>
    </row>
    <row r="11">
      <c r="A11" s="1292" t="s">
        <v>1551</v>
      </c>
      <c r="B11" s="1293" t="s">
        <v>1552</v>
      </c>
      <c r="G11" s="899"/>
      <c r="H11" s="899"/>
      <c r="I11" s="899"/>
      <c r="J11" s="899"/>
      <c r="K11" s="899"/>
      <c r="L11" s="899"/>
      <c r="M11" s="899"/>
      <c r="N11" s="899"/>
      <c r="O11" s="899"/>
      <c r="P11" s="899"/>
      <c r="Q11" s="899"/>
      <c r="R11" s="899"/>
      <c r="S11" s="899"/>
      <c r="T11" s="899"/>
      <c r="U11" s="899"/>
      <c r="V11" s="899"/>
      <c r="W11" s="899"/>
      <c r="X11" s="899"/>
      <c r="Y11" s="899"/>
      <c r="Z11" s="899"/>
      <c r="AA11" s="899"/>
      <c r="AB11" s="899"/>
      <c r="AC11" s="899"/>
      <c r="AD11" s="899"/>
      <c r="AE11" s="899"/>
      <c r="AF11" s="899"/>
      <c r="AG11" s="899"/>
      <c r="AH11" s="899"/>
      <c r="AI11" s="899"/>
      <c r="AJ11" s="899"/>
      <c r="AK11" s="899"/>
      <c r="AL11" s="899"/>
      <c r="AM11" s="899"/>
      <c r="AN11" s="899"/>
      <c r="AO11" s="899"/>
    </row>
    <row r="12">
      <c r="B12" s="1295" t="s">
        <v>1553</v>
      </c>
      <c r="G12" s="899"/>
      <c r="H12" s="899"/>
      <c r="I12" s="899"/>
      <c r="J12" s="899"/>
      <c r="K12" s="899"/>
      <c r="L12" s="899"/>
      <c r="M12" s="899"/>
      <c r="N12" s="899"/>
      <c r="O12" s="899"/>
      <c r="P12" s="899"/>
      <c r="Q12" s="899"/>
      <c r="R12" s="899"/>
      <c r="S12" s="899"/>
      <c r="T12" s="899"/>
      <c r="U12" s="899"/>
      <c r="V12" s="899"/>
      <c r="W12" s="899"/>
      <c r="X12" s="899"/>
      <c r="Y12" s="899"/>
      <c r="Z12" s="899"/>
      <c r="AA12" s="899"/>
      <c r="AB12" s="899"/>
      <c r="AC12" s="899"/>
      <c r="AD12" s="899"/>
      <c r="AE12" s="899"/>
      <c r="AF12" s="899"/>
      <c r="AG12" s="899"/>
      <c r="AH12" s="899"/>
      <c r="AI12" s="899"/>
      <c r="AJ12" s="899"/>
      <c r="AK12" s="899"/>
      <c r="AL12" s="899"/>
      <c r="AM12" s="899"/>
      <c r="AN12" s="899"/>
      <c r="AO12" s="899"/>
    </row>
    <row r="13">
      <c r="B13" s="1295" t="s">
        <v>1555</v>
      </c>
      <c r="G13" s="1299">
        <v>0.3098949992935971</v>
      </c>
      <c r="H13" s="899"/>
      <c r="I13" s="899"/>
      <c r="J13" s="899"/>
      <c r="K13" s="899"/>
      <c r="L13" s="1299">
        <v>0.31192169759475546</v>
      </c>
      <c r="M13" s="899"/>
      <c r="N13" s="899"/>
      <c r="O13" s="899"/>
      <c r="P13" s="899"/>
      <c r="Q13" s="1299">
        <v>0.29415803897988385</v>
      </c>
      <c r="R13" s="899"/>
      <c r="S13" s="899"/>
      <c r="T13" s="899"/>
      <c r="U13" s="899"/>
      <c r="V13" s="1299">
        <v>0.3086533518418032</v>
      </c>
      <c r="W13" s="899"/>
      <c r="X13" s="899"/>
      <c r="Y13" s="899"/>
      <c r="Z13" s="899"/>
      <c r="AA13" s="1299">
        <v>0.31000241750316254</v>
      </c>
      <c r="AB13" s="899"/>
      <c r="AC13" s="899"/>
      <c r="AD13" s="899"/>
      <c r="AE13" s="899"/>
      <c r="AF13" s="1299">
        <v>0.2798240892753884</v>
      </c>
      <c r="AG13" s="1303">
        <v>0.2785</v>
      </c>
      <c r="AH13" s="1303">
        <v>0.2856</v>
      </c>
      <c r="AI13" s="1303">
        <v>0.3275</v>
      </c>
      <c r="AJ13" s="1303">
        <v>0.18</v>
      </c>
      <c r="AK13" s="899"/>
      <c r="AL13" s="899"/>
      <c r="AM13" s="899"/>
      <c r="AN13" s="899"/>
      <c r="AO13" s="899"/>
    </row>
    <row r="14">
      <c r="B14" s="1295" t="s">
        <v>1556</v>
      </c>
      <c r="G14" s="1299">
        <v>0.250980812076589</v>
      </c>
      <c r="H14" s="899"/>
      <c r="I14" s="899"/>
      <c r="J14" s="899"/>
      <c r="K14" s="899"/>
      <c r="L14" s="1299">
        <v>0.16544529700030713</v>
      </c>
      <c r="M14" s="899"/>
      <c r="N14" s="899"/>
      <c r="O14" s="899"/>
      <c r="P14" s="899"/>
      <c r="Q14" s="1299">
        <v>0.16328349033786654</v>
      </c>
      <c r="R14" s="899"/>
      <c r="S14" s="899"/>
      <c r="T14" s="899"/>
      <c r="U14" s="899"/>
      <c r="V14" s="1299">
        <v>0.23704978506865568</v>
      </c>
      <c r="W14" s="899"/>
      <c r="X14" s="899"/>
      <c r="Y14" s="899"/>
      <c r="Z14" s="899"/>
      <c r="AA14" s="1299">
        <v>0.2729430944338703</v>
      </c>
      <c r="AB14" s="899"/>
      <c r="AC14" s="899"/>
      <c r="AD14" s="899"/>
      <c r="AE14" s="899"/>
      <c r="AF14" s="1299">
        <v>0.2523527452422593</v>
      </c>
      <c r="AG14" s="1303">
        <v>0.2384</v>
      </c>
      <c r="AH14" s="1303">
        <v>0.2648</v>
      </c>
      <c r="AI14" s="1303">
        <v>0.2539</v>
      </c>
      <c r="AJ14" s="1303">
        <v>0.2468</v>
      </c>
      <c r="AK14" s="899"/>
      <c r="AL14" s="899"/>
      <c r="AM14" s="899"/>
      <c r="AN14" s="899"/>
      <c r="AO14" s="899"/>
    </row>
    <row r="15">
      <c r="B15" s="1305" t="s">
        <v>1557</v>
      </c>
      <c r="H15" s="899"/>
      <c r="I15" s="899"/>
      <c r="J15" s="899"/>
      <c r="K15" s="899"/>
      <c r="L15" s="899"/>
      <c r="M15" s="899"/>
      <c r="N15" s="899"/>
      <c r="O15" s="899"/>
      <c r="P15" s="899"/>
      <c r="Q15" s="899"/>
      <c r="R15" s="899"/>
      <c r="S15" s="899"/>
      <c r="T15" s="899"/>
      <c r="U15" s="899"/>
      <c r="V15" s="899"/>
      <c r="W15" s="899"/>
      <c r="X15" s="899"/>
      <c r="Y15" s="899"/>
      <c r="Z15" s="899"/>
      <c r="AA15" s="899"/>
      <c r="AB15" s="899"/>
      <c r="AC15" s="899"/>
      <c r="AD15" s="899"/>
      <c r="AE15" s="899"/>
      <c r="AF15" s="899"/>
      <c r="AG15" s="899"/>
      <c r="AH15" s="899"/>
      <c r="AI15" s="899"/>
      <c r="AJ15" s="899"/>
      <c r="AK15" s="899"/>
      <c r="AL15" s="899"/>
      <c r="AM15" s="899"/>
      <c r="AN15" s="899"/>
      <c r="AO15" s="899"/>
    </row>
    <row r="16">
      <c r="B16" s="1305" t="s">
        <v>1559</v>
      </c>
      <c r="G16" s="899"/>
      <c r="H16" s="899"/>
      <c r="I16" s="899"/>
      <c r="J16" s="899"/>
      <c r="K16" s="899"/>
      <c r="L16" s="899"/>
      <c r="M16" s="899"/>
      <c r="N16" s="899"/>
      <c r="O16" s="899"/>
      <c r="P16" s="899"/>
      <c r="Q16" s="899"/>
      <c r="R16" s="899"/>
      <c r="S16" s="899"/>
      <c r="T16" s="899"/>
      <c r="U16" s="899"/>
      <c r="V16" s="899"/>
      <c r="W16" s="899"/>
      <c r="X16" s="899"/>
      <c r="Y16" s="899"/>
      <c r="Z16" s="899"/>
      <c r="AA16" s="899"/>
      <c r="AB16" s="899"/>
      <c r="AC16" s="899"/>
      <c r="AD16" s="899"/>
      <c r="AE16" s="899"/>
      <c r="AF16" s="899"/>
      <c r="AG16" s="899"/>
      <c r="AH16" s="899"/>
      <c r="AI16" s="899"/>
      <c r="AJ16" s="899"/>
      <c r="AK16" s="899"/>
      <c r="AL16" s="899"/>
      <c r="AM16" s="899"/>
      <c r="AN16" s="899"/>
      <c r="AO16" s="899"/>
    </row>
    <row r="17">
      <c r="B17" s="1295" t="s">
        <v>1560</v>
      </c>
      <c r="G17" s="899"/>
      <c r="H17" s="899"/>
      <c r="I17" s="899"/>
      <c r="J17" s="899"/>
      <c r="K17" s="899"/>
      <c r="L17" s="899"/>
      <c r="M17" s="899"/>
      <c r="N17" s="899"/>
      <c r="O17" s="899"/>
      <c r="P17" s="899"/>
      <c r="Q17" s="899"/>
      <c r="R17" s="899"/>
      <c r="S17" s="899"/>
      <c r="T17" s="899"/>
      <c r="U17" s="899"/>
      <c r="V17" s="899"/>
      <c r="W17" s="899"/>
      <c r="X17" s="899"/>
      <c r="Y17" s="899"/>
      <c r="Z17" s="899"/>
      <c r="AA17" s="899"/>
      <c r="AB17" s="899"/>
      <c r="AC17" s="899"/>
      <c r="AD17" s="899"/>
      <c r="AE17" s="899"/>
      <c r="AF17" s="899"/>
      <c r="AG17" s="899"/>
      <c r="AH17" s="899"/>
      <c r="AI17" s="899"/>
      <c r="AJ17" s="899"/>
      <c r="AK17" s="899"/>
      <c r="AL17" s="899"/>
      <c r="AM17" s="899"/>
      <c r="AN17" s="899"/>
      <c r="AO17" s="899"/>
    </row>
    <row r="18">
      <c r="B18" s="1295" t="s">
        <v>1561</v>
      </c>
      <c r="G18" s="1308">
        <v>321134.03</v>
      </c>
      <c r="H18" s="899"/>
      <c r="I18" s="899"/>
      <c r="J18" s="899"/>
      <c r="K18" s="899"/>
      <c r="L18" s="1054">
        <v>230184.5</v>
      </c>
      <c r="M18" s="899"/>
      <c r="N18" s="899"/>
      <c r="O18" s="899"/>
      <c r="P18" s="899"/>
      <c r="Q18" s="1308">
        <v>286763.81</v>
      </c>
      <c r="R18" s="899"/>
      <c r="S18" s="899"/>
      <c r="T18" s="899"/>
      <c r="U18" s="899"/>
      <c r="V18" s="1308">
        <v>504547.38</v>
      </c>
      <c r="W18" s="899"/>
      <c r="X18" s="899"/>
      <c r="Y18" s="899"/>
      <c r="Z18" s="899"/>
      <c r="AA18" s="1308">
        <v>682315.55</v>
      </c>
      <c r="AB18" s="899"/>
      <c r="AC18" s="899"/>
      <c r="AD18" s="899"/>
      <c r="AE18" s="899"/>
      <c r="AF18" s="1308">
        <v>314811.96</v>
      </c>
      <c r="AG18" s="1054">
        <v>67360.26</v>
      </c>
      <c r="AH18" s="1054">
        <v>95833.95</v>
      </c>
      <c r="AI18" s="1054">
        <v>99499.82</v>
      </c>
      <c r="AJ18" s="1054">
        <v>52117.93</v>
      </c>
      <c r="AK18" s="899"/>
      <c r="AL18" s="899"/>
      <c r="AM18" s="899"/>
      <c r="AN18" s="899"/>
      <c r="AO18" s="899"/>
    </row>
    <row r="19">
      <c r="B19" s="1295" t="s">
        <v>1562</v>
      </c>
      <c r="G19" s="1309" t="s">
        <v>1563</v>
      </c>
      <c r="H19" s="1310"/>
      <c r="I19" s="1310"/>
      <c r="J19" s="1310"/>
      <c r="K19" s="1310"/>
      <c r="L19" s="1309" t="s">
        <v>1563</v>
      </c>
      <c r="M19" s="1310"/>
      <c r="N19" s="1310"/>
      <c r="O19" s="1310"/>
      <c r="P19" s="1310"/>
      <c r="Q19" s="1309" t="s">
        <v>1563</v>
      </c>
      <c r="R19" s="1310"/>
      <c r="S19" s="1310"/>
      <c r="T19" s="1310"/>
      <c r="U19" s="1310"/>
      <c r="V19" s="1309" t="s">
        <v>1563</v>
      </c>
      <c r="W19" s="1310"/>
      <c r="X19" s="1310"/>
      <c r="Y19" s="1310"/>
      <c r="Z19" s="1310"/>
      <c r="AA19" s="1309" t="s">
        <v>1563</v>
      </c>
      <c r="AB19" s="1310"/>
      <c r="AC19" s="1310"/>
      <c r="AD19" s="1310"/>
      <c r="AE19" s="1310"/>
      <c r="AF19" s="1309" t="s">
        <v>1563</v>
      </c>
      <c r="AG19" s="1310"/>
      <c r="AH19" s="1310"/>
      <c r="AI19" s="1310"/>
      <c r="AJ19" s="1310"/>
      <c r="AK19" s="1310"/>
      <c r="AL19" s="899"/>
      <c r="AM19" s="899"/>
      <c r="AN19" s="899"/>
      <c r="AO19" s="899"/>
    </row>
    <row r="20">
      <c r="A20" s="1292" t="s">
        <v>1564</v>
      </c>
      <c r="B20" s="1293" t="s">
        <v>1552</v>
      </c>
      <c r="G20" s="899"/>
      <c r="H20" s="899"/>
      <c r="I20" s="899"/>
      <c r="J20" s="899"/>
      <c r="K20" s="899"/>
      <c r="L20" s="899"/>
      <c r="M20" s="899"/>
      <c r="N20" s="899"/>
      <c r="O20" s="899"/>
      <c r="P20" s="899"/>
      <c r="Q20" s="899"/>
      <c r="R20" s="899"/>
      <c r="S20" s="899"/>
      <c r="T20" s="899"/>
      <c r="U20" s="899"/>
      <c r="V20" s="899"/>
      <c r="W20" s="899"/>
      <c r="X20" s="899"/>
      <c r="Y20" s="899"/>
      <c r="Z20" s="899"/>
      <c r="AA20" s="899"/>
      <c r="AB20" s="899"/>
      <c r="AC20" s="899"/>
      <c r="AD20" s="899"/>
      <c r="AE20" s="899"/>
      <c r="AF20" s="899"/>
      <c r="AG20" s="899"/>
      <c r="AH20" s="899"/>
      <c r="AI20" s="899"/>
      <c r="AJ20" s="899"/>
      <c r="AK20" s="899"/>
      <c r="AL20" s="899"/>
      <c r="AM20" s="899"/>
      <c r="AN20" s="899"/>
      <c r="AO20" s="899"/>
    </row>
    <row r="21">
      <c r="B21" s="1295" t="s">
        <v>1553</v>
      </c>
      <c r="G21" s="899"/>
      <c r="H21" s="899"/>
      <c r="I21" s="899"/>
      <c r="J21" s="899"/>
      <c r="K21" s="899"/>
      <c r="L21" s="899"/>
      <c r="M21" s="899"/>
      <c r="N21" s="899"/>
      <c r="O21" s="899"/>
      <c r="P21" s="899"/>
      <c r="Q21" s="899"/>
      <c r="R21" s="899"/>
      <c r="S21" s="899"/>
      <c r="T21" s="899"/>
      <c r="U21" s="899"/>
      <c r="V21" s="899"/>
      <c r="W21" s="899"/>
      <c r="X21" s="899"/>
      <c r="Y21" s="899"/>
      <c r="Z21" s="899"/>
      <c r="AA21" s="899"/>
      <c r="AB21" s="899"/>
      <c r="AC21" s="899"/>
      <c r="AD21" s="899"/>
      <c r="AE21" s="899"/>
      <c r="AF21" s="899"/>
      <c r="AG21" s="899"/>
      <c r="AH21" s="899"/>
      <c r="AI21" s="899"/>
      <c r="AJ21" s="899"/>
      <c r="AK21" s="899"/>
      <c r="AL21" s="899"/>
      <c r="AM21" s="899"/>
      <c r="AN21" s="899"/>
      <c r="AO21" s="899"/>
    </row>
    <row r="22">
      <c r="B22" s="1295" t="s">
        <v>1555</v>
      </c>
      <c r="G22" s="1299">
        <v>0.281197586693855</v>
      </c>
      <c r="H22" s="899"/>
      <c r="I22" s="899"/>
      <c r="J22" s="899"/>
      <c r="K22" s="899"/>
      <c r="L22" s="1299">
        <v>0.3004094299375702</v>
      </c>
      <c r="M22" s="899"/>
      <c r="N22" s="899"/>
      <c r="O22" s="899"/>
      <c r="P22" s="899"/>
      <c r="Q22" s="1299">
        <v>0.2985524909055659</v>
      </c>
      <c r="R22" s="899"/>
      <c r="S22" s="899"/>
      <c r="T22" s="899"/>
      <c r="U22" s="899"/>
      <c r="V22" s="1299">
        <v>0.29444208467489486</v>
      </c>
      <c r="W22" s="899"/>
      <c r="X22" s="899"/>
      <c r="Y22" s="899"/>
      <c r="Z22" s="899"/>
      <c r="AA22" s="1299">
        <v>0.3023120156778905</v>
      </c>
      <c r="AB22" s="899"/>
      <c r="AC22" s="899"/>
      <c r="AD22" s="899"/>
      <c r="AE22" s="899"/>
      <c r="AF22" s="1299">
        <v>0.28239229548198597</v>
      </c>
      <c r="AG22" s="1303">
        <v>0.2712</v>
      </c>
      <c r="AH22" s="1303">
        <v>0.2781</v>
      </c>
      <c r="AI22" s="1303">
        <v>0.3018</v>
      </c>
      <c r="AJ22" s="1303">
        <v>0.2709</v>
      </c>
      <c r="AK22" s="899"/>
      <c r="AL22" s="899"/>
      <c r="AM22" s="899"/>
      <c r="AN22" s="899"/>
      <c r="AO22" s="899"/>
    </row>
    <row r="23">
      <c r="B23" s="1295" t="s">
        <v>1556</v>
      </c>
      <c r="G23" s="1299">
        <v>0.4609425127586889</v>
      </c>
      <c r="H23" s="899"/>
      <c r="I23" s="899"/>
      <c r="J23" s="899"/>
      <c r="K23" s="899"/>
      <c r="L23" s="1299">
        <v>0.6050635333673633</v>
      </c>
      <c r="M23" s="899"/>
      <c r="N23" s="899"/>
      <c r="O23" s="899"/>
      <c r="P23" s="899"/>
      <c r="Q23" s="1299">
        <v>0.6405451172749753</v>
      </c>
      <c r="R23" s="899"/>
      <c r="S23" s="899"/>
      <c r="T23" s="899"/>
      <c r="U23" s="899"/>
      <c r="V23" s="1299">
        <v>0.5955810815276068</v>
      </c>
      <c r="W23" s="899"/>
      <c r="X23" s="899"/>
      <c r="Y23" s="899"/>
      <c r="Z23" s="899"/>
      <c r="AA23" s="1299">
        <v>0.5708243266431704</v>
      </c>
      <c r="AB23" s="899"/>
      <c r="AC23" s="899"/>
      <c r="AD23" s="899"/>
      <c r="AE23" s="899"/>
      <c r="AF23" s="1299">
        <v>0.5773800154174615</v>
      </c>
      <c r="AG23" s="1303">
        <v>0.6018</v>
      </c>
      <c r="AH23" s="1303">
        <v>0.5506</v>
      </c>
      <c r="AI23" s="1303">
        <v>0.56</v>
      </c>
      <c r="AJ23" s="1303">
        <v>0.6229</v>
      </c>
      <c r="AK23" s="899"/>
      <c r="AL23" s="899"/>
      <c r="AM23" s="899"/>
      <c r="AN23" s="899"/>
      <c r="AO23" s="899"/>
    </row>
    <row r="24">
      <c r="B24" s="1305" t="s">
        <v>1557</v>
      </c>
      <c r="G24" s="899"/>
      <c r="H24" s="899"/>
      <c r="I24" s="899"/>
      <c r="J24" s="899"/>
      <c r="K24" s="899"/>
      <c r="L24" s="899"/>
      <c r="M24" s="899"/>
      <c r="N24" s="899"/>
      <c r="O24" s="899"/>
      <c r="P24" s="899"/>
      <c r="Q24" s="899"/>
      <c r="R24" s="899"/>
      <c r="S24" s="899"/>
      <c r="T24" s="899"/>
      <c r="U24" s="899"/>
      <c r="V24" s="899"/>
      <c r="W24" s="899"/>
      <c r="X24" s="899"/>
      <c r="Y24" s="899"/>
      <c r="Z24" s="899"/>
      <c r="AA24" s="899"/>
      <c r="AB24" s="899"/>
      <c r="AC24" s="899"/>
      <c r="AD24" s="899"/>
      <c r="AE24" s="899"/>
      <c r="AF24" s="899"/>
      <c r="AG24" s="899"/>
      <c r="AH24" s="899"/>
      <c r="AI24" s="899"/>
      <c r="AJ24" s="899"/>
      <c r="AK24" s="899"/>
      <c r="AL24" s="899"/>
      <c r="AM24" s="899"/>
      <c r="AN24" s="899"/>
      <c r="AO24" s="899"/>
    </row>
    <row r="25">
      <c r="B25" s="1305" t="s">
        <v>1559</v>
      </c>
      <c r="G25" s="899"/>
      <c r="H25" s="899"/>
      <c r="I25" s="899"/>
      <c r="J25" s="899"/>
      <c r="K25" s="899"/>
      <c r="L25" s="899"/>
      <c r="M25" s="899"/>
      <c r="N25" s="899"/>
      <c r="O25" s="899"/>
      <c r="P25" s="899"/>
      <c r="Q25" s="899"/>
      <c r="R25" s="899"/>
      <c r="S25" s="899"/>
      <c r="T25" s="899"/>
      <c r="U25" s="899"/>
      <c r="V25" s="899"/>
      <c r="W25" s="899"/>
      <c r="X25" s="899"/>
      <c r="Y25" s="899"/>
      <c r="Z25" s="899"/>
      <c r="AA25" s="899"/>
      <c r="AB25" s="899"/>
      <c r="AC25" s="899"/>
      <c r="AD25" s="899"/>
      <c r="AE25" s="899"/>
      <c r="AF25" s="899"/>
      <c r="AG25" s="899"/>
      <c r="AH25" s="899"/>
      <c r="AI25" s="899"/>
      <c r="AJ25" s="899"/>
      <c r="AK25" s="899"/>
      <c r="AL25" s="899"/>
      <c r="AM25" s="899"/>
      <c r="AN25" s="899"/>
      <c r="AO25" s="899"/>
    </row>
    <row r="26">
      <c r="B26" s="1295" t="s">
        <v>1560</v>
      </c>
      <c r="G26" s="899"/>
      <c r="H26" s="899"/>
      <c r="I26" s="899"/>
      <c r="J26" s="899"/>
      <c r="K26" s="899"/>
      <c r="L26" s="899"/>
      <c r="M26" s="899"/>
      <c r="N26" s="899"/>
      <c r="O26" s="899"/>
      <c r="P26" s="899"/>
      <c r="Q26" s="899"/>
      <c r="R26" s="899"/>
      <c r="S26" s="899"/>
      <c r="T26" s="899"/>
      <c r="U26" s="899"/>
      <c r="V26" s="899"/>
      <c r="W26" s="899"/>
      <c r="X26" s="899"/>
      <c r="Y26" s="899"/>
      <c r="Z26" s="899"/>
      <c r="AA26" s="899"/>
      <c r="AB26" s="899"/>
      <c r="AC26" s="899"/>
      <c r="AD26" s="899"/>
      <c r="AE26" s="899"/>
      <c r="AF26" s="899"/>
      <c r="AG26" s="899"/>
      <c r="AH26" s="899"/>
      <c r="AI26" s="899"/>
      <c r="AJ26" s="899"/>
      <c r="AK26" s="899"/>
      <c r="AL26" s="899"/>
      <c r="AM26" s="899"/>
      <c r="AN26" s="899"/>
      <c r="AO26" s="899"/>
    </row>
    <row r="27">
      <c r="B27" s="1295" t="s">
        <v>1561</v>
      </c>
      <c r="G27" s="1308">
        <v>589783.44</v>
      </c>
      <c r="H27" s="899"/>
      <c r="I27" s="899"/>
      <c r="J27" s="899"/>
      <c r="K27" s="899"/>
      <c r="L27" s="1054">
        <v>841826.57</v>
      </c>
      <c r="M27" s="899"/>
      <c r="N27" s="899"/>
      <c r="O27" s="899"/>
      <c r="P27" s="899"/>
      <c r="Q27" s="1308">
        <v>1124946.3</v>
      </c>
      <c r="R27" s="899"/>
      <c r="S27" s="899"/>
      <c r="T27" s="899"/>
      <c r="U27" s="899"/>
      <c r="V27" s="1308">
        <v>1267661.45</v>
      </c>
      <c r="W27" s="899"/>
      <c r="X27" s="899"/>
      <c r="Y27" s="899"/>
      <c r="Z27" s="899"/>
      <c r="AA27" s="1308">
        <v>1426972.59</v>
      </c>
      <c r="AB27" s="899"/>
      <c r="AC27" s="899"/>
      <c r="AD27" s="899"/>
      <c r="AE27" s="899"/>
      <c r="AF27" s="1308">
        <v>720285.94</v>
      </c>
      <c r="AG27" s="1054">
        <v>170067.38</v>
      </c>
      <c r="AH27" s="1054">
        <v>199232.97</v>
      </c>
      <c r="AI27" s="1054">
        <v>219454.83</v>
      </c>
      <c r="AJ27" s="1054">
        <v>131530.76</v>
      </c>
      <c r="AK27" s="899"/>
      <c r="AL27" s="899"/>
      <c r="AM27" s="899"/>
      <c r="AN27" s="899"/>
      <c r="AO27" s="899"/>
    </row>
    <row r="28">
      <c r="B28" s="1295" t="s">
        <v>1562</v>
      </c>
      <c r="G28" s="1309" t="s">
        <v>1563</v>
      </c>
      <c r="H28" s="1310"/>
      <c r="I28" s="1310"/>
      <c r="J28" s="1310"/>
      <c r="K28" s="1310"/>
      <c r="L28" s="1309" t="s">
        <v>1563</v>
      </c>
      <c r="M28" s="1310"/>
      <c r="N28" s="1310"/>
      <c r="O28" s="1310"/>
      <c r="P28" s="1310"/>
      <c r="Q28" s="1309" t="s">
        <v>1563</v>
      </c>
      <c r="R28" s="1310"/>
      <c r="S28" s="1310"/>
      <c r="T28" s="1310"/>
      <c r="U28" s="1310"/>
      <c r="V28" s="1309" t="s">
        <v>1563</v>
      </c>
      <c r="W28" s="1310"/>
      <c r="X28" s="1310"/>
      <c r="Y28" s="1310"/>
      <c r="Z28" s="1310"/>
      <c r="AA28" s="1309" t="s">
        <v>1563</v>
      </c>
      <c r="AB28" s="1310"/>
      <c r="AC28" s="1310"/>
      <c r="AD28" s="1310"/>
      <c r="AE28" s="1310"/>
      <c r="AF28" s="1309" t="s">
        <v>1563</v>
      </c>
      <c r="AG28" s="1310"/>
      <c r="AH28" s="1310"/>
      <c r="AI28" s="1310"/>
      <c r="AJ28" s="1310"/>
      <c r="AK28" s="1310"/>
      <c r="AL28" s="899"/>
      <c r="AM28" s="899"/>
      <c r="AN28" s="899"/>
      <c r="AO28" s="899"/>
    </row>
    <row r="29">
      <c r="A29" s="1292" t="s">
        <v>1569</v>
      </c>
      <c r="B29" s="1293" t="s">
        <v>1552</v>
      </c>
      <c r="G29" s="899"/>
      <c r="H29" s="899"/>
      <c r="I29" s="899"/>
      <c r="J29" s="899"/>
      <c r="K29" s="899"/>
      <c r="L29" s="899"/>
      <c r="M29" s="899"/>
      <c r="N29" s="899"/>
      <c r="O29" s="899"/>
      <c r="P29" s="899"/>
      <c r="Q29" s="899"/>
      <c r="R29" s="899"/>
      <c r="S29" s="899"/>
      <c r="T29" s="899"/>
      <c r="U29" s="899"/>
      <c r="V29" s="899"/>
      <c r="W29" s="899"/>
      <c r="X29" s="899"/>
      <c r="Y29" s="899"/>
      <c r="Z29" s="899"/>
      <c r="AA29" s="899"/>
      <c r="AB29" s="899"/>
      <c r="AC29" s="899"/>
      <c r="AD29" s="899"/>
      <c r="AE29" s="899"/>
      <c r="AF29" s="899"/>
      <c r="AG29" s="899"/>
      <c r="AH29" s="899"/>
      <c r="AI29" s="899"/>
      <c r="AJ29" s="899"/>
      <c r="AK29" s="899"/>
      <c r="AL29" s="899"/>
      <c r="AM29" s="899"/>
      <c r="AN29" s="899"/>
      <c r="AO29" s="899"/>
    </row>
    <row r="30">
      <c r="B30" s="1295" t="s">
        <v>1553</v>
      </c>
      <c r="G30" s="899"/>
      <c r="H30" s="899"/>
      <c r="I30" s="899"/>
      <c r="J30" s="899"/>
      <c r="K30" s="899"/>
      <c r="L30" s="899"/>
      <c r="M30" s="899"/>
      <c r="N30" s="899"/>
      <c r="O30" s="899"/>
      <c r="P30" s="899"/>
      <c r="Q30" s="899"/>
      <c r="R30" s="899"/>
      <c r="S30" s="899"/>
      <c r="T30" s="899"/>
      <c r="U30" s="899"/>
      <c r="V30" s="899"/>
      <c r="W30" s="899"/>
      <c r="X30" s="899"/>
      <c r="Y30" s="899"/>
      <c r="Z30" s="899"/>
      <c r="AA30" s="899"/>
      <c r="AB30" s="899"/>
      <c r="AC30" s="899"/>
      <c r="AD30" s="899"/>
      <c r="AE30" s="899"/>
      <c r="AF30" s="899"/>
      <c r="AG30" s="899"/>
      <c r="AH30" s="899"/>
      <c r="AI30" s="899"/>
      <c r="AJ30" s="899"/>
      <c r="AK30" s="899"/>
      <c r="AL30" s="899"/>
      <c r="AM30" s="899"/>
      <c r="AN30" s="899"/>
      <c r="AO30" s="899"/>
    </row>
    <row r="31">
      <c r="B31" s="1295" t="s">
        <v>1555</v>
      </c>
      <c r="G31" s="1299">
        <v>0.13876090927890722</v>
      </c>
      <c r="H31" s="899"/>
      <c r="I31" s="899"/>
      <c r="J31" s="899"/>
      <c r="K31" s="899"/>
      <c r="L31" s="1299">
        <v>0.13102871003538327</v>
      </c>
      <c r="M31" s="899"/>
      <c r="N31" s="899"/>
      <c r="O31" s="899"/>
      <c r="P31" s="899"/>
      <c r="Q31" s="1299">
        <v>0.13358531776556035</v>
      </c>
      <c r="R31" s="899"/>
      <c r="S31" s="899"/>
      <c r="T31" s="899"/>
      <c r="U31" s="899"/>
      <c r="V31" s="1299">
        <v>0.1425910408679177</v>
      </c>
      <c r="W31" s="899"/>
      <c r="X31" s="899"/>
      <c r="Y31" s="899"/>
      <c r="Z31" s="899"/>
      <c r="AA31" s="1299">
        <v>0.13550836386199203</v>
      </c>
      <c r="AB31" s="899"/>
      <c r="AC31" s="899"/>
      <c r="AD31" s="899"/>
      <c r="AE31" s="899"/>
      <c r="AF31" s="1299">
        <v>0.14426752029141737</v>
      </c>
      <c r="AG31" s="1303">
        <v>0.1701</v>
      </c>
      <c r="AH31" s="1303">
        <v>0.1362</v>
      </c>
      <c r="AI31" s="1303">
        <v>0.1424</v>
      </c>
      <c r="AJ31" s="1303">
        <v>0.129</v>
      </c>
      <c r="AK31" s="899"/>
      <c r="AL31" s="899"/>
      <c r="AM31" s="899"/>
      <c r="AN31" s="899"/>
      <c r="AO31" s="899"/>
    </row>
    <row r="32">
      <c r="B32" s="1295" t="s">
        <v>1556</v>
      </c>
      <c r="G32" s="1299">
        <v>0.09100483021606931</v>
      </c>
      <c r="H32" s="899"/>
      <c r="I32" s="899"/>
      <c r="J32" s="899"/>
      <c r="K32" s="899"/>
      <c r="L32" s="1299">
        <v>0.028576756157827527</v>
      </c>
      <c r="M32" s="899"/>
      <c r="N32" s="899"/>
      <c r="O32" s="899"/>
      <c r="P32" s="899"/>
      <c r="Q32" s="1299">
        <v>0.022503259007136258</v>
      </c>
      <c r="R32" s="899"/>
      <c r="S32" s="899"/>
      <c r="T32" s="899"/>
      <c r="U32" s="899"/>
      <c r="V32" s="1299">
        <v>0.02916752188812941</v>
      </c>
      <c r="W32" s="899"/>
      <c r="X32" s="899"/>
      <c r="Y32" s="899"/>
      <c r="Z32" s="899"/>
      <c r="AA32" s="1299">
        <v>0.019856887632220974</v>
      </c>
      <c r="AB32" s="899"/>
      <c r="AC32" s="899"/>
      <c r="AD32" s="899"/>
      <c r="AE32" s="899"/>
      <c r="AF32" s="1299">
        <v>0.02922330964292265</v>
      </c>
      <c r="AG32" s="1303">
        <v>0.0295</v>
      </c>
      <c r="AH32" s="1303">
        <v>0.0306</v>
      </c>
      <c r="AI32" s="1303">
        <v>0.0256</v>
      </c>
      <c r="AJ32" s="1303">
        <v>0.0333</v>
      </c>
      <c r="AK32" s="899"/>
      <c r="AL32" s="899"/>
      <c r="AM32" s="899"/>
      <c r="AN32" s="899"/>
      <c r="AO32" s="899"/>
    </row>
    <row r="33">
      <c r="B33" s="1305" t="s">
        <v>1557</v>
      </c>
      <c r="G33" s="899"/>
      <c r="H33" s="899"/>
      <c r="I33" s="899"/>
      <c r="J33" s="899"/>
      <c r="K33" s="899"/>
      <c r="L33" s="899"/>
      <c r="M33" s="899"/>
      <c r="N33" s="899"/>
      <c r="O33" s="899"/>
      <c r="P33" s="899"/>
      <c r="Q33" s="899"/>
      <c r="R33" s="899"/>
      <c r="S33" s="899"/>
      <c r="T33" s="899"/>
      <c r="U33" s="899"/>
      <c r="V33" s="899"/>
      <c r="W33" s="899"/>
      <c r="X33" s="899"/>
      <c r="Y33" s="899"/>
      <c r="Z33" s="899"/>
      <c r="AA33" s="899"/>
      <c r="AB33" s="899"/>
      <c r="AC33" s="899"/>
      <c r="AD33" s="899"/>
      <c r="AE33" s="899"/>
      <c r="AF33" s="899"/>
      <c r="AG33" s="899"/>
      <c r="AH33" s="899"/>
      <c r="AI33" s="899"/>
      <c r="AJ33" s="899"/>
      <c r="AK33" s="899"/>
      <c r="AL33" s="899"/>
      <c r="AM33" s="899"/>
      <c r="AN33" s="899"/>
      <c r="AO33" s="899"/>
    </row>
    <row r="34">
      <c r="B34" s="1305" t="s">
        <v>1559</v>
      </c>
      <c r="G34" s="899"/>
      <c r="H34" s="899"/>
      <c r="I34" s="899"/>
      <c r="J34" s="899"/>
      <c r="K34" s="899"/>
      <c r="L34" s="899"/>
      <c r="M34" s="899"/>
      <c r="N34" s="899"/>
      <c r="O34" s="899"/>
      <c r="P34" s="899"/>
      <c r="Q34" s="899"/>
      <c r="R34" s="899"/>
      <c r="S34" s="899"/>
      <c r="T34" s="899"/>
      <c r="U34" s="899"/>
      <c r="V34" s="899"/>
      <c r="W34" s="899"/>
      <c r="X34" s="899"/>
      <c r="Y34" s="899"/>
      <c r="Z34" s="899"/>
      <c r="AA34" s="899"/>
      <c r="AB34" s="899"/>
      <c r="AC34" s="899"/>
      <c r="AD34" s="899"/>
      <c r="AE34" s="899"/>
      <c r="AF34" s="899"/>
      <c r="AG34" s="899"/>
      <c r="AH34" s="899"/>
      <c r="AI34" s="899"/>
      <c r="AJ34" s="899"/>
      <c r="AK34" s="899"/>
      <c r="AL34" s="899"/>
      <c r="AM34" s="899"/>
      <c r="AN34" s="899"/>
      <c r="AO34" s="899"/>
    </row>
    <row r="35">
      <c r="B35" s="1295" t="s">
        <v>1560</v>
      </c>
      <c r="G35" s="899"/>
      <c r="H35" s="899"/>
      <c r="I35" s="899"/>
      <c r="J35" s="899"/>
      <c r="K35" s="899"/>
      <c r="L35" s="899"/>
      <c r="M35" s="899"/>
      <c r="N35" s="899"/>
      <c r="O35" s="899"/>
      <c r="P35" s="899"/>
      <c r="Q35" s="899"/>
      <c r="R35" s="899"/>
      <c r="S35" s="899"/>
      <c r="T35" s="899"/>
      <c r="U35" s="899"/>
      <c r="V35" s="899"/>
      <c r="W35" s="899"/>
      <c r="X35" s="899"/>
      <c r="Y35" s="899"/>
      <c r="Z35" s="899"/>
      <c r="AA35" s="899"/>
      <c r="AB35" s="899"/>
      <c r="AC35" s="899"/>
      <c r="AD35" s="899"/>
      <c r="AE35" s="899"/>
      <c r="AF35" s="899"/>
      <c r="AG35" s="899"/>
      <c r="AH35" s="899"/>
      <c r="AI35" s="899"/>
      <c r="AJ35" s="899"/>
      <c r="AK35" s="899"/>
      <c r="AL35" s="899"/>
      <c r="AM35" s="899"/>
      <c r="AN35" s="899"/>
      <c r="AO35" s="899"/>
    </row>
    <row r="36">
      <c r="B36" s="1295" t="s">
        <v>1561</v>
      </c>
      <c r="G36" s="1318">
        <v>116442.16</v>
      </c>
      <c r="H36" s="899"/>
      <c r="I36" s="899"/>
      <c r="J36" s="899"/>
      <c r="K36" s="899"/>
      <c r="L36" s="1318">
        <v>39758.92</v>
      </c>
      <c r="M36" s="899"/>
      <c r="N36" s="899"/>
      <c r="O36" s="899"/>
      <c r="P36" s="899"/>
      <c r="Q36" s="1318">
        <v>39520.96</v>
      </c>
      <c r="R36" s="899"/>
      <c r="S36" s="899"/>
      <c r="T36" s="899"/>
      <c r="U36" s="899"/>
      <c r="V36" s="1318">
        <v>62081.46000000001</v>
      </c>
      <c r="W36" s="899"/>
      <c r="X36" s="899"/>
      <c r="Y36" s="899"/>
      <c r="Z36" s="899"/>
      <c r="AA36" s="1318">
        <v>49639.149999999994</v>
      </c>
      <c r="AB36" s="899"/>
      <c r="AC36" s="899"/>
      <c r="AD36" s="899"/>
      <c r="AE36" s="899"/>
      <c r="AF36" s="1318">
        <v>36456.3</v>
      </c>
      <c r="AG36" s="1054">
        <v>8333.11</v>
      </c>
      <c r="AH36" s="1054">
        <v>11062.28</v>
      </c>
      <c r="AI36" s="1054">
        <v>10023.0</v>
      </c>
      <c r="AJ36" s="1054">
        <v>7037.91</v>
      </c>
      <c r="AK36" s="899"/>
      <c r="AL36" s="899"/>
      <c r="AM36" s="899"/>
      <c r="AN36" s="899"/>
      <c r="AO36" s="899"/>
    </row>
    <row r="37">
      <c r="B37" s="1295" t="s">
        <v>1562</v>
      </c>
      <c r="C37" s="1319"/>
      <c r="D37" s="1319"/>
      <c r="E37" s="1319"/>
      <c r="F37" s="1319"/>
      <c r="G37" s="1309" t="s">
        <v>1563</v>
      </c>
      <c r="H37" s="1310"/>
      <c r="I37" s="1310"/>
      <c r="J37" s="1310"/>
      <c r="K37" s="1310"/>
      <c r="L37" s="1309" t="s">
        <v>1563</v>
      </c>
      <c r="M37" s="1310"/>
      <c r="N37" s="1310"/>
      <c r="O37" s="1310"/>
      <c r="P37" s="1310"/>
      <c r="Q37" s="1309" t="s">
        <v>1563</v>
      </c>
      <c r="R37" s="1310"/>
      <c r="S37" s="1310"/>
      <c r="T37" s="1310"/>
      <c r="U37" s="1310"/>
      <c r="V37" s="1309" t="s">
        <v>1563</v>
      </c>
      <c r="W37" s="1310"/>
      <c r="X37" s="1310"/>
      <c r="Y37" s="1310"/>
      <c r="Z37" s="1310"/>
      <c r="AA37" s="1309" t="s">
        <v>1563</v>
      </c>
      <c r="AB37" s="1310"/>
      <c r="AC37" s="1310"/>
      <c r="AD37" s="1310"/>
      <c r="AE37" s="1310"/>
      <c r="AF37" s="1309" t="s">
        <v>1563</v>
      </c>
      <c r="AG37" s="1310"/>
      <c r="AH37" s="1310"/>
      <c r="AI37" s="1310"/>
      <c r="AJ37" s="1310"/>
      <c r="AK37" s="1310"/>
      <c r="AL37" s="899"/>
      <c r="AM37" s="899"/>
      <c r="AN37" s="899"/>
      <c r="AO37" s="899"/>
    </row>
    <row r="38">
      <c r="A38" s="1286" t="s">
        <v>1570</v>
      </c>
      <c r="G38" s="899"/>
      <c r="H38" s="899"/>
      <c r="I38" s="899"/>
      <c r="J38" s="899"/>
      <c r="K38" s="899"/>
      <c r="L38" s="899"/>
      <c r="M38" s="899"/>
      <c r="N38" s="899"/>
      <c r="O38" s="899"/>
      <c r="P38" s="899"/>
      <c r="Q38" s="899"/>
      <c r="R38" s="899"/>
      <c r="S38" s="899"/>
      <c r="T38" s="899"/>
      <c r="U38" s="899"/>
      <c r="V38" s="899"/>
      <c r="W38" s="899"/>
      <c r="X38" s="899"/>
      <c r="Y38" s="899"/>
      <c r="Z38" s="899"/>
      <c r="AA38" s="899"/>
      <c r="AB38" s="899"/>
      <c r="AC38" s="899"/>
      <c r="AD38" s="899"/>
      <c r="AE38" s="899"/>
      <c r="AF38" s="899"/>
      <c r="AG38" s="899"/>
      <c r="AH38" s="899"/>
      <c r="AI38" s="899"/>
      <c r="AJ38" s="899"/>
      <c r="AK38" s="899"/>
      <c r="AL38" s="899"/>
      <c r="AM38" s="899"/>
      <c r="AN38" s="899"/>
      <c r="AO38" s="899"/>
    </row>
    <row r="39">
      <c r="A39" s="1320" t="s">
        <v>1571</v>
      </c>
      <c r="B39" s="1293" t="s">
        <v>1552</v>
      </c>
      <c r="G39" s="899"/>
      <c r="H39" s="899"/>
      <c r="I39" s="899"/>
      <c r="J39" s="899"/>
      <c r="K39" s="899"/>
      <c r="L39" s="899"/>
      <c r="M39" s="899"/>
      <c r="N39" s="899"/>
      <c r="O39" s="899"/>
      <c r="P39" s="899"/>
      <c r="Q39" s="899"/>
      <c r="R39" s="899"/>
      <c r="S39" s="899"/>
      <c r="T39" s="899"/>
      <c r="U39" s="899"/>
      <c r="V39" s="899"/>
      <c r="W39" s="899"/>
      <c r="X39" s="899"/>
      <c r="Y39" s="899"/>
      <c r="Z39" s="899"/>
      <c r="AA39" s="899"/>
      <c r="AB39" s="899"/>
      <c r="AC39" s="899"/>
      <c r="AD39" s="899"/>
      <c r="AE39" s="899"/>
      <c r="AF39" s="899"/>
      <c r="AG39" s="899"/>
      <c r="AH39" s="899"/>
      <c r="AI39" s="899"/>
      <c r="AJ39" s="899"/>
      <c r="AK39" s="899"/>
      <c r="AL39" s="899"/>
      <c r="AM39" s="899"/>
      <c r="AN39" s="899"/>
      <c r="AO39" s="899"/>
    </row>
    <row r="40">
      <c r="B40" s="1295" t="s">
        <v>1553</v>
      </c>
      <c r="G40" s="899"/>
      <c r="H40" s="899"/>
      <c r="I40" s="899"/>
      <c r="J40" s="899"/>
      <c r="K40" s="899"/>
      <c r="L40" s="899"/>
      <c r="M40" s="899"/>
      <c r="N40" s="899"/>
      <c r="O40" s="899"/>
      <c r="P40" s="899"/>
      <c r="Q40" s="899"/>
      <c r="R40" s="899"/>
      <c r="S40" s="899"/>
      <c r="T40" s="899"/>
      <c r="U40" s="899"/>
      <c r="V40" s="899"/>
      <c r="W40" s="899"/>
      <c r="X40" s="899"/>
      <c r="Y40" s="899"/>
      <c r="Z40" s="899"/>
      <c r="AA40" s="899"/>
      <c r="AB40" s="899"/>
      <c r="AC40" s="899"/>
      <c r="AD40" s="899"/>
      <c r="AE40" s="899"/>
      <c r="AF40" s="899"/>
      <c r="AG40" s="899"/>
      <c r="AH40" s="899"/>
      <c r="AI40" s="899"/>
      <c r="AJ40" s="899"/>
      <c r="AK40" s="899"/>
      <c r="AL40" s="899"/>
      <c r="AM40" s="899"/>
      <c r="AN40" s="899"/>
      <c r="AO40" s="899"/>
    </row>
    <row r="41">
      <c r="B41" s="1295" t="s">
        <v>1555</v>
      </c>
      <c r="G41" s="899"/>
      <c r="H41" s="899"/>
      <c r="I41" s="899"/>
      <c r="J41" s="899"/>
      <c r="K41" s="899"/>
      <c r="L41" s="899"/>
      <c r="M41" s="899"/>
      <c r="N41" s="899"/>
      <c r="O41" s="899"/>
      <c r="P41" s="899"/>
      <c r="Q41" s="899"/>
      <c r="R41" s="899"/>
      <c r="S41" s="899"/>
      <c r="T41" s="899"/>
      <c r="U41" s="899"/>
      <c r="V41" s="899"/>
      <c r="W41" s="899"/>
      <c r="X41" s="899"/>
      <c r="Y41" s="899"/>
      <c r="Z41" s="899"/>
      <c r="AA41" s="899"/>
      <c r="AB41" s="899"/>
      <c r="AC41" s="899"/>
      <c r="AD41" s="899"/>
      <c r="AE41" s="899"/>
      <c r="AF41" s="899"/>
      <c r="AG41" s="899"/>
      <c r="AH41" s="899"/>
      <c r="AI41" s="899"/>
      <c r="AJ41" s="899"/>
      <c r="AK41" s="899"/>
      <c r="AL41" s="899"/>
      <c r="AM41" s="899"/>
      <c r="AN41" s="899"/>
      <c r="AO41" s="899"/>
    </row>
    <row r="42">
      <c r="B42" s="1295" t="s">
        <v>1556</v>
      </c>
      <c r="G42" s="899"/>
      <c r="H42" s="899"/>
      <c r="I42" s="899"/>
      <c r="J42" s="899"/>
      <c r="K42" s="899"/>
      <c r="L42" s="899"/>
      <c r="M42" s="899"/>
      <c r="N42" s="899"/>
      <c r="O42" s="899"/>
      <c r="P42" s="899"/>
      <c r="Q42" s="899"/>
      <c r="R42" s="899"/>
      <c r="S42" s="899"/>
      <c r="T42" s="899"/>
      <c r="U42" s="899"/>
      <c r="V42" s="899"/>
      <c r="W42" s="899"/>
      <c r="X42" s="899"/>
      <c r="Y42" s="899"/>
      <c r="Z42" s="899"/>
      <c r="AA42" s="899"/>
      <c r="AB42" s="899"/>
      <c r="AC42" s="899"/>
      <c r="AD42" s="899"/>
      <c r="AE42" s="899"/>
      <c r="AF42" s="899"/>
      <c r="AG42" s="899"/>
      <c r="AH42" s="899"/>
      <c r="AI42" s="899"/>
      <c r="AJ42" s="899"/>
      <c r="AK42" s="899"/>
      <c r="AL42" s="899"/>
      <c r="AM42" s="899"/>
      <c r="AN42" s="899"/>
      <c r="AO42" s="899"/>
    </row>
    <row r="43">
      <c r="B43" s="1305" t="s">
        <v>1557</v>
      </c>
      <c r="G43" s="899"/>
      <c r="H43" s="899"/>
      <c r="I43" s="899"/>
      <c r="J43" s="899"/>
      <c r="K43" s="899"/>
      <c r="L43" s="899"/>
      <c r="M43" s="899"/>
      <c r="N43" s="899"/>
      <c r="O43" s="899"/>
      <c r="P43" s="899"/>
      <c r="Q43" s="899"/>
      <c r="R43" s="899"/>
      <c r="S43" s="899"/>
      <c r="T43" s="899"/>
      <c r="U43" s="899"/>
      <c r="V43" s="899"/>
      <c r="W43" s="899"/>
      <c r="X43" s="899"/>
      <c r="Y43" s="899"/>
      <c r="Z43" s="899"/>
      <c r="AA43" s="899"/>
      <c r="AB43" s="899"/>
      <c r="AC43" s="899"/>
      <c r="AD43" s="899"/>
      <c r="AE43" s="899"/>
      <c r="AF43" s="899"/>
      <c r="AG43" s="899"/>
      <c r="AH43" s="899"/>
      <c r="AI43" s="899"/>
      <c r="AJ43" s="899"/>
      <c r="AK43" s="899"/>
      <c r="AL43" s="899"/>
      <c r="AM43" s="899"/>
      <c r="AN43" s="899"/>
      <c r="AO43" s="899"/>
    </row>
    <row r="44">
      <c r="B44" s="1305" t="s">
        <v>1559</v>
      </c>
      <c r="G44" s="899"/>
      <c r="H44" s="899"/>
      <c r="I44" s="899"/>
      <c r="J44" s="899"/>
      <c r="K44" s="899"/>
      <c r="L44" s="899"/>
      <c r="M44" s="899"/>
      <c r="N44" s="899"/>
      <c r="O44" s="899"/>
      <c r="P44" s="899"/>
      <c r="Q44" s="899"/>
      <c r="R44" s="899"/>
      <c r="S44" s="899"/>
      <c r="T44" s="899"/>
      <c r="U44" s="899"/>
      <c r="V44" s="899"/>
      <c r="W44" s="899"/>
      <c r="X44" s="899"/>
      <c r="Y44" s="899"/>
      <c r="Z44" s="899"/>
      <c r="AA44" s="899"/>
      <c r="AB44" s="899"/>
      <c r="AC44" s="899"/>
      <c r="AD44" s="899"/>
      <c r="AE44" s="899"/>
      <c r="AF44" s="899"/>
      <c r="AG44" s="899"/>
      <c r="AH44" s="899"/>
      <c r="AI44" s="899"/>
      <c r="AJ44" s="899"/>
      <c r="AK44" s="899"/>
      <c r="AL44" s="899"/>
      <c r="AM44" s="899"/>
      <c r="AN44" s="899"/>
      <c r="AO44" s="899"/>
    </row>
    <row r="45">
      <c r="B45" s="1295" t="s">
        <v>1560</v>
      </c>
      <c r="G45" s="899"/>
      <c r="H45" s="899"/>
      <c r="I45" s="899"/>
      <c r="J45" s="899"/>
      <c r="K45" s="899"/>
      <c r="L45" s="899"/>
      <c r="M45" s="899"/>
      <c r="N45" s="899"/>
      <c r="O45" s="899"/>
      <c r="P45" s="899"/>
      <c r="Q45" s="899"/>
      <c r="R45" s="899"/>
      <c r="S45" s="899"/>
      <c r="T45" s="899"/>
      <c r="U45" s="899"/>
      <c r="V45" s="899"/>
      <c r="W45" s="899"/>
      <c r="X45" s="899"/>
      <c r="Y45" s="899"/>
      <c r="Z45" s="899"/>
      <c r="AA45" s="899"/>
      <c r="AB45" s="899"/>
      <c r="AC45" s="899"/>
      <c r="AD45" s="899"/>
      <c r="AE45" s="899"/>
      <c r="AF45" s="899"/>
      <c r="AG45" s="899"/>
      <c r="AH45" s="899"/>
      <c r="AI45" s="899"/>
      <c r="AJ45" s="899"/>
      <c r="AK45" s="899"/>
      <c r="AL45" s="899"/>
      <c r="AM45" s="899"/>
      <c r="AN45" s="899"/>
      <c r="AO45" s="899"/>
    </row>
    <row r="46">
      <c r="B46" s="1295" t="s">
        <v>1561</v>
      </c>
      <c r="G46" s="899"/>
      <c r="H46" s="899"/>
      <c r="I46" s="899"/>
      <c r="J46" s="899"/>
      <c r="K46" s="899"/>
      <c r="L46" s="899"/>
      <c r="M46" s="899"/>
      <c r="N46" s="899"/>
      <c r="O46" s="899"/>
      <c r="P46" s="899"/>
      <c r="Q46" s="899"/>
      <c r="R46" s="899"/>
      <c r="S46" s="899"/>
      <c r="T46" s="899"/>
      <c r="U46" s="899"/>
      <c r="V46" s="899"/>
      <c r="W46" s="899"/>
      <c r="X46" s="899"/>
      <c r="Y46" s="899"/>
      <c r="Z46" s="899"/>
      <c r="AA46" s="899"/>
      <c r="AB46" s="899"/>
      <c r="AC46" s="899"/>
      <c r="AD46" s="899"/>
      <c r="AE46" s="899"/>
      <c r="AF46" s="899"/>
      <c r="AG46" s="899"/>
      <c r="AH46" s="899"/>
      <c r="AI46" s="899"/>
      <c r="AJ46" s="899"/>
      <c r="AK46" s="899"/>
      <c r="AL46" s="899"/>
      <c r="AM46" s="899"/>
      <c r="AN46" s="899"/>
      <c r="AO46" s="899"/>
    </row>
    <row r="47">
      <c r="B47" s="1295" t="s">
        <v>1562</v>
      </c>
      <c r="G47" s="899"/>
      <c r="H47" s="899"/>
      <c r="I47" s="899"/>
      <c r="J47" s="899"/>
      <c r="K47" s="899"/>
      <c r="L47" s="899"/>
      <c r="M47" s="899"/>
      <c r="N47" s="899"/>
      <c r="O47" s="899"/>
      <c r="P47" s="899"/>
      <c r="Q47" s="899"/>
      <c r="R47" s="899"/>
      <c r="S47" s="899"/>
      <c r="T47" s="899"/>
      <c r="U47" s="899"/>
      <c r="V47" s="899"/>
      <c r="W47" s="899"/>
      <c r="X47" s="899"/>
      <c r="Y47" s="899"/>
      <c r="Z47" s="899"/>
      <c r="AA47" s="899"/>
      <c r="AB47" s="899"/>
      <c r="AC47" s="899"/>
      <c r="AD47" s="899"/>
      <c r="AE47" s="899"/>
      <c r="AF47" s="899"/>
      <c r="AG47" s="899"/>
      <c r="AH47" s="899"/>
      <c r="AI47" s="899"/>
      <c r="AJ47" s="899"/>
      <c r="AK47" s="899"/>
      <c r="AL47" s="899"/>
      <c r="AM47" s="899"/>
      <c r="AN47" s="899"/>
      <c r="AO47" s="899"/>
    </row>
    <row r="48">
      <c r="A48" s="1292" t="s">
        <v>1572</v>
      </c>
      <c r="B48" s="1293" t="s">
        <v>1552</v>
      </c>
      <c r="G48" s="899"/>
      <c r="H48" s="899"/>
      <c r="I48" s="899"/>
      <c r="J48" s="899"/>
      <c r="K48" s="899"/>
      <c r="L48" s="899"/>
      <c r="M48" s="899"/>
      <c r="N48" s="899"/>
      <c r="O48" s="899"/>
      <c r="P48" s="899"/>
      <c r="Q48" s="899"/>
      <c r="R48" s="899"/>
      <c r="S48" s="899"/>
      <c r="T48" s="899"/>
      <c r="U48" s="899"/>
      <c r="V48" s="899"/>
      <c r="W48" s="899"/>
      <c r="X48" s="899"/>
      <c r="Y48" s="899"/>
      <c r="Z48" s="899"/>
      <c r="AA48" s="899"/>
      <c r="AB48" s="899"/>
      <c r="AC48" s="899"/>
      <c r="AD48" s="899"/>
      <c r="AE48" s="899"/>
      <c r="AF48" s="899"/>
      <c r="AG48" s="899"/>
      <c r="AH48" s="899"/>
      <c r="AI48" s="899"/>
      <c r="AJ48" s="899"/>
      <c r="AK48" s="899"/>
      <c r="AL48" s="899"/>
      <c r="AM48" s="899"/>
      <c r="AN48" s="899"/>
      <c r="AO48" s="899"/>
    </row>
    <row r="49">
      <c r="B49" s="1295" t="s">
        <v>1553</v>
      </c>
      <c r="G49" s="899"/>
      <c r="H49" s="899"/>
      <c r="I49" s="899"/>
      <c r="J49" s="899"/>
      <c r="K49" s="899"/>
      <c r="L49" s="899"/>
      <c r="M49" s="899"/>
      <c r="N49" s="899"/>
      <c r="O49" s="899"/>
      <c r="P49" s="899"/>
      <c r="Q49" s="899"/>
      <c r="R49" s="899"/>
      <c r="S49" s="899"/>
      <c r="T49" s="899"/>
      <c r="U49" s="899"/>
      <c r="V49" s="899"/>
      <c r="W49" s="899"/>
      <c r="X49" s="899"/>
      <c r="Y49" s="899"/>
      <c r="Z49" s="899"/>
      <c r="AA49" s="899"/>
      <c r="AB49" s="899"/>
      <c r="AC49" s="899"/>
      <c r="AD49" s="899"/>
      <c r="AE49" s="899"/>
      <c r="AF49" s="899"/>
      <c r="AG49" s="899"/>
      <c r="AH49" s="899"/>
      <c r="AI49" s="899"/>
      <c r="AJ49" s="899"/>
      <c r="AK49" s="899"/>
      <c r="AL49" s="899"/>
      <c r="AM49" s="899"/>
      <c r="AN49" s="899"/>
      <c r="AO49" s="899"/>
    </row>
    <row r="50">
      <c r="B50" s="1295" t="s">
        <v>1555</v>
      </c>
      <c r="G50" s="899"/>
      <c r="H50" s="899"/>
      <c r="I50" s="899"/>
      <c r="J50" s="899"/>
      <c r="K50" s="899"/>
      <c r="L50" s="899"/>
      <c r="M50" s="899"/>
      <c r="N50" s="899"/>
      <c r="O50" s="899"/>
      <c r="P50" s="899"/>
      <c r="Q50" s="899"/>
      <c r="R50" s="899"/>
      <c r="S50" s="899"/>
      <c r="T50" s="899"/>
      <c r="U50" s="899"/>
      <c r="V50" s="899"/>
      <c r="W50" s="899"/>
      <c r="X50" s="899"/>
      <c r="Y50" s="899"/>
      <c r="Z50" s="899"/>
      <c r="AA50" s="899"/>
      <c r="AB50" s="899"/>
      <c r="AC50" s="899"/>
      <c r="AD50" s="899"/>
      <c r="AE50" s="899"/>
      <c r="AF50" s="899"/>
      <c r="AG50" s="899"/>
      <c r="AH50" s="899"/>
      <c r="AI50" s="899"/>
      <c r="AJ50" s="899"/>
      <c r="AK50" s="899"/>
      <c r="AL50" s="899"/>
      <c r="AM50" s="899"/>
      <c r="AN50" s="899"/>
      <c r="AO50" s="899"/>
    </row>
    <row r="51">
      <c r="B51" s="1295" t="s">
        <v>1556</v>
      </c>
      <c r="G51" s="899"/>
      <c r="H51" s="899"/>
      <c r="I51" s="899"/>
      <c r="J51" s="899"/>
      <c r="K51" s="899"/>
      <c r="L51" s="899"/>
      <c r="M51" s="899"/>
      <c r="N51" s="899"/>
      <c r="O51" s="899"/>
      <c r="P51" s="899"/>
      <c r="Q51" s="899"/>
      <c r="R51" s="899"/>
      <c r="S51" s="899"/>
      <c r="T51" s="899"/>
      <c r="U51" s="899"/>
      <c r="V51" s="899"/>
      <c r="W51" s="899"/>
      <c r="X51" s="899"/>
      <c r="Y51" s="899"/>
      <c r="Z51" s="899"/>
      <c r="AA51" s="899"/>
      <c r="AB51" s="899"/>
      <c r="AC51" s="899"/>
      <c r="AD51" s="899"/>
      <c r="AE51" s="899"/>
      <c r="AF51" s="899"/>
      <c r="AG51" s="899"/>
      <c r="AH51" s="899"/>
      <c r="AI51" s="899"/>
      <c r="AJ51" s="899"/>
      <c r="AK51" s="899"/>
      <c r="AL51" s="899"/>
      <c r="AM51" s="899"/>
      <c r="AN51" s="899"/>
      <c r="AO51" s="899"/>
    </row>
    <row r="52">
      <c r="B52" s="1305" t="s">
        <v>1557</v>
      </c>
      <c r="G52" s="899"/>
      <c r="H52" s="899"/>
      <c r="I52" s="899"/>
      <c r="J52" s="899"/>
      <c r="K52" s="899"/>
      <c r="L52" s="899"/>
      <c r="M52" s="899"/>
      <c r="N52" s="899"/>
      <c r="O52" s="899"/>
      <c r="P52" s="899"/>
      <c r="Q52" s="899"/>
      <c r="R52" s="899"/>
      <c r="S52" s="899"/>
      <c r="T52" s="899"/>
      <c r="U52" s="899"/>
      <c r="V52" s="899"/>
      <c r="W52" s="899"/>
      <c r="X52" s="899"/>
      <c r="Y52" s="899"/>
      <c r="Z52" s="899"/>
      <c r="AA52" s="899"/>
      <c r="AB52" s="899"/>
      <c r="AC52" s="899"/>
      <c r="AD52" s="899"/>
      <c r="AE52" s="899"/>
      <c r="AF52" s="899"/>
      <c r="AG52" s="899"/>
      <c r="AH52" s="899"/>
      <c r="AI52" s="899"/>
      <c r="AJ52" s="899"/>
      <c r="AK52" s="899"/>
      <c r="AL52" s="899"/>
      <c r="AM52" s="899"/>
      <c r="AN52" s="899"/>
      <c r="AO52" s="899"/>
    </row>
    <row r="53">
      <c r="B53" s="1305" t="s">
        <v>1559</v>
      </c>
      <c r="G53" s="899"/>
      <c r="H53" s="899"/>
      <c r="I53" s="899"/>
      <c r="J53" s="899"/>
      <c r="K53" s="899"/>
      <c r="L53" s="899"/>
      <c r="M53" s="899"/>
      <c r="N53" s="899"/>
      <c r="O53" s="899"/>
      <c r="P53" s="899"/>
      <c r="Q53" s="899"/>
      <c r="R53" s="899"/>
      <c r="S53" s="899"/>
      <c r="T53" s="899"/>
      <c r="U53" s="899"/>
      <c r="V53" s="899"/>
      <c r="W53" s="899"/>
      <c r="X53" s="899"/>
      <c r="Y53" s="899"/>
      <c r="Z53" s="899"/>
      <c r="AA53" s="899"/>
      <c r="AB53" s="899"/>
      <c r="AC53" s="899"/>
      <c r="AD53" s="899"/>
      <c r="AE53" s="899"/>
      <c r="AF53" s="899"/>
      <c r="AG53" s="899"/>
      <c r="AH53" s="899"/>
      <c r="AI53" s="899"/>
      <c r="AJ53" s="899"/>
      <c r="AK53" s="899"/>
      <c r="AL53" s="899"/>
      <c r="AM53" s="899"/>
      <c r="AN53" s="899"/>
      <c r="AO53" s="899"/>
    </row>
    <row r="54">
      <c r="B54" s="1295" t="s">
        <v>1560</v>
      </c>
      <c r="G54" s="899"/>
      <c r="H54" s="899"/>
      <c r="I54" s="899"/>
      <c r="J54" s="899"/>
      <c r="K54" s="899"/>
      <c r="L54" s="899"/>
      <c r="M54" s="899"/>
      <c r="N54" s="899"/>
      <c r="O54" s="899"/>
      <c r="P54" s="899"/>
      <c r="Q54" s="899"/>
      <c r="R54" s="899"/>
      <c r="S54" s="899"/>
      <c r="T54" s="899"/>
      <c r="U54" s="899"/>
      <c r="V54" s="899"/>
      <c r="W54" s="899"/>
      <c r="X54" s="899"/>
      <c r="Y54" s="899"/>
      <c r="Z54" s="899"/>
      <c r="AA54" s="899"/>
      <c r="AB54" s="899"/>
      <c r="AC54" s="899"/>
      <c r="AD54" s="899"/>
      <c r="AE54" s="899"/>
      <c r="AF54" s="899"/>
      <c r="AG54" s="899"/>
      <c r="AH54" s="899"/>
      <c r="AI54" s="899"/>
      <c r="AJ54" s="899"/>
      <c r="AK54" s="899"/>
      <c r="AL54" s="899"/>
      <c r="AM54" s="899"/>
      <c r="AN54" s="899"/>
      <c r="AO54" s="899"/>
    </row>
    <row r="55">
      <c r="B55" s="1295" t="s">
        <v>1561</v>
      </c>
      <c r="G55" s="899"/>
      <c r="H55" s="899"/>
      <c r="I55" s="899"/>
      <c r="J55" s="899"/>
      <c r="K55" s="899"/>
      <c r="L55" s="899"/>
      <c r="M55" s="899"/>
      <c r="N55" s="899"/>
      <c r="O55" s="899"/>
      <c r="P55" s="899"/>
      <c r="Q55" s="899"/>
      <c r="R55" s="899"/>
      <c r="S55" s="899"/>
      <c r="T55" s="899"/>
      <c r="U55" s="899"/>
      <c r="V55" s="899"/>
      <c r="W55" s="899"/>
      <c r="X55" s="899"/>
      <c r="Y55" s="899"/>
      <c r="Z55" s="899"/>
      <c r="AA55" s="899"/>
      <c r="AB55" s="899"/>
      <c r="AC55" s="899"/>
      <c r="AD55" s="899"/>
      <c r="AE55" s="899"/>
      <c r="AF55" s="899"/>
      <c r="AG55" s="899"/>
      <c r="AH55" s="899"/>
      <c r="AI55" s="899"/>
      <c r="AJ55" s="899"/>
      <c r="AK55" s="899"/>
      <c r="AL55" s="899"/>
      <c r="AM55" s="899"/>
      <c r="AN55" s="899"/>
      <c r="AO55" s="899"/>
    </row>
    <row r="56">
      <c r="B56" s="1295" t="s">
        <v>1562</v>
      </c>
      <c r="G56" s="899"/>
      <c r="H56" s="899"/>
      <c r="I56" s="899"/>
      <c r="J56" s="899"/>
      <c r="K56" s="899"/>
      <c r="L56" s="899"/>
      <c r="M56" s="899"/>
      <c r="N56" s="899"/>
      <c r="O56" s="899"/>
      <c r="P56" s="899"/>
      <c r="Q56" s="899"/>
      <c r="R56" s="899"/>
      <c r="S56" s="899"/>
      <c r="T56" s="899"/>
      <c r="U56" s="899"/>
      <c r="V56" s="899"/>
      <c r="W56" s="899"/>
      <c r="X56" s="899"/>
      <c r="Y56" s="899"/>
      <c r="Z56" s="899"/>
      <c r="AA56" s="899"/>
      <c r="AB56" s="899"/>
      <c r="AC56" s="899"/>
      <c r="AD56" s="899"/>
      <c r="AE56" s="899"/>
      <c r="AF56" s="899"/>
      <c r="AG56" s="899"/>
      <c r="AH56" s="899"/>
      <c r="AI56" s="899"/>
      <c r="AJ56" s="899"/>
      <c r="AK56" s="899"/>
      <c r="AL56" s="899"/>
      <c r="AM56" s="899"/>
      <c r="AN56" s="899"/>
      <c r="AO56" s="899"/>
    </row>
    <row r="57">
      <c r="A57" s="1292" t="s">
        <v>1573</v>
      </c>
      <c r="B57" s="1293" t="s">
        <v>1552</v>
      </c>
      <c r="G57" s="899"/>
      <c r="H57" s="899"/>
      <c r="I57" s="899"/>
      <c r="J57" s="899"/>
      <c r="K57" s="899"/>
      <c r="L57" s="899"/>
      <c r="M57" s="899"/>
      <c r="N57" s="899"/>
      <c r="O57" s="899"/>
      <c r="P57" s="899"/>
      <c r="Q57" s="899"/>
      <c r="R57" s="899"/>
      <c r="S57" s="899"/>
      <c r="T57" s="899"/>
      <c r="U57" s="899"/>
      <c r="V57" s="899"/>
      <c r="W57" s="899"/>
      <c r="X57" s="899"/>
      <c r="Y57" s="899"/>
      <c r="Z57" s="899"/>
      <c r="AA57" s="899"/>
      <c r="AB57" s="899"/>
      <c r="AC57" s="899"/>
      <c r="AD57" s="899"/>
      <c r="AE57" s="899"/>
      <c r="AF57" s="899"/>
      <c r="AG57" s="899"/>
      <c r="AH57" s="899"/>
      <c r="AI57" s="899"/>
      <c r="AJ57" s="899"/>
      <c r="AK57" s="899"/>
      <c r="AL57" s="899"/>
      <c r="AM57" s="899"/>
      <c r="AN57" s="899"/>
      <c r="AO57" s="899"/>
    </row>
    <row r="58">
      <c r="B58" s="1295" t="s">
        <v>1553</v>
      </c>
      <c r="G58" s="899"/>
      <c r="H58" s="899"/>
      <c r="I58" s="899"/>
      <c r="J58" s="899"/>
      <c r="K58" s="899"/>
      <c r="L58" s="899"/>
      <c r="M58" s="899"/>
      <c r="N58" s="899"/>
      <c r="O58" s="899"/>
      <c r="P58" s="899"/>
      <c r="Q58" s="899"/>
      <c r="R58" s="899"/>
      <c r="S58" s="899"/>
      <c r="T58" s="899"/>
      <c r="U58" s="899"/>
      <c r="V58" s="899"/>
      <c r="W58" s="899"/>
      <c r="X58" s="899"/>
      <c r="Y58" s="899"/>
      <c r="Z58" s="899"/>
      <c r="AA58" s="899"/>
      <c r="AB58" s="899"/>
      <c r="AC58" s="899"/>
      <c r="AD58" s="899"/>
      <c r="AE58" s="899"/>
      <c r="AF58" s="899"/>
      <c r="AG58" s="899"/>
      <c r="AH58" s="899"/>
      <c r="AI58" s="899"/>
      <c r="AJ58" s="899"/>
      <c r="AK58" s="899"/>
      <c r="AL58" s="899"/>
      <c r="AM58" s="899"/>
      <c r="AN58" s="899"/>
      <c r="AO58" s="899"/>
    </row>
    <row r="59">
      <c r="B59" s="1295" t="s">
        <v>1555</v>
      </c>
      <c r="G59" s="899"/>
      <c r="H59" s="899"/>
      <c r="I59" s="899"/>
      <c r="J59" s="899"/>
      <c r="K59" s="899"/>
      <c r="L59" s="899"/>
      <c r="M59" s="899"/>
      <c r="N59" s="899"/>
      <c r="O59" s="899"/>
      <c r="P59" s="899"/>
      <c r="Q59" s="899"/>
      <c r="R59" s="899"/>
      <c r="S59" s="899"/>
      <c r="T59" s="899"/>
      <c r="U59" s="899"/>
      <c r="V59" s="899"/>
      <c r="W59" s="899"/>
      <c r="X59" s="899"/>
      <c r="Y59" s="899"/>
      <c r="Z59" s="899"/>
      <c r="AA59" s="899"/>
      <c r="AB59" s="899"/>
      <c r="AC59" s="899"/>
      <c r="AD59" s="899"/>
      <c r="AE59" s="899"/>
      <c r="AF59" s="899"/>
      <c r="AG59" s="899"/>
      <c r="AH59" s="899"/>
      <c r="AI59" s="899"/>
      <c r="AJ59" s="899"/>
      <c r="AK59" s="899"/>
      <c r="AL59" s="899"/>
      <c r="AM59" s="899"/>
      <c r="AN59" s="899"/>
      <c r="AO59" s="899"/>
    </row>
    <row r="60">
      <c r="B60" s="1295" t="s">
        <v>1556</v>
      </c>
      <c r="G60" s="899"/>
      <c r="H60" s="899"/>
      <c r="I60" s="899"/>
      <c r="J60" s="899"/>
      <c r="K60" s="899"/>
      <c r="L60" s="899"/>
      <c r="M60" s="899"/>
      <c r="N60" s="899"/>
      <c r="O60" s="899"/>
      <c r="P60" s="899"/>
      <c r="Q60" s="899"/>
      <c r="R60" s="899"/>
      <c r="S60" s="899"/>
      <c r="T60" s="899"/>
      <c r="U60" s="899"/>
      <c r="V60" s="899"/>
      <c r="W60" s="899"/>
      <c r="X60" s="899"/>
      <c r="Y60" s="899"/>
      <c r="Z60" s="899"/>
      <c r="AA60" s="899"/>
      <c r="AB60" s="899"/>
      <c r="AC60" s="899"/>
      <c r="AD60" s="899"/>
      <c r="AE60" s="899"/>
      <c r="AF60" s="899"/>
      <c r="AG60" s="899"/>
      <c r="AH60" s="899"/>
      <c r="AI60" s="899"/>
      <c r="AJ60" s="899"/>
      <c r="AK60" s="899"/>
      <c r="AL60" s="899"/>
      <c r="AM60" s="899"/>
      <c r="AN60" s="899"/>
      <c r="AO60" s="899"/>
    </row>
    <row r="61">
      <c r="B61" s="1305" t="s">
        <v>1557</v>
      </c>
      <c r="G61" s="899"/>
      <c r="H61" s="899"/>
      <c r="I61" s="899"/>
      <c r="J61" s="899"/>
      <c r="K61" s="899"/>
      <c r="L61" s="899"/>
      <c r="M61" s="899"/>
      <c r="N61" s="899"/>
      <c r="O61" s="899"/>
      <c r="P61" s="899"/>
      <c r="Q61" s="899"/>
      <c r="R61" s="899"/>
      <c r="S61" s="899"/>
      <c r="T61" s="899"/>
      <c r="U61" s="899"/>
      <c r="V61" s="899"/>
      <c r="W61" s="899"/>
      <c r="X61" s="899"/>
      <c r="Y61" s="899"/>
      <c r="Z61" s="899"/>
      <c r="AA61" s="899"/>
      <c r="AB61" s="899"/>
      <c r="AC61" s="899"/>
      <c r="AD61" s="899"/>
      <c r="AE61" s="899"/>
      <c r="AF61" s="899"/>
      <c r="AG61" s="899"/>
      <c r="AH61" s="899"/>
      <c r="AI61" s="899"/>
      <c r="AJ61" s="899"/>
      <c r="AK61" s="899"/>
      <c r="AL61" s="899"/>
      <c r="AM61" s="899"/>
      <c r="AN61" s="899"/>
      <c r="AO61" s="899"/>
    </row>
    <row r="62">
      <c r="B62" s="1305" t="s">
        <v>1559</v>
      </c>
      <c r="G62" s="899"/>
      <c r="H62" s="899"/>
      <c r="I62" s="899"/>
      <c r="J62" s="899"/>
      <c r="K62" s="899"/>
      <c r="L62" s="899"/>
      <c r="M62" s="899"/>
      <c r="N62" s="899"/>
      <c r="O62" s="899"/>
      <c r="P62" s="899"/>
      <c r="Q62" s="899"/>
      <c r="R62" s="899"/>
      <c r="S62" s="899"/>
      <c r="T62" s="899"/>
      <c r="U62" s="899"/>
      <c r="V62" s="899"/>
      <c r="W62" s="899"/>
      <c r="X62" s="899"/>
      <c r="Y62" s="899"/>
      <c r="Z62" s="899"/>
      <c r="AA62" s="899"/>
      <c r="AB62" s="899"/>
      <c r="AC62" s="899"/>
      <c r="AD62" s="899"/>
      <c r="AE62" s="899"/>
      <c r="AF62" s="899"/>
      <c r="AG62" s="899"/>
      <c r="AH62" s="899"/>
      <c r="AI62" s="899"/>
      <c r="AJ62" s="899"/>
      <c r="AK62" s="899"/>
      <c r="AL62" s="899"/>
      <c r="AM62" s="899"/>
      <c r="AN62" s="899"/>
      <c r="AO62" s="899"/>
    </row>
    <row r="63">
      <c r="B63" s="1295" t="s">
        <v>1560</v>
      </c>
      <c r="G63" s="899"/>
      <c r="H63" s="899"/>
      <c r="I63" s="899"/>
      <c r="J63" s="899"/>
      <c r="K63" s="899"/>
      <c r="L63" s="899"/>
      <c r="M63" s="899"/>
      <c r="N63" s="899"/>
      <c r="O63" s="899"/>
      <c r="P63" s="899"/>
      <c r="Q63" s="899"/>
      <c r="R63" s="899"/>
      <c r="S63" s="899"/>
      <c r="T63" s="899"/>
      <c r="U63" s="899"/>
      <c r="V63" s="899"/>
      <c r="W63" s="899"/>
      <c r="X63" s="899"/>
      <c r="Y63" s="899"/>
      <c r="Z63" s="899"/>
      <c r="AA63" s="899"/>
      <c r="AB63" s="899"/>
      <c r="AC63" s="899"/>
      <c r="AD63" s="899"/>
      <c r="AE63" s="899"/>
      <c r="AF63" s="899"/>
      <c r="AG63" s="899"/>
      <c r="AH63" s="899"/>
      <c r="AI63" s="899"/>
      <c r="AJ63" s="899"/>
      <c r="AK63" s="899"/>
      <c r="AL63" s="899"/>
      <c r="AM63" s="899"/>
      <c r="AN63" s="899"/>
      <c r="AO63" s="899"/>
    </row>
    <row r="64">
      <c r="B64" s="1295" t="s">
        <v>1561</v>
      </c>
      <c r="G64" s="899"/>
      <c r="H64" s="899"/>
      <c r="I64" s="899"/>
      <c r="J64" s="899"/>
      <c r="K64" s="899"/>
      <c r="L64" s="899"/>
      <c r="M64" s="899"/>
      <c r="N64" s="899"/>
      <c r="O64" s="899"/>
      <c r="P64" s="899"/>
      <c r="Q64" s="899"/>
      <c r="R64" s="899"/>
      <c r="S64" s="899"/>
      <c r="T64" s="899"/>
      <c r="U64" s="899"/>
      <c r="V64" s="899"/>
      <c r="W64" s="899"/>
      <c r="X64" s="899"/>
      <c r="Y64" s="899"/>
      <c r="Z64" s="899"/>
      <c r="AA64" s="899"/>
      <c r="AB64" s="899"/>
      <c r="AC64" s="899"/>
      <c r="AD64" s="899"/>
      <c r="AE64" s="899"/>
      <c r="AF64" s="899"/>
      <c r="AG64" s="899"/>
      <c r="AH64" s="899"/>
      <c r="AI64" s="899"/>
      <c r="AJ64" s="899"/>
      <c r="AK64" s="899"/>
      <c r="AL64" s="899"/>
      <c r="AM64" s="899"/>
      <c r="AN64" s="899"/>
      <c r="AO64" s="899"/>
    </row>
    <row r="65">
      <c r="B65" s="1295" t="s">
        <v>1562</v>
      </c>
      <c r="G65" s="899"/>
      <c r="H65" s="899"/>
      <c r="I65" s="899"/>
      <c r="J65" s="899"/>
      <c r="K65" s="899"/>
      <c r="L65" s="899"/>
      <c r="M65" s="899"/>
      <c r="N65" s="899"/>
      <c r="O65" s="899"/>
      <c r="P65" s="899"/>
      <c r="Q65" s="899"/>
      <c r="R65" s="899"/>
      <c r="S65" s="899"/>
      <c r="T65" s="899"/>
      <c r="U65" s="899"/>
      <c r="V65" s="899"/>
      <c r="W65" s="899"/>
      <c r="X65" s="899"/>
      <c r="Y65" s="899"/>
      <c r="Z65" s="899"/>
      <c r="AA65" s="899"/>
      <c r="AB65" s="899"/>
      <c r="AC65" s="899"/>
      <c r="AD65" s="899"/>
      <c r="AE65" s="899"/>
      <c r="AF65" s="899"/>
      <c r="AG65" s="899"/>
      <c r="AH65" s="899"/>
      <c r="AI65" s="899"/>
      <c r="AJ65" s="899"/>
      <c r="AK65" s="899"/>
      <c r="AL65" s="899"/>
      <c r="AM65" s="899"/>
      <c r="AN65" s="899"/>
      <c r="AO65" s="899"/>
    </row>
    <row r="66">
      <c r="A66" s="1292" t="s">
        <v>1574</v>
      </c>
      <c r="B66" s="1293" t="s">
        <v>1552</v>
      </c>
      <c r="G66" s="899"/>
      <c r="H66" s="899"/>
      <c r="I66" s="899"/>
      <c r="J66" s="899"/>
      <c r="K66" s="899"/>
      <c r="L66" s="899"/>
      <c r="M66" s="899"/>
      <c r="N66" s="899"/>
      <c r="O66" s="899"/>
      <c r="P66" s="899"/>
      <c r="Q66" s="899"/>
      <c r="R66" s="899"/>
      <c r="S66" s="899"/>
      <c r="T66" s="899"/>
      <c r="U66" s="899"/>
      <c r="V66" s="899"/>
      <c r="W66" s="899"/>
      <c r="X66" s="899"/>
      <c r="Y66" s="899"/>
      <c r="Z66" s="899"/>
      <c r="AA66" s="899"/>
      <c r="AB66" s="899"/>
      <c r="AC66" s="899"/>
      <c r="AD66" s="899"/>
      <c r="AE66" s="899"/>
      <c r="AF66" s="899"/>
      <c r="AG66" s="899"/>
      <c r="AH66" s="899"/>
      <c r="AI66" s="899"/>
      <c r="AJ66" s="899"/>
      <c r="AK66" s="899"/>
      <c r="AL66" s="899"/>
      <c r="AM66" s="899"/>
      <c r="AN66" s="899"/>
      <c r="AO66" s="899"/>
    </row>
    <row r="67">
      <c r="B67" s="1295" t="s">
        <v>1553</v>
      </c>
      <c r="G67" s="899"/>
      <c r="H67" s="899"/>
      <c r="I67" s="899"/>
      <c r="J67" s="899"/>
      <c r="K67" s="899"/>
      <c r="L67" s="899"/>
      <c r="M67" s="899"/>
      <c r="N67" s="899"/>
      <c r="O67" s="899"/>
      <c r="P67" s="899"/>
      <c r="Q67" s="899"/>
      <c r="R67" s="899"/>
      <c r="S67" s="899"/>
      <c r="T67" s="899"/>
      <c r="U67" s="899"/>
      <c r="V67" s="899"/>
      <c r="W67" s="899"/>
      <c r="X67" s="899"/>
      <c r="Y67" s="899"/>
      <c r="Z67" s="899"/>
      <c r="AA67" s="899"/>
      <c r="AB67" s="899"/>
      <c r="AC67" s="899"/>
      <c r="AD67" s="899"/>
      <c r="AE67" s="899"/>
      <c r="AF67" s="899"/>
      <c r="AG67" s="899"/>
      <c r="AH67" s="899"/>
      <c r="AI67" s="899"/>
      <c r="AJ67" s="899"/>
      <c r="AK67" s="899"/>
      <c r="AL67" s="899"/>
      <c r="AM67" s="899"/>
      <c r="AN67" s="899"/>
      <c r="AO67" s="899"/>
    </row>
    <row r="68">
      <c r="B68" s="1295" t="s">
        <v>1555</v>
      </c>
      <c r="G68" s="899"/>
      <c r="H68" s="899"/>
      <c r="I68" s="899"/>
      <c r="J68" s="899"/>
      <c r="K68" s="899"/>
      <c r="L68" s="899"/>
      <c r="M68" s="899"/>
      <c r="N68" s="899"/>
      <c r="O68" s="899"/>
      <c r="P68" s="899"/>
      <c r="Q68" s="899"/>
      <c r="R68" s="899"/>
      <c r="S68" s="899"/>
      <c r="T68" s="899"/>
      <c r="U68" s="899"/>
      <c r="V68" s="899"/>
      <c r="W68" s="899"/>
      <c r="X68" s="899"/>
      <c r="Y68" s="899"/>
      <c r="Z68" s="899"/>
      <c r="AA68" s="899"/>
      <c r="AB68" s="899"/>
      <c r="AC68" s="899"/>
      <c r="AD68" s="899"/>
      <c r="AE68" s="899"/>
      <c r="AF68" s="899"/>
      <c r="AG68" s="899"/>
      <c r="AH68" s="899"/>
      <c r="AI68" s="899"/>
      <c r="AJ68" s="899"/>
      <c r="AK68" s="899"/>
      <c r="AL68" s="899"/>
      <c r="AM68" s="899"/>
      <c r="AN68" s="899"/>
      <c r="AO68" s="899"/>
    </row>
    <row r="69">
      <c r="B69" s="1295" t="s">
        <v>1556</v>
      </c>
      <c r="G69" s="899"/>
      <c r="H69" s="899"/>
      <c r="I69" s="899"/>
      <c r="J69" s="899"/>
      <c r="K69" s="899"/>
      <c r="L69" s="899"/>
      <c r="M69" s="899"/>
      <c r="N69" s="899"/>
      <c r="O69" s="899"/>
      <c r="P69" s="899"/>
      <c r="Q69" s="899"/>
      <c r="R69" s="899"/>
      <c r="S69" s="899"/>
      <c r="T69" s="899"/>
      <c r="U69" s="899"/>
      <c r="V69" s="899"/>
      <c r="W69" s="899"/>
      <c r="X69" s="899"/>
      <c r="Y69" s="899"/>
      <c r="Z69" s="899"/>
      <c r="AA69" s="899"/>
      <c r="AB69" s="899"/>
      <c r="AC69" s="899"/>
      <c r="AD69" s="899"/>
      <c r="AE69" s="899"/>
      <c r="AF69" s="899"/>
      <c r="AG69" s="899"/>
      <c r="AH69" s="899"/>
      <c r="AI69" s="899"/>
      <c r="AJ69" s="899"/>
      <c r="AK69" s="899"/>
      <c r="AL69" s="899"/>
      <c r="AM69" s="899"/>
      <c r="AN69" s="899"/>
      <c r="AO69" s="899"/>
    </row>
    <row r="70">
      <c r="B70" s="1305" t="s">
        <v>1557</v>
      </c>
      <c r="G70" s="899"/>
      <c r="H70" s="899"/>
      <c r="I70" s="899"/>
      <c r="J70" s="899"/>
      <c r="K70" s="899"/>
      <c r="L70" s="899"/>
      <c r="M70" s="899"/>
      <c r="N70" s="899"/>
      <c r="O70" s="899"/>
      <c r="P70" s="899"/>
      <c r="Q70" s="899"/>
      <c r="R70" s="899"/>
      <c r="S70" s="899"/>
      <c r="T70" s="899"/>
      <c r="U70" s="899"/>
      <c r="V70" s="899"/>
      <c r="W70" s="899"/>
      <c r="X70" s="899"/>
      <c r="Y70" s="899"/>
      <c r="Z70" s="899"/>
      <c r="AA70" s="899"/>
      <c r="AB70" s="899"/>
      <c r="AC70" s="899"/>
      <c r="AD70" s="899"/>
      <c r="AE70" s="899"/>
      <c r="AF70" s="899"/>
      <c r="AG70" s="899"/>
      <c r="AH70" s="899"/>
      <c r="AI70" s="899"/>
      <c r="AJ70" s="899"/>
      <c r="AK70" s="899"/>
      <c r="AL70" s="899"/>
      <c r="AM70" s="899"/>
      <c r="AN70" s="899"/>
      <c r="AO70" s="899"/>
    </row>
    <row r="71">
      <c r="B71" s="1305" t="s">
        <v>1559</v>
      </c>
      <c r="G71" s="899"/>
      <c r="H71" s="899"/>
      <c r="I71" s="899"/>
      <c r="J71" s="899"/>
      <c r="K71" s="899"/>
      <c r="L71" s="899"/>
      <c r="M71" s="899"/>
      <c r="N71" s="899"/>
      <c r="O71" s="899"/>
      <c r="P71" s="899"/>
      <c r="Q71" s="899"/>
      <c r="R71" s="899"/>
      <c r="S71" s="899"/>
      <c r="T71" s="899"/>
      <c r="U71" s="899"/>
      <c r="V71" s="899"/>
      <c r="W71" s="899"/>
      <c r="X71" s="899"/>
      <c r="Y71" s="899"/>
      <c r="Z71" s="899"/>
      <c r="AA71" s="899"/>
      <c r="AB71" s="899"/>
      <c r="AC71" s="899"/>
      <c r="AD71" s="899"/>
      <c r="AE71" s="899"/>
      <c r="AF71" s="899"/>
      <c r="AG71" s="899"/>
      <c r="AH71" s="899"/>
      <c r="AI71" s="899"/>
      <c r="AJ71" s="899"/>
      <c r="AK71" s="899"/>
      <c r="AL71" s="899"/>
      <c r="AM71" s="899"/>
      <c r="AN71" s="899"/>
      <c r="AO71" s="899"/>
    </row>
    <row r="72">
      <c r="B72" s="1295" t="s">
        <v>1560</v>
      </c>
      <c r="G72" s="899"/>
      <c r="H72" s="899"/>
      <c r="I72" s="899"/>
      <c r="J72" s="899"/>
      <c r="K72" s="899"/>
      <c r="L72" s="899"/>
      <c r="M72" s="899"/>
      <c r="N72" s="899"/>
      <c r="O72" s="899"/>
      <c r="P72" s="899"/>
      <c r="Q72" s="899"/>
      <c r="R72" s="899"/>
      <c r="S72" s="899"/>
      <c r="T72" s="899"/>
      <c r="U72" s="899"/>
      <c r="V72" s="899"/>
      <c r="W72" s="899"/>
      <c r="X72" s="899"/>
      <c r="Y72" s="899"/>
      <c r="Z72" s="899"/>
      <c r="AA72" s="899"/>
      <c r="AB72" s="899"/>
      <c r="AC72" s="899"/>
      <c r="AD72" s="899"/>
      <c r="AE72" s="899"/>
      <c r="AF72" s="899"/>
      <c r="AG72" s="899"/>
      <c r="AH72" s="899"/>
      <c r="AI72" s="899"/>
      <c r="AJ72" s="899"/>
      <c r="AK72" s="899"/>
      <c r="AL72" s="899"/>
      <c r="AM72" s="899"/>
      <c r="AN72" s="899"/>
      <c r="AO72" s="899"/>
    </row>
    <row r="73">
      <c r="B73" s="1295" t="s">
        <v>1561</v>
      </c>
      <c r="G73" s="899"/>
      <c r="H73" s="899"/>
      <c r="I73" s="899"/>
      <c r="J73" s="899"/>
      <c r="K73" s="899"/>
      <c r="L73" s="899"/>
      <c r="M73" s="899"/>
      <c r="N73" s="899"/>
      <c r="O73" s="899"/>
      <c r="P73" s="899"/>
      <c r="Q73" s="899"/>
      <c r="R73" s="899"/>
      <c r="S73" s="899"/>
      <c r="T73" s="899"/>
      <c r="U73" s="899"/>
      <c r="V73" s="899"/>
      <c r="W73" s="899"/>
      <c r="X73" s="899"/>
      <c r="Y73" s="899"/>
      <c r="Z73" s="899"/>
      <c r="AA73" s="899"/>
      <c r="AB73" s="899"/>
      <c r="AC73" s="899"/>
      <c r="AD73" s="899"/>
      <c r="AE73" s="899"/>
      <c r="AF73" s="899"/>
      <c r="AG73" s="899"/>
      <c r="AH73" s="899"/>
      <c r="AI73" s="899"/>
      <c r="AJ73" s="899"/>
      <c r="AK73" s="899"/>
      <c r="AL73" s="899"/>
      <c r="AM73" s="899"/>
      <c r="AN73" s="899"/>
      <c r="AO73" s="899"/>
    </row>
    <row r="74">
      <c r="B74" s="1295" t="s">
        <v>1562</v>
      </c>
      <c r="G74" s="899"/>
      <c r="H74" s="899"/>
      <c r="I74" s="899"/>
      <c r="J74" s="899"/>
      <c r="K74" s="899"/>
      <c r="L74" s="899"/>
      <c r="M74" s="899"/>
      <c r="N74" s="899"/>
      <c r="O74" s="899"/>
      <c r="P74" s="899"/>
      <c r="Q74" s="899"/>
      <c r="R74" s="899"/>
      <c r="S74" s="899"/>
      <c r="T74" s="899"/>
      <c r="U74" s="899"/>
      <c r="V74" s="899"/>
      <c r="W74" s="899"/>
      <c r="X74" s="899"/>
      <c r="Y74" s="899"/>
      <c r="Z74" s="899"/>
      <c r="AA74" s="899"/>
      <c r="AB74" s="899"/>
      <c r="AC74" s="899"/>
      <c r="AD74" s="899"/>
      <c r="AE74" s="899"/>
      <c r="AF74" s="899"/>
      <c r="AG74" s="899"/>
      <c r="AH74" s="899"/>
      <c r="AI74" s="899"/>
      <c r="AJ74" s="899"/>
      <c r="AK74" s="899"/>
      <c r="AL74" s="899"/>
      <c r="AM74" s="899"/>
      <c r="AN74" s="899"/>
      <c r="AO74" s="899"/>
    </row>
    <row r="75">
      <c r="A75" s="1292" t="s">
        <v>1575</v>
      </c>
      <c r="B75" s="1293" t="s">
        <v>1552</v>
      </c>
      <c r="G75" s="899"/>
      <c r="H75" s="899"/>
      <c r="I75" s="899"/>
      <c r="J75" s="899"/>
      <c r="K75" s="899"/>
      <c r="L75" s="899"/>
      <c r="M75" s="899"/>
      <c r="N75" s="899"/>
      <c r="O75" s="899"/>
      <c r="P75" s="899"/>
      <c r="Q75" s="899"/>
      <c r="R75" s="899"/>
      <c r="S75" s="899"/>
      <c r="T75" s="899"/>
      <c r="U75" s="899"/>
      <c r="V75" s="899"/>
      <c r="W75" s="899"/>
      <c r="X75" s="899"/>
      <c r="Y75" s="899"/>
      <c r="Z75" s="899"/>
      <c r="AA75" s="899"/>
      <c r="AB75" s="899"/>
      <c r="AC75" s="899"/>
      <c r="AD75" s="899"/>
      <c r="AE75" s="899"/>
      <c r="AF75" s="899"/>
      <c r="AG75" s="899"/>
      <c r="AH75" s="899"/>
      <c r="AI75" s="899"/>
      <c r="AJ75" s="899"/>
      <c r="AK75" s="899"/>
      <c r="AL75" s="899"/>
      <c r="AM75" s="899"/>
      <c r="AN75" s="899"/>
      <c r="AO75" s="899"/>
    </row>
    <row r="76">
      <c r="B76" s="1295" t="s">
        <v>1553</v>
      </c>
      <c r="G76" s="899"/>
      <c r="H76" s="899"/>
      <c r="I76" s="899"/>
      <c r="J76" s="899"/>
      <c r="K76" s="899"/>
      <c r="L76" s="899"/>
      <c r="M76" s="899"/>
      <c r="N76" s="899"/>
      <c r="O76" s="899"/>
      <c r="P76" s="899"/>
      <c r="Q76" s="899"/>
      <c r="R76" s="899"/>
      <c r="S76" s="899"/>
      <c r="T76" s="899"/>
      <c r="U76" s="899"/>
      <c r="V76" s="899"/>
      <c r="W76" s="899"/>
      <c r="X76" s="899"/>
      <c r="Y76" s="899"/>
      <c r="Z76" s="899"/>
      <c r="AA76" s="899"/>
      <c r="AB76" s="899"/>
      <c r="AC76" s="899"/>
      <c r="AD76" s="899"/>
      <c r="AE76" s="899"/>
      <c r="AF76" s="899"/>
      <c r="AG76" s="899"/>
      <c r="AH76" s="899"/>
      <c r="AI76" s="899"/>
      <c r="AJ76" s="899"/>
      <c r="AK76" s="899"/>
      <c r="AL76" s="899"/>
      <c r="AM76" s="899"/>
      <c r="AN76" s="899"/>
      <c r="AO76" s="899"/>
    </row>
    <row r="77">
      <c r="B77" s="1295" t="s">
        <v>1555</v>
      </c>
      <c r="G77" s="899"/>
      <c r="H77" s="899"/>
      <c r="I77" s="899"/>
      <c r="J77" s="899"/>
      <c r="K77" s="899"/>
      <c r="L77" s="899"/>
      <c r="M77" s="899"/>
      <c r="N77" s="899"/>
      <c r="O77" s="899"/>
      <c r="P77" s="899"/>
      <c r="Q77" s="899"/>
      <c r="R77" s="899"/>
      <c r="S77" s="899"/>
      <c r="T77" s="899"/>
      <c r="U77" s="899"/>
      <c r="V77" s="899"/>
      <c r="W77" s="899"/>
      <c r="X77" s="899"/>
      <c r="Y77" s="899"/>
      <c r="Z77" s="899"/>
      <c r="AA77" s="899"/>
      <c r="AB77" s="899"/>
      <c r="AC77" s="899"/>
      <c r="AD77" s="899"/>
      <c r="AE77" s="899"/>
      <c r="AF77" s="899"/>
      <c r="AG77" s="899"/>
      <c r="AH77" s="899"/>
      <c r="AI77" s="899"/>
      <c r="AJ77" s="899"/>
      <c r="AK77" s="899"/>
      <c r="AL77" s="899"/>
      <c r="AM77" s="899"/>
      <c r="AN77" s="899"/>
      <c r="AO77" s="899"/>
    </row>
    <row r="78">
      <c r="B78" s="1295" t="s">
        <v>1556</v>
      </c>
      <c r="G78" s="899"/>
      <c r="H78" s="899"/>
      <c r="I78" s="899"/>
      <c r="J78" s="899"/>
      <c r="K78" s="899"/>
      <c r="L78" s="899"/>
      <c r="M78" s="899"/>
      <c r="N78" s="899"/>
      <c r="O78" s="899"/>
      <c r="P78" s="899"/>
      <c r="Q78" s="899"/>
      <c r="R78" s="899"/>
      <c r="S78" s="899"/>
      <c r="T78" s="899"/>
      <c r="U78" s="899"/>
      <c r="V78" s="899"/>
      <c r="W78" s="899"/>
      <c r="X78" s="899"/>
      <c r="Y78" s="899"/>
      <c r="Z78" s="899"/>
      <c r="AA78" s="899"/>
      <c r="AB78" s="899"/>
      <c r="AC78" s="899"/>
      <c r="AD78" s="899"/>
      <c r="AE78" s="899"/>
      <c r="AF78" s="899"/>
      <c r="AG78" s="899"/>
      <c r="AH78" s="899"/>
      <c r="AI78" s="899"/>
      <c r="AJ78" s="899"/>
      <c r="AK78" s="899"/>
      <c r="AL78" s="899"/>
      <c r="AM78" s="899"/>
      <c r="AN78" s="899"/>
      <c r="AO78" s="899"/>
    </row>
    <row r="79">
      <c r="B79" s="1305" t="s">
        <v>1557</v>
      </c>
      <c r="G79" s="899"/>
      <c r="H79" s="899"/>
      <c r="I79" s="899"/>
      <c r="J79" s="899"/>
      <c r="K79" s="899"/>
      <c r="L79" s="899"/>
      <c r="M79" s="899"/>
      <c r="N79" s="899"/>
      <c r="O79" s="899"/>
      <c r="P79" s="899"/>
      <c r="Q79" s="899"/>
      <c r="R79" s="899"/>
      <c r="S79" s="899"/>
      <c r="T79" s="899"/>
      <c r="U79" s="899"/>
      <c r="V79" s="899"/>
      <c r="W79" s="899"/>
      <c r="X79" s="899"/>
      <c r="Y79" s="899"/>
      <c r="Z79" s="899"/>
      <c r="AA79" s="899"/>
      <c r="AB79" s="899"/>
      <c r="AC79" s="899"/>
      <c r="AD79" s="899"/>
      <c r="AE79" s="899"/>
      <c r="AF79" s="899"/>
      <c r="AG79" s="899"/>
      <c r="AH79" s="899"/>
      <c r="AI79" s="899"/>
      <c r="AJ79" s="899"/>
      <c r="AK79" s="899"/>
      <c r="AL79" s="899"/>
      <c r="AM79" s="899"/>
      <c r="AN79" s="899"/>
      <c r="AO79" s="899"/>
    </row>
    <row r="80">
      <c r="B80" s="1305" t="s">
        <v>1559</v>
      </c>
      <c r="G80" s="899"/>
      <c r="H80" s="899"/>
      <c r="I80" s="899"/>
      <c r="J80" s="899"/>
      <c r="K80" s="899"/>
      <c r="L80" s="899"/>
      <c r="M80" s="899"/>
      <c r="N80" s="899"/>
      <c r="O80" s="899"/>
      <c r="P80" s="899"/>
      <c r="Q80" s="899"/>
      <c r="R80" s="899"/>
      <c r="S80" s="899"/>
      <c r="T80" s="899"/>
      <c r="U80" s="899"/>
      <c r="V80" s="899"/>
      <c r="W80" s="899"/>
      <c r="X80" s="899"/>
      <c r="Y80" s="899"/>
      <c r="Z80" s="899"/>
      <c r="AA80" s="899"/>
      <c r="AB80" s="899"/>
      <c r="AC80" s="899"/>
      <c r="AD80" s="899"/>
      <c r="AE80" s="899"/>
      <c r="AF80" s="899"/>
      <c r="AG80" s="899"/>
      <c r="AH80" s="899"/>
      <c r="AI80" s="899"/>
      <c r="AJ80" s="899"/>
      <c r="AK80" s="899"/>
      <c r="AL80" s="899"/>
      <c r="AM80" s="899"/>
      <c r="AN80" s="899"/>
      <c r="AO80" s="899"/>
    </row>
    <row r="81">
      <c r="B81" s="1295" t="s">
        <v>1560</v>
      </c>
      <c r="G81" s="899"/>
      <c r="H81" s="899"/>
      <c r="I81" s="899"/>
      <c r="J81" s="899"/>
      <c r="K81" s="899"/>
      <c r="L81" s="899"/>
      <c r="M81" s="899"/>
      <c r="N81" s="899"/>
      <c r="O81" s="899"/>
      <c r="P81" s="899"/>
      <c r="Q81" s="899"/>
      <c r="R81" s="899"/>
      <c r="S81" s="899"/>
      <c r="T81" s="899"/>
      <c r="U81" s="899"/>
      <c r="V81" s="899"/>
      <c r="W81" s="899"/>
      <c r="X81" s="899"/>
      <c r="Y81" s="899"/>
      <c r="Z81" s="899"/>
      <c r="AA81" s="899"/>
      <c r="AB81" s="899"/>
      <c r="AC81" s="899"/>
      <c r="AD81" s="899"/>
      <c r="AE81" s="899"/>
      <c r="AF81" s="899"/>
      <c r="AG81" s="899"/>
      <c r="AH81" s="899"/>
      <c r="AI81" s="899"/>
      <c r="AJ81" s="899"/>
      <c r="AK81" s="899"/>
      <c r="AL81" s="899"/>
      <c r="AM81" s="899"/>
      <c r="AN81" s="899"/>
      <c r="AO81" s="899"/>
    </row>
    <row r="82">
      <c r="B82" s="1295" t="s">
        <v>1561</v>
      </c>
      <c r="G82" s="899"/>
      <c r="H82" s="899"/>
      <c r="I82" s="899"/>
      <c r="J82" s="899"/>
      <c r="K82" s="899"/>
      <c r="L82" s="899"/>
      <c r="M82" s="899"/>
      <c r="N82" s="899"/>
      <c r="O82" s="899"/>
      <c r="P82" s="899"/>
      <c r="Q82" s="899"/>
      <c r="R82" s="899"/>
      <c r="S82" s="899"/>
      <c r="T82" s="899"/>
      <c r="U82" s="899"/>
      <c r="V82" s="899"/>
      <c r="W82" s="899"/>
      <c r="X82" s="899"/>
      <c r="Y82" s="899"/>
      <c r="Z82" s="899"/>
      <c r="AA82" s="899"/>
      <c r="AB82" s="899"/>
      <c r="AC82" s="899"/>
      <c r="AD82" s="899"/>
      <c r="AE82" s="899"/>
      <c r="AF82" s="899"/>
      <c r="AG82" s="899"/>
      <c r="AH82" s="899"/>
      <c r="AI82" s="899"/>
      <c r="AJ82" s="899"/>
      <c r="AK82" s="899"/>
      <c r="AL82" s="899"/>
      <c r="AM82" s="899"/>
      <c r="AN82" s="899"/>
      <c r="AO82" s="899"/>
    </row>
    <row r="83">
      <c r="B83" s="1295" t="s">
        <v>1562</v>
      </c>
      <c r="G83" s="899"/>
      <c r="H83" s="899"/>
      <c r="I83" s="899"/>
      <c r="J83" s="899"/>
      <c r="K83" s="899"/>
      <c r="L83" s="899"/>
      <c r="M83" s="899"/>
      <c r="N83" s="899"/>
      <c r="O83" s="899"/>
      <c r="P83" s="899"/>
      <c r="Q83" s="899"/>
      <c r="R83" s="899"/>
      <c r="S83" s="899"/>
      <c r="T83" s="899"/>
      <c r="U83" s="899"/>
      <c r="V83" s="899"/>
      <c r="W83" s="899"/>
      <c r="X83" s="899"/>
      <c r="Y83" s="899"/>
      <c r="Z83" s="899"/>
      <c r="AA83" s="899"/>
      <c r="AB83" s="899"/>
      <c r="AC83" s="899"/>
      <c r="AD83" s="899"/>
      <c r="AE83" s="899"/>
      <c r="AF83" s="899"/>
      <c r="AG83" s="899"/>
      <c r="AH83" s="899"/>
      <c r="AI83" s="899"/>
      <c r="AJ83" s="899"/>
      <c r="AK83" s="899"/>
      <c r="AL83" s="899"/>
      <c r="AM83" s="899"/>
      <c r="AN83" s="899"/>
      <c r="AO83" s="899"/>
    </row>
    <row r="84">
      <c r="A84" s="1292" t="s">
        <v>1576</v>
      </c>
      <c r="B84" s="1293" t="s">
        <v>1552</v>
      </c>
      <c r="G84" s="899"/>
      <c r="H84" s="899"/>
      <c r="I84" s="899"/>
      <c r="J84" s="899"/>
      <c r="K84" s="899"/>
      <c r="L84" s="899"/>
      <c r="M84" s="899"/>
      <c r="N84" s="899"/>
      <c r="O84" s="899"/>
      <c r="P84" s="899"/>
      <c r="Q84" s="899"/>
      <c r="R84" s="899"/>
      <c r="S84" s="899"/>
      <c r="T84" s="899"/>
      <c r="U84" s="899"/>
      <c r="V84" s="899"/>
      <c r="W84" s="899"/>
      <c r="X84" s="899"/>
      <c r="Y84" s="899"/>
      <c r="Z84" s="899"/>
      <c r="AA84" s="899"/>
      <c r="AB84" s="899"/>
      <c r="AC84" s="899"/>
      <c r="AD84" s="899"/>
      <c r="AE84" s="899"/>
      <c r="AF84" s="899"/>
      <c r="AG84" s="899"/>
      <c r="AH84" s="899"/>
      <c r="AI84" s="899"/>
      <c r="AJ84" s="899"/>
      <c r="AK84" s="899"/>
      <c r="AL84" s="899"/>
      <c r="AM84" s="899"/>
      <c r="AN84" s="899"/>
      <c r="AO84" s="899"/>
    </row>
    <row r="85">
      <c r="B85" s="1295" t="s">
        <v>1553</v>
      </c>
      <c r="G85" s="899"/>
      <c r="H85" s="899"/>
      <c r="I85" s="899"/>
      <c r="J85" s="899"/>
      <c r="K85" s="899"/>
      <c r="L85" s="899"/>
      <c r="M85" s="899"/>
      <c r="N85" s="899"/>
      <c r="O85" s="899"/>
      <c r="P85" s="899"/>
      <c r="Q85" s="899"/>
      <c r="R85" s="899"/>
      <c r="S85" s="899"/>
      <c r="T85" s="899"/>
      <c r="U85" s="899"/>
      <c r="V85" s="899"/>
      <c r="W85" s="899"/>
      <c r="X85" s="899"/>
      <c r="Y85" s="899"/>
      <c r="Z85" s="899"/>
      <c r="AA85" s="899"/>
      <c r="AB85" s="899"/>
      <c r="AC85" s="899"/>
      <c r="AD85" s="899"/>
      <c r="AE85" s="899"/>
      <c r="AF85" s="899"/>
      <c r="AG85" s="899"/>
      <c r="AH85" s="899"/>
      <c r="AI85" s="899"/>
      <c r="AJ85" s="899"/>
      <c r="AK85" s="899"/>
      <c r="AL85" s="899"/>
      <c r="AM85" s="899"/>
      <c r="AN85" s="899"/>
      <c r="AO85" s="899"/>
    </row>
    <row r="86">
      <c r="B86" s="1295" t="s">
        <v>1555</v>
      </c>
      <c r="G86" s="899"/>
      <c r="H86" s="899"/>
      <c r="I86" s="899"/>
      <c r="J86" s="899"/>
      <c r="K86" s="899"/>
      <c r="L86" s="899"/>
      <c r="M86" s="899"/>
      <c r="N86" s="899"/>
      <c r="O86" s="899"/>
      <c r="P86" s="899"/>
      <c r="Q86" s="899"/>
      <c r="R86" s="899"/>
      <c r="S86" s="899"/>
      <c r="T86" s="899"/>
      <c r="U86" s="899"/>
      <c r="V86" s="899"/>
      <c r="W86" s="899"/>
      <c r="X86" s="899"/>
      <c r="Y86" s="899"/>
      <c r="Z86" s="899"/>
      <c r="AA86" s="899"/>
      <c r="AB86" s="899"/>
      <c r="AC86" s="899"/>
      <c r="AD86" s="899"/>
      <c r="AE86" s="899"/>
      <c r="AF86" s="899"/>
      <c r="AG86" s="899"/>
      <c r="AH86" s="899"/>
      <c r="AI86" s="899"/>
      <c r="AJ86" s="899"/>
      <c r="AK86" s="899"/>
      <c r="AL86" s="899"/>
      <c r="AM86" s="899"/>
      <c r="AN86" s="899"/>
      <c r="AO86" s="899"/>
    </row>
    <row r="87">
      <c r="B87" s="1295" t="s">
        <v>1556</v>
      </c>
      <c r="G87" s="899"/>
      <c r="H87" s="899"/>
      <c r="I87" s="899"/>
      <c r="J87" s="899"/>
      <c r="K87" s="899"/>
      <c r="L87" s="899"/>
      <c r="M87" s="899"/>
      <c r="N87" s="899"/>
      <c r="O87" s="899"/>
      <c r="P87" s="899"/>
      <c r="Q87" s="899"/>
      <c r="R87" s="899"/>
      <c r="S87" s="899"/>
      <c r="T87" s="899"/>
      <c r="U87" s="899"/>
      <c r="V87" s="899"/>
      <c r="W87" s="899"/>
      <c r="X87" s="899"/>
      <c r="Y87" s="899"/>
      <c r="Z87" s="899"/>
      <c r="AA87" s="899"/>
      <c r="AB87" s="899"/>
      <c r="AC87" s="899"/>
      <c r="AD87" s="899"/>
      <c r="AE87" s="899"/>
      <c r="AF87" s="899"/>
      <c r="AG87" s="899"/>
      <c r="AH87" s="899"/>
      <c r="AI87" s="899"/>
      <c r="AJ87" s="899"/>
      <c r="AK87" s="899"/>
      <c r="AL87" s="899"/>
      <c r="AM87" s="899"/>
      <c r="AN87" s="899"/>
      <c r="AO87" s="899"/>
    </row>
    <row r="88">
      <c r="B88" s="1305" t="s">
        <v>1557</v>
      </c>
      <c r="G88" s="899"/>
      <c r="H88" s="899"/>
      <c r="I88" s="899"/>
      <c r="J88" s="899"/>
      <c r="K88" s="899"/>
      <c r="L88" s="899"/>
      <c r="M88" s="899"/>
      <c r="N88" s="899"/>
      <c r="O88" s="899"/>
      <c r="P88" s="899"/>
      <c r="Q88" s="899"/>
      <c r="R88" s="899"/>
      <c r="S88" s="899"/>
      <c r="T88" s="899"/>
      <c r="U88" s="899"/>
      <c r="V88" s="899"/>
      <c r="W88" s="899"/>
      <c r="X88" s="899"/>
      <c r="Y88" s="899"/>
      <c r="Z88" s="899"/>
      <c r="AA88" s="899"/>
      <c r="AB88" s="899"/>
      <c r="AC88" s="899"/>
      <c r="AD88" s="899"/>
      <c r="AE88" s="899"/>
      <c r="AF88" s="899"/>
      <c r="AG88" s="899"/>
      <c r="AH88" s="899"/>
      <c r="AI88" s="899"/>
      <c r="AJ88" s="899"/>
      <c r="AK88" s="899"/>
      <c r="AL88" s="899"/>
      <c r="AM88" s="899"/>
      <c r="AN88" s="899"/>
      <c r="AO88" s="899"/>
    </row>
    <row r="89">
      <c r="B89" s="1305" t="s">
        <v>1559</v>
      </c>
      <c r="G89" s="899"/>
      <c r="H89" s="899"/>
      <c r="I89" s="899"/>
      <c r="J89" s="899"/>
      <c r="K89" s="899"/>
      <c r="L89" s="899"/>
      <c r="M89" s="899"/>
      <c r="N89" s="899"/>
      <c r="O89" s="899"/>
      <c r="P89" s="899"/>
      <c r="Q89" s="899"/>
      <c r="R89" s="899"/>
      <c r="S89" s="899"/>
      <c r="T89" s="899"/>
      <c r="U89" s="899"/>
      <c r="V89" s="899"/>
      <c r="W89" s="899"/>
      <c r="X89" s="899"/>
      <c r="Y89" s="899"/>
      <c r="Z89" s="899"/>
      <c r="AA89" s="899"/>
      <c r="AB89" s="899"/>
      <c r="AC89" s="899"/>
      <c r="AD89" s="899"/>
      <c r="AE89" s="899"/>
      <c r="AF89" s="899"/>
      <c r="AG89" s="899"/>
      <c r="AH89" s="899"/>
      <c r="AI89" s="899"/>
      <c r="AJ89" s="899"/>
      <c r="AK89" s="899"/>
      <c r="AL89" s="899"/>
      <c r="AM89" s="899"/>
      <c r="AN89" s="899"/>
      <c r="AO89" s="899"/>
    </row>
    <row r="90">
      <c r="B90" s="1295" t="s">
        <v>1560</v>
      </c>
      <c r="G90" s="899"/>
      <c r="H90" s="899"/>
      <c r="I90" s="899"/>
      <c r="J90" s="899"/>
      <c r="K90" s="899"/>
      <c r="L90" s="899"/>
      <c r="M90" s="899"/>
      <c r="N90" s="899"/>
      <c r="O90" s="899"/>
      <c r="P90" s="899"/>
      <c r="Q90" s="899"/>
      <c r="R90" s="899"/>
      <c r="S90" s="899"/>
      <c r="T90" s="899"/>
      <c r="U90" s="899"/>
      <c r="V90" s="899"/>
      <c r="W90" s="899"/>
      <c r="X90" s="899"/>
      <c r="Y90" s="899"/>
      <c r="Z90" s="899"/>
      <c r="AA90" s="899"/>
      <c r="AB90" s="899"/>
      <c r="AC90" s="899"/>
      <c r="AD90" s="899"/>
      <c r="AE90" s="899"/>
      <c r="AF90" s="899"/>
      <c r="AG90" s="899"/>
      <c r="AH90" s="899"/>
      <c r="AI90" s="899"/>
      <c r="AJ90" s="899"/>
      <c r="AK90" s="899"/>
      <c r="AL90" s="899"/>
      <c r="AM90" s="899"/>
      <c r="AN90" s="899"/>
      <c r="AO90" s="899"/>
    </row>
    <row r="91">
      <c r="B91" s="1295" t="s">
        <v>1561</v>
      </c>
      <c r="G91" s="899"/>
      <c r="H91" s="899"/>
      <c r="I91" s="899"/>
      <c r="J91" s="899"/>
      <c r="K91" s="899"/>
      <c r="L91" s="899"/>
      <c r="M91" s="899"/>
      <c r="N91" s="899"/>
      <c r="O91" s="899"/>
      <c r="P91" s="899"/>
      <c r="Q91" s="899"/>
      <c r="R91" s="899"/>
      <c r="S91" s="899"/>
      <c r="T91" s="899"/>
      <c r="U91" s="899"/>
      <c r="V91" s="899"/>
      <c r="W91" s="899"/>
      <c r="X91" s="899"/>
      <c r="Y91" s="899"/>
      <c r="Z91" s="899"/>
      <c r="AA91" s="899"/>
      <c r="AB91" s="899"/>
      <c r="AC91" s="899"/>
      <c r="AD91" s="899"/>
      <c r="AE91" s="899"/>
      <c r="AF91" s="899"/>
      <c r="AG91" s="899"/>
      <c r="AH91" s="899"/>
      <c r="AI91" s="899"/>
      <c r="AJ91" s="899"/>
      <c r="AK91" s="899"/>
      <c r="AL91" s="899"/>
      <c r="AM91" s="899"/>
      <c r="AN91" s="899"/>
      <c r="AO91" s="899"/>
    </row>
    <row r="92">
      <c r="B92" s="1295" t="s">
        <v>1562</v>
      </c>
      <c r="G92" s="899"/>
      <c r="H92" s="899"/>
      <c r="I92" s="899"/>
      <c r="J92" s="899"/>
      <c r="K92" s="899"/>
      <c r="L92" s="899"/>
      <c r="M92" s="899"/>
      <c r="N92" s="899"/>
      <c r="O92" s="899"/>
      <c r="P92" s="899"/>
      <c r="Q92" s="899"/>
      <c r="R92" s="899"/>
      <c r="S92" s="899"/>
      <c r="T92" s="899"/>
      <c r="U92" s="899"/>
      <c r="V92" s="899"/>
      <c r="W92" s="899"/>
      <c r="X92" s="899"/>
      <c r="Y92" s="899"/>
      <c r="Z92" s="899"/>
      <c r="AA92" s="899"/>
      <c r="AB92" s="899"/>
      <c r="AC92" s="899"/>
      <c r="AD92" s="899"/>
      <c r="AE92" s="899"/>
      <c r="AF92" s="899"/>
      <c r="AG92" s="899"/>
      <c r="AH92" s="899"/>
      <c r="AI92" s="899"/>
      <c r="AJ92" s="899"/>
      <c r="AK92" s="899"/>
      <c r="AL92" s="899"/>
      <c r="AM92" s="899"/>
      <c r="AN92" s="899"/>
      <c r="AO92" s="899"/>
    </row>
    <row r="93">
      <c r="A93" s="1292" t="s">
        <v>1577</v>
      </c>
      <c r="B93" s="1293" t="s">
        <v>1552</v>
      </c>
      <c r="G93" s="899"/>
      <c r="H93" s="899"/>
      <c r="I93" s="899"/>
      <c r="J93" s="899"/>
      <c r="K93" s="899"/>
      <c r="L93" s="899"/>
      <c r="M93" s="899"/>
      <c r="N93" s="899"/>
      <c r="O93" s="899"/>
      <c r="P93" s="899"/>
      <c r="Q93" s="899"/>
      <c r="R93" s="899"/>
      <c r="S93" s="899"/>
      <c r="T93" s="899"/>
      <c r="U93" s="899"/>
      <c r="V93" s="899"/>
      <c r="W93" s="899"/>
      <c r="X93" s="899"/>
      <c r="Y93" s="899"/>
      <c r="Z93" s="899"/>
      <c r="AA93" s="899"/>
      <c r="AB93" s="899"/>
      <c r="AC93" s="899"/>
      <c r="AD93" s="899"/>
      <c r="AE93" s="899"/>
      <c r="AF93" s="899"/>
      <c r="AG93" s="899"/>
      <c r="AH93" s="899"/>
      <c r="AI93" s="899"/>
      <c r="AJ93" s="899"/>
      <c r="AK93" s="899"/>
      <c r="AL93" s="899"/>
      <c r="AM93" s="899"/>
      <c r="AN93" s="899"/>
      <c r="AO93" s="899"/>
    </row>
    <row r="94">
      <c r="B94" s="1295" t="s">
        <v>1553</v>
      </c>
      <c r="G94" s="899"/>
      <c r="H94" s="899"/>
      <c r="I94" s="899"/>
      <c r="J94" s="899"/>
      <c r="K94" s="899"/>
      <c r="L94" s="899"/>
      <c r="M94" s="899"/>
      <c r="N94" s="899"/>
      <c r="O94" s="899"/>
      <c r="P94" s="899"/>
      <c r="Q94" s="899"/>
      <c r="R94" s="899"/>
      <c r="S94" s="899"/>
      <c r="T94" s="899"/>
      <c r="U94" s="899"/>
      <c r="V94" s="899"/>
      <c r="W94" s="899"/>
      <c r="X94" s="899"/>
      <c r="Y94" s="899"/>
      <c r="Z94" s="899"/>
      <c r="AA94" s="899"/>
      <c r="AB94" s="899"/>
      <c r="AC94" s="899"/>
      <c r="AD94" s="899"/>
      <c r="AE94" s="899"/>
      <c r="AF94" s="899"/>
      <c r="AG94" s="899"/>
      <c r="AH94" s="899"/>
      <c r="AI94" s="899"/>
      <c r="AJ94" s="899"/>
      <c r="AK94" s="899"/>
      <c r="AL94" s="899"/>
      <c r="AM94" s="899"/>
      <c r="AN94" s="899"/>
      <c r="AO94" s="899"/>
    </row>
    <row r="95">
      <c r="B95" s="1295" t="s">
        <v>1555</v>
      </c>
      <c r="G95" s="899"/>
      <c r="H95" s="899"/>
      <c r="I95" s="899"/>
      <c r="J95" s="899"/>
      <c r="K95" s="899"/>
      <c r="L95" s="899"/>
      <c r="M95" s="899"/>
      <c r="N95" s="899"/>
      <c r="O95" s="899"/>
      <c r="P95" s="899"/>
      <c r="Q95" s="899"/>
      <c r="R95" s="899"/>
      <c r="S95" s="899"/>
      <c r="T95" s="899"/>
      <c r="U95" s="899"/>
      <c r="V95" s="899"/>
      <c r="W95" s="899"/>
      <c r="X95" s="899"/>
      <c r="Y95" s="899"/>
      <c r="Z95" s="899"/>
      <c r="AA95" s="899"/>
      <c r="AB95" s="899"/>
      <c r="AC95" s="899"/>
      <c r="AD95" s="899"/>
      <c r="AE95" s="899"/>
      <c r="AF95" s="899"/>
      <c r="AG95" s="899"/>
      <c r="AH95" s="899"/>
      <c r="AI95" s="899"/>
      <c r="AJ95" s="899"/>
      <c r="AK95" s="899"/>
      <c r="AL95" s="899"/>
      <c r="AM95" s="899"/>
      <c r="AN95" s="899"/>
      <c r="AO95" s="899"/>
    </row>
    <row r="96">
      <c r="B96" s="1295" t="s">
        <v>1556</v>
      </c>
      <c r="G96" s="899"/>
      <c r="H96" s="899"/>
      <c r="I96" s="899"/>
      <c r="J96" s="899"/>
      <c r="K96" s="899"/>
      <c r="L96" s="899"/>
      <c r="M96" s="899"/>
      <c r="N96" s="899"/>
      <c r="O96" s="899"/>
      <c r="P96" s="899"/>
      <c r="Q96" s="899"/>
      <c r="R96" s="899"/>
      <c r="S96" s="899"/>
      <c r="T96" s="899"/>
      <c r="U96" s="899"/>
      <c r="V96" s="899"/>
      <c r="W96" s="899"/>
      <c r="X96" s="899"/>
      <c r="Y96" s="899"/>
      <c r="Z96" s="899"/>
      <c r="AA96" s="899"/>
      <c r="AB96" s="899"/>
      <c r="AC96" s="899"/>
      <c r="AD96" s="899"/>
      <c r="AE96" s="899"/>
      <c r="AF96" s="899"/>
      <c r="AG96" s="899"/>
      <c r="AH96" s="899"/>
      <c r="AI96" s="899"/>
      <c r="AJ96" s="899"/>
      <c r="AK96" s="899"/>
      <c r="AL96" s="899"/>
      <c r="AM96" s="899"/>
      <c r="AN96" s="899"/>
      <c r="AO96" s="899"/>
    </row>
    <row r="97">
      <c r="B97" s="1305" t="s">
        <v>1557</v>
      </c>
      <c r="G97" s="899"/>
      <c r="H97" s="899"/>
      <c r="I97" s="899"/>
      <c r="J97" s="899"/>
      <c r="K97" s="899"/>
      <c r="L97" s="899"/>
      <c r="M97" s="899"/>
      <c r="N97" s="899"/>
      <c r="O97" s="899"/>
      <c r="P97" s="899"/>
      <c r="Q97" s="899"/>
      <c r="R97" s="899"/>
      <c r="S97" s="899"/>
      <c r="T97" s="899"/>
      <c r="U97" s="899"/>
      <c r="V97" s="899"/>
      <c r="W97" s="899"/>
      <c r="X97" s="899"/>
      <c r="Y97" s="899"/>
      <c r="Z97" s="899"/>
      <c r="AA97" s="899"/>
      <c r="AB97" s="899"/>
      <c r="AC97" s="899"/>
      <c r="AD97" s="899"/>
      <c r="AE97" s="899"/>
      <c r="AF97" s="899"/>
      <c r="AG97" s="899"/>
      <c r="AH97" s="899"/>
      <c r="AI97" s="899"/>
      <c r="AJ97" s="899"/>
      <c r="AK97" s="899"/>
      <c r="AL97" s="899"/>
      <c r="AM97" s="899"/>
      <c r="AN97" s="899"/>
      <c r="AO97" s="899"/>
    </row>
    <row r="98">
      <c r="B98" s="1305" t="s">
        <v>1559</v>
      </c>
      <c r="G98" s="899"/>
      <c r="H98" s="899"/>
      <c r="I98" s="899"/>
      <c r="J98" s="899"/>
      <c r="K98" s="899"/>
      <c r="L98" s="899"/>
      <c r="M98" s="899"/>
      <c r="N98" s="899"/>
      <c r="O98" s="899"/>
      <c r="P98" s="899"/>
      <c r="Q98" s="899"/>
      <c r="R98" s="899"/>
      <c r="S98" s="899"/>
      <c r="T98" s="899"/>
      <c r="U98" s="899"/>
      <c r="V98" s="899"/>
      <c r="W98" s="899"/>
      <c r="X98" s="899"/>
      <c r="Y98" s="899"/>
      <c r="Z98" s="899"/>
      <c r="AA98" s="899"/>
      <c r="AB98" s="899"/>
      <c r="AC98" s="899"/>
      <c r="AD98" s="899"/>
      <c r="AE98" s="899"/>
      <c r="AF98" s="899"/>
      <c r="AG98" s="899"/>
      <c r="AH98" s="899"/>
      <c r="AI98" s="899"/>
      <c r="AJ98" s="899"/>
      <c r="AK98" s="899"/>
      <c r="AL98" s="899"/>
      <c r="AM98" s="899"/>
      <c r="AN98" s="899"/>
      <c r="AO98" s="899"/>
    </row>
    <row r="99">
      <c r="B99" s="1295" t="s">
        <v>1560</v>
      </c>
      <c r="G99" s="899"/>
      <c r="H99" s="899"/>
      <c r="I99" s="899"/>
      <c r="J99" s="899"/>
      <c r="K99" s="899"/>
      <c r="L99" s="899"/>
      <c r="M99" s="899"/>
      <c r="N99" s="899"/>
      <c r="O99" s="899"/>
      <c r="P99" s="899"/>
      <c r="Q99" s="899"/>
      <c r="R99" s="899"/>
      <c r="S99" s="899"/>
      <c r="T99" s="899"/>
      <c r="U99" s="899"/>
      <c r="V99" s="899"/>
      <c r="W99" s="899"/>
      <c r="X99" s="899"/>
      <c r="Y99" s="899"/>
      <c r="Z99" s="899"/>
      <c r="AA99" s="899"/>
      <c r="AB99" s="899"/>
      <c r="AC99" s="899"/>
      <c r="AD99" s="899"/>
      <c r="AE99" s="899"/>
      <c r="AF99" s="899"/>
      <c r="AG99" s="899"/>
      <c r="AH99" s="899"/>
      <c r="AI99" s="899"/>
      <c r="AJ99" s="899"/>
      <c r="AK99" s="899"/>
      <c r="AL99" s="899"/>
      <c r="AM99" s="899"/>
      <c r="AN99" s="899"/>
      <c r="AO99" s="899"/>
    </row>
    <row r="100">
      <c r="B100" s="1295" t="s">
        <v>1561</v>
      </c>
      <c r="G100" s="899"/>
      <c r="H100" s="899"/>
      <c r="I100" s="899"/>
      <c r="J100" s="899"/>
      <c r="K100" s="899"/>
      <c r="L100" s="899"/>
      <c r="M100" s="899"/>
      <c r="N100" s="899"/>
      <c r="O100" s="899"/>
      <c r="P100" s="899"/>
      <c r="Q100" s="899"/>
      <c r="R100" s="899"/>
      <c r="S100" s="899"/>
      <c r="T100" s="899"/>
      <c r="U100" s="899"/>
      <c r="V100" s="899"/>
      <c r="W100" s="899"/>
      <c r="X100" s="899"/>
      <c r="Y100" s="899"/>
      <c r="Z100" s="899"/>
      <c r="AA100" s="899"/>
      <c r="AB100" s="899"/>
      <c r="AC100" s="899"/>
      <c r="AD100" s="899"/>
      <c r="AE100" s="899"/>
      <c r="AF100" s="899"/>
      <c r="AG100" s="899"/>
      <c r="AH100" s="899"/>
      <c r="AI100" s="899"/>
      <c r="AJ100" s="899"/>
      <c r="AK100" s="899"/>
      <c r="AL100" s="899"/>
      <c r="AM100" s="899"/>
      <c r="AN100" s="899"/>
      <c r="AO100" s="899"/>
    </row>
    <row r="101">
      <c r="B101" s="1295" t="s">
        <v>1562</v>
      </c>
      <c r="G101" s="899"/>
      <c r="H101" s="899"/>
      <c r="I101" s="899"/>
      <c r="J101" s="899"/>
      <c r="K101" s="899"/>
      <c r="L101" s="899"/>
      <c r="M101" s="899"/>
      <c r="N101" s="899"/>
      <c r="O101" s="899"/>
      <c r="P101" s="899"/>
      <c r="Q101" s="899"/>
      <c r="R101" s="899"/>
      <c r="S101" s="899"/>
      <c r="T101" s="899"/>
      <c r="U101" s="899"/>
      <c r="V101" s="899"/>
      <c r="W101" s="899"/>
      <c r="X101" s="899"/>
      <c r="Y101" s="899"/>
      <c r="Z101" s="899"/>
      <c r="AA101" s="899"/>
      <c r="AB101" s="899"/>
      <c r="AC101" s="899"/>
      <c r="AD101" s="899"/>
      <c r="AE101" s="899"/>
      <c r="AF101" s="899"/>
      <c r="AG101" s="899"/>
      <c r="AH101" s="899"/>
      <c r="AI101" s="899"/>
      <c r="AJ101" s="899"/>
      <c r="AK101" s="899"/>
      <c r="AL101" s="899"/>
      <c r="AM101" s="899"/>
      <c r="AN101" s="899"/>
      <c r="AO101" s="899"/>
    </row>
    <row r="102">
      <c r="A102" s="1292" t="s">
        <v>1578</v>
      </c>
      <c r="B102" s="1293" t="s">
        <v>1552</v>
      </c>
      <c r="G102" s="899"/>
      <c r="H102" s="899"/>
      <c r="I102" s="899"/>
      <c r="J102" s="899"/>
      <c r="K102" s="899"/>
      <c r="L102" s="899"/>
      <c r="M102" s="899"/>
      <c r="N102" s="899"/>
      <c r="O102" s="899"/>
      <c r="P102" s="899"/>
      <c r="Q102" s="899"/>
      <c r="R102" s="899"/>
      <c r="S102" s="899"/>
      <c r="T102" s="899"/>
      <c r="U102" s="899"/>
      <c r="V102" s="899"/>
      <c r="W102" s="899"/>
      <c r="X102" s="899"/>
      <c r="Y102" s="899"/>
      <c r="Z102" s="899"/>
      <c r="AA102" s="899"/>
      <c r="AB102" s="899"/>
      <c r="AC102" s="899"/>
      <c r="AD102" s="899"/>
      <c r="AE102" s="899"/>
      <c r="AF102" s="899"/>
      <c r="AG102" s="899"/>
      <c r="AH102" s="899"/>
      <c r="AI102" s="899"/>
      <c r="AJ102" s="899"/>
      <c r="AK102" s="899"/>
      <c r="AL102" s="899"/>
      <c r="AM102" s="899"/>
      <c r="AN102" s="899"/>
      <c r="AO102" s="899"/>
    </row>
    <row r="103">
      <c r="B103" s="1295" t="s">
        <v>1553</v>
      </c>
      <c r="G103" s="899"/>
      <c r="H103" s="899"/>
      <c r="I103" s="899"/>
      <c r="J103" s="899"/>
      <c r="K103" s="899"/>
      <c r="L103" s="899"/>
      <c r="M103" s="899"/>
      <c r="N103" s="899"/>
      <c r="O103" s="899"/>
      <c r="P103" s="899"/>
      <c r="Q103" s="899"/>
      <c r="R103" s="899"/>
      <c r="S103" s="899"/>
      <c r="T103" s="899"/>
      <c r="U103" s="899"/>
      <c r="V103" s="899"/>
      <c r="W103" s="899"/>
      <c r="X103" s="899"/>
      <c r="Y103" s="899"/>
      <c r="Z103" s="899"/>
      <c r="AA103" s="899"/>
      <c r="AB103" s="899"/>
      <c r="AC103" s="899"/>
      <c r="AD103" s="899"/>
      <c r="AE103" s="899"/>
      <c r="AF103" s="899"/>
      <c r="AG103" s="899"/>
      <c r="AH103" s="899"/>
      <c r="AI103" s="899"/>
      <c r="AJ103" s="899"/>
      <c r="AK103" s="899"/>
      <c r="AL103" s="899"/>
      <c r="AM103" s="899"/>
      <c r="AN103" s="899"/>
      <c r="AO103" s="899"/>
    </row>
    <row r="104">
      <c r="B104" s="1295" t="s">
        <v>1555</v>
      </c>
      <c r="G104" s="899"/>
      <c r="H104" s="899"/>
      <c r="I104" s="899"/>
      <c r="J104" s="899"/>
      <c r="K104" s="899"/>
      <c r="L104" s="899"/>
      <c r="M104" s="899"/>
      <c r="N104" s="899"/>
      <c r="O104" s="899"/>
      <c r="P104" s="899"/>
      <c r="Q104" s="899"/>
      <c r="R104" s="899"/>
      <c r="S104" s="899"/>
      <c r="T104" s="899"/>
      <c r="U104" s="899"/>
      <c r="V104" s="899"/>
      <c r="W104" s="899"/>
      <c r="X104" s="899"/>
      <c r="Y104" s="899"/>
      <c r="Z104" s="899"/>
      <c r="AA104" s="899"/>
      <c r="AB104" s="899"/>
      <c r="AC104" s="899"/>
      <c r="AD104" s="899"/>
      <c r="AE104" s="899"/>
      <c r="AF104" s="899"/>
      <c r="AG104" s="899"/>
      <c r="AH104" s="899"/>
      <c r="AI104" s="899"/>
      <c r="AJ104" s="899"/>
      <c r="AK104" s="899"/>
      <c r="AL104" s="899"/>
      <c r="AM104" s="899"/>
      <c r="AN104" s="899"/>
      <c r="AO104" s="899"/>
    </row>
    <row r="105">
      <c r="B105" s="1295" t="s">
        <v>1556</v>
      </c>
      <c r="G105" s="899"/>
      <c r="H105" s="899"/>
      <c r="I105" s="899"/>
      <c r="J105" s="899"/>
      <c r="K105" s="899"/>
      <c r="L105" s="899"/>
      <c r="M105" s="899"/>
      <c r="N105" s="899"/>
      <c r="O105" s="899"/>
      <c r="P105" s="899"/>
      <c r="Q105" s="899"/>
      <c r="R105" s="899"/>
      <c r="S105" s="899"/>
      <c r="T105" s="899"/>
      <c r="U105" s="899"/>
      <c r="V105" s="899"/>
      <c r="W105" s="899"/>
      <c r="X105" s="899"/>
      <c r="Y105" s="899"/>
      <c r="Z105" s="899"/>
      <c r="AA105" s="899"/>
      <c r="AB105" s="899"/>
      <c r="AC105" s="899"/>
      <c r="AD105" s="899"/>
      <c r="AE105" s="899"/>
      <c r="AF105" s="899"/>
      <c r="AG105" s="899"/>
      <c r="AH105" s="899"/>
      <c r="AI105" s="899"/>
      <c r="AJ105" s="899"/>
      <c r="AK105" s="899"/>
      <c r="AL105" s="899"/>
      <c r="AM105" s="899"/>
      <c r="AN105" s="899"/>
      <c r="AO105" s="899"/>
    </row>
    <row r="106">
      <c r="B106" s="1305" t="s">
        <v>1557</v>
      </c>
      <c r="G106" s="899"/>
      <c r="H106" s="899"/>
      <c r="I106" s="899"/>
      <c r="J106" s="899"/>
      <c r="K106" s="899"/>
      <c r="L106" s="899"/>
      <c r="M106" s="899"/>
      <c r="N106" s="899"/>
      <c r="O106" s="899"/>
      <c r="P106" s="899"/>
      <c r="Q106" s="899"/>
      <c r="R106" s="899"/>
      <c r="S106" s="899"/>
      <c r="T106" s="899"/>
      <c r="U106" s="899"/>
      <c r="V106" s="899"/>
      <c r="W106" s="899"/>
      <c r="X106" s="899"/>
      <c r="Y106" s="899"/>
      <c r="Z106" s="899"/>
      <c r="AA106" s="899"/>
      <c r="AB106" s="899"/>
      <c r="AC106" s="899"/>
      <c r="AD106" s="899"/>
      <c r="AE106" s="899"/>
      <c r="AF106" s="899"/>
      <c r="AG106" s="899"/>
      <c r="AH106" s="899"/>
      <c r="AI106" s="899"/>
      <c r="AJ106" s="899"/>
      <c r="AK106" s="899"/>
      <c r="AL106" s="899"/>
      <c r="AM106" s="899"/>
      <c r="AN106" s="899"/>
      <c r="AO106" s="899"/>
    </row>
    <row r="107">
      <c r="B107" s="1305" t="s">
        <v>1559</v>
      </c>
      <c r="G107" s="899"/>
      <c r="H107" s="899"/>
      <c r="I107" s="899"/>
      <c r="J107" s="899"/>
      <c r="K107" s="899"/>
      <c r="L107" s="899"/>
      <c r="M107" s="899"/>
      <c r="N107" s="899"/>
      <c r="O107" s="899"/>
      <c r="P107" s="899"/>
      <c r="Q107" s="899"/>
      <c r="R107" s="899"/>
      <c r="S107" s="899"/>
      <c r="T107" s="899"/>
      <c r="U107" s="899"/>
      <c r="V107" s="899"/>
      <c r="W107" s="899"/>
      <c r="X107" s="899"/>
      <c r="Y107" s="899"/>
      <c r="Z107" s="899"/>
      <c r="AA107" s="899"/>
      <c r="AB107" s="899"/>
      <c r="AC107" s="899"/>
      <c r="AD107" s="899"/>
      <c r="AE107" s="899"/>
      <c r="AF107" s="899"/>
      <c r="AG107" s="899"/>
      <c r="AH107" s="899"/>
      <c r="AI107" s="899"/>
      <c r="AJ107" s="899"/>
      <c r="AK107" s="899"/>
      <c r="AL107" s="899"/>
      <c r="AM107" s="899"/>
      <c r="AN107" s="899"/>
      <c r="AO107" s="899"/>
    </row>
    <row r="108">
      <c r="B108" s="1295" t="s">
        <v>1560</v>
      </c>
      <c r="G108" s="899"/>
      <c r="H108" s="899"/>
      <c r="I108" s="899"/>
      <c r="J108" s="899"/>
      <c r="K108" s="899"/>
      <c r="L108" s="899"/>
      <c r="M108" s="899"/>
      <c r="N108" s="899"/>
      <c r="O108" s="899"/>
      <c r="P108" s="899"/>
      <c r="Q108" s="899"/>
      <c r="R108" s="899"/>
      <c r="S108" s="899"/>
      <c r="T108" s="899"/>
      <c r="U108" s="899"/>
      <c r="V108" s="899"/>
      <c r="W108" s="899"/>
      <c r="X108" s="899"/>
      <c r="Y108" s="899"/>
      <c r="Z108" s="899"/>
      <c r="AA108" s="899"/>
      <c r="AB108" s="899"/>
      <c r="AC108" s="899"/>
      <c r="AD108" s="899"/>
      <c r="AE108" s="899"/>
      <c r="AF108" s="899"/>
      <c r="AG108" s="899"/>
      <c r="AH108" s="899"/>
      <c r="AI108" s="899"/>
      <c r="AJ108" s="899"/>
      <c r="AK108" s="899"/>
      <c r="AL108" s="899"/>
      <c r="AM108" s="899"/>
      <c r="AN108" s="899"/>
      <c r="AO108" s="899"/>
    </row>
    <row r="109">
      <c r="B109" s="1295" t="s">
        <v>1561</v>
      </c>
      <c r="G109" s="899"/>
      <c r="H109" s="899"/>
      <c r="I109" s="899"/>
      <c r="J109" s="899"/>
      <c r="K109" s="899"/>
      <c r="L109" s="899"/>
      <c r="M109" s="899"/>
      <c r="N109" s="899"/>
      <c r="O109" s="899"/>
      <c r="P109" s="899"/>
      <c r="Q109" s="899"/>
      <c r="R109" s="899"/>
      <c r="S109" s="899"/>
      <c r="T109" s="899"/>
      <c r="U109" s="899"/>
      <c r="V109" s="899"/>
      <c r="W109" s="899"/>
      <c r="X109" s="899"/>
      <c r="Y109" s="899"/>
      <c r="Z109" s="899"/>
      <c r="AA109" s="899"/>
      <c r="AB109" s="899"/>
      <c r="AC109" s="899"/>
      <c r="AD109" s="899"/>
      <c r="AE109" s="899"/>
      <c r="AF109" s="899"/>
      <c r="AG109" s="899"/>
      <c r="AH109" s="899"/>
      <c r="AI109" s="899"/>
      <c r="AJ109" s="899"/>
      <c r="AK109" s="899"/>
      <c r="AL109" s="899"/>
      <c r="AM109" s="899"/>
      <c r="AN109" s="899"/>
      <c r="AO109" s="899"/>
    </row>
    <row r="110">
      <c r="B110" s="1295" t="s">
        <v>1562</v>
      </c>
      <c r="G110" s="899"/>
      <c r="H110" s="899"/>
      <c r="I110" s="899"/>
      <c r="J110" s="899"/>
      <c r="K110" s="899"/>
      <c r="L110" s="899"/>
      <c r="M110" s="899"/>
      <c r="N110" s="899"/>
      <c r="O110" s="899"/>
      <c r="P110" s="899"/>
      <c r="Q110" s="899"/>
      <c r="R110" s="899"/>
      <c r="S110" s="899"/>
      <c r="T110" s="899"/>
      <c r="U110" s="899"/>
      <c r="V110" s="899"/>
      <c r="W110" s="899"/>
      <c r="X110" s="899"/>
      <c r="Y110" s="899"/>
      <c r="Z110" s="899"/>
      <c r="AA110" s="899"/>
      <c r="AB110" s="899"/>
      <c r="AC110" s="899"/>
      <c r="AD110" s="899"/>
      <c r="AE110" s="899"/>
      <c r="AF110" s="899"/>
      <c r="AG110" s="899"/>
      <c r="AH110" s="899"/>
      <c r="AI110" s="899"/>
      <c r="AJ110" s="899"/>
      <c r="AK110" s="899"/>
      <c r="AL110" s="899"/>
      <c r="AM110" s="899"/>
      <c r="AN110" s="899"/>
      <c r="AO110" s="899"/>
    </row>
    <row r="111">
      <c r="A111" s="1292" t="s">
        <v>1579</v>
      </c>
      <c r="B111" s="1293" t="s">
        <v>1552</v>
      </c>
      <c r="G111" s="899"/>
      <c r="H111" s="899"/>
      <c r="I111" s="899"/>
      <c r="J111" s="899"/>
      <c r="K111" s="899"/>
      <c r="L111" s="899"/>
      <c r="M111" s="899"/>
      <c r="N111" s="899"/>
      <c r="O111" s="899"/>
      <c r="P111" s="899"/>
      <c r="Q111" s="899"/>
      <c r="R111" s="899"/>
      <c r="S111" s="899"/>
      <c r="T111" s="899"/>
      <c r="U111" s="899"/>
      <c r="V111" s="899"/>
      <c r="W111" s="899"/>
      <c r="X111" s="899"/>
      <c r="Y111" s="899"/>
      <c r="Z111" s="899"/>
      <c r="AA111" s="899"/>
      <c r="AB111" s="899"/>
      <c r="AC111" s="899"/>
      <c r="AD111" s="899"/>
      <c r="AE111" s="899"/>
      <c r="AF111" s="899"/>
      <c r="AG111" s="899"/>
      <c r="AH111" s="899"/>
      <c r="AI111" s="899"/>
      <c r="AJ111" s="899"/>
      <c r="AK111" s="899"/>
      <c r="AL111" s="899"/>
      <c r="AM111" s="899"/>
      <c r="AN111" s="899"/>
      <c r="AO111" s="899"/>
    </row>
    <row r="112">
      <c r="B112" s="1295" t="s">
        <v>1553</v>
      </c>
      <c r="G112" s="899"/>
      <c r="H112" s="899"/>
      <c r="I112" s="899"/>
      <c r="J112" s="899"/>
      <c r="K112" s="899"/>
      <c r="L112" s="899"/>
      <c r="M112" s="899"/>
      <c r="N112" s="899"/>
      <c r="O112" s="899"/>
      <c r="P112" s="899"/>
      <c r="Q112" s="899"/>
      <c r="R112" s="899"/>
      <c r="S112" s="899"/>
      <c r="T112" s="899"/>
      <c r="U112" s="899"/>
      <c r="V112" s="899"/>
      <c r="W112" s="899"/>
      <c r="X112" s="899"/>
      <c r="Y112" s="899"/>
      <c r="Z112" s="899"/>
      <c r="AA112" s="899"/>
      <c r="AB112" s="899"/>
      <c r="AC112" s="899"/>
      <c r="AD112" s="899"/>
      <c r="AE112" s="899"/>
      <c r="AF112" s="899"/>
      <c r="AG112" s="899"/>
      <c r="AH112" s="899"/>
      <c r="AI112" s="899"/>
      <c r="AJ112" s="899"/>
      <c r="AK112" s="899"/>
      <c r="AL112" s="899"/>
      <c r="AM112" s="899"/>
      <c r="AN112" s="899"/>
      <c r="AO112" s="899"/>
    </row>
    <row r="113">
      <c r="B113" s="1295" t="s">
        <v>1555</v>
      </c>
      <c r="G113" s="899"/>
      <c r="H113" s="899"/>
      <c r="I113" s="899"/>
      <c r="J113" s="899"/>
      <c r="K113" s="899"/>
      <c r="L113" s="899"/>
      <c r="M113" s="899"/>
      <c r="N113" s="899"/>
      <c r="O113" s="899"/>
      <c r="P113" s="899"/>
      <c r="Q113" s="899"/>
      <c r="R113" s="899"/>
      <c r="S113" s="899"/>
      <c r="T113" s="899"/>
      <c r="U113" s="899"/>
      <c r="V113" s="899"/>
      <c r="W113" s="899"/>
      <c r="X113" s="899"/>
      <c r="Y113" s="899"/>
      <c r="Z113" s="899"/>
      <c r="AA113" s="899"/>
      <c r="AB113" s="899"/>
      <c r="AC113" s="899"/>
      <c r="AD113" s="899"/>
      <c r="AE113" s="899"/>
      <c r="AF113" s="899"/>
      <c r="AG113" s="899"/>
      <c r="AH113" s="899"/>
      <c r="AI113" s="899"/>
      <c r="AJ113" s="899"/>
      <c r="AK113" s="899"/>
      <c r="AL113" s="899"/>
      <c r="AM113" s="899"/>
      <c r="AN113" s="899"/>
      <c r="AO113" s="899"/>
    </row>
    <row r="114">
      <c r="B114" s="1295" t="s">
        <v>1556</v>
      </c>
      <c r="G114" s="899"/>
      <c r="H114" s="899"/>
      <c r="I114" s="899"/>
      <c r="J114" s="899"/>
      <c r="K114" s="899"/>
      <c r="L114" s="899"/>
      <c r="M114" s="899"/>
      <c r="N114" s="899"/>
      <c r="O114" s="899"/>
      <c r="P114" s="899"/>
      <c r="Q114" s="899"/>
      <c r="R114" s="899"/>
      <c r="S114" s="899"/>
      <c r="T114" s="899"/>
      <c r="U114" s="899"/>
      <c r="V114" s="899"/>
      <c r="W114" s="899"/>
      <c r="X114" s="899"/>
      <c r="Y114" s="899"/>
      <c r="Z114" s="899"/>
      <c r="AA114" s="899"/>
      <c r="AB114" s="899"/>
      <c r="AC114" s="899"/>
      <c r="AD114" s="899"/>
      <c r="AE114" s="899"/>
      <c r="AF114" s="899"/>
      <c r="AG114" s="899"/>
      <c r="AH114" s="899"/>
      <c r="AI114" s="899"/>
      <c r="AJ114" s="899"/>
      <c r="AK114" s="899"/>
      <c r="AL114" s="899"/>
      <c r="AM114" s="899"/>
      <c r="AN114" s="899"/>
      <c r="AO114" s="899"/>
    </row>
    <row r="115">
      <c r="B115" s="1305" t="s">
        <v>1557</v>
      </c>
      <c r="G115" s="899"/>
      <c r="H115" s="899"/>
      <c r="I115" s="899"/>
      <c r="J115" s="899"/>
      <c r="K115" s="899"/>
      <c r="L115" s="899"/>
      <c r="M115" s="899"/>
      <c r="N115" s="899"/>
      <c r="O115" s="899"/>
      <c r="P115" s="899"/>
      <c r="Q115" s="899"/>
      <c r="R115" s="899"/>
      <c r="S115" s="899"/>
      <c r="T115" s="899"/>
      <c r="U115" s="899"/>
      <c r="V115" s="899"/>
      <c r="W115" s="899"/>
      <c r="X115" s="899"/>
      <c r="Y115" s="899"/>
      <c r="Z115" s="899"/>
      <c r="AA115" s="899"/>
      <c r="AB115" s="899"/>
      <c r="AC115" s="899"/>
      <c r="AD115" s="899"/>
      <c r="AE115" s="899"/>
      <c r="AF115" s="899"/>
      <c r="AG115" s="899"/>
      <c r="AH115" s="899"/>
      <c r="AI115" s="899"/>
      <c r="AJ115" s="899"/>
      <c r="AK115" s="899"/>
      <c r="AL115" s="899"/>
      <c r="AM115" s="899"/>
      <c r="AN115" s="899"/>
      <c r="AO115" s="899"/>
    </row>
    <row r="116">
      <c r="B116" s="1305" t="s">
        <v>1559</v>
      </c>
      <c r="G116" s="899"/>
      <c r="H116" s="899"/>
      <c r="I116" s="899"/>
      <c r="J116" s="899"/>
      <c r="K116" s="899"/>
      <c r="L116" s="899"/>
      <c r="M116" s="899"/>
      <c r="N116" s="899"/>
      <c r="O116" s="899"/>
      <c r="P116" s="899"/>
      <c r="Q116" s="899"/>
      <c r="R116" s="899"/>
      <c r="S116" s="899"/>
      <c r="T116" s="899"/>
      <c r="U116" s="899"/>
      <c r="V116" s="899"/>
      <c r="W116" s="899"/>
      <c r="X116" s="899"/>
      <c r="Y116" s="899"/>
      <c r="Z116" s="899"/>
      <c r="AA116" s="899"/>
      <c r="AB116" s="899"/>
      <c r="AC116" s="899"/>
      <c r="AD116" s="899"/>
      <c r="AE116" s="899"/>
      <c r="AF116" s="899"/>
      <c r="AG116" s="899"/>
      <c r="AH116" s="899"/>
      <c r="AI116" s="899"/>
      <c r="AJ116" s="899"/>
      <c r="AK116" s="899"/>
      <c r="AL116" s="899"/>
      <c r="AM116" s="899"/>
      <c r="AN116" s="899"/>
      <c r="AO116" s="899"/>
    </row>
    <row r="117">
      <c r="B117" s="1295" t="s">
        <v>1560</v>
      </c>
      <c r="G117" s="899"/>
      <c r="H117" s="899"/>
      <c r="I117" s="899"/>
      <c r="J117" s="899"/>
      <c r="K117" s="899"/>
      <c r="L117" s="899"/>
      <c r="M117" s="899"/>
      <c r="N117" s="899"/>
      <c r="O117" s="899"/>
      <c r="P117" s="899"/>
      <c r="Q117" s="899"/>
      <c r="R117" s="899"/>
      <c r="S117" s="899"/>
      <c r="T117" s="899"/>
      <c r="U117" s="899"/>
      <c r="V117" s="899"/>
      <c r="W117" s="899"/>
      <c r="X117" s="899"/>
      <c r="Y117" s="899"/>
      <c r="Z117" s="899"/>
      <c r="AA117" s="899"/>
      <c r="AB117" s="899"/>
      <c r="AC117" s="899"/>
      <c r="AD117" s="899"/>
      <c r="AE117" s="899"/>
      <c r="AF117" s="899"/>
      <c r="AG117" s="899"/>
      <c r="AH117" s="899"/>
      <c r="AI117" s="899"/>
      <c r="AJ117" s="899"/>
      <c r="AK117" s="899"/>
      <c r="AL117" s="899"/>
      <c r="AM117" s="899"/>
      <c r="AN117" s="899"/>
      <c r="AO117" s="899"/>
    </row>
    <row r="118">
      <c r="B118" s="1295" t="s">
        <v>1561</v>
      </c>
      <c r="G118" s="899"/>
      <c r="H118" s="899"/>
      <c r="I118" s="899"/>
      <c r="J118" s="899"/>
      <c r="K118" s="899"/>
      <c r="L118" s="899"/>
      <c r="M118" s="899"/>
      <c r="N118" s="899"/>
      <c r="O118" s="899"/>
      <c r="P118" s="899"/>
      <c r="Q118" s="899"/>
      <c r="R118" s="899"/>
      <c r="S118" s="899"/>
      <c r="T118" s="899"/>
      <c r="U118" s="899"/>
      <c r="V118" s="899"/>
      <c r="W118" s="899"/>
      <c r="X118" s="899"/>
      <c r="Y118" s="899"/>
      <c r="Z118" s="899"/>
      <c r="AA118" s="899"/>
      <c r="AB118" s="899"/>
      <c r="AC118" s="899"/>
      <c r="AD118" s="899"/>
      <c r="AE118" s="899"/>
      <c r="AF118" s="899"/>
      <c r="AG118" s="899"/>
      <c r="AH118" s="899"/>
      <c r="AI118" s="899"/>
      <c r="AJ118" s="899"/>
      <c r="AK118" s="899"/>
      <c r="AL118" s="899"/>
      <c r="AM118" s="899"/>
      <c r="AN118" s="899"/>
      <c r="AO118" s="899"/>
    </row>
    <row r="119">
      <c r="B119" s="1295" t="s">
        <v>1562</v>
      </c>
      <c r="G119" s="899"/>
      <c r="H119" s="899"/>
      <c r="I119" s="899"/>
      <c r="J119" s="899"/>
      <c r="K119" s="899"/>
      <c r="L119" s="899"/>
      <c r="M119" s="899"/>
      <c r="N119" s="899"/>
      <c r="O119" s="899"/>
      <c r="P119" s="899"/>
      <c r="Q119" s="899"/>
      <c r="R119" s="899"/>
      <c r="S119" s="899"/>
      <c r="T119" s="899"/>
      <c r="U119" s="899"/>
      <c r="V119" s="899"/>
      <c r="W119" s="899"/>
      <c r="X119" s="899"/>
      <c r="Y119" s="899"/>
      <c r="Z119" s="899"/>
      <c r="AA119" s="899"/>
      <c r="AB119" s="899"/>
      <c r="AC119" s="899"/>
      <c r="AD119" s="899"/>
      <c r="AE119" s="899"/>
      <c r="AF119" s="899"/>
      <c r="AG119" s="899"/>
      <c r="AH119" s="899"/>
      <c r="AI119" s="899"/>
      <c r="AJ119" s="899"/>
      <c r="AK119" s="899"/>
      <c r="AL119" s="899"/>
      <c r="AM119" s="899"/>
      <c r="AN119" s="899"/>
      <c r="AO119" s="899"/>
    </row>
    <row r="120">
      <c r="A120" s="1292" t="s">
        <v>1580</v>
      </c>
      <c r="B120" s="1293" t="s">
        <v>1552</v>
      </c>
      <c r="G120" s="899"/>
      <c r="H120" s="899"/>
      <c r="I120" s="899"/>
      <c r="J120" s="899"/>
      <c r="K120" s="899"/>
      <c r="L120" s="899"/>
      <c r="M120" s="899"/>
      <c r="N120" s="899"/>
      <c r="O120" s="899"/>
      <c r="P120" s="899"/>
      <c r="Q120" s="899"/>
      <c r="R120" s="899"/>
      <c r="S120" s="899"/>
      <c r="T120" s="899"/>
      <c r="U120" s="899"/>
      <c r="V120" s="899"/>
      <c r="W120" s="899"/>
      <c r="X120" s="899"/>
      <c r="Y120" s="899"/>
      <c r="Z120" s="899"/>
      <c r="AA120" s="899"/>
      <c r="AB120" s="899"/>
      <c r="AC120" s="899"/>
      <c r="AD120" s="899"/>
      <c r="AE120" s="899"/>
      <c r="AF120" s="899"/>
      <c r="AG120" s="899"/>
      <c r="AH120" s="899"/>
      <c r="AI120" s="899"/>
      <c r="AJ120" s="899"/>
      <c r="AK120" s="899"/>
      <c r="AL120" s="899"/>
      <c r="AM120" s="899"/>
      <c r="AN120" s="899"/>
      <c r="AO120" s="899"/>
    </row>
    <row r="121">
      <c r="B121" s="1295" t="s">
        <v>1553</v>
      </c>
      <c r="G121" s="899"/>
      <c r="H121" s="899"/>
      <c r="I121" s="899"/>
      <c r="J121" s="899"/>
      <c r="K121" s="899"/>
      <c r="L121" s="899"/>
      <c r="M121" s="899"/>
      <c r="N121" s="899"/>
      <c r="O121" s="899"/>
      <c r="P121" s="899"/>
      <c r="Q121" s="899"/>
      <c r="R121" s="899"/>
      <c r="S121" s="899"/>
      <c r="T121" s="899"/>
      <c r="U121" s="899"/>
      <c r="V121" s="899"/>
      <c r="W121" s="899"/>
      <c r="X121" s="899"/>
      <c r="Y121" s="899"/>
      <c r="Z121" s="899"/>
      <c r="AA121" s="899"/>
      <c r="AB121" s="899"/>
      <c r="AC121" s="899"/>
      <c r="AD121" s="899"/>
      <c r="AE121" s="899"/>
      <c r="AF121" s="899"/>
      <c r="AG121" s="899"/>
      <c r="AH121" s="899"/>
      <c r="AI121" s="899"/>
      <c r="AJ121" s="899"/>
      <c r="AK121" s="899"/>
      <c r="AL121" s="899"/>
      <c r="AM121" s="899"/>
      <c r="AN121" s="899"/>
      <c r="AO121" s="899"/>
    </row>
    <row r="122">
      <c r="B122" s="1295" t="s">
        <v>1555</v>
      </c>
      <c r="G122" s="899"/>
      <c r="H122" s="899"/>
      <c r="I122" s="899"/>
      <c r="J122" s="899"/>
      <c r="K122" s="899"/>
      <c r="L122" s="899"/>
      <c r="M122" s="899"/>
      <c r="N122" s="899"/>
      <c r="O122" s="899"/>
      <c r="P122" s="899"/>
      <c r="Q122" s="899"/>
      <c r="R122" s="899"/>
      <c r="S122" s="899"/>
      <c r="T122" s="899"/>
      <c r="U122" s="899"/>
      <c r="V122" s="899"/>
      <c r="W122" s="899"/>
      <c r="X122" s="899"/>
      <c r="Y122" s="899"/>
      <c r="Z122" s="899"/>
      <c r="AA122" s="899"/>
      <c r="AB122" s="899"/>
      <c r="AC122" s="899"/>
      <c r="AD122" s="899"/>
      <c r="AE122" s="899"/>
      <c r="AF122" s="899"/>
      <c r="AG122" s="899"/>
      <c r="AH122" s="899"/>
      <c r="AI122" s="899"/>
      <c r="AJ122" s="899"/>
      <c r="AK122" s="899"/>
      <c r="AL122" s="899"/>
      <c r="AM122" s="899"/>
      <c r="AN122" s="899"/>
      <c r="AO122" s="899"/>
    </row>
    <row r="123">
      <c r="B123" s="1295" t="s">
        <v>1556</v>
      </c>
      <c r="G123" s="899"/>
      <c r="H123" s="899"/>
      <c r="I123" s="899"/>
      <c r="J123" s="899"/>
      <c r="K123" s="899"/>
      <c r="L123" s="899"/>
      <c r="M123" s="899"/>
      <c r="N123" s="899"/>
      <c r="O123" s="899"/>
      <c r="P123" s="899"/>
      <c r="Q123" s="899"/>
      <c r="R123" s="899"/>
      <c r="S123" s="899"/>
      <c r="T123" s="899"/>
      <c r="U123" s="899"/>
      <c r="V123" s="899"/>
      <c r="W123" s="899"/>
      <c r="X123" s="899"/>
      <c r="Y123" s="899"/>
      <c r="Z123" s="899"/>
      <c r="AA123" s="899"/>
      <c r="AB123" s="899"/>
      <c r="AC123" s="899"/>
      <c r="AD123" s="899"/>
      <c r="AE123" s="899"/>
      <c r="AF123" s="899"/>
      <c r="AG123" s="899"/>
      <c r="AH123" s="899"/>
      <c r="AI123" s="899"/>
      <c r="AJ123" s="899"/>
      <c r="AK123" s="899"/>
      <c r="AL123" s="899"/>
      <c r="AM123" s="899"/>
      <c r="AN123" s="899"/>
      <c r="AO123" s="899"/>
    </row>
    <row r="124">
      <c r="B124" s="1305" t="s">
        <v>1557</v>
      </c>
      <c r="G124" s="899"/>
      <c r="H124" s="899"/>
      <c r="I124" s="899"/>
      <c r="J124" s="899"/>
      <c r="K124" s="899"/>
      <c r="L124" s="899"/>
      <c r="M124" s="899"/>
      <c r="N124" s="899"/>
      <c r="O124" s="899"/>
      <c r="P124" s="899"/>
      <c r="Q124" s="899"/>
      <c r="R124" s="899"/>
      <c r="S124" s="899"/>
      <c r="T124" s="899"/>
      <c r="U124" s="899"/>
      <c r="V124" s="899"/>
      <c r="W124" s="899"/>
      <c r="X124" s="899"/>
      <c r="Y124" s="899"/>
      <c r="Z124" s="899"/>
      <c r="AA124" s="899"/>
      <c r="AB124" s="899"/>
      <c r="AC124" s="899"/>
      <c r="AD124" s="899"/>
      <c r="AE124" s="899"/>
      <c r="AF124" s="899"/>
      <c r="AG124" s="899"/>
      <c r="AH124" s="899"/>
      <c r="AI124" s="899"/>
      <c r="AJ124" s="899"/>
      <c r="AK124" s="899"/>
      <c r="AL124" s="899"/>
      <c r="AM124" s="899"/>
      <c r="AN124" s="899"/>
      <c r="AO124" s="899"/>
    </row>
    <row r="125">
      <c r="B125" s="1305" t="s">
        <v>1559</v>
      </c>
      <c r="G125" s="899"/>
      <c r="H125" s="899"/>
      <c r="I125" s="899"/>
      <c r="J125" s="899"/>
      <c r="K125" s="899"/>
      <c r="L125" s="899"/>
      <c r="M125" s="899"/>
      <c r="N125" s="899"/>
      <c r="O125" s="899"/>
      <c r="P125" s="899"/>
      <c r="Q125" s="899"/>
      <c r="R125" s="899"/>
      <c r="S125" s="899"/>
      <c r="T125" s="899"/>
      <c r="U125" s="899"/>
      <c r="V125" s="899"/>
      <c r="W125" s="899"/>
      <c r="X125" s="899"/>
      <c r="Y125" s="899"/>
      <c r="Z125" s="899"/>
      <c r="AA125" s="899"/>
      <c r="AB125" s="899"/>
      <c r="AC125" s="899"/>
      <c r="AD125" s="899"/>
      <c r="AE125" s="899"/>
      <c r="AF125" s="899"/>
      <c r="AG125" s="899"/>
      <c r="AH125" s="899"/>
      <c r="AI125" s="899"/>
      <c r="AJ125" s="899"/>
      <c r="AK125" s="899"/>
      <c r="AL125" s="899"/>
      <c r="AM125" s="899"/>
      <c r="AN125" s="899"/>
      <c r="AO125" s="899"/>
    </row>
    <row r="126">
      <c r="B126" s="1295" t="s">
        <v>1560</v>
      </c>
      <c r="G126" s="899"/>
      <c r="H126" s="899"/>
      <c r="I126" s="899"/>
      <c r="J126" s="899"/>
      <c r="K126" s="899"/>
      <c r="L126" s="899"/>
      <c r="M126" s="899"/>
      <c r="N126" s="899"/>
      <c r="O126" s="899"/>
      <c r="P126" s="899"/>
      <c r="Q126" s="899"/>
      <c r="R126" s="899"/>
      <c r="S126" s="899"/>
      <c r="T126" s="899"/>
      <c r="U126" s="899"/>
      <c r="V126" s="899"/>
      <c r="W126" s="899"/>
      <c r="X126" s="899"/>
      <c r="Y126" s="899"/>
      <c r="Z126" s="899"/>
      <c r="AA126" s="899"/>
      <c r="AB126" s="899"/>
      <c r="AC126" s="899"/>
      <c r="AD126" s="899"/>
      <c r="AE126" s="899"/>
      <c r="AF126" s="899"/>
      <c r="AG126" s="899"/>
      <c r="AH126" s="899"/>
      <c r="AI126" s="899"/>
      <c r="AJ126" s="899"/>
      <c r="AK126" s="899"/>
      <c r="AL126" s="899"/>
      <c r="AM126" s="899"/>
      <c r="AN126" s="899"/>
      <c r="AO126" s="899"/>
    </row>
    <row r="127">
      <c r="B127" s="1295" t="s">
        <v>1561</v>
      </c>
      <c r="G127" s="899"/>
      <c r="H127" s="899"/>
      <c r="I127" s="899"/>
      <c r="J127" s="899"/>
      <c r="K127" s="899"/>
      <c r="L127" s="899"/>
      <c r="M127" s="899"/>
      <c r="N127" s="899"/>
      <c r="O127" s="899"/>
      <c r="P127" s="899"/>
      <c r="Q127" s="899"/>
      <c r="R127" s="899"/>
      <c r="S127" s="899"/>
      <c r="T127" s="899"/>
      <c r="U127" s="899"/>
      <c r="V127" s="899"/>
      <c r="W127" s="899"/>
      <c r="X127" s="899"/>
      <c r="Y127" s="899"/>
      <c r="Z127" s="899"/>
      <c r="AA127" s="899"/>
      <c r="AB127" s="899"/>
      <c r="AC127" s="899"/>
      <c r="AD127" s="899"/>
      <c r="AE127" s="899"/>
      <c r="AF127" s="899"/>
      <c r="AG127" s="899"/>
      <c r="AH127" s="899"/>
      <c r="AI127" s="899"/>
      <c r="AJ127" s="899"/>
      <c r="AK127" s="899"/>
      <c r="AL127" s="899"/>
      <c r="AM127" s="899"/>
      <c r="AN127" s="899"/>
      <c r="AO127" s="899"/>
    </row>
    <row r="128">
      <c r="B128" s="1295" t="s">
        <v>1562</v>
      </c>
      <c r="G128" s="899"/>
      <c r="H128" s="899"/>
      <c r="I128" s="899"/>
      <c r="J128" s="899"/>
      <c r="K128" s="899"/>
      <c r="L128" s="899"/>
      <c r="M128" s="899"/>
      <c r="N128" s="899"/>
      <c r="O128" s="899"/>
      <c r="P128" s="899"/>
      <c r="Q128" s="899"/>
      <c r="R128" s="899"/>
      <c r="S128" s="899"/>
      <c r="T128" s="899"/>
      <c r="U128" s="899"/>
      <c r="V128" s="899"/>
      <c r="W128" s="899"/>
      <c r="X128" s="899"/>
      <c r="Y128" s="899"/>
      <c r="Z128" s="899"/>
      <c r="AA128" s="899"/>
      <c r="AB128" s="899"/>
      <c r="AC128" s="899"/>
      <c r="AD128" s="899"/>
      <c r="AE128" s="899"/>
      <c r="AF128" s="899"/>
      <c r="AG128" s="899"/>
      <c r="AH128" s="899"/>
      <c r="AI128" s="899"/>
      <c r="AJ128" s="899"/>
      <c r="AK128" s="899"/>
      <c r="AL128" s="899"/>
      <c r="AM128" s="899"/>
      <c r="AN128" s="899"/>
      <c r="AO128" s="899"/>
    </row>
    <row r="129">
      <c r="A129" s="1292" t="s">
        <v>1581</v>
      </c>
      <c r="B129" s="1293" t="s">
        <v>1552</v>
      </c>
      <c r="G129" s="899"/>
      <c r="H129" s="899"/>
      <c r="I129" s="899"/>
      <c r="J129" s="899"/>
      <c r="K129" s="899"/>
      <c r="L129" s="899"/>
      <c r="M129" s="899"/>
      <c r="N129" s="899"/>
      <c r="O129" s="899"/>
      <c r="P129" s="899"/>
      <c r="Q129" s="899"/>
      <c r="R129" s="899"/>
      <c r="S129" s="899"/>
      <c r="T129" s="899"/>
      <c r="U129" s="899"/>
      <c r="V129" s="899"/>
      <c r="W129" s="899"/>
      <c r="X129" s="899"/>
      <c r="Y129" s="899"/>
      <c r="Z129" s="899"/>
      <c r="AA129" s="899"/>
      <c r="AB129" s="899"/>
      <c r="AC129" s="899"/>
      <c r="AD129" s="899"/>
      <c r="AE129" s="899"/>
      <c r="AF129" s="899"/>
      <c r="AG129" s="899"/>
      <c r="AH129" s="899"/>
      <c r="AI129" s="899"/>
      <c r="AJ129" s="899"/>
      <c r="AK129" s="899"/>
      <c r="AL129" s="899"/>
      <c r="AM129" s="899"/>
      <c r="AN129" s="899"/>
      <c r="AO129" s="899"/>
    </row>
    <row r="130">
      <c r="B130" s="1295" t="s">
        <v>1553</v>
      </c>
      <c r="G130" s="899"/>
      <c r="H130" s="899"/>
      <c r="I130" s="899"/>
      <c r="J130" s="899"/>
      <c r="K130" s="899"/>
      <c r="L130" s="899"/>
      <c r="M130" s="899"/>
      <c r="N130" s="899"/>
      <c r="O130" s="899"/>
      <c r="P130" s="899"/>
      <c r="Q130" s="899"/>
      <c r="R130" s="899"/>
      <c r="S130" s="899"/>
      <c r="T130" s="899"/>
      <c r="U130" s="899"/>
      <c r="V130" s="899"/>
      <c r="W130" s="899"/>
      <c r="X130" s="899"/>
      <c r="Y130" s="899"/>
      <c r="Z130" s="899"/>
      <c r="AA130" s="899"/>
      <c r="AB130" s="899"/>
      <c r="AC130" s="899"/>
      <c r="AD130" s="899"/>
      <c r="AE130" s="899"/>
      <c r="AF130" s="899"/>
      <c r="AG130" s="899"/>
      <c r="AH130" s="899"/>
      <c r="AI130" s="899"/>
      <c r="AJ130" s="899"/>
      <c r="AK130" s="899"/>
      <c r="AL130" s="899"/>
      <c r="AM130" s="899"/>
      <c r="AN130" s="899"/>
      <c r="AO130" s="899"/>
    </row>
    <row r="131">
      <c r="B131" s="1295" t="s">
        <v>1555</v>
      </c>
      <c r="G131" s="899"/>
      <c r="H131" s="899"/>
      <c r="I131" s="899"/>
      <c r="J131" s="899"/>
      <c r="K131" s="899"/>
      <c r="L131" s="899"/>
      <c r="M131" s="899"/>
      <c r="N131" s="899"/>
      <c r="O131" s="899"/>
      <c r="P131" s="899"/>
      <c r="Q131" s="899"/>
      <c r="R131" s="899"/>
      <c r="S131" s="899"/>
      <c r="T131" s="899"/>
      <c r="U131" s="899"/>
      <c r="V131" s="899"/>
      <c r="W131" s="899"/>
      <c r="X131" s="899"/>
      <c r="Y131" s="899"/>
      <c r="Z131" s="899"/>
      <c r="AA131" s="899"/>
      <c r="AB131" s="899"/>
      <c r="AC131" s="899"/>
      <c r="AD131" s="899"/>
      <c r="AE131" s="899"/>
      <c r="AF131" s="899"/>
      <c r="AG131" s="899"/>
      <c r="AH131" s="899"/>
      <c r="AI131" s="899"/>
      <c r="AJ131" s="899"/>
      <c r="AK131" s="899"/>
      <c r="AL131" s="899"/>
      <c r="AM131" s="899"/>
      <c r="AN131" s="899"/>
      <c r="AO131" s="899"/>
    </row>
    <row r="132">
      <c r="B132" s="1295" t="s">
        <v>1556</v>
      </c>
      <c r="G132" s="899"/>
      <c r="H132" s="899"/>
      <c r="I132" s="899"/>
      <c r="J132" s="899"/>
      <c r="K132" s="899"/>
      <c r="L132" s="899"/>
      <c r="M132" s="899"/>
      <c r="N132" s="899"/>
      <c r="O132" s="899"/>
      <c r="P132" s="899"/>
      <c r="Q132" s="899"/>
      <c r="R132" s="899"/>
      <c r="S132" s="899"/>
      <c r="T132" s="899"/>
      <c r="U132" s="899"/>
      <c r="V132" s="899"/>
      <c r="W132" s="899"/>
      <c r="X132" s="899"/>
      <c r="Y132" s="899"/>
      <c r="Z132" s="899"/>
      <c r="AA132" s="899"/>
      <c r="AB132" s="899"/>
      <c r="AC132" s="899"/>
      <c r="AD132" s="899"/>
      <c r="AE132" s="899"/>
      <c r="AF132" s="899"/>
      <c r="AG132" s="899"/>
      <c r="AH132" s="899"/>
      <c r="AI132" s="899"/>
      <c r="AJ132" s="899"/>
      <c r="AK132" s="899"/>
      <c r="AL132" s="899"/>
      <c r="AM132" s="899"/>
      <c r="AN132" s="899"/>
      <c r="AO132" s="899"/>
    </row>
    <row r="133">
      <c r="B133" s="1305" t="s">
        <v>1557</v>
      </c>
      <c r="G133" s="899"/>
      <c r="H133" s="899"/>
      <c r="I133" s="899"/>
      <c r="J133" s="899"/>
      <c r="K133" s="899"/>
      <c r="L133" s="899"/>
      <c r="M133" s="899"/>
      <c r="N133" s="899"/>
      <c r="O133" s="899"/>
      <c r="P133" s="899"/>
      <c r="Q133" s="899"/>
      <c r="R133" s="899"/>
      <c r="S133" s="899"/>
      <c r="T133" s="899"/>
      <c r="U133" s="899"/>
      <c r="V133" s="899"/>
      <c r="W133" s="899"/>
      <c r="X133" s="899"/>
      <c r="Y133" s="899"/>
      <c r="Z133" s="899"/>
      <c r="AA133" s="899"/>
      <c r="AB133" s="899"/>
      <c r="AC133" s="899"/>
      <c r="AD133" s="899"/>
      <c r="AE133" s="899"/>
      <c r="AF133" s="899"/>
      <c r="AG133" s="899"/>
      <c r="AH133" s="899"/>
      <c r="AI133" s="899"/>
      <c r="AJ133" s="899"/>
      <c r="AK133" s="899"/>
      <c r="AL133" s="899"/>
      <c r="AM133" s="899"/>
      <c r="AN133" s="899"/>
      <c r="AO133" s="899"/>
    </row>
    <row r="134">
      <c r="B134" s="1305" t="s">
        <v>1559</v>
      </c>
      <c r="G134" s="899"/>
      <c r="H134" s="899"/>
      <c r="I134" s="899"/>
      <c r="J134" s="899"/>
      <c r="K134" s="899"/>
      <c r="L134" s="899"/>
      <c r="M134" s="899"/>
      <c r="N134" s="899"/>
      <c r="O134" s="899"/>
      <c r="P134" s="899"/>
      <c r="Q134" s="899"/>
      <c r="R134" s="899"/>
      <c r="S134" s="899"/>
      <c r="T134" s="899"/>
      <c r="U134" s="899"/>
      <c r="V134" s="899"/>
      <c r="W134" s="899"/>
      <c r="X134" s="899"/>
      <c r="Y134" s="899"/>
      <c r="Z134" s="899"/>
      <c r="AA134" s="899"/>
      <c r="AB134" s="899"/>
      <c r="AC134" s="899"/>
      <c r="AD134" s="899"/>
      <c r="AE134" s="899"/>
      <c r="AF134" s="899"/>
      <c r="AG134" s="899"/>
      <c r="AH134" s="899"/>
      <c r="AI134" s="899"/>
      <c r="AJ134" s="899"/>
      <c r="AK134" s="899"/>
      <c r="AL134" s="899"/>
      <c r="AM134" s="899"/>
      <c r="AN134" s="899"/>
      <c r="AO134" s="899"/>
    </row>
    <row r="135">
      <c r="B135" s="1295" t="s">
        <v>1560</v>
      </c>
      <c r="G135" s="899"/>
      <c r="H135" s="899"/>
      <c r="I135" s="899"/>
      <c r="J135" s="899"/>
      <c r="K135" s="899"/>
      <c r="L135" s="899"/>
      <c r="M135" s="899"/>
      <c r="N135" s="899"/>
      <c r="O135" s="899"/>
      <c r="P135" s="899"/>
      <c r="Q135" s="899"/>
      <c r="R135" s="899"/>
      <c r="S135" s="899"/>
      <c r="T135" s="899"/>
      <c r="U135" s="899"/>
      <c r="V135" s="899"/>
      <c r="W135" s="899"/>
      <c r="X135" s="899"/>
      <c r="Y135" s="899"/>
      <c r="Z135" s="899"/>
      <c r="AA135" s="899"/>
      <c r="AB135" s="899"/>
      <c r="AC135" s="899"/>
      <c r="AD135" s="899"/>
      <c r="AE135" s="899"/>
      <c r="AF135" s="899"/>
      <c r="AG135" s="899"/>
      <c r="AH135" s="899"/>
      <c r="AI135" s="899"/>
      <c r="AJ135" s="899"/>
      <c r="AK135" s="899"/>
      <c r="AL135" s="899"/>
      <c r="AM135" s="899"/>
      <c r="AN135" s="899"/>
      <c r="AO135" s="899"/>
    </row>
    <row r="136">
      <c r="B136" s="1295" t="s">
        <v>1561</v>
      </c>
      <c r="G136" s="899"/>
      <c r="H136" s="899"/>
      <c r="I136" s="899"/>
      <c r="J136" s="899"/>
      <c r="K136" s="899"/>
      <c r="L136" s="899"/>
      <c r="M136" s="899"/>
      <c r="N136" s="899"/>
      <c r="O136" s="899"/>
      <c r="P136" s="899"/>
      <c r="Q136" s="899"/>
      <c r="R136" s="899"/>
      <c r="S136" s="899"/>
      <c r="T136" s="899"/>
      <c r="U136" s="899"/>
      <c r="V136" s="899"/>
      <c r="W136" s="899"/>
      <c r="X136" s="899"/>
      <c r="Y136" s="899"/>
      <c r="Z136" s="899"/>
      <c r="AA136" s="899"/>
      <c r="AB136" s="899"/>
      <c r="AC136" s="899"/>
      <c r="AD136" s="899"/>
      <c r="AE136" s="899"/>
      <c r="AF136" s="899"/>
      <c r="AG136" s="899"/>
      <c r="AH136" s="899"/>
      <c r="AI136" s="899"/>
      <c r="AJ136" s="899"/>
      <c r="AK136" s="899"/>
      <c r="AL136" s="899"/>
      <c r="AM136" s="899"/>
      <c r="AN136" s="899"/>
      <c r="AO136" s="899"/>
    </row>
    <row r="137">
      <c r="B137" s="1295" t="s">
        <v>1562</v>
      </c>
      <c r="G137" s="899"/>
      <c r="H137" s="899"/>
      <c r="I137" s="899"/>
      <c r="J137" s="899"/>
      <c r="K137" s="899"/>
      <c r="L137" s="899"/>
      <c r="M137" s="899"/>
      <c r="N137" s="899"/>
      <c r="O137" s="899"/>
      <c r="P137" s="899"/>
      <c r="Q137" s="899"/>
      <c r="R137" s="899"/>
      <c r="S137" s="899"/>
      <c r="T137" s="899"/>
      <c r="U137" s="899"/>
      <c r="V137" s="899"/>
      <c r="W137" s="899"/>
      <c r="X137" s="899"/>
      <c r="Y137" s="899"/>
      <c r="Z137" s="899"/>
      <c r="AA137" s="899"/>
      <c r="AB137" s="899"/>
      <c r="AC137" s="899"/>
      <c r="AD137" s="899"/>
      <c r="AE137" s="899"/>
      <c r="AF137" s="899"/>
      <c r="AG137" s="899"/>
      <c r="AH137" s="899"/>
      <c r="AI137" s="899"/>
      <c r="AJ137" s="899"/>
      <c r="AK137" s="899"/>
      <c r="AL137" s="899"/>
      <c r="AM137" s="899"/>
      <c r="AN137" s="899"/>
      <c r="AO137" s="899"/>
    </row>
    <row r="138">
      <c r="A138" s="1286" t="s">
        <v>1582</v>
      </c>
      <c r="G138" s="899"/>
      <c r="H138" s="899"/>
      <c r="I138" s="899"/>
      <c r="J138" s="899"/>
      <c r="K138" s="899"/>
      <c r="L138" s="899"/>
      <c r="M138" s="899"/>
      <c r="N138" s="899"/>
      <c r="O138" s="899"/>
      <c r="P138" s="899"/>
      <c r="Q138" s="899"/>
      <c r="R138" s="899"/>
      <c r="S138" s="899"/>
      <c r="T138" s="899"/>
      <c r="U138" s="899"/>
      <c r="V138" s="899"/>
      <c r="W138" s="899"/>
      <c r="X138" s="899"/>
      <c r="Y138" s="899"/>
      <c r="Z138" s="899"/>
      <c r="AA138" s="899"/>
      <c r="AB138" s="899"/>
      <c r="AC138" s="899"/>
      <c r="AD138" s="899"/>
      <c r="AE138" s="899"/>
      <c r="AF138" s="899"/>
      <c r="AG138" s="899"/>
      <c r="AH138" s="899"/>
      <c r="AI138" s="899"/>
      <c r="AJ138" s="899"/>
      <c r="AK138" s="899"/>
      <c r="AL138" s="899"/>
      <c r="AM138" s="899"/>
      <c r="AN138" s="899"/>
      <c r="AO138" s="899"/>
    </row>
    <row r="139">
      <c r="A139" s="1320" t="s">
        <v>1571</v>
      </c>
      <c r="B139" s="1293" t="s">
        <v>1552</v>
      </c>
      <c r="G139" s="899"/>
      <c r="H139" s="899"/>
      <c r="I139" s="899"/>
      <c r="J139" s="899"/>
      <c r="K139" s="899"/>
      <c r="L139" s="899"/>
      <c r="M139" s="899"/>
      <c r="N139" s="899"/>
      <c r="O139" s="899"/>
      <c r="P139" s="899"/>
      <c r="Q139" s="899"/>
      <c r="R139" s="899"/>
      <c r="S139" s="899"/>
      <c r="T139" s="899"/>
      <c r="U139" s="899"/>
      <c r="V139" s="899"/>
      <c r="W139" s="899"/>
      <c r="X139" s="899"/>
      <c r="Y139" s="899"/>
      <c r="Z139" s="899"/>
      <c r="AA139" s="899"/>
      <c r="AB139" s="899"/>
      <c r="AC139" s="899"/>
      <c r="AD139" s="899"/>
      <c r="AE139" s="899"/>
      <c r="AF139" s="899"/>
      <c r="AG139" s="899"/>
      <c r="AH139" s="899"/>
      <c r="AI139" s="899"/>
      <c r="AJ139" s="899"/>
      <c r="AK139" s="899"/>
      <c r="AL139" s="899"/>
      <c r="AM139" s="899"/>
      <c r="AN139" s="899"/>
      <c r="AO139" s="899"/>
    </row>
    <row r="140">
      <c r="B140" s="1295" t="s">
        <v>1553</v>
      </c>
      <c r="G140" s="899"/>
      <c r="H140" s="899"/>
      <c r="I140" s="899"/>
      <c r="J140" s="899"/>
      <c r="K140" s="899"/>
      <c r="L140" s="899"/>
      <c r="M140" s="899"/>
      <c r="N140" s="899"/>
      <c r="O140" s="899"/>
      <c r="P140" s="899"/>
      <c r="Q140" s="899"/>
      <c r="R140" s="899"/>
      <c r="S140" s="899"/>
      <c r="T140" s="899"/>
      <c r="U140" s="899"/>
      <c r="V140" s="899"/>
      <c r="W140" s="899"/>
      <c r="X140" s="899"/>
      <c r="Y140" s="899"/>
      <c r="Z140" s="899"/>
      <c r="AA140" s="899"/>
      <c r="AB140" s="899"/>
      <c r="AC140" s="899"/>
      <c r="AD140" s="899"/>
      <c r="AE140" s="899"/>
      <c r="AF140" s="899"/>
      <c r="AG140" s="899"/>
      <c r="AH140" s="899"/>
      <c r="AI140" s="899"/>
      <c r="AJ140" s="899"/>
      <c r="AK140" s="899"/>
      <c r="AL140" s="899"/>
      <c r="AM140" s="899"/>
      <c r="AN140" s="899"/>
      <c r="AO140" s="899"/>
    </row>
    <row r="141">
      <c r="B141" s="1295" t="s">
        <v>1555</v>
      </c>
      <c r="G141" s="899"/>
      <c r="H141" s="899"/>
      <c r="I141" s="899"/>
      <c r="J141" s="899"/>
      <c r="K141" s="899"/>
      <c r="L141" s="899"/>
      <c r="M141" s="899"/>
      <c r="N141" s="899"/>
      <c r="O141" s="899"/>
      <c r="P141" s="899"/>
      <c r="Q141" s="899"/>
      <c r="R141" s="899"/>
      <c r="S141" s="899"/>
      <c r="T141" s="899"/>
      <c r="U141" s="899"/>
      <c r="V141" s="899"/>
      <c r="W141" s="899"/>
      <c r="X141" s="899"/>
      <c r="Y141" s="899"/>
      <c r="Z141" s="899"/>
      <c r="AA141" s="899"/>
      <c r="AB141" s="899"/>
      <c r="AC141" s="899"/>
      <c r="AD141" s="899"/>
      <c r="AE141" s="899"/>
      <c r="AF141" s="899"/>
      <c r="AG141" s="899"/>
      <c r="AH141" s="899"/>
      <c r="AI141" s="899"/>
      <c r="AJ141" s="899"/>
      <c r="AK141" s="899"/>
      <c r="AL141" s="899"/>
      <c r="AM141" s="899"/>
      <c r="AN141" s="899"/>
      <c r="AO141" s="899"/>
    </row>
    <row r="142">
      <c r="B142" s="1295" t="s">
        <v>1556</v>
      </c>
      <c r="G142" s="899"/>
      <c r="H142" s="899"/>
      <c r="I142" s="899"/>
      <c r="J142" s="899"/>
      <c r="K142" s="899"/>
      <c r="L142" s="899"/>
      <c r="M142" s="899"/>
      <c r="N142" s="899"/>
      <c r="O142" s="899"/>
      <c r="P142" s="899"/>
      <c r="Q142" s="899"/>
      <c r="R142" s="899"/>
      <c r="S142" s="899"/>
      <c r="T142" s="899"/>
      <c r="U142" s="899"/>
      <c r="V142" s="899"/>
      <c r="W142" s="899"/>
      <c r="X142" s="899"/>
      <c r="Y142" s="899"/>
      <c r="Z142" s="899"/>
      <c r="AA142" s="899"/>
      <c r="AB142" s="899"/>
      <c r="AC142" s="899"/>
      <c r="AD142" s="899"/>
      <c r="AE142" s="899"/>
      <c r="AF142" s="899"/>
      <c r="AG142" s="899"/>
      <c r="AH142" s="899"/>
      <c r="AI142" s="899"/>
      <c r="AJ142" s="899"/>
      <c r="AK142" s="899"/>
      <c r="AL142" s="899"/>
      <c r="AM142" s="899"/>
      <c r="AN142" s="899"/>
      <c r="AO142" s="899"/>
    </row>
    <row r="143">
      <c r="B143" s="1305" t="s">
        <v>1557</v>
      </c>
      <c r="G143" s="899"/>
      <c r="H143" s="899"/>
      <c r="I143" s="899"/>
      <c r="J143" s="899"/>
      <c r="K143" s="899"/>
      <c r="L143" s="899"/>
      <c r="M143" s="899"/>
      <c r="N143" s="899"/>
      <c r="O143" s="899"/>
      <c r="P143" s="899"/>
      <c r="Q143" s="899"/>
      <c r="R143" s="899"/>
      <c r="S143" s="899"/>
      <c r="T143" s="899"/>
      <c r="U143" s="899"/>
      <c r="V143" s="899"/>
      <c r="W143" s="899"/>
      <c r="X143" s="899"/>
      <c r="Y143" s="899"/>
      <c r="Z143" s="899"/>
      <c r="AA143" s="899"/>
      <c r="AB143" s="899"/>
      <c r="AC143" s="899"/>
      <c r="AD143" s="899"/>
      <c r="AE143" s="899"/>
      <c r="AF143" s="899"/>
      <c r="AG143" s="899"/>
      <c r="AH143" s="899"/>
      <c r="AI143" s="899"/>
      <c r="AJ143" s="899"/>
      <c r="AK143" s="899"/>
      <c r="AL143" s="899"/>
      <c r="AM143" s="899"/>
      <c r="AN143" s="899"/>
      <c r="AO143" s="899"/>
    </row>
    <row r="144">
      <c r="B144" s="1305" t="s">
        <v>1559</v>
      </c>
      <c r="G144" s="899"/>
      <c r="H144" s="899"/>
      <c r="I144" s="899"/>
      <c r="J144" s="899"/>
      <c r="K144" s="899"/>
      <c r="L144" s="899"/>
      <c r="M144" s="899"/>
      <c r="N144" s="899"/>
      <c r="O144" s="899"/>
      <c r="P144" s="899"/>
      <c r="Q144" s="899"/>
      <c r="R144" s="899"/>
      <c r="S144" s="899"/>
      <c r="T144" s="899"/>
      <c r="U144" s="899"/>
      <c r="V144" s="899"/>
      <c r="W144" s="899"/>
      <c r="X144" s="899"/>
      <c r="Y144" s="899"/>
      <c r="Z144" s="899"/>
      <c r="AA144" s="899"/>
      <c r="AB144" s="899"/>
      <c r="AC144" s="899"/>
      <c r="AD144" s="899"/>
      <c r="AE144" s="899"/>
      <c r="AF144" s="899"/>
      <c r="AG144" s="899"/>
      <c r="AH144" s="899"/>
      <c r="AI144" s="899"/>
      <c r="AJ144" s="899"/>
      <c r="AK144" s="899"/>
      <c r="AL144" s="899"/>
      <c r="AM144" s="899"/>
      <c r="AN144" s="899"/>
      <c r="AO144" s="899"/>
    </row>
    <row r="145">
      <c r="B145" s="1295" t="s">
        <v>1560</v>
      </c>
      <c r="G145" s="899"/>
      <c r="H145" s="899"/>
      <c r="I145" s="899"/>
      <c r="J145" s="899"/>
      <c r="K145" s="899"/>
      <c r="L145" s="899"/>
      <c r="M145" s="899"/>
      <c r="N145" s="899"/>
      <c r="O145" s="899"/>
      <c r="P145" s="899"/>
      <c r="Q145" s="899"/>
      <c r="R145" s="899"/>
      <c r="S145" s="899"/>
      <c r="T145" s="899"/>
      <c r="U145" s="899"/>
      <c r="V145" s="899"/>
      <c r="W145" s="899"/>
      <c r="X145" s="899"/>
      <c r="Y145" s="899"/>
      <c r="Z145" s="899"/>
      <c r="AA145" s="899"/>
      <c r="AB145" s="899"/>
      <c r="AC145" s="899"/>
      <c r="AD145" s="899"/>
      <c r="AE145" s="899"/>
      <c r="AF145" s="899"/>
      <c r="AG145" s="899"/>
      <c r="AH145" s="899"/>
      <c r="AI145" s="899"/>
      <c r="AJ145" s="899"/>
      <c r="AK145" s="899"/>
      <c r="AL145" s="899"/>
      <c r="AM145" s="899"/>
      <c r="AN145" s="899"/>
      <c r="AO145" s="899"/>
    </row>
    <row r="146">
      <c r="B146" s="1295" t="s">
        <v>1561</v>
      </c>
      <c r="G146" s="899"/>
      <c r="H146" s="899"/>
      <c r="I146" s="899"/>
      <c r="J146" s="899"/>
      <c r="K146" s="899"/>
      <c r="L146" s="899"/>
      <c r="M146" s="899"/>
      <c r="N146" s="899"/>
      <c r="O146" s="899"/>
      <c r="P146" s="899"/>
      <c r="Q146" s="899"/>
      <c r="R146" s="899"/>
      <c r="S146" s="899"/>
      <c r="T146" s="899"/>
      <c r="U146" s="899"/>
      <c r="V146" s="899"/>
      <c r="W146" s="899"/>
      <c r="X146" s="899"/>
      <c r="Y146" s="899"/>
      <c r="Z146" s="899"/>
      <c r="AA146" s="899"/>
      <c r="AB146" s="899"/>
      <c r="AC146" s="899"/>
      <c r="AD146" s="899"/>
      <c r="AE146" s="899"/>
      <c r="AF146" s="899"/>
      <c r="AG146" s="899"/>
      <c r="AH146" s="899"/>
      <c r="AI146" s="899"/>
      <c r="AJ146" s="899"/>
      <c r="AK146" s="899"/>
      <c r="AL146" s="899"/>
      <c r="AM146" s="899"/>
      <c r="AN146" s="899"/>
      <c r="AO146" s="899"/>
    </row>
    <row r="147">
      <c r="B147" s="1295" t="s">
        <v>1562</v>
      </c>
      <c r="G147" s="899"/>
      <c r="H147" s="899"/>
      <c r="I147" s="899"/>
      <c r="J147" s="899"/>
      <c r="K147" s="899"/>
      <c r="L147" s="899"/>
      <c r="M147" s="899"/>
      <c r="N147" s="899"/>
      <c r="O147" s="899"/>
      <c r="P147" s="899"/>
      <c r="Q147" s="899"/>
      <c r="R147" s="899"/>
      <c r="S147" s="899"/>
      <c r="T147" s="899"/>
      <c r="U147" s="899"/>
      <c r="V147" s="899"/>
      <c r="W147" s="899"/>
      <c r="X147" s="899"/>
      <c r="Y147" s="899"/>
      <c r="Z147" s="899"/>
      <c r="AA147" s="899"/>
      <c r="AB147" s="899"/>
      <c r="AC147" s="899"/>
      <c r="AD147" s="899"/>
      <c r="AE147" s="899"/>
      <c r="AF147" s="899"/>
      <c r="AG147" s="899"/>
      <c r="AH147" s="899"/>
      <c r="AI147" s="899"/>
      <c r="AJ147" s="899"/>
      <c r="AK147" s="899"/>
      <c r="AL147" s="899"/>
      <c r="AM147" s="899"/>
      <c r="AN147" s="899"/>
      <c r="AO147" s="899"/>
    </row>
    <row r="148">
      <c r="A148" s="1292" t="s">
        <v>1572</v>
      </c>
      <c r="B148" s="1293" t="s">
        <v>1552</v>
      </c>
      <c r="G148" s="899"/>
      <c r="H148" s="899"/>
      <c r="I148" s="899"/>
      <c r="J148" s="899"/>
      <c r="K148" s="899"/>
      <c r="L148" s="899"/>
      <c r="M148" s="899"/>
      <c r="N148" s="899"/>
      <c r="O148" s="899"/>
      <c r="P148" s="899"/>
      <c r="Q148" s="899"/>
      <c r="R148" s="899"/>
      <c r="S148" s="899"/>
      <c r="T148" s="899"/>
      <c r="U148" s="899"/>
      <c r="V148" s="899"/>
      <c r="W148" s="899"/>
      <c r="X148" s="899"/>
      <c r="Y148" s="899"/>
      <c r="Z148" s="899"/>
      <c r="AA148" s="899"/>
      <c r="AB148" s="899"/>
      <c r="AC148" s="899"/>
      <c r="AD148" s="899"/>
      <c r="AE148" s="899"/>
      <c r="AF148" s="899"/>
      <c r="AG148" s="899"/>
      <c r="AH148" s="899"/>
      <c r="AI148" s="899"/>
      <c r="AJ148" s="899"/>
      <c r="AK148" s="899"/>
      <c r="AL148" s="899"/>
      <c r="AM148" s="899"/>
      <c r="AN148" s="899"/>
      <c r="AO148" s="899"/>
    </row>
    <row r="149">
      <c r="B149" s="1295" t="s">
        <v>1553</v>
      </c>
      <c r="G149" s="899"/>
      <c r="H149" s="899"/>
      <c r="I149" s="899"/>
      <c r="J149" s="899"/>
      <c r="K149" s="899"/>
      <c r="L149" s="899"/>
      <c r="M149" s="899"/>
      <c r="N149" s="899"/>
      <c r="O149" s="899"/>
      <c r="P149" s="899"/>
      <c r="Q149" s="899"/>
      <c r="R149" s="899"/>
      <c r="S149" s="899"/>
      <c r="T149" s="899"/>
      <c r="U149" s="899"/>
      <c r="V149" s="899"/>
      <c r="W149" s="899"/>
      <c r="X149" s="899"/>
      <c r="Y149" s="899"/>
      <c r="Z149" s="899"/>
      <c r="AA149" s="899"/>
      <c r="AB149" s="899"/>
      <c r="AC149" s="899"/>
      <c r="AD149" s="899"/>
      <c r="AE149" s="899"/>
      <c r="AF149" s="899"/>
      <c r="AG149" s="899"/>
      <c r="AH149" s="899"/>
      <c r="AI149" s="899"/>
      <c r="AJ149" s="899"/>
      <c r="AK149" s="899"/>
      <c r="AL149" s="899"/>
      <c r="AM149" s="899"/>
      <c r="AN149" s="899"/>
      <c r="AO149" s="899"/>
    </row>
    <row r="150">
      <c r="B150" s="1295" t="s">
        <v>1555</v>
      </c>
      <c r="G150" s="899"/>
      <c r="H150" s="899"/>
      <c r="I150" s="899"/>
      <c r="J150" s="899"/>
      <c r="K150" s="899"/>
      <c r="L150" s="899"/>
      <c r="M150" s="899"/>
      <c r="N150" s="899"/>
      <c r="O150" s="899"/>
      <c r="P150" s="899"/>
      <c r="Q150" s="899"/>
      <c r="R150" s="899"/>
      <c r="S150" s="899"/>
      <c r="T150" s="899"/>
      <c r="U150" s="899"/>
      <c r="V150" s="899"/>
      <c r="W150" s="899"/>
      <c r="X150" s="899"/>
      <c r="Y150" s="899"/>
      <c r="Z150" s="899"/>
      <c r="AA150" s="899"/>
      <c r="AB150" s="899"/>
      <c r="AC150" s="899"/>
      <c r="AD150" s="899"/>
      <c r="AE150" s="899"/>
      <c r="AF150" s="899"/>
      <c r="AG150" s="899"/>
      <c r="AH150" s="899"/>
      <c r="AI150" s="899"/>
      <c r="AJ150" s="899"/>
      <c r="AK150" s="899"/>
      <c r="AL150" s="899"/>
      <c r="AM150" s="899"/>
      <c r="AN150" s="899"/>
      <c r="AO150" s="899"/>
    </row>
    <row r="151">
      <c r="B151" s="1295" t="s">
        <v>1556</v>
      </c>
      <c r="G151" s="899"/>
      <c r="H151" s="899"/>
      <c r="I151" s="899"/>
      <c r="J151" s="899"/>
      <c r="K151" s="899"/>
      <c r="L151" s="899"/>
      <c r="M151" s="899"/>
      <c r="N151" s="899"/>
      <c r="O151" s="899"/>
      <c r="P151" s="899"/>
      <c r="Q151" s="899"/>
      <c r="R151" s="899"/>
      <c r="S151" s="899"/>
      <c r="T151" s="899"/>
      <c r="U151" s="899"/>
      <c r="V151" s="899"/>
      <c r="W151" s="899"/>
      <c r="X151" s="899"/>
      <c r="Y151" s="899"/>
      <c r="Z151" s="899"/>
      <c r="AA151" s="899"/>
      <c r="AB151" s="899"/>
      <c r="AC151" s="899"/>
      <c r="AD151" s="899"/>
      <c r="AE151" s="899"/>
      <c r="AF151" s="899"/>
      <c r="AG151" s="899"/>
      <c r="AH151" s="899"/>
      <c r="AI151" s="899"/>
      <c r="AJ151" s="899"/>
      <c r="AK151" s="899"/>
      <c r="AL151" s="899"/>
      <c r="AM151" s="899"/>
      <c r="AN151" s="899"/>
      <c r="AO151" s="899"/>
    </row>
    <row r="152">
      <c r="B152" s="1305" t="s">
        <v>1557</v>
      </c>
      <c r="G152" s="899"/>
      <c r="H152" s="899"/>
      <c r="I152" s="899"/>
      <c r="J152" s="899"/>
      <c r="K152" s="899"/>
      <c r="L152" s="899"/>
      <c r="M152" s="899"/>
      <c r="N152" s="899"/>
      <c r="O152" s="899"/>
      <c r="P152" s="899"/>
      <c r="Q152" s="899"/>
      <c r="R152" s="899"/>
      <c r="S152" s="899"/>
      <c r="T152" s="899"/>
      <c r="U152" s="899"/>
      <c r="V152" s="899"/>
      <c r="W152" s="899"/>
      <c r="X152" s="899"/>
      <c r="Y152" s="899"/>
      <c r="Z152" s="899"/>
      <c r="AA152" s="899"/>
      <c r="AB152" s="899"/>
      <c r="AC152" s="899"/>
      <c r="AD152" s="899"/>
      <c r="AE152" s="899"/>
      <c r="AF152" s="899"/>
      <c r="AG152" s="899"/>
      <c r="AH152" s="899"/>
      <c r="AI152" s="899"/>
      <c r="AJ152" s="899"/>
      <c r="AK152" s="899"/>
      <c r="AL152" s="899"/>
      <c r="AM152" s="899"/>
      <c r="AN152" s="899"/>
      <c r="AO152" s="899"/>
    </row>
    <row r="153">
      <c r="B153" s="1305" t="s">
        <v>1559</v>
      </c>
      <c r="G153" s="899"/>
      <c r="H153" s="899"/>
      <c r="I153" s="899"/>
      <c r="J153" s="899"/>
      <c r="K153" s="899"/>
      <c r="L153" s="899"/>
      <c r="M153" s="899"/>
      <c r="N153" s="899"/>
      <c r="O153" s="899"/>
      <c r="P153" s="899"/>
      <c r="Q153" s="899"/>
      <c r="R153" s="899"/>
      <c r="S153" s="899"/>
      <c r="T153" s="899"/>
      <c r="U153" s="899"/>
      <c r="V153" s="899"/>
      <c r="W153" s="899"/>
      <c r="X153" s="899"/>
      <c r="Y153" s="899"/>
      <c r="Z153" s="899"/>
      <c r="AA153" s="899"/>
      <c r="AB153" s="899"/>
      <c r="AC153" s="899"/>
      <c r="AD153" s="899"/>
      <c r="AE153" s="899"/>
      <c r="AF153" s="899"/>
      <c r="AG153" s="899"/>
      <c r="AH153" s="899"/>
      <c r="AI153" s="899"/>
      <c r="AJ153" s="899"/>
      <c r="AK153" s="899"/>
      <c r="AL153" s="899"/>
      <c r="AM153" s="899"/>
      <c r="AN153" s="899"/>
      <c r="AO153" s="899"/>
    </row>
    <row r="154">
      <c r="B154" s="1295" t="s">
        <v>1560</v>
      </c>
      <c r="G154" s="899"/>
      <c r="H154" s="899"/>
      <c r="I154" s="899"/>
      <c r="J154" s="899"/>
      <c r="K154" s="899"/>
      <c r="L154" s="899"/>
      <c r="M154" s="899"/>
      <c r="N154" s="899"/>
      <c r="O154" s="899"/>
      <c r="P154" s="899"/>
      <c r="Q154" s="899"/>
      <c r="R154" s="899"/>
      <c r="S154" s="899"/>
      <c r="T154" s="899"/>
      <c r="U154" s="899"/>
      <c r="V154" s="899"/>
      <c r="W154" s="899"/>
      <c r="X154" s="899"/>
      <c r="Y154" s="899"/>
      <c r="Z154" s="899"/>
      <c r="AA154" s="899"/>
      <c r="AB154" s="899"/>
      <c r="AC154" s="899"/>
      <c r="AD154" s="899"/>
      <c r="AE154" s="899"/>
      <c r="AF154" s="899"/>
      <c r="AG154" s="899"/>
      <c r="AH154" s="899"/>
      <c r="AI154" s="899"/>
      <c r="AJ154" s="899"/>
      <c r="AK154" s="899"/>
      <c r="AL154" s="899"/>
      <c r="AM154" s="899"/>
      <c r="AN154" s="899"/>
      <c r="AO154" s="899"/>
    </row>
    <row r="155">
      <c r="B155" s="1295" t="s">
        <v>1561</v>
      </c>
      <c r="G155" s="899"/>
      <c r="H155" s="899"/>
      <c r="I155" s="899"/>
      <c r="J155" s="899"/>
      <c r="K155" s="899"/>
      <c r="L155" s="899"/>
      <c r="M155" s="899"/>
      <c r="N155" s="899"/>
      <c r="O155" s="899"/>
      <c r="P155" s="899"/>
      <c r="Q155" s="899"/>
      <c r="R155" s="899"/>
      <c r="S155" s="899"/>
      <c r="T155" s="899"/>
      <c r="U155" s="899"/>
      <c r="V155" s="899"/>
      <c r="W155" s="899"/>
      <c r="X155" s="899"/>
      <c r="Y155" s="899"/>
      <c r="Z155" s="899"/>
      <c r="AA155" s="899"/>
      <c r="AB155" s="899"/>
      <c r="AC155" s="899"/>
      <c r="AD155" s="899"/>
      <c r="AE155" s="899"/>
      <c r="AF155" s="899"/>
      <c r="AG155" s="899"/>
      <c r="AH155" s="899"/>
      <c r="AI155" s="899"/>
      <c r="AJ155" s="899"/>
      <c r="AK155" s="899"/>
      <c r="AL155" s="899"/>
      <c r="AM155" s="899"/>
      <c r="AN155" s="899"/>
      <c r="AO155" s="899"/>
    </row>
    <row r="156">
      <c r="B156" s="1295" t="s">
        <v>1562</v>
      </c>
      <c r="G156" s="899"/>
      <c r="H156" s="899"/>
      <c r="I156" s="899"/>
      <c r="J156" s="899"/>
      <c r="K156" s="899"/>
      <c r="L156" s="899"/>
      <c r="M156" s="899"/>
      <c r="N156" s="899"/>
      <c r="O156" s="899"/>
      <c r="P156" s="899"/>
      <c r="Q156" s="899"/>
      <c r="R156" s="899"/>
      <c r="S156" s="899"/>
      <c r="T156" s="899"/>
      <c r="U156" s="899"/>
      <c r="V156" s="899"/>
      <c r="W156" s="899"/>
      <c r="X156" s="899"/>
      <c r="Y156" s="899"/>
      <c r="Z156" s="899"/>
      <c r="AA156" s="899"/>
      <c r="AB156" s="899"/>
      <c r="AC156" s="899"/>
      <c r="AD156" s="899"/>
      <c r="AE156" s="899"/>
      <c r="AF156" s="899"/>
      <c r="AG156" s="899"/>
      <c r="AH156" s="899"/>
      <c r="AI156" s="899"/>
      <c r="AJ156" s="899"/>
      <c r="AK156" s="899"/>
      <c r="AL156" s="899"/>
      <c r="AM156" s="899"/>
      <c r="AN156" s="899"/>
      <c r="AO156" s="899"/>
    </row>
    <row r="157">
      <c r="A157" s="1292" t="s">
        <v>1573</v>
      </c>
      <c r="B157" s="1293" t="s">
        <v>1552</v>
      </c>
      <c r="G157" s="899"/>
      <c r="H157" s="899"/>
      <c r="I157" s="899"/>
      <c r="J157" s="899"/>
      <c r="K157" s="899"/>
      <c r="L157" s="899"/>
      <c r="M157" s="899"/>
      <c r="N157" s="899"/>
      <c r="O157" s="899"/>
      <c r="P157" s="899"/>
      <c r="Q157" s="899"/>
      <c r="R157" s="899"/>
      <c r="S157" s="899"/>
      <c r="T157" s="899"/>
      <c r="U157" s="899"/>
      <c r="V157" s="899"/>
      <c r="W157" s="899"/>
      <c r="X157" s="899"/>
      <c r="Y157" s="899"/>
      <c r="Z157" s="899"/>
      <c r="AA157" s="899"/>
      <c r="AB157" s="899"/>
      <c r="AC157" s="899"/>
      <c r="AD157" s="899"/>
      <c r="AE157" s="899"/>
      <c r="AF157" s="899"/>
      <c r="AG157" s="899"/>
      <c r="AH157" s="899"/>
      <c r="AI157" s="899"/>
      <c r="AJ157" s="899"/>
      <c r="AK157" s="899"/>
      <c r="AL157" s="899"/>
      <c r="AM157" s="899"/>
      <c r="AN157" s="899"/>
      <c r="AO157" s="899"/>
    </row>
    <row r="158">
      <c r="B158" s="1295" t="s">
        <v>1553</v>
      </c>
      <c r="G158" s="899"/>
      <c r="H158" s="899"/>
      <c r="I158" s="899"/>
      <c r="J158" s="899"/>
      <c r="K158" s="899"/>
      <c r="L158" s="899"/>
      <c r="M158" s="899"/>
      <c r="N158" s="899"/>
      <c r="O158" s="899"/>
      <c r="P158" s="899"/>
      <c r="Q158" s="899"/>
      <c r="R158" s="899"/>
      <c r="S158" s="899"/>
      <c r="T158" s="899"/>
      <c r="U158" s="899"/>
      <c r="V158" s="899"/>
      <c r="W158" s="899"/>
      <c r="X158" s="899"/>
      <c r="Y158" s="899"/>
      <c r="Z158" s="899"/>
      <c r="AA158" s="899"/>
      <c r="AB158" s="899"/>
      <c r="AC158" s="899"/>
      <c r="AD158" s="899"/>
      <c r="AE158" s="899"/>
      <c r="AF158" s="899"/>
      <c r="AG158" s="899"/>
      <c r="AH158" s="899"/>
      <c r="AI158" s="899"/>
      <c r="AJ158" s="899"/>
      <c r="AK158" s="899"/>
      <c r="AL158" s="899"/>
      <c r="AM158" s="899"/>
      <c r="AN158" s="899"/>
      <c r="AO158" s="899"/>
    </row>
    <row r="159">
      <c r="B159" s="1295" t="s">
        <v>1555</v>
      </c>
      <c r="G159" s="899"/>
      <c r="H159" s="899"/>
      <c r="I159" s="899"/>
      <c r="J159" s="899"/>
      <c r="K159" s="899"/>
      <c r="L159" s="899"/>
      <c r="M159" s="899"/>
      <c r="N159" s="899"/>
      <c r="O159" s="899"/>
      <c r="P159" s="899"/>
      <c r="Q159" s="899"/>
      <c r="R159" s="899"/>
      <c r="S159" s="899"/>
      <c r="T159" s="899"/>
      <c r="U159" s="899"/>
      <c r="V159" s="899"/>
      <c r="W159" s="899"/>
      <c r="X159" s="899"/>
      <c r="Y159" s="899"/>
      <c r="Z159" s="899"/>
      <c r="AA159" s="899"/>
      <c r="AB159" s="899"/>
      <c r="AC159" s="899"/>
      <c r="AD159" s="899"/>
      <c r="AE159" s="899"/>
      <c r="AF159" s="899"/>
      <c r="AG159" s="899"/>
      <c r="AH159" s="899"/>
      <c r="AI159" s="899"/>
      <c r="AJ159" s="899"/>
      <c r="AK159" s="899"/>
      <c r="AL159" s="899"/>
      <c r="AM159" s="899"/>
      <c r="AN159" s="899"/>
      <c r="AO159" s="899"/>
    </row>
    <row r="160">
      <c r="B160" s="1295" t="s">
        <v>1556</v>
      </c>
      <c r="G160" s="899"/>
      <c r="H160" s="899"/>
      <c r="I160" s="899"/>
      <c r="J160" s="899"/>
      <c r="K160" s="899"/>
      <c r="L160" s="899"/>
      <c r="M160" s="899"/>
      <c r="N160" s="899"/>
      <c r="O160" s="899"/>
      <c r="P160" s="899"/>
      <c r="Q160" s="899"/>
      <c r="R160" s="899"/>
      <c r="S160" s="899"/>
      <c r="T160" s="899"/>
      <c r="U160" s="899"/>
      <c r="V160" s="899"/>
      <c r="W160" s="899"/>
      <c r="X160" s="899"/>
      <c r="Y160" s="899"/>
      <c r="Z160" s="899"/>
      <c r="AA160" s="899"/>
      <c r="AB160" s="899"/>
      <c r="AC160" s="899"/>
      <c r="AD160" s="899"/>
      <c r="AE160" s="899"/>
      <c r="AF160" s="899"/>
      <c r="AG160" s="899"/>
      <c r="AH160" s="899"/>
      <c r="AI160" s="899"/>
      <c r="AJ160" s="899"/>
      <c r="AK160" s="899"/>
      <c r="AL160" s="899"/>
      <c r="AM160" s="899"/>
      <c r="AN160" s="899"/>
      <c r="AO160" s="899"/>
    </row>
    <row r="161">
      <c r="B161" s="1305" t="s">
        <v>1557</v>
      </c>
      <c r="G161" s="899"/>
      <c r="H161" s="899"/>
      <c r="I161" s="899"/>
      <c r="J161" s="899"/>
      <c r="K161" s="899"/>
      <c r="L161" s="899"/>
      <c r="M161" s="899"/>
      <c r="N161" s="899"/>
      <c r="O161" s="899"/>
      <c r="P161" s="899"/>
      <c r="Q161" s="899"/>
      <c r="R161" s="899"/>
      <c r="S161" s="899"/>
      <c r="T161" s="899"/>
      <c r="U161" s="899"/>
      <c r="V161" s="899"/>
      <c r="W161" s="899"/>
      <c r="X161" s="899"/>
      <c r="Y161" s="899"/>
      <c r="Z161" s="899"/>
      <c r="AA161" s="899"/>
      <c r="AB161" s="899"/>
      <c r="AC161" s="899"/>
      <c r="AD161" s="899"/>
      <c r="AE161" s="899"/>
      <c r="AF161" s="899"/>
      <c r="AG161" s="899"/>
      <c r="AH161" s="899"/>
      <c r="AI161" s="899"/>
      <c r="AJ161" s="899"/>
      <c r="AK161" s="899"/>
      <c r="AL161" s="899"/>
      <c r="AM161" s="899"/>
      <c r="AN161" s="899"/>
      <c r="AO161" s="899"/>
    </row>
    <row r="162">
      <c r="B162" s="1305" t="s">
        <v>1559</v>
      </c>
      <c r="G162" s="899"/>
      <c r="H162" s="899"/>
      <c r="I162" s="899"/>
      <c r="J162" s="899"/>
      <c r="K162" s="899"/>
      <c r="L162" s="899"/>
      <c r="M162" s="899"/>
      <c r="N162" s="899"/>
      <c r="O162" s="899"/>
      <c r="P162" s="899"/>
      <c r="Q162" s="899"/>
      <c r="R162" s="899"/>
      <c r="S162" s="899"/>
      <c r="T162" s="899"/>
      <c r="U162" s="899"/>
      <c r="V162" s="899"/>
      <c r="W162" s="899"/>
      <c r="X162" s="899"/>
      <c r="Y162" s="899"/>
      <c r="Z162" s="899"/>
      <c r="AA162" s="899"/>
      <c r="AB162" s="899"/>
      <c r="AC162" s="899"/>
      <c r="AD162" s="899"/>
      <c r="AE162" s="899"/>
      <c r="AF162" s="899"/>
      <c r="AG162" s="899"/>
      <c r="AH162" s="899"/>
      <c r="AI162" s="899"/>
      <c r="AJ162" s="899"/>
      <c r="AK162" s="899"/>
      <c r="AL162" s="899"/>
      <c r="AM162" s="899"/>
      <c r="AN162" s="899"/>
      <c r="AO162" s="899"/>
    </row>
    <row r="163">
      <c r="B163" s="1295" t="s">
        <v>1560</v>
      </c>
      <c r="G163" s="899"/>
      <c r="H163" s="899"/>
      <c r="I163" s="899"/>
      <c r="J163" s="899"/>
      <c r="K163" s="899"/>
      <c r="L163" s="899"/>
      <c r="M163" s="899"/>
      <c r="N163" s="899"/>
      <c r="O163" s="899"/>
      <c r="P163" s="899"/>
      <c r="Q163" s="899"/>
      <c r="R163" s="899"/>
      <c r="S163" s="899"/>
      <c r="T163" s="899"/>
      <c r="U163" s="899"/>
      <c r="V163" s="899"/>
      <c r="W163" s="899"/>
      <c r="X163" s="899"/>
      <c r="Y163" s="899"/>
      <c r="Z163" s="899"/>
      <c r="AA163" s="899"/>
      <c r="AB163" s="899"/>
      <c r="AC163" s="899"/>
      <c r="AD163" s="899"/>
      <c r="AE163" s="899"/>
      <c r="AF163" s="899"/>
      <c r="AG163" s="899"/>
      <c r="AH163" s="899"/>
      <c r="AI163" s="899"/>
      <c r="AJ163" s="899"/>
      <c r="AK163" s="899"/>
      <c r="AL163" s="899"/>
      <c r="AM163" s="899"/>
      <c r="AN163" s="899"/>
      <c r="AO163" s="899"/>
    </row>
    <row r="164">
      <c r="B164" s="1295" t="s">
        <v>1561</v>
      </c>
      <c r="G164" s="899"/>
      <c r="H164" s="899"/>
      <c r="I164" s="899"/>
      <c r="J164" s="899"/>
      <c r="K164" s="899"/>
      <c r="L164" s="899"/>
      <c r="M164" s="899"/>
      <c r="N164" s="899"/>
      <c r="O164" s="899"/>
      <c r="P164" s="899"/>
      <c r="Q164" s="899"/>
      <c r="R164" s="899"/>
      <c r="S164" s="899"/>
      <c r="T164" s="899"/>
      <c r="U164" s="899"/>
      <c r="V164" s="899"/>
      <c r="W164" s="899"/>
      <c r="X164" s="899"/>
      <c r="Y164" s="899"/>
      <c r="Z164" s="899"/>
      <c r="AA164" s="899"/>
      <c r="AB164" s="899"/>
      <c r="AC164" s="899"/>
      <c r="AD164" s="899"/>
      <c r="AE164" s="899"/>
      <c r="AF164" s="899"/>
      <c r="AG164" s="899"/>
      <c r="AH164" s="899"/>
      <c r="AI164" s="899"/>
      <c r="AJ164" s="899"/>
      <c r="AK164" s="899"/>
      <c r="AL164" s="899"/>
      <c r="AM164" s="899"/>
      <c r="AN164" s="899"/>
      <c r="AO164" s="899"/>
    </row>
    <row r="165">
      <c r="B165" s="1295" t="s">
        <v>1562</v>
      </c>
      <c r="G165" s="899"/>
      <c r="H165" s="899"/>
      <c r="I165" s="899"/>
      <c r="J165" s="899"/>
      <c r="K165" s="899"/>
      <c r="L165" s="899"/>
      <c r="M165" s="899"/>
      <c r="N165" s="899"/>
      <c r="O165" s="899"/>
      <c r="P165" s="899"/>
      <c r="Q165" s="899"/>
      <c r="R165" s="899"/>
      <c r="S165" s="899"/>
      <c r="T165" s="899"/>
      <c r="U165" s="899"/>
      <c r="V165" s="899"/>
      <c r="W165" s="899"/>
      <c r="X165" s="899"/>
      <c r="Y165" s="899"/>
      <c r="Z165" s="899"/>
      <c r="AA165" s="899"/>
      <c r="AB165" s="899"/>
      <c r="AC165" s="899"/>
      <c r="AD165" s="899"/>
      <c r="AE165" s="899"/>
      <c r="AF165" s="899"/>
      <c r="AG165" s="899"/>
      <c r="AH165" s="899"/>
      <c r="AI165" s="899"/>
      <c r="AJ165" s="899"/>
      <c r="AK165" s="899"/>
      <c r="AL165" s="899"/>
      <c r="AM165" s="899"/>
      <c r="AN165" s="899"/>
      <c r="AO165" s="899"/>
    </row>
    <row r="166">
      <c r="A166" s="1292" t="s">
        <v>1574</v>
      </c>
      <c r="B166" s="1293" t="s">
        <v>1552</v>
      </c>
      <c r="G166" s="899"/>
      <c r="H166" s="899"/>
      <c r="I166" s="899"/>
      <c r="J166" s="899"/>
      <c r="K166" s="899"/>
      <c r="L166" s="899"/>
      <c r="M166" s="899"/>
      <c r="N166" s="899"/>
      <c r="O166" s="899"/>
      <c r="P166" s="899"/>
      <c r="Q166" s="899"/>
      <c r="R166" s="899"/>
      <c r="S166" s="899"/>
      <c r="T166" s="899"/>
      <c r="U166" s="899"/>
      <c r="V166" s="899"/>
      <c r="W166" s="899"/>
      <c r="X166" s="899"/>
      <c r="Y166" s="899"/>
      <c r="Z166" s="899"/>
      <c r="AA166" s="899"/>
      <c r="AB166" s="899"/>
      <c r="AC166" s="899"/>
      <c r="AD166" s="899"/>
      <c r="AE166" s="899"/>
      <c r="AF166" s="899"/>
      <c r="AG166" s="899"/>
      <c r="AH166" s="899"/>
      <c r="AI166" s="899"/>
      <c r="AJ166" s="899"/>
      <c r="AK166" s="899"/>
      <c r="AL166" s="899"/>
      <c r="AM166" s="899"/>
      <c r="AN166" s="899"/>
      <c r="AO166" s="899"/>
    </row>
    <row r="167">
      <c r="B167" s="1295" t="s">
        <v>1553</v>
      </c>
      <c r="G167" s="899"/>
      <c r="H167" s="899"/>
      <c r="I167" s="899"/>
      <c r="J167" s="899"/>
      <c r="K167" s="899"/>
      <c r="L167" s="899"/>
      <c r="M167" s="899"/>
      <c r="N167" s="899"/>
      <c r="O167" s="899"/>
      <c r="P167" s="899"/>
      <c r="Q167" s="899"/>
      <c r="R167" s="899"/>
      <c r="S167" s="899"/>
      <c r="T167" s="899"/>
      <c r="U167" s="899"/>
      <c r="V167" s="899"/>
      <c r="W167" s="899"/>
      <c r="X167" s="899"/>
      <c r="Y167" s="899"/>
      <c r="Z167" s="899"/>
      <c r="AA167" s="899"/>
      <c r="AB167" s="899"/>
      <c r="AC167" s="899"/>
      <c r="AD167" s="899"/>
      <c r="AE167" s="899"/>
      <c r="AF167" s="899"/>
      <c r="AG167" s="899"/>
      <c r="AH167" s="899"/>
      <c r="AI167" s="899"/>
      <c r="AJ167" s="899"/>
      <c r="AK167" s="899"/>
      <c r="AL167" s="899"/>
      <c r="AM167" s="899"/>
      <c r="AN167" s="899"/>
      <c r="AO167" s="899"/>
    </row>
    <row r="168">
      <c r="B168" s="1295" t="s">
        <v>1555</v>
      </c>
      <c r="G168" s="899"/>
      <c r="H168" s="899"/>
      <c r="I168" s="899"/>
      <c r="J168" s="899"/>
      <c r="K168" s="899"/>
      <c r="L168" s="899"/>
      <c r="M168" s="899"/>
      <c r="N168" s="899"/>
      <c r="O168" s="899"/>
      <c r="P168" s="899"/>
      <c r="Q168" s="899"/>
      <c r="R168" s="899"/>
      <c r="S168" s="899"/>
      <c r="T168" s="899"/>
      <c r="U168" s="899"/>
      <c r="V168" s="899"/>
      <c r="W168" s="899"/>
      <c r="X168" s="899"/>
      <c r="Y168" s="899"/>
      <c r="Z168" s="899"/>
      <c r="AA168" s="899"/>
      <c r="AB168" s="899"/>
      <c r="AC168" s="899"/>
      <c r="AD168" s="899"/>
      <c r="AE168" s="899"/>
      <c r="AF168" s="899"/>
      <c r="AG168" s="899"/>
      <c r="AH168" s="899"/>
      <c r="AI168" s="899"/>
      <c r="AJ168" s="899"/>
      <c r="AK168" s="899"/>
      <c r="AL168" s="899"/>
      <c r="AM168" s="899"/>
      <c r="AN168" s="899"/>
      <c r="AO168" s="899"/>
    </row>
    <row r="169">
      <c r="B169" s="1295" t="s">
        <v>1556</v>
      </c>
      <c r="G169" s="899"/>
      <c r="H169" s="899"/>
      <c r="I169" s="899"/>
      <c r="J169" s="899"/>
      <c r="K169" s="899"/>
      <c r="L169" s="899"/>
      <c r="M169" s="899"/>
      <c r="N169" s="899"/>
      <c r="O169" s="899"/>
      <c r="P169" s="899"/>
      <c r="Q169" s="899"/>
      <c r="R169" s="899"/>
      <c r="S169" s="899"/>
      <c r="T169" s="899"/>
      <c r="U169" s="899"/>
      <c r="V169" s="899"/>
      <c r="W169" s="899"/>
      <c r="X169" s="899"/>
      <c r="Y169" s="899"/>
      <c r="Z169" s="899"/>
      <c r="AA169" s="899"/>
      <c r="AB169" s="899"/>
      <c r="AC169" s="899"/>
      <c r="AD169" s="899"/>
      <c r="AE169" s="899"/>
      <c r="AF169" s="899"/>
      <c r="AG169" s="899"/>
      <c r="AH169" s="899"/>
      <c r="AI169" s="899"/>
      <c r="AJ169" s="899"/>
      <c r="AK169" s="899"/>
      <c r="AL169" s="899"/>
      <c r="AM169" s="899"/>
      <c r="AN169" s="899"/>
      <c r="AO169" s="899"/>
    </row>
    <row r="170">
      <c r="B170" s="1305" t="s">
        <v>1557</v>
      </c>
      <c r="G170" s="899"/>
      <c r="H170" s="899"/>
      <c r="I170" s="899"/>
      <c r="J170" s="899"/>
      <c r="K170" s="899"/>
      <c r="L170" s="899"/>
      <c r="M170" s="899"/>
      <c r="N170" s="899"/>
      <c r="O170" s="899"/>
      <c r="P170" s="899"/>
      <c r="Q170" s="899"/>
      <c r="R170" s="899"/>
      <c r="S170" s="899"/>
      <c r="T170" s="899"/>
      <c r="U170" s="899"/>
      <c r="V170" s="899"/>
      <c r="W170" s="899"/>
      <c r="X170" s="899"/>
      <c r="Y170" s="899"/>
      <c r="Z170" s="899"/>
      <c r="AA170" s="899"/>
      <c r="AB170" s="899"/>
      <c r="AC170" s="899"/>
      <c r="AD170" s="899"/>
      <c r="AE170" s="899"/>
      <c r="AF170" s="899"/>
      <c r="AG170" s="899"/>
      <c r="AH170" s="899"/>
      <c r="AI170" s="899"/>
      <c r="AJ170" s="899"/>
      <c r="AK170" s="899"/>
      <c r="AL170" s="899"/>
      <c r="AM170" s="899"/>
      <c r="AN170" s="899"/>
      <c r="AO170" s="899"/>
    </row>
    <row r="171">
      <c r="B171" s="1305" t="s">
        <v>1559</v>
      </c>
      <c r="G171" s="899"/>
      <c r="H171" s="899"/>
      <c r="I171" s="899"/>
      <c r="J171" s="899"/>
      <c r="K171" s="899"/>
      <c r="L171" s="899"/>
      <c r="M171" s="899"/>
      <c r="N171" s="899"/>
      <c r="O171" s="899"/>
      <c r="P171" s="899"/>
      <c r="Q171" s="899"/>
      <c r="R171" s="899"/>
      <c r="S171" s="899"/>
      <c r="T171" s="899"/>
      <c r="U171" s="899"/>
      <c r="V171" s="899"/>
      <c r="W171" s="899"/>
      <c r="X171" s="899"/>
      <c r="Y171" s="899"/>
      <c r="Z171" s="899"/>
      <c r="AA171" s="899"/>
      <c r="AB171" s="899"/>
      <c r="AC171" s="899"/>
      <c r="AD171" s="899"/>
      <c r="AE171" s="899"/>
      <c r="AF171" s="899"/>
      <c r="AG171" s="899"/>
      <c r="AH171" s="899"/>
      <c r="AI171" s="899"/>
      <c r="AJ171" s="899"/>
      <c r="AK171" s="899"/>
      <c r="AL171" s="899"/>
      <c r="AM171" s="899"/>
      <c r="AN171" s="899"/>
      <c r="AO171" s="899"/>
    </row>
    <row r="172">
      <c r="B172" s="1295" t="s">
        <v>1560</v>
      </c>
      <c r="G172" s="899"/>
      <c r="H172" s="899"/>
      <c r="I172" s="899"/>
      <c r="J172" s="899"/>
      <c r="K172" s="899"/>
      <c r="L172" s="899"/>
      <c r="M172" s="899"/>
      <c r="N172" s="899"/>
      <c r="O172" s="899"/>
      <c r="P172" s="899"/>
      <c r="Q172" s="899"/>
      <c r="R172" s="899"/>
      <c r="S172" s="899"/>
      <c r="T172" s="899"/>
      <c r="U172" s="899"/>
      <c r="V172" s="899"/>
      <c r="W172" s="899"/>
      <c r="X172" s="899"/>
      <c r="Y172" s="899"/>
      <c r="Z172" s="899"/>
      <c r="AA172" s="899"/>
      <c r="AB172" s="899"/>
      <c r="AC172" s="899"/>
      <c r="AD172" s="899"/>
      <c r="AE172" s="899"/>
      <c r="AF172" s="899"/>
      <c r="AG172" s="899"/>
      <c r="AH172" s="899"/>
      <c r="AI172" s="899"/>
      <c r="AJ172" s="899"/>
      <c r="AK172" s="899"/>
      <c r="AL172" s="899"/>
      <c r="AM172" s="899"/>
      <c r="AN172" s="899"/>
      <c r="AO172" s="899"/>
    </row>
    <row r="173">
      <c r="B173" s="1295" t="s">
        <v>1561</v>
      </c>
      <c r="G173" s="899"/>
      <c r="H173" s="899"/>
      <c r="I173" s="899"/>
      <c r="J173" s="899"/>
      <c r="K173" s="899"/>
      <c r="L173" s="899"/>
      <c r="M173" s="899"/>
      <c r="N173" s="899"/>
      <c r="O173" s="899"/>
      <c r="P173" s="899"/>
      <c r="Q173" s="899"/>
      <c r="R173" s="899"/>
      <c r="S173" s="899"/>
      <c r="T173" s="899"/>
      <c r="U173" s="899"/>
      <c r="V173" s="899"/>
      <c r="W173" s="899"/>
      <c r="X173" s="899"/>
      <c r="Y173" s="899"/>
      <c r="Z173" s="899"/>
      <c r="AA173" s="899"/>
      <c r="AB173" s="899"/>
      <c r="AC173" s="899"/>
      <c r="AD173" s="899"/>
      <c r="AE173" s="899"/>
      <c r="AF173" s="899"/>
      <c r="AG173" s="899"/>
      <c r="AH173" s="899"/>
      <c r="AI173" s="899"/>
      <c r="AJ173" s="899"/>
      <c r="AK173" s="899"/>
      <c r="AL173" s="899"/>
      <c r="AM173" s="899"/>
      <c r="AN173" s="899"/>
      <c r="AO173" s="899"/>
    </row>
    <row r="174">
      <c r="B174" s="1295" t="s">
        <v>1562</v>
      </c>
      <c r="G174" s="899"/>
      <c r="H174" s="899"/>
      <c r="I174" s="899"/>
      <c r="J174" s="899"/>
      <c r="K174" s="899"/>
      <c r="L174" s="899"/>
      <c r="M174" s="899"/>
      <c r="N174" s="899"/>
      <c r="O174" s="899"/>
      <c r="P174" s="899"/>
      <c r="Q174" s="899"/>
      <c r="R174" s="899"/>
      <c r="S174" s="899"/>
      <c r="T174" s="899"/>
      <c r="U174" s="899"/>
      <c r="V174" s="899"/>
      <c r="W174" s="899"/>
      <c r="X174" s="899"/>
      <c r="Y174" s="899"/>
      <c r="Z174" s="899"/>
      <c r="AA174" s="899"/>
      <c r="AB174" s="899"/>
      <c r="AC174" s="899"/>
      <c r="AD174" s="899"/>
      <c r="AE174" s="899"/>
      <c r="AF174" s="899"/>
      <c r="AG174" s="899"/>
      <c r="AH174" s="899"/>
      <c r="AI174" s="899"/>
      <c r="AJ174" s="899"/>
      <c r="AK174" s="899"/>
      <c r="AL174" s="899"/>
      <c r="AM174" s="899"/>
      <c r="AN174" s="899"/>
      <c r="AO174" s="899"/>
    </row>
    <row r="175">
      <c r="A175" s="1292" t="s">
        <v>1575</v>
      </c>
      <c r="B175" s="1293" t="s">
        <v>1552</v>
      </c>
      <c r="G175" s="899"/>
      <c r="H175" s="899"/>
      <c r="I175" s="899"/>
      <c r="J175" s="899"/>
      <c r="K175" s="899"/>
      <c r="L175" s="899"/>
      <c r="M175" s="899"/>
      <c r="N175" s="899"/>
      <c r="O175" s="899"/>
      <c r="P175" s="899"/>
      <c r="Q175" s="899"/>
      <c r="R175" s="899"/>
      <c r="S175" s="899"/>
      <c r="T175" s="899"/>
      <c r="U175" s="899"/>
      <c r="V175" s="899"/>
      <c r="W175" s="899"/>
      <c r="X175" s="899"/>
      <c r="Y175" s="899"/>
      <c r="Z175" s="899"/>
      <c r="AA175" s="899"/>
      <c r="AB175" s="899"/>
      <c r="AC175" s="899"/>
      <c r="AD175" s="899"/>
      <c r="AE175" s="899"/>
      <c r="AF175" s="899"/>
      <c r="AG175" s="899"/>
      <c r="AH175" s="899"/>
      <c r="AI175" s="899"/>
      <c r="AJ175" s="899"/>
      <c r="AK175" s="899"/>
      <c r="AL175" s="899"/>
      <c r="AM175" s="899"/>
      <c r="AN175" s="899"/>
      <c r="AO175" s="899"/>
    </row>
    <row r="176">
      <c r="B176" s="1295" t="s">
        <v>1553</v>
      </c>
      <c r="G176" s="899"/>
      <c r="H176" s="899"/>
      <c r="I176" s="899"/>
      <c r="J176" s="899"/>
      <c r="K176" s="899"/>
      <c r="L176" s="899"/>
      <c r="M176" s="899"/>
      <c r="N176" s="899"/>
      <c r="O176" s="899"/>
      <c r="P176" s="899"/>
      <c r="Q176" s="899"/>
      <c r="R176" s="899"/>
      <c r="S176" s="899"/>
      <c r="T176" s="899"/>
      <c r="U176" s="899"/>
      <c r="V176" s="899"/>
      <c r="W176" s="899"/>
      <c r="X176" s="899"/>
      <c r="Y176" s="899"/>
      <c r="Z176" s="899"/>
      <c r="AA176" s="899"/>
      <c r="AB176" s="899"/>
      <c r="AC176" s="899"/>
      <c r="AD176" s="899"/>
      <c r="AE176" s="899"/>
      <c r="AF176" s="899"/>
      <c r="AG176" s="899"/>
      <c r="AH176" s="899"/>
      <c r="AI176" s="899"/>
      <c r="AJ176" s="899"/>
      <c r="AK176" s="899"/>
      <c r="AL176" s="899"/>
      <c r="AM176" s="899"/>
      <c r="AN176" s="899"/>
      <c r="AO176" s="899"/>
    </row>
    <row r="177">
      <c r="B177" s="1295" t="s">
        <v>1555</v>
      </c>
      <c r="G177" s="899"/>
      <c r="H177" s="899"/>
      <c r="I177" s="899"/>
      <c r="J177" s="899"/>
      <c r="K177" s="899"/>
      <c r="L177" s="899"/>
      <c r="M177" s="899"/>
      <c r="N177" s="899"/>
      <c r="O177" s="899"/>
      <c r="P177" s="899"/>
      <c r="Q177" s="899"/>
      <c r="R177" s="899"/>
      <c r="S177" s="899"/>
      <c r="T177" s="899"/>
      <c r="U177" s="899"/>
      <c r="V177" s="899"/>
      <c r="W177" s="899"/>
      <c r="X177" s="899"/>
      <c r="Y177" s="899"/>
      <c r="Z177" s="899"/>
      <c r="AA177" s="899"/>
      <c r="AB177" s="899"/>
      <c r="AC177" s="899"/>
      <c r="AD177" s="899"/>
      <c r="AE177" s="899"/>
      <c r="AF177" s="899"/>
      <c r="AG177" s="899"/>
      <c r="AH177" s="899"/>
      <c r="AI177" s="899"/>
      <c r="AJ177" s="899"/>
      <c r="AK177" s="899"/>
      <c r="AL177" s="899"/>
      <c r="AM177" s="899"/>
      <c r="AN177" s="899"/>
      <c r="AO177" s="899"/>
    </row>
    <row r="178">
      <c r="B178" s="1295" t="s">
        <v>1556</v>
      </c>
      <c r="G178" s="899"/>
      <c r="H178" s="899"/>
      <c r="I178" s="899"/>
      <c r="J178" s="899"/>
      <c r="K178" s="899"/>
      <c r="L178" s="899"/>
      <c r="M178" s="899"/>
      <c r="N178" s="899"/>
      <c r="O178" s="899"/>
      <c r="P178" s="899"/>
      <c r="Q178" s="899"/>
      <c r="R178" s="899"/>
      <c r="S178" s="899"/>
      <c r="T178" s="899"/>
      <c r="U178" s="899"/>
      <c r="V178" s="899"/>
      <c r="W178" s="899"/>
      <c r="X178" s="899"/>
      <c r="Y178" s="899"/>
      <c r="Z178" s="899"/>
      <c r="AA178" s="899"/>
      <c r="AB178" s="899"/>
      <c r="AC178" s="899"/>
      <c r="AD178" s="899"/>
      <c r="AE178" s="899"/>
      <c r="AF178" s="899"/>
      <c r="AG178" s="899"/>
      <c r="AH178" s="899"/>
      <c r="AI178" s="899"/>
      <c r="AJ178" s="899"/>
      <c r="AK178" s="899"/>
      <c r="AL178" s="899"/>
      <c r="AM178" s="899"/>
      <c r="AN178" s="899"/>
      <c r="AO178" s="899"/>
    </row>
    <row r="179">
      <c r="B179" s="1305" t="s">
        <v>1557</v>
      </c>
      <c r="G179" s="899"/>
      <c r="H179" s="899"/>
      <c r="I179" s="899"/>
      <c r="J179" s="899"/>
      <c r="K179" s="899"/>
      <c r="L179" s="899"/>
      <c r="M179" s="899"/>
      <c r="N179" s="899"/>
      <c r="O179" s="899"/>
      <c r="P179" s="899"/>
      <c r="Q179" s="899"/>
      <c r="R179" s="899"/>
      <c r="S179" s="899"/>
      <c r="T179" s="899"/>
      <c r="U179" s="899"/>
      <c r="V179" s="899"/>
      <c r="W179" s="899"/>
      <c r="X179" s="899"/>
      <c r="Y179" s="899"/>
      <c r="Z179" s="899"/>
      <c r="AA179" s="899"/>
      <c r="AB179" s="899"/>
      <c r="AC179" s="899"/>
      <c r="AD179" s="899"/>
      <c r="AE179" s="899"/>
      <c r="AF179" s="899"/>
      <c r="AG179" s="899"/>
      <c r="AH179" s="899"/>
      <c r="AI179" s="899"/>
      <c r="AJ179" s="899"/>
      <c r="AK179" s="899"/>
      <c r="AL179" s="899"/>
      <c r="AM179" s="899"/>
      <c r="AN179" s="899"/>
      <c r="AO179" s="899"/>
    </row>
    <row r="180">
      <c r="B180" s="1305" t="s">
        <v>1559</v>
      </c>
      <c r="G180" s="899"/>
      <c r="H180" s="899"/>
      <c r="I180" s="899"/>
      <c r="J180" s="899"/>
      <c r="K180" s="899"/>
      <c r="L180" s="899"/>
      <c r="M180" s="899"/>
      <c r="N180" s="899"/>
      <c r="O180" s="899"/>
      <c r="P180" s="899"/>
      <c r="Q180" s="899"/>
      <c r="R180" s="899"/>
      <c r="S180" s="899"/>
      <c r="T180" s="899"/>
      <c r="U180" s="899"/>
      <c r="V180" s="899"/>
      <c r="W180" s="899"/>
      <c r="X180" s="899"/>
      <c r="Y180" s="899"/>
      <c r="Z180" s="899"/>
      <c r="AA180" s="899"/>
      <c r="AB180" s="899"/>
      <c r="AC180" s="899"/>
      <c r="AD180" s="899"/>
      <c r="AE180" s="899"/>
      <c r="AF180" s="899"/>
      <c r="AG180" s="899"/>
      <c r="AH180" s="899"/>
      <c r="AI180" s="899"/>
      <c r="AJ180" s="899"/>
      <c r="AK180" s="899"/>
      <c r="AL180" s="899"/>
      <c r="AM180" s="899"/>
      <c r="AN180" s="899"/>
      <c r="AO180" s="899"/>
    </row>
    <row r="181">
      <c r="B181" s="1295" t="s">
        <v>1560</v>
      </c>
      <c r="G181" s="899"/>
      <c r="H181" s="899"/>
      <c r="I181" s="899"/>
      <c r="J181" s="899"/>
      <c r="K181" s="899"/>
      <c r="L181" s="899"/>
      <c r="M181" s="899"/>
      <c r="N181" s="899"/>
      <c r="O181" s="899"/>
      <c r="P181" s="899"/>
      <c r="Q181" s="899"/>
      <c r="R181" s="899"/>
      <c r="S181" s="899"/>
      <c r="T181" s="899"/>
      <c r="U181" s="899"/>
      <c r="V181" s="899"/>
      <c r="W181" s="899"/>
      <c r="X181" s="899"/>
      <c r="Y181" s="899"/>
      <c r="Z181" s="899"/>
      <c r="AA181" s="899"/>
      <c r="AB181" s="899"/>
      <c r="AC181" s="899"/>
      <c r="AD181" s="899"/>
      <c r="AE181" s="899"/>
      <c r="AF181" s="899"/>
      <c r="AG181" s="899"/>
      <c r="AH181" s="899"/>
      <c r="AI181" s="899"/>
      <c r="AJ181" s="899"/>
      <c r="AK181" s="899"/>
      <c r="AL181" s="899"/>
      <c r="AM181" s="899"/>
      <c r="AN181" s="899"/>
      <c r="AO181" s="899"/>
    </row>
    <row r="182">
      <c r="B182" s="1295" t="s">
        <v>1561</v>
      </c>
      <c r="G182" s="899"/>
      <c r="H182" s="899"/>
      <c r="I182" s="899"/>
      <c r="J182" s="899"/>
      <c r="K182" s="899"/>
      <c r="L182" s="899"/>
      <c r="M182" s="899"/>
      <c r="N182" s="899"/>
      <c r="O182" s="899"/>
      <c r="P182" s="899"/>
      <c r="Q182" s="899"/>
      <c r="R182" s="899"/>
      <c r="S182" s="899"/>
      <c r="T182" s="899"/>
      <c r="U182" s="899"/>
      <c r="V182" s="899"/>
      <c r="W182" s="899"/>
      <c r="X182" s="899"/>
      <c r="Y182" s="899"/>
      <c r="Z182" s="899"/>
      <c r="AA182" s="899"/>
      <c r="AB182" s="899"/>
      <c r="AC182" s="899"/>
      <c r="AD182" s="899"/>
      <c r="AE182" s="899"/>
      <c r="AF182" s="899"/>
      <c r="AG182" s="899"/>
      <c r="AH182" s="899"/>
      <c r="AI182" s="899"/>
      <c r="AJ182" s="899"/>
      <c r="AK182" s="899"/>
      <c r="AL182" s="899"/>
      <c r="AM182" s="899"/>
      <c r="AN182" s="899"/>
      <c r="AO182" s="899"/>
    </row>
    <row r="183">
      <c r="B183" s="1295" t="s">
        <v>1562</v>
      </c>
      <c r="G183" s="899"/>
      <c r="H183" s="899"/>
      <c r="I183" s="899"/>
      <c r="J183" s="899"/>
      <c r="K183" s="899"/>
      <c r="L183" s="899"/>
      <c r="M183" s="899"/>
      <c r="N183" s="899"/>
      <c r="O183" s="899"/>
      <c r="P183" s="899"/>
      <c r="Q183" s="899"/>
      <c r="R183" s="899"/>
      <c r="S183" s="899"/>
      <c r="T183" s="899"/>
      <c r="U183" s="899"/>
      <c r="V183" s="899"/>
      <c r="W183" s="899"/>
      <c r="X183" s="899"/>
      <c r="Y183" s="899"/>
      <c r="Z183" s="899"/>
      <c r="AA183" s="899"/>
      <c r="AB183" s="899"/>
      <c r="AC183" s="899"/>
      <c r="AD183" s="899"/>
      <c r="AE183" s="899"/>
      <c r="AF183" s="899"/>
      <c r="AG183" s="899"/>
      <c r="AH183" s="899"/>
      <c r="AI183" s="899"/>
      <c r="AJ183" s="899"/>
      <c r="AK183" s="899"/>
      <c r="AL183" s="899"/>
      <c r="AM183" s="899"/>
      <c r="AN183" s="899"/>
      <c r="AO183" s="899"/>
    </row>
    <row r="184">
      <c r="A184" s="1292" t="s">
        <v>1576</v>
      </c>
      <c r="B184" s="1293" t="s">
        <v>1552</v>
      </c>
      <c r="G184" s="899"/>
      <c r="H184" s="899"/>
      <c r="I184" s="899"/>
      <c r="J184" s="899"/>
      <c r="K184" s="899"/>
      <c r="L184" s="899"/>
      <c r="M184" s="899"/>
      <c r="N184" s="899"/>
      <c r="O184" s="899"/>
      <c r="P184" s="899"/>
      <c r="Q184" s="899"/>
      <c r="R184" s="899"/>
      <c r="S184" s="899"/>
      <c r="T184" s="899"/>
      <c r="U184" s="899"/>
      <c r="V184" s="899"/>
      <c r="W184" s="899"/>
      <c r="X184" s="899"/>
      <c r="Y184" s="899"/>
      <c r="Z184" s="899"/>
      <c r="AA184" s="899"/>
      <c r="AB184" s="899"/>
      <c r="AC184" s="899"/>
      <c r="AD184" s="899"/>
      <c r="AE184" s="899"/>
      <c r="AF184" s="899"/>
      <c r="AG184" s="899"/>
      <c r="AH184" s="899"/>
      <c r="AI184" s="899"/>
      <c r="AJ184" s="899"/>
      <c r="AK184" s="899"/>
      <c r="AL184" s="899"/>
      <c r="AM184" s="899"/>
      <c r="AN184" s="899"/>
      <c r="AO184" s="899"/>
    </row>
    <row r="185">
      <c r="B185" s="1295" t="s">
        <v>1553</v>
      </c>
      <c r="G185" s="899"/>
      <c r="H185" s="899"/>
      <c r="I185" s="899"/>
      <c r="J185" s="899"/>
      <c r="K185" s="899"/>
      <c r="L185" s="899"/>
      <c r="M185" s="899"/>
      <c r="N185" s="899"/>
      <c r="O185" s="899"/>
      <c r="P185" s="899"/>
      <c r="Q185" s="899"/>
      <c r="R185" s="899"/>
      <c r="S185" s="899"/>
      <c r="T185" s="899"/>
      <c r="U185" s="899"/>
      <c r="V185" s="899"/>
      <c r="W185" s="899"/>
      <c r="X185" s="899"/>
      <c r="Y185" s="899"/>
      <c r="Z185" s="899"/>
      <c r="AA185" s="899"/>
      <c r="AB185" s="899"/>
      <c r="AC185" s="899"/>
      <c r="AD185" s="899"/>
      <c r="AE185" s="899"/>
      <c r="AF185" s="899"/>
      <c r="AG185" s="899"/>
      <c r="AH185" s="899"/>
      <c r="AI185" s="899"/>
      <c r="AJ185" s="899"/>
      <c r="AK185" s="899"/>
      <c r="AL185" s="899"/>
      <c r="AM185" s="899"/>
      <c r="AN185" s="899"/>
      <c r="AO185" s="899"/>
    </row>
    <row r="186">
      <c r="B186" s="1295" t="s">
        <v>1555</v>
      </c>
      <c r="G186" s="899"/>
      <c r="H186" s="899"/>
      <c r="I186" s="899"/>
      <c r="J186" s="899"/>
      <c r="K186" s="899"/>
      <c r="L186" s="899"/>
      <c r="M186" s="899"/>
      <c r="N186" s="899"/>
      <c r="O186" s="899"/>
      <c r="P186" s="899"/>
      <c r="Q186" s="899"/>
      <c r="R186" s="899"/>
      <c r="S186" s="899"/>
      <c r="T186" s="899"/>
      <c r="U186" s="899"/>
      <c r="V186" s="899"/>
      <c r="W186" s="899"/>
      <c r="X186" s="899"/>
      <c r="Y186" s="899"/>
      <c r="Z186" s="899"/>
      <c r="AA186" s="899"/>
      <c r="AB186" s="899"/>
      <c r="AC186" s="899"/>
      <c r="AD186" s="899"/>
      <c r="AE186" s="899"/>
      <c r="AF186" s="899"/>
      <c r="AG186" s="899"/>
      <c r="AH186" s="899"/>
      <c r="AI186" s="899"/>
      <c r="AJ186" s="899"/>
      <c r="AK186" s="899"/>
      <c r="AL186" s="899"/>
      <c r="AM186" s="899"/>
      <c r="AN186" s="899"/>
      <c r="AO186" s="899"/>
    </row>
    <row r="187">
      <c r="B187" s="1295" t="s">
        <v>1556</v>
      </c>
      <c r="G187" s="899"/>
      <c r="H187" s="899"/>
      <c r="I187" s="899"/>
      <c r="J187" s="899"/>
      <c r="K187" s="899"/>
      <c r="L187" s="899"/>
      <c r="M187" s="899"/>
      <c r="N187" s="899"/>
      <c r="O187" s="899"/>
      <c r="P187" s="899"/>
      <c r="Q187" s="899"/>
      <c r="R187" s="899"/>
      <c r="S187" s="899"/>
      <c r="T187" s="899"/>
      <c r="U187" s="899"/>
      <c r="V187" s="899"/>
      <c r="W187" s="899"/>
      <c r="X187" s="899"/>
      <c r="Y187" s="899"/>
      <c r="Z187" s="899"/>
      <c r="AA187" s="899"/>
      <c r="AB187" s="899"/>
      <c r="AC187" s="899"/>
      <c r="AD187" s="899"/>
      <c r="AE187" s="899"/>
      <c r="AF187" s="899"/>
      <c r="AG187" s="899"/>
      <c r="AH187" s="899"/>
      <c r="AI187" s="899"/>
      <c r="AJ187" s="899"/>
      <c r="AK187" s="899"/>
      <c r="AL187" s="899"/>
      <c r="AM187" s="899"/>
      <c r="AN187" s="899"/>
      <c r="AO187" s="899"/>
    </row>
    <row r="188">
      <c r="B188" s="1305" t="s">
        <v>1557</v>
      </c>
      <c r="G188" s="899"/>
      <c r="H188" s="899"/>
      <c r="I188" s="899"/>
      <c r="J188" s="899"/>
      <c r="K188" s="899"/>
      <c r="L188" s="899"/>
      <c r="M188" s="899"/>
      <c r="N188" s="899"/>
      <c r="O188" s="899"/>
      <c r="P188" s="899"/>
      <c r="Q188" s="899"/>
      <c r="R188" s="899"/>
      <c r="S188" s="899"/>
      <c r="T188" s="899"/>
      <c r="U188" s="899"/>
      <c r="V188" s="899"/>
      <c r="W188" s="899"/>
      <c r="X188" s="899"/>
      <c r="Y188" s="899"/>
      <c r="Z188" s="899"/>
      <c r="AA188" s="899"/>
      <c r="AB188" s="899"/>
      <c r="AC188" s="899"/>
      <c r="AD188" s="899"/>
      <c r="AE188" s="899"/>
      <c r="AF188" s="899"/>
      <c r="AG188" s="899"/>
      <c r="AH188" s="899"/>
      <c r="AI188" s="899"/>
      <c r="AJ188" s="899"/>
      <c r="AK188" s="899"/>
      <c r="AL188" s="899"/>
      <c r="AM188" s="899"/>
      <c r="AN188" s="899"/>
      <c r="AO188" s="899"/>
    </row>
    <row r="189">
      <c r="B189" s="1305" t="s">
        <v>1559</v>
      </c>
      <c r="G189" s="899"/>
      <c r="H189" s="899"/>
      <c r="I189" s="899"/>
      <c r="J189" s="899"/>
      <c r="K189" s="899"/>
      <c r="L189" s="899"/>
      <c r="M189" s="899"/>
      <c r="N189" s="899"/>
      <c r="O189" s="899"/>
      <c r="P189" s="899"/>
      <c r="Q189" s="899"/>
      <c r="R189" s="899"/>
      <c r="S189" s="899"/>
      <c r="T189" s="899"/>
      <c r="U189" s="899"/>
      <c r="V189" s="899"/>
      <c r="W189" s="899"/>
      <c r="X189" s="899"/>
      <c r="Y189" s="899"/>
      <c r="Z189" s="899"/>
      <c r="AA189" s="899"/>
      <c r="AB189" s="899"/>
      <c r="AC189" s="899"/>
      <c r="AD189" s="899"/>
      <c r="AE189" s="899"/>
      <c r="AF189" s="899"/>
      <c r="AG189" s="899"/>
      <c r="AH189" s="899"/>
      <c r="AI189" s="899"/>
      <c r="AJ189" s="899"/>
      <c r="AK189" s="899"/>
      <c r="AL189" s="899"/>
      <c r="AM189" s="899"/>
      <c r="AN189" s="899"/>
      <c r="AO189" s="899"/>
    </row>
    <row r="190">
      <c r="B190" s="1295" t="s">
        <v>1560</v>
      </c>
      <c r="G190" s="899"/>
      <c r="H190" s="899"/>
      <c r="I190" s="899"/>
      <c r="J190" s="899"/>
      <c r="K190" s="899"/>
      <c r="L190" s="899"/>
      <c r="M190" s="899"/>
      <c r="N190" s="899"/>
      <c r="O190" s="899"/>
      <c r="P190" s="899"/>
      <c r="Q190" s="899"/>
      <c r="R190" s="899"/>
      <c r="S190" s="899"/>
      <c r="T190" s="899"/>
      <c r="U190" s="899"/>
      <c r="V190" s="899"/>
      <c r="W190" s="899"/>
      <c r="X190" s="899"/>
      <c r="Y190" s="899"/>
      <c r="Z190" s="899"/>
      <c r="AA190" s="899"/>
      <c r="AB190" s="899"/>
      <c r="AC190" s="899"/>
      <c r="AD190" s="899"/>
      <c r="AE190" s="899"/>
      <c r="AF190" s="899"/>
      <c r="AG190" s="899"/>
      <c r="AH190" s="899"/>
      <c r="AI190" s="899"/>
      <c r="AJ190" s="899"/>
      <c r="AK190" s="899"/>
      <c r="AL190" s="899"/>
      <c r="AM190" s="899"/>
      <c r="AN190" s="899"/>
      <c r="AO190" s="899"/>
    </row>
    <row r="191">
      <c r="B191" s="1295" t="s">
        <v>1561</v>
      </c>
      <c r="G191" s="899"/>
      <c r="H191" s="899"/>
      <c r="I191" s="899"/>
      <c r="J191" s="899"/>
      <c r="K191" s="899"/>
      <c r="L191" s="899"/>
      <c r="M191" s="899"/>
      <c r="N191" s="899"/>
      <c r="O191" s="899"/>
      <c r="P191" s="899"/>
      <c r="Q191" s="899"/>
      <c r="R191" s="899"/>
      <c r="S191" s="899"/>
      <c r="T191" s="899"/>
      <c r="U191" s="899"/>
      <c r="V191" s="899"/>
      <c r="W191" s="899"/>
      <c r="X191" s="899"/>
      <c r="Y191" s="899"/>
      <c r="Z191" s="899"/>
      <c r="AA191" s="899"/>
      <c r="AB191" s="899"/>
      <c r="AC191" s="899"/>
      <c r="AD191" s="899"/>
      <c r="AE191" s="899"/>
      <c r="AF191" s="899"/>
      <c r="AG191" s="899"/>
      <c r="AH191" s="899"/>
      <c r="AI191" s="899"/>
      <c r="AJ191" s="899"/>
      <c r="AK191" s="899"/>
      <c r="AL191" s="899"/>
      <c r="AM191" s="899"/>
      <c r="AN191" s="899"/>
      <c r="AO191" s="899"/>
    </row>
    <row r="192">
      <c r="B192" s="1295" t="s">
        <v>1562</v>
      </c>
      <c r="G192" s="899"/>
      <c r="H192" s="899"/>
      <c r="I192" s="899"/>
      <c r="J192" s="899"/>
      <c r="K192" s="899"/>
      <c r="L192" s="899"/>
      <c r="M192" s="899"/>
      <c r="N192" s="899"/>
      <c r="O192" s="899"/>
      <c r="P192" s="899"/>
      <c r="Q192" s="899"/>
      <c r="R192" s="899"/>
      <c r="S192" s="899"/>
      <c r="T192" s="899"/>
      <c r="U192" s="899"/>
      <c r="V192" s="899"/>
      <c r="W192" s="899"/>
      <c r="X192" s="899"/>
      <c r="Y192" s="899"/>
      <c r="Z192" s="899"/>
      <c r="AA192" s="899"/>
      <c r="AB192" s="899"/>
      <c r="AC192" s="899"/>
      <c r="AD192" s="899"/>
      <c r="AE192" s="899"/>
      <c r="AF192" s="899"/>
      <c r="AG192" s="899"/>
      <c r="AH192" s="899"/>
      <c r="AI192" s="899"/>
      <c r="AJ192" s="899"/>
      <c r="AK192" s="899"/>
      <c r="AL192" s="899"/>
      <c r="AM192" s="899"/>
      <c r="AN192" s="899"/>
      <c r="AO192" s="899"/>
    </row>
    <row r="193">
      <c r="A193" s="1292" t="s">
        <v>1577</v>
      </c>
      <c r="B193" s="1293" t="s">
        <v>1552</v>
      </c>
      <c r="G193" s="899"/>
      <c r="H193" s="899"/>
      <c r="I193" s="899"/>
      <c r="J193" s="899"/>
      <c r="K193" s="899"/>
      <c r="L193" s="899"/>
      <c r="M193" s="899"/>
      <c r="N193" s="899"/>
      <c r="O193" s="899"/>
      <c r="P193" s="899"/>
      <c r="Q193" s="899"/>
      <c r="R193" s="899"/>
      <c r="S193" s="899"/>
      <c r="T193" s="899"/>
      <c r="U193" s="899"/>
      <c r="V193" s="899"/>
      <c r="W193" s="899"/>
      <c r="X193" s="899"/>
      <c r="Y193" s="899"/>
      <c r="Z193" s="899"/>
      <c r="AA193" s="899"/>
      <c r="AB193" s="899"/>
      <c r="AC193" s="899"/>
      <c r="AD193" s="899"/>
      <c r="AE193" s="899"/>
      <c r="AF193" s="899"/>
      <c r="AG193" s="899"/>
      <c r="AH193" s="899"/>
      <c r="AI193" s="899"/>
      <c r="AJ193" s="899"/>
      <c r="AK193" s="899"/>
      <c r="AL193" s="899"/>
      <c r="AM193" s="899"/>
      <c r="AN193" s="899"/>
      <c r="AO193" s="899"/>
    </row>
    <row r="194">
      <c r="B194" s="1295" t="s">
        <v>1553</v>
      </c>
      <c r="G194" s="899"/>
      <c r="H194" s="899"/>
      <c r="I194" s="899"/>
      <c r="J194" s="899"/>
      <c r="K194" s="899"/>
      <c r="L194" s="899"/>
      <c r="M194" s="899"/>
      <c r="N194" s="899"/>
      <c r="O194" s="899"/>
      <c r="P194" s="899"/>
      <c r="Q194" s="899"/>
      <c r="R194" s="899"/>
      <c r="S194" s="899"/>
      <c r="T194" s="899"/>
      <c r="U194" s="899"/>
      <c r="V194" s="899"/>
      <c r="W194" s="899"/>
      <c r="X194" s="899"/>
      <c r="Y194" s="899"/>
      <c r="Z194" s="899"/>
      <c r="AA194" s="899"/>
      <c r="AB194" s="899"/>
      <c r="AC194" s="899"/>
      <c r="AD194" s="899"/>
      <c r="AE194" s="899"/>
      <c r="AF194" s="899"/>
      <c r="AG194" s="899"/>
      <c r="AH194" s="899"/>
      <c r="AI194" s="899"/>
      <c r="AJ194" s="899"/>
      <c r="AK194" s="899"/>
      <c r="AL194" s="899"/>
      <c r="AM194" s="899"/>
      <c r="AN194" s="899"/>
      <c r="AO194" s="899"/>
    </row>
    <row r="195">
      <c r="B195" s="1295" t="s">
        <v>1555</v>
      </c>
      <c r="G195" s="899"/>
      <c r="H195" s="899"/>
      <c r="I195" s="899"/>
      <c r="J195" s="899"/>
      <c r="K195" s="899"/>
      <c r="L195" s="899"/>
      <c r="M195" s="899"/>
      <c r="N195" s="899"/>
      <c r="O195" s="899"/>
      <c r="P195" s="899"/>
      <c r="Q195" s="899"/>
      <c r="R195" s="899"/>
      <c r="S195" s="899"/>
      <c r="T195" s="899"/>
      <c r="U195" s="899"/>
      <c r="V195" s="899"/>
      <c r="W195" s="899"/>
      <c r="X195" s="899"/>
      <c r="Y195" s="899"/>
      <c r="Z195" s="899"/>
      <c r="AA195" s="899"/>
      <c r="AB195" s="899"/>
      <c r="AC195" s="899"/>
      <c r="AD195" s="899"/>
      <c r="AE195" s="899"/>
      <c r="AF195" s="899"/>
      <c r="AG195" s="899"/>
      <c r="AH195" s="899"/>
      <c r="AI195" s="899"/>
      <c r="AJ195" s="899"/>
      <c r="AK195" s="899"/>
      <c r="AL195" s="899"/>
      <c r="AM195" s="899"/>
      <c r="AN195" s="899"/>
      <c r="AO195" s="899"/>
    </row>
    <row r="196">
      <c r="B196" s="1295" t="s">
        <v>1556</v>
      </c>
      <c r="G196" s="899"/>
      <c r="H196" s="899"/>
      <c r="I196" s="899"/>
      <c r="J196" s="899"/>
      <c r="K196" s="899"/>
      <c r="L196" s="899"/>
      <c r="M196" s="899"/>
      <c r="N196" s="899"/>
      <c r="O196" s="899"/>
      <c r="P196" s="899"/>
      <c r="Q196" s="899"/>
      <c r="R196" s="899"/>
      <c r="S196" s="899"/>
      <c r="T196" s="899"/>
      <c r="U196" s="899"/>
      <c r="V196" s="899"/>
      <c r="W196" s="899"/>
      <c r="X196" s="899"/>
      <c r="Y196" s="899"/>
      <c r="Z196" s="899"/>
      <c r="AA196" s="899"/>
      <c r="AB196" s="899"/>
      <c r="AC196" s="899"/>
      <c r="AD196" s="899"/>
      <c r="AE196" s="899"/>
      <c r="AF196" s="899"/>
      <c r="AG196" s="899"/>
      <c r="AH196" s="899"/>
      <c r="AI196" s="899"/>
      <c r="AJ196" s="899"/>
      <c r="AK196" s="899"/>
      <c r="AL196" s="899"/>
      <c r="AM196" s="899"/>
      <c r="AN196" s="899"/>
      <c r="AO196" s="899"/>
    </row>
    <row r="197">
      <c r="B197" s="1305" t="s">
        <v>1557</v>
      </c>
      <c r="G197" s="899"/>
      <c r="H197" s="899"/>
      <c r="I197" s="899"/>
      <c r="J197" s="899"/>
      <c r="K197" s="899"/>
      <c r="L197" s="899"/>
      <c r="M197" s="899"/>
      <c r="N197" s="899"/>
      <c r="O197" s="899"/>
      <c r="P197" s="899"/>
      <c r="Q197" s="899"/>
      <c r="R197" s="899"/>
      <c r="S197" s="899"/>
      <c r="T197" s="899"/>
      <c r="U197" s="899"/>
      <c r="V197" s="899"/>
      <c r="W197" s="899"/>
      <c r="X197" s="899"/>
      <c r="Y197" s="899"/>
      <c r="Z197" s="899"/>
      <c r="AA197" s="899"/>
      <c r="AB197" s="899"/>
      <c r="AC197" s="899"/>
      <c r="AD197" s="899"/>
      <c r="AE197" s="899"/>
      <c r="AF197" s="899"/>
      <c r="AG197" s="899"/>
      <c r="AH197" s="899"/>
      <c r="AI197" s="899"/>
      <c r="AJ197" s="899"/>
      <c r="AK197" s="899"/>
      <c r="AL197" s="899"/>
      <c r="AM197" s="899"/>
      <c r="AN197" s="899"/>
      <c r="AO197" s="899"/>
    </row>
    <row r="198">
      <c r="B198" s="1305" t="s">
        <v>1559</v>
      </c>
      <c r="G198" s="899"/>
      <c r="H198" s="899"/>
      <c r="I198" s="899"/>
      <c r="J198" s="899"/>
      <c r="K198" s="899"/>
      <c r="L198" s="899"/>
      <c r="M198" s="899"/>
      <c r="N198" s="899"/>
      <c r="O198" s="899"/>
      <c r="P198" s="899"/>
      <c r="Q198" s="899"/>
      <c r="R198" s="899"/>
      <c r="S198" s="899"/>
      <c r="T198" s="899"/>
      <c r="U198" s="899"/>
      <c r="V198" s="899"/>
      <c r="W198" s="899"/>
      <c r="X198" s="899"/>
      <c r="Y198" s="899"/>
      <c r="Z198" s="899"/>
      <c r="AA198" s="899"/>
      <c r="AB198" s="899"/>
      <c r="AC198" s="899"/>
      <c r="AD198" s="899"/>
      <c r="AE198" s="899"/>
      <c r="AF198" s="899"/>
      <c r="AG198" s="899"/>
      <c r="AH198" s="899"/>
      <c r="AI198" s="899"/>
      <c r="AJ198" s="899"/>
      <c r="AK198" s="899"/>
      <c r="AL198" s="899"/>
      <c r="AM198" s="899"/>
      <c r="AN198" s="899"/>
      <c r="AO198" s="899"/>
    </row>
    <row r="199">
      <c r="B199" s="1295" t="s">
        <v>1560</v>
      </c>
      <c r="G199" s="899"/>
      <c r="H199" s="899"/>
      <c r="I199" s="899"/>
      <c r="J199" s="899"/>
      <c r="K199" s="899"/>
      <c r="L199" s="899"/>
      <c r="M199" s="899"/>
      <c r="N199" s="899"/>
      <c r="O199" s="899"/>
      <c r="P199" s="899"/>
      <c r="Q199" s="899"/>
      <c r="R199" s="899"/>
      <c r="S199" s="899"/>
      <c r="T199" s="899"/>
      <c r="U199" s="899"/>
      <c r="V199" s="899"/>
      <c r="W199" s="899"/>
      <c r="X199" s="899"/>
      <c r="Y199" s="899"/>
      <c r="Z199" s="899"/>
      <c r="AA199" s="899"/>
      <c r="AB199" s="899"/>
      <c r="AC199" s="899"/>
      <c r="AD199" s="899"/>
      <c r="AE199" s="899"/>
      <c r="AF199" s="899"/>
      <c r="AG199" s="899"/>
      <c r="AH199" s="899"/>
      <c r="AI199" s="899"/>
      <c r="AJ199" s="899"/>
      <c r="AK199" s="899"/>
      <c r="AL199" s="899"/>
      <c r="AM199" s="899"/>
      <c r="AN199" s="899"/>
      <c r="AO199" s="899"/>
    </row>
    <row r="200">
      <c r="B200" s="1295" t="s">
        <v>1561</v>
      </c>
      <c r="G200" s="899"/>
      <c r="H200" s="899"/>
      <c r="I200" s="899"/>
      <c r="J200" s="899"/>
      <c r="K200" s="899"/>
      <c r="L200" s="899"/>
      <c r="M200" s="899"/>
      <c r="N200" s="899"/>
      <c r="O200" s="899"/>
      <c r="P200" s="899"/>
      <c r="Q200" s="899"/>
      <c r="R200" s="899"/>
      <c r="S200" s="899"/>
      <c r="T200" s="899"/>
      <c r="U200" s="899"/>
      <c r="V200" s="899"/>
      <c r="W200" s="899"/>
      <c r="X200" s="899"/>
      <c r="Y200" s="899"/>
      <c r="Z200" s="899"/>
      <c r="AA200" s="899"/>
      <c r="AB200" s="899"/>
      <c r="AC200" s="899"/>
      <c r="AD200" s="899"/>
      <c r="AE200" s="899"/>
      <c r="AF200" s="899"/>
      <c r="AG200" s="899"/>
      <c r="AH200" s="899"/>
      <c r="AI200" s="899"/>
      <c r="AJ200" s="899"/>
      <c r="AK200" s="899"/>
      <c r="AL200" s="899"/>
      <c r="AM200" s="899"/>
      <c r="AN200" s="899"/>
      <c r="AO200" s="899"/>
    </row>
    <row r="201">
      <c r="B201" s="1295" t="s">
        <v>1562</v>
      </c>
      <c r="G201" s="899"/>
      <c r="H201" s="899"/>
      <c r="I201" s="899"/>
      <c r="J201" s="899"/>
      <c r="K201" s="899"/>
      <c r="L201" s="899"/>
      <c r="M201" s="899"/>
      <c r="N201" s="899"/>
      <c r="O201" s="899"/>
      <c r="P201" s="899"/>
      <c r="Q201" s="899"/>
      <c r="R201" s="899"/>
      <c r="S201" s="899"/>
      <c r="T201" s="899"/>
      <c r="U201" s="899"/>
      <c r="V201" s="899"/>
      <c r="W201" s="899"/>
      <c r="X201" s="899"/>
      <c r="Y201" s="899"/>
      <c r="Z201" s="899"/>
      <c r="AA201" s="899"/>
      <c r="AB201" s="899"/>
      <c r="AC201" s="899"/>
      <c r="AD201" s="899"/>
      <c r="AE201" s="899"/>
      <c r="AF201" s="899"/>
      <c r="AG201" s="899"/>
      <c r="AH201" s="899"/>
      <c r="AI201" s="899"/>
      <c r="AJ201" s="899"/>
      <c r="AK201" s="899"/>
      <c r="AL201" s="899"/>
      <c r="AM201" s="899"/>
      <c r="AN201" s="899"/>
      <c r="AO201" s="899"/>
    </row>
    <row r="202">
      <c r="A202" s="1292" t="s">
        <v>1578</v>
      </c>
      <c r="B202" s="1293" t="s">
        <v>1552</v>
      </c>
      <c r="G202" s="899"/>
      <c r="H202" s="899"/>
      <c r="I202" s="899"/>
      <c r="J202" s="899"/>
      <c r="K202" s="899"/>
      <c r="L202" s="899"/>
      <c r="M202" s="899"/>
      <c r="N202" s="899"/>
      <c r="O202" s="899"/>
      <c r="P202" s="899"/>
      <c r="Q202" s="899"/>
      <c r="R202" s="899"/>
      <c r="S202" s="899"/>
      <c r="T202" s="899"/>
      <c r="U202" s="899"/>
      <c r="V202" s="899"/>
      <c r="W202" s="899"/>
      <c r="X202" s="899"/>
      <c r="Y202" s="899"/>
      <c r="Z202" s="899"/>
      <c r="AA202" s="899"/>
      <c r="AB202" s="899"/>
      <c r="AC202" s="899"/>
      <c r="AD202" s="899"/>
      <c r="AE202" s="899"/>
      <c r="AF202" s="899"/>
      <c r="AG202" s="899"/>
      <c r="AH202" s="899"/>
      <c r="AI202" s="899"/>
      <c r="AJ202" s="899"/>
      <c r="AK202" s="899"/>
      <c r="AL202" s="899"/>
      <c r="AM202" s="899"/>
      <c r="AN202" s="899"/>
      <c r="AO202" s="899"/>
    </row>
    <row r="203">
      <c r="B203" s="1295" t="s">
        <v>1553</v>
      </c>
      <c r="G203" s="899"/>
      <c r="H203" s="899"/>
      <c r="I203" s="899"/>
      <c r="J203" s="899"/>
      <c r="K203" s="899"/>
      <c r="L203" s="899"/>
      <c r="M203" s="899"/>
      <c r="N203" s="899"/>
      <c r="O203" s="899"/>
      <c r="P203" s="899"/>
      <c r="Q203" s="899"/>
      <c r="R203" s="899"/>
      <c r="S203" s="899"/>
      <c r="T203" s="899"/>
      <c r="U203" s="899"/>
      <c r="V203" s="899"/>
      <c r="W203" s="899"/>
      <c r="X203" s="899"/>
      <c r="Y203" s="899"/>
      <c r="Z203" s="899"/>
      <c r="AA203" s="899"/>
      <c r="AB203" s="899"/>
      <c r="AC203" s="899"/>
      <c r="AD203" s="899"/>
      <c r="AE203" s="899"/>
      <c r="AF203" s="899"/>
      <c r="AG203" s="899"/>
      <c r="AH203" s="899"/>
      <c r="AI203" s="899"/>
      <c r="AJ203" s="899"/>
      <c r="AK203" s="899"/>
      <c r="AL203" s="899"/>
      <c r="AM203" s="899"/>
      <c r="AN203" s="899"/>
      <c r="AO203" s="899"/>
    </row>
    <row r="204">
      <c r="B204" s="1295" t="s">
        <v>1555</v>
      </c>
      <c r="G204" s="899"/>
      <c r="H204" s="899"/>
      <c r="I204" s="899"/>
      <c r="J204" s="899"/>
      <c r="K204" s="899"/>
      <c r="L204" s="899"/>
      <c r="M204" s="899"/>
      <c r="N204" s="899"/>
      <c r="O204" s="899"/>
      <c r="P204" s="899"/>
      <c r="Q204" s="899"/>
      <c r="R204" s="899"/>
      <c r="S204" s="899"/>
      <c r="T204" s="899"/>
      <c r="U204" s="899"/>
      <c r="V204" s="899"/>
      <c r="W204" s="899"/>
      <c r="X204" s="899"/>
      <c r="Y204" s="899"/>
      <c r="Z204" s="899"/>
      <c r="AA204" s="899"/>
      <c r="AB204" s="899"/>
      <c r="AC204" s="899"/>
      <c r="AD204" s="899"/>
      <c r="AE204" s="899"/>
      <c r="AF204" s="899"/>
      <c r="AG204" s="899"/>
      <c r="AH204" s="899"/>
      <c r="AI204" s="899"/>
      <c r="AJ204" s="899"/>
      <c r="AK204" s="899"/>
      <c r="AL204" s="899"/>
      <c r="AM204" s="899"/>
      <c r="AN204" s="899"/>
      <c r="AO204" s="899"/>
    </row>
    <row r="205">
      <c r="B205" s="1295" t="s">
        <v>1556</v>
      </c>
      <c r="G205" s="899"/>
      <c r="H205" s="899"/>
      <c r="I205" s="899"/>
      <c r="J205" s="899"/>
      <c r="K205" s="899"/>
      <c r="L205" s="899"/>
      <c r="M205" s="899"/>
      <c r="N205" s="899"/>
      <c r="O205" s="899"/>
      <c r="P205" s="899"/>
      <c r="Q205" s="899"/>
      <c r="R205" s="899"/>
      <c r="S205" s="899"/>
      <c r="T205" s="899"/>
      <c r="U205" s="899"/>
      <c r="V205" s="899"/>
      <c r="W205" s="899"/>
      <c r="X205" s="899"/>
      <c r="Y205" s="899"/>
      <c r="Z205" s="899"/>
      <c r="AA205" s="899"/>
      <c r="AB205" s="899"/>
      <c r="AC205" s="899"/>
      <c r="AD205" s="899"/>
      <c r="AE205" s="899"/>
      <c r="AF205" s="899"/>
      <c r="AG205" s="899"/>
      <c r="AH205" s="899"/>
      <c r="AI205" s="899"/>
      <c r="AJ205" s="899"/>
      <c r="AK205" s="899"/>
      <c r="AL205" s="899"/>
      <c r="AM205" s="899"/>
      <c r="AN205" s="899"/>
      <c r="AO205" s="899"/>
    </row>
    <row r="206">
      <c r="B206" s="1305" t="s">
        <v>1557</v>
      </c>
      <c r="G206" s="899"/>
      <c r="H206" s="899"/>
      <c r="I206" s="899"/>
      <c r="J206" s="899"/>
      <c r="K206" s="899"/>
      <c r="L206" s="899"/>
      <c r="M206" s="899"/>
      <c r="N206" s="899"/>
      <c r="O206" s="899"/>
      <c r="P206" s="899"/>
      <c r="Q206" s="899"/>
      <c r="R206" s="899"/>
      <c r="S206" s="899"/>
      <c r="T206" s="899"/>
      <c r="U206" s="899"/>
      <c r="V206" s="899"/>
      <c r="W206" s="899"/>
      <c r="X206" s="899"/>
      <c r="Y206" s="899"/>
      <c r="Z206" s="899"/>
      <c r="AA206" s="899"/>
      <c r="AB206" s="899"/>
      <c r="AC206" s="899"/>
      <c r="AD206" s="899"/>
      <c r="AE206" s="899"/>
      <c r="AF206" s="899"/>
      <c r="AG206" s="899"/>
      <c r="AH206" s="899"/>
      <c r="AI206" s="899"/>
      <c r="AJ206" s="899"/>
      <c r="AK206" s="899"/>
      <c r="AL206" s="899"/>
      <c r="AM206" s="899"/>
      <c r="AN206" s="899"/>
      <c r="AO206" s="899"/>
    </row>
    <row r="207">
      <c r="B207" s="1305" t="s">
        <v>1559</v>
      </c>
      <c r="G207" s="899"/>
      <c r="H207" s="899"/>
      <c r="I207" s="899"/>
      <c r="J207" s="899"/>
      <c r="K207" s="899"/>
      <c r="L207" s="899"/>
      <c r="M207" s="899"/>
      <c r="N207" s="899"/>
      <c r="O207" s="899"/>
      <c r="P207" s="899"/>
      <c r="Q207" s="899"/>
      <c r="R207" s="899"/>
      <c r="S207" s="899"/>
      <c r="T207" s="899"/>
      <c r="U207" s="899"/>
      <c r="V207" s="899"/>
      <c r="W207" s="899"/>
      <c r="X207" s="899"/>
      <c r="Y207" s="899"/>
      <c r="Z207" s="899"/>
      <c r="AA207" s="899"/>
      <c r="AB207" s="899"/>
      <c r="AC207" s="899"/>
      <c r="AD207" s="899"/>
      <c r="AE207" s="899"/>
      <c r="AF207" s="899"/>
      <c r="AG207" s="899"/>
      <c r="AH207" s="899"/>
      <c r="AI207" s="899"/>
      <c r="AJ207" s="899"/>
      <c r="AK207" s="899"/>
      <c r="AL207" s="899"/>
      <c r="AM207" s="899"/>
      <c r="AN207" s="899"/>
      <c r="AO207" s="899"/>
    </row>
    <row r="208">
      <c r="B208" s="1295" t="s">
        <v>1560</v>
      </c>
      <c r="G208" s="899"/>
      <c r="H208" s="899"/>
      <c r="I208" s="899"/>
      <c r="J208" s="899"/>
      <c r="K208" s="899"/>
      <c r="L208" s="899"/>
      <c r="M208" s="899"/>
      <c r="N208" s="899"/>
      <c r="O208" s="899"/>
      <c r="P208" s="899"/>
      <c r="Q208" s="899"/>
      <c r="R208" s="899"/>
      <c r="S208" s="899"/>
      <c r="T208" s="899"/>
      <c r="U208" s="899"/>
      <c r="V208" s="899"/>
      <c r="W208" s="899"/>
      <c r="X208" s="899"/>
      <c r="Y208" s="899"/>
      <c r="Z208" s="899"/>
      <c r="AA208" s="899"/>
      <c r="AB208" s="899"/>
      <c r="AC208" s="899"/>
      <c r="AD208" s="899"/>
      <c r="AE208" s="899"/>
      <c r="AF208" s="899"/>
      <c r="AG208" s="899"/>
      <c r="AH208" s="899"/>
      <c r="AI208" s="899"/>
      <c r="AJ208" s="899"/>
      <c r="AK208" s="899"/>
      <c r="AL208" s="899"/>
      <c r="AM208" s="899"/>
      <c r="AN208" s="899"/>
      <c r="AO208" s="899"/>
    </row>
    <row r="209">
      <c r="B209" s="1295" t="s">
        <v>1561</v>
      </c>
      <c r="G209" s="899"/>
      <c r="H209" s="899"/>
      <c r="I209" s="899"/>
      <c r="J209" s="899"/>
      <c r="K209" s="899"/>
      <c r="L209" s="899"/>
      <c r="M209" s="899"/>
      <c r="N209" s="899"/>
      <c r="O209" s="899"/>
      <c r="P209" s="899"/>
      <c r="Q209" s="899"/>
      <c r="R209" s="899"/>
      <c r="S209" s="899"/>
      <c r="T209" s="899"/>
      <c r="U209" s="899"/>
      <c r="V209" s="899"/>
      <c r="W209" s="899"/>
      <c r="X209" s="899"/>
      <c r="Y209" s="899"/>
      <c r="Z209" s="899"/>
      <c r="AA209" s="899"/>
      <c r="AB209" s="899"/>
      <c r="AC209" s="899"/>
      <c r="AD209" s="899"/>
      <c r="AE209" s="899"/>
      <c r="AF209" s="899"/>
      <c r="AG209" s="899"/>
      <c r="AH209" s="899"/>
      <c r="AI209" s="899"/>
      <c r="AJ209" s="899"/>
      <c r="AK209" s="899"/>
      <c r="AL209" s="899"/>
      <c r="AM209" s="899"/>
      <c r="AN209" s="899"/>
      <c r="AO209" s="899"/>
    </row>
    <row r="210">
      <c r="B210" s="1295" t="s">
        <v>1562</v>
      </c>
      <c r="G210" s="899"/>
      <c r="H210" s="899"/>
      <c r="I210" s="899"/>
      <c r="J210" s="899"/>
      <c r="K210" s="899"/>
      <c r="L210" s="899"/>
      <c r="M210" s="899"/>
      <c r="N210" s="899"/>
      <c r="O210" s="899"/>
      <c r="P210" s="899"/>
      <c r="Q210" s="899"/>
      <c r="R210" s="899"/>
      <c r="S210" s="899"/>
      <c r="T210" s="899"/>
      <c r="U210" s="899"/>
      <c r="V210" s="899"/>
      <c r="W210" s="899"/>
      <c r="X210" s="899"/>
      <c r="Y210" s="899"/>
      <c r="Z210" s="899"/>
      <c r="AA210" s="899"/>
      <c r="AB210" s="899"/>
      <c r="AC210" s="899"/>
      <c r="AD210" s="899"/>
      <c r="AE210" s="899"/>
      <c r="AF210" s="899"/>
      <c r="AG210" s="899"/>
      <c r="AH210" s="899"/>
      <c r="AI210" s="899"/>
      <c r="AJ210" s="899"/>
      <c r="AK210" s="899"/>
      <c r="AL210" s="899"/>
      <c r="AM210" s="899"/>
      <c r="AN210" s="899"/>
      <c r="AO210" s="899"/>
    </row>
    <row r="211">
      <c r="A211" s="1292" t="s">
        <v>1579</v>
      </c>
      <c r="B211" s="1293" t="s">
        <v>1552</v>
      </c>
      <c r="G211" s="899"/>
      <c r="H211" s="899"/>
      <c r="I211" s="899"/>
      <c r="J211" s="899"/>
      <c r="K211" s="899"/>
      <c r="L211" s="899"/>
      <c r="M211" s="899"/>
      <c r="N211" s="899"/>
      <c r="O211" s="899"/>
      <c r="P211" s="899"/>
      <c r="Q211" s="899"/>
      <c r="R211" s="899"/>
      <c r="S211" s="899"/>
      <c r="T211" s="899"/>
      <c r="U211" s="899"/>
      <c r="V211" s="899"/>
      <c r="W211" s="899"/>
      <c r="X211" s="899"/>
      <c r="Y211" s="899"/>
      <c r="Z211" s="899"/>
      <c r="AA211" s="899"/>
      <c r="AB211" s="899"/>
      <c r="AC211" s="899"/>
      <c r="AD211" s="899"/>
      <c r="AE211" s="899"/>
      <c r="AF211" s="899"/>
      <c r="AG211" s="899"/>
      <c r="AH211" s="899"/>
      <c r="AI211" s="899"/>
      <c r="AJ211" s="899"/>
      <c r="AK211" s="899"/>
      <c r="AL211" s="899"/>
      <c r="AM211" s="899"/>
      <c r="AN211" s="899"/>
      <c r="AO211" s="899"/>
    </row>
    <row r="212">
      <c r="B212" s="1295" t="s">
        <v>1553</v>
      </c>
      <c r="G212" s="899"/>
      <c r="H212" s="899"/>
      <c r="I212" s="899"/>
      <c r="J212" s="899"/>
      <c r="K212" s="899"/>
      <c r="L212" s="899"/>
      <c r="M212" s="899"/>
      <c r="N212" s="899"/>
      <c r="O212" s="899"/>
      <c r="P212" s="899"/>
      <c r="Q212" s="899"/>
      <c r="R212" s="899"/>
      <c r="S212" s="899"/>
      <c r="T212" s="899"/>
      <c r="U212" s="899"/>
      <c r="V212" s="899"/>
      <c r="W212" s="899"/>
      <c r="X212" s="899"/>
      <c r="Y212" s="899"/>
      <c r="Z212" s="899"/>
      <c r="AA212" s="899"/>
      <c r="AB212" s="899"/>
      <c r="AC212" s="899"/>
      <c r="AD212" s="899"/>
      <c r="AE212" s="899"/>
      <c r="AF212" s="899"/>
      <c r="AG212" s="899"/>
      <c r="AH212" s="899"/>
      <c r="AI212" s="899"/>
      <c r="AJ212" s="899"/>
      <c r="AK212" s="899"/>
      <c r="AL212" s="899"/>
      <c r="AM212" s="899"/>
      <c r="AN212" s="899"/>
      <c r="AO212" s="899"/>
    </row>
    <row r="213">
      <c r="B213" s="1295" t="s">
        <v>1555</v>
      </c>
      <c r="G213" s="899"/>
      <c r="H213" s="899"/>
      <c r="I213" s="899"/>
      <c r="J213" s="899"/>
      <c r="K213" s="899"/>
      <c r="L213" s="899"/>
      <c r="M213" s="899"/>
      <c r="N213" s="899"/>
      <c r="O213" s="899"/>
      <c r="P213" s="899"/>
      <c r="Q213" s="899"/>
      <c r="R213" s="899"/>
      <c r="S213" s="899"/>
      <c r="T213" s="899"/>
      <c r="U213" s="899"/>
      <c r="V213" s="899"/>
      <c r="W213" s="899"/>
      <c r="X213" s="899"/>
      <c r="Y213" s="899"/>
      <c r="Z213" s="899"/>
      <c r="AA213" s="899"/>
      <c r="AB213" s="899"/>
      <c r="AC213" s="899"/>
      <c r="AD213" s="899"/>
      <c r="AE213" s="899"/>
      <c r="AF213" s="899"/>
      <c r="AG213" s="899"/>
      <c r="AH213" s="899"/>
      <c r="AI213" s="899"/>
      <c r="AJ213" s="899"/>
      <c r="AK213" s="899"/>
      <c r="AL213" s="899"/>
      <c r="AM213" s="899"/>
      <c r="AN213" s="899"/>
      <c r="AO213" s="899"/>
    </row>
    <row r="214">
      <c r="B214" s="1295" t="s">
        <v>1556</v>
      </c>
      <c r="G214" s="899"/>
      <c r="H214" s="899"/>
      <c r="I214" s="899"/>
      <c r="J214" s="899"/>
      <c r="K214" s="899"/>
      <c r="L214" s="899"/>
      <c r="M214" s="899"/>
      <c r="N214" s="899"/>
      <c r="O214" s="899"/>
      <c r="P214" s="899"/>
      <c r="Q214" s="899"/>
      <c r="R214" s="899"/>
      <c r="S214" s="899"/>
      <c r="T214" s="899"/>
      <c r="U214" s="899"/>
      <c r="V214" s="899"/>
      <c r="W214" s="899"/>
      <c r="X214" s="899"/>
      <c r="Y214" s="899"/>
      <c r="Z214" s="899"/>
      <c r="AA214" s="899"/>
      <c r="AB214" s="899"/>
      <c r="AC214" s="899"/>
      <c r="AD214" s="899"/>
      <c r="AE214" s="899"/>
      <c r="AF214" s="899"/>
      <c r="AG214" s="899"/>
      <c r="AH214" s="899"/>
      <c r="AI214" s="899"/>
      <c r="AJ214" s="899"/>
      <c r="AK214" s="899"/>
      <c r="AL214" s="899"/>
      <c r="AM214" s="899"/>
      <c r="AN214" s="899"/>
      <c r="AO214" s="899"/>
    </row>
    <row r="215">
      <c r="B215" s="1305" t="s">
        <v>1557</v>
      </c>
      <c r="G215" s="899"/>
      <c r="H215" s="899"/>
      <c r="I215" s="899"/>
      <c r="J215" s="899"/>
      <c r="K215" s="899"/>
      <c r="L215" s="899"/>
      <c r="M215" s="899"/>
      <c r="N215" s="899"/>
      <c r="O215" s="899"/>
      <c r="P215" s="899"/>
      <c r="Q215" s="899"/>
      <c r="R215" s="899"/>
      <c r="S215" s="899"/>
      <c r="T215" s="899"/>
      <c r="U215" s="899"/>
      <c r="V215" s="899"/>
      <c r="W215" s="899"/>
      <c r="X215" s="899"/>
      <c r="Y215" s="899"/>
      <c r="Z215" s="899"/>
      <c r="AA215" s="899"/>
      <c r="AB215" s="899"/>
      <c r="AC215" s="899"/>
      <c r="AD215" s="899"/>
      <c r="AE215" s="899"/>
      <c r="AF215" s="899"/>
      <c r="AG215" s="899"/>
      <c r="AH215" s="899"/>
      <c r="AI215" s="899"/>
      <c r="AJ215" s="899"/>
      <c r="AK215" s="899"/>
      <c r="AL215" s="899"/>
      <c r="AM215" s="899"/>
      <c r="AN215" s="899"/>
      <c r="AO215" s="899"/>
    </row>
    <row r="216">
      <c r="B216" s="1305" t="s">
        <v>1559</v>
      </c>
      <c r="G216" s="899"/>
      <c r="H216" s="899"/>
      <c r="I216" s="899"/>
      <c r="J216" s="899"/>
      <c r="K216" s="899"/>
      <c r="L216" s="899"/>
      <c r="M216" s="899"/>
      <c r="N216" s="899"/>
      <c r="O216" s="899"/>
      <c r="P216" s="899"/>
      <c r="Q216" s="899"/>
      <c r="R216" s="899"/>
      <c r="S216" s="899"/>
      <c r="T216" s="899"/>
      <c r="U216" s="899"/>
      <c r="V216" s="899"/>
      <c r="W216" s="899"/>
      <c r="X216" s="899"/>
      <c r="Y216" s="899"/>
      <c r="Z216" s="899"/>
      <c r="AA216" s="899"/>
      <c r="AB216" s="899"/>
      <c r="AC216" s="899"/>
      <c r="AD216" s="899"/>
      <c r="AE216" s="899"/>
      <c r="AF216" s="899"/>
      <c r="AG216" s="899"/>
      <c r="AH216" s="899"/>
      <c r="AI216" s="899"/>
      <c r="AJ216" s="899"/>
      <c r="AK216" s="899"/>
      <c r="AL216" s="899"/>
      <c r="AM216" s="899"/>
      <c r="AN216" s="899"/>
      <c r="AO216" s="899"/>
    </row>
    <row r="217">
      <c r="B217" s="1295" t="s">
        <v>1560</v>
      </c>
      <c r="G217" s="899"/>
      <c r="H217" s="899"/>
      <c r="I217" s="899"/>
      <c r="J217" s="899"/>
      <c r="K217" s="899"/>
      <c r="L217" s="899"/>
      <c r="M217" s="899"/>
      <c r="N217" s="899"/>
      <c r="O217" s="899"/>
      <c r="P217" s="899"/>
      <c r="Q217" s="899"/>
      <c r="R217" s="899"/>
      <c r="S217" s="899"/>
      <c r="T217" s="899"/>
      <c r="U217" s="899"/>
      <c r="V217" s="899"/>
      <c r="W217" s="899"/>
      <c r="X217" s="899"/>
      <c r="Y217" s="899"/>
      <c r="Z217" s="899"/>
      <c r="AA217" s="899"/>
      <c r="AB217" s="899"/>
      <c r="AC217" s="899"/>
      <c r="AD217" s="899"/>
      <c r="AE217" s="899"/>
      <c r="AF217" s="899"/>
      <c r="AG217" s="899"/>
      <c r="AH217" s="899"/>
      <c r="AI217" s="899"/>
      <c r="AJ217" s="899"/>
      <c r="AK217" s="899"/>
      <c r="AL217" s="899"/>
      <c r="AM217" s="899"/>
      <c r="AN217" s="899"/>
      <c r="AO217" s="899"/>
    </row>
    <row r="218">
      <c r="B218" s="1295" t="s">
        <v>1561</v>
      </c>
      <c r="G218" s="899"/>
      <c r="H218" s="899"/>
      <c r="I218" s="899"/>
      <c r="J218" s="899"/>
      <c r="K218" s="899"/>
      <c r="L218" s="899"/>
      <c r="M218" s="899"/>
      <c r="N218" s="899"/>
      <c r="O218" s="899"/>
      <c r="P218" s="899"/>
      <c r="Q218" s="899"/>
      <c r="R218" s="899"/>
      <c r="S218" s="899"/>
      <c r="T218" s="899"/>
      <c r="U218" s="899"/>
      <c r="V218" s="899"/>
      <c r="W218" s="899"/>
      <c r="X218" s="899"/>
      <c r="Y218" s="899"/>
      <c r="Z218" s="899"/>
      <c r="AA218" s="899"/>
      <c r="AB218" s="899"/>
      <c r="AC218" s="899"/>
      <c r="AD218" s="899"/>
      <c r="AE218" s="899"/>
      <c r="AF218" s="899"/>
      <c r="AG218" s="899"/>
      <c r="AH218" s="899"/>
      <c r="AI218" s="899"/>
      <c r="AJ218" s="899"/>
      <c r="AK218" s="899"/>
      <c r="AL218" s="899"/>
      <c r="AM218" s="899"/>
      <c r="AN218" s="899"/>
      <c r="AO218" s="899"/>
    </row>
    <row r="219">
      <c r="B219" s="1295" t="s">
        <v>1562</v>
      </c>
      <c r="G219" s="899"/>
      <c r="H219" s="899"/>
      <c r="I219" s="899"/>
      <c r="J219" s="899"/>
      <c r="K219" s="899"/>
      <c r="L219" s="899"/>
      <c r="M219" s="899"/>
      <c r="N219" s="899"/>
      <c r="O219" s="899"/>
      <c r="P219" s="899"/>
      <c r="Q219" s="899"/>
      <c r="R219" s="899"/>
      <c r="S219" s="899"/>
      <c r="T219" s="899"/>
      <c r="U219" s="899"/>
      <c r="V219" s="899"/>
      <c r="W219" s="899"/>
      <c r="X219" s="899"/>
      <c r="Y219" s="899"/>
      <c r="Z219" s="899"/>
      <c r="AA219" s="899"/>
      <c r="AB219" s="899"/>
      <c r="AC219" s="899"/>
      <c r="AD219" s="899"/>
      <c r="AE219" s="899"/>
      <c r="AF219" s="899"/>
      <c r="AG219" s="899"/>
      <c r="AH219" s="899"/>
      <c r="AI219" s="899"/>
      <c r="AJ219" s="899"/>
      <c r="AK219" s="899"/>
      <c r="AL219" s="899"/>
      <c r="AM219" s="899"/>
      <c r="AN219" s="899"/>
      <c r="AO219" s="899"/>
    </row>
    <row r="220">
      <c r="A220" s="1292" t="s">
        <v>1580</v>
      </c>
      <c r="B220" s="1293" t="s">
        <v>1552</v>
      </c>
      <c r="G220" s="899"/>
      <c r="H220" s="899"/>
      <c r="I220" s="899"/>
      <c r="J220" s="899"/>
      <c r="K220" s="899"/>
      <c r="L220" s="899"/>
      <c r="M220" s="899"/>
      <c r="N220" s="899"/>
      <c r="O220" s="899"/>
      <c r="P220" s="899"/>
      <c r="Q220" s="899"/>
      <c r="R220" s="899"/>
      <c r="S220" s="899"/>
      <c r="T220" s="899"/>
      <c r="U220" s="899"/>
      <c r="V220" s="899"/>
      <c r="W220" s="899"/>
      <c r="X220" s="899"/>
      <c r="Y220" s="899"/>
      <c r="Z220" s="899"/>
      <c r="AA220" s="899"/>
      <c r="AB220" s="899"/>
      <c r="AC220" s="899"/>
      <c r="AD220" s="899"/>
      <c r="AE220" s="899"/>
      <c r="AF220" s="899"/>
      <c r="AG220" s="899"/>
      <c r="AH220" s="899"/>
      <c r="AI220" s="899"/>
      <c r="AJ220" s="899"/>
      <c r="AK220" s="899"/>
      <c r="AL220" s="899"/>
      <c r="AM220" s="899"/>
      <c r="AN220" s="899"/>
      <c r="AO220" s="899"/>
    </row>
    <row r="221">
      <c r="B221" s="1295" t="s">
        <v>1553</v>
      </c>
      <c r="G221" s="899"/>
      <c r="H221" s="899"/>
      <c r="I221" s="899"/>
      <c r="J221" s="899"/>
      <c r="K221" s="899"/>
      <c r="L221" s="899"/>
      <c r="M221" s="899"/>
      <c r="N221" s="899"/>
      <c r="O221" s="899"/>
      <c r="P221" s="899"/>
      <c r="Q221" s="899"/>
      <c r="R221" s="899"/>
      <c r="S221" s="899"/>
      <c r="T221" s="899"/>
      <c r="U221" s="899"/>
      <c r="V221" s="899"/>
      <c r="W221" s="899"/>
      <c r="X221" s="899"/>
      <c r="Y221" s="899"/>
      <c r="Z221" s="899"/>
      <c r="AA221" s="899"/>
      <c r="AB221" s="899"/>
      <c r="AC221" s="899"/>
      <c r="AD221" s="899"/>
      <c r="AE221" s="899"/>
      <c r="AF221" s="899"/>
      <c r="AG221" s="899"/>
      <c r="AH221" s="899"/>
      <c r="AI221" s="899"/>
      <c r="AJ221" s="899"/>
      <c r="AK221" s="899"/>
      <c r="AL221" s="899"/>
      <c r="AM221" s="899"/>
      <c r="AN221" s="899"/>
      <c r="AO221" s="899"/>
    </row>
    <row r="222">
      <c r="B222" s="1295" t="s">
        <v>1555</v>
      </c>
      <c r="G222" s="899"/>
      <c r="H222" s="899"/>
      <c r="I222" s="899"/>
      <c r="J222" s="899"/>
      <c r="K222" s="899"/>
      <c r="L222" s="899"/>
      <c r="M222" s="899"/>
      <c r="N222" s="899"/>
      <c r="O222" s="899"/>
      <c r="P222" s="899"/>
      <c r="Q222" s="899"/>
      <c r="R222" s="899"/>
      <c r="S222" s="899"/>
      <c r="T222" s="899"/>
      <c r="U222" s="899"/>
      <c r="V222" s="899"/>
      <c r="W222" s="899"/>
      <c r="X222" s="899"/>
      <c r="Y222" s="899"/>
      <c r="Z222" s="899"/>
      <c r="AA222" s="899"/>
      <c r="AB222" s="899"/>
      <c r="AC222" s="899"/>
      <c r="AD222" s="899"/>
      <c r="AE222" s="899"/>
      <c r="AF222" s="899"/>
      <c r="AG222" s="899"/>
      <c r="AH222" s="899"/>
      <c r="AI222" s="899"/>
      <c r="AJ222" s="899"/>
      <c r="AK222" s="899"/>
      <c r="AL222" s="899"/>
      <c r="AM222" s="899"/>
      <c r="AN222" s="899"/>
      <c r="AO222" s="899"/>
    </row>
    <row r="223">
      <c r="B223" s="1295" t="s">
        <v>1556</v>
      </c>
      <c r="G223" s="899"/>
      <c r="H223" s="899"/>
      <c r="I223" s="899"/>
      <c r="J223" s="899"/>
      <c r="K223" s="899"/>
      <c r="L223" s="899"/>
      <c r="M223" s="899"/>
      <c r="N223" s="899"/>
      <c r="O223" s="899"/>
      <c r="P223" s="899"/>
      <c r="Q223" s="899"/>
      <c r="R223" s="899"/>
      <c r="S223" s="899"/>
      <c r="T223" s="899"/>
      <c r="U223" s="899"/>
      <c r="V223" s="899"/>
      <c r="W223" s="899"/>
      <c r="X223" s="899"/>
      <c r="Y223" s="899"/>
      <c r="Z223" s="899"/>
      <c r="AA223" s="899"/>
      <c r="AB223" s="899"/>
      <c r="AC223" s="899"/>
      <c r="AD223" s="899"/>
      <c r="AE223" s="899"/>
      <c r="AF223" s="899"/>
      <c r="AG223" s="899"/>
      <c r="AH223" s="899"/>
      <c r="AI223" s="899"/>
      <c r="AJ223" s="899"/>
      <c r="AK223" s="899"/>
      <c r="AL223" s="899"/>
      <c r="AM223" s="899"/>
      <c r="AN223" s="899"/>
      <c r="AO223" s="899"/>
    </row>
    <row r="224">
      <c r="B224" s="1305" t="s">
        <v>1557</v>
      </c>
      <c r="G224" s="899"/>
      <c r="H224" s="899"/>
      <c r="I224" s="899"/>
      <c r="J224" s="899"/>
      <c r="K224" s="899"/>
      <c r="L224" s="899"/>
      <c r="M224" s="899"/>
      <c r="N224" s="899"/>
      <c r="O224" s="899"/>
      <c r="P224" s="899"/>
      <c r="Q224" s="899"/>
      <c r="R224" s="899"/>
      <c r="S224" s="899"/>
      <c r="T224" s="899"/>
      <c r="U224" s="899"/>
      <c r="V224" s="899"/>
      <c r="W224" s="899"/>
      <c r="X224" s="899"/>
      <c r="Y224" s="899"/>
      <c r="Z224" s="899"/>
      <c r="AA224" s="899"/>
      <c r="AB224" s="899"/>
      <c r="AC224" s="899"/>
      <c r="AD224" s="899"/>
      <c r="AE224" s="899"/>
      <c r="AF224" s="899"/>
      <c r="AG224" s="899"/>
      <c r="AH224" s="899"/>
      <c r="AI224" s="899"/>
      <c r="AJ224" s="899"/>
      <c r="AK224" s="899"/>
      <c r="AL224" s="899"/>
      <c r="AM224" s="899"/>
      <c r="AN224" s="899"/>
      <c r="AO224" s="899"/>
    </row>
    <row r="225">
      <c r="B225" s="1305" t="s">
        <v>1559</v>
      </c>
      <c r="G225" s="899"/>
      <c r="H225" s="899"/>
      <c r="I225" s="899"/>
      <c r="J225" s="899"/>
      <c r="K225" s="899"/>
      <c r="L225" s="899"/>
      <c r="M225" s="899"/>
      <c r="N225" s="899"/>
      <c r="O225" s="899"/>
      <c r="P225" s="899"/>
      <c r="Q225" s="899"/>
      <c r="R225" s="899"/>
      <c r="S225" s="899"/>
      <c r="T225" s="899"/>
      <c r="U225" s="899"/>
      <c r="V225" s="899"/>
      <c r="W225" s="899"/>
      <c r="X225" s="899"/>
      <c r="Y225" s="899"/>
      <c r="Z225" s="899"/>
      <c r="AA225" s="899"/>
      <c r="AB225" s="899"/>
      <c r="AC225" s="899"/>
      <c r="AD225" s="899"/>
      <c r="AE225" s="899"/>
      <c r="AF225" s="899"/>
      <c r="AG225" s="899"/>
      <c r="AH225" s="899"/>
      <c r="AI225" s="899"/>
      <c r="AJ225" s="899"/>
      <c r="AK225" s="899"/>
      <c r="AL225" s="899"/>
      <c r="AM225" s="899"/>
      <c r="AN225" s="899"/>
      <c r="AO225" s="899"/>
    </row>
    <row r="226">
      <c r="B226" s="1295" t="s">
        <v>1560</v>
      </c>
      <c r="G226" s="899"/>
      <c r="H226" s="899"/>
      <c r="I226" s="899"/>
      <c r="J226" s="899"/>
      <c r="K226" s="899"/>
      <c r="L226" s="899"/>
      <c r="M226" s="899"/>
      <c r="N226" s="899"/>
      <c r="O226" s="899"/>
      <c r="P226" s="899"/>
      <c r="Q226" s="899"/>
      <c r="R226" s="899"/>
      <c r="S226" s="899"/>
      <c r="T226" s="899"/>
      <c r="U226" s="899"/>
      <c r="V226" s="899"/>
      <c r="W226" s="899"/>
      <c r="X226" s="899"/>
      <c r="Y226" s="899"/>
      <c r="Z226" s="899"/>
      <c r="AA226" s="899"/>
      <c r="AB226" s="899"/>
      <c r="AC226" s="899"/>
      <c r="AD226" s="899"/>
      <c r="AE226" s="899"/>
      <c r="AF226" s="899"/>
      <c r="AG226" s="899"/>
      <c r="AH226" s="899"/>
      <c r="AI226" s="899"/>
      <c r="AJ226" s="899"/>
      <c r="AK226" s="899"/>
      <c r="AL226" s="899"/>
      <c r="AM226" s="899"/>
      <c r="AN226" s="899"/>
      <c r="AO226" s="899"/>
    </row>
    <row r="227">
      <c r="B227" s="1295" t="s">
        <v>1561</v>
      </c>
      <c r="G227" s="899"/>
      <c r="H227" s="899"/>
      <c r="I227" s="899"/>
      <c r="J227" s="899"/>
      <c r="K227" s="899"/>
      <c r="L227" s="899"/>
      <c r="M227" s="899"/>
      <c r="N227" s="899"/>
      <c r="O227" s="899"/>
      <c r="P227" s="899"/>
      <c r="Q227" s="899"/>
      <c r="R227" s="899"/>
      <c r="S227" s="899"/>
      <c r="T227" s="899"/>
      <c r="U227" s="899"/>
      <c r="V227" s="899"/>
      <c r="W227" s="899"/>
      <c r="X227" s="899"/>
      <c r="Y227" s="899"/>
      <c r="Z227" s="899"/>
      <c r="AA227" s="899"/>
      <c r="AB227" s="899"/>
      <c r="AC227" s="899"/>
      <c r="AD227" s="899"/>
      <c r="AE227" s="899"/>
      <c r="AF227" s="899"/>
      <c r="AG227" s="899"/>
      <c r="AH227" s="899"/>
      <c r="AI227" s="899"/>
      <c r="AJ227" s="899"/>
      <c r="AK227" s="899"/>
      <c r="AL227" s="899"/>
      <c r="AM227" s="899"/>
      <c r="AN227" s="899"/>
      <c r="AO227" s="899"/>
    </row>
    <row r="228">
      <c r="B228" s="1295" t="s">
        <v>1562</v>
      </c>
      <c r="G228" s="899"/>
      <c r="H228" s="899"/>
      <c r="I228" s="899"/>
      <c r="J228" s="899"/>
      <c r="K228" s="899"/>
      <c r="L228" s="899"/>
      <c r="M228" s="899"/>
      <c r="N228" s="899"/>
      <c r="O228" s="899"/>
      <c r="P228" s="899"/>
      <c r="Q228" s="899"/>
      <c r="R228" s="899"/>
      <c r="S228" s="899"/>
      <c r="T228" s="899"/>
      <c r="U228" s="899"/>
      <c r="V228" s="899"/>
      <c r="W228" s="899"/>
      <c r="X228" s="899"/>
      <c r="Y228" s="899"/>
      <c r="Z228" s="899"/>
      <c r="AA228" s="899"/>
      <c r="AB228" s="899"/>
      <c r="AC228" s="899"/>
      <c r="AD228" s="899"/>
      <c r="AE228" s="899"/>
      <c r="AF228" s="899"/>
      <c r="AG228" s="899"/>
      <c r="AH228" s="899"/>
      <c r="AI228" s="899"/>
      <c r="AJ228" s="899"/>
      <c r="AK228" s="899"/>
      <c r="AL228" s="899"/>
      <c r="AM228" s="899"/>
      <c r="AN228" s="899"/>
      <c r="AO228" s="899"/>
    </row>
    <row r="229">
      <c r="A229" s="1292" t="s">
        <v>1581</v>
      </c>
      <c r="B229" s="1293" t="s">
        <v>1552</v>
      </c>
      <c r="G229" s="899"/>
      <c r="H229" s="899"/>
      <c r="I229" s="899"/>
      <c r="J229" s="899"/>
      <c r="K229" s="899"/>
      <c r="L229" s="899"/>
      <c r="M229" s="899"/>
      <c r="N229" s="899"/>
      <c r="O229" s="899"/>
      <c r="P229" s="899"/>
      <c r="Q229" s="899"/>
      <c r="R229" s="899"/>
      <c r="S229" s="899"/>
      <c r="T229" s="899"/>
      <c r="U229" s="899"/>
      <c r="V229" s="899"/>
      <c r="W229" s="899"/>
      <c r="X229" s="899"/>
      <c r="Y229" s="899"/>
      <c r="Z229" s="899"/>
      <c r="AA229" s="899"/>
      <c r="AB229" s="899"/>
      <c r="AC229" s="899"/>
      <c r="AD229" s="899"/>
      <c r="AE229" s="899"/>
      <c r="AF229" s="899"/>
      <c r="AG229" s="899"/>
      <c r="AH229" s="899"/>
      <c r="AI229" s="899"/>
      <c r="AJ229" s="899"/>
      <c r="AK229" s="899"/>
      <c r="AL229" s="899"/>
      <c r="AM229" s="899"/>
      <c r="AN229" s="899"/>
      <c r="AO229" s="899"/>
    </row>
    <row r="230">
      <c r="B230" s="1295" t="s">
        <v>1553</v>
      </c>
      <c r="G230" s="899"/>
      <c r="H230" s="899"/>
      <c r="I230" s="899"/>
      <c r="J230" s="899"/>
      <c r="K230" s="899"/>
      <c r="L230" s="899"/>
      <c r="M230" s="899"/>
      <c r="N230" s="899"/>
      <c r="O230" s="899"/>
      <c r="P230" s="899"/>
      <c r="Q230" s="899"/>
      <c r="R230" s="899"/>
      <c r="S230" s="899"/>
      <c r="T230" s="899"/>
      <c r="U230" s="899"/>
      <c r="V230" s="899"/>
      <c r="W230" s="899"/>
      <c r="X230" s="899"/>
      <c r="Y230" s="899"/>
      <c r="Z230" s="899"/>
      <c r="AA230" s="899"/>
      <c r="AB230" s="899"/>
      <c r="AC230" s="899"/>
      <c r="AD230" s="899"/>
      <c r="AE230" s="899"/>
      <c r="AF230" s="899"/>
      <c r="AG230" s="899"/>
      <c r="AH230" s="899"/>
      <c r="AI230" s="899"/>
      <c r="AJ230" s="899"/>
      <c r="AK230" s="899"/>
      <c r="AL230" s="899"/>
      <c r="AM230" s="899"/>
      <c r="AN230" s="899"/>
      <c r="AO230" s="899"/>
    </row>
    <row r="231">
      <c r="B231" s="1295" t="s">
        <v>1555</v>
      </c>
      <c r="G231" s="899"/>
      <c r="H231" s="899"/>
      <c r="I231" s="899"/>
      <c r="J231" s="899"/>
      <c r="K231" s="899"/>
      <c r="L231" s="899"/>
      <c r="M231" s="899"/>
      <c r="N231" s="899"/>
      <c r="O231" s="899"/>
      <c r="P231" s="899"/>
      <c r="Q231" s="899"/>
      <c r="R231" s="899"/>
      <c r="S231" s="899"/>
      <c r="T231" s="899"/>
      <c r="U231" s="899"/>
      <c r="V231" s="899"/>
      <c r="W231" s="899"/>
      <c r="X231" s="899"/>
      <c r="Y231" s="899"/>
      <c r="Z231" s="899"/>
      <c r="AA231" s="899"/>
      <c r="AB231" s="899"/>
      <c r="AC231" s="899"/>
      <c r="AD231" s="899"/>
      <c r="AE231" s="899"/>
      <c r="AF231" s="899"/>
      <c r="AG231" s="899"/>
      <c r="AH231" s="899"/>
      <c r="AI231" s="899"/>
      <c r="AJ231" s="899"/>
      <c r="AK231" s="899"/>
      <c r="AL231" s="899"/>
      <c r="AM231" s="899"/>
      <c r="AN231" s="899"/>
      <c r="AO231" s="899"/>
    </row>
    <row r="232">
      <c r="B232" s="1295" t="s">
        <v>1556</v>
      </c>
      <c r="G232" s="899"/>
      <c r="H232" s="899"/>
      <c r="I232" s="899"/>
      <c r="J232" s="899"/>
      <c r="K232" s="899"/>
      <c r="L232" s="899"/>
      <c r="M232" s="899"/>
      <c r="N232" s="899"/>
      <c r="O232" s="899"/>
      <c r="P232" s="899"/>
      <c r="Q232" s="899"/>
      <c r="R232" s="899"/>
      <c r="S232" s="899"/>
      <c r="T232" s="899"/>
      <c r="U232" s="899"/>
      <c r="V232" s="899"/>
      <c r="W232" s="899"/>
      <c r="X232" s="899"/>
      <c r="Y232" s="899"/>
      <c r="Z232" s="899"/>
      <c r="AA232" s="899"/>
      <c r="AB232" s="899"/>
      <c r="AC232" s="899"/>
      <c r="AD232" s="899"/>
      <c r="AE232" s="899"/>
      <c r="AF232" s="899"/>
      <c r="AG232" s="899"/>
      <c r="AH232" s="899"/>
      <c r="AI232" s="899"/>
      <c r="AJ232" s="899"/>
      <c r="AK232" s="899"/>
      <c r="AL232" s="899"/>
      <c r="AM232" s="899"/>
      <c r="AN232" s="899"/>
      <c r="AO232" s="899"/>
    </row>
    <row r="233">
      <c r="B233" s="1305" t="s">
        <v>1557</v>
      </c>
      <c r="G233" s="899"/>
      <c r="H233" s="899"/>
      <c r="I233" s="899"/>
      <c r="J233" s="899"/>
      <c r="K233" s="899"/>
      <c r="L233" s="899"/>
      <c r="M233" s="899"/>
      <c r="N233" s="899"/>
      <c r="O233" s="899"/>
      <c r="P233" s="899"/>
      <c r="Q233" s="899"/>
      <c r="R233" s="899"/>
      <c r="S233" s="899"/>
      <c r="T233" s="899"/>
      <c r="U233" s="899"/>
      <c r="V233" s="899"/>
      <c r="W233" s="899"/>
      <c r="X233" s="899"/>
      <c r="Y233" s="899"/>
      <c r="Z233" s="899"/>
      <c r="AA233" s="899"/>
      <c r="AB233" s="899"/>
      <c r="AC233" s="899"/>
      <c r="AD233" s="899"/>
      <c r="AE233" s="899"/>
      <c r="AF233" s="899"/>
      <c r="AG233" s="899"/>
      <c r="AH233" s="899"/>
      <c r="AI233" s="899"/>
      <c r="AJ233" s="899"/>
      <c r="AK233" s="899"/>
      <c r="AL233" s="899"/>
      <c r="AM233" s="899"/>
      <c r="AN233" s="899"/>
      <c r="AO233" s="899"/>
    </row>
    <row r="234">
      <c r="B234" s="1305" t="s">
        <v>1559</v>
      </c>
      <c r="G234" s="899"/>
      <c r="H234" s="899"/>
      <c r="I234" s="899"/>
      <c r="J234" s="899"/>
      <c r="K234" s="899"/>
      <c r="L234" s="899"/>
      <c r="M234" s="899"/>
      <c r="N234" s="899"/>
      <c r="O234" s="899"/>
      <c r="P234" s="899"/>
      <c r="Q234" s="899"/>
      <c r="R234" s="899"/>
      <c r="S234" s="899"/>
      <c r="T234" s="899"/>
      <c r="U234" s="899"/>
      <c r="V234" s="899"/>
      <c r="W234" s="899"/>
      <c r="X234" s="899"/>
      <c r="Y234" s="899"/>
      <c r="Z234" s="899"/>
      <c r="AA234" s="899"/>
      <c r="AB234" s="899"/>
      <c r="AC234" s="899"/>
      <c r="AD234" s="899"/>
      <c r="AE234" s="899"/>
      <c r="AF234" s="899"/>
      <c r="AG234" s="899"/>
      <c r="AH234" s="899"/>
      <c r="AI234" s="899"/>
      <c r="AJ234" s="899"/>
      <c r="AK234" s="899"/>
      <c r="AL234" s="899"/>
      <c r="AM234" s="899"/>
      <c r="AN234" s="899"/>
      <c r="AO234" s="899"/>
    </row>
    <row r="235">
      <c r="B235" s="1295" t="s">
        <v>1560</v>
      </c>
      <c r="G235" s="899"/>
      <c r="H235" s="899"/>
      <c r="I235" s="899"/>
      <c r="J235" s="899"/>
      <c r="K235" s="899"/>
      <c r="L235" s="899"/>
      <c r="M235" s="899"/>
      <c r="N235" s="899"/>
      <c r="O235" s="899"/>
      <c r="P235" s="899"/>
      <c r="Q235" s="899"/>
      <c r="R235" s="899"/>
      <c r="S235" s="899"/>
      <c r="T235" s="899"/>
      <c r="U235" s="899"/>
      <c r="V235" s="899"/>
      <c r="W235" s="899"/>
      <c r="X235" s="899"/>
      <c r="Y235" s="899"/>
      <c r="Z235" s="899"/>
      <c r="AA235" s="899"/>
      <c r="AB235" s="899"/>
      <c r="AC235" s="899"/>
      <c r="AD235" s="899"/>
      <c r="AE235" s="899"/>
      <c r="AF235" s="899"/>
      <c r="AG235" s="899"/>
      <c r="AH235" s="899"/>
      <c r="AI235" s="899"/>
      <c r="AJ235" s="899"/>
      <c r="AK235" s="899"/>
      <c r="AL235" s="899"/>
      <c r="AM235" s="899"/>
      <c r="AN235" s="899"/>
      <c r="AO235" s="899"/>
    </row>
    <row r="236">
      <c r="B236" s="1295" t="s">
        <v>1561</v>
      </c>
      <c r="G236" s="899"/>
      <c r="H236" s="899"/>
      <c r="I236" s="899"/>
      <c r="J236" s="899"/>
      <c r="K236" s="899"/>
      <c r="L236" s="899"/>
      <c r="M236" s="899"/>
      <c r="N236" s="899"/>
      <c r="O236" s="899"/>
      <c r="P236" s="899"/>
      <c r="Q236" s="899"/>
      <c r="R236" s="899"/>
      <c r="S236" s="899"/>
      <c r="T236" s="899"/>
      <c r="U236" s="899"/>
      <c r="V236" s="899"/>
      <c r="W236" s="899"/>
      <c r="X236" s="899"/>
      <c r="Y236" s="899"/>
      <c r="Z236" s="899"/>
      <c r="AA236" s="899"/>
      <c r="AB236" s="899"/>
      <c r="AC236" s="899"/>
      <c r="AD236" s="899"/>
      <c r="AE236" s="899"/>
      <c r="AF236" s="899"/>
      <c r="AG236" s="899"/>
      <c r="AH236" s="899"/>
      <c r="AI236" s="899"/>
      <c r="AJ236" s="899"/>
      <c r="AK236" s="899"/>
      <c r="AL236" s="899"/>
      <c r="AM236" s="899"/>
      <c r="AN236" s="899"/>
      <c r="AO236" s="899"/>
    </row>
    <row r="237">
      <c r="B237" s="1295" t="s">
        <v>1562</v>
      </c>
      <c r="G237" s="899"/>
      <c r="H237" s="899"/>
      <c r="I237" s="899"/>
      <c r="J237" s="899"/>
      <c r="K237" s="899"/>
      <c r="L237" s="899"/>
      <c r="M237" s="899"/>
      <c r="N237" s="899"/>
      <c r="O237" s="899"/>
      <c r="P237" s="899"/>
      <c r="Q237" s="899"/>
      <c r="R237" s="899"/>
      <c r="S237" s="899"/>
      <c r="T237" s="899"/>
      <c r="U237" s="899"/>
      <c r="V237" s="899"/>
      <c r="W237" s="899"/>
      <c r="X237" s="899"/>
      <c r="Y237" s="899"/>
      <c r="Z237" s="899"/>
      <c r="AA237" s="899"/>
      <c r="AB237" s="899"/>
      <c r="AC237" s="899"/>
      <c r="AD237" s="899"/>
      <c r="AE237" s="899"/>
      <c r="AF237" s="899"/>
      <c r="AG237" s="899"/>
      <c r="AH237" s="899"/>
      <c r="AI237" s="899"/>
      <c r="AJ237" s="899"/>
      <c r="AK237" s="899"/>
      <c r="AL237" s="899"/>
      <c r="AM237" s="899"/>
      <c r="AN237" s="899"/>
      <c r="AO237" s="899"/>
    </row>
    <row r="238">
      <c r="A238" s="1286" t="s">
        <v>1583</v>
      </c>
      <c r="G238" s="899"/>
      <c r="H238" s="899"/>
      <c r="I238" s="899"/>
      <c r="J238" s="899"/>
      <c r="K238" s="899"/>
      <c r="L238" s="899"/>
      <c r="M238" s="899"/>
      <c r="N238" s="899"/>
      <c r="O238" s="899"/>
      <c r="P238" s="899"/>
      <c r="Q238" s="899"/>
      <c r="R238" s="899"/>
      <c r="S238" s="899"/>
      <c r="T238" s="899"/>
      <c r="U238" s="899"/>
      <c r="V238" s="899"/>
      <c r="W238" s="899"/>
      <c r="X238" s="899"/>
      <c r="Y238" s="899"/>
      <c r="Z238" s="899"/>
      <c r="AA238" s="899"/>
      <c r="AB238" s="899"/>
      <c r="AC238" s="899"/>
      <c r="AD238" s="899"/>
      <c r="AE238" s="899"/>
      <c r="AF238" s="899"/>
      <c r="AG238" s="899"/>
      <c r="AH238" s="899"/>
      <c r="AI238" s="899"/>
      <c r="AJ238" s="899"/>
      <c r="AK238" s="899"/>
      <c r="AL238" s="899"/>
      <c r="AM238" s="899"/>
      <c r="AN238" s="899"/>
      <c r="AO238" s="899"/>
    </row>
    <row r="239">
      <c r="A239" s="1320" t="s">
        <v>1571</v>
      </c>
      <c r="B239" s="1293" t="s">
        <v>1552</v>
      </c>
      <c r="G239" s="899"/>
      <c r="H239" s="899"/>
      <c r="I239" s="899"/>
      <c r="J239" s="899"/>
      <c r="K239" s="899"/>
      <c r="L239" s="899"/>
      <c r="M239" s="899"/>
      <c r="N239" s="899"/>
      <c r="O239" s="899"/>
      <c r="P239" s="899"/>
      <c r="Q239" s="899"/>
      <c r="R239" s="899"/>
      <c r="S239" s="899"/>
      <c r="T239" s="899"/>
      <c r="U239" s="899"/>
      <c r="V239" s="899"/>
      <c r="W239" s="899"/>
      <c r="X239" s="899"/>
      <c r="Y239" s="899"/>
      <c r="Z239" s="899"/>
      <c r="AA239" s="899"/>
      <c r="AB239" s="899"/>
      <c r="AC239" s="899"/>
      <c r="AD239" s="899"/>
      <c r="AE239" s="899"/>
      <c r="AF239" s="899"/>
      <c r="AG239" s="899"/>
      <c r="AH239" s="899"/>
      <c r="AI239" s="899"/>
      <c r="AJ239" s="899"/>
      <c r="AK239" s="899"/>
      <c r="AL239" s="899"/>
      <c r="AM239" s="899"/>
      <c r="AN239" s="899"/>
      <c r="AO239" s="899"/>
    </row>
    <row r="240">
      <c r="B240" s="1295" t="s">
        <v>1553</v>
      </c>
      <c r="G240" s="899"/>
      <c r="H240" s="899"/>
      <c r="I240" s="899"/>
      <c r="J240" s="899"/>
      <c r="K240" s="899"/>
      <c r="L240" s="899"/>
      <c r="M240" s="899"/>
      <c r="N240" s="899"/>
      <c r="O240" s="899"/>
      <c r="P240" s="899"/>
      <c r="Q240" s="899"/>
      <c r="R240" s="899"/>
      <c r="S240" s="899"/>
      <c r="T240" s="899"/>
      <c r="U240" s="899"/>
      <c r="V240" s="899"/>
      <c r="W240" s="899"/>
      <c r="X240" s="899"/>
      <c r="Y240" s="899"/>
      <c r="Z240" s="899"/>
      <c r="AA240" s="899"/>
      <c r="AB240" s="899"/>
      <c r="AC240" s="899"/>
      <c r="AD240" s="899"/>
      <c r="AE240" s="899"/>
      <c r="AF240" s="899"/>
      <c r="AG240" s="899"/>
      <c r="AH240" s="899"/>
      <c r="AI240" s="899"/>
      <c r="AJ240" s="899"/>
      <c r="AK240" s="899"/>
      <c r="AL240" s="899"/>
      <c r="AM240" s="899"/>
      <c r="AN240" s="899"/>
      <c r="AO240" s="899"/>
    </row>
    <row r="241">
      <c r="B241" s="1295" t="s">
        <v>1555</v>
      </c>
      <c r="G241" s="899"/>
      <c r="H241" s="899"/>
      <c r="I241" s="899"/>
      <c r="J241" s="899"/>
      <c r="K241" s="899"/>
      <c r="L241" s="899"/>
      <c r="M241" s="899"/>
      <c r="N241" s="899"/>
      <c r="O241" s="899"/>
      <c r="P241" s="899"/>
      <c r="Q241" s="899"/>
      <c r="R241" s="899"/>
      <c r="S241" s="899"/>
      <c r="T241" s="899"/>
      <c r="U241" s="899"/>
      <c r="V241" s="899"/>
      <c r="W241" s="899"/>
      <c r="X241" s="899"/>
      <c r="Y241" s="899"/>
      <c r="Z241" s="899"/>
      <c r="AA241" s="899"/>
      <c r="AB241" s="899"/>
      <c r="AC241" s="899"/>
      <c r="AD241" s="899"/>
      <c r="AE241" s="899"/>
      <c r="AF241" s="899"/>
      <c r="AG241" s="899"/>
      <c r="AH241" s="899"/>
      <c r="AI241" s="899"/>
      <c r="AJ241" s="899"/>
      <c r="AK241" s="899"/>
      <c r="AL241" s="899"/>
      <c r="AM241" s="899"/>
      <c r="AN241" s="899"/>
      <c r="AO241" s="899"/>
    </row>
    <row r="242">
      <c r="B242" s="1295" t="s">
        <v>1556</v>
      </c>
      <c r="G242" s="899"/>
      <c r="H242" s="899"/>
      <c r="I242" s="899"/>
      <c r="J242" s="899"/>
      <c r="K242" s="899"/>
      <c r="L242" s="899"/>
      <c r="M242" s="899"/>
      <c r="N242" s="899"/>
      <c r="O242" s="899"/>
      <c r="P242" s="899"/>
      <c r="Q242" s="899"/>
      <c r="R242" s="899"/>
      <c r="S242" s="899"/>
      <c r="T242" s="899"/>
      <c r="U242" s="899"/>
      <c r="V242" s="899"/>
      <c r="W242" s="899"/>
      <c r="X242" s="899"/>
      <c r="Y242" s="899"/>
      <c r="Z242" s="899"/>
      <c r="AA242" s="899"/>
      <c r="AB242" s="899"/>
      <c r="AC242" s="899"/>
      <c r="AD242" s="899"/>
      <c r="AE242" s="899"/>
      <c r="AF242" s="899"/>
      <c r="AG242" s="899"/>
      <c r="AH242" s="899"/>
      <c r="AI242" s="899"/>
      <c r="AJ242" s="899"/>
      <c r="AK242" s="899"/>
      <c r="AL242" s="899"/>
      <c r="AM242" s="899"/>
      <c r="AN242" s="899"/>
      <c r="AO242" s="899"/>
    </row>
    <row r="243">
      <c r="B243" s="1305" t="s">
        <v>1557</v>
      </c>
      <c r="G243" s="899"/>
      <c r="H243" s="899"/>
      <c r="I243" s="899"/>
      <c r="J243" s="899"/>
      <c r="K243" s="899"/>
      <c r="L243" s="899"/>
      <c r="M243" s="899"/>
      <c r="N243" s="899"/>
      <c r="O243" s="899"/>
      <c r="P243" s="899"/>
      <c r="Q243" s="899"/>
      <c r="R243" s="899"/>
      <c r="S243" s="899"/>
      <c r="T243" s="899"/>
      <c r="U243" s="899"/>
      <c r="V243" s="899"/>
      <c r="W243" s="899"/>
      <c r="X243" s="899"/>
      <c r="Y243" s="899"/>
      <c r="Z243" s="899"/>
      <c r="AA243" s="899"/>
      <c r="AB243" s="899"/>
      <c r="AC243" s="899"/>
      <c r="AD243" s="899"/>
      <c r="AE243" s="899"/>
      <c r="AF243" s="899"/>
      <c r="AG243" s="899"/>
      <c r="AH243" s="899"/>
      <c r="AI243" s="899"/>
      <c r="AJ243" s="899"/>
      <c r="AK243" s="899"/>
      <c r="AL243" s="899"/>
      <c r="AM243" s="899"/>
      <c r="AN243" s="899"/>
      <c r="AO243" s="899"/>
    </row>
    <row r="244">
      <c r="B244" s="1305" t="s">
        <v>1559</v>
      </c>
      <c r="G244" s="899"/>
      <c r="H244" s="899"/>
      <c r="I244" s="899"/>
      <c r="J244" s="899"/>
      <c r="K244" s="899"/>
      <c r="L244" s="899"/>
      <c r="M244" s="899"/>
      <c r="N244" s="899"/>
      <c r="O244" s="899"/>
      <c r="P244" s="899"/>
      <c r="Q244" s="899"/>
      <c r="R244" s="899"/>
      <c r="S244" s="899"/>
      <c r="T244" s="899"/>
      <c r="U244" s="899"/>
      <c r="V244" s="899"/>
      <c r="W244" s="899"/>
      <c r="X244" s="899"/>
      <c r="Y244" s="899"/>
      <c r="Z244" s="899"/>
      <c r="AA244" s="899"/>
      <c r="AB244" s="899"/>
      <c r="AC244" s="899"/>
      <c r="AD244" s="899"/>
      <c r="AE244" s="899"/>
      <c r="AF244" s="899"/>
      <c r="AG244" s="899"/>
      <c r="AH244" s="899"/>
      <c r="AI244" s="899"/>
      <c r="AJ244" s="899"/>
      <c r="AK244" s="899"/>
      <c r="AL244" s="899"/>
      <c r="AM244" s="899"/>
      <c r="AN244" s="899"/>
      <c r="AO244" s="899"/>
    </row>
    <row r="245">
      <c r="B245" s="1295" t="s">
        <v>1560</v>
      </c>
      <c r="G245" s="899"/>
      <c r="H245" s="899"/>
      <c r="I245" s="899"/>
      <c r="J245" s="899"/>
      <c r="K245" s="899"/>
      <c r="L245" s="899"/>
      <c r="M245" s="899"/>
      <c r="N245" s="899"/>
      <c r="O245" s="899"/>
      <c r="P245" s="899"/>
      <c r="Q245" s="899"/>
      <c r="R245" s="899"/>
      <c r="S245" s="899"/>
      <c r="T245" s="899"/>
      <c r="U245" s="899"/>
      <c r="V245" s="899"/>
      <c r="W245" s="899"/>
      <c r="X245" s="899"/>
      <c r="Y245" s="899"/>
      <c r="Z245" s="899"/>
      <c r="AA245" s="899"/>
      <c r="AB245" s="899"/>
      <c r="AC245" s="899"/>
      <c r="AD245" s="899"/>
      <c r="AE245" s="899"/>
      <c r="AF245" s="899"/>
      <c r="AG245" s="899"/>
      <c r="AH245" s="899"/>
      <c r="AI245" s="899"/>
      <c r="AJ245" s="899"/>
      <c r="AK245" s="899"/>
      <c r="AL245" s="899"/>
      <c r="AM245" s="899"/>
      <c r="AN245" s="899"/>
      <c r="AO245" s="899"/>
    </row>
    <row r="246">
      <c r="B246" s="1295" t="s">
        <v>1561</v>
      </c>
      <c r="G246" s="899"/>
      <c r="H246" s="899"/>
      <c r="I246" s="899"/>
      <c r="J246" s="899"/>
      <c r="K246" s="899"/>
      <c r="L246" s="899"/>
      <c r="M246" s="899"/>
      <c r="N246" s="899"/>
      <c r="O246" s="899"/>
      <c r="P246" s="899"/>
      <c r="Q246" s="899"/>
      <c r="R246" s="899"/>
      <c r="S246" s="899"/>
      <c r="T246" s="899"/>
      <c r="U246" s="899"/>
      <c r="V246" s="899"/>
      <c r="W246" s="899"/>
      <c r="X246" s="899"/>
      <c r="Y246" s="899"/>
      <c r="Z246" s="899"/>
      <c r="AA246" s="899"/>
      <c r="AB246" s="899"/>
      <c r="AC246" s="899"/>
      <c r="AD246" s="899"/>
      <c r="AE246" s="899"/>
      <c r="AF246" s="899"/>
      <c r="AG246" s="899"/>
      <c r="AH246" s="899"/>
      <c r="AI246" s="899"/>
      <c r="AJ246" s="899"/>
      <c r="AK246" s="899"/>
      <c r="AL246" s="899"/>
      <c r="AM246" s="899"/>
      <c r="AN246" s="899"/>
      <c r="AO246" s="899"/>
    </row>
    <row r="247">
      <c r="B247" s="1295" t="s">
        <v>1562</v>
      </c>
      <c r="G247" s="899"/>
      <c r="H247" s="899"/>
      <c r="I247" s="899"/>
      <c r="J247" s="899"/>
      <c r="K247" s="899"/>
      <c r="L247" s="899"/>
      <c r="M247" s="899"/>
      <c r="N247" s="899"/>
      <c r="O247" s="899"/>
      <c r="P247" s="899"/>
      <c r="Q247" s="899"/>
      <c r="R247" s="899"/>
      <c r="S247" s="899"/>
      <c r="T247" s="899"/>
      <c r="U247" s="899"/>
      <c r="V247" s="899"/>
      <c r="W247" s="899"/>
      <c r="X247" s="899"/>
      <c r="Y247" s="899"/>
      <c r="Z247" s="899"/>
      <c r="AA247" s="899"/>
      <c r="AB247" s="899"/>
      <c r="AC247" s="899"/>
      <c r="AD247" s="899"/>
      <c r="AE247" s="899"/>
      <c r="AF247" s="899"/>
      <c r="AG247" s="899"/>
      <c r="AH247" s="899"/>
      <c r="AI247" s="899"/>
      <c r="AJ247" s="899"/>
      <c r="AK247" s="899"/>
      <c r="AL247" s="899"/>
      <c r="AM247" s="899"/>
      <c r="AN247" s="899"/>
      <c r="AO247" s="899"/>
    </row>
    <row r="248">
      <c r="A248" s="1292" t="s">
        <v>1572</v>
      </c>
      <c r="B248" s="1293" t="s">
        <v>1552</v>
      </c>
      <c r="G248" s="899"/>
      <c r="H248" s="899"/>
      <c r="I248" s="899"/>
      <c r="J248" s="899"/>
      <c r="K248" s="899"/>
      <c r="L248" s="899"/>
      <c r="M248" s="899"/>
      <c r="N248" s="899"/>
      <c r="O248" s="899"/>
      <c r="P248" s="899"/>
      <c r="Q248" s="899"/>
      <c r="R248" s="899"/>
      <c r="S248" s="899"/>
      <c r="T248" s="899"/>
      <c r="U248" s="899"/>
      <c r="V248" s="899"/>
      <c r="W248" s="899"/>
      <c r="X248" s="899"/>
      <c r="Y248" s="899"/>
      <c r="Z248" s="899"/>
      <c r="AA248" s="899"/>
      <c r="AB248" s="899"/>
      <c r="AC248" s="899"/>
      <c r="AD248" s="899"/>
      <c r="AE248" s="899"/>
      <c r="AF248" s="899"/>
      <c r="AG248" s="899"/>
      <c r="AH248" s="899"/>
      <c r="AI248" s="899"/>
      <c r="AJ248" s="899"/>
      <c r="AK248" s="899"/>
      <c r="AL248" s="899"/>
      <c r="AM248" s="899"/>
      <c r="AN248" s="899"/>
      <c r="AO248" s="899"/>
    </row>
    <row r="249">
      <c r="B249" s="1295" t="s">
        <v>1553</v>
      </c>
      <c r="G249" s="899"/>
      <c r="H249" s="899"/>
      <c r="I249" s="899"/>
      <c r="J249" s="899"/>
      <c r="K249" s="899"/>
      <c r="L249" s="899"/>
      <c r="M249" s="899"/>
      <c r="N249" s="899"/>
      <c r="O249" s="899"/>
      <c r="P249" s="899"/>
      <c r="Q249" s="899"/>
      <c r="R249" s="899"/>
      <c r="S249" s="899"/>
      <c r="T249" s="899"/>
      <c r="U249" s="899"/>
      <c r="V249" s="899"/>
      <c r="W249" s="899"/>
      <c r="X249" s="899"/>
      <c r="Y249" s="899"/>
      <c r="Z249" s="899"/>
      <c r="AA249" s="899"/>
      <c r="AB249" s="899"/>
      <c r="AC249" s="899"/>
      <c r="AD249" s="899"/>
      <c r="AE249" s="899"/>
      <c r="AF249" s="899"/>
      <c r="AG249" s="899"/>
      <c r="AH249" s="899"/>
      <c r="AI249" s="899"/>
      <c r="AJ249" s="899"/>
      <c r="AK249" s="899"/>
      <c r="AL249" s="899"/>
      <c r="AM249" s="899"/>
      <c r="AN249" s="899"/>
      <c r="AO249" s="899"/>
    </row>
    <row r="250">
      <c r="B250" s="1295" t="s">
        <v>1555</v>
      </c>
      <c r="G250" s="899"/>
      <c r="H250" s="899"/>
      <c r="I250" s="899"/>
      <c r="J250" s="899"/>
      <c r="K250" s="899"/>
      <c r="L250" s="899"/>
      <c r="M250" s="899"/>
      <c r="N250" s="899"/>
      <c r="O250" s="899"/>
      <c r="P250" s="899"/>
      <c r="Q250" s="899"/>
      <c r="R250" s="899"/>
      <c r="S250" s="899"/>
      <c r="T250" s="899"/>
      <c r="U250" s="899"/>
      <c r="V250" s="899"/>
      <c r="W250" s="899"/>
      <c r="X250" s="899"/>
      <c r="Y250" s="899"/>
      <c r="Z250" s="899"/>
      <c r="AA250" s="899"/>
      <c r="AB250" s="899"/>
      <c r="AC250" s="899"/>
      <c r="AD250" s="899"/>
      <c r="AE250" s="899"/>
      <c r="AF250" s="899"/>
      <c r="AG250" s="899"/>
      <c r="AH250" s="899"/>
      <c r="AI250" s="899"/>
      <c r="AJ250" s="899"/>
      <c r="AK250" s="899"/>
      <c r="AL250" s="899"/>
      <c r="AM250" s="899"/>
      <c r="AN250" s="899"/>
      <c r="AO250" s="899"/>
    </row>
    <row r="251">
      <c r="B251" s="1295" t="s">
        <v>1556</v>
      </c>
      <c r="G251" s="899"/>
      <c r="H251" s="899"/>
      <c r="I251" s="899"/>
      <c r="J251" s="899"/>
      <c r="K251" s="899"/>
      <c r="L251" s="899"/>
      <c r="M251" s="899"/>
      <c r="N251" s="899"/>
      <c r="O251" s="899"/>
      <c r="P251" s="899"/>
      <c r="Q251" s="899"/>
      <c r="R251" s="899"/>
      <c r="S251" s="899"/>
      <c r="T251" s="899"/>
      <c r="U251" s="899"/>
      <c r="V251" s="899"/>
      <c r="W251" s="899"/>
      <c r="X251" s="899"/>
      <c r="Y251" s="899"/>
      <c r="Z251" s="899"/>
      <c r="AA251" s="899"/>
      <c r="AB251" s="899"/>
      <c r="AC251" s="899"/>
      <c r="AD251" s="899"/>
      <c r="AE251" s="899"/>
      <c r="AF251" s="899"/>
      <c r="AG251" s="899"/>
      <c r="AH251" s="899"/>
      <c r="AI251" s="899"/>
      <c r="AJ251" s="899"/>
      <c r="AK251" s="899"/>
      <c r="AL251" s="899"/>
      <c r="AM251" s="899"/>
      <c r="AN251" s="899"/>
      <c r="AO251" s="899"/>
    </row>
    <row r="252">
      <c r="B252" s="1305" t="s">
        <v>1557</v>
      </c>
      <c r="G252" s="899"/>
      <c r="H252" s="899"/>
      <c r="I252" s="899"/>
      <c r="J252" s="899"/>
      <c r="K252" s="899"/>
      <c r="L252" s="899"/>
      <c r="M252" s="899"/>
      <c r="N252" s="899"/>
      <c r="O252" s="899"/>
      <c r="P252" s="899"/>
      <c r="Q252" s="899"/>
      <c r="R252" s="899"/>
      <c r="S252" s="899"/>
      <c r="T252" s="899"/>
      <c r="U252" s="899"/>
      <c r="V252" s="899"/>
      <c r="W252" s="899"/>
      <c r="X252" s="899"/>
      <c r="Y252" s="899"/>
      <c r="Z252" s="899"/>
      <c r="AA252" s="899"/>
      <c r="AB252" s="899"/>
      <c r="AC252" s="899"/>
      <c r="AD252" s="899"/>
      <c r="AE252" s="899"/>
      <c r="AF252" s="899"/>
      <c r="AG252" s="899"/>
      <c r="AH252" s="899"/>
      <c r="AI252" s="899"/>
      <c r="AJ252" s="899"/>
      <c r="AK252" s="899"/>
      <c r="AL252" s="899"/>
      <c r="AM252" s="899"/>
      <c r="AN252" s="899"/>
      <c r="AO252" s="899"/>
    </row>
    <row r="253">
      <c r="B253" s="1305" t="s">
        <v>1559</v>
      </c>
      <c r="G253" s="899"/>
      <c r="H253" s="899"/>
      <c r="I253" s="899"/>
      <c r="J253" s="899"/>
      <c r="K253" s="899"/>
      <c r="L253" s="899"/>
      <c r="M253" s="899"/>
      <c r="N253" s="899"/>
      <c r="O253" s="899"/>
      <c r="P253" s="899"/>
      <c r="Q253" s="899"/>
      <c r="R253" s="899"/>
      <c r="S253" s="899"/>
      <c r="T253" s="899"/>
      <c r="U253" s="899"/>
      <c r="V253" s="899"/>
      <c r="W253" s="899"/>
      <c r="X253" s="899"/>
      <c r="Y253" s="899"/>
      <c r="Z253" s="899"/>
      <c r="AA253" s="899"/>
      <c r="AB253" s="899"/>
      <c r="AC253" s="899"/>
      <c r="AD253" s="899"/>
      <c r="AE253" s="899"/>
      <c r="AF253" s="899"/>
      <c r="AG253" s="899"/>
      <c r="AH253" s="899"/>
      <c r="AI253" s="899"/>
      <c r="AJ253" s="899"/>
      <c r="AK253" s="899"/>
      <c r="AL253" s="899"/>
      <c r="AM253" s="899"/>
      <c r="AN253" s="899"/>
      <c r="AO253" s="899"/>
    </row>
    <row r="254">
      <c r="B254" s="1295" t="s">
        <v>1560</v>
      </c>
      <c r="G254" s="899"/>
      <c r="H254" s="899"/>
      <c r="I254" s="899"/>
      <c r="J254" s="899"/>
      <c r="K254" s="899"/>
      <c r="L254" s="899"/>
      <c r="M254" s="899"/>
      <c r="N254" s="899"/>
      <c r="O254" s="899"/>
      <c r="P254" s="899"/>
      <c r="Q254" s="899"/>
      <c r="R254" s="899"/>
      <c r="S254" s="899"/>
      <c r="T254" s="899"/>
      <c r="U254" s="899"/>
      <c r="V254" s="899"/>
      <c r="W254" s="899"/>
      <c r="X254" s="899"/>
      <c r="Y254" s="899"/>
      <c r="Z254" s="899"/>
      <c r="AA254" s="899"/>
      <c r="AB254" s="899"/>
      <c r="AC254" s="899"/>
      <c r="AD254" s="899"/>
      <c r="AE254" s="899"/>
      <c r="AF254" s="899"/>
      <c r="AG254" s="899"/>
      <c r="AH254" s="899"/>
      <c r="AI254" s="899"/>
      <c r="AJ254" s="899"/>
      <c r="AK254" s="899"/>
      <c r="AL254" s="899"/>
      <c r="AM254" s="899"/>
      <c r="AN254" s="899"/>
      <c r="AO254" s="899"/>
    </row>
    <row r="255">
      <c r="B255" s="1295" t="s">
        <v>1561</v>
      </c>
      <c r="G255" s="899"/>
      <c r="H255" s="899"/>
      <c r="I255" s="899"/>
      <c r="J255" s="899"/>
      <c r="K255" s="899"/>
      <c r="L255" s="899"/>
      <c r="M255" s="899"/>
      <c r="N255" s="899"/>
      <c r="O255" s="899"/>
      <c r="P255" s="899"/>
      <c r="Q255" s="899"/>
      <c r="R255" s="899"/>
      <c r="S255" s="899"/>
      <c r="T255" s="899"/>
      <c r="U255" s="899"/>
      <c r="V255" s="899"/>
      <c r="W255" s="899"/>
      <c r="X255" s="899"/>
      <c r="Y255" s="899"/>
      <c r="Z255" s="899"/>
      <c r="AA255" s="899"/>
      <c r="AB255" s="899"/>
      <c r="AC255" s="899"/>
      <c r="AD255" s="899"/>
      <c r="AE255" s="899"/>
      <c r="AF255" s="899"/>
      <c r="AG255" s="899"/>
      <c r="AH255" s="899"/>
      <c r="AI255" s="899"/>
      <c r="AJ255" s="899"/>
      <c r="AK255" s="899"/>
      <c r="AL255" s="899"/>
      <c r="AM255" s="899"/>
      <c r="AN255" s="899"/>
      <c r="AO255" s="899"/>
    </row>
    <row r="256">
      <c r="B256" s="1295" t="s">
        <v>1562</v>
      </c>
      <c r="G256" s="899"/>
      <c r="H256" s="899"/>
      <c r="I256" s="899"/>
      <c r="J256" s="899"/>
      <c r="K256" s="899"/>
      <c r="L256" s="899"/>
      <c r="M256" s="899"/>
      <c r="N256" s="899"/>
      <c r="O256" s="899"/>
      <c r="P256" s="899"/>
      <c r="Q256" s="899"/>
      <c r="R256" s="899"/>
      <c r="S256" s="899"/>
      <c r="T256" s="899"/>
      <c r="U256" s="899"/>
      <c r="V256" s="899"/>
      <c r="W256" s="899"/>
      <c r="X256" s="899"/>
      <c r="Y256" s="899"/>
      <c r="Z256" s="899"/>
      <c r="AA256" s="899"/>
      <c r="AB256" s="899"/>
      <c r="AC256" s="899"/>
      <c r="AD256" s="899"/>
      <c r="AE256" s="899"/>
      <c r="AF256" s="899"/>
      <c r="AG256" s="899"/>
      <c r="AH256" s="899"/>
      <c r="AI256" s="899"/>
      <c r="AJ256" s="899"/>
      <c r="AK256" s="899"/>
      <c r="AL256" s="899"/>
      <c r="AM256" s="899"/>
      <c r="AN256" s="899"/>
      <c r="AO256" s="899"/>
    </row>
    <row r="257">
      <c r="A257" s="1292" t="s">
        <v>1573</v>
      </c>
      <c r="B257" s="1293" t="s">
        <v>1552</v>
      </c>
      <c r="G257" s="899"/>
      <c r="H257" s="899"/>
      <c r="I257" s="899"/>
      <c r="J257" s="899"/>
      <c r="K257" s="899"/>
      <c r="L257" s="899"/>
      <c r="M257" s="899"/>
      <c r="N257" s="899"/>
      <c r="O257" s="899"/>
      <c r="P257" s="899"/>
      <c r="Q257" s="899"/>
      <c r="R257" s="899"/>
      <c r="S257" s="899"/>
      <c r="T257" s="899"/>
      <c r="U257" s="899"/>
      <c r="V257" s="899"/>
      <c r="W257" s="899"/>
      <c r="X257" s="899"/>
      <c r="Y257" s="899"/>
      <c r="Z257" s="899"/>
      <c r="AA257" s="899"/>
      <c r="AB257" s="899"/>
      <c r="AC257" s="899"/>
      <c r="AD257" s="899"/>
      <c r="AE257" s="899"/>
      <c r="AF257" s="899"/>
      <c r="AG257" s="899"/>
      <c r="AH257" s="899"/>
      <c r="AI257" s="899"/>
      <c r="AJ257" s="899"/>
      <c r="AK257" s="899"/>
      <c r="AL257" s="899"/>
      <c r="AM257" s="899"/>
      <c r="AN257" s="899"/>
      <c r="AO257" s="899"/>
    </row>
    <row r="258">
      <c r="B258" s="1295" t="s">
        <v>1553</v>
      </c>
      <c r="G258" s="899"/>
      <c r="H258" s="899"/>
      <c r="I258" s="899"/>
      <c r="J258" s="899"/>
      <c r="K258" s="899"/>
      <c r="L258" s="899"/>
      <c r="M258" s="899"/>
      <c r="N258" s="899"/>
      <c r="O258" s="899"/>
      <c r="P258" s="899"/>
      <c r="Q258" s="899"/>
      <c r="R258" s="899"/>
      <c r="S258" s="899"/>
      <c r="T258" s="899"/>
      <c r="U258" s="899"/>
      <c r="V258" s="899"/>
      <c r="W258" s="899"/>
      <c r="X258" s="899"/>
      <c r="Y258" s="899"/>
      <c r="Z258" s="899"/>
      <c r="AA258" s="899"/>
      <c r="AB258" s="899"/>
      <c r="AC258" s="899"/>
      <c r="AD258" s="899"/>
      <c r="AE258" s="899"/>
      <c r="AF258" s="899"/>
      <c r="AG258" s="899"/>
      <c r="AH258" s="899"/>
      <c r="AI258" s="899"/>
      <c r="AJ258" s="899"/>
      <c r="AK258" s="899"/>
      <c r="AL258" s="899"/>
      <c r="AM258" s="899"/>
      <c r="AN258" s="899"/>
      <c r="AO258" s="899"/>
    </row>
    <row r="259">
      <c r="B259" s="1295" t="s">
        <v>1555</v>
      </c>
      <c r="G259" s="899"/>
      <c r="H259" s="899"/>
      <c r="I259" s="899"/>
      <c r="J259" s="899"/>
      <c r="K259" s="899"/>
      <c r="L259" s="899"/>
      <c r="M259" s="899"/>
      <c r="N259" s="899"/>
      <c r="O259" s="899"/>
      <c r="P259" s="899"/>
      <c r="Q259" s="899"/>
      <c r="R259" s="899"/>
      <c r="S259" s="899"/>
      <c r="T259" s="899"/>
      <c r="U259" s="899"/>
      <c r="V259" s="899"/>
      <c r="W259" s="899"/>
      <c r="X259" s="899"/>
      <c r="Y259" s="899"/>
      <c r="Z259" s="899"/>
      <c r="AA259" s="899"/>
      <c r="AB259" s="899"/>
      <c r="AC259" s="899"/>
      <c r="AD259" s="899"/>
      <c r="AE259" s="899"/>
      <c r="AF259" s="899"/>
      <c r="AG259" s="899"/>
      <c r="AH259" s="899"/>
      <c r="AI259" s="899"/>
      <c r="AJ259" s="899"/>
      <c r="AK259" s="899"/>
      <c r="AL259" s="899"/>
      <c r="AM259" s="899"/>
      <c r="AN259" s="899"/>
      <c r="AO259" s="899"/>
    </row>
    <row r="260">
      <c r="B260" s="1295" t="s">
        <v>1556</v>
      </c>
      <c r="G260" s="899"/>
      <c r="H260" s="899"/>
      <c r="I260" s="899"/>
      <c r="J260" s="899"/>
      <c r="K260" s="899"/>
      <c r="L260" s="899"/>
      <c r="M260" s="899"/>
      <c r="N260" s="899"/>
      <c r="O260" s="899"/>
      <c r="P260" s="899"/>
      <c r="Q260" s="899"/>
      <c r="R260" s="899"/>
      <c r="S260" s="899"/>
      <c r="T260" s="899"/>
      <c r="U260" s="899"/>
      <c r="V260" s="899"/>
      <c r="W260" s="899"/>
      <c r="X260" s="899"/>
      <c r="Y260" s="899"/>
      <c r="Z260" s="899"/>
      <c r="AA260" s="899"/>
      <c r="AB260" s="899"/>
      <c r="AC260" s="899"/>
      <c r="AD260" s="899"/>
      <c r="AE260" s="899"/>
      <c r="AF260" s="899"/>
      <c r="AG260" s="899"/>
      <c r="AH260" s="899"/>
      <c r="AI260" s="899"/>
      <c r="AJ260" s="899"/>
      <c r="AK260" s="899"/>
      <c r="AL260" s="899"/>
      <c r="AM260" s="899"/>
      <c r="AN260" s="899"/>
      <c r="AO260" s="899"/>
    </row>
    <row r="261">
      <c r="B261" s="1305" t="s">
        <v>1557</v>
      </c>
      <c r="G261" s="899"/>
      <c r="H261" s="899"/>
      <c r="I261" s="899"/>
      <c r="J261" s="899"/>
      <c r="K261" s="899"/>
      <c r="L261" s="899"/>
      <c r="M261" s="899"/>
      <c r="N261" s="899"/>
      <c r="O261" s="899"/>
      <c r="P261" s="899"/>
      <c r="Q261" s="899"/>
      <c r="R261" s="899"/>
      <c r="S261" s="899"/>
      <c r="T261" s="899"/>
      <c r="U261" s="899"/>
      <c r="V261" s="899"/>
      <c r="W261" s="899"/>
      <c r="X261" s="899"/>
      <c r="Y261" s="899"/>
      <c r="Z261" s="899"/>
      <c r="AA261" s="899"/>
      <c r="AB261" s="899"/>
      <c r="AC261" s="899"/>
      <c r="AD261" s="899"/>
      <c r="AE261" s="899"/>
      <c r="AF261" s="899"/>
      <c r="AG261" s="899"/>
      <c r="AH261" s="899"/>
      <c r="AI261" s="899"/>
      <c r="AJ261" s="899"/>
      <c r="AK261" s="899"/>
      <c r="AL261" s="899"/>
      <c r="AM261" s="899"/>
      <c r="AN261" s="899"/>
      <c r="AO261" s="899"/>
    </row>
    <row r="262">
      <c r="B262" s="1305" t="s">
        <v>1559</v>
      </c>
      <c r="G262" s="899"/>
      <c r="H262" s="899"/>
      <c r="I262" s="899"/>
      <c r="J262" s="899"/>
      <c r="K262" s="899"/>
      <c r="L262" s="899"/>
      <c r="M262" s="899"/>
      <c r="N262" s="899"/>
      <c r="O262" s="899"/>
      <c r="P262" s="899"/>
      <c r="Q262" s="899"/>
      <c r="R262" s="899"/>
      <c r="S262" s="899"/>
      <c r="T262" s="899"/>
      <c r="U262" s="899"/>
      <c r="V262" s="899"/>
      <c r="W262" s="899"/>
      <c r="X262" s="899"/>
      <c r="Y262" s="899"/>
      <c r="Z262" s="899"/>
      <c r="AA262" s="899"/>
      <c r="AB262" s="899"/>
      <c r="AC262" s="899"/>
      <c r="AD262" s="899"/>
      <c r="AE262" s="899"/>
      <c r="AF262" s="899"/>
      <c r="AG262" s="899"/>
      <c r="AH262" s="899"/>
      <c r="AI262" s="899"/>
      <c r="AJ262" s="899"/>
      <c r="AK262" s="899"/>
      <c r="AL262" s="899"/>
      <c r="AM262" s="899"/>
      <c r="AN262" s="899"/>
      <c r="AO262" s="899"/>
    </row>
    <row r="263">
      <c r="B263" s="1295" t="s">
        <v>1560</v>
      </c>
      <c r="G263" s="899"/>
      <c r="H263" s="899"/>
      <c r="I263" s="899"/>
      <c r="J263" s="899"/>
      <c r="K263" s="899"/>
      <c r="L263" s="899"/>
      <c r="M263" s="899"/>
      <c r="N263" s="899"/>
      <c r="O263" s="899"/>
      <c r="P263" s="899"/>
      <c r="Q263" s="899"/>
      <c r="R263" s="899"/>
      <c r="S263" s="899"/>
      <c r="T263" s="899"/>
      <c r="U263" s="899"/>
      <c r="V263" s="899"/>
      <c r="W263" s="899"/>
      <c r="X263" s="899"/>
      <c r="Y263" s="899"/>
      <c r="Z263" s="899"/>
      <c r="AA263" s="899"/>
      <c r="AB263" s="899"/>
      <c r="AC263" s="899"/>
      <c r="AD263" s="899"/>
      <c r="AE263" s="899"/>
      <c r="AF263" s="899"/>
      <c r="AG263" s="899"/>
      <c r="AH263" s="899"/>
      <c r="AI263" s="899"/>
      <c r="AJ263" s="899"/>
      <c r="AK263" s="899"/>
      <c r="AL263" s="899"/>
      <c r="AM263" s="899"/>
      <c r="AN263" s="899"/>
      <c r="AO263" s="899"/>
    </row>
    <row r="264">
      <c r="B264" s="1295" t="s">
        <v>1561</v>
      </c>
      <c r="G264" s="899"/>
      <c r="H264" s="899"/>
      <c r="I264" s="899"/>
      <c r="J264" s="899"/>
      <c r="K264" s="899"/>
      <c r="L264" s="899"/>
      <c r="M264" s="899"/>
      <c r="N264" s="899"/>
      <c r="O264" s="899"/>
      <c r="P264" s="899"/>
      <c r="Q264" s="899"/>
      <c r="R264" s="899"/>
      <c r="S264" s="899"/>
      <c r="T264" s="899"/>
      <c r="U264" s="899"/>
      <c r="V264" s="899"/>
      <c r="W264" s="899"/>
      <c r="X264" s="899"/>
      <c r="Y264" s="899"/>
      <c r="Z264" s="899"/>
      <c r="AA264" s="899"/>
      <c r="AB264" s="899"/>
      <c r="AC264" s="899"/>
      <c r="AD264" s="899"/>
      <c r="AE264" s="899"/>
      <c r="AF264" s="899"/>
      <c r="AG264" s="899"/>
      <c r="AH264" s="899"/>
      <c r="AI264" s="899"/>
      <c r="AJ264" s="899"/>
      <c r="AK264" s="899"/>
      <c r="AL264" s="899"/>
      <c r="AM264" s="899"/>
      <c r="AN264" s="899"/>
      <c r="AO264" s="899"/>
    </row>
    <row r="265">
      <c r="B265" s="1295" t="s">
        <v>1562</v>
      </c>
      <c r="G265" s="899"/>
      <c r="H265" s="899"/>
      <c r="I265" s="899"/>
      <c r="J265" s="899"/>
      <c r="K265" s="899"/>
      <c r="L265" s="899"/>
      <c r="M265" s="899"/>
      <c r="N265" s="899"/>
      <c r="O265" s="899"/>
      <c r="P265" s="899"/>
      <c r="Q265" s="899"/>
      <c r="R265" s="899"/>
      <c r="S265" s="899"/>
      <c r="T265" s="899"/>
      <c r="U265" s="899"/>
      <c r="V265" s="899"/>
      <c r="W265" s="899"/>
      <c r="X265" s="899"/>
      <c r="Y265" s="899"/>
      <c r="Z265" s="899"/>
      <c r="AA265" s="899"/>
      <c r="AB265" s="899"/>
      <c r="AC265" s="899"/>
      <c r="AD265" s="899"/>
      <c r="AE265" s="899"/>
      <c r="AF265" s="899"/>
      <c r="AG265" s="899"/>
      <c r="AH265" s="899"/>
      <c r="AI265" s="899"/>
      <c r="AJ265" s="899"/>
      <c r="AK265" s="899"/>
      <c r="AL265" s="899"/>
      <c r="AM265" s="899"/>
      <c r="AN265" s="899"/>
      <c r="AO265" s="899"/>
    </row>
    <row r="266">
      <c r="A266" s="1292" t="s">
        <v>1574</v>
      </c>
      <c r="B266" s="1293" t="s">
        <v>1552</v>
      </c>
      <c r="G266" s="899"/>
      <c r="H266" s="899"/>
      <c r="I266" s="899"/>
      <c r="J266" s="899"/>
      <c r="K266" s="899"/>
      <c r="L266" s="899"/>
      <c r="M266" s="899"/>
      <c r="N266" s="899"/>
      <c r="O266" s="899"/>
      <c r="P266" s="899"/>
      <c r="Q266" s="899"/>
      <c r="R266" s="899"/>
      <c r="S266" s="899"/>
      <c r="T266" s="899"/>
      <c r="U266" s="899"/>
      <c r="V266" s="899"/>
      <c r="W266" s="899"/>
      <c r="X266" s="899"/>
      <c r="Y266" s="899"/>
      <c r="Z266" s="899"/>
      <c r="AA266" s="899"/>
      <c r="AB266" s="899"/>
      <c r="AC266" s="899"/>
      <c r="AD266" s="899"/>
      <c r="AE266" s="899"/>
      <c r="AF266" s="899"/>
      <c r="AG266" s="899"/>
      <c r="AH266" s="899"/>
      <c r="AI266" s="899"/>
      <c r="AJ266" s="899"/>
      <c r="AK266" s="899"/>
      <c r="AL266" s="899"/>
      <c r="AM266" s="899"/>
      <c r="AN266" s="899"/>
      <c r="AO266" s="899"/>
    </row>
    <row r="267">
      <c r="B267" s="1295" t="s">
        <v>1553</v>
      </c>
      <c r="G267" s="899"/>
      <c r="H267" s="899"/>
      <c r="I267" s="899"/>
      <c r="J267" s="899"/>
      <c r="K267" s="899"/>
      <c r="L267" s="899"/>
      <c r="M267" s="899"/>
      <c r="N267" s="899"/>
      <c r="O267" s="899"/>
      <c r="P267" s="899"/>
      <c r="Q267" s="899"/>
      <c r="R267" s="899"/>
      <c r="S267" s="899"/>
      <c r="T267" s="899"/>
      <c r="U267" s="899"/>
      <c r="V267" s="899"/>
      <c r="W267" s="899"/>
      <c r="X267" s="899"/>
      <c r="Y267" s="899"/>
      <c r="Z267" s="899"/>
      <c r="AA267" s="899"/>
      <c r="AB267" s="899"/>
      <c r="AC267" s="899"/>
      <c r="AD267" s="899"/>
      <c r="AE267" s="899"/>
      <c r="AF267" s="899"/>
      <c r="AG267" s="899"/>
      <c r="AH267" s="899"/>
      <c r="AI267" s="899"/>
      <c r="AJ267" s="899"/>
      <c r="AK267" s="899"/>
      <c r="AL267" s="899"/>
      <c r="AM267" s="899"/>
      <c r="AN267" s="899"/>
      <c r="AO267" s="899"/>
    </row>
    <row r="268">
      <c r="B268" s="1295" t="s">
        <v>1555</v>
      </c>
      <c r="G268" s="899"/>
      <c r="H268" s="899"/>
      <c r="I268" s="899"/>
      <c r="J268" s="899"/>
      <c r="K268" s="899"/>
      <c r="L268" s="899"/>
      <c r="M268" s="899"/>
      <c r="N268" s="899"/>
      <c r="O268" s="899"/>
      <c r="P268" s="899"/>
      <c r="Q268" s="899"/>
      <c r="R268" s="899"/>
      <c r="S268" s="899"/>
      <c r="T268" s="899"/>
      <c r="U268" s="899"/>
      <c r="V268" s="899"/>
      <c r="W268" s="899"/>
      <c r="X268" s="899"/>
      <c r="Y268" s="899"/>
      <c r="Z268" s="899"/>
      <c r="AA268" s="899"/>
      <c r="AB268" s="899"/>
      <c r="AC268" s="899"/>
      <c r="AD268" s="899"/>
      <c r="AE268" s="899"/>
      <c r="AF268" s="899"/>
      <c r="AG268" s="899"/>
      <c r="AH268" s="899"/>
      <c r="AI268" s="899"/>
      <c r="AJ268" s="899"/>
      <c r="AK268" s="899"/>
      <c r="AL268" s="899"/>
      <c r="AM268" s="899"/>
      <c r="AN268" s="899"/>
      <c r="AO268" s="899"/>
    </row>
    <row r="269">
      <c r="B269" s="1295" t="s">
        <v>1556</v>
      </c>
      <c r="G269" s="899"/>
      <c r="H269" s="899"/>
      <c r="I269" s="899"/>
      <c r="J269" s="899"/>
      <c r="K269" s="899"/>
      <c r="L269" s="899"/>
      <c r="M269" s="899"/>
      <c r="N269" s="899"/>
      <c r="O269" s="899"/>
      <c r="P269" s="899"/>
      <c r="Q269" s="899"/>
      <c r="R269" s="899"/>
      <c r="S269" s="899"/>
      <c r="T269" s="899"/>
      <c r="U269" s="899"/>
      <c r="V269" s="899"/>
      <c r="W269" s="899"/>
      <c r="X269" s="899"/>
      <c r="Y269" s="899"/>
      <c r="Z269" s="899"/>
      <c r="AA269" s="899"/>
      <c r="AB269" s="899"/>
      <c r="AC269" s="899"/>
      <c r="AD269" s="899"/>
      <c r="AE269" s="899"/>
      <c r="AF269" s="899"/>
      <c r="AG269" s="899"/>
      <c r="AH269" s="899"/>
      <c r="AI269" s="899"/>
      <c r="AJ269" s="899"/>
      <c r="AK269" s="899"/>
      <c r="AL269" s="899"/>
      <c r="AM269" s="899"/>
      <c r="AN269" s="899"/>
      <c r="AO269" s="899"/>
    </row>
    <row r="270">
      <c r="B270" s="1305" t="s">
        <v>1557</v>
      </c>
      <c r="G270" s="899"/>
      <c r="H270" s="899"/>
      <c r="I270" s="899"/>
      <c r="J270" s="899"/>
      <c r="K270" s="899"/>
      <c r="L270" s="899"/>
      <c r="M270" s="899"/>
      <c r="N270" s="899"/>
      <c r="O270" s="899"/>
      <c r="P270" s="899"/>
      <c r="Q270" s="899"/>
      <c r="R270" s="899"/>
      <c r="S270" s="899"/>
      <c r="T270" s="899"/>
      <c r="U270" s="899"/>
      <c r="V270" s="899"/>
      <c r="W270" s="899"/>
      <c r="X270" s="899"/>
      <c r="Y270" s="899"/>
      <c r="Z270" s="899"/>
      <c r="AA270" s="899"/>
      <c r="AB270" s="899"/>
      <c r="AC270" s="899"/>
      <c r="AD270" s="899"/>
      <c r="AE270" s="899"/>
      <c r="AF270" s="899"/>
      <c r="AG270" s="899"/>
      <c r="AH270" s="899"/>
      <c r="AI270" s="899"/>
      <c r="AJ270" s="899"/>
      <c r="AK270" s="899"/>
      <c r="AL270" s="899"/>
      <c r="AM270" s="899"/>
      <c r="AN270" s="899"/>
      <c r="AO270" s="899"/>
    </row>
    <row r="271">
      <c r="B271" s="1305" t="s">
        <v>1559</v>
      </c>
      <c r="G271" s="899"/>
      <c r="H271" s="899"/>
      <c r="I271" s="899"/>
      <c r="J271" s="899"/>
      <c r="K271" s="899"/>
      <c r="L271" s="899"/>
      <c r="M271" s="899"/>
      <c r="N271" s="899"/>
      <c r="O271" s="899"/>
      <c r="P271" s="899"/>
      <c r="Q271" s="899"/>
      <c r="R271" s="899"/>
      <c r="S271" s="899"/>
      <c r="T271" s="899"/>
      <c r="U271" s="899"/>
      <c r="V271" s="899"/>
      <c r="W271" s="899"/>
      <c r="X271" s="899"/>
      <c r="Y271" s="899"/>
      <c r="Z271" s="899"/>
      <c r="AA271" s="899"/>
      <c r="AB271" s="899"/>
      <c r="AC271" s="899"/>
      <c r="AD271" s="899"/>
      <c r="AE271" s="899"/>
      <c r="AF271" s="899"/>
      <c r="AG271" s="899"/>
      <c r="AH271" s="899"/>
      <c r="AI271" s="899"/>
      <c r="AJ271" s="899"/>
      <c r="AK271" s="899"/>
      <c r="AL271" s="899"/>
      <c r="AM271" s="899"/>
      <c r="AN271" s="899"/>
      <c r="AO271" s="899"/>
    </row>
    <row r="272">
      <c r="B272" s="1295" t="s">
        <v>1560</v>
      </c>
      <c r="G272" s="899"/>
      <c r="H272" s="899"/>
      <c r="I272" s="899"/>
      <c r="J272" s="899"/>
      <c r="K272" s="899"/>
      <c r="L272" s="899"/>
      <c r="M272" s="899"/>
      <c r="N272" s="899"/>
      <c r="O272" s="899"/>
      <c r="P272" s="899"/>
      <c r="Q272" s="899"/>
      <c r="R272" s="899"/>
      <c r="S272" s="899"/>
      <c r="T272" s="899"/>
      <c r="U272" s="899"/>
      <c r="V272" s="899"/>
      <c r="W272" s="899"/>
      <c r="X272" s="899"/>
      <c r="Y272" s="899"/>
      <c r="Z272" s="899"/>
      <c r="AA272" s="899"/>
      <c r="AB272" s="899"/>
      <c r="AC272" s="899"/>
      <c r="AD272" s="899"/>
      <c r="AE272" s="899"/>
      <c r="AF272" s="899"/>
      <c r="AG272" s="899"/>
      <c r="AH272" s="899"/>
      <c r="AI272" s="899"/>
      <c r="AJ272" s="899"/>
      <c r="AK272" s="899"/>
      <c r="AL272" s="899"/>
      <c r="AM272" s="899"/>
      <c r="AN272" s="899"/>
      <c r="AO272" s="899"/>
    </row>
    <row r="273">
      <c r="B273" s="1295" t="s">
        <v>1561</v>
      </c>
      <c r="G273" s="899"/>
      <c r="H273" s="899"/>
      <c r="I273" s="899"/>
      <c r="J273" s="899"/>
      <c r="K273" s="899"/>
      <c r="L273" s="899"/>
      <c r="M273" s="899"/>
      <c r="N273" s="899"/>
      <c r="O273" s="899"/>
      <c r="P273" s="899"/>
      <c r="Q273" s="899"/>
      <c r="R273" s="899"/>
      <c r="S273" s="899"/>
      <c r="T273" s="899"/>
      <c r="U273" s="899"/>
      <c r="V273" s="899"/>
      <c r="W273" s="899"/>
      <c r="X273" s="899"/>
      <c r="Y273" s="899"/>
      <c r="Z273" s="899"/>
      <c r="AA273" s="899"/>
      <c r="AB273" s="899"/>
      <c r="AC273" s="899"/>
      <c r="AD273" s="899"/>
      <c r="AE273" s="899"/>
      <c r="AF273" s="899"/>
      <c r="AG273" s="899"/>
      <c r="AH273" s="899"/>
      <c r="AI273" s="899"/>
      <c r="AJ273" s="899"/>
      <c r="AK273" s="899"/>
      <c r="AL273" s="899"/>
      <c r="AM273" s="899"/>
      <c r="AN273" s="899"/>
      <c r="AO273" s="899"/>
    </row>
    <row r="274">
      <c r="B274" s="1295" t="s">
        <v>1562</v>
      </c>
      <c r="G274" s="899"/>
      <c r="H274" s="899"/>
      <c r="I274" s="899"/>
      <c r="J274" s="899"/>
      <c r="K274" s="899"/>
      <c r="L274" s="899"/>
      <c r="M274" s="899"/>
      <c r="N274" s="899"/>
      <c r="O274" s="899"/>
      <c r="P274" s="899"/>
      <c r="Q274" s="899"/>
      <c r="R274" s="899"/>
      <c r="S274" s="899"/>
      <c r="T274" s="899"/>
      <c r="U274" s="899"/>
      <c r="V274" s="899"/>
      <c r="W274" s="899"/>
      <c r="X274" s="899"/>
      <c r="Y274" s="899"/>
      <c r="Z274" s="899"/>
      <c r="AA274" s="899"/>
      <c r="AB274" s="899"/>
      <c r="AC274" s="899"/>
      <c r="AD274" s="899"/>
      <c r="AE274" s="899"/>
      <c r="AF274" s="899"/>
      <c r="AG274" s="899"/>
      <c r="AH274" s="899"/>
      <c r="AI274" s="899"/>
      <c r="AJ274" s="899"/>
      <c r="AK274" s="899"/>
      <c r="AL274" s="899"/>
      <c r="AM274" s="899"/>
      <c r="AN274" s="899"/>
      <c r="AO274" s="899"/>
    </row>
    <row r="275">
      <c r="A275" s="1292" t="s">
        <v>1575</v>
      </c>
      <c r="B275" s="1293" t="s">
        <v>1552</v>
      </c>
      <c r="G275" s="899"/>
      <c r="H275" s="899"/>
      <c r="I275" s="899"/>
      <c r="J275" s="899"/>
      <c r="K275" s="899"/>
      <c r="L275" s="899"/>
      <c r="M275" s="899"/>
      <c r="N275" s="899"/>
      <c r="O275" s="899"/>
      <c r="P275" s="899"/>
      <c r="Q275" s="899"/>
      <c r="R275" s="899"/>
      <c r="S275" s="899"/>
      <c r="T275" s="899"/>
      <c r="U275" s="899"/>
      <c r="V275" s="899"/>
      <c r="W275" s="899"/>
      <c r="X275" s="899"/>
      <c r="Y275" s="899"/>
      <c r="Z275" s="899"/>
      <c r="AA275" s="899"/>
      <c r="AB275" s="899"/>
      <c r="AC275" s="899"/>
      <c r="AD275" s="899"/>
      <c r="AE275" s="899"/>
      <c r="AF275" s="899"/>
      <c r="AG275" s="899"/>
      <c r="AH275" s="899"/>
      <c r="AI275" s="899"/>
      <c r="AJ275" s="899"/>
      <c r="AK275" s="899"/>
      <c r="AL275" s="899"/>
      <c r="AM275" s="899"/>
      <c r="AN275" s="899"/>
      <c r="AO275" s="899"/>
    </row>
    <row r="276">
      <c r="B276" s="1295" t="s">
        <v>1553</v>
      </c>
      <c r="G276" s="899"/>
      <c r="H276" s="899"/>
      <c r="I276" s="899"/>
      <c r="J276" s="899"/>
      <c r="K276" s="899"/>
      <c r="L276" s="899"/>
      <c r="M276" s="899"/>
      <c r="N276" s="899"/>
      <c r="O276" s="899"/>
      <c r="P276" s="899"/>
      <c r="Q276" s="899"/>
      <c r="R276" s="899"/>
      <c r="S276" s="899"/>
      <c r="T276" s="899"/>
      <c r="U276" s="899"/>
      <c r="V276" s="899"/>
      <c r="W276" s="899"/>
      <c r="X276" s="899"/>
      <c r="Y276" s="899"/>
      <c r="Z276" s="899"/>
      <c r="AA276" s="899"/>
      <c r="AB276" s="899"/>
      <c r="AC276" s="899"/>
      <c r="AD276" s="899"/>
      <c r="AE276" s="899"/>
      <c r="AF276" s="899"/>
      <c r="AG276" s="899"/>
      <c r="AH276" s="899"/>
      <c r="AI276" s="899"/>
      <c r="AJ276" s="899"/>
      <c r="AK276" s="899"/>
      <c r="AL276" s="899"/>
      <c r="AM276" s="899"/>
      <c r="AN276" s="899"/>
      <c r="AO276" s="899"/>
    </row>
    <row r="277">
      <c r="B277" s="1295" t="s">
        <v>1555</v>
      </c>
      <c r="G277" s="899"/>
      <c r="H277" s="899"/>
      <c r="I277" s="899"/>
      <c r="J277" s="899"/>
      <c r="K277" s="899"/>
      <c r="L277" s="899"/>
      <c r="M277" s="899"/>
      <c r="N277" s="899"/>
      <c r="O277" s="899"/>
      <c r="P277" s="899"/>
      <c r="Q277" s="899"/>
      <c r="R277" s="899"/>
      <c r="S277" s="899"/>
      <c r="T277" s="899"/>
      <c r="U277" s="899"/>
      <c r="V277" s="899"/>
      <c r="W277" s="899"/>
      <c r="X277" s="899"/>
      <c r="Y277" s="899"/>
      <c r="Z277" s="899"/>
      <c r="AA277" s="899"/>
      <c r="AB277" s="899"/>
      <c r="AC277" s="899"/>
      <c r="AD277" s="899"/>
      <c r="AE277" s="899"/>
      <c r="AF277" s="899"/>
      <c r="AG277" s="899"/>
      <c r="AH277" s="899"/>
      <c r="AI277" s="899"/>
      <c r="AJ277" s="899"/>
      <c r="AK277" s="899"/>
      <c r="AL277" s="899"/>
      <c r="AM277" s="899"/>
      <c r="AN277" s="899"/>
      <c r="AO277" s="899"/>
    </row>
    <row r="278">
      <c r="B278" s="1295" t="s">
        <v>1556</v>
      </c>
      <c r="G278" s="899"/>
      <c r="H278" s="899"/>
      <c r="I278" s="899"/>
      <c r="J278" s="899"/>
      <c r="K278" s="899"/>
      <c r="L278" s="899"/>
      <c r="M278" s="899"/>
      <c r="N278" s="899"/>
      <c r="O278" s="899"/>
      <c r="P278" s="899"/>
      <c r="Q278" s="899"/>
      <c r="R278" s="899"/>
      <c r="S278" s="899"/>
      <c r="T278" s="899"/>
      <c r="U278" s="899"/>
      <c r="V278" s="899"/>
      <c r="W278" s="899"/>
      <c r="X278" s="899"/>
      <c r="Y278" s="899"/>
      <c r="Z278" s="899"/>
      <c r="AA278" s="899"/>
      <c r="AB278" s="899"/>
      <c r="AC278" s="899"/>
      <c r="AD278" s="899"/>
      <c r="AE278" s="899"/>
      <c r="AF278" s="899"/>
      <c r="AG278" s="899"/>
      <c r="AH278" s="899"/>
      <c r="AI278" s="899"/>
      <c r="AJ278" s="899"/>
      <c r="AK278" s="899"/>
      <c r="AL278" s="899"/>
      <c r="AM278" s="899"/>
      <c r="AN278" s="899"/>
      <c r="AO278" s="899"/>
    </row>
    <row r="279">
      <c r="B279" s="1305" t="s">
        <v>1557</v>
      </c>
      <c r="G279" s="899"/>
      <c r="H279" s="899"/>
      <c r="I279" s="899"/>
      <c r="J279" s="899"/>
      <c r="K279" s="899"/>
      <c r="L279" s="899"/>
      <c r="M279" s="899"/>
      <c r="N279" s="899"/>
      <c r="O279" s="899"/>
      <c r="P279" s="899"/>
      <c r="Q279" s="899"/>
      <c r="R279" s="899"/>
      <c r="S279" s="899"/>
      <c r="T279" s="899"/>
      <c r="U279" s="899"/>
      <c r="V279" s="899"/>
      <c r="W279" s="899"/>
      <c r="X279" s="899"/>
      <c r="Y279" s="899"/>
      <c r="Z279" s="899"/>
      <c r="AA279" s="899"/>
      <c r="AB279" s="899"/>
      <c r="AC279" s="899"/>
      <c r="AD279" s="899"/>
      <c r="AE279" s="899"/>
      <c r="AF279" s="899"/>
      <c r="AG279" s="899"/>
      <c r="AH279" s="899"/>
      <c r="AI279" s="899"/>
      <c r="AJ279" s="899"/>
      <c r="AK279" s="899"/>
      <c r="AL279" s="899"/>
      <c r="AM279" s="899"/>
      <c r="AN279" s="899"/>
      <c r="AO279" s="899"/>
    </row>
    <row r="280">
      <c r="B280" s="1305" t="s">
        <v>1559</v>
      </c>
      <c r="G280" s="899"/>
      <c r="H280" s="899"/>
      <c r="I280" s="899"/>
      <c r="J280" s="899"/>
      <c r="K280" s="899"/>
      <c r="L280" s="899"/>
      <c r="M280" s="899"/>
      <c r="N280" s="899"/>
      <c r="O280" s="899"/>
      <c r="P280" s="899"/>
      <c r="Q280" s="899"/>
      <c r="R280" s="899"/>
      <c r="S280" s="899"/>
      <c r="T280" s="899"/>
      <c r="U280" s="899"/>
      <c r="V280" s="899"/>
      <c r="W280" s="899"/>
      <c r="X280" s="899"/>
      <c r="Y280" s="899"/>
      <c r="Z280" s="899"/>
      <c r="AA280" s="899"/>
      <c r="AB280" s="899"/>
      <c r="AC280" s="899"/>
      <c r="AD280" s="899"/>
      <c r="AE280" s="899"/>
      <c r="AF280" s="899"/>
      <c r="AG280" s="899"/>
      <c r="AH280" s="899"/>
      <c r="AI280" s="899"/>
      <c r="AJ280" s="899"/>
      <c r="AK280" s="899"/>
      <c r="AL280" s="899"/>
      <c r="AM280" s="899"/>
      <c r="AN280" s="899"/>
      <c r="AO280" s="899"/>
    </row>
    <row r="281">
      <c r="B281" s="1295" t="s">
        <v>1560</v>
      </c>
      <c r="G281" s="899"/>
      <c r="H281" s="899"/>
      <c r="I281" s="899"/>
      <c r="J281" s="899"/>
      <c r="K281" s="899"/>
      <c r="L281" s="899"/>
      <c r="M281" s="899"/>
      <c r="N281" s="899"/>
      <c r="O281" s="899"/>
      <c r="P281" s="899"/>
      <c r="Q281" s="899"/>
      <c r="R281" s="899"/>
      <c r="S281" s="899"/>
      <c r="T281" s="899"/>
      <c r="U281" s="899"/>
      <c r="V281" s="899"/>
      <c r="W281" s="899"/>
      <c r="X281" s="899"/>
      <c r="Y281" s="899"/>
      <c r="Z281" s="899"/>
      <c r="AA281" s="899"/>
      <c r="AB281" s="899"/>
      <c r="AC281" s="899"/>
      <c r="AD281" s="899"/>
      <c r="AE281" s="899"/>
      <c r="AF281" s="899"/>
      <c r="AG281" s="899"/>
      <c r="AH281" s="899"/>
      <c r="AI281" s="899"/>
      <c r="AJ281" s="899"/>
      <c r="AK281" s="899"/>
      <c r="AL281" s="899"/>
      <c r="AM281" s="899"/>
      <c r="AN281" s="899"/>
      <c r="AO281" s="899"/>
    </row>
    <row r="282">
      <c r="B282" s="1295" t="s">
        <v>1561</v>
      </c>
      <c r="G282" s="899"/>
      <c r="H282" s="899"/>
      <c r="I282" s="899"/>
      <c r="J282" s="899"/>
      <c r="K282" s="899"/>
      <c r="L282" s="899"/>
      <c r="M282" s="899"/>
      <c r="N282" s="899"/>
      <c r="O282" s="899"/>
      <c r="P282" s="899"/>
      <c r="Q282" s="899"/>
      <c r="R282" s="899"/>
      <c r="S282" s="899"/>
      <c r="T282" s="899"/>
      <c r="U282" s="899"/>
      <c r="V282" s="899"/>
      <c r="W282" s="899"/>
      <c r="X282" s="899"/>
      <c r="Y282" s="899"/>
      <c r="Z282" s="899"/>
      <c r="AA282" s="899"/>
      <c r="AB282" s="899"/>
      <c r="AC282" s="899"/>
      <c r="AD282" s="899"/>
      <c r="AE282" s="899"/>
      <c r="AF282" s="899"/>
      <c r="AG282" s="899"/>
      <c r="AH282" s="899"/>
      <c r="AI282" s="899"/>
      <c r="AJ282" s="899"/>
      <c r="AK282" s="899"/>
      <c r="AL282" s="899"/>
      <c r="AM282" s="899"/>
      <c r="AN282" s="899"/>
      <c r="AO282" s="899"/>
    </row>
    <row r="283">
      <c r="B283" s="1295" t="s">
        <v>1562</v>
      </c>
      <c r="G283" s="899"/>
      <c r="H283" s="899"/>
      <c r="I283" s="899"/>
      <c r="J283" s="899"/>
      <c r="K283" s="899"/>
      <c r="L283" s="899"/>
      <c r="M283" s="899"/>
      <c r="N283" s="899"/>
      <c r="O283" s="899"/>
      <c r="P283" s="899"/>
      <c r="Q283" s="899"/>
      <c r="R283" s="899"/>
      <c r="S283" s="899"/>
      <c r="T283" s="899"/>
      <c r="U283" s="899"/>
      <c r="V283" s="899"/>
      <c r="W283" s="899"/>
      <c r="X283" s="899"/>
      <c r="Y283" s="899"/>
      <c r="Z283" s="899"/>
      <c r="AA283" s="899"/>
      <c r="AB283" s="899"/>
      <c r="AC283" s="899"/>
      <c r="AD283" s="899"/>
      <c r="AE283" s="899"/>
      <c r="AF283" s="899"/>
      <c r="AG283" s="899"/>
      <c r="AH283" s="899"/>
      <c r="AI283" s="899"/>
      <c r="AJ283" s="899"/>
      <c r="AK283" s="899"/>
      <c r="AL283" s="899"/>
      <c r="AM283" s="899"/>
      <c r="AN283" s="899"/>
      <c r="AO283" s="899"/>
    </row>
    <row r="284">
      <c r="A284" s="1292" t="s">
        <v>1576</v>
      </c>
      <c r="B284" s="1293" t="s">
        <v>1552</v>
      </c>
      <c r="G284" s="899"/>
      <c r="H284" s="899"/>
      <c r="I284" s="899"/>
      <c r="J284" s="899"/>
      <c r="K284" s="899"/>
      <c r="L284" s="899"/>
      <c r="M284" s="899"/>
      <c r="N284" s="899"/>
      <c r="O284" s="899"/>
      <c r="P284" s="899"/>
      <c r="Q284" s="899"/>
      <c r="R284" s="899"/>
      <c r="S284" s="899"/>
      <c r="T284" s="899"/>
      <c r="U284" s="899"/>
      <c r="V284" s="899"/>
      <c r="W284" s="899"/>
      <c r="X284" s="899"/>
      <c r="Y284" s="899"/>
      <c r="Z284" s="899"/>
      <c r="AA284" s="899"/>
      <c r="AB284" s="899"/>
      <c r="AC284" s="899"/>
      <c r="AD284" s="899"/>
      <c r="AE284" s="899"/>
      <c r="AF284" s="899"/>
      <c r="AG284" s="899"/>
      <c r="AH284" s="899"/>
      <c r="AI284" s="899"/>
      <c r="AJ284" s="899"/>
      <c r="AK284" s="899"/>
      <c r="AL284" s="899"/>
      <c r="AM284" s="899"/>
      <c r="AN284" s="899"/>
      <c r="AO284" s="899"/>
    </row>
    <row r="285">
      <c r="B285" s="1295" t="s">
        <v>1553</v>
      </c>
      <c r="G285" s="899"/>
      <c r="H285" s="899"/>
      <c r="I285" s="899"/>
      <c r="J285" s="899"/>
      <c r="K285" s="899"/>
      <c r="L285" s="899"/>
      <c r="M285" s="899"/>
      <c r="N285" s="899"/>
      <c r="O285" s="899"/>
      <c r="P285" s="899"/>
      <c r="Q285" s="899"/>
      <c r="R285" s="899"/>
      <c r="S285" s="899"/>
      <c r="T285" s="899"/>
      <c r="U285" s="899"/>
      <c r="V285" s="899"/>
      <c r="W285" s="899"/>
      <c r="X285" s="899"/>
      <c r="Y285" s="899"/>
      <c r="Z285" s="899"/>
      <c r="AA285" s="899"/>
      <c r="AB285" s="899"/>
      <c r="AC285" s="899"/>
      <c r="AD285" s="899"/>
      <c r="AE285" s="899"/>
      <c r="AF285" s="899"/>
      <c r="AG285" s="899"/>
      <c r="AH285" s="899"/>
      <c r="AI285" s="899"/>
      <c r="AJ285" s="899"/>
      <c r="AK285" s="899"/>
      <c r="AL285" s="899"/>
      <c r="AM285" s="899"/>
      <c r="AN285" s="899"/>
      <c r="AO285" s="899"/>
    </row>
    <row r="286">
      <c r="B286" s="1295" t="s">
        <v>1555</v>
      </c>
      <c r="G286" s="899"/>
      <c r="H286" s="899"/>
      <c r="I286" s="899"/>
      <c r="J286" s="899"/>
      <c r="K286" s="899"/>
      <c r="L286" s="899"/>
      <c r="M286" s="899"/>
      <c r="N286" s="899"/>
      <c r="O286" s="899"/>
      <c r="P286" s="899"/>
      <c r="Q286" s="899"/>
      <c r="R286" s="899"/>
      <c r="S286" s="899"/>
      <c r="T286" s="899"/>
      <c r="U286" s="899"/>
      <c r="V286" s="899"/>
      <c r="W286" s="899"/>
      <c r="X286" s="899"/>
      <c r="Y286" s="899"/>
      <c r="Z286" s="899"/>
      <c r="AA286" s="899"/>
      <c r="AB286" s="899"/>
      <c r="AC286" s="899"/>
      <c r="AD286" s="899"/>
      <c r="AE286" s="899"/>
      <c r="AF286" s="899"/>
      <c r="AG286" s="899"/>
      <c r="AH286" s="899"/>
      <c r="AI286" s="899"/>
      <c r="AJ286" s="899"/>
      <c r="AK286" s="899"/>
      <c r="AL286" s="899"/>
      <c r="AM286" s="899"/>
      <c r="AN286" s="899"/>
      <c r="AO286" s="899"/>
    </row>
    <row r="287">
      <c r="B287" s="1295" t="s">
        <v>1556</v>
      </c>
      <c r="G287" s="899"/>
      <c r="H287" s="899"/>
      <c r="I287" s="899"/>
      <c r="J287" s="899"/>
      <c r="K287" s="899"/>
      <c r="L287" s="899"/>
      <c r="M287" s="899"/>
      <c r="N287" s="899"/>
      <c r="O287" s="899"/>
      <c r="P287" s="899"/>
      <c r="Q287" s="899"/>
      <c r="R287" s="899"/>
      <c r="S287" s="899"/>
      <c r="T287" s="899"/>
      <c r="U287" s="899"/>
      <c r="V287" s="899"/>
      <c r="W287" s="899"/>
      <c r="X287" s="899"/>
      <c r="Y287" s="899"/>
      <c r="Z287" s="899"/>
      <c r="AA287" s="899"/>
      <c r="AB287" s="899"/>
      <c r="AC287" s="899"/>
      <c r="AD287" s="899"/>
      <c r="AE287" s="899"/>
      <c r="AF287" s="899"/>
      <c r="AG287" s="899"/>
      <c r="AH287" s="899"/>
      <c r="AI287" s="899"/>
      <c r="AJ287" s="899"/>
      <c r="AK287" s="899"/>
      <c r="AL287" s="899"/>
      <c r="AM287" s="899"/>
      <c r="AN287" s="899"/>
      <c r="AO287" s="899"/>
    </row>
    <row r="288">
      <c r="B288" s="1305" t="s">
        <v>1557</v>
      </c>
      <c r="G288" s="899"/>
      <c r="H288" s="899"/>
      <c r="I288" s="899"/>
      <c r="J288" s="899"/>
      <c r="K288" s="899"/>
      <c r="L288" s="899"/>
      <c r="M288" s="899"/>
      <c r="N288" s="899"/>
      <c r="O288" s="899"/>
      <c r="P288" s="899"/>
      <c r="Q288" s="899"/>
      <c r="R288" s="899"/>
      <c r="S288" s="899"/>
      <c r="T288" s="899"/>
      <c r="U288" s="899"/>
      <c r="V288" s="899"/>
      <c r="W288" s="899"/>
      <c r="X288" s="899"/>
      <c r="Y288" s="899"/>
      <c r="Z288" s="899"/>
      <c r="AA288" s="899"/>
      <c r="AB288" s="899"/>
      <c r="AC288" s="899"/>
      <c r="AD288" s="899"/>
      <c r="AE288" s="899"/>
      <c r="AF288" s="899"/>
      <c r="AG288" s="899"/>
      <c r="AH288" s="899"/>
      <c r="AI288" s="899"/>
      <c r="AJ288" s="899"/>
      <c r="AK288" s="899"/>
      <c r="AL288" s="899"/>
      <c r="AM288" s="899"/>
      <c r="AN288" s="899"/>
      <c r="AO288" s="899"/>
    </row>
    <row r="289">
      <c r="B289" s="1305" t="s">
        <v>1559</v>
      </c>
      <c r="G289" s="899"/>
      <c r="H289" s="899"/>
      <c r="I289" s="899"/>
      <c r="J289" s="899"/>
      <c r="K289" s="899"/>
      <c r="L289" s="899"/>
      <c r="M289" s="899"/>
      <c r="N289" s="899"/>
      <c r="O289" s="899"/>
      <c r="P289" s="899"/>
      <c r="Q289" s="899"/>
      <c r="R289" s="899"/>
      <c r="S289" s="899"/>
      <c r="T289" s="899"/>
      <c r="U289" s="899"/>
      <c r="V289" s="899"/>
      <c r="W289" s="899"/>
      <c r="X289" s="899"/>
      <c r="Y289" s="899"/>
      <c r="Z289" s="899"/>
      <c r="AA289" s="899"/>
      <c r="AB289" s="899"/>
      <c r="AC289" s="899"/>
      <c r="AD289" s="899"/>
      <c r="AE289" s="899"/>
      <c r="AF289" s="899"/>
      <c r="AG289" s="899"/>
      <c r="AH289" s="899"/>
      <c r="AI289" s="899"/>
      <c r="AJ289" s="899"/>
      <c r="AK289" s="899"/>
      <c r="AL289" s="899"/>
      <c r="AM289" s="899"/>
      <c r="AN289" s="899"/>
      <c r="AO289" s="899"/>
    </row>
    <row r="290">
      <c r="B290" s="1295" t="s">
        <v>1560</v>
      </c>
      <c r="G290" s="899"/>
      <c r="H290" s="899"/>
      <c r="I290" s="899"/>
      <c r="J290" s="899"/>
      <c r="K290" s="899"/>
      <c r="L290" s="899"/>
      <c r="M290" s="899"/>
      <c r="N290" s="899"/>
      <c r="O290" s="899"/>
      <c r="P290" s="899"/>
      <c r="Q290" s="899"/>
      <c r="R290" s="899"/>
      <c r="S290" s="899"/>
      <c r="T290" s="899"/>
      <c r="U290" s="899"/>
      <c r="V290" s="899"/>
      <c r="W290" s="899"/>
      <c r="X290" s="899"/>
      <c r="Y290" s="899"/>
      <c r="Z290" s="899"/>
      <c r="AA290" s="899"/>
      <c r="AB290" s="899"/>
      <c r="AC290" s="899"/>
      <c r="AD290" s="899"/>
      <c r="AE290" s="899"/>
      <c r="AF290" s="899"/>
      <c r="AG290" s="899"/>
      <c r="AH290" s="899"/>
      <c r="AI290" s="899"/>
      <c r="AJ290" s="899"/>
      <c r="AK290" s="899"/>
      <c r="AL290" s="899"/>
      <c r="AM290" s="899"/>
      <c r="AN290" s="899"/>
      <c r="AO290" s="899"/>
    </row>
    <row r="291">
      <c r="B291" s="1295" t="s">
        <v>1561</v>
      </c>
      <c r="G291" s="899"/>
      <c r="H291" s="899"/>
      <c r="I291" s="899"/>
      <c r="J291" s="899"/>
      <c r="K291" s="899"/>
      <c r="L291" s="899"/>
      <c r="M291" s="899"/>
      <c r="N291" s="899"/>
      <c r="O291" s="899"/>
      <c r="P291" s="899"/>
      <c r="Q291" s="899"/>
      <c r="R291" s="899"/>
      <c r="S291" s="899"/>
      <c r="T291" s="899"/>
      <c r="U291" s="899"/>
      <c r="V291" s="899"/>
      <c r="W291" s="899"/>
      <c r="X291" s="899"/>
      <c r="Y291" s="899"/>
      <c r="Z291" s="899"/>
      <c r="AA291" s="899"/>
      <c r="AB291" s="899"/>
      <c r="AC291" s="899"/>
      <c r="AD291" s="899"/>
      <c r="AE291" s="899"/>
      <c r="AF291" s="899"/>
      <c r="AG291" s="899"/>
      <c r="AH291" s="899"/>
      <c r="AI291" s="899"/>
      <c r="AJ291" s="899"/>
      <c r="AK291" s="899"/>
      <c r="AL291" s="899"/>
      <c r="AM291" s="899"/>
      <c r="AN291" s="899"/>
      <c r="AO291" s="899"/>
    </row>
    <row r="292">
      <c r="B292" s="1295" t="s">
        <v>1562</v>
      </c>
      <c r="G292" s="899"/>
      <c r="H292" s="899"/>
      <c r="I292" s="899"/>
      <c r="J292" s="899"/>
      <c r="K292" s="899"/>
      <c r="L292" s="899"/>
      <c r="M292" s="899"/>
      <c r="N292" s="899"/>
      <c r="O292" s="899"/>
      <c r="P292" s="899"/>
      <c r="Q292" s="899"/>
      <c r="R292" s="899"/>
      <c r="S292" s="899"/>
      <c r="T292" s="899"/>
      <c r="U292" s="899"/>
      <c r="V292" s="899"/>
      <c r="W292" s="899"/>
      <c r="X292" s="899"/>
      <c r="Y292" s="899"/>
      <c r="Z292" s="899"/>
      <c r="AA292" s="899"/>
      <c r="AB292" s="899"/>
      <c r="AC292" s="899"/>
      <c r="AD292" s="899"/>
      <c r="AE292" s="899"/>
      <c r="AF292" s="899"/>
      <c r="AG292" s="899"/>
      <c r="AH292" s="899"/>
      <c r="AI292" s="899"/>
      <c r="AJ292" s="899"/>
      <c r="AK292" s="899"/>
      <c r="AL292" s="899"/>
      <c r="AM292" s="899"/>
      <c r="AN292" s="899"/>
      <c r="AO292" s="899"/>
    </row>
    <row r="293">
      <c r="A293" s="1292" t="s">
        <v>1577</v>
      </c>
      <c r="B293" s="1293" t="s">
        <v>1552</v>
      </c>
      <c r="G293" s="899"/>
      <c r="H293" s="899"/>
      <c r="I293" s="899"/>
      <c r="J293" s="899"/>
      <c r="K293" s="899"/>
      <c r="L293" s="899"/>
      <c r="M293" s="899"/>
      <c r="N293" s="899"/>
      <c r="O293" s="899"/>
      <c r="P293" s="899"/>
      <c r="Q293" s="899"/>
      <c r="R293" s="899"/>
      <c r="S293" s="899"/>
      <c r="T293" s="899"/>
      <c r="U293" s="899"/>
      <c r="V293" s="899"/>
      <c r="W293" s="899"/>
      <c r="X293" s="899"/>
      <c r="Y293" s="899"/>
      <c r="Z293" s="899"/>
      <c r="AA293" s="899"/>
      <c r="AB293" s="899"/>
      <c r="AC293" s="899"/>
      <c r="AD293" s="899"/>
      <c r="AE293" s="899"/>
      <c r="AF293" s="899"/>
      <c r="AG293" s="899"/>
      <c r="AH293" s="899"/>
      <c r="AI293" s="899"/>
      <c r="AJ293" s="899"/>
      <c r="AK293" s="899"/>
      <c r="AL293" s="899"/>
      <c r="AM293" s="899"/>
      <c r="AN293" s="899"/>
      <c r="AO293" s="899"/>
    </row>
    <row r="294">
      <c r="B294" s="1295" t="s">
        <v>1553</v>
      </c>
      <c r="G294" s="899"/>
      <c r="H294" s="899"/>
      <c r="I294" s="899"/>
      <c r="J294" s="899"/>
      <c r="K294" s="899"/>
      <c r="L294" s="899"/>
      <c r="M294" s="899"/>
      <c r="N294" s="899"/>
      <c r="O294" s="899"/>
      <c r="P294" s="899"/>
      <c r="Q294" s="899"/>
      <c r="R294" s="899"/>
      <c r="S294" s="899"/>
      <c r="T294" s="899"/>
      <c r="U294" s="899"/>
      <c r="V294" s="899"/>
      <c r="W294" s="899"/>
      <c r="X294" s="899"/>
      <c r="Y294" s="899"/>
      <c r="Z294" s="899"/>
      <c r="AA294" s="899"/>
      <c r="AB294" s="899"/>
      <c r="AC294" s="899"/>
      <c r="AD294" s="899"/>
      <c r="AE294" s="899"/>
      <c r="AF294" s="899"/>
      <c r="AG294" s="899"/>
      <c r="AH294" s="899"/>
      <c r="AI294" s="899"/>
      <c r="AJ294" s="899"/>
      <c r="AK294" s="899"/>
      <c r="AL294" s="899"/>
      <c r="AM294" s="899"/>
      <c r="AN294" s="899"/>
      <c r="AO294" s="899"/>
    </row>
    <row r="295">
      <c r="B295" s="1295" t="s">
        <v>1555</v>
      </c>
      <c r="G295" s="899"/>
      <c r="H295" s="899"/>
      <c r="I295" s="899"/>
      <c r="J295" s="899"/>
      <c r="K295" s="899"/>
      <c r="L295" s="899"/>
      <c r="M295" s="899"/>
      <c r="N295" s="899"/>
      <c r="O295" s="899"/>
      <c r="P295" s="899"/>
      <c r="Q295" s="899"/>
      <c r="R295" s="899"/>
      <c r="S295" s="899"/>
      <c r="T295" s="899"/>
      <c r="U295" s="899"/>
      <c r="V295" s="899"/>
      <c r="W295" s="899"/>
      <c r="X295" s="899"/>
      <c r="Y295" s="899"/>
      <c r="Z295" s="899"/>
      <c r="AA295" s="899"/>
      <c r="AB295" s="899"/>
      <c r="AC295" s="899"/>
      <c r="AD295" s="899"/>
      <c r="AE295" s="899"/>
      <c r="AF295" s="899"/>
      <c r="AG295" s="899"/>
      <c r="AH295" s="899"/>
      <c r="AI295" s="899"/>
      <c r="AJ295" s="899"/>
      <c r="AK295" s="899"/>
      <c r="AL295" s="899"/>
      <c r="AM295" s="899"/>
      <c r="AN295" s="899"/>
      <c r="AO295" s="899"/>
    </row>
    <row r="296">
      <c r="B296" s="1295" t="s">
        <v>1556</v>
      </c>
      <c r="G296" s="899"/>
      <c r="H296" s="899"/>
      <c r="I296" s="899"/>
      <c r="J296" s="899"/>
      <c r="K296" s="899"/>
      <c r="L296" s="899"/>
      <c r="M296" s="899"/>
      <c r="N296" s="899"/>
      <c r="O296" s="899"/>
      <c r="P296" s="899"/>
      <c r="Q296" s="899"/>
      <c r="R296" s="899"/>
      <c r="S296" s="899"/>
      <c r="T296" s="899"/>
      <c r="U296" s="899"/>
      <c r="V296" s="899"/>
      <c r="W296" s="899"/>
      <c r="X296" s="899"/>
      <c r="Y296" s="899"/>
      <c r="Z296" s="899"/>
      <c r="AA296" s="899"/>
      <c r="AB296" s="899"/>
      <c r="AC296" s="899"/>
      <c r="AD296" s="899"/>
      <c r="AE296" s="899"/>
      <c r="AF296" s="899"/>
      <c r="AG296" s="899"/>
      <c r="AH296" s="899"/>
      <c r="AI296" s="899"/>
      <c r="AJ296" s="899"/>
      <c r="AK296" s="899"/>
      <c r="AL296" s="899"/>
      <c r="AM296" s="899"/>
      <c r="AN296" s="899"/>
      <c r="AO296" s="899"/>
    </row>
    <row r="297">
      <c r="B297" s="1305" t="s">
        <v>1557</v>
      </c>
      <c r="G297" s="899"/>
      <c r="H297" s="899"/>
      <c r="I297" s="899"/>
      <c r="J297" s="899"/>
      <c r="K297" s="899"/>
      <c r="L297" s="899"/>
      <c r="M297" s="899"/>
      <c r="N297" s="899"/>
      <c r="O297" s="899"/>
      <c r="P297" s="899"/>
      <c r="Q297" s="899"/>
      <c r="R297" s="899"/>
      <c r="S297" s="899"/>
      <c r="T297" s="899"/>
      <c r="U297" s="899"/>
      <c r="V297" s="899"/>
      <c r="W297" s="899"/>
      <c r="X297" s="899"/>
      <c r="Y297" s="899"/>
      <c r="Z297" s="899"/>
      <c r="AA297" s="899"/>
      <c r="AB297" s="899"/>
      <c r="AC297" s="899"/>
      <c r="AD297" s="899"/>
      <c r="AE297" s="899"/>
      <c r="AF297" s="899"/>
      <c r="AG297" s="899"/>
      <c r="AH297" s="899"/>
      <c r="AI297" s="899"/>
      <c r="AJ297" s="899"/>
      <c r="AK297" s="899"/>
      <c r="AL297" s="899"/>
      <c r="AM297" s="899"/>
      <c r="AN297" s="899"/>
      <c r="AO297" s="899"/>
    </row>
    <row r="298">
      <c r="B298" s="1305" t="s">
        <v>1559</v>
      </c>
      <c r="G298" s="899"/>
      <c r="H298" s="899"/>
      <c r="I298" s="899"/>
      <c r="J298" s="899"/>
      <c r="K298" s="899"/>
      <c r="L298" s="899"/>
      <c r="M298" s="899"/>
      <c r="N298" s="899"/>
      <c r="O298" s="899"/>
      <c r="P298" s="899"/>
      <c r="Q298" s="899"/>
      <c r="R298" s="899"/>
      <c r="S298" s="899"/>
      <c r="T298" s="899"/>
      <c r="U298" s="899"/>
      <c r="V298" s="899"/>
      <c r="W298" s="899"/>
      <c r="X298" s="899"/>
      <c r="Y298" s="899"/>
      <c r="Z298" s="899"/>
      <c r="AA298" s="899"/>
      <c r="AB298" s="899"/>
      <c r="AC298" s="899"/>
      <c r="AD298" s="899"/>
      <c r="AE298" s="899"/>
      <c r="AF298" s="899"/>
      <c r="AG298" s="899"/>
      <c r="AH298" s="899"/>
      <c r="AI298" s="899"/>
      <c r="AJ298" s="899"/>
      <c r="AK298" s="899"/>
      <c r="AL298" s="899"/>
      <c r="AM298" s="899"/>
      <c r="AN298" s="899"/>
      <c r="AO298" s="899"/>
    </row>
    <row r="299">
      <c r="B299" s="1295" t="s">
        <v>1560</v>
      </c>
      <c r="G299" s="899"/>
      <c r="H299" s="899"/>
      <c r="I299" s="899"/>
      <c r="J299" s="899"/>
      <c r="K299" s="899"/>
      <c r="L299" s="899"/>
      <c r="M299" s="899"/>
      <c r="N299" s="899"/>
      <c r="O299" s="899"/>
      <c r="P299" s="899"/>
      <c r="Q299" s="899"/>
      <c r="R299" s="899"/>
      <c r="S299" s="899"/>
      <c r="T299" s="899"/>
      <c r="U299" s="899"/>
      <c r="V299" s="899"/>
      <c r="W299" s="899"/>
      <c r="X299" s="899"/>
      <c r="Y299" s="899"/>
      <c r="Z299" s="899"/>
      <c r="AA299" s="899"/>
      <c r="AB299" s="899"/>
      <c r="AC299" s="899"/>
      <c r="AD299" s="899"/>
      <c r="AE299" s="899"/>
      <c r="AF299" s="899"/>
      <c r="AG299" s="899"/>
      <c r="AH299" s="899"/>
      <c r="AI299" s="899"/>
      <c r="AJ299" s="899"/>
      <c r="AK299" s="899"/>
      <c r="AL299" s="899"/>
      <c r="AM299" s="899"/>
      <c r="AN299" s="899"/>
      <c r="AO299" s="899"/>
    </row>
    <row r="300">
      <c r="B300" s="1295" t="s">
        <v>1561</v>
      </c>
      <c r="G300" s="899"/>
      <c r="H300" s="899"/>
      <c r="I300" s="899"/>
      <c r="J300" s="899"/>
      <c r="K300" s="899"/>
      <c r="L300" s="899"/>
      <c r="M300" s="899"/>
      <c r="N300" s="899"/>
      <c r="O300" s="899"/>
      <c r="P300" s="899"/>
      <c r="Q300" s="899"/>
      <c r="R300" s="899"/>
      <c r="S300" s="899"/>
      <c r="T300" s="899"/>
      <c r="U300" s="899"/>
      <c r="V300" s="899"/>
      <c r="W300" s="899"/>
      <c r="X300" s="899"/>
      <c r="Y300" s="899"/>
      <c r="Z300" s="899"/>
      <c r="AA300" s="899"/>
      <c r="AB300" s="899"/>
      <c r="AC300" s="899"/>
      <c r="AD300" s="899"/>
      <c r="AE300" s="899"/>
      <c r="AF300" s="899"/>
      <c r="AG300" s="899"/>
      <c r="AH300" s="899"/>
      <c r="AI300" s="899"/>
      <c r="AJ300" s="899"/>
      <c r="AK300" s="899"/>
      <c r="AL300" s="899"/>
      <c r="AM300" s="899"/>
      <c r="AN300" s="899"/>
      <c r="AO300" s="899"/>
    </row>
    <row r="301">
      <c r="B301" s="1295" t="s">
        <v>1562</v>
      </c>
      <c r="G301" s="899"/>
      <c r="H301" s="899"/>
      <c r="I301" s="899"/>
      <c r="J301" s="899"/>
      <c r="K301" s="899"/>
      <c r="L301" s="899"/>
      <c r="M301" s="899"/>
      <c r="N301" s="899"/>
      <c r="O301" s="899"/>
      <c r="P301" s="899"/>
      <c r="Q301" s="899"/>
      <c r="R301" s="899"/>
      <c r="S301" s="899"/>
      <c r="T301" s="899"/>
      <c r="U301" s="899"/>
      <c r="V301" s="899"/>
      <c r="W301" s="899"/>
      <c r="X301" s="899"/>
      <c r="Y301" s="899"/>
      <c r="Z301" s="899"/>
      <c r="AA301" s="899"/>
      <c r="AB301" s="899"/>
      <c r="AC301" s="899"/>
      <c r="AD301" s="899"/>
      <c r="AE301" s="899"/>
      <c r="AF301" s="899"/>
      <c r="AG301" s="899"/>
      <c r="AH301" s="899"/>
      <c r="AI301" s="899"/>
      <c r="AJ301" s="899"/>
      <c r="AK301" s="899"/>
      <c r="AL301" s="899"/>
      <c r="AM301" s="899"/>
      <c r="AN301" s="899"/>
      <c r="AO301" s="899"/>
    </row>
    <row r="302">
      <c r="A302" s="1292" t="s">
        <v>1578</v>
      </c>
      <c r="B302" s="1293" t="s">
        <v>1552</v>
      </c>
      <c r="G302" s="899"/>
      <c r="H302" s="899"/>
      <c r="I302" s="899"/>
      <c r="J302" s="899"/>
      <c r="K302" s="899"/>
      <c r="L302" s="899"/>
      <c r="M302" s="899"/>
      <c r="N302" s="899"/>
      <c r="O302" s="899"/>
      <c r="P302" s="899"/>
      <c r="Q302" s="899"/>
      <c r="R302" s="899"/>
      <c r="S302" s="899"/>
      <c r="T302" s="899"/>
      <c r="U302" s="899"/>
      <c r="V302" s="899"/>
      <c r="W302" s="899"/>
      <c r="X302" s="899"/>
      <c r="Y302" s="899"/>
      <c r="Z302" s="899"/>
      <c r="AA302" s="899"/>
      <c r="AB302" s="899"/>
      <c r="AC302" s="899"/>
      <c r="AD302" s="899"/>
      <c r="AE302" s="899"/>
      <c r="AF302" s="899"/>
      <c r="AG302" s="899"/>
      <c r="AH302" s="899"/>
      <c r="AI302" s="899"/>
      <c r="AJ302" s="899"/>
      <c r="AK302" s="899"/>
      <c r="AL302" s="899"/>
      <c r="AM302" s="899"/>
      <c r="AN302" s="899"/>
      <c r="AO302" s="899"/>
    </row>
    <row r="303">
      <c r="B303" s="1295" t="s">
        <v>1553</v>
      </c>
      <c r="G303" s="899"/>
      <c r="H303" s="899"/>
      <c r="I303" s="899"/>
      <c r="J303" s="899"/>
      <c r="K303" s="899"/>
      <c r="L303" s="899"/>
      <c r="M303" s="899"/>
      <c r="N303" s="899"/>
      <c r="O303" s="899"/>
      <c r="P303" s="899"/>
      <c r="Q303" s="899"/>
      <c r="R303" s="899"/>
      <c r="S303" s="899"/>
      <c r="T303" s="899"/>
      <c r="U303" s="899"/>
      <c r="V303" s="899"/>
      <c r="W303" s="899"/>
      <c r="X303" s="899"/>
      <c r="Y303" s="899"/>
      <c r="Z303" s="899"/>
      <c r="AA303" s="899"/>
      <c r="AB303" s="899"/>
      <c r="AC303" s="899"/>
      <c r="AD303" s="899"/>
      <c r="AE303" s="899"/>
      <c r="AF303" s="899"/>
      <c r="AG303" s="899"/>
      <c r="AH303" s="899"/>
      <c r="AI303" s="899"/>
      <c r="AJ303" s="899"/>
      <c r="AK303" s="899"/>
      <c r="AL303" s="899"/>
      <c r="AM303" s="899"/>
      <c r="AN303" s="899"/>
      <c r="AO303" s="899"/>
    </row>
    <row r="304">
      <c r="B304" s="1295" t="s">
        <v>1555</v>
      </c>
      <c r="G304" s="899"/>
      <c r="H304" s="899"/>
      <c r="I304" s="899"/>
      <c r="J304" s="899"/>
      <c r="K304" s="899"/>
      <c r="L304" s="899"/>
      <c r="M304" s="899"/>
      <c r="N304" s="899"/>
      <c r="O304" s="899"/>
      <c r="P304" s="899"/>
      <c r="Q304" s="899"/>
      <c r="R304" s="899"/>
      <c r="S304" s="899"/>
      <c r="T304" s="899"/>
      <c r="U304" s="899"/>
      <c r="V304" s="899"/>
      <c r="W304" s="899"/>
      <c r="X304" s="899"/>
      <c r="Y304" s="899"/>
      <c r="Z304" s="899"/>
      <c r="AA304" s="899"/>
      <c r="AB304" s="899"/>
      <c r="AC304" s="899"/>
      <c r="AD304" s="899"/>
      <c r="AE304" s="899"/>
      <c r="AF304" s="899"/>
      <c r="AG304" s="899"/>
      <c r="AH304" s="899"/>
      <c r="AI304" s="899"/>
      <c r="AJ304" s="899"/>
      <c r="AK304" s="899"/>
      <c r="AL304" s="899"/>
      <c r="AM304" s="899"/>
      <c r="AN304" s="899"/>
      <c r="AO304" s="899"/>
    </row>
    <row r="305">
      <c r="B305" s="1295" t="s">
        <v>1556</v>
      </c>
      <c r="G305" s="899"/>
      <c r="H305" s="899"/>
      <c r="I305" s="899"/>
      <c r="J305" s="899"/>
      <c r="K305" s="899"/>
      <c r="L305" s="899"/>
      <c r="M305" s="899"/>
      <c r="N305" s="899"/>
      <c r="O305" s="899"/>
      <c r="P305" s="899"/>
      <c r="Q305" s="899"/>
      <c r="R305" s="899"/>
      <c r="S305" s="899"/>
      <c r="T305" s="899"/>
      <c r="U305" s="899"/>
      <c r="V305" s="899"/>
      <c r="W305" s="899"/>
      <c r="X305" s="899"/>
      <c r="Y305" s="899"/>
      <c r="Z305" s="899"/>
      <c r="AA305" s="899"/>
      <c r="AB305" s="899"/>
      <c r="AC305" s="899"/>
      <c r="AD305" s="899"/>
      <c r="AE305" s="899"/>
      <c r="AF305" s="899"/>
      <c r="AG305" s="899"/>
      <c r="AH305" s="899"/>
      <c r="AI305" s="899"/>
      <c r="AJ305" s="899"/>
      <c r="AK305" s="899"/>
      <c r="AL305" s="899"/>
      <c r="AM305" s="899"/>
      <c r="AN305" s="899"/>
      <c r="AO305" s="899"/>
    </row>
    <row r="306">
      <c r="B306" s="1305" t="s">
        <v>1557</v>
      </c>
      <c r="G306" s="899"/>
      <c r="H306" s="899"/>
      <c r="I306" s="899"/>
      <c r="J306" s="899"/>
      <c r="K306" s="899"/>
      <c r="L306" s="899"/>
      <c r="M306" s="899"/>
      <c r="N306" s="899"/>
      <c r="O306" s="899"/>
      <c r="P306" s="899"/>
      <c r="Q306" s="899"/>
      <c r="R306" s="899"/>
      <c r="S306" s="899"/>
      <c r="T306" s="899"/>
      <c r="U306" s="899"/>
      <c r="V306" s="899"/>
      <c r="W306" s="899"/>
      <c r="X306" s="899"/>
      <c r="Y306" s="899"/>
      <c r="Z306" s="899"/>
      <c r="AA306" s="899"/>
      <c r="AB306" s="899"/>
      <c r="AC306" s="899"/>
      <c r="AD306" s="899"/>
      <c r="AE306" s="899"/>
      <c r="AF306" s="899"/>
      <c r="AG306" s="899"/>
      <c r="AH306" s="899"/>
      <c r="AI306" s="899"/>
      <c r="AJ306" s="899"/>
      <c r="AK306" s="899"/>
      <c r="AL306" s="899"/>
      <c r="AM306" s="899"/>
      <c r="AN306" s="899"/>
      <c r="AO306" s="899"/>
    </row>
    <row r="307">
      <c r="B307" s="1305" t="s">
        <v>1559</v>
      </c>
      <c r="G307" s="899"/>
      <c r="H307" s="899"/>
      <c r="I307" s="899"/>
      <c r="J307" s="899"/>
      <c r="K307" s="899"/>
      <c r="L307" s="899"/>
      <c r="M307" s="899"/>
      <c r="N307" s="899"/>
      <c r="O307" s="899"/>
      <c r="P307" s="899"/>
      <c r="Q307" s="899"/>
      <c r="R307" s="899"/>
      <c r="S307" s="899"/>
      <c r="T307" s="899"/>
      <c r="U307" s="899"/>
      <c r="V307" s="899"/>
      <c r="W307" s="899"/>
      <c r="X307" s="899"/>
      <c r="Y307" s="899"/>
      <c r="Z307" s="899"/>
      <c r="AA307" s="899"/>
      <c r="AB307" s="899"/>
      <c r="AC307" s="899"/>
      <c r="AD307" s="899"/>
      <c r="AE307" s="899"/>
      <c r="AF307" s="899"/>
      <c r="AG307" s="899"/>
      <c r="AH307" s="899"/>
      <c r="AI307" s="899"/>
      <c r="AJ307" s="899"/>
      <c r="AK307" s="899"/>
      <c r="AL307" s="899"/>
      <c r="AM307" s="899"/>
      <c r="AN307" s="899"/>
      <c r="AO307" s="899"/>
    </row>
    <row r="308">
      <c r="B308" s="1295" t="s">
        <v>1560</v>
      </c>
      <c r="G308" s="899"/>
      <c r="H308" s="899"/>
      <c r="I308" s="899"/>
      <c r="J308" s="899"/>
      <c r="K308" s="899"/>
      <c r="L308" s="899"/>
      <c r="M308" s="899"/>
      <c r="N308" s="899"/>
      <c r="O308" s="899"/>
      <c r="P308" s="899"/>
      <c r="Q308" s="899"/>
      <c r="R308" s="899"/>
      <c r="S308" s="899"/>
      <c r="T308" s="899"/>
      <c r="U308" s="899"/>
      <c r="V308" s="899"/>
      <c r="W308" s="899"/>
      <c r="X308" s="899"/>
      <c r="Y308" s="899"/>
      <c r="Z308" s="899"/>
      <c r="AA308" s="899"/>
      <c r="AB308" s="899"/>
      <c r="AC308" s="899"/>
      <c r="AD308" s="899"/>
      <c r="AE308" s="899"/>
      <c r="AF308" s="899"/>
      <c r="AG308" s="899"/>
      <c r="AH308" s="899"/>
      <c r="AI308" s="899"/>
      <c r="AJ308" s="899"/>
      <c r="AK308" s="899"/>
      <c r="AL308" s="899"/>
      <c r="AM308" s="899"/>
      <c r="AN308" s="899"/>
      <c r="AO308" s="899"/>
    </row>
    <row r="309">
      <c r="B309" s="1295" t="s">
        <v>1561</v>
      </c>
      <c r="G309" s="899"/>
      <c r="H309" s="899"/>
      <c r="I309" s="899"/>
      <c r="J309" s="899"/>
      <c r="K309" s="899"/>
      <c r="L309" s="899"/>
      <c r="M309" s="899"/>
      <c r="N309" s="899"/>
      <c r="O309" s="899"/>
      <c r="P309" s="899"/>
      <c r="Q309" s="899"/>
      <c r="R309" s="899"/>
      <c r="S309" s="899"/>
      <c r="T309" s="899"/>
      <c r="U309" s="899"/>
      <c r="V309" s="899"/>
      <c r="W309" s="899"/>
      <c r="X309" s="899"/>
      <c r="Y309" s="899"/>
      <c r="Z309" s="899"/>
      <c r="AA309" s="899"/>
      <c r="AB309" s="899"/>
      <c r="AC309" s="899"/>
      <c r="AD309" s="899"/>
      <c r="AE309" s="899"/>
      <c r="AF309" s="899"/>
      <c r="AG309" s="899"/>
      <c r="AH309" s="899"/>
      <c r="AI309" s="899"/>
      <c r="AJ309" s="899"/>
      <c r="AK309" s="899"/>
      <c r="AL309" s="899"/>
      <c r="AM309" s="899"/>
      <c r="AN309" s="899"/>
      <c r="AO309" s="899"/>
    </row>
    <row r="310">
      <c r="B310" s="1295" t="s">
        <v>1562</v>
      </c>
      <c r="G310" s="899"/>
      <c r="H310" s="899"/>
      <c r="I310" s="899"/>
      <c r="J310" s="899"/>
      <c r="K310" s="899"/>
      <c r="L310" s="899"/>
      <c r="M310" s="899"/>
      <c r="N310" s="899"/>
      <c r="O310" s="899"/>
      <c r="P310" s="899"/>
      <c r="Q310" s="899"/>
      <c r="R310" s="899"/>
      <c r="S310" s="899"/>
      <c r="T310" s="899"/>
      <c r="U310" s="899"/>
      <c r="V310" s="899"/>
      <c r="W310" s="899"/>
      <c r="X310" s="899"/>
      <c r="Y310" s="899"/>
      <c r="Z310" s="899"/>
      <c r="AA310" s="899"/>
      <c r="AB310" s="899"/>
      <c r="AC310" s="899"/>
      <c r="AD310" s="899"/>
      <c r="AE310" s="899"/>
      <c r="AF310" s="899"/>
      <c r="AG310" s="899"/>
      <c r="AH310" s="899"/>
      <c r="AI310" s="899"/>
      <c r="AJ310" s="899"/>
      <c r="AK310" s="899"/>
      <c r="AL310" s="899"/>
      <c r="AM310" s="899"/>
      <c r="AN310" s="899"/>
      <c r="AO310" s="899"/>
    </row>
    <row r="311">
      <c r="A311" s="1292" t="s">
        <v>1579</v>
      </c>
      <c r="B311" s="1293" t="s">
        <v>1552</v>
      </c>
      <c r="G311" s="899"/>
      <c r="H311" s="899"/>
      <c r="I311" s="899"/>
      <c r="J311" s="899"/>
      <c r="K311" s="899"/>
      <c r="L311" s="899"/>
      <c r="M311" s="899"/>
      <c r="N311" s="899"/>
      <c r="O311" s="899"/>
      <c r="P311" s="899"/>
      <c r="Q311" s="899"/>
      <c r="R311" s="899"/>
      <c r="S311" s="899"/>
      <c r="T311" s="899"/>
      <c r="U311" s="899"/>
      <c r="V311" s="899"/>
      <c r="W311" s="899"/>
      <c r="X311" s="899"/>
      <c r="Y311" s="899"/>
      <c r="Z311" s="899"/>
      <c r="AA311" s="899"/>
      <c r="AB311" s="899"/>
      <c r="AC311" s="899"/>
      <c r="AD311" s="899"/>
      <c r="AE311" s="899"/>
      <c r="AF311" s="899"/>
      <c r="AG311" s="899"/>
      <c r="AH311" s="899"/>
      <c r="AI311" s="899"/>
      <c r="AJ311" s="899"/>
      <c r="AK311" s="899"/>
      <c r="AL311" s="899"/>
      <c r="AM311" s="899"/>
      <c r="AN311" s="899"/>
      <c r="AO311" s="899"/>
    </row>
    <row r="312">
      <c r="B312" s="1295" t="s">
        <v>1553</v>
      </c>
      <c r="G312" s="899"/>
      <c r="H312" s="899"/>
      <c r="I312" s="899"/>
      <c r="J312" s="899"/>
      <c r="K312" s="899"/>
      <c r="L312" s="899"/>
      <c r="M312" s="899"/>
      <c r="N312" s="899"/>
      <c r="O312" s="899"/>
      <c r="P312" s="899"/>
      <c r="Q312" s="899"/>
      <c r="R312" s="899"/>
      <c r="S312" s="899"/>
      <c r="T312" s="899"/>
      <c r="U312" s="899"/>
      <c r="V312" s="899"/>
      <c r="W312" s="899"/>
      <c r="X312" s="899"/>
      <c r="Y312" s="899"/>
      <c r="Z312" s="899"/>
      <c r="AA312" s="899"/>
      <c r="AB312" s="899"/>
      <c r="AC312" s="899"/>
      <c r="AD312" s="899"/>
      <c r="AE312" s="899"/>
      <c r="AF312" s="899"/>
      <c r="AG312" s="899"/>
      <c r="AH312" s="899"/>
      <c r="AI312" s="899"/>
      <c r="AJ312" s="899"/>
      <c r="AK312" s="899"/>
      <c r="AL312" s="899"/>
      <c r="AM312" s="899"/>
      <c r="AN312" s="899"/>
      <c r="AO312" s="899"/>
    </row>
    <row r="313">
      <c r="B313" s="1295" t="s">
        <v>1555</v>
      </c>
      <c r="G313" s="899"/>
      <c r="H313" s="899"/>
      <c r="I313" s="899"/>
      <c r="J313" s="899"/>
      <c r="K313" s="899"/>
      <c r="L313" s="899"/>
      <c r="M313" s="899"/>
      <c r="N313" s="899"/>
      <c r="O313" s="899"/>
      <c r="P313" s="899"/>
      <c r="Q313" s="899"/>
      <c r="R313" s="899"/>
      <c r="S313" s="899"/>
      <c r="T313" s="899"/>
      <c r="U313" s="899"/>
      <c r="V313" s="899"/>
      <c r="W313" s="899"/>
      <c r="X313" s="899"/>
      <c r="Y313" s="899"/>
      <c r="Z313" s="899"/>
      <c r="AA313" s="899"/>
      <c r="AB313" s="899"/>
      <c r="AC313" s="899"/>
      <c r="AD313" s="899"/>
      <c r="AE313" s="899"/>
      <c r="AF313" s="899"/>
      <c r="AG313" s="899"/>
      <c r="AH313" s="899"/>
      <c r="AI313" s="899"/>
      <c r="AJ313" s="899"/>
      <c r="AK313" s="899"/>
      <c r="AL313" s="899"/>
      <c r="AM313" s="899"/>
      <c r="AN313" s="899"/>
      <c r="AO313" s="899"/>
    </row>
    <row r="314">
      <c r="B314" s="1295" t="s">
        <v>1556</v>
      </c>
      <c r="G314" s="899"/>
      <c r="H314" s="899"/>
      <c r="I314" s="899"/>
      <c r="J314" s="899"/>
      <c r="K314" s="899"/>
      <c r="L314" s="899"/>
      <c r="M314" s="899"/>
      <c r="N314" s="899"/>
      <c r="O314" s="899"/>
      <c r="P314" s="899"/>
      <c r="Q314" s="899"/>
      <c r="R314" s="899"/>
      <c r="S314" s="899"/>
      <c r="T314" s="899"/>
      <c r="U314" s="899"/>
      <c r="V314" s="899"/>
      <c r="W314" s="899"/>
      <c r="X314" s="899"/>
      <c r="Y314" s="899"/>
      <c r="Z314" s="899"/>
      <c r="AA314" s="899"/>
      <c r="AB314" s="899"/>
      <c r="AC314" s="899"/>
      <c r="AD314" s="899"/>
      <c r="AE314" s="899"/>
      <c r="AF314" s="899"/>
      <c r="AG314" s="899"/>
      <c r="AH314" s="899"/>
      <c r="AI314" s="899"/>
      <c r="AJ314" s="899"/>
      <c r="AK314" s="899"/>
      <c r="AL314" s="899"/>
      <c r="AM314" s="899"/>
      <c r="AN314" s="899"/>
      <c r="AO314" s="899"/>
    </row>
    <row r="315">
      <c r="B315" s="1305" t="s">
        <v>1557</v>
      </c>
      <c r="G315" s="899"/>
      <c r="H315" s="899"/>
      <c r="I315" s="899"/>
      <c r="J315" s="899"/>
      <c r="K315" s="899"/>
      <c r="L315" s="899"/>
      <c r="M315" s="899"/>
      <c r="N315" s="899"/>
      <c r="O315" s="899"/>
      <c r="P315" s="899"/>
      <c r="Q315" s="899"/>
      <c r="R315" s="899"/>
      <c r="S315" s="899"/>
      <c r="T315" s="899"/>
      <c r="U315" s="899"/>
      <c r="V315" s="899"/>
      <c r="W315" s="899"/>
      <c r="X315" s="899"/>
      <c r="Y315" s="899"/>
      <c r="Z315" s="899"/>
      <c r="AA315" s="899"/>
      <c r="AB315" s="899"/>
      <c r="AC315" s="899"/>
      <c r="AD315" s="899"/>
      <c r="AE315" s="899"/>
      <c r="AF315" s="899"/>
      <c r="AG315" s="899"/>
      <c r="AH315" s="899"/>
      <c r="AI315" s="899"/>
      <c r="AJ315" s="899"/>
      <c r="AK315" s="899"/>
      <c r="AL315" s="899"/>
      <c r="AM315" s="899"/>
      <c r="AN315" s="899"/>
      <c r="AO315" s="899"/>
    </row>
    <row r="316">
      <c r="B316" s="1305" t="s">
        <v>1559</v>
      </c>
      <c r="G316" s="899"/>
      <c r="H316" s="899"/>
      <c r="I316" s="899"/>
      <c r="J316" s="899"/>
      <c r="K316" s="899"/>
      <c r="L316" s="899"/>
      <c r="M316" s="899"/>
      <c r="N316" s="899"/>
      <c r="O316" s="899"/>
      <c r="P316" s="899"/>
      <c r="Q316" s="899"/>
      <c r="R316" s="899"/>
      <c r="S316" s="899"/>
      <c r="T316" s="899"/>
      <c r="U316" s="899"/>
      <c r="V316" s="899"/>
      <c r="W316" s="899"/>
      <c r="X316" s="899"/>
      <c r="Y316" s="899"/>
      <c r="Z316" s="899"/>
      <c r="AA316" s="899"/>
      <c r="AB316" s="899"/>
      <c r="AC316" s="899"/>
      <c r="AD316" s="899"/>
      <c r="AE316" s="899"/>
      <c r="AF316" s="899"/>
      <c r="AG316" s="899"/>
      <c r="AH316" s="899"/>
      <c r="AI316" s="899"/>
      <c r="AJ316" s="899"/>
      <c r="AK316" s="899"/>
      <c r="AL316" s="899"/>
      <c r="AM316" s="899"/>
      <c r="AN316" s="899"/>
      <c r="AO316" s="899"/>
    </row>
    <row r="317">
      <c r="B317" s="1295" t="s">
        <v>1560</v>
      </c>
      <c r="G317" s="899"/>
      <c r="H317" s="899"/>
      <c r="I317" s="899"/>
      <c r="J317" s="899"/>
      <c r="K317" s="899"/>
      <c r="L317" s="899"/>
      <c r="M317" s="899"/>
      <c r="N317" s="899"/>
      <c r="O317" s="899"/>
      <c r="P317" s="899"/>
      <c r="Q317" s="899"/>
      <c r="R317" s="899"/>
      <c r="S317" s="899"/>
      <c r="T317" s="899"/>
      <c r="U317" s="899"/>
      <c r="V317" s="899"/>
      <c r="W317" s="899"/>
      <c r="X317" s="899"/>
      <c r="Y317" s="899"/>
      <c r="Z317" s="899"/>
      <c r="AA317" s="899"/>
      <c r="AB317" s="899"/>
      <c r="AC317" s="899"/>
      <c r="AD317" s="899"/>
      <c r="AE317" s="899"/>
      <c r="AF317" s="899"/>
      <c r="AG317" s="899"/>
      <c r="AH317" s="899"/>
      <c r="AI317" s="899"/>
      <c r="AJ317" s="899"/>
      <c r="AK317" s="899"/>
      <c r="AL317" s="899"/>
      <c r="AM317" s="899"/>
      <c r="AN317" s="899"/>
      <c r="AO317" s="899"/>
    </row>
    <row r="318">
      <c r="B318" s="1295" t="s">
        <v>1561</v>
      </c>
      <c r="G318" s="899"/>
      <c r="H318" s="899"/>
      <c r="I318" s="899"/>
      <c r="J318" s="899"/>
      <c r="K318" s="899"/>
      <c r="L318" s="899"/>
      <c r="M318" s="899"/>
      <c r="N318" s="899"/>
      <c r="O318" s="899"/>
      <c r="P318" s="899"/>
      <c r="Q318" s="899"/>
      <c r="R318" s="899"/>
      <c r="S318" s="899"/>
      <c r="T318" s="899"/>
      <c r="U318" s="899"/>
      <c r="V318" s="899"/>
      <c r="W318" s="899"/>
      <c r="X318" s="899"/>
      <c r="Y318" s="899"/>
      <c r="Z318" s="899"/>
      <c r="AA318" s="899"/>
      <c r="AB318" s="899"/>
      <c r="AC318" s="899"/>
      <c r="AD318" s="899"/>
      <c r="AE318" s="899"/>
      <c r="AF318" s="899"/>
      <c r="AG318" s="899"/>
      <c r="AH318" s="899"/>
      <c r="AI318" s="899"/>
      <c r="AJ318" s="899"/>
      <c r="AK318" s="899"/>
      <c r="AL318" s="899"/>
      <c r="AM318" s="899"/>
      <c r="AN318" s="899"/>
      <c r="AO318" s="899"/>
    </row>
    <row r="319">
      <c r="B319" s="1295" t="s">
        <v>1562</v>
      </c>
      <c r="G319" s="899"/>
      <c r="H319" s="899"/>
      <c r="I319" s="899"/>
      <c r="J319" s="899"/>
      <c r="K319" s="899"/>
      <c r="L319" s="899"/>
      <c r="M319" s="899"/>
      <c r="N319" s="899"/>
      <c r="O319" s="899"/>
      <c r="P319" s="899"/>
      <c r="Q319" s="899"/>
      <c r="R319" s="899"/>
      <c r="S319" s="899"/>
      <c r="T319" s="899"/>
      <c r="U319" s="899"/>
      <c r="V319" s="899"/>
      <c r="W319" s="899"/>
      <c r="X319" s="899"/>
      <c r="Y319" s="899"/>
      <c r="Z319" s="899"/>
      <c r="AA319" s="899"/>
      <c r="AB319" s="899"/>
      <c r="AC319" s="899"/>
      <c r="AD319" s="899"/>
      <c r="AE319" s="899"/>
      <c r="AF319" s="899"/>
      <c r="AG319" s="899"/>
      <c r="AH319" s="899"/>
      <c r="AI319" s="899"/>
      <c r="AJ319" s="899"/>
      <c r="AK319" s="899"/>
      <c r="AL319" s="899"/>
      <c r="AM319" s="899"/>
      <c r="AN319" s="899"/>
      <c r="AO319" s="899"/>
    </row>
    <row r="320">
      <c r="A320" s="1292" t="s">
        <v>1580</v>
      </c>
      <c r="B320" s="1293" t="s">
        <v>1552</v>
      </c>
      <c r="G320" s="899"/>
      <c r="H320" s="899"/>
      <c r="I320" s="899"/>
      <c r="J320" s="899"/>
      <c r="K320" s="899"/>
      <c r="L320" s="899"/>
      <c r="M320" s="899"/>
      <c r="N320" s="899"/>
      <c r="O320" s="899"/>
      <c r="P320" s="899"/>
      <c r="Q320" s="899"/>
      <c r="R320" s="899"/>
      <c r="S320" s="899"/>
      <c r="T320" s="899"/>
      <c r="U320" s="899"/>
      <c r="V320" s="899"/>
      <c r="W320" s="899"/>
      <c r="X320" s="899"/>
      <c r="Y320" s="899"/>
      <c r="Z320" s="899"/>
      <c r="AA320" s="899"/>
      <c r="AB320" s="899"/>
      <c r="AC320" s="899"/>
      <c r="AD320" s="899"/>
      <c r="AE320" s="899"/>
      <c r="AF320" s="899"/>
      <c r="AG320" s="899"/>
      <c r="AH320" s="899"/>
      <c r="AI320" s="899"/>
      <c r="AJ320" s="899"/>
      <c r="AK320" s="899"/>
      <c r="AL320" s="899"/>
      <c r="AM320" s="899"/>
      <c r="AN320" s="899"/>
      <c r="AO320" s="899"/>
    </row>
    <row r="321">
      <c r="B321" s="1295" t="s">
        <v>1553</v>
      </c>
      <c r="G321" s="899"/>
      <c r="H321" s="899"/>
      <c r="I321" s="899"/>
      <c r="J321" s="899"/>
      <c r="K321" s="899"/>
      <c r="L321" s="899"/>
      <c r="M321" s="899"/>
      <c r="N321" s="899"/>
      <c r="O321" s="899"/>
      <c r="P321" s="899"/>
      <c r="Q321" s="899"/>
      <c r="R321" s="899"/>
      <c r="S321" s="899"/>
      <c r="T321" s="899"/>
      <c r="U321" s="899"/>
      <c r="V321" s="899"/>
      <c r="W321" s="899"/>
      <c r="X321" s="899"/>
      <c r="Y321" s="899"/>
      <c r="Z321" s="899"/>
      <c r="AA321" s="899"/>
      <c r="AB321" s="899"/>
      <c r="AC321" s="899"/>
      <c r="AD321" s="899"/>
      <c r="AE321" s="899"/>
      <c r="AF321" s="899"/>
      <c r="AG321" s="899"/>
      <c r="AH321" s="899"/>
      <c r="AI321" s="899"/>
      <c r="AJ321" s="899"/>
      <c r="AK321" s="899"/>
      <c r="AL321" s="899"/>
      <c r="AM321" s="899"/>
      <c r="AN321" s="899"/>
      <c r="AO321" s="899"/>
    </row>
    <row r="322">
      <c r="B322" s="1295" t="s">
        <v>1555</v>
      </c>
      <c r="G322" s="899"/>
      <c r="H322" s="899"/>
      <c r="I322" s="899"/>
      <c r="J322" s="899"/>
      <c r="K322" s="899"/>
      <c r="L322" s="899"/>
      <c r="M322" s="899"/>
      <c r="N322" s="899"/>
      <c r="O322" s="899"/>
      <c r="P322" s="899"/>
      <c r="Q322" s="899"/>
      <c r="R322" s="899"/>
      <c r="S322" s="899"/>
      <c r="T322" s="899"/>
      <c r="U322" s="899"/>
      <c r="V322" s="899"/>
      <c r="W322" s="899"/>
      <c r="X322" s="899"/>
      <c r="Y322" s="899"/>
      <c r="Z322" s="899"/>
      <c r="AA322" s="899"/>
      <c r="AB322" s="899"/>
      <c r="AC322" s="899"/>
      <c r="AD322" s="899"/>
      <c r="AE322" s="899"/>
      <c r="AF322" s="899"/>
      <c r="AG322" s="899"/>
      <c r="AH322" s="899"/>
      <c r="AI322" s="899"/>
      <c r="AJ322" s="899"/>
      <c r="AK322" s="899"/>
      <c r="AL322" s="899"/>
      <c r="AM322" s="899"/>
      <c r="AN322" s="899"/>
      <c r="AO322" s="899"/>
    </row>
    <row r="323">
      <c r="B323" s="1295" t="s">
        <v>1556</v>
      </c>
      <c r="G323" s="899"/>
      <c r="H323" s="899"/>
      <c r="I323" s="899"/>
      <c r="J323" s="899"/>
      <c r="K323" s="899"/>
      <c r="L323" s="899"/>
      <c r="M323" s="899"/>
      <c r="N323" s="899"/>
      <c r="O323" s="899"/>
      <c r="P323" s="899"/>
      <c r="Q323" s="899"/>
      <c r="R323" s="899"/>
      <c r="S323" s="899"/>
      <c r="T323" s="899"/>
      <c r="U323" s="899"/>
      <c r="V323" s="899"/>
      <c r="W323" s="899"/>
      <c r="X323" s="899"/>
      <c r="Y323" s="899"/>
      <c r="Z323" s="899"/>
      <c r="AA323" s="899"/>
      <c r="AB323" s="899"/>
      <c r="AC323" s="899"/>
      <c r="AD323" s="899"/>
      <c r="AE323" s="899"/>
      <c r="AF323" s="899"/>
      <c r="AG323" s="899"/>
      <c r="AH323" s="899"/>
      <c r="AI323" s="899"/>
      <c r="AJ323" s="899"/>
      <c r="AK323" s="899"/>
      <c r="AL323" s="899"/>
      <c r="AM323" s="899"/>
      <c r="AN323" s="899"/>
      <c r="AO323" s="899"/>
    </row>
    <row r="324">
      <c r="B324" s="1305" t="s">
        <v>1557</v>
      </c>
      <c r="G324" s="899"/>
      <c r="H324" s="899"/>
      <c r="I324" s="899"/>
      <c r="J324" s="899"/>
      <c r="K324" s="899"/>
      <c r="L324" s="899"/>
      <c r="M324" s="899"/>
      <c r="N324" s="899"/>
      <c r="O324" s="899"/>
      <c r="P324" s="899"/>
      <c r="Q324" s="899"/>
      <c r="R324" s="899"/>
      <c r="S324" s="899"/>
      <c r="T324" s="899"/>
      <c r="U324" s="899"/>
      <c r="V324" s="899"/>
      <c r="W324" s="899"/>
      <c r="X324" s="899"/>
      <c r="Y324" s="899"/>
      <c r="Z324" s="899"/>
      <c r="AA324" s="899"/>
      <c r="AB324" s="899"/>
      <c r="AC324" s="899"/>
      <c r="AD324" s="899"/>
      <c r="AE324" s="899"/>
      <c r="AF324" s="899"/>
      <c r="AG324" s="899"/>
      <c r="AH324" s="899"/>
      <c r="AI324" s="899"/>
      <c r="AJ324" s="899"/>
      <c r="AK324" s="899"/>
      <c r="AL324" s="899"/>
      <c r="AM324" s="899"/>
      <c r="AN324" s="899"/>
      <c r="AO324" s="899"/>
    </row>
    <row r="325">
      <c r="B325" s="1305" t="s">
        <v>1559</v>
      </c>
      <c r="G325" s="899"/>
      <c r="H325" s="899"/>
      <c r="I325" s="899"/>
      <c r="J325" s="899"/>
      <c r="K325" s="899"/>
      <c r="L325" s="899"/>
      <c r="M325" s="899"/>
      <c r="N325" s="899"/>
      <c r="O325" s="899"/>
      <c r="P325" s="899"/>
      <c r="Q325" s="899"/>
      <c r="R325" s="899"/>
      <c r="S325" s="899"/>
      <c r="T325" s="899"/>
      <c r="U325" s="899"/>
      <c r="V325" s="899"/>
      <c r="W325" s="899"/>
      <c r="X325" s="899"/>
      <c r="Y325" s="899"/>
      <c r="Z325" s="899"/>
      <c r="AA325" s="899"/>
      <c r="AB325" s="899"/>
      <c r="AC325" s="899"/>
      <c r="AD325" s="899"/>
      <c r="AE325" s="899"/>
      <c r="AF325" s="899"/>
      <c r="AG325" s="899"/>
      <c r="AH325" s="899"/>
      <c r="AI325" s="899"/>
      <c r="AJ325" s="899"/>
      <c r="AK325" s="899"/>
      <c r="AL325" s="899"/>
      <c r="AM325" s="899"/>
      <c r="AN325" s="899"/>
      <c r="AO325" s="899"/>
    </row>
    <row r="326">
      <c r="B326" s="1295" t="s">
        <v>1560</v>
      </c>
      <c r="G326" s="899"/>
      <c r="H326" s="899"/>
      <c r="I326" s="899"/>
      <c r="J326" s="899"/>
      <c r="K326" s="899"/>
      <c r="L326" s="899"/>
      <c r="M326" s="899"/>
      <c r="N326" s="899"/>
      <c r="O326" s="899"/>
      <c r="P326" s="899"/>
      <c r="Q326" s="899"/>
      <c r="R326" s="899"/>
      <c r="S326" s="899"/>
      <c r="T326" s="899"/>
      <c r="U326" s="899"/>
      <c r="V326" s="899"/>
      <c r="W326" s="899"/>
      <c r="X326" s="899"/>
      <c r="Y326" s="899"/>
      <c r="Z326" s="899"/>
      <c r="AA326" s="899"/>
      <c r="AB326" s="899"/>
      <c r="AC326" s="899"/>
      <c r="AD326" s="899"/>
      <c r="AE326" s="899"/>
      <c r="AF326" s="899"/>
      <c r="AG326" s="899"/>
      <c r="AH326" s="899"/>
      <c r="AI326" s="899"/>
      <c r="AJ326" s="899"/>
      <c r="AK326" s="899"/>
      <c r="AL326" s="899"/>
      <c r="AM326" s="899"/>
      <c r="AN326" s="899"/>
      <c r="AO326" s="899"/>
    </row>
    <row r="327">
      <c r="B327" s="1295" t="s">
        <v>1561</v>
      </c>
      <c r="G327" s="899"/>
      <c r="H327" s="899"/>
      <c r="I327" s="899"/>
      <c r="J327" s="899"/>
      <c r="K327" s="899"/>
      <c r="L327" s="899"/>
      <c r="M327" s="899"/>
      <c r="N327" s="899"/>
      <c r="O327" s="899"/>
      <c r="P327" s="899"/>
      <c r="Q327" s="899"/>
      <c r="R327" s="899"/>
      <c r="S327" s="899"/>
      <c r="T327" s="899"/>
      <c r="U327" s="899"/>
      <c r="V327" s="899"/>
      <c r="W327" s="899"/>
      <c r="X327" s="899"/>
      <c r="Y327" s="899"/>
      <c r="Z327" s="899"/>
      <c r="AA327" s="899"/>
      <c r="AB327" s="899"/>
      <c r="AC327" s="899"/>
      <c r="AD327" s="899"/>
      <c r="AE327" s="899"/>
      <c r="AF327" s="899"/>
      <c r="AG327" s="899"/>
      <c r="AH327" s="899"/>
      <c r="AI327" s="899"/>
      <c r="AJ327" s="899"/>
      <c r="AK327" s="899"/>
      <c r="AL327" s="899"/>
      <c r="AM327" s="899"/>
      <c r="AN327" s="899"/>
      <c r="AO327" s="899"/>
    </row>
    <row r="328">
      <c r="B328" s="1295" t="s">
        <v>1562</v>
      </c>
      <c r="G328" s="899"/>
      <c r="H328" s="899"/>
      <c r="I328" s="899"/>
      <c r="J328" s="899"/>
      <c r="K328" s="899"/>
      <c r="L328" s="899"/>
      <c r="M328" s="899"/>
      <c r="N328" s="899"/>
      <c r="O328" s="899"/>
      <c r="P328" s="899"/>
      <c r="Q328" s="899"/>
      <c r="R328" s="899"/>
      <c r="S328" s="899"/>
      <c r="T328" s="899"/>
      <c r="U328" s="899"/>
      <c r="V328" s="899"/>
      <c r="W328" s="899"/>
      <c r="X328" s="899"/>
      <c r="Y328" s="899"/>
      <c r="Z328" s="899"/>
      <c r="AA328" s="899"/>
      <c r="AB328" s="899"/>
      <c r="AC328" s="899"/>
      <c r="AD328" s="899"/>
      <c r="AE328" s="899"/>
      <c r="AF328" s="899"/>
      <c r="AG328" s="899"/>
      <c r="AH328" s="899"/>
      <c r="AI328" s="899"/>
      <c r="AJ328" s="899"/>
      <c r="AK328" s="899"/>
      <c r="AL328" s="899"/>
      <c r="AM328" s="899"/>
      <c r="AN328" s="899"/>
      <c r="AO328" s="899"/>
    </row>
    <row r="329">
      <c r="A329" s="1292" t="s">
        <v>1581</v>
      </c>
      <c r="B329" s="1293" t="s">
        <v>1552</v>
      </c>
      <c r="G329" s="899"/>
      <c r="H329" s="899"/>
      <c r="I329" s="899"/>
      <c r="J329" s="899"/>
      <c r="K329" s="899"/>
      <c r="L329" s="899"/>
      <c r="M329" s="899"/>
      <c r="N329" s="899"/>
      <c r="O329" s="899"/>
      <c r="P329" s="899"/>
      <c r="Q329" s="899"/>
      <c r="R329" s="899"/>
      <c r="S329" s="899"/>
      <c r="T329" s="899"/>
      <c r="U329" s="899"/>
      <c r="V329" s="899"/>
      <c r="W329" s="899"/>
      <c r="X329" s="899"/>
      <c r="Y329" s="899"/>
      <c r="Z329" s="899"/>
      <c r="AA329" s="899"/>
      <c r="AB329" s="899"/>
      <c r="AC329" s="899"/>
      <c r="AD329" s="899"/>
      <c r="AE329" s="899"/>
      <c r="AF329" s="899"/>
      <c r="AG329" s="899"/>
      <c r="AH329" s="899"/>
      <c r="AI329" s="899"/>
      <c r="AJ329" s="899"/>
      <c r="AK329" s="899"/>
      <c r="AL329" s="899"/>
      <c r="AM329" s="899"/>
      <c r="AN329" s="899"/>
      <c r="AO329" s="899"/>
    </row>
    <row r="330">
      <c r="B330" s="1295" t="s">
        <v>1553</v>
      </c>
      <c r="G330" s="899"/>
      <c r="H330" s="899"/>
      <c r="I330" s="899"/>
      <c r="J330" s="899"/>
      <c r="K330" s="899"/>
      <c r="L330" s="899"/>
      <c r="M330" s="899"/>
      <c r="N330" s="899"/>
      <c r="O330" s="899"/>
      <c r="P330" s="899"/>
      <c r="Q330" s="899"/>
      <c r="R330" s="899"/>
      <c r="S330" s="899"/>
      <c r="T330" s="899"/>
      <c r="U330" s="899"/>
      <c r="V330" s="899"/>
      <c r="W330" s="899"/>
      <c r="X330" s="899"/>
      <c r="Y330" s="899"/>
      <c r="Z330" s="899"/>
      <c r="AA330" s="899"/>
      <c r="AB330" s="899"/>
      <c r="AC330" s="899"/>
      <c r="AD330" s="899"/>
      <c r="AE330" s="899"/>
      <c r="AF330" s="899"/>
      <c r="AG330" s="899"/>
      <c r="AH330" s="899"/>
      <c r="AI330" s="899"/>
      <c r="AJ330" s="899"/>
      <c r="AK330" s="899"/>
      <c r="AL330" s="899"/>
      <c r="AM330" s="899"/>
      <c r="AN330" s="899"/>
      <c r="AO330" s="899"/>
    </row>
    <row r="331">
      <c r="B331" s="1295" t="s">
        <v>1555</v>
      </c>
      <c r="G331" s="899"/>
      <c r="H331" s="899"/>
      <c r="I331" s="899"/>
      <c r="J331" s="899"/>
      <c r="K331" s="899"/>
      <c r="L331" s="899"/>
      <c r="M331" s="899"/>
      <c r="N331" s="899"/>
      <c r="O331" s="899"/>
      <c r="P331" s="899"/>
      <c r="Q331" s="899"/>
      <c r="R331" s="899"/>
      <c r="S331" s="899"/>
      <c r="T331" s="899"/>
      <c r="U331" s="899"/>
      <c r="V331" s="899"/>
      <c r="W331" s="899"/>
      <c r="X331" s="899"/>
      <c r="Y331" s="899"/>
      <c r="Z331" s="899"/>
      <c r="AA331" s="899"/>
      <c r="AB331" s="899"/>
      <c r="AC331" s="899"/>
      <c r="AD331" s="899"/>
      <c r="AE331" s="899"/>
      <c r="AF331" s="899"/>
      <c r="AG331" s="899"/>
      <c r="AH331" s="899"/>
      <c r="AI331" s="899"/>
      <c r="AJ331" s="899"/>
      <c r="AK331" s="899"/>
      <c r="AL331" s="899"/>
      <c r="AM331" s="899"/>
      <c r="AN331" s="899"/>
      <c r="AO331" s="899"/>
    </row>
    <row r="332">
      <c r="B332" s="1295" t="s">
        <v>1556</v>
      </c>
      <c r="G332" s="899"/>
      <c r="H332" s="899"/>
      <c r="I332" s="899"/>
      <c r="J332" s="899"/>
      <c r="K332" s="899"/>
      <c r="L332" s="899"/>
      <c r="M332" s="899"/>
      <c r="N332" s="899"/>
      <c r="O332" s="899"/>
      <c r="P332" s="899"/>
      <c r="Q332" s="899"/>
      <c r="R332" s="899"/>
      <c r="S332" s="899"/>
      <c r="T332" s="899"/>
      <c r="U332" s="899"/>
      <c r="V332" s="899"/>
      <c r="W332" s="899"/>
      <c r="X332" s="899"/>
      <c r="Y332" s="899"/>
      <c r="Z332" s="899"/>
      <c r="AA332" s="899"/>
      <c r="AB332" s="899"/>
      <c r="AC332" s="899"/>
      <c r="AD332" s="899"/>
      <c r="AE332" s="899"/>
      <c r="AF332" s="899"/>
      <c r="AG332" s="899"/>
      <c r="AH332" s="899"/>
      <c r="AI332" s="899"/>
      <c r="AJ332" s="899"/>
      <c r="AK332" s="899"/>
      <c r="AL332" s="899"/>
      <c r="AM332" s="899"/>
      <c r="AN332" s="899"/>
      <c r="AO332" s="899"/>
    </row>
    <row r="333">
      <c r="B333" s="1305" t="s">
        <v>1557</v>
      </c>
      <c r="G333" s="899"/>
      <c r="H333" s="899"/>
      <c r="I333" s="899"/>
      <c r="J333" s="899"/>
      <c r="K333" s="899"/>
      <c r="L333" s="899"/>
      <c r="M333" s="899"/>
      <c r="N333" s="899"/>
      <c r="O333" s="899"/>
      <c r="P333" s="899"/>
      <c r="Q333" s="899"/>
      <c r="R333" s="899"/>
      <c r="S333" s="899"/>
      <c r="T333" s="899"/>
      <c r="U333" s="899"/>
      <c r="V333" s="899"/>
      <c r="W333" s="899"/>
      <c r="X333" s="899"/>
      <c r="Y333" s="899"/>
      <c r="Z333" s="899"/>
      <c r="AA333" s="899"/>
      <c r="AB333" s="899"/>
      <c r="AC333" s="899"/>
      <c r="AD333" s="899"/>
      <c r="AE333" s="899"/>
      <c r="AF333" s="899"/>
      <c r="AG333" s="899"/>
      <c r="AH333" s="899"/>
      <c r="AI333" s="899"/>
      <c r="AJ333" s="899"/>
      <c r="AK333" s="899"/>
      <c r="AL333" s="899"/>
      <c r="AM333" s="899"/>
      <c r="AN333" s="899"/>
      <c r="AO333" s="899"/>
    </row>
    <row r="334">
      <c r="B334" s="1305" t="s">
        <v>1559</v>
      </c>
      <c r="G334" s="899"/>
      <c r="H334" s="899"/>
      <c r="I334" s="899"/>
      <c r="J334" s="899"/>
      <c r="K334" s="899"/>
      <c r="L334" s="899"/>
      <c r="M334" s="899"/>
      <c r="N334" s="899"/>
      <c r="O334" s="899"/>
      <c r="P334" s="899"/>
      <c r="Q334" s="899"/>
      <c r="R334" s="899"/>
      <c r="S334" s="899"/>
      <c r="T334" s="899"/>
      <c r="U334" s="899"/>
      <c r="V334" s="899"/>
      <c r="W334" s="899"/>
      <c r="X334" s="899"/>
      <c r="Y334" s="899"/>
      <c r="Z334" s="899"/>
      <c r="AA334" s="899"/>
      <c r="AB334" s="899"/>
      <c r="AC334" s="899"/>
      <c r="AD334" s="899"/>
      <c r="AE334" s="899"/>
      <c r="AF334" s="899"/>
      <c r="AG334" s="899"/>
      <c r="AH334" s="899"/>
      <c r="AI334" s="899"/>
      <c r="AJ334" s="899"/>
      <c r="AK334" s="899"/>
      <c r="AL334" s="899"/>
      <c r="AM334" s="899"/>
      <c r="AN334" s="899"/>
      <c r="AO334" s="899"/>
    </row>
    <row r="335">
      <c r="B335" s="1295" t="s">
        <v>1560</v>
      </c>
      <c r="G335" s="899"/>
      <c r="H335" s="899"/>
      <c r="I335" s="899"/>
      <c r="J335" s="899"/>
      <c r="K335" s="899"/>
      <c r="L335" s="899"/>
      <c r="M335" s="899"/>
      <c r="N335" s="899"/>
      <c r="O335" s="899"/>
      <c r="P335" s="899"/>
      <c r="Q335" s="899"/>
      <c r="R335" s="899"/>
      <c r="S335" s="899"/>
      <c r="T335" s="899"/>
      <c r="U335" s="899"/>
      <c r="V335" s="899"/>
      <c r="W335" s="899"/>
      <c r="X335" s="899"/>
      <c r="Y335" s="899"/>
      <c r="Z335" s="899"/>
      <c r="AA335" s="899"/>
      <c r="AB335" s="899"/>
      <c r="AC335" s="899"/>
      <c r="AD335" s="899"/>
      <c r="AE335" s="899"/>
      <c r="AF335" s="899"/>
      <c r="AG335" s="899"/>
      <c r="AH335" s="899"/>
      <c r="AI335" s="899"/>
      <c r="AJ335" s="899"/>
      <c r="AK335" s="899"/>
      <c r="AL335" s="899"/>
      <c r="AM335" s="899"/>
      <c r="AN335" s="899"/>
      <c r="AO335" s="899"/>
    </row>
    <row r="336">
      <c r="B336" s="1295" t="s">
        <v>1561</v>
      </c>
      <c r="G336" s="899"/>
      <c r="H336" s="899"/>
      <c r="I336" s="899"/>
      <c r="J336" s="899"/>
      <c r="K336" s="899"/>
      <c r="L336" s="899"/>
      <c r="M336" s="899"/>
      <c r="N336" s="899"/>
      <c r="O336" s="899"/>
      <c r="P336" s="899"/>
      <c r="Q336" s="899"/>
      <c r="R336" s="899"/>
      <c r="S336" s="899"/>
      <c r="T336" s="899"/>
      <c r="U336" s="899"/>
      <c r="V336" s="899"/>
      <c r="W336" s="899"/>
      <c r="X336" s="899"/>
      <c r="Y336" s="899"/>
      <c r="Z336" s="899"/>
      <c r="AA336" s="899"/>
      <c r="AB336" s="899"/>
      <c r="AC336" s="899"/>
      <c r="AD336" s="899"/>
      <c r="AE336" s="899"/>
      <c r="AF336" s="899"/>
      <c r="AG336" s="899"/>
      <c r="AH336" s="899"/>
      <c r="AI336" s="899"/>
      <c r="AJ336" s="899"/>
      <c r="AK336" s="899"/>
      <c r="AL336" s="899"/>
      <c r="AM336" s="899"/>
      <c r="AN336" s="899"/>
      <c r="AO336" s="899"/>
    </row>
    <row r="337">
      <c r="B337" s="1295" t="s">
        <v>1562</v>
      </c>
      <c r="G337" s="899"/>
      <c r="H337" s="899"/>
      <c r="I337" s="899"/>
      <c r="J337" s="899"/>
      <c r="K337" s="899"/>
      <c r="L337" s="899"/>
      <c r="M337" s="899"/>
      <c r="N337" s="899"/>
      <c r="O337" s="899"/>
      <c r="P337" s="899"/>
      <c r="Q337" s="899"/>
      <c r="R337" s="899"/>
      <c r="S337" s="899"/>
      <c r="T337" s="899"/>
      <c r="U337" s="899"/>
      <c r="V337" s="899"/>
      <c r="W337" s="899"/>
      <c r="X337" s="899"/>
      <c r="Y337" s="899"/>
      <c r="Z337" s="899"/>
      <c r="AA337" s="899"/>
      <c r="AB337" s="899"/>
      <c r="AC337" s="899"/>
      <c r="AD337" s="899"/>
      <c r="AE337" s="899"/>
      <c r="AF337" s="899"/>
      <c r="AG337" s="899"/>
      <c r="AH337" s="899"/>
      <c r="AI337" s="899"/>
      <c r="AJ337" s="899"/>
      <c r="AK337" s="899"/>
      <c r="AL337" s="899"/>
      <c r="AM337" s="899"/>
      <c r="AN337" s="899"/>
      <c r="AO337" s="899"/>
    </row>
    <row r="338">
      <c r="G338" s="899"/>
      <c r="H338" s="899"/>
      <c r="I338" s="899"/>
      <c r="J338" s="899"/>
      <c r="K338" s="899"/>
      <c r="L338" s="899"/>
      <c r="M338" s="899"/>
      <c r="N338" s="899"/>
      <c r="O338" s="899"/>
      <c r="P338" s="899"/>
      <c r="Q338" s="899"/>
      <c r="R338" s="899"/>
      <c r="S338" s="899"/>
      <c r="T338" s="899"/>
      <c r="U338" s="899"/>
      <c r="V338" s="899"/>
      <c r="W338" s="899"/>
      <c r="X338" s="899"/>
      <c r="Y338" s="899"/>
      <c r="Z338" s="899"/>
      <c r="AA338" s="899"/>
      <c r="AB338" s="899"/>
      <c r="AC338" s="899"/>
      <c r="AD338" s="899"/>
      <c r="AE338" s="899"/>
      <c r="AF338" s="899"/>
      <c r="AG338" s="899"/>
      <c r="AH338" s="899"/>
      <c r="AI338" s="899"/>
      <c r="AJ338" s="899"/>
      <c r="AK338" s="899"/>
      <c r="AL338" s="899"/>
      <c r="AM338" s="899"/>
      <c r="AN338" s="899"/>
      <c r="AO338" s="899"/>
    </row>
    <row r="339">
      <c r="G339" s="899"/>
      <c r="H339" s="899"/>
      <c r="I339" s="899"/>
      <c r="J339" s="899"/>
      <c r="K339" s="899"/>
      <c r="L339" s="899"/>
      <c r="M339" s="899"/>
      <c r="N339" s="899"/>
      <c r="O339" s="899"/>
      <c r="P339" s="899"/>
      <c r="Q339" s="899"/>
      <c r="R339" s="899"/>
      <c r="S339" s="899"/>
      <c r="T339" s="899"/>
      <c r="U339" s="899"/>
      <c r="V339" s="899"/>
      <c r="W339" s="899"/>
      <c r="X339" s="899"/>
      <c r="Y339" s="899"/>
      <c r="Z339" s="899"/>
      <c r="AA339" s="899"/>
      <c r="AB339" s="899"/>
      <c r="AC339" s="899"/>
      <c r="AD339" s="899"/>
      <c r="AE339" s="899"/>
      <c r="AF339" s="899"/>
      <c r="AG339" s="899"/>
      <c r="AH339" s="899"/>
      <c r="AI339" s="899"/>
      <c r="AJ339" s="899"/>
      <c r="AK339" s="899"/>
      <c r="AL339" s="899"/>
      <c r="AM339" s="899"/>
      <c r="AN339" s="899"/>
      <c r="AO339" s="899"/>
    </row>
    <row r="340">
      <c r="G340" s="899"/>
      <c r="H340" s="899"/>
      <c r="I340" s="899"/>
      <c r="J340" s="899"/>
      <c r="K340" s="899"/>
      <c r="L340" s="899"/>
      <c r="M340" s="899"/>
      <c r="N340" s="899"/>
      <c r="O340" s="899"/>
      <c r="P340" s="899"/>
      <c r="Q340" s="899"/>
      <c r="R340" s="899"/>
      <c r="S340" s="899"/>
      <c r="T340" s="899"/>
      <c r="U340" s="899"/>
      <c r="V340" s="899"/>
      <c r="W340" s="899"/>
      <c r="X340" s="899"/>
      <c r="Y340" s="899"/>
      <c r="Z340" s="899"/>
      <c r="AA340" s="899"/>
      <c r="AB340" s="899"/>
      <c r="AC340" s="899"/>
      <c r="AD340" s="899"/>
      <c r="AE340" s="899"/>
      <c r="AF340" s="899"/>
      <c r="AG340" s="899"/>
      <c r="AH340" s="899"/>
      <c r="AI340" s="899"/>
      <c r="AJ340" s="899"/>
      <c r="AK340" s="899"/>
      <c r="AL340" s="899"/>
      <c r="AM340" s="899"/>
      <c r="AN340" s="899"/>
      <c r="AO340" s="899"/>
    </row>
    <row r="341">
      <c r="G341" s="899"/>
      <c r="H341" s="899"/>
      <c r="I341" s="899"/>
      <c r="J341" s="899"/>
      <c r="K341" s="899"/>
      <c r="L341" s="899"/>
      <c r="M341" s="899"/>
      <c r="N341" s="899"/>
      <c r="O341" s="899"/>
      <c r="P341" s="899"/>
      <c r="Q341" s="899"/>
      <c r="R341" s="899"/>
      <c r="S341" s="899"/>
      <c r="T341" s="899"/>
      <c r="U341" s="899"/>
      <c r="V341" s="899"/>
      <c r="W341" s="899"/>
      <c r="X341" s="899"/>
      <c r="Y341" s="899"/>
      <c r="Z341" s="899"/>
      <c r="AA341" s="899"/>
      <c r="AB341" s="899"/>
      <c r="AC341" s="899"/>
      <c r="AD341" s="899"/>
      <c r="AE341" s="899"/>
      <c r="AF341" s="899"/>
      <c r="AG341" s="899"/>
      <c r="AH341" s="899"/>
      <c r="AI341" s="899"/>
      <c r="AJ341" s="899"/>
      <c r="AK341" s="899"/>
      <c r="AL341" s="899"/>
      <c r="AM341" s="899"/>
      <c r="AN341" s="899"/>
      <c r="AO341" s="899"/>
    </row>
    <row r="342">
      <c r="G342" s="899"/>
      <c r="H342" s="899"/>
      <c r="I342" s="899"/>
      <c r="J342" s="899"/>
      <c r="K342" s="899"/>
      <c r="L342" s="899"/>
      <c r="M342" s="899"/>
      <c r="N342" s="899"/>
      <c r="O342" s="899"/>
      <c r="P342" s="899"/>
      <c r="Q342" s="899"/>
      <c r="R342" s="899"/>
      <c r="S342" s="899"/>
      <c r="T342" s="899"/>
      <c r="U342" s="899"/>
      <c r="V342" s="899"/>
      <c r="W342" s="899"/>
      <c r="X342" s="899"/>
      <c r="Y342" s="899"/>
      <c r="Z342" s="899"/>
      <c r="AA342" s="899"/>
      <c r="AB342" s="899"/>
      <c r="AC342" s="899"/>
      <c r="AD342" s="899"/>
      <c r="AE342" s="899"/>
      <c r="AF342" s="899"/>
      <c r="AG342" s="899"/>
      <c r="AH342" s="899"/>
      <c r="AI342" s="899"/>
      <c r="AJ342" s="899"/>
      <c r="AK342" s="899"/>
      <c r="AL342" s="899"/>
      <c r="AM342" s="899"/>
      <c r="AN342" s="899"/>
      <c r="AO342" s="899"/>
    </row>
    <row r="343">
      <c r="G343" s="899"/>
      <c r="H343" s="899"/>
      <c r="I343" s="899"/>
      <c r="J343" s="899"/>
      <c r="K343" s="899"/>
      <c r="L343" s="899"/>
      <c r="M343" s="899"/>
      <c r="N343" s="899"/>
      <c r="O343" s="899"/>
      <c r="P343" s="899"/>
      <c r="Q343" s="899"/>
      <c r="R343" s="899"/>
      <c r="S343" s="899"/>
      <c r="T343" s="899"/>
      <c r="U343" s="899"/>
      <c r="V343" s="899"/>
      <c r="W343" s="899"/>
      <c r="X343" s="899"/>
      <c r="Y343" s="899"/>
      <c r="Z343" s="899"/>
      <c r="AA343" s="899"/>
      <c r="AB343" s="899"/>
      <c r="AC343" s="899"/>
      <c r="AD343" s="899"/>
      <c r="AE343" s="899"/>
      <c r="AF343" s="899"/>
      <c r="AG343" s="899"/>
      <c r="AH343" s="899"/>
      <c r="AI343" s="899"/>
      <c r="AJ343" s="899"/>
      <c r="AK343" s="899"/>
      <c r="AL343" s="899"/>
      <c r="AM343" s="899"/>
      <c r="AN343" s="899"/>
      <c r="AO343" s="899"/>
    </row>
    <row r="344">
      <c r="G344" s="899"/>
      <c r="H344" s="899"/>
      <c r="I344" s="899"/>
      <c r="J344" s="899"/>
      <c r="K344" s="899"/>
      <c r="L344" s="899"/>
      <c r="M344" s="899"/>
      <c r="N344" s="899"/>
      <c r="O344" s="899"/>
      <c r="P344" s="899"/>
      <c r="Q344" s="899"/>
      <c r="R344" s="899"/>
      <c r="S344" s="899"/>
      <c r="T344" s="899"/>
      <c r="U344" s="899"/>
      <c r="V344" s="899"/>
      <c r="W344" s="899"/>
      <c r="X344" s="899"/>
      <c r="Y344" s="899"/>
      <c r="Z344" s="899"/>
      <c r="AA344" s="899"/>
      <c r="AB344" s="899"/>
      <c r="AC344" s="899"/>
      <c r="AD344" s="899"/>
      <c r="AE344" s="899"/>
      <c r="AF344" s="899"/>
      <c r="AG344" s="899"/>
      <c r="AH344" s="899"/>
      <c r="AI344" s="899"/>
      <c r="AJ344" s="899"/>
      <c r="AK344" s="899"/>
      <c r="AL344" s="899"/>
      <c r="AM344" s="899"/>
      <c r="AN344" s="899"/>
      <c r="AO344" s="899"/>
    </row>
    <row r="345">
      <c r="G345" s="899"/>
      <c r="H345" s="899"/>
      <c r="I345" s="899"/>
      <c r="J345" s="899"/>
      <c r="K345" s="899"/>
      <c r="L345" s="899"/>
      <c r="M345" s="899"/>
      <c r="N345" s="899"/>
      <c r="O345" s="899"/>
      <c r="P345" s="899"/>
      <c r="Q345" s="899"/>
      <c r="R345" s="899"/>
      <c r="S345" s="899"/>
      <c r="T345" s="899"/>
      <c r="U345" s="899"/>
      <c r="V345" s="899"/>
      <c r="W345" s="899"/>
      <c r="X345" s="899"/>
      <c r="Y345" s="899"/>
      <c r="Z345" s="899"/>
      <c r="AA345" s="899"/>
      <c r="AB345" s="899"/>
      <c r="AC345" s="899"/>
      <c r="AD345" s="899"/>
      <c r="AE345" s="899"/>
      <c r="AF345" s="899"/>
      <c r="AG345" s="899"/>
      <c r="AH345" s="899"/>
      <c r="AI345" s="899"/>
      <c r="AJ345" s="899"/>
      <c r="AK345" s="899"/>
      <c r="AL345" s="899"/>
      <c r="AM345" s="899"/>
      <c r="AN345" s="899"/>
      <c r="AO345" s="899"/>
    </row>
    <row r="346">
      <c r="G346" s="899"/>
      <c r="H346" s="899"/>
      <c r="I346" s="899"/>
      <c r="J346" s="899"/>
      <c r="K346" s="899"/>
      <c r="L346" s="899"/>
      <c r="M346" s="899"/>
      <c r="N346" s="899"/>
      <c r="O346" s="899"/>
      <c r="P346" s="899"/>
      <c r="Q346" s="899"/>
      <c r="R346" s="899"/>
      <c r="S346" s="899"/>
      <c r="T346" s="899"/>
      <c r="U346" s="899"/>
      <c r="V346" s="899"/>
      <c r="W346" s="899"/>
      <c r="X346" s="899"/>
      <c r="Y346" s="899"/>
      <c r="Z346" s="899"/>
      <c r="AA346" s="899"/>
      <c r="AB346" s="899"/>
      <c r="AC346" s="899"/>
      <c r="AD346" s="899"/>
      <c r="AE346" s="899"/>
      <c r="AF346" s="899"/>
      <c r="AG346" s="899"/>
      <c r="AH346" s="899"/>
      <c r="AI346" s="899"/>
      <c r="AJ346" s="899"/>
      <c r="AK346" s="899"/>
      <c r="AL346" s="899"/>
      <c r="AM346" s="899"/>
      <c r="AN346" s="899"/>
      <c r="AO346" s="899"/>
    </row>
    <row r="347">
      <c r="G347" s="899"/>
      <c r="H347" s="899"/>
      <c r="I347" s="899"/>
      <c r="J347" s="899"/>
      <c r="K347" s="899"/>
      <c r="L347" s="899"/>
      <c r="M347" s="899"/>
      <c r="N347" s="899"/>
      <c r="O347" s="899"/>
      <c r="P347" s="899"/>
      <c r="Q347" s="899"/>
      <c r="R347" s="899"/>
      <c r="S347" s="899"/>
      <c r="T347" s="899"/>
      <c r="U347" s="899"/>
      <c r="V347" s="899"/>
      <c r="W347" s="899"/>
      <c r="X347" s="899"/>
      <c r="Y347" s="899"/>
      <c r="Z347" s="899"/>
      <c r="AA347" s="899"/>
      <c r="AB347" s="899"/>
      <c r="AC347" s="899"/>
      <c r="AD347" s="899"/>
      <c r="AE347" s="899"/>
      <c r="AF347" s="899"/>
      <c r="AG347" s="899"/>
      <c r="AH347" s="899"/>
      <c r="AI347" s="899"/>
      <c r="AJ347" s="899"/>
      <c r="AK347" s="899"/>
      <c r="AL347" s="899"/>
      <c r="AM347" s="899"/>
      <c r="AN347" s="899"/>
      <c r="AO347" s="899"/>
    </row>
    <row r="348">
      <c r="G348" s="899"/>
      <c r="H348" s="899"/>
      <c r="I348" s="899"/>
      <c r="J348" s="899"/>
      <c r="K348" s="899"/>
      <c r="L348" s="899"/>
      <c r="M348" s="899"/>
      <c r="N348" s="899"/>
      <c r="O348" s="899"/>
      <c r="P348" s="899"/>
      <c r="Q348" s="899"/>
      <c r="R348" s="899"/>
      <c r="S348" s="899"/>
      <c r="T348" s="899"/>
      <c r="U348" s="899"/>
      <c r="V348" s="899"/>
      <c r="W348" s="899"/>
      <c r="X348" s="899"/>
      <c r="Y348" s="899"/>
      <c r="Z348" s="899"/>
      <c r="AA348" s="899"/>
      <c r="AB348" s="899"/>
      <c r="AC348" s="899"/>
      <c r="AD348" s="899"/>
      <c r="AE348" s="899"/>
      <c r="AF348" s="899"/>
      <c r="AG348" s="899"/>
      <c r="AH348" s="899"/>
      <c r="AI348" s="899"/>
      <c r="AJ348" s="899"/>
      <c r="AK348" s="899"/>
      <c r="AL348" s="899"/>
      <c r="AM348" s="899"/>
      <c r="AN348" s="899"/>
      <c r="AO348" s="899"/>
    </row>
    <row r="349">
      <c r="G349" s="899"/>
      <c r="H349" s="899"/>
      <c r="I349" s="899"/>
      <c r="J349" s="899"/>
      <c r="K349" s="899"/>
      <c r="L349" s="899"/>
      <c r="M349" s="899"/>
      <c r="N349" s="899"/>
      <c r="O349" s="899"/>
      <c r="P349" s="899"/>
      <c r="Q349" s="899"/>
      <c r="R349" s="899"/>
      <c r="S349" s="899"/>
      <c r="T349" s="899"/>
      <c r="U349" s="899"/>
      <c r="V349" s="899"/>
      <c r="W349" s="899"/>
      <c r="X349" s="899"/>
      <c r="Y349" s="899"/>
      <c r="Z349" s="899"/>
      <c r="AA349" s="899"/>
      <c r="AB349" s="899"/>
      <c r="AC349" s="899"/>
      <c r="AD349" s="899"/>
      <c r="AE349" s="899"/>
      <c r="AF349" s="899"/>
      <c r="AG349" s="899"/>
      <c r="AH349" s="899"/>
      <c r="AI349" s="899"/>
      <c r="AJ349" s="899"/>
      <c r="AK349" s="899"/>
      <c r="AL349" s="899"/>
      <c r="AM349" s="899"/>
      <c r="AN349" s="899"/>
      <c r="AO349" s="899"/>
    </row>
    <row r="350">
      <c r="G350" s="899"/>
      <c r="H350" s="899"/>
      <c r="I350" s="899"/>
      <c r="J350" s="899"/>
      <c r="K350" s="899"/>
      <c r="L350" s="899"/>
      <c r="M350" s="899"/>
      <c r="N350" s="899"/>
      <c r="O350" s="899"/>
      <c r="P350" s="899"/>
      <c r="Q350" s="899"/>
      <c r="R350" s="899"/>
      <c r="S350" s="899"/>
      <c r="T350" s="899"/>
      <c r="U350" s="899"/>
      <c r="V350" s="899"/>
      <c r="W350" s="899"/>
      <c r="X350" s="899"/>
      <c r="Y350" s="899"/>
      <c r="Z350" s="899"/>
      <c r="AA350" s="899"/>
      <c r="AB350" s="899"/>
      <c r="AC350" s="899"/>
      <c r="AD350" s="899"/>
      <c r="AE350" s="899"/>
      <c r="AF350" s="899"/>
      <c r="AG350" s="899"/>
      <c r="AH350" s="899"/>
      <c r="AI350" s="899"/>
      <c r="AJ350" s="899"/>
      <c r="AK350" s="899"/>
      <c r="AL350" s="899"/>
      <c r="AM350" s="899"/>
      <c r="AN350" s="899"/>
      <c r="AO350" s="899"/>
    </row>
    <row r="351">
      <c r="G351" s="899"/>
      <c r="H351" s="899"/>
      <c r="I351" s="899"/>
      <c r="J351" s="899"/>
      <c r="K351" s="899"/>
      <c r="L351" s="899"/>
      <c r="M351" s="899"/>
      <c r="N351" s="899"/>
      <c r="O351" s="899"/>
      <c r="P351" s="899"/>
      <c r="Q351" s="899"/>
      <c r="R351" s="899"/>
      <c r="S351" s="899"/>
      <c r="T351" s="899"/>
      <c r="U351" s="899"/>
      <c r="V351" s="899"/>
      <c r="W351" s="899"/>
      <c r="X351" s="899"/>
      <c r="Y351" s="899"/>
      <c r="Z351" s="899"/>
      <c r="AA351" s="899"/>
      <c r="AB351" s="899"/>
      <c r="AC351" s="899"/>
      <c r="AD351" s="899"/>
      <c r="AE351" s="899"/>
      <c r="AF351" s="899"/>
      <c r="AG351" s="899"/>
      <c r="AH351" s="899"/>
      <c r="AI351" s="899"/>
      <c r="AJ351" s="899"/>
      <c r="AK351" s="899"/>
      <c r="AL351" s="899"/>
      <c r="AM351" s="899"/>
      <c r="AN351" s="899"/>
      <c r="AO351" s="899"/>
    </row>
    <row r="352">
      <c r="G352" s="899"/>
      <c r="H352" s="899"/>
      <c r="I352" s="899"/>
      <c r="J352" s="899"/>
      <c r="K352" s="899"/>
      <c r="L352" s="899"/>
      <c r="M352" s="899"/>
      <c r="N352" s="899"/>
      <c r="O352" s="899"/>
      <c r="P352" s="899"/>
      <c r="Q352" s="899"/>
      <c r="R352" s="899"/>
      <c r="S352" s="899"/>
      <c r="T352" s="899"/>
      <c r="U352" s="899"/>
      <c r="V352" s="899"/>
      <c r="W352" s="899"/>
      <c r="X352" s="899"/>
      <c r="Y352" s="899"/>
      <c r="Z352" s="899"/>
      <c r="AA352" s="899"/>
      <c r="AB352" s="899"/>
      <c r="AC352" s="899"/>
      <c r="AD352" s="899"/>
      <c r="AE352" s="899"/>
      <c r="AF352" s="899"/>
      <c r="AG352" s="899"/>
      <c r="AH352" s="899"/>
      <c r="AI352" s="899"/>
      <c r="AJ352" s="899"/>
      <c r="AK352" s="899"/>
      <c r="AL352" s="899"/>
      <c r="AM352" s="899"/>
      <c r="AN352" s="899"/>
      <c r="AO352" s="899"/>
    </row>
    <row r="353">
      <c r="G353" s="899"/>
      <c r="H353" s="899"/>
      <c r="I353" s="899"/>
      <c r="J353" s="899"/>
      <c r="K353" s="899"/>
      <c r="L353" s="899"/>
      <c r="M353" s="899"/>
      <c r="N353" s="899"/>
      <c r="O353" s="899"/>
      <c r="P353" s="899"/>
      <c r="Q353" s="899"/>
      <c r="R353" s="899"/>
      <c r="S353" s="899"/>
      <c r="T353" s="899"/>
      <c r="U353" s="899"/>
      <c r="V353" s="899"/>
      <c r="W353" s="899"/>
      <c r="X353" s="899"/>
      <c r="Y353" s="899"/>
      <c r="Z353" s="899"/>
      <c r="AA353" s="899"/>
      <c r="AB353" s="899"/>
      <c r="AC353" s="899"/>
      <c r="AD353" s="899"/>
      <c r="AE353" s="899"/>
      <c r="AF353" s="899"/>
      <c r="AG353" s="899"/>
      <c r="AH353" s="899"/>
      <c r="AI353" s="899"/>
      <c r="AJ353" s="899"/>
      <c r="AK353" s="899"/>
      <c r="AL353" s="899"/>
      <c r="AM353" s="899"/>
      <c r="AN353" s="899"/>
      <c r="AO353" s="899"/>
    </row>
    <row r="354">
      <c r="G354" s="899"/>
      <c r="H354" s="899"/>
      <c r="I354" s="899"/>
      <c r="J354" s="899"/>
      <c r="K354" s="899"/>
      <c r="L354" s="899"/>
      <c r="M354" s="899"/>
      <c r="N354" s="899"/>
      <c r="O354" s="899"/>
      <c r="P354" s="899"/>
      <c r="Q354" s="899"/>
      <c r="R354" s="899"/>
      <c r="S354" s="899"/>
      <c r="T354" s="899"/>
      <c r="U354" s="899"/>
      <c r="V354" s="899"/>
      <c r="W354" s="899"/>
      <c r="X354" s="899"/>
      <c r="Y354" s="899"/>
      <c r="Z354" s="899"/>
      <c r="AA354" s="899"/>
      <c r="AB354" s="899"/>
      <c r="AC354" s="899"/>
      <c r="AD354" s="899"/>
      <c r="AE354" s="899"/>
      <c r="AF354" s="899"/>
      <c r="AG354" s="899"/>
      <c r="AH354" s="899"/>
      <c r="AI354" s="899"/>
      <c r="AJ354" s="899"/>
      <c r="AK354" s="899"/>
      <c r="AL354" s="899"/>
      <c r="AM354" s="899"/>
      <c r="AN354" s="899"/>
      <c r="AO354" s="899"/>
    </row>
    <row r="355">
      <c r="G355" s="899"/>
      <c r="H355" s="899"/>
      <c r="I355" s="899"/>
      <c r="J355" s="899"/>
      <c r="K355" s="899"/>
      <c r="L355" s="899"/>
      <c r="M355" s="899"/>
      <c r="N355" s="899"/>
      <c r="O355" s="899"/>
      <c r="P355" s="899"/>
      <c r="Q355" s="899"/>
      <c r="R355" s="899"/>
      <c r="S355" s="899"/>
      <c r="T355" s="899"/>
      <c r="U355" s="899"/>
      <c r="V355" s="899"/>
      <c r="W355" s="899"/>
      <c r="X355" s="899"/>
      <c r="Y355" s="899"/>
      <c r="Z355" s="899"/>
      <c r="AA355" s="899"/>
      <c r="AB355" s="899"/>
      <c r="AC355" s="899"/>
      <c r="AD355" s="899"/>
      <c r="AE355" s="899"/>
      <c r="AF355" s="899"/>
      <c r="AG355" s="899"/>
      <c r="AH355" s="899"/>
      <c r="AI355" s="899"/>
      <c r="AJ355" s="899"/>
      <c r="AK355" s="899"/>
      <c r="AL355" s="899"/>
      <c r="AM355" s="899"/>
      <c r="AN355" s="899"/>
      <c r="AO355" s="899"/>
    </row>
    <row r="356">
      <c r="G356" s="899"/>
      <c r="H356" s="899"/>
      <c r="I356" s="899"/>
      <c r="J356" s="899"/>
      <c r="K356" s="899"/>
      <c r="L356" s="899"/>
      <c r="M356" s="899"/>
      <c r="N356" s="899"/>
      <c r="O356" s="899"/>
      <c r="P356" s="899"/>
      <c r="Q356" s="899"/>
      <c r="R356" s="899"/>
      <c r="S356" s="899"/>
      <c r="T356" s="899"/>
      <c r="U356" s="899"/>
      <c r="V356" s="899"/>
      <c r="W356" s="899"/>
      <c r="X356" s="899"/>
      <c r="Y356" s="899"/>
      <c r="Z356" s="899"/>
      <c r="AA356" s="899"/>
      <c r="AB356" s="899"/>
      <c r="AC356" s="899"/>
      <c r="AD356" s="899"/>
      <c r="AE356" s="899"/>
      <c r="AF356" s="899"/>
      <c r="AG356" s="899"/>
      <c r="AH356" s="899"/>
      <c r="AI356" s="899"/>
      <c r="AJ356" s="899"/>
      <c r="AK356" s="899"/>
      <c r="AL356" s="899"/>
      <c r="AM356" s="899"/>
      <c r="AN356" s="899"/>
      <c r="AO356" s="899"/>
    </row>
    <row r="357">
      <c r="G357" s="899"/>
      <c r="H357" s="899"/>
      <c r="I357" s="899"/>
      <c r="J357" s="899"/>
      <c r="K357" s="899"/>
      <c r="L357" s="899"/>
      <c r="M357" s="899"/>
      <c r="N357" s="899"/>
      <c r="O357" s="899"/>
      <c r="P357" s="899"/>
      <c r="Q357" s="899"/>
      <c r="R357" s="899"/>
      <c r="S357" s="899"/>
      <c r="T357" s="899"/>
      <c r="U357" s="899"/>
      <c r="V357" s="899"/>
      <c r="W357" s="899"/>
      <c r="X357" s="899"/>
      <c r="Y357" s="899"/>
      <c r="Z357" s="899"/>
      <c r="AA357" s="899"/>
      <c r="AB357" s="899"/>
      <c r="AC357" s="899"/>
      <c r="AD357" s="899"/>
      <c r="AE357" s="899"/>
      <c r="AF357" s="899"/>
      <c r="AG357" s="899"/>
      <c r="AH357" s="899"/>
      <c r="AI357" s="899"/>
      <c r="AJ357" s="899"/>
      <c r="AK357" s="899"/>
      <c r="AL357" s="899"/>
      <c r="AM357" s="899"/>
      <c r="AN357" s="899"/>
      <c r="AO357" s="899"/>
    </row>
    <row r="358">
      <c r="G358" s="899"/>
      <c r="H358" s="899"/>
      <c r="I358" s="899"/>
      <c r="J358" s="899"/>
      <c r="K358" s="899"/>
      <c r="L358" s="899"/>
      <c r="M358" s="899"/>
      <c r="N358" s="899"/>
      <c r="O358" s="899"/>
      <c r="P358" s="899"/>
      <c r="Q358" s="899"/>
      <c r="R358" s="899"/>
      <c r="S358" s="899"/>
      <c r="T358" s="899"/>
      <c r="U358" s="899"/>
      <c r="V358" s="899"/>
      <c r="W358" s="899"/>
      <c r="X358" s="899"/>
      <c r="Y358" s="899"/>
      <c r="Z358" s="899"/>
      <c r="AA358" s="899"/>
      <c r="AB358" s="899"/>
      <c r="AC358" s="899"/>
      <c r="AD358" s="899"/>
      <c r="AE358" s="899"/>
      <c r="AF358" s="899"/>
      <c r="AG358" s="899"/>
      <c r="AH358" s="899"/>
      <c r="AI358" s="899"/>
      <c r="AJ358" s="899"/>
      <c r="AK358" s="899"/>
      <c r="AL358" s="899"/>
      <c r="AM358" s="899"/>
      <c r="AN358" s="899"/>
      <c r="AO358" s="899"/>
    </row>
    <row r="359">
      <c r="G359" s="899"/>
      <c r="H359" s="899"/>
      <c r="I359" s="899"/>
      <c r="J359" s="899"/>
      <c r="K359" s="899"/>
      <c r="L359" s="899"/>
      <c r="M359" s="899"/>
      <c r="N359" s="899"/>
      <c r="O359" s="899"/>
      <c r="P359" s="899"/>
      <c r="Q359" s="899"/>
      <c r="R359" s="899"/>
      <c r="S359" s="899"/>
      <c r="T359" s="899"/>
      <c r="U359" s="899"/>
      <c r="V359" s="899"/>
      <c r="W359" s="899"/>
      <c r="X359" s="899"/>
      <c r="Y359" s="899"/>
      <c r="Z359" s="899"/>
      <c r="AA359" s="899"/>
      <c r="AB359" s="899"/>
      <c r="AC359" s="899"/>
      <c r="AD359" s="899"/>
      <c r="AE359" s="899"/>
      <c r="AF359" s="899"/>
      <c r="AG359" s="899"/>
      <c r="AH359" s="899"/>
      <c r="AI359" s="899"/>
      <c r="AJ359" s="899"/>
      <c r="AK359" s="899"/>
      <c r="AL359" s="899"/>
      <c r="AM359" s="899"/>
      <c r="AN359" s="899"/>
      <c r="AO359" s="899"/>
    </row>
    <row r="360">
      <c r="G360" s="899"/>
      <c r="H360" s="899"/>
      <c r="I360" s="899"/>
      <c r="J360" s="899"/>
      <c r="K360" s="899"/>
      <c r="L360" s="899"/>
      <c r="M360" s="899"/>
      <c r="N360" s="899"/>
      <c r="O360" s="899"/>
      <c r="P360" s="899"/>
      <c r="Q360" s="899"/>
      <c r="R360" s="899"/>
      <c r="S360" s="899"/>
      <c r="T360" s="899"/>
      <c r="U360" s="899"/>
      <c r="V360" s="899"/>
      <c r="W360" s="899"/>
      <c r="X360" s="899"/>
      <c r="Y360" s="899"/>
      <c r="Z360" s="899"/>
      <c r="AA360" s="899"/>
      <c r="AB360" s="899"/>
      <c r="AC360" s="899"/>
      <c r="AD360" s="899"/>
      <c r="AE360" s="899"/>
      <c r="AF360" s="899"/>
      <c r="AG360" s="899"/>
      <c r="AH360" s="899"/>
      <c r="AI360" s="899"/>
      <c r="AJ360" s="899"/>
      <c r="AK360" s="899"/>
      <c r="AL360" s="899"/>
      <c r="AM360" s="899"/>
      <c r="AN360" s="899"/>
      <c r="AO360" s="899"/>
    </row>
    <row r="361">
      <c r="G361" s="899"/>
      <c r="H361" s="899"/>
      <c r="I361" s="899"/>
      <c r="J361" s="899"/>
      <c r="K361" s="899"/>
      <c r="L361" s="899"/>
      <c r="M361" s="899"/>
      <c r="N361" s="899"/>
      <c r="O361" s="899"/>
      <c r="P361" s="899"/>
      <c r="Q361" s="899"/>
      <c r="R361" s="899"/>
      <c r="S361" s="899"/>
      <c r="T361" s="899"/>
      <c r="U361" s="899"/>
      <c r="V361" s="899"/>
      <c r="W361" s="899"/>
      <c r="X361" s="899"/>
      <c r="Y361" s="899"/>
      <c r="Z361" s="899"/>
      <c r="AA361" s="899"/>
      <c r="AB361" s="899"/>
      <c r="AC361" s="899"/>
      <c r="AD361" s="899"/>
      <c r="AE361" s="899"/>
      <c r="AF361" s="899"/>
      <c r="AG361" s="899"/>
      <c r="AH361" s="899"/>
      <c r="AI361" s="899"/>
      <c r="AJ361" s="899"/>
      <c r="AK361" s="899"/>
      <c r="AL361" s="899"/>
      <c r="AM361" s="899"/>
      <c r="AN361" s="899"/>
      <c r="AO361" s="899"/>
    </row>
    <row r="362">
      <c r="G362" s="899"/>
      <c r="H362" s="899"/>
      <c r="I362" s="899"/>
      <c r="J362" s="899"/>
      <c r="K362" s="899"/>
      <c r="L362" s="899"/>
      <c r="M362" s="899"/>
      <c r="N362" s="899"/>
      <c r="O362" s="899"/>
      <c r="P362" s="899"/>
      <c r="Q362" s="899"/>
      <c r="R362" s="899"/>
      <c r="S362" s="899"/>
      <c r="T362" s="899"/>
      <c r="U362" s="899"/>
      <c r="V362" s="899"/>
      <c r="W362" s="899"/>
      <c r="X362" s="899"/>
      <c r="Y362" s="899"/>
      <c r="Z362" s="899"/>
      <c r="AA362" s="899"/>
      <c r="AB362" s="899"/>
      <c r="AC362" s="899"/>
      <c r="AD362" s="899"/>
      <c r="AE362" s="899"/>
      <c r="AF362" s="899"/>
      <c r="AG362" s="899"/>
      <c r="AH362" s="899"/>
      <c r="AI362" s="899"/>
      <c r="AJ362" s="899"/>
      <c r="AK362" s="899"/>
      <c r="AL362" s="899"/>
      <c r="AM362" s="899"/>
      <c r="AN362" s="899"/>
      <c r="AO362" s="899"/>
    </row>
    <row r="363">
      <c r="G363" s="899"/>
      <c r="H363" s="899"/>
      <c r="I363" s="899"/>
      <c r="J363" s="899"/>
      <c r="K363" s="899"/>
      <c r="L363" s="899"/>
      <c r="M363" s="899"/>
      <c r="N363" s="899"/>
      <c r="O363" s="899"/>
      <c r="P363" s="899"/>
      <c r="Q363" s="899"/>
      <c r="R363" s="899"/>
      <c r="S363" s="899"/>
      <c r="T363" s="899"/>
      <c r="U363" s="899"/>
      <c r="V363" s="899"/>
      <c r="W363" s="899"/>
      <c r="X363" s="899"/>
      <c r="Y363" s="899"/>
      <c r="Z363" s="899"/>
      <c r="AA363" s="899"/>
      <c r="AB363" s="899"/>
      <c r="AC363" s="899"/>
      <c r="AD363" s="899"/>
      <c r="AE363" s="899"/>
      <c r="AF363" s="899"/>
      <c r="AG363" s="899"/>
      <c r="AH363" s="899"/>
      <c r="AI363" s="899"/>
      <c r="AJ363" s="899"/>
      <c r="AK363" s="899"/>
      <c r="AL363" s="899"/>
      <c r="AM363" s="899"/>
      <c r="AN363" s="899"/>
      <c r="AO363" s="899"/>
    </row>
    <row r="364">
      <c r="G364" s="899"/>
      <c r="H364" s="899"/>
      <c r="I364" s="899"/>
      <c r="J364" s="899"/>
      <c r="K364" s="899"/>
      <c r="L364" s="899"/>
      <c r="M364" s="899"/>
      <c r="N364" s="899"/>
      <c r="O364" s="899"/>
      <c r="P364" s="899"/>
      <c r="Q364" s="899"/>
      <c r="R364" s="899"/>
      <c r="S364" s="899"/>
      <c r="T364" s="899"/>
      <c r="U364" s="899"/>
      <c r="V364" s="899"/>
      <c r="W364" s="899"/>
      <c r="X364" s="899"/>
      <c r="Y364" s="899"/>
      <c r="Z364" s="899"/>
      <c r="AA364" s="899"/>
      <c r="AB364" s="899"/>
      <c r="AC364" s="899"/>
      <c r="AD364" s="899"/>
      <c r="AE364" s="899"/>
      <c r="AF364" s="899"/>
      <c r="AG364" s="899"/>
      <c r="AH364" s="899"/>
      <c r="AI364" s="899"/>
      <c r="AJ364" s="899"/>
      <c r="AK364" s="899"/>
      <c r="AL364" s="899"/>
      <c r="AM364" s="899"/>
      <c r="AN364" s="899"/>
      <c r="AO364" s="899"/>
    </row>
    <row r="365">
      <c r="G365" s="899"/>
      <c r="H365" s="899"/>
      <c r="I365" s="899"/>
      <c r="J365" s="899"/>
      <c r="K365" s="899"/>
      <c r="L365" s="899"/>
      <c r="M365" s="899"/>
      <c r="N365" s="899"/>
      <c r="O365" s="899"/>
      <c r="P365" s="899"/>
      <c r="Q365" s="899"/>
      <c r="R365" s="899"/>
      <c r="S365" s="899"/>
      <c r="T365" s="899"/>
      <c r="U365" s="899"/>
      <c r="V365" s="899"/>
      <c r="W365" s="899"/>
      <c r="X365" s="899"/>
      <c r="Y365" s="899"/>
      <c r="Z365" s="899"/>
      <c r="AA365" s="899"/>
      <c r="AB365" s="899"/>
      <c r="AC365" s="899"/>
      <c r="AD365" s="899"/>
      <c r="AE365" s="899"/>
      <c r="AF365" s="899"/>
      <c r="AG365" s="899"/>
      <c r="AH365" s="899"/>
      <c r="AI365" s="899"/>
      <c r="AJ365" s="899"/>
      <c r="AK365" s="899"/>
      <c r="AL365" s="899"/>
      <c r="AM365" s="899"/>
      <c r="AN365" s="899"/>
      <c r="AO365" s="899"/>
    </row>
    <row r="366">
      <c r="G366" s="899"/>
      <c r="H366" s="899"/>
      <c r="I366" s="899"/>
      <c r="J366" s="899"/>
      <c r="K366" s="899"/>
      <c r="L366" s="899"/>
      <c r="M366" s="899"/>
      <c r="N366" s="899"/>
      <c r="O366" s="899"/>
      <c r="P366" s="899"/>
      <c r="Q366" s="899"/>
      <c r="R366" s="899"/>
      <c r="S366" s="899"/>
      <c r="T366" s="899"/>
      <c r="U366" s="899"/>
      <c r="V366" s="899"/>
      <c r="W366" s="899"/>
      <c r="X366" s="899"/>
      <c r="Y366" s="899"/>
      <c r="Z366" s="899"/>
      <c r="AA366" s="899"/>
      <c r="AB366" s="899"/>
      <c r="AC366" s="899"/>
      <c r="AD366" s="899"/>
      <c r="AE366" s="899"/>
      <c r="AF366" s="899"/>
      <c r="AG366" s="899"/>
      <c r="AH366" s="899"/>
      <c r="AI366" s="899"/>
      <c r="AJ366" s="899"/>
      <c r="AK366" s="899"/>
      <c r="AL366" s="899"/>
      <c r="AM366" s="899"/>
      <c r="AN366" s="899"/>
      <c r="AO366" s="899"/>
    </row>
    <row r="367">
      <c r="G367" s="899"/>
      <c r="H367" s="899"/>
      <c r="I367" s="899"/>
      <c r="J367" s="899"/>
      <c r="K367" s="899"/>
      <c r="L367" s="899"/>
      <c r="M367" s="899"/>
      <c r="N367" s="899"/>
      <c r="O367" s="899"/>
      <c r="P367" s="899"/>
      <c r="Q367" s="899"/>
      <c r="R367" s="899"/>
      <c r="S367" s="899"/>
      <c r="T367" s="899"/>
      <c r="U367" s="899"/>
      <c r="V367" s="899"/>
      <c r="W367" s="899"/>
      <c r="X367" s="899"/>
      <c r="Y367" s="899"/>
      <c r="Z367" s="899"/>
      <c r="AA367" s="899"/>
      <c r="AB367" s="899"/>
      <c r="AC367" s="899"/>
      <c r="AD367" s="899"/>
      <c r="AE367" s="899"/>
      <c r="AF367" s="899"/>
      <c r="AG367" s="899"/>
      <c r="AH367" s="899"/>
      <c r="AI367" s="899"/>
      <c r="AJ367" s="899"/>
      <c r="AK367" s="899"/>
      <c r="AL367" s="899"/>
      <c r="AM367" s="899"/>
      <c r="AN367" s="899"/>
      <c r="AO367" s="899"/>
    </row>
    <row r="368">
      <c r="G368" s="899"/>
      <c r="H368" s="899"/>
      <c r="I368" s="899"/>
      <c r="J368" s="899"/>
      <c r="K368" s="899"/>
      <c r="L368" s="899"/>
      <c r="M368" s="899"/>
      <c r="N368" s="899"/>
      <c r="O368" s="899"/>
      <c r="P368" s="899"/>
      <c r="Q368" s="899"/>
      <c r="R368" s="899"/>
      <c r="S368" s="899"/>
      <c r="T368" s="899"/>
      <c r="U368" s="899"/>
      <c r="V368" s="899"/>
      <c r="W368" s="899"/>
      <c r="X368" s="899"/>
      <c r="Y368" s="899"/>
      <c r="Z368" s="899"/>
      <c r="AA368" s="899"/>
      <c r="AB368" s="899"/>
      <c r="AC368" s="899"/>
      <c r="AD368" s="899"/>
      <c r="AE368" s="899"/>
      <c r="AF368" s="899"/>
      <c r="AG368" s="899"/>
      <c r="AH368" s="899"/>
      <c r="AI368" s="899"/>
      <c r="AJ368" s="899"/>
      <c r="AK368" s="899"/>
      <c r="AL368" s="899"/>
      <c r="AM368" s="899"/>
      <c r="AN368" s="899"/>
      <c r="AO368" s="899"/>
    </row>
    <row r="369">
      <c r="G369" s="899"/>
      <c r="H369" s="899"/>
      <c r="I369" s="899"/>
      <c r="J369" s="899"/>
      <c r="K369" s="899"/>
      <c r="L369" s="899"/>
      <c r="M369" s="899"/>
      <c r="N369" s="899"/>
      <c r="O369" s="899"/>
      <c r="P369" s="899"/>
      <c r="Q369" s="899"/>
      <c r="R369" s="899"/>
      <c r="S369" s="899"/>
      <c r="T369" s="899"/>
      <c r="U369" s="899"/>
      <c r="V369" s="899"/>
      <c r="W369" s="899"/>
      <c r="X369" s="899"/>
      <c r="Y369" s="899"/>
      <c r="Z369" s="899"/>
      <c r="AA369" s="899"/>
      <c r="AB369" s="899"/>
      <c r="AC369" s="899"/>
      <c r="AD369" s="899"/>
      <c r="AE369" s="899"/>
      <c r="AF369" s="899"/>
      <c r="AG369" s="899"/>
      <c r="AH369" s="899"/>
      <c r="AI369" s="899"/>
      <c r="AJ369" s="899"/>
      <c r="AK369" s="899"/>
      <c r="AL369" s="899"/>
      <c r="AM369" s="899"/>
      <c r="AN369" s="899"/>
      <c r="AO369" s="899"/>
    </row>
    <row r="370">
      <c r="G370" s="899"/>
      <c r="H370" s="899"/>
      <c r="I370" s="899"/>
      <c r="J370" s="899"/>
      <c r="K370" s="899"/>
      <c r="L370" s="899"/>
      <c r="M370" s="899"/>
      <c r="N370" s="899"/>
      <c r="O370" s="899"/>
      <c r="P370" s="899"/>
      <c r="Q370" s="899"/>
      <c r="R370" s="899"/>
      <c r="S370" s="899"/>
      <c r="T370" s="899"/>
      <c r="U370" s="899"/>
      <c r="V370" s="899"/>
      <c r="W370" s="899"/>
      <c r="X370" s="899"/>
      <c r="Y370" s="899"/>
      <c r="Z370" s="899"/>
      <c r="AA370" s="899"/>
      <c r="AB370" s="899"/>
      <c r="AC370" s="899"/>
      <c r="AD370" s="899"/>
      <c r="AE370" s="899"/>
      <c r="AF370" s="899"/>
      <c r="AG370" s="899"/>
      <c r="AH370" s="899"/>
      <c r="AI370" s="899"/>
      <c r="AJ370" s="899"/>
      <c r="AK370" s="899"/>
      <c r="AL370" s="899"/>
      <c r="AM370" s="899"/>
      <c r="AN370" s="899"/>
      <c r="AO370" s="899"/>
    </row>
    <row r="371">
      <c r="G371" s="899"/>
      <c r="H371" s="899"/>
      <c r="I371" s="899"/>
      <c r="J371" s="899"/>
      <c r="K371" s="899"/>
      <c r="L371" s="899"/>
      <c r="M371" s="899"/>
      <c r="N371" s="899"/>
      <c r="O371" s="899"/>
      <c r="P371" s="899"/>
      <c r="Q371" s="899"/>
      <c r="R371" s="899"/>
      <c r="S371" s="899"/>
      <c r="T371" s="899"/>
      <c r="U371" s="899"/>
      <c r="V371" s="899"/>
      <c r="W371" s="899"/>
      <c r="X371" s="899"/>
      <c r="Y371" s="899"/>
      <c r="Z371" s="899"/>
      <c r="AA371" s="899"/>
      <c r="AB371" s="899"/>
      <c r="AC371" s="899"/>
      <c r="AD371" s="899"/>
      <c r="AE371" s="899"/>
      <c r="AF371" s="899"/>
      <c r="AG371" s="899"/>
      <c r="AH371" s="899"/>
      <c r="AI371" s="899"/>
      <c r="AJ371" s="899"/>
      <c r="AK371" s="899"/>
      <c r="AL371" s="899"/>
      <c r="AM371" s="899"/>
      <c r="AN371" s="899"/>
      <c r="AO371" s="899"/>
    </row>
    <row r="372">
      <c r="G372" s="899"/>
      <c r="H372" s="899"/>
      <c r="I372" s="899"/>
      <c r="J372" s="899"/>
      <c r="K372" s="899"/>
      <c r="L372" s="899"/>
      <c r="M372" s="899"/>
      <c r="N372" s="899"/>
      <c r="O372" s="899"/>
      <c r="P372" s="899"/>
      <c r="Q372" s="899"/>
      <c r="R372" s="899"/>
      <c r="S372" s="899"/>
      <c r="T372" s="899"/>
      <c r="U372" s="899"/>
      <c r="V372" s="899"/>
      <c r="W372" s="899"/>
      <c r="X372" s="899"/>
      <c r="Y372" s="899"/>
      <c r="Z372" s="899"/>
      <c r="AA372" s="899"/>
      <c r="AB372" s="899"/>
      <c r="AC372" s="899"/>
      <c r="AD372" s="899"/>
      <c r="AE372" s="899"/>
      <c r="AF372" s="899"/>
      <c r="AG372" s="899"/>
      <c r="AH372" s="899"/>
      <c r="AI372" s="899"/>
      <c r="AJ372" s="899"/>
      <c r="AK372" s="899"/>
      <c r="AL372" s="899"/>
      <c r="AM372" s="899"/>
      <c r="AN372" s="899"/>
      <c r="AO372" s="899"/>
    </row>
    <row r="373">
      <c r="G373" s="899"/>
      <c r="H373" s="899"/>
      <c r="I373" s="899"/>
      <c r="J373" s="899"/>
      <c r="K373" s="899"/>
      <c r="L373" s="899"/>
      <c r="M373" s="899"/>
      <c r="N373" s="899"/>
      <c r="O373" s="899"/>
      <c r="P373" s="899"/>
      <c r="Q373" s="899"/>
      <c r="R373" s="899"/>
      <c r="S373" s="899"/>
      <c r="T373" s="899"/>
      <c r="U373" s="899"/>
      <c r="V373" s="899"/>
      <c r="W373" s="899"/>
      <c r="X373" s="899"/>
      <c r="Y373" s="899"/>
      <c r="Z373" s="899"/>
      <c r="AA373" s="899"/>
      <c r="AB373" s="899"/>
      <c r="AC373" s="899"/>
      <c r="AD373" s="899"/>
      <c r="AE373" s="899"/>
      <c r="AF373" s="899"/>
      <c r="AG373" s="899"/>
      <c r="AH373" s="899"/>
      <c r="AI373" s="899"/>
      <c r="AJ373" s="899"/>
      <c r="AK373" s="899"/>
      <c r="AL373" s="899"/>
      <c r="AM373" s="899"/>
      <c r="AN373" s="899"/>
      <c r="AO373" s="899"/>
    </row>
    <row r="374">
      <c r="G374" s="899"/>
      <c r="H374" s="899"/>
      <c r="I374" s="899"/>
      <c r="J374" s="899"/>
      <c r="K374" s="899"/>
      <c r="L374" s="899"/>
      <c r="M374" s="899"/>
      <c r="N374" s="899"/>
      <c r="O374" s="899"/>
      <c r="P374" s="899"/>
      <c r="Q374" s="899"/>
      <c r="R374" s="899"/>
      <c r="S374" s="899"/>
      <c r="T374" s="899"/>
      <c r="U374" s="899"/>
      <c r="V374" s="899"/>
      <c r="W374" s="899"/>
      <c r="X374" s="899"/>
      <c r="Y374" s="899"/>
      <c r="Z374" s="899"/>
      <c r="AA374" s="899"/>
      <c r="AB374" s="899"/>
      <c r="AC374" s="899"/>
      <c r="AD374" s="899"/>
      <c r="AE374" s="899"/>
      <c r="AF374" s="899"/>
      <c r="AG374" s="899"/>
      <c r="AH374" s="899"/>
      <c r="AI374" s="899"/>
      <c r="AJ374" s="899"/>
      <c r="AK374" s="899"/>
      <c r="AL374" s="899"/>
      <c r="AM374" s="899"/>
      <c r="AN374" s="899"/>
      <c r="AO374" s="899"/>
    </row>
    <row r="375">
      <c r="G375" s="899"/>
      <c r="H375" s="899"/>
      <c r="I375" s="899"/>
      <c r="J375" s="899"/>
      <c r="K375" s="899"/>
      <c r="L375" s="899"/>
      <c r="M375" s="899"/>
      <c r="N375" s="899"/>
      <c r="O375" s="899"/>
      <c r="P375" s="899"/>
      <c r="Q375" s="899"/>
      <c r="R375" s="899"/>
      <c r="S375" s="899"/>
      <c r="T375" s="899"/>
      <c r="U375" s="899"/>
      <c r="V375" s="899"/>
      <c r="W375" s="899"/>
      <c r="X375" s="899"/>
      <c r="Y375" s="899"/>
      <c r="Z375" s="899"/>
      <c r="AA375" s="899"/>
      <c r="AB375" s="899"/>
      <c r="AC375" s="899"/>
      <c r="AD375" s="899"/>
      <c r="AE375" s="899"/>
      <c r="AF375" s="899"/>
      <c r="AG375" s="899"/>
      <c r="AH375" s="899"/>
      <c r="AI375" s="899"/>
      <c r="AJ375" s="899"/>
      <c r="AK375" s="899"/>
      <c r="AL375" s="899"/>
      <c r="AM375" s="899"/>
      <c r="AN375" s="899"/>
      <c r="AO375" s="899"/>
    </row>
    <row r="376">
      <c r="G376" s="899"/>
      <c r="H376" s="899"/>
      <c r="I376" s="899"/>
      <c r="J376" s="899"/>
      <c r="K376" s="899"/>
      <c r="L376" s="899"/>
      <c r="M376" s="899"/>
      <c r="N376" s="899"/>
      <c r="O376" s="899"/>
      <c r="P376" s="899"/>
      <c r="Q376" s="899"/>
      <c r="R376" s="899"/>
      <c r="S376" s="899"/>
      <c r="T376" s="899"/>
      <c r="U376" s="899"/>
      <c r="V376" s="899"/>
      <c r="W376" s="899"/>
      <c r="X376" s="899"/>
      <c r="Y376" s="899"/>
      <c r="Z376" s="899"/>
      <c r="AA376" s="899"/>
      <c r="AB376" s="899"/>
      <c r="AC376" s="899"/>
      <c r="AD376" s="899"/>
      <c r="AE376" s="899"/>
      <c r="AF376" s="899"/>
      <c r="AG376" s="899"/>
      <c r="AH376" s="899"/>
      <c r="AI376" s="899"/>
      <c r="AJ376" s="899"/>
      <c r="AK376" s="899"/>
      <c r="AL376" s="899"/>
      <c r="AM376" s="899"/>
      <c r="AN376" s="899"/>
      <c r="AO376" s="899"/>
    </row>
    <row r="377">
      <c r="G377" s="899"/>
      <c r="H377" s="899"/>
      <c r="I377" s="899"/>
      <c r="J377" s="899"/>
      <c r="K377" s="899"/>
      <c r="L377" s="899"/>
      <c r="M377" s="899"/>
      <c r="N377" s="899"/>
      <c r="O377" s="899"/>
      <c r="P377" s="899"/>
      <c r="Q377" s="899"/>
      <c r="R377" s="899"/>
      <c r="S377" s="899"/>
      <c r="T377" s="899"/>
      <c r="U377" s="899"/>
      <c r="V377" s="899"/>
      <c r="W377" s="899"/>
      <c r="X377" s="899"/>
      <c r="Y377" s="899"/>
      <c r="Z377" s="899"/>
      <c r="AA377" s="899"/>
      <c r="AB377" s="899"/>
      <c r="AC377" s="899"/>
      <c r="AD377" s="899"/>
      <c r="AE377" s="899"/>
      <c r="AF377" s="899"/>
      <c r="AG377" s="899"/>
      <c r="AH377" s="899"/>
      <c r="AI377" s="899"/>
      <c r="AJ377" s="899"/>
      <c r="AK377" s="899"/>
      <c r="AL377" s="899"/>
      <c r="AM377" s="899"/>
      <c r="AN377" s="899"/>
      <c r="AO377" s="899"/>
    </row>
    <row r="378">
      <c r="G378" s="899"/>
      <c r="H378" s="899"/>
      <c r="I378" s="899"/>
      <c r="J378" s="899"/>
      <c r="K378" s="899"/>
      <c r="L378" s="899"/>
      <c r="M378" s="899"/>
      <c r="N378" s="899"/>
      <c r="O378" s="899"/>
      <c r="P378" s="899"/>
      <c r="Q378" s="899"/>
      <c r="R378" s="899"/>
      <c r="S378" s="899"/>
      <c r="T378" s="899"/>
      <c r="U378" s="899"/>
      <c r="V378" s="899"/>
      <c r="W378" s="899"/>
      <c r="X378" s="899"/>
      <c r="Y378" s="899"/>
      <c r="Z378" s="899"/>
      <c r="AA378" s="899"/>
      <c r="AB378" s="899"/>
      <c r="AC378" s="899"/>
      <c r="AD378" s="899"/>
      <c r="AE378" s="899"/>
      <c r="AF378" s="899"/>
      <c r="AG378" s="899"/>
      <c r="AH378" s="899"/>
      <c r="AI378" s="899"/>
      <c r="AJ378" s="899"/>
      <c r="AK378" s="899"/>
      <c r="AL378" s="899"/>
      <c r="AM378" s="899"/>
      <c r="AN378" s="899"/>
      <c r="AO378" s="899"/>
    </row>
    <row r="379">
      <c r="G379" s="899"/>
      <c r="H379" s="899"/>
      <c r="I379" s="899"/>
      <c r="J379" s="899"/>
      <c r="K379" s="899"/>
      <c r="L379" s="899"/>
      <c r="M379" s="899"/>
      <c r="N379" s="899"/>
      <c r="O379" s="899"/>
      <c r="P379" s="899"/>
      <c r="Q379" s="899"/>
      <c r="R379" s="899"/>
      <c r="S379" s="899"/>
      <c r="T379" s="899"/>
      <c r="U379" s="899"/>
      <c r="V379" s="899"/>
      <c r="W379" s="899"/>
      <c r="X379" s="899"/>
      <c r="Y379" s="899"/>
      <c r="Z379" s="899"/>
      <c r="AA379" s="899"/>
      <c r="AB379" s="899"/>
      <c r="AC379" s="899"/>
      <c r="AD379" s="899"/>
      <c r="AE379" s="899"/>
      <c r="AF379" s="899"/>
      <c r="AG379" s="899"/>
      <c r="AH379" s="899"/>
      <c r="AI379" s="899"/>
      <c r="AJ379" s="899"/>
      <c r="AK379" s="899"/>
      <c r="AL379" s="899"/>
      <c r="AM379" s="899"/>
      <c r="AN379" s="899"/>
      <c r="AO379" s="899"/>
    </row>
    <row r="380">
      <c r="G380" s="899"/>
      <c r="H380" s="899"/>
      <c r="I380" s="899"/>
      <c r="J380" s="899"/>
      <c r="K380" s="899"/>
      <c r="L380" s="899"/>
      <c r="M380" s="899"/>
      <c r="N380" s="899"/>
      <c r="O380" s="899"/>
      <c r="P380" s="899"/>
      <c r="Q380" s="899"/>
      <c r="R380" s="899"/>
      <c r="S380" s="899"/>
      <c r="T380" s="899"/>
      <c r="U380" s="899"/>
      <c r="V380" s="899"/>
      <c r="W380" s="899"/>
      <c r="X380" s="899"/>
      <c r="Y380" s="899"/>
      <c r="Z380" s="899"/>
      <c r="AA380" s="899"/>
      <c r="AB380" s="899"/>
      <c r="AC380" s="899"/>
      <c r="AD380" s="899"/>
      <c r="AE380" s="899"/>
      <c r="AF380" s="899"/>
      <c r="AG380" s="899"/>
      <c r="AH380" s="899"/>
      <c r="AI380" s="899"/>
      <c r="AJ380" s="899"/>
      <c r="AK380" s="899"/>
      <c r="AL380" s="899"/>
      <c r="AM380" s="899"/>
      <c r="AN380" s="899"/>
      <c r="AO380" s="899"/>
    </row>
    <row r="381">
      <c r="G381" s="899"/>
      <c r="H381" s="899"/>
      <c r="I381" s="899"/>
      <c r="J381" s="899"/>
      <c r="K381" s="899"/>
      <c r="L381" s="899"/>
      <c r="M381" s="899"/>
      <c r="N381" s="899"/>
      <c r="O381" s="899"/>
      <c r="P381" s="899"/>
      <c r="Q381" s="899"/>
      <c r="R381" s="899"/>
      <c r="S381" s="899"/>
      <c r="T381" s="899"/>
      <c r="U381" s="899"/>
      <c r="V381" s="899"/>
      <c r="W381" s="899"/>
      <c r="X381" s="899"/>
      <c r="Y381" s="899"/>
      <c r="Z381" s="899"/>
      <c r="AA381" s="899"/>
      <c r="AB381" s="899"/>
      <c r="AC381" s="899"/>
      <c r="AD381" s="899"/>
      <c r="AE381" s="899"/>
      <c r="AF381" s="899"/>
      <c r="AG381" s="899"/>
      <c r="AH381" s="899"/>
      <c r="AI381" s="899"/>
      <c r="AJ381" s="899"/>
      <c r="AK381" s="899"/>
      <c r="AL381" s="899"/>
      <c r="AM381" s="899"/>
      <c r="AN381" s="899"/>
      <c r="AO381" s="899"/>
    </row>
    <row r="382">
      <c r="G382" s="899"/>
      <c r="H382" s="899"/>
      <c r="I382" s="899"/>
      <c r="J382" s="899"/>
      <c r="K382" s="899"/>
      <c r="L382" s="899"/>
      <c r="M382" s="899"/>
      <c r="N382" s="899"/>
      <c r="O382" s="899"/>
      <c r="P382" s="899"/>
      <c r="Q382" s="899"/>
      <c r="R382" s="899"/>
      <c r="S382" s="899"/>
      <c r="T382" s="899"/>
      <c r="U382" s="899"/>
      <c r="V382" s="899"/>
      <c r="W382" s="899"/>
      <c r="X382" s="899"/>
      <c r="Y382" s="899"/>
      <c r="Z382" s="899"/>
      <c r="AA382" s="899"/>
      <c r="AB382" s="899"/>
      <c r="AC382" s="899"/>
      <c r="AD382" s="899"/>
      <c r="AE382" s="899"/>
      <c r="AF382" s="899"/>
      <c r="AG382" s="899"/>
      <c r="AH382" s="899"/>
      <c r="AI382" s="899"/>
      <c r="AJ382" s="899"/>
      <c r="AK382" s="899"/>
      <c r="AL382" s="899"/>
      <c r="AM382" s="899"/>
      <c r="AN382" s="899"/>
      <c r="AO382" s="899"/>
    </row>
    <row r="383">
      <c r="G383" s="899"/>
      <c r="H383" s="899"/>
      <c r="I383" s="899"/>
      <c r="J383" s="899"/>
      <c r="K383" s="899"/>
      <c r="L383" s="899"/>
      <c r="M383" s="899"/>
      <c r="N383" s="899"/>
      <c r="O383" s="899"/>
      <c r="P383" s="899"/>
      <c r="Q383" s="899"/>
      <c r="R383" s="899"/>
      <c r="S383" s="899"/>
      <c r="T383" s="899"/>
      <c r="U383" s="899"/>
      <c r="V383" s="899"/>
      <c r="W383" s="899"/>
      <c r="X383" s="899"/>
      <c r="Y383" s="899"/>
      <c r="Z383" s="899"/>
      <c r="AA383" s="899"/>
      <c r="AB383" s="899"/>
      <c r="AC383" s="899"/>
      <c r="AD383" s="899"/>
      <c r="AE383" s="899"/>
      <c r="AF383" s="899"/>
      <c r="AG383" s="899"/>
      <c r="AH383" s="899"/>
      <c r="AI383" s="899"/>
      <c r="AJ383" s="899"/>
      <c r="AK383" s="899"/>
      <c r="AL383" s="899"/>
      <c r="AM383" s="899"/>
      <c r="AN383" s="899"/>
      <c r="AO383" s="899"/>
    </row>
    <row r="384">
      <c r="G384" s="899"/>
      <c r="H384" s="899"/>
      <c r="I384" s="899"/>
      <c r="J384" s="899"/>
      <c r="K384" s="899"/>
      <c r="L384" s="899"/>
      <c r="M384" s="899"/>
      <c r="N384" s="899"/>
      <c r="O384" s="899"/>
      <c r="P384" s="899"/>
      <c r="Q384" s="899"/>
      <c r="R384" s="899"/>
      <c r="S384" s="899"/>
      <c r="T384" s="899"/>
      <c r="U384" s="899"/>
      <c r="V384" s="899"/>
      <c r="W384" s="899"/>
      <c r="X384" s="899"/>
      <c r="Y384" s="899"/>
      <c r="Z384" s="899"/>
      <c r="AA384" s="899"/>
      <c r="AB384" s="899"/>
      <c r="AC384" s="899"/>
      <c r="AD384" s="899"/>
      <c r="AE384" s="899"/>
      <c r="AF384" s="899"/>
      <c r="AG384" s="899"/>
      <c r="AH384" s="899"/>
      <c r="AI384" s="899"/>
      <c r="AJ384" s="899"/>
      <c r="AK384" s="899"/>
      <c r="AL384" s="899"/>
      <c r="AM384" s="899"/>
      <c r="AN384" s="899"/>
      <c r="AO384" s="899"/>
    </row>
    <row r="385">
      <c r="G385" s="899"/>
      <c r="H385" s="899"/>
      <c r="I385" s="899"/>
      <c r="J385" s="899"/>
      <c r="K385" s="899"/>
      <c r="L385" s="899"/>
      <c r="M385" s="899"/>
      <c r="N385" s="899"/>
      <c r="O385" s="899"/>
      <c r="P385" s="899"/>
      <c r="Q385" s="899"/>
      <c r="R385" s="899"/>
      <c r="S385" s="899"/>
      <c r="T385" s="899"/>
      <c r="U385" s="899"/>
      <c r="V385" s="899"/>
      <c r="W385" s="899"/>
      <c r="X385" s="899"/>
      <c r="Y385" s="899"/>
      <c r="Z385" s="899"/>
      <c r="AA385" s="899"/>
      <c r="AB385" s="899"/>
      <c r="AC385" s="899"/>
      <c r="AD385" s="899"/>
      <c r="AE385" s="899"/>
      <c r="AF385" s="899"/>
      <c r="AG385" s="899"/>
      <c r="AH385" s="899"/>
      <c r="AI385" s="899"/>
      <c r="AJ385" s="899"/>
      <c r="AK385" s="899"/>
      <c r="AL385" s="899"/>
      <c r="AM385" s="899"/>
      <c r="AN385" s="899"/>
      <c r="AO385" s="899"/>
    </row>
    <row r="386">
      <c r="G386" s="899"/>
      <c r="H386" s="899"/>
      <c r="I386" s="899"/>
      <c r="J386" s="899"/>
      <c r="K386" s="899"/>
      <c r="L386" s="899"/>
      <c r="M386" s="899"/>
      <c r="N386" s="899"/>
      <c r="O386" s="899"/>
      <c r="P386" s="899"/>
      <c r="Q386" s="899"/>
      <c r="R386" s="899"/>
      <c r="S386" s="899"/>
      <c r="T386" s="899"/>
      <c r="U386" s="899"/>
      <c r="V386" s="899"/>
      <c r="W386" s="899"/>
      <c r="X386" s="899"/>
      <c r="Y386" s="899"/>
      <c r="Z386" s="899"/>
      <c r="AA386" s="899"/>
      <c r="AB386" s="899"/>
      <c r="AC386" s="899"/>
      <c r="AD386" s="899"/>
      <c r="AE386" s="899"/>
      <c r="AF386" s="899"/>
      <c r="AG386" s="899"/>
      <c r="AH386" s="899"/>
      <c r="AI386" s="899"/>
      <c r="AJ386" s="899"/>
      <c r="AK386" s="899"/>
      <c r="AL386" s="899"/>
      <c r="AM386" s="899"/>
      <c r="AN386" s="899"/>
      <c r="AO386" s="899"/>
    </row>
    <row r="387">
      <c r="G387" s="899"/>
      <c r="H387" s="899"/>
      <c r="I387" s="899"/>
      <c r="J387" s="899"/>
      <c r="K387" s="899"/>
      <c r="L387" s="899"/>
      <c r="M387" s="899"/>
      <c r="N387" s="899"/>
      <c r="O387" s="899"/>
      <c r="P387" s="899"/>
      <c r="Q387" s="899"/>
      <c r="R387" s="899"/>
      <c r="S387" s="899"/>
      <c r="T387" s="899"/>
      <c r="U387" s="899"/>
      <c r="V387" s="899"/>
      <c r="W387" s="899"/>
      <c r="X387" s="899"/>
      <c r="Y387" s="899"/>
      <c r="Z387" s="899"/>
      <c r="AA387" s="899"/>
      <c r="AB387" s="899"/>
      <c r="AC387" s="899"/>
      <c r="AD387" s="899"/>
      <c r="AE387" s="899"/>
      <c r="AF387" s="899"/>
      <c r="AG387" s="899"/>
      <c r="AH387" s="899"/>
      <c r="AI387" s="899"/>
      <c r="AJ387" s="899"/>
      <c r="AK387" s="899"/>
      <c r="AL387" s="899"/>
      <c r="AM387" s="899"/>
      <c r="AN387" s="899"/>
      <c r="AO387" s="899"/>
    </row>
    <row r="388">
      <c r="G388" s="899"/>
      <c r="H388" s="899"/>
      <c r="I388" s="899"/>
      <c r="J388" s="899"/>
      <c r="K388" s="899"/>
      <c r="L388" s="899"/>
      <c r="M388" s="899"/>
      <c r="N388" s="899"/>
      <c r="O388" s="899"/>
      <c r="P388" s="899"/>
      <c r="Q388" s="899"/>
      <c r="R388" s="899"/>
      <c r="S388" s="899"/>
      <c r="T388" s="899"/>
      <c r="U388" s="899"/>
      <c r="V388" s="899"/>
      <c r="W388" s="899"/>
      <c r="X388" s="899"/>
      <c r="Y388" s="899"/>
      <c r="Z388" s="899"/>
      <c r="AA388" s="899"/>
      <c r="AB388" s="899"/>
      <c r="AC388" s="899"/>
      <c r="AD388" s="899"/>
      <c r="AE388" s="899"/>
      <c r="AF388" s="899"/>
      <c r="AG388" s="899"/>
      <c r="AH388" s="899"/>
      <c r="AI388" s="899"/>
      <c r="AJ388" s="899"/>
      <c r="AK388" s="899"/>
      <c r="AL388" s="899"/>
      <c r="AM388" s="899"/>
      <c r="AN388" s="899"/>
      <c r="AO388" s="899"/>
    </row>
    <row r="389">
      <c r="G389" s="899"/>
      <c r="H389" s="899"/>
      <c r="I389" s="899"/>
      <c r="J389" s="899"/>
      <c r="K389" s="899"/>
      <c r="L389" s="899"/>
      <c r="M389" s="899"/>
      <c r="N389" s="899"/>
      <c r="O389" s="899"/>
      <c r="P389" s="899"/>
      <c r="Q389" s="899"/>
      <c r="R389" s="899"/>
      <c r="S389" s="899"/>
      <c r="T389" s="899"/>
      <c r="U389" s="899"/>
      <c r="V389" s="899"/>
      <c r="W389" s="899"/>
      <c r="X389" s="899"/>
      <c r="Y389" s="899"/>
      <c r="Z389" s="899"/>
      <c r="AA389" s="899"/>
      <c r="AB389" s="899"/>
      <c r="AC389" s="899"/>
      <c r="AD389" s="899"/>
      <c r="AE389" s="899"/>
      <c r="AF389" s="899"/>
      <c r="AG389" s="899"/>
      <c r="AH389" s="899"/>
      <c r="AI389" s="899"/>
      <c r="AJ389" s="899"/>
      <c r="AK389" s="899"/>
      <c r="AL389" s="899"/>
      <c r="AM389" s="899"/>
      <c r="AN389" s="899"/>
      <c r="AO389" s="899"/>
    </row>
    <row r="390">
      <c r="G390" s="899"/>
      <c r="H390" s="899"/>
      <c r="I390" s="899"/>
      <c r="J390" s="899"/>
      <c r="K390" s="899"/>
      <c r="L390" s="899"/>
      <c r="M390" s="899"/>
      <c r="N390" s="899"/>
      <c r="O390" s="899"/>
      <c r="P390" s="899"/>
      <c r="Q390" s="899"/>
      <c r="R390" s="899"/>
      <c r="S390" s="899"/>
      <c r="T390" s="899"/>
      <c r="U390" s="899"/>
      <c r="V390" s="899"/>
      <c r="W390" s="899"/>
      <c r="X390" s="899"/>
      <c r="Y390" s="899"/>
      <c r="Z390" s="899"/>
      <c r="AA390" s="899"/>
      <c r="AB390" s="899"/>
      <c r="AC390" s="899"/>
      <c r="AD390" s="899"/>
      <c r="AE390" s="899"/>
      <c r="AF390" s="899"/>
      <c r="AG390" s="899"/>
      <c r="AH390" s="899"/>
      <c r="AI390" s="899"/>
      <c r="AJ390" s="899"/>
      <c r="AK390" s="899"/>
      <c r="AL390" s="899"/>
      <c r="AM390" s="899"/>
      <c r="AN390" s="899"/>
      <c r="AO390" s="899"/>
    </row>
    <row r="391">
      <c r="G391" s="899"/>
      <c r="H391" s="899"/>
      <c r="I391" s="899"/>
      <c r="J391" s="899"/>
      <c r="K391" s="899"/>
      <c r="L391" s="899"/>
      <c r="M391" s="899"/>
      <c r="N391" s="899"/>
      <c r="O391" s="899"/>
      <c r="P391" s="899"/>
      <c r="Q391" s="899"/>
      <c r="R391" s="899"/>
      <c r="S391" s="899"/>
      <c r="T391" s="899"/>
      <c r="U391" s="899"/>
      <c r="V391" s="899"/>
      <c r="W391" s="899"/>
      <c r="X391" s="899"/>
      <c r="Y391" s="899"/>
      <c r="Z391" s="899"/>
      <c r="AA391" s="899"/>
      <c r="AB391" s="899"/>
      <c r="AC391" s="899"/>
      <c r="AD391" s="899"/>
      <c r="AE391" s="899"/>
      <c r="AF391" s="899"/>
      <c r="AG391" s="899"/>
      <c r="AH391" s="899"/>
      <c r="AI391" s="899"/>
      <c r="AJ391" s="899"/>
      <c r="AK391" s="899"/>
      <c r="AL391" s="899"/>
      <c r="AM391" s="899"/>
      <c r="AN391" s="899"/>
      <c r="AO391" s="899"/>
    </row>
    <row r="392">
      <c r="G392" s="899"/>
      <c r="H392" s="899"/>
      <c r="I392" s="899"/>
      <c r="J392" s="899"/>
      <c r="K392" s="899"/>
      <c r="L392" s="899"/>
      <c r="M392" s="899"/>
      <c r="N392" s="899"/>
      <c r="O392" s="899"/>
      <c r="P392" s="899"/>
      <c r="Q392" s="899"/>
      <c r="R392" s="899"/>
      <c r="S392" s="899"/>
      <c r="T392" s="899"/>
      <c r="U392" s="899"/>
      <c r="V392" s="899"/>
      <c r="W392" s="899"/>
      <c r="X392" s="899"/>
      <c r="Y392" s="899"/>
      <c r="Z392" s="899"/>
      <c r="AA392" s="899"/>
      <c r="AB392" s="899"/>
      <c r="AC392" s="899"/>
      <c r="AD392" s="899"/>
      <c r="AE392" s="899"/>
      <c r="AF392" s="899"/>
      <c r="AG392" s="899"/>
      <c r="AH392" s="899"/>
      <c r="AI392" s="899"/>
      <c r="AJ392" s="899"/>
      <c r="AK392" s="899"/>
      <c r="AL392" s="899"/>
      <c r="AM392" s="899"/>
      <c r="AN392" s="899"/>
      <c r="AO392" s="899"/>
    </row>
    <row r="393">
      <c r="G393" s="899"/>
      <c r="H393" s="899"/>
      <c r="I393" s="899"/>
      <c r="J393" s="899"/>
      <c r="K393" s="899"/>
      <c r="L393" s="899"/>
      <c r="M393" s="899"/>
      <c r="N393" s="899"/>
      <c r="O393" s="899"/>
      <c r="P393" s="899"/>
      <c r="Q393" s="899"/>
      <c r="R393" s="899"/>
      <c r="S393" s="899"/>
      <c r="T393" s="899"/>
      <c r="U393" s="899"/>
      <c r="V393" s="899"/>
      <c r="W393" s="899"/>
      <c r="X393" s="899"/>
      <c r="Y393" s="899"/>
      <c r="Z393" s="899"/>
      <c r="AA393" s="899"/>
      <c r="AB393" s="899"/>
      <c r="AC393" s="899"/>
      <c r="AD393" s="899"/>
      <c r="AE393" s="899"/>
      <c r="AF393" s="899"/>
      <c r="AG393" s="899"/>
      <c r="AH393" s="899"/>
      <c r="AI393" s="899"/>
      <c r="AJ393" s="899"/>
      <c r="AK393" s="899"/>
      <c r="AL393" s="899"/>
      <c r="AM393" s="899"/>
      <c r="AN393" s="899"/>
      <c r="AO393" s="899"/>
    </row>
    <row r="394">
      <c r="G394" s="899"/>
      <c r="H394" s="899"/>
      <c r="I394" s="899"/>
      <c r="J394" s="899"/>
      <c r="K394" s="899"/>
      <c r="L394" s="899"/>
      <c r="M394" s="899"/>
      <c r="N394" s="899"/>
      <c r="O394" s="899"/>
      <c r="P394" s="899"/>
      <c r="Q394" s="899"/>
      <c r="R394" s="899"/>
      <c r="S394" s="899"/>
      <c r="T394" s="899"/>
      <c r="U394" s="899"/>
      <c r="V394" s="899"/>
      <c r="W394" s="899"/>
      <c r="X394" s="899"/>
      <c r="Y394" s="899"/>
      <c r="Z394" s="899"/>
      <c r="AA394" s="899"/>
      <c r="AB394" s="899"/>
      <c r="AC394" s="899"/>
      <c r="AD394" s="899"/>
      <c r="AE394" s="899"/>
      <c r="AF394" s="899"/>
      <c r="AG394" s="899"/>
      <c r="AH394" s="899"/>
      <c r="AI394" s="899"/>
      <c r="AJ394" s="899"/>
      <c r="AK394" s="899"/>
      <c r="AL394" s="899"/>
      <c r="AM394" s="899"/>
      <c r="AN394" s="899"/>
      <c r="AO394" s="899"/>
    </row>
    <row r="395">
      <c r="G395" s="899"/>
      <c r="H395" s="899"/>
      <c r="I395" s="899"/>
      <c r="J395" s="899"/>
      <c r="K395" s="899"/>
      <c r="L395" s="899"/>
      <c r="M395" s="899"/>
      <c r="N395" s="899"/>
      <c r="O395" s="899"/>
      <c r="P395" s="899"/>
      <c r="Q395" s="899"/>
      <c r="R395" s="899"/>
      <c r="S395" s="899"/>
      <c r="T395" s="899"/>
      <c r="U395" s="899"/>
      <c r="V395" s="899"/>
      <c r="W395" s="899"/>
      <c r="X395" s="899"/>
      <c r="Y395" s="899"/>
      <c r="Z395" s="899"/>
      <c r="AA395" s="899"/>
      <c r="AB395" s="899"/>
      <c r="AC395" s="899"/>
      <c r="AD395" s="899"/>
      <c r="AE395" s="899"/>
      <c r="AF395" s="899"/>
      <c r="AG395" s="899"/>
      <c r="AH395" s="899"/>
      <c r="AI395" s="899"/>
      <c r="AJ395" s="899"/>
      <c r="AK395" s="899"/>
      <c r="AL395" s="899"/>
      <c r="AM395" s="899"/>
      <c r="AN395" s="899"/>
      <c r="AO395" s="899"/>
    </row>
    <row r="396">
      <c r="G396" s="899"/>
      <c r="H396" s="899"/>
      <c r="I396" s="899"/>
      <c r="J396" s="899"/>
      <c r="K396" s="899"/>
      <c r="L396" s="899"/>
      <c r="M396" s="899"/>
      <c r="N396" s="899"/>
      <c r="O396" s="899"/>
      <c r="P396" s="899"/>
      <c r="Q396" s="899"/>
      <c r="R396" s="899"/>
      <c r="S396" s="899"/>
      <c r="T396" s="899"/>
      <c r="U396" s="899"/>
      <c r="V396" s="899"/>
      <c r="W396" s="899"/>
      <c r="X396" s="899"/>
      <c r="Y396" s="899"/>
      <c r="Z396" s="899"/>
      <c r="AA396" s="899"/>
      <c r="AB396" s="899"/>
      <c r="AC396" s="899"/>
      <c r="AD396" s="899"/>
      <c r="AE396" s="899"/>
      <c r="AF396" s="899"/>
      <c r="AG396" s="899"/>
      <c r="AH396" s="899"/>
      <c r="AI396" s="899"/>
      <c r="AJ396" s="899"/>
      <c r="AK396" s="899"/>
      <c r="AL396" s="899"/>
      <c r="AM396" s="899"/>
      <c r="AN396" s="899"/>
      <c r="AO396" s="899"/>
    </row>
    <row r="397">
      <c r="G397" s="899"/>
      <c r="H397" s="899"/>
      <c r="I397" s="899"/>
      <c r="J397" s="899"/>
      <c r="K397" s="899"/>
      <c r="L397" s="899"/>
      <c r="M397" s="899"/>
      <c r="N397" s="899"/>
      <c r="O397" s="899"/>
      <c r="P397" s="899"/>
      <c r="Q397" s="899"/>
      <c r="R397" s="899"/>
      <c r="S397" s="899"/>
      <c r="T397" s="899"/>
      <c r="U397" s="899"/>
      <c r="V397" s="899"/>
      <c r="W397" s="899"/>
      <c r="X397" s="899"/>
      <c r="Y397" s="899"/>
      <c r="Z397" s="899"/>
      <c r="AA397" s="899"/>
      <c r="AB397" s="899"/>
      <c r="AC397" s="899"/>
      <c r="AD397" s="899"/>
      <c r="AE397" s="899"/>
      <c r="AF397" s="899"/>
      <c r="AG397" s="899"/>
      <c r="AH397" s="899"/>
      <c r="AI397" s="899"/>
      <c r="AJ397" s="899"/>
      <c r="AK397" s="899"/>
      <c r="AL397" s="899"/>
      <c r="AM397" s="899"/>
      <c r="AN397" s="899"/>
      <c r="AO397" s="899"/>
    </row>
    <row r="398">
      <c r="G398" s="899"/>
      <c r="H398" s="899"/>
      <c r="I398" s="899"/>
      <c r="J398" s="899"/>
      <c r="K398" s="899"/>
      <c r="L398" s="899"/>
      <c r="M398" s="899"/>
      <c r="N398" s="899"/>
      <c r="O398" s="899"/>
      <c r="P398" s="899"/>
      <c r="Q398" s="899"/>
      <c r="R398" s="899"/>
      <c r="S398" s="899"/>
      <c r="T398" s="899"/>
      <c r="U398" s="899"/>
      <c r="V398" s="899"/>
      <c r="W398" s="899"/>
      <c r="X398" s="899"/>
      <c r="Y398" s="899"/>
      <c r="Z398" s="899"/>
      <c r="AA398" s="899"/>
      <c r="AB398" s="899"/>
      <c r="AC398" s="899"/>
      <c r="AD398" s="899"/>
      <c r="AE398" s="899"/>
      <c r="AF398" s="899"/>
      <c r="AG398" s="899"/>
      <c r="AH398" s="899"/>
      <c r="AI398" s="899"/>
      <c r="AJ398" s="899"/>
      <c r="AK398" s="899"/>
      <c r="AL398" s="899"/>
      <c r="AM398" s="899"/>
      <c r="AN398" s="899"/>
      <c r="AO398" s="899"/>
    </row>
    <row r="399">
      <c r="G399" s="899"/>
      <c r="H399" s="899"/>
      <c r="I399" s="899"/>
      <c r="J399" s="899"/>
      <c r="K399" s="899"/>
      <c r="L399" s="899"/>
      <c r="M399" s="899"/>
      <c r="N399" s="899"/>
      <c r="O399" s="899"/>
      <c r="P399" s="899"/>
      <c r="Q399" s="899"/>
      <c r="R399" s="899"/>
      <c r="S399" s="899"/>
      <c r="T399" s="899"/>
      <c r="U399" s="899"/>
      <c r="V399" s="899"/>
      <c r="W399" s="899"/>
      <c r="X399" s="899"/>
      <c r="Y399" s="899"/>
      <c r="Z399" s="899"/>
      <c r="AA399" s="899"/>
      <c r="AB399" s="899"/>
      <c r="AC399" s="899"/>
      <c r="AD399" s="899"/>
      <c r="AE399" s="899"/>
      <c r="AF399" s="899"/>
      <c r="AG399" s="899"/>
      <c r="AH399" s="899"/>
      <c r="AI399" s="899"/>
      <c r="AJ399" s="899"/>
      <c r="AK399" s="899"/>
      <c r="AL399" s="899"/>
      <c r="AM399" s="899"/>
      <c r="AN399" s="899"/>
      <c r="AO399" s="899"/>
    </row>
    <row r="400">
      <c r="G400" s="899"/>
      <c r="H400" s="899"/>
      <c r="I400" s="899"/>
      <c r="J400" s="899"/>
      <c r="K400" s="899"/>
      <c r="L400" s="899"/>
      <c r="M400" s="899"/>
      <c r="N400" s="899"/>
      <c r="O400" s="899"/>
      <c r="P400" s="899"/>
      <c r="Q400" s="899"/>
      <c r="R400" s="899"/>
      <c r="S400" s="899"/>
      <c r="T400" s="899"/>
      <c r="U400" s="899"/>
      <c r="V400" s="899"/>
      <c r="W400" s="899"/>
      <c r="X400" s="899"/>
      <c r="Y400" s="899"/>
      <c r="Z400" s="899"/>
      <c r="AA400" s="899"/>
      <c r="AB400" s="899"/>
      <c r="AC400" s="899"/>
      <c r="AD400" s="899"/>
      <c r="AE400" s="899"/>
      <c r="AF400" s="899"/>
      <c r="AG400" s="899"/>
      <c r="AH400" s="899"/>
      <c r="AI400" s="899"/>
      <c r="AJ400" s="899"/>
      <c r="AK400" s="899"/>
      <c r="AL400" s="899"/>
      <c r="AM400" s="899"/>
      <c r="AN400" s="899"/>
      <c r="AO400" s="899"/>
    </row>
    <row r="401">
      <c r="G401" s="899"/>
      <c r="H401" s="899"/>
      <c r="I401" s="899"/>
      <c r="J401" s="899"/>
      <c r="K401" s="899"/>
      <c r="L401" s="899"/>
      <c r="M401" s="899"/>
      <c r="N401" s="899"/>
      <c r="O401" s="899"/>
      <c r="P401" s="899"/>
      <c r="Q401" s="899"/>
      <c r="R401" s="899"/>
      <c r="S401" s="899"/>
      <c r="T401" s="899"/>
      <c r="U401" s="899"/>
      <c r="V401" s="899"/>
      <c r="W401" s="899"/>
      <c r="X401" s="899"/>
      <c r="Y401" s="899"/>
      <c r="Z401" s="899"/>
      <c r="AA401" s="899"/>
      <c r="AB401" s="899"/>
      <c r="AC401" s="899"/>
      <c r="AD401" s="899"/>
      <c r="AE401" s="899"/>
      <c r="AF401" s="899"/>
      <c r="AG401" s="899"/>
      <c r="AH401" s="899"/>
      <c r="AI401" s="899"/>
      <c r="AJ401" s="899"/>
      <c r="AK401" s="899"/>
      <c r="AL401" s="899"/>
      <c r="AM401" s="899"/>
      <c r="AN401" s="899"/>
      <c r="AO401" s="899"/>
    </row>
    <row r="402">
      <c r="G402" s="899"/>
      <c r="H402" s="899"/>
      <c r="I402" s="899"/>
      <c r="J402" s="899"/>
      <c r="K402" s="899"/>
      <c r="L402" s="899"/>
      <c r="M402" s="899"/>
      <c r="N402" s="899"/>
      <c r="O402" s="899"/>
      <c r="P402" s="899"/>
      <c r="Q402" s="899"/>
      <c r="R402" s="899"/>
      <c r="S402" s="899"/>
      <c r="T402" s="899"/>
      <c r="U402" s="899"/>
      <c r="V402" s="899"/>
      <c r="W402" s="899"/>
      <c r="X402" s="899"/>
      <c r="Y402" s="899"/>
      <c r="Z402" s="899"/>
      <c r="AA402" s="899"/>
      <c r="AB402" s="899"/>
      <c r="AC402" s="899"/>
      <c r="AD402" s="899"/>
      <c r="AE402" s="899"/>
      <c r="AF402" s="899"/>
      <c r="AG402" s="899"/>
      <c r="AH402" s="899"/>
      <c r="AI402" s="899"/>
      <c r="AJ402" s="899"/>
      <c r="AK402" s="899"/>
      <c r="AL402" s="899"/>
      <c r="AM402" s="899"/>
      <c r="AN402" s="899"/>
      <c r="AO402" s="899"/>
    </row>
    <row r="403">
      <c r="G403" s="899"/>
      <c r="H403" s="899"/>
      <c r="I403" s="899"/>
      <c r="J403" s="899"/>
      <c r="K403" s="899"/>
      <c r="L403" s="899"/>
      <c r="M403" s="899"/>
      <c r="N403" s="899"/>
      <c r="O403" s="899"/>
      <c r="P403" s="899"/>
      <c r="Q403" s="899"/>
      <c r="R403" s="899"/>
      <c r="S403" s="899"/>
      <c r="T403" s="899"/>
      <c r="U403" s="899"/>
      <c r="V403" s="899"/>
      <c r="W403" s="899"/>
      <c r="X403" s="899"/>
      <c r="Y403" s="899"/>
      <c r="Z403" s="899"/>
      <c r="AA403" s="899"/>
      <c r="AB403" s="899"/>
      <c r="AC403" s="899"/>
      <c r="AD403" s="899"/>
      <c r="AE403" s="899"/>
      <c r="AF403" s="899"/>
      <c r="AG403" s="899"/>
      <c r="AH403" s="899"/>
      <c r="AI403" s="899"/>
      <c r="AJ403" s="899"/>
      <c r="AK403" s="899"/>
      <c r="AL403" s="899"/>
      <c r="AM403" s="899"/>
      <c r="AN403" s="899"/>
      <c r="AO403" s="899"/>
    </row>
    <row r="404">
      <c r="G404" s="899"/>
      <c r="H404" s="899"/>
      <c r="I404" s="899"/>
      <c r="J404" s="899"/>
      <c r="K404" s="899"/>
      <c r="L404" s="899"/>
      <c r="M404" s="899"/>
      <c r="N404" s="899"/>
      <c r="O404" s="899"/>
      <c r="P404" s="899"/>
      <c r="Q404" s="899"/>
      <c r="R404" s="899"/>
      <c r="S404" s="899"/>
      <c r="T404" s="899"/>
      <c r="U404" s="899"/>
      <c r="V404" s="899"/>
      <c r="W404" s="899"/>
      <c r="X404" s="899"/>
      <c r="Y404" s="899"/>
      <c r="Z404" s="899"/>
      <c r="AA404" s="899"/>
      <c r="AB404" s="899"/>
      <c r="AC404" s="899"/>
      <c r="AD404" s="899"/>
      <c r="AE404" s="899"/>
      <c r="AF404" s="899"/>
      <c r="AG404" s="899"/>
      <c r="AH404" s="899"/>
      <c r="AI404" s="899"/>
      <c r="AJ404" s="899"/>
      <c r="AK404" s="899"/>
      <c r="AL404" s="899"/>
      <c r="AM404" s="899"/>
      <c r="AN404" s="899"/>
      <c r="AO404" s="899"/>
    </row>
    <row r="405">
      <c r="G405" s="899"/>
      <c r="H405" s="899"/>
      <c r="I405" s="899"/>
      <c r="J405" s="899"/>
      <c r="K405" s="899"/>
      <c r="L405" s="899"/>
      <c r="M405" s="899"/>
      <c r="N405" s="899"/>
      <c r="O405" s="899"/>
      <c r="P405" s="899"/>
      <c r="Q405" s="899"/>
      <c r="R405" s="899"/>
      <c r="S405" s="899"/>
      <c r="T405" s="899"/>
      <c r="U405" s="899"/>
      <c r="V405" s="899"/>
      <c r="W405" s="899"/>
      <c r="X405" s="899"/>
      <c r="Y405" s="899"/>
      <c r="Z405" s="899"/>
      <c r="AA405" s="899"/>
      <c r="AB405" s="899"/>
      <c r="AC405" s="899"/>
      <c r="AD405" s="899"/>
      <c r="AE405" s="899"/>
      <c r="AF405" s="899"/>
      <c r="AG405" s="899"/>
      <c r="AH405" s="899"/>
      <c r="AI405" s="899"/>
      <c r="AJ405" s="899"/>
      <c r="AK405" s="899"/>
      <c r="AL405" s="899"/>
      <c r="AM405" s="899"/>
      <c r="AN405" s="899"/>
      <c r="AO405" s="899"/>
    </row>
    <row r="406">
      <c r="G406" s="899"/>
      <c r="H406" s="899"/>
      <c r="I406" s="899"/>
      <c r="J406" s="899"/>
      <c r="K406" s="899"/>
      <c r="L406" s="899"/>
      <c r="M406" s="899"/>
      <c r="N406" s="899"/>
      <c r="O406" s="899"/>
      <c r="P406" s="899"/>
      <c r="Q406" s="899"/>
      <c r="R406" s="899"/>
      <c r="S406" s="899"/>
      <c r="T406" s="899"/>
      <c r="U406" s="899"/>
      <c r="V406" s="899"/>
      <c r="W406" s="899"/>
      <c r="X406" s="899"/>
      <c r="Y406" s="899"/>
      <c r="Z406" s="899"/>
      <c r="AA406" s="899"/>
      <c r="AB406" s="899"/>
      <c r="AC406" s="899"/>
      <c r="AD406" s="899"/>
      <c r="AE406" s="899"/>
      <c r="AF406" s="899"/>
      <c r="AG406" s="899"/>
      <c r="AH406" s="899"/>
      <c r="AI406" s="899"/>
      <c r="AJ406" s="899"/>
      <c r="AK406" s="899"/>
      <c r="AL406" s="899"/>
      <c r="AM406" s="899"/>
      <c r="AN406" s="899"/>
      <c r="AO406" s="899"/>
    </row>
    <row r="407">
      <c r="G407" s="899"/>
      <c r="H407" s="899"/>
      <c r="I407" s="899"/>
      <c r="J407" s="899"/>
      <c r="K407" s="899"/>
      <c r="L407" s="899"/>
      <c r="M407" s="899"/>
      <c r="N407" s="899"/>
      <c r="O407" s="899"/>
      <c r="P407" s="899"/>
      <c r="Q407" s="899"/>
      <c r="R407" s="899"/>
      <c r="S407" s="899"/>
      <c r="T407" s="899"/>
      <c r="U407" s="899"/>
      <c r="V407" s="899"/>
      <c r="W407" s="899"/>
      <c r="X407" s="899"/>
      <c r="Y407" s="899"/>
      <c r="Z407" s="899"/>
      <c r="AA407" s="899"/>
      <c r="AB407" s="899"/>
      <c r="AC407" s="899"/>
      <c r="AD407" s="899"/>
      <c r="AE407" s="899"/>
      <c r="AF407" s="899"/>
      <c r="AG407" s="899"/>
      <c r="AH407" s="899"/>
      <c r="AI407" s="899"/>
      <c r="AJ407" s="899"/>
      <c r="AK407" s="899"/>
      <c r="AL407" s="899"/>
      <c r="AM407" s="899"/>
      <c r="AN407" s="899"/>
      <c r="AO407" s="899"/>
    </row>
    <row r="408">
      <c r="G408" s="899"/>
      <c r="H408" s="899"/>
      <c r="I408" s="899"/>
      <c r="J408" s="899"/>
      <c r="K408" s="899"/>
      <c r="L408" s="899"/>
      <c r="M408" s="899"/>
      <c r="N408" s="899"/>
      <c r="O408" s="899"/>
      <c r="P408" s="899"/>
      <c r="Q408" s="899"/>
      <c r="R408" s="899"/>
      <c r="S408" s="899"/>
      <c r="T408" s="899"/>
      <c r="U408" s="899"/>
      <c r="V408" s="899"/>
      <c r="W408" s="899"/>
      <c r="X408" s="899"/>
      <c r="Y408" s="899"/>
      <c r="Z408" s="899"/>
      <c r="AA408" s="899"/>
      <c r="AB408" s="899"/>
      <c r="AC408" s="899"/>
      <c r="AD408" s="899"/>
      <c r="AE408" s="899"/>
      <c r="AF408" s="899"/>
      <c r="AG408" s="899"/>
      <c r="AH408" s="899"/>
      <c r="AI408" s="899"/>
      <c r="AJ408" s="899"/>
      <c r="AK408" s="899"/>
      <c r="AL408" s="899"/>
      <c r="AM408" s="899"/>
      <c r="AN408" s="899"/>
      <c r="AO408" s="899"/>
    </row>
    <row r="409">
      <c r="G409" s="899"/>
      <c r="H409" s="899"/>
      <c r="I409" s="899"/>
      <c r="J409" s="899"/>
      <c r="K409" s="899"/>
      <c r="L409" s="899"/>
      <c r="M409" s="899"/>
      <c r="N409" s="899"/>
      <c r="O409" s="899"/>
      <c r="P409" s="899"/>
      <c r="Q409" s="899"/>
      <c r="R409" s="899"/>
      <c r="S409" s="899"/>
      <c r="T409" s="899"/>
      <c r="U409" s="899"/>
      <c r="V409" s="899"/>
      <c r="W409" s="899"/>
      <c r="X409" s="899"/>
      <c r="Y409" s="899"/>
      <c r="Z409" s="899"/>
      <c r="AA409" s="899"/>
      <c r="AB409" s="899"/>
      <c r="AC409" s="899"/>
      <c r="AD409" s="899"/>
      <c r="AE409" s="899"/>
      <c r="AF409" s="899"/>
      <c r="AG409" s="899"/>
      <c r="AH409" s="899"/>
      <c r="AI409" s="899"/>
      <c r="AJ409" s="899"/>
      <c r="AK409" s="899"/>
      <c r="AL409" s="899"/>
      <c r="AM409" s="899"/>
      <c r="AN409" s="899"/>
      <c r="AO409" s="899"/>
    </row>
    <row r="410">
      <c r="G410" s="899"/>
      <c r="H410" s="899"/>
      <c r="I410" s="899"/>
      <c r="J410" s="899"/>
      <c r="K410" s="899"/>
      <c r="L410" s="899"/>
      <c r="M410" s="899"/>
      <c r="N410" s="899"/>
      <c r="O410" s="899"/>
      <c r="P410" s="899"/>
      <c r="Q410" s="899"/>
      <c r="R410" s="899"/>
      <c r="S410" s="899"/>
      <c r="T410" s="899"/>
      <c r="U410" s="899"/>
      <c r="V410" s="899"/>
      <c r="W410" s="899"/>
      <c r="X410" s="899"/>
      <c r="Y410" s="899"/>
      <c r="Z410" s="899"/>
      <c r="AA410" s="899"/>
      <c r="AB410" s="899"/>
      <c r="AC410" s="899"/>
      <c r="AD410" s="899"/>
      <c r="AE410" s="899"/>
      <c r="AF410" s="899"/>
      <c r="AG410" s="899"/>
      <c r="AH410" s="899"/>
      <c r="AI410" s="899"/>
      <c r="AJ410" s="899"/>
      <c r="AK410" s="899"/>
      <c r="AL410" s="899"/>
      <c r="AM410" s="899"/>
      <c r="AN410" s="899"/>
      <c r="AO410" s="899"/>
    </row>
    <row r="411">
      <c r="G411" s="899"/>
      <c r="H411" s="899"/>
      <c r="I411" s="899"/>
      <c r="J411" s="899"/>
      <c r="K411" s="899"/>
      <c r="L411" s="899"/>
      <c r="M411" s="899"/>
      <c r="N411" s="899"/>
      <c r="O411" s="899"/>
      <c r="P411" s="899"/>
      <c r="Q411" s="899"/>
      <c r="R411" s="899"/>
      <c r="S411" s="899"/>
      <c r="T411" s="899"/>
      <c r="U411" s="899"/>
      <c r="V411" s="899"/>
      <c r="W411" s="899"/>
      <c r="X411" s="899"/>
      <c r="Y411" s="899"/>
      <c r="Z411" s="899"/>
      <c r="AA411" s="899"/>
      <c r="AB411" s="899"/>
      <c r="AC411" s="899"/>
      <c r="AD411" s="899"/>
      <c r="AE411" s="899"/>
      <c r="AF411" s="899"/>
      <c r="AG411" s="899"/>
      <c r="AH411" s="899"/>
      <c r="AI411" s="899"/>
      <c r="AJ411" s="899"/>
      <c r="AK411" s="899"/>
      <c r="AL411" s="899"/>
      <c r="AM411" s="899"/>
      <c r="AN411" s="899"/>
      <c r="AO411" s="899"/>
    </row>
    <row r="412">
      <c r="G412" s="899"/>
      <c r="H412" s="899"/>
      <c r="I412" s="899"/>
      <c r="J412" s="899"/>
      <c r="K412" s="899"/>
      <c r="L412" s="899"/>
      <c r="M412" s="899"/>
      <c r="N412" s="899"/>
      <c r="O412" s="899"/>
      <c r="P412" s="899"/>
      <c r="Q412" s="899"/>
      <c r="R412" s="899"/>
      <c r="S412" s="899"/>
      <c r="T412" s="899"/>
      <c r="U412" s="899"/>
      <c r="V412" s="899"/>
      <c r="W412" s="899"/>
      <c r="X412" s="899"/>
      <c r="Y412" s="899"/>
      <c r="Z412" s="899"/>
      <c r="AA412" s="899"/>
      <c r="AB412" s="899"/>
      <c r="AC412" s="899"/>
      <c r="AD412" s="899"/>
      <c r="AE412" s="899"/>
      <c r="AF412" s="899"/>
      <c r="AG412" s="899"/>
      <c r="AH412" s="899"/>
      <c r="AI412" s="899"/>
      <c r="AJ412" s="899"/>
      <c r="AK412" s="899"/>
      <c r="AL412" s="899"/>
      <c r="AM412" s="899"/>
      <c r="AN412" s="899"/>
      <c r="AO412" s="899"/>
    </row>
    <row r="413">
      <c r="G413" s="899"/>
      <c r="H413" s="899"/>
      <c r="I413" s="899"/>
      <c r="J413" s="899"/>
      <c r="K413" s="899"/>
      <c r="L413" s="899"/>
      <c r="M413" s="899"/>
      <c r="N413" s="899"/>
      <c r="O413" s="899"/>
      <c r="P413" s="899"/>
      <c r="Q413" s="899"/>
      <c r="R413" s="899"/>
      <c r="S413" s="899"/>
      <c r="T413" s="899"/>
      <c r="U413" s="899"/>
      <c r="V413" s="899"/>
      <c r="W413" s="899"/>
      <c r="X413" s="899"/>
      <c r="Y413" s="899"/>
      <c r="Z413" s="899"/>
      <c r="AA413" s="899"/>
      <c r="AB413" s="899"/>
      <c r="AC413" s="899"/>
      <c r="AD413" s="899"/>
      <c r="AE413" s="899"/>
      <c r="AF413" s="899"/>
      <c r="AG413" s="899"/>
      <c r="AH413" s="899"/>
      <c r="AI413" s="899"/>
      <c r="AJ413" s="899"/>
      <c r="AK413" s="899"/>
      <c r="AL413" s="899"/>
      <c r="AM413" s="899"/>
      <c r="AN413" s="899"/>
      <c r="AO413" s="899"/>
    </row>
    <row r="414">
      <c r="G414" s="899"/>
      <c r="H414" s="899"/>
      <c r="I414" s="899"/>
      <c r="J414" s="899"/>
      <c r="K414" s="899"/>
      <c r="L414" s="899"/>
      <c r="M414" s="899"/>
      <c r="N414" s="899"/>
      <c r="O414" s="899"/>
      <c r="P414" s="899"/>
      <c r="Q414" s="899"/>
      <c r="R414" s="899"/>
      <c r="S414" s="899"/>
      <c r="T414" s="899"/>
      <c r="U414" s="899"/>
      <c r="V414" s="899"/>
      <c r="W414" s="899"/>
      <c r="X414" s="899"/>
      <c r="Y414" s="899"/>
      <c r="Z414" s="899"/>
      <c r="AA414" s="899"/>
      <c r="AB414" s="899"/>
      <c r="AC414" s="899"/>
      <c r="AD414" s="899"/>
      <c r="AE414" s="899"/>
      <c r="AF414" s="899"/>
      <c r="AG414" s="899"/>
      <c r="AH414" s="899"/>
      <c r="AI414" s="899"/>
      <c r="AJ414" s="899"/>
      <c r="AK414" s="899"/>
      <c r="AL414" s="899"/>
      <c r="AM414" s="899"/>
      <c r="AN414" s="899"/>
      <c r="AO414" s="899"/>
    </row>
    <row r="415">
      <c r="G415" s="899"/>
      <c r="H415" s="899"/>
      <c r="I415" s="899"/>
      <c r="J415" s="899"/>
      <c r="K415" s="899"/>
      <c r="L415" s="899"/>
      <c r="M415" s="899"/>
      <c r="N415" s="899"/>
      <c r="O415" s="899"/>
      <c r="P415" s="899"/>
      <c r="Q415" s="899"/>
      <c r="R415" s="899"/>
      <c r="S415" s="899"/>
      <c r="T415" s="899"/>
      <c r="U415" s="899"/>
      <c r="V415" s="899"/>
      <c r="W415" s="899"/>
      <c r="X415" s="899"/>
      <c r="Y415" s="899"/>
      <c r="Z415" s="899"/>
      <c r="AA415" s="899"/>
      <c r="AB415" s="899"/>
      <c r="AC415" s="899"/>
      <c r="AD415" s="899"/>
      <c r="AE415" s="899"/>
      <c r="AF415" s="899"/>
      <c r="AG415" s="899"/>
      <c r="AH415" s="899"/>
      <c r="AI415" s="899"/>
      <c r="AJ415" s="899"/>
      <c r="AK415" s="899"/>
      <c r="AL415" s="899"/>
      <c r="AM415" s="899"/>
      <c r="AN415" s="899"/>
      <c r="AO415" s="899"/>
    </row>
    <row r="416">
      <c r="G416" s="899"/>
      <c r="H416" s="899"/>
      <c r="I416" s="899"/>
      <c r="J416" s="899"/>
      <c r="K416" s="899"/>
      <c r="L416" s="899"/>
      <c r="M416" s="899"/>
      <c r="N416" s="899"/>
      <c r="O416" s="899"/>
      <c r="P416" s="899"/>
      <c r="Q416" s="899"/>
      <c r="R416" s="899"/>
      <c r="S416" s="899"/>
      <c r="T416" s="899"/>
      <c r="U416" s="899"/>
      <c r="V416" s="899"/>
      <c r="W416" s="899"/>
      <c r="X416" s="899"/>
      <c r="Y416" s="899"/>
      <c r="Z416" s="899"/>
      <c r="AA416" s="899"/>
      <c r="AB416" s="899"/>
      <c r="AC416" s="899"/>
      <c r="AD416" s="899"/>
      <c r="AE416" s="899"/>
      <c r="AF416" s="899"/>
      <c r="AG416" s="899"/>
      <c r="AH416" s="899"/>
      <c r="AI416" s="899"/>
      <c r="AJ416" s="899"/>
      <c r="AK416" s="899"/>
      <c r="AL416" s="899"/>
      <c r="AM416" s="899"/>
      <c r="AN416" s="899"/>
      <c r="AO416" s="899"/>
    </row>
    <row r="417">
      <c r="G417" s="899"/>
      <c r="H417" s="899"/>
      <c r="I417" s="899"/>
      <c r="J417" s="899"/>
      <c r="K417" s="899"/>
      <c r="L417" s="899"/>
      <c r="M417" s="899"/>
      <c r="N417" s="899"/>
      <c r="O417" s="899"/>
      <c r="P417" s="899"/>
      <c r="Q417" s="899"/>
      <c r="R417" s="899"/>
      <c r="S417" s="899"/>
      <c r="T417" s="899"/>
      <c r="U417" s="899"/>
      <c r="V417" s="899"/>
      <c r="W417" s="899"/>
      <c r="X417" s="899"/>
      <c r="Y417" s="899"/>
      <c r="Z417" s="899"/>
      <c r="AA417" s="899"/>
      <c r="AB417" s="899"/>
      <c r="AC417" s="899"/>
      <c r="AD417" s="899"/>
      <c r="AE417" s="899"/>
      <c r="AF417" s="899"/>
      <c r="AG417" s="899"/>
      <c r="AH417" s="899"/>
      <c r="AI417" s="899"/>
      <c r="AJ417" s="899"/>
      <c r="AK417" s="899"/>
      <c r="AL417" s="899"/>
      <c r="AM417" s="899"/>
      <c r="AN417" s="899"/>
      <c r="AO417" s="899"/>
    </row>
    <row r="418">
      <c r="G418" s="899"/>
      <c r="H418" s="899"/>
      <c r="I418" s="899"/>
      <c r="J418" s="899"/>
      <c r="K418" s="899"/>
      <c r="L418" s="899"/>
      <c r="M418" s="899"/>
      <c r="N418" s="899"/>
      <c r="O418" s="899"/>
      <c r="P418" s="899"/>
      <c r="Q418" s="899"/>
      <c r="R418" s="899"/>
      <c r="S418" s="899"/>
      <c r="T418" s="899"/>
      <c r="U418" s="899"/>
      <c r="V418" s="899"/>
      <c r="W418" s="899"/>
      <c r="X418" s="899"/>
      <c r="Y418" s="899"/>
      <c r="Z418" s="899"/>
      <c r="AA418" s="899"/>
      <c r="AB418" s="899"/>
      <c r="AC418" s="899"/>
      <c r="AD418" s="899"/>
      <c r="AE418" s="899"/>
      <c r="AF418" s="899"/>
      <c r="AG418" s="899"/>
      <c r="AH418" s="899"/>
      <c r="AI418" s="899"/>
      <c r="AJ418" s="899"/>
      <c r="AK418" s="899"/>
      <c r="AL418" s="899"/>
      <c r="AM418" s="899"/>
      <c r="AN418" s="899"/>
      <c r="AO418" s="899"/>
    </row>
    <row r="419">
      <c r="G419" s="899"/>
      <c r="H419" s="899"/>
      <c r="I419" s="899"/>
      <c r="J419" s="899"/>
      <c r="K419" s="899"/>
      <c r="L419" s="899"/>
      <c r="M419" s="899"/>
      <c r="N419" s="899"/>
      <c r="O419" s="899"/>
      <c r="P419" s="899"/>
      <c r="Q419" s="899"/>
      <c r="R419" s="899"/>
      <c r="S419" s="899"/>
      <c r="T419" s="899"/>
      <c r="U419" s="899"/>
      <c r="V419" s="899"/>
      <c r="W419" s="899"/>
      <c r="X419" s="899"/>
      <c r="Y419" s="899"/>
      <c r="Z419" s="899"/>
      <c r="AA419" s="899"/>
      <c r="AB419" s="899"/>
      <c r="AC419" s="899"/>
      <c r="AD419" s="899"/>
      <c r="AE419" s="899"/>
      <c r="AF419" s="899"/>
      <c r="AG419" s="899"/>
      <c r="AH419" s="899"/>
      <c r="AI419" s="899"/>
      <c r="AJ419" s="899"/>
      <c r="AK419" s="899"/>
      <c r="AL419" s="899"/>
      <c r="AM419" s="899"/>
      <c r="AN419" s="899"/>
      <c r="AO419" s="899"/>
    </row>
    <row r="420">
      <c r="G420" s="899"/>
      <c r="H420" s="899"/>
      <c r="I420" s="899"/>
      <c r="J420" s="899"/>
      <c r="K420" s="899"/>
      <c r="L420" s="899"/>
      <c r="M420" s="899"/>
      <c r="N420" s="899"/>
      <c r="O420" s="899"/>
      <c r="P420" s="899"/>
      <c r="Q420" s="899"/>
      <c r="R420" s="899"/>
      <c r="S420" s="899"/>
      <c r="T420" s="899"/>
      <c r="U420" s="899"/>
      <c r="V420" s="899"/>
      <c r="W420" s="899"/>
      <c r="X420" s="899"/>
      <c r="Y420" s="899"/>
      <c r="Z420" s="899"/>
      <c r="AA420" s="899"/>
      <c r="AB420" s="899"/>
      <c r="AC420" s="899"/>
      <c r="AD420" s="899"/>
      <c r="AE420" s="899"/>
      <c r="AF420" s="899"/>
      <c r="AG420" s="899"/>
      <c r="AH420" s="899"/>
      <c r="AI420" s="899"/>
      <c r="AJ420" s="899"/>
      <c r="AK420" s="899"/>
      <c r="AL420" s="899"/>
      <c r="AM420" s="899"/>
      <c r="AN420" s="899"/>
      <c r="AO420" s="899"/>
    </row>
    <row r="421">
      <c r="G421" s="899"/>
      <c r="H421" s="899"/>
      <c r="I421" s="899"/>
      <c r="J421" s="899"/>
      <c r="K421" s="899"/>
      <c r="L421" s="899"/>
      <c r="M421" s="899"/>
      <c r="N421" s="899"/>
      <c r="O421" s="899"/>
      <c r="P421" s="899"/>
      <c r="Q421" s="899"/>
      <c r="R421" s="899"/>
      <c r="S421" s="899"/>
      <c r="T421" s="899"/>
      <c r="U421" s="899"/>
      <c r="V421" s="899"/>
      <c r="W421" s="899"/>
      <c r="X421" s="899"/>
      <c r="Y421" s="899"/>
      <c r="Z421" s="899"/>
      <c r="AA421" s="899"/>
      <c r="AB421" s="899"/>
      <c r="AC421" s="899"/>
      <c r="AD421" s="899"/>
      <c r="AE421" s="899"/>
      <c r="AF421" s="899"/>
      <c r="AG421" s="899"/>
      <c r="AH421" s="899"/>
      <c r="AI421" s="899"/>
      <c r="AJ421" s="899"/>
      <c r="AK421" s="899"/>
      <c r="AL421" s="899"/>
      <c r="AM421" s="899"/>
      <c r="AN421" s="899"/>
      <c r="AO421" s="899"/>
    </row>
    <row r="422">
      <c r="G422" s="899"/>
      <c r="H422" s="899"/>
      <c r="I422" s="899"/>
      <c r="J422" s="899"/>
      <c r="K422" s="899"/>
      <c r="L422" s="899"/>
      <c r="M422" s="899"/>
      <c r="N422" s="899"/>
      <c r="O422" s="899"/>
      <c r="P422" s="899"/>
      <c r="Q422" s="899"/>
      <c r="R422" s="899"/>
      <c r="S422" s="899"/>
      <c r="T422" s="899"/>
      <c r="U422" s="899"/>
      <c r="V422" s="899"/>
      <c r="W422" s="899"/>
      <c r="X422" s="899"/>
      <c r="Y422" s="899"/>
      <c r="Z422" s="899"/>
      <c r="AA422" s="899"/>
      <c r="AB422" s="899"/>
      <c r="AC422" s="899"/>
      <c r="AD422" s="899"/>
      <c r="AE422" s="899"/>
      <c r="AF422" s="899"/>
      <c r="AG422" s="899"/>
      <c r="AH422" s="899"/>
      <c r="AI422" s="899"/>
      <c r="AJ422" s="899"/>
      <c r="AK422" s="899"/>
      <c r="AL422" s="899"/>
      <c r="AM422" s="899"/>
      <c r="AN422" s="899"/>
      <c r="AO422" s="899"/>
    </row>
    <row r="423">
      <c r="G423" s="899"/>
      <c r="H423" s="899"/>
      <c r="I423" s="899"/>
      <c r="J423" s="899"/>
      <c r="K423" s="899"/>
      <c r="L423" s="899"/>
      <c r="M423" s="899"/>
      <c r="N423" s="899"/>
      <c r="O423" s="899"/>
      <c r="P423" s="899"/>
      <c r="Q423" s="899"/>
      <c r="R423" s="899"/>
      <c r="S423" s="899"/>
      <c r="T423" s="899"/>
      <c r="U423" s="899"/>
      <c r="V423" s="899"/>
      <c r="W423" s="899"/>
      <c r="X423" s="899"/>
      <c r="Y423" s="899"/>
      <c r="Z423" s="899"/>
      <c r="AA423" s="899"/>
      <c r="AB423" s="899"/>
      <c r="AC423" s="899"/>
      <c r="AD423" s="899"/>
      <c r="AE423" s="899"/>
      <c r="AF423" s="899"/>
      <c r="AG423" s="899"/>
      <c r="AH423" s="899"/>
      <c r="AI423" s="899"/>
      <c r="AJ423" s="899"/>
      <c r="AK423" s="899"/>
      <c r="AL423" s="899"/>
      <c r="AM423" s="899"/>
      <c r="AN423" s="899"/>
      <c r="AO423" s="899"/>
    </row>
    <row r="424">
      <c r="G424" s="899"/>
      <c r="H424" s="899"/>
      <c r="I424" s="899"/>
      <c r="J424" s="899"/>
      <c r="K424" s="899"/>
      <c r="L424" s="899"/>
      <c r="M424" s="899"/>
      <c r="N424" s="899"/>
      <c r="O424" s="899"/>
      <c r="P424" s="899"/>
      <c r="Q424" s="899"/>
      <c r="R424" s="899"/>
      <c r="S424" s="899"/>
      <c r="T424" s="899"/>
      <c r="U424" s="899"/>
      <c r="V424" s="899"/>
      <c r="W424" s="899"/>
      <c r="X424" s="899"/>
      <c r="Y424" s="899"/>
      <c r="Z424" s="899"/>
      <c r="AA424" s="899"/>
      <c r="AB424" s="899"/>
      <c r="AC424" s="899"/>
      <c r="AD424" s="899"/>
      <c r="AE424" s="899"/>
      <c r="AF424" s="899"/>
      <c r="AG424" s="899"/>
      <c r="AH424" s="899"/>
      <c r="AI424" s="899"/>
      <c r="AJ424" s="899"/>
      <c r="AK424" s="899"/>
      <c r="AL424" s="899"/>
      <c r="AM424" s="899"/>
      <c r="AN424" s="899"/>
      <c r="AO424" s="899"/>
    </row>
    <row r="425">
      <c r="G425" s="899"/>
      <c r="H425" s="899"/>
      <c r="I425" s="899"/>
      <c r="J425" s="899"/>
      <c r="K425" s="899"/>
      <c r="L425" s="899"/>
      <c r="M425" s="899"/>
      <c r="N425" s="899"/>
      <c r="O425" s="899"/>
      <c r="P425" s="899"/>
      <c r="Q425" s="899"/>
      <c r="R425" s="899"/>
      <c r="S425" s="899"/>
      <c r="T425" s="899"/>
      <c r="U425" s="899"/>
      <c r="V425" s="899"/>
      <c r="W425" s="899"/>
      <c r="X425" s="899"/>
      <c r="Y425" s="899"/>
      <c r="Z425" s="899"/>
      <c r="AA425" s="899"/>
      <c r="AB425" s="899"/>
      <c r="AC425" s="899"/>
      <c r="AD425" s="899"/>
      <c r="AE425" s="899"/>
      <c r="AF425" s="899"/>
      <c r="AG425" s="899"/>
      <c r="AH425" s="899"/>
      <c r="AI425" s="899"/>
      <c r="AJ425" s="899"/>
      <c r="AK425" s="899"/>
      <c r="AL425" s="899"/>
      <c r="AM425" s="899"/>
      <c r="AN425" s="899"/>
      <c r="AO425" s="899"/>
    </row>
    <row r="426">
      <c r="G426" s="899"/>
      <c r="H426" s="899"/>
      <c r="I426" s="899"/>
      <c r="J426" s="899"/>
      <c r="K426" s="899"/>
      <c r="L426" s="899"/>
      <c r="M426" s="899"/>
      <c r="N426" s="899"/>
      <c r="O426" s="899"/>
      <c r="P426" s="899"/>
      <c r="Q426" s="899"/>
      <c r="R426" s="899"/>
      <c r="S426" s="899"/>
      <c r="T426" s="899"/>
      <c r="U426" s="899"/>
      <c r="V426" s="899"/>
      <c r="W426" s="899"/>
      <c r="X426" s="899"/>
      <c r="Y426" s="899"/>
      <c r="Z426" s="899"/>
      <c r="AA426" s="899"/>
      <c r="AB426" s="899"/>
      <c r="AC426" s="899"/>
      <c r="AD426" s="899"/>
      <c r="AE426" s="899"/>
      <c r="AF426" s="899"/>
      <c r="AG426" s="899"/>
      <c r="AH426" s="899"/>
      <c r="AI426" s="899"/>
      <c r="AJ426" s="899"/>
      <c r="AK426" s="899"/>
      <c r="AL426" s="899"/>
      <c r="AM426" s="899"/>
      <c r="AN426" s="899"/>
      <c r="AO426" s="899"/>
    </row>
    <row r="427">
      <c r="G427" s="899"/>
      <c r="H427" s="899"/>
      <c r="I427" s="899"/>
      <c r="J427" s="899"/>
      <c r="K427" s="899"/>
      <c r="L427" s="899"/>
      <c r="M427" s="899"/>
      <c r="N427" s="899"/>
      <c r="O427" s="899"/>
      <c r="P427" s="899"/>
      <c r="Q427" s="899"/>
      <c r="R427" s="899"/>
      <c r="S427" s="899"/>
      <c r="T427" s="899"/>
      <c r="U427" s="899"/>
      <c r="V427" s="899"/>
      <c r="W427" s="899"/>
      <c r="X427" s="899"/>
      <c r="Y427" s="899"/>
      <c r="Z427" s="899"/>
      <c r="AA427" s="899"/>
      <c r="AB427" s="899"/>
      <c r="AC427" s="899"/>
      <c r="AD427" s="899"/>
      <c r="AE427" s="899"/>
      <c r="AF427" s="899"/>
      <c r="AG427" s="899"/>
      <c r="AH427" s="899"/>
      <c r="AI427" s="899"/>
      <c r="AJ427" s="899"/>
      <c r="AK427" s="899"/>
      <c r="AL427" s="899"/>
      <c r="AM427" s="899"/>
      <c r="AN427" s="899"/>
      <c r="AO427" s="899"/>
    </row>
    <row r="428">
      <c r="G428" s="899"/>
      <c r="H428" s="899"/>
      <c r="I428" s="899"/>
      <c r="J428" s="899"/>
      <c r="K428" s="899"/>
      <c r="L428" s="899"/>
      <c r="M428" s="899"/>
      <c r="N428" s="899"/>
      <c r="O428" s="899"/>
      <c r="P428" s="899"/>
      <c r="Q428" s="899"/>
      <c r="R428" s="899"/>
      <c r="S428" s="899"/>
      <c r="T428" s="899"/>
      <c r="U428" s="899"/>
      <c r="V428" s="899"/>
      <c r="W428" s="899"/>
      <c r="X428" s="899"/>
      <c r="Y428" s="899"/>
      <c r="Z428" s="899"/>
      <c r="AA428" s="899"/>
      <c r="AB428" s="899"/>
      <c r="AC428" s="899"/>
      <c r="AD428" s="899"/>
      <c r="AE428" s="899"/>
      <c r="AF428" s="899"/>
      <c r="AG428" s="899"/>
      <c r="AH428" s="899"/>
      <c r="AI428" s="899"/>
      <c r="AJ428" s="899"/>
      <c r="AK428" s="899"/>
      <c r="AL428" s="899"/>
      <c r="AM428" s="899"/>
      <c r="AN428" s="899"/>
      <c r="AO428" s="899"/>
    </row>
    <row r="429">
      <c r="G429" s="899"/>
      <c r="H429" s="899"/>
      <c r="I429" s="899"/>
      <c r="J429" s="899"/>
      <c r="K429" s="899"/>
      <c r="L429" s="899"/>
      <c r="M429" s="899"/>
      <c r="N429" s="899"/>
      <c r="O429" s="899"/>
      <c r="P429" s="899"/>
      <c r="Q429" s="899"/>
      <c r="R429" s="899"/>
      <c r="S429" s="899"/>
      <c r="T429" s="899"/>
      <c r="U429" s="899"/>
      <c r="V429" s="899"/>
      <c r="W429" s="899"/>
      <c r="X429" s="899"/>
      <c r="Y429" s="899"/>
      <c r="Z429" s="899"/>
      <c r="AA429" s="899"/>
      <c r="AB429" s="899"/>
      <c r="AC429" s="899"/>
      <c r="AD429" s="899"/>
      <c r="AE429" s="899"/>
      <c r="AF429" s="899"/>
      <c r="AG429" s="899"/>
      <c r="AH429" s="899"/>
      <c r="AI429" s="899"/>
      <c r="AJ429" s="899"/>
      <c r="AK429" s="899"/>
      <c r="AL429" s="899"/>
      <c r="AM429" s="899"/>
      <c r="AN429" s="899"/>
      <c r="AO429" s="899"/>
    </row>
    <row r="430">
      <c r="G430" s="899"/>
      <c r="H430" s="899"/>
      <c r="I430" s="899"/>
      <c r="J430" s="899"/>
      <c r="K430" s="899"/>
      <c r="L430" s="899"/>
      <c r="M430" s="899"/>
      <c r="N430" s="899"/>
      <c r="O430" s="899"/>
      <c r="P430" s="899"/>
      <c r="Q430" s="899"/>
      <c r="R430" s="899"/>
      <c r="S430" s="899"/>
      <c r="T430" s="899"/>
      <c r="U430" s="899"/>
      <c r="V430" s="899"/>
      <c r="W430" s="899"/>
      <c r="X430" s="899"/>
      <c r="Y430" s="899"/>
      <c r="Z430" s="899"/>
      <c r="AA430" s="899"/>
      <c r="AB430" s="899"/>
      <c r="AC430" s="899"/>
      <c r="AD430" s="899"/>
      <c r="AE430" s="899"/>
      <c r="AF430" s="899"/>
      <c r="AG430" s="899"/>
      <c r="AH430" s="899"/>
      <c r="AI430" s="899"/>
      <c r="AJ430" s="899"/>
      <c r="AK430" s="899"/>
      <c r="AL430" s="899"/>
      <c r="AM430" s="899"/>
      <c r="AN430" s="899"/>
      <c r="AO430" s="899"/>
    </row>
    <row r="431">
      <c r="G431" s="899"/>
      <c r="H431" s="899"/>
      <c r="I431" s="899"/>
      <c r="J431" s="899"/>
      <c r="K431" s="899"/>
      <c r="L431" s="899"/>
      <c r="M431" s="899"/>
      <c r="N431" s="899"/>
      <c r="O431" s="899"/>
      <c r="P431" s="899"/>
      <c r="Q431" s="899"/>
      <c r="R431" s="899"/>
      <c r="S431" s="899"/>
      <c r="T431" s="899"/>
      <c r="U431" s="899"/>
      <c r="V431" s="899"/>
      <c r="W431" s="899"/>
      <c r="X431" s="899"/>
      <c r="Y431" s="899"/>
      <c r="Z431" s="899"/>
      <c r="AA431" s="899"/>
      <c r="AB431" s="899"/>
      <c r="AC431" s="899"/>
      <c r="AD431" s="899"/>
      <c r="AE431" s="899"/>
      <c r="AF431" s="899"/>
      <c r="AG431" s="899"/>
      <c r="AH431" s="899"/>
      <c r="AI431" s="899"/>
      <c r="AJ431" s="899"/>
      <c r="AK431" s="899"/>
      <c r="AL431" s="899"/>
      <c r="AM431" s="899"/>
      <c r="AN431" s="899"/>
      <c r="AO431" s="899"/>
    </row>
    <row r="432">
      <c r="G432" s="899"/>
      <c r="H432" s="899"/>
      <c r="I432" s="899"/>
      <c r="J432" s="899"/>
      <c r="K432" s="899"/>
      <c r="L432" s="899"/>
      <c r="M432" s="899"/>
      <c r="N432" s="899"/>
      <c r="O432" s="899"/>
      <c r="P432" s="899"/>
      <c r="Q432" s="899"/>
      <c r="R432" s="899"/>
      <c r="S432" s="899"/>
      <c r="T432" s="899"/>
      <c r="U432" s="899"/>
      <c r="V432" s="899"/>
      <c r="W432" s="899"/>
      <c r="X432" s="899"/>
      <c r="Y432" s="899"/>
      <c r="Z432" s="899"/>
      <c r="AA432" s="899"/>
      <c r="AB432" s="899"/>
      <c r="AC432" s="899"/>
      <c r="AD432" s="899"/>
      <c r="AE432" s="899"/>
      <c r="AF432" s="899"/>
      <c r="AG432" s="899"/>
      <c r="AH432" s="899"/>
      <c r="AI432" s="899"/>
      <c r="AJ432" s="899"/>
      <c r="AK432" s="899"/>
      <c r="AL432" s="899"/>
      <c r="AM432" s="899"/>
      <c r="AN432" s="899"/>
      <c r="AO432" s="899"/>
    </row>
    <row r="433">
      <c r="G433" s="899"/>
      <c r="H433" s="899"/>
      <c r="I433" s="899"/>
      <c r="J433" s="899"/>
      <c r="K433" s="899"/>
      <c r="L433" s="899"/>
      <c r="M433" s="899"/>
      <c r="N433" s="899"/>
      <c r="O433" s="899"/>
      <c r="P433" s="899"/>
      <c r="Q433" s="899"/>
      <c r="R433" s="899"/>
      <c r="S433" s="899"/>
      <c r="T433" s="899"/>
      <c r="U433" s="899"/>
      <c r="V433" s="899"/>
      <c r="W433" s="899"/>
      <c r="X433" s="899"/>
      <c r="Y433" s="899"/>
      <c r="Z433" s="899"/>
      <c r="AA433" s="899"/>
      <c r="AB433" s="899"/>
      <c r="AC433" s="899"/>
      <c r="AD433" s="899"/>
      <c r="AE433" s="899"/>
      <c r="AF433" s="899"/>
      <c r="AG433" s="899"/>
      <c r="AH433" s="899"/>
      <c r="AI433" s="899"/>
      <c r="AJ433" s="899"/>
      <c r="AK433" s="899"/>
      <c r="AL433" s="899"/>
      <c r="AM433" s="899"/>
      <c r="AN433" s="899"/>
      <c r="AO433" s="899"/>
    </row>
    <row r="434">
      <c r="G434" s="899"/>
      <c r="H434" s="899"/>
      <c r="I434" s="899"/>
      <c r="J434" s="899"/>
      <c r="K434" s="899"/>
      <c r="L434" s="899"/>
      <c r="M434" s="899"/>
      <c r="N434" s="899"/>
      <c r="O434" s="899"/>
      <c r="P434" s="899"/>
      <c r="Q434" s="899"/>
      <c r="R434" s="899"/>
      <c r="S434" s="899"/>
      <c r="T434" s="899"/>
      <c r="U434" s="899"/>
      <c r="V434" s="899"/>
      <c r="W434" s="899"/>
      <c r="X434" s="899"/>
      <c r="Y434" s="899"/>
      <c r="Z434" s="899"/>
      <c r="AA434" s="899"/>
      <c r="AB434" s="899"/>
      <c r="AC434" s="899"/>
      <c r="AD434" s="899"/>
      <c r="AE434" s="899"/>
      <c r="AF434" s="899"/>
      <c r="AG434" s="899"/>
      <c r="AH434" s="899"/>
      <c r="AI434" s="899"/>
      <c r="AJ434" s="899"/>
      <c r="AK434" s="899"/>
      <c r="AL434" s="899"/>
      <c r="AM434" s="899"/>
      <c r="AN434" s="899"/>
      <c r="AO434" s="899"/>
    </row>
    <row r="435">
      <c r="G435" s="899"/>
      <c r="H435" s="899"/>
      <c r="I435" s="899"/>
      <c r="J435" s="899"/>
      <c r="K435" s="899"/>
      <c r="L435" s="899"/>
      <c r="M435" s="899"/>
      <c r="N435" s="899"/>
      <c r="O435" s="899"/>
      <c r="P435" s="899"/>
      <c r="Q435" s="899"/>
      <c r="R435" s="899"/>
      <c r="S435" s="899"/>
      <c r="T435" s="899"/>
      <c r="U435" s="899"/>
      <c r="V435" s="899"/>
      <c r="W435" s="899"/>
      <c r="X435" s="899"/>
      <c r="Y435" s="899"/>
      <c r="Z435" s="899"/>
      <c r="AA435" s="899"/>
      <c r="AB435" s="899"/>
      <c r="AC435" s="899"/>
      <c r="AD435" s="899"/>
      <c r="AE435" s="899"/>
      <c r="AF435" s="899"/>
      <c r="AG435" s="899"/>
      <c r="AH435" s="899"/>
      <c r="AI435" s="899"/>
      <c r="AJ435" s="899"/>
      <c r="AK435" s="899"/>
      <c r="AL435" s="899"/>
      <c r="AM435" s="899"/>
      <c r="AN435" s="899"/>
      <c r="AO435" s="899"/>
    </row>
    <row r="436">
      <c r="G436" s="899"/>
      <c r="H436" s="899"/>
      <c r="I436" s="899"/>
      <c r="J436" s="899"/>
      <c r="K436" s="899"/>
      <c r="L436" s="899"/>
      <c r="M436" s="899"/>
      <c r="N436" s="899"/>
      <c r="O436" s="899"/>
      <c r="P436" s="899"/>
      <c r="Q436" s="899"/>
      <c r="R436" s="899"/>
      <c r="S436" s="899"/>
      <c r="T436" s="899"/>
      <c r="U436" s="899"/>
      <c r="V436" s="899"/>
      <c r="W436" s="899"/>
      <c r="X436" s="899"/>
      <c r="Y436" s="899"/>
      <c r="Z436" s="899"/>
      <c r="AA436" s="899"/>
      <c r="AB436" s="899"/>
      <c r="AC436" s="899"/>
      <c r="AD436" s="899"/>
      <c r="AE436" s="899"/>
      <c r="AF436" s="899"/>
      <c r="AG436" s="899"/>
      <c r="AH436" s="899"/>
      <c r="AI436" s="899"/>
      <c r="AJ436" s="899"/>
      <c r="AK436" s="899"/>
      <c r="AL436" s="899"/>
      <c r="AM436" s="899"/>
      <c r="AN436" s="899"/>
      <c r="AO436" s="899"/>
    </row>
    <row r="437">
      <c r="G437" s="899"/>
      <c r="H437" s="899"/>
      <c r="I437" s="899"/>
      <c r="J437" s="899"/>
      <c r="K437" s="899"/>
      <c r="L437" s="899"/>
      <c r="M437" s="899"/>
      <c r="N437" s="899"/>
      <c r="O437" s="899"/>
      <c r="P437" s="899"/>
      <c r="Q437" s="899"/>
      <c r="R437" s="899"/>
      <c r="S437" s="899"/>
      <c r="T437" s="899"/>
      <c r="U437" s="899"/>
      <c r="V437" s="899"/>
      <c r="W437" s="899"/>
      <c r="X437" s="899"/>
      <c r="Y437" s="899"/>
      <c r="Z437" s="899"/>
      <c r="AA437" s="899"/>
      <c r="AB437" s="899"/>
      <c r="AC437" s="899"/>
      <c r="AD437" s="899"/>
      <c r="AE437" s="899"/>
      <c r="AF437" s="899"/>
      <c r="AG437" s="899"/>
      <c r="AH437" s="899"/>
      <c r="AI437" s="899"/>
      <c r="AJ437" s="899"/>
      <c r="AK437" s="899"/>
      <c r="AL437" s="899"/>
      <c r="AM437" s="899"/>
      <c r="AN437" s="899"/>
      <c r="AO437" s="899"/>
    </row>
    <row r="438">
      <c r="G438" s="899"/>
      <c r="H438" s="899"/>
      <c r="I438" s="899"/>
      <c r="J438" s="899"/>
      <c r="K438" s="899"/>
      <c r="L438" s="899"/>
      <c r="M438" s="899"/>
      <c r="N438" s="899"/>
      <c r="O438" s="899"/>
      <c r="P438" s="899"/>
      <c r="Q438" s="899"/>
      <c r="R438" s="899"/>
      <c r="S438" s="899"/>
      <c r="T438" s="899"/>
      <c r="U438" s="899"/>
      <c r="V438" s="899"/>
      <c r="W438" s="899"/>
      <c r="X438" s="899"/>
      <c r="Y438" s="899"/>
      <c r="Z438" s="899"/>
      <c r="AA438" s="899"/>
      <c r="AB438" s="899"/>
      <c r="AC438" s="899"/>
      <c r="AD438" s="899"/>
      <c r="AE438" s="899"/>
      <c r="AF438" s="899"/>
      <c r="AG438" s="899"/>
      <c r="AH438" s="899"/>
      <c r="AI438" s="899"/>
      <c r="AJ438" s="899"/>
      <c r="AK438" s="899"/>
      <c r="AL438" s="899"/>
      <c r="AM438" s="899"/>
      <c r="AN438" s="899"/>
      <c r="AO438" s="899"/>
    </row>
    <row r="439">
      <c r="G439" s="899"/>
      <c r="H439" s="899"/>
      <c r="I439" s="899"/>
      <c r="J439" s="899"/>
      <c r="K439" s="899"/>
      <c r="L439" s="899"/>
      <c r="M439" s="899"/>
      <c r="N439" s="899"/>
      <c r="O439" s="899"/>
      <c r="P439" s="899"/>
      <c r="Q439" s="899"/>
      <c r="R439" s="899"/>
      <c r="S439" s="899"/>
      <c r="T439" s="899"/>
      <c r="U439" s="899"/>
      <c r="V439" s="899"/>
      <c r="W439" s="899"/>
      <c r="X439" s="899"/>
      <c r="Y439" s="899"/>
      <c r="Z439" s="899"/>
      <c r="AA439" s="899"/>
      <c r="AB439" s="899"/>
      <c r="AC439" s="899"/>
      <c r="AD439" s="899"/>
      <c r="AE439" s="899"/>
      <c r="AF439" s="899"/>
      <c r="AG439" s="899"/>
      <c r="AH439" s="899"/>
      <c r="AI439" s="899"/>
      <c r="AJ439" s="899"/>
      <c r="AK439" s="899"/>
      <c r="AL439" s="899"/>
      <c r="AM439" s="899"/>
      <c r="AN439" s="899"/>
      <c r="AO439" s="899"/>
    </row>
    <row r="440">
      <c r="G440" s="899"/>
      <c r="H440" s="899"/>
      <c r="I440" s="899"/>
      <c r="J440" s="899"/>
      <c r="K440" s="899"/>
      <c r="L440" s="899"/>
      <c r="M440" s="899"/>
      <c r="N440" s="899"/>
      <c r="O440" s="899"/>
      <c r="P440" s="899"/>
      <c r="Q440" s="899"/>
      <c r="R440" s="899"/>
      <c r="S440" s="899"/>
      <c r="T440" s="899"/>
      <c r="U440" s="899"/>
      <c r="V440" s="899"/>
      <c r="W440" s="899"/>
      <c r="X440" s="899"/>
      <c r="Y440" s="899"/>
      <c r="Z440" s="899"/>
      <c r="AA440" s="899"/>
      <c r="AB440" s="899"/>
      <c r="AC440" s="899"/>
      <c r="AD440" s="899"/>
      <c r="AE440" s="899"/>
      <c r="AF440" s="899"/>
      <c r="AG440" s="899"/>
      <c r="AH440" s="899"/>
      <c r="AI440" s="899"/>
      <c r="AJ440" s="899"/>
      <c r="AK440" s="899"/>
      <c r="AL440" s="899"/>
      <c r="AM440" s="899"/>
      <c r="AN440" s="899"/>
      <c r="AO440" s="899"/>
    </row>
    <row r="441">
      <c r="G441" s="899"/>
      <c r="H441" s="899"/>
      <c r="I441" s="899"/>
      <c r="J441" s="899"/>
      <c r="K441" s="899"/>
      <c r="L441" s="899"/>
      <c r="M441" s="899"/>
      <c r="N441" s="899"/>
      <c r="O441" s="899"/>
      <c r="P441" s="899"/>
      <c r="Q441" s="899"/>
      <c r="R441" s="899"/>
      <c r="S441" s="899"/>
      <c r="T441" s="899"/>
      <c r="U441" s="899"/>
      <c r="V441" s="899"/>
      <c r="W441" s="899"/>
      <c r="X441" s="899"/>
      <c r="Y441" s="899"/>
      <c r="Z441" s="899"/>
      <c r="AA441" s="899"/>
      <c r="AB441" s="899"/>
      <c r="AC441" s="899"/>
      <c r="AD441" s="899"/>
      <c r="AE441" s="899"/>
      <c r="AF441" s="899"/>
      <c r="AG441" s="899"/>
      <c r="AH441" s="899"/>
      <c r="AI441" s="899"/>
      <c r="AJ441" s="899"/>
      <c r="AK441" s="899"/>
      <c r="AL441" s="899"/>
      <c r="AM441" s="899"/>
      <c r="AN441" s="899"/>
      <c r="AO441" s="899"/>
    </row>
    <row r="442">
      <c r="G442" s="899"/>
      <c r="H442" s="899"/>
      <c r="I442" s="899"/>
      <c r="J442" s="899"/>
      <c r="K442" s="899"/>
      <c r="L442" s="899"/>
      <c r="M442" s="899"/>
      <c r="N442" s="899"/>
      <c r="O442" s="899"/>
      <c r="P442" s="899"/>
      <c r="Q442" s="899"/>
      <c r="R442" s="899"/>
      <c r="S442" s="899"/>
      <c r="T442" s="899"/>
      <c r="U442" s="899"/>
      <c r="V442" s="899"/>
      <c r="W442" s="899"/>
      <c r="X442" s="899"/>
      <c r="Y442" s="899"/>
      <c r="Z442" s="899"/>
      <c r="AA442" s="899"/>
      <c r="AB442" s="899"/>
      <c r="AC442" s="899"/>
      <c r="AD442" s="899"/>
      <c r="AE442" s="899"/>
      <c r="AF442" s="899"/>
      <c r="AG442" s="899"/>
      <c r="AH442" s="899"/>
      <c r="AI442" s="899"/>
      <c r="AJ442" s="899"/>
      <c r="AK442" s="899"/>
      <c r="AL442" s="899"/>
      <c r="AM442" s="899"/>
      <c r="AN442" s="899"/>
      <c r="AO442" s="899"/>
    </row>
    <row r="443">
      <c r="G443" s="899"/>
      <c r="H443" s="899"/>
      <c r="I443" s="899"/>
      <c r="J443" s="899"/>
      <c r="K443" s="899"/>
      <c r="L443" s="899"/>
      <c r="M443" s="899"/>
      <c r="N443" s="899"/>
      <c r="O443" s="899"/>
      <c r="P443" s="899"/>
      <c r="Q443" s="899"/>
      <c r="R443" s="899"/>
      <c r="S443" s="899"/>
      <c r="T443" s="899"/>
      <c r="U443" s="899"/>
      <c r="V443" s="899"/>
      <c r="W443" s="899"/>
      <c r="X443" s="899"/>
      <c r="Y443" s="899"/>
      <c r="Z443" s="899"/>
      <c r="AA443" s="899"/>
      <c r="AB443" s="899"/>
      <c r="AC443" s="899"/>
      <c r="AD443" s="899"/>
      <c r="AE443" s="899"/>
      <c r="AF443" s="899"/>
      <c r="AG443" s="899"/>
      <c r="AH443" s="899"/>
      <c r="AI443" s="899"/>
      <c r="AJ443" s="899"/>
      <c r="AK443" s="899"/>
      <c r="AL443" s="899"/>
      <c r="AM443" s="899"/>
      <c r="AN443" s="899"/>
      <c r="AO443" s="899"/>
    </row>
    <row r="444">
      <c r="G444" s="899"/>
      <c r="H444" s="899"/>
      <c r="I444" s="899"/>
      <c r="J444" s="899"/>
      <c r="K444" s="899"/>
      <c r="L444" s="899"/>
      <c r="M444" s="899"/>
      <c r="N444" s="899"/>
      <c r="O444" s="899"/>
      <c r="P444" s="899"/>
      <c r="Q444" s="899"/>
      <c r="R444" s="899"/>
      <c r="S444" s="899"/>
      <c r="T444" s="899"/>
      <c r="U444" s="899"/>
      <c r="V444" s="899"/>
      <c r="W444" s="899"/>
      <c r="X444" s="899"/>
      <c r="Y444" s="899"/>
      <c r="Z444" s="899"/>
      <c r="AA444" s="899"/>
      <c r="AB444" s="899"/>
      <c r="AC444" s="899"/>
      <c r="AD444" s="899"/>
      <c r="AE444" s="899"/>
      <c r="AF444" s="899"/>
      <c r="AG444" s="899"/>
      <c r="AH444" s="899"/>
      <c r="AI444" s="899"/>
      <c r="AJ444" s="899"/>
      <c r="AK444" s="899"/>
      <c r="AL444" s="899"/>
      <c r="AM444" s="899"/>
      <c r="AN444" s="899"/>
      <c r="AO444" s="899"/>
    </row>
    <row r="445">
      <c r="G445" s="899"/>
      <c r="H445" s="899"/>
      <c r="I445" s="899"/>
      <c r="J445" s="899"/>
      <c r="K445" s="899"/>
      <c r="L445" s="899"/>
      <c r="M445" s="899"/>
      <c r="N445" s="899"/>
      <c r="O445" s="899"/>
      <c r="P445" s="899"/>
      <c r="Q445" s="899"/>
      <c r="R445" s="899"/>
      <c r="S445" s="899"/>
      <c r="T445" s="899"/>
      <c r="U445" s="899"/>
      <c r="V445" s="899"/>
      <c r="W445" s="899"/>
      <c r="X445" s="899"/>
      <c r="Y445" s="899"/>
      <c r="Z445" s="899"/>
      <c r="AA445" s="899"/>
      <c r="AB445" s="899"/>
      <c r="AC445" s="899"/>
      <c r="AD445" s="899"/>
      <c r="AE445" s="899"/>
      <c r="AF445" s="899"/>
      <c r="AG445" s="899"/>
      <c r="AH445" s="899"/>
      <c r="AI445" s="899"/>
      <c r="AJ445" s="899"/>
      <c r="AK445" s="899"/>
      <c r="AL445" s="899"/>
      <c r="AM445" s="899"/>
      <c r="AN445" s="899"/>
      <c r="AO445" s="899"/>
    </row>
    <row r="446">
      <c r="G446" s="899"/>
      <c r="H446" s="899"/>
      <c r="I446" s="899"/>
      <c r="J446" s="899"/>
      <c r="K446" s="899"/>
      <c r="L446" s="899"/>
      <c r="M446" s="899"/>
      <c r="N446" s="899"/>
      <c r="O446" s="899"/>
      <c r="P446" s="899"/>
      <c r="Q446" s="899"/>
      <c r="R446" s="899"/>
      <c r="S446" s="899"/>
      <c r="T446" s="899"/>
      <c r="U446" s="899"/>
      <c r="V446" s="899"/>
      <c r="W446" s="899"/>
      <c r="X446" s="899"/>
      <c r="Y446" s="899"/>
      <c r="Z446" s="899"/>
      <c r="AA446" s="899"/>
      <c r="AB446" s="899"/>
      <c r="AC446" s="899"/>
      <c r="AD446" s="899"/>
      <c r="AE446" s="899"/>
      <c r="AF446" s="899"/>
      <c r="AG446" s="899"/>
      <c r="AH446" s="899"/>
      <c r="AI446" s="899"/>
      <c r="AJ446" s="899"/>
      <c r="AK446" s="899"/>
      <c r="AL446" s="899"/>
      <c r="AM446" s="899"/>
      <c r="AN446" s="899"/>
      <c r="AO446" s="899"/>
    </row>
    <row r="447">
      <c r="G447" s="899"/>
      <c r="H447" s="899"/>
      <c r="I447" s="899"/>
      <c r="J447" s="899"/>
      <c r="K447" s="899"/>
      <c r="L447" s="899"/>
      <c r="M447" s="899"/>
      <c r="N447" s="899"/>
      <c r="O447" s="899"/>
      <c r="P447" s="899"/>
      <c r="Q447" s="899"/>
      <c r="R447" s="899"/>
      <c r="S447" s="899"/>
      <c r="T447" s="899"/>
      <c r="U447" s="899"/>
      <c r="V447" s="899"/>
      <c r="W447" s="899"/>
      <c r="X447" s="899"/>
      <c r="Y447" s="899"/>
      <c r="Z447" s="899"/>
      <c r="AA447" s="899"/>
      <c r="AB447" s="899"/>
      <c r="AC447" s="899"/>
      <c r="AD447" s="899"/>
      <c r="AE447" s="899"/>
      <c r="AF447" s="899"/>
      <c r="AG447" s="899"/>
      <c r="AH447" s="899"/>
      <c r="AI447" s="899"/>
      <c r="AJ447" s="899"/>
      <c r="AK447" s="899"/>
      <c r="AL447" s="899"/>
      <c r="AM447" s="899"/>
      <c r="AN447" s="899"/>
      <c r="AO447" s="899"/>
    </row>
    <row r="448">
      <c r="G448" s="899"/>
      <c r="H448" s="899"/>
      <c r="I448" s="899"/>
      <c r="J448" s="899"/>
      <c r="K448" s="899"/>
      <c r="L448" s="899"/>
      <c r="M448" s="899"/>
      <c r="N448" s="899"/>
      <c r="O448" s="899"/>
      <c r="P448" s="899"/>
      <c r="Q448" s="899"/>
      <c r="R448" s="899"/>
      <c r="S448" s="899"/>
      <c r="T448" s="899"/>
      <c r="U448" s="899"/>
      <c r="V448" s="899"/>
      <c r="W448" s="899"/>
      <c r="X448" s="899"/>
      <c r="Y448" s="899"/>
      <c r="Z448" s="899"/>
      <c r="AA448" s="899"/>
      <c r="AB448" s="899"/>
      <c r="AC448" s="899"/>
      <c r="AD448" s="899"/>
      <c r="AE448" s="899"/>
      <c r="AF448" s="899"/>
      <c r="AG448" s="899"/>
      <c r="AH448" s="899"/>
      <c r="AI448" s="899"/>
      <c r="AJ448" s="899"/>
      <c r="AK448" s="899"/>
      <c r="AL448" s="899"/>
      <c r="AM448" s="899"/>
      <c r="AN448" s="899"/>
      <c r="AO448" s="899"/>
    </row>
    <row r="449">
      <c r="G449" s="899"/>
      <c r="H449" s="899"/>
      <c r="I449" s="899"/>
      <c r="J449" s="899"/>
      <c r="K449" s="899"/>
      <c r="L449" s="899"/>
      <c r="M449" s="899"/>
      <c r="N449" s="899"/>
      <c r="O449" s="899"/>
      <c r="P449" s="899"/>
      <c r="Q449" s="899"/>
      <c r="R449" s="899"/>
      <c r="S449" s="899"/>
      <c r="T449" s="899"/>
      <c r="U449" s="899"/>
      <c r="V449" s="899"/>
      <c r="W449" s="899"/>
      <c r="X449" s="899"/>
      <c r="Y449" s="899"/>
      <c r="Z449" s="899"/>
      <c r="AA449" s="899"/>
      <c r="AB449" s="899"/>
      <c r="AC449" s="899"/>
      <c r="AD449" s="899"/>
      <c r="AE449" s="899"/>
      <c r="AF449" s="899"/>
      <c r="AG449" s="899"/>
      <c r="AH449" s="899"/>
      <c r="AI449" s="899"/>
      <c r="AJ449" s="899"/>
      <c r="AK449" s="899"/>
      <c r="AL449" s="899"/>
      <c r="AM449" s="899"/>
      <c r="AN449" s="899"/>
      <c r="AO449" s="899"/>
    </row>
    <row r="450">
      <c r="G450" s="899"/>
      <c r="H450" s="899"/>
      <c r="I450" s="899"/>
      <c r="J450" s="899"/>
      <c r="K450" s="899"/>
      <c r="L450" s="899"/>
      <c r="M450" s="899"/>
      <c r="N450" s="899"/>
      <c r="O450" s="899"/>
      <c r="P450" s="899"/>
      <c r="Q450" s="899"/>
      <c r="R450" s="899"/>
      <c r="S450" s="899"/>
      <c r="T450" s="899"/>
      <c r="U450" s="899"/>
      <c r="V450" s="899"/>
      <c r="W450" s="899"/>
      <c r="X450" s="899"/>
      <c r="Y450" s="899"/>
      <c r="Z450" s="899"/>
      <c r="AA450" s="899"/>
      <c r="AB450" s="899"/>
      <c r="AC450" s="899"/>
      <c r="AD450" s="899"/>
      <c r="AE450" s="899"/>
      <c r="AF450" s="899"/>
      <c r="AG450" s="899"/>
      <c r="AH450" s="899"/>
      <c r="AI450" s="899"/>
      <c r="AJ450" s="899"/>
      <c r="AK450" s="899"/>
      <c r="AL450" s="899"/>
      <c r="AM450" s="899"/>
      <c r="AN450" s="899"/>
      <c r="AO450" s="899"/>
    </row>
    <row r="451">
      <c r="G451" s="899"/>
      <c r="H451" s="899"/>
      <c r="I451" s="899"/>
      <c r="J451" s="899"/>
      <c r="K451" s="899"/>
      <c r="L451" s="899"/>
      <c r="M451" s="899"/>
      <c r="N451" s="899"/>
      <c r="O451" s="899"/>
      <c r="P451" s="899"/>
      <c r="Q451" s="899"/>
      <c r="R451" s="899"/>
      <c r="S451" s="899"/>
      <c r="T451" s="899"/>
      <c r="U451" s="899"/>
      <c r="V451" s="899"/>
      <c r="W451" s="899"/>
      <c r="X451" s="899"/>
      <c r="Y451" s="899"/>
      <c r="Z451" s="899"/>
      <c r="AA451" s="899"/>
      <c r="AB451" s="899"/>
      <c r="AC451" s="899"/>
      <c r="AD451" s="899"/>
      <c r="AE451" s="899"/>
      <c r="AF451" s="899"/>
      <c r="AG451" s="899"/>
      <c r="AH451" s="899"/>
      <c r="AI451" s="899"/>
      <c r="AJ451" s="899"/>
      <c r="AK451" s="899"/>
      <c r="AL451" s="899"/>
      <c r="AM451" s="899"/>
      <c r="AN451" s="899"/>
      <c r="AO451" s="899"/>
    </row>
    <row r="452">
      <c r="G452" s="899"/>
      <c r="H452" s="899"/>
      <c r="I452" s="899"/>
      <c r="J452" s="899"/>
      <c r="K452" s="899"/>
      <c r="L452" s="899"/>
      <c r="M452" s="899"/>
      <c r="N452" s="899"/>
      <c r="O452" s="899"/>
      <c r="P452" s="899"/>
      <c r="Q452" s="899"/>
      <c r="R452" s="899"/>
      <c r="S452" s="899"/>
      <c r="T452" s="899"/>
      <c r="U452" s="899"/>
      <c r="V452" s="899"/>
      <c r="W452" s="899"/>
      <c r="X452" s="899"/>
      <c r="Y452" s="899"/>
      <c r="Z452" s="899"/>
      <c r="AA452" s="899"/>
      <c r="AB452" s="899"/>
      <c r="AC452" s="899"/>
      <c r="AD452" s="899"/>
      <c r="AE452" s="899"/>
      <c r="AF452" s="899"/>
      <c r="AG452" s="899"/>
      <c r="AH452" s="899"/>
      <c r="AI452" s="899"/>
      <c r="AJ452" s="899"/>
      <c r="AK452" s="899"/>
      <c r="AL452" s="899"/>
      <c r="AM452" s="899"/>
      <c r="AN452" s="899"/>
      <c r="AO452" s="899"/>
    </row>
    <row r="453">
      <c r="G453" s="899"/>
      <c r="H453" s="899"/>
      <c r="I453" s="899"/>
      <c r="J453" s="899"/>
      <c r="K453" s="899"/>
      <c r="L453" s="899"/>
      <c r="M453" s="899"/>
      <c r="N453" s="899"/>
      <c r="O453" s="899"/>
      <c r="P453" s="899"/>
      <c r="Q453" s="899"/>
      <c r="R453" s="899"/>
      <c r="S453" s="899"/>
      <c r="T453" s="899"/>
      <c r="U453" s="899"/>
      <c r="V453" s="899"/>
      <c r="W453" s="899"/>
      <c r="X453" s="899"/>
      <c r="Y453" s="899"/>
      <c r="Z453" s="899"/>
      <c r="AA453" s="899"/>
      <c r="AB453" s="899"/>
      <c r="AC453" s="899"/>
      <c r="AD453" s="899"/>
      <c r="AE453" s="899"/>
      <c r="AF453" s="899"/>
      <c r="AG453" s="899"/>
      <c r="AH453" s="899"/>
      <c r="AI453" s="899"/>
      <c r="AJ453" s="899"/>
      <c r="AK453" s="899"/>
      <c r="AL453" s="899"/>
      <c r="AM453" s="899"/>
      <c r="AN453" s="899"/>
      <c r="AO453" s="899"/>
    </row>
    <row r="454">
      <c r="G454" s="899"/>
      <c r="H454" s="899"/>
      <c r="I454" s="899"/>
      <c r="J454" s="899"/>
      <c r="K454" s="899"/>
      <c r="L454" s="899"/>
      <c r="M454" s="899"/>
      <c r="N454" s="899"/>
      <c r="O454" s="899"/>
      <c r="P454" s="899"/>
      <c r="Q454" s="899"/>
      <c r="R454" s="899"/>
      <c r="S454" s="899"/>
      <c r="T454" s="899"/>
      <c r="U454" s="899"/>
      <c r="V454" s="899"/>
      <c r="W454" s="899"/>
      <c r="X454" s="899"/>
      <c r="Y454" s="899"/>
      <c r="Z454" s="899"/>
      <c r="AA454" s="899"/>
      <c r="AB454" s="899"/>
      <c r="AC454" s="899"/>
      <c r="AD454" s="899"/>
      <c r="AE454" s="899"/>
      <c r="AF454" s="899"/>
      <c r="AG454" s="899"/>
      <c r="AH454" s="899"/>
      <c r="AI454" s="899"/>
      <c r="AJ454" s="899"/>
      <c r="AK454" s="899"/>
      <c r="AL454" s="899"/>
      <c r="AM454" s="899"/>
      <c r="AN454" s="899"/>
      <c r="AO454" s="899"/>
    </row>
    <row r="455">
      <c r="G455" s="899"/>
      <c r="H455" s="899"/>
      <c r="I455" s="899"/>
      <c r="J455" s="899"/>
      <c r="K455" s="899"/>
      <c r="L455" s="899"/>
      <c r="M455" s="899"/>
      <c r="N455" s="899"/>
      <c r="O455" s="899"/>
      <c r="P455" s="899"/>
      <c r="Q455" s="899"/>
      <c r="R455" s="899"/>
      <c r="S455" s="899"/>
      <c r="T455" s="899"/>
      <c r="U455" s="899"/>
      <c r="V455" s="899"/>
      <c r="W455" s="899"/>
      <c r="X455" s="899"/>
      <c r="Y455" s="899"/>
      <c r="Z455" s="899"/>
      <c r="AA455" s="899"/>
      <c r="AB455" s="899"/>
      <c r="AC455" s="899"/>
      <c r="AD455" s="899"/>
      <c r="AE455" s="899"/>
      <c r="AF455" s="899"/>
      <c r="AG455" s="899"/>
      <c r="AH455" s="899"/>
      <c r="AI455" s="899"/>
      <c r="AJ455" s="899"/>
      <c r="AK455" s="899"/>
      <c r="AL455" s="899"/>
      <c r="AM455" s="899"/>
      <c r="AN455" s="899"/>
      <c r="AO455" s="899"/>
    </row>
    <row r="456">
      <c r="G456" s="899"/>
      <c r="H456" s="899"/>
      <c r="I456" s="899"/>
      <c r="J456" s="899"/>
      <c r="K456" s="899"/>
      <c r="L456" s="899"/>
      <c r="M456" s="899"/>
      <c r="N456" s="899"/>
      <c r="O456" s="899"/>
      <c r="P456" s="899"/>
      <c r="Q456" s="899"/>
      <c r="R456" s="899"/>
      <c r="S456" s="899"/>
      <c r="T456" s="899"/>
      <c r="U456" s="899"/>
      <c r="V456" s="899"/>
      <c r="W456" s="899"/>
      <c r="X456" s="899"/>
      <c r="Y456" s="899"/>
      <c r="Z456" s="899"/>
      <c r="AA456" s="899"/>
      <c r="AB456" s="899"/>
      <c r="AC456" s="899"/>
      <c r="AD456" s="899"/>
      <c r="AE456" s="899"/>
      <c r="AF456" s="899"/>
      <c r="AG456" s="899"/>
      <c r="AH456" s="899"/>
      <c r="AI456" s="899"/>
      <c r="AJ456" s="899"/>
      <c r="AK456" s="899"/>
      <c r="AL456" s="899"/>
      <c r="AM456" s="899"/>
      <c r="AN456" s="899"/>
      <c r="AO456" s="899"/>
    </row>
    <row r="457">
      <c r="G457" s="899"/>
      <c r="H457" s="899"/>
      <c r="I457" s="899"/>
      <c r="J457" s="899"/>
      <c r="K457" s="899"/>
      <c r="L457" s="899"/>
      <c r="M457" s="899"/>
      <c r="N457" s="899"/>
      <c r="O457" s="899"/>
      <c r="P457" s="899"/>
      <c r="Q457" s="899"/>
      <c r="R457" s="899"/>
      <c r="S457" s="899"/>
      <c r="T457" s="899"/>
      <c r="U457" s="899"/>
      <c r="V457" s="899"/>
      <c r="W457" s="899"/>
      <c r="X457" s="899"/>
      <c r="Y457" s="899"/>
      <c r="Z457" s="899"/>
      <c r="AA457" s="899"/>
      <c r="AB457" s="899"/>
      <c r="AC457" s="899"/>
      <c r="AD457" s="899"/>
      <c r="AE457" s="899"/>
      <c r="AF457" s="899"/>
      <c r="AG457" s="899"/>
      <c r="AH457" s="899"/>
      <c r="AI457" s="899"/>
      <c r="AJ457" s="899"/>
      <c r="AK457" s="899"/>
      <c r="AL457" s="899"/>
      <c r="AM457" s="899"/>
      <c r="AN457" s="899"/>
      <c r="AO457" s="899"/>
    </row>
    <row r="458">
      <c r="G458" s="899"/>
      <c r="H458" s="899"/>
      <c r="I458" s="899"/>
      <c r="J458" s="899"/>
      <c r="K458" s="899"/>
      <c r="L458" s="899"/>
      <c r="M458" s="899"/>
      <c r="N458" s="899"/>
      <c r="O458" s="899"/>
      <c r="P458" s="899"/>
      <c r="Q458" s="899"/>
      <c r="R458" s="899"/>
      <c r="S458" s="899"/>
      <c r="T458" s="899"/>
      <c r="U458" s="899"/>
      <c r="V458" s="899"/>
      <c r="W458" s="899"/>
      <c r="X458" s="899"/>
      <c r="Y458" s="899"/>
      <c r="Z458" s="899"/>
      <c r="AA458" s="899"/>
      <c r="AB458" s="899"/>
      <c r="AC458" s="899"/>
      <c r="AD458" s="899"/>
      <c r="AE458" s="899"/>
      <c r="AF458" s="899"/>
      <c r="AG458" s="899"/>
      <c r="AH458" s="899"/>
      <c r="AI458" s="899"/>
      <c r="AJ458" s="899"/>
      <c r="AK458" s="899"/>
      <c r="AL458" s="899"/>
      <c r="AM458" s="899"/>
      <c r="AN458" s="899"/>
      <c r="AO458" s="899"/>
    </row>
    <row r="459">
      <c r="G459" s="899"/>
      <c r="H459" s="899"/>
      <c r="I459" s="899"/>
      <c r="J459" s="899"/>
      <c r="K459" s="899"/>
      <c r="L459" s="899"/>
      <c r="M459" s="899"/>
      <c r="N459" s="899"/>
      <c r="O459" s="899"/>
      <c r="P459" s="899"/>
      <c r="Q459" s="899"/>
      <c r="R459" s="899"/>
      <c r="S459" s="899"/>
      <c r="T459" s="899"/>
      <c r="U459" s="899"/>
      <c r="V459" s="899"/>
      <c r="W459" s="899"/>
      <c r="X459" s="899"/>
      <c r="Y459" s="899"/>
      <c r="Z459" s="899"/>
      <c r="AA459" s="899"/>
      <c r="AB459" s="899"/>
      <c r="AC459" s="899"/>
      <c r="AD459" s="899"/>
      <c r="AE459" s="899"/>
      <c r="AF459" s="899"/>
      <c r="AG459" s="899"/>
      <c r="AH459" s="899"/>
      <c r="AI459" s="899"/>
      <c r="AJ459" s="899"/>
      <c r="AK459" s="899"/>
      <c r="AL459" s="899"/>
      <c r="AM459" s="899"/>
      <c r="AN459" s="899"/>
      <c r="AO459" s="899"/>
    </row>
    <row r="460">
      <c r="G460" s="899"/>
      <c r="H460" s="899"/>
      <c r="I460" s="899"/>
      <c r="J460" s="899"/>
      <c r="K460" s="899"/>
      <c r="L460" s="899"/>
      <c r="M460" s="899"/>
      <c r="N460" s="899"/>
      <c r="O460" s="899"/>
      <c r="P460" s="899"/>
      <c r="Q460" s="899"/>
      <c r="R460" s="899"/>
      <c r="S460" s="899"/>
      <c r="T460" s="899"/>
      <c r="U460" s="899"/>
      <c r="V460" s="899"/>
      <c r="W460" s="899"/>
      <c r="X460" s="899"/>
      <c r="Y460" s="899"/>
      <c r="Z460" s="899"/>
      <c r="AA460" s="899"/>
      <c r="AB460" s="899"/>
      <c r="AC460" s="899"/>
      <c r="AD460" s="899"/>
      <c r="AE460" s="899"/>
      <c r="AF460" s="899"/>
      <c r="AG460" s="899"/>
      <c r="AH460" s="899"/>
      <c r="AI460" s="899"/>
      <c r="AJ460" s="899"/>
      <c r="AK460" s="899"/>
      <c r="AL460" s="899"/>
      <c r="AM460" s="899"/>
      <c r="AN460" s="899"/>
      <c r="AO460" s="899"/>
    </row>
    <row r="461">
      <c r="G461" s="899"/>
      <c r="H461" s="899"/>
      <c r="I461" s="899"/>
      <c r="J461" s="899"/>
      <c r="K461" s="899"/>
      <c r="L461" s="899"/>
      <c r="M461" s="899"/>
      <c r="N461" s="899"/>
      <c r="O461" s="899"/>
      <c r="P461" s="899"/>
      <c r="Q461" s="899"/>
      <c r="R461" s="899"/>
      <c r="S461" s="899"/>
      <c r="T461" s="899"/>
      <c r="U461" s="899"/>
      <c r="V461" s="899"/>
      <c r="W461" s="899"/>
      <c r="X461" s="899"/>
      <c r="Y461" s="899"/>
      <c r="Z461" s="899"/>
      <c r="AA461" s="899"/>
      <c r="AB461" s="899"/>
      <c r="AC461" s="899"/>
      <c r="AD461" s="899"/>
      <c r="AE461" s="899"/>
      <c r="AF461" s="899"/>
      <c r="AG461" s="899"/>
      <c r="AH461" s="899"/>
      <c r="AI461" s="899"/>
      <c r="AJ461" s="899"/>
      <c r="AK461" s="899"/>
      <c r="AL461" s="899"/>
      <c r="AM461" s="899"/>
      <c r="AN461" s="899"/>
      <c r="AO461" s="899"/>
    </row>
    <row r="462">
      <c r="G462" s="899"/>
      <c r="H462" s="899"/>
      <c r="I462" s="899"/>
      <c r="J462" s="899"/>
      <c r="K462" s="899"/>
      <c r="L462" s="899"/>
      <c r="M462" s="899"/>
      <c r="N462" s="899"/>
      <c r="O462" s="899"/>
      <c r="P462" s="899"/>
      <c r="Q462" s="899"/>
      <c r="R462" s="899"/>
      <c r="S462" s="899"/>
      <c r="T462" s="899"/>
      <c r="U462" s="899"/>
      <c r="V462" s="899"/>
      <c r="W462" s="899"/>
      <c r="X462" s="899"/>
      <c r="Y462" s="899"/>
      <c r="Z462" s="899"/>
      <c r="AA462" s="899"/>
      <c r="AB462" s="899"/>
      <c r="AC462" s="899"/>
      <c r="AD462" s="899"/>
      <c r="AE462" s="899"/>
      <c r="AF462" s="899"/>
      <c r="AG462" s="899"/>
      <c r="AH462" s="899"/>
      <c r="AI462" s="899"/>
      <c r="AJ462" s="899"/>
      <c r="AK462" s="899"/>
      <c r="AL462" s="899"/>
      <c r="AM462" s="899"/>
      <c r="AN462" s="899"/>
      <c r="AO462" s="899"/>
    </row>
    <row r="463">
      <c r="G463" s="899"/>
      <c r="H463" s="899"/>
      <c r="I463" s="899"/>
      <c r="J463" s="899"/>
      <c r="K463" s="899"/>
      <c r="L463" s="899"/>
      <c r="M463" s="899"/>
      <c r="N463" s="899"/>
      <c r="O463" s="899"/>
      <c r="P463" s="899"/>
      <c r="Q463" s="899"/>
      <c r="R463" s="899"/>
      <c r="S463" s="899"/>
      <c r="T463" s="899"/>
      <c r="U463" s="899"/>
      <c r="V463" s="899"/>
      <c r="W463" s="899"/>
      <c r="X463" s="899"/>
      <c r="Y463" s="899"/>
      <c r="Z463" s="899"/>
      <c r="AA463" s="899"/>
      <c r="AB463" s="899"/>
      <c r="AC463" s="899"/>
      <c r="AD463" s="899"/>
      <c r="AE463" s="899"/>
      <c r="AF463" s="899"/>
      <c r="AG463" s="899"/>
      <c r="AH463" s="899"/>
      <c r="AI463" s="899"/>
      <c r="AJ463" s="899"/>
      <c r="AK463" s="899"/>
      <c r="AL463" s="899"/>
      <c r="AM463" s="899"/>
      <c r="AN463" s="899"/>
      <c r="AO463" s="899"/>
    </row>
    <row r="464">
      <c r="G464" s="899"/>
      <c r="H464" s="899"/>
      <c r="I464" s="899"/>
      <c r="J464" s="899"/>
      <c r="K464" s="899"/>
      <c r="L464" s="899"/>
      <c r="M464" s="899"/>
      <c r="N464" s="899"/>
      <c r="O464" s="899"/>
      <c r="P464" s="899"/>
      <c r="Q464" s="899"/>
      <c r="R464" s="899"/>
      <c r="S464" s="899"/>
      <c r="T464" s="899"/>
      <c r="U464" s="899"/>
      <c r="V464" s="899"/>
      <c r="W464" s="899"/>
      <c r="X464" s="899"/>
      <c r="Y464" s="899"/>
      <c r="Z464" s="899"/>
      <c r="AA464" s="899"/>
      <c r="AB464" s="899"/>
      <c r="AC464" s="899"/>
      <c r="AD464" s="899"/>
      <c r="AE464" s="899"/>
      <c r="AF464" s="899"/>
      <c r="AG464" s="899"/>
      <c r="AH464" s="899"/>
      <c r="AI464" s="899"/>
      <c r="AJ464" s="899"/>
      <c r="AK464" s="899"/>
      <c r="AL464" s="899"/>
      <c r="AM464" s="899"/>
      <c r="AN464" s="899"/>
      <c r="AO464" s="899"/>
    </row>
    <row r="465">
      <c r="G465" s="899"/>
      <c r="H465" s="899"/>
      <c r="I465" s="899"/>
      <c r="J465" s="899"/>
      <c r="K465" s="899"/>
      <c r="L465" s="899"/>
      <c r="M465" s="899"/>
      <c r="N465" s="899"/>
      <c r="O465" s="899"/>
      <c r="P465" s="899"/>
      <c r="Q465" s="899"/>
      <c r="R465" s="899"/>
      <c r="S465" s="899"/>
      <c r="T465" s="899"/>
      <c r="U465" s="899"/>
      <c r="V465" s="899"/>
      <c r="W465" s="899"/>
      <c r="X465" s="899"/>
      <c r="Y465" s="899"/>
      <c r="Z465" s="899"/>
      <c r="AA465" s="899"/>
      <c r="AB465" s="899"/>
      <c r="AC465" s="899"/>
      <c r="AD465" s="899"/>
      <c r="AE465" s="899"/>
      <c r="AF465" s="899"/>
      <c r="AG465" s="899"/>
      <c r="AH465" s="899"/>
      <c r="AI465" s="899"/>
      <c r="AJ465" s="899"/>
      <c r="AK465" s="899"/>
      <c r="AL465" s="899"/>
      <c r="AM465" s="899"/>
      <c r="AN465" s="899"/>
      <c r="AO465" s="899"/>
    </row>
    <row r="466">
      <c r="G466" s="899"/>
      <c r="H466" s="899"/>
      <c r="I466" s="899"/>
      <c r="J466" s="899"/>
      <c r="K466" s="899"/>
      <c r="L466" s="899"/>
      <c r="M466" s="899"/>
      <c r="N466" s="899"/>
      <c r="O466" s="899"/>
      <c r="P466" s="899"/>
      <c r="Q466" s="899"/>
      <c r="R466" s="899"/>
      <c r="S466" s="899"/>
      <c r="T466" s="899"/>
      <c r="U466" s="899"/>
      <c r="V466" s="899"/>
      <c r="W466" s="899"/>
      <c r="X466" s="899"/>
      <c r="Y466" s="899"/>
      <c r="Z466" s="899"/>
      <c r="AA466" s="899"/>
      <c r="AB466" s="899"/>
      <c r="AC466" s="899"/>
      <c r="AD466" s="899"/>
      <c r="AE466" s="899"/>
      <c r="AF466" s="899"/>
      <c r="AG466" s="899"/>
      <c r="AH466" s="899"/>
      <c r="AI466" s="899"/>
      <c r="AJ466" s="899"/>
      <c r="AK466" s="899"/>
      <c r="AL466" s="899"/>
      <c r="AM466" s="899"/>
      <c r="AN466" s="899"/>
      <c r="AO466" s="899"/>
    </row>
    <row r="467">
      <c r="G467" s="899"/>
      <c r="H467" s="899"/>
      <c r="I467" s="899"/>
      <c r="J467" s="899"/>
      <c r="K467" s="899"/>
      <c r="L467" s="899"/>
      <c r="M467" s="899"/>
      <c r="N467" s="899"/>
      <c r="O467" s="899"/>
      <c r="P467" s="899"/>
      <c r="Q467" s="899"/>
      <c r="R467" s="899"/>
      <c r="S467" s="899"/>
      <c r="T467" s="899"/>
      <c r="U467" s="899"/>
      <c r="V467" s="899"/>
      <c r="W467" s="899"/>
      <c r="X467" s="899"/>
      <c r="Y467" s="899"/>
      <c r="Z467" s="899"/>
      <c r="AA467" s="899"/>
      <c r="AB467" s="899"/>
      <c r="AC467" s="899"/>
      <c r="AD467" s="899"/>
      <c r="AE467" s="899"/>
      <c r="AF467" s="899"/>
      <c r="AG467" s="899"/>
      <c r="AH467" s="899"/>
      <c r="AI467" s="899"/>
      <c r="AJ467" s="899"/>
      <c r="AK467" s="899"/>
      <c r="AL467" s="899"/>
      <c r="AM467" s="899"/>
      <c r="AN467" s="899"/>
      <c r="AO467" s="899"/>
    </row>
    <row r="468">
      <c r="G468" s="899"/>
      <c r="H468" s="899"/>
      <c r="I468" s="899"/>
      <c r="J468" s="899"/>
      <c r="K468" s="899"/>
      <c r="L468" s="899"/>
      <c r="M468" s="899"/>
      <c r="N468" s="899"/>
      <c r="O468" s="899"/>
      <c r="P468" s="899"/>
      <c r="Q468" s="899"/>
      <c r="R468" s="899"/>
      <c r="S468" s="899"/>
      <c r="T468" s="899"/>
      <c r="U468" s="899"/>
      <c r="V468" s="899"/>
      <c r="W468" s="899"/>
      <c r="X468" s="899"/>
      <c r="Y468" s="899"/>
      <c r="Z468" s="899"/>
      <c r="AA468" s="899"/>
      <c r="AB468" s="899"/>
      <c r="AC468" s="899"/>
      <c r="AD468" s="899"/>
      <c r="AE468" s="899"/>
      <c r="AF468" s="899"/>
      <c r="AG468" s="899"/>
      <c r="AH468" s="899"/>
      <c r="AI468" s="899"/>
      <c r="AJ468" s="899"/>
      <c r="AK468" s="899"/>
      <c r="AL468" s="899"/>
      <c r="AM468" s="899"/>
      <c r="AN468" s="899"/>
      <c r="AO468" s="899"/>
    </row>
    <row r="469">
      <c r="G469" s="899"/>
      <c r="H469" s="899"/>
      <c r="I469" s="899"/>
      <c r="J469" s="899"/>
      <c r="K469" s="899"/>
      <c r="L469" s="899"/>
      <c r="M469" s="899"/>
      <c r="N469" s="899"/>
      <c r="O469" s="899"/>
      <c r="P469" s="899"/>
      <c r="Q469" s="899"/>
      <c r="R469" s="899"/>
      <c r="S469" s="899"/>
      <c r="T469" s="899"/>
      <c r="U469" s="899"/>
      <c r="V469" s="899"/>
      <c r="W469" s="899"/>
      <c r="X469" s="899"/>
      <c r="Y469" s="899"/>
      <c r="Z469" s="899"/>
      <c r="AA469" s="899"/>
      <c r="AB469" s="899"/>
      <c r="AC469" s="899"/>
      <c r="AD469" s="899"/>
      <c r="AE469" s="899"/>
      <c r="AF469" s="899"/>
      <c r="AG469" s="899"/>
      <c r="AH469" s="899"/>
      <c r="AI469" s="899"/>
      <c r="AJ469" s="899"/>
      <c r="AK469" s="899"/>
      <c r="AL469" s="899"/>
      <c r="AM469" s="899"/>
      <c r="AN469" s="899"/>
      <c r="AO469" s="899"/>
    </row>
    <row r="470">
      <c r="G470" s="899"/>
      <c r="H470" s="899"/>
      <c r="I470" s="899"/>
      <c r="J470" s="899"/>
      <c r="K470" s="899"/>
      <c r="L470" s="899"/>
      <c r="M470" s="899"/>
      <c r="N470" s="899"/>
      <c r="O470" s="899"/>
      <c r="P470" s="899"/>
      <c r="Q470" s="899"/>
      <c r="R470" s="899"/>
      <c r="S470" s="899"/>
      <c r="T470" s="899"/>
      <c r="U470" s="899"/>
      <c r="V470" s="899"/>
      <c r="W470" s="899"/>
      <c r="X470" s="899"/>
      <c r="Y470" s="899"/>
      <c r="Z470" s="899"/>
      <c r="AA470" s="899"/>
      <c r="AB470" s="899"/>
      <c r="AC470" s="899"/>
      <c r="AD470" s="899"/>
      <c r="AE470" s="899"/>
      <c r="AF470" s="899"/>
      <c r="AG470" s="899"/>
      <c r="AH470" s="899"/>
      <c r="AI470" s="899"/>
      <c r="AJ470" s="899"/>
      <c r="AK470" s="899"/>
      <c r="AL470" s="899"/>
      <c r="AM470" s="899"/>
      <c r="AN470" s="899"/>
      <c r="AO470" s="899"/>
    </row>
    <row r="471">
      <c r="G471" s="899"/>
      <c r="H471" s="899"/>
      <c r="I471" s="899"/>
      <c r="J471" s="899"/>
      <c r="K471" s="899"/>
      <c r="L471" s="899"/>
      <c r="M471" s="899"/>
      <c r="N471" s="899"/>
      <c r="O471" s="899"/>
      <c r="P471" s="899"/>
      <c r="Q471" s="899"/>
      <c r="R471" s="899"/>
      <c r="S471" s="899"/>
      <c r="T471" s="899"/>
      <c r="U471" s="899"/>
      <c r="V471" s="899"/>
      <c r="W471" s="899"/>
      <c r="X471" s="899"/>
      <c r="Y471" s="899"/>
      <c r="Z471" s="899"/>
      <c r="AA471" s="899"/>
      <c r="AB471" s="899"/>
      <c r="AC471" s="899"/>
      <c r="AD471" s="899"/>
      <c r="AE471" s="899"/>
      <c r="AF471" s="899"/>
      <c r="AG471" s="899"/>
      <c r="AH471" s="899"/>
      <c r="AI471" s="899"/>
      <c r="AJ471" s="899"/>
      <c r="AK471" s="899"/>
      <c r="AL471" s="899"/>
      <c r="AM471" s="899"/>
      <c r="AN471" s="899"/>
      <c r="AO471" s="899"/>
    </row>
    <row r="472">
      <c r="G472" s="899"/>
      <c r="H472" s="899"/>
      <c r="I472" s="899"/>
      <c r="J472" s="899"/>
      <c r="K472" s="899"/>
      <c r="L472" s="899"/>
      <c r="M472" s="899"/>
      <c r="N472" s="899"/>
      <c r="O472" s="899"/>
      <c r="P472" s="899"/>
      <c r="Q472" s="899"/>
      <c r="R472" s="899"/>
      <c r="S472" s="899"/>
      <c r="T472" s="899"/>
      <c r="U472" s="899"/>
      <c r="V472" s="899"/>
      <c r="W472" s="899"/>
      <c r="X472" s="899"/>
      <c r="Y472" s="899"/>
      <c r="Z472" s="899"/>
      <c r="AA472" s="899"/>
      <c r="AB472" s="899"/>
      <c r="AC472" s="899"/>
      <c r="AD472" s="899"/>
      <c r="AE472" s="899"/>
      <c r="AF472" s="899"/>
      <c r="AG472" s="899"/>
      <c r="AH472" s="899"/>
      <c r="AI472" s="899"/>
      <c r="AJ472" s="899"/>
      <c r="AK472" s="899"/>
      <c r="AL472" s="899"/>
      <c r="AM472" s="899"/>
      <c r="AN472" s="899"/>
      <c r="AO472" s="899"/>
    </row>
    <row r="473">
      <c r="G473" s="899"/>
      <c r="H473" s="899"/>
      <c r="I473" s="899"/>
      <c r="J473" s="899"/>
      <c r="K473" s="899"/>
      <c r="L473" s="899"/>
      <c r="M473" s="899"/>
      <c r="N473" s="899"/>
      <c r="O473" s="899"/>
      <c r="P473" s="899"/>
      <c r="Q473" s="899"/>
      <c r="R473" s="899"/>
      <c r="S473" s="899"/>
      <c r="T473" s="899"/>
      <c r="U473" s="899"/>
      <c r="V473" s="899"/>
      <c r="W473" s="899"/>
      <c r="X473" s="899"/>
      <c r="Y473" s="899"/>
      <c r="Z473" s="899"/>
      <c r="AA473" s="899"/>
      <c r="AB473" s="899"/>
      <c r="AC473" s="899"/>
      <c r="AD473" s="899"/>
      <c r="AE473" s="899"/>
      <c r="AF473" s="899"/>
      <c r="AG473" s="899"/>
      <c r="AH473" s="899"/>
      <c r="AI473" s="899"/>
      <c r="AJ473" s="899"/>
      <c r="AK473" s="899"/>
      <c r="AL473" s="899"/>
      <c r="AM473" s="899"/>
      <c r="AN473" s="899"/>
      <c r="AO473" s="899"/>
    </row>
    <row r="474">
      <c r="G474" s="899"/>
      <c r="H474" s="899"/>
      <c r="I474" s="899"/>
      <c r="J474" s="899"/>
      <c r="K474" s="899"/>
      <c r="L474" s="899"/>
      <c r="M474" s="899"/>
      <c r="N474" s="899"/>
      <c r="O474" s="899"/>
      <c r="P474" s="899"/>
      <c r="Q474" s="899"/>
      <c r="R474" s="899"/>
      <c r="S474" s="899"/>
      <c r="T474" s="899"/>
      <c r="U474" s="899"/>
      <c r="V474" s="899"/>
      <c r="W474" s="899"/>
      <c r="X474" s="899"/>
      <c r="Y474" s="899"/>
      <c r="Z474" s="899"/>
      <c r="AA474" s="899"/>
      <c r="AB474" s="899"/>
      <c r="AC474" s="899"/>
      <c r="AD474" s="899"/>
      <c r="AE474" s="899"/>
      <c r="AF474" s="899"/>
      <c r="AG474" s="899"/>
      <c r="AH474" s="899"/>
      <c r="AI474" s="899"/>
      <c r="AJ474" s="899"/>
      <c r="AK474" s="899"/>
      <c r="AL474" s="899"/>
      <c r="AM474" s="899"/>
      <c r="AN474" s="899"/>
      <c r="AO474" s="899"/>
    </row>
    <row r="475">
      <c r="G475" s="899"/>
      <c r="H475" s="899"/>
      <c r="I475" s="899"/>
      <c r="J475" s="899"/>
      <c r="K475" s="899"/>
      <c r="L475" s="899"/>
      <c r="M475" s="899"/>
      <c r="N475" s="899"/>
      <c r="O475" s="899"/>
      <c r="P475" s="899"/>
      <c r="Q475" s="899"/>
      <c r="R475" s="899"/>
      <c r="S475" s="899"/>
      <c r="T475" s="899"/>
      <c r="U475" s="899"/>
      <c r="V475" s="899"/>
      <c r="W475" s="899"/>
      <c r="X475" s="899"/>
      <c r="Y475" s="899"/>
      <c r="Z475" s="899"/>
      <c r="AA475" s="899"/>
      <c r="AB475" s="899"/>
      <c r="AC475" s="899"/>
      <c r="AD475" s="899"/>
      <c r="AE475" s="899"/>
      <c r="AF475" s="899"/>
      <c r="AG475" s="899"/>
      <c r="AH475" s="899"/>
      <c r="AI475" s="899"/>
      <c r="AJ475" s="899"/>
      <c r="AK475" s="899"/>
      <c r="AL475" s="899"/>
      <c r="AM475" s="899"/>
      <c r="AN475" s="899"/>
      <c r="AO475" s="899"/>
    </row>
    <row r="476">
      <c r="G476" s="899"/>
      <c r="H476" s="899"/>
      <c r="I476" s="899"/>
      <c r="J476" s="899"/>
      <c r="K476" s="899"/>
      <c r="L476" s="899"/>
      <c r="M476" s="899"/>
      <c r="N476" s="899"/>
      <c r="O476" s="899"/>
      <c r="P476" s="899"/>
      <c r="Q476" s="899"/>
      <c r="R476" s="899"/>
      <c r="S476" s="899"/>
      <c r="T476" s="899"/>
      <c r="U476" s="899"/>
      <c r="V476" s="899"/>
      <c r="W476" s="899"/>
      <c r="X476" s="899"/>
      <c r="Y476" s="899"/>
      <c r="Z476" s="899"/>
      <c r="AA476" s="899"/>
      <c r="AB476" s="899"/>
      <c r="AC476" s="899"/>
      <c r="AD476" s="899"/>
      <c r="AE476" s="899"/>
      <c r="AF476" s="899"/>
      <c r="AG476" s="899"/>
      <c r="AH476" s="899"/>
      <c r="AI476" s="899"/>
      <c r="AJ476" s="899"/>
      <c r="AK476" s="899"/>
      <c r="AL476" s="899"/>
      <c r="AM476" s="899"/>
      <c r="AN476" s="899"/>
      <c r="AO476" s="899"/>
    </row>
    <row r="477">
      <c r="G477" s="899"/>
      <c r="H477" s="899"/>
      <c r="I477" s="899"/>
      <c r="J477" s="899"/>
      <c r="K477" s="899"/>
      <c r="L477" s="899"/>
      <c r="M477" s="899"/>
      <c r="N477" s="899"/>
      <c r="O477" s="899"/>
      <c r="P477" s="899"/>
      <c r="Q477" s="899"/>
      <c r="R477" s="899"/>
      <c r="S477" s="899"/>
      <c r="T477" s="899"/>
      <c r="U477" s="899"/>
      <c r="V477" s="899"/>
      <c r="W477" s="899"/>
      <c r="X477" s="899"/>
      <c r="Y477" s="899"/>
      <c r="Z477" s="899"/>
      <c r="AA477" s="899"/>
      <c r="AB477" s="899"/>
      <c r="AC477" s="899"/>
      <c r="AD477" s="899"/>
      <c r="AE477" s="899"/>
      <c r="AF477" s="899"/>
      <c r="AG477" s="899"/>
      <c r="AH477" s="899"/>
      <c r="AI477" s="899"/>
      <c r="AJ477" s="899"/>
      <c r="AK477" s="899"/>
      <c r="AL477" s="899"/>
      <c r="AM477" s="899"/>
      <c r="AN477" s="899"/>
      <c r="AO477" s="899"/>
    </row>
    <row r="478">
      <c r="G478" s="899"/>
      <c r="H478" s="899"/>
      <c r="I478" s="899"/>
      <c r="J478" s="899"/>
      <c r="K478" s="899"/>
      <c r="L478" s="899"/>
      <c r="M478" s="899"/>
      <c r="N478" s="899"/>
      <c r="O478" s="899"/>
      <c r="P478" s="899"/>
      <c r="Q478" s="899"/>
      <c r="R478" s="899"/>
      <c r="S478" s="899"/>
      <c r="T478" s="899"/>
      <c r="U478" s="899"/>
      <c r="V478" s="899"/>
      <c r="W478" s="899"/>
      <c r="X478" s="899"/>
      <c r="Y478" s="899"/>
      <c r="Z478" s="899"/>
      <c r="AA478" s="899"/>
      <c r="AB478" s="899"/>
      <c r="AC478" s="899"/>
      <c r="AD478" s="899"/>
      <c r="AE478" s="899"/>
      <c r="AF478" s="899"/>
      <c r="AG478" s="899"/>
      <c r="AH478" s="899"/>
      <c r="AI478" s="899"/>
      <c r="AJ478" s="899"/>
      <c r="AK478" s="899"/>
      <c r="AL478" s="899"/>
      <c r="AM478" s="899"/>
      <c r="AN478" s="899"/>
      <c r="AO478" s="899"/>
    </row>
    <row r="479">
      <c r="G479" s="899"/>
      <c r="H479" s="899"/>
      <c r="I479" s="899"/>
      <c r="J479" s="899"/>
      <c r="K479" s="899"/>
      <c r="L479" s="899"/>
      <c r="M479" s="899"/>
      <c r="N479" s="899"/>
      <c r="O479" s="899"/>
      <c r="P479" s="899"/>
      <c r="Q479" s="899"/>
      <c r="R479" s="899"/>
      <c r="S479" s="899"/>
      <c r="T479" s="899"/>
      <c r="U479" s="899"/>
      <c r="V479" s="899"/>
      <c r="W479" s="899"/>
      <c r="X479" s="899"/>
      <c r="Y479" s="899"/>
      <c r="Z479" s="899"/>
      <c r="AA479" s="899"/>
      <c r="AB479" s="899"/>
      <c r="AC479" s="899"/>
      <c r="AD479" s="899"/>
      <c r="AE479" s="899"/>
      <c r="AF479" s="899"/>
      <c r="AG479" s="899"/>
      <c r="AH479" s="899"/>
      <c r="AI479" s="899"/>
      <c r="AJ479" s="899"/>
      <c r="AK479" s="899"/>
      <c r="AL479" s="899"/>
      <c r="AM479" s="899"/>
      <c r="AN479" s="899"/>
      <c r="AO479" s="899"/>
    </row>
    <row r="480">
      <c r="G480" s="899"/>
      <c r="H480" s="899"/>
      <c r="I480" s="899"/>
      <c r="J480" s="899"/>
      <c r="K480" s="899"/>
      <c r="L480" s="899"/>
      <c r="M480" s="899"/>
      <c r="N480" s="899"/>
      <c r="O480" s="899"/>
      <c r="P480" s="899"/>
      <c r="Q480" s="899"/>
      <c r="R480" s="899"/>
      <c r="S480" s="899"/>
      <c r="T480" s="899"/>
      <c r="U480" s="899"/>
      <c r="V480" s="899"/>
      <c r="W480" s="899"/>
      <c r="X480" s="899"/>
      <c r="Y480" s="899"/>
      <c r="Z480" s="899"/>
      <c r="AA480" s="899"/>
      <c r="AB480" s="899"/>
      <c r="AC480" s="899"/>
      <c r="AD480" s="899"/>
      <c r="AE480" s="899"/>
      <c r="AF480" s="899"/>
      <c r="AG480" s="899"/>
      <c r="AH480" s="899"/>
      <c r="AI480" s="899"/>
      <c r="AJ480" s="899"/>
      <c r="AK480" s="899"/>
      <c r="AL480" s="899"/>
      <c r="AM480" s="899"/>
      <c r="AN480" s="899"/>
      <c r="AO480" s="899"/>
    </row>
    <row r="481">
      <c r="G481" s="899"/>
      <c r="H481" s="899"/>
      <c r="I481" s="899"/>
      <c r="J481" s="899"/>
      <c r="K481" s="899"/>
      <c r="L481" s="899"/>
      <c r="M481" s="899"/>
      <c r="N481" s="899"/>
      <c r="O481" s="899"/>
      <c r="P481" s="899"/>
      <c r="Q481" s="899"/>
      <c r="R481" s="899"/>
      <c r="S481" s="899"/>
      <c r="T481" s="899"/>
      <c r="U481" s="899"/>
      <c r="V481" s="899"/>
      <c r="W481" s="899"/>
      <c r="X481" s="899"/>
      <c r="Y481" s="899"/>
      <c r="Z481" s="899"/>
      <c r="AA481" s="899"/>
      <c r="AB481" s="899"/>
      <c r="AC481" s="899"/>
      <c r="AD481" s="899"/>
      <c r="AE481" s="899"/>
      <c r="AF481" s="899"/>
      <c r="AG481" s="899"/>
      <c r="AH481" s="899"/>
      <c r="AI481" s="899"/>
      <c r="AJ481" s="899"/>
      <c r="AK481" s="899"/>
      <c r="AL481" s="899"/>
      <c r="AM481" s="899"/>
      <c r="AN481" s="899"/>
      <c r="AO481" s="899"/>
    </row>
    <row r="482">
      <c r="G482" s="899"/>
      <c r="H482" s="899"/>
      <c r="I482" s="899"/>
      <c r="J482" s="899"/>
      <c r="K482" s="899"/>
      <c r="L482" s="899"/>
      <c r="M482" s="899"/>
      <c r="N482" s="899"/>
      <c r="O482" s="899"/>
      <c r="P482" s="899"/>
      <c r="Q482" s="899"/>
      <c r="R482" s="899"/>
      <c r="S482" s="899"/>
      <c r="T482" s="899"/>
      <c r="U482" s="899"/>
      <c r="V482" s="899"/>
      <c r="W482" s="899"/>
      <c r="X482" s="899"/>
      <c r="Y482" s="899"/>
      <c r="Z482" s="899"/>
      <c r="AA482" s="899"/>
      <c r="AB482" s="899"/>
      <c r="AC482" s="899"/>
      <c r="AD482" s="899"/>
      <c r="AE482" s="899"/>
      <c r="AF482" s="899"/>
      <c r="AG482" s="899"/>
      <c r="AH482" s="899"/>
      <c r="AI482" s="899"/>
      <c r="AJ482" s="899"/>
      <c r="AK482" s="899"/>
      <c r="AL482" s="899"/>
      <c r="AM482" s="899"/>
      <c r="AN482" s="899"/>
      <c r="AO482" s="899"/>
    </row>
    <row r="483">
      <c r="G483" s="899"/>
      <c r="H483" s="899"/>
      <c r="I483" s="899"/>
      <c r="J483" s="899"/>
      <c r="K483" s="899"/>
      <c r="L483" s="899"/>
      <c r="M483" s="899"/>
      <c r="N483" s="899"/>
      <c r="O483" s="899"/>
      <c r="P483" s="899"/>
      <c r="Q483" s="899"/>
      <c r="R483" s="899"/>
      <c r="S483" s="899"/>
      <c r="T483" s="899"/>
      <c r="U483" s="899"/>
      <c r="V483" s="899"/>
      <c r="W483" s="899"/>
      <c r="X483" s="899"/>
      <c r="Y483" s="899"/>
      <c r="Z483" s="899"/>
      <c r="AA483" s="899"/>
      <c r="AB483" s="899"/>
      <c r="AC483" s="899"/>
      <c r="AD483" s="899"/>
      <c r="AE483" s="899"/>
      <c r="AF483" s="899"/>
      <c r="AG483" s="899"/>
      <c r="AH483" s="899"/>
      <c r="AI483" s="899"/>
      <c r="AJ483" s="899"/>
      <c r="AK483" s="899"/>
      <c r="AL483" s="899"/>
      <c r="AM483" s="899"/>
      <c r="AN483" s="899"/>
      <c r="AO483" s="899"/>
    </row>
    <row r="484">
      <c r="G484" s="899"/>
      <c r="H484" s="899"/>
      <c r="I484" s="899"/>
      <c r="J484" s="899"/>
      <c r="K484" s="899"/>
      <c r="L484" s="899"/>
      <c r="M484" s="899"/>
      <c r="N484" s="899"/>
      <c r="O484" s="899"/>
      <c r="P484" s="899"/>
      <c r="Q484" s="899"/>
      <c r="R484" s="899"/>
      <c r="S484" s="899"/>
      <c r="T484" s="899"/>
      <c r="U484" s="899"/>
      <c r="V484" s="899"/>
      <c r="W484" s="899"/>
      <c r="X484" s="899"/>
      <c r="Y484" s="899"/>
      <c r="Z484" s="899"/>
      <c r="AA484" s="899"/>
      <c r="AB484" s="899"/>
      <c r="AC484" s="899"/>
      <c r="AD484" s="899"/>
      <c r="AE484" s="899"/>
      <c r="AF484" s="899"/>
      <c r="AG484" s="899"/>
      <c r="AH484" s="899"/>
      <c r="AI484" s="899"/>
      <c r="AJ484" s="899"/>
      <c r="AK484" s="899"/>
      <c r="AL484" s="899"/>
      <c r="AM484" s="899"/>
      <c r="AN484" s="899"/>
      <c r="AO484" s="899"/>
    </row>
    <row r="485">
      <c r="G485" s="899"/>
      <c r="H485" s="899"/>
      <c r="I485" s="899"/>
      <c r="J485" s="899"/>
      <c r="K485" s="899"/>
      <c r="L485" s="899"/>
      <c r="M485" s="899"/>
      <c r="N485" s="899"/>
      <c r="O485" s="899"/>
      <c r="P485" s="899"/>
      <c r="Q485" s="899"/>
      <c r="R485" s="899"/>
      <c r="S485" s="899"/>
      <c r="T485" s="899"/>
      <c r="U485" s="899"/>
      <c r="V485" s="899"/>
      <c r="W485" s="899"/>
      <c r="X485" s="899"/>
      <c r="Y485" s="899"/>
      <c r="Z485" s="899"/>
      <c r="AA485" s="899"/>
      <c r="AB485" s="899"/>
      <c r="AC485" s="899"/>
      <c r="AD485" s="899"/>
      <c r="AE485" s="899"/>
      <c r="AF485" s="899"/>
      <c r="AG485" s="899"/>
      <c r="AH485" s="899"/>
      <c r="AI485" s="899"/>
      <c r="AJ485" s="899"/>
      <c r="AK485" s="899"/>
      <c r="AL485" s="899"/>
      <c r="AM485" s="899"/>
      <c r="AN485" s="899"/>
      <c r="AO485" s="899"/>
    </row>
    <row r="486">
      <c r="G486" s="899"/>
      <c r="H486" s="899"/>
      <c r="I486" s="899"/>
      <c r="J486" s="899"/>
      <c r="K486" s="899"/>
      <c r="L486" s="899"/>
      <c r="M486" s="899"/>
      <c r="N486" s="899"/>
      <c r="O486" s="899"/>
      <c r="P486" s="899"/>
      <c r="Q486" s="899"/>
      <c r="R486" s="899"/>
      <c r="S486" s="899"/>
      <c r="T486" s="899"/>
      <c r="U486" s="899"/>
      <c r="V486" s="899"/>
      <c r="W486" s="899"/>
      <c r="X486" s="899"/>
      <c r="Y486" s="899"/>
      <c r="Z486" s="899"/>
      <c r="AA486" s="899"/>
      <c r="AB486" s="899"/>
      <c r="AC486" s="899"/>
      <c r="AD486" s="899"/>
      <c r="AE486" s="899"/>
      <c r="AF486" s="899"/>
      <c r="AG486" s="899"/>
      <c r="AH486" s="899"/>
      <c r="AI486" s="899"/>
      <c r="AJ486" s="899"/>
      <c r="AK486" s="899"/>
      <c r="AL486" s="899"/>
      <c r="AM486" s="899"/>
      <c r="AN486" s="899"/>
      <c r="AO486" s="899"/>
    </row>
    <row r="487">
      <c r="G487" s="899"/>
      <c r="H487" s="899"/>
      <c r="I487" s="899"/>
      <c r="J487" s="899"/>
      <c r="K487" s="899"/>
      <c r="L487" s="899"/>
      <c r="M487" s="899"/>
      <c r="N487" s="899"/>
      <c r="O487" s="899"/>
      <c r="P487" s="899"/>
      <c r="Q487" s="899"/>
      <c r="R487" s="899"/>
      <c r="S487" s="899"/>
      <c r="T487" s="899"/>
      <c r="U487" s="899"/>
      <c r="V487" s="899"/>
      <c r="W487" s="899"/>
      <c r="X487" s="899"/>
      <c r="Y487" s="899"/>
      <c r="Z487" s="899"/>
      <c r="AA487" s="899"/>
      <c r="AB487" s="899"/>
      <c r="AC487" s="899"/>
      <c r="AD487" s="899"/>
      <c r="AE487" s="899"/>
      <c r="AF487" s="899"/>
      <c r="AG487" s="899"/>
      <c r="AH487" s="899"/>
      <c r="AI487" s="899"/>
      <c r="AJ487" s="899"/>
      <c r="AK487" s="899"/>
      <c r="AL487" s="899"/>
      <c r="AM487" s="899"/>
      <c r="AN487" s="899"/>
      <c r="AO487" s="899"/>
    </row>
    <row r="488">
      <c r="G488" s="899"/>
      <c r="H488" s="899"/>
      <c r="I488" s="899"/>
      <c r="J488" s="899"/>
      <c r="K488" s="899"/>
      <c r="L488" s="899"/>
      <c r="M488" s="899"/>
      <c r="N488" s="899"/>
      <c r="O488" s="899"/>
      <c r="P488" s="899"/>
      <c r="Q488" s="899"/>
      <c r="R488" s="899"/>
      <c r="S488" s="899"/>
      <c r="T488" s="899"/>
      <c r="U488" s="899"/>
      <c r="V488" s="899"/>
      <c r="W488" s="899"/>
      <c r="X488" s="899"/>
      <c r="Y488" s="899"/>
      <c r="Z488" s="899"/>
      <c r="AA488" s="899"/>
      <c r="AB488" s="899"/>
      <c r="AC488" s="899"/>
      <c r="AD488" s="899"/>
      <c r="AE488" s="899"/>
      <c r="AF488" s="899"/>
      <c r="AG488" s="899"/>
      <c r="AH488" s="899"/>
      <c r="AI488" s="899"/>
      <c r="AJ488" s="899"/>
      <c r="AK488" s="899"/>
      <c r="AL488" s="899"/>
      <c r="AM488" s="899"/>
      <c r="AN488" s="899"/>
      <c r="AO488" s="899"/>
    </row>
    <row r="489">
      <c r="G489" s="899"/>
      <c r="H489" s="899"/>
      <c r="I489" s="899"/>
      <c r="J489" s="899"/>
      <c r="K489" s="899"/>
      <c r="L489" s="899"/>
      <c r="M489" s="899"/>
      <c r="N489" s="899"/>
      <c r="O489" s="899"/>
      <c r="P489" s="899"/>
      <c r="Q489" s="899"/>
      <c r="R489" s="899"/>
      <c r="S489" s="899"/>
      <c r="T489" s="899"/>
      <c r="U489" s="899"/>
      <c r="V489" s="899"/>
      <c r="W489" s="899"/>
      <c r="X489" s="899"/>
      <c r="Y489" s="899"/>
      <c r="Z489" s="899"/>
      <c r="AA489" s="899"/>
      <c r="AB489" s="899"/>
      <c r="AC489" s="899"/>
      <c r="AD489" s="899"/>
      <c r="AE489" s="899"/>
      <c r="AF489" s="899"/>
      <c r="AG489" s="899"/>
      <c r="AH489" s="899"/>
      <c r="AI489" s="899"/>
      <c r="AJ489" s="899"/>
      <c r="AK489" s="899"/>
      <c r="AL489" s="899"/>
      <c r="AM489" s="899"/>
      <c r="AN489" s="899"/>
      <c r="AO489" s="899"/>
    </row>
    <row r="490">
      <c r="G490" s="899"/>
      <c r="H490" s="899"/>
      <c r="I490" s="899"/>
      <c r="J490" s="899"/>
      <c r="K490" s="899"/>
      <c r="L490" s="899"/>
      <c r="M490" s="899"/>
      <c r="N490" s="899"/>
      <c r="O490" s="899"/>
      <c r="P490" s="899"/>
      <c r="Q490" s="899"/>
      <c r="R490" s="899"/>
      <c r="S490" s="899"/>
      <c r="T490" s="899"/>
      <c r="U490" s="899"/>
      <c r="V490" s="899"/>
      <c r="W490" s="899"/>
      <c r="X490" s="899"/>
      <c r="Y490" s="899"/>
      <c r="Z490" s="899"/>
      <c r="AA490" s="899"/>
      <c r="AB490" s="899"/>
      <c r="AC490" s="899"/>
      <c r="AD490" s="899"/>
      <c r="AE490" s="899"/>
      <c r="AF490" s="899"/>
      <c r="AG490" s="899"/>
      <c r="AH490" s="899"/>
      <c r="AI490" s="899"/>
      <c r="AJ490" s="899"/>
      <c r="AK490" s="899"/>
      <c r="AL490" s="899"/>
      <c r="AM490" s="899"/>
      <c r="AN490" s="899"/>
      <c r="AO490" s="899"/>
    </row>
    <row r="491">
      <c r="G491" s="899"/>
      <c r="H491" s="899"/>
      <c r="I491" s="899"/>
      <c r="J491" s="899"/>
      <c r="K491" s="899"/>
      <c r="L491" s="899"/>
      <c r="M491" s="899"/>
      <c r="N491" s="899"/>
      <c r="O491" s="899"/>
      <c r="P491" s="899"/>
      <c r="Q491" s="899"/>
      <c r="R491" s="899"/>
      <c r="S491" s="899"/>
      <c r="T491" s="899"/>
      <c r="U491" s="899"/>
      <c r="V491" s="899"/>
      <c r="W491" s="899"/>
      <c r="X491" s="899"/>
      <c r="Y491" s="899"/>
      <c r="Z491" s="899"/>
      <c r="AA491" s="899"/>
      <c r="AB491" s="899"/>
      <c r="AC491" s="899"/>
      <c r="AD491" s="899"/>
      <c r="AE491" s="899"/>
      <c r="AF491" s="899"/>
      <c r="AG491" s="899"/>
      <c r="AH491" s="899"/>
      <c r="AI491" s="899"/>
      <c r="AJ491" s="899"/>
      <c r="AK491" s="899"/>
      <c r="AL491" s="899"/>
      <c r="AM491" s="899"/>
      <c r="AN491" s="899"/>
      <c r="AO491" s="899"/>
    </row>
    <row r="492">
      <c r="G492" s="899"/>
      <c r="H492" s="899"/>
      <c r="I492" s="899"/>
      <c r="J492" s="899"/>
      <c r="K492" s="899"/>
      <c r="L492" s="899"/>
      <c r="M492" s="899"/>
      <c r="N492" s="899"/>
      <c r="O492" s="899"/>
      <c r="P492" s="899"/>
      <c r="Q492" s="899"/>
      <c r="R492" s="899"/>
      <c r="S492" s="899"/>
      <c r="T492" s="899"/>
      <c r="U492" s="899"/>
      <c r="V492" s="899"/>
      <c r="W492" s="899"/>
      <c r="X492" s="899"/>
      <c r="Y492" s="899"/>
      <c r="Z492" s="899"/>
      <c r="AA492" s="899"/>
      <c r="AB492" s="899"/>
      <c r="AC492" s="899"/>
      <c r="AD492" s="899"/>
      <c r="AE492" s="899"/>
      <c r="AF492" s="899"/>
      <c r="AG492" s="899"/>
      <c r="AH492" s="899"/>
      <c r="AI492" s="899"/>
      <c r="AJ492" s="899"/>
      <c r="AK492" s="899"/>
      <c r="AL492" s="899"/>
      <c r="AM492" s="899"/>
      <c r="AN492" s="899"/>
      <c r="AO492" s="899"/>
    </row>
    <row r="493">
      <c r="G493" s="899"/>
      <c r="H493" s="899"/>
      <c r="I493" s="899"/>
      <c r="J493" s="899"/>
      <c r="K493" s="899"/>
      <c r="L493" s="899"/>
      <c r="M493" s="899"/>
      <c r="N493" s="899"/>
      <c r="O493" s="899"/>
      <c r="P493" s="899"/>
      <c r="Q493" s="899"/>
      <c r="R493" s="899"/>
      <c r="S493" s="899"/>
      <c r="T493" s="899"/>
      <c r="U493" s="899"/>
      <c r="V493" s="899"/>
      <c r="W493" s="899"/>
      <c r="X493" s="899"/>
      <c r="Y493" s="899"/>
      <c r="Z493" s="899"/>
      <c r="AA493" s="899"/>
      <c r="AB493" s="899"/>
      <c r="AC493" s="899"/>
      <c r="AD493" s="899"/>
      <c r="AE493" s="899"/>
      <c r="AF493" s="899"/>
      <c r="AG493" s="899"/>
      <c r="AH493" s="899"/>
      <c r="AI493" s="899"/>
      <c r="AJ493" s="899"/>
      <c r="AK493" s="899"/>
      <c r="AL493" s="899"/>
      <c r="AM493" s="899"/>
      <c r="AN493" s="899"/>
      <c r="AO493" s="899"/>
    </row>
    <row r="494">
      <c r="G494" s="899"/>
      <c r="H494" s="899"/>
      <c r="I494" s="899"/>
      <c r="J494" s="899"/>
      <c r="K494" s="899"/>
      <c r="L494" s="899"/>
      <c r="M494" s="899"/>
      <c r="N494" s="899"/>
      <c r="O494" s="899"/>
      <c r="P494" s="899"/>
      <c r="Q494" s="899"/>
      <c r="R494" s="899"/>
      <c r="S494" s="899"/>
      <c r="T494" s="899"/>
      <c r="U494" s="899"/>
      <c r="V494" s="899"/>
      <c r="W494" s="899"/>
      <c r="X494" s="899"/>
      <c r="Y494" s="899"/>
      <c r="Z494" s="899"/>
      <c r="AA494" s="899"/>
      <c r="AB494" s="899"/>
      <c r="AC494" s="899"/>
      <c r="AD494" s="899"/>
      <c r="AE494" s="899"/>
      <c r="AF494" s="899"/>
      <c r="AG494" s="899"/>
      <c r="AH494" s="899"/>
      <c r="AI494" s="899"/>
      <c r="AJ494" s="899"/>
      <c r="AK494" s="899"/>
      <c r="AL494" s="899"/>
      <c r="AM494" s="899"/>
      <c r="AN494" s="899"/>
      <c r="AO494" s="899"/>
    </row>
    <row r="495">
      <c r="G495" s="899"/>
      <c r="H495" s="899"/>
      <c r="I495" s="899"/>
      <c r="J495" s="899"/>
      <c r="K495" s="899"/>
      <c r="L495" s="899"/>
      <c r="M495" s="899"/>
      <c r="N495" s="899"/>
      <c r="O495" s="899"/>
      <c r="P495" s="899"/>
      <c r="Q495" s="899"/>
      <c r="R495" s="899"/>
      <c r="S495" s="899"/>
      <c r="T495" s="899"/>
      <c r="U495" s="899"/>
      <c r="V495" s="899"/>
      <c r="W495" s="899"/>
      <c r="X495" s="899"/>
      <c r="Y495" s="899"/>
      <c r="Z495" s="899"/>
      <c r="AA495" s="899"/>
      <c r="AB495" s="899"/>
      <c r="AC495" s="899"/>
      <c r="AD495" s="899"/>
      <c r="AE495" s="899"/>
      <c r="AF495" s="899"/>
      <c r="AG495" s="899"/>
      <c r="AH495" s="899"/>
      <c r="AI495" s="899"/>
      <c r="AJ495" s="899"/>
      <c r="AK495" s="899"/>
      <c r="AL495" s="899"/>
      <c r="AM495" s="899"/>
      <c r="AN495" s="899"/>
      <c r="AO495" s="899"/>
    </row>
    <row r="496">
      <c r="G496" s="899"/>
      <c r="H496" s="899"/>
      <c r="I496" s="899"/>
      <c r="J496" s="899"/>
      <c r="K496" s="899"/>
      <c r="L496" s="899"/>
      <c r="M496" s="899"/>
      <c r="N496" s="899"/>
      <c r="O496" s="899"/>
      <c r="P496" s="899"/>
      <c r="Q496" s="899"/>
      <c r="R496" s="899"/>
      <c r="S496" s="899"/>
      <c r="T496" s="899"/>
      <c r="U496" s="899"/>
      <c r="V496" s="899"/>
      <c r="W496" s="899"/>
      <c r="X496" s="899"/>
      <c r="Y496" s="899"/>
      <c r="Z496" s="899"/>
      <c r="AA496" s="899"/>
      <c r="AB496" s="899"/>
      <c r="AC496" s="899"/>
      <c r="AD496" s="899"/>
      <c r="AE496" s="899"/>
      <c r="AF496" s="899"/>
      <c r="AG496" s="899"/>
      <c r="AH496" s="899"/>
      <c r="AI496" s="899"/>
      <c r="AJ496" s="899"/>
      <c r="AK496" s="899"/>
      <c r="AL496" s="899"/>
      <c r="AM496" s="899"/>
      <c r="AN496" s="899"/>
      <c r="AO496" s="899"/>
    </row>
    <row r="497">
      <c r="G497" s="899"/>
      <c r="H497" s="899"/>
      <c r="I497" s="899"/>
      <c r="J497" s="899"/>
      <c r="K497" s="899"/>
      <c r="L497" s="899"/>
      <c r="M497" s="899"/>
      <c r="N497" s="899"/>
      <c r="O497" s="899"/>
      <c r="P497" s="899"/>
      <c r="Q497" s="899"/>
      <c r="R497" s="899"/>
      <c r="S497" s="899"/>
      <c r="T497" s="899"/>
      <c r="U497" s="899"/>
      <c r="V497" s="899"/>
      <c r="W497" s="899"/>
      <c r="X497" s="899"/>
      <c r="Y497" s="899"/>
      <c r="Z497" s="899"/>
      <c r="AA497" s="899"/>
      <c r="AB497" s="899"/>
      <c r="AC497" s="899"/>
      <c r="AD497" s="899"/>
      <c r="AE497" s="899"/>
      <c r="AF497" s="899"/>
      <c r="AG497" s="899"/>
      <c r="AH497" s="899"/>
      <c r="AI497" s="899"/>
      <c r="AJ497" s="899"/>
      <c r="AK497" s="899"/>
      <c r="AL497" s="899"/>
      <c r="AM497" s="899"/>
      <c r="AN497" s="899"/>
      <c r="AO497" s="899"/>
    </row>
    <row r="498">
      <c r="G498" s="899"/>
      <c r="H498" s="899"/>
      <c r="I498" s="899"/>
      <c r="J498" s="899"/>
      <c r="K498" s="899"/>
      <c r="L498" s="899"/>
      <c r="M498" s="899"/>
      <c r="N498" s="899"/>
      <c r="O498" s="899"/>
      <c r="P498" s="899"/>
      <c r="Q498" s="899"/>
      <c r="R498" s="899"/>
      <c r="S498" s="899"/>
      <c r="T498" s="899"/>
      <c r="U498" s="899"/>
      <c r="V498" s="899"/>
      <c r="W498" s="899"/>
      <c r="X498" s="899"/>
      <c r="Y498" s="899"/>
      <c r="Z498" s="899"/>
      <c r="AA498" s="899"/>
      <c r="AB498" s="899"/>
      <c r="AC498" s="899"/>
      <c r="AD498" s="899"/>
      <c r="AE498" s="899"/>
      <c r="AF498" s="899"/>
      <c r="AG498" s="899"/>
      <c r="AH498" s="899"/>
      <c r="AI498" s="899"/>
      <c r="AJ498" s="899"/>
      <c r="AK498" s="899"/>
      <c r="AL498" s="899"/>
      <c r="AM498" s="899"/>
      <c r="AN498" s="899"/>
      <c r="AO498" s="899"/>
    </row>
    <row r="499">
      <c r="G499" s="899"/>
      <c r="H499" s="899"/>
      <c r="I499" s="899"/>
      <c r="J499" s="899"/>
      <c r="K499" s="899"/>
      <c r="L499" s="899"/>
      <c r="M499" s="899"/>
      <c r="N499" s="899"/>
      <c r="O499" s="899"/>
      <c r="P499" s="899"/>
      <c r="Q499" s="899"/>
      <c r="R499" s="899"/>
      <c r="S499" s="899"/>
      <c r="T499" s="899"/>
      <c r="U499" s="899"/>
      <c r="V499" s="899"/>
      <c r="W499" s="899"/>
      <c r="X499" s="899"/>
      <c r="Y499" s="899"/>
      <c r="Z499" s="899"/>
      <c r="AA499" s="899"/>
      <c r="AB499" s="899"/>
      <c r="AC499" s="899"/>
      <c r="AD499" s="899"/>
      <c r="AE499" s="899"/>
      <c r="AF499" s="899"/>
      <c r="AG499" s="899"/>
      <c r="AH499" s="899"/>
      <c r="AI499" s="899"/>
      <c r="AJ499" s="899"/>
      <c r="AK499" s="899"/>
      <c r="AL499" s="899"/>
      <c r="AM499" s="899"/>
      <c r="AN499" s="899"/>
      <c r="AO499" s="899"/>
    </row>
    <row r="500">
      <c r="G500" s="899"/>
      <c r="H500" s="899"/>
      <c r="I500" s="899"/>
      <c r="J500" s="899"/>
      <c r="K500" s="899"/>
      <c r="L500" s="899"/>
      <c r="M500" s="899"/>
      <c r="N500" s="899"/>
      <c r="O500" s="899"/>
      <c r="P500" s="899"/>
      <c r="Q500" s="899"/>
      <c r="R500" s="899"/>
      <c r="S500" s="899"/>
      <c r="T500" s="899"/>
      <c r="U500" s="899"/>
      <c r="V500" s="899"/>
      <c r="W500" s="899"/>
      <c r="X500" s="899"/>
      <c r="Y500" s="899"/>
      <c r="Z500" s="899"/>
      <c r="AA500" s="899"/>
      <c r="AB500" s="899"/>
      <c r="AC500" s="899"/>
      <c r="AD500" s="899"/>
      <c r="AE500" s="899"/>
      <c r="AF500" s="899"/>
      <c r="AG500" s="899"/>
      <c r="AH500" s="899"/>
      <c r="AI500" s="899"/>
      <c r="AJ500" s="899"/>
      <c r="AK500" s="899"/>
      <c r="AL500" s="899"/>
      <c r="AM500" s="899"/>
      <c r="AN500" s="899"/>
      <c r="AO500" s="899"/>
    </row>
    <row r="501">
      <c r="G501" s="899"/>
      <c r="H501" s="899"/>
      <c r="I501" s="899"/>
      <c r="J501" s="899"/>
      <c r="K501" s="899"/>
      <c r="L501" s="899"/>
      <c r="M501" s="899"/>
      <c r="N501" s="899"/>
      <c r="O501" s="899"/>
      <c r="P501" s="899"/>
      <c r="Q501" s="899"/>
      <c r="R501" s="899"/>
      <c r="S501" s="899"/>
      <c r="T501" s="899"/>
      <c r="U501" s="899"/>
      <c r="V501" s="899"/>
      <c r="W501" s="899"/>
      <c r="X501" s="899"/>
      <c r="Y501" s="899"/>
      <c r="Z501" s="899"/>
      <c r="AA501" s="899"/>
      <c r="AB501" s="899"/>
      <c r="AC501" s="899"/>
      <c r="AD501" s="899"/>
      <c r="AE501" s="899"/>
      <c r="AF501" s="899"/>
      <c r="AG501" s="899"/>
      <c r="AH501" s="899"/>
      <c r="AI501" s="899"/>
      <c r="AJ501" s="899"/>
      <c r="AK501" s="899"/>
      <c r="AL501" s="899"/>
      <c r="AM501" s="899"/>
      <c r="AN501" s="899"/>
      <c r="AO501" s="899"/>
    </row>
    <row r="502">
      <c r="G502" s="899"/>
      <c r="H502" s="899"/>
      <c r="I502" s="899"/>
      <c r="J502" s="899"/>
      <c r="K502" s="899"/>
      <c r="L502" s="899"/>
      <c r="M502" s="899"/>
      <c r="N502" s="899"/>
      <c r="O502" s="899"/>
      <c r="P502" s="899"/>
      <c r="Q502" s="899"/>
      <c r="R502" s="899"/>
      <c r="S502" s="899"/>
      <c r="T502" s="899"/>
      <c r="U502" s="899"/>
      <c r="V502" s="899"/>
      <c r="W502" s="899"/>
      <c r="X502" s="899"/>
      <c r="Y502" s="899"/>
      <c r="Z502" s="899"/>
      <c r="AA502" s="899"/>
      <c r="AB502" s="899"/>
      <c r="AC502" s="899"/>
      <c r="AD502" s="899"/>
      <c r="AE502" s="899"/>
      <c r="AF502" s="899"/>
      <c r="AG502" s="899"/>
      <c r="AH502" s="899"/>
      <c r="AI502" s="899"/>
      <c r="AJ502" s="899"/>
      <c r="AK502" s="899"/>
      <c r="AL502" s="899"/>
      <c r="AM502" s="899"/>
      <c r="AN502" s="899"/>
      <c r="AO502" s="899"/>
    </row>
    <row r="503">
      <c r="G503" s="899"/>
      <c r="H503" s="899"/>
      <c r="I503" s="899"/>
      <c r="J503" s="899"/>
      <c r="K503" s="899"/>
      <c r="L503" s="899"/>
      <c r="M503" s="899"/>
      <c r="N503" s="899"/>
      <c r="O503" s="899"/>
      <c r="P503" s="899"/>
      <c r="Q503" s="899"/>
      <c r="R503" s="899"/>
      <c r="S503" s="899"/>
      <c r="T503" s="899"/>
      <c r="U503" s="899"/>
      <c r="V503" s="899"/>
      <c r="W503" s="899"/>
      <c r="X503" s="899"/>
      <c r="Y503" s="899"/>
      <c r="Z503" s="899"/>
      <c r="AA503" s="899"/>
      <c r="AB503" s="899"/>
      <c r="AC503" s="899"/>
      <c r="AD503" s="899"/>
      <c r="AE503" s="899"/>
      <c r="AF503" s="899"/>
      <c r="AG503" s="899"/>
      <c r="AH503" s="899"/>
      <c r="AI503" s="899"/>
      <c r="AJ503" s="899"/>
      <c r="AK503" s="899"/>
      <c r="AL503" s="899"/>
      <c r="AM503" s="899"/>
      <c r="AN503" s="899"/>
      <c r="AO503" s="899"/>
    </row>
    <row r="504">
      <c r="G504" s="899"/>
      <c r="H504" s="899"/>
      <c r="I504" s="899"/>
      <c r="J504" s="899"/>
      <c r="K504" s="899"/>
      <c r="L504" s="899"/>
      <c r="M504" s="899"/>
      <c r="N504" s="899"/>
      <c r="O504" s="899"/>
      <c r="P504" s="899"/>
      <c r="Q504" s="899"/>
      <c r="R504" s="899"/>
      <c r="S504" s="899"/>
      <c r="T504" s="899"/>
      <c r="U504" s="899"/>
      <c r="V504" s="899"/>
      <c r="W504" s="899"/>
      <c r="X504" s="899"/>
      <c r="Y504" s="899"/>
      <c r="Z504" s="899"/>
      <c r="AA504" s="899"/>
      <c r="AB504" s="899"/>
      <c r="AC504" s="899"/>
      <c r="AD504" s="899"/>
      <c r="AE504" s="899"/>
      <c r="AF504" s="899"/>
      <c r="AG504" s="899"/>
      <c r="AH504" s="899"/>
      <c r="AI504" s="899"/>
      <c r="AJ504" s="899"/>
      <c r="AK504" s="899"/>
      <c r="AL504" s="899"/>
      <c r="AM504" s="899"/>
      <c r="AN504" s="899"/>
      <c r="AO504" s="899"/>
    </row>
    <row r="505">
      <c r="G505" s="899"/>
      <c r="H505" s="899"/>
      <c r="I505" s="899"/>
      <c r="J505" s="899"/>
      <c r="K505" s="899"/>
      <c r="L505" s="899"/>
      <c r="M505" s="899"/>
      <c r="N505" s="899"/>
      <c r="O505" s="899"/>
      <c r="P505" s="899"/>
      <c r="Q505" s="899"/>
      <c r="R505" s="899"/>
      <c r="S505" s="899"/>
      <c r="T505" s="899"/>
      <c r="U505" s="899"/>
      <c r="V505" s="899"/>
      <c r="W505" s="899"/>
      <c r="X505" s="899"/>
      <c r="Y505" s="899"/>
      <c r="Z505" s="899"/>
      <c r="AA505" s="899"/>
      <c r="AB505" s="899"/>
      <c r="AC505" s="899"/>
      <c r="AD505" s="899"/>
      <c r="AE505" s="899"/>
      <c r="AF505" s="899"/>
      <c r="AG505" s="899"/>
      <c r="AH505" s="899"/>
      <c r="AI505" s="899"/>
      <c r="AJ505" s="899"/>
      <c r="AK505" s="899"/>
      <c r="AL505" s="899"/>
      <c r="AM505" s="899"/>
      <c r="AN505" s="899"/>
      <c r="AO505" s="899"/>
    </row>
    <row r="506">
      <c r="G506" s="899"/>
      <c r="H506" s="899"/>
      <c r="I506" s="899"/>
      <c r="J506" s="899"/>
      <c r="K506" s="899"/>
      <c r="L506" s="899"/>
      <c r="M506" s="899"/>
      <c r="N506" s="899"/>
      <c r="O506" s="899"/>
      <c r="P506" s="899"/>
      <c r="Q506" s="899"/>
      <c r="R506" s="899"/>
      <c r="S506" s="899"/>
      <c r="T506" s="899"/>
      <c r="U506" s="899"/>
      <c r="V506" s="899"/>
      <c r="W506" s="899"/>
      <c r="X506" s="899"/>
      <c r="Y506" s="899"/>
      <c r="Z506" s="899"/>
      <c r="AA506" s="899"/>
      <c r="AB506" s="899"/>
      <c r="AC506" s="899"/>
      <c r="AD506" s="899"/>
      <c r="AE506" s="899"/>
      <c r="AF506" s="899"/>
      <c r="AG506" s="899"/>
      <c r="AH506" s="899"/>
      <c r="AI506" s="899"/>
      <c r="AJ506" s="899"/>
      <c r="AK506" s="899"/>
      <c r="AL506" s="899"/>
      <c r="AM506" s="899"/>
      <c r="AN506" s="899"/>
      <c r="AO506" s="899"/>
    </row>
    <row r="507">
      <c r="G507" s="899"/>
      <c r="H507" s="899"/>
      <c r="I507" s="899"/>
      <c r="J507" s="899"/>
      <c r="K507" s="899"/>
      <c r="L507" s="899"/>
      <c r="M507" s="899"/>
      <c r="N507" s="899"/>
      <c r="O507" s="899"/>
      <c r="P507" s="899"/>
      <c r="Q507" s="899"/>
      <c r="R507" s="899"/>
      <c r="S507" s="899"/>
      <c r="T507" s="899"/>
      <c r="U507" s="899"/>
      <c r="V507" s="899"/>
      <c r="W507" s="899"/>
      <c r="X507" s="899"/>
      <c r="Y507" s="899"/>
      <c r="Z507" s="899"/>
      <c r="AA507" s="899"/>
      <c r="AB507" s="899"/>
      <c r="AC507" s="899"/>
      <c r="AD507" s="899"/>
      <c r="AE507" s="899"/>
      <c r="AF507" s="899"/>
      <c r="AG507" s="899"/>
      <c r="AH507" s="899"/>
      <c r="AI507" s="899"/>
      <c r="AJ507" s="899"/>
      <c r="AK507" s="899"/>
      <c r="AL507" s="899"/>
      <c r="AM507" s="899"/>
      <c r="AN507" s="899"/>
      <c r="AO507" s="899"/>
    </row>
    <row r="508">
      <c r="G508" s="899"/>
      <c r="H508" s="899"/>
      <c r="I508" s="899"/>
      <c r="J508" s="899"/>
      <c r="K508" s="899"/>
      <c r="L508" s="899"/>
      <c r="M508" s="899"/>
      <c r="N508" s="899"/>
      <c r="O508" s="899"/>
      <c r="P508" s="899"/>
      <c r="Q508" s="899"/>
      <c r="R508" s="899"/>
      <c r="S508" s="899"/>
      <c r="T508" s="899"/>
      <c r="U508" s="899"/>
      <c r="V508" s="899"/>
      <c r="W508" s="899"/>
      <c r="X508" s="899"/>
      <c r="Y508" s="899"/>
      <c r="Z508" s="899"/>
      <c r="AA508" s="899"/>
      <c r="AB508" s="899"/>
      <c r="AC508" s="899"/>
      <c r="AD508" s="899"/>
      <c r="AE508" s="899"/>
      <c r="AF508" s="899"/>
      <c r="AG508" s="899"/>
      <c r="AH508" s="899"/>
      <c r="AI508" s="899"/>
      <c r="AJ508" s="899"/>
      <c r="AK508" s="899"/>
      <c r="AL508" s="899"/>
      <c r="AM508" s="899"/>
      <c r="AN508" s="899"/>
      <c r="AO508" s="899"/>
    </row>
    <row r="509">
      <c r="G509" s="899"/>
      <c r="H509" s="899"/>
      <c r="I509" s="899"/>
      <c r="J509" s="899"/>
      <c r="K509" s="899"/>
      <c r="L509" s="899"/>
      <c r="M509" s="899"/>
      <c r="N509" s="899"/>
      <c r="O509" s="899"/>
      <c r="P509" s="899"/>
      <c r="Q509" s="899"/>
      <c r="R509" s="899"/>
      <c r="S509" s="899"/>
      <c r="T509" s="899"/>
      <c r="U509" s="899"/>
      <c r="V509" s="899"/>
      <c r="W509" s="899"/>
      <c r="X509" s="899"/>
      <c r="Y509" s="899"/>
      <c r="Z509" s="899"/>
      <c r="AA509" s="899"/>
      <c r="AB509" s="899"/>
      <c r="AC509" s="899"/>
      <c r="AD509" s="899"/>
      <c r="AE509" s="899"/>
      <c r="AF509" s="899"/>
      <c r="AG509" s="899"/>
      <c r="AH509" s="899"/>
      <c r="AI509" s="899"/>
      <c r="AJ509" s="899"/>
      <c r="AK509" s="899"/>
      <c r="AL509" s="899"/>
      <c r="AM509" s="899"/>
      <c r="AN509" s="899"/>
      <c r="AO509" s="899"/>
    </row>
    <row r="510">
      <c r="G510" s="899"/>
      <c r="H510" s="899"/>
      <c r="I510" s="899"/>
      <c r="J510" s="899"/>
      <c r="K510" s="899"/>
      <c r="L510" s="899"/>
      <c r="M510" s="899"/>
      <c r="N510" s="899"/>
      <c r="O510" s="899"/>
      <c r="P510" s="899"/>
      <c r="Q510" s="899"/>
      <c r="R510" s="899"/>
      <c r="S510" s="899"/>
      <c r="T510" s="899"/>
      <c r="U510" s="899"/>
      <c r="V510" s="899"/>
      <c r="W510" s="899"/>
      <c r="X510" s="899"/>
      <c r="Y510" s="899"/>
      <c r="Z510" s="899"/>
      <c r="AA510" s="899"/>
      <c r="AB510" s="899"/>
      <c r="AC510" s="899"/>
      <c r="AD510" s="899"/>
      <c r="AE510" s="899"/>
      <c r="AF510" s="899"/>
      <c r="AG510" s="899"/>
      <c r="AH510" s="899"/>
      <c r="AI510" s="899"/>
      <c r="AJ510" s="899"/>
      <c r="AK510" s="899"/>
      <c r="AL510" s="899"/>
      <c r="AM510" s="899"/>
      <c r="AN510" s="899"/>
      <c r="AO510" s="899"/>
    </row>
    <row r="511">
      <c r="G511" s="899"/>
      <c r="H511" s="899"/>
      <c r="I511" s="899"/>
      <c r="J511" s="899"/>
      <c r="K511" s="899"/>
      <c r="L511" s="899"/>
      <c r="M511" s="899"/>
      <c r="N511" s="899"/>
      <c r="O511" s="899"/>
      <c r="P511" s="899"/>
      <c r="Q511" s="899"/>
      <c r="R511" s="899"/>
      <c r="S511" s="899"/>
      <c r="T511" s="899"/>
      <c r="U511" s="899"/>
      <c r="V511" s="899"/>
      <c r="W511" s="899"/>
      <c r="X511" s="899"/>
      <c r="Y511" s="899"/>
      <c r="Z511" s="899"/>
      <c r="AA511" s="899"/>
      <c r="AB511" s="899"/>
      <c r="AC511" s="899"/>
      <c r="AD511" s="899"/>
      <c r="AE511" s="899"/>
      <c r="AF511" s="899"/>
      <c r="AG511" s="899"/>
      <c r="AH511" s="899"/>
      <c r="AI511" s="899"/>
      <c r="AJ511" s="899"/>
      <c r="AK511" s="899"/>
      <c r="AL511" s="899"/>
      <c r="AM511" s="899"/>
      <c r="AN511" s="899"/>
      <c r="AO511" s="899"/>
    </row>
    <row r="512">
      <c r="G512" s="899"/>
      <c r="H512" s="899"/>
      <c r="I512" s="899"/>
      <c r="J512" s="899"/>
      <c r="K512" s="899"/>
      <c r="L512" s="899"/>
      <c r="M512" s="899"/>
      <c r="N512" s="899"/>
      <c r="O512" s="899"/>
      <c r="P512" s="899"/>
      <c r="Q512" s="899"/>
      <c r="R512" s="899"/>
      <c r="S512" s="899"/>
      <c r="T512" s="899"/>
      <c r="U512" s="899"/>
      <c r="V512" s="899"/>
      <c r="W512" s="899"/>
      <c r="X512" s="899"/>
      <c r="Y512" s="899"/>
      <c r="Z512" s="899"/>
      <c r="AA512" s="899"/>
      <c r="AB512" s="899"/>
      <c r="AC512" s="899"/>
      <c r="AD512" s="899"/>
      <c r="AE512" s="899"/>
      <c r="AF512" s="899"/>
      <c r="AG512" s="899"/>
      <c r="AH512" s="899"/>
      <c r="AI512" s="899"/>
      <c r="AJ512" s="899"/>
      <c r="AK512" s="899"/>
      <c r="AL512" s="899"/>
      <c r="AM512" s="899"/>
      <c r="AN512" s="899"/>
      <c r="AO512" s="899"/>
    </row>
    <row r="513">
      <c r="G513" s="899"/>
      <c r="H513" s="899"/>
      <c r="I513" s="899"/>
      <c r="J513" s="899"/>
      <c r="K513" s="899"/>
      <c r="L513" s="899"/>
      <c r="M513" s="899"/>
      <c r="N513" s="899"/>
      <c r="O513" s="899"/>
      <c r="P513" s="899"/>
      <c r="Q513" s="899"/>
      <c r="R513" s="899"/>
      <c r="S513" s="899"/>
      <c r="T513" s="899"/>
      <c r="U513" s="899"/>
      <c r="V513" s="899"/>
      <c r="W513" s="899"/>
      <c r="X513" s="899"/>
      <c r="Y513" s="899"/>
      <c r="Z513" s="899"/>
      <c r="AA513" s="899"/>
      <c r="AB513" s="899"/>
      <c r="AC513" s="899"/>
      <c r="AD513" s="899"/>
      <c r="AE513" s="899"/>
      <c r="AF513" s="899"/>
      <c r="AG513" s="899"/>
      <c r="AH513" s="899"/>
      <c r="AI513" s="899"/>
      <c r="AJ513" s="899"/>
      <c r="AK513" s="899"/>
      <c r="AL513" s="899"/>
      <c r="AM513" s="899"/>
      <c r="AN513" s="899"/>
      <c r="AO513" s="899"/>
    </row>
    <row r="514">
      <c r="G514" s="899"/>
      <c r="H514" s="899"/>
      <c r="I514" s="899"/>
      <c r="J514" s="899"/>
      <c r="K514" s="899"/>
      <c r="L514" s="899"/>
      <c r="M514" s="899"/>
      <c r="N514" s="899"/>
      <c r="O514" s="899"/>
      <c r="P514" s="899"/>
      <c r="Q514" s="899"/>
      <c r="R514" s="899"/>
      <c r="S514" s="899"/>
      <c r="T514" s="899"/>
      <c r="U514" s="899"/>
      <c r="V514" s="899"/>
      <c r="W514" s="899"/>
      <c r="X514" s="899"/>
      <c r="Y514" s="899"/>
      <c r="Z514" s="899"/>
      <c r="AA514" s="899"/>
      <c r="AB514" s="899"/>
      <c r="AC514" s="899"/>
      <c r="AD514" s="899"/>
      <c r="AE514" s="899"/>
      <c r="AF514" s="899"/>
      <c r="AG514" s="899"/>
      <c r="AH514" s="899"/>
      <c r="AI514" s="899"/>
      <c r="AJ514" s="899"/>
      <c r="AK514" s="899"/>
      <c r="AL514" s="899"/>
      <c r="AM514" s="899"/>
      <c r="AN514" s="899"/>
      <c r="AO514" s="899"/>
    </row>
    <row r="515">
      <c r="G515" s="899"/>
      <c r="H515" s="899"/>
      <c r="I515" s="899"/>
      <c r="J515" s="899"/>
      <c r="K515" s="899"/>
      <c r="L515" s="899"/>
      <c r="M515" s="899"/>
      <c r="N515" s="899"/>
      <c r="O515" s="899"/>
      <c r="P515" s="899"/>
      <c r="Q515" s="899"/>
      <c r="R515" s="899"/>
      <c r="S515" s="899"/>
      <c r="T515" s="899"/>
      <c r="U515" s="899"/>
      <c r="V515" s="899"/>
      <c r="W515" s="899"/>
      <c r="X515" s="899"/>
      <c r="Y515" s="899"/>
      <c r="Z515" s="899"/>
      <c r="AA515" s="899"/>
      <c r="AB515" s="899"/>
      <c r="AC515" s="899"/>
      <c r="AD515" s="899"/>
      <c r="AE515" s="899"/>
      <c r="AF515" s="899"/>
      <c r="AG515" s="899"/>
      <c r="AH515" s="899"/>
      <c r="AI515" s="899"/>
      <c r="AJ515" s="899"/>
      <c r="AK515" s="899"/>
      <c r="AL515" s="899"/>
      <c r="AM515" s="899"/>
      <c r="AN515" s="899"/>
      <c r="AO515" s="899"/>
    </row>
    <row r="516">
      <c r="G516" s="899"/>
      <c r="H516" s="899"/>
      <c r="I516" s="899"/>
      <c r="J516" s="899"/>
      <c r="K516" s="899"/>
      <c r="L516" s="899"/>
      <c r="M516" s="899"/>
      <c r="N516" s="899"/>
      <c r="O516" s="899"/>
      <c r="P516" s="899"/>
      <c r="Q516" s="899"/>
      <c r="R516" s="899"/>
      <c r="S516" s="899"/>
      <c r="T516" s="899"/>
      <c r="U516" s="899"/>
      <c r="V516" s="899"/>
      <c r="W516" s="899"/>
      <c r="X516" s="899"/>
      <c r="Y516" s="899"/>
      <c r="Z516" s="899"/>
      <c r="AA516" s="899"/>
      <c r="AB516" s="899"/>
      <c r="AC516" s="899"/>
      <c r="AD516" s="899"/>
      <c r="AE516" s="899"/>
      <c r="AF516" s="899"/>
      <c r="AG516" s="899"/>
      <c r="AH516" s="899"/>
      <c r="AI516" s="899"/>
      <c r="AJ516" s="899"/>
      <c r="AK516" s="899"/>
      <c r="AL516" s="899"/>
      <c r="AM516" s="899"/>
      <c r="AN516" s="899"/>
      <c r="AO516" s="899"/>
    </row>
    <row r="517">
      <c r="G517" s="899"/>
      <c r="H517" s="899"/>
      <c r="I517" s="899"/>
      <c r="J517" s="899"/>
      <c r="K517" s="899"/>
      <c r="L517" s="899"/>
      <c r="M517" s="899"/>
      <c r="N517" s="899"/>
      <c r="O517" s="899"/>
      <c r="P517" s="899"/>
      <c r="Q517" s="899"/>
      <c r="R517" s="899"/>
      <c r="S517" s="899"/>
      <c r="T517" s="899"/>
      <c r="U517" s="899"/>
      <c r="V517" s="899"/>
      <c r="W517" s="899"/>
      <c r="X517" s="899"/>
      <c r="Y517" s="899"/>
      <c r="Z517" s="899"/>
      <c r="AA517" s="899"/>
      <c r="AB517" s="899"/>
      <c r="AC517" s="899"/>
      <c r="AD517" s="899"/>
      <c r="AE517" s="899"/>
      <c r="AF517" s="899"/>
      <c r="AG517" s="899"/>
      <c r="AH517" s="899"/>
      <c r="AI517" s="899"/>
      <c r="AJ517" s="899"/>
      <c r="AK517" s="899"/>
      <c r="AL517" s="899"/>
      <c r="AM517" s="899"/>
      <c r="AN517" s="899"/>
      <c r="AO517" s="899"/>
    </row>
    <row r="518">
      <c r="G518" s="899"/>
      <c r="H518" s="899"/>
      <c r="I518" s="899"/>
      <c r="J518" s="899"/>
      <c r="K518" s="899"/>
      <c r="L518" s="899"/>
      <c r="M518" s="899"/>
      <c r="N518" s="899"/>
      <c r="O518" s="899"/>
      <c r="P518" s="899"/>
      <c r="Q518" s="899"/>
      <c r="R518" s="899"/>
      <c r="S518" s="899"/>
      <c r="T518" s="899"/>
      <c r="U518" s="899"/>
      <c r="V518" s="899"/>
      <c r="W518" s="899"/>
      <c r="X518" s="899"/>
      <c r="Y518" s="899"/>
      <c r="Z518" s="899"/>
      <c r="AA518" s="899"/>
      <c r="AB518" s="899"/>
      <c r="AC518" s="899"/>
      <c r="AD518" s="899"/>
      <c r="AE518" s="899"/>
      <c r="AF518" s="899"/>
      <c r="AG518" s="899"/>
      <c r="AH518" s="899"/>
      <c r="AI518" s="899"/>
      <c r="AJ518" s="899"/>
      <c r="AK518" s="899"/>
      <c r="AL518" s="899"/>
      <c r="AM518" s="899"/>
      <c r="AN518" s="899"/>
      <c r="AO518" s="899"/>
    </row>
    <row r="519">
      <c r="G519" s="899"/>
      <c r="H519" s="899"/>
      <c r="I519" s="899"/>
      <c r="J519" s="899"/>
      <c r="K519" s="899"/>
      <c r="L519" s="899"/>
      <c r="M519" s="899"/>
      <c r="N519" s="899"/>
      <c r="O519" s="899"/>
      <c r="P519" s="899"/>
      <c r="Q519" s="899"/>
      <c r="R519" s="899"/>
      <c r="S519" s="899"/>
      <c r="T519" s="899"/>
      <c r="U519" s="899"/>
      <c r="V519" s="899"/>
      <c r="W519" s="899"/>
      <c r="X519" s="899"/>
      <c r="Y519" s="899"/>
      <c r="Z519" s="899"/>
      <c r="AA519" s="899"/>
      <c r="AB519" s="899"/>
      <c r="AC519" s="899"/>
      <c r="AD519" s="899"/>
      <c r="AE519" s="899"/>
      <c r="AF519" s="899"/>
      <c r="AG519" s="899"/>
      <c r="AH519" s="899"/>
      <c r="AI519" s="899"/>
      <c r="AJ519" s="899"/>
      <c r="AK519" s="899"/>
      <c r="AL519" s="899"/>
      <c r="AM519" s="899"/>
      <c r="AN519" s="899"/>
      <c r="AO519" s="899"/>
    </row>
    <row r="520">
      <c r="G520" s="899"/>
      <c r="H520" s="899"/>
      <c r="I520" s="899"/>
      <c r="J520" s="899"/>
      <c r="K520" s="899"/>
      <c r="L520" s="899"/>
      <c r="M520" s="899"/>
      <c r="N520" s="899"/>
      <c r="O520" s="899"/>
      <c r="P520" s="899"/>
      <c r="Q520" s="899"/>
      <c r="R520" s="899"/>
      <c r="S520" s="899"/>
      <c r="T520" s="899"/>
      <c r="U520" s="899"/>
      <c r="V520" s="899"/>
      <c r="W520" s="899"/>
      <c r="X520" s="899"/>
      <c r="Y520" s="899"/>
      <c r="Z520" s="899"/>
      <c r="AA520" s="899"/>
      <c r="AB520" s="899"/>
      <c r="AC520" s="899"/>
      <c r="AD520" s="899"/>
      <c r="AE520" s="899"/>
      <c r="AF520" s="899"/>
      <c r="AG520" s="899"/>
      <c r="AH520" s="899"/>
      <c r="AI520" s="899"/>
      <c r="AJ520" s="899"/>
      <c r="AK520" s="899"/>
      <c r="AL520" s="899"/>
      <c r="AM520" s="899"/>
      <c r="AN520" s="899"/>
      <c r="AO520" s="899"/>
    </row>
    <row r="521">
      <c r="G521" s="899"/>
      <c r="H521" s="899"/>
      <c r="I521" s="899"/>
      <c r="J521" s="899"/>
      <c r="K521" s="899"/>
      <c r="L521" s="899"/>
      <c r="M521" s="899"/>
      <c r="N521" s="899"/>
      <c r="O521" s="899"/>
      <c r="P521" s="899"/>
      <c r="Q521" s="899"/>
      <c r="R521" s="899"/>
      <c r="S521" s="899"/>
      <c r="T521" s="899"/>
      <c r="U521" s="899"/>
      <c r="V521" s="899"/>
      <c r="W521" s="899"/>
      <c r="X521" s="899"/>
      <c r="Y521" s="899"/>
      <c r="Z521" s="899"/>
      <c r="AA521" s="899"/>
      <c r="AB521" s="899"/>
      <c r="AC521" s="899"/>
      <c r="AD521" s="899"/>
      <c r="AE521" s="899"/>
      <c r="AF521" s="899"/>
      <c r="AG521" s="899"/>
      <c r="AH521" s="899"/>
      <c r="AI521" s="899"/>
      <c r="AJ521" s="899"/>
      <c r="AK521" s="899"/>
      <c r="AL521" s="899"/>
      <c r="AM521" s="899"/>
      <c r="AN521" s="899"/>
      <c r="AO521" s="899"/>
    </row>
    <row r="522">
      <c r="G522" s="899"/>
      <c r="H522" s="899"/>
      <c r="I522" s="899"/>
      <c r="J522" s="899"/>
      <c r="K522" s="899"/>
      <c r="L522" s="899"/>
      <c r="M522" s="899"/>
      <c r="N522" s="899"/>
      <c r="O522" s="899"/>
      <c r="P522" s="899"/>
      <c r="Q522" s="899"/>
      <c r="R522" s="899"/>
      <c r="S522" s="899"/>
      <c r="T522" s="899"/>
      <c r="U522" s="899"/>
      <c r="V522" s="899"/>
      <c r="W522" s="899"/>
      <c r="X522" s="899"/>
      <c r="Y522" s="899"/>
      <c r="Z522" s="899"/>
      <c r="AA522" s="899"/>
      <c r="AB522" s="899"/>
      <c r="AC522" s="899"/>
      <c r="AD522" s="899"/>
      <c r="AE522" s="899"/>
      <c r="AF522" s="899"/>
      <c r="AG522" s="899"/>
      <c r="AH522" s="899"/>
      <c r="AI522" s="899"/>
      <c r="AJ522" s="899"/>
      <c r="AK522" s="899"/>
      <c r="AL522" s="899"/>
      <c r="AM522" s="899"/>
      <c r="AN522" s="899"/>
      <c r="AO522" s="899"/>
    </row>
    <row r="523">
      <c r="G523" s="899"/>
      <c r="H523" s="899"/>
      <c r="I523" s="899"/>
      <c r="J523" s="899"/>
      <c r="K523" s="899"/>
      <c r="L523" s="899"/>
      <c r="M523" s="899"/>
      <c r="N523" s="899"/>
      <c r="O523" s="899"/>
      <c r="P523" s="899"/>
      <c r="Q523" s="899"/>
      <c r="R523" s="899"/>
      <c r="S523" s="899"/>
      <c r="T523" s="899"/>
      <c r="U523" s="899"/>
      <c r="V523" s="899"/>
      <c r="W523" s="899"/>
      <c r="X523" s="899"/>
      <c r="Y523" s="899"/>
      <c r="Z523" s="899"/>
      <c r="AA523" s="899"/>
      <c r="AB523" s="899"/>
      <c r="AC523" s="899"/>
      <c r="AD523" s="899"/>
      <c r="AE523" s="899"/>
      <c r="AF523" s="899"/>
      <c r="AG523" s="899"/>
      <c r="AH523" s="899"/>
      <c r="AI523" s="899"/>
      <c r="AJ523" s="899"/>
      <c r="AK523" s="899"/>
      <c r="AL523" s="899"/>
      <c r="AM523" s="899"/>
      <c r="AN523" s="899"/>
      <c r="AO523" s="899"/>
    </row>
    <row r="524">
      <c r="G524" s="899"/>
      <c r="H524" s="899"/>
      <c r="I524" s="899"/>
      <c r="J524" s="899"/>
      <c r="K524" s="899"/>
      <c r="L524" s="899"/>
      <c r="M524" s="899"/>
      <c r="N524" s="899"/>
      <c r="O524" s="899"/>
      <c r="P524" s="899"/>
      <c r="Q524" s="899"/>
      <c r="R524" s="899"/>
      <c r="S524" s="899"/>
      <c r="T524" s="899"/>
      <c r="U524" s="899"/>
      <c r="V524" s="899"/>
      <c r="W524" s="899"/>
      <c r="X524" s="899"/>
      <c r="Y524" s="899"/>
      <c r="Z524" s="899"/>
      <c r="AA524" s="899"/>
      <c r="AB524" s="899"/>
      <c r="AC524" s="899"/>
      <c r="AD524" s="899"/>
      <c r="AE524" s="899"/>
      <c r="AF524" s="899"/>
      <c r="AG524" s="899"/>
      <c r="AH524" s="899"/>
      <c r="AI524" s="899"/>
      <c r="AJ524" s="899"/>
      <c r="AK524" s="899"/>
      <c r="AL524" s="899"/>
      <c r="AM524" s="899"/>
      <c r="AN524" s="899"/>
      <c r="AO524" s="899"/>
    </row>
    <row r="525">
      <c r="G525" s="899"/>
      <c r="H525" s="899"/>
      <c r="I525" s="899"/>
      <c r="J525" s="899"/>
      <c r="K525" s="899"/>
      <c r="L525" s="899"/>
      <c r="M525" s="899"/>
      <c r="N525" s="899"/>
      <c r="O525" s="899"/>
      <c r="P525" s="899"/>
      <c r="Q525" s="899"/>
      <c r="R525" s="899"/>
      <c r="S525" s="899"/>
      <c r="T525" s="899"/>
      <c r="U525" s="899"/>
      <c r="V525" s="899"/>
      <c r="W525" s="899"/>
      <c r="X525" s="899"/>
      <c r="Y525" s="899"/>
      <c r="Z525" s="899"/>
      <c r="AA525" s="899"/>
      <c r="AB525" s="899"/>
      <c r="AC525" s="899"/>
      <c r="AD525" s="899"/>
      <c r="AE525" s="899"/>
      <c r="AF525" s="899"/>
      <c r="AG525" s="899"/>
      <c r="AH525" s="899"/>
      <c r="AI525" s="899"/>
      <c r="AJ525" s="899"/>
      <c r="AK525" s="899"/>
      <c r="AL525" s="899"/>
      <c r="AM525" s="899"/>
      <c r="AN525" s="899"/>
      <c r="AO525" s="899"/>
    </row>
    <row r="526">
      <c r="G526" s="899"/>
      <c r="H526" s="899"/>
      <c r="I526" s="899"/>
      <c r="J526" s="899"/>
      <c r="K526" s="899"/>
      <c r="L526" s="899"/>
      <c r="M526" s="899"/>
      <c r="N526" s="899"/>
      <c r="O526" s="899"/>
      <c r="P526" s="899"/>
      <c r="Q526" s="899"/>
      <c r="R526" s="899"/>
      <c r="S526" s="899"/>
      <c r="T526" s="899"/>
      <c r="U526" s="899"/>
      <c r="V526" s="899"/>
      <c r="W526" s="899"/>
      <c r="X526" s="899"/>
      <c r="Y526" s="899"/>
      <c r="Z526" s="899"/>
      <c r="AA526" s="899"/>
      <c r="AB526" s="899"/>
      <c r="AC526" s="899"/>
      <c r="AD526" s="899"/>
      <c r="AE526" s="899"/>
      <c r="AF526" s="899"/>
      <c r="AG526" s="899"/>
      <c r="AH526" s="899"/>
      <c r="AI526" s="899"/>
      <c r="AJ526" s="899"/>
      <c r="AK526" s="899"/>
      <c r="AL526" s="899"/>
      <c r="AM526" s="899"/>
      <c r="AN526" s="899"/>
      <c r="AO526" s="899"/>
    </row>
    <row r="527">
      <c r="G527" s="899"/>
      <c r="H527" s="899"/>
      <c r="I527" s="899"/>
      <c r="J527" s="899"/>
      <c r="K527" s="899"/>
      <c r="L527" s="899"/>
      <c r="M527" s="899"/>
      <c r="N527" s="899"/>
      <c r="O527" s="899"/>
      <c r="P527" s="899"/>
      <c r="Q527" s="899"/>
      <c r="R527" s="899"/>
      <c r="S527" s="899"/>
      <c r="T527" s="899"/>
      <c r="U527" s="899"/>
      <c r="V527" s="899"/>
      <c r="W527" s="899"/>
      <c r="X527" s="899"/>
      <c r="Y527" s="899"/>
      <c r="Z527" s="899"/>
      <c r="AA527" s="899"/>
      <c r="AB527" s="899"/>
      <c r="AC527" s="899"/>
      <c r="AD527" s="899"/>
      <c r="AE527" s="899"/>
      <c r="AF527" s="899"/>
      <c r="AG527" s="899"/>
      <c r="AH527" s="899"/>
      <c r="AI527" s="899"/>
      <c r="AJ527" s="899"/>
      <c r="AK527" s="899"/>
      <c r="AL527" s="899"/>
      <c r="AM527" s="899"/>
      <c r="AN527" s="899"/>
      <c r="AO527" s="899"/>
    </row>
    <row r="528">
      <c r="G528" s="899"/>
      <c r="H528" s="899"/>
      <c r="I528" s="899"/>
      <c r="J528" s="899"/>
      <c r="K528" s="899"/>
      <c r="L528" s="899"/>
      <c r="M528" s="899"/>
      <c r="N528" s="899"/>
      <c r="O528" s="899"/>
      <c r="P528" s="899"/>
      <c r="Q528" s="899"/>
      <c r="R528" s="899"/>
      <c r="S528" s="899"/>
      <c r="T528" s="899"/>
      <c r="U528" s="899"/>
      <c r="V528" s="899"/>
      <c r="W528" s="899"/>
      <c r="X528" s="899"/>
      <c r="Y528" s="899"/>
      <c r="Z528" s="899"/>
      <c r="AA528" s="899"/>
      <c r="AB528" s="899"/>
      <c r="AC528" s="899"/>
      <c r="AD528" s="899"/>
      <c r="AE528" s="899"/>
      <c r="AF528" s="899"/>
      <c r="AG528" s="899"/>
      <c r="AH528" s="899"/>
      <c r="AI528" s="899"/>
      <c r="AJ528" s="899"/>
      <c r="AK528" s="899"/>
      <c r="AL528" s="899"/>
      <c r="AM528" s="899"/>
      <c r="AN528" s="899"/>
      <c r="AO528" s="899"/>
    </row>
    <row r="529">
      <c r="G529" s="899"/>
      <c r="H529" s="899"/>
      <c r="I529" s="899"/>
      <c r="J529" s="899"/>
      <c r="K529" s="899"/>
      <c r="L529" s="899"/>
      <c r="M529" s="899"/>
      <c r="N529" s="899"/>
      <c r="O529" s="899"/>
      <c r="P529" s="899"/>
      <c r="Q529" s="899"/>
      <c r="R529" s="899"/>
      <c r="S529" s="899"/>
      <c r="T529" s="899"/>
      <c r="U529" s="899"/>
      <c r="V529" s="899"/>
      <c r="W529" s="899"/>
      <c r="X529" s="899"/>
      <c r="Y529" s="899"/>
      <c r="Z529" s="899"/>
      <c r="AA529" s="899"/>
      <c r="AB529" s="899"/>
      <c r="AC529" s="899"/>
      <c r="AD529" s="899"/>
      <c r="AE529" s="899"/>
      <c r="AF529" s="899"/>
      <c r="AG529" s="899"/>
      <c r="AH529" s="899"/>
      <c r="AI529" s="899"/>
      <c r="AJ529" s="899"/>
      <c r="AK529" s="899"/>
      <c r="AL529" s="899"/>
      <c r="AM529" s="899"/>
      <c r="AN529" s="899"/>
      <c r="AO529" s="899"/>
    </row>
    <row r="530">
      <c r="G530" s="899"/>
      <c r="H530" s="899"/>
      <c r="I530" s="899"/>
      <c r="J530" s="899"/>
      <c r="K530" s="899"/>
      <c r="L530" s="899"/>
      <c r="M530" s="899"/>
      <c r="N530" s="899"/>
      <c r="O530" s="899"/>
      <c r="P530" s="899"/>
      <c r="Q530" s="899"/>
      <c r="R530" s="899"/>
      <c r="S530" s="899"/>
      <c r="T530" s="899"/>
      <c r="U530" s="899"/>
      <c r="V530" s="899"/>
      <c r="W530" s="899"/>
      <c r="X530" s="899"/>
      <c r="Y530" s="899"/>
      <c r="Z530" s="899"/>
      <c r="AA530" s="899"/>
      <c r="AB530" s="899"/>
      <c r="AC530" s="899"/>
      <c r="AD530" s="899"/>
      <c r="AE530" s="899"/>
      <c r="AF530" s="899"/>
      <c r="AG530" s="899"/>
      <c r="AH530" s="899"/>
      <c r="AI530" s="899"/>
      <c r="AJ530" s="899"/>
      <c r="AK530" s="899"/>
      <c r="AL530" s="899"/>
      <c r="AM530" s="899"/>
      <c r="AN530" s="899"/>
      <c r="AO530" s="899"/>
    </row>
    <row r="531">
      <c r="G531" s="899"/>
      <c r="H531" s="899"/>
      <c r="I531" s="899"/>
      <c r="J531" s="899"/>
      <c r="K531" s="899"/>
      <c r="L531" s="899"/>
      <c r="M531" s="899"/>
      <c r="N531" s="899"/>
      <c r="O531" s="899"/>
      <c r="P531" s="899"/>
      <c r="Q531" s="899"/>
      <c r="R531" s="899"/>
      <c r="S531" s="899"/>
      <c r="T531" s="899"/>
      <c r="U531" s="899"/>
      <c r="V531" s="899"/>
      <c r="W531" s="899"/>
      <c r="X531" s="899"/>
      <c r="Y531" s="899"/>
      <c r="Z531" s="899"/>
      <c r="AA531" s="899"/>
      <c r="AB531" s="899"/>
      <c r="AC531" s="899"/>
      <c r="AD531" s="899"/>
      <c r="AE531" s="899"/>
      <c r="AF531" s="899"/>
      <c r="AG531" s="899"/>
      <c r="AH531" s="899"/>
      <c r="AI531" s="899"/>
      <c r="AJ531" s="899"/>
      <c r="AK531" s="899"/>
      <c r="AL531" s="899"/>
      <c r="AM531" s="899"/>
      <c r="AN531" s="899"/>
      <c r="AO531" s="899"/>
    </row>
    <row r="532">
      <c r="G532" s="899"/>
      <c r="H532" s="899"/>
      <c r="I532" s="899"/>
      <c r="J532" s="899"/>
      <c r="K532" s="899"/>
      <c r="L532" s="899"/>
      <c r="M532" s="899"/>
      <c r="N532" s="899"/>
      <c r="O532" s="899"/>
      <c r="P532" s="899"/>
      <c r="Q532" s="899"/>
      <c r="R532" s="899"/>
      <c r="S532" s="899"/>
      <c r="T532" s="899"/>
      <c r="U532" s="899"/>
      <c r="V532" s="899"/>
      <c r="W532" s="899"/>
      <c r="X532" s="899"/>
      <c r="Y532" s="899"/>
      <c r="Z532" s="899"/>
      <c r="AA532" s="899"/>
      <c r="AB532" s="899"/>
      <c r="AC532" s="899"/>
      <c r="AD532" s="899"/>
      <c r="AE532" s="899"/>
      <c r="AF532" s="899"/>
      <c r="AG532" s="899"/>
      <c r="AH532" s="899"/>
      <c r="AI532" s="899"/>
      <c r="AJ532" s="899"/>
      <c r="AK532" s="899"/>
      <c r="AL532" s="899"/>
      <c r="AM532" s="899"/>
      <c r="AN532" s="899"/>
      <c r="AO532" s="899"/>
    </row>
    <row r="533">
      <c r="G533" s="899"/>
      <c r="H533" s="899"/>
      <c r="I533" s="899"/>
      <c r="J533" s="899"/>
      <c r="K533" s="899"/>
      <c r="L533" s="899"/>
      <c r="M533" s="899"/>
      <c r="N533" s="899"/>
      <c r="O533" s="899"/>
      <c r="P533" s="899"/>
      <c r="Q533" s="899"/>
      <c r="R533" s="899"/>
      <c r="S533" s="899"/>
      <c r="T533" s="899"/>
      <c r="U533" s="899"/>
      <c r="V533" s="899"/>
      <c r="W533" s="899"/>
      <c r="X533" s="899"/>
      <c r="Y533" s="899"/>
      <c r="Z533" s="899"/>
      <c r="AA533" s="899"/>
      <c r="AB533" s="899"/>
      <c r="AC533" s="899"/>
      <c r="AD533" s="899"/>
      <c r="AE533" s="899"/>
      <c r="AF533" s="899"/>
      <c r="AG533" s="899"/>
      <c r="AH533" s="899"/>
      <c r="AI533" s="899"/>
      <c r="AJ533" s="899"/>
      <c r="AK533" s="899"/>
      <c r="AL533" s="899"/>
      <c r="AM533" s="899"/>
      <c r="AN533" s="899"/>
      <c r="AO533" s="899"/>
    </row>
    <row r="534">
      <c r="G534" s="899"/>
      <c r="H534" s="899"/>
      <c r="I534" s="899"/>
      <c r="J534" s="899"/>
      <c r="K534" s="899"/>
      <c r="L534" s="899"/>
      <c r="M534" s="899"/>
      <c r="N534" s="899"/>
      <c r="O534" s="899"/>
      <c r="P534" s="899"/>
      <c r="Q534" s="899"/>
      <c r="R534" s="899"/>
      <c r="S534" s="899"/>
      <c r="T534" s="899"/>
      <c r="U534" s="899"/>
      <c r="V534" s="899"/>
      <c r="W534" s="899"/>
      <c r="X534" s="899"/>
      <c r="Y534" s="899"/>
      <c r="Z534" s="899"/>
      <c r="AA534" s="899"/>
      <c r="AB534" s="899"/>
      <c r="AC534" s="899"/>
      <c r="AD534" s="899"/>
      <c r="AE534" s="899"/>
      <c r="AF534" s="899"/>
      <c r="AG534" s="899"/>
      <c r="AH534" s="899"/>
      <c r="AI534" s="899"/>
      <c r="AJ534" s="899"/>
      <c r="AK534" s="899"/>
      <c r="AL534" s="899"/>
      <c r="AM534" s="899"/>
      <c r="AN534" s="899"/>
      <c r="AO534" s="899"/>
    </row>
    <row r="535">
      <c r="G535" s="899"/>
      <c r="H535" s="899"/>
      <c r="I535" s="899"/>
      <c r="J535" s="899"/>
      <c r="K535" s="899"/>
      <c r="L535" s="899"/>
      <c r="M535" s="899"/>
      <c r="N535" s="899"/>
      <c r="O535" s="899"/>
      <c r="P535" s="899"/>
      <c r="Q535" s="899"/>
      <c r="R535" s="899"/>
      <c r="S535" s="899"/>
      <c r="T535" s="899"/>
      <c r="U535" s="899"/>
      <c r="V535" s="899"/>
      <c r="W535" s="899"/>
      <c r="X535" s="899"/>
      <c r="Y535" s="899"/>
      <c r="Z535" s="899"/>
      <c r="AA535" s="899"/>
      <c r="AB535" s="899"/>
      <c r="AC535" s="899"/>
      <c r="AD535" s="899"/>
      <c r="AE535" s="899"/>
      <c r="AF535" s="899"/>
      <c r="AG535" s="899"/>
      <c r="AH535" s="899"/>
      <c r="AI535" s="899"/>
      <c r="AJ535" s="899"/>
      <c r="AK535" s="899"/>
      <c r="AL535" s="899"/>
      <c r="AM535" s="899"/>
      <c r="AN535" s="899"/>
      <c r="AO535" s="899"/>
    </row>
    <row r="536">
      <c r="G536" s="899"/>
      <c r="H536" s="899"/>
      <c r="I536" s="899"/>
      <c r="J536" s="899"/>
      <c r="K536" s="899"/>
      <c r="L536" s="899"/>
      <c r="M536" s="899"/>
      <c r="N536" s="899"/>
      <c r="O536" s="899"/>
      <c r="P536" s="899"/>
      <c r="Q536" s="899"/>
      <c r="R536" s="899"/>
      <c r="S536" s="899"/>
      <c r="T536" s="899"/>
      <c r="U536" s="899"/>
      <c r="V536" s="899"/>
      <c r="W536" s="899"/>
      <c r="X536" s="899"/>
      <c r="Y536" s="899"/>
      <c r="Z536" s="899"/>
      <c r="AA536" s="899"/>
      <c r="AB536" s="899"/>
      <c r="AC536" s="899"/>
      <c r="AD536" s="899"/>
      <c r="AE536" s="899"/>
      <c r="AF536" s="899"/>
      <c r="AG536" s="899"/>
      <c r="AH536" s="899"/>
      <c r="AI536" s="899"/>
      <c r="AJ536" s="899"/>
      <c r="AK536" s="899"/>
      <c r="AL536" s="899"/>
      <c r="AM536" s="899"/>
      <c r="AN536" s="899"/>
      <c r="AO536" s="899"/>
    </row>
    <row r="537">
      <c r="G537" s="899"/>
      <c r="H537" s="899"/>
      <c r="I537" s="899"/>
      <c r="J537" s="899"/>
      <c r="K537" s="899"/>
      <c r="L537" s="899"/>
      <c r="M537" s="899"/>
      <c r="N537" s="899"/>
      <c r="O537" s="899"/>
      <c r="P537" s="899"/>
      <c r="Q537" s="899"/>
      <c r="R537" s="899"/>
      <c r="S537" s="899"/>
      <c r="T537" s="899"/>
      <c r="U537" s="899"/>
      <c r="V537" s="899"/>
      <c r="W537" s="899"/>
      <c r="X537" s="899"/>
      <c r="Y537" s="899"/>
      <c r="Z537" s="899"/>
      <c r="AA537" s="899"/>
      <c r="AB537" s="899"/>
      <c r="AC537" s="899"/>
      <c r="AD537" s="899"/>
      <c r="AE537" s="899"/>
      <c r="AF537" s="899"/>
      <c r="AG537" s="899"/>
      <c r="AH537" s="899"/>
      <c r="AI537" s="899"/>
      <c r="AJ537" s="899"/>
      <c r="AK537" s="899"/>
      <c r="AL537" s="899"/>
      <c r="AM537" s="899"/>
      <c r="AN537" s="899"/>
      <c r="AO537" s="899"/>
    </row>
    <row r="538">
      <c r="G538" s="899"/>
      <c r="H538" s="899"/>
      <c r="I538" s="899"/>
      <c r="J538" s="899"/>
      <c r="K538" s="899"/>
      <c r="L538" s="899"/>
      <c r="M538" s="899"/>
      <c r="N538" s="899"/>
      <c r="O538" s="899"/>
      <c r="P538" s="899"/>
      <c r="Q538" s="899"/>
      <c r="R538" s="899"/>
      <c r="S538" s="899"/>
      <c r="T538" s="899"/>
      <c r="U538" s="899"/>
      <c r="V538" s="899"/>
      <c r="W538" s="899"/>
      <c r="X538" s="899"/>
      <c r="Y538" s="899"/>
      <c r="Z538" s="899"/>
      <c r="AA538" s="899"/>
      <c r="AB538" s="899"/>
      <c r="AC538" s="899"/>
      <c r="AD538" s="899"/>
      <c r="AE538" s="899"/>
      <c r="AF538" s="899"/>
      <c r="AG538" s="899"/>
      <c r="AH538" s="899"/>
      <c r="AI538" s="899"/>
      <c r="AJ538" s="899"/>
      <c r="AK538" s="899"/>
      <c r="AL538" s="899"/>
      <c r="AM538" s="899"/>
      <c r="AN538" s="899"/>
      <c r="AO538" s="899"/>
    </row>
    <row r="539">
      <c r="G539" s="899"/>
      <c r="H539" s="899"/>
      <c r="I539" s="899"/>
      <c r="J539" s="899"/>
      <c r="K539" s="899"/>
      <c r="L539" s="899"/>
      <c r="M539" s="899"/>
      <c r="N539" s="899"/>
      <c r="O539" s="899"/>
      <c r="P539" s="899"/>
      <c r="Q539" s="899"/>
      <c r="R539" s="899"/>
      <c r="S539" s="899"/>
      <c r="T539" s="899"/>
      <c r="U539" s="899"/>
      <c r="V539" s="899"/>
      <c r="W539" s="899"/>
      <c r="X539" s="899"/>
      <c r="Y539" s="899"/>
      <c r="Z539" s="899"/>
      <c r="AA539" s="899"/>
      <c r="AB539" s="899"/>
      <c r="AC539" s="899"/>
      <c r="AD539" s="899"/>
      <c r="AE539" s="899"/>
      <c r="AF539" s="899"/>
      <c r="AG539" s="899"/>
      <c r="AH539" s="899"/>
      <c r="AI539" s="899"/>
      <c r="AJ539" s="899"/>
      <c r="AK539" s="899"/>
      <c r="AL539" s="899"/>
      <c r="AM539" s="899"/>
      <c r="AN539" s="899"/>
      <c r="AO539" s="899"/>
    </row>
    <row r="540">
      <c r="G540" s="899"/>
      <c r="H540" s="899"/>
      <c r="I540" s="899"/>
      <c r="J540" s="899"/>
      <c r="K540" s="899"/>
      <c r="L540" s="899"/>
      <c r="M540" s="899"/>
      <c r="N540" s="899"/>
      <c r="O540" s="899"/>
      <c r="P540" s="899"/>
      <c r="Q540" s="899"/>
      <c r="R540" s="899"/>
      <c r="S540" s="899"/>
      <c r="T540" s="899"/>
      <c r="U540" s="899"/>
      <c r="V540" s="899"/>
      <c r="W540" s="899"/>
      <c r="X540" s="899"/>
      <c r="Y540" s="899"/>
      <c r="Z540" s="899"/>
      <c r="AA540" s="899"/>
      <c r="AB540" s="899"/>
      <c r="AC540" s="899"/>
      <c r="AD540" s="899"/>
      <c r="AE540" s="899"/>
      <c r="AF540" s="899"/>
      <c r="AG540" s="899"/>
      <c r="AH540" s="899"/>
      <c r="AI540" s="899"/>
      <c r="AJ540" s="899"/>
      <c r="AK540" s="899"/>
      <c r="AL540" s="899"/>
      <c r="AM540" s="899"/>
      <c r="AN540" s="899"/>
      <c r="AO540" s="899"/>
    </row>
    <row r="541">
      <c r="G541" s="899"/>
      <c r="H541" s="899"/>
      <c r="I541" s="899"/>
      <c r="J541" s="899"/>
      <c r="K541" s="899"/>
      <c r="L541" s="899"/>
      <c r="M541" s="899"/>
      <c r="N541" s="899"/>
      <c r="O541" s="899"/>
      <c r="P541" s="899"/>
      <c r="Q541" s="899"/>
      <c r="R541" s="899"/>
      <c r="S541" s="899"/>
      <c r="T541" s="899"/>
      <c r="U541" s="899"/>
      <c r="V541" s="899"/>
      <c r="W541" s="899"/>
      <c r="X541" s="899"/>
      <c r="Y541" s="899"/>
      <c r="Z541" s="899"/>
      <c r="AA541" s="899"/>
      <c r="AB541" s="899"/>
      <c r="AC541" s="899"/>
      <c r="AD541" s="899"/>
      <c r="AE541" s="899"/>
      <c r="AF541" s="899"/>
      <c r="AG541" s="899"/>
      <c r="AH541" s="899"/>
      <c r="AI541" s="899"/>
      <c r="AJ541" s="899"/>
      <c r="AK541" s="899"/>
      <c r="AL541" s="899"/>
      <c r="AM541" s="899"/>
      <c r="AN541" s="899"/>
      <c r="AO541" s="899"/>
    </row>
    <row r="542">
      <c r="G542" s="899"/>
      <c r="H542" s="899"/>
      <c r="I542" s="899"/>
      <c r="J542" s="899"/>
      <c r="K542" s="899"/>
      <c r="L542" s="899"/>
      <c r="M542" s="899"/>
      <c r="N542" s="899"/>
      <c r="O542" s="899"/>
      <c r="P542" s="899"/>
      <c r="Q542" s="899"/>
      <c r="R542" s="899"/>
      <c r="S542" s="899"/>
      <c r="T542" s="899"/>
      <c r="U542" s="899"/>
      <c r="V542" s="899"/>
      <c r="W542" s="899"/>
      <c r="X542" s="899"/>
      <c r="Y542" s="899"/>
      <c r="Z542" s="899"/>
      <c r="AA542" s="899"/>
      <c r="AB542" s="899"/>
      <c r="AC542" s="899"/>
      <c r="AD542" s="899"/>
      <c r="AE542" s="899"/>
      <c r="AF542" s="899"/>
      <c r="AG542" s="899"/>
      <c r="AH542" s="899"/>
      <c r="AI542" s="899"/>
      <c r="AJ542" s="899"/>
      <c r="AK542" s="899"/>
      <c r="AL542" s="899"/>
      <c r="AM542" s="899"/>
      <c r="AN542" s="899"/>
      <c r="AO542" s="899"/>
    </row>
    <row r="543">
      <c r="G543" s="899"/>
      <c r="H543" s="899"/>
      <c r="I543" s="899"/>
      <c r="J543" s="899"/>
      <c r="K543" s="899"/>
      <c r="L543" s="899"/>
      <c r="M543" s="899"/>
      <c r="N543" s="899"/>
      <c r="O543" s="899"/>
      <c r="P543" s="899"/>
      <c r="Q543" s="899"/>
      <c r="R543" s="899"/>
      <c r="S543" s="899"/>
      <c r="T543" s="899"/>
      <c r="U543" s="899"/>
      <c r="V543" s="899"/>
      <c r="W543" s="899"/>
      <c r="X543" s="899"/>
      <c r="Y543" s="899"/>
      <c r="Z543" s="899"/>
      <c r="AA543" s="899"/>
      <c r="AB543" s="899"/>
      <c r="AC543" s="899"/>
      <c r="AD543" s="899"/>
      <c r="AE543" s="899"/>
      <c r="AF543" s="899"/>
      <c r="AG543" s="899"/>
      <c r="AH543" s="899"/>
      <c r="AI543" s="899"/>
      <c r="AJ543" s="899"/>
      <c r="AK543" s="899"/>
      <c r="AL543" s="899"/>
      <c r="AM543" s="899"/>
      <c r="AN543" s="899"/>
      <c r="AO543" s="899"/>
    </row>
    <row r="544">
      <c r="G544" s="899"/>
      <c r="H544" s="899"/>
      <c r="I544" s="899"/>
      <c r="J544" s="899"/>
      <c r="K544" s="899"/>
      <c r="L544" s="899"/>
      <c r="M544" s="899"/>
      <c r="N544" s="899"/>
      <c r="O544" s="899"/>
      <c r="P544" s="899"/>
      <c r="Q544" s="899"/>
      <c r="R544" s="899"/>
      <c r="S544" s="899"/>
      <c r="T544" s="899"/>
      <c r="U544" s="899"/>
      <c r="V544" s="899"/>
      <c r="W544" s="899"/>
      <c r="X544" s="899"/>
      <c r="Y544" s="899"/>
      <c r="Z544" s="899"/>
      <c r="AA544" s="899"/>
      <c r="AB544" s="899"/>
      <c r="AC544" s="899"/>
      <c r="AD544" s="899"/>
      <c r="AE544" s="899"/>
      <c r="AF544" s="899"/>
      <c r="AG544" s="899"/>
      <c r="AH544" s="899"/>
      <c r="AI544" s="899"/>
      <c r="AJ544" s="899"/>
      <c r="AK544" s="899"/>
      <c r="AL544" s="899"/>
      <c r="AM544" s="899"/>
      <c r="AN544" s="899"/>
      <c r="AO544" s="899"/>
    </row>
    <row r="545">
      <c r="G545" s="899"/>
      <c r="H545" s="899"/>
      <c r="I545" s="899"/>
      <c r="J545" s="899"/>
      <c r="K545" s="899"/>
      <c r="L545" s="899"/>
      <c r="M545" s="899"/>
      <c r="N545" s="899"/>
      <c r="O545" s="899"/>
      <c r="P545" s="899"/>
      <c r="Q545" s="899"/>
      <c r="R545" s="899"/>
      <c r="S545" s="899"/>
      <c r="T545" s="899"/>
      <c r="U545" s="899"/>
      <c r="V545" s="899"/>
      <c r="W545" s="899"/>
      <c r="X545" s="899"/>
      <c r="Y545" s="899"/>
      <c r="Z545" s="899"/>
      <c r="AA545" s="899"/>
      <c r="AB545" s="899"/>
      <c r="AC545" s="899"/>
      <c r="AD545" s="899"/>
      <c r="AE545" s="899"/>
      <c r="AF545" s="899"/>
      <c r="AG545" s="899"/>
      <c r="AH545" s="899"/>
      <c r="AI545" s="899"/>
      <c r="AJ545" s="899"/>
      <c r="AK545" s="899"/>
      <c r="AL545" s="899"/>
      <c r="AM545" s="899"/>
      <c r="AN545" s="899"/>
      <c r="AO545" s="899"/>
    </row>
    <row r="546">
      <c r="G546" s="899"/>
      <c r="H546" s="899"/>
      <c r="I546" s="899"/>
      <c r="J546" s="899"/>
      <c r="K546" s="899"/>
      <c r="L546" s="899"/>
      <c r="M546" s="899"/>
      <c r="N546" s="899"/>
      <c r="O546" s="899"/>
      <c r="P546" s="899"/>
      <c r="Q546" s="899"/>
      <c r="R546" s="899"/>
      <c r="S546" s="899"/>
      <c r="T546" s="899"/>
      <c r="U546" s="899"/>
      <c r="V546" s="899"/>
      <c r="W546" s="899"/>
      <c r="X546" s="899"/>
      <c r="Y546" s="899"/>
      <c r="Z546" s="899"/>
      <c r="AA546" s="899"/>
      <c r="AB546" s="899"/>
      <c r="AC546" s="899"/>
      <c r="AD546" s="899"/>
      <c r="AE546" s="899"/>
      <c r="AF546" s="899"/>
      <c r="AG546" s="899"/>
      <c r="AH546" s="899"/>
      <c r="AI546" s="899"/>
      <c r="AJ546" s="899"/>
      <c r="AK546" s="899"/>
      <c r="AL546" s="899"/>
      <c r="AM546" s="899"/>
      <c r="AN546" s="899"/>
      <c r="AO546" s="899"/>
    </row>
    <row r="547">
      <c r="G547" s="899"/>
      <c r="H547" s="899"/>
      <c r="I547" s="899"/>
      <c r="J547" s="899"/>
      <c r="K547" s="899"/>
      <c r="L547" s="899"/>
      <c r="M547" s="899"/>
      <c r="N547" s="899"/>
      <c r="O547" s="899"/>
      <c r="P547" s="899"/>
      <c r="Q547" s="899"/>
      <c r="R547" s="899"/>
      <c r="S547" s="899"/>
      <c r="T547" s="899"/>
      <c r="U547" s="899"/>
      <c r="V547" s="899"/>
      <c r="W547" s="899"/>
      <c r="X547" s="899"/>
      <c r="Y547" s="899"/>
      <c r="Z547" s="899"/>
      <c r="AA547" s="899"/>
      <c r="AB547" s="899"/>
      <c r="AC547" s="899"/>
      <c r="AD547" s="899"/>
      <c r="AE547" s="899"/>
      <c r="AF547" s="899"/>
      <c r="AG547" s="899"/>
      <c r="AH547" s="899"/>
      <c r="AI547" s="899"/>
      <c r="AJ547" s="899"/>
      <c r="AK547" s="899"/>
      <c r="AL547" s="899"/>
      <c r="AM547" s="899"/>
      <c r="AN547" s="899"/>
      <c r="AO547" s="899"/>
    </row>
    <row r="548">
      <c r="G548" s="899"/>
      <c r="H548" s="899"/>
      <c r="I548" s="899"/>
      <c r="J548" s="899"/>
      <c r="K548" s="899"/>
      <c r="L548" s="899"/>
      <c r="M548" s="899"/>
      <c r="N548" s="899"/>
      <c r="O548" s="899"/>
      <c r="P548" s="899"/>
      <c r="Q548" s="899"/>
      <c r="R548" s="899"/>
      <c r="S548" s="899"/>
      <c r="T548" s="899"/>
      <c r="U548" s="899"/>
      <c r="V548" s="899"/>
      <c r="W548" s="899"/>
      <c r="X548" s="899"/>
      <c r="Y548" s="899"/>
      <c r="Z548" s="899"/>
      <c r="AA548" s="899"/>
      <c r="AB548" s="899"/>
      <c r="AC548" s="899"/>
      <c r="AD548" s="899"/>
      <c r="AE548" s="899"/>
      <c r="AF548" s="899"/>
      <c r="AG548" s="899"/>
      <c r="AH548" s="899"/>
      <c r="AI548" s="899"/>
      <c r="AJ548" s="899"/>
      <c r="AK548" s="899"/>
      <c r="AL548" s="899"/>
      <c r="AM548" s="899"/>
      <c r="AN548" s="899"/>
      <c r="AO548" s="899"/>
    </row>
    <row r="549">
      <c r="G549" s="899"/>
      <c r="H549" s="899"/>
      <c r="I549" s="899"/>
      <c r="J549" s="899"/>
      <c r="K549" s="899"/>
      <c r="L549" s="899"/>
      <c r="M549" s="899"/>
      <c r="N549" s="899"/>
      <c r="O549" s="899"/>
      <c r="P549" s="899"/>
      <c r="Q549" s="899"/>
      <c r="R549" s="899"/>
      <c r="S549" s="899"/>
      <c r="T549" s="899"/>
      <c r="U549" s="899"/>
      <c r="V549" s="899"/>
      <c r="W549" s="899"/>
      <c r="X549" s="899"/>
      <c r="Y549" s="899"/>
      <c r="Z549" s="899"/>
      <c r="AA549" s="899"/>
      <c r="AB549" s="899"/>
      <c r="AC549" s="899"/>
      <c r="AD549" s="899"/>
      <c r="AE549" s="899"/>
      <c r="AF549" s="899"/>
      <c r="AG549" s="899"/>
      <c r="AH549" s="899"/>
      <c r="AI549" s="899"/>
      <c r="AJ549" s="899"/>
      <c r="AK549" s="899"/>
      <c r="AL549" s="899"/>
      <c r="AM549" s="899"/>
      <c r="AN549" s="899"/>
      <c r="AO549" s="899"/>
    </row>
    <row r="550">
      <c r="G550" s="899"/>
      <c r="H550" s="899"/>
      <c r="I550" s="899"/>
      <c r="J550" s="899"/>
      <c r="K550" s="899"/>
      <c r="L550" s="899"/>
      <c r="M550" s="899"/>
      <c r="N550" s="899"/>
      <c r="O550" s="899"/>
      <c r="P550" s="899"/>
      <c r="Q550" s="899"/>
      <c r="R550" s="899"/>
      <c r="S550" s="899"/>
      <c r="T550" s="899"/>
      <c r="U550" s="899"/>
      <c r="V550" s="899"/>
      <c r="W550" s="899"/>
      <c r="X550" s="899"/>
      <c r="Y550" s="899"/>
      <c r="Z550" s="899"/>
      <c r="AA550" s="899"/>
      <c r="AB550" s="899"/>
      <c r="AC550" s="899"/>
      <c r="AD550" s="899"/>
      <c r="AE550" s="899"/>
      <c r="AF550" s="899"/>
      <c r="AG550" s="899"/>
      <c r="AH550" s="899"/>
      <c r="AI550" s="899"/>
      <c r="AJ550" s="899"/>
      <c r="AK550" s="899"/>
      <c r="AL550" s="899"/>
      <c r="AM550" s="899"/>
      <c r="AN550" s="899"/>
      <c r="AO550" s="899"/>
    </row>
    <row r="551">
      <c r="G551" s="899"/>
      <c r="H551" s="899"/>
      <c r="I551" s="899"/>
      <c r="J551" s="899"/>
      <c r="K551" s="899"/>
      <c r="L551" s="899"/>
      <c r="M551" s="899"/>
      <c r="N551" s="899"/>
      <c r="O551" s="899"/>
      <c r="P551" s="899"/>
      <c r="Q551" s="899"/>
      <c r="R551" s="899"/>
      <c r="S551" s="899"/>
      <c r="T551" s="899"/>
      <c r="U551" s="899"/>
      <c r="V551" s="899"/>
      <c r="W551" s="899"/>
      <c r="X551" s="899"/>
      <c r="Y551" s="899"/>
      <c r="Z551" s="899"/>
      <c r="AA551" s="899"/>
      <c r="AB551" s="899"/>
      <c r="AC551" s="899"/>
      <c r="AD551" s="899"/>
      <c r="AE551" s="899"/>
      <c r="AF551" s="899"/>
      <c r="AG551" s="899"/>
      <c r="AH551" s="899"/>
      <c r="AI551" s="899"/>
      <c r="AJ551" s="899"/>
      <c r="AK551" s="899"/>
      <c r="AL551" s="899"/>
      <c r="AM551" s="899"/>
      <c r="AN551" s="899"/>
      <c r="AO551" s="899"/>
    </row>
    <row r="552">
      <c r="G552" s="899"/>
      <c r="H552" s="899"/>
      <c r="I552" s="899"/>
      <c r="J552" s="899"/>
      <c r="K552" s="899"/>
      <c r="L552" s="899"/>
      <c r="M552" s="899"/>
      <c r="N552" s="899"/>
      <c r="O552" s="899"/>
      <c r="P552" s="899"/>
      <c r="Q552" s="899"/>
      <c r="R552" s="899"/>
      <c r="S552" s="899"/>
      <c r="T552" s="899"/>
      <c r="U552" s="899"/>
      <c r="V552" s="899"/>
      <c r="W552" s="899"/>
      <c r="X552" s="899"/>
      <c r="Y552" s="899"/>
      <c r="Z552" s="899"/>
      <c r="AA552" s="899"/>
      <c r="AB552" s="899"/>
      <c r="AC552" s="899"/>
      <c r="AD552" s="899"/>
      <c r="AE552" s="899"/>
      <c r="AF552" s="899"/>
      <c r="AG552" s="899"/>
      <c r="AH552" s="899"/>
      <c r="AI552" s="899"/>
      <c r="AJ552" s="899"/>
      <c r="AK552" s="899"/>
      <c r="AL552" s="899"/>
      <c r="AM552" s="899"/>
      <c r="AN552" s="899"/>
      <c r="AO552" s="899"/>
    </row>
    <row r="553">
      <c r="G553" s="899"/>
      <c r="H553" s="899"/>
      <c r="I553" s="899"/>
      <c r="J553" s="899"/>
      <c r="K553" s="899"/>
      <c r="L553" s="899"/>
      <c r="M553" s="899"/>
      <c r="N553" s="899"/>
      <c r="O553" s="899"/>
      <c r="P553" s="899"/>
      <c r="Q553" s="899"/>
      <c r="R553" s="899"/>
      <c r="S553" s="899"/>
      <c r="T553" s="899"/>
      <c r="U553" s="899"/>
      <c r="V553" s="899"/>
      <c r="W553" s="899"/>
      <c r="X553" s="899"/>
      <c r="Y553" s="899"/>
      <c r="Z553" s="899"/>
      <c r="AA553" s="899"/>
      <c r="AB553" s="899"/>
      <c r="AC553" s="899"/>
      <c r="AD553" s="899"/>
      <c r="AE553" s="899"/>
      <c r="AF553" s="899"/>
      <c r="AG553" s="899"/>
      <c r="AH553" s="899"/>
      <c r="AI553" s="899"/>
      <c r="AJ553" s="899"/>
      <c r="AK553" s="899"/>
      <c r="AL553" s="899"/>
      <c r="AM553" s="899"/>
      <c r="AN553" s="899"/>
      <c r="AO553" s="899"/>
    </row>
    <row r="554">
      <c r="G554" s="899"/>
      <c r="H554" s="899"/>
      <c r="I554" s="899"/>
      <c r="J554" s="899"/>
      <c r="K554" s="899"/>
      <c r="L554" s="899"/>
      <c r="M554" s="899"/>
      <c r="N554" s="899"/>
      <c r="O554" s="899"/>
      <c r="P554" s="899"/>
      <c r="Q554" s="899"/>
      <c r="R554" s="899"/>
      <c r="S554" s="899"/>
      <c r="T554" s="899"/>
      <c r="U554" s="899"/>
      <c r="V554" s="899"/>
      <c r="W554" s="899"/>
      <c r="X554" s="899"/>
      <c r="Y554" s="899"/>
      <c r="Z554" s="899"/>
      <c r="AA554" s="899"/>
      <c r="AB554" s="899"/>
      <c r="AC554" s="899"/>
      <c r="AD554" s="899"/>
      <c r="AE554" s="899"/>
      <c r="AF554" s="899"/>
      <c r="AG554" s="899"/>
      <c r="AH554" s="899"/>
      <c r="AI554" s="899"/>
      <c r="AJ554" s="899"/>
      <c r="AK554" s="899"/>
      <c r="AL554" s="899"/>
      <c r="AM554" s="899"/>
      <c r="AN554" s="899"/>
      <c r="AO554" s="899"/>
    </row>
    <row r="555">
      <c r="G555" s="899"/>
      <c r="H555" s="899"/>
      <c r="I555" s="899"/>
      <c r="J555" s="899"/>
      <c r="K555" s="899"/>
      <c r="L555" s="899"/>
      <c r="M555" s="899"/>
      <c r="N555" s="899"/>
      <c r="O555" s="899"/>
      <c r="P555" s="899"/>
      <c r="Q555" s="899"/>
      <c r="R555" s="899"/>
      <c r="S555" s="899"/>
      <c r="T555" s="899"/>
      <c r="U555" s="899"/>
      <c r="V555" s="899"/>
      <c r="W555" s="899"/>
      <c r="X555" s="899"/>
      <c r="Y555" s="899"/>
      <c r="Z555" s="899"/>
      <c r="AA555" s="899"/>
      <c r="AB555" s="899"/>
      <c r="AC555" s="899"/>
      <c r="AD555" s="899"/>
      <c r="AE555" s="899"/>
      <c r="AF555" s="899"/>
      <c r="AG555" s="899"/>
      <c r="AH555" s="899"/>
      <c r="AI555" s="899"/>
      <c r="AJ555" s="899"/>
      <c r="AK555" s="899"/>
      <c r="AL555" s="899"/>
      <c r="AM555" s="899"/>
      <c r="AN555" s="899"/>
      <c r="AO555" s="899"/>
    </row>
    <row r="556">
      <c r="G556" s="899"/>
      <c r="H556" s="899"/>
      <c r="I556" s="899"/>
      <c r="J556" s="899"/>
      <c r="K556" s="899"/>
      <c r="L556" s="899"/>
      <c r="M556" s="899"/>
      <c r="N556" s="899"/>
      <c r="O556" s="899"/>
      <c r="P556" s="899"/>
      <c r="Q556" s="899"/>
      <c r="R556" s="899"/>
      <c r="S556" s="899"/>
      <c r="T556" s="899"/>
      <c r="U556" s="899"/>
      <c r="V556" s="899"/>
      <c r="W556" s="899"/>
      <c r="X556" s="899"/>
      <c r="Y556" s="899"/>
      <c r="Z556" s="899"/>
      <c r="AA556" s="899"/>
      <c r="AB556" s="899"/>
      <c r="AC556" s="899"/>
      <c r="AD556" s="899"/>
      <c r="AE556" s="899"/>
      <c r="AF556" s="899"/>
      <c r="AG556" s="899"/>
      <c r="AH556" s="899"/>
      <c r="AI556" s="899"/>
      <c r="AJ556" s="899"/>
      <c r="AK556" s="899"/>
      <c r="AL556" s="899"/>
      <c r="AM556" s="899"/>
      <c r="AN556" s="899"/>
      <c r="AO556" s="899"/>
    </row>
    <row r="557">
      <c r="G557" s="899"/>
      <c r="H557" s="899"/>
      <c r="I557" s="899"/>
      <c r="J557" s="899"/>
      <c r="K557" s="899"/>
      <c r="L557" s="899"/>
      <c r="M557" s="899"/>
      <c r="N557" s="899"/>
      <c r="O557" s="899"/>
      <c r="P557" s="899"/>
      <c r="Q557" s="899"/>
      <c r="R557" s="899"/>
      <c r="S557" s="899"/>
      <c r="T557" s="899"/>
      <c r="U557" s="899"/>
      <c r="V557" s="899"/>
      <c r="W557" s="899"/>
      <c r="X557" s="899"/>
      <c r="Y557" s="899"/>
      <c r="Z557" s="899"/>
      <c r="AA557" s="899"/>
      <c r="AB557" s="899"/>
      <c r="AC557" s="899"/>
      <c r="AD557" s="899"/>
      <c r="AE557" s="899"/>
      <c r="AF557" s="899"/>
      <c r="AG557" s="899"/>
      <c r="AH557" s="899"/>
      <c r="AI557" s="899"/>
      <c r="AJ557" s="899"/>
      <c r="AK557" s="899"/>
      <c r="AL557" s="899"/>
      <c r="AM557" s="899"/>
      <c r="AN557" s="899"/>
      <c r="AO557" s="899"/>
    </row>
    <row r="558">
      <c r="G558" s="899"/>
      <c r="H558" s="899"/>
      <c r="I558" s="899"/>
      <c r="J558" s="899"/>
      <c r="K558" s="899"/>
      <c r="L558" s="899"/>
      <c r="M558" s="899"/>
      <c r="N558" s="899"/>
      <c r="O558" s="899"/>
      <c r="P558" s="899"/>
      <c r="Q558" s="899"/>
      <c r="R558" s="899"/>
      <c r="S558" s="899"/>
      <c r="T558" s="899"/>
      <c r="U558" s="899"/>
      <c r="V558" s="899"/>
      <c r="W558" s="899"/>
      <c r="X558" s="899"/>
      <c r="Y558" s="899"/>
      <c r="Z558" s="899"/>
      <c r="AA558" s="899"/>
      <c r="AB558" s="899"/>
      <c r="AC558" s="899"/>
      <c r="AD558" s="899"/>
      <c r="AE558" s="899"/>
      <c r="AF558" s="899"/>
      <c r="AG558" s="899"/>
      <c r="AH558" s="899"/>
      <c r="AI558" s="899"/>
      <c r="AJ558" s="899"/>
      <c r="AK558" s="899"/>
      <c r="AL558" s="899"/>
      <c r="AM558" s="899"/>
      <c r="AN558" s="899"/>
      <c r="AO558" s="899"/>
    </row>
    <row r="559">
      <c r="G559" s="899"/>
      <c r="H559" s="899"/>
      <c r="I559" s="899"/>
      <c r="J559" s="899"/>
      <c r="K559" s="899"/>
      <c r="L559" s="899"/>
      <c r="M559" s="899"/>
      <c r="N559" s="899"/>
      <c r="O559" s="899"/>
      <c r="P559" s="899"/>
      <c r="Q559" s="899"/>
      <c r="R559" s="899"/>
      <c r="S559" s="899"/>
      <c r="T559" s="899"/>
      <c r="U559" s="899"/>
      <c r="V559" s="899"/>
      <c r="W559" s="899"/>
      <c r="X559" s="899"/>
      <c r="Y559" s="899"/>
      <c r="Z559" s="899"/>
      <c r="AA559" s="899"/>
      <c r="AB559" s="899"/>
      <c r="AC559" s="899"/>
      <c r="AD559" s="899"/>
      <c r="AE559" s="899"/>
      <c r="AF559" s="899"/>
      <c r="AG559" s="899"/>
      <c r="AH559" s="899"/>
      <c r="AI559" s="899"/>
      <c r="AJ559" s="899"/>
      <c r="AK559" s="899"/>
      <c r="AL559" s="899"/>
      <c r="AM559" s="899"/>
      <c r="AN559" s="899"/>
      <c r="AO559" s="899"/>
    </row>
    <row r="560">
      <c r="G560" s="899"/>
      <c r="H560" s="899"/>
      <c r="I560" s="899"/>
      <c r="J560" s="899"/>
      <c r="K560" s="899"/>
      <c r="L560" s="899"/>
      <c r="M560" s="899"/>
      <c r="N560" s="899"/>
      <c r="O560" s="899"/>
      <c r="P560" s="899"/>
      <c r="Q560" s="899"/>
      <c r="R560" s="899"/>
      <c r="S560" s="899"/>
      <c r="T560" s="899"/>
      <c r="U560" s="899"/>
      <c r="V560" s="899"/>
      <c r="W560" s="899"/>
      <c r="X560" s="899"/>
      <c r="Y560" s="899"/>
      <c r="Z560" s="899"/>
      <c r="AA560" s="899"/>
      <c r="AB560" s="899"/>
      <c r="AC560" s="899"/>
      <c r="AD560" s="899"/>
      <c r="AE560" s="899"/>
      <c r="AF560" s="899"/>
      <c r="AG560" s="899"/>
      <c r="AH560" s="899"/>
      <c r="AI560" s="899"/>
      <c r="AJ560" s="899"/>
      <c r="AK560" s="899"/>
      <c r="AL560" s="899"/>
      <c r="AM560" s="899"/>
      <c r="AN560" s="899"/>
      <c r="AO560" s="899"/>
    </row>
    <row r="561">
      <c r="G561" s="899"/>
      <c r="H561" s="899"/>
      <c r="I561" s="899"/>
      <c r="J561" s="899"/>
      <c r="K561" s="899"/>
      <c r="L561" s="899"/>
      <c r="M561" s="899"/>
      <c r="N561" s="899"/>
      <c r="O561" s="899"/>
      <c r="P561" s="899"/>
      <c r="Q561" s="899"/>
      <c r="R561" s="899"/>
      <c r="S561" s="899"/>
      <c r="T561" s="899"/>
      <c r="U561" s="899"/>
      <c r="V561" s="899"/>
      <c r="W561" s="899"/>
      <c r="X561" s="899"/>
      <c r="Y561" s="899"/>
      <c r="Z561" s="899"/>
      <c r="AA561" s="899"/>
      <c r="AB561" s="899"/>
      <c r="AC561" s="899"/>
      <c r="AD561" s="899"/>
      <c r="AE561" s="899"/>
      <c r="AF561" s="899"/>
      <c r="AG561" s="899"/>
      <c r="AH561" s="899"/>
      <c r="AI561" s="899"/>
      <c r="AJ561" s="899"/>
      <c r="AK561" s="899"/>
      <c r="AL561" s="899"/>
      <c r="AM561" s="899"/>
      <c r="AN561" s="899"/>
      <c r="AO561" s="899"/>
    </row>
    <row r="562">
      <c r="G562" s="899"/>
      <c r="H562" s="899"/>
      <c r="I562" s="899"/>
      <c r="J562" s="899"/>
      <c r="K562" s="899"/>
      <c r="L562" s="899"/>
      <c r="M562" s="899"/>
      <c r="N562" s="899"/>
      <c r="O562" s="899"/>
      <c r="P562" s="899"/>
      <c r="Q562" s="899"/>
      <c r="R562" s="899"/>
      <c r="S562" s="899"/>
      <c r="T562" s="899"/>
      <c r="U562" s="899"/>
      <c r="V562" s="899"/>
      <c r="W562" s="899"/>
      <c r="X562" s="899"/>
      <c r="Y562" s="899"/>
      <c r="Z562" s="899"/>
      <c r="AA562" s="899"/>
      <c r="AB562" s="899"/>
      <c r="AC562" s="899"/>
      <c r="AD562" s="899"/>
      <c r="AE562" s="899"/>
      <c r="AF562" s="899"/>
      <c r="AG562" s="899"/>
      <c r="AH562" s="899"/>
      <c r="AI562" s="899"/>
      <c r="AJ562" s="899"/>
      <c r="AK562" s="899"/>
      <c r="AL562" s="899"/>
      <c r="AM562" s="899"/>
      <c r="AN562" s="899"/>
      <c r="AO562" s="899"/>
    </row>
    <row r="563">
      <c r="G563" s="899"/>
      <c r="H563" s="899"/>
      <c r="I563" s="899"/>
      <c r="J563" s="899"/>
      <c r="K563" s="899"/>
      <c r="L563" s="899"/>
      <c r="M563" s="899"/>
      <c r="N563" s="899"/>
      <c r="O563" s="899"/>
      <c r="P563" s="899"/>
      <c r="Q563" s="899"/>
      <c r="R563" s="899"/>
      <c r="S563" s="899"/>
      <c r="T563" s="899"/>
      <c r="U563" s="899"/>
      <c r="V563" s="899"/>
      <c r="W563" s="899"/>
      <c r="X563" s="899"/>
      <c r="Y563" s="899"/>
      <c r="Z563" s="899"/>
      <c r="AA563" s="899"/>
      <c r="AB563" s="899"/>
      <c r="AC563" s="899"/>
      <c r="AD563" s="899"/>
      <c r="AE563" s="899"/>
      <c r="AF563" s="899"/>
      <c r="AG563" s="899"/>
      <c r="AH563" s="899"/>
      <c r="AI563" s="899"/>
      <c r="AJ563" s="899"/>
      <c r="AK563" s="899"/>
      <c r="AL563" s="899"/>
      <c r="AM563" s="899"/>
      <c r="AN563" s="899"/>
      <c r="AO563" s="899"/>
    </row>
    <row r="564">
      <c r="G564" s="899"/>
      <c r="H564" s="899"/>
      <c r="I564" s="899"/>
      <c r="J564" s="899"/>
      <c r="K564" s="899"/>
      <c r="L564" s="899"/>
      <c r="M564" s="899"/>
      <c r="N564" s="899"/>
      <c r="O564" s="899"/>
      <c r="P564" s="899"/>
      <c r="Q564" s="899"/>
      <c r="R564" s="899"/>
      <c r="S564" s="899"/>
      <c r="T564" s="899"/>
      <c r="U564" s="899"/>
      <c r="V564" s="899"/>
      <c r="W564" s="899"/>
      <c r="X564" s="899"/>
      <c r="Y564" s="899"/>
      <c r="Z564" s="899"/>
      <c r="AA564" s="899"/>
      <c r="AB564" s="899"/>
      <c r="AC564" s="899"/>
      <c r="AD564" s="899"/>
      <c r="AE564" s="899"/>
      <c r="AF564" s="899"/>
      <c r="AG564" s="899"/>
      <c r="AH564" s="899"/>
      <c r="AI564" s="899"/>
      <c r="AJ564" s="899"/>
      <c r="AK564" s="899"/>
      <c r="AL564" s="899"/>
      <c r="AM564" s="899"/>
      <c r="AN564" s="899"/>
      <c r="AO564" s="899"/>
    </row>
    <row r="565">
      <c r="G565" s="899"/>
      <c r="H565" s="899"/>
      <c r="I565" s="899"/>
      <c r="J565" s="899"/>
      <c r="K565" s="899"/>
      <c r="L565" s="899"/>
      <c r="M565" s="899"/>
      <c r="N565" s="899"/>
      <c r="O565" s="899"/>
      <c r="P565" s="899"/>
      <c r="Q565" s="899"/>
      <c r="R565" s="899"/>
      <c r="S565" s="899"/>
      <c r="T565" s="899"/>
      <c r="U565" s="899"/>
      <c r="V565" s="899"/>
      <c r="W565" s="899"/>
      <c r="X565" s="899"/>
      <c r="Y565" s="899"/>
      <c r="Z565" s="899"/>
      <c r="AA565" s="899"/>
      <c r="AB565" s="899"/>
      <c r="AC565" s="899"/>
      <c r="AD565" s="899"/>
      <c r="AE565" s="899"/>
      <c r="AF565" s="899"/>
      <c r="AG565" s="899"/>
      <c r="AH565" s="899"/>
      <c r="AI565" s="899"/>
      <c r="AJ565" s="899"/>
      <c r="AK565" s="899"/>
      <c r="AL565" s="899"/>
      <c r="AM565" s="899"/>
      <c r="AN565" s="899"/>
      <c r="AO565" s="899"/>
    </row>
    <row r="566">
      <c r="G566" s="899"/>
      <c r="H566" s="899"/>
      <c r="I566" s="899"/>
      <c r="J566" s="899"/>
      <c r="K566" s="899"/>
      <c r="L566" s="899"/>
      <c r="M566" s="899"/>
      <c r="N566" s="899"/>
      <c r="O566" s="899"/>
      <c r="P566" s="899"/>
      <c r="Q566" s="899"/>
      <c r="R566" s="899"/>
      <c r="S566" s="899"/>
      <c r="T566" s="899"/>
      <c r="U566" s="899"/>
      <c r="V566" s="899"/>
      <c r="W566" s="899"/>
      <c r="X566" s="899"/>
      <c r="Y566" s="899"/>
      <c r="Z566" s="899"/>
      <c r="AA566" s="899"/>
      <c r="AB566" s="899"/>
      <c r="AC566" s="899"/>
      <c r="AD566" s="899"/>
      <c r="AE566" s="899"/>
      <c r="AF566" s="899"/>
      <c r="AG566" s="899"/>
      <c r="AH566" s="899"/>
      <c r="AI566" s="899"/>
      <c r="AJ566" s="899"/>
      <c r="AK566" s="899"/>
      <c r="AL566" s="899"/>
      <c r="AM566" s="899"/>
      <c r="AN566" s="899"/>
      <c r="AO566" s="899"/>
    </row>
    <row r="567">
      <c r="G567" s="899"/>
      <c r="H567" s="899"/>
      <c r="I567" s="899"/>
      <c r="J567" s="899"/>
      <c r="K567" s="899"/>
      <c r="L567" s="899"/>
      <c r="M567" s="899"/>
      <c r="N567" s="899"/>
      <c r="O567" s="899"/>
      <c r="P567" s="899"/>
      <c r="Q567" s="899"/>
      <c r="R567" s="899"/>
      <c r="S567" s="899"/>
      <c r="T567" s="899"/>
      <c r="U567" s="899"/>
      <c r="V567" s="899"/>
      <c r="W567" s="899"/>
      <c r="X567" s="899"/>
      <c r="Y567" s="899"/>
      <c r="Z567" s="899"/>
      <c r="AA567" s="899"/>
      <c r="AB567" s="899"/>
      <c r="AC567" s="899"/>
      <c r="AD567" s="899"/>
      <c r="AE567" s="899"/>
      <c r="AF567" s="899"/>
      <c r="AG567" s="899"/>
      <c r="AH567" s="899"/>
      <c r="AI567" s="899"/>
      <c r="AJ567" s="899"/>
      <c r="AK567" s="899"/>
      <c r="AL567" s="899"/>
      <c r="AM567" s="899"/>
      <c r="AN567" s="899"/>
      <c r="AO567" s="899"/>
    </row>
    <row r="568">
      <c r="G568" s="899"/>
      <c r="H568" s="899"/>
      <c r="I568" s="899"/>
      <c r="J568" s="899"/>
      <c r="K568" s="899"/>
      <c r="L568" s="899"/>
      <c r="M568" s="899"/>
      <c r="N568" s="899"/>
      <c r="O568" s="899"/>
      <c r="P568" s="899"/>
      <c r="Q568" s="899"/>
      <c r="R568" s="899"/>
      <c r="S568" s="899"/>
      <c r="T568" s="899"/>
      <c r="U568" s="899"/>
      <c r="V568" s="899"/>
      <c r="W568" s="899"/>
      <c r="X568" s="899"/>
      <c r="Y568" s="899"/>
      <c r="Z568" s="899"/>
      <c r="AA568" s="899"/>
      <c r="AB568" s="899"/>
      <c r="AC568" s="899"/>
      <c r="AD568" s="899"/>
      <c r="AE568" s="899"/>
      <c r="AF568" s="899"/>
      <c r="AG568" s="899"/>
      <c r="AH568" s="899"/>
      <c r="AI568" s="899"/>
      <c r="AJ568" s="899"/>
      <c r="AK568" s="899"/>
      <c r="AL568" s="899"/>
      <c r="AM568" s="899"/>
      <c r="AN568" s="899"/>
      <c r="AO568" s="899"/>
    </row>
    <row r="569">
      <c r="G569" s="899"/>
      <c r="H569" s="899"/>
      <c r="I569" s="899"/>
      <c r="J569" s="899"/>
      <c r="K569" s="899"/>
      <c r="L569" s="899"/>
      <c r="M569" s="899"/>
      <c r="N569" s="899"/>
      <c r="O569" s="899"/>
      <c r="P569" s="899"/>
      <c r="Q569" s="899"/>
      <c r="R569" s="899"/>
      <c r="S569" s="899"/>
      <c r="T569" s="899"/>
      <c r="U569" s="899"/>
      <c r="V569" s="899"/>
      <c r="W569" s="899"/>
      <c r="X569" s="899"/>
      <c r="Y569" s="899"/>
      <c r="Z569" s="899"/>
      <c r="AA569" s="899"/>
      <c r="AB569" s="899"/>
      <c r="AC569" s="899"/>
      <c r="AD569" s="899"/>
      <c r="AE569" s="899"/>
      <c r="AF569" s="899"/>
      <c r="AG569" s="899"/>
      <c r="AH569" s="899"/>
      <c r="AI569" s="899"/>
      <c r="AJ569" s="899"/>
      <c r="AK569" s="899"/>
      <c r="AL569" s="899"/>
      <c r="AM569" s="899"/>
      <c r="AN569" s="899"/>
      <c r="AO569" s="899"/>
    </row>
    <row r="570">
      <c r="G570" s="899"/>
      <c r="H570" s="899"/>
      <c r="I570" s="899"/>
      <c r="J570" s="899"/>
      <c r="K570" s="899"/>
      <c r="L570" s="899"/>
      <c r="M570" s="899"/>
      <c r="N570" s="899"/>
      <c r="O570" s="899"/>
      <c r="P570" s="899"/>
      <c r="Q570" s="899"/>
      <c r="R570" s="899"/>
      <c r="S570" s="899"/>
      <c r="T570" s="899"/>
      <c r="U570" s="899"/>
      <c r="V570" s="899"/>
      <c r="W570" s="899"/>
      <c r="X570" s="899"/>
      <c r="Y570" s="899"/>
      <c r="Z570" s="899"/>
      <c r="AA570" s="899"/>
      <c r="AB570" s="899"/>
      <c r="AC570" s="899"/>
      <c r="AD570" s="899"/>
      <c r="AE570" s="899"/>
      <c r="AF570" s="899"/>
      <c r="AG570" s="899"/>
      <c r="AH570" s="899"/>
      <c r="AI570" s="899"/>
      <c r="AJ570" s="899"/>
      <c r="AK570" s="899"/>
      <c r="AL570" s="899"/>
      <c r="AM570" s="899"/>
      <c r="AN570" s="899"/>
      <c r="AO570" s="899"/>
    </row>
    <row r="571">
      <c r="G571" s="899"/>
      <c r="H571" s="899"/>
      <c r="I571" s="899"/>
      <c r="J571" s="899"/>
      <c r="K571" s="899"/>
      <c r="L571" s="899"/>
      <c r="M571" s="899"/>
      <c r="N571" s="899"/>
      <c r="O571" s="899"/>
      <c r="P571" s="899"/>
      <c r="Q571" s="899"/>
      <c r="R571" s="899"/>
      <c r="S571" s="899"/>
      <c r="T571" s="899"/>
      <c r="U571" s="899"/>
      <c r="V571" s="899"/>
      <c r="W571" s="899"/>
      <c r="X571" s="899"/>
      <c r="Y571" s="899"/>
      <c r="Z571" s="899"/>
      <c r="AA571" s="899"/>
      <c r="AB571" s="899"/>
      <c r="AC571" s="899"/>
      <c r="AD571" s="899"/>
      <c r="AE571" s="899"/>
      <c r="AF571" s="899"/>
      <c r="AG571" s="899"/>
      <c r="AH571" s="899"/>
      <c r="AI571" s="899"/>
      <c r="AJ571" s="899"/>
      <c r="AK571" s="899"/>
      <c r="AL571" s="899"/>
      <c r="AM571" s="899"/>
      <c r="AN571" s="899"/>
      <c r="AO571" s="899"/>
    </row>
    <row r="572">
      <c r="G572" s="899"/>
      <c r="H572" s="899"/>
      <c r="I572" s="899"/>
      <c r="J572" s="899"/>
      <c r="K572" s="899"/>
      <c r="L572" s="899"/>
      <c r="M572" s="899"/>
      <c r="N572" s="899"/>
      <c r="O572" s="899"/>
      <c r="P572" s="899"/>
      <c r="Q572" s="899"/>
      <c r="R572" s="899"/>
      <c r="S572" s="899"/>
      <c r="T572" s="899"/>
      <c r="U572" s="899"/>
      <c r="V572" s="899"/>
      <c r="W572" s="899"/>
      <c r="X572" s="899"/>
      <c r="Y572" s="899"/>
      <c r="Z572" s="899"/>
      <c r="AA572" s="899"/>
      <c r="AB572" s="899"/>
      <c r="AC572" s="899"/>
      <c r="AD572" s="899"/>
      <c r="AE572" s="899"/>
      <c r="AF572" s="899"/>
      <c r="AG572" s="899"/>
      <c r="AH572" s="899"/>
      <c r="AI572" s="899"/>
      <c r="AJ572" s="899"/>
      <c r="AK572" s="899"/>
      <c r="AL572" s="899"/>
      <c r="AM572" s="899"/>
      <c r="AN572" s="899"/>
      <c r="AO572" s="899"/>
    </row>
    <row r="573">
      <c r="G573" s="899"/>
      <c r="H573" s="899"/>
      <c r="I573" s="899"/>
      <c r="J573" s="899"/>
      <c r="K573" s="899"/>
      <c r="L573" s="899"/>
      <c r="M573" s="899"/>
      <c r="N573" s="899"/>
      <c r="O573" s="899"/>
      <c r="P573" s="899"/>
      <c r="Q573" s="899"/>
      <c r="R573" s="899"/>
      <c r="S573" s="899"/>
      <c r="T573" s="899"/>
      <c r="U573" s="899"/>
      <c r="V573" s="899"/>
      <c r="W573" s="899"/>
      <c r="X573" s="899"/>
      <c r="Y573" s="899"/>
      <c r="Z573" s="899"/>
      <c r="AA573" s="899"/>
      <c r="AB573" s="899"/>
      <c r="AC573" s="899"/>
      <c r="AD573" s="899"/>
      <c r="AE573" s="899"/>
      <c r="AF573" s="899"/>
      <c r="AG573" s="899"/>
      <c r="AH573" s="899"/>
      <c r="AI573" s="899"/>
      <c r="AJ573" s="899"/>
      <c r="AK573" s="899"/>
      <c r="AL573" s="899"/>
      <c r="AM573" s="899"/>
      <c r="AN573" s="899"/>
      <c r="AO573" s="899"/>
    </row>
    <row r="574">
      <c r="G574" s="899"/>
      <c r="H574" s="899"/>
      <c r="I574" s="899"/>
      <c r="J574" s="899"/>
      <c r="K574" s="899"/>
      <c r="L574" s="899"/>
      <c r="M574" s="899"/>
      <c r="N574" s="899"/>
      <c r="O574" s="899"/>
      <c r="P574" s="899"/>
      <c r="Q574" s="899"/>
      <c r="R574" s="899"/>
      <c r="S574" s="899"/>
      <c r="T574" s="899"/>
      <c r="U574" s="899"/>
      <c r="V574" s="899"/>
      <c r="W574" s="899"/>
      <c r="X574" s="899"/>
      <c r="Y574" s="899"/>
      <c r="Z574" s="899"/>
      <c r="AA574" s="899"/>
      <c r="AB574" s="899"/>
      <c r="AC574" s="899"/>
      <c r="AD574" s="899"/>
      <c r="AE574" s="899"/>
      <c r="AF574" s="899"/>
      <c r="AG574" s="899"/>
      <c r="AH574" s="899"/>
      <c r="AI574" s="899"/>
      <c r="AJ574" s="899"/>
      <c r="AK574" s="899"/>
      <c r="AL574" s="899"/>
      <c r="AM574" s="899"/>
      <c r="AN574" s="899"/>
      <c r="AO574" s="899"/>
    </row>
    <row r="575">
      <c r="G575" s="899"/>
      <c r="H575" s="899"/>
      <c r="I575" s="899"/>
      <c r="J575" s="899"/>
      <c r="K575" s="899"/>
      <c r="L575" s="899"/>
      <c r="M575" s="899"/>
      <c r="N575" s="899"/>
      <c r="O575" s="899"/>
      <c r="P575" s="899"/>
      <c r="Q575" s="899"/>
      <c r="R575" s="899"/>
      <c r="S575" s="899"/>
      <c r="T575" s="899"/>
      <c r="U575" s="899"/>
      <c r="V575" s="899"/>
      <c r="W575" s="899"/>
      <c r="X575" s="899"/>
      <c r="Y575" s="899"/>
      <c r="Z575" s="899"/>
      <c r="AA575" s="899"/>
      <c r="AB575" s="899"/>
      <c r="AC575" s="899"/>
      <c r="AD575" s="899"/>
      <c r="AE575" s="899"/>
      <c r="AF575" s="899"/>
      <c r="AG575" s="899"/>
      <c r="AH575" s="899"/>
      <c r="AI575" s="899"/>
      <c r="AJ575" s="899"/>
      <c r="AK575" s="899"/>
      <c r="AL575" s="899"/>
      <c r="AM575" s="899"/>
      <c r="AN575" s="899"/>
      <c r="AO575" s="899"/>
    </row>
    <row r="576">
      <c r="G576" s="899"/>
      <c r="H576" s="899"/>
      <c r="I576" s="899"/>
      <c r="J576" s="899"/>
      <c r="K576" s="899"/>
      <c r="L576" s="899"/>
      <c r="M576" s="899"/>
      <c r="N576" s="899"/>
      <c r="O576" s="899"/>
      <c r="P576" s="899"/>
      <c r="Q576" s="899"/>
      <c r="R576" s="899"/>
      <c r="S576" s="899"/>
      <c r="T576" s="899"/>
      <c r="U576" s="899"/>
      <c r="V576" s="899"/>
      <c r="W576" s="899"/>
      <c r="X576" s="899"/>
      <c r="Y576" s="899"/>
      <c r="Z576" s="899"/>
      <c r="AA576" s="899"/>
      <c r="AB576" s="899"/>
      <c r="AC576" s="899"/>
      <c r="AD576" s="899"/>
      <c r="AE576" s="899"/>
      <c r="AF576" s="899"/>
      <c r="AG576" s="899"/>
      <c r="AH576" s="899"/>
      <c r="AI576" s="899"/>
      <c r="AJ576" s="899"/>
      <c r="AK576" s="899"/>
      <c r="AL576" s="899"/>
      <c r="AM576" s="899"/>
      <c r="AN576" s="899"/>
      <c r="AO576" s="899"/>
    </row>
    <row r="577">
      <c r="G577" s="899"/>
      <c r="H577" s="899"/>
      <c r="I577" s="899"/>
      <c r="J577" s="899"/>
      <c r="K577" s="899"/>
      <c r="L577" s="899"/>
      <c r="M577" s="899"/>
      <c r="N577" s="899"/>
      <c r="O577" s="899"/>
      <c r="P577" s="899"/>
      <c r="Q577" s="899"/>
      <c r="R577" s="899"/>
      <c r="S577" s="899"/>
      <c r="T577" s="899"/>
      <c r="U577" s="899"/>
      <c r="V577" s="899"/>
      <c r="W577" s="899"/>
      <c r="X577" s="899"/>
      <c r="Y577" s="899"/>
      <c r="Z577" s="899"/>
      <c r="AA577" s="899"/>
      <c r="AB577" s="899"/>
      <c r="AC577" s="899"/>
      <c r="AD577" s="899"/>
      <c r="AE577" s="899"/>
      <c r="AF577" s="899"/>
      <c r="AG577" s="899"/>
      <c r="AH577" s="899"/>
      <c r="AI577" s="899"/>
      <c r="AJ577" s="899"/>
      <c r="AK577" s="899"/>
      <c r="AL577" s="899"/>
      <c r="AM577" s="899"/>
      <c r="AN577" s="899"/>
      <c r="AO577" s="899"/>
    </row>
    <row r="578">
      <c r="G578" s="899"/>
      <c r="H578" s="899"/>
      <c r="I578" s="899"/>
      <c r="J578" s="899"/>
      <c r="K578" s="899"/>
      <c r="L578" s="899"/>
      <c r="M578" s="899"/>
      <c r="N578" s="899"/>
      <c r="O578" s="899"/>
      <c r="P578" s="899"/>
      <c r="Q578" s="899"/>
      <c r="R578" s="899"/>
      <c r="S578" s="899"/>
      <c r="T578" s="899"/>
      <c r="U578" s="899"/>
      <c r="V578" s="899"/>
      <c r="W578" s="899"/>
      <c r="X578" s="899"/>
      <c r="Y578" s="899"/>
      <c r="Z578" s="899"/>
      <c r="AA578" s="899"/>
      <c r="AB578" s="899"/>
      <c r="AC578" s="899"/>
      <c r="AD578" s="899"/>
      <c r="AE578" s="899"/>
      <c r="AF578" s="899"/>
      <c r="AG578" s="899"/>
      <c r="AH578" s="899"/>
      <c r="AI578" s="899"/>
      <c r="AJ578" s="899"/>
      <c r="AK578" s="899"/>
      <c r="AL578" s="899"/>
      <c r="AM578" s="899"/>
      <c r="AN578" s="899"/>
      <c r="AO578" s="899"/>
    </row>
    <row r="579">
      <c r="G579" s="899"/>
      <c r="H579" s="899"/>
      <c r="I579" s="899"/>
      <c r="J579" s="899"/>
      <c r="K579" s="899"/>
      <c r="L579" s="899"/>
      <c r="M579" s="899"/>
      <c r="N579" s="899"/>
      <c r="O579" s="899"/>
      <c r="P579" s="899"/>
      <c r="Q579" s="899"/>
      <c r="R579" s="899"/>
      <c r="S579" s="899"/>
      <c r="T579" s="899"/>
      <c r="U579" s="899"/>
      <c r="V579" s="899"/>
      <c r="W579" s="899"/>
      <c r="X579" s="899"/>
      <c r="Y579" s="899"/>
      <c r="Z579" s="899"/>
      <c r="AA579" s="899"/>
      <c r="AB579" s="899"/>
      <c r="AC579" s="899"/>
      <c r="AD579" s="899"/>
      <c r="AE579" s="899"/>
      <c r="AF579" s="899"/>
      <c r="AG579" s="899"/>
      <c r="AH579" s="899"/>
      <c r="AI579" s="899"/>
      <c r="AJ579" s="899"/>
      <c r="AK579" s="899"/>
      <c r="AL579" s="899"/>
      <c r="AM579" s="899"/>
      <c r="AN579" s="899"/>
      <c r="AO579" s="899"/>
    </row>
    <row r="580">
      <c r="G580" s="899"/>
      <c r="H580" s="899"/>
      <c r="I580" s="899"/>
      <c r="J580" s="899"/>
      <c r="K580" s="899"/>
      <c r="L580" s="899"/>
      <c r="M580" s="899"/>
      <c r="N580" s="899"/>
      <c r="O580" s="899"/>
      <c r="P580" s="899"/>
      <c r="Q580" s="899"/>
      <c r="R580" s="899"/>
      <c r="S580" s="899"/>
      <c r="T580" s="899"/>
      <c r="U580" s="899"/>
      <c r="V580" s="899"/>
      <c r="W580" s="899"/>
      <c r="X580" s="899"/>
      <c r="Y580" s="899"/>
      <c r="Z580" s="899"/>
      <c r="AA580" s="899"/>
      <c r="AB580" s="899"/>
      <c r="AC580" s="899"/>
      <c r="AD580" s="899"/>
      <c r="AE580" s="899"/>
      <c r="AF580" s="899"/>
      <c r="AG580" s="899"/>
      <c r="AH580" s="899"/>
      <c r="AI580" s="899"/>
      <c r="AJ580" s="899"/>
      <c r="AK580" s="899"/>
      <c r="AL580" s="899"/>
      <c r="AM580" s="899"/>
      <c r="AN580" s="899"/>
      <c r="AO580" s="899"/>
    </row>
    <row r="581">
      <c r="G581" s="899"/>
      <c r="H581" s="899"/>
      <c r="I581" s="899"/>
      <c r="J581" s="899"/>
      <c r="K581" s="899"/>
      <c r="L581" s="899"/>
      <c r="M581" s="899"/>
      <c r="N581" s="899"/>
      <c r="O581" s="899"/>
      <c r="P581" s="899"/>
      <c r="Q581" s="899"/>
      <c r="R581" s="899"/>
      <c r="S581" s="899"/>
      <c r="T581" s="899"/>
      <c r="U581" s="899"/>
      <c r="V581" s="899"/>
      <c r="W581" s="899"/>
      <c r="X581" s="899"/>
      <c r="Y581" s="899"/>
      <c r="Z581" s="899"/>
      <c r="AA581" s="899"/>
      <c r="AB581" s="899"/>
      <c r="AC581" s="899"/>
      <c r="AD581" s="899"/>
      <c r="AE581" s="899"/>
      <c r="AF581" s="899"/>
      <c r="AG581" s="899"/>
      <c r="AH581" s="899"/>
      <c r="AI581" s="899"/>
      <c r="AJ581" s="899"/>
      <c r="AK581" s="899"/>
      <c r="AL581" s="899"/>
      <c r="AM581" s="899"/>
      <c r="AN581" s="899"/>
      <c r="AO581" s="899"/>
    </row>
    <row r="582">
      <c r="G582" s="899"/>
      <c r="H582" s="899"/>
      <c r="I582" s="899"/>
      <c r="J582" s="899"/>
      <c r="K582" s="899"/>
      <c r="L582" s="899"/>
      <c r="M582" s="899"/>
      <c r="N582" s="899"/>
      <c r="O582" s="899"/>
      <c r="P582" s="899"/>
      <c r="Q582" s="899"/>
      <c r="R582" s="899"/>
      <c r="S582" s="899"/>
      <c r="T582" s="899"/>
      <c r="U582" s="899"/>
      <c r="V582" s="899"/>
      <c r="W582" s="899"/>
      <c r="X582" s="899"/>
      <c r="Y582" s="899"/>
      <c r="Z582" s="899"/>
      <c r="AA582" s="899"/>
      <c r="AB582" s="899"/>
      <c r="AC582" s="899"/>
      <c r="AD582" s="899"/>
      <c r="AE582" s="899"/>
      <c r="AF582" s="899"/>
      <c r="AG582" s="899"/>
      <c r="AH582" s="899"/>
      <c r="AI582" s="899"/>
      <c r="AJ582" s="899"/>
      <c r="AK582" s="899"/>
      <c r="AL582" s="899"/>
      <c r="AM582" s="899"/>
      <c r="AN582" s="899"/>
      <c r="AO582" s="899"/>
    </row>
    <row r="583">
      <c r="G583" s="899"/>
      <c r="H583" s="899"/>
      <c r="I583" s="899"/>
      <c r="J583" s="899"/>
      <c r="K583" s="899"/>
      <c r="L583" s="899"/>
      <c r="M583" s="899"/>
      <c r="N583" s="899"/>
      <c r="O583" s="899"/>
      <c r="P583" s="899"/>
      <c r="Q583" s="899"/>
      <c r="R583" s="899"/>
      <c r="S583" s="899"/>
      <c r="T583" s="899"/>
      <c r="U583" s="899"/>
      <c r="V583" s="899"/>
      <c r="W583" s="899"/>
      <c r="X583" s="899"/>
      <c r="Y583" s="899"/>
      <c r="Z583" s="899"/>
      <c r="AA583" s="899"/>
      <c r="AB583" s="899"/>
      <c r="AC583" s="899"/>
      <c r="AD583" s="899"/>
      <c r="AE583" s="899"/>
      <c r="AF583" s="899"/>
      <c r="AG583" s="899"/>
      <c r="AH583" s="899"/>
      <c r="AI583" s="899"/>
      <c r="AJ583" s="899"/>
      <c r="AK583" s="899"/>
      <c r="AL583" s="899"/>
      <c r="AM583" s="899"/>
      <c r="AN583" s="899"/>
      <c r="AO583" s="899"/>
    </row>
    <row r="584">
      <c r="G584" s="899"/>
      <c r="H584" s="899"/>
      <c r="I584" s="899"/>
      <c r="J584" s="899"/>
      <c r="K584" s="899"/>
      <c r="L584" s="899"/>
      <c r="M584" s="899"/>
      <c r="N584" s="899"/>
      <c r="O584" s="899"/>
      <c r="P584" s="899"/>
      <c r="Q584" s="899"/>
      <c r="R584" s="899"/>
      <c r="S584" s="899"/>
      <c r="T584" s="899"/>
      <c r="U584" s="899"/>
      <c r="V584" s="899"/>
      <c r="W584" s="899"/>
      <c r="X584" s="899"/>
      <c r="Y584" s="899"/>
      <c r="Z584" s="899"/>
      <c r="AA584" s="899"/>
      <c r="AB584" s="899"/>
      <c r="AC584" s="899"/>
      <c r="AD584" s="899"/>
      <c r="AE584" s="899"/>
      <c r="AF584" s="899"/>
      <c r="AG584" s="899"/>
      <c r="AH584" s="899"/>
      <c r="AI584" s="899"/>
      <c r="AJ584" s="899"/>
      <c r="AK584" s="899"/>
      <c r="AL584" s="899"/>
      <c r="AM584" s="899"/>
      <c r="AN584" s="899"/>
      <c r="AO584" s="899"/>
    </row>
    <row r="585">
      <c r="G585" s="899"/>
      <c r="H585" s="899"/>
      <c r="I585" s="899"/>
      <c r="J585" s="899"/>
      <c r="K585" s="899"/>
      <c r="L585" s="899"/>
      <c r="M585" s="899"/>
      <c r="N585" s="899"/>
      <c r="O585" s="899"/>
      <c r="P585" s="899"/>
      <c r="Q585" s="899"/>
      <c r="R585" s="899"/>
      <c r="S585" s="899"/>
      <c r="T585" s="899"/>
      <c r="U585" s="899"/>
      <c r="V585" s="899"/>
      <c r="W585" s="899"/>
      <c r="X585" s="899"/>
      <c r="Y585" s="899"/>
      <c r="Z585" s="899"/>
      <c r="AA585" s="899"/>
      <c r="AB585" s="899"/>
      <c r="AC585" s="899"/>
      <c r="AD585" s="899"/>
      <c r="AE585" s="899"/>
      <c r="AF585" s="899"/>
      <c r="AG585" s="899"/>
      <c r="AH585" s="899"/>
      <c r="AI585" s="899"/>
      <c r="AJ585" s="899"/>
      <c r="AK585" s="899"/>
      <c r="AL585" s="899"/>
      <c r="AM585" s="899"/>
      <c r="AN585" s="899"/>
      <c r="AO585" s="899"/>
    </row>
    <row r="586">
      <c r="G586" s="899"/>
      <c r="H586" s="899"/>
      <c r="I586" s="899"/>
      <c r="J586" s="899"/>
      <c r="K586" s="899"/>
      <c r="L586" s="899"/>
      <c r="M586" s="899"/>
      <c r="N586" s="899"/>
      <c r="O586" s="899"/>
      <c r="P586" s="899"/>
      <c r="Q586" s="899"/>
      <c r="R586" s="899"/>
      <c r="S586" s="899"/>
      <c r="T586" s="899"/>
      <c r="U586" s="899"/>
      <c r="V586" s="899"/>
      <c r="W586" s="899"/>
      <c r="X586" s="899"/>
      <c r="Y586" s="899"/>
      <c r="Z586" s="899"/>
      <c r="AA586" s="899"/>
      <c r="AB586" s="899"/>
      <c r="AC586" s="899"/>
      <c r="AD586" s="899"/>
      <c r="AE586" s="899"/>
      <c r="AF586" s="899"/>
      <c r="AG586" s="899"/>
      <c r="AH586" s="899"/>
      <c r="AI586" s="899"/>
      <c r="AJ586" s="899"/>
      <c r="AK586" s="899"/>
      <c r="AL586" s="899"/>
      <c r="AM586" s="899"/>
      <c r="AN586" s="899"/>
      <c r="AO586" s="899"/>
    </row>
    <row r="587">
      <c r="G587" s="899"/>
      <c r="H587" s="899"/>
      <c r="I587" s="899"/>
      <c r="J587" s="899"/>
      <c r="K587" s="899"/>
      <c r="L587" s="899"/>
      <c r="M587" s="899"/>
      <c r="N587" s="899"/>
      <c r="O587" s="899"/>
      <c r="P587" s="899"/>
      <c r="Q587" s="899"/>
      <c r="R587" s="899"/>
      <c r="S587" s="899"/>
      <c r="T587" s="899"/>
      <c r="U587" s="899"/>
      <c r="V587" s="899"/>
      <c r="W587" s="899"/>
      <c r="X587" s="899"/>
      <c r="Y587" s="899"/>
      <c r="Z587" s="899"/>
      <c r="AA587" s="899"/>
      <c r="AB587" s="899"/>
      <c r="AC587" s="899"/>
      <c r="AD587" s="899"/>
      <c r="AE587" s="899"/>
      <c r="AF587" s="899"/>
      <c r="AG587" s="899"/>
      <c r="AH587" s="899"/>
      <c r="AI587" s="899"/>
      <c r="AJ587" s="899"/>
      <c r="AK587" s="899"/>
      <c r="AL587" s="899"/>
      <c r="AM587" s="899"/>
      <c r="AN587" s="899"/>
      <c r="AO587" s="899"/>
    </row>
    <row r="588">
      <c r="G588" s="899"/>
      <c r="H588" s="899"/>
      <c r="I588" s="899"/>
      <c r="J588" s="899"/>
      <c r="K588" s="899"/>
      <c r="L588" s="899"/>
      <c r="M588" s="899"/>
      <c r="N588" s="899"/>
      <c r="O588" s="899"/>
      <c r="P588" s="899"/>
      <c r="Q588" s="899"/>
      <c r="R588" s="899"/>
      <c r="S588" s="899"/>
      <c r="T588" s="899"/>
      <c r="U588" s="899"/>
      <c r="V588" s="899"/>
      <c r="W588" s="899"/>
      <c r="X588" s="899"/>
      <c r="Y588" s="899"/>
      <c r="Z588" s="899"/>
      <c r="AA588" s="899"/>
      <c r="AB588" s="899"/>
      <c r="AC588" s="899"/>
      <c r="AD588" s="899"/>
      <c r="AE588" s="899"/>
      <c r="AF588" s="899"/>
      <c r="AG588" s="899"/>
      <c r="AH588" s="899"/>
      <c r="AI588" s="899"/>
      <c r="AJ588" s="899"/>
      <c r="AK588" s="899"/>
      <c r="AL588" s="899"/>
      <c r="AM588" s="899"/>
      <c r="AN588" s="899"/>
      <c r="AO588" s="899"/>
    </row>
    <row r="589">
      <c r="G589" s="899"/>
      <c r="H589" s="899"/>
      <c r="I589" s="899"/>
      <c r="J589" s="899"/>
      <c r="K589" s="899"/>
      <c r="L589" s="899"/>
      <c r="M589" s="899"/>
      <c r="N589" s="899"/>
      <c r="O589" s="899"/>
      <c r="P589" s="899"/>
      <c r="Q589" s="899"/>
      <c r="R589" s="899"/>
      <c r="S589" s="899"/>
      <c r="T589" s="899"/>
      <c r="U589" s="899"/>
      <c r="V589" s="899"/>
      <c r="W589" s="899"/>
      <c r="X589" s="899"/>
      <c r="Y589" s="899"/>
      <c r="Z589" s="899"/>
      <c r="AA589" s="899"/>
      <c r="AB589" s="899"/>
      <c r="AC589" s="899"/>
      <c r="AD589" s="899"/>
      <c r="AE589" s="899"/>
      <c r="AF589" s="899"/>
      <c r="AG589" s="899"/>
      <c r="AH589" s="899"/>
      <c r="AI589" s="899"/>
      <c r="AJ589" s="899"/>
      <c r="AK589" s="899"/>
      <c r="AL589" s="899"/>
      <c r="AM589" s="899"/>
      <c r="AN589" s="899"/>
      <c r="AO589" s="899"/>
    </row>
    <row r="590">
      <c r="G590" s="899"/>
      <c r="H590" s="899"/>
      <c r="I590" s="899"/>
      <c r="J590" s="899"/>
      <c r="K590" s="899"/>
      <c r="L590" s="899"/>
      <c r="M590" s="899"/>
      <c r="N590" s="899"/>
      <c r="O590" s="899"/>
      <c r="P590" s="899"/>
      <c r="Q590" s="899"/>
      <c r="R590" s="899"/>
      <c r="S590" s="899"/>
      <c r="T590" s="899"/>
      <c r="U590" s="899"/>
      <c r="V590" s="899"/>
      <c r="W590" s="899"/>
      <c r="X590" s="899"/>
      <c r="Y590" s="899"/>
      <c r="Z590" s="899"/>
      <c r="AA590" s="899"/>
      <c r="AB590" s="899"/>
      <c r="AC590" s="899"/>
      <c r="AD590" s="899"/>
      <c r="AE590" s="899"/>
      <c r="AF590" s="899"/>
      <c r="AG590" s="899"/>
      <c r="AH590" s="899"/>
      <c r="AI590" s="899"/>
      <c r="AJ590" s="899"/>
      <c r="AK590" s="899"/>
      <c r="AL590" s="899"/>
      <c r="AM590" s="899"/>
      <c r="AN590" s="899"/>
      <c r="AO590" s="899"/>
    </row>
    <row r="591">
      <c r="G591" s="899"/>
      <c r="H591" s="899"/>
      <c r="I591" s="899"/>
      <c r="J591" s="899"/>
      <c r="K591" s="899"/>
      <c r="L591" s="899"/>
      <c r="M591" s="899"/>
      <c r="N591" s="899"/>
      <c r="O591" s="899"/>
      <c r="P591" s="899"/>
      <c r="Q591" s="899"/>
      <c r="R591" s="899"/>
      <c r="S591" s="899"/>
      <c r="T591" s="899"/>
      <c r="U591" s="899"/>
      <c r="V591" s="899"/>
      <c r="W591" s="899"/>
      <c r="X591" s="899"/>
      <c r="Y591" s="899"/>
      <c r="Z591" s="899"/>
      <c r="AA591" s="899"/>
      <c r="AB591" s="899"/>
      <c r="AC591" s="899"/>
      <c r="AD591" s="899"/>
      <c r="AE591" s="899"/>
      <c r="AF591" s="899"/>
      <c r="AG591" s="899"/>
      <c r="AH591" s="899"/>
      <c r="AI591" s="899"/>
      <c r="AJ591" s="899"/>
      <c r="AK591" s="899"/>
      <c r="AL591" s="899"/>
      <c r="AM591" s="899"/>
      <c r="AN591" s="899"/>
      <c r="AO591" s="899"/>
    </row>
    <row r="592">
      <c r="G592" s="899"/>
      <c r="H592" s="899"/>
      <c r="I592" s="899"/>
      <c r="J592" s="899"/>
      <c r="K592" s="899"/>
      <c r="L592" s="899"/>
      <c r="M592" s="899"/>
      <c r="N592" s="899"/>
      <c r="O592" s="899"/>
      <c r="P592" s="899"/>
      <c r="Q592" s="899"/>
      <c r="R592" s="899"/>
      <c r="S592" s="899"/>
      <c r="T592" s="899"/>
      <c r="U592" s="899"/>
      <c r="V592" s="899"/>
      <c r="W592" s="899"/>
      <c r="X592" s="899"/>
      <c r="Y592" s="899"/>
      <c r="Z592" s="899"/>
      <c r="AA592" s="899"/>
      <c r="AB592" s="899"/>
      <c r="AC592" s="899"/>
      <c r="AD592" s="899"/>
      <c r="AE592" s="899"/>
      <c r="AF592" s="899"/>
      <c r="AG592" s="899"/>
      <c r="AH592" s="899"/>
      <c r="AI592" s="899"/>
      <c r="AJ592" s="899"/>
      <c r="AK592" s="899"/>
      <c r="AL592" s="899"/>
      <c r="AM592" s="899"/>
      <c r="AN592" s="899"/>
      <c r="AO592" s="899"/>
    </row>
    <row r="593">
      <c r="G593" s="899"/>
      <c r="H593" s="899"/>
      <c r="I593" s="899"/>
      <c r="J593" s="899"/>
      <c r="K593" s="899"/>
      <c r="L593" s="899"/>
      <c r="M593" s="899"/>
      <c r="N593" s="899"/>
      <c r="O593" s="899"/>
      <c r="P593" s="899"/>
      <c r="Q593" s="899"/>
      <c r="R593" s="899"/>
      <c r="S593" s="899"/>
      <c r="T593" s="899"/>
      <c r="U593" s="899"/>
      <c r="V593" s="899"/>
      <c r="W593" s="899"/>
      <c r="X593" s="899"/>
      <c r="Y593" s="899"/>
      <c r="Z593" s="899"/>
      <c r="AA593" s="899"/>
      <c r="AB593" s="899"/>
      <c r="AC593" s="899"/>
      <c r="AD593" s="899"/>
      <c r="AE593" s="899"/>
      <c r="AF593" s="899"/>
      <c r="AG593" s="899"/>
      <c r="AH593" s="899"/>
      <c r="AI593" s="899"/>
      <c r="AJ593" s="899"/>
      <c r="AK593" s="899"/>
      <c r="AL593" s="899"/>
      <c r="AM593" s="899"/>
      <c r="AN593" s="899"/>
      <c r="AO593" s="899"/>
    </row>
    <row r="594">
      <c r="G594" s="899"/>
      <c r="H594" s="899"/>
      <c r="I594" s="899"/>
      <c r="J594" s="899"/>
      <c r="K594" s="899"/>
      <c r="L594" s="899"/>
      <c r="M594" s="899"/>
      <c r="N594" s="899"/>
      <c r="O594" s="899"/>
      <c r="P594" s="899"/>
      <c r="Q594" s="899"/>
      <c r="R594" s="899"/>
      <c r="S594" s="899"/>
      <c r="T594" s="899"/>
      <c r="U594" s="899"/>
      <c r="V594" s="899"/>
      <c r="W594" s="899"/>
      <c r="X594" s="899"/>
      <c r="Y594" s="899"/>
      <c r="Z594" s="899"/>
      <c r="AA594" s="899"/>
      <c r="AB594" s="899"/>
      <c r="AC594" s="899"/>
      <c r="AD594" s="899"/>
      <c r="AE594" s="899"/>
      <c r="AF594" s="899"/>
      <c r="AG594" s="899"/>
      <c r="AH594" s="899"/>
      <c r="AI594" s="899"/>
      <c r="AJ594" s="899"/>
      <c r="AK594" s="899"/>
      <c r="AL594" s="899"/>
      <c r="AM594" s="899"/>
      <c r="AN594" s="899"/>
      <c r="AO594" s="899"/>
    </row>
    <row r="595">
      <c r="G595" s="899"/>
      <c r="H595" s="899"/>
      <c r="I595" s="899"/>
      <c r="J595" s="899"/>
      <c r="K595" s="899"/>
      <c r="L595" s="899"/>
      <c r="M595" s="899"/>
      <c r="N595" s="899"/>
      <c r="O595" s="899"/>
      <c r="P595" s="899"/>
      <c r="Q595" s="899"/>
      <c r="R595" s="899"/>
      <c r="S595" s="899"/>
      <c r="T595" s="899"/>
      <c r="U595" s="899"/>
      <c r="V595" s="899"/>
      <c r="W595" s="899"/>
      <c r="X595" s="899"/>
      <c r="Y595" s="899"/>
      <c r="Z595" s="899"/>
      <c r="AA595" s="899"/>
      <c r="AB595" s="899"/>
      <c r="AC595" s="899"/>
      <c r="AD595" s="899"/>
      <c r="AE595" s="899"/>
      <c r="AF595" s="899"/>
      <c r="AG595" s="899"/>
      <c r="AH595" s="899"/>
      <c r="AI595" s="899"/>
      <c r="AJ595" s="899"/>
      <c r="AK595" s="899"/>
      <c r="AL595" s="899"/>
      <c r="AM595" s="899"/>
      <c r="AN595" s="899"/>
      <c r="AO595" s="899"/>
    </row>
    <row r="596">
      <c r="G596" s="899"/>
      <c r="H596" s="899"/>
      <c r="I596" s="899"/>
      <c r="J596" s="899"/>
      <c r="K596" s="899"/>
      <c r="L596" s="899"/>
      <c r="M596" s="899"/>
      <c r="N596" s="899"/>
      <c r="O596" s="899"/>
      <c r="P596" s="899"/>
      <c r="Q596" s="899"/>
      <c r="R596" s="899"/>
      <c r="S596" s="899"/>
      <c r="T596" s="899"/>
      <c r="U596" s="899"/>
      <c r="V596" s="899"/>
      <c r="W596" s="899"/>
      <c r="X596" s="899"/>
      <c r="Y596" s="899"/>
      <c r="Z596" s="899"/>
      <c r="AA596" s="899"/>
      <c r="AB596" s="899"/>
      <c r="AC596" s="899"/>
      <c r="AD596" s="899"/>
      <c r="AE596" s="899"/>
      <c r="AF596" s="899"/>
      <c r="AG596" s="899"/>
      <c r="AH596" s="899"/>
      <c r="AI596" s="899"/>
      <c r="AJ596" s="899"/>
      <c r="AK596" s="899"/>
      <c r="AL596" s="899"/>
      <c r="AM596" s="899"/>
      <c r="AN596" s="899"/>
      <c r="AO596" s="899"/>
    </row>
    <row r="597">
      <c r="G597" s="899"/>
      <c r="H597" s="899"/>
      <c r="I597" s="899"/>
      <c r="J597" s="899"/>
      <c r="K597" s="899"/>
      <c r="L597" s="899"/>
      <c r="M597" s="899"/>
      <c r="N597" s="899"/>
      <c r="O597" s="899"/>
      <c r="P597" s="899"/>
      <c r="Q597" s="899"/>
      <c r="R597" s="899"/>
      <c r="S597" s="899"/>
      <c r="T597" s="899"/>
      <c r="U597" s="899"/>
      <c r="V597" s="899"/>
      <c r="W597" s="899"/>
      <c r="X597" s="899"/>
      <c r="Y597" s="899"/>
      <c r="Z597" s="899"/>
      <c r="AA597" s="899"/>
      <c r="AB597" s="899"/>
      <c r="AC597" s="899"/>
      <c r="AD597" s="899"/>
      <c r="AE597" s="899"/>
      <c r="AF597" s="899"/>
      <c r="AG597" s="899"/>
      <c r="AH597" s="899"/>
      <c r="AI597" s="899"/>
      <c r="AJ597" s="899"/>
      <c r="AK597" s="899"/>
      <c r="AL597" s="899"/>
      <c r="AM597" s="899"/>
      <c r="AN597" s="899"/>
      <c r="AO597" s="899"/>
    </row>
    <row r="598">
      <c r="G598" s="899"/>
      <c r="H598" s="899"/>
      <c r="I598" s="899"/>
      <c r="J598" s="899"/>
      <c r="K598" s="899"/>
      <c r="L598" s="899"/>
      <c r="M598" s="899"/>
      <c r="N598" s="899"/>
      <c r="O598" s="899"/>
      <c r="P598" s="899"/>
      <c r="Q598" s="899"/>
      <c r="R598" s="899"/>
      <c r="S598" s="899"/>
      <c r="T598" s="899"/>
      <c r="U598" s="899"/>
      <c r="V598" s="899"/>
      <c r="W598" s="899"/>
      <c r="X598" s="899"/>
      <c r="Y598" s="899"/>
      <c r="Z598" s="899"/>
      <c r="AA598" s="899"/>
      <c r="AB598" s="899"/>
      <c r="AC598" s="899"/>
      <c r="AD598" s="899"/>
      <c r="AE598" s="899"/>
      <c r="AF598" s="899"/>
      <c r="AG598" s="899"/>
      <c r="AH598" s="899"/>
      <c r="AI598" s="899"/>
      <c r="AJ598" s="899"/>
      <c r="AK598" s="899"/>
      <c r="AL598" s="899"/>
      <c r="AM598" s="899"/>
      <c r="AN598" s="899"/>
      <c r="AO598" s="899"/>
    </row>
    <row r="599">
      <c r="G599" s="899"/>
      <c r="H599" s="899"/>
      <c r="I599" s="899"/>
      <c r="J599" s="899"/>
      <c r="K599" s="899"/>
      <c r="L599" s="899"/>
      <c r="M599" s="899"/>
      <c r="N599" s="899"/>
      <c r="O599" s="899"/>
      <c r="P599" s="899"/>
      <c r="Q599" s="899"/>
      <c r="R599" s="899"/>
      <c r="S599" s="899"/>
      <c r="T599" s="899"/>
      <c r="U599" s="899"/>
      <c r="V599" s="899"/>
      <c r="W599" s="899"/>
      <c r="X599" s="899"/>
      <c r="Y599" s="899"/>
      <c r="Z599" s="899"/>
      <c r="AA599" s="899"/>
      <c r="AB599" s="899"/>
      <c r="AC599" s="899"/>
      <c r="AD599" s="899"/>
      <c r="AE599" s="899"/>
      <c r="AF599" s="899"/>
      <c r="AG599" s="899"/>
      <c r="AH599" s="899"/>
      <c r="AI599" s="899"/>
      <c r="AJ599" s="899"/>
      <c r="AK599" s="899"/>
      <c r="AL599" s="899"/>
      <c r="AM599" s="899"/>
      <c r="AN599" s="899"/>
      <c r="AO599" s="899"/>
    </row>
    <row r="600">
      <c r="G600" s="899"/>
      <c r="H600" s="899"/>
      <c r="I600" s="899"/>
      <c r="J600" s="899"/>
      <c r="K600" s="899"/>
      <c r="L600" s="899"/>
      <c r="M600" s="899"/>
      <c r="N600" s="899"/>
      <c r="O600" s="899"/>
      <c r="P600" s="899"/>
      <c r="Q600" s="899"/>
      <c r="R600" s="899"/>
      <c r="S600" s="899"/>
      <c r="T600" s="899"/>
      <c r="U600" s="899"/>
      <c r="V600" s="899"/>
      <c r="W600" s="899"/>
      <c r="X600" s="899"/>
      <c r="Y600" s="899"/>
      <c r="Z600" s="899"/>
      <c r="AA600" s="899"/>
      <c r="AB600" s="899"/>
      <c r="AC600" s="899"/>
      <c r="AD600" s="899"/>
      <c r="AE600" s="899"/>
      <c r="AF600" s="899"/>
      <c r="AG600" s="899"/>
      <c r="AH600" s="899"/>
      <c r="AI600" s="899"/>
      <c r="AJ600" s="899"/>
      <c r="AK600" s="899"/>
      <c r="AL600" s="899"/>
      <c r="AM600" s="899"/>
      <c r="AN600" s="899"/>
      <c r="AO600" s="899"/>
    </row>
    <row r="601">
      <c r="G601" s="899"/>
      <c r="H601" s="899"/>
      <c r="I601" s="899"/>
      <c r="J601" s="899"/>
      <c r="K601" s="899"/>
      <c r="L601" s="899"/>
      <c r="M601" s="899"/>
      <c r="N601" s="899"/>
      <c r="O601" s="899"/>
      <c r="P601" s="899"/>
      <c r="Q601" s="899"/>
      <c r="R601" s="899"/>
      <c r="S601" s="899"/>
      <c r="T601" s="899"/>
      <c r="U601" s="899"/>
      <c r="V601" s="899"/>
      <c r="W601" s="899"/>
      <c r="X601" s="899"/>
      <c r="Y601" s="899"/>
      <c r="Z601" s="899"/>
      <c r="AA601" s="899"/>
      <c r="AB601" s="899"/>
      <c r="AC601" s="899"/>
      <c r="AD601" s="899"/>
      <c r="AE601" s="899"/>
      <c r="AF601" s="899"/>
      <c r="AG601" s="899"/>
      <c r="AH601" s="899"/>
      <c r="AI601" s="899"/>
      <c r="AJ601" s="899"/>
      <c r="AK601" s="899"/>
      <c r="AL601" s="899"/>
      <c r="AM601" s="899"/>
      <c r="AN601" s="899"/>
      <c r="AO601" s="899"/>
    </row>
    <row r="602">
      <c r="G602" s="899"/>
      <c r="H602" s="899"/>
      <c r="I602" s="899"/>
      <c r="J602" s="899"/>
      <c r="K602" s="899"/>
      <c r="L602" s="899"/>
      <c r="M602" s="899"/>
      <c r="N602" s="899"/>
      <c r="O602" s="899"/>
      <c r="P602" s="899"/>
      <c r="Q602" s="899"/>
      <c r="R602" s="899"/>
      <c r="S602" s="899"/>
      <c r="T602" s="899"/>
      <c r="U602" s="899"/>
      <c r="V602" s="899"/>
      <c r="W602" s="899"/>
      <c r="X602" s="899"/>
      <c r="Y602" s="899"/>
      <c r="Z602" s="899"/>
      <c r="AA602" s="899"/>
      <c r="AB602" s="899"/>
      <c r="AC602" s="899"/>
      <c r="AD602" s="899"/>
      <c r="AE602" s="899"/>
      <c r="AF602" s="899"/>
      <c r="AG602" s="899"/>
      <c r="AH602" s="899"/>
      <c r="AI602" s="899"/>
      <c r="AJ602" s="899"/>
      <c r="AK602" s="899"/>
      <c r="AL602" s="899"/>
      <c r="AM602" s="899"/>
      <c r="AN602" s="899"/>
      <c r="AO602" s="899"/>
    </row>
    <row r="603">
      <c r="G603" s="899"/>
      <c r="H603" s="899"/>
      <c r="I603" s="899"/>
      <c r="J603" s="899"/>
      <c r="K603" s="899"/>
      <c r="L603" s="899"/>
      <c r="M603" s="899"/>
      <c r="N603" s="899"/>
      <c r="O603" s="899"/>
      <c r="P603" s="899"/>
      <c r="Q603" s="899"/>
      <c r="R603" s="899"/>
      <c r="S603" s="899"/>
      <c r="T603" s="899"/>
      <c r="U603" s="899"/>
      <c r="V603" s="899"/>
      <c r="W603" s="899"/>
      <c r="X603" s="899"/>
      <c r="Y603" s="899"/>
      <c r="Z603" s="899"/>
      <c r="AA603" s="899"/>
      <c r="AB603" s="899"/>
      <c r="AC603" s="899"/>
      <c r="AD603" s="899"/>
      <c r="AE603" s="899"/>
      <c r="AF603" s="899"/>
      <c r="AG603" s="899"/>
      <c r="AH603" s="899"/>
      <c r="AI603" s="899"/>
      <c r="AJ603" s="899"/>
      <c r="AK603" s="899"/>
      <c r="AL603" s="899"/>
      <c r="AM603" s="899"/>
      <c r="AN603" s="899"/>
      <c r="AO603" s="899"/>
    </row>
    <row r="604">
      <c r="G604" s="899"/>
      <c r="H604" s="899"/>
      <c r="I604" s="899"/>
      <c r="J604" s="899"/>
      <c r="K604" s="899"/>
      <c r="L604" s="899"/>
      <c r="M604" s="899"/>
      <c r="N604" s="899"/>
      <c r="O604" s="899"/>
      <c r="P604" s="899"/>
      <c r="Q604" s="899"/>
      <c r="R604" s="899"/>
      <c r="S604" s="899"/>
      <c r="T604" s="899"/>
      <c r="U604" s="899"/>
      <c r="V604" s="899"/>
      <c r="W604" s="899"/>
      <c r="X604" s="899"/>
      <c r="Y604" s="899"/>
      <c r="Z604" s="899"/>
      <c r="AA604" s="899"/>
      <c r="AB604" s="899"/>
      <c r="AC604" s="899"/>
      <c r="AD604" s="899"/>
      <c r="AE604" s="899"/>
      <c r="AF604" s="899"/>
      <c r="AG604" s="899"/>
      <c r="AH604" s="899"/>
      <c r="AI604" s="899"/>
      <c r="AJ604" s="899"/>
      <c r="AK604" s="899"/>
      <c r="AL604" s="899"/>
      <c r="AM604" s="899"/>
      <c r="AN604" s="899"/>
      <c r="AO604" s="899"/>
    </row>
    <row r="605">
      <c r="G605" s="899"/>
      <c r="H605" s="899"/>
      <c r="I605" s="899"/>
      <c r="J605" s="899"/>
      <c r="K605" s="899"/>
      <c r="L605" s="899"/>
      <c r="M605" s="899"/>
      <c r="N605" s="899"/>
      <c r="O605" s="899"/>
      <c r="P605" s="899"/>
      <c r="Q605" s="899"/>
      <c r="R605" s="899"/>
      <c r="S605" s="899"/>
      <c r="T605" s="899"/>
      <c r="U605" s="899"/>
      <c r="V605" s="899"/>
      <c r="W605" s="899"/>
      <c r="X605" s="899"/>
      <c r="Y605" s="899"/>
      <c r="Z605" s="899"/>
      <c r="AA605" s="899"/>
      <c r="AB605" s="899"/>
      <c r="AC605" s="899"/>
      <c r="AD605" s="899"/>
      <c r="AE605" s="899"/>
      <c r="AF605" s="899"/>
      <c r="AG605" s="899"/>
      <c r="AH605" s="899"/>
      <c r="AI605" s="899"/>
      <c r="AJ605" s="899"/>
      <c r="AK605" s="899"/>
      <c r="AL605" s="899"/>
      <c r="AM605" s="899"/>
      <c r="AN605" s="899"/>
      <c r="AO605" s="899"/>
    </row>
    <row r="606">
      <c r="G606" s="899"/>
      <c r="H606" s="899"/>
      <c r="I606" s="899"/>
      <c r="J606" s="899"/>
      <c r="K606" s="899"/>
      <c r="L606" s="899"/>
      <c r="M606" s="899"/>
      <c r="N606" s="899"/>
      <c r="O606" s="899"/>
      <c r="P606" s="899"/>
      <c r="Q606" s="899"/>
      <c r="R606" s="899"/>
      <c r="S606" s="899"/>
      <c r="T606" s="899"/>
      <c r="U606" s="899"/>
      <c r="V606" s="899"/>
      <c r="W606" s="899"/>
      <c r="X606" s="899"/>
      <c r="Y606" s="899"/>
      <c r="Z606" s="899"/>
      <c r="AA606" s="899"/>
      <c r="AB606" s="899"/>
      <c r="AC606" s="899"/>
      <c r="AD606" s="899"/>
      <c r="AE606" s="899"/>
      <c r="AF606" s="899"/>
      <c r="AG606" s="899"/>
      <c r="AH606" s="899"/>
      <c r="AI606" s="899"/>
      <c r="AJ606" s="899"/>
      <c r="AK606" s="899"/>
      <c r="AL606" s="899"/>
      <c r="AM606" s="899"/>
      <c r="AN606" s="899"/>
      <c r="AO606" s="899"/>
    </row>
    <row r="607">
      <c r="G607" s="899"/>
      <c r="H607" s="899"/>
      <c r="I607" s="899"/>
      <c r="J607" s="899"/>
      <c r="K607" s="899"/>
      <c r="L607" s="899"/>
      <c r="M607" s="899"/>
      <c r="N607" s="899"/>
      <c r="O607" s="899"/>
      <c r="P607" s="899"/>
      <c r="Q607" s="899"/>
      <c r="R607" s="899"/>
      <c r="S607" s="899"/>
      <c r="T607" s="899"/>
      <c r="U607" s="899"/>
      <c r="V607" s="899"/>
      <c r="W607" s="899"/>
      <c r="X607" s="899"/>
      <c r="Y607" s="899"/>
      <c r="Z607" s="899"/>
      <c r="AA607" s="899"/>
      <c r="AB607" s="899"/>
      <c r="AC607" s="899"/>
      <c r="AD607" s="899"/>
      <c r="AE607" s="899"/>
      <c r="AF607" s="899"/>
      <c r="AG607" s="899"/>
      <c r="AH607" s="899"/>
      <c r="AI607" s="899"/>
      <c r="AJ607" s="899"/>
      <c r="AK607" s="899"/>
      <c r="AL607" s="899"/>
      <c r="AM607" s="899"/>
      <c r="AN607" s="899"/>
      <c r="AO607" s="899"/>
    </row>
    <row r="608">
      <c r="G608" s="899"/>
      <c r="H608" s="899"/>
      <c r="I608" s="899"/>
      <c r="J608" s="899"/>
      <c r="K608" s="899"/>
      <c r="L608" s="899"/>
      <c r="M608" s="899"/>
      <c r="N608" s="899"/>
      <c r="O608" s="899"/>
      <c r="P608" s="899"/>
      <c r="Q608" s="899"/>
      <c r="R608" s="899"/>
      <c r="S608" s="899"/>
      <c r="T608" s="899"/>
      <c r="U608" s="899"/>
      <c r="V608" s="899"/>
      <c r="W608" s="899"/>
      <c r="X608" s="899"/>
      <c r="Y608" s="899"/>
      <c r="Z608" s="899"/>
      <c r="AA608" s="899"/>
      <c r="AB608" s="899"/>
      <c r="AC608" s="899"/>
      <c r="AD608" s="899"/>
      <c r="AE608" s="899"/>
      <c r="AF608" s="899"/>
      <c r="AG608" s="899"/>
      <c r="AH608" s="899"/>
      <c r="AI608" s="899"/>
      <c r="AJ608" s="899"/>
      <c r="AK608" s="899"/>
      <c r="AL608" s="899"/>
      <c r="AM608" s="899"/>
      <c r="AN608" s="899"/>
      <c r="AO608" s="899"/>
    </row>
    <row r="609">
      <c r="G609" s="899"/>
      <c r="H609" s="899"/>
      <c r="I609" s="899"/>
      <c r="J609" s="899"/>
      <c r="K609" s="899"/>
      <c r="L609" s="899"/>
      <c r="M609" s="899"/>
      <c r="N609" s="899"/>
      <c r="O609" s="899"/>
      <c r="P609" s="899"/>
      <c r="Q609" s="899"/>
      <c r="R609" s="899"/>
      <c r="S609" s="899"/>
      <c r="T609" s="899"/>
      <c r="U609" s="899"/>
      <c r="V609" s="899"/>
      <c r="W609" s="899"/>
      <c r="X609" s="899"/>
      <c r="Y609" s="899"/>
      <c r="Z609" s="899"/>
      <c r="AA609" s="899"/>
      <c r="AB609" s="899"/>
      <c r="AC609" s="899"/>
      <c r="AD609" s="899"/>
      <c r="AE609" s="899"/>
      <c r="AF609" s="899"/>
      <c r="AG609" s="899"/>
      <c r="AH609" s="899"/>
      <c r="AI609" s="899"/>
      <c r="AJ609" s="899"/>
      <c r="AK609" s="899"/>
      <c r="AL609" s="899"/>
      <c r="AM609" s="899"/>
      <c r="AN609" s="899"/>
      <c r="AO609" s="899"/>
    </row>
    <row r="610">
      <c r="G610" s="899"/>
      <c r="H610" s="899"/>
      <c r="I610" s="899"/>
      <c r="J610" s="899"/>
      <c r="K610" s="899"/>
      <c r="L610" s="899"/>
      <c r="M610" s="899"/>
      <c r="N610" s="899"/>
      <c r="O610" s="899"/>
      <c r="P610" s="899"/>
      <c r="Q610" s="899"/>
      <c r="R610" s="899"/>
      <c r="S610" s="899"/>
      <c r="T610" s="899"/>
      <c r="U610" s="899"/>
      <c r="V610" s="899"/>
      <c r="W610" s="899"/>
      <c r="X610" s="899"/>
      <c r="Y610" s="899"/>
      <c r="Z610" s="899"/>
      <c r="AA610" s="899"/>
      <c r="AB610" s="899"/>
      <c r="AC610" s="899"/>
      <c r="AD610" s="899"/>
      <c r="AE610" s="899"/>
      <c r="AF610" s="899"/>
      <c r="AG610" s="899"/>
      <c r="AH610" s="899"/>
      <c r="AI610" s="899"/>
      <c r="AJ610" s="899"/>
      <c r="AK610" s="899"/>
      <c r="AL610" s="899"/>
      <c r="AM610" s="899"/>
      <c r="AN610" s="899"/>
      <c r="AO610" s="899"/>
    </row>
    <row r="611">
      <c r="G611" s="899"/>
      <c r="H611" s="899"/>
      <c r="I611" s="899"/>
      <c r="J611" s="899"/>
      <c r="K611" s="899"/>
      <c r="L611" s="899"/>
      <c r="M611" s="899"/>
      <c r="N611" s="899"/>
      <c r="O611" s="899"/>
      <c r="P611" s="899"/>
      <c r="Q611" s="899"/>
      <c r="R611" s="899"/>
      <c r="S611" s="899"/>
      <c r="T611" s="899"/>
      <c r="U611" s="899"/>
      <c r="V611" s="899"/>
      <c r="W611" s="899"/>
      <c r="X611" s="899"/>
      <c r="Y611" s="899"/>
      <c r="Z611" s="899"/>
      <c r="AA611" s="899"/>
      <c r="AB611" s="899"/>
      <c r="AC611" s="899"/>
      <c r="AD611" s="899"/>
      <c r="AE611" s="899"/>
      <c r="AF611" s="899"/>
      <c r="AG611" s="899"/>
      <c r="AH611" s="899"/>
      <c r="AI611" s="899"/>
      <c r="AJ611" s="899"/>
      <c r="AK611" s="899"/>
      <c r="AL611" s="899"/>
      <c r="AM611" s="899"/>
      <c r="AN611" s="899"/>
      <c r="AO611" s="899"/>
    </row>
    <row r="612">
      <c r="G612" s="899"/>
      <c r="H612" s="899"/>
      <c r="I612" s="899"/>
      <c r="J612" s="899"/>
      <c r="K612" s="899"/>
      <c r="L612" s="899"/>
      <c r="M612" s="899"/>
      <c r="N612" s="899"/>
      <c r="O612" s="899"/>
      <c r="P612" s="899"/>
      <c r="Q612" s="899"/>
      <c r="R612" s="899"/>
      <c r="S612" s="899"/>
      <c r="T612" s="899"/>
      <c r="U612" s="899"/>
      <c r="V612" s="899"/>
      <c r="W612" s="899"/>
      <c r="X612" s="899"/>
      <c r="Y612" s="899"/>
      <c r="Z612" s="899"/>
      <c r="AA612" s="899"/>
      <c r="AB612" s="899"/>
      <c r="AC612" s="899"/>
      <c r="AD612" s="899"/>
      <c r="AE612" s="899"/>
      <c r="AF612" s="899"/>
      <c r="AG612" s="899"/>
      <c r="AH612" s="899"/>
      <c r="AI612" s="899"/>
      <c r="AJ612" s="899"/>
      <c r="AK612" s="899"/>
      <c r="AL612" s="899"/>
      <c r="AM612" s="899"/>
      <c r="AN612" s="899"/>
      <c r="AO612" s="899"/>
    </row>
    <row r="613">
      <c r="G613" s="899"/>
      <c r="H613" s="899"/>
      <c r="I613" s="899"/>
      <c r="J613" s="899"/>
      <c r="K613" s="899"/>
      <c r="L613" s="899"/>
      <c r="M613" s="899"/>
      <c r="N613" s="899"/>
      <c r="O613" s="899"/>
      <c r="P613" s="899"/>
      <c r="Q613" s="899"/>
      <c r="R613" s="899"/>
      <c r="S613" s="899"/>
      <c r="T613" s="899"/>
      <c r="U613" s="899"/>
      <c r="V613" s="899"/>
      <c r="W613" s="899"/>
      <c r="X613" s="899"/>
      <c r="Y613" s="899"/>
      <c r="Z613" s="899"/>
      <c r="AA613" s="899"/>
      <c r="AB613" s="899"/>
      <c r="AC613" s="899"/>
      <c r="AD613" s="899"/>
      <c r="AE613" s="899"/>
      <c r="AF613" s="899"/>
      <c r="AG613" s="899"/>
      <c r="AH613" s="899"/>
      <c r="AI613" s="899"/>
      <c r="AJ613" s="899"/>
      <c r="AK613" s="899"/>
      <c r="AL613" s="899"/>
      <c r="AM613" s="899"/>
      <c r="AN613" s="899"/>
      <c r="AO613" s="899"/>
    </row>
    <row r="614">
      <c r="G614" s="899"/>
      <c r="H614" s="899"/>
      <c r="I614" s="899"/>
      <c r="J614" s="899"/>
      <c r="K614" s="899"/>
      <c r="L614" s="899"/>
      <c r="M614" s="899"/>
      <c r="N614" s="899"/>
      <c r="O614" s="899"/>
      <c r="P614" s="899"/>
      <c r="Q614" s="899"/>
      <c r="R614" s="899"/>
      <c r="S614" s="899"/>
      <c r="T614" s="899"/>
      <c r="U614" s="899"/>
      <c r="V614" s="899"/>
      <c r="W614" s="899"/>
      <c r="X614" s="899"/>
      <c r="Y614" s="899"/>
      <c r="Z614" s="899"/>
      <c r="AA614" s="899"/>
      <c r="AB614" s="899"/>
      <c r="AC614" s="899"/>
      <c r="AD614" s="899"/>
      <c r="AE614" s="899"/>
      <c r="AF614" s="899"/>
      <c r="AG614" s="899"/>
      <c r="AH614" s="899"/>
      <c r="AI614" s="899"/>
      <c r="AJ614" s="899"/>
      <c r="AK614" s="899"/>
      <c r="AL614" s="899"/>
      <c r="AM614" s="899"/>
      <c r="AN614" s="899"/>
      <c r="AO614" s="899"/>
    </row>
    <row r="615">
      <c r="G615" s="899"/>
      <c r="H615" s="899"/>
      <c r="I615" s="899"/>
      <c r="J615" s="899"/>
      <c r="K615" s="899"/>
      <c r="L615" s="899"/>
      <c r="M615" s="899"/>
      <c r="N615" s="899"/>
      <c r="O615" s="899"/>
      <c r="P615" s="899"/>
      <c r="Q615" s="899"/>
      <c r="R615" s="899"/>
      <c r="S615" s="899"/>
      <c r="T615" s="899"/>
      <c r="U615" s="899"/>
      <c r="V615" s="899"/>
      <c r="W615" s="899"/>
      <c r="X615" s="899"/>
      <c r="Y615" s="899"/>
      <c r="Z615" s="899"/>
      <c r="AA615" s="899"/>
      <c r="AB615" s="899"/>
      <c r="AC615" s="899"/>
      <c r="AD615" s="899"/>
      <c r="AE615" s="899"/>
      <c r="AF615" s="899"/>
      <c r="AG615" s="899"/>
      <c r="AH615" s="899"/>
      <c r="AI615" s="899"/>
      <c r="AJ615" s="899"/>
      <c r="AK615" s="899"/>
      <c r="AL615" s="899"/>
      <c r="AM615" s="899"/>
      <c r="AN615" s="899"/>
      <c r="AO615" s="899"/>
    </row>
    <row r="616">
      <c r="G616" s="899"/>
      <c r="H616" s="899"/>
      <c r="I616" s="899"/>
      <c r="J616" s="899"/>
      <c r="K616" s="899"/>
      <c r="L616" s="899"/>
      <c r="M616" s="899"/>
      <c r="N616" s="899"/>
      <c r="O616" s="899"/>
      <c r="P616" s="899"/>
      <c r="Q616" s="899"/>
      <c r="R616" s="899"/>
      <c r="S616" s="899"/>
      <c r="T616" s="899"/>
      <c r="U616" s="899"/>
      <c r="V616" s="899"/>
      <c r="W616" s="899"/>
      <c r="X616" s="899"/>
      <c r="Y616" s="899"/>
      <c r="Z616" s="899"/>
      <c r="AA616" s="899"/>
      <c r="AB616" s="899"/>
      <c r="AC616" s="899"/>
      <c r="AD616" s="899"/>
      <c r="AE616" s="899"/>
      <c r="AF616" s="899"/>
      <c r="AG616" s="899"/>
      <c r="AH616" s="899"/>
      <c r="AI616" s="899"/>
      <c r="AJ616" s="899"/>
      <c r="AK616" s="899"/>
      <c r="AL616" s="899"/>
      <c r="AM616" s="899"/>
      <c r="AN616" s="899"/>
      <c r="AO616" s="899"/>
    </row>
    <row r="617">
      <c r="G617" s="899"/>
      <c r="H617" s="899"/>
      <c r="I617" s="899"/>
      <c r="J617" s="899"/>
      <c r="K617" s="899"/>
      <c r="L617" s="899"/>
      <c r="M617" s="899"/>
      <c r="N617" s="899"/>
      <c r="O617" s="899"/>
      <c r="P617" s="899"/>
      <c r="Q617" s="899"/>
      <c r="R617" s="899"/>
      <c r="S617" s="899"/>
      <c r="T617" s="899"/>
      <c r="U617" s="899"/>
      <c r="V617" s="899"/>
      <c r="W617" s="899"/>
      <c r="X617" s="899"/>
      <c r="Y617" s="899"/>
      <c r="Z617" s="899"/>
      <c r="AA617" s="899"/>
      <c r="AB617" s="899"/>
      <c r="AC617" s="899"/>
      <c r="AD617" s="899"/>
      <c r="AE617" s="899"/>
      <c r="AF617" s="899"/>
      <c r="AG617" s="899"/>
      <c r="AH617" s="899"/>
      <c r="AI617" s="899"/>
      <c r="AJ617" s="899"/>
      <c r="AK617" s="899"/>
      <c r="AL617" s="899"/>
      <c r="AM617" s="899"/>
      <c r="AN617" s="899"/>
      <c r="AO617" s="899"/>
    </row>
    <row r="618">
      <c r="G618" s="899"/>
      <c r="H618" s="899"/>
      <c r="I618" s="899"/>
      <c r="J618" s="899"/>
      <c r="K618" s="899"/>
      <c r="L618" s="899"/>
      <c r="M618" s="899"/>
      <c r="N618" s="899"/>
      <c r="O618" s="899"/>
      <c r="P618" s="899"/>
      <c r="Q618" s="899"/>
      <c r="R618" s="899"/>
      <c r="S618" s="899"/>
      <c r="T618" s="899"/>
      <c r="U618" s="899"/>
      <c r="V618" s="899"/>
      <c r="W618" s="899"/>
      <c r="X618" s="899"/>
      <c r="Y618" s="899"/>
      <c r="Z618" s="899"/>
      <c r="AA618" s="899"/>
      <c r="AB618" s="899"/>
      <c r="AC618" s="899"/>
      <c r="AD618" s="899"/>
      <c r="AE618" s="899"/>
      <c r="AF618" s="899"/>
      <c r="AG618" s="899"/>
      <c r="AH618" s="899"/>
      <c r="AI618" s="899"/>
      <c r="AJ618" s="899"/>
      <c r="AK618" s="899"/>
      <c r="AL618" s="899"/>
      <c r="AM618" s="899"/>
      <c r="AN618" s="899"/>
      <c r="AO618" s="899"/>
    </row>
    <row r="619">
      <c r="G619" s="899"/>
      <c r="H619" s="899"/>
      <c r="I619" s="899"/>
      <c r="J619" s="899"/>
      <c r="K619" s="899"/>
      <c r="L619" s="899"/>
      <c r="M619" s="899"/>
      <c r="N619" s="899"/>
      <c r="O619" s="899"/>
      <c r="P619" s="899"/>
      <c r="Q619" s="899"/>
      <c r="R619" s="899"/>
      <c r="S619" s="899"/>
      <c r="T619" s="899"/>
      <c r="U619" s="899"/>
      <c r="V619" s="899"/>
      <c r="W619" s="899"/>
      <c r="X619" s="899"/>
      <c r="Y619" s="899"/>
      <c r="Z619" s="899"/>
      <c r="AA619" s="899"/>
      <c r="AB619" s="899"/>
      <c r="AC619" s="899"/>
      <c r="AD619" s="899"/>
      <c r="AE619" s="899"/>
      <c r="AF619" s="899"/>
      <c r="AG619" s="899"/>
      <c r="AH619" s="899"/>
      <c r="AI619" s="899"/>
      <c r="AJ619" s="899"/>
      <c r="AK619" s="899"/>
      <c r="AL619" s="899"/>
      <c r="AM619" s="899"/>
      <c r="AN619" s="899"/>
      <c r="AO619" s="899"/>
    </row>
    <row r="620">
      <c r="G620" s="899"/>
      <c r="H620" s="899"/>
      <c r="I620" s="899"/>
      <c r="J620" s="899"/>
      <c r="K620" s="899"/>
      <c r="L620" s="899"/>
      <c r="M620" s="899"/>
      <c r="N620" s="899"/>
      <c r="O620" s="899"/>
      <c r="P620" s="899"/>
      <c r="Q620" s="899"/>
      <c r="R620" s="899"/>
      <c r="S620" s="899"/>
      <c r="T620" s="899"/>
      <c r="U620" s="899"/>
      <c r="V620" s="899"/>
      <c r="W620" s="899"/>
      <c r="X620" s="899"/>
      <c r="Y620" s="899"/>
      <c r="Z620" s="899"/>
      <c r="AA620" s="899"/>
      <c r="AB620" s="899"/>
      <c r="AC620" s="899"/>
      <c r="AD620" s="899"/>
      <c r="AE620" s="899"/>
      <c r="AF620" s="899"/>
      <c r="AG620" s="899"/>
      <c r="AH620" s="899"/>
      <c r="AI620" s="899"/>
      <c r="AJ620" s="899"/>
      <c r="AK620" s="899"/>
      <c r="AL620" s="899"/>
      <c r="AM620" s="899"/>
      <c r="AN620" s="899"/>
      <c r="AO620" s="899"/>
    </row>
    <row r="621">
      <c r="G621" s="899"/>
      <c r="H621" s="899"/>
      <c r="I621" s="899"/>
      <c r="J621" s="899"/>
      <c r="K621" s="899"/>
      <c r="L621" s="899"/>
      <c r="M621" s="899"/>
      <c r="N621" s="899"/>
      <c r="O621" s="899"/>
      <c r="P621" s="899"/>
      <c r="Q621" s="899"/>
      <c r="R621" s="899"/>
      <c r="S621" s="899"/>
      <c r="T621" s="899"/>
      <c r="U621" s="899"/>
      <c r="V621" s="899"/>
      <c r="W621" s="899"/>
      <c r="X621" s="899"/>
      <c r="Y621" s="899"/>
      <c r="Z621" s="899"/>
      <c r="AA621" s="899"/>
      <c r="AB621" s="899"/>
      <c r="AC621" s="899"/>
      <c r="AD621" s="899"/>
      <c r="AE621" s="899"/>
      <c r="AF621" s="899"/>
      <c r="AG621" s="899"/>
      <c r="AH621" s="899"/>
      <c r="AI621" s="899"/>
      <c r="AJ621" s="899"/>
      <c r="AK621" s="899"/>
      <c r="AL621" s="899"/>
      <c r="AM621" s="899"/>
      <c r="AN621" s="899"/>
      <c r="AO621" s="899"/>
    </row>
    <row r="622">
      <c r="G622" s="899"/>
      <c r="H622" s="899"/>
      <c r="I622" s="899"/>
      <c r="J622" s="899"/>
      <c r="K622" s="899"/>
      <c r="L622" s="899"/>
      <c r="M622" s="899"/>
      <c r="N622" s="899"/>
      <c r="O622" s="899"/>
      <c r="P622" s="899"/>
      <c r="Q622" s="899"/>
      <c r="R622" s="899"/>
      <c r="S622" s="899"/>
      <c r="T622" s="899"/>
      <c r="U622" s="899"/>
      <c r="V622" s="899"/>
      <c r="W622" s="899"/>
      <c r="X622" s="899"/>
      <c r="Y622" s="899"/>
      <c r="Z622" s="899"/>
      <c r="AA622" s="899"/>
      <c r="AB622" s="899"/>
      <c r="AC622" s="899"/>
      <c r="AD622" s="899"/>
      <c r="AE622" s="899"/>
      <c r="AF622" s="899"/>
      <c r="AG622" s="899"/>
      <c r="AH622" s="899"/>
      <c r="AI622" s="899"/>
      <c r="AJ622" s="899"/>
      <c r="AK622" s="899"/>
      <c r="AL622" s="899"/>
      <c r="AM622" s="899"/>
      <c r="AN622" s="899"/>
      <c r="AO622" s="899"/>
    </row>
    <row r="623">
      <c r="G623" s="899"/>
      <c r="H623" s="899"/>
      <c r="I623" s="899"/>
      <c r="J623" s="899"/>
      <c r="K623" s="899"/>
      <c r="L623" s="899"/>
      <c r="M623" s="899"/>
      <c r="N623" s="899"/>
      <c r="O623" s="899"/>
      <c r="P623" s="899"/>
      <c r="Q623" s="899"/>
      <c r="R623" s="899"/>
      <c r="S623" s="899"/>
      <c r="T623" s="899"/>
      <c r="U623" s="899"/>
      <c r="V623" s="899"/>
      <c r="W623" s="899"/>
      <c r="X623" s="899"/>
      <c r="Y623" s="899"/>
      <c r="Z623" s="899"/>
      <c r="AA623" s="899"/>
      <c r="AB623" s="899"/>
      <c r="AC623" s="899"/>
      <c r="AD623" s="899"/>
      <c r="AE623" s="899"/>
      <c r="AF623" s="899"/>
      <c r="AG623" s="899"/>
      <c r="AH623" s="899"/>
      <c r="AI623" s="899"/>
      <c r="AJ623" s="899"/>
      <c r="AK623" s="899"/>
      <c r="AL623" s="899"/>
      <c r="AM623" s="899"/>
      <c r="AN623" s="899"/>
      <c r="AO623" s="899"/>
    </row>
    <row r="624">
      <c r="G624" s="899"/>
      <c r="H624" s="899"/>
      <c r="I624" s="899"/>
      <c r="J624" s="899"/>
      <c r="K624" s="899"/>
      <c r="L624" s="899"/>
      <c r="M624" s="899"/>
      <c r="N624" s="899"/>
      <c r="O624" s="899"/>
      <c r="P624" s="899"/>
      <c r="Q624" s="899"/>
      <c r="R624" s="899"/>
      <c r="S624" s="899"/>
      <c r="T624" s="899"/>
      <c r="U624" s="899"/>
      <c r="V624" s="899"/>
      <c r="W624" s="899"/>
      <c r="X624" s="899"/>
      <c r="Y624" s="899"/>
      <c r="Z624" s="899"/>
      <c r="AA624" s="899"/>
      <c r="AB624" s="899"/>
      <c r="AC624" s="899"/>
      <c r="AD624" s="899"/>
      <c r="AE624" s="899"/>
      <c r="AF624" s="899"/>
      <c r="AG624" s="899"/>
      <c r="AH624" s="899"/>
      <c r="AI624" s="899"/>
      <c r="AJ624" s="899"/>
      <c r="AK624" s="899"/>
      <c r="AL624" s="899"/>
      <c r="AM624" s="899"/>
      <c r="AN624" s="899"/>
      <c r="AO624" s="899"/>
    </row>
    <row r="625">
      <c r="G625" s="899"/>
      <c r="H625" s="899"/>
      <c r="I625" s="899"/>
      <c r="J625" s="899"/>
      <c r="K625" s="899"/>
      <c r="L625" s="899"/>
      <c r="M625" s="899"/>
      <c r="N625" s="899"/>
      <c r="O625" s="899"/>
      <c r="P625" s="899"/>
      <c r="Q625" s="899"/>
      <c r="R625" s="899"/>
      <c r="S625" s="899"/>
      <c r="T625" s="899"/>
      <c r="U625" s="899"/>
      <c r="V625" s="899"/>
      <c r="W625" s="899"/>
      <c r="X625" s="899"/>
      <c r="Y625" s="899"/>
      <c r="Z625" s="899"/>
      <c r="AA625" s="899"/>
      <c r="AB625" s="899"/>
      <c r="AC625" s="899"/>
      <c r="AD625" s="899"/>
      <c r="AE625" s="899"/>
      <c r="AF625" s="899"/>
      <c r="AG625" s="899"/>
      <c r="AH625" s="899"/>
      <c r="AI625" s="899"/>
      <c r="AJ625" s="899"/>
      <c r="AK625" s="899"/>
      <c r="AL625" s="899"/>
      <c r="AM625" s="899"/>
      <c r="AN625" s="899"/>
      <c r="AO625" s="899"/>
    </row>
    <row r="626">
      <c r="G626" s="899"/>
      <c r="H626" s="899"/>
      <c r="I626" s="899"/>
      <c r="J626" s="899"/>
      <c r="K626" s="899"/>
      <c r="L626" s="899"/>
      <c r="M626" s="899"/>
      <c r="N626" s="899"/>
      <c r="O626" s="899"/>
      <c r="P626" s="899"/>
      <c r="Q626" s="899"/>
      <c r="R626" s="899"/>
      <c r="S626" s="899"/>
      <c r="T626" s="899"/>
      <c r="U626" s="899"/>
      <c r="V626" s="899"/>
      <c r="W626" s="899"/>
      <c r="X626" s="899"/>
      <c r="Y626" s="899"/>
      <c r="Z626" s="899"/>
      <c r="AA626" s="899"/>
      <c r="AB626" s="899"/>
      <c r="AC626" s="899"/>
      <c r="AD626" s="899"/>
      <c r="AE626" s="899"/>
      <c r="AF626" s="899"/>
      <c r="AG626" s="899"/>
      <c r="AH626" s="899"/>
      <c r="AI626" s="899"/>
      <c r="AJ626" s="899"/>
      <c r="AK626" s="899"/>
      <c r="AL626" s="899"/>
      <c r="AM626" s="899"/>
      <c r="AN626" s="899"/>
      <c r="AO626" s="899"/>
    </row>
    <row r="627">
      <c r="G627" s="899"/>
      <c r="H627" s="899"/>
      <c r="I627" s="899"/>
      <c r="J627" s="899"/>
      <c r="K627" s="899"/>
      <c r="L627" s="899"/>
      <c r="M627" s="899"/>
      <c r="N627" s="899"/>
      <c r="O627" s="899"/>
      <c r="P627" s="899"/>
      <c r="Q627" s="899"/>
      <c r="R627" s="899"/>
      <c r="S627" s="899"/>
      <c r="T627" s="899"/>
      <c r="U627" s="899"/>
      <c r="V627" s="899"/>
      <c r="W627" s="899"/>
      <c r="X627" s="899"/>
      <c r="Y627" s="899"/>
      <c r="Z627" s="899"/>
      <c r="AA627" s="899"/>
      <c r="AB627" s="899"/>
      <c r="AC627" s="899"/>
      <c r="AD627" s="899"/>
      <c r="AE627" s="899"/>
      <c r="AF627" s="899"/>
      <c r="AG627" s="899"/>
      <c r="AH627" s="899"/>
      <c r="AI627" s="899"/>
      <c r="AJ627" s="899"/>
      <c r="AK627" s="899"/>
      <c r="AL627" s="899"/>
      <c r="AM627" s="899"/>
      <c r="AN627" s="899"/>
      <c r="AO627" s="899"/>
    </row>
    <row r="628">
      <c r="G628" s="899"/>
      <c r="H628" s="899"/>
      <c r="I628" s="899"/>
      <c r="J628" s="899"/>
      <c r="K628" s="899"/>
      <c r="L628" s="899"/>
      <c r="M628" s="899"/>
      <c r="N628" s="899"/>
      <c r="O628" s="899"/>
      <c r="P628" s="899"/>
      <c r="Q628" s="899"/>
      <c r="R628" s="899"/>
      <c r="S628" s="899"/>
      <c r="T628" s="899"/>
      <c r="U628" s="899"/>
      <c r="V628" s="899"/>
      <c r="W628" s="899"/>
      <c r="X628" s="899"/>
      <c r="Y628" s="899"/>
      <c r="Z628" s="899"/>
      <c r="AA628" s="899"/>
      <c r="AB628" s="899"/>
      <c r="AC628" s="899"/>
      <c r="AD628" s="899"/>
      <c r="AE628" s="899"/>
      <c r="AF628" s="899"/>
      <c r="AG628" s="899"/>
      <c r="AH628" s="899"/>
      <c r="AI628" s="899"/>
      <c r="AJ628" s="899"/>
      <c r="AK628" s="899"/>
      <c r="AL628" s="899"/>
      <c r="AM628" s="899"/>
      <c r="AN628" s="899"/>
      <c r="AO628" s="899"/>
    </row>
    <row r="629">
      <c r="G629" s="899"/>
      <c r="H629" s="899"/>
      <c r="I629" s="899"/>
      <c r="J629" s="899"/>
      <c r="K629" s="899"/>
      <c r="L629" s="899"/>
      <c r="M629" s="899"/>
      <c r="N629" s="899"/>
      <c r="O629" s="899"/>
      <c r="P629" s="899"/>
      <c r="Q629" s="899"/>
      <c r="R629" s="899"/>
      <c r="S629" s="899"/>
      <c r="T629" s="899"/>
      <c r="U629" s="899"/>
      <c r="V629" s="899"/>
      <c r="W629" s="899"/>
      <c r="X629" s="899"/>
      <c r="Y629" s="899"/>
      <c r="Z629" s="899"/>
      <c r="AA629" s="899"/>
      <c r="AB629" s="899"/>
      <c r="AC629" s="899"/>
      <c r="AD629" s="899"/>
      <c r="AE629" s="899"/>
      <c r="AF629" s="899"/>
      <c r="AG629" s="899"/>
      <c r="AH629" s="899"/>
      <c r="AI629" s="899"/>
      <c r="AJ629" s="899"/>
      <c r="AK629" s="899"/>
      <c r="AL629" s="899"/>
      <c r="AM629" s="899"/>
      <c r="AN629" s="899"/>
      <c r="AO629" s="899"/>
    </row>
    <row r="630">
      <c r="G630" s="899"/>
      <c r="H630" s="899"/>
      <c r="I630" s="899"/>
      <c r="J630" s="899"/>
      <c r="K630" s="899"/>
      <c r="L630" s="899"/>
      <c r="M630" s="899"/>
      <c r="N630" s="899"/>
      <c r="O630" s="899"/>
      <c r="P630" s="899"/>
      <c r="Q630" s="899"/>
      <c r="R630" s="899"/>
      <c r="S630" s="899"/>
      <c r="T630" s="899"/>
      <c r="U630" s="899"/>
      <c r="V630" s="899"/>
      <c r="W630" s="899"/>
      <c r="X630" s="899"/>
      <c r="Y630" s="899"/>
      <c r="Z630" s="899"/>
      <c r="AA630" s="899"/>
      <c r="AB630" s="899"/>
      <c r="AC630" s="899"/>
      <c r="AD630" s="899"/>
      <c r="AE630" s="899"/>
      <c r="AF630" s="899"/>
      <c r="AG630" s="899"/>
      <c r="AH630" s="899"/>
      <c r="AI630" s="899"/>
      <c r="AJ630" s="899"/>
      <c r="AK630" s="899"/>
      <c r="AL630" s="899"/>
      <c r="AM630" s="899"/>
      <c r="AN630" s="899"/>
      <c r="AO630" s="899"/>
    </row>
    <row r="631">
      <c r="G631" s="899"/>
      <c r="H631" s="899"/>
      <c r="I631" s="899"/>
      <c r="J631" s="899"/>
      <c r="K631" s="899"/>
      <c r="L631" s="899"/>
      <c r="M631" s="899"/>
      <c r="N631" s="899"/>
      <c r="O631" s="899"/>
      <c r="P631" s="899"/>
      <c r="Q631" s="899"/>
      <c r="R631" s="899"/>
      <c r="S631" s="899"/>
      <c r="T631" s="899"/>
      <c r="U631" s="899"/>
      <c r="V631" s="899"/>
      <c r="W631" s="899"/>
      <c r="X631" s="899"/>
      <c r="Y631" s="899"/>
      <c r="Z631" s="899"/>
      <c r="AA631" s="899"/>
      <c r="AB631" s="899"/>
      <c r="AC631" s="899"/>
      <c r="AD631" s="899"/>
      <c r="AE631" s="899"/>
      <c r="AF631" s="899"/>
      <c r="AG631" s="899"/>
      <c r="AH631" s="899"/>
      <c r="AI631" s="899"/>
      <c r="AJ631" s="899"/>
      <c r="AK631" s="899"/>
      <c r="AL631" s="899"/>
      <c r="AM631" s="899"/>
      <c r="AN631" s="899"/>
      <c r="AO631" s="899"/>
    </row>
    <row r="632">
      <c r="G632" s="899"/>
      <c r="H632" s="899"/>
      <c r="I632" s="899"/>
      <c r="J632" s="899"/>
      <c r="K632" s="899"/>
      <c r="L632" s="899"/>
      <c r="M632" s="899"/>
      <c r="N632" s="899"/>
      <c r="O632" s="899"/>
      <c r="P632" s="899"/>
      <c r="Q632" s="899"/>
      <c r="R632" s="899"/>
      <c r="S632" s="899"/>
      <c r="T632" s="899"/>
      <c r="U632" s="899"/>
      <c r="V632" s="899"/>
      <c r="W632" s="899"/>
      <c r="X632" s="899"/>
      <c r="Y632" s="899"/>
      <c r="Z632" s="899"/>
      <c r="AA632" s="899"/>
      <c r="AB632" s="899"/>
      <c r="AC632" s="899"/>
      <c r="AD632" s="899"/>
      <c r="AE632" s="899"/>
      <c r="AF632" s="899"/>
      <c r="AG632" s="899"/>
      <c r="AH632" s="899"/>
      <c r="AI632" s="899"/>
      <c r="AJ632" s="899"/>
      <c r="AK632" s="899"/>
      <c r="AL632" s="899"/>
      <c r="AM632" s="899"/>
      <c r="AN632" s="899"/>
      <c r="AO632" s="899"/>
    </row>
    <row r="633">
      <c r="G633" s="899"/>
      <c r="H633" s="899"/>
      <c r="I633" s="899"/>
      <c r="J633" s="899"/>
      <c r="K633" s="899"/>
      <c r="L633" s="899"/>
      <c r="M633" s="899"/>
      <c r="N633" s="899"/>
      <c r="O633" s="899"/>
      <c r="P633" s="899"/>
      <c r="Q633" s="899"/>
      <c r="R633" s="899"/>
      <c r="S633" s="899"/>
      <c r="T633" s="899"/>
      <c r="U633" s="899"/>
      <c r="V633" s="899"/>
      <c r="W633" s="899"/>
      <c r="X633" s="899"/>
      <c r="Y633" s="899"/>
      <c r="Z633" s="899"/>
      <c r="AA633" s="899"/>
      <c r="AB633" s="899"/>
      <c r="AC633" s="899"/>
      <c r="AD633" s="899"/>
      <c r="AE633" s="899"/>
      <c r="AF633" s="899"/>
      <c r="AG633" s="899"/>
      <c r="AH633" s="899"/>
      <c r="AI633" s="899"/>
      <c r="AJ633" s="899"/>
      <c r="AK633" s="899"/>
      <c r="AL633" s="899"/>
      <c r="AM633" s="899"/>
      <c r="AN633" s="899"/>
      <c r="AO633" s="899"/>
    </row>
    <row r="634">
      <c r="G634" s="899"/>
      <c r="H634" s="899"/>
      <c r="I634" s="899"/>
      <c r="J634" s="899"/>
      <c r="K634" s="899"/>
      <c r="L634" s="899"/>
      <c r="M634" s="899"/>
      <c r="N634" s="899"/>
      <c r="O634" s="899"/>
      <c r="P634" s="899"/>
      <c r="Q634" s="899"/>
      <c r="R634" s="899"/>
      <c r="S634" s="899"/>
      <c r="T634" s="899"/>
      <c r="U634" s="899"/>
      <c r="V634" s="899"/>
      <c r="W634" s="899"/>
      <c r="X634" s="899"/>
      <c r="Y634" s="899"/>
      <c r="Z634" s="899"/>
      <c r="AA634" s="899"/>
      <c r="AB634" s="899"/>
      <c r="AC634" s="899"/>
      <c r="AD634" s="899"/>
      <c r="AE634" s="899"/>
      <c r="AF634" s="899"/>
      <c r="AG634" s="899"/>
      <c r="AH634" s="899"/>
      <c r="AI634" s="899"/>
      <c r="AJ634" s="899"/>
      <c r="AK634" s="899"/>
      <c r="AL634" s="899"/>
      <c r="AM634" s="899"/>
      <c r="AN634" s="899"/>
      <c r="AO634" s="899"/>
    </row>
    <row r="635">
      <c r="G635" s="899"/>
      <c r="H635" s="899"/>
      <c r="I635" s="899"/>
      <c r="J635" s="899"/>
      <c r="K635" s="899"/>
      <c r="L635" s="899"/>
      <c r="M635" s="899"/>
      <c r="N635" s="899"/>
      <c r="O635" s="899"/>
      <c r="P635" s="899"/>
      <c r="Q635" s="899"/>
      <c r="R635" s="899"/>
      <c r="S635" s="899"/>
      <c r="T635" s="899"/>
      <c r="U635" s="899"/>
      <c r="V635" s="899"/>
      <c r="W635" s="899"/>
      <c r="X635" s="899"/>
      <c r="Y635" s="899"/>
      <c r="Z635" s="899"/>
      <c r="AA635" s="899"/>
      <c r="AB635" s="899"/>
      <c r="AC635" s="899"/>
      <c r="AD635" s="899"/>
      <c r="AE635" s="899"/>
      <c r="AF635" s="899"/>
      <c r="AG635" s="899"/>
      <c r="AH635" s="899"/>
      <c r="AI635" s="899"/>
      <c r="AJ635" s="899"/>
      <c r="AK635" s="899"/>
      <c r="AL635" s="899"/>
      <c r="AM635" s="899"/>
      <c r="AN635" s="899"/>
      <c r="AO635" s="899"/>
    </row>
    <row r="636">
      <c r="G636" s="899"/>
      <c r="H636" s="899"/>
      <c r="I636" s="899"/>
      <c r="J636" s="899"/>
      <c r="K636" s="899"/>
      <c r="L636" s="899"/>
      <c r="M636" s="899"/>
      <c r="N636" s="899"/>
      <c r="O636" s="899"/>
      <c r="P636" s="899"/>
      <c r="Q636" s="899"/>
      <c r="R636" s="899"/>
      <c r="S636" s="899"/>
      <c r="T636" s="899"/>
      <c r="U636" s="899"/>
      <c r="V636" s="899"/>
      <c r="W636" s="899"/>
      <c r="X636" s="899"/>
      <c r="Y636" s="899"/>
      <c r="Z636" s="899"/>
      <c r="AA636" s="899"/>
      <c r="AB636" s="899"/>
      <c r="AC636" s="899"/>
      <c r="AD636" s="899"/>
      <c r="AE636" s="899"/>
      <c r="AF636" s="899"/>
      <c r="AG636" s="899"/>
      <c r="AH636" s="899"/>
      <c r="AI636" s="899"/>
      <c r="AJ636" s="899"/>
      <c r="AK636" s="899"/>
      <c r="AL636" s="899"/>
      <c r="AM636" s="899"/>
      <c r="AN636" s="899"/>
      <c r="AO636" s="899"/>
    </row>
    <row r="637">
      <c r="G637" s="899"/>
      <c r="H637" s="899"/>
      <c r="I637" s="899"/>
      <c r="J637" s="899"/>
      <c r="K637" s="899"/>
      <c r="L637" s="899"/>
      <c r="M637" s="899"/>
      <c r="N637" s="899"/>
      <c r="O637" s="899"/>
      <c r="P637" s="899"/>
      <c r="Q637" s="899"/>
      <c r="R637" s="899"/>
      <c r="S637" s="899"/>
      <c r="T637" s="899"/>
      <c r="U637" s="899"/>
      <c r="V637" s="899"/>
      <c r="W637" s="899"/>
      <c r="X637" s="899"/>
      <c r="Y637" s="899"/>
      <c r="Z637" s="899"/>
      <c r="AA637" s="899"/>
      <c r="AB637" s="899"/>
      <c r="AC637" s="899"/>
      <c r="AD637" s="899"/>
      <c r="AE637" s="899"/>
      <c r="AF637" s="899"/>
      <c r="AG637" s="899"/>
      <c r="AH637" s="899"/>
      <c r="AI637" s="899"/>
      <c r="AJ637" s="899"/>
      <c r="AK637" s="899"/>
      <c r="AL637" s="899"/>
      <c r="AM637" s="899"/>
      <c r="AN637" s="899"/>
      <c r="AO637" s="899"/>
    </row>
    <row r="638">
      <c r="G638" s="899"/>
      <c r="H638" s="899"/>
      <c r="I638" s="899"/>
      <c r="J638" s="899"/>
      <c r="K638" s="899"/>
      <c r="L638" s="899"/>
      <c r="M638" s="899"/>
      <c r="N638" s="899"/>
      <c r="O638" s="899"/>
      <c r="P638" s="899"/>
      <c r="Q638" s="899"/>
      <c r="R638" s="899"/>
      <c r="S638" s="899"/>
      <c r="T638" s="899"/>
      <c r="U638" s="899"/>
      <c r="V638" s="899"/>
      <c r="W638" s="899"/>
      <c r="X638" s="899"/>
      <c r="Y638" s="899"/>
      <c r="Z638" s="899"/>
      <c r="AA638" s="899"/>
      <c r="AB638" s="899"/>
      <c r="AC638" s="899"/>
      <c r="AD638" s="899"/>
      <c r="AE638" s="899"/>
      <c r="AF638" s="899"/>
      <c r="AG638" s="899"/>
      <c r="AH638" s="899"/>
      <c r="AI638" s="899"/>
      <c r="AJ638" s="899"/>
      <c r="AK638" s="899"/>
      <c r="AL638" s="899"/>
      <c r="AM638" s="899"/>
      <c r="AN638" s="899"/>
      <c r="AO638" s="899"/>
    </row>
    <row r="639">
      <c r="G639" s="899"/>
      <c r="H639" s="899"/>
      <c r="I639" s="899"/>
      <c r="J639" s="899"/>
      <c r="K639" s="899"/>
      <c r="L639" s="899"/>
      <c r="M639" s="899"/>
      <c r="N639" s="899"/>
      <c r="O639" s="899"/>
      <c r="P639" s="899"/>
      <c r="Q639" s="899"/>
      <c r="R639" s="899"/>
      <c r="S639" s="899"/>
      <c r="T639" s="899"/>
      <c r="U639" s="899"/>
      <c r="V639" s="899"/>
      <c r="W639" s="899"/>
      <c r="X639" s="899"/>
      <c r="Y639" s="899"/>
      <c r="Z639" s="899"/>
      <c r="AA639" s="899"/>
      <c r="AB639" s="899"/>
      <c r="AC639" s="899"/>
      <c r="AD639" s="899"/>
      <c r="AE639" s="899"/>
      <c r="AF639" s="899"/>
      <c r="AG639" s="899"/>
      <c r="AH639" s="899"/>
      <c r="AI639" s="899"/>
      <c r="AJ639" s="899"/>
      <c r="AK639" s="899"/>
      <c r="AL639" s="899"/>
      <c r="AM639" s="899"/>
      <c r="AN639" s="899"/>
      <c r="AO639" s="899"/>
    </row>
    <row r="640">
      <c r="G640" s="899"/>
      <c r="H640" s="899"/>
      <c r="I640" s="899"/>
      <c r="J640" s="899"/>
      <c r="K640" s="899"/>
      <c r="L640" s="899"/>
      <c r="M640" s="899"/>
      <c r="N640" s="899"/>
      <c r="O640" s="899"/>
      <c r="P640" s="899"/>
      <c r="Q640" s="899"/>
      <c r="R640" s="899"/>
      <c r="S640" s="899"/>
      <c r="T640" s="899"/>
      <c r="U640" s="899"/>
      <c r="V640" s="899"/>
      <c r="W640" s="899"/>
      <c r="X640" s="899"/>
      <c r="Y640" s="899"/>
      <c r="Z640" s="899"/>
      <c r="AA640" s="899"/>
      <c r="AB640" s="899"/>
      <c r="AC640" s="899"/>
      <c r="AD640" s="899"/>
      <c r="AE640" s="899"/>
      <c r="AF640" s="899"/>
      <c r="AG640" s="899"/>
      <c r="AH640" s="899"/>
      <c r="AI640" s="899"/>
      <c r="AJ640" s="899"/>
      <c r="AK640" s="899"/>
      <c r="AL640" s="899"/>
      <c r="AM640" s="899"/>
      <c r="AN640" s="899"/>
      <c r="AO640" s="899"/>
    </row>
    <row r="641">
      <c r="G641" s="899"/>
      <c r="H641" s="899"/>
      <c r="I641" s="899"/>
      <c r="J641" s="899"/>
      <c r="K641" s="899"/>
      <c r="L641" s="899"/>
      <c r="M641" s="899"/>
      <c r="N641" s="899"/>
      <c r="O641" s="899"/>
      <c r="P641" s="899"/>
      <c r="Q641" s="899"/>
      <c r="R641" s="899"/>
      <c r="S641" s="899"/>
      <c r="T641" s="899"/>
      <c r="U641" s="899"/>
      <c r="V641" s="899"/>
      <c r="W641" s="899"/>
      <c r="X641" s="899"/>
      <c r="Y641" s="899"/>
      <c r="Z641" s="899"/>
      <c r="AA641" s="899"/>
      <c r="AB641" s="899"/>
      <c r="AC641" s="899"/>
      <c r="AD641" s="899"/>
      <c r="AE641" s="899"/>
      <c r="AF641" s="899"/>
      <c r="AG641" s="899"/>
      <c r="AH641" s="899"/>
      <c r="AI641" s="899"/>
      <c r="AJ641" s="899"/>
      <c r="AK641" s="899"/>
      <c r="AL641" s="899"/>
      <c r="AM641" s="899"/>
      <c r="AN641" s="899"/>
      <c r="AO641" s="899"/>
    </row>
    <row r="642">
      <c r="G642" s="899"/>
      <c r="H642" s="899"/>
      <c r="I642" s="899"/>
      <c r="J642" s="899"/>
      <c r="K642" s="899"/>
      <c r="L642" s="899"/>
      <c r="M642" s="899"/>
      <c r="N642" s="899"/>
      <c r="O642" s="899"/>
      <c r="P642" s="899"/>
      <c r="Q642" s="899"/>
      <c r="R642" s="899"/>
      <c r="S642" s="899"/>
      <c r="T642" s="899"/>
      <c r="U642" s="899"/>
      <c r="V642" s="899"/>
      <c r="W642" s="899"/>
      <c r="X642" s="899"/>
      <c r="Y642" s="899"/>
      <c r="Z642" s="899"/>
      <c r="AA642" s="899"/>
      <c r="AB642" s="899"/>
      <c r="AC642" s="899"/>
      <c r="AD642" s="899"/>
      <c r="AE642" s="899"/>
      <c r="AF642" s="899"/>
      <c r="AG642" s="899"/>
      <c r="AH642" s="899"/>
      <c r="AI642" s="899"/>
      <c r="AJ642" s="899"/>
      <c r="AK642" s="899"/>
      <c r="AL642" s="899"/>
      <c r="AM642" s="899"/>
      <c r="AN642" s="899"/>
      <c r="AO642" s="899"/>
    </row>
    <row r="643">
      <c r="G643" s="899"/>
      <c r="H643" s="899"/>
      <c r="I643" s="899"/>
      <c r="J643" s="899"/>
      <c r="K643" s="899"/>
      <c r="L643" s="899"/>
      <c r="M643" s="899"/>
      <c r="N643" s="899"/>
      <c r="O643" s="899"/>
      <c r="P643" s="899"/>
      <c r="Q643" s="899"/>
      <c r="R643" s="899"/>
      <c r="S643" s="899"/>
      <c r="T643" s="899"/>
      <c r="U643" s="899"/>
      <c r="V643" s="899"/>
      <c r="W643" s="899"/>
      <c r="X643" s="899"/>
      <c r="Y643" s="899"/>
      <c r="Z643" s="899"/>
      <c r="AA643" s="899"/>
      <c r="AB643" s="899"/>
      <c r="AC643" s="899"/>
      <c r="AD643" s="899"/>
      <c r="AE643" s="899"/>
      <c r="AF643" s="899"/>
      <c r="AG643" s="899"/>
      <c r="AH643" s="899"/>
      <c r="AI643" s="899"/>
      <c r="AJ643" s="899"/>
      <c r="AK643" s="899"/>
      <c r="AL643" s="899"/>
      <c r="AM643" s="899"/>
      <c r="AN643" s="899"/>
      <c r="AO643" s="899"/>
    </row>
    <row r="644">
      <c r="G644" s="899"/>
      <c r="H644" s="899"/>
      <c r="I644" s="899"/>
      <c r="J644" s="899"/>
      <c r="K644" s="899"/>
      <c r="L644" s="899"/>
      <c r="M644" s="899"/>
      <c r="N644" s="899"/>
      <c r="O644" s="899"/>
      <c r="P644" s="899"/>
      <c r="Q644" s="899"/>
      <c r="R644" s="899"/>
      <c r="S644" s="899"/>
      <c r="T644" s="899"/>
      <c r="U644" s="899"/>
      <c r="V644" s="899"/>
      <c r="W644" s="899"/>
      <c r="X644" s="899"/>
      <c r="Y644" s="899"/>
      <c r="Z644" s="899"/>
      <c r="AA644" s="899"/>
      <c r="AB644" s="899"/>
      <c r="AC644" s="899"/>
      <c r="AD644" s="899"/>
      <c r="AE644" s="899"/>
      <c r="AF644" s="899"/>
      <c r="AG644" s="899"/>
      <c r="AH644" s="899"/>
      <c r="AI644" s="899"/>
      <c r="AJ644" s="899"/>
      <c r="AK644" s="899"/>
      <c r="AL644" s="899"/>
      <c r="AM644" s="899"/>
      <c r="AN644" s="899"/>
      <c r="AO644" s="899"/>
    </row>
    <row r="645">
      <c r="G645" s="899"/>
      <c r="H645" s="899"/>
      <c r="I645" s="899"/>
      <c r="J645" s="899"/>
      <c r="K645" s="899"/>
      <c r="L645" s="899"/>
      <c r="M645" s="899"/>
      <c r="N645" s="899"/>
      <c r="O645" s="899"/>
      <c r="P645" s="899"/>
      <c r="Q645" s="899"/>
      <c r="R645" s="899"/>
      <c r="S645" s="899"/>
      <c r="T645" s="899"/>
      <c r="U645" s="899"/>
      <c r="V645" s="899"/>
      <c r="W645" s="899"/>
      <c r="X645" s="899"/>
      <c r="Y645" s="899"/>
      <c r="Z645" s="899"/>
      <c r="AA645" s="899"/>
      <c r="AB645" s="899"/>
      <c r="AC645" s="899"/>
      <c r="AD645" s="899"/>
      <c r="AE645" s="899"/>
      <c r="AF645" s="899"/>
      <c r="AG645" s="899"/>
      <c r="AH645" s="899"/>
      <c r="AI645" s="899"/>
      <c r="AJ645" s="899"/>
      <c r="AK645" s="899"/>
      <c r="AL645" s="899"/>
      <c r="AM645" s="899"/>
      <c r="AN645" s="899"/>
      <c r="AO645" s="899"/>
    </row>
    <row r="646">
      <c r="G646" s="899"/>
      <c r="H646" s="899"/>
      <c r="I646" s="899"/>
      <c r="J646" s="899"/>
      <c r="K646" s="899"/>
      <c r="L646" s="899"/>
      <c r="M646" s="899"/>
      <c r="N646" s="899"/>
      <c r="O646" s="899"/>
      <c r="P646" s="899"/>
      <c r="Q646" s="899"/>
      <c r="R646" s="899"/>
      <c r="S646" s="899"/>
      <c r="T646" s="899"/>
      <c r="U646" s="899"/>
      <c r="V646" s="899"/>
      <c r="W646" s="899"/>
      <c r="X646" s="899"/>
      <c r="Y646" s="899"/>
      <c r="Z646" s="899"/>
      <c r="AA646" s="899"/>
      <c r="AB646" s="899"/>
      <c r="AC646" s="899"/>
      <c r="AD646" s="899"/>
      <c r="AE646" s="899"/>
      <c r="AF646" s="899"/>
      <c r="AG646" s="899"/>
      <c r="AH646" s="899"/>
      <c r="AI646" s="899"/>
      <c r="AJ646" s="899"/>
      <c r="AK646" s="899"/>
      <c r="AL646" s="899"/>
      <c r="AM646" s="899"/>
      <c r="AN646" s="899"/>
      <c r="AO646" s="899"/>
    </row>
    <row r="647">
      <c r="G647" s="899"/>
      <c r="H647" s="899"/>
      <c r="I647" s="899"/>
      <c r="J647" s="899"/>
      <c r="K647" s="899"/>
      <c r="L647" s="899"/>
      <c r="M647" s="899"/>
      <c r="N647" s="899"/>
      <c r="O647" s="899"/>
      <c r="P647" s="899"/>
      <c r="Q647" s="899"/>
      <c r="R647" s="899"/>
      <c r="S647" s="899"/>
      <c r="T647" s="899"/>
      <c r="U647" s="899"/>
      <c r="V647" s="899"/>
      <c r="W647" s="899"/>
      <c r="X647" s="899"/>
      <c r="Y647" s="899"/>
      <c r="Z647" s="899"/>
      <c r="AA647" s="899"/>
      <c r="AB647" s="899"/>
      <c r="AC647" s="899"/>
      <c r="AD647" s="899"/>
      <c r="AE647" s="899"/>
      <c r="AF647" s="899"/>
      <c r="AG647" s="899"/>
      <c r="AH647" s="899"/>
      <c r="AI647" s="899"/>
      <c r="AJ647" s="899"/>
      <c r="AK647" s="899"/>
      <c r="AL647" s="899"/>
      <c r="AM647" s="899"/>
      <c r="AN647" s="899"/>
      <c r="AO647" s="899"/>
    </row>
    <row r="648">
      <c r="G648" s="899"/>
      <c r="H648" s="899"/>
      <c r="I648" s="899"/>
      <c r="J648" s="899"/>
      <c r="K648" s="899"/>
      <c r="L648" s="899"/>
      <c r="M648" s="899"/>
      <c r="N648" s="899"/>
      <c r="O648" s="899"/>
      <c r="P648" s="899"/>
      <c r="Q648" s="899"/>
      <c r="R648" s="899"/>
      <c r="S648" s="899"/>
      <c r="T648" s="899"/>
      <c r="U648" s="899"/>
      <c r="V648" s="899"/>
      <c r="W648" s="899"/>
      <c r="X648" s="899"/>
      <c r="Y648" s="899"/>
      <c r="Z648" s="899"/>
      <c r="AA648" s="899"/>
      <c r="AB648" s="899"/>
      <c r="AC648" s="899"/>
      <c r="AD648" s="899"/>
      <c r="AE648" s="899"/>
      <c r="AF648" s="899"/>
      <c r="AG648" s="899"/>
      <c r="AH648" s="899"/>
      <c r="AI648" s="899"/>
      <c r="AJ648" s="899"/>
      <c r="AK648" s="899"/>
      <c r="AL648" s="899"/>
      <c r="AM648" s="899"/>
      <c r="AN648" s="899"/>
      <c r="AO648" s="899"/>
    </row>
    <row r="649">
      <c r="G649" s="899"/>
      <c r="H649" s="899"/>
      <c r="I649" s="899"/>
      <c r="J649" s="899"/>
      <c r="K649" s="899"/>
      <c r="L649" s="899"/>
      <c r="M649" s="899"/>
      <c r="N649" s="899"/>
      <c r="O649" s="899"/>
      <c r="P649" s="899"/>
      <c r="Q649" s="899"/>
      <c r="R649" s="899"/>
      <c r="S649" s="899"/>
      <c r="T649" s="899"/>
      <c r="U649" s="899"/>
      <c r="V649" s="899"/>
      <c r="W649" s="899"/>
      <c r="X649" s="899"/>
      <c r="Y649" s="899"/>
      <c r="Z649" s="899"/>
      <c r="AA649" s="899"/>
      <c r="AB649" s="899"/>
      <c r="AC649" s="899"/>
      <c r="AD649" s="899"/>
      <c r="AE649" s="899"/>
      <c r="AF649" s="899"/>
      <c r="AG649" s="899"/>
      <c r="AH649" s="899"/>
      <c r="AI649" s="899"/>
      <c r="AJ649" s="899"/>
      <c r="AK649" s="899"/>
      <c r="AL649" s="899"/>
      <c r="AM649" s="899"/>
      <c r="AN649" s="899"/>
      <c r="AO649" s="899"/>
    </row>
    <row r="650">
      <c r="G650" s="899"/>
      <c r="H650" s="899"/>
      <c r="I650" s="899"/>
      <c r="J650" s="899"/>
      <c r="K650" s="899"/>
      <c r="L650" s="899"/>
      <c r="M650" s="899"/>
      <c r="N650" s="899"/>
      <c r="O650" s="899"/>
      <c r="P650" s="899"/>
      <c r="Q650" s="899"/>
      <c r="R650" s="899"/>
      <c r="S650" s="899"/>
      <c r="T650" s="899"/>
      <c r="U650" s="899"/>
      <c r="V650" s="899"/>
      <c r="W650" s="899"/>
      <c r="X650" s="899"/>
      <c r="Y650" s="899"/>
      <c r="Z650" s="899"/>
      <c r="AA650" s="899"/>
      <c r="AB650" s="899"/>
      <c r="AC650" s="899"/>
      <c r="AD650" s="899"/>
      <c r="AE650" s="899"/>
      <c r="AF650" s="899"/>
      <c r="AG650" s="899"/>
      <c r="AH650" s="899"/>
      <c r="AI650" s="899"/>
      <c r="AJ650" s="899"/>
      <c r="AK650" s="899"/>
      <c r="AL650" s="899"/>
      <c r="AM650" s="899"/>
      <c r="AN650" s="899"/>
      <c r="AO650" s="899"/>
    </row>
    <row r="651">
      <c r="G651" s="899"/>
      <c r="H651" s="899"/>
      <c r="I651" s="899"/>
      <c r="J651" s="899"/>
      <c r="K651" s="899"/>
      <c r="L651" s="899"/>
      <c r="M651" s="899"/>
      <c r="N651" s="899"/>
      <c r="O651" s="899"/>
      <c r="P651" s="899"/>
      <c r="Q651" s="899"/>
      <c r="R651" s="899"/>
      <c r="S651" s="899"/>
      <c r="T651" s="899"/>
      <c r="U651" s="899"/>
      <c r="V651" s="899"/>
      <c r="W651" s="899"/>
      <c r="X651" s="899"/>
      <c r="Y651" s="899"/>
      <c r="Z651" s="899"/>
      <c r="AA651" s="899"/>
      <c r="AB651" s="899"/>
      <c r="AC651" s="899"/>
      <c r="AD651" s="899"/>
      <c r="AE651" s="899"/>
      <c r="AF651" s="899"/>
      <c r="AG651" s="899"/>
      <c r="AH651" s="899"/>
      <c r="AI651" s="899"/>
      <c r="AJ651" s="899"/>
      <c r="AK651" s="899"/>
      <c r="AL651" s="899"/>
      <c r="AM651" s="899"/>
      <c r="AN651" s="899"/>
      <c r="AO651" s="899"/>
    </row>
    <row r="652">
      <c r="G652" s="899"/>
      <c r="H652" s="899"/>
      <c r="I652" s="899"/>
      <c r="J652" s="899"/>
      <c r="K652" s="899"/>
      <c r="L652" s="899"/>
      <c r="M652" s="899"/>
      <c r="N652" s="899"/>
      <c r="O652" s="899"/>
      <c r="P652" s="899"/>
      <c r="Q652" s="899"/>
      <c r="R652" s="899"/>
      <c r="S652" s="899"/>
      <c r="T652" s="899"/>
      <c r="U652" s="899"/>
      <c r="V652" s="899"/>
      <c r="W652" s="899"/>
      <c r="X652" s="899"/>
      <c r="Y652" s="899"/>
      <c r="Z652" s="899"/>
      <c r="AA652" s="899"/>
      <c r="AB652" s="899"/>
      <c r="AC652" s="899"/>
      <c r="AD652" s="899"/>
      <c r="AE652" s="899"/>
      <c r="AF652" s="899"/>
      <c r="AG652" s="899"/>
      <c r="AH652" s="899"/>
      <c r="AI652" s="899"/>
      <c r="AJ652" s="899"/>
      <c r="AK652" s="899"/>
      <c r="AL652" s="899"/>
      <c r="AM652" s="899"/>
      <c r="AN652" s="899"/>
      <c r="AO652" s="899"/>
    </row>
    <row r="653">
      <c r="G653" s="899"/>
      <c r="H653" s="899"/>
      <c r="I653" s="899"/>
      <c r="J653" s="899"/>
      <c r="K653" s="899"/>
      <c r="L653" s="899"/>
      <c r="M653" s="899"/>
      <c r="N653" s="899"/>
      <c r="O653" s="899"/>
      <c r="P653" s="899"/>
      <c r="Q653" s="899"/>
      <c r="R653" s="899"/>
      <c r="S653" s="899"/>
      <c r="T653" s="899"/>
      <c r="U653" s="899"/>
      <c r="V653" s="899"/>
      <c r="W653" s="899"/>
      <c r="X653" s="899"/>
      <c r="Y653" s="899"/>
      <c r="Z653" s="899"/>
      <c r="AA653" s="899"/>
      <c r="AB653" s="899"/>
      <c r="AC653" s="899"/>
      <c r="AD653" s="899"/>
      <c r="AE653" s="899"/>
      <c r="AF653" s="899"/>
      <c r="AG653" s="899"/>
      <c r="AH653" s="899"/>
      <c r="AI653" s="899"/>
      <c r="AJ653" s="899"/>
      <c r="AK653" s="899"/>
      <c r="AL653" s="899"/>
      <c r="AM653" s="899"/>
      <c r="AN653" s="899"/>
      <c r="AO653" s="899"/>
    </row>
    <row r="654">
      <c r="G654" s="899"/>
      <c r="H654" s="899"/>
      <c r="I654" s="899"/>
      <c r="J654" s="899"/>
      <c r="K654" s="899"/>
      <c r="L654" s="899"/>
      <c r="M654" s="899"/>
      <c r="N654" s="899"/>
      <c r="O654" s="899"/>
      <c r="P654" s="899"/>
      <c r="Q654" s="899"/>
      <c r="R654" s="899"/>
      <c r="S654" s="899"/>
      <c r="T654" s="899"/>
      <c r="U654" s="899"/>
      <c r="V654" s="899"/>
      <c r="W654" s="899"/>
      <c r="X654" s="899"/>
      <c r="Y654" s="899"/>
      <c r="Z654" s="899"/>
      <c r="AA654" s="899"/>
      <c r="AB654" s="899"/>
      <c r="AC654" s="899"/>
      <c r="AD654" s="899"/>
      <c r="AE654" s="899"/>
      <c r="AF654" s="899"/>
      <c r="AG654" s="899"/>
      <c r="AH654" s="899"/>
      <c r="AI654" s="899"/>
      <c r="AJ654" s="899"/>
      <c r="AK654" s="899"/>
      <c r="AL654" s="899"/>
      <c r="AM654" s="899"/>
      <c r="AN654" s="899"/>
      <c r="AO654" s="899"/>
    </row>
    <row r="655">
      <c r="G655" s="899"/>
      <c r="H655" s="899"/>
      <c r="I655" s="899"/>
      <c r="J655" s="899"/>
      <c r="K655" s="899"/>
      <c r="L655" s="899"/>
      <c r="M655" s="899"/>
      <c r="N655" s="899"/>
      <c r="O655" s="899"/>
      <c r="P655" s="899"/>
      <c r="Q655" s="899"/>
      <c r="R655" s="899"/>
      <c r="S655" s="899"/>
      <c r="T655" s="899"/>
      <c r="U655" s="899"/>
      <c r="V655" s="899"/>
      <c r="W655" s="899"/>
      <c r="X655" s="899"/>
      <c r="Y655" s="899"/>
      <c r="Z655" s="899"/>
      <c r="AA655" s="899"/>
      <c r="AB655" s="899"/>
      <c r="AC655" s="899"/>
      <c r="AD655" s="899"/>
      <c r="AE655" s="899"/>
      <c r="AF655" s="899"/>
      <c r="AG655" s="899"/>
      <c r="AH655" s="899"/>
      <c r="AI655" s="899"/>
      <c r="AJ655" s="899"/>
      <c r="AK655" s="899"/>
      <c r="AL655" s="899"/>
      <c r="AM655" s="899"/>
      <c r="AN655" s="899"/>
      <c r="AO655" s="899"/>
    </row>
    <row r="656">
      <c r="G656" s="899"/>
      <c r="H656" s="899"/>
      <c r="I656" s="899"/>
      <c r="J656" s="899"/>
      <c r="K656" s="899"/>
      <c r="L656" s="899"/>
      <c r="M656" s="899"/>
      <c r="N656" s="899"/>
      <c r="O656" s="899"/>
      <c r="P656" s="899"/>
      <c r="Q656" s="899"/>
      <c r="R656" s="899"/>
      <c r="S656" s="899"/>
      <c r="T656" s="899"/>
      <c r="U656" s="899"/>
      <c r="V656" s="899"/>
      <c r="W656" s="899"/>
      <c r="X656" s="899"/>
      <c r="Y656" s="899"/>
      <c r="Z656" s="899"/>
      <c r="AA656" s="899"/>
      <c r="AB656" s="899"/>
      <c r="AC656" s="899"/>
      <c r="AD656" s="899"/>
      <c r="AE656" s="899"/>
      <c r="AF656" s="899"/>
      <c r="AG656" s="899"/>
      <c r="AH656" s="899"/>
      <c r="AI656" s="899"/>
      <c r="AJ656" s="899"/>
      <c r="AK656" s="899"/>
      <c r="AL656" s="899"/>
      <c r="AM656" s="899"/>
      <c r="AN656" s="899"/>
      <c r="AO656" s="899"/>
    </row>
    <row r="657">
      <c r="G657" s="899"/>
      <c r="H657" s="899"/>
      <c r="I657" s="899"/>
      <c r="J657" s="899"/>
      <c r="K657" s="899"/>
      <c r="L657" s="899"/>
      <c r="M657" s="899"/>
      <c r="N657" s="899"/>
      <c r="O657" s="899"/>
      <c r="P657" s="899"/>
      <c r="Q657" s="899"/>
      <c r="R657" s="899"/>
      <c r="S657" s="899"/>
      <c r="T657" s="899"/>
      <c r="U657" s="899"/>
      <c r="V657" s="899"/>
      <c r="W657" s="899"/>
      <c r="X657" s="899"/>
      <c r="Y657" s="899"/>
      <c r="Z657" s="899"/>
      <c r="AA657" s="899"/>
      <c r="AB657" s="899"/>
      <c r="AC657" s="899"/>
      <c r="AD657" s="899"/>
      <c r="AE657" s="899"/>
      <c r="AF657" s="899"/>
      <c r="AG657" s="899"/>
      <c r="AH657" s="899"/>
      <c r="AI657" s="899"/>
      <c r="AJ657" s="899"/>
      <c r="AK657" s="899"/>
      <c r="AL657" s="899"/>
      <c r="AM657" s="899"/>
      <c r="AN657" s="899"/>
      <c r="AO657" s="899"/>
    </row>
    <row r="658">
      <c r="G658" s="899"/>
      <c r="H658" s="899"/>
      <c r="I658" s="899"/>
      <c r="J658" s="899"/>
      <c r="K658" s="899"/>
      <c r="L658" s="899"/>
      <c r="M658" s="899"/>
      <c r="N658" s="899"/>
      <c r="O658" s="899"/>
      <c r="P658" s="899"/>
      <c r="Q658" s="899"/>
      <c r="R658" s="899"/>
      <c r="S658" s="899"/>
      <c r="T658" s="899"/>
      <c r="U658" s="899"/>
      <c r="V658" s="899"/>
      <c r="W658" s="899"/>
      <c r="X658" s="899"/>
      <c r="Y658" s="899"/>
      <c r="Z658" s="899"/>
      <c r="AA658" s="899"/>
      <c r="AB658" s="899"/>
      <c r="AC658" s="899"/>
      <c r="AD658" s="899"/>
      <c r="AE658" s="899"/>
      <c r="AF658" s="899"/>
      <c r="AG658" s="899"/>
      <c r="AH658" s="899"/>
      <c r="AI658" s="899"/>
      <c r="AJ658" s="899"/>
      <c r="AK658" s="899"/>
      <c r="AL658" s="899"/>
      <c r="AM658" s="899"/>
      <c r="AN658" s="899"/>
      <c r="AO658" s="899"/>
    </row>
    <row r="659">
      <c r="G659" s="899"/>
      <c r="H659" s="899"/>
      <c r="I659" s="899"/>
      <c r="J659" s="899"/>
      <c r="K659" s="899"/>
      <c r="L659" s="899"/>
      <c r="M659" s="899"/>
      <c r="N659" s="899"/>
      <c r="O659" s="899"/>
      <c r="P659" s="899"/>
      <c r="Q659" s="899"/>
      <c r="R659" s="899"/>
      <c r="S659" s="899"/>
      <c r="T659" s="899"/>
      <c r="U659" s="899"/>
      <c r="V659" s="899"/>
      <c r="W659" s="899"/>
      <c r="X659" s="899"/>
      <c r="Y659" s="899"/>
      <c r="Z659" s="899"/>
      <c r="AA659" s="899"/>
      <c r="AB659" s="899"/>
      <c r="AC659" s="899"/>
      <c r="AD659" s="899"/>
      <c r="AE659" s="899"/>
      <c r="AF659" s="899"/>
      <c r="AG659" s="899"/>
      <c r="AH659" s="899"/>
      <c r="AI659" s="899"/>
      <c r="AJ659" s="899"/>
      <c r="AK659" s="899"/>
      <c r="AL659" s="899"/>
      <c r="AM659" s="899"/>
      <c r="AN659" s="899"/>
      <c r="AO659" s="899"/>
    </row>
    <row r="660">
      <c r="G660" s="899"/>
      <c r="H660" s="899"/>
      <c r="I660" s="899"/>
      <c r="J660" s="899"/>
      <c r="K660" s="899"/>
      <c r="L660" s="899"/>
      <c r="M660" s="899"/>
      <c r="N660" s="899"/>
      <c r="O660" s="899"/>
      <c r="P660" s="899"/>
      <c r="Q660" s="899"/>
      <c r="R660" s="899"/>
      <c r="S660" s="899"/>
      <c r="T660" s="899"/>
      <c r="U660" s="899"/>
      <c r="V660" s="899"/>
      <c r="W660" s="899"/>
      <c r="X660" s="899"/>
      <c r="Y660" s="899"/>
      <c r="Z660" s="899"/>
      <c r="AA660" s="899"/>
      <c r="AB660" s="899"/>
      <c r="AC660" s="899"/>
      <c r="AD660" s="899"/>
      <c r="AE660" s="899"/>
      <c r="AF660" s="899"/>
      <c r="AG660" s="899"/>
      <c r="AH660" s="899"/>
      <c r="AI660" s="899"/>
      <c r="AJ660" s="899"/>
      <c r="AK660" s="899"/>
      <c r="AL660" s="899"/>
      <c r="AM660" s="899"/>
      <c r="AN660" s="899"/>
      <c r="AO660" s="899"/>
    </row>
    <row r="661">
      <c r="G661" s="899"/>
      <c r="H661" s="899"/>
      <c r="I661" s="899"/>
      <c r="J661" s="899"/>
      <c r="K661" s="899"/>
      <c r="L661" s="899"/>
      <c r="M661" s="899"/>
      <c r="N661" s="899"/>
      <c r="O661" s="899"/>
      <c r="P661" s="899"/>
      <c r="Q661" s="899"/>
      <c r="R661" s="899"/>
      <c r="S661" s="899"/>
      <c r="T661" s="899"/>
      <c r="U661" s="899"/>
      <c r="V661" s="899"/>
      <c r="W661" s="899"/>
      <c r="X661" s="899"/>
      <c r="Y661" s="899"/>
      <c r="Z661" s="899"/>
      <c r="AA661" s="899"/>
      <c r="AB661" s="899"/>
      <c r="AC661" s="899"/>
      <c r="AD661" s="899"/>
      <c r="AE661" s="899"/>
      <c r="AF661" s="899"/>
      <c r="AG661" s="899"/>
      <c r="AH661" s="899"/>
      <c r="AI661" s="899"/>
      <c r="AJ661" s="899"/>
      <c r="AK661" s="899"/>
      <c r="AL661" s="899"/>
      <c r="AM661" s="899"/>
      <c r="AN661" s="899"/>
      <c r="AO661" s="899"/>
    </row>
    <row r="662">
      <c r="G662" s="899"/>
      <c r="H662" s="899"/>
      <c r="I662" s="899"/>
      <c r="J662" s="899"/>
      <c r="K662" s="899"/>
      <c r="L662" s="899"/>
      <c r="M662" s="899"/>
      <c r="N662" s="899"/>
      <c r="O662" s="899"/>
      <c r="P662" s="899"/>
      <c r="Q662" s="899"/>
      <c r="R662" s="899"/>
      <c r="S662" s="899"/>
      <c r="T662" s="899"/>
      <c r="U662" s="899"/>
      <c r="V662" s="899"/>
      <c r="W662" s="899"/>
      <c r="X662" s="899"/>
      <c r="Y662" s="899"/>
      <c r="Z662" s="899"/>
      <c r="AA662" s="899"/>
      <c r="AB662" s="899"/>
      <c r="AC662" s="899"/>
      <c r="AD662" s="899"/>
      <c r="AE662" s="899"/>
      <c r="AF662" s="899"/>
      <c r="AG662" s="899"/>
      <c r="AH662" s="899"/>
      <c r="AI662" s="899"/>
      <c r="AJ662" s="899"/>
      <c r="AK662" s="899"/>
      <c r="AL662" s="899"/>
      <c r="AM662" s="899"/>
      <c r="AN662" s="899"/>
      <c r="AO662" s="899"/>
    </row>
    <row r="663">
      <c r="G663" s="899"/>
      <c r="H663" s="899"/>
      <c r="I663" s="899"/>
      <c r="J663" s="899"/>
      <c r="K663" s="899"/>
      <c r="L663" s="899"/>
      <c r="M663" s="899"/>
      <c r="N663" s="899"/>
      <c r="O663" s="899"/>
      <c r="P663" s="899"/>
      <c r="Q663" s="899"/>
      <c r="R663" s="899"/>
      <c r="S663" s="899"/>
      <c r="T663" s="899"/>
      <c r="U663" s="899"/>
      <c r="V663" s="899"/>
      <c r="W663" s="899"/>
      <c r="X663" s="899"/>
      <c r="Y663" s="899"/>
      <c r="Z663" s="899"/>
      <c r="AA663" s="899"/>
      <c r="AB663" s="899"/>
      <c r="AC663" s="899"/>
      <c r="AD663" s="899"/>
      <c r="AE663" s="899"/>
      <c r="AF663" s="899"/>
      <c r="AG663" s="899"/>
      <c r="AH663" s="899"/>
      <c r="AI663" s="899"/>
      <c r="AJ663" s="899"/>
      <c r="AK663" s="899"/>
      <c r="AL663" s="899"/>
      <c r="AM663" s="899"/>
      <c r="AN663" s="899"/>
      <c r="AO663" s="899"/>
    </row>
    <row r="664">
      <c r="G664" s="899"/>
      <c r="H664" s="899"/>
      <c r="I664" s="899"/>
      <c r="J664" s="899"/>
      <c r="K664" s="899"/>
      <c r="L664" s="899"/>
      <c r="M664" s="899"/>
      <c r="N664" s="899"/>
      <c r="O664" s="899"/>
      <c r="P664" s="899"/>
      <c r="Q664" s="899"/>
      <c r="R664" s="899"/>
      <c r="S664" s="899"/>
      <c r="T664" s="899"/>
      <c r="U664" s="899"/>
      <c r="V664" s="899"/>
      <c r="W664" s="899"/>
      <c r="X664" s="899"/>
      <c r="Y664" s="899"/>
      <c r="Z664" s="899"/>
      <c r="AA664" s="899"/>
      <c r="AB664" s="899"/>
      <c r="AC664" s="899"/>
      <c r="AD664" s="899"/>
      <c r="AE664" s="899"/>
      <c r="AF664" s="899"/>
      <c r="AG664" s="899"/>
      <c r="AH664" s="899"/>
      <c r="AI664" s="899"/>
      <c r="AJ664" s="899"/>
      <c r="AK664" s="899"/>
      <c r="AL664" s="899"/>
      <c r="AM664" s="899"/>
      <c r="AN664" s="899"/>
      <c r="AO664" s="899"/>
    </row>
    <row r="665">
      <c r="G665" s="899"/>
      <c r="H665" s="899"/>
      <c r="I665" s="899"/>
      <c r="J665" s="899"/>
      <c r="K665" s="899"/>
      <c r="L665" s="899"/>
      <c r="M665" s="899"/>
      <c r="N665" s="899"/>
      <c r="O665" s="899"/>
      <c r="P665" s="899"/>
      <c r="Q665" s="899"/>
      <c r="R665" s="899"/>
      <c r="S665" s="899"/>
      <c r="T665" s="899"/>
      <c r="U665" s="899"/>
      <c r="V665" s="899"/>
      <c r="W665" s="899"/>
      <c r="X665" s="899"/>
      <c r="Y665" s="899"/>
      <c r="Z665" s="899"/>
      <c r="AA665" s="899"/>
      <c r="AB665" s="899"/>
      <c r="AC665" s="899"/>
      <c r="AD665" s="899"/>
      <c r="AE665" s="899"/>
      <c r="AF665" s="899"/>
      <c r="AG665" s="899"/>
      <c r="AH665" s="899"/>
      <c r="AI665" s="899"/>
      <c r="AJ665" s="899"/>
      <c r="AK665" s="899"/>
      <c r="AL665" s="899"/>
      <c r="AM665" s="899"/>
      <c r="AN665" s="899"/>
      <c r="AO665" s="899"/>
    </row>
    <row r="666">
      <c r="G666" s="899"/>
      <c r="H666" s="899"/>
      <c r="I666" s="899"/>
      <c r="J666" s="899"/>
      <c r="K666" s="899"/>
      <c r="L666" s="899"/>
      <c r="M666" s="899"/>
      <c r="N666" s="899"/>
      <c r="O666" s="899"/>
      <c r="P666" s="899"/>
      <c r="Q666" s="899"/>
      <c r="R666" s="899"/>
      <c r="S666" s="899"/>
      <c r="T666" s="899"/>
      <c r="U666" s="899"/>
      <c r="V666" s="899"/>
      <c r="W666" s="899"/>
      <c r="X666" s="899"/>
      <c r="Y666" s="899"/>
      <c r="Z666" s="899"/>
      <c r="AA666" s="899"/>
      <c r="AB666" s="899"/>
      <c r="AC666" s="899"/>
      <c r="AD666" s="899"/>
      <c r="AE666" s="899"/>
      <c r="AF666" s="899"/>
      <c r="AG666" s="899"/>
      <c r="AH666" s="899"/>
      <c r="AI666" s="899"/>
      <c r="AJ666" s="899"/>
      <c r="AK666" s="899"/>
      <c r="AL666" s="899"/>
      <c r="AM666" s="899"/>
      <c r="AN666" s="899"/>
      <c r="AO666" s="899"/>
    </row>
    <row r="667">
      <c r="G667" s="899"/>
      <c r="H667" s="899"/>
      <c r="I667" s="899"/>
      <c r="J667" s="899"/>
      <c r="K667" s="899"/>
      <c r="L667" s="899"/>
      <c r="M667" s="899"/>
      <c r="N667" s="899"/>
      <c r="O667" s="899"/>
      <c r="P667" s="899"/>
      <c r="Q667" s="899"/>
      <c r="R667" s="899"/>
      <c r="S667" s="899"/>
      <c r="T667" s="899"/>
      <c r="U667" s="899"/>
      <c r="V667" s="899"/>
      <c r="W667" s="899"/>
      <c r="X667" s="899"/>
      <c r="Y667" s="899"/>
      <c r="Z667" s="899"/>
      <c r="AA667" s="899"/>
      <c r="AB667" s="899"/>
      <c r="AC667" s="899"/>
      <c r="AD667" s="899"/>
      <c r="AE667" s="899"/>
      <c r="AF667" s="899"/>
      <c r="AG667" s="899"/>
      <c r="AH667" s="899"/>
      <c r="AI667" s="899"/>
      <c r="AJ667" s="899"/>
      <c r="AK667" s="899"/>
      <c r="AL667" s="899"/>
      <c r="AM667" s="899"/>
      <c r="AN667" s="899"/>
      <c r="AO667" s="899"/>
    </row>
    <row r="668">
      <c r="G668" s="899"/>
      <c r="H668" s="899"/>
      <c r="I668" s="899"/>
      <c r="J668" s="899"/>
      <c r="K668" s="899"/>
      <c r="L668" s="899"/>
      <c r="M668" s="899"/>
      <c r="N668" s="899"/>
      <c r="O668" s="899"/>
      <c r="P668" s="899"/>
      <c r="Q668" s="899"/>
      <c r="R668" s="899"/>
      <c r="S668" s="899"/>
      <c r="T668" s="899"/>
      <c r="U668" s="899"/>
      <c r="V668" s="899"/>
      <c r="W668" s="899"/>
      <c r="X668" s="899"/>
      <c r="Y668" s="899"/>
      <c r="Z668" s="899"/>
      <c r="AA668" s="899"/>
      <c r="AB668" s="899"/>
      <c r="AC668" s="899"/>
      <c r="AD668" s="899"/>
      <c r="AE668" s="899"/>
      <c r="AF668" s="899"/>
      <c r="AG668" s="899"/>
      <c r="AH668" s="899"/>
      <c r="AI668" s="899"/>
      <c r="AJ668" s="899"/>
      <c r="AK668" s="899"/>
      <c r="AL668" s="899"/>
      <c r="AM668" s="899"/>
      <c r="AN668" s="899"/>
      <c r="AO668" s="899"/>
    </row>
    <row r="669">
      <c r="G669" s="899"/>
      <c r="H669" s="899"/>
      <c r="I669" s="899"/>
      <c r="J669" s="899"/>
      <c r="K669" s="899"/>
      <c r="L669" s="899"/>
      <c r="M669" s="899"/>
      <c r="N669" s="899"/>
      <c r="O669" s="899"/>
      <c r="P669" s="899"/>
      <c r="Q669" s="899"/>
      <c r="R669" s="899"/>
      <c r="S669" s="899"/>
      <c r="T669" s="899"/>
      <c r="U669" s="899"/>
      <c r="V669" s="899"/>
      <c r="W669" s="899"/>
      <c r="X669" s="899"/>
      <c r="Y669" s="899"/>
      <c r="Z669" s="899"/>
      <c r="AA669" s="899"/>
      <c r="AB669" s="899"/>
      <c r="AC669" s="899"/>
      <c r="AD669" s="899"/>
      <c r="AE669" s="899"/>
      <c r="AF669" s="899"/>
      <c r="AG669" s="899"/>
      <c r="AH669" s="899"/>
      <c r="AI669" s="899"/>
      <c r="AJ669" s="899"/>
      <c r="AK669" s="899"/>
      <c r="AL669" s="899"/>
      <c r="AM669" s="899"/>
      <c r="AN669" s="899"/>
      <c r="AO669" s="899"/>
    </row>
    <row r="670">
      <c r="G670" s="899"/>
      <c r="H670" s="899"/>
      <c r="I670" s="899"/>
      <c r="J670" s="899"/>
      <c r="K670" s="899"/>
      <c r="L670" s="899"/>
      <c r="M670" s="899"/>
      <c r="N670" s="899"/>
      <c r="O670" s="899"/>
      <c r="P670" s="899"/>
      <c r="Q670" s="899"/>
      <c r="R670" s="899"/>
      <c r="S670" s="899"/>
      <c r="T670" s="899"/>
      <c r="U670" s="899"/>
      <c r="V670" s="899"/>
      <c r="W670" s="899"/>
      <c r="X670" s="899"/>
      <c r="Y670" s="899"/>
      <c r="Z670" s="899"/>
      <c r="AA670" s="899"/>
      <c r="AB670" s="899"/>
      <c r="AC670" s="899"/>
      <c r="AD670" s="899"/>
      <c r="AE670" s="899"/>
      <c r="AF670" s="899"/>
      <c r="AG670" s="899"/>
      <c r="AH670" s="899"/>
      <c r="AI670" s="899"/>
      <c r="AJ670" s="899"/>
      <c r="AK670" s="899"/>
      <c r="AL670" s="899"/>
      <c r="AM670" s="899"/>
      <c r="AN670" s="899"/>
      <c r="AO670" s="899"/>
    </row>
    <row r="671">
      <c r="G671" s="899"/>
      <c r="H671" s="899"/>
      <c r="I671" s="899"/>
      <c r="J671" s="899"/>
      <c r="K671" s="899"/>
      <c r="L671" s="899"/>
      <c r="M671" s="899"/>
      <c r="N671" s="899"/>
      <c r="O671" s="899"/>
      <c r="P671" s="899"/>
      <c r="Q671" s="899"/>
      <c r="R671" s="899"/>
      <c r="S671" s="899"/>
      <c r="T671" s="899"/>
      <c r="U671" s="899"/>
      <c r="V671" s="899"/>
      <c r="W671" s="899"/>
      <c r="X671" s="899"/>
      <c r="Y671" s="899"/>
      <c r="Z671" s="899"/>
      <c r="AA671" s="899"/>
      <c r="AB671" s="899"/>
      <c r="AC671" s="899"/>
      <c r="AD671" s="899"/>
      <c r="AE671" s="899"/>
      <c r="AF671" s="899"/>
      <c r="AG671" s="899"/>
      <c r="AH671" s="899"/>
      <c r="AI671" s="899"/>
      <c r="AJ671" s="899"/>
      <c r="AK671" s="899"/>
      <c r="AL671" s="899"/>
      <c r="AM671" s="899"/>
      <c r="AN671" s="899"/>
      <c r="AO671" s="899"/>
    </row>
    <row r="672">
      <c r="G672" s="899"/>
      <c r="H672" s="899"/>
      <c r="I672" s="899"/>
      <c r="J672" s="899"/>
      <c r="K672" s="899"/>
      <c r="L672" s="899"/>
      <c r="M672" s="899"/>
      <c r="N672" s="899"/>
      <c r="O672" s="899"/>
      <c r="P672" s="899"/>
      <c r="Q672" s="899"/>
      <c r="R672" s="899"/>
      <c r="S672" s="899"/>
      <c r="T672" s="899"/>
      <c r="U672" s="899"/>
      <c r="V672" s="899"/>
      <c r="W672" s="899"/>
      <c r="X672" s="899"/>
      <c r="Y672" s="899"/>
      <c r="Z672" s="899"/>
      <c r="AA672" s="899"/>
      <c r="AB672" s="899"/>
      <c r="AC672" s="899"/>
      <c r="AD672" s="899"/>
      <c r="AE672" s="899"/>
      <c r="AF672" s="899"/>
      <c r="AG672" s="899"/>
      <c r="AH672" s="899"/>
      <c r="AI672" s="899"/>
      <c r="AJ672" s="899"/>
      <c r="AK672" s="899"/>
      <c r="AL672" s="899"/>
      <c r="AM672" s="899"/>
      <c r="AN672" s="899"/>
      <c r="AO672" s="899"/>
    </row>
    <row r="673">
      <c r="G673" s="899"/>
      <c r="H673" s="899"/>
      <c r="I673" s="899"/>
      <c r="J673" s="899"/>
      <c r="K673" s="899"/>
      <c r="L673" s="899"/>
      <c r="M673" s="899"/>
      <c r="N673" s="899"/>
      <c r="O673" s="899"/>
      <c r="P673" s="899"/>
      <c r="Q673" s="899"/>
      <c r="R673" s="899"/>
      <c r="S673" s="899"/>
      <c r="T673" s="899"/>
      <c r="U673" s="899"/>
      <c r="V673" s="899"/>
      <c r="W673" s="899"/>
      <c r="X673" s="899"/>
      <c r="Y673" s="899"/>
      <c r="Z673" s="899"/>
      <c r="AA673" s="899"/>
      <c r="AB673" s="899"/>
      <c r="AC673" s="899"/>
      <c r="AD673" s="899"/>
      <c r="AE673" s="899"/>
      <c r="AF673" s="899"/>
      <c r="AG673" s="899"/>
      <c r="AH673" s="899"/>
      <c r="AI673" s="899"/>
      <c r="AJ673" s="899"/>
      <c r="AK673" s="899"/>
      <c r="AL673" s="899"/>
      <c r="AM673" s="899"/>
      <c r="AN673" s="899"/>
      <c r="AO673" s="899"/>
    </row>
    <row r="674">
      <c r="G674" s="899"/>
      <c r="H674" s="899"/>
      <c r="I674" s="899"/>
      <c r="J674" s="899"/>
      <c r="K674" s="899"/>
      <c r="L674" s="899"/>
      <c r="M674" s="899"/>
      <c r="N674" s="899"/>
      <c r="O674" s="899"/>
      <c r="P674" s="899"/>
      <c r="Q674" s="899"/>
      <c r="R674" s="899"/>
      <c r="S674" s="899"/>
      <c r="T674" s="899"/>
      <c r="U674" s="899"/>
      <c r="V674" s="899"/>
      <c r="W674" s="899"/>
      <c r="X674" s="899"/>
      <c r="Y674" s="899"/>
      <c r="Z674" s="899"/>
      <c r="AA674" s="899"/>
      <c r="AB674" s="899"/>
      <c r="AC674" s="899"/>
      <c r="AD674" s="899"/>
      <c r="AE674" s="899"/>
      <c r="AF674" s="899"/>
      <c r="AG674" s="899"/>
      <c r="AH674" s="899"/>
      <c r="AI674" s="899"/>
      <c r="AJ674" s="899"/>
      <c r="AK674" s="899"/>
      <c r="AL674" s="899"/>
      <c r="AM674" s="899"/>
      <c r="AN674" s="899"/>
      <c r="AO674" s="899"/>
    </row>
    <row r="675">
      <c r="G675" s="899"/>
      <c r="H675" s="899"/>
      <c r="I675" s="899"/>
      <c r="J675" s="899"/>
      <c r="K675" s="899"/>
      <c r="L675" s="899"/>
      <c r="M675" s="899"/>
      <c r="N675" s="899"/>
      <c r="O675" s="899"/>
      <c r="P675" s="899"/>
      <c r="Q675" s="899"/>
      <c r="R675" s="899"/>
      <c r="S675" s="899"/>
      <c r="T675" s="899"/>
      <c r="U675" s="899"/>
      <c r="V675" s="899"/>
      <c r="W675" s="899"/>
      <c r="X675" s="899"/>
      <c r="Y675" s="899"/>
      <c r="Z675" s="899"/>
      <c r="AA675" s="899"/>
      <c r="AB675" s="899"/>
      <c r="AC675" s="899"/>
      <c r="AD675" s="899"/>
      <c r="AE675" s="899"/>
      <c r="AF675" s="899"/>
      <c r="AG675" s="899"/>
      <c r="AH675" s="899"/>
      <c r="AI675" s="899"/>
      <c r="AJ675" s="899"/>
      <c r="AK675" s="899"/>
      <c r="AL675" s="899"/>
      <c r="AM675" s="899"/>
      <c r="AN675" s="899"/>
      <c r="AO675" s="899"/>
    </row>
    <row r="676">
      <c r="G676" s="899"/>
      <c r="H676" s="899"/>
      <c r="I676" s="899"/>
      <c r="J676" s="899"/>
      <c r="K676" s="899"/>
      <c r="L676" s="899"/>
      <c r="M676" s="899"/>
      <c r="N676" s="899"/>
      <c r="O676" s="899"/>
      <c r="P676" s="899"/>
      <c r="Q676" s="899"/>
      <c r="R676" s="899"/>
      <c r="S676" s="899"/>
      <c r="T676" s="899"/>
      <c r="U676" s="899"/>
      <c r="V676" s="899"/>
      <c r="W676" s="899"/>
      <c r="X676" s="899"/>
      <c r="Y676" s="899"/>
      <c r="Z676" s="899"/>
      <c r="AA676" s="899"/>
      <c r="AB676" s="899"/>
      <c r="AC676" s="899"/>
      <c r="AD676" s="899"/>
      <c r="AE676" s="899"/>
      <c r="AF676" s="899"/>
      <c r="AG676" s="899"/>
      <c r="AH676" s="899"/>
      <c r="AI676" s="899"/>
      <c r="AJ676" s="899"/>
      <c r="AK676" s="899"/>
      <c r="AL676" s="899"/>
      <c r="AM676" s="899"/>
      <c r="AN676" s="899"/>
      <c r="AO676" s="899"/>
    </row>
    <row r="677">
      <c r="G677" s="899"/>
      <c r="H677" s="899"/>
      <c r="I677" s="899"/>
      <c r="J677" s="899"/>
      <c r="K677" s="899"/>
      <c r="L677" s="899"/>
      <c r="M677" s="899"/>
      <c r="N677" s="899"/>
      <c r="O677" s="899"/>
      <c r="P677" s="899"/>
      <c r="Q677" s="899"/>
      <c r="R677" s="899"/>
      <c r="S677" s="899"/>
      <c r="T677" s="899"/>
      <c r="U677" s="899"/>
      <c r="V677" s="899"/>
      <c r="W677" s="899"/>
      <c r="X677" s="899"/>
      <c r="Y677" s="899"/>
      <c r="Z677" s="899"/>
      <c r="AA677" s="899"/>
      <c r="AB677" s="899"/>
      <c r="AC677" s="899"/>
      <c r="AD677" s="899"/>
      <c r="AE677" s="899"/>
      <c r="AF677" s="899"/>
      <c r="AG677" s="899"/>
      <c r="AH677" s="899"/>
      <c r="AI677" s="899"/>
      <c r="AJ677" s="899"/>
      <c r="AK677" s="899"/>
      <c r="AL677" s="899"/>
      <c r="AM677" s="899"/>
      <c r="AN677" s="899"/>
      <c r="AO677" s="899"/>
    </row>
    <row r="678">
      <c r="G678" s="899"/>
      <c r="H678" s="899"/>
      <c r="I678" s="899"/>
      <c r="J678" s="899"/>
      <c r="K678" s="899"/>
      <c r="L678" s="899"/>
      <c r="M678" s="899"/>
      <c r="N678" s="899"/>
      <c r="O678" s="899"/>
      <c r="P678" s="899"/>
      <c r="Q678" s="899"/>
      <c r="R678" s="899"/>
      <c r="S678" s="899"/>
      <c r="T678" s="899"/>
      <c r="U678" s="899"/>
      <c r="V678" s="899"/>
      <c r="W678" s="899"/>
      <c r="X678" s="899"/>
      <c r="Y678" s="899"/>
      <c r="Z678" s="899"/>
      <c r="AA678" s="899"/>
      <c r="AB678" s="899"/>
      <c r="AC678" s="899"/>
      <c r="AD678" s="899"/>
      <c r="AE678" s="899"/>
      <c r="AF678" s="899"/>
      <c r="AG678" s="899"/>
      <c r="AH678" s="899"/>
      <c r="AI678" s="899"/>
      <c r="AJ678" s="899"/>
      <c r="AK678" s="899"/>
      <c r="AL678" s="899"/>
      <c r="AM678" s="899"/>
      <c r="AN678" s="899"/>
      <c r="AO678" s="899"/>
    </row>
    <row r="679">
      <c r="G679" s="899"/>
      <c r="H679" s="899"/>
      <c r="I679" s="899"/>
      <c r="J679" s="899"/>
      <c r="K679" s="899"/>
      <c r="L679" s="899"/>
      <c r="M679" s="899"/>
      <c r="N679" s="899"/>
      <c r="O679" s="899"/>
      <c r="P679" s="899"/>
      <c r="Q679" s="899"/>
      <c r="R679" s="899"/>
      <c r="S679" s="899"/>
      <c r="T679" s="899"/>
      <c r="U679" s="899"/>
      <c r="V679" s="899"/>
      <c r="W679" s="899"/>
      <c r="X679" s="899"/>
      <c r="Y679" s="899"/>
      <c r="Z679" s="899"/>
      <c r="AA679" s="899"/>
      <c r="AB679" s="899"/>
      <c r="AC679" s="899"/>
      <c r="AD679" s="899"/>
      <c r="AE679" s="899"/>
      <c r="AF679" s="899"/>
      <c r="AG679" s="899"/>
      <c r="AH679" s="899"/>
      <c r="AI679" s="899"/>
      <c r="AJ679" s="899"/>
      <c r="AK679" s="899"/>
      <c r="AL679" s="899"/>
      <c r="AM679" s="899"/>
      <c r="AN679" s="899"/>
      <c r="AO679" s="899"/>
    </row>
    <row r="680">
      <c r="G680" s="899"/>
      <c r="H680" s="899"/>
      <c r="I680" s="899"/>
      <c r="J680" s="899"/>
      <c r="K680" s="899"/>
      <c r="L680" s="899"/>
      <c r="M680" s="899"/>
      <c r="N680" s="899"/>
      <c r="O680" s="899"/>
      <c r="P680" s="899"/>
      <c r="Q680" s="899"/>
      <c r="R680" s="899"/>
      <c r="S680" s="899"/>
      <c r="T680" s="899"/>
      <c r="U680" s="899"/>
      <c r="V680" s="899"/>
      <c r="W680" s="899"/>
      <c r="X680" s="899"/>
      <c r="Y680" s="899"/>
      <c r="Z680" s="899"/>
      <c r="AA680" s="899"/>
      <c r="AB680" s="899"/>
      <c r="AC680" s="899"/>
      <c r="AD680" s="899"/>
      <c r="AE680" s="899"/>
      <c r="AF680" s="899"/>
      <c r="AG680" s="899"/>
      <c r="AH680" s="899"/>
      <c r="AI680" s="899"/>
      <c r="AJ680" s="899"/>
      <c r="AK680" s="899"/>
      <c r="AL680" s="899"/>
      <c r="AM680" s="899"/>
      <c r="AN680" s="899"/>
      <c r="AO680" s="899"/>
    </row>
    <row r="681">
      <c r="G681" s="899"/>
      <c r="H681" s="899"/>
      <c r="I681" s="899"/>
      <c r="J681" s="899"/>
      <c r="K681" s="899"/>
      <c r="L681" s="899"/>
      <c r="M681" s="899"/>
      <c r="N681" s="899"/>
      <c r="O681" s="899"/>
      <c r="P681" s="899"/>
      <c r="Q681" s="899"/>
      <c r="R681" s="899"/>
      <c r="S681" s="899"/>
      <c r="T681" s="899"/>
      <c r="U681" s="899"/>
      <c r="V681" s="899"/>
      <c r="W681" s="899"/>
      <c r="X681" s="899"/>
      <c r="Y681" s="899"/>
      <c r="Z681" s="899"/>
      <c r="AA681" s="899"/>
      <c r="AB681" s="899"/>
      <c r="AC681" s="899"/>
      <c r="AD681" s="899"/>
      <c r="AE681" s="899"/>
      <c r="AF681" s="899"/>
      <c r="AG681" s="899"/>
      <c r="AH681" s="899"/>
      <c r="AI681" s="899"/>
      <c r="AJ681" s="899"/>
      <c r="AK681" s="899"/>
      <c r="AL681" s="899"/>
      <c r="AM681" s="899"/>
      <c r="AN681" s="899"/>
      <c r="AO681" s="899"/>
    </row>
    <row r="682">
      <c r="G682" s="899"/>
      <c r="H682" s="899"/>
      <c r="I682" s="899"/>
      <c r="J682" s="899"/>
      <c r="K682" s="899"/>
      <c r="L682" s="899"/>
      <c r="M682" s="899"/>
      <c r="N682" s="899"/>
      <c r="O682" s="899"/>
      <c r="P682" s="899"/>
      <c r="Q682" s="899"/>
      <c r="R682" s="899"/>
      <c r="S682" s="899"/>
      <c r="T682" s="899"/>
      <c r="U682" s="899"/>
      <c r="V682" s="899"/>
      <c r="W682" s="899"/>
      <c r="X682" s="899"/>
      <c r="Y682" s="899"/>
      <c r="Z682" s="899"/>
      <c r="AA682" s="899"/>
      <c r="AB682" s="899"/>
      <c r="AC682" s="899"/>
      <c r="AD682" s="899"/>
      <c r="AE682" s="899"/>
      <c r="AF682" s="899"/>
      <c r="AG682" s="899"/>
      <c r="AH682" s="899"/>
      <c r="AI682" s="899"/>
      <c r="AJ682" s="899"/>
      <c r="AK682" s="899"/>
      <c r="AL682" s="899"/>
      <c r="AM682" s="899"/>
      <c r="AN682" s="899"/>
      <c r="AO682" s="899"/>
    </row>
    <row r="683">
      <c r="G683" s="899"/>
      <c r="H683" s="899"/>
      <c r="I683" s="899"/>
      <c r="J683" s="899"/>
      <c r="K683" s="899"/>
      <c r="L683" s="899"/>
      <c r="M683" s="899"/>
      <c r="N683" s="899"/>
      <c r="O683" s="899"/>
      <c r="P683" s="899"/>
      <c r="Q683" s="899"/>
      <c r="R683" s="899"/>
      <c r="S683" s="899"/>
      <c r="T683" s="899"/>
      <c r="U683" s="899"/>
      <c r="V683" s="899"/>
      <c r="W683" s="899"/>
      <c r="X683" s="899"/>
      <c r="Y683" s="899"/>
      <c r="Z683" s="899"/>
      <c r="AA683" s="899"/>
      <c r="AB683" s="899"/>
      <c r="AC683" s="899"/>
      <c r="AD683" s="899"/>
      <c r="AE683" s="899"/>
      <c r="AF683" s="899"/>
      <c r="AG683" s="899"/>
      <c r="AH683" s="899"/>
      <c r="AI683" s="899"/>
      <c r="AJ683" s="899"/>
      <c r="AK683" s="899"/>
      <c r="AL683" s="899"/>
      <c r="AM683" s="899"/>
      <c r="AN683" s="899"/>
      <c r="AO683" s="899"/>
    </row>
    <row r="684">
      <c r="G684" s="899"/>
      <c r="H684" s="899"/>
      <c r="I684" s="899"/>
      <c r="J684" s="899"/>
      <c r="K684" s="899"/>
      <c r="L684" s="899"/>
      <c r="M684" s="899"/>
      <c r="N684" s="899"/>
      <c r="O684" s="899"/>
      <c r="P684" s="899"/>
      <c r="Q684" s="899"/>
      <c r="R684" s="899"/>
      <c r="S684" s="899"/>
      <c r="T684" s="899"/>
      <c r="U684" s="899"/>
      <c r="V684" s="899"/>
      <c r="W684" s="899"/>
      <c r="X684" s="899"/>
      <c r="Y684" s="899"/>
      <c r="Z684" s="899"/>
      <c r="AA684" s="899"/>
      <c r="AB684" s="899"/>
      <c r="AC684" s="899"/>
      <c r="AD684" s="899"/>
      <c r="AE684" s="899"/>
      <c r="AF684" s="899"/>
      <c r="AG684" s="899"/>
      <c r="AH684" s="899"/>
      <c r="AI684" s="899"/>
      <c r="AJ684" s="899"/>
      <c r="AK684" s="899"/>
      <c r="AL684" s="899"/>
      <c r="AM684" s="899"/>
      <c r="AN684" s="899"/>
      <c r="AO684" s="899"/>
    </row>
    <row r="685">
      <c r="G685" s="899"/>
      <c r="H685" s="899"/>
      <c r="I685" s="899"/>
      <c r="J685" s="899"/>
      <c r="K685" s="899"/>
      <c r="L685" s="899"/>
      <c r="M685" s="899"/>
      <c r="N685" s="899"/>
      <c r="O685" s="899"/>
      <c r="P685" s="899"/>
      <c r="Q685" s="899"/>
      <c r="R685" s="899"/>
      <c r="S685" s="899"/>
      <c r="T685" s="899"/>
      <c r="U685" s="899"/>
      <c r="V685" s="899"/>
      <c r="W685" s="899"/>
      <c r="X685" s="899"/>
      <c r="Y685" s="899"/>
      <c r="Z685" s="899"/>
      <c r="AA685" s="899"/>
      <c r="AB685" s="899"/>
      <c r="AC685" s="899"/>
      <c r="AD685" s="899"/>
      <c r="AE685" s="899"/>
      <c r="AF685" s="899"/>
      <c r="AG685" s="899"/>
      <c r="AH685" s="899"/>
      <c r="AI685" s="899"/>
      <c r="AJ685" s="899"/>
      <c r="AK685" s="899"/>
      <c r="AL685" s="899"/>
      <c r="AM685" s="899"/>
      <c r="AN685" s="899"/>
      <c r="AO685" s="899"/>
    </row>
    <row r="686">
      <c r="G686" s="899"/>
      <c r="H686" s="899"/>
      <c r="I686" s="899"/>
      <c r="J686" s="899"/>
      <c r="K686" s="899"/>
      <c r="L686" s="899"/>
      <c r="M686" s="899"/>
      <c r="N686" s="899"/>
      <c r="O686" s="899"/>
      <c r="P686" s="899"/>
      <c r="Q686" s="899"/>
      <c r="R686" s="899"/>
      <c r="S686" s="899"/>
      <c r="T686" s="899"/>
      <c r="U686" s="899"/>
      <c r="V686" s="899"/>
      <c r="W686" s="899"/>
      <c r="X686" s="899"/>
      <c r="Y686" s="899"/>
      <c r="Z686" s="899"/>
      <c r="AA686" s="899"/>
      <c r="AB686" s="899"/>
      <c r="AC686" s="899"/>
      <c r="AD686" s="899"/>
      <c r="AE686" s="899"/>
      <c r="AF686" s="899"/>
      <c r="AG686" s="899"/>
      <c r="AH686" s="899"/>
      <c r="AI686" s="899"/>
      <c r="AJ686" s="899"/>
      <c r="AK686" s="899"/>
      <c r="AL686" s="899"/>
      <c r="AM686" s="899"/>
      <c r="AN686" s="899"/>
      <c r="AO686" s="899"/>
    </row>
    <row r="687">
      <c r="G687" s="899"/>
      <c r="H687" s="899"/>
      <c r="I687" s="899"/>
      <c r="J687" s="899"/>
      <c r="K687" s="899"/>
      <c r="L687" s="899"/>
      <c r="M687" s="899"/>
      <c r="N687" s="899"/>
      <c r="O687" s="899"/>
      <c r="P687" s="899"/>
      <c r="Q687" s="899"/>
      <c r="R687" s="899"/>
      <c r="S687" s="899"/>
      <c r="T687" s="899"/>
      <c r="U687" s="899"/>
      <c r="V687" s="899"/>
      <c r="W687" s="899"/>
      <c r="X687" s="899"/>
      <c r="Y687" s="899"/>
      <c r="Z687" s="899"/>
      <c r="AA687" s="899"/>
      <c r="AB687" s="899"/>
      <c r="AC687" s="899"/>
      <c r="AD687" s="899"/>
      <c r="AE687" s="899"/>
      <c r="AF687" s="899"/>
      <c r="AG687" s="899"/>
      <c r="AH687" s="899"/>
      <c r="AI687" s="899"/>
      <c r="AJ687" s="899"/>
      <c r="AK687" s="899"/>
      <c r="AL687" s="899"/>
      <c r="AM687" s="899"/>
      <c r="AN687" s="899"/>
      <c r="AO687" s="899"/>
    </row>
    <row r="688">
      <c r="G688" s="899"/>
      <c r="H688" s="899"/>
      <c r="I688" s="899"/>
      <c r="J688" s="899"/>
      <c r="K688" s="899"/>
      <c r="L688" s="899"/>
      <c r="M688" s="899"/>
      <c r="N688" s="899"/>
      <c r="O688" s="899"/>
      <c r="P688" s="899"/>
      <c r="Q688" s="899"/>
      <c r="R688" s="899"/>
      <c r="S688" s="899"/>
      <c r="T688" s="899"/>
      <c r="U688" s="899"/>
      <c r="V688" s="899"/>
      <c r="W688" s="899"/>
      <c r="X688" s="899"/>
      <c r="Y688" s="899"/>
      <c r="Z688" s="899"/>
      <c r="AA688" s="899"/>
      <c r="AB688" s="899"/>
      <c r="AC688" s="899"/>
      <c r="AD688" s="899"/>
      <c r="AE688" s="899"/>
      <c r="AF688" s="899"/>
      <c r="AG688" s="899"/>
      <c r="AH688" s="899"/>
      <c r="AI688" s="899"/>
      <c r="AJ688" s="899"/>
      <c r="AK688" s="899"/>
      <c r="AL688" s="899"/>
      <c r="AM688" s="899"/>
      <c r="AN688" s="899"/>
      <c r="AO688" s="899"/>
    </row>
    <row r="689">
      <c r="G689" s="899"/>
      <c r="H689" s="899"/>
      <c r="I689" s="899"/>
      <c r="J689" s="899"/>
      <c r="K689" s="899"/>
      <c r="L689" s="899"/>
      <c r="M689" s="899"/>
      <c r="N689" s="899"/>
      <c r="O689" s="899"/>
      <c r="P689" s="899"/>
      <c r="Q689" s="899"/>
      <c r="R689" s="899"/>
      <c r="S689" s="899"/>
      <c r="T689" s="899"/>
      <c r="U689" s="899"/>
      <c r="V689" s="899"/>
      <c r="W689" s="899"/>
      <c r="X689" s="899"/>
      <c r="Y689" s="899"/>
      <c r="Z689" s="899"/>
      <c r="AA689" s="899"/>
      <c r="AB689" s="899"/>
      <c r="AC689" s="899"/>
      <c r="AD689" s="899"/>
      <c r="AE689" s="899"/>
      <c r="AF689" s="899"/>
      <c r="AG689" s="899"/>
      <c r="AH689" s="899"/>
      <c r="AI689" s="899"/>
      <c r="AJ689" s="899"/>
      <c r="AK689" s="899"/>
      <c r="AL689" s="899"/>
      <c r="AM689" s="899"/>
      <c r="AN689" s="899"/>
      <c r="AO689" s="899"/>
    </row>
    <row r="690">
      <c r="G690" s="899"/>
      <c r="H690" s="899"/>
      <c r="I690" s="899"/>
      <c r="J690" s="899"/>
      <c r="K690" s="899"/>
      <c r="L690" s="899"/>
      <c r="M690" s="899"/>
      <c r="N690" s="899"/>
      <c r="O690" s="899"/>
      <c r="P690" s="899"/>
      <c r="Q690" s="899"/>
      <c r="R690" s="899"/>
      <c r="S690" s="899"/>
      <c r="T690" s="899"/>
      <c r="U690" s="899"/>
      <c r="V690" s="899"/>
      <c r="W690" s="899"/>
      <c r="X690" s="899"/>
      <c r="Y690" s="899"/>
      <c r="Z690" s="899"/>
      <c r="AA690" s="899"/>
      <c r="AB690" s="899"/>
      <c r="AC690" s="899"/>
      <c r="AD690" s="899"/>
      <c r="AE690" s="899"/>
      <c r="AF690" s="899"/>
      <c r="AG690" s="899"/>
      <c r="AH690" s="899"/>
      <c r="AI690" s="899"/>
      <c r="AJ690" s="899"/>
      <c r="AK690" s="899"/>
      <c r="AL690" s="899"/>
      <c r="AM690" s="899"/>
      <c r="AN690" s="899"/>
      <c r="AO690" s="899"/>
    </row>
    <row r="691">
      <c r="G691" s="899"/>
      <c r="H691" s="899"/>
      <c r="I691" s="899"/>
      <c r="J691" s="899"/>
      <c r="K691" s="899"/>
      <c r="L691" s="899"/>
      <c r="M691" s="899"/>
      <c r="N691" s="899"/>
      <c r="O691" s="899"/>
      <c r="P691" s="899"/>
      <c r="Q691" s="899"/>
      <c r="R691" s="899"/>
      <c r="S691" s="899"/>
      <c r="T691" s="899"/>
      <c r="U691" s="899"/>
      <c r="V691" s="899"/>
      <c r="W691" s="899"/>
      <c r="X691" s="899"/>
      <c r="Y691" s="899"/>
      <c r="Z691" s="899"/>
      <c r="AA691" s="899"/>
      <c r="AB691" s="899"/>
      <c r="AC691" s="899"/>
      <c r="AD691" s="899"/>
      <c r="AE691" s="899"/>
      <c r="AF691" s="899"/>
      <c r="AG691" s="899"/>
      <c r="AH691" s="899"/>
      <c r="AI691" s="899"/>
      <c r="AJ691" s="899"/>
      <c r="AK691" s="899"/>
      <c r="AL691" s="899"/>
      <c r="AM691" s="899"/>
      <c r="AN691" s="899"/>
      <c r="AO691" s="899"/>
    </row>
    <row r="692">
      <c r="G692" s="899"/>
      <c r="H692" s="899"/>
      <c r="I692" s="899"/>
      <c r="J692" s="899"/>
      <c r="K692" s="899"/>
      <c r="L692" s="899"/>
      <c r="M692" s="899"/>
      <c r="N692" s="899"/>
      <c r="O692" s="899"/>
      <c r="P692" s="899"/>
      <c r="Q692" s="899"/>
      <c r="R692" s="899"/>
      <c r="S692" s="899"/>
      <c r="T692" s="899"/>
      <c r="U692" s="899"/>
      <c r="V692" s="899"/>
      <c r="W692" s="899"/>
      <c r="X692" s="899"/>
      <c r="Y692" s="899"/>
      <c r="Z692" s="899"/>
      <c r="AA692" s="899"/>
      <c r="AB692" s="899"/>
      <c r="AC692" s="899"/>
      <c r="AD692" s="899"/>
      <c r="AE692" s="899"/>
      <c r="AF692" s="899"/>
      <c r="AG692" s="899"/>
      <c r="AH692" s="899"/>
      <c r="AI692" s="899"/>
      <c r="AJ692" s="899"/>
      <c r="AK692" s="899"/>
      <c r="AL692" s="899"/>
      <c r="AM692" s="899"/>
      <c r="AN692" s="899"/>
      <c r="AO692" s="899"/>
    </row>
    <row r="693">
      <c r="G693" s="899"/>
      <c r="H693" s="899"/>
      <c r="I693" s="899"/>
      <c r="J693" s="899"/>
      <c r="K693" s="899"/>
      <c r="L693" s="899"/>
      <c r="M693" s="899"/>
      <c r="N693" s="899"/>
      <c r="O693" s="899"/>
      <c r="P693" s="899"/>
      <c r="Q693" s="899"/>
      <c r="R693" s="899"/>
      <c r="S693" s="899"/>
      <c r="T693" s="899"/>
      <c r="U693" s="899"/>
      <c r="V693" s="899"/>
      <c r="W693" s="899"/>
      <c r="X693" s="899"/>
      <c r="Y693" s="899"/>
      <c r="Z693" s="899"/>
      <c r="AA693" s="899"/>
      <c r="AB693" s="899"/>
      <c r="AC693" s="899"/>
      <c r="AD693" s="899"/>
      <c r="AE693" s="899"/>
      <c r="AF693" s="899"/>
      <c r="AG693" s="899"/>
      <c r="AH693" s="899"/>
      <c r="AI693" s="899"/>
      <c r="AJ693" s="899"/>
      <c r="AK693" s="899"/>
      <c r="AL693" s="899"/>
      <c r="AM693" s="899"/>
      <c r="AN693" s="899"/>
      <c r="AO693" s="899"/>
    </row>
    <row r="694">
      <c r="G694" s="899"/>
      <c r="H694" s="899"/>
      <c r="I694" s="899"/>
      <c r="J694" s="899"/>
      <c r="K694" s="899"/>
      <c r="L694" s="899"/>
      <c r="M694" s="899"/>
      <c r="N694" s="899"/>
      <c r="O694" s="899"/>
      <c r="P694" s="899"/>
      <c r="Q694" s="899"/>
      <c r="R694" s="899"/>
      <c r="S694" s="899"/>
      <c r="T694" s="899"/>
      <c r="U694" s="899"/>
      <c r="V694" s="899"/>
      <c r="W694" s="899"/>
      <c r="X694" s="899"/>
      <c r="Y694" s="899"/>
      <c r="Z694" s="899"/>
      <c r="AA694" s="899"/>
      <c r="AB694" s="899"/>
      <c r="AC694" s="899"/>
      <c r="AD694" s="899"/>
      <c r="AE694" s="899"/>
      <c r="AF694" s="899"/>
      <c r="AG694" s="899"/>
      <c r="AH694" s="899"/>
      <c r="AI694" s="899"/>
      <c r="AJ694" s="899"/>
      <c r="AK694" s="899"/>
      <c r="AL694" s="899"/>
      <c r="AM694" s="899"/>
      <c r="AN694" s="899"/>
      <c r="AO694" s="899"/>
    </row>
    <row r="695">
      <c r="G695" s="899"/>
      <c r="H695" s="899"/>
      <c r="I695" s="899"/>
      <c r="J695" s="899"/>
      <c r="K695" s="899"/>
      <c r="L695" s="899"/>
      <c r="M695" s="899"/>
      <c r="N695" s="899"/>
      <c r="O695" s="899"/>
      <c r="P695" s="899"/>
      <c r="Q695" s="899"/>
      <c r="R695" s="899"/>
      <c r="S695" s="899"/>
      <c r="T695" s="899"/>
      <c r="U695" s="899"/>
      <c r="V695" s="899"/>
      <c r="W695" s="899"/>
      <c r="X695" s="899"/>
      <c r="Y695" s="899"/>
      <c r="Z695" s="899"/>
      <c r="AA695" s="899"/>
      <c r="AB695" s="899"/>
      <c r="AC695" s="899"/>
      <c r="AD695" s="899"/>
      <c r="AE695" s="899"/>
      <c r="AF695" s="899"/>
      <c r="AG695" s="899"/>
      <c r="AH695" s="899"/>
      <c r="AI695" s="899"/>
      <c r="AJ695" s="899"/>
      <c r="AK695" s="899"/>
      <c r="AL695" s="899"/>
      <c r="AM695" s="899"/>
      <c r="AN695" s="899"/>
      <c r="AO695" s="899"/>
    </row>
    <row r="696">
      <c r="G696" s="899"/>
      <c r="H696" s="899"/>
      <c r="I696" s="899"/>
      <c r="J696" s="899"/>
      <c r="K696" s="899"/>
      <c r="L696" s="899"/>
      <c r="M696" s="899"/>
      <c r="N696" s="899"/>
      <c r="O696" s="899"/>
      <c r="P696" s="899"/>
      <c r="Q696" s="899"/>
      <c r="R696" s="899"/>
      <c r="S696" s="899"/>
      <c r="T696" s="899"/>
      <c r="U696" s="899"/>
      <c r="V696" s="899"/>
      <c r="W696" s="899"/>
      <c r="X696" s="899"/>
      <c r="Y696" s="899"/>
      <c r="Z696" s="899"/>
      <c r="AA696" s="899"/>
      <c r="AB696" s="899"/>
      <c r="AC696" s="899"/>
      <c r="AD696" s="899"/>
      <c r="AE696" s="899"/>
      <c r="AF696" s="899"/>
      <c r="AG696" s="899"/>
      <c r="AH696" s="899"/>
      <c r="AI696" s="899"/>
      <c r="AJ696" s="899"/>
      <c r="AK696" s="899"/>
      <c r="AL696" s="899"/>
      <c r="AM696" s="899"/>
      <c r="AN696" s="899"/>
      <c r="AO696" s="899"/>
    </row>
    <row r="697">
      <c r="G697" s="899"/>
      <c r="H697" s="899"/>
      <c r="I697" s="899"/>
      <c r="J697" s="899"/>
      <c r="K697" s="899"/>
      <c r="L697" s="899"/>
      <c r="M697" s="899"/>
      <c r="N697" s="899"/>
      <c r="O697" s="899"/>
      <c r="P697" s="899"/>
      <c r="Q697" s="899"/>
      <c r="R697" s="899"/>
      <c r="S697" s="899"/>
      <c r="T697" s="899"/>
      <c r="U697" s="899"/>
      <c r="V697" s="899"/>
      <c r="W697" s="899"/>
      <c r="X697" s="899"/>
      <c r="Y697" s="899"/>
      <c r="Z697" s="899"/>
      <c r="AA697" s="899"/>
      <c r="AB697" s="899"/>
      <c r="AC697" s="899"/>
      <c r="AD697" s="899"/>
      <c r="AE697" s="899"/>
      <c r="AF697" s="899"/>
      <c r="AG697" s="899"/>
      <c r="AH697" s="899"/>
      <c r="AI697" s="899"/>
      <c r="AJ697" s="899"/>
      <c r="AK697" s="899"/>
      <c r="AL697" s="899"/>
      <c r="AM697" s="899"/>
      <c r="AN697" s="899"/>
      <c r="AO697" s="899"/>
    </row>
    <row r="698">
      <c r="G698" s="899"/>
      <c r="H698" s="899"/>
      <c r="I698" s="899"/>
      <c r="J698" s="899"/>
      <c r="K698" s="899"/>
      <c r="L698" s="899"/>
      <c r="M698" s="899"/>
      <c r="N698" s="899"/>
      <c r="O698" s="899"/>
      <c r="P698" s="899"/>
      <c r="Q698" s="899"/>
      <c r="R698" s="899"/>
      <c r="S698" s="899"/>
      <c r="T698" s="899"/>
      <c r="U698" s="899"/>
      <c r="V698" s="899"/>
      <c r="W698" s="899"/>
      <c r="X698" s="899"/>
      <c r="Y698" s="899"/>
      <c r="Z698" s="899"/>
      <c r="AA698" s="899"/>
      <c r="AB698" s="899"/>
      <c r="AC698" s="899"/>
      <c r="AD698" s="899"/>
      <c r="AE698" s="899"/>
      <c r="AF698" s="899"/>
      <c r="AG698" s="899"/>
      <c r="AH698" s="899"/>
      <c r="AI698" s="899"/>
      <c r="AJ698" s="899"/>
      <c r="AK698" s="899"/>
      <c r="AL698" s="899"/>
      <c r="AM698" s="899"/>
      <c r="AN698" s="899"/>
      <c r="AO698" s="899"/>
    </row>
    <row r="699">
      <c r="G699" s="899"/>
      <c r="H699" s="899"/>
      <c r="I699" s="899"/>
      <c r="J699" s="899"/>
      <c r="K699" s="899"/>
      <c r="L699" s="899"/>
      <c r="M699" s="899"/>
      <c r="N699" s="899"/>
      <c r="O699" s="899"/>
      <c r="P699" s="899"/>
      <c r="Q699" s="899"/>
      <c r="R699" s="899"/>
      <c r="S699" s="899"/>
      <c r="T699" s="899"/>
      <c r="U699" s="899"/>
      <c r="V699" s="899"/>
      <c r="W699" s="899"/>
      <c r="X699" s="899"/>
      <c r="Y699" s="899"/>
      <c r="Z699" s="899"/>
      <c r="AA699" s="899"/>
      <c r="AB699" s="899"/>
      <c r="AC699" s="899"/>
      <c r="AD699" s="899"/>
      <c r="AE699" s="899"/>
      <c r="AF699" s="899"/>
      <c r="AG699" s="899"/>
      <c r="AH699" s="899"/>
      <c r="AI699" s="899"/>
      <c r="AJ699" s="899"/>
      <c r="AK699" s="899"/>
      <c r="AL699" s="899"/>
      <c r="AM699" s="899"/>
      <c r="AN699" s="899"/>
      <c r="AO699" s="899"/>
    </row>
    <row r="700">
      <c r="G700" s="899"/>
      <c r="H700" s="899"/>
      <c r="I700" s="899"/>
      <c r="J700" s="899"/>
      <c r="K700" s="899"/>
      <c r="L700" s="899"/>
      <c r="M700" s="899"/>
      <c r="N700" s="899"/>
      <c r="O700" s="899"/>
      <c r="P700" s="899"/>
      <c r="Q700" s="899"/>
      <c r="R700" s="899"/>
      <c r="S700" s="899"/>
      <c r="T700" s="899"/>
      <c r="U700" s="899"/>
      <c r="V700" s="899"/>
      <c r="W700" s="899"/>
      <c r="X700" s="899"/>
      <c r="Y700" s="899"/>
      <c r="Z700" s="899"/>
      <c r="AA700" s="899"/>
      <c r="AB700" s="899"/>
      <c r="AC700" s="899"/>
      <c r="AD700" s="899"/>
      <c r="AE700" s="899"/>
      <c r="AF700" s="899"/>
      <c r="AG700" s="899"/>
      <c r="AH700" s="899"/>
      <c r="AI700" s="899"/>
      <c r="AJ700" s="899"/>
      <c r="AK700" s="899"/>
      <c r="AL700" s="899"/>
      <c r="AM700" s="899"/>
      <c r="AN700" s="899"/>
      <c r="AO700" s="899"/>
    </row>
    <row r="701">
      <c r="G701" s="899"/>
      <c r="H701" s="899"/>
      <c r="I701" s="899"/>
      <c r="J701" s="899"/>
      <c r="K701" s="899"/>
      <c r="L701" s="899"/>
      <c r="M701" s="899"/>
      <c r="N701" s="899"/>
      <c r="O701" s="899"/>
      <c r="P701" s="899"/>
      <c r="Q701" s="899"/>
      <c r="R701" s="899"/>
      <c r="S701" s="899"/>
      <c r="T701" s="899"/>
      <c r="U701" s="899"/>
      <c r="V701" s="899"/>
      <c r="W701" s="899"/>
      <c r="X701" s="899"/>
      <c r="Y701" s="899"/>
      <c r="Z701" s="899"/>
      <c r="AA701" s="899"/>
      <c r="AB701" s="899"/>
      <c r="AC701" s="899"/>
      <c r="AD701" s="899"/>
      <c r="AE701" s="899"/>
      <c r="AF701" s="899"/>
      <c r="AG701" s="899"/>
      <c r="AH701" s="899"/>
      <c r="AI701" s="899"/>
      <c r="AJ701" s="899"/>
      <c r="AK701" s="899"/>
      <c r="AL701" s="899"/>
      <c r="AM701" s="899"/>
      <c r="AN701" s="899"/>
      <c r="AO701" s="899"/>
    </row>
    <row r="702">
      <c r="G702" s="899"/>
      <c r="H702" s="899"/>
      <c r="I702" s="899"/>
      <c r="J702" s="899"/>
      <c r="K702" s="899"/>
      <c r="L702" s="899"/>
      <c r="M702" s="899"/>
      <c r="N702" s="899"/>
      <c r="O702" s="899"/>
      <c r="P702" s="899"/>
      <c r="Q702" s="899"/>
      <c r="R702" s="899"/>
      <c r="S702" s="899"/>
      <c r="T702" s="899"/>
      <c r="U702" s="899"/>
      <c r="V702" s="899"/>
      <c r="W702" s="899"/>
      <c r="X702" s="899"/>
      <c r="Y702" s="899"/>
      <c r="Z702" s="899"/>
      <c r="AA702" s="899"/>
      <c r="AB702" s="899"/>
      <c r="AC702" s="899"/>
      <c r="AD702" s="899"/>
      <c r="AE702" s="899"/>
      <c r="AF702" s="899"/>
      <c r="AG702" s="899"/>
      <c r="AH702" s="899"/>
      <c r="AI702" s="899"/>
      <c r="AJ702" s="899"/>
      <c r="AK702" s="899"/>
      <c r="AL702" s="899"/>
      <c r="AM702" s="899"/>
      <c r="AN702" s="899"/>
      <c r="AO702" s="899"/>
    </row>
    <row r="703">
      <c r="G703" s="899"/>
      <c r="H703" s="899"/>
      <c r="I703" s="899"/>
      <c r="J703" s="899"/>
      <c r="K703" s="899"/>
      <c r="L703" s="899"/>
      <c r="M703" s="899"/>
      <c r="N703" s="899"/>
      <c r="O703" s="899"/>
      <c r="P703" s="899"/>
      <c r="Q703" s="899"/>
      <c r="R703" s="899"/>
      <c r="S703" s="899"/>
      <c r="T703" s="899"/>
      <c r="U703" s="899"/>
      <c r="V703" s="899"/>
      <c r="W703" s="899"/>
      <c r="X703" s="899"/>
      <c r="Y703" s="899"/>
      <c r="Z703" s="899"/>
      <c r="AA703" s="899"/>
      <c r="AB703" s="899"/>
      <c r="AC703" s="899"/>
      <c r="AD703" s="899"/>
      <c r="AE703" s="899"/>
      <c r="AF703" s="899"/>
      <c r="AG703" s="899"/>
      <c r="AH703" s="899"/>
      <c r="AI703" s="899"/>
      <c r="AJ703" s="899"/>
      <c r="AK703" s="899"/>
      <c r="AL703" s="899"/>
      <c r="AM703" s="899"/>
      <c r="AN703" s="899"/>
      <c r="AO703" s="899"/>
    </row>
    <row r="704">
      <c r="G704" s="899"/>
      <c r="H704" s="899"/>
      <c r="I704" s="899"/>
      <c r="J704" s="899"/>
      <c r="K704" s="899"/>
      <c r="L704" s="899"/>
      <c r="M704" s="899"/>
      <c r="N704" s="899"/>
      <c r="O704" s="899"/>
      <c r="P704" s="899"/>
      <c r="Q704" s="899"/>
      <c r="R704" s="899"/>
      <c r="S704" s="899"/>
      <c r="T704" s="899"/>
      <c r="U704" s="899"/>
      <c r="V704" s="899"/>
      <c r="W704" s="899"/>
      <c r="X704" s="899"/>
      <c r="Y704" s="899"/>
      <c r="Z704" s="899"/>
      <c r="AA704" s="899"/>
      <c r="AB704" s="899"/>
      <c r="AC704" s="899"/>
      <c r="AD704" s="899"/>
      <c r="AE704" s="899"/>
      <c r="AF704" s="899"/>
      <c r="AG704" s="899"/>
      <c r="AH704" s="899"/>
      <c r="AI704" s="899"/>
      <c r="AJ704" s="899"/>
      <c r="AK704" s="899"/>
      <c r="AL704" s="899"/>
      <c r="AM704" s="899"/>
      <c r="AN704" s="899"/>
      <c r="AO704" s="899"/>
    </row>
    <row r="705">
      <c r="G705" s="899"/>
      <c r="H705" s="899"/>
      <c r="I705" s="899"/>
      <c r="J705" s="899"/>
      <c r="K705" s="899"/>
      <c r="L705" s="899"/>
      <c r="M705" s="899"/>
      <c r="N705" s="899"/>
      <c r="O705" s="899"/>
      <c r="P705" s="899"/>
      <c r="Q705" s="899"/>
      <c r="R705" s="899"/>
      <c r="S705" s="899"/>
      <c r="T705" s="899"/>
      <c r="U705" s="899"/>
      <c r="V705" s="899"/>
      <c r="W705" s="899"/>
      <c r="X705" s="899"/>
      <c r="Y705" s="899"/>
      <c r="Z705" s="899"/>
      <c r="AA705" s="899"/>
      <c r="AB705" s="899"/>
      <c r="AC705" s="899"/>
      <c r="AD705" s="899"/>
      <c r="AE705" s="899"/>
      <c r="AF705" s="899"/>
      <c r="AG705" s="899"/>
      <c r="AH705" s="899"/>
      <c r="AI705" s="899"/>
      <c r="AJ705" s="899"/>
      <c r="AK705" s="899"/>
      <c r="AL705" s="899"/>
      <c r="AM705" s="899"/>
      <c r="AN705" s="899"/>
      <c r="AO705" s="899"/>
    </row>
    <row r="706">
      <c r="G706" s="899"/>
      <c r="H706" s="899"/>
      <c r="I706" s="899"/>
      <c r="J706" s="899"/>
      <c r="K706" s="899"/>
      <c r="L706" s="899"/>
      <c r="M706" s="899"/>
      <c r="N706" s="899"/>
      <c r="O706" s="899"/>
      <c r="P706" s="899"/>
      <c r="Q706" s="899"/>
      <c r="R706" s="899"/>
      <c r="S706" s="899"/>
      <c r="T706" s="899"/>
      <c r="U706" s="899"/>
      <c r="V706" s="899"/>
      <c r="W706" s="899"/>
      <c r="X706" s="899"/>
      <c r="Y706" s="899"/>
      <c r="Z706" s="899"/>
      <c r="AA706" s="899"/>
      <c r="AB706" s="899"/>
      <c r="AC706" s="899"/>
      <c r="AD706" s="899"/>
      <c r="AE706" s="899"/>
      <c r="AF706" s="899"/>
      <c r="AG706" s="899"/>
      <c r="AH706" s="899"/>
      <c r="AI706" s="899"/>
      <c r="AJ706" s="899"/>
      <c r="AK706" s="899"/>
      <c r="AL706" s="899"/>
      <c r="AM706" s="899"/>
      <c r="AN706" s="899"/>
      <c r="AO706" s="899"/>
    </row>
    <row r="707">
      <c r="G707" s="899"/>
      <c r="H707" s="899"/>
      <c r="I707" s="899"/>
      <c r="J707" s="899"/>
      <c r="K707" s="899"/>
      <c r="L707" s="899"/>
      <c r="M707" s="899"/>
      <c r="N707" s="899"/>
      <c r="O707" s="899"/>
      <c r="P707" s="899"/>
      <c r="Q707" s="899"/>
      <c r="R707" s="899"/>
      <c r="S707" s="899"/>
      <c r="T707" s="899"/>
      <c r="U707" s="899"/>
      <c r="V707" s="899"/>
      <c r="W707" s="899"/>
      <c r="X707" s="899"/>
      <c r="Y707" s="899"/>
      <c r="Z707" s="899"/>
      <c r="AA707" s="899"/>
      <c r="AB707" s="899"/>
      <c r="AC707" s="899"/>
      <c r="AD707" s="899"/>
      <c r="AE707" s="899"/>
      <c r="AF707" s="899"/>
      <c r="AG707" s="899"/>
      <c r="AH707" s="899"/>
      <c r="AI707" s="899"/>
      <c r="AJ707" s="899"/>
      <c r="AK707" s="899"/>
      <c r="AL707" s="899"/>
      <c r="AM707" s="899"/>
      <c r="AN707" s="899"/>
      <c r="AO707" s="899"/>
    </row>
    <row r="708">
      <c r="G708" s="899"/>
      <c r="H708" s="899"/>
      <c r="I708" s="899"/>
      <c r="J708" s="899"/>
      <c r="K708" s="899"/>
      <c r="L708" s="899"/>
      <c r="M708" s="899"/>
      <c r="N708" s="899"/>
      <c r="O708" s="899"/>
      <c r="P708" s="899"/>
      <c r="Q708" s="899"/>
      <c r="R708" s="899"/>
      <c r="S708" s="899"/>
      <c r="T708" s="899"/>
      <c r="U708" s="899"/>
      <c r="V708" s="899"/>
      <c r="W708" s="899"/>
      <c r="X708" s="899"/>
      <c r="Y708" s="899"/>
      <c r="Z708" s="899"/>
      <c r="AA708" s="899"/>
      <c r="AB708" s="899"/>
      <c r="AC708" s="899"/>
      <c r="AD708" s="899"/>
      <c r="AE708" s="899"/>
      <c r="AF708" s="899"/>
      <c r="AG708" s="899"/>
      <c r="AH708" s="899"/>
      <c r="AI708" s="899"/>
      <c r="AJ708" s="899"/>
      <c r="AK708" s="899"/>
      <c r="AL708" s="899"/>
      <c r="AM708" s="899"/>
      <c r="AN708" s="899"/>
      <c r="AO708" s="899"/>
    </row>
    <row r="709">
      <c r="G709" s="899"/>
      <c r="H709" s="899"/>
      <c r="I709" s="899"/>
      <c r="J709" s="899"/>
      <c r="K709" s="899"/>
      <c r="L709" s="899"/>
      <c r="M709" s="899"/>
      <c r="N709" s="899"/>
      <c r="O709" s="899"/>
      <c r="P709" s="899"/>
      <c r="Q709" s="899"/>
      <c r="R709" s="899"/>
      <c r="S709" s="899"/>
      <c r="T709" s="899"/>
      <c r="U709" s="899"/>
      <c r="V709" s="899"/>
      <c r="W709" s="899"/>
      <c r="X709" s="899"/>
      <c r="Y709" s="899"/>
      <c r="Z709" s="899"/>
      <c r="AA709" s="899"/>
      <c r="AB709" s="899"/>
      <c r="AC709" s="899"/>
      <c r="AD709" s="899"/>
      <c r="AE709" s="899"/>
      <c r="AF709" s="899"/>
      <c r="AG709" s="899"/>
      <c r="AH709" s="899"/>
      <c r="AI709" s="899"/>
      <c r="AJ709" s="899"/>
      <c r="AK709" s="899"/>
      <c r="AL709" s="899"/>
      <c r="AM709" s="899"/>
      <c r="AN709" s="899"/>
      <c r="AO709" s="899"/>
    </row>
    <row r="710">
      <c r="G710" s="899"/>
      <c r="H710" s="899"/>
      <c r="I710" s="899"/>
      <c r="J710" s="899"/>
      <c r="K710" s="899"/>
      <c r="L710" s="899"/>
      <c r="M710" s="899"/>
      <c r="N710" s="899"/>
      <c r="O710" s="899"/>
      <c r="P710" s="899"/>
      <c r="Q710" s="899"/>
      <c r="R710" s="899"/>
      <c r="S710" s="899"/>
      <c r="T710" s="899"/>
      <c r="U710" s="899"/>
      <c r="V710" s="899"/>
      <c r="W710" s="899"/>
      <c r="X710" s="899"/>
      <c r="Y710" s="899"/>
      <c r="Z710" s="899"/>
      <c r="AA710" s="899"/>
      <c r="AB710" s="899"/>
      <c r="AC710" s="899"/>
      <c r="AD710" s="899"/>
      <c r="AE710" s="899"/>
      <c r="AF710" s="899"/>
      <c r="AG710" s="899"/>
      <c r="AH710" s="899"/>
      <c r="AI710" s="899"/>
      <c r="AJ710" s="899"/>
      <c r="AK710" s="899"/>
      <c r="AL710" s="899"/>
      <c r="AM710" s="899"/>
      <c r="AN710" s="899"/>
      <c r="AO710" s="899"/>
    </row>
    <row r="711">
      <c r="G711" s="899"/>
      <c r="H711" s="899"/>
      <c r="I711" s="899"/>
      <c r="J711" s="899"/>
      <c r="K711" s="899"/>
      <c r="L711" s="899"/>
      <c r="M711" s="899"/>
      <c r="N711" s="899"/>
      <c r="O711" s="899"/>
      <c r="P711" s="899"/>
      <c r="Q711" s="899"/>
      <c r="R711" s="899"/>
      <c r="S711" s="899"/>
      <c r="T711" s="899"/>
      <c r="U711" s="899"/>
      <c r="V711" s="899"/>
      <c r="W711" s="899"/>
      <c r="X711" s="899"/>
      <c r="Y711" s="899"/>
      <c r="Z711" s="899"/>
      <c r="AA711" s="899"/>
      <c r="AB711" s="899"/>
      <c r="AC711" s="899"/>
      <c r="AD711" s="899"/>
      <c r="AE711" s="899"/>
      <c r="AF711" s="899"/>
      <c r="AG711" s="899"/>
      <c r="AH711" s="899"/>
      <c r="AI711" s="899"/>
      <c r="AJ711" s="899"/>
      <c r="AK711" s="899"/>
      <c r="AL711" s="899"/>
      <c r="AM711" s="899"/>
      <c r="AN711" s="899"/>
      <c r="AO711" s="899"/>
    </row>
    <row r="712">
      <c r="G712" s="899"/>
      <c r="H712" s="899"/>
      <c r="I712" s="899"/>
      <c r="J712" s="899"/>
      <c r="K712" s="899"/>
      <c r="L712" s="899"/>
      <c r="M712" s="899"/>
      <c r="N712" s="899"/>
      <c r="O712" s="899"/>
      <c r="P712" s="899"/>
      <c r="Q712" s="899"/>
      <c r="R712" s="899"/>
      <c r="S712" s="899"/>
      <c r="T712" s="899"/>
      <c r="U712" s="899"/>
      <c r="V712" s="899"/>
      <c r="W712" s="899"/>
      <c r="X712" s="899"/>
      <c r="Y712" s="899"/>
      <c r="Z712" s="899"/>
      <c r="AA712" s="899"/>
      <c r="AB712" s="899"/>
      <c r="AC712" s="899"/>
      <c r="AD712" s="899"/>
      <c r="AE712" s="899"/>
      <c r="AF712" s="899"/>
      <c r="AG712" s="899"/>
      <c r="AH712" s="899"/>
      <c r="AI712" s="899"/>
      <c r="AJ712" s="899"/>
      <c r="AK712" s="899"/>
      <c r="AL712" s="899"/>
      <c r="AM712" s="899"/>
      <c r="AN712" s="899"/>
      <c r="AO712" s="899"/>
    </row>
    <row r="713">
      <c r="G713" s="899"/>
      <c r="H713" s="899"/>
      <c r="I713" s="899"/>
      <c r="J713" s="899"/>
      <c r="K713" s="899"/>
      <c r="L713" s="899"/>
      <c r="M713" s="899"/>
      <c r="N713" s="899"/>
      <c r="O713" s="899"/>
      <c r="P713" s="899"/>
      <c r="Q713" s="899"/>
      <c r="R713" s="899"/>
      <c r="S713" s="899"/>
      <c r="T713" s="899"/>
      <c r="U713" s="899"/>
      <c r="V713" s="899"/>
      <c r="W713" s="899"/>
      <c r="X713" s="899"/>
      <c r="Y713" s="899"/>
      <c r="Z713" s="899"/>
      <c r="AA713" s="899"/>
      <c r="AB713" s="899"/>
      <c r="AC713" s="899"/>
      <c r="AD713" s="899"/>
      <c r="AE713" s="899"/>
      <c r="AF713" s="899"/>
      <c r="AG713" s="899"/>
      <c r="AH713" s="899"/>
      <c r="AI713" s="899"/>
      <c r="AJ713" s="899"/>
      <c r="AK713" s="899"/>
      <c r="AL713" s="899"/>
      <c r="AM713" s="899"/>
      <c r="AN713" s="899"/>
      <c r="AO713" s="899"/>
    </row>
    <row r="714">
      <c r="G714" s="899"/>
      <c r="H714" s="899"/>
      <c r="I714" s="899"/>
      <c r="J714" s="899"/>
      <c r="K714" s="899"/>
      <c r="L714" s="899"/>
      <c r="M714" s="899"/>
      <c r="N714" s="899"/>
      <c r="O714" s="899"/>
      <c r="P714" s="899"/>
      <c r="Q714" s="899"/>
      <c r="R714" s="899"/>
      <c r="S714" s="899"/>
      <c r="T714" s="899"/>
      <c r="U714" s="899"/>
      <c r="V714" s="899"/>
      <c r="W714" s="899"/>
      <c r="X714" s="899"/>
      <c r="Y714" s="899"/>
      <c r="Z714" s="899"/>
      <c r="AA714" s="899"/>
      <c r="AB714" s="899"/>
      <c r="AC714" s="899"/>
      <c r="AD714" s="899"/>
      <c r="AE714" s="899"/>
      <c r="AF714" s="899"/>
      <c r="AG714" s="899"/>
      <c r="AH714" s="899"/>
      <c r="AI714" s="899"/>
      <c r="AJ714" s="899"/>
      <c r="AK714" s="899"/>
      <c r="AL714" s="899"/>
      <c r="AM714" s="899"/>
      <c r="AN714" s="899"/>
      <c r="AO714" s="899"/>
    </row>
    <row r="715">
      <c r="G715" s="899"/>
      <c r="H715" s="899"/>
      <c r="I715" s="899"/>
      <c r="J715" s="899"/>
      <c r="K715" s="899"/>
      <c r="L715" s="899"/>
      <c r="M715" s="899"/>
      <c r="N715" s="899"/>
      <c r="O715" s="899"/>
      <c r="P715" s="899"/>
      <c r="Q715" s="899"/>
      <c r="R715" s="899"/>
      <c r="S715" s="899"/>
      <c r="T715" s="899"/>
      <c r="U715" s="899"/>
      <c r="V715" s="899"/>
      <c r="W715" s="899"/>
      <c r="X715" s="899"/>
      <c r="Y715" s="899"/>
      <c r="Z715" s="899"/>
      <c r="AA715" s="899"/>
      <c r="AB715" s="899"/>
      <c r="AC715" s="899"/>
      <c r="AD715" s="899"/>
      <c r="AE715" s="899"/>
      <c r="AF715" s="899"/>
      <c r="AG715" s="899"/>
      <c r="AH715" s="899"/>
      <c r="AI715" s="899"/>
      <c r="AJ715" s="899"/>
      <c r="AK715" s="899"/>
      <c r="AL715" s="899"/>
      <c r="AM715" s="899"/>
      <c r="AN715" s="899"/>
      <c r="AO715" s="899"/>
    </row>
    <row r="716">
      <c r="G716" s="899"/>
      <c r="H716" s="899"/>
      <c r="I716" s="899"/>
      <c r="J716" s="899"/>
      <c r="K716" s="899"/>
      <c r="L716" s="899"/>
      <c r="M716" s="899"/>
      <c r="N716" s="899"/>
      <c r="O716" s="899"/>
      <c r="P716" s="899"/>
      <c r="Q716" s="899"/>
      <c r="R716" s="899"/>
      <c r="S716" s="899"/>
      <c r="T716" s="899"/>
      <c r="U716" s="899"/>
      <c r="V716" s="899"/>
      <c r="W716" s="899"/>
      <c r="X716" s="899"/>
      <c r="Y716" s="899"/>
      <c r="Z716" s="899"/>
      <c r="AA716" s="899"/>
      <c r="AB716" s="899"/>
      <c r="AC716" s="899"/>
      <c r="AD716" s="899"/>
      <c r="AE716" s="899"/>
      <c r="AF716" s="899"/>
      <c r="AG716" s="899"/>
      <c r="AH716" s="899"/>
      <c r="AI716" s="899"/>
      <c r="AJ716" s="899"/>
      <c r="AK716" s="899"/>
      <c r="AL716" s="899"/>
      <c r="AM716" s="899"/>
      <c r="AN716" s="899"/>
      <c r="AO716" s="899"/>
    </row>
    <row r="717">
      <c r="G717" s="899"/>
      <c r="H717" s="899"/>
      <c r="I717" s="899"/>
      <c r="J717" s="899"/>
      <c r="K717" s="899"/>
      <c r="L717" s="899"/>
      <c r="M717" s="899"/>
      <c r="N717" s="899"/>
      <c r="O717" s="899"/>
      <c r="P717" s="899"/>
      <c r="Q717" s="899"/>
      <c r="R717" s="899"/>
      <c r="S717" s="899"/>
      <c r="T717" s="899"/>
      <c r="U717" s="899"/>
      <c r="V717" s="899"/>
      <c r="W717" s="899"/>
      <c r="X717" s="899"/>
      <c r="Y717" s="899"/>
      <c r="Z717" s="899"/>
      <c r="AA717" s="899"/>
      <c r="AB717" s="899"/>
      <c r="AC717" s="899"/>
      <c r="AD717" s="899"/>
      <c r="AE717" s="899"/>
      <c r="AF717" s="899"/>
      <c r="AG717" s="899"/>
      <c r="AH717" s="899"/>
      <c r="AI717" s="899"/>
      <c r="AJ717" s="899"/>
      <c r="AK717" s="899"/>
      <c r="AL717" s="899"/>
      <c r="AM717" s="899"/>
      <c r="AN717" s="899"/>
      <c r="AO717" s="899"/>
    </row>
    <row r="718">
      <c r="G718" s="899"/>
      <c r="H718" s="899"/>
      <c r="I718" s="899"/>
      <c r="J718" s="899"/>
      <c r="K718" s="899"/>
      <c r="L718" s="899"/>
      <c r="M718" s="899"/>
      <c r="N718" s="899"/>
      <c r="O718" s="899"/>
      <c r="P718" s="899"/>
      <c r="Q718" s="899"/>
      <c r="R718" s="899"/>
      <c r="S718" s="899"/>
      <c r="T718" s="899"/>
      <c r="U718" s="899"/>
      <c r="V718" s="899"/>
      <c r="W718" s="899"/>
      <c r="X718" s="899"/>
      <c r="Y718" s="899"/>
      <c r="Z718" s="899"/>
      <c r="AA718" s="899"/>
      <c r="AB718" s="899"/>
      <c r="AC718" s="899"/>
      <c r="AD718" s="899"/>
      <c r="AE718" s="899"/>
      <c r="AF718" s="899"/>
      <c r="AG718" s="899"/>
      <c r="AH718" s="899"/>
      <c r="AI718" s="899"/>
      <c r="AJ718" s="899"/>
      <c r="AK718" s="899"/>
      <c r="AL718" s="899"/>
      <c r="AM718" s="899"/>
      <c r="AN718" s="899"/>
      <c r="AO718" s="899"/>
    </row>
    <row r="719">
      <c r="G719" s="899"/>
      <c r="H719" s="899"/>
      <c r="I719" s="899"/>
      <c r="J719" s="899"/>
      <c r="K719" s="899"/>
      <c r="L719" s="899"/>
      <c r="M719" s="899"/>
      <c r="N719" s="899"/>
      <c r="O719" s="899"/>
      <c r="P719" s="899"/>
      <c r="Q719" s="899"/>
      <c r="R719" s="899"/>
      <c r="S719" s="899"/>
      <c r="T719" s="899"/>
      <c r="U719" s="899"/>
      <c r="V719" s="899"/>
      <c r="W719" s="899"/>
      <c r="X719" s="899"/>
      <c r="Y719" s="899"/>
      <c r="Z719" s="899"/>
      <c r="AA719" s="899"/>
      <c r="AB719" s="899"/>
      <c r="AC719" s="899"/>
      <c r="AD719" s="899"/>
      <c r="AE719" s="899"/>
      <c r="AF719" s="899"/>
      <c r="AG719" s="899"/>
      <c r="AH719" s="899"/>
      <c r="AI719" s="899"/>
      <c r="AJ719" s="899"/>
      <c r="AK719" s="899"/>
      <c r="AL719" s="899"/>
      <c r="AM719" s="899"/>
      <c r="AN719" s="899"/>
      <c r="AO719" s="899"/>
    </row>
    <row r="720">
      <c r="G720" s="899"/>
      <c r="H720" s="899"/>
      <c r="I720" s="899"/>
      <c r="J720" s="899"/>
      <c r="K720" s="899"/>
      <c r="L720" s="899"/>
      <c r="M720" s="899"/>
      <c r="N720" s="899"/>
      <c r="O720" s="899"/>
      <c r="P720" s="899"/>
      <c r="Q720" s="899"/>
      <c r="R720" s="899"/>
      <c r="S720" s="899"/>
      <c r="T720" s="899"/>
      <c r="U720" s="899"/>
      <c r="V720" s="899"/>
      <c r="W720" s="899"/>
      <c r="X720" s="899"/>
      <c r="Y720" s="899"/>
      <c r="Z720" s="899"/>
      <c r="AA720" s="899"/>
      <c r="AB720" s="899"/>
      <c r="AC720" s="899"/>
      <c r="AD720" s="899"/>
      <c r="AE720" s="899"/>
      <c r="AF720" s="899"/>
      <c r="AG720" s="899"/>
      <c r="AH720" s="899"/>
      <c r="AI720" s="899"/>
      <c r="AJ720" s="899"/>
      <c r="AK720" s="899"/>
      <c r="AL720" s="899"/>
      <c r="AM720" s="899"/>
      <c r="AN720" s="899"/>
      <c r="AO720" s="899"/>
    </row>
    <row r="721">
      <c r="G721" s="899"/>
      <c r="H721" s="899"/>
      <c r="I721" s="899"/>
      <c r="J721" s="899"/>
      <c r="K721" s="899"/>
      <c r="L721" s="899"/>
      <c r="M721" s="899"/>
      <c r="N721" s="899"/>
      <c r="O721" s="899"/>
      <c r="P721" s="899"/>
      <c r="Q721" s="899"/>
      <c r="R721" s="899"/>
      <c r="S721" s="899"/>
      <c r="T721" s="899"/>
      <c r="U721" s="899"/>
      <c r="V721" s="899"/>
      <c r="W721" s="899"/>
      <c r="X721" s="899"/>
      <c r="Y721" s="899"/>
      <c r="Z721" s="899"/>
      <c r="AA721" s="899"/>
      <c r="AB721" s="899"/>
      <c r="AC721" s="899"/>
      <c r="AD721" s="899"/>
      <c r="AE721" s="899"/>
      <c r="AF721" s="899"/>
      <c r="AG721" s="899"/>
      <c r="AH721" s="899"/>
      <c r="AI721" s="899"/>
      <c r="AJ721" s="899"/>
      <c r="AK721" s="899"/>
      <c r="AL721" s="899"/>
      <c r="AM721" s="899"/>
      <c r="AN721" s="899"/>
      <c r="AO721" s="899"/>
    </row>
    <row r="722">
      <c r="G722" s="899"/>
      <c r="H722" s="899"/>
      <c r="I722" s="899"/>
      <c r="J722" s="899"/>
      <c r="K722" s="899"/>
      <c r="L722" s="899"/>
      <c r="M722" s="899"/>
      <c r="N722" s="899"/>
      <c r="O722" s="899"/>
      <c r="P722" s="899"/>
      <c r="Q722" s="899"/>
      <c r="R722" s="899"/>
      <c r="S722" s="899"/>
      <c r="T722" s="899"/>
      <c r="U722" s="899"/>
      <c r="V722" s="899"/>
      <c r="W722" s="899"/>
      <c r="X722" s="899"/>
      <c r="Y722" s="899"/>
      <c r="Z722" s="899"/>
      <c r="AA722" s="899"/>
      <c r="AB722" s="899"/>
      <c r="AC722" s="899"/>
      <c r="AD722" s="899"/>
      <c r="AE722" s="899"/>
      <c r="AF722" s="899"/>
      <c r="AG722" s="899"/>
      <c r="AH722" s="899"/>
      <c r="AI722" s="899"/>
      <c r="AJ722" s="899"/>
      <c r="AK722" s="899"/>
      <c r="AL722" s="899"/>
      <c r="AM722" s="899"/>
      <c r="AN722" s="899"/>
      <c r="AO722" s="899"/>
    </row>
    <row r="723">
      <c r="G723" s="899"/>
      <c r="H723" s="899"/>
      <c r="I723" s="899"/>
      <c r="J723" s="899"/>
      <c r="K723" s="899"/>
      <c r="L723" s="899"/>
      <c r="M723" s="899"/>
      <c r="N723" s="899"/>
      <c r="O723" s="899"/>
      <c r="P723" s="899"/>
      <c r="Q723" s="899"/>
      <c r="R723" s="899"/>
      <c r="S723" s="899"/>
      <c r="T723" s="899"/>
      <c r="U723" s="899"/>
      <c r="V723" s="899"/>
      <c r="W723" s="899"/>
      <c r="X723" s="899"/>
      <c r="Y723" s="899"/>
      <c r="Z723" s="899"/>
      <c r="AA723" s="899"/>
      <c r="AB723" s="899"/>
      <c r="AC723" s="899"/>
      <c r="AD723" s="899"/>
      <c r="AE723" s="899"/>
      <c r="AF723" s="899"/>
      <c r="AG723" s="899"/>
      <c r="AH723" s="899"/>
      <c r="AI723" s="899"/>
      <c r="AJ723" s="899"/>
      <c r="AK723" s="899"/>
      <c r="AL723" s="899"/>
      <c r="AM723" s="899"/>
      <c r="AN723" s="899"/>
      <c r="AO723" s="899"/>
    </row>
    <row r="724">
      <c r="G724" s="899"/>
      <c r="H724" s="899"/>
      <c r="I724" s="899"/>
      <c r="J724" s="899"/>
      <c r="K724" s="899"/>
      <c r="L724" s="899"/>
      <c r="M724" s="899"/>
      <c r="N724" s="899"/>
      <c r="O724" s="899"/>
      <c r="P724" s="899"/>
      <c r="Q724" s="899"/>
      <c r="R724" s="899"/>
      <c r="S724" s="899"/>
      <c r="T724" s="899"/>
      <c r="U724" s="899"/>
      <c r="V724" s="899"/>
      <c r="W724" s="899"/>
      <c r="X724" s="899"/>
      <c r="Y724" s="899"/>
      <c r="Z724" s="899"/>
      <c r="AA724" s="899"/>
      <c r="AB724" s="899"/>
      <c r="AC724" s="899"/>
      <c r="AD724" s="899"/>
      <c r="AE724" s="899"/>
      <c r="AF724" s="899"/>
      <c r="AG724" s="899"/>
      <c r="AH724" s="899"/>
      <c r="AI724" s="899"/>
      <c r="AJ724" s="899"/>
      <c r="AK724" s="899"/>
      <c r="AL724" s="899"/>
      <c r="AM724" s="899"/>
      <c r="AN724" s="899"/>
      <c r="AO724" s="899"/>
    </row>
    <row r="725">
      <c r="G725" s="899"/>
      <c r="H725" s="899"/>
      <c r="I725" s="899"/>
      <c r="J725" s="899"/>
      <c r="K725" s="899"/>
      <c r="L725" s="899"/>
      <c r="M725" s="899"/>
      <c r="N725" s="899"/>
      <c r="O725" s="899"/>
      <c r="P725" s="899"/>
      <c r="Q725" s="899"/>
      <c r="R725" s="899"/>
      <c r="S725" s="899"/>
      <c r="T725" s="899"/>
      <c r="U725" s="899"/>
      <c r="V725" s="899"/>
      <c r="W725" s="899"/>
      <c r="X725" s="899"/>
      <c r="Y725" s="899"/>
      <c r="Z725" s="899"/>
      <c r="AA725" s="899"/>
      <c r="AB725" s="899"/>
      <c r="AC725" s="899"/>
      <c r="AD725" s="899"/>
      <c r="AE725" s="899"/>
      <c r="AF725" s="899"/>
      <c r="AG725" s="899"/>
      <c r="AH725" s="899"/>
      <c r="AI725" s="899"/>
      <c r="AJ725" s="899"/>
      <c r="AK725" s="899"/>
      <c r="AL725" s="899"/>
      <c r="AM725" s="899"/>
      <c r="AN725" s="899"/>
      <c r="AO725" s="899"/>
    </row>
    <row r="726">
      <c r="G726" s="899"/>
      <c r="H726" s="899"/>
      <c r="I726" s="899"/>
      <c r="J726" s="899"/>
      <c r="K726" s="899"/>
      <c r="L726" s="899"/>
      <c r="M726" s="899"/>
      <c r="N726" s="899"/>
      <c r="O726" s="899"/>
      <c r="P726" s="899"/>
      <c r="Q726" s="899"/>
      <c r="R726" s="899"/>
      <c r="S726" s="899"/>
      <c r="T726" s="899"/>
      <c r="U726" s="899"/>
      <c r="V726" s="899"/>
      <c r="W726" s="899"/>
      <c r="X726" s="899"/>
      <c r="Y726" s="899"/>
      <c r="Z726" s="899"/>
      <c r="AA726" s="899"/>
      <c r="AB726" s="899"/>
      <c r="AC726" s="899"/>
      <c r="AD726" s="899"/>
      <c r="AE726" s="899"/>
      <c r="AF726" s="899"/>
      <c r="AG726" s="899"/>
      <c r="AH726" s="899"/>
      <c r="AI726" s="899"/>
      <c r="AJ726" s="899"/>
      <c r="AK726" s="899"/>
      <c r="AL726" s="899"/>
      <c r="AM726" s="899"/>
      <c r="AN726" s="899"/>
      <c r="AO726" s="899"/>
    </row>
    <row r="727">
      <c r="G727" s="899"/>
      <c r="H727" s="899"/>
      <c r="I727" s="899"/>
      <c r="J727" s="899"/>
      <c r="K727" s="899"/>
      <c r="L727" s="899"/>
      <c r="M727" s="899"/>
      <c r="N727" s="899"/>
      <c r="O727" s="899"/>
      <c r="P727" s="899"/>
      <c r="Q727" s="899"/>
      <c r="R727" s="899"/>
      <c r="S727" s="899"/>
      <c r="T727" s="899"/>
      <c r="U727" s="899"/>
      <c r="V727" s="899"/>
      <c r="W727" s="899"/>
      <c r="X727" s="899"/>
      <c r="Y727" s="899"/>
      <c r="Z727" s="899"/>
      <c r="AA727" s="899"/>
      <c r="AB727" s="899"/>
      <c r="AC727" s="899"/>
      <c r="AD727" s="899"/>
      <c r="AE727" s="899"/>
      <c r="AF727" s="899"/>
      <c r="AG727" s="899"/>
      <c r="AH727" s="899"/>
      <c r="AI727" s="899"/>
      <c r="AJ727" s="899"/>
      <c r="AK727" s="899"/>
      <c r="AL727" s="899"/>
      <c r="AM727" s="899"/>
      <c r="AN727" s="899"/>
      <c r="AO727" s="899"/>
    </row>
    <row r="728">
      <c r="G728" s="899"/>
      <c r="H728" s="899"/>
      <c r="I728" s="899"/>
      <c r="J728" s="899"/>
      <c r="K728" s="899"/>
      <c r="L728" s="899"/>
      <c r="M728" s="899"/>
      <c r="N728" s="899"/>
      <c r="O728" s="899"/>
      <c r="P728" s="899"/>
      <c r="Q728" s="899"/>
      <c r="R728" s="899"/>
      <c r="S728" s="899"/>
      <c r="T728" s="899"/>
      <c r="U728" s="899"/>
      <c r="V728" s="899"/>
      <c r="W728" s="899"/>
      <c r="X728" s="899"/>
      <c r="Y728" s="899"/>
      <c r="Z728" s="899"/>
      <c r="AA728" s="899"/>
      <c r="AB728" s="899"/>
      <c r="AC728" s="899"/>
      <c r="AD728" s="899"/>
      <c r="AE728" s="899"/>
      <c r="AF728" s="899"/>
      <c r="AG728" s="899"/>
      <c r="AH728" s="899"/>
      <c r="AI728" s="899"/>
      <c r="AJ728" s="899"/>
      <c r="AK728" s="899"/>
      <c r="AL728" s="899"/>
      <c r="AM728" s="899"/>
      <c r="AN728" s="899"/>
      <c r="AO728" s="899"/>
    </row>
    <row r="729">
      <c r="G729" s="899"/>
      <c r="H729" s="899"/>
      <c r="I729" s="899"/>
      <c r="J729" s="899"/>
      <c r="K729" s="899"/>
      <c r="L729" s="899"/>
      <c r="M729" s="899"/>
      <c r="N729" s="899"/>
      <c r="O729" s="899"/>
      <c r="P729" s="899"/>
      <c r="Q729" s="899"/>
      <c r="R729" s="899"/>
      <c r="S729" s="899"/>
      <c r="T729" s="899"/>
      <c r="U729" s="899"/>
      <c r="V729" s="899"/>
      <c r="W729" s="899"/>
      <c r="X729" s="899"/>
      <c r="Y729" s="899"/>
      <c r="Z729" s="899"/>
      <c r="AA729" s="899"/>
      <c r="AB729" s="899"/>
      <c r="AC729" s="899"/>
      <c r="AD729" s="899"/>
      <c r="AE729" s="899"/>
      <c r="AF729" s="899"/>
      <c r="AG729" s="899"/>
      <c r="AH729" s="899"/>
      <c r="AI729" s="899"/>
      <c r="AJ729" s="899"/>
      <c r="AK729" s="899"/>
      <c r="AL729" s="899"/>
      <c r="AM729" s="899"/>
      <c r="AN729" s="899"/>
      <c r="AO729" s="899"/>
    </row>
    <row r="730">
      <c r="G730" s="899"/>
      <c r="H730" s="899"/>
      <c r="I730" s="899"/>
      <c r="J730" s="899"/>
      <c r="K730" s="899"/>
      <c r="L730" s="899"/>
      <c r="M730" s="899"/>
      <c r="N730" s="899"/>
      <c r="O730" s="899"/>
      <c r="P730" s="899"/>
      <c r="Q730" s="899"/>
      <c r="R730" s="899"/>
      <c r="S730" s="899"/>
      <c r="T730" s="899"/>
      <c r="U730" s="899"/>
      <c r="V730" s="899"/>
      <c r="W730" s="899"/>
      <c r="X730" s="899"/>
      <c r="Y730" s="899"/>
      <c r="Z730" s="899"/>
      <c r="AA730" s="899"/>
      <c r="AB730" s="899"/>
      <c r="AC730" s="899"/>
      <c r="AD730" s="899"/>
      <c r="AE730" s="899"/>
      <c r="AF730" s="899"/>
      <c r="AG730" s="899"/>
      <c r="AH730" s="899"/>
      <c r="AI730" s="899"/>
      <c r="AJ730" s="899"/>
      <c r="AK730" s="899"/>
      <c r="AL730" s="899"/>
      <c r="AM730" s="899"/>
      <c r="AN730" s="899"/>
      <c r="AO730" s="899"/>
    </row>
    <row r="731">
      <c r="G731" s="899"/>
      <c r="H731" s="899"/>
      <c r="I731" s="899"/>
      <c r="J731" s="899"/>
      <c r="K731" s="899"/>
      <c r="L731" s="899"/>
      <c r="M731" s="899"/>
      <c r="N731" s="899"/>
      <c r="O731" s="899"/>
      <c r="P731" s="899"/>
      <c r="Q731" s="899"/>
      <c r="R731" s="899"/>
      <c r="S731" s="899"/>
      <c r="T731" s="899"/>
      <c r="U731" s="899"/>
      <c r="V731" s="899"/>
      <c r="W731" s="899"/>
      <c r="X731" s="899"/>
      <c r="Y731" s="899"/>
      <c r="Z731" s="899"/>
      <c r="AA731" s="899"/>
      <c r="AB731" s="899"/>
      <c r="AC731" s="899"/>
      <c r="AD731" s="899"/>
      <c r="AE731" s="899"/>
      <c r="AF731" s="899"/>
      <c r="AG731" s="899"/>
      <c r="AH731" s="899"/>
      <c r="AI731" s="899"/>
      <c r="AJ731" s="899"/>
      <c r="AK731" s="899"/>
      <c r="AL731" s="899"/>
      <c r="AM731" s="899"/>
      <c r="AN731" s="899"/>
      <c r="AO731" s="899"/>
    </row>
    <row r="732">
      <c r="G732" s="899"/>
      <c r="H732" s="899"/>
      <c r="I732" s="899"/>
      <c r="J732" s="899"/>
      <c r="K732" s="899"/>
      <c r="L732" s="899"/>
      <c r="M732" s="899"/>
      <c r="N732" s="899"/>
      <c r="O732" s="899"/>
      <c r="P732" s="899"/>
      <c r="Q732" s="899"/>
      <c r="R732" s="899"/>
      <c r="S732" s="899"/>
      <c r="T732" s="899"/>
      <c r="U732" s="899"/>
      <c r="V732" s="899"/>
      <c r="W732" s="899"/>
      <c r="X732" s="899"/>
      <c r="Y732" s="899"/>
      <c r="Z732" s="899"/>
      <c r="AA732" s="899"/>
      <c r="AB732" s="899"/>
      <c r="AC732" s="899"/>
      <c r="AD732" s="899"/>
      <c r="AE732" s="899"/>
      <c r="AF732" s="899"/>
      <c r="AG732" s="899"/>
      <c r="AH732" s="899"/>
      <c r="AI732" s="899"/>
      <c r="AJ732" s="899"/>
      <c r="AK732" s="899"/>
      <c r="AL732" s="899"/>
      <c r="AM732" s="899"/>
      <c r="AN732" s="899"/>
      <c r="AO732" s="899"/>
    </row>
    <row r="733">
      <c r="G733" s="899"/>
      <c r="H733" s="899"/>
      <c r="I733" s="899"/>
      <c r="J733" s="899"/>
      <c r="K733" s="899"/>
      <c r="L733" s="899"/>
      <c r="M733" s="899"/>
      <c r="N733" s="899"/>
      <c r="O733" s="899"/>
      <c r="P733" s="899"/>
      <c r="Q733" s="899"/>
      <c r="R733" s="899"/>
      <c r="S733" s="899"/>
      <c r="T733" s="899"/>
      <c r="U733" s="899"/>
      <c r="V733" s="899"/>
      <c r="W733" s="899"/>
      <c r="X733" s="899"/>
      <c r="Y733" s="899"/>
      <c r="Z733" s="899"/>
      <c r="AA733" s="899"/>
      <c r="AB733" s="899"/>
      <c r="AC733" s="899"/>
      <c r="AD733" s="899"/>
      <c r="AE733" s="899"/>
      <c r="AF733" s="899"/>
      <c r="AG733" s="899"/>
      <c r="AH733" s="899"/>
      <c r="AI733" s="899"/>
      <c r="AJ733" s="899"/>
      <c r="AK733" s="899"/>
      <c r="AL733" s="899"/>
      <c r="AM733" s="899"/>
      <c r="AN733" s="899"/>
      <c r="AO733" s="899"/>
    </row>
    <row r="734">
      <c r="G734" s="899"/>
      <c r="H734" s="899"/>
      <c r="I734" s="899"/>
      <c r="J734" s="899"/>
      <c r="K734" s="899"/>
      <c r="L734" s="899"/>
      <c r="M734" s="899"/>
      <c r="N734" s="899"/>
      <c r="O734" s="899"/>
      <c r="P734" s="899"/>
      <c r="Q734" s="899"/>
      <c r="R734" s="899"/>
      <c r="S734" s="899"/>
      <c r="T734" s="899"/>
      <c r="U734" s="899"/>
      <c r="V734" s="899"/>
      <c r="W734" s="899"/>
      <c r="X734" s="899"/>
      <c r="Y734" s="899"/>
      <c r="Z734" s="899"/>
      <c r="AA734" s="899"/>
      <c r="AB734" s="899"/>
      <c r="AC734" s="899"/>
      <c r="AD734" s="899"/>
      <c r="AE734" s="899"/>
      <c r="AF734" s="899"/>
      <c r="AG734" s="899"/>
      <c r="AH734" s="899"/>
      <c r="AI734" s="899"/>
      <c r="AJ734" s="899"/>
      <c r="AK734" s="899"/>
      <c r="AL734" s="899"/>
      <c r="AM734" s="899"/>
      <c r="AN734" s="899"/>
      <c r="AO734" s="899"/>
    </row>
    <row r="735">
      <c r="G735" s="899"/>
      <c r="H735" s="899"/>
      <c r="I735" s="899"/>
      <c r="J735" s="899"/>
      <c r="K735" s="899"/>
      <c r="L735" s="899"/>
      <c r="M735" s="899"/>
      <c r="N735" s="899"/>
      <c r="O735" s="899"/>
      <c r="P735" s="899"/>
      <c r="Q735" s="899"/>
      <c r="R735" s="899"/>
      <c r="S735" s="899"/>
      <c r="T735" s="899"/>
      <c r="U735" s="899"/>
      <c r="V735" s="899"/>
      <c r="W735" s="899"/>
      <c r="X735" s="899"/>
      <c r="Y735" s="899"/>
      <c r="Z735" s="899"/>
      <c r="AA735" s="899"/>
      <c r="AB735" s="899"/>
      <c r="AC735" s="899"/>
      <c r="AD735" s="899"/>
      <c r="AE735" s="899"/>
      <c r="AF735" s="899"/>
      <c r="AG735" s="899"/>
      <c r="AH735" s="899"/>
      <c r="AI735" s="899"/>
      <c r="AJ735" s="899"/>
      <c r="AK735" s="899"/>
      <c r="AL735" s="899"/>
      <c r="AM735" s="899"/>
      <c r="AN735" s="899"/>
      <c r="AO735" s="899"/>
    </row>
    <row r="736">
      <c r="G736" s="899"/>
      <c r="H736" s="899"/>
      <c r="I736" s="899"/>
      <c r="J736" s="899"/>
      <c r="K736" s="899"/>
      <c r="L736" s="899"/>
      <c r="M736" s="899"/>
      <c r="N736" s="899"/>
      <c r="O736" s="899"/>
      <c r="P736" s="899"/>
      <c r="Q736" s="899"/>
      <c r="R736" s="899"/>
      <c r="S736" s="899"/>
      <c r="T736" s="899"/>
      <c r="U736" s="899"/>
      <c r="V736" s="899"/>
      <c r="W736" s="899"/>
      <c r="X736" s="899"/>
      <c r="Y736" s="899"/>
      <c r="Z736" s="899"/>
      <c r="AA736" s="899"/>
      <c r="AB736" s="899"/>
      <c r="AC736" s="899"/>
      <c r="AD736" s="899"/>
      <c r="AE736" s="899"/>
      <c r="AF736" s="899"/>
      <c r="AG736" s="899"/>
      <c r="AH736" s="899"/>
      <c r="AI736" s="899"/>
      <c r="AJ736" s="899"/>
      <c r="AK736" s="899"/>
      <c r="AL736" s="899"/>
      <c r="AM736" s="899"/>
      <c r="AN736" s="899"/>
      <c r="AO736" s="899"/>
    </row>
    <row r="737">
      <c r="G737" s="899"/>
      <c r="H737" s="899"/>
      <c r="I737" s="899"/>
      <c r="J737" s="899"/>
      <c r="K737" s="899"/>
      <c r="L737" s="899"/>
      <c r="M737" s="899"/>
      <c r="N737" s="899"/>
      <c r="O737" s="899"/>
      <c r="P737" s="899"/>
      <c r="Q737" s="899"/>
      <c r="R737" s="899"/>
      <c r="S737" s="899"/>
      <c r="T737" s="899"/>
      <c r="U737" s="899"/>
      <c r="V737" s="899"/>
      <c r="W737" s="899"/>
      <c r="X737" s="899"/>
      <c r="Y737" s="899"/>
      <c r="Z737" s="899"/>
      <c r="AA737" s="899"/>
      <c r="AB737" s="899"/>
      <c r="AC737" s="899"/>
      <c r="AD737" s="899"/>
      <c r="AE737" s="899"/>
      <c r="AF737" s="899"/>
      <c r="AG737" s="899"/>
      <c r="AH737" s="899"/>
      <c r="AI737" s="899"/>
      <c r="AJ737" s="899"/>
      <c r="AK737" s="899"/>
      <c r="AL737" s="899"/>
      <c r="AM737" s="899"/>
      <c r="AN737" s="899"/>
      <c r="AO737" s="899"/>
    </row>
    <row r="738">
      <c r="G738" s="899"/>
      <c r="H738" s="899"/>
      <c r="I738" s="899"/>
      <c r="J738" s="899"/>
      <c r="K738" s="899"/>
      <c r="L738" s="899"/>
      <c r="M738" s="899"/>
      <c r="N738" s="899"/>
      <c r="O738" s="899"/>
      <c r="P738" s="899"/>
      <c r="Q738" s="899"/>
      <c r="R738" s="899"/>
      <c r="S738" s="899"/>
      <c r="T738" s="899"/>
      <c r="U738" s="899"/>
      <c r="V738" s="899"/>
      <c r="W738" s="899"/>
      <c r="X738" s="899"/>
      <c r="Y738" s="899"/>
      <c r="Z738" s="899"/>
      <c r="AA738" s="899"/>
      <c r="AB738" s="899"/>
      <c r="AC738" s="899"/>
      <c r="AD738" s="899"/>
      <c r="AE738" s="899"/>
      <c r="AF738" s="899"/>
      <c r="AG738" s="899"/>
      <c r="AH738" s="899"/>
      <c r="AI738" s="899"/>
      <c r="AJ738" s="899"/>
      <c r="AK738" s="899"/>
      <c r="AL738" s="899"/>
      <c r="AM738" s="899"/>
      <c r="AN738" s="899"/>
      <c r="AO738" s="899"/>
    </row>
    <row r="739">
      <c r="G739" s="899"/>
      <c r="H739" s="899"/>
      <c r="I739" s="899"/>
      <c r="J739" s="899"/>
      <c r="K739" s="899"/>
      <c r="L739" s="899"/>
      <c r="M739" s="899"/>
      <c r="N739" s="899"/>
      <c r="O739" s="899"/>
      <c r="P739" s="899"/>
      <c r="Q739" s="899"/>
      <c r="R739" s="899"/>
      <c r="S739" s="899"/>
      <c r="T739" s="899"/>
      <c r="U739" s="899"/>
      <c r="V739" s="899"/>
      <c r="W739" s="899"/>
      <c r="X739" s="899"/>
      <c r="Y739" s="899"/>
      <c r="Z739" s="899"/>
      <c r="AA739" s="899"/>
      <c r="AB739" s="899"/>
      <c r="AC739" s="899"/>
      <c r="AD739" s="899"/>
      <c r="AE739" s="899"/>
      <c r="AF739" s="899"/>
      <c r="AG739" s="899"/>
      <c r="AH739" s="899"/>
      <c r="AI739" s="899"/>
      <c r="AJ739" s="899"/>
      <c r="AK739" s="899"/>
      <c r="AL739" s="899"/>
      <c r="AM739" s="899"/>
      <c r="AN739" s="899"/>
      <c r="AO739" s="899"/>
    </row>
    <row r="740">
      <c r="G740" s="899"/>
      <c r="H740" s="899"/>
      <c r="I740" s="899"/>
      <c r="J740" s="899"/>
      <c r="K740" s="899"/>
      <c r="L740" s="899"/>
      <c r="M740" s="899"/>
      <c r="N740" s="899"/>
      <c r="O740" s="899"/>
      <c r="P740" s="899"/>
      <c r="Q740" s="899"/>
      <c r="R740" s="899"/>
      <c r="S740" s="899"/>
      <c r="T740" s="899"/>
      <c r="U740" s="899"/>
      <c r="V740" s="899"/>
      <c r="W740" s="899"/>
      <c r="X740" s="899"/>
      <c r="Y740" s="899"/>
      <c r="Z740" s="899"/>
      <c r="AA740" s="899"/>
      <c r="AB740" s="899"/>
      <c r="AC740" s="899"/>
      <c r="AD740" s="899"/>
      <c r="AE740" s="899"/>
      <c r="AF740" s="899"/>
      <c r="AG740" s="899"/>
      <c r="AH740" s="899"/>
      <c r="AI740" s="899"/>
      <c r="AJ740" s="899"/>
      <c r="AK740" s="899"/>
      <c r="AL740" s="899"/>
      <c r="AM740" s="899"/>
      <c r="AN740" s="899"/>
      <c r="AO740" s="899"/>
    </row>
    <row r="741">
      <c r="G741" s="899"/>
      <c r="H741" s="899"/>
      <c r="I741" s="899"/>
      <c r="J741" s="899"/>
      <c r="K741" s="899"/>
      <c r="L741" s="899"/>
      <c r="M741" s="899"/>
      <c r="N741" s="899"/>
      <c r="O741" s="899"/>
      <c r="P741" s="899"/>
      <c r="Q741" s="899"/>
      <c r="R741" s="899"/>
      <c r="S741" s="899"/>
      <c r="T741" s="899"/>
      <c r="U741" s="899"/>
      <c r="V741" s="899"/>
      <c r="W741" s="899"/>
      <c r="X741" s="899"/>
      <c r="Y741" s="899"/>
      <c r="Z741" s="899"/>
      <c r="AA741" s="899"/>
      <c r="AB741" s="899"/>
      <c r="AC741" s="899"/>
      <c r="AD741" s="899"/>
      <c r="AE741" s="899"/>
      <c r="AF741" s="899"/>
      <c r="AG741" s="899"/>
      <c r="AH741" s="899"/>
      <c r="AI741" s="899"/>
      <c r="AJ741" s="899"/>
      <c r="AK741" s="899"/>
      <c r="AL741" s="899"/>
      <c r="AM741" s="899"/>
      <c r="AN741" s="899"/>
      <c r="AO741" s="899"/>
    </row>
    <row r="742">
      <c r="G742" s="899"/>
      <c r="H742" s="899"/>
      <c r="I742" s="899"/>
      <c r="J742" s="899"/>
      <c r="K742" s="899"/>
      <c r="L742" s="899"/>
      <c r="M742" s="899"/>
      <c r="N742" s="899"/>
      <c r="O742" s="899"/>
      <c r="P742" s="899"/>
      <c r="Q742" s="899"/>
      <c r="R742" s="899"/>
      <c r="S742" s="899"/>
      <c r="T742" s="899"/>
      <c r="U742" s="899"/>
      <c r="V742" s="899"/>
      <c r="W742" s="899"/>
      <c r="X742" s="899"/>
      <c r="Y742" s="899"/>
      <c r="Z742" s="899"/>
      <c r="AA742" s="899"/>
      <c r="AB742" s="899"/>
      <c r="AC742" s="899"/>
      <c r="AD742" s="899"/>
      <c r="AE742" s="899"/>
      <c r="AF742" s="899"/>
      <c r="AG742" s="899"/>
      <c r="AH742" s="899"/>
      <c r="AI742" s="899"/>
      <c r="AJ742" s="899"/>
      <c r="AK742" s="899"/>
      <c r="AL742" s="899"/>
      <c r="AM742" s="899"/>
      <c r="AN742" s="899"/>
      <c r="AO742" s="899"/>
    </row>
    <row r="743">
      <c r="G743" s="899"/>
      <c r="H743" s="899"/>
      <c r="I743" s="899"/>
      <c r="J743" s="899"/>
      <c r="K743" s="899"/>
      <c r="L743" s="899"/>
      <c r="M743" s="899"/>
      <c r="N743" s="899"/>
      <c r="O743" s="899"/>
      <c r="P743" s="899"/>
      <c r="Q743" s="899"/>
      <c r="R743" s="899"/>
      <c r="S743" s="899"/>
      <c r="T743" s="899"/>
      <c r="U743" s="899"/>
      <c r="V743" s="899"/>
      <c r="W743" s="899"/>
      <c r="X743" s="899"/>
      <c r="Y743" s="899"/>
      <c r="Z743" s="899"/>
      <c r="AA743" s="899"/>
      <c r="AB743" s="899"/>
      <c r="AC743" s="899"/>
      <c r="AD743" s="899"/>
      <c r="AE743" s="899"/>
      <c r="AF743" s="899"/>
      <c r="AG743" s="899"/>
      <c r="AH743" s="899"/>
      <c r="AI743" s="899"/>
      <c r="AJ743" s="899"/>
      <c r="AK743" s="899"/>
      <c r="AL743" s="899"/>
      <c r="AM743" s="899"/>
      <c r="AN743" s="899"/>
      <c r="AO743" s="899"/>
    </row>
    <row r="744">
      <c r="G744" s="899"/>
      <c r="H744" s="899"/>
      <c r="I744" s="899"/>
      <c r="J744" s="899"/>
      <c r="K744" s="899"/>
      <c r="L744" s="899"/>
      <c r="M744" s="899"/>
      <c r="N744" s="899"/>
      <c r="O744" s="899"/>
      <c r="P744" s="899"/>
      <c r="Q744" s="899"/>
      <c r="R744" s="899"/>
      <c r="S744" s="899"/>
      <c r="T744" s="899"/>
      <c r="U744" s="899"/>
      <c r="V744" s="899"/>
      <c r="W744" s="899"/>
      <c r="X744" s="899"/>
      <c r="Y744" s="899"/>
      <c r="Z744" s="899"/>
      <c r="AA744" s="899"/>
      <c r="AB744" s="899"/>
      <c r="AC744" s="899"/>
      <c r="AD744" s="899"/>
      <c r="AE744" s="899"/>
      <c r="AF744" s="899"/>
      <c r="AG744" s="899"/>
      <c r="AH744" s="899"/>
      <c r="AI744" s="899"/>
      <c r="AJ744" s="899"/>
      <c r="AK744" s="899"/>
      <c r="AL744" s="899"/>
      <c r="AM744" s="899"/>
      <c r="AN744" s="899"/>
      <c r="AO744" s="899"/>
    </row>
    <row r="745">
      <c r="G745" s="899"/>
      <c r="H745" s="899"/>
      <c r="I745" s="899"/>
      <c r="J745" s="899"/>
      <c r="K745" s="899"/>
      <c r="L745" s="899"/>
      <c r="M745" s="899"/>
      <c r="N745" s="899"/>
      <c r="O745" s="899"/>
      <c r="P745" s="899"/>
      <c r="Q745" s="899"/>
      <c r="R745" s="899"/>
      <c r="S745" s="899"/>
      <c r="T745" s="899"/>
      <c r="U745" s="899"/>
      <c r="V745" s="899"/>
      <c r="W745" s="899"/>
      <c r="X745" s="899"/>
      <c r="Y745" s="899"/>
      <c r="Z745" s="899"/>
      <c r="AA745" s="899"/>
      <c r="AB745" s="899"/>
      <c r="AC745" s="899"/>
      <c r="AD745" s="899"/>
      <c r="AE745" s="899"/>
      <c r="AF745" s="899"/>
      <c r="AG745" s="899"/>
      <c r="AH745" s="899"/>
      <c r="AI745" s="899"/>
      <c r="AJ745" s="899"/>
      <c r="AK745" s="899"/>
      <c r="AL745" s="899"/>
      <c r="AM745" s="899"/>
      <c r="AN745" s="899"/>
      <c r="AO745" s="899"/>
    </row>
    <row r="746">
      <c r="G746" s="899"/>
      <c r="H746" s="899"/>
      <c r="I746" s="899"/>
      <c r="J746" s="899"/>
      <c r="K746" s="899"/>
      <c r="L746" s="899"/>
      <c r="M746" s="899"/>
      <c r="N746" s="899"/>
      <c r="O746" s="899"/>
      <c r="P746" s="899"/>
      <c r="Q746" s="899"/>
      <c r="R746" s="899"/>
      <c r="S746" s="899"/>
      <c r="T746" s="899"/>
      <c r="U746" s="899"/>
      <c r="V746" s="899"/>
      <c r="W746" s="899"/>
      <c r="X746" s="899"/>
      <c r="Y746" s="899"/>
      <c r="Z746" s="899"/>
      <c r="AA746" s="899"/>
      <c r="AB746" s="899"/>
      <c r="AC746" s="899"/>
      <c r="AD746" s="899"/>
      <c r="AE746" s="899"/>
      <c r="AF746" s="899"/>
      <c r="AG746" s="899"/>
      <c r="AH746" s="899"/>
      <c r="AI746" s="899"/>
      <c r="AJ746" s="899"/>
      <c r="AK746" s="899"/>
      <c r="AL746" s="899"/>
      <c r="AM746" s="899"/>
      <c r="AN746" s="899"/>
      <c r="AO746" s="899"/>
    </row>
    <row r="747">
      <c r="G747" s="899"/>
      <c r="H747" s="899"/>
      <c r="I747" s="899"/>
      <c r="J747" s="899"/>
      <c r="K747" s="899"/>
      <c r="L747" s="899"/>
      <c r="M747" s="899"/>
      <c r="N747" s="899"/>
      <c r="O747" s="899"/>
      <c r="P747" s="899"/>
      <c r="Q747" s="899"/>
      <c r="R747" s="899"/>
      <c r="S747" s="899"/>
      <c r="T747" s="899"/>
      <c r="U747" s="899"/>
      <c r="V747" s="899"/>
      <c r="W747" s="899"/>
      <c r="X747" s="899"/>
      <c r="Y747" s="899"/>
      <c r="Z747" s="899"/>
      <c r="AA747" s="899"/>
      <c r="AB747" s="899"/>
      <c r="AC747" s="899"/>
      <c r="AD747" s="899"/>
      <c r="AE747" s="899"/>
      <c r="AF747" s="899"/>
      <c r="AG747" s="899"/>
      <c r="AH747" s="899"/>
      <c r="AI747" s="899"/>
      <c r="AJ747" s="899"/>
      <c r="AK747" s="899"/>
      <c r="AL747" s="899"/>
      <c r="AM747" s="899"/>
      <c r="AN747" s="899"/>
      <c r="AO747" s="899"/>
    </row>
    <row r="748">
      <c r="G748" s="899"/>
      <c r="H748" s="899"/>
      <c r="I748" s="899"/>
      <c r="J748" s="899"/>
      <c r="K748" s="899"/>
      <c r="L748" s="899"/>
      <c r="M748" s="899"/>
      <c r="N748" s="899"/>
      <c r="O748" s="899"/>
      <c r="P748" s="899"/>
      <c r="Q748" s="899"/>
      <c r="R748" s="899"/>
      <c r="S748" s="899"/>
      <c r="T748" s="899"/>
      <c r="U748" s="899"/>
      <c r="V748" s="899"/>
      <c r="W748" s="899"/>
      <c r="X748" s="899"/>
      <c r="Y748" s="899"/>
      <c r="Z748" s="899"/>
      <c r="AA748" s="899"/>
      <c r="AB748" s="899"/>
      <c r="AC748" s="899"/>
      <c r="AD748" s="899"/>
      <c r="AE748" s="899"/>
      <c r="AF748" s="899"/>
      <c r="AG748" s="899"/>
      <c r="AH748" s="899"/>
      <c r="AI748" s="899"/>
      <c r="AJ748" s="899"/>
      <c r="AK748" s="899"/>
      <c r="AL748" s="899"/>
      <c r="AM748" s="899"/>
      <c r="AN748" s="899"/>
      <c r="AO748" s="899"/>
    </row>
    <row r="749">
      <c r="G749" s="899"/>
      <c r="H749" s="899"/>
      <c r="I749" s="899"/>
      <c r="J749" s="899"/>
      <c r="K749" s="899"/>
      <c r="L749" s="899"/>
      <c r="M749" s="899"/>
      <c r="N749" s="899"/>
      <c r="O749" s="899"/>
      <c r="P749" s="899"/>
      <c r="Q749" s="899"/>
      <c r="R749" s="899"/>
      <c r="S749" s="899"/>
      <c r="T749" s="899"/>
      <c r="U749" s="899"/>
      <c r="V749" s="899"/>
      <c r="W749" s="899"/>
      <c r="X749" s="899"/>
      <c r="Y749" s="899"/>
      <c r="Z749" s="899"/>
      <c r="AA749" s="899"/>
      <c r="AB749" s="899"/>
      <c r="AC749" s="899"/>
      <c r="AD749" s="899"/>
      <c r="AE749" s="899"/>
      <c r="AF749" s="899"/>
      <c r="AG749" s="899"/>
      <c r="AH749" s="899"/>
      <c r="AI749" s="899"/>
      <c r="AJ749" s="899"/>
      <c r="AK749" s="899"/>
      <c r="AL749" s="899"/>
      <c r="AM749" s="899"/>
      <c r="AN749" s="899"/>
      <c r="AO749" s="899"/>
    </row>
    <row r="750">
      <c r="G750" s="899"/>
      <c r="H750" s="899"/>
      <c r="I750" s="899"/>
      <c r="J750" s="899"/>
      <c r="K750" s="899"/>
      <c r="L750" s="899"/>
      <c r="M750" s="899"/>
      <c r="N750" s="899"/>
      <c r="O750" s="899"/>
      <c r="P750" s="899"/>
      <c r="Q750" s="899"/>
      <c r="R750" s="899"/>
      <c r="S750" s="899"/>
      <c r="T750" s="899"/>
      <c r="U750" s="899"/>
      <c r="V750" s="899"/>
      <c r="W750" s="899"/>
      <c r="X750" s="899"/>
      <c r="Y750" s="899"/>
      <c r="Z750" s="899"/>
      <c r="AA750" s="899"/>
      <c r="AB750" s="899"/>
      <c r="AC750" s="899"/>
      <c r="AD750" s="899"/>
      <c r="AE750" s="899"/>
      <c r="AF750" s="899"/>
      <c r="AG750" s="899"/>
      <c r="AH750" s="899"/>
      <c r="AI750" s="899"/>
      <c r="AJ750" s="899"/>
      <c r="AK750" s="899"/>
      <c r="AL750" s="899"/>
      <c r="AM750" s="899"/>
      <c r="AN750" s="899"/>
      <c r="AO750" s="899"/>
    </row>
    <row r="751">
      <c r="G751" s="899"/>
      <c r="H751" s="899"/>
      <c r="I751" s="899"/>
      <c r="J751" s="899"/>
      <c r="K751" s="899"/>
      <c r="L751" s="899"/>
      <c r="M751" s="899"/>
      <c r="N751" s="899"/>
      <c r="O751" s="899"/>
      <c r="P751" s="899"/>
      <c r="Q751" s="899"/>
      <c r="R751" s="899"/>
      <c r="S751" s="899"/>
      <c r="T751" s="899"/>
      <c r="U751" s="899"/>
      <c r="V751" s="899"/>
      <c r="W751" s="899"/>
      <c r="X751" s="899"/>
      <c r="Y751" s="899"/>
      <c r="Z751" s="899"/>
      <c r="AA751" s="899"/>
      <c r="AB751" s="899"/>
      <c r="AC751" s="899"/>
      <c r="AD751" s="899"/>
      <c r="AE751" s="899"/>
      <c r="AF751" s="899"/>
      <c r="AG751" s="899"/>
      <c r="AH751" s="899"/>
      <c r="AI751" s="899"/>
      <c r="AJ751" s="899"/>
      <c r="AK751" s="899"/>
      <c r="AL751" s="899"/>
      <c r="AM751" s="899"/>
      <c r="AN751" s="899"/>
      <c r="AO751" s="899"/>
    </row>
    <row r="752">
      <c r="G752" s="899"/>
      <c r="H752" s="899"/>
      <c r="I752" s="899"/>
      <c r="J752" s="899"/>
      <c r="K752" s="899"/>
      <c r="L752" s="899"/>
      <c r="M752" s="899"/>
      <c r="N752" s="899"/>
      <c r="O752" s="899"/>
      <c r="P752" s="899"/>
      <c r="Q752" s="899"/>
      <c r="R752" s="899"/>
      <c r="S752" s="899"/>
      <c r="T752" s="899"/>
      <c r="U752" s="899"/>
      <c r="V752" s="899"/>
      <c r="W752" s="899"/>
      <c r="X752" s="899"/>
      <c r="Y752" s="899"/>
      <c r="Z752" s="899"/>
      <c r="AA752" s="899"/>
      <c r="AB752" s="899"/>
      <c r="AC752" s="899"/>
      <c r="AD752" s="899"/>
      <c r="AE752" s="899"/>
      <c r="AF752" s="899"/>
      <c r="AG752" s="899"/>
      <c r="AH752" s="899"/>
      <c r="AI752" s="899"/>
      <c r="AJ752" s="899"/>
      <c r="AK752" s="899"/>
      <c r="AL752" s="899"/>
      <c r="AM752" s="899"/>
      <c r="AN752" s="899"/>
      <c r="AO752" s="899"/>
    </row>
    <row r="753">
      <c r="G753" s="899"/>
      <c r="H753" s="899"/>
      <c r="I753" s="899"/>
      <c r="J753" s="899"/>
      <c r="K753" s="899"/>
      <c r="L753" s="899"/>
      <c r="M753" s="899"/>
      <c r="N753" s="899"/>
      <c r="O753" s="899"/>
      <c r="P753" s="899"/>
      <c r="Q753" s="899"/>
      <c r="R753" s="899"/>
      <c r="S753" s="899"/>
      <c r="T753" s="899"/>
      <c r="U753" s="899"/>
      <c r="V753" s="899"/>
      <c r="W753" s="899"/>
      <c r="X753" s="899"/>
      <c r="Y753" s="899"/>
      <c r="Z753" s="899"/>
      <c r="AA753" s="899"/>
      <c r="AB753" s="899"/>
      <c r="AC753" s="899"/>
      <c r="AD753" s="899"/>
      <c r="AE753" s="899"/>
      <c r="AF753" s="899"/>
      <c r="AG753" s="899"/>
      <c r="AH753" s="899"/>
      <c r="AI753" s="899"/>
      <c r="AJ753" s="899"/>
      <c r="AK753" s="899"/>
      <c r="AL753" s="899"/>
      <c r="AM753" s="899"/>
      <c r="AN753" s="899"/>
      <c r="AO753" s="899"/>
    </row>
    <row r="754">
      <c r="G754" s="899"/>
      <c r="H754" s="899"/>
      <c r="I754" s="899"/>
      <c r="J754" s="899"/>
      <c r="K754" s="899"/>
      <c r="L754" s="899"/>
      <c r="M754" s="899"/>
      <c r="N754" s="899"/>
      <c r="O754" s="899"/>
      <c r="P754" s="899"/>
      <c r="Q754" s="899"/>
      <c r="R754" s="899"/>
      <c r="S754" s="899"/>
      <c r="T754" s="899"/>
      <c r="U754" s="899"/>
      <c r="V754" s="899"/>
      <c r="W754" s="899"/>
      <c r="X754" s="899"/>
      <c r="Y754" s="899"/>
      <c r="Z754" s="899"/>
      <c r="AA754" s="899"/>
      <c r="AB754" s="899"/>
      <c r="AC754" s="899"/>
      <c r="AD754" s="899"/>
      <c r="AE754" s="899"/>
      <c r="AF754" s="899"/>
      <c r="AG754" s="899"/>
      <c r="AH754" s="899"/>
      <c r="AI754" s="899"/>
      <c r="AJ754" s="899"/>
      <c r="AK754" s="899"/>
      <c r="AL754" s="899"/>
      <c r="AM754" s="899"/>
      <c r="AN754" s="899"/>
      <c r="AO754" s="899"/>
    </row>
    <row r="755">
      <c r="G755" s="899"/>
      <c r="H755" s="899"/>
      <c r="I755" s="899"/>
      <c r="J755" s="899"/>
      <c r="K755" s="899"/>
      <c r="L755" s="899"/>
      <c r="M755" s="899"/>
      <c r="N755" s="899"/>
      <c r="O755" s="899"/>
      <c r="P755" s="899"/>
      <c r="Q755" s="899"/>
      <c r="R755" s="899"/>
      <c r="S755" s="899"/>
      <c r="T755" s="899"/>
      <c r="U755" s="899"/>
      <c r="V755" s="899"/>
      <c r="W755" s="899"/>
      <c r="X755" s="899"/>
      <c r="Y755" s="899"/>
      <c r="Z755" s="899"/>
      <c r="AA755" s="899"/>
      <c r="AB755" s="899"/>
      <c r="AC755" s="899"/>
      <c r="AD755" s="899"/>
      <c r="AE755" s="899"/>
      <c r="AF755" s="899"/>
      <c r="AG755" s="899"/>
      <c r="AH755" s="899"/>
      <c r="AI755" s="899"/>
      <c r="AJ755" s="899"/>
      <c r="AK755" s="899"/>
      <c r="AL755" s="899"/>
      <c r="AM755" s="899"/>
      <c r="AN755" s="899"/>
      <c r="AO755" s="899"/>
    </row>
    <row r="756">
      <c r="G756" s="899"/>
      <c r="H756" s="899"/>
      <c r="I756" s="899"/>
      <c r="J756" s="899"/>
      <c r="K756" s="899"/>
      <c r="L756" s="899"/>
      <c r="M756" s="899"/>
      <c r="N756" s="899"/>
      <c r="O756" s="899"/>
      <c r="P756" s="899"/>
      <c r="Q756" s="899"/>
      <c r="R756" s="899"/>
      <c r="S756" s="899"/>
      <c r="T756" s="899"/>
      <c r="U756" s="899"/>
      <c r="V756" s="899"/>
      <c r="W756" s="899"/>
      <c r="X756" s="899"/>
      <c r="Y756" s="899"/>
      <c r="Z756" s="899"/>
      <c r="AA756" s="899"/>
      <c r="AB756" s="899"/>
      <c r="AC756" s="899"/>
      <c r="AD756" s="899"/>
      <c r="AE756" s="899"/>
      <c r="AF756" s="899"/>
      <c r="AG756" s="899"/>
      <c r="AH756" s="899"/>
      <c r="AI756" s="899"/>
      <c r="AJ756" s="899"/>
      <c r="AK756" s="899"/>
      <c r="AL756" s="899"/>
      <c r="AM756" s="899"/>
      <c r="AN756" s="899"/>
      <c r="AO756" s="899"/>
    </row>
    <row r="757">
      <c r="G757" s="899"/>
      <c r="H757" s="899"/>
      <c r="I757" s="899"/>
      <c r="J757" s="899"/>
      <c r="K757" s="899"/>
      <c r="L757" s="899"/>
      <c r="M757" s="899"/>
      <c r="N757" s="899"/>
      <c r="O757" s="899"/>
      <c r="P757" s="899"/>
      <c r="Q757" s="899"/>
      <c r="R757" s="899"/>
      <c r="S757" s="899"/>
      <c r="T757" s="899"/>
      <c r="U757" s="899"/>
      <c r="V757" s="899"/>
      <c r="W757" s="899"/>
      <c r="X757" s="899"/>
      <c r="Y757" s="899"/>
      <c r="Z757" s="899"/>
      <c r="AA757" s="899"/>
      <c r="AB757" s="899"/>
      <c r="AC757" s="899"/>
      <c r="AD757" s="899"/>
      <c r="AE757" s="899"/>
      <c r="AF757" s="899"/>
      <c r="AG757" s="899"/>
      <c r="AH757" s="899"/>
      <c r="AI757" s="899"/>
      <c r="AJ757" s="899"/>
      <c r="AK757" s="899"/>
      <c r="AL757" s="899"/>
      <c r="AM757" s="899"/>
      <c r="AN757" s="899"/>
      <c r="AO757" s="899"/>
    </row>
    <row r="758">
      <c r="G758" s="899"/>
      <c r="H758" s="899"/>
      <c r="I758" s="899"/>
      <c r="J758" s="899"/>
      <c r="K758" s="899"/>
      <c r="L758" s="899"/>
      <c r="M758" s="899"/>
      <c r="N758" s="899"/>
      <c r="O758" s="899"/>
      <c r="P758" s="899"/>
      <c r="Q758" s="899"/>
      <c r="R758" s="899"/>
      <c r="S758" s="899"/>
      <c r="T758" s="899"/>
      <c r="U758" s="899"/>
      <c r="V758" s="899"/>
      <c r="W758" s="899"/>
      <c r="X758" s="899"/>
      <c r="Y758" s="899"/>
      <c r="Z758" s="899"/>
      <c r="AA758" s="899"/>
      <c r="AB758" s="899"/>
      <c r="AC758" s="899"/>
      <c r="AD758" s="899"/>
      <c r="AE758" s="899"/>
      <c r="AF758" s="899"/>
      <c r="AG758" s="899"/>
      <c r="AH758" s="899"/>
      <c r="AI758" s="899"/>
      <c r="AJ758" s="899"/>
      <c r="AK758" s="899"/>
      <c r="AL758" s="899"/>
      <c r="AM758" s="899"/>
      <c r="AN758" s="899"/>
      <c r="AO758" s="899"/>
    </row>
    <row r="759">
      <c r="G759" s="899"/>
      <c r="H759" s="899"/>
      <c r="I759" s="899"/>
      <c r="J759" s="899"/>
      <c r="K759" s="899"/>
      <c r="L759" s="899"/>
      <c r="M759" s="899"/>
      <c r="N759" s="899"/>
      <c r="O759" s="899"/>
      <c r="P759" s="899"/>
      <c r="Q759" s="899"/>
      <c r="R759" s="899"/>
      <c r="S759" s="899"/>
      <c r="T759" s="899"/>
      <c r="U759" s="899"/>
      <c r="V759" s="899"/>
      <c r="W759" s="899"/>
      <c r="X759" s="899"/>
      <c r="Y759" s="899"/>
      <c r="Z759" s="899"/>
      <c r="AA759" s="899"/>
      <c r="AB759" s="899"/>
      <c r="AC759" s="899"/>
      <c r="AD759" s="899"/>
      <c r="AE759" s="899"/>
      <c r="AF759" s="899"/>
      <c r="AG759" s="899"/>
      <c r="AH759" s="899"/>
      <c r="AI759" s="899"/>
      <c r="AJ759" s="899"/>
      <c r="AK759" s="899"/>
      <c r="AL759" s="899"/>
      <c r="AM759" s="899"/>
      <c r="AN759" s="899"/>
      <c r="AO759" s="899"/>
    </row>
    <row r="760">
      <c r="G760" s="899"/>
      <c r="H760" s="899"/>
      <c r="I760" s="899"/>
      <c r="J760" s="899"/>
      <c r="K760" s="899"/>
      <c r="L760" s="899"/>
      <c r="M760" s="899"/>
      <c r="N760" s="899"/>
      <c r="O760" s="899"/>
      <c r="P760" s="899"/>
      <c r="Q760" s="899"/>
      <c r="R760" s="899"/>
      <c r="S760" s="899"/>
      <c r="T760" s="899"/>
      <c r="U760" s="899"/>
      <c r="V760" s="899"/>
      <c r="W760" s="899"/>
      <c r="X760" s="899"/>
      <c r="Y760" s="899"/>
      <c r="Z760" s="899"/>
      <c r="AA760" s="899"/>
      <c r="AB760" s="899"/>
      <c r="AC760" s="899"/>
      <c r="AD760" s="899"/>
      <c r="AE760" s="899"/>
      <c r="AF760" s="899"/>
      <c r="AG760" s="899"/>
      <c r="AH760" s="899"/>
      <c r="AI760" s="899"/>
      <c r="AJ760" s="899"/>
      <c r="AK760" s="899"/>
      <c r="AL760" s="899"/>
      <c r="AM760" s="899"/>
      <c r="AN760" s="899"/>
      <c r="AO760" s="899"/>
    </row>
    <row r="761">
      <c r="G761" s="899"/>
      <c r="H761" s="899"/>
      <c r="I761" s="899"/>
      <c r="J761" s="899"/>
      <c r="K761" s="899"/>
      <c r="L761" s="899"/>
      <c r="M761" s="899"/>
      <c r="N761" s="899"/>
      <c r="O761" s="899"/>
      <c r="P761" s="899"/>
      <c r="Q761" s="899"/>
      <c r="R761" s="899"/>
      <c r="S761" s="899"/>
      <c r="T761" s="899"/>
      <c r="U761" s="899"/>
      <c r="V761" s="899"/>
      <c r="W761" s="899"/>
      <c r="X761" s="899"/>
      <c r="Y761" s="899"/>
      <c r="Z761" s="899"/>
      <c r="AA761" s="899"/>
      <c r="AB761" s="899"/>
      <c r="AC761" s="899"/>
      <c r="AD761" s="899"/>
      <c r="AE761" s="899"/>
      <c r="AF761" s="899"/>
      <c r="AG761" s="899"/>
      <c r="AH761" s="899"/>
      <c r="AI761" s="899"/>
      <c r="AJ761" s="899"/>
      <c r="AK761" s="899"/>
      <c r="AL761" s="899"/>
      <c r="AM761" s="899"/>
      <c r="AN761" s="899"/>
      <c r="AO761" s="899"/>
    </row>
    <row r="762">
      <c r="G762" s="899"/>
      <c r="H762" s="899"/>
      <c r="I762" s="899"/>
      <c r="J762" s="899"/>
      <c r="K762" s="899"/>
      <c r="L762" s="899"/>
      <c r="M762" s="899"/>
      <c r="N762" s="899"/>
      <c r="O762" s="899"/>
      <c r="P762" s="899"/>
      <c r="Q762" s="899"/>
      <c r="R762" s="899"/>
      <c r="S762" s="899"/>
      <c r="T762" s="899"/>
      <c r="U762" s="899"/>
      <c r="V762" s="899"/>
      <c r="W762" s="899"/>
      <c r="X762" s="899"/>
      <c r="Y762" s="899"/>
      <c r="Z762" s="899"/>
      <c r="AA762" s="899"/>
      <c r="AB762" s="899"/>
      <c r="AC762" s="899"/>
      <c r="AD762" s="899"/>
      <c r="AE762" s="899"/>
      <c r="AF762" s="899"/>
      <c r="AG762" s="899"/>
      <c r="AH762" s="899"/>
      <c r="AI762" s="899"/>
      <c r="AJ762" s="899"/>
      <c r="AK762" s="899"/>
      <c r="AL762" s="899"/>
      <c r="AM762" s="899"/>
      <c r="AN762" s="899"/>
      <c r="AO762" s="899"/>
    </row>
    <row r="763">
      <c r="G763" s="899"/>
      <c r="H763" s="899"/>
      <c r="I763" s="899"/>
      <c r="J763" s="899"/>
      <c r="K763" s="899"/>
      <c r="L763" s="899"/>
      <c r="M763" s="899"/>
      <c r="N763" s="899"/>
      <c r="O763" s="899"/>
      <c r="P763" s="899"/>
      <c r="Q763" s="899"/>
      <c r="R763" s="899"/>
      <c r="S763" s="899"/>
      <c r="T763" s="899"/>
      <c r="U763" s="899"/>
      <c r="V763" s="899"/>
      <c r="W763" s="899"/>
      <c r="X763" s="899"/>
      <c r="Y763" s="899"/>
      <c r="Z763" s="899"/>
      <c r="AA763" s="899"/>
      <c r="AB763" s="899"/>
      <c r="AC763" s="899"/>
      <c r="AD763" s="899"/>
      <c r="AE763" s="899"/>
      <c r="AF763" s="899"/>
      <c r="AG763" s="899"/>
      <c r="AH763" s="899"/>
      <c r="AI763" s="899"/>
      <c r="AJ763" s="899"/>
      <c r="AK763" s="899"/>
      <c r="AL763" s="899"/>
      <c r="AM763" s="899"/>
      <c r="AN763" s="899"/>
      <c r="AO763" s="899"/>
    </row>
    <row r="764">
      <c r="G764" s="899"/>
      <c r="H764" s="899"/>
      <c r="I764" s="899"/>
      <c r="J764" s="899"/>
      <c r="K764" s="899"/>
      <c r="L764" s="899"/>
      <c r="M764" s="899"/>
      <c r="N764" s="899"/>
      <c r="O764" s="899"/>
      <c r="P764" s="899"/>
      <c r="Q764" s="899"/>
      <c r="R764" s="899"/>
      <c r="S764" s="899"/>
      <c r="T764" s="899"/>
      <c r="U764" s="899"/>
      <c r="V764" s="899"/>
      <c r="W764" s="899"/>
      <c r="X764" s="899"/>
      <c r="Y764" s="899"/>
      <c r="Z764" s="899"/>
      <c r="AA764" s="899"/>
      <c r="AB764" s="899"/>
      <c r="AC764" s="899"/>
      <c r="AD764" s="899"/>
      <c r="AE764" s="899"/>
      <c r="AF764" s="899"/>
      <c r="AG764" s="899"/>
      <c r="AH764" s="899"/>
      <c r="AI764" s="899"/>
      <c r="AJ764" s="899"/>
      <c r="AK764" s="899"/>
      <c r="AL764" s="899"/>
      <c r="AM764" s="899"/>
      <c r="AN764" s="899"/>
      <c r="AO764" s="899"/>
    </row>
    <row r="765">
      <c r="G765" s="899"/>
      <c r="H765" s="899"/>
      <c r="I765" s="899"/>
      <c r="J765" s="899"/>
      <c r="K765" s="899"/>
      <c r="L765" s="899"/>
      <c r="M765" s="899"/>
      <c r="N765" s="899"/>
      <c r="O765" s="899"/>
      <c r="P765" s="899"/>
      <c r="Q765" s="899"/>
      <c r="R765" s="899"/>
      <c r="S765" s="899"/>
      <c r="T765" s="899"/>
      <c r="U765" s="899"/>
      <c r="V765" s="899"/>
      <c r="W765" s="899"/>
      <c r="X765" s="899"/>
      <c r="Y765" s="899"/>
      <c r="Z765" s="899"/>
      <c r="AA765" s="899"/>
      <c r="AB765" s="899"/>
      <c r="AC765" s="899"/>
      <c r="AD765" s="899"/>
      <c r="AE765" s="899"/>
      <c r="AF765" s="899"/>
      <c r="AG765" s="899"/>
      <c r="AH765" s="899"/>
      <c r="AI765" s="899"/>
      <c r="AJ765" s="899"/>
      <c r="AK765" s="899"/>
      <c r="AL765" s="899"/>
      <c r="AM765" s="899"/>
      <c r="AN765" s="899"/>
      <c r="AO765" s="899"/>
    </row>
    <row r="766">
      <c r="G766" s="899"/>
      <c r="H766" s="899"/>
      <c r="I766" s="899"/>
      <c r="J766" s="899"/>
      <c r="K766" s="899"/>
      <c r="L766" s="899"/>
      <c r="M766" s="899"/>
      <c r="N766" s="899"/>
      <c r="O766" s="899"/>
      <c r="P766" s="899"/>
      <c r="Q766" s="899"/>
      <c r="R766" s="899"/>
      <c r="S766" s="899"/>
      <c r="T766" s="899"/>
      <c r="U766" s="899"/>
      <c r="V766" s="899"/>
      <c r="W766" s="899"/>
      <c r="X766" s="899"/>
      <c r="Y766" s="899"/>
      <c r="Z766" s="899"/>
      <c r="AA766" s="899"/>
      <c r="AB766" s="899"/>
      <c r="AC766" s="899"/>
      <c r="AD766" s="899"/>
      <c r="AE766" s="899"/>
      <c r="AF766" s="899"/>
      <c r="AG766" s="899"/>
      <c r="AH766" s="899"/>
      <c r="AI766" s="899"/>
      <c r="AJ766" s="899"/>
      <c r="AK766" s="899"/>
      <c r="AL766" s="899"/>
      <c r="AM766" s="899"/>
      <c r="AN766" s="899"/>
      <c r="AO766" s="899"/>
    </row>
    <row r="767">
      <c r="G767" s="899"/>
      <c r="H767" s="899"/>
      <c r="I767" s="899"/>
      <c r="J767" s="899"/>
      <c r="K767" s="899"/>
      <c r="L767" s="899"/>
      <c r="M767" s="899"/>
      <c r="N767" s="899"/>
      <c r="O767" s="899"/>
      <c r="P767" s="899"/>
      <c r="Q767" s="899"/>
      <c r="R767" s="899"/>
      <c r="S767" s="899"/>
      <c r="T767" s="899"/>
      <c r="U767" s="899"/>
      <c r="V767" s="899"/>
      <c r="W767" s="899"/>
      <c r="X767" s="899"/>
      <c r="Y767" s="899"/>
      <c r="Z767" s="899"/>
      <c r="AA767" s="899"/>
      <c r="AB767" s="899"/>
      <c r="AC767" s="899"/>
      <c r="AD767" s="899"/>
      <c r="AE767" s="899"/>
      <c r="AF767" s="899"/>
      <c r="AG767" s="899"/>
      <c r="AH767" s="899"/>
      <c r="AI767" s="899"/>
      <c r="AJ767" s="899"/>
      <c r="AK767" s="899"/>
      <c r="AL767" s="899"/>
      <c r="AM767" s="899"/>
      <c r="AN767" s="899"/>
      <c r="AO767" s="899"/>
    </row>
    <row r="768">
      <c r="G768" s="899"/>
      <c r="H768" s="899"/>
      <c r="I768" s="899"/>
      <c r="J768" s="899"/>
      <c r="K768" s="899"/>
      <c r="L768" s="899"/>
      <c r="M768" s="899"/>
      <c r="N768" s="899"/>
      <c r="O768" s="899"/>
      <c r="P768" s="899"/>
      <c r="Q768" s="899"/>
      <c r="R768" s="899"/>
      <c r="S768" s="899"/>
      <c r="T768" s="899"/>
      <c r="U768" s="899"/>
      <c r="V768" s="899"/>
      <c r="W768" s="899"/>
      <c r="X768" s="899"/>
      <c r="Y768" s="899"/>
      <c r="Z768" s="899"/>
      <c r="AA768" s="899"/>
      <c r="AB768" s="899"/>
      <c r="AC768" s="899"/>
      <c r="AD768" s="899"/>
      <c r="AE768" s="899"/>
      <c r="AF768" s="899"/>
      <c r="AG768" s="899"/>
      <c r="AH768" s="899"/>
      <c r="AI768" s="899"/>
      <c r="AJ768" s="899"/>
      <c r="AK768" s="899"/>
      <c r="AL768" s="899"/>
      <c r="AM768" s="899"/>
      <c r="AN768" s="899"/>
      <c r="AO768" s="899"/>
    </row>
    <row r="769">
      <c r="G769" s="899"/>
      <c r="H769" s="899"/>
      <c r="I769" s="899"/>
      <c r="J769" s="899"/>
      <c r="K769" s="899"/>
      <c r="L769" s="899"/>
      <c r="M769" s="899"/>
      <c r="N769" s="899"/>
      <c r="O769" s="899"/>
      <c r="P769" s="899"/>
      <c r="Q769" s="899"/>
      <c r="R769" s="899"/>
      <c r="S769" s="899"/>
      <c r="T769" s="899"/>
      <c r="U769" s="899"/>
      <c r="V769" s="899"/>
      <c r="W769" s="899"/>
      <c r="X769" s="899"/>
      <c r="Y769" s="899"/>
      <c r="Z769" s="899"/>
      <c r="AA769" s="899"/>
      <c r="AB769" s="899"/>
      <c r="AC769" s="899"/>
      <c r="AD769" s="899"/>
      <c r="AE769" s="899"/>
      <c r="AF769" s="899"/>
      <c r="AG769" s="899"/>
      <c r="AH769" s="899"/>
      <c r="AI769" s="899"/>
      <c r="AJ769" s="899"/>
      <c r="AK769" s="899"/>
      <c r="AL769" s="899"/>
      <c r="AM769" s="899"/>
      <c r="AN769" s="899"/>
      <c r="AO769" s="899"/>
    </row>
    <row r="770">
      <c r="G770" s="899"/>
      <c r="H770" s="899"/>
      <c r="I770" s="899"/>
      <c r="J770" s="899"/>
      <c r="K770" s="899"/>
      <c r="L770" s="899"/>
      <c r="M770" s="899"/>
      <c r="N770" s="899"/>
      <c r="O770" s="899"/>
      <c r="P770" s="899"/>
      <c r="Q770" s="899"/>
      <c r="R770" s="899"/>
      <c r="S770" s="899"/>
      <c r="T770" s="899"/>
      <c r="U770" s="899"/>
      <c r="V770" s="899"/>
      <c r="W770" s="899"/>
      <c r="X770" s="899"/>
      <c r="Y770" s="899"/>
      <c r="Z770" s="899"/>
      <c r="AA770" s="899"/>
      <c r="AB770" s="899"/>
      <c r="AC770" s="899"/>
      <c r="AD770" s="899"/>
      <c r="AE770" s="899"/>
      <c r="AF770" s="899"/>
      <c r="AG770" s="899"/>
      <c r="AH770" s="899"/>
      <c r="AI770" s="899"/>
      <c r="AJ770" s="899"/>
      <c r="AK770" s="899"/>
      <c r="AL770" s="899"/>
      <c r="AM770" s="899"/>
      <c r="AN770" s="899"/>
      <c r="AO770" s="899"/>
    </row>
    <row r="771">
      <c r="G771" s="899"/>
      <c r="H771" s="899"/>
      <c r="I771" s="899"/>
      <c r="J771" s="899"/>
      <c r="K771" s="899"/>
      <c r="L771" s="899"/>
      <c r="M771" s="899"/>
      <c r="N771" s="899"/>
      <c r="O771" s="899"/>
      <c r="P771" s="899"/>
      <c r="Q771" s="899"/>
      <c r="R771" s="899"/>
      <c r="S771" s="899"/>
      <c r="T771" s="899"/>
      <c r="U771" s="899"/>
      <c r="V771" s="899"/>
      <c r="W771" s="899"/>
      <c r="X771" s="899"/>
      <c r="Y771" s="899"/>
      <c r="Z771" s="899"/>
      <c r="AA771" s="899"/>
      <c r="AB771" s="899"/>
      <c r="AC771" s="899"/>
      <c r="AD771" s="899"/>
      <c r="AE771" s="899"/>
      <c r="AF771" s="899"/>
      <c r="AG771" s="899"/>
      <c r="AH771" s="899"/>
      <c r="AI771" s="899"/>
      <c r="AJ771" s="899"/>
      <c r="AK771" s="899"/>
      <c r="AL771" s="899"/>
      <c r="AM771" s="899"/>
      <c r="AN771" s="899"/>
      <c r="AO771" s="899"/>
    </row>
    <row r="772">
      <c r="G772" s="899"/>
      <c r="H772" s="899"/>
      <c r="I772" s="899"/>
      <c r="J772" s="899"/>
      <c r="K772" s="899"/>
      <c r="L772" s="899"/>
      <c r="M772" s="899"/>
      <c r="N772" s="899"/>
      <c r="O772" s="899"/>
      <c r="P772" s="899"/>
      <c r="Q772" s="899"/>
      <c r="R772" s="899"/>
      <c r="S772" s="899"/>
      <c r="T772" s="899"/>
      <c r="U772" s="899"/>
      <c r="V772" s="899"/>
      <c r="W772" s="899"/>
      <c r="X772" s="899"/>
      <c r="Y772" s="899"/>
      <c r="Z772" s="899"/>
      <c r="AA772" s="899"/>
      <c r="AB772" s="899"/>
      <c r="AC772" s="899"/>
      <c r="AD772" s="899"/>
      <c r="AE772" s="899"/>
      <c r="AF772" s="899"/>
      <c r="AG772" s="899"/>
      <c r="AH772" s="899"/>
      <c r="AI772" s="899"/>
      <c r="AJ772" s="899"/>
      <c r="AK772" s="899"/>
      <c r="AL772" s="899"/>
      <c r="AM772" s="899"/>
      <c r="AN772" s="899"/>
      <c r="AO772" s="899"/>
    </row>
    <row r="773">
      <c r="G773" s="899"/>
      <c r="H773" s="899"/>
      <c r="I773" s="899"/>
      <c r="J773" s="899"/>
      <c r="K773" s="899"/>
      <c r="L773" s="899"/>
      <c r="M773" s="899"/>
      <c r="N773" s="899"/>
      <c r="O773" s="899"/>
      <c r="P773" s="899"/>
      <c r="Q773" s="899"/>
      <c r="R773" s="899"/>
      <c r="S773" s="899"/>
      <c r="T773" s="899"/>
      <c r="U773" s="899"/>
      <c r="V773" s="899"/>
      <c r="W773" s="899"/>
      <c r="X773" s="899"/>
      <c r="Y773" s="899"/>
      <c r="Z773" s="899"/>
      <c r="AA773" s="899"/>
      <c r="AB773" s="899"/>
      <c r="AC773" s="899"/>
      <c r="AD773" s="899"/>
      <c r="AE773" s="899"/>
      <c r="AF773" s="899"/>
      <c r="AG773" s="899"/>
      <c r="AH773" s="899"/>
      <c r="AI773" s="899"/>
      <c r="AJ773" s="899"/>
      <c r="AK773" s="899"/>
      <c r="AL773" s="899"/>
      <c r="AM773" s="899"/>
      <c r="AN773" s="899"/>
      <c r="AO773" s="899"/>
    </row>
    <row r="774">
      <c r="G774" s="899"/>
      <c r="H774" s="899"/>
      <c r="I774" s="899"/>
      <c r="J774" s="899"/>
      <c r="K774" s="899"/>
      <c r="L774" s="899"/>
      <c r="M774" s="899"/>
      <c r="N774" s="899"/>
      <c r="O774" s="899"/>
      <c r="P774" s="899"/>
      <c r="Q774" s="899"/>
      <c r="R774" s="899"/>
      <c r="S774" s="899"/>
      <c r="T774" s="899"/>
      <c r="U774" s="899"/>
      <c r="V774" s="899"/>
      <c r="W774" s="899"/>
      <c r="X774" s="899"/>
      <c r="Y774" s="899"/>
      <c r="Z774" s="899"/>
      <c r="AA774" s="899"/>
      <c r="AB774" s="899"/>
      <c r="AC774" s="899"/>
      <c r="AD774" s="899"/>
      <c r="AE774" s="899"/>
      <c r="AF774" s="899"/>
      <c r="AG774" s="899"/>
      <c r="AH774" s="899"/>
      <c r="AI774" s="899"/>
      <c r="AJ774" s="899"/>
      <c r="AK774" s="899"/>
      <c r="AL774" s="899"/>
      <c r="AM774" s="899"/>
      <c r="AN774" s="899"/>
      <c r="AO774" s="899"/>
    </row>
    <row r="775">
      <c r="G775" s="899"/>
      <c r="H775" s="899"/>
      <c r="I775" s="899"/>
      <c r="J775" s="899"/>
      <c r="K775" s="899"/>
      <c r="L775" s="899"/>
      <c r="M775" s="899"/>
      <c r="N775" s="899"/>
      <c r="O775" s="899"/>
      <c r="P775" s="899"/>
      <c r="Q775" s="899"/>
      <c r="R775" s="899"/>
      <c r="S775" s="899"/>
      <c r="T775" s="899"/>
      <c r="U775" s="899"/>
      <c r="V775" s="899"/>
      <c r="W775" s="899"/>
      <c r="X775" s="899"/>
      <c r="Y775" s="899"/>
      <c r="Z775" s="899"/>
      <c r="AA775" s="899"/>
      <c r="AB775" s="899"/>
      <c r="AC775" s="899"/>
      <c r="AD775" s="899"/>
      <c r="AE775" s="899"/>
      <c r="AF775" s="899"/>
      <c r="AG775" s="899"/>
      <c r="AH775" s="899"/>
      <c r="AI775" s="899"/>
      <c r="AJ775" s="899"/>
      <c r="AK775" s="899"/>
      <c r="AL775" s="899"/>
      <c r="AM775" s="899"/>
      <c r="AN775" s="899"/>
      <c r="AO775" s="899"/>
    </row>
    <row r="776">
      <c r="G776" s="899"/>
      <c r="H776" s="899"/>
      <c r="I776" s="899"/>
      <c r="J776" s="899"/>
      <c r="K776" s="899"/>
      <c r="L776" s="899"/>
      <c r="M776" s="899"/>
      <c r="N776" s="899"/>
      <c r="O776" s="899"/>
      <c r="P776" s="899"/>
      <c r="Q776" s="899"/>
      <c r="R776" s="899"/>
      <c r="S776" s="899"/>
      <c r="T776" s="899"/>
      <c r="U776" s="899"/>
      <c r="V776" s="899"/>
      <c r="W776" s="899"/>
      <c r="X776" s="899"/>
      <c r="Y776" s="899"/>
      <c r="Z776" s="899"/>
      <c r="AA776" s="899"/>
      <c r="AB776" s="899"/>
      <c r="AC776" s="899"/>
      <c r="AD776" s="899"/>
      <c r="AE776" s="899"/>
      <c r="AF776" s="899"/>
      <c r="AG776" s="899"/>
      <c r="AH776" s="899"/>
      <c r="AI776" s="899"/>
      <c r="AJ776" s="899"/>
      <c r="AK776" s="899"/>
      <c r="AL776" s="899"/>
      <c r="AM776" s="899"/>
      <c r="AN776" s="899"/>
      <c r="AO776" s="899"/>
    </row>
    <row r="777">
      <c r="G777" s="899"/>
      <c r="H777" s="899"/>
      <c r="I777" s="899"/>
      <c r="J777" s="899"/>
      <c r="K777" s="899"/>
      <c r="L777" s="899"/>
      <c r="M777" s="899"/>
      <c r="N777" s="899"/>
      <c r="O777" s="899"/>
      <c r="P777" s="899"/>
      <c r="Q777" s="899"/>
      <c r="R777" s="899"/>
      <c r="S777" s="899"/>
      <c r="T777" s="899"/>
      <c r="U777" s="899"/>
      <c r="V777" s="899"/>
      <c r="W777" s="899"/>
      <c r="X777" s="899"/>
      <c r="Y777" s="899"/>
      <c r="Z777" s="899"/>
      <c r="AA777" s="899"/>
      <c r="AB777" s="899"/>
      <c r="AC777" s="899"/>
      <c r="AD777" s="899"/>
      <c r="AE777" s="899"/>
      <c r="AF777" s="899"/>
      <c r="AG777" s="899"/>
      <c r="AH777" s="899"/>
      <c r="AI777" s="899"/>
      <c r="AJ777" s="899"/>
      <c r="AK777" s="899"/>
      <c r="AL777" s="899"/>
      <c r="AM777" s="899"/>
      <c r="AN777" s="899"/>
      <c r="AO777" s="899"/>
    </row>
    <row r="778">
      <c r="G778" s="899"/>
      <c r="H778" s="899"/>
      <c r="I778" s="899"/>
      <c r="J778" s="899"/>
      <c r="K778" s="899"/>
      <c r="L778" s="899"/>
      <c r="M778" s="899"/>
      <c r="N778" s="899"/>
      <c r="O778" s="899"/>
      <c r="P778" s="899"/>
      <c r="Q778" s="899"/>
      <c r="R778" s="899"/>
      <c r="S778" s="899"/>
      <c r="T778" s="899"/>
      <c r="U778" s="899"/>
      <c r="V778" s="899"/>
      <c r="W778" s="899"/>
      <c r="X778" s="899"/>
      <c r="Y778" s="899"/>
      <c r="Z778" s="899"/>
      <c r="AA778" s="899"/>
      <c r="AB778" s="899"/>
      <c r="AC778" s="899"/>
      <c r="AD778" s="899"/>
      <c r="AE778" s="899"/>
      <c r="AF778" s="899"/>
      <c r="AG778" s="899"/>
      <c r="AH778" s="899"/>
      <c r="AI778" s="899"/>
      <c r="AJ778" s="899"/>
      <c r="AK778" s="899"/>
      <c r="AL778" s="899"/>
      <c r="AM778" s="899"/>
      <c r="AN778" s="899"/>
      <c r="AO778" s="899"/>
    </row>
    <row r="779">
      <c r="G779" s="899"/>
      <c r="H779" s="899"/>
      <c r="I779" s="899"/>
      <c r="J779" s="899"/>
      <c r="K779" s="899"/>
      <c r="L779" s="899"/>
      <c r="M779" s="899"/>
      <c r="N779" s="899"/>
      <c r="O779" s="899"/>
      <c r="P779" s="899"/>
      <c r="Q779" s="899"/>
      <c r="R779" s="899"/>
      <c r="S779" s="899"/>
      <c r="T779" s="899"/>
      <c r="U779" s="899"/>
      <c r="V779" s="899"/>
      <c r="W779" s="899"/>
      <c r="X779" s="899"/>
      <c r="Y779" s="899"/>
      <c r="Z779" s="899"/>
      <c r="AA779" s="899"/>
      <c r="AB779" s="899"/>
      <c r="AC779" s="899"/>
      <c r="AD779" s="899"/>
      <c r="AE779" s="899"/>
      <c r="AF779" s="899"/>
      <c r="AG779" s="899"/>
      <c r="AH779" s="899"/>
      <c r="AI779" s="899"/>
      <c r="AJ779" s="899"/>
      <c r="AK779" s="899"/>
      <c r="AL779" s="899"/>
      <c r="AM779" s="899"/>
      <c r="AN779" s="899"/>
      <c r="AO779" s="899"/>
    </row>
    <row r="780">
      <c r="G780" s="899"/>
      <c r="H780" s="899"/>
      <c r="I780" s="899"/>
      <c r="J780" s="899"/>
      <c r="K780" s="899"/>
      <c r="L780" s="899"/>
      <c r="M780" s="899"/>
      <c r="N780" s="899"/>
      <c r="O780" s="899"/>
      <c r="P780" s="899"/>
      <c r="Q780" s="899"/>
      <c r="R780" s="899"/>
      <c r="S780" s="899"/>
      <c r="T780" s="899"/>
      <c r="U780" s="899"/>
      <c r="V780" s="899"/>
      <c r="W780" s="899"/>
      <c r="X780" s="899"/>
      <c r="Y780" s="899"/>
      <c r="Z780" s="899"/>
      <c r="AA780" s="899"/>
      <c r="AB780" s="899"/>
      <c r="AC780" s="899"/>
      <c r="AD780" s="899"/>
      <c r="AE780" s="899"/>
      <c r="AF780" s="899"/>
      <c r="AG780" s="899"/>
      <c r="AH780" s="899"/>
      <c r="AI780" s="899"/>
      <c r="AJ780" s="899"/>
      <c r="AK780" s="899"/>
      <c r="AL780" s="899"/>
      <c r="AM780" s="899"/>
      <c r="AN780" s="899"/>
      <c r="AO780" s="899"/>
    </row>
    <row r="781">
      <c r="G781" s="899"/>
      <c r="H781" s="899"/>
      <c r="I781" s="899"/>
      <c r="J781" s="899"/>
      <c r="K781" s="899"/>
      <c r="L781" s="899"/>
      <c r="M781" s="899"/>
      <c r="N781" s="899"/>
      <c r="O781" s="899"/>
      <c r="P781" s="899"/>
      <c r="Q781" s="899"/>
      <c r="R781" s="899"/>
      <c r="S781" s="899"/>
      <c r="T781" s="899"/>
      <c r="U781" s="899"/>
      <c r="V781" s="899"/>
      <c r="W781" s="899"/>
      <c r="X781" s="899"/>
      <c r="Y781" s="899"/>
      <c r="Z781" s="899"/>
      <c r="AA781" s="899"/>
      <c r="AB781" s="899"/>
      <c r="AC781" s="899"/>
      <c r="AD781" s="899"/>
      <c r="AE781" s="899"/>
      <c r="AF781" s="899"/>
      <c r="AG781" s="899"/>
      <c r="AH781" s="899"/>
      <c r="AI781" s="899"/>
      <c r="AJ781" s="899"/>
      <c r="AK781" s="899"/>
      <c r="AL781" s="899"/>
      <c r="AM781" s="899"/>
      <c r="AN781" s="899"/>
      <c r="AO781" s="899"/>
    </row>
    <row r="782">
      <c r="G782" s="899"/>
      <c r="H782" s="899"/>
      <c r="I782" s="899"/>
      <c r="J782" s="899"/>
      <c r="K782" s="899"/>
      <c r="L782" s="899"/>
      <c r="M782" s="899"/>
      <c r="N782" s="899"/>
      <c r="O782" s="899"/>
      <c r="P782" s="899"/>
      <c r="Q782" s="899"/>
      <c r="R782" s="899"/>
      <c r="S782" s="899"/>
      <c r="T782" s="899"/>
      <c r="U782" s="899"/>
      <c r="V782" s="899"/>
      <c r="W782" s="899"/>
      <c r="X782" s="899"/>
      <c r="Y782" s="899"/>
      <c r="Z782" s="899"/>
      <c r="AA782" s="899"/>
      <c r="AB782" s="899"/>
      <c r="AC782" s="899"/>
      <c r="AD782" s="899"/>
      <c r="AE782" s="899"/>
      <c r="AF782" s="899"/>
      <c r="AG782" s="899"/>
      <c r="AH782" s="899"/>
      <c r="AI782" s="899"/>
      <c r="AJ782" s="899"/>
      <c r="AK782" s="899"/>
      <c r="AL782" s="899"/>
      <c r="AM782" s="899"/>
      <c r="AN782" s="899"/>
      <c r="AO782" s="899"/>
    </row>
    <row r="783">
      <c r="G783" s="899"/>
      <c r="H783" s="899"/>
      <c r="I783" s="899"/>
      <c r="J783" s="899"/>
      <c r="K783" s="899"/>
      <c r="L783" s="899"/>
      <c r="M783" s="899"/>
      <c r="N783" s="899"/>
      <c r="O783" s="899"/>
      <c r="P783" s="899"/>
      <c r="Q783" s="899"/>
      <c r="R783" s="899"/>
      <c r="S783" s="899"/>
      <c r="T783" s="899"/>
      <c r="U783" s="899"/>
      <c r="V783" s="899"/>
      <c r="W783" s="899"/>
      <c r="X783" s="899"/>
      <c r="Y783" s="899"/>
      <c r="Z783" s="899"/>
      <c r="AA783" s="899"/>
      <c r="AB783" s="899"/>
      <c r="AC783" s="899"/>
      <c r="AD783" s="899"/>
      <c r="AE783" s="899"/>
      <c r="AF783" s="899"/>
      <c r="AG783" s="899"/>
      <c r="AH783" s="899"/>
      <c r="AI783" s="899"/>
      <c r="AJ783" s="899"/>
      <c r="AK783" s="899"/>
      <c r="AL783" s="899"/>
      <c r="AM783" s="899"/>
      <c r="AN783" s="899"/>
      <c r="AO783" s="899"/>
    </row>
    <row r="784">
      <c r="G784" s="899"/>
      <c r="H784" s="899"/>
      <c r="I784" s="899"/>
      <c r="J784" s="899"/>
      <c r="K784" s="899"/>
      <c r="L784" s="899"/>
      <c r="M784" s="899"/>
      <c r="N784" s="899"/>
      <c r="O784" s="899"/>
      <c r="P784" s="899"/>
      <c r="Q784" s="899"/>
      <c r="R784" s="899"/>
      <c r="S784" s="899"/>
      <c r="T784" s="899"/>
      <c r="U784" s="899"/>
      <c r="V784" s="899"/>
      <c r="W784" s="899"/>
      <c r="X784" s="899"/>
      <c r="Y784" s="899"/>
      <c r="Z784" s="899"/>
      <c r="AA784" s="899"/>
      <c r="AB784" s="899"/>
      <c r="AC784" s="899"/>
      <c r="AD784" s="899"/>
      <c r="AE784" s="899"/>
      <c r="AF784" s="899"/>
      <c r="AG784" s="899"/>
      <c r="AH784" s="899"/>
      <c r="AI784" s="899"/>
      <c r="AJ784" s="899"/>
      <c r="AK784" s="899"/>
      <c r="AL784" s="899"/>
      <c r="AM784" s="899"/>
      <c r="AN784" s="899"/>
      <c r="AO784" s="899"/>
    </row>
    <row r="785">
      <c r="G785" s="899"/>
      <c r="H785" s="899"/>
      <c r="I785" s="899"/>
      <c r="J785" s="899"/>
      <c r="K785" s="899"/>
      <c r="L785" s="899"/>
      <c r="M785" s="899"/>
      <c r="N785" s="899"/>
      <c r="O785" s="899"/>
      <c r="P785" s="899"/>
      <c r="Q785" s="899"/>
      <c r="R785" s="899"/>
      <c r="S785" s="899"/>
      <c r="T785" s="899"/>
      <c r="U785" s="899"/>
      <c r="V785" s="899"/>
      <c r="W785" s="899"/>
      <c r="X785" s="899"/>
      <c r="Y785" s="899"/>
      <c r="Z785" s="899"/>
      <c r="AA785" s="899"/>
      <c r="AB785" s="899"/>
      <c r="AC785" s="899"/>
      <c r="AD785" s="899"/>
      <c r="AE785" s="899"/>
      <c r="AF785" s="899"/>
      <c r="AG785" s="899"/>
      <c r="AH785" s="899"/>
      <c r="AI785" s="899"/>
      <c r="AJ785" s="899"/>
      <c r="AK785" s="899"/>
      <c r="AL785" s="899"/>
      <c r="AM785" s="899"/>
      <c r="AN785" s="899"/>
      <c r="AO785" s="899"/>
    </row>
    <row r="786">
      <c r="G786" s="899"/>
      <c r="H786" s="899"/>
      <c r="I786" s="899"/>
      <c r="J786" s="899"/>
      <c r="K786" s="899"/>
      <c r="L786" s="899"/>
      <c r="M786" s="899"/>
      <c r="N786" s="899"/>
      <c r="O786" s="899"/>
      <c r="P786" s="899"/>
      <c r="Q786" s="899"/>
      <c r="R786" s="899"/>
      <c r="S786" s="899"/>
      <c r="T786" s="899"/>
      <c r="U786" s="899"/>
      <c r="V786" s="899"/>
      <c r="W786" s="899"/>
      <c r="X786" s="899"/>
      <c r="Y786" s="899"/>
      <c r="Z786" s="899"/>
      <c r="AA786" s="899"/>
      <c r="AB786" s="899"/>
      <c r="AC786" s="899"/>
      <c r="AD786" s="899"/>
      <c r="AE786" s="899"/>
      <c r="AF786" s="899"/>
      <c r="AG786" s="899"/>
      <c r="AH786" s="899"/>
      <c r="AI786" s="899"/>
      <c r="AJ786" s="899"/>
      <c r="AK786" s="899"/>
      <c r="AL786" s="899"/>
      <c r="AM786" s="899"/>
      <c r="AN786" s="899"/>
      <c r="AO786" s="899"/>
    </row>
    <row r="787">
      <c r="G787" s="899"/>
      <c r="H787" s="899"/>
      <c r="I787" s="899"/>
      <c r="J787" s="899"/>
      <c r="K787" s="899"/>
      <c r="L787" s="899"/>
      <c r="M787" s="899"/>
      <c r="N787" s="899"/>
      <c r="O787" s="899"/>
      <c r="P787" s="899"/>
      <c r="Q787" s="899"/>
      <c r="R787" s="899"/>
      <c r="S787" s="899"/>
      <c r="T787" s="899"/>
      <c r="U787" s="899"/>
      <c r="V787" s="899"/>
      <c r="W787" s="899"/>
      <c r="X787" s="899"/>
      <c r="Y787" s="899"/>
      <c r="Z787" s="899"/>
      <c r="AA787" s="899"/>
      <c r="AB787" s="899"/>
      <c r="AC787" s="899"/>
      <c r="AD787" s="899"/>
      <c r="AE787" s="899"/>
      <c r="AF787" s="899"/>
      <c r="AG787" s="899"/>
      <c r="AH787" s="899"/>
      <c r="AI787" s="899"/>
      <c r="AJ787" s="899"/>
      <c r="AK787" s="899"/>
      <c r="AL787" s="899"/>
      <c r="AM787" s="899"/>
      <c r="AN787" s="899"/>
      <c r="AO787" s="899"/>
    </row>
    <row r="788">
      <c r="G788" s="899"/>
      <c r="H788" s="899"/>
      <c r="I788" s="899"/>
      <c r="J788" s="899"/>
      <c r="K788" s="899"/>
      <c r="L788" s="899"/>
      <c r="M788" s="899"/>
      <c r="N788" s="899"/>
      <c r="O788" s="899"/>
      <c r="P788" s="899"/>
      <c r="Q788" s="899"/>
      <c r="R788" s="899"/>
      <c r="S788" s="899"/>
      <c r="T788" s="899"/>
      <c r="U788" s="899"/>
      <c r="V788" s="899"/>
      <c r="W788" s="899"/>
      <c r="X788" s="899"/>
      <c r="Y788" s="899"/>
      <c r="Z788" s="899"/>
      <c r="AA788" s="899"/>
      <c r="AB788" s="899"/>
      <c r="AC788" s="899"/>
      <c r="AD788" s="899"/>
      <c r="AE788" s="899"/>
      <c r="AF788" s="899"/>
      <c r="AG788" s="899"/>
      <c r="AH788" s="899"/>
      <c r="AI788" s="899"/>
      <c r="AJ788" s="899"/>
      <c r="AK788" s="899"/>
      <c r="AL788" s="899"/>
      <c r="AM788" s="899"/>
      <c r="AN788" s="899"/>
      <c r="AO788" s="899"/>
    </row>
    <row r="789">
      <c r="G789" s="899"/>
      <c r="H789" s="899"/>
      <c r="I789" s="899"/>
      <c r="J789" s="899"/>
      <c r="K789" s="899"/>
      <c r="L789" s="899"/>
      <c r="M789" s="899"/>
      <c r="N789" s="899"/>
      <c r="O789" s="899"/>
      <c r="P789" s="899"/>
      <c r="Q789" s="899"/>
      <c r="R789" s="899"/>
      <c r="S789" s="899"/>
      <c r="T789" s="899"/>
      <c r="U789" s="899"/>
      <c r="V789" s="899"/>
      <c r="W789" s="899"/>
      <c r="X789" s="899"/>
      <c r="Y789" s="899"/>
      <c r="Z789" s="899"/>
      <c r="AA789" s="899"/>
      <c r="AB789" s="899"/>
      <c r="AC789" s="899"/>
      <c r="AD789" s="899"/>
      <c r="AE789" s="899"/>
      <c r="AF789" s="899"/>
      <c r="AG789" s="899"/>
      <c r="AH789" s="899"/>
      <c r="AI789" s="899"/>
      <c r="AJ789" s="899"/>
      <c r="AK789" s="899"/>
      <c r="AL789" s="899"/>
      <c r="AM789" s="899"/>
      <c r="AN789" s="899"/>
      <c r="AO789" s="899"/>
    </row>
    <row r="790">
      <c r="G790" s="899"/>
      <c r="H790" s="899"/>
      <c r="I790" s="899"/>
      <c r="J790" s="899"/>
      <c r="K790" s="899"/>
      <c r="L790" s="899"/>
      <c r="M790" s="899"/>
      <c r="N790" s="899"/>
      <c r="O790" s="899"/>
      <c r="P790" s="899"/>
      <c r="Q790" s="899"/>
      <c r="R790" s="899"/>
      <c r="S790" s="899"/>
      <c r="T790" s="899"/>
      <c r="U790" s="899"/>
      <c r="V790" s="899"/>
      <c r="W790" s="899"/>
      <c r="X790" s="899"/>
      <c r="Y790" s="899"/>
      <c r="Z790" s="899"/>
      <c r="AA790" s="899"/>
      <c r="AB790" s="899"/>
      <c r="AC790" s="899"/>
      <c r="AD790" s="899"/>
      <c r="AE790" s="899"/>
      <c r="AF790" s="899"/>
      <c r="AG790" s="899"/>
      <c r="AH790" s="899"/>
      <c r="AI790" s="899"/>
      <c r="AJ790" s="899"/>
      <c r="AK790" s="899"/>
      <c r="AL790" s="899"/>
      <c r="AM790" s="899"/>
      <c r="AN790" s="899"/>
      <c r="AO790" s="899"/>
    </row>
    <row r="791">
      <c r="G791" s="899"/>
      <c r="H791" s="899"/>
      <c r="I791" s="899"/>
      <c r="J791" s="899"/>
      <c r="K791" s="899"/>
      <c r="L791" s="899"/>
      <c r="M791" s="899"/>
      <c r="N791" s="899"/>
      <c r="O791" s="899"/>
      <c r="P791" s="899"/>
      <c r="Q791" s="899"/>
      <c r="R791" s="899"/>
      <c r="S791" s="899"/>
      <c r="T791" s="899"/>
      <c r="U791" s="899"/>
      <c r="V791" s="899"/>
      <c r="W791" s="899"/>
      <c r="X791" s="899"/>
      <c r="Y791" s="899"/>
      <c r="Z791" s="899"/>
      <c r="AA791" s="899"/>
      <c r="AB791" s="899"/>
      <c r="AC791" s="899"/>
      <c r="AD791" s="899"/>
      <c r="AE791" s="899"/>
      <c r="AF791" s="899"/>
      <c r="AG791" s="899"/>
      <c r="AH791" s="899"/>
      <c r="AI791" s="899"/>
      <c r="AJ791" s="899"/>
      <c r="AK791" s="899"/>
      <c r="AL791" s="899"/>
      <c r="AM791" s="899"/>
      <c r="AN791" s="899"/>
      <c r="AO791" s="899"/>
    </row>
    <row r="792">
      <c r="G792" s="899"/>
      <c r="H792" s="899"/>
      <c r="I792" s="899"/>
      <c r="J792" s="899"/>
      <c r="K792" s="899"/>
      <c r="L792" s="899"/>
      <c r="M792" s="899"/>
      <c r="N792" s="899"/>
      <c r="O792" s="899"/>
      <c r="P792" s="899"/>
      <c r="Q792" s="899"/>
      <c r="R792" s="899"/>
      <c r="S792" s="899"/>
      <c r="T792" s="899"/>
      <c r="U792" s="899"/>
      <c r="V792" s="899"/>
      <c r="W792" s="899"/>
      <c r="X792" s="899"/>
      <c r="Y792" s="899"/>
      <c r="Z792" s="899"/>
      <c r="AA792" s="899"/>
      <c r="AB792" s="899"/>
      <c r="AC792" s="899"/>
      <c r="AD792" s="899"/>
      <c r="AE792" s="899"/>
      <c r="AF792" s="899"/>
      <c r="AG792" s="899"/>
      <c r="AH792" s="899"/>
      <c r="AI792" s="899"/>
      <c r="AJ792" s="899"/>
      <c r="AK792" s="899"/>
      <c r="AL792" s="899"/>
      <c r="AM792" s="899"/>
      <c r="AN792" s="899"/>
      <c r="AO792" s="899"/>
    </row>
    <row r="793">
      <c r="G793" s="899"/>
      <c r="H793" s="899"/>
      <c r="I793" s="899"/>
      <c r="J793" s="899"/>
      <c r="K793" s="899"/>
      <c r="L793" s="899"/>
      <c r="M793" s="899"/>
      <c r="N793" s="899"/>
      <c r="O793" s="899"/>
      <c r="P793" s="899"/>
      <c r="Q793" s="899"/>
      <c r="R793" s="899"/>
      <c r="S793" s="899"/>
      <c r="T793" s="899"/>
      <c r="U793" s="899"/>
      <c r="V793" s="899"/>
      <c r="W793" s="899"/>
      <c r="X793" s="899"/>
      <c r="Y793" s="899"/>
      <c r="Z793" s="899"/>
      <c r="AA793" s="899"/>
      <c r="AB793" s="899"/>
      <c r="AC793" s="899"/>
      <c r="AD793" s="899"/>
      <c r="AE793" s="899"/>
      <c r="AF793" s="899"/>
      <c r="AG793" s="899"/>
      <c r="AH793" s="899"/>
      <c r="AI793" s="899"/>
      <c r="AJ793" s="899"/>
      <c r="AK793" s="899"/>
      <c r="AL793" s="899"/>
      <c r="AM793" s="899"/>
      <c r="AN793" s="899"/>
      <c r="AO793" s="899"/>
    </row>
    <row r="794">
      <c r="G794" s="899"/>
      <c r="H794" s="899"/>
      <c r="I794" s="899"/>
      <c r="J794" s="899"/>
      <c r="K794" s="899"/>
      <c r="L794" s="899"/>
      <c r="M794" s="899"/>
      <c r="N794" s="899"/>
      <c r="O794" s="899"/>
      <c r="P794" s="899"/>
      <c r="Q794" s="899"/>
      <c r="R794" s="899"/>
      <c r="S794" s="899"/>
      <c r="T794" s="899"/>
      <c r="U794" s="899"/>
      <c r="V794" s="899"/>
      <c r="W794" s="899"/>
      <c r="X794" s="899"/>
      <c r="Y794" s="899"/>
      <c r="Z794" s="899"/>
      <c r="AA794" s="899"/>
      <c r="AB794" s="899"/>
      <c r="AC794" s="899"/>
      <c r="AD794" s="899"/>
      <c r="AE794" s="899"/>
      <c r="AF794" s="899"/>
      <c r="AG794" s="899"/>
      <c r="AH794" s="899"/>
      <c r="AI794" s="899"/>
      <c r="AJ794" s="899"/>
      <c r="AK794" s="899"/>
      <c r="AL794" s="899"/>
      <c r="AM794" s="899"/>
      <c r="AN794" s="899"/>
      <c r="AO794" s="899"/>
    </row>
    <row r="795">
      <c r="G795" s="899"/>
      <c r="H795" s="899"/>
      <c r="I795" s="899"/>
      <c r="J795" s="899"/>
      <c r="K795" s="899"/>
      <c r="L795" s="899"/>
      <c r="M795" s="899"/>
      <c r="N795" s="899"/>
      <c r="O795" s="899"/>
      <c r="P795" s="899"/>
      <c r="Q795" s="899"/>
      <c r="R795" s="899"/>
      <c r="S795" s="899"/>
      <c r="T795" s="899"/>
      <c r="U795" s="899"/>
      <c r="V795" s="899"/>
      <c r="W795" s="899"/>
      <c r="X795" s="899"/>
      <c r="Y795" s="899"/>
      <c r="Z795" s="899"/>
      <c r="AA795" s="899"/>
      <c r="AB795" s="899"/>
      <c r="AC795" s="899"/>
      <c r="AD795" s="899"/>
      <c r="AE795" s="899"/>
      <c r="AF795" s="899"/>
      <c r="AG795" s="899"/>
      <c r="AH795" s="899"/>
      <c r="AI795" s="899"/>
      <c r="AJ795" s="899"/>
      <c r="AK795" s="899"/>
      <c r="AL795" s="899"/>
      <c r="AM795" s="899"/>
      <c r="AN795" s="899"/>
      <c r="AO795" s="899"/>
    </row>
    <row r="796">
      <c r="G796" s="899"/>
      <c r="H796" s="899"/>
      <c r="I796" s="899"/>
      <c r="J796" s="899"/>
      <c r="K796" s="899"/>
      <c r="L796" s="899"/>
      <c r="M796" s="899"/>
      <c r="N796" s="899"/>
      <c r="O796" s="899"/>
      <c r="P796" s="899"/>
      <c r="Q796" s="899"/>
      <c r="R796" s="899"/>
      <c r="S796" s="899"/>
      <c r="T796" s="899"/>
      <c r="U796" s="899"/>
      <c r="V796" s="899"/>
      <c r="W796" s="899"/>
      <c r="X796" s="899"/>
      <c r="Y796" s="899"/>
      <c r="Z796" s="899"/>
      <c r="AA796" s="899"/>
      <c r="AB796" s="899"/>
      <c r="AC796" s="899"/>
      <c r="AD796" s="899"/>
      <c r="AE796" s="899"/>
      <c r="AF796" s="899"/>
      <c r="AG796" s="899"/>
      <c r="AH796" s="899"/>
      <c r="AI796" s="899"/>
      <c r="AJ796" s="899"/>
      <c r="AK796" s="899"/>
      <c r="AL796" s="899"/>
      <c r="AM796" s="899"/>
      <c r="AN796" s="899"/>
      <c r="AO796" s="899"/>
    </row>
    <row r="797">
      <c r="G797" s="899"/>
      <c r="H797" s="899"/>
      <c r="I797" s="899"/>
      <c r="J797" s="899"/>
      <c r="K797" s="899"/>
      <c r="L797" s="899"/>
      <c r="M797" s="899"/>
      <c r="N797" s="899"/>
      <c r="O797" s="899"/>
      <c r="P797" s="899"/>
      <c r="Q797" s="899"/>
      <c r="R797" s="899"/>
      <c r="S797" s="899"/>
      <c r="T797" s="899"/>
      <c r="U797" s="899"/>
      <c r="V797" s="899"/>
      <c r="W797" s="899"/>
      <c r="X797" s="899"/>
      <c r="Y797" s="899"/>
      <c r="Z797" s="899"/>
      <c r="AA797" s="899"/>
      <c r="AB797" s="899"/>
      <c r="AC797" s="899"/>
      <c r="AD797" s="899"/>
      <c r="AE797" s="899"/>
      <c r="AF797" s="899"/>
      <c r="AG797" s="899"/>
      <c r="AH797" s="899"/>
      <c r="AI797" s="899"/>
      <c r="AJ797" s="899"/>
      <c r="AK797" s="899"/>
      <c r="AL797" s="899"/>
      <c r="AM797" s="899"/>
      <c r="AN797" s="899"/>
      <c r="AO797" s="899"/>
    </row>
    <row r="798">
      <c r="G798" s="899"/>
      <c r="H798" s="899"/>
      <c r="I798" s="899"/>
      <c r="J798" s="899"/>
      <c r="K798" s="899"/>
      <c r="L798" s="899"/>
      <c r="M798" s="899"/>
      <c r="N798" s="899"/>
      <c r="O798" s="899"/>
      <c r="P798" s="899"/>
      <c r="Q798" s="899"/>
      <c r="R798" s="899"/>
      <c r="S798" s="899"/>
      <c r="T798" s="899"/>
      <c r="U798" s="899"/>
      <c r="V798" s="899"/>
      <c r="W798" s="899"/>
      <c r="X798" s="899"/>
      <c r="Y798" s="899"/>
      <c r="Z798" s="899"/>
      <c r="AA798" s="899"/>
      <c r="AB798" s="899"/>
      <c r="AC798" s="899"/>
      <c r="AD798" s="899"/>
      <c r="AE798" s="899"/>
      <c r="AF798" s="899"/>
      <c r="AG798" s="899"/>
      <c r="AH798" s="899"/>
      <c r="AI798" s="899"/>
      <c r="AJ798" s="899"/>
      <c r="AK798" s="899"/>
      <c r="AL798" s="899"/>
      <c r="AM798" s="899"/>
      <c r="AN798" s="899"/>
      <c r="AO798" s="899"/>
    </row>
    <row r="799">
      <c r="G799" s="899"/>
      <c r="H799" s="899"/>
      <c r="I799" s="899"/>
      <c r="J799" s="899"/>
      <c r="K799" s="899"/>
      <c r="L799" s="899"/>
      <c r="M799" s="899"/>
      <c r="N799" s="899"/>
      <c r="O799" s="899"/>
      <c r="P799" s="899"/>
      <c r="Q799" s="899"/>
      <c r="R799" s="899"/>
      <c r="S799" s="899"/>
      <c r="T799" s="899"/>
      <c r="U799" s="899"/>
      <c r="V799" s="899"/>
      <c r="W799" s="899"/>
      <c r="X799" s="899"/>
      <c r="Y799" s="899"/>
      <c r="Z799" s="899"/>
      <c r="AA799" s="899"/>
      <c r="AB799" s="899"/>
      <c r="AC799" s="899"/>
      <c r="AD799" s="899"/>
      <c r="AE799" s="899"/>
      <c r="AF799" s="899"/>
      <c r="AG799" s="899"/>
      <c r="AH799" s="899"/>
      <c r="AI799" s="899"/>
      <c r="AJ799" s="899"/>
      <c r="AK799" s="899"/>
      <c r="AL799" s="899"/>
      <c r="AM799" s="899"/>
      <c r="AN799" s="899"/>
      <c r="AO799" s="899"/>
    </row>
    <row r="800">
      <c r="G800" s="899"/>
      <c r="H800" s="899"/>
      <c r="I800" s="899"/>
      <c r="J800" s="899"/>
      <c r="K800" s="899"/>
      <c r="L800" s="899"/>
      <c r="M800" s="899"/>
      <c r="N800" s="899"/>
      <c r="O800" s="899"/>
      <c r="P800" s="899"/>
      <c r="Q800" s="899"/>
      <c r="R800" s="899"/>
      <c r="S800" s="899"/>
      <c r="T800" s="899"/>
      <c r="U800" s="899"/>
      <c r="V800" s="899"/>
      <c r="W800" s="899"/>
      <c r="X800" s="899"/>
      <c r="Y800" s="899"/>
      <c r="Z800" s="899"/>
      <c r="AA800" s="899"/>
      <c r="AB800" s="899"/>
      <c r="AC800" s="899"/>
      <c r="AD800" s="899"/>
      <c r="AE800" s="899"/>
      <c r="AF800" s="899"/>
      <c r="AG800" s="899"/>
      <c r="AH800" s="899"/>
      <c r="AI800" s="899"/>
      <c r="AJ800" s="899"/>
      <c r="AK800" s="899"/>
      <c r="AL800" s="899"/>
      <c r="AM800" s="899"/>
      <c r="AN800" s="899"/>
      <c r="AO800" s="899"/>
    </row>
    <row r="801">
      <c r="G801" s="899"/>
      <c r="H801" s="899"/>
      <c r="I801" s="899"/>
      <c r="J801" s="899"/>
      <c r="K801" s="899"/>
      <c r="L801" s="899"/>
      <c r="M801" s="899"/>
      <c r="N801" s="899"/>
      <c r="O801" s="899"/>
      <c r="P801" s="899"/>
      <c r="Q801" s="899"/>
      <c r="R801" s="899"/>
      <c r="S801" s="899"/>
      <c r="T801" s="899"/>
      <c r="U801" s="899"/>
      <c r="V801" s="899"/>
      <c r="W801" s="899"/>
      <c r="X801" s="899"/>
      <c r="Y801" s="899"/>
      <c r="Z801" s="899"/>
      <c r="AA801" s="899"/>
      <c r="AB801" s="899"/>
      <c r="AC801" s="899"/>
      <c r="AD801" s="899"/>
      <c r="AE801" s="899"/>
      <c r="AF801" s="899"/>
      <c r="AG801" s="899"/>
      <c r="AH801" s="899"/>
      <c r="AI801" s="899"/>
      <c r="AJ801" s="899"/>
      <c r="AK801" s="899"/>
      <c r="AL801" s="899"/>
      <c r="AM801" s="899"/>
      <c r="AN801" s="899"/>
      <c r="AO801" s="899"/>
    </row>
    <row r="802">
      <c r="G802" s="899"/>
      <c r="H802" s="899"/>
      <c r="I802" s="899"/>
      <c r="J802" s="899"/>
      <c r="K802" s="899"/>
      <c r="L802" s="899"/>
      <c r="M802" s="899"/>
      <c r="N802" s="899"/>
      <c r="O802" s="899"/>
      <c r="P802" s="899"/>
      <c r="Q802" s="899"/>
      <c r="R802" s="899"/>
      <c r="S802" s="899"/>
      <c r="T802" s="899"/>
      <c r="U802" s="899"/>
      <c r="V802" s="899"/>
      <c r="W802" s="899"/>
      <c r="X802" s="899"/>
      <c r="Y802" s="899"/>
      <c r="Z802" s="899"/>
      <c r="AA802" s="899"/>
      <c r="AB802" s="899"/>
      <c r="AC802" s="899"/>
      <c r="AD802" s="899"/>
      <c r="AE802" s="899"/>
      <c r="AF802" s="899"/>
      <c r="AG802" s="899"/>
      <c r="AH802" s="899"/>
      <c r="AI802" s="899"/>
      <c r="AJ802" s="899"/>
      <c r="AK802" s="899"/>
      <c r="AL802" s="899"/>
      <c r="AM802" s="899"/>
      <c r="AN802" s="899"/>
      <c r="AO802" s="899"/>
    </row>
    <row r="803">
      <c r="G803" s="899"/>
      <c r="H803" s="899"/>
      <c r="I803" s="899"/>
      <c r="J803" s="899"/>
      <c r="K803" s="899"/>
      <c r="L803" s="899"/>
      <c r="M803" s="899"/>
      <c r="N803" s="899"/>
      <c r="O803" s="899"/>
      <c r="P803" s="899"/>
      <c r="Q803" s="899"/>
      <c r="R803" s="899"/>
      <c r="S803" s="899"/>
      <c r="T803" s="899"/>
      <c r="U803" s="899"/>
      <c r="V803" s="899"/>
      <c r="W803" s="899"/>
      <c r="X803" s="899"/>
      <c r="Y803" s="899"/>
      <c r="Z803" s="899"/>
      <c r="AA803" s="899"/>
      <c r="AB803" s="899"/>
      <c r="AC803" s="899"/>
      <c r="AD803" s="899"/>
      <c r="AE803" s="899"/>
      <c r="AF803" s="899"/>
      <c r="AG803" s="899"/>
      <c r="AH803" s="899"/>
      <c r="AI803" s="899"/>
      <c r="AJ803" s="899"/>
      <c r="AK803" s="899"/>
      <c r="AL803" s="899"/>
      <c r="AM803" s="899"/>
      <c r="AN803" s="899"/>
      <c r="AO803" s="899"/>
    </row>
    <row r="804">
      <c r="G804" s="899"/>
      <c r="H804" s="899"/>
      <c r="I804" s="899"/>
      <c r="J804" s="899"/>
      <c r="K804" s="899"/>
      <c r="L804" s="899"/>
      <c r="M804" s="899"/>
      <c r="N804" s="899"/>
      <c r="O804" s="899"/>
      <c r="P804" s="899"/>
      <c r="Q804" s="899"/>
      <c r="R804" s="899"/>
      <c r="S804" s="899"/>
      <c r="T804" s="899"/>
      <c r="U804" s="899"/>
      <c r="V804" s="899"/>
      <c r="W804" s="899"/>
      <c r="X804" s="899"/>
      <c r="Y804" s="899"/>
      <c r="Z804" s="899"/>
      <c r="AA804" s="899"/>
      <c r="AB804" s="899"/>
      <c r="AC804" s="899"/>
      <c r="AD804" s="899"/>
      <c r="AE804" s="899"/>
      <c r="AF804" s="899"/>
      <c r="AG804" s="899"/>
      <c r="AH804" s="899"/>
      <c r="AI804" s="899"/>
      <c r="AJ804" s="899"/>
      <c r="AK804" s="899"/>
      <c r="AL804" s="899"/>
      <c r="AM804" s="899"/>
      <c r="AN804" s="899"/>
      <c r="AO804" s="899"/>
    </row>
    <row r="805">
      <c r="G805" s="899"/>
      <c r="H805" s="899"/>
      <c r="I805" s="899"/>
      <c r="J805" s="899"/>
      <c r="K805" s="899"/>
      <c r="L805" s="899"/>
      <c r="M805" s="899"/>
      <c r="N805" s="899"/>
      <c r="O805" s="899"/>
      <c r="P805" s="899"/>
      <c r="Q805" s="899"/>
      <c r="R805" s="899"/>
      <c r="S805" s="899"/>
      <c r="T805" s="899"/>
      <c r="U805" s="899"/>
      <c r="V805" s="899"/>
      <c r="W805" s="899"/>
      <c r="X805" s="899"/>
      <c r="Y805" s="899"/>
      <c r="Z805" s="899"/>
      <c r="AA805" s="899"/>
      <c r="AB805" s="899"/>
      <c r="AC805" s="899"/>
      <c r="AD805" s="899"/>
      <c r="AE805" s="899"/>
      <c r="AF805" s="899"/>
      <c r="AG805" s="899"/>
      <c r="AH805" s="899"/>
      <c r="AI805" s="899"/>
      <c r="AJ805" s="899"/>
      <c r="AK805" s="899"/>
      <c r="AL805" s="899"/>
      <c r="AM805" s="899"/>
      <c r="AN805" s="899"/>
      <c r="AO805" s="899"/>
    </row>
    <row r="806">
      <c r="G806" s="899"/>
      <c r="H806" s="899"/>
      <c r="I806" s="899"/>
      <c r="J806" s="899"/>
      <c r="K806" s="899"/>
      <c r="L806" s="899"/>
      <c r="M806" s="899"/>
      <c r="N806" s="899"/>
      <c r="O806" s="899"/>
      <c r="P806" s="899"/>
      <c r="Q806" s="899"/>
      <c r="R806" s="899"/>
      <c r="S806" s="899"/>
      <c r="T806" s="899"/>
      <c r="U806" s="899"/>
      <c r="V806" s="899"/>
      <c r="W806" s="899"/>
      <c r="X806" s="899"/>
      <c r="Y806" s="899"/>
      <c r="Z806" s="899"/>
      <c r="AA806" s="899"/>
      <c r="AB806" s="899"/>
      <c r="AC806" s="899"/>
      <c r="AD806" s="899"/>
      <c r="AE806" s="899"/>
      <c r="AF806" s="899"/>
      <c r="AG806" s="899"/>
      <c r="AH806" s="899"/>
      <c r="AI806" s="899"/>
      <c r="AJ806" s="899"/>
      <c r="AK806" s="899"/>
      <c r="AL806" s="899"/>
      <c r="AM806" s="899"/>
      <c r="AN806" s="899"/>
      <c r="AO806" s="899"/>
    </row>
    <row r="807">
      <c r="G807" s="899"/>
      <c r="H807" s="899"/>
      <c r="I807" s="899"/>
      <c r="J807" s="899"/>
      <c r="K807" s="899"/>
      <c r="L807" s="899"/>
      <c r="M807" s="899"/>
      <c r="N807" s="899"/>
      <c r="O807" s="899"/>
      <c r="P807" s="899"/>
      <c r="Q807" s="899"/>
      <c r="R807" s="899"/>
      <c r="S807" s="899"/>
      <c r="T807" s="899"/>
      <c r="U807" s="899"/>
      <c r="V807" s="899"/>
      <c r="W807" s="899"/>
      <c r="X807" s="899"/>
      <c r="Y807" s="899"/>
      <c r="Z807" s="899"/>
      <c r="AA807" s="899"/>
      <c r="AB807" s="899"/>
      <c r="AC807" s="899"/>
      <c r="AD807" s="899"/>
      <c r="AE807" s="899"/>
      <c r="AF807" s="899"/>
      <c r="AG807" s="899"/>
      <c r="AH807" s="899"/>
      <c r="AI807" s="899"/>
      <c r="AJ807" s="899"/>
      <c r="AK807" s="899"/>
      <c r="AL807" s="899"/>
      <c r="AM807" s="899"/>
      <c r="AN807" s="899"/>
      <c r="AO807" s="899"/>
    </row>
    <row r="808">
      <c r="G808" s="899"/>
      <c r="H808" s="899"/>
      <c r="I808" s="899"/>
      <c r="J808" s="899"/>
      <c r="K808" s="899"/>
      <c r="L808" s="899"/>
      <c r="M808" s="899"/>
      <c r="N808" s="899"/>
      <c r="O808" s="899"/>
      <c r="P808" s="899"/>
      <c r="Q808" s="899"/>
      <c r="R808" s="899"/>
      <c r="S808" s="899"/>
      <c r="T808" s="899"/>
      <c r="U808" s="899"/>
      <c r="V808" s="899"/>
      <c r="W808" s="899"/>
      <c r="X808" s="899"/>
      <c r="Y808" s="899"/>
      <c r="Z808" s="899"/>
      <c r="AA808" s="899"/>
      <c r="AB808" s="899"/>
      <c r="AC808" s="899"/>
      <c r="AD808" s="899"/>
      <c r="AE808" s="899"/>
      <c r="AF808" s="899"/>
      <c r="AG808" s="899"/>
      <c r="AH808" s="899"/>
      <c r="AI808" s="899"/>
      <c r="AJ808" s="899"/>
      <c r="AK808" s="899"/>
      <c r="AL808" s="899"/>
      <c r="AM808" s="899"/>
      <c r="AN808" s="899"/>
      <c r="AO808" s="899"/>
    </row>
    <row r="809">
      <c r="G809" s="899"/>
      <c r="H809" s="899"/>
      <c r="I809" s="899"/>
      <c r="J809" s="899"/>
      <c r="K809" s="899"/>
      <c r="L809" s="899"/>
      <c r="M809" s="899"/>
      <c r="N809" s="899"/>
      <c r="O809" s="899"/>
      <c r="P809" s="899"/>
      <c r="Q809" s="899"/>
      <c r="R809" s="899"/>
      <c r="S809" s="899"/>
      <c r="T809" s="899"/>
      <c r="U809" s="899"/>
      <c r="V809" s="899"/>
      <c r="W809" s="899"/>
      <c r="X809" s="899"/>
      <c r="Y809" s="899"/>
      <c r="Z809" s="899"/>
      <c r="AA809" s="899"/>
      <c r="AB809" s="899"/>
      <c r="AC809" s="899"/>
      <c r="AD809" s="899"/>
      <c r="AE809" s="899"/>
      <c r="AF809" s="899"/>
      <c r="AG809" s="899"/>
      <c r="AH809" s="899"/>
      <c r="AI809" s="899"/>
      <c r="AJ809" s="899"/>
      <c r="AK809" s="899"/>
      <c r="AL809" s="899"/>
      <c r="AM809" s="899"/>
      <c r="AN809" s="899"/>
      <c r="AO809" s="899"/>
    </row>
    <row r="810">
      <c r="G810" s="899"/>
      <c r="H810" s="899"/>
      <c r="I810" s="899"/>
      <c r="J810" s="899"/>
      <c r="K810" s="899"/>
      <c r="L810" s="899"/>
      <c r="M810" s="899"/>
      <c r="N810" s="899"/>
      <c r="O810" s="899"/>
      <c r="P810" s="899"/>
      <c r="Q810" s="899"/>
      <c r="R810" s="899"/>
      <c r="S810" s="899"/>
      <c r="T810" s="899"/>
      <c r="U810" s="899"/>
      <c r="V810" s="899"/>
      <c r="W810" s="899"/>
      <c r="X810" s="899"/>
      <c r="Y810" s="899"/>
      <c r="Z810" s="899"/>
      <c r="AA810" s="899"/>
      <c r="AB810" s="899"/>
      <c r="AC810" s="899"/>
      <c r="AD810" s="899"/>
      <c r="AE810" s="899"/>
      <c r="AF810" s="899"/>
      <c r="AG810" s="899"/>
      <c r="AH810" s="899"/>
      <c r="AI810" s="899"/>
      <c r="AJ810" s="899"/>
      <c r="AK810" s="899"/>
      <c r="AL810" s="899"/>
      <c r="AM810" s="899"/>
      <c r="AN810" s="899"/>
      <c r="AO810" s="899"/>
    </row>
    <row r="811">
      <c r="G811" s="899"/>
      <c r="H811" s="899"/>
      <c r="I811" s="899"/>
      <c r="J811" s="899"/>
      <c r="K811" s="899"/>
      <c r="L811" s="899"/>
      <c r="M811" s="899"/>
      <c r="N811" s="899"/>
      <c r="O811" s="899"/>
      <c r="P811" s="899"/>
      <c r="Q811" s="899"/>
      <c r="R811" s="899"/>
      <c r="S811" s="899"/>
      <c r="T811" s="899"/>
      <c r="U811" s="899"/>
      <c r="V811" s="899"/>
      <c r="W811" s="899"/>
      <c r="X811" s="899"/>
      <c r="Y811" s="899"/>
      <c r="Z811" s="899"/>
      <c r="AA811" s="899"/>
      <c r="AB811" s="899"/>
      <c r="AC811" s="899"/>
      <c r="AD811" s="899"/>
      <c r="AE811" s="899"/>
      <c r="AF811" s="899"/>
      <c r="AG811" s="899"/>
      <c r="AH811" s="899"/>
      <c r="AI811" s="899"/>
      <c r="AJ811" s="899"/>
      <c r="AK811" s="899"/>
      <c r="AL811" s="899"/>
      <c r="AM811" s="899"/>
      <c r="AN811" s="899"/>
      <c r="AO811" s="899"/>
    </row>
    <row r="812">
      <c r="G812" s="899"/>
      <c r="H812" s="899"/>
      <c r="I812" s="899"/>
      <c r="J812" s="899"/>
      <c r="K812" s="899"/>
      <c r="L812" s="899"/>
      <c r="M812" s="899"/>
      <c r="N812" s="899"/>
      <c r="O812" s="899"/>
      <c r="P812" s="899"/>
      <c r="Q812" s="899"/>
      <c r="R812" s="899"/>
      <c r="S812" s="899"/>
      <c r="T812" s="899"/>
      <c r="U812" s="899"/>
      <c r="V812" s="899"/>
      <c r="W812" s="899"/>
      <c r="X812" s="899"/>
      <c r="Y812" s="899"/>
      <c r="Z812" s="899"/>
      <c r="AA812" s="899"/>
      <c r="AB812" s="899"/>
      <c r="AC812" s="899"/>
      <c r="AD812" s="899"/>
      <c r="AE812" s="899"/>
      <c r="AF812" s="899"/>
      <c r="AG812" s="899"/>
      <c r="AH812" s="899"/>
      <c r="AI812" s="899"/>
      <c r="AJ812" s="899"/>
      <c r="AK812" s="899"/>
      <c r="AL812" s="899"/>
      <c r="AM812" s="899"/>
      <c r="AN812" s="899"/>
      <c r="AO812" s="899"/>
    </row>
    <row r="813">
      <c r="G813" s="899"/>
      <c r="H813" s="899"/>
      <c r="I813" s="899"/>
      <c r="J813" s="899"/>
      <c r="K813" s="899"/>
      <c r="L813" s="899"/>
      <c r="M813" s="899"/>
      <c r="N813" s="899"/>
      <c r="O813" s="899"/>
      <c r="P813" s="899"/>
      <c r="Q813" s="899"/>
      <c r="R813" s="899"/>
      <c r="S813" s="899"/>
      <c r="T813" s="899"/>
      <c r="U813" s="899"/>
      <c r="V813" s="899"/>
      <c r="W813" s="899"/>
      <c r="X813" s="899"/>
      <c r="Y813" s="899"/>
      <c r="Z813" s="899"/>
      <c r="AA813" s="899"/>
      <c r="AB813" s="899"/>
      <c r="AC813" s="899"/>
      <c r="AD813" s="899"/>
      <c r="AE813" s="899"/>
      <c r="AF813" s="899"/>
      <c r="AG813" s="899"/>
      <c r="AH813" s="899"/>
      <c r="AI813" s="899"/>
      <c r="AJ813" s="899"/>
      <c r="AK813" s="899"/>
      <c r="AL813" s="899"/>
      <c r="AM813" s="899"/>
      <c r="AN813" s="899"/>
      <c r="AO813" s="899"/>
    </row>
    <row r="814">
      <c r="G814" s="899"/>
      <c r="H814" s="899"/>
      <c r="I814" s="899"/>
      <c r="J814" s="899"/>
      <c r="K814" s="899"/>
      <c r="L814" s="899"/>
      <c r="M814" s="899"/>
      <c r="N814" s="899"/>
      <c r="O814" s="899"/>
      <c r="P814" s="899"/>
      <c r="Q814" s="899"/>
      <c r="R814" s="899"/>
      <c r="S814" s="899"/>
      <c r="T814" s="899"/>
      <c r="U814" s="899"/>
      <c r="V814" s="899"/>
      <c r="W814" s="899"/>
      <c r="X814" s="899"/>
      <c r="Y814" s="899"/>
      <c r="Z814" s="899"/>
      <c r="AA814" s="899"/>
      <c r="AB814" s="899"/>
      <c r="AC814" s="899"/>
      <c r="AD814" s="899"/>
      <c r="AE814" s="899"/>
      <c r="AF814" s="899"/>
      <c r="AG814" s="899"/>
      <c r="AH814" s="899"/>
      <c r="AI814" s="899"/>
      <c r="AJ814" s="899"/>
      <c r="AK814" s="899"/>
      <c r="AL814" s="899"/>
      <c r="AM814" s="899"/>
      <c r="AN814" s="899"/>
      <c r="AO814" s="899"/>
    </row>
    <row r="815">
      <c r="G815" s="899"/>
      <c r="H815" s="899"/>
      <c r="I815" s="899"/>
      <c r="J815" s="899"/>
      <c r="K815" s="899"/>
      <c r="L815" s="899"/>
      <c r="M815" s="899"/>
      <c r="N815" s="899"/>
      <c r="O815" s="899"/>
      <c r="P815" s="899"/>
      <c r="Q815" s="899"/>
      <c r="R815" s="899"/>
      <c r="S815" s="899"/>
      <c r="T815" s="899"/>
      <c r="U815" s="899"/>
      <c r="V815" s="899"/>
      <c r="W815" s="899"/>
      <c r="X815" s="899"/>
      <c r="Y815" s="899"/>
      <c r="Z815" s="899"/>
      <c r="AA815" s="899"/>
      <c r="AB815" s="899"/>
      <c r="AC815" s="899"/>
      <c r="AD815" s="899"/>
      <c r="AE815" s="899"/>
      <c r="AF815" s="899"/>
      <c r="AG815" s="899"/>
      <c r="AH815" s="899"/>
      <c r="AI815" s="899"/>
      <c r="AJ815" s="899"/>
      <c r="AK815" s="899"/>
      <c r="AL815" s="899"/>
      <c r="AM815" s="899"/>
      <c r="AN815" s="899"/>
      <c r="AO815" s="899"/>
    </row>
    <row r="816">
      <c r="G816" s="899"/>
      <c r="H816" s="899"/>
      <c r="I816" s="899"/>
      <c r="J816" s="899"/>
      <c r="K816" s="899"/>
      <c r="L816" s="899"/>
      <c r="M816" s="899"/>
      <c r="N816" s="899"/>
      <c r="O816" s="899"/>
      <c r="P816" s="899"/>
      <c r="Q816" s="899"/>
      <c r="R816" s="899"/>
      <c r="S816" s="899"/>
      <c r="T816" s="899"/>
      <c r="U816" s="899"/>
      <c r="V816" s="899"/>
      <c r="W816" s="899"/>
      <c r="X816" s="899"/>
      <c r="Y816" s="899"/>
      <c r="Z816" s="899"/>
      <c r="AA816" s="899"/>
      <c r="AB816" s="899"/>
      <c r="AC816" s="899"/>
      <c r="AD816" s="899"/>
      <c r="AE816" s="899"/>
      <c r="AF816" s="899"/>
      <c r="AG816" s="899"/>
      <c r="AH816" s="899"/>
      <c r="AI816" s="899"/>
      <c r="AJ816" s="899"/>
      <c r="AK816" s="899"/>
      <c r="AL816" s="899"/>
      <c r="AM816" s="899"/>
      <c r="AN816" s="899"/>
      <c r="AO816" s="899"/>
    </row>
    <row r="817">
      <c r="G817" s="899"/>
      <c r="H817" s="899"/>
      <c r="I817" s="899"/>
      <c r="J817" s="899"/>
      <c r="K817" s="899"/>
      <c r="L817" s="899"/>
      <c r="M817" s="899"/>
      <c r="N817" s="899"/>
      <c r="O817" s="899"/>
      <c r="P817" s="899"/>
      <c r="Q817" s="899"/>
      <c r="R817" s="899"/>
      <c r="S817" s="899"/>
      <c r="T817" s="899"/>
      <c r="U817" s="899"/>
      <c r="V817" s="899"/>
      <c r="W817" s="899"/>
      <c r="X817" s="899"/>
      <c r="Y817" s="899"/>
      <c r="Z817" s="899"/>
      <c r="AA817" s="899"/>
      <c r="AB817" s="899"/>
      <c r="AC817" s="899"/>
      <c r="AD817" s="899"/>
      <c r="AE817" s="899"/>
      <c r="AF817" s="899"/>
      <c r="AG817" s="899"/>
      <c r="AH817" s="899"/>
      <c r="AI817" s="899"/>
      <c r="AJ817" s="899"/>
      <c r="AK817" s="899"/>
      <c r="AL817" s="899"/>
      <c r="AM817" s="899"/>
      <c r="AN817" s="899"/>
      <c r="AO817" s="899"/>
    </row>
    <row r="818">
      <c r="G818" s="899"/>
      <c r="H818" s="899"/>
      <c r="I818" s="899"/>
      <c r="J818" s="899"/>
      <c r="K818" s="899"/>
      <c r="L818" s="899"/>
      <c r="M818" s="899"/>
      <c r="N818" s="899"/>
      <c r="O818" s="899"/>
      <c r="P818" s="899"/>
      <c r="Q818" s="899"/>
      <c r="R818" s="899"/>
      <c r="S818" s="899"/>
      <c r="T818" s="899"/>
      <c r="U818" s="899"/>
      <c r="V818" s="899"/>
      <c r="W818" s="899"/>
      <c r="X818" s="899"/>
      <c r="Y818" s="899"/>
      <c r="Z818" s="899"/>
      <c r="AA818" s="899"/>
      <c r="AB818" s="899"/>
      <c r="AC818" s="899"/>
      <c r="AD818" s="899"/>
      <c r="AE818" s="899"/>
      <c r="AF818" s="899"/>
      <c r="AG818" s="899"/>
      <c r="AH818" s="899"/>
      <c r="AI818" s="899"/>
      <c r="AJ818" s="899"/>
      <c r="AK818" s="899"/>
      <c r="AL818" s="899"/>
      <c r="AM818" s="899"/>
      <c r="AN818" s="899"/>
      <c r="AO818" s="899"/>
    </row>
    <row r="819">
      <c r="G819" s="899"/>
      <c r="H819" s="899"/>
      <c r="I819" s="899"/>
      <c r="J819" s="899"/>
      <c r="K819" s="899"/>
      <c r="L819" s="899"/>
      <c r="M819" s="899"/>
      <c r="N819" s="899"/>
      <c r="O819" s="899"/>
      <c r="P819" s="899"/>
      <c r="Q819" s="899"/>
      <c r="R819" s="899"/>
      <c r="S819" s="899"/>
      <c r="T819" s="899"/>
      <c r="U819" s="899"/>
      <c r="V819" s="899"/>
      <c r="W819" s="899"/>
      <c r="X819" s="899"/>
      <c r="Y819" s="899"/>
      <c r="Z819" s="899"/>
      <c r="AA819" s="899"/>
      <c r="AB819" s="899"/>
      <c r="AC819" s="899"/>
      <c r="AD819" s="899"/>
      <c r="AE819" s="899"/>
      <c r="AF819" s="899"/>
      <c r="AG819" s="899"/>
      <c r="AH819" s="899"/>
      <c r="AI819" s="899"/>
      <c r="AJ819" s="899"/>
      <c r="AK819" s="899"/>
      <c r="AL819" s="899"/>
      <c r="AM819" s="899"/>
      <c r="AN819" s="899"/>
      <c r="AO819" s="899"/>
    </row>
    <row r="820">
      <c r="G820" s="899"/>
      <c r="H820" s="899"/>
      <c r="I820" s="899"/>
      <c r="J820" s="899"/>
      <c r="K820" s="899"/>
      <c r="L820" s="899"/>
      <c r="M820" s="899"/>
      <c r="N820" s="899"/>
      <c r="O820" s="899"/>
      <c r="P820" s="899"/>
      <c r="Q820" s="899"/>
      <c r="R820" s="899"/>
      <c r="S820" s="899"/>
      <c r="T820" s="899"/>
      <c r="U820" s="899"/>
      <c r="V820" s="899"/>
      <c r="W820" s="899"/>
      <c r="X820" s="899"/>
      <c r="Y820" s="899"/>
      <c r="Z820" s="899"/>
      <c r="AA820" s="899"/>
      <c r="AB820" s="899"/>
      <c r="AC820" s="899"/>
      <c r="AD820" s="899"/>
      <c r="AE820" s="899"/>
      <c r="AF820" s="899"/>
      <c r="AG820" s="899"/>
      <c r="AH820" s="899"/>
      <c r="AI820" s="899"/>
      <c r="AJ820" s="899"/>
      <c r="AK820" s="899"/>
      <c r="AL820" s="899"/>
      <c r="AM820" s="899"/>
      <c r="AN820" s="899"/>
      <c r="AO820" s="899"/>
    </row>
    <row r="821">
      <c r="G821" s="899"/>
      <c r="H821" s="899"/>
      <c r="I821" s="899"/>
      <c r="J821" s="899"/>
      <c r="K821" s="899"/>
      <c r="L821" s="899"/>
      <c r="M821" s="899"/>
      <c r="N821" s="899"/>
      <c r="O821" s="899"/>
      <c r="P821" s="899"/>
      <c r="Q821" s="899"/>
      <c r="R821" s="899"/>
      <c r="S821" s="899"/>
      <c r="T821" s="899"/>
      <c r="U821" s="899"/>
      <c r="V821" s="899"/>
      <c r="W821" s="899"/>
      <c r="X821" s="899"/>
      <c r="Y821" s="899"/>
      <c r="Z821" s="899"/>
      <c r="AA821" s="899"/>
      <c r="AB821" s="899"/>
      <c r="AC821" s="899"/>
      <c r="AD821" s="899"/>
      <c r="AE821" s="899"/>
      <c r="AF821" s="899"/>
      <c r="AG821" s="899"/>
      <c r="AH821" s="899"/>
      <c r="AI821" s="899"/>
      <c r="AJ821" s="899"/>
      <c r="AK821" s="899"/>
      <c r="AL821" s="899"/>
      <c r="AM821" s="899"/>
      <c r="AN821" s="899"/>
      <c r="AO821" s="899"/>
    </row>
    <row r="822">
      <c r="G822" s="899"/>
      <c r="H822" s="899"/>
      <c r="I822" s="899"/>
      <c r="J822" s="899"/>
      <c r="K822" s="899"/>
      <c r="L822" s="899"/>
      <c r="M822" s="899"/>
      <c r="N822" s="899"/>
      <c r="O822" s="899"/>
      <c r="P822" s="899"/>
      <c r="Q822" s="899"/>
      <c r="R822" s="899"/>
      <c r="S822" s="899"/>
      <c r="T822" s="899"/>
      <c r="U822" s="899"/>
      <c r="V822" s="899"/>
      <c r="W822" s="899"/>
      <c r="X822" s="899"/>
      <c r="Y822" s="899"/>
      <c r="Z822" s="899"/>
      <c r="AA822" s="899"/>
      <c r="AB822" s="899"/>
      <c r="AC822" s="899"/>
      <c r="AD822" s="899"/>
      <c r="AE822" s="899"/>
      <c r="AF822" s="899"/>
      <c r="AG822" s="899"/>
      <c r="AH822" s="899"/>
      <c r="AI822" s="899"/>
      <c r="AJ822" s="899"/>
      <c r="AK822" s="899"/>
      <c r="AL822" s="899"/>
      <c r="AM822" s="899"/>
      <c r="AN822" s="899"/>
      <c r="AO822" s="899"/>
    </row>
    <row r="823">
      <c r="G823" s="899"/>
      <c r="H823" s="899"/>
      <c r="I823" s="899"/>
      <c r="J823" s="899"/>
      <c r="K823" s="899"/>
      <c r="L823" s="899"/>
      <c r="M823" s="899"/>
      <c r="N823" s="899"/>
      <c r="O823" s="899"/>
      <c r="P823" s="899"/>
      <c r="Q823" s="899"/>
      <c r="R823" s="899"/>
      <c r="S823" s="899"/>
      <c r="T823" s="899"/>
      <c r="U823" s="899"/>
      <c r="V823" s="899"/>
      <c r="W823" s="899"/>
      <c r="X823" s="899"/>
      <c r="Y823" s="899"/>
      <c r="Z823" s="899"/>
      <c r="AA823" s="899"/>
      <c r="AB823" s="899"/>
      <c r="AC823" s="899"/>
      <c r="AD823" s="899"/>
      <c r="AE823" s="899"/>
      <c r="AF823" s="899"/>
      <c r="AG823" s="899"/>
      <c r="AH823" s="899"/>
      <c r="AI823" s="899"/>
      <c r="AJ823" s="899"/>
      <c r="AK823" s="899"/>
      <c r="AL823" s="899"/>
      <c r="AM823" s="899"/>
      <c r="AN823" s="899"/>
      <c r="AO823" s="899"/>
    </row>
    <row r="824">
      <c r="G824" s="899"/>
      <c r="H824" s="899"/>
      <c r="I824" s="899"/>
      <c r="J824" s="899"/>
      <c r="K824" s="899"/>
      <c r="L824" s="899"/>
      <c r="M824" s="899"/>
      <c r="N824" s="899"/>
      <c r="O824" s="899"/>
      <c r="P824" s="899"/>
      <c r="Q824" s="899"/>
      <c r="R824" s="899"/>
      <c r="S824" s="899"/>
      <c r="T824" s="899"/>
      <c r="U824" s="899"/>
      <c r="V824" s="899"/>
      <c r="W824" s="899"/>
      <c r="X824" s="899"/>
      <c r="Y824" s="899"/>
      <c r="Z824" s="899"/>
      <c r="AA824" s="899"/>
      <c r="AB824" s="899"/>
      <c r="AC824" s="899"/>
      <c r="AD824" s="899"/>
      <c r="AE824" s="899"/>
      <c r="AF824" s="899"/>
      <c r="AG824" s="899"/>
      <c r="AH824" s="899"/>
      <c r="AI824" s="899"/>
      <c r="AJ824" s="899"/>
      <c r="AK824" s="899"/>
      <c r="AL824" s="899"/>
      <c r="AM824" s="899"/>
      <c r="AN824" s="899"/>
      <c r="AO824" s="899"/>
    </row>
    <row r="825">
      <c r="G825" s="899"/>
      <c r="H825" s="899"/>
      <c r="I825" s="899"/>
      <c r="J825" s="899"/>
      <c r="K825" s="899"/>
      <c r="L825" s="899"/>
      <c r="M825" s="899"/>
      <c r="N825" s="899"/>
      <c r="O825" s="899"/>
      <c r="P825" s="899"/>
      <c r="Q825" s="899"/>
      <c r="R825" s="899"/>
      <c r="S825" s="899"/>
      <c r="T825" s="899"/>
      <c r="U825" s="899"/>
      <c r="V825" s="899"/>
      <c r="W825" s="899"/>
      <c r="X825" s="899"/>
      <c r="Y825" s="899"/>
      <c r="Z825" s="899"/>
      <c r="AA825" s="899"/>
      <c r="AB825" s="899"/>
      <c r="AC825" s="899"/>
      <c r="AD825" s="899"/>
      <c r="AE825" s="899"/>
      <c r="AF825" s="899"/>
      <c r="AG825" s="899"/>
      <c r="AH825" s="899"/>
      <c r="AI825" s="899"/>
      <c r="AJ825" s="899"/>
      <c r="AK825" s="899"/>
      <c r="AL825" s="899"/>
      <c r="AM825" s="899"/>
      <c r="AN825" s="899"/>
      <c r="AO825" s="899"/>
    </row>
    <row r="826">
      <c r="G826" s="899"/>
      <c r="H826" s="899"/>
      <c r="I826" s="899"/>
      <c r="J826" s="899"/>
      <c r="K826" s="899"/>
      <c r="L826" s="899"/>
      <c r="M826" s="899"/>
      <c r="N826" s="899"/>
      <c r="O826" s="899"/>
      <c r="P826" s="899"/>
      <c r="Q826" s="899"/>
      <c r="R826" s="899"/>
      <c r="S826" s="899"/>
      <c r="T826" s="899"/>
      <c r="U826" s="899"/>
      <c r="V826" s="899"/>
      <c r="W826" s="899"/>
      <c r="X826" s="899"/>
      <c r="Y826" s="899"/>
      <c r="Z826" s="899"/>
      <c r="AA826" s="899"/>
      <c r="AB826" s="899"/>
      <c r="AC826" s="899"/>
      <c r="AD826" s="899"/>
      <c r="AE826" s="899"/>
      <c r="AF826" s="899"/>
      <c r="AG826" s="899"/>
      <c r="AH826" s="899"/>
      <c r="AI826" s="899"/>
      <c r="AJ826" s="899"/>
      <c r="AK826" s="899"/>
      <c r="AL826" s="899"/>
      <c r="AM826" s="899"/>
      <c r="AN826" s="899"/>
      <c r="AO826" s="899"/>
    </row>
    <row r="827">
      <c r="G827" s="899"/>
      <c r="H827" s="899"/>
      <c r="I827" s="899"/>
      <c r="J827" s="899"/>
      <c r="K827" s="899"/>
      <c r="L827" s="899"/>
      <c r="M827" s="899"/>
      <c r="N827" s="899"/>
      <c r="O827" s="899"/>
      <c r="P827" s="899"/>
      <c r="Q827" s="899"/>
      <c r="R827" s="899"/>
      <c r="S827" s="899"/>
      <c r="T827" s="899"/>
      <c r="U827" s="899"/>
      <c r="V827" s="899"/>
      <c r="W827" s="899"/>
      <c r="X827" s="899"/>
      <c r="Y827" s="899"/>
      <c r="Z827" s="899"/>
      <c r="AA827" s="899"/>
      <c r="AB827" s="899"/>
      <c r="AC827" s="899"/>
      <c r="AD827" s="899"/>
      <c r="AE827" s="899"/>
      <c r="AF827" s="899"/>
      <c r="AG827" s="899"/>
      <c r="AH827" s="899"/>
      <c r="AI827" s="899"/>
      <c r="AJ827" s="899"/>
      <c r="AK827" s="899"/>
      <c r="AL827" s="899"/>
      <c r="AM827" s="899"/>
      <c r="AN827" s="899"/>
      <c r="AO827" s="899"/>
    </row>
    <row r="828">
      <c r="G828" s="899"/>
      <c r="H828" s="899"/>
      <c r="I828" s="899"/>
      <c r="J828" s="899"/>
      <c r="K828" s="899"/>
      <c r="L828" s="899"/>
      <c r="M828" s="899"/>
      <c r="N828" s="899"/>
      <c r="O828" s="899"/>
      <c r="P828" s="899"/>
      <c r="Q828" s="899"/>
      <c r="R828" s="899"/>
      <c r="S828" s="899"/>
      <c r="T828" s="899"/>
      <c r="U828" s="899"/>
      <c r="V828" s="899"/>
      <c r="W828" s="899"/>
      <c r="X828" s="899"/>
      <c r="Y828" s="899"/>
      <c r="Z828" s="899"/>
      <c r="AA828" s="899"/>
      <c r="AB828" s="899"/>
      <c r="AC828" s="899"/>
      <c r="AD828" s="899"/>
      <c r="AE828" s="899"/>
      <c r="AF828" s="899"/>
      <c r="AG828" s="899"/>
      <c r="AH828" s="899"/>
      <c r="AI828" s="899"/>
      <c r="AJ828" s="899"/>
      <c r="AK828" s="899"/>
      <c r="AL828" s="899"/>
      <c r="AM828" s="899"/>
      <c r="AN828" s="899"/>
      <c r="AO828" s="899"/>
    </row>
    <row r="829">
      <c r="G829" s="899"/>
      <c r="H829" s="899"/>
      <c r="I829" s="899"/>
      <c r="J829" s="899"/>
      <c r="K829" s="899"/>
      <c r="L829" s="899"/>
      <c r="M829" s="899"/>
      <c r="N829" s="899"/>
      <c r="O829" s="899"/>
      <c r="P829" s="899"/>
      <c r="Q829" s="899"/>
      <c r="R829" s="899"/>
      <c r="S829" s="899"/>
      <c r="T829" s="899"/>
      <c r="U829" s="899"/>
      <c r="V829" s="899"/>
      <c r="W829" s="899"/>
      <c r="X829" s="899"/>
      <c r="Y829" s="899"/>
      <c r="Z829" s="899"/>
      <c r="AA829" s="899"/>
      <c r="AB829" s="899"/>
      <c r="AC829" s="899"/>
      <c r="AD829" s="899"/>
      <c r="AE829" s="899"/>
      <c r="AF829" s="899"/>
      <c r="AG829" s="899"/>
      <c r="AH829" s="899"/>
      <c r="AI829" s="899"/>
      <c r="AJ829" s="899"/>
      <c r="AK829" s="899"/>
      <c r="AL829" s="899"/>
      <c r="AM829" s="899"/>
      <c r="AN829" s="899"/>
      <c r="AO829" s="899"/>
    </row>
    <row r="830">
      <c r="G830" s="899"/>
      <c r="H830" s="899"/>
      <c r="I830" s="899"/>
      <c r="J830" s="899"/>
      <c r="K830" s="899"/>
      <c r="L830" s="899"/>
      <c r="M830" s="899"/>
      <c r="N830" s="899"/>
      <c r="O830" s="899"/>
      <c r="P830" s="899"/>
      <c r="Q830" s="899"/>
      <c r="R830" s="899"/>
      <c r="S830" s="899"/>
      <c r="T830" s="899"/>
      <c r="U830" s="899"/>
      <c r="V830" s="899"/>
      <c r="W830" s="899"/>
      <c r="X830" s="899"/>
      <c r="Y830" s="899"/>
      <c r="Z830" s="899"/>
      <c r="AA830" s="899"/>
      <c r="AB830" s="899"/>
      <c r="AC830" s="899"/>
      <c r="AD830" s="899"/>
      <c r="AE830" s="899"/>
      <c r="AF830" s="899"/>
      <c r="AG830" s="899"/>
      <c r="AH830" s="899"/>
      <c r="AI830" s="899"/>
      <c r="AJ830" s="899"/>
      <c r="AK830" s="899"/>
      <c r="AL830" s="899"/>
      <c r="AM830" s="899"/>
      <c r="AN830" s="899"/>
      <c r="AO830" s="899"/>
    </row>
    <row r="831">
      <c r="G831" s="899"/>
      <c r="H831" s="899"/>
      <c r="I831" s="899"/>
      <c r="J831" s="899"/>
      <c r="K831" s="899"/>
      <c r="L831" s="899"/>
      <c r="M831" s="899"/>
      <c r="N831" s="899"/>
      <c r="O831" s="899"/>
      <c r="P831" s="899"/>
      <c r="Q831" s="899"/>
      <c r="R831" s="899"/>
      <c r="S831" s="899"/>
      <c r="T831" s="899"/>
      <c r="U831" s="899"/>
      <c r="V831" s="899"/>
      <c r="W831" s="899"/>
      <c r="X831" s="899"/>
      <c r="Y831" s="899"/>
      <c r="Z831" s="899"/>
      <c r="AA831" s="899"/>
      <c r="AB831" s="899"/>
      <c r="AC831" s="899"/>
      <c r="AD831" s="899"/>
      <c r="AE831" s="899"/>
      <c r="AF831" s="899"/>
      <c r="AG831" s="899"/>
      <c r="AH831" s="899"/>
      <c r="AI831" s="899"/>
      <c r="AJ831" s="899"/>
      <c r="AK831" s="899"/>
      <c r="AL831" s="899"/>
      <c r="AM831" s="899"/>
      <c r="AN831" s="899"/>
      <c r="AO831" s="899"/>
    </row>
    <row r="832">
      <c r="G832" s="899"/>
      <c r="H832" s="899"/>
      <c r="I832" s="899"/>
      <c r="J832" s="899"/>
      <c r="K832" s="899"/>
      <c r="L832" s="899"/>
      <c r="M832" s="899"/>
      <c r="N832" s="899"/>
      <c r="O832" s="899"/>
      <c r="P832" s="899"/>
      <c r="Q832" s="899"/>
      <c r="R832" s="899"/>
      <c r="S832" s="899"/>
      <c r="T832" s="899"/>
      <c r="U832" s="899"/>
      <c r="V832" s="899"/>
      <c r="W832" s="899"/>
      <c r="X832" s="899"/>
      <c r="Y832" s="899"/>
      <c r="Z832" s="899"/>
      <c r="AA832" s="899"/>
      <c r="AB832" s="899"/>
      <c r="AC832" s="899"/>
      <c r="AD832" s="899"/>
      <c r="AE832" s="899"/>
      <c r="AF832" s="899"/>
      <c r="AG832" s="899"/>
      <c r="AH832" s="899"/>
      <c r="AI832" s="899"/>
      <c r="AJ832" s="899"/>
      <c r="AK832" s="899"/>
      <c r="AL832" s="899"/>
      <c r="AM832" s="899"/>
      <c r="AN832" s="899"/>
      <c r="AO832" s="899"/>
    </row>
    <row r="833">
      <c r="G833" s="899"/>
      <c r="H833" s="899"/>
      <c r="I833" s="899"/>
      <c r="J833" s="899"/>
      <c r="K833" s="899"/>
      <c r="L833" s="899"/>
      <c r="M833" s="899"/>
      <c r="N833" s="899"/>
      <c r="O833" s="899"/>
      <c r="P833" s="899"/>
      <c r="Q833" s="899"/>
      <c r="R833" s="899"/>
      <c r="S833" s="899"/>
      <c r="T833" s="899"/>
      <c r="U833" s="899"/>
      <c r="V833" s="899"/>
      <c r="W833" s="899"/>
      <c r="X833" s="899"/>
      <c r="Y833" s="899"/>
      <c r="Z833" s="899"/>
      <c r="AA833" s="899"/>
      <c r="AB833" s="899"/>
      <c r="AC833" s="899"/>
      <c r="AD833" s="899"/>
      <c r="AE833" s="899"/>
      <c r="AF833" s="899"/>
      <c r="AG833" s="899"/>
      <c r="AH833" s="899"/>
      <c r="AI833" s="899"/>
      <c r="AJ833" s="899"/>
      <c r="AK833" s="899"/>
      <c r="AL833" s="899"/>
      <c r="AM833" s="899"/>
      <c r="AN833" s="899"/>
      <c r="AO833" s="899"/>
    </row>
    <row r="834">
      <c r="G834" s="899"/>
      <c r="H834" s="899"/>
      <c r="I834" s="899"/>
      <c r="J834" s="899"/>
      <c r="K834" s="899"/>
      <c r="L834" s="899"/>
      <c r="M834" s="899"/>
      <c r="N834" s="899"/>
      <c r="O834" s="899"/>
      <c r="P834" s="899"/>
      <c r="Q834" s="899"/>
      <c r="R834" s="899"/>
      <c r="S834" s="899"/>
      <c r="T834" s="899"/>
      <c r="U834" s="899"/>
      <c r="V834" s="899"/>
      <c r="W834" s="899"/>
      <c r="X834" s="899"/>
      <c r="Y834" s="899"/>
      <c r="Z834" s="899"/>
      <c r="AA834" s="899"/>
      <c r="AB834" s="899"/>
      <c r="AC834" s="899"/>
      <c r="AD834" s="899"/>
      <c r="AE834" s="899"/>
      <c r="AF834" s="899"/>
      <c r="AG834" s="899"/>
      <c r="AH834" s="899"/>
      <c r="AI834" s="899"/>
      <c r="AJ834" s="899"/>
      <c r="AK834" s="899"/>
      <c r="AL834" s="899"/>
      <c r="AM834" s="899"/>
      <c r="AN834" s="899"/>
      <c r="AO834" s="899"/>
    </row>
    <row r="835">
      <c r="G835" s="899"/>
      <c r="H835" s="899"/>
      <c r="I835" s="899"/>
      <c r="J835" s="899"/>
      <c r="K835" s="899"/>
      <c r="L835" s="899"/>
      <c r="M835" s="899"/>
      <c r="N835" s="899"/>
      <c r="O835" s="899"/>
      <c r="P835" s="899"/>
      <c r="Q835" s="899"/>
      <c r="R835" s="899"/>
      <c r="S835" s="899"/>
      <c r="T835" s="899"/>
      <c r="U835" s="899"/>
      <c r="V835" s="899"/>
      <c r="W835" s="899"/>
      <c r="X835" s="899"/>
      <c r="Y835" s="899"/>
      <c r="Z835" s="899"/>
      <c r="AA835" s="899"/>
      <c r="AB835" s="899"/>
      <c r="AC835" s="899"/>
      <c r="AD835" s="899"/>
      <c r="AE835" s="899"/>
      <c r="AF835" s="899"/>
      <c r="AG835" s="899"/>
      <c r="AH835" s="899"/>
      <c r="AI835" s="899"/>
      <c r="AJ835" s="899"/>
      <c r="AK835" s="899"/>
      <c r="AL835" s="899"/>
      <c r="AM835" s="899"/>
      <c r="AN835" s="899"/>
      <c r="AO835" s="899"/>
    </row>
    <row r="836">
      <c r="G836" s="899"/>
      <c r="H836" s="899"/>
      <c r="I836" s="899"/>
      <c r="J836" s="899"/>
      <c r="K836" s="899"/>
      <c r="L836" s="899"/>
      <c r="M836" s="899"/>
      <c r="N836" s="899"/>
      <c r="O836" s="899"/>
      <c r="P836" s="899"/>
      <c r="Q836" s="899"/>
      <c r="R836" s="899"/>
      <c r="S836" s="899"/>
      <c r="T836" s="899"/>
      <c r="U836" s="899"/>
      <c r="V836" s="899"/>
      <c r="W836" s="899"/>
      <c r="X836" s="899"/>
      <c r="Y836" s="899"/>
      <c r="Z836" s="899"/>
      <c r="AA836" s="899"/>
      <c r="AB836" s="899"/>
      <c r="AC836" s="899"/>
      <c r="AD836" s="899"/>
      <c r="AE836" s="899"/>
      <c r="AF836" s="899"/>
      <c r="AG836" s="899"/>
      <c r="AH836" s="899"/>
      <c r="AI836" s="899"/>
      <c r="AJ836" s="899"/>
      <c r="AK836" s="899"/>
      <c r="AL836" s="899"/>
      <c r="AM836" s="899"/>
      <c r="AN836" s="899"/>
      <c r="AO836" s="899"/>
    </row>
    <row r="837">
      <c r="G837" s="899"/>
      <c r="H837" s="899"/>
      <c r="I837" s="899"/>
      <c r="J837" s="899"/>
      <c r="K837" s="899"/>
      <c r="L837" s="899"/>
      <c r="M837" s="899"/>
      <c r="N837" s="899"/>
      <c r="O837" s="899"/>
      <c r="P837" s="899"/>
      <c r="Q837" s="899"/>
      <c r="R837" s="899"/>
      <c r="S837" s="899"/>
      <c r="T837" s="899"/>
      <c r="U837" s="899"/>
      <c r="V837" s="899"/>
      <c r="W837" s="899"/>
      <c r="X837" s="899"/>
      <c r="Y837" s="899"/>
      <c r="Z837" s="899"/>
      <c r="AA837" s="899"/>
      <c r="AB837" s="899"/>
      <c r="AC837" s="899"/>
      <c r="AD837" s="899"/>
      <c r="AE837" s="899"/>
      <c r="AF837" s="899"/>
      <c r="AG837" s="899"/>
      <c r="AH837" s="899"/>
      <c r="AI837" s="899"/>
      <c r="AJ837" s="899"/>
      <c r="AK837" s="899"/>
      <c r="AL837" s="899"/>
      <c r="AM837" s="899"/>
      <c r="AN837" s="899"/>
      <c r="AO837" s="899"/>
    </row>
    <row r="838">
      <c r="G838" s="899"/>
      <c r="H838" s="899"/>
      <c r="I838" s="899"/>
      <c r="J838" s="899"/>
      <c r="K838" s="899"/>
      <c r="L838" s="899"/>
      <c r="M838" s="899"/>
      <c r="N838" s="899"/>
      <c r="O838" s="899"/>
      <c r="P838" s="899"/>
      <c r="Q838" s="899"/>
      <c r="R838" s="899"/>
      <c r="S838" s="899"/>
      <c r="T838" s="899"/>
      <c r="U838" s="899"/>
      <c r="V838" s="899"/>
      <c r="W838" s="899"/>
      <c r="X838" s="899"/>
      <c r="Y838" s="899"/>
      <c r="Z838" s="899"/>
      <c r="AA838" s="899"/>
      <c r="AB838" s="899"/>
      <c r="AC838" s="899"/>
      <c r="AD838" s="899"/>
      <c r="AE838" s="899"/>
      <c r="AF838" s="899"/>
      <c r="AG838" s="899"/>
      <c r="AH838" s="899"/>
      <c r="AI838" s="899"/>
      <c r="AJ838" s="899"/>
      <c r="AK838" s="899"/>
      <c r="AL838" s="899"/>
      <c r="AM838" s="899"/>
      <c r="AN838" s="899"/>
      <c r="AO838" s="899"/>
    </row>
    <row r="839">
      <c r="G839" s="899"/>
      <c r="H839" s="899"/>
      <c r="I839" s="899"/>
      <c r="J839" s="899"/>
      <c r="K839" s="899"/>
      <c r="L839" s="899"/>
      <c r="M839" s="899"/>
      <c r="N839" s="899"/>
      <c r="O839" s="899"/>
      <c r="P839" s="899"/>
      <c r="Q839" s="899"/>
      <c r="R839" s="899"/>
      <c r="S839" s="899"/>
      <c r="T839" s="899"/>
      <c r="U839" s="899"/>
      <c r="V839" s="899"/>
      <c r="W839" s="899"/>
      <c r="X839" s="899"/>
      <c r="Y839" s="899"/>
      <c r="Z839" s="899"/>
      <c r="AA839" s="899"/>
      <c r="AB839" s="899"/>
      <c r="AC839" s="899"/>
      <c r="AD839" s="899"/>
      <c r="AE839" s="899"/>
      <c r="AF839" s="899"/>
      <c r="AG839" s="899"/>
      <c r="AH839" s="899"/>
      <c r="AI839" s="899"/>
      <c r="AJ839" s="899"/>
      <c r="AK839" s="899"/>
      <c r="AL839" s="899"/>
      <c r="AM839" s="899"/>
      <c r="AN839" s="899"/>
      <c r="AO839" s="899"/>
    </row>
    <row r="840">
      <c r="G840" s="899"/>
      <c r="H840" s="899"/>
      <c r="I840" s="899"/>
      <c r="J840" s="899"/>
      <c r="K840" s="899"/>
      <c r="L840" s="899"/>
      <c r="M840" s="899"/>
      <c r="N840" s="899"/>
      <c r="O840" s="899"/>
      <c r="P840" s="899"/>
      <c r="Q840" s="899"/>
      <c r="R840" s="899"/>
      <c r="S840" s="899"/>
      <c r="T840" s="899"/>
      <c r="U840" s="899"/>
      <c r="V840" s="899"/>
      <c r="W840" s="899"/>
      <c r="X840" s="899"/>
      <c r="Y840" s="899"/>
      <c r="Z840" s="899"/>
      <c r="AA840" s="899"/>
      <c r="AB840" s="899"/>
      <c r="AC840" s="899"/>
      <c r="AD840" s="899"/>
      <c r="AE840" s="899"/>
      <c r="AF840" s="899"/>
      <c r="AG840" s="899"/>
      <c r="AH840" s="899"/>
      <c r="AI840" s="899"/>
      <c r="AJ840" s="899"/>
      <c r="AK840" s="899"/>
      <c r="AL840" s="899"/>
      <c r="AM840" s="899"/>
      <c r="AN840" s="899"/>
      <c r="AO840" s="899"/>
    </row>
    <row r="841">
      <c r="G841" s="899"/>
      <c r="H841" s="899"/>
      <c r="I841" s="899"/>
      <c r="J841" s="899"/>
      <c r="K841" s="899"/>
      <c r="L841" s="899"/>
      <c r="M841" s="899"/>
      <c r="N841" s="899"/>
      <c r="O841" s="899"/>
      <c r="P841" s="899"/>
      <c r="Q841" s="899"/>
      <c r="R841" s="899"/>
      <c r="S841" s="899"/>
      <c r="T841" s="899"/>
      <c r="U841" s="899"/>
      <c r="V841" s="899"/>
      <c r="W841" s="899"/>
      <c r="X841" s="899"/>
      <c r="Y841" s="899"/>
      <c r="Z841" s="899"/>
      <c r="AA841" s="899"/>
      <c r="AB841" s="899"/>
      <c r="AC841" s="899"/>
      <c r="AD841" s="899"/>
      <c r="AE841" s="899"/>
      <c r="AF841" s="899"/>
      <c r="AG841" s="899"/>
      <c r="AH841" s="899"/>
      <c r="AI841" s="899"/>
      <c r="AJ841" s="899"/>
      <c r="AK841" s="899"/>
      <c r="AL841" s="899"/>
      <c r="AM841" s="899"/>
      <c r="AN841" s="899"/>
      <c r="AO841" s="899"/>
    </row>
    <row r="842">
      <c r="G842" s="899"/>
      <c r="H842" s="899"/>
      <c r="I842" s="899"/>
      <c r="J842" s="899"/>
      <c r="K842" s="899"/>
      <c r="L842" s="899"/>
      <c r="M842" s="899"/>
      <c r="N842" s="899"/>
      <c r="O842" s="899"/>
      <c r="P842" s="899"/>
      <c r="Q842" s="899"/>
      <c r="R842" s="899"/>
      <c r="S842" s="899"/>
      <c r="T842" s="899"/>
      <c r="U842" s="899"/>
      <c r="V842" s="899"/>
      <c r="W842" s="899"/>
      <c r="X842" s="899"/>
      <c r="Y842" s="899"/>
      <c r="Z842" s="899"/>
      <c r="AA842" s="899"/>
      <c r="AB842" s="899"/>
      <c r="AC842" s="899"/>
      <c r="AD842" s="899"/>
      <c r="AE842" s="899"/>
      <c r="AF842" s="899"/>
      <c r="AG842" s="899"/>
      <c r="AH842" s="899"/>
      <c r="AI842" s="899"/>
      <c r="AJ842" s="899"/>
      <c r="AK842" s="899"/>
      <c r="AL842" s="899"/>
      <c r="AM842" s="899"/>
      <c r="AN842" s="899"/>
      <c r="AO842" s="899"/>
    </row>
    <row r="843">
      <c r="G843" s="899"/>
      <c r="H843" s="899"/>
      <c r="I843" s="899"/>
      <c r="J843" s="899"/>
      <c r="K843" s="899"/>
      <c r="L843" s="899"/>
      <c r="M843" s="899"/>
      <c r="N843" s="899"/>
      <c r="O843" s="899"/>
      <c r="P843" s="899"/>
      <c r="Q843" s="899"/>
      <c r="R843" s="899"/>
      <c r="S843" s="899"/>
      <c r="T843" s="899"/>
      <c r="U843" s="899"/>
      <c r="V843" s="899"/>
      <c r="W843" s="899"/>
      <c r="X843" s="899"/>
      <c r="Y843" s="899"/>
      <c r="Z843" s="899"/>
      <c r="AA843" s="899"/>
      <c r="AB843" s="899"/>
      <c r="AC843" s="899"/>
      <c r="AD843" s="899"/>
      <c r="AE843" s="899"/>
      <c r="AF843" s="899"/>
      <c r="AG843" s="899"/>
      <c r="AH843" s="899"/>
      <c r="AI843" s="899"/>
      <c r="AJ843" s="899"/>
      <c r="AK843" s="899"/>
      <c r="AL843" s="899"/>
      <c r="AM843" s="899"/>
      <c r="AN843" s="899"/>
      <c r="AO843" s="899"/>
    </row>
    <row r="844">
      <c r="G844" s="899"/>
      <c r="H844" s="899"/>
      <c r="I844" s="899"/>
      <c r="J844" s="899"/>
      <c r="K844" s="899"/>
      <c r="L844" s="899"/>
      <c r="M844" s="899"/>
      <c r="N844" s="899"/>
      <c r="O844" s="899"/>
      <c r="P844" s="899"/>
      <c r="Q844" s="899"/>
      <c r="R844" s="899"/>
      <c r="S844" s="899"/>
      <c r="T844" s="899"/>
      <c r="U844" s="899"/>
      <c r="V844" s="899"/>
      <c r="W844" s="899"/>
      <c r="X844" s="899"/>
      <c r="Y844" s="899"/>
      <c r="Z844" s="899"/>
      <c r="AA844" s="899"/>
      <c r="AB844" s="899"/>
      <c r="AC844" s="899"/>
      <c r="AD844" s="899"/>
      <c r="AE844" s="899"/>
      <c r="AF844" s="899"/>
      <c r="AG844" s="899"/>
      <c r="AH844" s="899"/>
      <c r="AI844" s="899"/>
      <c r="AJ844" s="899"/>
      <c r="AK844" s="899"/>
      <c r="AL844" s="899"/>
      <c r="AM844" s="899"/>
      <c r="AN844" s="899"/>
      <c r="AO844" s="899"/>
    </row>
    <row r="845">
      <c r="G845" s="899"/>
      <c r="H845" s="899"/>
      <c r="I845" s="899"/>
      <c r="J845" s="899"/>
      <c r="K845" s="899"/>
      <c r="L845" s="899"/>
      <c r="M845" s="899"/>
      <c r="N845" s="899"/>
      <c r="O845" s="899"/>
      <c r="P845" s="899"/>
      <c r="Q845" s="899"/>
      <c r="R845" s="899"/>
      <c r="S845" s="899"/>
      <c r="T845" s="899"/>
      <c r="U845" s="899"/>
      <c r="V845" s="899"/>
      <c r="W845" s="899"/>
      <c r="X845" s="899"/>
      <c r="Y845" s="899"/>
      <c r="Z845" s="899"/>
      <c r="AA845" s="899"/>
      <c r="AB845" s="899"/>
      <c r="AC845" s="899"/>
      <c r="AD845" s="899"/>
      <c r="AE845" s="899"/>
      <c r="AF845" s="899"/>
      <c r="AG845" s="899"/>
      <c r="AH845" s="899"/>
      <c r="AI845" s="899"/>
      <c r="AJ845" s="899"/>
      <c r="AK845" s="899"/>
      <c r="AL845" s="899"/>
      <c r="AM845" s="899"/>
      <c r="AN845" s="899"/>
      <c r="AO845" s="899"/>
    </row>
    <row r="846">
      <c r="G846" s="899"/>
      <c r="H846" s="899"/>
      <c r="I846" s="899"/>
      <c r="J846" s="899"/>
      <c r="K846" s="899"/>
      <c r="L846" s="899"/>
      <c r="M846" s="899"/>
      <c r="N846" s="899"/>
      <c r="O846" s="899"/>
      <c r="P846" s="899"/>
      <c r="Q846" s="899"/>
      <c r="R846" s="899"/>
      <c r="S846" s="899"/>
      <c r="T846" s="899"/>
      <c r="U846" s="899"/>
      <c r="V846" s="899"/>
      <c r="W846" s="899"/>
      <c r="X846" s="899"/>
      <c r="Y846" s="899"/>
      <c r="Z846" s="899"/>
      <c r="AA846" s="899"/>
      <c r="AB846" s="899"/>
      <c r="AC846" s="899"/>
      <c r="AD846" s="899"/>
      <c r="AE846" s="899"/>
      <c r="AF846" s="899"/>
      <c r="AG846" s="899"/>
      <c r="AH846" s="899"/>
      <c r="AI846" s="899"/>
      <c r="AJ846" s="899"/>
      <c r="AK846" s="899"/>
      <c r="AL846" s="899"/>
      <c r="AM846" s="899"/>
      <c r="AN846" s="899"/>
      <c r="AO846" s="899"/>
    </row>
    <row r="847">
      <c r="G847" s="899"/>
      <c r="H847" s="899"/>
      <c r="I847" s="899"/>
      <c r="J847" s="899"/>
      <c r="K847" s="899"/>
      <c r="L847" s="899"/>
      <c r="M847" s="899"/>
      <c r="N847" s="899"/>
      <c r="O847" s="899"/>
      <c r="P847" s="899"/>
      <c r="Q847" s="899"/>
      <c r="R847" s="899"/>
      <c r="S847" s="899"/>
      <c r="T847" s="899"/>
      <c r="U847" s="899"/>
      <c r="V847" s="899"/>
      <c r="W847" s="899"/>
      <c r="X847" s="899"/>
      <c r="Y847" s="899"/>
      <c r="Z847" s="899"/>
      <c r="AA847" s="899"/>
      <c r="AB847" s="899"/>
      <c r="AC847" s="899"/>
      <c r="AD847" s="899"/>
      <c r="AE847" s="899"/>
      <c r="AF847" s="899"/>
      <c r="AG847" s="899"/>
      <c r="AH847" s="899"/>
      <c r="AI847" s="899"/>
      <c r="AJ847" s="899"/>
      <c r="AK847" s="899"/>
      <c r="AL847" s="899"/>
      <c r="AM847" s="899"/>
      <c r="AN847" s="899"/>
      <c r="AO847" s="899"/>
    </row>
    <row r="848">
      <c r="G848" s="899"/>
      <c r="H848" s="899"/>
      <c r="I848" s="899"/>
      <c r="J848" s="899"/>
      <c r="K848" s="899"/>
      <c r="L848" s="899"/>
      <c r="M848" s="899"/>
      <c r="N848" s="899"/>
      <c r="O848" s="899"/>
      <c r="P848" s="899"/>
      <c r="Q848" s="899"/>
      <c r="R848" s="899"/>
      <c r="S848" s="899"/>
      <c r="T848" s="899"/>
      <c r="U848" s="899"/>
      <c r="V848" s="899"/>
      <c r="W848" s="899"/>
      <c r="X848" s="899"/>
      <c r="Y848" s="899"/>
      <c r="Z848" s="899"/>
      <c r="AA848" s="899"/>
      <c r="AB848" s="899"/>
      <c r="AC848" s="899"/>
      <c r="AD848" s="899"/>
      <c r="AE848" s="899"/>
      <c r="AF848" s="899"/>
      <c r="AG848" s="899"/>
      <c r="AH848" s="899"/>
      <c r="AI848" s="899"/>
      <c r="AJ848" s="899"/>
      <c r="AK848" s="899"/>
      <c r="AL848" s="899"/>
      <c r="AM848" s="899"/>
      <c r="AN848" s="899"/>
      <c r="AO848" s="899"/>
    </row>
    <row r="849">
      <c r="G849" s="899"/>
      <c r="H849" s="899"/>
      <c r="I849" s="899"/>
      <c r="J849" s="899"/>
      <c r="K849" s="899"/>
      <c r="L849" s="899"/>
      <c r="M849" s="899"/>
      <c r="N849" s="899"/>
      <c r="O849" s="899"/>
      <c r="P849" s="899"/>
      <c r="Q849" s="899"/>
      <c r="R849" s="899"/>
      <c r="S849" s="899"/>
      <c r="T849" s="899"/>
      <c r="U849" s="899"/>
      <c r="V849" s="899"/>
      <c r="W849" s="899"/>
      <c r="X849" s="899"/>
      <c r="Y849" s="899"/>
      <c r="Z849" s="899"/>
      <c r="AA849" s="899"/>
      <c r="AB849" s="899"/>
      <c r="AC849" s="899"/>
      <c r="AD849" s="899"/>
      <c r="AE849" s="899"/>
      <c r="AF849" s="899"/>
      <c r="AG849" s="899"/>
      <c r="AH849" s="899"/>
      <c r="AI849" s="899"/>
      <c r="AJ849" s="899"/>
      <c r="AK849" s="899"/>
      <c r="AL849" s="899"/>
      <c r="AM849" s="899"/>
      <c r="AN849" s="899"/>
      <c r="AO849" s="899"/>
    </row>
    <row r="850">
      <c r="G850" s="899"/>
      <c r="H850" s="899"/>
      <c r="I850" s="899"/>
      <c r="J850" s="899"/>
      <c r="K850" s="899"/>
      <c r="L850" s="899"/>
      <c r="M850" s="899"/>
      <c r="N850" s="899"/>
      <c r="O850" s="899"/>
      <c r="P850" s="899"/>
      <c r="Q850" s="899"/>
      <c r="R850" s="899"/>
      <c r="S850" s="899"/>
      <c r="T850" s="899"/>
      <c r="U850" s="899"/>
      <c r="V850" s="899"/>
      <c r="W850" s="899"/>
      <c r="X850" s="899"/>
      <c r="Y850" s="899"/>
      <c r="Z850" s="899"/>
      <c r="AA850" s="899"/>
      <c r="AB850" s="899"/>
      <c r="AC850" s="899"/>
      <c r="AD850" s="899"/>
      <c r="AE850" s="899"/>
      <c r="AF850" s="899"/>
      <c r="AG850" s="899"/>
      <c r="AH850" s="899"/>
      <c r="AI850" s="899"/>
      <c r="AJ850" s="899"/>
      <c r="AK850" s="899"/>
      <c r="AL850" s="899"/>
      <c r="AM850" s="899"/>
      <c r="AN850" s="899"/>
      <c r="AO850" s="899"/>
    </row>
    <row r="851">
      <c r="G851" s="899"/>
      <c r="H851" s="899"/>
      <c r="I851" s="899"/>
      <c r="J851" s="899"/>
      <c r="K851" s="899"/>
      <c r="L851" s="899"/>
      <c r="M851" s="899"/>
      <c r="N851" s="899"/>
      <c r="O851" s="899"/>
      <c r="P851" s="899"/>
      <c r="Q851" s="899"/>
      <c r="R851" s="899"/>
      <c r="S851" s="899"/>
      <c r="T851" s="899"/>
      <c r="U851" s="899"/>
      <c r="V851" s="899"/>
      <c r="W851" s="899"/>
      <c r="X851" s="899"/>
      <c r="Y851" s="899"/>
      <c r="Z851" s="899"/>
      <c r="AA851" s="899"/>
      <c r="AB851" s="899"/>
      <c r="AC851" s="899"/>
      <c r="AD851" s="899"/>
      <c r="AE851" s="899"/>
      <c r="AF851" s="899"/>
      <c r="AG851" s="899"/>
      <c r="AH851" s="899"/>
      <c r="AI851" s="899"/>
      <c r="AJ851" s="899"/>
      <c r="AK851" s="899"/>
      <c r="AL851" s="899"/>
      <c r="AM851" s="899"/>
      <c r="AN851" s="899"/>
      <c r="AO851" s="899"/>
    </row>
    <row r="852">
      <c r="G852" s="899"/>
      <c r="H852" s="899"/>
      <c r="I852" s="899"/>
      <c r="J852" s="899"/>
      <c r="K852" s="899"/>
      <c r="L852" s="899"/>
      <c r="M852" s="899"/>
      <c r="N852" s="899"/>
      <c r="O852" s="899"/>
      <c r="P852" s="899"/>
      <c r="Q852" s="899"/>
      <c r="R852" s="899"/>
      <c r="S852" s="899"/>
      <c r="T852" s="899"/>
      <c r="U852" s="899"/>
      <c r="V852" s="899"/>
      <c r="W852" s="899"/>
      <c r="X852" s="899"/>
      <c r="Y852" s="899"/>
      <c r="Z852" s="899"/>
      <c r="AA852" s="899"/>
      <c r="AB852" s="899"/>
      <c r="AC852" s="899"/>
      <c r="AD852" s="899"/>
      <c r="AE852" s="899"/>
      <c r="AF852" s="899"/>
      <c r="AG852" s="899"/>
      <c r="AH852" s="899"/>
      <c r="AI852" s="899"/>
      <c r="AJ852" s="899"/>
      <c r="AK852" s="899"/>
      <c r="AL852" s="899"/>
      <c r="AM852" s="899"/>
      <c r="AN852" s="899"/>
      <c r="AO852" s="899"/>
    </row>
    <row r="853">
      <c r="G853" s="899"/>
      <c r="H853" s="899"/>
      <c r="I853" s="899"/>
      <c r="J853" s="899"/>
      <c r="K853" s="899"/>
      <c r="L853" s="899"/>
      <c r="M853" s="899"/>
      <c r="N853" s="899"/>
      <c r="O853" s="899"/>
      <c r="P853" s="899"/>
      <c r="Q853" s="899"/>
      <c r="R853" s="899"/>
      <c r="S853" s="899"/>
      <c r="T853" s="899"/>
      <c r="U853" s="899"/>
      <c r="V853" s="899"/>
      <c r="W853" s="899"/>
      <c r="X853" s="899"/>
      <c r="Y853" s="899"/>
      <c r="Z853" s="899"/>
      <c r="AA853" s="899"/>
      <c r="AB853" s="899"/>
      <c r="AC853" s="899"/>
      <c r="AD853" s="899"/>
      <c r="AE853" s="899"/>
      <c r="AF853" s="899"/>
      <c r="AG853" s="899"/>
      <c r="AH853" s="899"/>
      <c r="AI853" s="899"/>
      <c r="AJ853" s="899"/>
      <c r="AK853" s="899"/>
      <c r="AL853" s="899"/>
      <c r="AM853" s="899"/>
      <c r="AN853" s="899"/>
      <c r="AO853" s="899"/>
    </row>
    <row r="854">
      <c r="G854" s="899"/>
      <c r="H854" s="899"/>
      <c r="I854" s="899"/>
      <c r="J854" s="899"/>
      <c r="K854" s="899"/>
      <c r="L854" s="899"/>
      <c r="M854" s="899"/>
      <c r="N854" s="899"/>
      <c r="O854" s="899"/>
      <c r="P854" s="899"/>
      <c r="Q854" s="899"/>
      <c r="R854" s="899"/>
      <c r="S854" s="899"/>
      <c r="T854" s="899"/>
      <c r="U854" s="899"/>
      <c r="V854" s="899"/>
      <c r="W854" s="899"/>
      <c r="X854" s="899"/>
      <c r="Y854" s="899"/>
      <c r="Z854" s="899"/>
      <c r="AA854" s="899"/>
      <c r="AB854" s="899"/>
      <c r="AC854" s="899"/>
      <c r="AD854" s="899"/>
      <c r="AE854" s="899"/>
      <c r="AF854" s="899"/>
      <c r="AG854" s="899"/>
      <c r="AH854" s="899"/>
      <c r="AI854" s="899"/>
      <c r="AJ854" s="899"/>
      <c r="AK854" s="899"/>
      <c r="AL854" s="899"/>
      <c r="AM854" s="899"/>
      <c r="AN854" s="899"/>
      <c r="AO854" s="899"/>
    </row>
    <row r="855">
      <c r="G855" s="899"/>
      <c r="H855" s="899"/>
      <c r="I855" s="899"/>
      <c r="J855" s="899"/>
      <c r="K855" s="899"/>
      <c r="L855" s="899"/>
      <c r="M855" s="899"/>
      <c r="N855" s="899"/>
      <c r="O855" s="899"/>
      <c r="P855" s="899"/>
      <c r="Q855" s="899"/>
      <c r="R855" s="899"/>
      <c r="S855" s="899"/>
      <c r="T855" s="899"/>
      <c r="U855" s="899"/>
      <c r="V855" s="899"/>
      <c r="W855" s="899"/>
      <c r="X855" s="899"/>
      <c r="Y855" s="899"/>
      <c r="Z855" s="899"/>
      <c r="AA855" s="899"/>
      <c r="AB855" s="899"/>
      <c r="AC855" s="899"/>
      <c r="AD855" s="899"/>
      <c r="AE855" s="899"/>
      <c r="AF855" s="899"/>
      <c r="AG855" s="899"/>
      <c r="AH855" s="899"/>
      <c r="AI855" s="899"/>
      <c r="AJ855" s="899"/>
      <c r="AK855" s="899"/>
      <c r="AL855" s="899"/>
      <c r="AM855" s="899"/>
      <c r="AN855" s="899"/>
      <c r="AO855" s="899"/>
    </row>
    <row r="856">
      <c r="G856" s="899"/>
      <c r="H856" s="899"/>
      <c r="I856" s="899"/>
      <c r="J856" s="899"/>
      <c r="K856" s="899"/>
      <c r="L856" s="899"/>
      <c r="M856" s="899"/>
      <c r="N856" s="899"/>
      <c r="O856" s="899"/>
      <c r="P856" s="899"/>
      <c r="Q856" s="899"/>
      <c r="R856" s="899"/>
      <c r="S856" s="899"/>
      <c r="T856" s="899"/>
      <c r="U856" s="899"/>
      <c r="V856" s="899"/>
      <c r="W856" s="899"/>
      <c r="X856" s="899"/>
      <c r="Y856" s="899"/>
      <c r="Z856" s="899"/>
      <c r="AA856" s="899"/>
      <c r="AB856" s="899"/>
      <c r="AC856" s="899"/>
      <c r="AD856" s="899"/>
      <c r="AE856" s="899"/>
      <c r="AF856" s="899"/>
      <c r="AG856" s="899"/>
      <c r="AH856" s="899"/>
      <c r="AI856" s="899"/>
      <c r="AJ856" s="899"/>
      <c r="AK856" s="899"/>
      <c r="AL856" s="899"/>
      <c r="AM856" s="899"/>
      <c r="AN856" s="899"/>
      <c r="AO856" s="899"/>
    </row>
    <row r="857">
      <c r="G857" s="899"/>
      <c r="H857" s="899"/>
      <c r="I857" s="899"/>
      <c r="J857" s="899"/>
      <c r="K857" s="899"/>
      <c r="L857" s="899"/>
      <c r="M857" s="899"/>
      <c r="N857" s="899"/>
      <c r="O857" s="899"/>
      <c r="P857" s="899"/>
      <c r="Q857" s="899"/>
      <c r="R857" s="899"/>
      <c r="S857" s="899"/>
      <c r="T857" s="899"/>
      <c r="U857" s="899"/>
      <c r="V857" s="899"/>
      <c r="W857" s="899"/>
      <c r="X857" s="899"/>
      <c r="Y857" s="899"/>
      <c r="Z857" s="899"/>
      <c r="AA857" s="899"/>
      <c r="AB857" s="899"/>
      <c r="AC857" s="899"/>
      <c r="AD857" s="899"/>
      <c r="AE857" s="899"/>
      <c r="AF857" s="899"/>
      <c r="AG857" s="899"/>
      <c r="AH857" s="899"/>
      <c r="AI857" s="899"/>
      <c r="AJ857" s="899"/>
      <c r="AK857" s="899"/>
      <c r="AL857" s="899"/>
      <c r="AM857" s="899"/>
      <c r="AN857" s="899"/>
      <c r="AO857" s="899"/>
    </row>
    <row r="858">
      <c r="G858" s="899"/>
      <c r="H858" s="899"/>
      <c r="I858" s="899"/>
      <c r="J858" s="899"/>
      <c r="K858" s="899"/>
      <c r="L858" s="899"/>
      <c r="M858" s="899"/>
      <c r="N858" s="899"/>
      <c r="O858" s="899"/>
      <c r="P858" s="899"/>
      <c r="Q858" s="899"/>
      <c r="R858" s="899"/>
      <c r="S858" s="899"/>
      <c r="T858" s="899"/>
      <c r="U858" s="899"/>
      <c r="V858" s="899"/>
      <c r="W858" s="899"/>
      <c r="X858" s="899"/>
      <c r="Y858" s="899"/>
      <c r="Z858" s="899"/>
      <c r="AA858" s="899"/>
      <c r="AB858" s="899"/>
      <c r="AC858" s="899"/>
      <c r="AD858" s="899"/>
      <c r="AE858" s="899"/>
      <c r="AF858" s="899"/>
      <c r="AG858" s="899"/>
      <c r="AH858" s="899"/>
      <c r="AI858" s="899"/>
      <c r="AJ858" s="899"/>
      <c r="AK858" s="899"/>
      <c r="AL858" s="899"/>
      <c r="AM858" s="899"/>
      <c r="AN858" s="899"/>
      <c r="AO858" s="899"/>
    </row>
    <row r="859">
      <c r="G859" s="899"/>
      <c r="H859" s="899"/>
      <c r="I859" s="899"/>
      <c r="J859" s="899"/>
      <c r="K859" s="899"/>
      <c r="L859" s="899"/>
      <c r="M859" s="899"/>
      <c r="N859" s="899"/>
      <c r="O859" s="899"/>
      <c r="P859" s="899"/>
      <c r="Q859" s="899"/>
      <c r="R859" s="899"/>
      <c r="S859" s="899"/>
      <c r="T859" s="899"/>
      <c r="U859" s="899"/>
      <c r="V859" s="899"/>
      <c r="W859" s="899"/>
      <c r="X859" s="899"/>
      <c r="Y859" s="899"/>
      <c r="Z859" s="899"/>
      <c r="AA859" s="899"/>
      <c r="AB859" s="899"/>
      <c r="AC859" s="899"/>
      <c r="AD859" s="899"/>
      <c r="AE859" s="899"/>
      <c r="AF859" s="899"/>
      <c r="AG859" s="899"/>
      <c r="AH859" s="899"/>
      <c r="AI859" s="899"/>
      <c r="AJ859" s="899"/>
      <c r="AK859" s="899"/>
      <c r="AL859" s="899"/>
      <c r="AM859" s="899"/>
      <c r="AN859" s="899"/>
      <c r="AO859" s="899"/>
    </row>
    <row r="860">
      <c r="G860" s="899"/>
      <c r="H860" s="899"/>
      <c r="I860" s="899"/>
      <c r="J860" s="899"/>
      <c r="K860" s="899"/>
      <c r="L860" s="899"/>
      <c r="M860" s="899"/>
      <c r="N860" s="899"/>
      <c r="O860" s="899"/>
      <c r="P860" s="899"/>
      <c r="Q860" s="899"/>
      <c r="R860" s="899"/>
      <c r="S860" s="899"/>
      <c r="T860" s="899"/>
      <c r="U860" s="899"/>
      <c r="V860" s="899"/>
      <c r="W860" s="899"/>
      <c r="X860" s="899"/>
      <c r="Y860" s="899"/>
      <c r="Z860" s="899"/>
      <c r="AA860" s="899"/>
      <c r="AB860" s="899"/>
      <c r="AC860" s="899"/>
      <c r="AD860" s="899"/>
      <c r="AE860" s="899"/>
      <c r="AF860" s="899"/>
      <c r="AG860" s="899"/>
      <c r="AH860" s="899"/>
      <c r="AI860" s="899"/>
      <c r="AJ860" s="899"/>
      <c r="AK860" s="899"/>
      <c r="AL860" s="899"/>
      <c r="AM860" s="899"/>
      <c r="AN860" s="899"/>
      <c r="AO860" s="899"/>
    </row>
    <row r="861">
      <c r="G861" s="899"/>
      <c r="H861" s="899"/>
      <c r="I861" s="899"/>
      <c r="J861" s="899"/>
      <c r="K861" s="899"/>
      <c r="L861" s="899"/>
      <c r="M861" s="899"/>
      <c r="N861" s="899"/>
      <c r="O861" s="899"/>
      <c r="P861" s="899"/>
      <c r="Q861" s="899"/>
      <c r="R861" s="899"/>
      <c r="S861" s="899"/>
      <c r="T861" s="899"/>
      <c r="U861" s="899"/>
      <c r="V861" s="899"/>
      <c r="W861" s="899"/>
      <c r="X861" s="899"/>
      <c r="Y861" s="899"/>
      <c r="Z861" s="899"/>
      <c r="AA861" s="899"/>
      <c r="AB861" s="899"/>
      <c r="AC861" s="899"/>
      <c r="AD861" s="899"/>
      <c r="AE861" s="899"/>
      <c r="AF861" s="899"/>
      <c r="AG861" s="899"/>
      <c r="AH861" s="899"/>
      <c r="AI861" s="899"/>
      <c r="AJ861" s="899"/>
      <c r="AK861" s="899"/>
      <c r="AL861" s="899"/>
      <c r="AM861" s="899"/>
      <c r="AN861" s="899"/>
      <c r="AO861" s="899"/>
    </row>
    <row r="862">
      <c r="G862" s="899"/>
      <c r="H862" s="899"/>
      <c r="I862" s="899"/>
      <c r="J862" s="899"/>
      <c r="K862" s="899"/>
      <c r="L862" s="899"/>
      <c r="M862" s="899"/>
      <c r="N862" s="899"/>
      <c r="O862" s="899"/>
      <c r="P862" s="899"/>
      <c r="Q862" s="899"/>
      <c r="R862" s="899"/>
      <c r="S862" s="899"/>
      <c r="T862" s="899"/>
      <c r="U862" s="899"/>
      <c r="V862" s="899"/>
      <c r="W862" s="899"/>
      <c r="X862" s="899"/>
      <c r="Y862" s="899"/>
      <c r="Z862" s="899"/>
      <c r="AA862" s="899"/>
      <c r="AB862" s="899"/>
      <c r="AC862" s="899"/>
      <c r="AD862" s="899"/>
      <c r="AE862" s="899"/>
      <c r="AF862" s="899"/>
      <c r="AG862" s="899"/>
      <c r="AH862" s="899"/>
      <c r="AI862" s="899"/>
      <c r="AJ862" s="899"/>
      <c r="AK862" s="899"/>
      <c r="AL862" s="899"/>
      <c r="AM862" s="899"/>
      <c r="AN862" s="899"/>
      <c r="AO862" s="899"/>
    </row>
    <row r="863">
      <c r="G863" s="899"/>
      <c r="H863" s="899"/>
      <c r="I863" s="899"/>
      <c r="J863" s="899"/>
      <c r="K863" s="899"/>
      <c r="L863" s="899"/>
      <c r="M863" s="899"/>
      <c r="N863" s="899"/>
      <c r="O863" s="899"/>
      <c r="P863" s="899"/>
      <c r="Q863" s="899"/>
      <c r="R863" s="899"/>
      <c r="S863" s="899"/>
      <c r="T863" s="899"/>
      <c r="U863" s="899"/>
      <c r="V863" s="899"/>
      <c r="W863" s="899"/>
      <c r="X863" s="899"/>
      <c r="Y863" s="899"/>
      <c r="Z863" s="899"/>
      <c r="AA863" s="899"/>
      <c r="AB863" s="899"/>
      <c r="AC863" s="899"/>
      <c r="AD863" s="899"/>
      <c r="AE863" s="899"/>
      <c r="AF863" s="899"/>
      <c r="AG863" s="899"/>
      <c r="AH863" s="899"/>
      <c r="AI863" s="899"/>
      <c r="AJ863" s="899"/>
      <c r="AK863" s="899"/>
      <c r="AL863" s="899"/>
      <c r="AM863" s="899"/>
      <c r="AN863" s="899"/>
      <c r="AO863" s="899"/>
    </row>
    <row r="864">
      <c r="G864" s="899"/>
      <c r="H864" s="899"/>
      <c r="I864" s="899"/>
      <c r="J864" s="899"/>
      <c r="K864" s="899"/>
      <c r="L864" s="899"/>
      <c r="M864" s="899"/>
      <c r="N864" s="899"/>
      <c r="O864" s="899"/>
      <c r="P864" s="899"/>
      <c r="Q864" s="899"/>
      <c r="R864" s="899"/>
      <c r="S864" s="899"/>
      <c r="T864" s="899"/>
      <c r="U864" s="899"/>
      <c r="V864" s="899"/>
      <c r="W864" s="899"/>
      <c r="X864" s="899"/>
      <c r="Y864" s="899"/>
      <c r="Z864" s="899"/>
      <c r="AA864" s="899"/>
      <c r="AB864" s="899"/>
      <c r="AC864" s="899"/>
      <c r="AD864" s="899"/>
      <c r="AE864" s="899"/>
      <c r="AF864" s="899"/>
      <c r="AG864" s="899"/>
      <c r="AH864" s="899"/>
      <c r="AI864" s="899"/>
      <c r="AJ864" s="899"/>
      <c r="AK864" s="899"/>
      <c r="AL864" s="899"/>
      <c r="AM864" s="899"/>
      <c r="AN864" s="899"/>
      <c r="AO864" s="899"/>
    </row>
    <row r="865">
      <c r="G865" s="899"/>
      <c r="H865" s="899"/>
      <c r="I865" s="899"/>
      <c r="J865" s="899"/>
      <c r="K865" s="899"/>
      <c r="L865" s="899"/>
      <c r="M865" s="899"/>
      <c r="N865" s="899"/>
      <c r="O865" s="899"/>
      <c r="P865" s="899"/>
      <c r="Q865" s="899"/>
      <c r="R865" s="899"/>
      <c r="S865" s="899"/>
      <c r="T865" s="899"/>
      <c r="U865" s="899"/>
      <c r="V865" s="899"/>
      <c r="W865" s="899"/>
      <c r="X865" s="899"/>
      <c r="Y865" s="899"/>
      <c r="Z865" s="899"/>
      <c r="AA865" s="899"/>
      <c r="AB865" s="899"/>
      <c r="AC865" s="899"/>
      <c r="AD865" s="899"/>
      <c r="AE865" s="899"/>
      <c r="AF865" s="899"/>
      <c r="AG865" s="899"/>
      <c r="AH865" s="899"/>
      <c r="AI865" s="899"/>
      <c r="AJ865" s="899"/>
      <c r="AK865" s="899"/>
      <c r="AL865" s="899"/>
      <c r="AM865" s="899"/>
      <c r="AN865" s="899"/>
      <c r="AO865" s="899"/>
    </row>
    <row r="866">
      <c r="G866" s="899"/>
      <c r="H866" s="899"/>
      <c r="I866" s="899"/>
      <c r="J866" s="899"/>
      <c r="K866" s="899"/>
      <c r="L866" s="899"/>
      <c r="M866" s="899"/>
      <c r="N866" s="899"/>
      <c r="O866" s="899"/>
      <c r="P866" s="899"/>
      <c r="Q866" s="899"/>
      <c r="R866" s="899"/>
      <c r="S866" s="899"/>
      <c r="T866" s="899"/>
      <c r="U866" s="899"/>
      <c r="V866" s="899"/>
      <c r="W866" s="899"/>
      <c r="X866" s="899"/>
      <c r="Y866" s="899"/>
      <c r="Z866" s="899"/>
      <c r="AA866" s="899"/>
      <c r="AB866" s="899"/>
      <c r="AC866" s="899"/>
      <c r="AD866" s="899"/>
      <c r="AE866" s="899"/>
      <c r="AF866" s="899"/>
      <c r="AG866" s="899"/>
      <c r="AH866" s="899"/>
      <c r="AI866" s="899"/>
      <c r="AJ866" s="899"/>
      <c r="AK866" s="899"/>
      <c r="AL866" s="899"/>
      <c r="AM866" s="899"/>
      <c r="AN866" s="899"/>
      <c r="AO866" s="899"/>
    </row>
    <row r="867">
      <c r="G867" s="899"/>
      <c r="H867" s="899"/>
      <c r="I867" s="899"/>
      <c r="J867" s="899"/>
      <c r="K867" s="899"/>
      <c r="L867" s="899"/>
      <c r="M867" s="899"/>
      <c r="N867" s="899"/>
      <c r="O867" s="899"/>
      <c r="P867" s="899"/>
      <c r="Q867" s="899"/>
      <c r="R867" s="899"/>
      <c r="S867" s="899"/>
      <c r="T867" s="899"/>
      <c r="U867" s="899"/>
      <c r="V867" s="899"/>
      <c r="W867" s="899"/>
      <c r="X867" s="899"/>
      <c r="Y867" s="899"/>
      <c r="Z867" s="899"/>
      <c r="AA867" s="899"/>
      <c r="AB867" s="899"/>
      <c r="AC867" s="899"/>
      <c r="AD867" s="899"/>
      <c r="AE867" s="899"/>
      <c r="AF867" s="899"/>
      <c r="AG867" s="899"/>
      <c r="AH867" s="899"/>
      <c r="AI867" s="899"/>
      <c r="AJ867" s="899"/>
      <c r="AK867" s="899"/>
      <c r="AL867" s="899"/>
      <c r="AM867" s="899"/>
      <c r="AN867" s="899"/>
      <c r="AO867" s="899"/>
    </row>
    <row r="868">
      <c r="G868" s="899"/>
      <c r="H868" s="899"/>
      <c r="I868" s="899"/>
      <c r="J868" s="899"/>
      <c r="K868" s="899"/>
      <c r="L868" s="899"/>
      <c r="M868" s="899"/>
      <c r="N868" s="899"/>
      <c r="O868" s="899"/>
      <c r="P868" s="899"/>
      <c r="Q868" s="899"/>
      <c r="R868" s="899"/>
      <c r="S868" s="899"/>
      <c r="T868" s="899"/>
      <c r="U868" s="899"/>
      <c r="V868" s="899"/>
      <c r="W868" s="899"/>
      <c r="X868" s="899"/>
      <c r="Y868" s="899"/>
      <c r="Z868" s="899"/>
      <c r="AA868" s="899"/>
      <c r="AB868" s="899"/>
      <c r="AC868" s="899"/>
      <c r="AD868" s="899"/>
      <c r="AE868" s="899"/>
      <c r="AF868" s="899"/>
      <c r="AG868" s="899"/>
      <c r="AH868" s="899"/>
      <c r="AI868" s="899"/>
      <c r="AJ868" s="899"/>
      <c r="AK868" s="899"/>
      <c r="AL868" s="899"/>
      <c r="AM868" s="899"/>
      <c r="AN868" s="899"/>
      <c r="AO868" s="899"/>
    </row>
    <row r="869">
      <c r="G869" s="899"/>
      <c r="H869" s="899"/>
      <c r="I869" s="899"/>
      <c r="J869" s="899"/>
      <c r="K869" s="899"/>
      <c r="L869" s="899"/>
      <c r="M869" s="899"/>
      <c r="N869" s="899"/>
      <c r="O869" s="899"/>
      <c r="P869" s="899"/>
      <c r="Q869" s="899"/>
      <c r="R869" s="899"/>
      <c r="S869" s="899"/>
      <c r="T869" s="899"/>
      <c r="U869" s="899"/>
      <c r="V869" s="899"/>
      <c r="W869" s="899"/>
      <c r="X869" s="899"/>
      <c r="Y869" s="899"/>
      <c r="Z869" s="899"/>
      <c r="AA869" s="899"/>
      <c r="AB869" s="899"/>
      <c r="AC869" s="899"/>
      <c r="AD869" s="899"/>
      <c r="AE869" s="899"/>
      <c r="AF869" s="899"/>
      <c r="AG869" s="899"/>
      <c r="AH869" s="899"/>
      <c r="AI869" s="899"/>
      <c r="AJ869" s="899"/>
      <c r="AK869" s="899"/>
      <c r="AL869" s="899"/>
      <c r="AM869" s="899"/>
      <c r="AN869" s="899"/>
      <c r="AO869" s="899"/>
    </row>
    <row r="870">
      <c r="G870" s="899"/>
      <c r="H870" s="899"/>
      <c r="I870" s="899"/>
      <c r="J870" s="899"/>
      <c r="K870" s="899"/>
      <c r="L870" s="899"/>
      <c r="M870" s="899"/>
      <c r="N870" s="899"/>
      <c r="O870" s="899"/>
      <c r="P870" s="899"/>
      <c r="Q870" s="899"/>
      <c r="R870" s="899"/>
      <c r="S870" s="899"/>
      <c r="T870" s="899"/>
      <c r="U870" s="899"/>
      <c r="V870" s="899"/>
      <c r="W870" s="899"/>
      <c r="X870" s="899"/>
      <c r="Y870" s="899"/>
      <c r="Z870" s="899"/>
      <c r="AA870" s="899"/>
      <c r="AB870" s="899"/>
      <c r="AC870" s="899"/>
      <c r="AD870" s="899"/>
      <c r="AE870" s="899"/>
      <c r="AF870" s="899"/>
      <c r="AG870" s="899"/>
      <c r="AH870" s="899"/>
      <c r="AI870" s="899"/>
      <c r="AJ870" s="899"/>
      <c r="AK870" s="899"/>
      <c r="AL870" s="899"/>
      <c r="AM870" s="899"/>
      <c r="AN870" s="899"/>
      <c r="AO870" s="899"/>
    </row>
    <row r="871">
      <c r="G871" s="899"/>
      <c r="H871" s="899"/>
      <c r="I871" s="899"/>
      <c r="J871" s="899"/>
      <c r="K871" s="899"/>
      <c r="L871" s="899"/>
      <c r="M871" s="899"/>
      <c r="N871" s="899"/>
      <c r="O871" s="899"/>
      <c r="P871" s="899"/>
      <c r="Q871" s="899"/>
      <c r="R871" s="899"/>
      <c r="S871" s="899"/>
      <c r="T871" s="899"/>
      <c r="U871" s="899"/>
      <c r="V871" s="899"/>
      <c r="W871" s="899"/>
      <c r="X871" s="899"/>
      <c r="Y871" s="899"/>
      <c r="Z871" s="899"/>
      <c r="AA871" s="899"/>
      <c r="AB871" s="899"/>
      <c r="AC871" s="899"/>
      <c r="AD871" s="899"/>
      <c r="AE871" s="899"/>
      <c r="AF871" s="899"/>
      <c r="AG871" s="899"/>
      <c r="AH871" s="899"/>
      <c r="AI871" s="899"/>
      <c r="AJ871" s="899"/>
      <c r="AK871" s="899"/>
      <c r="AL871" s="899"/>
      <c r="AM871" s="899"/>
      <c r="AN871" s="899"/>
      <c r="AO871" s="899"/>
    </row>
    <row r="872">
      <c r="G872" s="899"/>
      <c r="H872" s="899"/>
      <c r="I872" s="899"/>
      <c r="J872" s="899"/>
      <c r="K872" s="899"/>
      <c r="L872" s="899"/>
      <c r="M872" s="899"/>
      <c r="N872" s="899"/>
      <c r="O872" s="899"/>
      <c r="P872" s="899"/>
      <c r="Q872" s="899"/>
      <c r="R872" s="899"/>
      <c r="S872" s="899"/>
      <c r="T872" s="899"/>
      <c r="U872" s="899"/>
      <c r="V872" s="899"/>
      <c r="W872" s="899"/>
      <c r="X872" s="899"/>
      <c r="Y872" s="899"/>
      <c r="Z872" s="899"/>
      <c r="AA872" s="899"/>
      <c r="AB872" s="899"/>
      <c r="AC872" s="899"/>
      <c r="AD872" s="899"/>
      <c r="AE872" s="899"/>
      <c r="AF872" s="899"/>
      <c r="AG872" s="899"/>
      <c r="AH872" s="899"/>
      <c r="AI872" s="899"/>
      <c r="AJ872" s="899"/>
      <c r="AK872" s="899"/>
      <c r="AL872" s="899"/>
      <c r="AM872" s="899"/>
      <c r="AN872" s="899"/>
      <c r="AO872" s="899"/>
    </row>
    <row r="873">
      <c r="G873" s="899"/>
      <c r="H873" s="899"/>
      <c r="I873" s="899"/>
      <c r="J873" s="899"/>
      <c r="K873" s="899"/>
      <c r="L873" s="899"/>
      <c r="M873" s="899"/>
      <c r="N873" s="899"/>
      <c r="O873" s="899"/>
      <c r="P873" s="899"/>
      <c r="Q873" s="899"/>
      <c r="R873" s="899"/>
      <c r="S873" s="899"/>
      <c r="T873" s="899"/>
      <c r="U873" s="899"/>
      <c r="V873" s="899"/>
      <c r="W873" s="899"/>
      <c r="X873" s="899"/>
      <c r="Y873" s="899"/>
      <c r="Z873" s="899"/>
      <c r="AA873" s="899"/>
      <c r="AB873" s="899"/>
      <c r="AC873" s="899"/>
      <c r="AD873" s="899"/>
      <c r="AE873" s="899"/>
      <c r="AF873" s="899"/>
      <c r="AG873" s="899"/>
      <c r="AH873" s="899"/>
      <c r="AI873" s="899"/>
      <c r="AJ873" s="899"/>
      <c r="AK873" s="899"/>
      <c r="AL873" s="899"/>
      <c r="AM873" s="899"/>
      <c r="AN873" s="899"/>
      <c r="AO873" s="899"/>
    </row>
    <row r="874">
      <c r="G874" s="899"/>
      <c r="H874" s="899"/>
      <c r="I874" s="899"/>
      <c r="J874" s="899"/>
      <c r="K874" s="899"/>
      <c r="L874" s="899"/>
      <c r="M874" s="899"/>
      <c r="N874" s="899"/>
      <c r="O874" s="899"/>
      <c r="P874" s="899"/>
      <c r="Q874" s="899"/>
      <c r="R874" s="899"/>
      <c r="S874" s="899"/>
      <c r="T874" s="899"/>
      <c r="U874" s="899"/>
      <c r="V874" s="899"/>
      <c r="W874" s="899"/>
      <c r="X874" s="899"/>
      <c r="Y874" s="899"/>
      <c r="Z874" s="899"/>
      <c r="AA874" s="899"/>
      <c r="AB874" s="899"/>
      <c r="AC874" s="899"/>
      <c r="AD874" s="899"/>
      <c r="AE874" s="899"/>
      <c r="AF874" s="899"/>
      <c r="AG874" s="899"/>
      <c r="AH874" s="899"/>
      <c r="AI874" s="899"/>
      <c r="AJ874" s="899"/>
      <c r="AK874" s="899"/>
      <c r="AL874" s="899"/>
      <c r="AM874" s="899"/>
      <c r="AN874" s="899"/>
      <c r="AO874" s="899"/>
    </row>
    <row r="875">
      <c r="G875" s="899"/>
      <c r="H875" s="899"/>
      <c r="I875" s="899"/>
      <c r="J875" s="899"/>
      <c r="K875" s="899"/>
      <c r="L875" s="899"/>
      <c r="M875" s="899"/>
      <c r="N875" s="899"/>
      <c r="O875" s="899"/>
      <c r="P875" s="899"/>
      <c r="Q875" s="899"/>
      <c r="R875" s="899"/>
      <c r="S875" s="899"/>
      <c r="T875" s="899"/>
      <c r="U875" s="899"/>
      <c r="V875" s="899"/>
      <c r="W875" s="899"/>
      <c r="X875" s="899"/>
      <c r="Y875" s="899"/>
      <c r="Z875" s="899"/>
      <c r="AA875" s="899"/>
      <c r="AB875" s="899"/>
      <c r="AC875" s="899"/>
      <c r="AD875" s="899"/>
      <c r="AE875" s="899"/>
      <c r="AF875" s="899"/>
      <c r="AG875" s="899"/>
      <c r="AH875" s="899"/>
      <c r="AI875" s="899"/>
      <c r="AJ875" s="899"/>
      <c r="AK875" s="899"/>
      <c r="AL875" s="899"/>
      <c r="AM875" s="899"/>
      <c r="AN875" s="899"/>
      <c r="AO875" s="899"/>
    </row>
    <row r="876">
      <c r="G876" s="899"/>
      <c r="H876" s="899"/>
      <c r="I876" s="899"/>
      <c r="J876" s="899"/>
      <c r="K876" s="899"/>
      <c r="L876" s="899"/>
      <c r="M876" s="899"/>
      <c r="N876" s="899"/>
      <c r="O876" s="899"/>
      <c r="P876" s="899"/>
      <c r="Q876" s="899"/>
      <c r="R876" s="899"/>
      <c r="S876" s="899"/>
      <c r="T876" s="899"/>
      <c r="U876" s="899"/>
      <c r="V876" s="899"/>
      <c r="W876" s="899"/>
      <c r="X876" s="899"/>
      <c r="Y876" s="899"/>
      <c r="Z876" s="899"/>
      <c r="AA876" s="899"/>
      <c r="AB876" s="899"/>
      <c r="AC876" s="899"/>
      <c r="AD876" s="899"/>
      <c r="AE876" s="899"/>
      <c r="AF876" s="899"/>
      <c r="AG876" s="899"/>
      <c r="AH876" s="899"/>
      <c r="AI876" s="899"/>
      <c r="AJ876" s="899"/>
      <c r="AK876" s="899"/>
      <c r="AL876" s="899"/>
      <c r="AM876" s="899"/>
      <c r="AN876" s="899"/>
      <c r="AO876" s="899"/>
    </row>
    <row r="877">
      <c r="G877" s="899"/>
      <c r="H877" s="899"/>
      <c r="I877" s="899"/>
      <c r="J877" s="899"/>
      <c r="K877" s="899"/>
      <c r="L877" s="899"/>
      <c r="M877" s="899"/>
      <c r="N877" s="899"/>
      <c r="O877" s="899"/>
      <c r="P877" s="899"/>
      <c r="Q877" s="899"/>
      <c r="R877" s="899"/>
      <c r="S877" s="899"/>
      <c r="T877" s="899"/>
      <c r="U877" s="899"/>
      <c r="V877" s="899"/>
      <c r="W877" s="899"/>
      <c r="X877" s="899"/>
      <c r="Y877" s="899"/>
      <c r="Z877" s="899"/>
      <c r="AA877" s="899"/>
      <c r="AB877" s="899"/>
      <c r="AC877" s="899"/>
      <c r="AD877" s="899"/>
      <c r="AE877" s="899"/>
      <c r="AF877" s="899"/>
      <c r="AG877" s="899"/>
      <c r="AH877" s="899"/>
      <c r="AI877" s="899"/>
      <c r="AJ877" s="899"/>
      <c r="AK877" s="899"/>
      <c r="AL877" s="899"/>
      <c r="AM877" s="899"/>
      <c r="AN877" s="899"/>
      <c r="AO877" s="899"/>
    </row>
    <row r="878">
      <c r="G878" s="899"/>
      <c r="H878" s="899"/>
      <c r="I878" s="899"/>
      <c r="J878" s="899"/>
      <c r="K878" s="899"/>
      <c r="L878" s="899"/>
      <c r="M878" s="899"/>
      <c r="N878" s="899"/>
      <c r="O878" s="899"/>
      <c r="P878" s="899"/>
      <c r="Q878" s="899"/>
      <c r="R878" s="899"/>
      <c r="S878" s="899"/>
      <c r="T878" s="899"/>
      <c r="U878" s="899"/>
      <c r="V878" s="899"/>
      <c r="W878" s="899"/>
      <c r="X878" s="899"/>
      <c r="Y878" s="899"/>
      <c r="Z878" s="899"/>
      <c r="AA878" s="899"/>
      <c r="AB878" s="899"/>
      <c r="AC878" s="899"/>
      <c r="AD878" s="899"/>
      <c r="AE878" s="899"/>
      <c r="AF878" s="899"/>
      <c r="AG878" s="899"/>
      <c r="AH878" s="899"/>
      <c r="AI878" s="899"/>
      <c r="AJ878" s="899"/>
      <c r="AK878" s="899"/>
      <c r="AL878" s="899"/>
      <c r="AM878" s="899"/>
      <c r="AN878" s="899"/>
      <c r="AO878" s="899"/>
    </row>
    <row r="879">
      <c r="G879" s="899"/>
      <c r="H879" s="899"/>
      <c r="I879" s="899"/>
      <c r="J879" s="899"/>
      <c r="K879" s="899"/>
      <c r="L879" s="899"/>
      <c r="M879" s="899"/>
      <c r="N879" s="899"/>
      <c r="O879" s="899"/>
      <c r="P879" s="899"/>
      <c r="Q879" s="899"/>
      <c r="R879" s="899"/>
      <c r="S879" s="899"/>
      <c r="T879" s="899"/>
      <c r="U879" s="899"/>
      <c r="V879" s="899"/>
      <c r="W879" s="899"/>
      <c r="X879" s="899"/>
      <c r="Y879" s="899"/>
      <c r="Z879" s="899"/>
      <c r="AA879" s="899"/>
      <c r="AB879" s="899"/>
      <c r="AC879" s="899"/>
      <c r="AD879" s="899"/>
      <c r="AE879" s="899"/>
      <c r="AF879" s="899"/>
      <c r="AG879" s="899"/>
      <c r="AH879" s="899"/>
      <c r="AI879" s="899"/>
      <c r="AJ879" s="899"/>
      <c r="AK879" s="899"/>
      <c r="AL879" s="899"/>
      <c r="AM879" s="899"/>
      <c r="AN879" s="899"/>
      <c r="AO879" s="899"/>
    </row>
    <row r="880">
      <c r="G880" s="899"/>
      <c r="H880" s="899"/>
      <c r="I880" s="899"/>
      <c r="J880" s="899"/>
      <c r="K880" s="899"/>
      <c r="L880" s="899"/>
      <c r="M880" s="899"/>
      <c r="N880" s="899"/>
      <c r="O880" s="899"/>
      <c r="P880" s="899"/>
      <c r="Q880" s="899"/>
      <c r="R880" s="899"/>
      <c r="S880" s="899"/>
      <c r="T880" s="899"/>
      <c r="U880" s="899"/>
      <c r="V880" s="899"/>
      <c r="W880" s="899"/>
      <c r="X880" s="899"/>
      <c r="Y880" s="899"/>
      <c r="Z880" s="899"/>
      <c r="AA880" s="899"/>
      <c r="AB880" s="899"/>
      <c r="AC880" s="899"/>
      <c r="AD880" s="899"/>
      <c r="AE880" s="899"/>
      <c r="AF880" s="899"/>
      <c r="AG880" s="899"/>
      <c r="AH880" s="899"/>
      <c r="AI880" s="899"/>
      <c r="AJ880" s="899"/>
      <c r="AK880" s="899"/>
      <c r="AL880" s="899"/>
      <c r="AM880" s="899"/>
      <c r="AN880" s="899"/>
      <c r="AO880" s="899"/>
    </row>
    <row r="881">
      <c r="G881" s="899"/>
      <c r="H881" s="899"/>
      <c r="I881" s="899"/>
      <c r="J881" s="899"/>
      <c r="K881" s="899"/>
      <c r="L881" s="899"/>
      <c r="M881" s="899"/>
      <c r="N881" s="899"/>
      <c r="O881" s="899"/>
      <c r="P881" s="899"/>
      <c r="Q881" s="899"/>
      <c r="R881" s="899"/>
      <c r="S881" s="899"/>
      <c r="T881" s="899"/>
      <c r="U881" s="899"/>
      <c r="V881" s="899"/>
      <c r="W881" s="899"/>
      <c r="X881" s="899"/>
      <c r="Y881" s="899"/>
      <c r="Z881" s="899"/>
      <c r="AA881" s="899"/>
      <c r="AB881" s="899"/>
      <c r="AC881" s="899"/>
      <c r="AD881" s="899"/>
      <c r="AE881" s="899"/>
      <c r="AF881" s="899"/>
      <c r="AG881" s="899"/>
      <c r="AH881" s="899"/>
      <c r="AI881" s="899"/>
      <c r="AJ881" s="899"/>
      <c r="AK881" s="899"/>
      <c r="AL881" s="899"/>
      <c r="AM881" s="899"/>
      <c r="AN881" s="899"/>
      <c r="AO881" s="899"/>
    </row>
    <row r="882">
      <c r="G882" s="899"/>
      <c r="H882" s="899"/>
      <c r="I882" s="899"/>
      <c r="J882" s="899"/>
      <c r="K882" s="899"/>
      <c r="L882" s="899"/>
      <c r="M882" s="899"/>
      <c r="N882" s="899"/>
      <c r="O882" s="899"/>
      <c r="P882" s="899"/>
      <c r="Q882" s="899"/>
      <c r="R882" s="899"/>
      <c r="S882" s="899"/>
      <c r="T882" s="899"/>
      <c r="U882" s="899"/>
      <c r="V882" s="899"/>
      <c r="W882" s="899"/>
      <c r="X882" s="899"/>
      <c r="Y882" s="899"/>
      <c r="Z882" s="899"/>
      <c r="AA882" s="899"/>
      <c r="AB882" s="899"/>
      <c r="AC882" s="899"/>
      <c r="AD882" s="899"/>
      <c r="AE882" s="899"/>
      <c r="AF882" s="899"/>
      <c r="AG882" s="899"/>
      <c r="AH882" s="899"/>
      <c r="AI882" s="899"/>
      <c r="AJ882" s="899"/>
      <c r="AK882" s="899"/>
      <c r="AL882" s="899"/>
      <c r="AM882" s="899"/>
      <c r="AN882" s="899"/>
      <c r="AO882" s="899"/>
    </row>
    <row r="883">
      <c r="G883" s="899"/>
      <c r="H883" s="899"/>
      <c r="I883" s="899"/>
      <c r="J883" s="899"/>
      <c r="K883" s="899"/>
      <c r="L883" s="899"/>
      <c r="M883" s="899"/>
      <c r="N883" s="899"/>
      <c r="O883" s="899"/>
      <c r="P883" s="899"/>
      <c r="Q883" s="899"/>
      <c r="R883" s="899"/>
      <c r="S883" s="899"/>
      <c r="T883" s="899"/>
      <c r="U883" s="899"/>
      <c r="V883" s="899"/>
      <c r="W883" s="899"/>
      <c r="X883" s="899"/>
      <c r="Y883" s="899"/>
      <c r="Z883" s="899"/>
      <c r="AA883" s="899"/>
      <c r="AB883" s="899"/>
      <c r="AC883" s="899"/>
      <c r="AD883" s="899"/>
      <c r="AE883" s="899"/>
      <c r="AF883" s="899"/>
      <c r="AG883" s="899"/>
      <c r="AH883" s="899"/>
      <c r="AI883" s="899"/>
      <c r="AJ883" s="899"/>
      <c r="AK883" s="899"/>
      <c r="AL883" s="899"/>
      <c r="AM883" s="899"/>
      <c r="AN883" s="899"/>
      <c r="AO883" s="899"/>
    </row>
    <row r="884">
      <c r="G884" s="899"/>
      <c r="H884" s="899"/>
      <c r="I884" s="899"/>
      <c r="J884" s="899"/>
      <c r="K884" s="899"/>
      <c r="L884" s="899"/>
      <c r="M884" s="899"/>
      <c r="N884" s="899"/>
      <c r="O884" s="899"/>
      <c r="P884" s="899"/>
      <c r="Q884" s="899"/>
      <c r="R884" s="899"/>
      <c r="S884" s="899"/>
      <c r="T884" s="899"/>
      <c r="U884" s="899"/>
      <c r="V884" s="899"/>
      <c r="W884" s="899"/>
      <c r="X884" s="899"/>
      <c r="Y884" s="899"/>
      <c r="Z884" s="899"/>
      <c r="AA884" s="899"/>
      <c r="AB884" s="899"/>
      <c r="AC884" s="899"/>
      <c r="AD884" s="899"/>
      <c r="AE884" s="899"/>
      <c r="AF884" s="899"/>
      <c r="AG884" s="899"/>
      <c r="AH884" s="899"/>
      <c r="AI884" s="899"/>
      <c r="AJ884" s="899"/>
      <c r="AK884" s="899"/>
      <c r="AL884" s="899"/>
      <c r="AM884" s="899"/>
      <c r="AN884" s="899"/>
      <c r="AO884" s="899"/>
    </row>
    <row r="885">
      <c r="G885" s="899"/>
      <c r="H885" s="899"/>
      <c r="I885" s="899"/>
      <c r="J885" s="899"/>
      <c r="K885" s="899"/>
      <c r="L885" s="899"/>
      <c r="M885" s="899"/>
      <c r="N885" s="899"/>
      <c r="O885" s="899"/>
      <c r="P885" s="899"/>
      <c r="Q885" s="899"/>
      <c r="R885" s="899"/>
      <c r="S885" s="899"/>
      <c r="T885" s="899"/>
      <c r="U885" s="899"/>
      <c r="V885" s="899"/>
      <c r="W885" s="899"/>
      <c r="X885" s="899"/>
      <c r="Y885" s="899"/>
      <c r="Z885" s="899"/>
      <c r="AA885" s="899"/>
      <c r="AB885" s="899"/>
      <c r="AC885" s="899"/>
      <c r="AD885" s="899"/>
      <c r="AE885" s="899"/>
      <c r="AF885" s="899"/>
      <c r="AG885" s="899"/>
      <c r="AH885" s="899"/>
      <c r="AI885" s="899"/>
      <c r="AJ885" s="899"/>
      <c r="AK885" s="899"/>
      <c r="AL885" s="899"/>
      <c r="AM885" s="899"/>
      <c r="AN885" s="899"/>
      <c r="AO885" s="899"/>
    </row>
    <row r="886">
      <c r="G886" s="899"/>
      <c r="H886" s="899"/>
      <c r="I886" s="899"/>
      <c r="J886" s="899"/>
      <c r="K886" s="899"/>
      <c r="L886" s="899"/>
      <c r="M886" s="899"/>
      <c r="N886" s="899"/>
      <c r="O886" s="899"/>
      <c r="P886" s="899"/>
      <c r="Q886" s="899"/>
      <c r="R886" s="899"/>
      <c r="S886" s="899"/>
      <c r="T886" s="899"/>
      <c r="U886" s="899"/>
      <c r="V886" s="899"/>
      <c r="W886" s="899"/>
      <c r="X886" s="899"/>
      <c r="Y886" s="899"/>
      <c r="Z886" s="899"/>
      <c r="AA886" s="899"/>
      <c r="AB886" s="899"/>
      <c r="AC886" s="899"/>
      <c r="AD886" s="899"/>
      <c r="AE886" s="899"/>
      <c r="AF886" s="899"/>
      <c r="AG886" s="899"/>
      <c r="AH886" s="899"/>
      <c r="AI886" s="899"/>
      <c r="AJ886" s="899"/>
      <c r="AK886" s="899"/>
      <c r="AL886" s="899"/>
      <c r="AM886" s="899"/>
      <c r="AN886" s="899"/>
      <c r="AO886" s="899"/>
    </row>
    <row r="887">
      <c r="G887" s="899"/>
      <c r="H887" s="899"/>
      <c r="I887" s="899"/>
      <c r="J887" s="899"/>
      <c r="K887" s="899"/>
      <c r="L887" s="899"/>
      <c r="M887" s="899"/>
      <c r="N887" s="899"/>
      <c r="O887" s="899"/>
      <c r="P887" s="899"/>
      <c r="Q887" s="899"/>
      <c r="R887" s="899"/>
      <c r="S887" s="899"/>
      <c r="T887" s="899"/>
      <c r="U887" s="899"/>
      <c r="V887" s="899"/>
      <c r="W887" s="899"/>
      <c r="X887" s="899"/>
      <c r="Y887" s="899"/>
      <c r="Z887" s="899"/>
      <c r="AA887" s="899"/>
      <c r="AB887" s="899"/>
      <c r="AC887" s="899"/>
      <c r="AD887" s="899"/>
      <c r="AE887" s="899"/>
      <c r="AF887" s="899"/>
      <c r="AG887" s="899"/>
      <c r="AH887" s="899"/>
      <c r="AI887" s="899"/>
      <c r="AJ887" s="899"/>
      <c r="AK887" s="899"/>
      <c r="AL887" s="899"/>
      <c r="AM887" s="899"/>
      <c r="AN887" s="899"/>
      <c r="AO887" s="899"/>
    </row>
    <row r="888">
      <c r="G888" s="899"/>
      <c r="H888" s="899"/>
      <c r="I888" s="899"/>
      <c r="J888" s="899"/>
      <c r="K888" s="899"/>
      <c r="L888" s="899"/>
      <c r="M888" s="899"/>
      <c r="N888" s="899"/>
      <c r="O888" s="899"/>
      <c r="P888" s="899"/>
      <c r="Q888" s="899"/>
      <c r="R888" s="899"/>
      <c r="S888" s="899"/>
      <c r="T888" s="899"/>
      <c r="U888" s="899"/>
      <c r="V888" s="899"/>
      <c r="W888" s="899"/>
      <c r="X888" s="899"/>
      <c r="Y888" s="899"/>
      <c r="Z888" s="899"/>
      <c r="AA888" s="899"/>
      <c r="AB888" s="899"/>
      <c r="AC888" s="899"/>
      <c r="AD888" s="899"/>
      <c r="AE888" s="899"/>
      <c r="AF888" s="899"/>
      <c r="AG888" s="899"/>
      <c r="AH888" s="899"/>
      <c r="AI888" s="899"/>
      <c r="AJ888" s="899"/>
      <c r="AK888" s="899"/>
      <c r="AL888" s="899"/>
      <c r="AM888" s="899"/>
      <c r="AN888" s="899"/>
      <c r="AO888" s="899"/>
    </row>
    <row r="889">
      <c r="G889" s="899"/>
      <c r="H889" s="899"/>
      <c r="I889" s="899"/>
      <c r="J889" s="899"/>
      <c r="K889" s="899"/>
      <c r="L889" s="899"/>
      <c r="M889" s="899"/>
      <c r="N889" s="899"/>
      <c r="O889" s="899"/>
      <c r="P889" s="899"/>
      <c r="Q889" s="899"/>
      <c r="R889" s="899"/>
      <c r="S889" s="899"/>
      <c r="T889" s="899"/>
      <c r="U889" s="899"/>
      <c r="V889" s="899"/>
      <c r="W889" s="899"/>
      <c r="X889" s="899"/>
      <c r="Y889" s="899"/>
      <c r="Z889" s="899"/>
      <c r="AA889" s="899"/>
      <c r="AB889" s="899"/>
      <c r="AC889" s="899"/>
      <c r="AD889" s="899"/>
      <c r="AE889" s="899"/>
      <c r="AF889" s="899"/>
      <c r="AG889" s="899"/>
      <c r="AH889" s="899"/>
      <c r="AI889" s="899"/>
      <c r="AJ889" s="899"/>
      <c r="AK889" s="899"/>
      <c r="AL889" s="899"/>
      <c r="AM889" s="899"/>
      <c r="AN889" s="899"/>
      <c r="AO889" s="899"/>
    </row>
    <row r="890">
      <c r="G890" s="899"/>
      <c r="H890" s="899"/>
      <c r="I890" s="899"/>
      <c r="J890" s="899"/>
      <c r="K890" s="899"/>
      <c r="L890" s="899"/>
      <c r="M890" s="899"/>
      <c r="N890" s="899"/>
      <c r="O890" s="899"/>
      <c r="P890" s="899"/>
      <c r="Q890" s="899"/>
      <c r="R890" s="899"/>
      <c r="S890" s="899"/>
      <c r="T890" s="899"/>
      <c r="U890" s="899"/>
      <c r="V890" s="899"/>
      <c r="W890" s="899"/>
      <c r="X890" s="899"/>
      <c r="Y890" s="899"/>
      <c r="Z890" s="899"/>
      <c r="AA890" s="899"/>
      <c r="AB890" s="899"/>
      <c r="AC890" s="899"/>
      <c r="AD890" s="899"/>
      <c r="AE890" s="899"/>
      <c r="AF890" s="899"/>
      <c r="AG890" s="899"/>
      <c r="AH890" s="899"/>
      <c r="AI890" s="899"/>
      <c r="AJ890" s="899"/>
      <c r="AK890" s="899"/>
      <c r="AL890" s="899"/>
      <c r="AM890" s="899"/>
      <c r="AN890" s="899"/>
      <c r="AO890" s="899"/>
    </row>
    <row r="891">
      <c r="G891" s="899"/>
      <c r="H891" s="899"/>
      <c r="I891" s="899"/>
      <c r="J891" s="899"/>
      <c r="K891" s="899"/>
      <c r="L891" s="899"/>
      <c r="M891" s="899"/>
      <c r="N891" s="899"/>
      <c r="O891" s="899"/>
      <c r="P891" s="899"/>
      <c r="Q891" s="899"/>
      <c r="R891" s="899"/>
      <c r="S891" s="899"/>
      <c r="T891" s="899"/>
      <c r="U891" s="899"/>
      <c r="V891" s="899"/>
      <c r="W891" s="899"/>
      <c r="X891" s="899"/>
      <c r="Y891" s="899"/>
      <c r="Z891" s="899"/>
      <c r="AA891" s="899"/>
      <c r="AB891" s="899"/>
      <c r="AC891" s="899"/>
      <c r="AD891" s="899"/>
      <c r="AE891" s="899"/>
      <c r="AF891" s="899"/>
      <c r="AG891" s="899"/>
      <c r="AH891" s="899"/>
      <c r="AI891" s="899"/>
      <c r="AJ891" s="899"/>
      <c r="AK891" s="899"/>
      <c r="AL891" s="899"/>
      <c r="AM891" s="899"/>
      <c r="AN891" s="899"/>
      <c r="AO891" s="899"/>
    </row>
    <row r="892">
      <c r="G892" s="899"/>
      <c r="H892" s="899"/>
      <c r="I892" s="899"/>
      <c r="J892" s="899"/>
      <c r="K892" s="899"/>
      <c r="L892" s="899"/>
      <c r="M892" s="899"/>
      <c r="N892" s="899"/>
      <c r="O892" s="899"/>
      <c r="P892" s="899"/>
      <c r="Q892" s="899"/>
      <c r="R892" s="899"/>
      <c r="S892" s="899"/>
      <c r="T892" s="899"/>
      <c r="U892" s="899"/>
      <c r="V892" s="899"/>
      <c r="W892" s="899"/>
      <c r="X892" s="899"/>
      <c r="Y892" s="899"/>
      <c r="Z892" s="899"/>
      <c r="AA892" s="899"/>
      <c r="AB892" s="899"/>
      <c r="AC892" s="899"/>
      <c r="AD892" s="899"/>
      <c r="AE892" s="899"/>
      <c r="AF892" s="899"/>
      <c r="AG892" s="899"/>
      <c r="AH892" s="899"/>
      <c r="AI892" s="899"/>
      <c r="AJ892" s="899"/>
      <c r="AK892" s="899"/>
      <c r="AL892" s="899"/>
      <c r="AM892" s="899"/>
      <c r="AN892" s="899"/>
      <c r="AO892" s="899"/>
    </row>
    <row r="893">
      <c r="G893" s="899"/>
      <c r="H893" s="899"/>
      <c r="I893" s="899"/>
      <c r="J893" s="899"/>
      <c r="K893" s="899"/>
      <c r="L893" s="899"/>
      <c r="M893" s="899"/>
      <c r="N893" s="899"/>
      <c r="O893" s="899"/>
      <c r="P893" s="899"/>
      <c r="Q893" s="899"/>
      <c r="R893" s="899"/>
      <c r="S893" s="899"/>
      <c r="T893" s="899"/>
      <c r="U893" s="899"/>
      <c r="V893" s="899"/>
      <c r="W893" s="899"/>
      <c r="X893" s="899"/>
      <c r="Y893" s="899"/>
      <c r="Z893" s="899"/>
      <c r="AA893" s="899"/>
      <c r="AB893" s="899"/>
      <c r="AC893" s="899"/>
      <c r="AD893" s="899"/>
      <c r="AE893" s="899"/>
      <c r="AF893" s="899"/>
      <c r="AG893" s="899"/>
      <c r="AH893" s="899"/>
      <c r="AI893" s="899"/>
      <c r="AJ893" s="899"/>
      <c r="AK893" s="899"/>
      <c r="AL893" s="899"/>
      <c r="AM893" s="899"/>
      <c r="AN893" s="899"/>
      <c r="AO893" s="899"/>
    </row>
    <row r="894">
      <c r="G894" s="899"/>
      <c r="H894" s="899"/>
      <c r="I894" s="899"/>
      <c r="J894" s="899"/>
      <c r="K894" s="899"/>
      <c r="L894" s="899"/>
      <c r="M894" s="899"/>
      <c r="N894" s="899"/>
      <c r="O894" s="899"/>
      <c r="P894" s="899"/>
      <c r="Q894" s="899"/>
      <c r="R894" s="899"/>
      <c r="S894" s="899"/>
      <c r="T894" s="899"/>
      <c r="U894" s="899"/>
      <c r="V894" s="899"/>
      <c r="W894" s="899"/>
      <c r="X894" s="899"/>
      <c r="Y894" s="899"/>
      <c r="Z894" s="899"/>
      <c r="AA894" s="899"/>
      <c r="AB894" s="899"/>
      <c r="AC894" s="899"/>
      <c r="AD894" s="899"/>
      <c r="AE894" s="899"/>
      <c r="AF894" s="899"/>
      <c r="AG894" s="899"/>
      <c r="AH894" s="899"/>
      <c r="AI894" s="899"/>
      <c r="AJ894" s="899"/>
      <c r="AK894" s="899"/>
      <c r="AL894" s="899"/>
      <c r="AM894" s="899"/>
      <c r="AN894" s="899"/>
      <c r="AO894" s="899"/>
    </row>
    <row r="895">
      <c r="G895" s="899"/>
      <c r="H895" s="899"/>
      <c r="I895" s="899"/>
      <c r="J895" s="899"/>
      <c r="K895" s="899"/>
      <c r="L895" s="899"/>
      <c r="M895" s="899"/>
      <c r="N895" s="899"/>
      <c r="O895" s="899"/>
      <c r="P895" s="899"/>
      <c r="Q895" s="899"/>
      <c r="R895" s="899"/>
      <c r="S895" s="899"/>
      <c r="T895" s="899"/>
      <c r="U895" s="899"/>
      <c r="V895" s="899"/>
      <c r="W895" s="899"/>
      <c r="X895" s="899"/>
      <c r="Y895" s="899"/>
      <c r="Z895" s="899"/>
      <c r="AA895" s="899"/>
      <c r="AB895" s="899"/>
      <c r="AC895" s="899"/>
      <c r="AD895" s="899"/>
      <c r="AE895" s="899"/>
      <c r="AF895" s="899"/>
      <c r="AG895" s="899"/>
      <c r="AH895" s="899"/>
      <c r="AI895" s="899"/>
      <c r="AJ895" s="899"/>
      <c r="AK895" s="899"/>
      <c r="AL895" s="899"/>
      <c r="AM895" s="899"/>
      <c r="AN895" s="899"/>
      <c r="AO895" s="899"/>
    </row>
    <row r="896">
      <c r="G896" s="899"/>
      <c r="H896" s="899"/>
      <c r="I896" s="899"/>
      <c r="J896" s="899"/>
      <c r="K896" s="899"/>
      <c r="L896" s="899"/>
      <c r="M896" s="899"/>
      <c r="N896" s="899"/>
      <c r="O896" s="899"/>
      <c r="P896" s="899"/>
      <c r="Q896" s="899"/>
      <c r="R896" s="899"/>
      <c r="S896" s="899"/>
      <c r="T896" s="899"/>
      <c r="U896" s="899"/>
      <c r="V896" s="899"/>
      <c r="W896" s="899"/>
      <c r="X896" s="899"/>
      <c r="Y896" s="899"/>
      <c r="Z896" s="899"/>
      <c r="AA896" s="899"/>
      <c r="AB896" s="899"/>
      <c r="AC896" s="899"/>
      <c r="AD896" s="899"/>
      <c r="AE896" s="899"/>
      <c r="AF896" s="899"/>
      <c r="AG896" s="899"/>
      <c r="AH896" s="899"/>
      <c r="AI896" s="899"/>
      <c r="AJ896" s="899"/>
      <c r="AK896" s="899"/>
      <c r="AL896" s="899"/>
      <c r="AM896" s="899"/>
      <c r="AN896" s="899"/>
      <c r="AO896" s="899"/>
    </row>
    <row r="897">
      <c r="G897" s="899"/>
      <c r="H897" s="899"/>
      <c r="I897" s="899"/>
      <c r="J897" s="899"/>
      <c r="K897" s="899"/>
      <c r="L897" s="899"/>
      <c r="M897" s="899"/>
      <c r="N897" s="899"/>
      <c r="O897" s="899"/>
      <c r="P897" s="899"/>
      <c r="Q897" s="899"/>
      <c r="R897" s="899"/>
      <c r="S897" s="899"/>
      <c r="T897" s="899"/>
      <c r="U897" s="899"/>
      <c r="V897" s="899"/>
      <c r="W897" s="899"/>
      <c r="X897" s="899"/>
      <c r="Y897" s="899"/>
      <c r="Z897" s="899"/>
      <c r="AA897" s="899"/>
      <c r="AB897" s="899"/>
      <c r="AC897" s="899"/>
      <c r="AD897" s="899"/>
      <c r="AE897" s="899"/>
      <c r="AF897" s="899"/>
      <c r="AG897" s="899"/>
      <c r="AH897" s="899"/>
      <c r="AI897" s="899"/>
      <c r="AJ897" s="899"/>
      <c r="AK897" s="899"/>
      <c r="AL897" s="899"/>
      <c r="AM897" s="899"/>
      <c r="AN897" s="899"/>
      <c r="AO897" s="899"/>
    </row>
    <row r="898">
      <c r="G898" s="899"/>
      <c r="H898" s="899"/>
      <c r="I898" s="899"/>
      <c r="J898" s="899"/>
      <c r="K898" s="899"/>
      <c r="L898" s="899"/>
      <c r="M898" s="899"/>
      <c r="N898" s="899"/>
      <c r="O898" s="899"/>
      <c r="P898" s="899"/>
      <c r="Q898" s="899"/>
      <c r="R898" s="899"/>
      <c r="S898" s="899"/>
      <c r="T898" s="899"/>
      <c r="U898" s="899"/>
      <c r="V898" s="899"/>
      <c r="W898" s="899"/>
      <c r="X898" s="899"/>
      <c r="Y898" s="899"/>
      <c r="Z898" s="899"/>
      <c r="AA898" s="899"/>
      <c r="AB898" s="899"/>
      <c r="AC898" s="899"/>
      <c r="AD898" s="899"/>
      <c r="AE898" s="899"/>
      <c r="AF898" s="899"/>
      <c r="AG898" s="899"/>
      <c r="AH898" s="899"/>
      <c r="AI898" s="899"/>
      <c r="AJ898" s="899"/>
      <c r="AK898" s="899"/>
      <c r="AL898" s="899"/>
      <c r="AM898" s="899"/>
      <c r="AN898" s="899"/>
      <c r="AO898" s="899"/>
    </row>
    <row r="899">
      <c r="G899" s="899"/>
      <c r="H899" s="899"/>
      <c r="I899" s="899"/>
      <c r="J899" s="899"/>
      <c r="K899" s="899"/>
      <c r="L899" s="899"/>
      <c r="M899" s="899"/>
      <c r="N899" s="899"/>
      <c r="O899" s="899"/>
      <c r="P899" s="899"/>
      <c r="Q899" s="899"/>
      <c r="R899" s="899"/>
      <c r="S899" s="899"/>
      <c r="T899" s="899"/>
      <c r="U899" s="899"/>
      <c r="V899" s="899"/>
      <c r="W899" s="899"/>
      <c r="X899" s="899"/>
      <c r="Y899" s="899"/>
      <c r="Z899" s="899"/>
      <c r="AA899" s="899"/>
      <c r="AB899" s="899"/>
      <c r="AC899" s="899"/>
      <c r="AD899" s="899"/>
      <c r="AE899" s="899"/>
      <c r="AF899" s="899"/>
      <c r="AG899" s="899"/>
      <c r="AH899" s="899"/>
      <c r="AI899" s="899"/>
      <c r="AJ899" s="899"/>
      <c r="AK899" s="899"/>
      <c r="AL899" s="899"/>
      <c r="AM899" s="899"/>
      <c r="AN899" s="899"/>
      <c r="AO899" s="899"/>
    </row>
    <row r="900">
      <c r="G900" s="899"/>
      <c r="H900" s="899"/>
      <c r="I900" s="899"/>
      <c r="J900" s="899"/>
      <c r="K900" s="899"/>
      <c r="L900" s="899"/>
      <c r="M900" s="899"/>
      <c r="N900" s="899"/>
      <c r="O900" s="899"/>
      <c r="P900" s="899"/>
      <c r="Q900" s="899"/>
      <c r="R900" s="899"/>
      <c r="S900" s="899"/>
      <c r="T900" s="899"/>
      <c r="U900" s="899"/>
      <c r="V900" s="899"/>
      <c r="W900" s="899"/>
      <c r="X900" s="899"/>
      <c r="Y900" s="899"/>
      <c r="Z900" s="899"/>
      <c r="AA900" s="899"/>
      <c r="AB900" s="899"/>
      <c r="AC900" s="899"/>
      <c r="AD900" s="899"/>
      <c r="AE900" s="899"/>
      <c r="AF900" s="899"/>
      <c r="AG900" s="899"/>
      <c r="AH900" s="899"/>
      <c r="AI900" s="899"/>
      <c r="AJ900" s="899"/>
      <c r="AK900" s="899"/>
      <c r="AL900" s="899"/>
      <c r="AM900" s="899"/>
      <c r="AN900" s="899"/>
      <c r="AO900" s="899"/>
    </row>
    <row r="901">
      <c r="G901" s="899"/>
      <c r="H901" s="899"/>
      <c r="I901" s="899"/>
      <c r="J901" s="899"/>
      <c r="K901" s="899"/>
      <c r="L901" s="899"/>
      <c r="M901" s="899"/>
      <c r="N901" s="899"/>
      <c r="O901" s="899"/>
      <c r="P901" s="899"/>
      <c r="Q901" s="899"/>
      <c r="R901" s="899"/>
      <c r="S901" s="899"/>
      <c r="T901" s="899"/>
      <c r="U901" s="899"/>
      <c r="V901" s="899"/>
      <c r="W901" s="899"/>
      <c r="X901" s="899"/>
      <c r="Y901" s="899"/>
      <c r="Z901" s="899"/>
      <c r="AA901" s="899"/>
      <c r="AB901" s="899"/>
      <c r="AC901" s="899"/>
      <c r="AD901" s="899"/>
      <c r="AE901" s="899"/>
      <c r="AF901" s="899"/>
      <c r="AG901" s="899"/>
      <c r="AH901" s="899"/>
      <c r="AI901" s="899"/>
      <c r="AJ901" s="899"/>
      <c r="AK901" s="899"/>
      <c r="AL901" s="899"/>
      <c r="AM901" s="899"/>
      <c r="AN901" s="899"/>
      <c r="AO901" s="899"/>
    </row>
    <row r="902">
      <c r="G902" s="899"/>
      <c r="H902" s="899"/>
      <c r="I902" s="899"/>
      <c r="J902" s="899"/>
      <c r="K902" s="899"/>
      <c r="L902" s="899"/>
      <c r="M902" s="899"/>
      <c r="N902" s="899"/>
      <c r="O902" s="899"/>
      <c r="P902" s="899"/>
      <c r="Q902" s="899"/>
      <c r="R902" s="899"/>
      <c r="S902" s="899"/>
      <c r="T902" s="899"/>
      <c r="U902" s="899"/>
      <c r="V902" s="899"/>
      <c r="W902" s="899"/>
      <c r="X902" s="899"/>
      <c r="Y902" s="899"/>
      <c r="Z902" s="899"/>
      <c r="AA902" s="899"/>
      <c r="AB902" s="899"/>
      <c r="AC902" s="899"/>
      <c r="AD902" s="899"/>
      <c r="AE902" s="899"/>
      <c r="AF902" s="899"/>
      <c r="AG902" s="899"/>
      <c r="AH902" s="899"/>
      <c r="AI902" s="899"/>
      <c r="AJ902" s="899"/>
      <c r="AK902" s="899"/>
      <c r="AL902" s="899"/>
      <c r="AM902" s="899"/>
      <c r="AN902" s="899"/>
      <c r="AO902" s="899"/>
    </row>
    <row r="903">
      <c r="G903" s="899"/>
      <c r="H903" s="899"/>
      <c r="I903" s="899"/>
      <c r="J903" s="899"/>
      <c r="K903" s="899"/>
      <c r="L903" s="899"/>
      <c r="M903" s="899"/>
      <c r="N903" s="899"/>
      <c r="O903" s="899"/>
      <c r="P903" s="899"/>
      <c r="Q903" s="899"/>
      <c r="R903" s="899"/>
      <c r="S903" s="899"/>
      <c r="T903" s="899"/>
      <c r="U903" s="899"/>
      <c r="V903" s="899"/>
      <c r="W903" s="899"/>
      <c r="X903" s="899"/>
      <c r="Y903" s="899"/>
      <c r="Z903" s="899"/>
      <c r="AA903" s="899"/>
      <c r="AB903" s="899"/>
      <c r="AC903" s="899"/>
      <c r="AD903" s="899"/>
      <c r="AE903" s="899"/>
      <c r="AF903" s="899"/>
      <c r="AG903" s="899"/>
      <c r="AH903" s="899"/>
      <c r="AI903" s="899"/>
      <c r="AJ903" s="899"/>
      <c r="AK903" s="899"/>
      <c r="AL903" s="899"/>
      <c r="AM903" s="899"/>
      <c r="AN903" s="899"/>
      <c r="AO903" s="899"/>
    </row>
    <row r="904">
      <c r="G904" s="899"/>
      <c r="H904" s="899"/>
      <c r="I904" s="899"/>
      <c r="J904" s="899"/>
      <c r="K904" s="899"/>
      <c r="L904" s="899"/>
      <c r="M904" s="899"/>
      <c r="N904" s="899"/>
      <c r="O904" s="899"/>
      <c r="P904" s="899"/>
      <c r="Q904" s="899"/>
      <c r="R904" s="899"/>
      <c r="S904" s="899"/>
      <c r="T904" s="899"/>
      <c r="U904" s="899"/>
      <c r="V904" s="899"/>
      <c r="W904" s="899"/>
      <c r="X904" s="899"/>
      <c r="Y904" s="899"/>
      <c r="Z904" s="899"/>
      <c r="AA904" s="899"/>
      <c r="AB904" s="899"/>
      <c r="AC904" s="899"/>
      <c r="AD904" s="899"/>
      <c r="AE904" s="899"/>
      <c r="AF904" s="899"/>
      <c r="AG904" s="899"/>
      <c r="AH904" s="899"/>
      <c r="AI904" s="899"/>
      <c r="AJ904" s="899"/>
      <c r="AK904" s="899"/>
      <c r="AL904" s="899"/>
      <c r="AM904" s="899"/>
      <c r="AN904" s="899"/>
      <c r="AO904" s="899"/>
    </row>
    <row r="905">
      <c r="G905" s="899"/>
      <c r="H905" s="899"/>
      <c r="I905" s="899"/>
      <c r="J905" s="899"/>
      <c r="K905" s="899"/>
      <c r="L905" s="899"/>
      <c r="M905" s="899"/>
      <c r="N905" s="899"/>
      <c r="O905" s="899"/>
      <c r="P905" s="899"/>
      <c r="Q905" s="899"/>
      <c r="R905" s="899"/>
      <c r="S905" s="899"/>
      <c r="T905" s="899"/>
      <c r="U905" s="899"/>
      <c r="V905" s="899"/>
      <c r="W905" s="899"/>
      <c r="X905" s="899"/>
      <c r="Y905" s="899"/>
      <c r="Z905" s="899"/>
      <c r="AA905" s="899"/>
      <c r="AB905" s="899"/>
      <c r="AC905" s="899"/>
      <c r="AD905" s="899"/>
      <c r="AE905" s="899"/>
      <c r="AF905" s="899"/>
      <c r="AG905" s="899"/>
      <c r="AH905" s="899"/>
      <c r="AI905" s="899"/>
      <c r="AJ905" s="899"/>
      <c r="AK905" s="899"/>
      <c r="AL905" s="899"/>
      <c r="AM905" s="899"/>
      <c r="AN905" s="899"/>
      <c r="AO905" s="899"/>
    </row>
    <row r="906">
      <c r="G906" s="899"/>
      <c r="H906" s="899"/>
      <c r="I906" s="899"/>
      <c r="J906" s="899"/>
      <c r="K906" s="899"/>
      <c r="L906" s="899"/>
      <c r="M906" s="899"/>
      <c r="N906" s="899"/>
      <c r="O906" s="899"/>
      <c r="P906" s="899"/>
      <c r="Q906" s="899"/>
      <c r="R906" s="899"/>
      <c r="S906" s="899"/>
      <c r="T906" s="899"/>
      <c r="U906" s="899"/>
      <c r="V906" s="899"/>
      <c r="W906" s="899"/>
      <c r="X906" s="899"/>
      <c r="Y906" s="899"/>
      <c r="Z906" s="899"/>
      <c r="AA906" s="899"/>
      <c r="AB906" s="899"/>
      <c r="AC906" s="899"/>
      <c r="AD906" s="899"/>
      <c r="AE906" s="899"/>
      <c r="AF906" s="899"/>
      <c r="AG906" s="899"/>
      <c r="AH906" s="899"/>
      <c r="AI906" s="899"/>
      <c r="AJ906" s="899"/>
      <c r="AK906" s="899"/>
      <c r="AL906" s="899"/>
      <c r="AM906" s="899"/>
      <c r="AN906" s="899"/>
      <c r="AO906" s="899"/>
    </row>
    <row r="907">
      <c r="G907" s="899"/>
      <c r="H907" s="899"/>
      <c r="I907" s="899"/>
      <c r="J907" s="899"/>
      <c r="K907" s="899"/>
      <c r="L907" s="899"/>
      <c r="M907" s="899"/>
      <c r="N907" s="899"/>
      <c r="O907" s="899"/>
      <c r="P907" s="899"/>
      <c r="Q907" s="899"/>
      <c r="R907" s="899"/>
      <c r="S907" s="899"/>
      <c r="T907" s="899"/>
      <c r="U907" s="899"/>
      <c r="V907" s="899"/>
      <c r="W907" s="899"/>
      <c r="X907" s="899"/>
      <c r="Y907" s="899"/>
      <c r="Z907" s="899"/>
      <c r="AA907" s="899"/>
      <c r="AB907" s="899"/>
      <c r="AC907" s="899"/>
      <c r="AD907" s="899"/>
      <c r="AE907" s="899"/>
      <c r="AF907" s="899"/>
      <c r="AG907" s="899"/>
      <c r="AH907" s="899"/>
      <c r="AI907" s="899"/>
      <c r="AJ907" s="899"/>
      <c r="AK907" s="899"/>
      <c r="AL907" s="899"/>
      <c r="AM907" s="899"/>
      <c r="AN907" s="899"/>
      <c r="AO907" s="899"/>
    </row>
    <row r="908">
      <c r="G908" s="899"/>
      <c r="H908" s="899"/>
      <c r="I908" s="899"/>
      <c r="J908" s="899"/>
      <c r="K908" s="899"/>
      <c r="L908" s="899"/>
      <c r="M908" s="899"/>
      <c r="N908" s="899"/>
      <c r="O908" s="899"/>
      <c r="P908" s="899"/>
      <c r="Q908" s="899"/>
      <c r="R908" s="899"/>
      <c r="S908" s="899"/>
      <c r="T908" s="899"/>
      <c r="U908" s="899"/>
      <c r="V908" s="899"/>
      <c r="W908" s="899"/>
      <c r="X908" s="899"/>
      <c r="Y908" s="899"/>
      <c r="Z908" s="899"/>
      <c r="AA908" s="899"/>
      <c r="AB908" s="899"/>
      <c r="AC908" s="899"/>
      <c r="AD908" s="899"/>
      <c r="AE908" s="899"/>
      <c r="AF908" s="899"/>
      <c r="AG908" s="899"/>
      <c r="AH908" s="899"/>
      <c r="AI908" s="899"/>
      <c r="AJ908" s="899"/>
      <c r="AK908" s="899"/>
      <c r="AL908" s="899"/>
      <c r="AM908" s="899"/>
      <c r="AN908" s="899"/>
      <c r="AO908" s="899"/>
    </row>
    <row r="909">
      <c r="G909" s="899"/>
      <c r="H909" s="899"/>
      <c r="I909" s="899"/>
      <c r="J909" s="899"/>
      <c r="K909" s="899"/>
      <c r="L909" s="899"/>
      <c r="M909" s="899"/>
      <c r="N909" s="899"/>
      <c r="O909" s="899"/>
      <c r="P909" s="899"/>
      <c r="Q909" s="899"/>
      <c r="R909" s="899"/>
      <c r="S909" s="899"/>
      <c r="T909" s="899"/>
      <c r="U909" s="899"/>
      <c r="V909" s="899"/>
      <c r="W909" s="899"/>
      <c r="X909" s="899"/>
      <c r="Y909" s="899"/>
      <c r="Z909" s="899"/>
      <c r="AA909" s="899"/>
      <c r="AB909" s="899"/>
      <c r="AC909" s="899"/>
      <c r="AD909" s="899"/>
      <c r="AE909" s="899"/>
      <c r="AF909" s="899"/>
      <c r="AG909" s="899"/>
      <c r="AH909" s="899"/>
      <c r="AI909" s="899"/>
      <c r="AJ909" s="899"/>
      <c r="AK909" s="899"/>
      <c r="AL909" s="899"/>
      <c r="AM909" s="899"/>
      <c r="AN909" s="899"/>
      <c r="AO909" s="899"/>
    </row>
    <row r="910">
      <c r="G910" s="899"/>
      <c r="H910" s="899"/>
      <c r="I910" s="899"/>
      <c r="J910" s="899"/>
      <c r="K910" s="899"/>
      <c r="L910" s="899"/>
      <c r="M910" s="899"/>
      <c r="N910" s="899"/>
      <c r="O910" s="899"/>
      <c r="P910" s="899"/>
      <c r="Q910" s="899"/>
      <c r="R910" s="899"/>
      <c r="S910" s="899"/>
      <c r="T910" s="899"/>
      <c r="U910" s="899"/>
      <c r="V910" s="899"/>
      <c r="W910" s="899"/>
      <c r="X910" s="899"/>
      <c r="Y910" s="899"/>
      <c r="Z910" s="899"/>
      <c r="AA910" s="899"/>
      <c r="AB910" s="899"/>
      <c r="AC910" s="899"/>
      <c r="AD910" s="899"/>
      <c r="AE910" s="899"/>
      <c r="AF910" s="899"/>
      <c r="AG910" s="899"/>
      <c r="AH910" s="899"/>
      <c r="AI910" s="899"/>
      <c r="AJ910" s="899"/>
      <c r="AK910" s="899"/>
      <c r="AL910" s="899"/>
      <c r="AM910" s="899"/>
      <c r="AN910" s="899"/>
      <c r="AO910" s="899"/>
    </row>
    <row r="911">
      <c r="G911" s="899"/>
      <c r="H911" s="899"/>
      <c r="I911" s="899"/>
      <c r="J911" s="899"/>
      <c r="K911" s="899"/>
      <c r="L911" s="899"/>
      <c r="M911" s="899"/>
      <c r="N911" s="899"/>
      <c r="O911" s="899"/>
      <c r="P911" s="899"/>
      <c r="Q911" s="899"/>
      <c r="R911" s="899"/>
      <c r="S911" s="899"/>
      <c r="T911" s="899"/>
      <c r="U911" s="899"/>
      <c r="V911" s="899"/>
      <c r="W911" s="899"/>
      <c r="X911" s="899"/>
      <c r="Y911" s="899"/>
      <c r="Z911" s="899"/>
      <c r="AA911" s="899"/>
      <c r="AB911" s="899"/>
      <c r="AC911" s="899"/>
      <c r="AD911" s="899"/>
      <c r="AE911" s="899"/>
      <c r="AF911" s="899"/>
      <c r="AG911" s="899"/>
      <c r="AH911" s="899"/>
      <c r="AI911" s="899"/>
      <c r="AJ911" s="899"/>
      <c r="AK911" s="899"/>
      <c r="AL911" s="899"/>
      <c r="AM911" s="899"/>
      <c r="AN911" s="899"/>
      <c r="AO911" s="899"/>
    </row>
    <row r="912">
      <c r="G912" s="899"/>
      <c r="H912" s="899"/>
      <c r="I912" s="899"/>
      <c r="J912" s="899"/>
      <c r="K912" s="899"/>
      <c r="L912" s="899"/>
      <c r="M912" s="899"/>
      <c r="N912" s="899"/>
      <c r="O912" s="899"/>
      <c r="P912" s="899"/>
      <c r="Q912" s="899"/>
      <c r="R912" s="899"/>
      <c r="S912" s="899"/>
      <c r="T912" s="899"/>
      <c r="U912" s="899"/>
      <c r="V912" s="899"/>
      <c r="W912" s="899"/>
      <c r="X912" s="899"/>
      <c r="Y912" s="899"/>
      <c r="Z912" s="899"/>
      <c r="AA912" s="899"/>
      <c r="AB912" s="899"/>
      <c r="AC912" s="899"/>
      <c r="AD912" s="899"/>
      <c r="AE912" s="899"/>
      <c r="AF912" s="899"/>
      <c r="AG912" s="899"/>
      <c r="AH912" s="899"/>
      <c r="AI912" s="899"/>
      <c r="AJ912" s="899"/>
      <c r="AK912" s="899"/>
      <c r="AL912" s="899"/>
      <c r="AM912" s="899"/>
      <c r="AN912" s="899"/>
      <c r="AO912" s="899"/>
    </row>
    <row r="913">
      <c r="G913" s="899"/>
      <c r="H913" s="899"/>
      <c r="I913" s="899"/>
      <c r="J913" s="899"/>
      <c r="K913" s="899"/>
      <c r="L913" s="899"/>
      <c r="M913" s="899"/>
      <c r="N913" s="899"/>
      <c r="O913" s="899"/>
      <c r="P913" s="899"/>
      <c r="Q913" s="899"/>
      <c r="R913" s="899"/>
      <c r="S913" s="899"/>
      <c r="T913" s="899"/>
      <c r="U913" s="899"/>
      <c r="V913" s="899"/>
      <c r="W913" s="899"/>
      <c r="X913" s="899"/>
      <c r="Y913" s="899"/>
      <c r="Z913" s="899"/>
      <c r="AA913" s="899"/>
      <c r="AB913" s="899"/>
      <c r="AC913" s="899"/>
      <c r="AD913" s="899"/>
      <c r="AE913" s="899"/>
      <c r="AF913" s="899"/>
      <c r="AG913" s="899"/>
      <c r="AH913" s="899"/>
      <c r="AI913" s="899"/>
      <c r="AJ913" s="899"/>
      <c r="AK913" s="899"/>
      <c r="AL913" s="899"/>
      <c r="AM913" s="899"/>
      <c r="AN913" s="899"/>
      <c r="AO913" s="899"/>
    </row>
    <row r="914">
      <c r="G914" s="899"/>
      <c r="H914" s="899"/>
      <c r="I914" s="899"/>
      <c r="J914" s="899"/>
      <c r="K914" s="899"/>
      <c r="L914" s="899"/>
      <c r="M914" s="899"/>
      <c r="N914" s="899"/>
      <c r="O914" s="899"/>
      <c r="P914" s="899"/>
      <c r="Q914" s="899"/>
      <c r="R914" s="899"/>
      <c r="S914" s="899"/>
      <c r="T914" s="899"/>
      <c r="U914" s="899"/>
      <c r="V914" s="899"/>
      <c r="W914" s="899"/>
      <c r="X914" s="899"/>
      <c r="Y914" s="899"/>
      <c r="Z914" s="899"/>
      <c r="AA914" s="899"/>
      <c r="AB914" s="899"/>
      <c r="AC914" s="899"/>
      <c r="AD914" s="899"/>
      <c r="AE914" s="899"/>
      <c r="AF914" s="899"/>
      <c r="AG914" s="899"/>
      <c r="AH914" s="899"/>
      <c r="AI914" s="899"/>
      <c r="AJ914" s="899"/>
      <c r="AK914" s="899"/>
      <c r="AL914" s="899"/>
      <c r="AM914" s="899"/>
      <c r="AN914" s="899"/>
      <c r="AO914" s="899"/>
    </row>
    <row r="915">
      <c r="G915" s="899"/>
      <c r="H915" s="899"/>
      <c r="I915" s="899"/>
      <c r="J915" s="899"/>
      <c r="K915" s="899"/>
      <c r="L915" s="899"/>
      <c r="M915" s="899"/>
      <c r="N915" s="899"/>
      <c r="O915" s="899"/>
      <c r="P915" s="899"/>
      <c r="Q915" s="899"/>
      <c r="R915" s="899"/>
      <c r="S915" s="899"/>
      <c r="T915" s="899"/>
      <c r="U915" s="899"/>
      <c r="V915" s="899"/>
      <c r="W915" s="899"/>
      <c r="X915" s="899"/>
      <c r="Y915" s="899"/>
      <c r="Z915" s="899"/>
      <c r="AA915" s="899"/>
      <c r="AB915" s="899"/>
      <c r="AC915" s="899"/>
      <c r="AD915" s="899"/>
      <c r="AE915" s="899"/>
      <c r="AF915" s="899"/>
      <c r="AG915" s="899"/>
      <c r="AH915" s="899"/>
      <c r="AI915" s="899"/>
      <c r="AJ915" s="899"/>
      <c r="AK915" s="899"/>
      <c r="AL915" s="899"/>
      <c r="AM915" s="899"/>
      <c r="AN915" s="899"/>
      <c r="AO915" s="899"/>
    </row>
    <row r="916">
      <c r="G916" s="899"/>
      <c r="H916" s="899"/>
      <c r="I916" s="899"/>
      <c r="J916" s="899"/>
      <c r="K916" s="899"/>
      <c r="L916" s="899"/>
      <c r="M916" s="899"/>
      <c r="N916" s="899"/>
      <c r="O916" s="899"/>
      <c r="P916" s="899"/>
      <c r="Q916" s="899"/>
      <c r="R916" s="899"/>
      <c r="S916" s="899"/>
      <c r="T916" s="899"/>
      <c r="U916" s="899"/>
      <c r="V916" s="899"/>
      <c r="W916" s="899"/>
      <c r="X916" s="899"/>
      <c r="Y916" s="899"/>
      <c r="Z916" s="899"/>
      <c r="AA916" s="899"/>
      <c r="AB916" s="899"/>
      <c r="AC916" s="899"/>
      <c r="AD916" s="899"/>
      <c r="AE916" s="899"/>
      <c r="AF916" s="899"/>
      <c r="AG916" s="899"/>
      <c r="AH916" s="899"/>
      <c r="AI916" s="899"/>
      <c r="AJ916" s="899"/>
      <c r="AK916" s="899"/>
      <c r="AL916" s="899"/>
      <c r="AM916" s="899"/>
      <c r="AN916" s="899"/>
      <c r="AO916" s="899"/>
    </row>
    <row r="917">
      <c r="G917" s="899"/>
      <c r="H917" s="899"/>
      <c r="I917" s="899"/>
      <c r="J917" s="899"/>
      <c r="K917" s="899"/>
      <c r="L917" s="899"/>
      <c r="M917" s="899"/>
      <c r="N917" s="899"/>
      <c r="O917" s="899"/>
      <c r="P917" s="899"/>
      <c r="Q917" s="899"/>
      <c r="R917" s="899"/>
      <c r="S917" s="899"/>
      <c r="T917" s="899"/>
      <c r="U917" s="899"/>
      <c r="V917" s="899"/>
      <c r="W917" s="899"/>
      <c r="X917" s="899"/>
      <c r="Y917" s="899"/>
      <c r="Z917" s="899"/>
      <c r="AA917" s="899"/>
      <c r="AB917" s="899"/>
      <c r="AC917" s="899"/>
      <c r="AD917" s="899"/>
      <c r="AE917" s="899"/>
      <c r="AF917" s="899"/>
      <c r="AG917" s="899"/>
      <c r="AH917" s="899"/>
      <c r="AI917" s="899"/>
      <c r="AJ917" s="899"/>
      <c r="AK917" s="899"/>
      <c r="AL917" s="899"/>
      <c r="AM917" s="899"/>
      <c r="AN917" s="899"/>
      <c r="AO917" s="899"/>
    </row>
    <row r="918">
      <c r="G918" s="899"/>
      <c r="H918" s="899"/>
      <c r="I918" s="899"/>
      <c r="J918" s="899"/>
      <c r="K918" s="899"/>
      <c r="L918" s="899"/>
      <c r="M918" s="899"/>
      <c r="N918" s="899"/>
      <c r="O918" s="899"/>
      <c r="P918" s="899"/>
      <c r="Q918" s="899"/>
      <c r="R918" s="899"/>
      <c r="S918" s="899"/>
      <c r="T918" s="899"/>
      <c r="U918" s="899"/>
      <c r="V918" s="899"/>
      <c r="W918" s="899"/>
      <c r="X918" s="899"/>
      <c r="Y918" s="899"/>
      <c r="Z918" s="899"/>
      <c r="AA918" s="899"/>
      <c r="AB918" s="899"/>
      <c r="AC918" s="899"/>
      <c r="AD918" s="899"/>
      <c r="AE918" s="899"/>
      <c r="AF918" s="899"/>
      <c r="AG918" s="899"/>
      <c r="AH918" s="899"/>
      <c r="AI918" s="899"/>
      <c r="AJ918" s="899"/>
      <c r="AK918" s="899"/>
      <c r="AL918" s="899"/>
      <c r="AM918" s="899"/>
      <c r="AN918" s="899"/>
      <c r="AO918" s="899"/>
    </row>
    <row r="919">
      <c r="G919" s="899"/>
      <c r="H919" s="899"/>
      <c r="I919" s="899"/>
      <c r="J919" s="899"/>
      <c r="K919" s="899"/>
      <c r="L919" s="899"/>
      <c r="M919" s="899"/>
      <c r="N919" s="899"/>
      <c r="O919" s="899"/>
      <c r="P919" s="899"/>
      <c r="Q919" s="899"/>
      <c r="R919" s="899"/>
      <c r="S919" s="899"/>
      <c r="T919" s="899"/>
      <c r="U919" s="899"/>
      <c r="V919" s="899"/>
      <c r="W919" s="899"/>
      <c r="X919" s="899"/>
      <c r="Y919" s="899"/>
      <c r="Z919" s="899"/>
      <c r="AA919" s="899"/>
      <c r="AB919" s="899"/>
      <c r="AC919" s="899"/>
      <c r="AD919" s="899"/>
      <c r="AE919" s="899"/>
      <c r="AF919" s="899"/>
      <c r="AG919" s="899"/>
      <c r="AH919" s="899"/>
      <c r="AI919" s="899"/>
      <c r="AJ919" s="899"/>
      <c r="AK919" s="899"/>
      <c r="AL919" s="899"/>
      <c r="AM919" s="899"/>
      <c r="AN919" s="899"/>
      <c r="AO919" s="899"/>
    </row>
    <row r="920">
      <c r="G920" s="899"/>
      <c r="H920" s="899"/>
      <c r="I920" s="899"/>
      <c r="J920" s="899"/>
      <c r="K920" s="899"/>
      <c r="L920" s="899"/>
      <c r="M920" s="899"/>
      <c r="N920" s="899"/>
      <c r="O920" s="899"/>
      <c r="P920" s="899"/>
      <c r="Q920" s="899"/>
      <c r="R920" s="899"/>
      <c r="S920" s="899"/>
      <c r="T920" s="899"/>
      <c r="U920" s="899"/>
      <c r="V920" s="899"/>
      <c r="W920" s="899"/>
      <c r="X920" s="899"/>
      <c r="Y920" s="899"/>
      <c r="Z920" s="899"/>
      <c r="AA920" s="899"/>
      <c r="AB920" s="899"/>
      <c r="AC920" s="899"/>
      <c r="AD920" s="899"/>
      <c r="AE920" s="899"/>
      <c r="AF920" s="899"/>
      <c r="AG920" s="899"/>
      <c r="AH920" s="899"/>
      <c r="AI920" s="899"/>
      <c r="AJ920" s="899"/>
      <c r="AK920" s="899"/>
      <c r="AL920" s="899"/>
      <c r="AM920" s="899"/>
      <c r="AN920" s="899"/>
      <c r="AO920" s="899"/>
    </row>
    <row r="921">
      <c r="G921" s="899"/>
      <c r="H921" s="899"/>
      <c r="I921" s="899"/>
      <c r="J921" s="899"/>
      <c r="K921" s="899"/>
      <c r="L921" s="899"/>
      <c r="M921" s="899"/>
      <c r="N921" s="899"/>
      <c r="O921" s="899"/>
      <c r="P921" s="899"/>
      <c r="Q921" s="899"/>
      <c r="R921" s="899"/>
      <c r="S921" s="899"/>
      <c r="T921" s="899"/>
      <c r="U921" s="899"/>
      <c r="V921" s="899"/>
      <c r="W921" s="899"/>
      <c r="X921" s="899"/>
      <c r="Y921" s="899"/>
      <c r="Z921" s="899"/>
      <c r="AA921" s="899"/>
      <c r="AB921" s="899"/>
      <c r="AC921" s="899"/>
      <c r="AD921" s="899"/>
      <c r="AE921" s="899"/>
      <c r="AF921" s="899"/>
      <c r="AG921" s="899"/>
      <c r="AH921" s="899"/>
      <c r="AI921" s="899"/>
      <c r="AJ921" s="899"/>
      <c r="AK921" s="899"/>
      <c r="AL921" s="899"/>
      <c r="AM921" s="899"/>
      <c r="AN921" s="899"/>
      <c r="AO921" s="899"/>
    </row>
    <row r="922">
      <c r="G922" s="899"/>
      <c r="H922" s="899"/>
      <c r="I922" s="899"/>
      <c r="J922" s="899"/>
      <c r="K922" s="899"/>
      <c r="L922" s="899"/>
      <c r="M922" s="899"/>
      <c r="N922" s="899"/>
      <c r="O922" s="899"/>
      <c r="P922" s="899"/>
      <c r="Q922" s="899"/>
      <c r="R922" s="899"/>
      <c r="S922" s="899"/>
      <c r="T922" s="899"/>
      <c r="U922" s="899"/>
      <c r="V922" s="899"/>
      <c r="W922" s="899"/>
      <c r="X922" s="899"/>
      <c r="Y922" s="899"/>
      <c r="Z922" s="899"/>
      <c r="AA922" s="899"/>
      <c r="AB922" s="899"/>
      <c r="AC922" s="899"/>
      <c r="AD922" s="899"/>
      <c r="AE922" s="899"/>
      <c r="AF922" s="899"/>
      <c r="AG922" s="899"/>
      <c r="AH922" s="899"/>
      <c r="AI922" s="899"/>
      <c r="AJ922" s="899"/>
      <c r="AK922" s="899"/>
      <c r="AL922" s="899"/>
      <c r="AM922" s="899"/>
      <c r="AN922" s="899"/>
      <c r="AO922" s="899"/>
    </row>
    <row r="923">
      <c r="G923" s="899"/>
      <c r="H923" s="899"/>
      <c r="I923" s="899"/>
      <c r="J923" s="899"/>
      <c r="K923" s="899"/>
      <c r="L923" s="899"/>
      <c r="M923" s="899"/>
      <c r="N923" s="899"/>
      <c r="O923" s="899"/>
      <c r="P923" s="899"/>
      <c r="Q923" s="899"/>
      <c r="R923" s="899"/>
      <c r="S923" s="899"/>
      <c r="T923" s="899"/>
      <c r="U923" s="899"/>
      <c r="V923" s="899"/>
      <c r="W923" s="899"/>
      <c r="X923" s="899"/>
      <c r="Y923" s="899"/>
      <c r="Z923" s="899"/>
      <c r="AA923" s="899"/>
      <c r="AB923" s="899"/>
      <c r="AC923" s="899"/>
      <c r="AD923" s="899"/>
      <c r="AE923" s="899"/>
      <c r="AF923" s="899"/>
      <c r="AG923" s="899"/>
      <c r="AH923" s="899"/>
      <c r="AI923" s="899"/>
      <c r="AJ923" s="899"/>
      <c r="AK923" s="899"/>
      <c r="AL923" s="899"/>
      <c r="AM923" s="899"/>
      <c r="AN923" s="899"/>
      <c r="AO923" s="899"/>
    </row>
    <row r="924">
      <c r="G924" s="899"/>
      <c r="H924" s="899"/>
      <c r="I924" s="899"/>
      <c r="J924" s="899"/>
      <c r="K924" s="899"/>
      <c r="L924" s="899"/>
      <c r="M924" s="899"/>
      <c r="N924" s="899"/>
      <c r="O924" s="899"/>
      <c r="P924" s="899"/>
      <c r="Q924" s="899"/>
      <c r="R924" s="899"/>
      <c r="S924" s="899"/>
      <c r="T924" s="899"/>
      <c r="U924" s="899"/>
      <c r="V924" s="899"/>
      <c r="W924" s="899"/>
      <c r="X924" s="899"/>
      <c r="Y924" s="899"/>
      <c r="Z924" s="899"/>
      <c r="AA924" s="899"/>
      <c r="AB924" s="899"/>
      <c r="AC924" s="899"/>
      <c r="AD924" s="899"/>
      <c r="AE924" s="899"/>
      <c r="AF924" s="899"/>
      <c r="AG924" s="899"/>
      <c r="AH924" s="899"/>
      <c r="AI924" s="899"/>
      <c r="AJ924" s="899"/>
      <c r="AK924" s="899"/>
      <c r="AL924" s="899"/>
      <c r="AM924" s="899"/>
      <c r="AN924" s="899"/>
      <c r="AO924" s="899"/>
    </row>
    <row r="925">
      <c r="G925" s="899"/>
      <c r="H925" s="899"/>
      <c r="I925" s="899"/>
      <c r="J925" s="899"/>
      <c r="K925" s="899"/>
      <c r="L925" s="899"/>
      <c r="M925" s="899"/>
      <c r="N925" s="899"/>
      <c r="O925" s="899"/>
      <c r="P925" s="899"/>
      <c r="Q925" s="899"/>
      <c r="R925" s="899"/>
      <c r="S925" s="899"/>
      <c r="T925" s="899"/>
      <c r="U925" s="899"/>
      <c r="V925" s="899"/>
      <c r="W925" s="899"/>
      <c r="X925" s="899"/>
      <c r="Y925" s="899"/>
      <c r="Z925" s="899"/>
      <c r="AA925" s="899"/>
      <c r="AB925" s="899"/>
      <c r="AC925" s="899"/>
      <c r="AD925" s="899"/>
      <c r="AE925" s="899"/>
      <c r="AF925" s="899"/>
      <c r="AG925" s="899"/>
      <c r="AH925" s="899"/>
      <c r="AI925" s="899"/>
      <c r="AJ925" s="899"/>
      <c r="AK925" s="899"/>
      <c r="AL925" s="899"/>
      <c r="AM925" s="899"/>
      <c r="AN925" s="899"/>
      <c r="AO925" s="899"/>
    </row>
    <row r="926">
      <c r="G926" s="899"/>
      <c r="H926" s="899"/>
      <c r="I926" s="899"/>
      <c r="J926" s="899"/>
      <c r="K926" s="899"/>
      <c r="L926" s="899"/>
      <c r="M926" s="899"/>
      <c r="N926" s="899"/>
      <c r="O926" s="899"/>
      <c r="P926" s="899"/>
      <c r="Q926" s="899"/>
      <c r="R926" s="899"/>
      <c r="S926" s="899"/>
      <c r="T926" s="899"/>
      <c r="U926" s="899"/>
      <c r="V926" s="899"/>
      <c r="W926" s="899"/>
      <c r="X926" s="899"/>
      <c r="Y926" s="899"/>
      <c r="Z926" s="899"/>
      <c r="AA926" s="899"/>
      <c r="AB926" s="899"/>
      <c r="AC926" s="899"/>
      <c r="AD926" s="899"/>
      <c r="AE926" s="899"/>
      <c r="AF926" s="899"/>
      <c r="AG926" s="899"/>
      <c r="AH926" s="899"/>
      <c r="AI926" s="899"/>
      <c r="AJ926" s="899"/>
      <c r="AK926" s="899"/>
      <c r="AL926" s="899"/>
      <c r="AM926" s="899"/>
      <c r="AN926" s="899"/>
      <c r="AO926" s="899"/>
    </row>
    <row r="927">
      <c r="G927" s="899"/>
      <c r="H927" s="899"/>
      <c r="I927" s="899"/>
      <c r="J927" s="899"/>
      <c r="K927" s="899"/>
      <c r="L927" s="899"/>
      <c r="M927" s="899"/>
      <c r="N927" s="899"/>
      <c r="O927" s="899"/>
      <c r="P927" s="899"/>
      <c r="Q927" s="899"/>
      <c r="R927" s="899"/>
      <c r="S927" s="899"/>
      <c r="T927" s="899"/>
      <c r="U927" s="899"/>
      <c r="V927" s="899"/>
      <c r="W927" s="899"/>
      <c r="X927" s="899"/>
      <c r="Y927" s="899"/>
      <c r="Z927" s="899"/>
      <c r="AA927" s="899"/>
      <c r="AB927" s="899"/>
      <c r="AC927" s="899"/>
      <c r="AD927" s="899"/>
      <c r="AE927" s="899"/>
      <c r="AF927" s="899"/>
      <c r="AG927" s="899"/>
      <c r="AH927" s="899"/>
      <c r="AI927" s="899"/>
      <c r="AJ927" s="899"/>
      <c r="AK927" s="899"/>
      <c r="AL927" s="899"/>
      <c r="AM927" s="899"/>
      <c r="AN927" s="899"/>
      <c r="AO927" s="899"/>
    </row>
    <row r="928">
      <c r="G928" s="899"/>
      <c r="H928" s="899"/>
      <c r="I928" s="899"/>
      <c r="J928" s="899"/>
      <c r="K928" s="899"/>
      <c r="L928" s="899"/>
      <c r="M928" s="899"/>
      <c r="N928" s="899"/>
      <c r="O928" s="899"/>
      <c r="P928" s="899"/>
      <c r="Q928" s="899"/>
      <c r="R928" s="899"/>
      <c r="S928" s="899"/>
      <c r="T928" s="899"/>
      <c r="U928" s="899"/>
      <c r="V928" s="899"/>
      <c r="W928" s="899"/>
      <c r="X928" s="899"/>
      <c r="Y928" s="899"/>
      <c r="Z928" s="899"/>
      <c r="AA928" s="899"/>
      <c r="AB928" s="899"/>
      <c r="AC928" s="899"/>
      <c r="AD928" s="899"/>
      <c r="AE928" s="899"/>
      <c r="AF928" s="899"/>
      <c r="AG928" s="899"/>
      <c r="AH928" s="899"/>
      <c r="AI928" s="899"/>
      <c r="AJ928" s="899"/>
      <c r="AK928" s="899"/>
      <c r="AL928" s="899"/>
      <c r="AM928" s="899"/>
      <c r="AN928" s="899"/>
      <c r="AO928" s="899"/>
    </row>
    <row r="929">
      <c r="G929" s="899"/>
      <c r="H929" s="899"/>
      <c r="I929" s="899"/>
      <c r="J929" s="899"/>
      <c r="K929" s="899"/>
      <c r="L929" s="899"/>
      <c r="M929" s="899"/>
      <c r="N929" s="899"/>
      <c r="O929" s="899"/>
      <c r="P929" s="899"/>
      <c r="Q929" s="899"/>
      <c r="R929" s="899"/>
      <c r="S929" s="899"/>
      <c r="T929" s="899"/>
      <c r="U929" s="899"/>
      <c r="V929" s="899"/>
      <c r="W929" s="899"/>
      <c r="X929" s="899"/>
      <c r="Y929" s="899"/>
      <c r="Z929" s="899"/>
      <c r="AA929" s="899"/>
      <c r="AB929" s="899"/>
      <c r="AC929" s="899"/>
      <c r="AD929" s="899"/>
      <c r="AE929" s="899"/>
      <c r="AF929" s="899"/>
      <c r="AG929" s="899"/>
      <c r="AH929" s="899"/>
      <c r="AI929" s="899"/>
      <c r="AJ929" s="899"/>
      <c r="AK929" s="899"/>
      <c r="AL929" s="899"/>
      <c r="AM929" s="899"/>
      <c r="AN929" s="899"/>
      <c r="AO929" s="899"/>
    </row>
    <row r="930">
      <c r="G930" s="899"/>
      <c r="H930" s="899"/>
      <c r="I930" s="899"/>
      <c r="J930" s="899"/>
      <c r="K930" s="899"/>
      <c r="L930" s="899"/>
      <c r="M930" s="899"/>
      <c r="N930" s="899"/>
      <c r="O930" s="899"/>
      <c r="P930" s="899"/>
      <c r="Q930" s="899"/>
      <c r="R930" s="899"/>
      <c r="S930" s="899"/>
      <c r="T930" s="899"/>
      <c r="U930" s="899"/>
      <c r="V930" s="899"/>
      <c r="W930" s="899"/>
      <c r="X930" s="899"/>
      <c r="Y930" s="899"/>
      <c r="Z930" s="899"/>
      <c r="AA930" s="899"/>
      <c r="AB930" s="899"/>
      <c r="AC930" s="899"/>
      <c r="AD930" s="899"/>
      <c r="AE930" s="899"/>
      <c r="AF930" s="899"/>
      <c r="AG930" s="899"/>
      <c r="AH930" s="899"/>
      <c r="AI930" s="899"/>
      <c r="AJ930" s="899"/>
      <c r="AK930" s="899"/>
      <c r="AL930" s="899"/>
      <c r="AM930" s="899"/>
      <c r="AN930" s="899"/>
      <c r="AO930" s="899"/>
    </row>
    <row r="931">
      <c r="G931" s="899"/>
      <c r="H931" s="899"/>
      <c r="I931" s="899"/>
      <c r="J931" s="899"/>
      <c r="K931" s="899"/>
      <c r="L931" s="899"/>
      <c r="M931" s="899"/>
      <c r="N931" s="899"/>
      <c r="O931" s="899"/>
      <c r="P931" s="899"/>
      <c r="Q931" s="899"/>
      <c r="R931" s="899"/>
      <c r="S931" s="899"/>
      <c r="T931" s="899"/>
      <c r="U931" s="899"/>
      <c r="V931" s="899"/>
      <c r="W931" s="899"/>
      <c r="X931" s="899"/>
      <c r="Y931" s="899"/>
      <c r="Z931" s="899"/>
      <c r="AA931" s="899"/>
      <c r="AB931" s="899"/>
      <c r="AC931" s="899"/>
      <c r="AD931" s="899"/>
      <c r="AE931" s="899"/>
      <c r="AF931" s="899"/>
      <c r="AG931" s="899"/>
      <c r="AH931" s="899"/>
      <c r="AI931" s="899"/>
      <c r="AJ931" s="899"/>
      <c r="AK931" s="899"/>
      <c r="AL931" s="899"/>
      <c r="AM931" s="899"/>
      <c r="AN931" s="899"/>
      <c r="AO931" s="899"/>
    </row>
    <row r="932">
      <c r="G932" s="899"/>
      <c r="H932" s="899"/>
      <c r="I932" s="899"/>
      <c r="J932" s="899"/>
      <c r="K932" s="899"/>
      <c r="L932" s="899"/>
      <c r="M932" s="899"/>
      <c r="N932" s="899"/>
      <c r="O932" s="899"/>
      <c r="P932" s="899"/>
      <c r="Q932" s="899"/>
      <c r="R932" s="899"/>
      <c r="S932" s="899"/>
      <c r="T932" s="899"/>
      <c r="U932" s="899"/>
      <c r="V932" s="899"/>
      <c r="W932" s="899"/>
      <c r="X932" s="899"/>
      <c r="Y932" s="899"/>
      <c r="Z932" s="899"/>
      <c r="AA932" s="899"/>
      <c r="AB932" s="899"/>
      <c r="AC932" s="899"/>
      <c r="AD932" s="899"/>
      <c r="AE932" s="899"/>
      <c r="AF932" s="899"/>
      <c r="AG932" s="899"/>
      <c r="AH932" s="899"/>
      <c r="AI932" s="899"/>
      <c r="AJ932" s="899"/>
      <c r="AK932" s="899"/>
      <c r="AL932" s="899"/>
      <c r="AM932" s="899"/>
      <c r="AN932" s="899"/>
      <c r="AO932" s="899"/>
    </row>
    <row r="933">
      <c r="G933" s="899"/>
      <c r="H933" s="899"/>
      <c r="I933" s="899"/>
      <c r="J933" s="899"/>
      <c r="K933" s="899"/>
      <c r="L933" s="899"/>
      <c r="M933" s="899"/>
      <c r="N933" s="899"/>
      <c r="O933" s="899"/>
      <c r="P933" s="899"/>
      <c r="Q933" s="899"/>
      <c r="R933" s="899"/>
      <c r="S933" s="899"/>
      <c r="T933" s="899"/>
      <c r="U933" s="899"/>
      <c r="V933" s="899"/>
      <c r="W933" s="899"/>
      <c r="X933" s="899"/>
      <c r="Y933" s="899"/>
      <c r="Z933" s="899"/>
      <c r="AA933" s="899"/>
      <c r="AB933" s="899"/>
      <c r="AC933" s="899"/>
      <c r="AD933" s="899"/>
      <c r="AE933" s="899"/>
      <c r="AF933" s="899"/>
      <c r="AG933" s="899"/>
      <c r="AH933" s="899"/>
      <c r="AI933" s="899"/>
      <c r="AJ933" s="899"/>
      <c r="AK933" s="899"/>
      <c r="AL933" s="899"/>
      <c r="AM933" s="899"/>
      <c r="AN933" s="899"/>
      <c r="AO933" s="899"/>
    </row>
    <row r="934">
      <c r="G934" s="899"/>
      <c r="H934" s="899"/>
      <c r="I934" s="899"/>
      <c r="J934" s="899"/>
      <c r="K934" s="899"/>
      <c r="L934" s="899"/>
      <c r="M934" s="899"/>
      <c r="N934" s="899"/>
      <c r="O934" s="899"/>
      <c r="P934" s="899"/>
      <c r="Q934" s="899"/>
      <c r="R934" s="899"/>
      <c r="S934" s="899"/>
      <c r="T934" s="899"/>
      <c r="U934" s="899"/>
      <c r="V934" s="899"/>
      <c r="W934" s="899"/>
      <c r="X934" s="899"/>
      <c r="Y934" s="899"/>
      <c r="Z934" s="899"/>
      <c r="AA934" s="899"/>
      <c r="AB934" s="899"/>
      <c r="AC934" s="899"/>
      <c r="AD934" s="899"/>
      <c r="AE934" s="899"/>
      <c r="AF934" s="899"/>
      <c r="AG934" s="899"/>
      <c r="AH934" s="899"/>
      <c r="AI934" s="899"/>
      <c r="AJ934" s="899"/>
      <c r="AK934" s="899"/>
      <c r="AL934" s="899"/>
      <c r="AM934" s="899"/>
      <c r="AN934" s="899"/>
      <c r="AO934" s="899"/>
    </row>
    <row r="935">
      <c r="G935" s="899"/>
      <c r="H935" s="899"/>
      <c r="I935" s="899"/>
      <c r="J935" s="899"/>
      <c r="K935" s="899"/>
      <c r="L935" s="899"/>
      <c r="M935" s="899"/>
      <c r="N935" s="899"/>
      <c r="O935" s="899"/>
      <c r="P935" s="899"/>
      <c r="Q935" s="899"/>
      <c r="R935" s="899"/>
      <c r="S935" s="899"/>
      <c r="T935" s="899"/>
      <c r="U935" s="899"/>
      <c r="V935" s="899"/>
      <c r="W935" s="899"/>
      <c r="X935" s="899"/>
      <c r="Y935" s="899"/>
      <c r="Z935" s="899"/>
      <c r="AA935" s="899"/>
      <c r="AB935" s="899"/>
      <c r="AC935" s="899"/>
      <c r="AD935" s="899"/>
      <c r="AE935" s="899"/>
      <c r="AF935" s="899"/>
      <c r="AG935" s="899"/>
      <c r="AH935" s="899"/>
      <c r="AI935" s="899"/>
      <c r="AJ935" s="899"/>
      <c r="AK935" s="899"/>
      <c r="AL935" s="899"/>
      <c r="AM935" s="899"/>
      <c r="AN935" s="899"/>
      <c r="AO935" s="899"/>
    </row>
    <row r="936">
      <c r="G936" s="899"/>
      <c r="H936" s="899"/>
      <c r="I936" s="899"/>
      <c r="J936" s="899"/>
      <c r="K936" s="899"/>
      <c r="L936" s="899"/>
      <c r="M936" s="899"/>
      <c r="N936" s="899"/>
      <c r="O936" s="899"/>
      <c r="P936" s="899"/>
      <c r="Q936" s="899"/>
      <c r="R936" s="899"/>
      <c r="S936" s="899"/>
      <c r="T936" s="899"/>
      <c r="U936" s="899"/>
      <c r="V936" s="899"/>
      <c r="W936" s="899"/>
      <c r="X936" s="899"/>
      <c r="Y936" s="899"/>
      <c r="Z936" s="899"/>
      <c r="AA936" s="899"/>
      <c r="AB936" s="899"/>
      <c r="AC936" s="899"/>
      <c r="AD936" s="899"/>
      <c r="AE936" s="899"/>
      <c r="AF936" s="899"/>
      <c r="AG936" s="899"/>
      <c r="AH936" s="899"/>
      <c r="AI936" s="899"/>
      <c r="AJ936" s="899"/>
      <c r="AK936" s="899"/>
      <c r="AL936" s="899"/>
      <c r="AM936" s="899"/>
      <c r="AN936" s="899"/>
      <c r="AO936" s="899"/>
    </row>
    <row r="937">
      <c r="G937" s="899"/>
      <c r="H937" s="899"/>
      <c r="I937" s="899"/>
      <c r="J937" s="899"/>
      <c r="K937" s="899"/>
      <c r="L937" s="899"/>
      <c r="M937" s="899"/>
      <c r="N937" s="899"/>
      <c r="O937" s="899"/>
      <c r="P937" s="899"/>
      <c r="Q937" s="899"/>
      <c r="R937" s="899"/>
      <c r="S937" s="899"/>
      <c r="T937" s="899"/>
      <c r="U937" s="899"/>
      <c r="V937" s="899"/>
      <c r="W937" s="899"/>
      <c r="X937" s="899"/>
      <c r="Y937" s="899"/>
      <c r="Z937" s="899"/>
      <c r="AA937" s="899"/>
      <c r="AB937" s="899"/>
      <c r="AC937" s="899"/>
      <c r="AD937" s="899"/>
      <c r="AE937" s="899"/>
      <c r="AF937" s="899"/>
      <c r="AG937" s="899"/>
      <c r="AH937" s="899"/>
      <c r="AI937" s="899"/>
      <c r="AJ937" s="899"/>
      <c r="AK937" s="899"/>
      <c r="AL937" s="899"/>
      <c r="AM937" s="899"/>
      <c r="AN937" s="899"/>
      <c r="AO937" s="899"/>
    </row>
    <row r="938">
      <c r="G938" s="899"/>
      <c r="H938" s="899"/>
      <c r="I938" s="899"/>
      <c r="J938" s="899"/>
      <c r="K938" s="899"/>
      <c r="L938" s="899"/>
      <c r="M938" s="899"/>
      <c r="N938" s="899"/>
      <c r="O938" s="899"/>
      <c r="P938" s="899"/>
      <c r="Q938" s="899"/>
      <c r="R938" s="899"/>
      <c r="S938" s="899"/>
      <c r="T938" s="899"/>
      <c r="U938" s="899"/>
      <c r="V938" s="899"/>
      <c r="W938" s="899"/>
      <c r="X938" s="899"/>
      <c r="Y938" s="899"/>
      <c r="Z938" s="899"/>
      <c r="AA938" s="899"/>
      <c r="AB938" s="899"/>
      <c r="AC938" s="899"/>
      <c r="AD938" s="899"/>
      <c r="AE938" s="899"/>
      <c r="AF938" s="899"/>
      <c r="AG938" s="899"/>
      <c r="AH938" s="899"/>
      <c r="AI938" s="899"/>
      <c r="AJ938" s="899"/>
      <c r="AK938" s="899"/>
      <c r="AL938" s="899"/>
      <c r="AM938" s="899"/>
      <c r="AN938" s="899"/>
      <c r="AO938" s="899"/>
    </row>
    <row r="939">
      <c r="G939" s="899"/>
      <c r="H939" s="899"/>
      <c r="I939" s="899"/>
      <c r="J939" s="899"/>
      <c r="K939" s="899"/>
      <c r="L939" s="899"/>
      <c r="M939" s="899"/>
      <c r="N939" s="899"/>
      <c r="O939" s="899"/>
      <c r="P939" s="899"/>
      <c r="Q939" s="899"/>
      <c r="R939" s="899"/>
      <c r="S939" s="899"/>
      <c r="T939" s="899"/>
      <c r="U939" s="899"/>
      <c r="V939" s="899"/>
      <c r="W939" s="899"/>
      <c r="X939" s="899"/>
      <c r="Y939" s="899"/>
      <c r="Z939" s="899"/>
      <c r="AA939" s="899"/>
      <c r="AB939" s="899"/>
      <c r="AC939" s="899"/>
      <c r="AD939" s="899"/>
      <c r="AE939" s="899"/>
      <c r="AF939" s="899"/>
      <c r="AG939" s="899"/>
      <c r="AH939" s="899"/>
      <c r="AI939" s="899"/>
      <c r="AJ939" s="899"/>
      <c r="AK939" s="899"/>
      <c r="AL939" s="899"/>
      <c r="AM939" s="899"/>
      <c r="AN939" s="899"/>
      <c r="AO939" s="899"/>
    </row>
    <row r="940">
      <c r="G940" s="899"/>
      <c r="H940" s="899"/>
      <c r="I940" s="899"/>
      <c r="J940" s="899"/>
      <c r="K940" s="899"/>
      <c r="L940" s="899"/>
      <c r="M940" s="899"/>
      <c r="N940" s="899"/>
      <c r="O940" s="899"/>
      <c r="P940" s="899"/>
      <c r="Q940" s="899"/>
      <c r="R940" s="899"/>
      <c r="S940" s="899"/>
      <c r="T940" s="899"/>
      <c r="U940" s="899"/>
      <c r="V940" s="899"/>
      <c r="W940" s="899"/>
      <c r="X940" s="899"/>
      <c r="Y940" s="899"/>
      <c r="Z940" s="899"/>
      <c r="AA940" s="899"/>
      <c r="AB940" s="899"/>
      <c r="AC940" s="899"/>
      <c r="AD940" s="899"/>
      <c r="AE940" s="899"/>
      <c r="AF940" s="899"/>
      <c r="AG940" s="899"/>
      <c r="AH940" s="899"/>
      <c r="AI940" s="899"/>
      <c r="AJ940" s="899"/>
      <c r="AK940" s="899"/>
      <c r="AL940" s="899"/>
      <c r="AM940" s="899"/>
      <c r="AN940" s="899"/>
      <c r="AO940" s="899"/>
    </row>
    <row r="941">
      <c r="G941" s="899"/>
      <c r="H941" s="899"/>
      <c r="I941" s="899"/>
      <c r="J941" s="899"/>
      <c r="K941" s="899"/>
      <c r="L941" s="899"/>
      <c r="M941" s="899"/>
      <c r="N941" s="899"/>
      <c r="O941" s="899"/>
      <c r="P941" s="899"/>
      <c r="Q941" s="899"/>
      <c r="R941" s="899"/>
      <c r="S941" s="899"/>
      <c r="T941" s="899"/>
      <c r="U941" s="899"/>
      <c r="V941" s="899"/>
      <c r="W941" s="899"/>
      <c r="X941" s="899"/>
      <c r="Y941" s="899"/>
      <c r="Z941" s="899"/>
      <c r="AA941" s="899"/>
      <c r="AB941" s="899"/>
      <c r="AC941" s="899"/>
      <c r="AD941" s="899"/>
      <c r="AE941" s="899"/>
      <c r="AF941" s="899"/>
      <c r="AG941" s="899"/>
      <c r="AH941" s="899"/>
      <c r="AI941" s="899"/>
      <c r="AJ941" s="899"/>
      <c r="AK941" s="899"/>
      <c r="AL941" s="899"/>
      <c r="AM941" s="899"/>
      <c r="AN941" s="899"/>
      <c r="AO941" s="899"/>
    </row>
    <row r="942">
      <c r="G942" s="899"/>
      <c r="H942" s="899"/>
      <c r="I942" s="899"/>
      <c r="J942" s="899"/>
      <c r="K942" s="899"/>
      <c r="L942" s="899"/>
      <c r="M942" s="899"/>
      <c r="N942" s="899"/>
      <c r="O942" s="899"/>
      <c r="P942" s="899"/>
      <c r="Q942" s="899"/>
      <c r="R942" s="899"/>
      <c r="S942" s="899"/>
      <c r="T942" s="899"/>
      <c r="U942" s="899"/>
      <c r="V942" s="899"/>
      <c r="W942" s="899"/>
      <c r="X942" s="899"/>
      <c r="Y942" s="899"/>
      <c r="Z942" s="899"/>
      <c r="AA942" s="899"/>
      <c r="AB942" s="899"/>
      <c r="AC942" s="899"/>
      <c r="AD942" s="899"/>
      <c r="AE942" s="899"/>
      <c r="AF942" s="899"/>
      <c r="AG942" s="899"/>
      <c r="AH942" s="899"/>
      <c r="AI942" s="899"/>
      <c r="AJ942" s="899"/>
      <c r="AK942" s="899"/>
      <c r="AL942" s="899"/>
      <c r="AM942" s="899"/>
      <c r="AN942" s="899"/>
      <c r="AO942" s="899"/>
    </row>
    <row r="943">
      <c r="G943" s="899"/>
      <c r="H943" s="899"/>
      <c r="I943" s="899"/>
      <c r="J943" s="899"/>
      <c r="K943" s="899"/>
      <c r="L943" s="899"/>
      <c r="M943" s="899"/>
      <c r="N943" s="899"/>
      <c r="O943" s="899"/>
      <c r="P943" s="899"/>
      <c r="Q943" s="899"/>
      <c r="R943" s="899"/>
      <c r="S943" s="899"/>
      <c r="T943" s="899"/>
      <c r="U943" s="899"/>
      <c r="V943" s="899"/>
      <c r="W943" s="899"/>
      <c r="X943" s="899"/>
      <c r="Y943" s="899"/>
      <c r="Z943" s="899"/>
      <c r="AA943" s="899"/>
      <c r="AB943" s="899"/>
      <c r="AC943" s="899"/>
      <c r="AD943" s="899"/>
      <c r="AE943" s="899"/>
      <c r="AF943" s="899"/>
      <c r="AG943" s="899"/>
      <c r="AH943" s="899"/>
      <c r="AI943" s="899"/>
      <c r="AJ943" s="899"/>
      <c r="AK943" s="899"/>
      <c r="AL943" s="899"/>
      <c r="AM943" s="899"/>
      <c r="AN943" s="899"/>
      <c r="AO943" s="899"/>
    </row>
    <row r="944">
      <c r="G944" s="899"/>
      <c r="H944" s="899"/>
      <c r="I944" s="899"/>
      <c r="J944" s="899"/>
      <c r="K944" s="899"/>
      <c r="L944" s="899"/>
      <c r="M944" s="899"/>
      <c r="N944" s="899"/>
      <c r="O944" s="899"/>
      <c r="P944" s="899"/>
      <c r="Q944" s="899"/>
      <c r="R944" s="899"/>
      <c r="S944" s="899"/>
      <c r="T944" s="899"/>
      <c r="U944" s="899"/>
      <c r="V944" s="899"/>
      <c r="W944" s="899"/>
      <c r="X944" s="899"/>
      <c r="Y944" s="899"/>
      <c r="Z944" s="899"/>
      <c r="AA944" s="899"/>
      <c r="AB944" s="899"/>
      <c r="AC944" s="899"/>
      <c r="AD944" s="899"/>
      <c r="AE944" s="899"/>
      <c r="AF944" s="899"/>
      <c r="AG944" s="899"/>
      <c r="AH944" s="899"/>
      <c r="AI944" s="899"/>
      <c r="AJ944" s="899"/>
      <c r="AK944" s="899"/>
      <c r="AL944" s="899"/>
      <c r="AM944" s="899"/>
      <c r="AN944" s="899"/>
      <c r="AO944" s="899"/>
    </row>
    <row r="945">
      <c r="G945" s="899"/>
      <c r="H945" s="899"/>
      <c r="I945" s="899"/>
      <c r="J945" s="899"/>
      <c r="K945" s="899"/>
      <c r="L945" s="899"/>
      <c r="M945" s="899"/>
      <c r="N945" s="899"/>
      <c r="O945" s="899"/>
      <c r="P945" s="899"/>
      <c r="Q945" s="899"/>
      <c r="R945" s="899"/>
      <c r="S945" s="899"/>
      <c r="T945" s="899"/>
      <c r="U945" s="899"/>
      <c r="V945" s="899"/>
      <c r="W945" s="899"/>
      <c r="X945" s="899"/>
      <c r="Y945" s="899"/>
      <c r="Z945" s="899"/>
      <c r="AA945" s="899"/>
      <c r="AB945" s="899"/>
      <c r="AC945" s="899"/>
      <c r="AD945" s="899"/>
      <c r="AE945" s="899"/>
      <c r="AF945" s="899"/>
      <c r="AG945" s="899"/>
      <c r="AH945" s="899"/>
      <c r="AI945" s="899"/>
      <c r="AJ945" s="899"/>
      <c r="AK945" s="899"/>
      <c r="AL945" s="899"/>
      <c r="AM945" s="899"/>
      <c r="AN945" s="899"/>
      <c r="AO945" s="899"/>
    </row>
    <row r="946">
      <c r="G946" s="899"/>
      <c r="H946" s="899"/>
      <c r="I946" s="899"/>
      <c r="J946" s="899"/>
      <c r="K946" s="899"/>
      <c r="L946" s="899"/>
      <c r="M946" s="899"/>
      <c r="N946" s="899"/>
      <c r="O946" s="899"/>
      <c r="P946" s="899"/>
      <c r="Q946" s="899"/>
      <c r="R946" s="899"/>
      <c r="S946" s="899"/>
      <c r="T946" s="899"/>
      <c r="U946" s="899"/>
      <c r="V946" s="899"/>
      <c r="W946" s="899"/>
      <c r="X946" s="899"/>
      <c r="Y946" s="899"/>
      <c r="Z946" s="899"/>
      <c r="AA946" s="899"/>
      <c r="AB946" s="899"/>
      <c r="AC946" s="899"/>
      <c r="AD946" s="899"/>
      <c r="AE946" s="899"/>
      <c r="AF946" s="899"/>
      <c r="AG946" s="899"/>
      <c r="AH946" s="899"/>
      <c r="AI946" s="899"/>
      <c r="AJ946" s="899"/>
      <c r="AK946" s="899"/>
      <c r="AL946" s="899"/>
      <c r="AM946" s="899"/>
      <c r="AN946" s="899"/>
      <c r="AO946" s="899"/>
    </row>
    <row r="947">
      <c r="G947" s="899"/>
      <c r="H947" s="899"/>
      <c r="I947" s="899"/>
      <c r="J947" s="899"/>
      <c r="K947" s="899"/>
      <c r="L947" s="899"/>
      <c r="M947" s="899"/>
      <c r="N947" s="899"/>
      <c r="O947" s="899"/>
      <c r="P947" s="899"/>
      <c r="Q947" s="899"/>
      <c r="R947" s="899"/>
      <c r="S947" s="899"/>
      <c r="T947" s="899"/>
      <c r="U947" s="899"/>
      <c r="V947" s="899"/>
      <c r="W947" s="899"/>
      <c r="X947" s="899"/>
      <c r="Y947" s="899"/>
      <c r="Z947" s="899"/>
      <c r="AA947" s="899"/>
      <c r="AB947" s="899"/>
      <c r="AC947" s="899"/>
      <c r="AD947" s="899"/>
      <c r="AE947" s="899"/>
      <c r="AF947" s="899"/>
      <c r="AG947" s="899"/>
      <c r="AH947" s="899"/>
      <c r="AI947" s="899"/>
      <c r="AJ947" s="899"/>
      <c r="AK947" s="899"/>
      <c r="AL947" s="899"/>
      <c r="AM947" s="899"/>
      <c r="AN947" s="899"/>
      <c r="AO947" s="899"/>
    </row>
    <row r="948">
      <c r="G948" s="899"/>
      <c r="H948" s="899"/>
      <c r="I948" s="899"/>
      <c r="J948" s="899"/>
      <c r="K948" s="899"/>
      <c r="L948" s="899"/>
      <c r="M948" s="899"/>
      <c r="N948" s="899"/>
      <c r="O948" s="899"/>
      <c r="P948" s="899"/>
      <c r="Q948" s="899"/>
      <c r="R948" s="899"/>
      <c r="S948" s="899"/>
      <c r="T948" s="899"/>
      <c r="U948" s="899"/>
      <c r="V948" s="899"/>
      <c r="W948" s="899"/>
      <c r="X948" s="899"/>
      <c r="Y948" s="899"/>
      <c r="Z948" s="899"/>
      <c r="AA948" s="899"/>
      <c r="AB948" s="899"/>
      <c r="AC948" s="899"/>
      <c r="AD948" s="899"/>
      <c r="AE948" s="899"/>
      <c r="AF948" s="899"/>
      <c r="AG948" s="899"/>
      <c r="AH948" s="899"/>
      <c r="AI948" s="899"/>
      <c r="AJ948" s="899"/>
      <c r="AK948" s="899"/>
      <c r="AL948" s="899"/>
      <c r="AM948" s="899"/>
      <c r="AN948" s="899"/>
      <c r="AO948" s="899"/>
    </row>
    <row r="949">
      <c r="G949" s="899"/>
      <c r="H949" s="899"/>
      <c r="I949" s="899"/>
      <c r="J949" s="899"/>
      <c r="K949" s="899"/>
      <c r="L949" s="899"/>
      <c r="M949" s="899"/>
      <c r="N949" s="899"/>
      <c r="O949" s="899"/>
      <c r="P949" s="899"/>
      <c r="Q949" s="899"/>
      <c r="R949" s="899"/>
      <c r="S949" s="899"/>
      <c r="T949" s="899"/>
      <c r="U949" s="899"/>
      <c r="V949" s="899"/>
      <c r="W949" s="899"/>
      <c r="X949" s="899"/>
      <c r="Y949" s="899"/>
      <c r="Z949" s="899"/>
      <c r="AA949" s="899"/>
      <c r="AB949" s="899"/>
      <c r="AC949" s="899"/>
      <c r="AD949" s="899"/>
      <c r="AE949" s="899"/>
      <c r="AF949" s="899"/>
      <c r="AG949" s="899"/>
      <c r="AH949" s="899"/>
      <c r="AI949" s="899"/>
      <c r="AJ949" s="899"/>
      <c r="AK949" s="899"/>
      <c r="AL949" s="899"/>
      <c r="AM949" s="899"/>
      <c r="AN949" s="899"/>
      <c r="AO949" s="899"/>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