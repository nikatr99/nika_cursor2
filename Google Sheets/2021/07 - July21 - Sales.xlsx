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visible" name="Attribution" sheetId="2" r:id="rId6"/>
    <sheet state="visible" name="Detailed Report" sheetId="3" r:id="rId7"/>
    <sheet state="visible" name="Refunds" sheetId="4" r:id="rId8"/>
    <sheet state="visible" name="Formula" sheetId="5" r:id="rId9"/>
    <sheet state="visible" name="SupermetricsQueries" sheetId="6" r:id="rId10"/>
  </sheets>
  <definedNames>
    <definedName name="zsupermetrics_9i4W4hgd80uRpQLMeX0eRnESN8gjyv">Formula!$H$12:$H$13</definedName>
    <definedName name="zsupermetrics_ru0GDtbZzDLHQOQtJJ6K08MvUDyyp7">Formula!$G$3:$G$4</definedName>
    <definedName name="zsupermetrics_lx4cNai7gT6tH4j08ZRkI21Qlpjioi">Formula!$G$3:$H$4</definedName>
    <definedName name="zsupermetrics_refreshAll">SupermetricsQueries!$H$5</definedName>
    <definedName name="zsupermetrics_8xojRjNDjo2jWHGDWjFEhflhyIq3Hq">Sales!$K$7:$K$8</definedName>
    <definedName name="zsupermetrics_n3GtLgiKpTmd2pYmQNMuq6TPD0qE0b">Formula!$G$3:$G$4</definedName>
    <definedName name="zsupermetrics_OI1SHh9RTAzpmZ8JDWgszLojYv8Hv4">Formula!$F$3:$G$4</definedName>
    <definedName name="zsupermetrics_refreshAllSilent">SupermetricsQueries!$H$6</definedName>
    <definedName name="zsupermetrics_qWp7V908pNEYMtfv8QZvSTeDnBAHOU">Formula!$G$4:$H$5</definedName>
    <definedName name="zsupermetrics_forceRefresh">SupermetricsQueries!$H$4</definedName>
    <definedName name="zsupermetrics_HgZqhorObHOtZHuyJjpmyYaEPoYntx">Formula!$G$3:$G$4</definedName>
    <definedName name="zsupermetrics_YsFuuYtr8vOdNXCCPiFJIO38NP4b2T">Formula!$G$3:$H$4</definedName>
    <definedName name="zsupermetrics_DQl8lUbpTRu3fayaJJi7lVfOGKjNU4">Formula!$F$2:$F$3</definedName>
    <definedName name="zsupermetrics_4VkB7ij7WO0JjKBEgvjB2GHjSy2Egm">Formula!$G$3:$H$4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<sst xmlns="http://schemas.openxmlformats.org/spreadsheetml/2006/main" count="851" uniqueCount="362">
  <si>
    <t>Signal Loss</t>
  </si>
  <si>
    <t>MESEC</t>
  </si>
  <si>
    <t>Date</t>
  </si>
  <si>
    <t>Order ID</t>
  </si>
  <si>
    <t>Name</t>
  </si>
  <si>
    <t>Email</t>
  </si>
  <si>
    <t>Value</t>
  </si>
  <si>
    <t>Reason</t>
  </si>
  <si>
    <t>Platform</t>
  </si>
  <si>
    <t>Number</t>
  </si>
  <si>
    <t>#6121</t>
  </si>
  <si>
    <t>AJ Kratt</t>
  </si>
  <si>
    <t>ajkratt@icloud.com</t>
  </si>
  <si>
    <t>Delivery date</t>
  </si>
  <si>
    <t>Shopify</t>
  </si>
  <si>
    <t>Delivery Date</t>
  </si>
  <si>
    <t>Skupaj</t>
  </si>
  <si>
    <t>DAN</t>
  </si>
  <si>
    <t>ČET</t>
  </si>
  <si>
    <t>PET</t>
  </si>
  <si>
    <t>SOB</t>
  </si>
  <si>
    <t>NED</t>
  </si>
  <si>
    <t>PON</t>
  </si>
  <si>
    <t>TOR</t>
  </si>
  <si>
    <t>SRE</t>
  </si>
  <si>
    <t>FRI</t>
  </si>
  <si>
    <t>#3795</t>
  </si>
  <si>
    <t>Marisol Plazas</t>
  </si>
  <si>
    <t>marisolcplazas@gmail.com</t>
  </si>
  <si>
    <t>SAT</t>
  </si>
  <si>
    <t>Cannot afford it anymore</t>
  </si>
  <si>
    <t>SUN</t>
  </si>
  <si>
    <t>Cannot Afford it Anymore</t>
  </si>
  <si>
    <t>MON</t>
  </si>
  <si>
    <t>TUE</t>
  </si>
  <si>
    <t>WED</t>
  </si>
  <si>
    <t>THU</t>
  </si>
  <si>
    <t>#7605</t>
  </si>
  <si>
    <t>Ciera Dillard</t>
  </si>
  <si>
    <t>dillardeevee@gmail.com</t>
  </si>
  <si>
    <t>KOMENTAR</t>
  </si>
  <si>
    <t>Moving</t>
  </si>
  <si>
    <t>#1464</t>
  </si>
  <si>
    <t>Laurence Humphreys-Davies</t>
  </si>
  <si>
    <t>laurence@humphreysdavies.co.uk</t>
  </si>
  <si>
    <t>Refund and order another Bundle</t>
  </si>
  <si>
    <t>FB Orders (Shopify + IGG)</t>
  </si>
  <si>
    <t>#2942</t>
  </si>
  <si>
    <t>Laramee John</t>
  </si>
  <si>
    <t>johnlaramee@me.com</t>
  </si>
  <si>
    <t>Transakcije</t>
  </si>
  <si>
    <t>Unknown</t>
  </si>
  <si>
    <t>#11544</t>
  </si>
  <si>
    <t>Donna Christensen</t>
  </si>
  <si>
    <t>dnattyr@gmail.com</t>
  </si>
  <si>
    <t>Other</t>
  </si>
  <si>
    <t>Google (MuteSIX)</t>
  </si>
  <si>
    <t>#12132</t>
  </si>
  <si>
    <t>Nicklas Ansman Giertz</t>
  </si>
  <si>
    <t>nicklas@ansman.se</t>
  </si>
  <si>
    <t>All</t>
  </si>
  <si>
    <t>All Orders (Shopify + IGG)</t>
  </si>
  <si>
    <t>#2922</t>
  </si>
  <si>
    <t>Aiden Beard</t>
  </si>
  <si>
    <t>canaidenb@gmail.com</t>
  </si>
  <si>
    <t>#10529</t>
  </si>
  <si>
    <t>Martin Tödtling</t>
  </si>
  <si>
    <t>martin@xn--tdtling-90a.com</t>
  </si>
  <si>
    <t>#12240</t>
  </si>
  <si>
    <t>Patricia Osterhouse</t>
  </si>
  <si>
    <t>trisho831@gmail.com</t>
  </si>
  <si>
    <t>Orders</t>
  </si>
  <si>
    <t>FB (IGG Digital Team)</t>
  </si>
  <si>
    <t>#7011</t>
  </si>
  <si>
    <t>Rachel Shelton</t>
  </si>
  <si>
    <t>% Attributed to FB (Ads Manager)</t>
  </si>
  <si>
    <t>racheldshelton@yahoo.com</t>
  </si>
  <si>
    <t>#4340</t>
  </si>
  <si>
    <t>Carol Mecham</t>
  </si>
  <si>
    <t>cnmmecham@gmail.com</t>
  </si>
  <si>
    <t>#7788</t>
  </si>
  <si>
    <t>Cynthia Bannon</t>
  </si>
  <si>
    <t>cindy@salomonrealty.com</t>
  </si>
  <si>
    <t>Refund %</t>
  </si>
  <si>
    <t>FB (Backerkit)</t>
  </si>
  <si>
    <t>#12355</t>
  </si>
  <si>
    <t>Becky Fenwick</t>
  </si>
  <si>
    <t>rgfenstick@gmail.com</t>
  </si>
  <si>
    <t>#12294</t>
  </si>
  <si>
    <t>Donna Goodwin</t>
  </si>
  <si>
    <t>donnacgoodwin1@gmail.com</t>
  </si>
  <si>
    <t>Indiegogo</t>
  </si>
  <si>
    <t>#12259</t>
  </si>
  <si>
    <t>Gregg Mitchell</t>
  </si>
  <si>
    <t>greggmitch1@att.net</t>
  </si>
  <si>
    <t>13/10/2021</t>
  </si>
  <si>
    <t>#4671</t>
  </si>
  <si>
    <t>Belinda Moisan</t>
  </si>
  <si>
    <t>FB (Internal Paid)</t>
  </si>
  <si>
    <t>bsmoisan@gmail.com</t>
  </si>
  <si>
    <t>#820</t>
  </si>
  <si>
    <t>Kieran Bohan</t>
  </si>
  <si>
    <t>kieran.bohan@yahoo.co.uk</t>
  </si>
  <si>
    <t>Kickstarter</t>
  </si>
  <si>
    <t>#12258</t>
  </si>
  <si>
    <t>Alisa Ruot</t>
  </si>
  <si>
    <t>rosieruot@gmail.com</t>
  </si>
  <si>
    <t>Waiting for customer's response</t>
  </si>
  <si>
    <t xml:space="preserve">       14/10/2021</t>
  </si>
  <si>
    <t>#1614</t>
  </si>
  <si>
    <t>Jody Thoennes</t>
  </si>
  <si>
    <t>jody.thoennes@gmail.com</t>
  </si>
  <si>
    <t>FB (US &amp; CA)</t>
  </si>
  <si>
    <t>FB (EU &amp; UK)</t>
  </si>
  <si>
    <t>Attribution</t>
  </si>
  <si>
    <t>All Countries</t>
  </si>
  <si>
    <t>Notes</t>
  </si>
  <si>
    <t>Bing Microsoft</t>
  </si>
  <si>
    <t>Jellop</t>
  </si>
  <si>
    <t>IGG</t>
  </si>
  <si>
    <t>Scarcity November 2021</t>
  </si>
  <si>
    <t>FB Orders (Shopify)</t>
  </si>
  <si>
    <t>Pinterest</t>
  </si>
  <si>
    <t>GA (UTM: fb-paid) Orders (Shopify)</t>
  </si>
  <si>
    <t>FB (SF Time)</t>
  </si>
  <si>
    <t>% difference</t>
  </si>
  <si>
    <t>Social Orders (Shopify)</t>
  </si>
  <si>
    <t>Prihodek</t>
  </si>
  <si>
    <t>FB - US and CA</t>
  </si>
  <si>
    <t>EUR</t>
  </si>
  <si>
    <t>USD</t>
  </si>
  <si>
    <t>Fetch date</t>
  </si>
  <si>
    <t>Total sales</t>
  </si>
  <si>
    <t>CR</t>
  </si>
  <si>
    <t>Weighted average</t>
  </si>
  <si>
    <t>AOV</t>
  </si>
  <si>
    <t>PP Survey (FB) Orders</t>
  </si>
  <si>
    <t>PP Survey (FB) Orders Modeled #1</t>
  </si>
  <si>
    <t>PP Survey (FB) Orders Modeled #2</t>
  </si>
  <si>
    <t>Response Rate</t>
  </si>
  <si>
    <t>$ -</t>
  </si>
  <si>
    <t>Odhodek</t>
  </si>
  <si>
    <t>Google Spend (MuteSIX)</t>
  </si>
  <si>
    <t>Total Revenue</t>
  </si>
  <si>
    <t>Shopify (All)</t>
  </si>
  <si>
    <t>Provizija 15% Spend (MuteSIX) / $3,500</t>
  </si>
  <si>
    <t>GA (Shopify)</t>
  </si>
  <si>
    <t>FB Spend (IGG Digital Team)</t>
  </si>
  <si>
    <t>Provizija 13% Purchase (IGG Digital Team)</t>
  </si>
  <si>
    <t>PP Survey (All) Order Views</t>
  </si>
  <si>
    <t>FB Spend (Backerkit)</t>
  </si>
  <si>
    <t>Google - WW</t>
  </si>
  <si>
    <t>Provizija 15% Purchase (Backerkit)</t>
  </si>
  <si>
    <t>FB Spend (Internal Paid)</t>
  </si>
  <si>
    <t>FB Spend (US &amp; CA)</t>
  </si>
  <si>
    <t>Bing Microsoft Spend</t>
  </si>
  <si>
    <t>Pinterest Spend</t>
  </si>
  <si>
    <t>FB - Internal Paid</t>
  </si>
  <si>
    <t>FB - US &amp; CA</t>
  </si>
  <si>
    <t>FB Spend (SF Time)</t>
  </si>
  <si>
    <t>FB Spend (EU &amp; UK)</t>
  </si>
  <si>
    <t>Bing - WW</t>
  </si>
  <si>
    <t>Platform Fee (6,90%)</t>
  </si>
  <si>
    <t>Total Spend</t>
  </si>
  <si>
    <t>Processing Fee (2,6%)</t>
  </si>
  <si>
    <t>Transaction Fee ($0.3)</t>
  </si>
  <si>
    <t>ROAS</t>
  </si>
  <si>
    <t>CAC</t>
  </si>
  <si>
    <t>Stroški</t>
  </si>
  <si>
    <t>Strošek BB ($86.58)</t>
  </si>
  <si>
    <t>Post-purchase Survey</t>
  </si>
  <si>
    <t>Facebook / Instagram</t>
  </si>
  <si>
    <t>Friends / Family</t>
  </si>
  <si>
    <t>Poštnina ($10)</t>
  </si>
  <si>
    <t>Google, Yahoo, Bing</t>
  </si>
  <si>
    <t>TikTok</t>
  </si>
  <si>
    <t>TV / Radio</t>
  </si>
  <si>
    <t>Delni dobiček</t>
  </si>
  <si>
    <t>Blog / Article</t>
  </si>
  <si>
    <t>Revenue</t>
  </si>
  <si>
    <t>Spend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</si>
  <si>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</si>
  <si>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</si>
  <si>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</si>
  <si>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</si>
  <si>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</si>
  <si>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</si>
  <si>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</si>
  <si>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</si>
  <si>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</si>
  <si>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</si>
  <si>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Performance MuteSIX (Google)</t>
  </si>
  <si>
    <t>Sheet name</t>
  </si>
  <si>
    <t>Range address</t>
  </si>
  <si>
    <t>Created</t>
  </si>
  <si>
    <t>Updated</t>
  </si>
  <si>
    <t>Facebook</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</si>
  <si>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</si>
  <si>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</si>
  <si>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</si>
  <si>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</si>
  <si>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</si>
  <si>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</si>
  <si>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</si>
  <si>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</si>
  <si>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</si>
  <si>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</si>
  <si>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</si>
  <si>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</si>
  <si>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</si>
  <si>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</si>
  <si>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</si>
  <si>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</si>
  <si>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</si>
  <si>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</si>
  <si>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</si>
  <si>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</si>
  <si>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</si>
  <si>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</si>
  <si>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</si>
  <si>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</si>
  <si>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</si>
  <si>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</si>
  <si>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</si>
  <si>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</si>
  <si>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</si>
  <si>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</si>
  <si>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</si>
  <si>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</si>
  <si>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</si>
  <si>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</si>
  <si>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</si>
  <si>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</si>
  <si>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</si>
  <si>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</si>
  <si>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</si>
  <si>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</si>
  <si>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</si>
  <si>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</si>
  <si>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</si>
  <si>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</si>
  <si>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</si>
  <si>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</si>
  <si>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</si>
  <si>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</si>
  <si>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</si>
  <si>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</si>
  <si>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</si>
  <si>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</si>
  <si>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</si>
  <si>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</si>
  <si>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</si>
  <si>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</si>
  <si>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</si>
  <si>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</si>
  <si>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</si>
  <si>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</si>
  <si>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</si>
  <si>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</si>
  <si>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</si>
  <si>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</si>
  <si>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</si>
  <si>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</si>
  <si>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</si>
  <si>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</si>
  <si>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</si>
  <si>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</si>
  <si>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</si>
  <si>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</si>
  <si>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</si>
  <si>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</si>
  <si>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9i4W4hgd80uRpQLMeX0eRnESN8gjyv</t>
  </si>
  <si>
    <t>FB ROAS</t>
  </si>
  <si>
    <t>Created successfully</t>
  </si>
  <si>
    <t>TABLE</t>
  </si>
  <si>
    <t>SHP</t>
  </si>
  <si>
    <t>today</t>
  </si>
  <si>
    <t>["gid://shopify/Shop/55807180983`Bird Buddy"]</t>
  </si>
  <si>
    <t>["total_sales"]</t>
  </si>
  <si>
    <t>[]</t>
  </si>
  <si>
    <t>[{"field":"order_utm_name","operator":"=@","value":"US","combineToPrev":";"}]</t>
  </si>
  <si>
    <t>{}</t>
  </si>
  <si>
    <t>FB CPO</t>
  </si>
  <si>
    <t>Formula'!H12:H13</t>
  </si>
  <si>
    <t>gid://shopify/Shop/55807180983</t>
  </si>
  <si>
    <t>DQl8lUbpTRu3fayaJJi7lVfOGKjNU4</t>
  </si>
  <si>
    <t>yesterday</t>
  </si>
  <si>
    <t>Formula'!F2:F3</t>
  </si>
  <si>
    <t>MER</t>
  </si>
  <si>
    <t>n3GtLgiKpTmd2pYmQNMuq6TPD0qE0b</t>
  </si>
  <si>
    <t>Formula'!G3:G4</t>
  </si>
  <si>
    <t>qWp7V908pNEYMtfv8QZvSTeDnBAHOU</t>
  </si>
  <si>
    <t>Refreshed successfully</t>
  </si>
  <si>
    <t>Performance IGG Digital Team</t>
  </si>
  <si>
    <t>["APPEND_RESULTS"]</t>
  </si>
  <si>
    <t>Formula'!G4:H5</t>
  </si>
  <si>
    <t>lx4cNai7gT6tH4j08ZRkI21Qlpjioi</t>
  </si>
  <si>
    <t>Formula'!G3:H4</t>
  </si>
  <si>
    <t>4VkB7ij7WO0JjKBEgvjB2GHjSy2Egm</t>
  </si>
  <si>
    <t>HgZqhorObHOtZHuyJjpmyYaEPoYntx</t>
  </si>
  <si>
    <t>ru0GDtbZzDLHQOQtJJ6K08MvUDyyp7</t>
  </si>
  <si>
    <t>YsFuuYtr8vOdNXCCPiFJIO38NP4b2T</t>
  </si>
  <si>
    <t>OI1SHh9RTAzpmZ8JDWgszLojYv8Hv4</t>
  </si>
  <si>
    <t>Performance Backerkit</t>
  </si>
  <si>
    <t>Formula'!F3:G4</t>
  </si>
  <si>
    <t>Performance Internal Paid</t>
  </si>
  <si>
    <t>Performance US &amp; CA</t>
  </si>
  <si>
    <t>Performance SC Time</t>
  </si>
  <si>
    <t>Performance EU &amp; UK</t>
  </si>
  <si>
    <t>Performance Microsoft</t>
  </si>
  <si>
    <t>Performance Pinterest</t>
  </si>
  <si>
    <t>Revenue IGG (GA)</t>
  </si>
  <si>
    <t>Revenue Shopify (Platform)</t>
  </si>
  <si>
    <t>Revenue - All</t>
  </si>
  <si>
    <t>Transactions</t>
  </si>
  <si>
    <t>Transactions IGG (GA)</t>
  </si>
  <si>
    <t>Transactions Shopify (Platform)</t>
  </si>
  <si>
    <t>Transactions - All</t>
  </si>
  <si>
    <t>Indiegogo Platform</t>
  </si>
  <si>
    <t>Revenue IGG</t>
  </si>
  <si>
    <t>Shipping IGG</t>
  </si>
  <si>
    <t>Skupaj IGG</t>
  </si>
  <si>
    <t>Razlika med reportingom</t>
  </si>
  <si>
    <t>Transactions IGG (Platform)</t>
  </si>
  <si>
    <t>Shopify Platform</t>
  </si>
  <si>
    <t>Revenue Shopify (gross)</t>
  </si>
  <si>
    <t>Shipping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</si>
  <si>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</si>
  <si>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</si>
  <si>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</si>
  <si>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</si>
  <si>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</si>
  <si>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</si>
  <si>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</si>
  <si>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</si>
  <si>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</si>
  <si>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</si>
  <si>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</si>
  <si>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</si>
  <si>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</si>
  <si>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</si>
  <si>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Platform Fee (6%)</t>
  </si>
  <si>
    <t>Poštnina (IGG)</t>
  </si>
  <si>
    <t>Poštnina (Shopify)</t>
  </si>
  <si>
    <t>Solar Roof (8.93$)</t>
  </si>
  <si>
    <t>Fence Mount ($7)</t>
  </si>
  <si>
    <t>Wall Mount ($3.29)</t>
  </si>
  <si>
    <t>Suet Ball (0.45$)</t>
  </si>
  <si>
    <t>Shopify Refunds</t>
  </si>
  <si>
    <t>Sales Tax (5%)</t>
  </si>
  <si>
    <t>Daily MER</t>
  </si>
  <si>
    <t>Daily ROAS</t>
  </si>
  <si>
    <t>Formula Google</t>
  </si>
  <si>
    <t>Strošek naprave ($85)</t>
  </si>
  <si>
    <t>Formula IGG Digital Team</t>
  </si>
  <si>
    <t>Formula IGG Backerkit</t>
  </si>
  <si>
    <t>Formula Internal Paid</t>
  </si>
  <si>
    <t>Formula US &amp; CA</t>
  </si>
  <si>
    <t>Formula SF Time</t>
  </si>
  <si>
    <t>Formula EU &amp; UK</t>
  </si>
  <si>
    <t>Formula Microsoft</t>
  </si>
  <si>
    <t>Formula Pinterest</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</si>
</sst>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
    <numFmt numFmtId="165" formatCode="d\-mmm"/>
    <numFmt numFmtId="166" formatCode="m/d/yyyy"/>
    <numFmt numFmtId="167" formatCode="&quot;$&quot;#,##0"/>
    <numFmt numFmtId="168" formatCode="_-[$$-409]* #,##0.00_ ;_-[$$-409]* \-#,##0.00\ ;_-[$$-409]* &quot;-&quot;??_ ;_-@_ "/>
    <numFmt numFmtId="169" formatCode="yyyy-mm-dd"/>
    <numFmt numFmtId="170" formatCode="M/d/yyyy"/>
    <numFmt numFmtId="171" formatCode="&quot;$&quot;#,##0.00"/>
    <numFmt numFmtId="172" formatCode="_-&quot;€&quot;* #,##0.00_-;\-&quot;€&quot;* #,##0.00_-;_-&quot;€&quot;* &quot;-&quot;??_-;_-@"/>
    <numFmt numFmtId="173" formatCode="mmm yyyy"/>
    <numFmt numFmtId="174" formatCode="yyyy-mm-dd h:mm:ss"/>
    <numFmt numFmtId="175" formatCode="_-[$€-2]\ * #,##0.00_-;\-[$€-2]\ * #,##0.00_-;_-[$€-2]\ * &quot;-&quot;??_-;_-@"/>
    <numFmt numFmtId="176" formatCode="_([$€-2]\ * #,##0.00_);_([$€-2]\ * \(#,##0.00\);_([$€-2]\ * &quot;-&quot;??_);_(@_)"/>
  </numFmts>
  <fonts count="34">
    <font>
      <sz val="10.0"/>
      <color rgb="FF000000"/>
      <name val="Arial"/>
      <scheme val="minor"/>
    </font>
    <font>
      <color theme="1"/>
      <name val="Arial"/>
    </font>
    <font>
      <sz val="12.0"/>
      <color rgb="FFFFFFFF"/>
      <name val="Calibri"/>
    </font>
    <font>
      <b/>
      <color theme="1"/>
      <name val="Nunito"/>
    </font>
    <font>
      <color rgb="FFFFFFFF"/>
      <name val="Nunito"/>
    </font>
    <font>
      <color theme="1"/>
      <name val="Nunito"/>
    </font>
    <font>
      <sz val="12.0"/>
      <color theme="1"/>
      <name val="Calibri"/>
    </font>
    <font>
      <color theme="1"/>
      <name val="Arial"/>
      <scheme val="minor"/>
    </font>
    <font>
      <b/>
      <i/>
      <sz val="12.0"/>
      <color theme="1"/>
      <name val="Calibri"/>
    </font>
    <font>
      <color theme="1"/>
      <name val="Docs-Nunito"/>
    </font>
    <font>
      <i/>
      <color theme="1"/>
      <name val="Nunito"/>
    </font>
    <font>
      <sz val="12.0"/>
      <color theme="1"/>
      <name val="Arial"/>
    </font>
    <font>
      <b/>
      <sz val="12.0"/>
      <color theme="1"/>
      <name val="Calibri"/>
    </font>
    <font>
      <color rgb="FFFFFFFF"/>
      <name val="Arial"/>
      <scheme val="minor"/>
    </font>
    <font>
      <i/>
      <sz val="12.0"/>
      <color theme="1"/>
      <name val="Calibri"/>
    </font>
    <font>
      <color rgb="FFB7B7B7"/>
      <name val="Arial"/>
    </font>
    <font>
      <color rgb="FFB7B7B7"/>
      <name val="Arial"/>
      <scheme val="minor"/>
    </font>
    <font>
      <color rgb="FFFFFFFF"/>
      <name val="Arial"/>
    </font>
    <font>
      <sz val="12.0"/>
      <color rgb="FF006100"/>
      <name val="Calibri"/>
    </font>
    <font>
      <sz val="12.0"/>
      <color rgb="FF9C0006"/>
      <name val="Calibri"/>
    </font>
    <font>
      <b/>
      <sz val="20.0"/>
      <color theme="1"/>
      <name val="Arial"/>
      <scheme val="minor"/>
    </font>
    <font>
      <color rgb="FFEEEEEE"/>
      <name val="Arial"/>
      <scheme val="minor"/>
    </font>
    <font>
      <b/>
      <color theme="1"/>
      <name val="Arial"/>
      <scheme val="minor"/>
    </font>
    <font>
      <i/>
      <sz val="12.0"/>
      <color rgb="FF006100"/>
      <name val="Calibri"/>
    </font>
    <font>
      <color rgb="FF000000"/>
      <name val="Arial"/>
      <scheme val="minor"/>
    </font>
    <font>
      <color rgb="FF008000"/>
      <name val="Arial"/>
      <scheme val="minor"/>
    </font>
    <font>
      <sz val="12.0"/>
      <color rgb="FF999999"/>
      <name val="Calibri"/>
    </font>
    <font>
      <sz val="12.0"/>
      <color rgb="FFA5A5A5"/>
      <name val="Calibri"/>
    </font>
    <font>
      <i/>
      <sz val="12.0"/>
      <color rgb="FF9C0006"/>
      <name val="Calibri"/>
    </font>
    <font>
      <sz val="11.0"/>
      <color theme="1"/>
      <name val="Arial"/>
    </font>
    <font>
      <sz val="11.0"/>
      <color theme="1"/>
      <name val="Calibri"/>
    </font>
    <font>
      <b/>
      <sz val="11.0"/>
      <color rgb="FF202223"/>
      <name val="-apple-system"/>
    </font>
    <font>
      <sz val="12.0"/>
      <color rgb="FFAEABAB"/>
      <name val="Calibri"/>
    </font>
    <font>
      <sz val="12.0"/>
      <color rgb="FFBFBFBF"/>
      <name val="Calibri"/>
    </font>
  </fonts>
  <fills count="128">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4A86E8"/>
        <bgColor rgb="FF4A86E8"/>
      </patternFill>
    </fill>
    <fill>
      <patternFill patternType="solid">
        <fgColor rgb="FFA4C2F4"/>
        <bgColor rgb="FFA4C2F4"/>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A8D08D"/>
        <bgColor rgb="FFA8D08D"/>
      </patternFill>
    </fill>
    <fill>
      <patternFill patternType="solid">
        <fgColor rgb="FF666666"/>
        <bgColor rgb="FF666666"/>
      </patternFill>
    </fill>
    <fill>
      <patternFill patternType="solid">
        <fgColor rgb="FFD9EAD3"/>
        <bgColor rgb="FFD9EAD3"/>
      </patternFill>
    </fill>
    <fill>
      <patternFill patternType="solid">
        <fgColor rgb="FFB7B7B7"/>
        <bgColor rgb="FFB7B7B7"/>
      </patternFill>
    </fill>
    <fill>
      <patternFill patternType="solid">
        <fgColor rgb="FF6D9EEB"/>
        <bgColor rgb="FF6D9EEB"/>
      </patternFill>
    </fill>
    <fill>
      <patternFill patternType="solid">
        <fgColor rgb="FFF9CB9C"/>
        <bgColor rgb="FFF9CB9C"/>
      </patternFill>
    </fill>
    <fill>
      <patternFill patternType="solid">
        <fgColor rgb="FFFF7E79"/>
        <bgColor rgb="FFFF7E79"/>
      </patternFill>
    </fill>
    <fill>
      <patternFill patternType="solid">
        <fgColor rgb="FFB6D7A8"/>
        <bgColor rgb="FFB6D7A8"/>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
      <patternFill patternType="solid">
        <fgColor rgb="FFBFBFBF"/>
        <bgColor rgb="FFBFBFBF"/>
      </patternFill>
    </fill>
    <fill>
      <patternFill patternType="solid">
        <fgColor rgb="FFC9DAF8"/>
        <bgColor rgb="FFC9DAF8"/>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7E1CD"/>
        <bgColor rgb="FFB7E1CD"/>
      </patternFill>
    </fill>
    <fill>
      <patternFill patternType="solid">
        <fgColor rgb="FFEA9999"/>
        <bgColor rgb="FFEA9999"/>
      </patternFill>
    </fill>
    <fill>
      <patternFill patternType="solid">
        <fgColor rgb="FFFFE598"/>
        <bgColor rgb="FFFFE598"/>
      </patternFill>
    </fill>
    <fill>
      <patternFill patternType="solid">
        <fgColor rgb="FFFCF6F9"/>
        <bgColor rgb="FFFCF6F9"/>
      </patternFill>
    </fill>
    <fill>
      <patternFill patternType="solid">
        <fgColor rgb="FFFCEDF0"/>
        <bgColor rgb="FFFCEDF0"/>
      </patternFill>
    </fill>
    <fill>
      <patternFill patternType="solid">
        <fgColor rgb="FFFCF0F3"/>
        <bgColor rgb="FFFCF0F3"/>
      </patternFill>
    </fill>
    <fill>
      <patternFill patternType="solid">
        <fgColor rgb="FFFCE9EC"/>
        <bgColor rgb="FFFCE9EC"/>
      </patternFill>
    </fill>
    <fill>
      <patternFill patternType="solid">
        <fgColor rgb="FFFCEFF2"/>
        <bgColor rgb="FFFCEFF2"/>
      </patternFill>
    </fill>
    <fill>
      <patternFill patternType="solid">
        <fgColor rgb="FFFCFBFE"/>
        <bgColor rgb="FFFCFBFE"/>
      </patternFill>
    </fill>
    <fill>
      <patternFill patternType="solid">
        <fgColor rgb="FFFCFCFF"/>
        <bgColor rgb="FFFCFCFF"/>
      </patternFill>
    </fill>
    <fill>
      <patternFill patternType="solid">
        <fgColor rgb="FFFCECEF"/>
        <bgColor rgb="FFFCECEF"/>
      </patternFill>
    </fill>
    <fill>
      <patternFill patternType="solid">
        <fgColor rgb="FFFCE7EA"/>
        <bgColor rgb="FFFCE7EA"/>
      </patternFill>
    </fill>
    <fill>
      <patternFill patternType="solid">
        <fgColor rgb="FFFCEBEE"/>
        <bgColor rgb="FFFCEBEE"/>
      </patternFill>
    </fill>
    <fill>
      <patternFill patternType="solid">
        <fgColor rgb="FFFCE5E7"/>
        <bgColor rgb="FFFCE5E7"/>
      </patternFill>
    </fill>
    <fill>
      <patternFill patternType="solid">
        <fgColor rgb="FFFBC9CB"/>
        <bgColor rgb="FFFBC9CB"/>
      </patternFill>
    </fill>
    <fill>
      <patternFill patternType="solid">
        <fgColor rgb="FFFBC3C5"/>
        <bgColor rgb="FFFBC3C5"/>
      </patternFill>
    </fill>
    <fill>
      <patternFill patternType="solid">
        <fgColor rgb="FFFBB7BA"/>
        <bgColor rgb="FFFBB7BA"/>
      </patternFill>
    </fill>
    <fill>
      <patternFill patternType="solid">
        <fgColor rgb="FFFBB6B8"/>
        <bgColor rgb="FFFBB6B8"/>
      </patternFill>
    </fill>
    <fill>
      <patternFill patternType="solid">
        <fgColor rgb="FFFBBCBF"/>
        <bgColor rgb="FFFBBCBF"/>
      </patternFill>
    </fill>
    <fill>
      <patternFill patternType="solid">
        <fgColor rgb="FFFBCBCE"/>
        <bgColor rgb="FFFBCBCE"/>
      </patternFill>
    </fill>
    <fill>
      <patternFill patternType="solid">
        <fgColor rgb="FFFBC5C7"/>
        <bgColor rgb="FFFBC5C7"/>
      </patternFill>
    </fill>
    <fill>
      <patternFill patternType="solid">
        <fgColor rgb="FFFAACAE"/>
        <bgColor rgb="FFFAACAE"/>
      </patternFill>
    </fill>
    <fill>
      <patternFill patternType="solid">
        <fgColor rgb="FFFA979A"/>
        <bgColor rgb="FFFA979A"/>
      </patternFill>
    </fill>
    <fill>
      <patternFill patternType="solid">
        <fgColor rgb="FFF98B8D"/>
        <bgColor rgb="FFF98B8D"/>
      </patternFill>
    </fill>
    <fill>
      <patternFill patternType="solid">
        <fgColor rgb="FFF98385"/>
        <bgColor rgb="FFF98385"/>
      </patternFill>
    </fill>
    <fill>
      <patternFill patternType="solid">
        <fgColor rgb="FFF8696B"/>
        <bgColor rgb="FFF8696B"/>
      </patternFill>
    </fill>
    <fill>
      <patternFill patternType="solid">
        <fgColor rgb="FFFA9C9F"/>
        <bgColor rgb="FFFA9C9F"/>
      </patternFill>
    </fill>
    <fill>
      <patternFill patternType="solid">
        <fgColor rgb="FFFBCCCF"/>
        <bgColor rgb="FFFBCCCF"/>
      </patternFill>
    </fill>
    <fill>
      <patternFill patternType="solid">
        <fgColor rgb="FFFBCFD1"/>
        <bgColor rgb="FFFBCFD1"/>
      </patternFill>
    </fill>
    <fill>
      <patternFill patternType="solid">
        <fgColor rgb="FFFCF2F5"/>
        <bgColor rgb="FFFCF2F5"/>
      </patternFill>
    </fill>
    <fill>
      <patternFill patternType="solid">
        <fgColor rgb="FFDADADA"/>
        <bgColor rgb="FFDADADA"/>
      </patternFill>
    </fill>
    <fill>
      <patternFill patternType="solid">
        <fgColor rgb="FF82CB95"/>
        <bgColor rgb="FF82CB95"/>
      </patternFill>
    </fill>
    <fill>
      <patternFill patternType="solid">
        <fgColor rgb="FF7FCA93"/>
        <bgColor rgb="FF7FCA93"/>
      </patternFill>
    </fill>
    <fill>
      <patternFill patternType="solid">
        <fgColor rgb="FF7AC88F"/>
        <bgColor rgb="FF7AC88F"/>
      </patternFill>
    </fill>
    <fill>
      <patternFill patternType="solid">
        <fgColor rgb="FF96D3A7"/>
        <bgColor rgb="FF96D3A7"/>
      </patternFill>
    </fill>
    <fill>
      <patternFill patternType="solid">
        <fgColor rgb="FF97D3A8"/>
        <bgColor rgb="FF97D3A8"/>
      </patternFill>
    </fill>
    <fill>
      <patternFill patternType="solid">
        <fgColor rgb="FF8DCF9F"/>
        <bgColor rgb="FF8DCF9F"/>
      </patternFill>
    </fill>
    <fill>
      <patternFill patternType="solid">
        <fgColor rgb="FFCBE8D5"/>
        <bgColor rgb="FFCBE8D5"/>
      </patternFill>
    </fill>
    <fill>
      <patternFill patternType="solid">
        <fgColor rgb="FFAFDDBC"/>
        <bgColor rgb="FFAFDDBC"/>
      </patternFill>
    </fill>
    <fill>
      <patternFill patternType="solid">
        <fgColor rgb="FFA1D7B1"/>
        <bgColor rgb="FFA1D7B1"/>
      </patternFill>
    </fill>
    <fill>
      <patternFill patternType="solid">
        <fgColor rgb="FF91D1A2"/>
        <bgColor rgb="FF91D1A2"/>
      </patternFill>
    </fill>
    <fill>
      <patternFill patternType="solid">
        <fgColor rgb="FF93D2A4"/>
        <bgColor rgb="FF93D2A4"/>
      </patternFill>
    </fill>
    <fill>
      <patternFill patternType="solid">
        <fgColor rgb="FF91D1A3"/>
        <bgColor rgb="FF91D1A3"/>
      </patternFill>
    </fill>
    <fill>
      <patternFill patternType="solid">
        <fgColor rgb="FFA6D9B5"/>
        <bgColor rgb="FFA6D9B5"/>
      </patternFill>
    </fill>
    <fill>
      <patternFill patternType="solid">
        <fgColor rgb="FF89CE9C"/>
        <bgColor rgb="FF89CE9C"/>
      </patternFill>
    </fill>
    <fill>
      <patternFill patternType="solid">
        <fgColor rgb="FF78C78D"/>
        <bgColor rgb="FF78C78D"/>
      </patternFill>
    </fill>
    <fill>
      <patternFill patternType="solid">
        <fgColor rgb="FF84CC98"/>
        <bgColor rgb="FF84CC98"/>
      </patternFill>
    </fill>
    <fill>
      <patternFill patternType="solid">
        <fgColor rgb="FF77C78D"/>
        <bgColor rgb="FF77C78D"/>
      </patternFill>
    </fill>
    <fill>
      <patternFill patternType="solid">
        <fgColor rgb="FF7EC993"/>
        <bgColor rgb="FF7EC993"/>
      </patternFill>
    </fill>
    <fill>
      <patternFill patternType="solid">
        <fgColor rgb="FF7EC992"/>
        <bgColor rgb="FF7EC992"/>
      </patternFill>
    </fill>
    <fill>
      <patternFill patternType="solid">
        <fgColor rgb="FF63BE7B"/>
        <bgColor rgb="FF63BE7B"/>
      </patternFill>
    </fill>
    <fill>
      <patternFill patternType="solid">
        <fgColor rgb="FF80CA94"/>
        <bgColor rgb="FF80CA94"/>
      </patternFill>
    </fill>
    <fill>
      <patternFill patternType="solid">
        <fgColor rgb="FF86CC99"/>
        <bgColor rgb="FF86CC99"/>
      </patternFill>
    </fill>
    <fill>
      <patternFill patternType="solid">
        <fgColor rgb="FF8FD0A1"/>
        <bgColor rgb="FF8FD0A1"/>
      </patternFill>
    </fill>
    <fill>
      <patternFill patternType="solid">
        <fgColor rgb="FF8ACE9C"/>
        <bgColor rgb="FF8ACE9C"/>
      </patternFill>
    </fill>
    <fill>
      <patternFill patternType="solid">
        <fgColor rgb="FFDDF0E5"/>
        <bgColor rgb="FFDDF0E5"/>
      </patternFill>
    </fill>
    <fill>
      <patternFill patternType="solid">
        <fgColor rgb="FFF2F8F6"/>
        <bgColor rgb="FFF2F8F6"/>
      </patternFill>
    </fill>
    <fill>
      <patternFill patternType="solid">
        <fgColor rgb="FFD0EAD9"/>
        <bgColor rgb="FFD0EAD9"/>
      </patternFill>
    </fill>
    <fill>
      <patternFill patternType="solid">
        <fgColor rgb="FF8CCF9F"/>
        <bgColor rgb="FF8CCF9F"/>
      </patternFill>
    </fill>
    <fill>
      <patternFill patternType="solid">
        <fgColor rgb="FF8BCF9E"/>
        <bgColor rgb="FF8BCF9E"/>
      </patternFill>
    </fill>
    <fill>
      <patternFill patternType="solid">
        <fgColor rgb="FF85CC98"/>
        <bgColor rgb="FF85CC98"/>
      </patternFill>
    </fill>
    <fill>
      <patternFill patternType="solid">
        <fgColor rgb="FFAADBB8"/>
        <bgColor rgb="FFAADBB8"/>
      </patternFill>
    </fill>
    <fill>
      <patternFill patternType="solid">
        <fgColor rgb="FFA0D7B0"/>
        <bgColor rgb="FFA0D7B0"/>
      </patternFill>
    </fill>
    <fill>
      <patternFill patternType="solid">
        <fgColor rgb="FF9FD7AF"/>
        <bgColor rgb="FF9FD7AF"/>
      </patternFill>
    </fill>
    <fill>
      <patternFill patternType="solid">
        <fgColor rgb="FFDBEFE2"/>
        <bgColor rgb="FFDBEFE2"/>
      </patternFill>
    </fill>
    <fill>
      <patternFill patternType="solid">
        <fgColor rgb="FFB6E0C3"/>
        <bgColor rgb="FFB6E0C3"/>
      </patternFill>
    </fill>
    <fill>
      <patternFill patternType="solid">
        <fgColor rgb="FFB4DFC1"/>
        <bgColor rgb="FFB4DFC1"/>
      </patternFill>
    </fill>
    <fill>
      <patternFill patternType="solid">
        <fgColor rgb="FF9ED6AE"/>
        <bgColor rgb="FF9ED6AE"/>
      </patternFill>
    </fill>
    <fill>
      <patternFill patternType="solid">
        <fgColor rgb="FF9CD5AC"/>
        <bgColor rgb="FF9CD5AC"/>
      </patternFill>
    </fill>
    <fill>
      <patternFill patternType="solid">
        <fgColor rgb="FFA7DAB6"/>
        <bgColor rgb="FFA7DAB6"/>
      </patternFill>
    </fill>
    <fill>
      <patternFill patternType="solid">
        <fgColor rgb="FFB1DEBF"/>
        <bgColor rgb="FFB1DEBF"/>
      </patternFill>
    </fill>
    <fill>
      <patternFill patternType="solid">
        <fgColor rgb="FF7AC78E"/>
        <bgColor rgb="FF7AC78E"/>
      </patternFill>
    </fill>
    <fill>
      <patternFill patternType="solid">
        <fgColor rgb="FF87CD9A"/>
        <bgColor rgb="FF87CD9A"/>
      </patternFill>
    </fill>
    <fill>
      <patternFill patternType="solid">
        <fgColor rgb="FF78C78E"/>
        <bgColor rgb="FF78C78E"/>
      </patternFill>
    </fill>
    <fill>
      <patternFill patternType="solid">
        <fgColor rgb="FF8ED0A0"/>
        <bgColor rgb="FF8ED0A0"/>
      </patternFill>
    </fill>
    <fill>
      <patternFill patternType="solid">
        <fgColor rgb="FF9BD5AB"/>
        <bgColor rgb="FF9BD5AB"/>
      </patternFill>
    </fill>
    <fill>
      <patternFill patternType="solid">
        <fgColor rgb="FFA2D8B1"/>
        <bgColor rgb="FFA2D8B1"/>
      </patternFill>
    </fill>
    <fill>
      <patternFill patternType="solid">
        <fgColor rgb="FFE9F4EE"/>
        <bgColor rgb="FFE9F4EE"/>
      </patternFill>
    </fill>
    <fill>
      <patternFill patternType="solid">
        <fgColor rgb="FFF3F9F7"/>
        <bgColor rgb="FFF3F9F7"/>
      </patternFill>
    </fill>
    <fill>
      <patternFill patternType="solid">
        <fgColor rgb="FFF2F2F2"/>
        <bgColor rgb="FFF2F2F2"/>
      </patternFill>
    </fill>
  </fills>
  <borders count="5">
    <border/>
    <border>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1" fillId="3" fontId="2" numFmtId="0" xfId="0" applyAlignment="1" applyBorder="1" applyFill="1" applyFont="1">
      <alignment vertical="bottom"/>
    </xf>
    <xf borderId="0" fillId="2" fontId="1" numFmtId="164" xfId="0" applyAlignment="1" applyFont="1" applyNumberFormat="1">
      <alignment horizontal="left" readingOrder="0" vertical="bottom"/>
    </xf>
    <xf borderId="0" fillId="3" fontId="2" numFmtId="16" xfId="0" applyAlignment="1" applyFont="1" applyNumberFormat="1">
      <alignment horizontal="center" vertical="bottom"/>
    </xf>
    <xf borderId="2" fillId="2" fontId="3" numFmtId="0" xfId="0" applyAlignment="1" applyBorder="1" applyFont="1">
      <alignment vertical="bottom"/>
    </xf>
    <xf borderId="0" fillId="3" fontId="2" numFmtId="165" xfId="0" applyAlignment="1" applyFont="1" applyNumberFormat="1">
      <alignment horizontal="center" vertical="bottom"/>
    </xf>
    <xf borderId="0" fillId="4" fontId="4" numFmtId="0" xfId="0" applyAlignment="1" applyFill="1" applyFont="1">
      <alignment shrinkToFit="0" vertical="bottom" wrapText="1"/>
    </xf>
    <xf borderId="0" fillId="5" fontId="5" numFmtId="0" xfId="0" applyAlignment="1" applyFill="1" applyFont="1">
      <alignment shrinkToFit="0" vertical="bottom" wrapText="1"/>
    </xf>
    <xf borderId="0" fillId="0" fontId="5" numFmtId="166" xfId="0" applyAlignment="1" applyFont="1" applyNumberFormat="1">
      <alignment horizontal="right" vertical="bottom"/>
    </xf>
    <xf borderId="0" fillId="0" fontId="5" numFmtId="0" xfId="0" applyAlignment="1" applyFont="1">
      <alignment vertical="bottom"/>
    </xf>
    <xf borderId="0" fillId="0" fontId="5" numFmtId="167" xfId="0" applyAlignment="1" applyFont="1" applyNumberFormat="1">
      <alignment horizontal="right" vertical="bottom"/>
    </xf>
    <xf borderId="0" fillId="0" fontId="5" numFmtId="0" xfId="0" applyAlignment="1" applyFont="1">
      <alignment shrinkToFit="0" vertical="bottom" wrapText="1"/>
    </xf>
    <xf borderId="0" fillId="0" fontId="5" numFmtId="0" xfId="0" applyAlignment="1" applyFont="1">
      <alignment horizontal="right" shrinkToFit="0" vertical="bottom" wrapText="1"/>
    </xf>
    <xf borderId="1" fillId="3" fontId="2" numFmtId="16" xfId="0" applyAlignment="1" applyBorder="1" applyFont="1" applyNumberFormat="1">
      <alignment horizontal="center" vertical="bottom"/>
    </xf>
    <xf borderId="0" fillId="3" fontId="2" numFmtId="0" xfId="0" applyAlignment="1" applyFont="1">
      <alignment horizontal="center" vertical="bottom"/>
    </xf>
    <xf borderId="0" fillId="0" fontId="6" numFmtId="0" xfId="0" applyAlignment="1" applyFont="1">
      <alignment vertical="bottom"/>
    </xf>
    <xf borderId="1" fillId="6" fontId="2" numFmtId="0" xfId="0" applyAlignment="1" applyBorder="1" applyFill="1" applyFont="1">
      <alignment vertical="bottom"/>
    </xf>
    <xf borderId="0" fillId="6" fontId="2" numFmtId="0" xfId="0" applyAlignment="1" applyFont="1">
      <alignment horizontal="center" vertical="bottom"/>
    </xf>
    <xf borderId="0" fillId="0" fontId="7" numFmtId="10" xfId="0" applyFont="1" applyNumberFormat="1"/>
    <xf borderId="0" fillId="7" fontId="1" numFmtId="0" xfId="0" applyAlignment="1" applyFill="1" applyFont="1">
      <alignment horizontal="left" vertical="bottom"/>
    </xf>
    <xf borderId="1" fillId="6" fontId="2" numFmtId="0" xfId="0" applyAlignment="1" applyBorder="1" applyFont="1">
      <alignment horizontal="center" vertical="bottom"/>
    </xf>
    <xf borderId="1" fillId="8" fontId="2" numFmtId="0" xfId="0" applyAlignment="1" applyBorder="1" applyFill="1" applyFont="1">
      <alignment vertical="bottom"/>
    </xf>
    <xf borderId="1" fillId="0" fontId="6" numFmtId="0" xfId="0" applyAlignment="1" applyBorder="1" applyFont="1">
      <alignment vertical="bottom"/>
    </xf>
    <xf borderId="0" fillId="0" fontId="7" numFmtId="0" xfId="0" applyAlignment="1" applyFont="1">
      <alignment readingOrder="0"/>
    </xf>
    <xf borderId="1" fillId="9" fontId="6" numFmtId="0" xfId="0" applyAlignment="1" applyBorder="1" applyFill="1" applyFont="1">
      <alignment vertical="bottom"/>
    </xf>
    <xf borderId="0" fillId="0" fontId="7" numFmtId="0" xfId="0" applyFont="1"/>
    <xf borderId="3" fillId="0" fontId="5" numFmtId="0" xfId="0" applyAlignment="1" applyBorder="1" applyFont="1">
      <alignment shrinkToFit="0" vertical="bottom" wrapText="1"/>
    </xf>
    <xf borderId="0" fillId="0" fontId="7" numFmtId="0" xfId="0" applyFont="1"/>
    <xf borderId="3" fillId="0" fontId="5" numFmtId="0" xfId="0" applyAlignment="1" applyBorder="1" applyFont="1">
      <alignment horizontal="right" shrinkToFit="0" vertical="bottom" wrapText="1"/>
    </xf>
    <xf borderId="0" fillId="10" fontId="6" numFmtId="0" xfId="0" applyAlignment="1" applyFill="1" applyFont="1">
      <alignment horizontal="right" vertical="bottom"/>
    </xf>
    <xf borderId="0" fillId="0" fontId="1" numFmtId="0" xfId="0" applyAlignment="1" applyFont="1">
      <alignment vertical="bottom"/>
    </xf>
    <xf borderId="1" fillId="10" fontId="6" numFmtId="0" xfId="0" applyAlignment="1" applyBorder="1" applyFont="1">
      <alignment horizontal="right" vertical="bottom"/>
    </xf>
    <xf borderId="3" fillId="0" fontId="5" numFmtId="0" xfId="0" applyAlignment="1" applyBorder="1" applyFont="1">
      <alignment readingOrder="0" shrinkToFit="0" vertical="bottom" wrapText="1"/>
    </xf>
    <xf borderId="0" fillId="0" fontId="8" numFmtId="0" xfId="0" applyAlignment="1" applyFont="1">
      <alignment horizontal="right" vertical="bottom"/>
    </xf>
    <xf borderId="0" fillId="11" fontId="6" numFmtId="1" xfId="0" applyAlignment="1" applyFill="1" applyFont="1" applyNumberFormat="1">
      <alignment vertical="bottom"/>
    </xf>
    <xf borderId="0" fillId="0" fontId="5" numFmtId="0" xfId="0" applyAlignment="1" applyFont="1">
      <alignment vertical="bottom"/>
    </xf>
    <xf borderId="1" fillId="11" fontId="6" numFmtId="1" xfId="0" applyAlignment="1" applyBorder="1" applyFont="1" applyNumberFormat="1">
      <alignment vertical="bottom"/>
    </xf>
    <xf borderId="0" fillId="7" fontId="5" numFmtId="0" xfId="0" applyAlignment="1" applyFont="1">
      <alignment shrinkToFit="0" vertical="bottom" wrapText="1"/>
    </xf>
    <xf borderId="0" fillId="0" fontId="7" numFmtId="9" xfId="0" applyFont="1" applyNumberFormat="1"/>
    <xf borderId="0" fillId="0" fontId="8" numFmtId="1" xfId="0" applyAlignment="1" applyFont="1" applyNumberFormat="1">
      <alignment horizontal="right" vertical="bottom"/>
    </xf>
    <xf borderId="0" fillId="7" fontId="5" numFmtId="10" xfId="0" applyAlignment="1" applyFont="1" applyNumberFormat="1">
      <alignment horizontal="right" shrinkToFit="0" vertical="bottom" wrapText="1"/>
    </xf>
    <xf borderId="0" fillId="12" fontId="9" numFmtId="0" xfId="0" applyAlignment="1" applyFill="1" applyFont="1">
      <alignment vertical="bottom"/>
    </xf>
    <xf borderId="0" fillId="0" fontId="5" numFmtId="0" xfId="0" applyAlignment="1" applyFont="1">
      <alignment horizontal="right" vertical="bottom"/>
    </xf>
    <xf borderId="0" fillId="0" fontId="10" numFmtId="0" xfId="0" applyAlignment="1" applyFont="1">
      <alignment vertical="bottom"/>
    </xf>
    <xf borderId="0" fillId="10" fontId="11" numFmtId="0" xfId="0" applyAlignment="1" applyFont="1">
      <alignment horizontal="right" vertical="bottom"/>
    </xf>
    <xf borderId="0" fillId="0" fontId="7" numFmtId="9" xfId="0" applyAlignment="1" applyFont="1" applyNumberFormat="1">
      <alignment readingOrder="0"/>
    </xf>
    <xf borderId="0" fillId="13" fontId="7" numFmtId="0" xfId="0" applyAlignment="1" applyFill="1" applyFont="1">
      <alignment readingOrder="0"/>
    </xf>
    <xf borderId="0" fillId="0" fontId="7" numFmtId="0" xfId="0" applyAlignment="1" applyFont="1">
      <alignment horizontal="center" readingOrder="0"/>
    </xf>
    <xf borderId="0" fillId="11" fontId="6" numFmtId="0" xfId="0" applyAlignment="1" applyFont="1">
      <alignment vertical="bottom"/>
    </xf>
    <xf borderId="0" fillId="2" fontId="7" numFmtId="0" xfId="0" applyAlignment="1" applyFont="1">
      <alignment horizontal="center" readingOrder="0"/>
    </xf>
    <xf borderId="0" fillId="14" fontId="7" numFmtId="0" xfId="0" applyAlignment="1" applyFill="1" applyFont="1">
      <alignment readingOrder="0"/>
    </xf>
    <xf borderId="0" fillId="14" fontId="7" numFmtId="0" xfId="0" applyAlignment="1" applyFont="1">
      <alignment horizontal="center" readingOrder="0"/>
    </xf>
    <xf borderId="0" fillId="0" fontId="1" numFmtId="0" xfId="0" applyAlignment="1" applyFont="1">
      <alignment vertical="bottom"/>
    </xf>
    <xf borderId="4" fillId="0" fontId="6" numFmtId="0" xfId="0" applyAlignment="1" applyBorder="1" applyFont="1">
      <alignment vertical="bottom"/>
    </xf>
    <xf borderId="3" fillId="11" fontId="6" numFmtId="0" xfId="0" applyAlignment="1" applyBorder="1" applyFont="1">
      <alignment vertical="bottom"/>
    </xf>
    <xf borderId="4" fillId="11" fontId="6" numFmtId="0" xfId="0" applyAlignment="1" applyBorder="1" applyFont="1">
      <alignment vertical="bottom"/>
    </xf>
    <xf borderId="3" fillId="0" fontId="8" numFmtId="0" xfId="0" applyAlignment="1" applyBorder="1" applyFont="1">
      <alignment horizontal="right" vertical="bottom"/>
    </xf>
    <xf borderId="3" fillId="0" fontId="6" numFmtId="0" xfId="0" applyAlignment="1" applyBorder="1" applyFont="1">
      <alignment vertical="bottom"/>
    </xf>
    <xf borderId="0" fillId="0" fontId="12" numFmtId="1" xfId="0" applyAlignment="1" applyFont="1" applyNumberFormat="1">
      <alignment horizontal="right" vertical="bottom"/>
    </xf>
    <xf borderId="1" fillId="0" fontId="12" numFmtId="1" xfId="0" applyAlignment="1" applyBorder="1" applyFont="1" applyNumberFormat="1">
      <alignment horizontal="right" vertical="bottom"/>
    </xf>
    <xf borderId="1" fillId="15" fontId="6" numFmtId="0" xfId="0" applyAlignment="1" applyBorder="1" applyFill="1" applyFont="1">
      <alignment vertical="bottom"/>
    </xf>
    <xf borderId="0" fillId="16" fontId="13" numFmtId="0" xfId="0" applyAlignment="1" applyFill="1" applyFont="1">
      <alignment horizontal="center" readingOrder="0"/>
    </xf>
    <xf borderId="0" fillId="2" fontId="1" numFmtId="164" xfId="0" applyAlignment="1" applyFont="1" applyNumberFormat="1">
      <alignment horizontal="left" vertical="bottom"/>
    </xf>
    <xf borderId="0" fillId="10" fontId="6" numFmtId="168" xfId="0" applyAlignment="1" applyFont="1" applyNumberFormat="1">
      <alignment horizontal="right" vertical="bottom"/>
    </xf>
    <xf borderId="0" fillId="0" fontId="7" numFmtId="169" xfId="0" applyAlignment="1" applyFont="1" applyNumberFormat="1">
      <alignment readingOrder="0"/>
    </xf>
    <xf borderId="0" fillId="0" fontId="7" numFmtId="2" xfId="0" applyAlignment="1" applyFont="1" applyNumberFormat="1">
      <alignment readingOrder="0"/>
    </xf>
    <xf borderId="1" fillId="10" fontId="6" numFmtId="168" xfId="0" applyAlignment="1" applyBorder="1" applyFont="1" applyNumberFormat="1">
      <alignment horizontal="right" vertical="bottom"/>
    </xf>
    <xf borderId="0" fillId="0" fontId="14" numFmtId="168" xfId="0" applyAlignment="1" applyFont="1" applyNumberFormat="1">
      <alignment horizontal="right" vertical="bottom"/>
    </xf>
    <xf borderId="0" fillId="11" fontId="6" numFmtId="168" xfId="0" applyAlignment="1" applyFont="1" applyNumberFormat="1">
      <alignment vertical="bottom"/>
    </xf>
    <xf borderId="0" fillId="0" fontId="1" numFmtId="0" xfId="0" applyAlignment="1" applyFont="1">
      <alignment readingOrder="0" vertical="bottom"/>
    </xf>
    <xf borderId="1" fillId="11" fontId="6" numFmtId="168" xfId="0" applyAlignment="1" applyBorder="1" applyFont="1" applyNumberFormat="1">
      <alignment vertical="bottom"/>
    </xf>
    <xf borderId="0" fillId="0" fontId="1" numFmtId="170" xfId="0" applyAlignment="1" applyFont="1" applyNumberFormat="1">
      <alignment readingOrder="0" vertical="bottom"/>
    </xf>
    <xf borderId="0" fillId="0" fontId="15" numFmtId="0" xfId="0" applyAlignment="1" applyFont="1">
      <alignment vertical="bottom"/>
    </xf>
    <xf borderId="0" fillId="17" fontId="1" numFmtId="0" xfId="0" applyAlignment="1" applyFill="1" applyFont="1">
      <alignment vertical="bottom"/>
    </xf>
    <xf borderId="0" fillId="18" fontId="16" numFmtId="0" xfId="0" applyAlignment="1" applyFill="1" applyFont="1">
      <alignment readingOrder="0"/>
    </xf>
    <xf borderId="0" fillId="17" fontId="1" numFmtId="10" xfId="0" applyAlignment="1" applyFont="1" applyNumberFormat="1">
      <alignment horizontal="right" readingOrder="0" vertical="bottom"/>
    </xf>
    <xf borderId="0" fillId="17" fontId="1" numFmtId="0" xfId="0" applyAlignment="1" applyFont="1">
      <alignment horizontal="right" readingOrder="0" vertical="bottom"/>
    </xf>
    <xf borderId="0" fillId="0" fontId="1" numFmtId="10" xfId="0" applyAlignment="1" applyFont="1" applyNumberFormat="1">
      <alignment horizontal="right" vertical="bottom"/>
    </xf>
    <xf borderId="0" fillId="17" fontId="1" numFmtId="2" xfId="0" applyAlignment="1" applyFont="1" applyNumberFormat="1">
      <alignment horizontal="right" vertical="bottom"/>
    </xf>
    <xf borderId="0" fillId="0" fontId="16" numFmtId="0" xfId="0" applyAlignment="1" applyFont="1">
      <alignment readingOrder="0"/>
    </xf>
    <xf borderId="0" fillId="0" fontId="1" numFmtId="4" xfId="0" applyAlignment="1" applyFont="1" applyNumberFormat="1">
      <alignment horizontal="right" vertical="bottom"/>
    </xf>
    <xf borderId="0" fillId="0" fontId="7" numFmtId="1" xfId="0" applyFont="1" applyNumberFormat="1"/>
    <xf borderId="0" fillId="0" fontId="1" numFmtId="10" xfId="0" applyAlignment="1" applyFont="1" applyNumberFormat="1">
      <alignment horizontal="right" readingOrder="0" vertical="bottom"/>
    </xf>
    <xf borderId="0" fillId="0" fontId="1" numFmtId="0" xfId="0" applyAlignment="1" applyFont="1">
      <alignment horizontal="right" readingOrder="0" vertical="bottom"/>
    </xf>
    <xf borderId="0" fillId="0" fontId="7" numFmtId="2" xfId="0" applyFont="1" applyNumberFormat="1"/>
    <xf borderId="0" fillId="18" fontId="16" numFmtId="1" xfId="0" applyFont="1" applyNumberFormat="1"/>
    <xf borderId="0" fillId="0" fontId="16" numFmtId="1" xfId="0" applyAlignment="1" applyFont="1" applyNumberFormat="1">
      <alignment readingOrder="0"/>
    </xf>
    <xf borderId="0" fillId="0" fontId="16" numFmtId="1" xfId="0" applyFont="1" applyNumberFormat="1"/>
    <xf borderId="0" fillId="18" fontId="7" numFmtId="0" xfId="0" applyFont="1"/>
    <xf borderId="3" fillId="11" fontId="6" numFmtId="168" xfId="0" applyAlignment="1" applyBorder="1" applyFont="1" applyNumberFormat="1">
      <alignment horizontal="right" vertical="bottom"/>
    </xf>
    <xf borderId="3" fillId="11" fontId="6" numFmtId="168" xfId="0" applyAlignment="1" applyBorder="1" applyFont="1" applyNumberFormat="1">
      <alignment vertical="bottom"/>
    </xf>
    <xf borderId="4" fillId="11" fontId="6" numFmtId="168" xfId="0" applyAlignment="1" applyBorder="1" applyFont="1" applyNumberFormat="1">
      <alignment vertical="bottom"/>
    </xf>
    <xf borderId="3" fillId="0" fontId="14" numFmtId="168" xfId="0" applyAlignment="1" applyBorder="1" applyFont="1" applyNumberFormat="1">
      <alignment horizontal="right" vertical="bottom"/>
    </xf>
    <xf borderId="0" fillId="0" fontId="12" numFmtId="168" xfId="0" applyAlignment="1" applyFont="1" applyNumberFormat="1">
      <alignment horizontal="right" vertical="bottom"/>
    </xf>
    <xf borderId="0" fillId="7" fontId="1" numFmtId="0" xfId="0" applyAlignment="1" applyFont="1">
      <alignment horizontal="left" readingOrder="0" vertical="bottom"/>
    </xf>
    <xf borderId="0" fillId="18" fontId="16" numFmtId="10" xfId="0" applyAlignment="1" applyFont="1" applyNumberFormat="1">
      <alignment readingOrder="0"/>
    </xf>
    <xf borderId="0" fillId="0" fontId="16" numFmtId="10" xfId="0" applyAlignment="1" applyFont="1" applyNumberFormat="1">
      <alignment readingOrder="0"/>
    </xf>
    <xf borderId="0" fillId="19" fontId="17" numFmtId="171" xfId="0" applyAlignment="1" applyFill="1" applyFont="1" applyNumberFormat="1">
      <alignment horizontal="center" readingOrder="0" vertical="bottom"/>
    </xf>
    <xf borderId="0" fillId="20" fontId="1" numFmtId="0" xfId="0" applyAlignment="1" applyFill="1" applyFont="1">
      <alignment horizontal="center" readingOrder="0" vertical="bottom"/>
    </xf>
    <xf borderId="1" fillId="0" fontId="12" numFmtId="168" xfId="0" applyAlignment="1" applyBorder="1" applyFont="1" applyNumberFormat="1">
      <alignment horizontal="right" vertical="bottom"/>
    </xf>
    <xf borderId="0" fillId="18" fontId="7" numFmtId="10" xfId="0" applyFont="1" applyNumberFormat="1"/>
    <xf borderId="0" fillId="0" fontId="8" numFmtId="168" xfId="0" applyAlignment="1" applyFont="1" applyNumberFormat="1">
      <alignment horizontal="right" vertical="bottom"/>
    </xf>
    <xf borderId="0" fillId="0" fontId="7" numFmtId="171" xfId="0" applyAlignment="1" applyFont="1" applyNumberFormat="1">
      <alignment readingOrder="0"/>
    </xf>
    <xf borderId="0" fillId="0" fontId="6" numFmtId="172" xfId="0" applyAlignment="1" applyFont="1" applyNumberFormat="1">
      <alignment vertical="bottom"/>
    </xf>
    <xf borderId="1" fillId="21" fontId="6" numFmtId="0" xfId="0" applyAlignment="1" applyBorder="1" applyFill="1" applyFont="1">
      <alignment vertical="bottom"/>
    </xf>
    <xf borderId="0" fillId="7" fontId="7" numFmtId="0" xfId="0" applyFont="1"/>
    <xf borderId="0" fillId="22" fontId="7" numFmtId="0" xfId="0" applyAlignment="1" applyFill="1" applyFont="1">
      <alignment readingOrder="0"/>
    </xf>
    <xf borderId="0" fillId="22" fontId="7" numFmtId="171" xfId="0" applyFont="1" applyNumberFormat="1"/>
    <xf borderId="0" fillId="14" fontId="7" numFmtId="0" xfId="0" applyAlignment="1" applyFont="1">
      <alignment readingOrder="0"/>
    </xf>
    <xf borderId="0" fillId="0" fontId="6" numFmtId="168" xfId="0" applyAlignment="1" applyFont="1" applyNumberFormat="1">
      <alignment horizontal="right" vertical="bottom"/>
    </xf>
    <xf borderId="1" fillId="0" fontId="6" numFmtId="168" xfId="0" applyAlignment="1" applyBorder="1" applyFont="1" applyNumberFormat="1">
      <alignment horizontal="right" vertical="bottom"/>
    </xf>
    <xf borderId="0" fillId="10" fontId="6" numFmtId="168" xfId="0" applyAlignment="1" applyFont="1" applyNumberFormat="1">
      <alignment vertical="bottom"/>
    </xf>
    <xf borderId="0" fillId="11" fontId="6" numFmtId="168" xfId="0" applyAlignment="1" applyFont="1" applyNumberFormat="1">
      <alignment horizontal="right" vertical="bottom"/>
    </xf>
    <xf borderId="1" fillId="11" fontId="6" numFmtId="168" xfId="0" applyAlignment="1" applyBorder="1" applyFont="1" applyNumberFormat="1">
      <alignment horizontal="right" vertical="bottom"/>
    </xf>
    <xf borderId="0" fillId="0" fontId="7" numFmtId="171" xfId="0" applyFont="1" applyNumberFormat="1"/>
    <xf borderId="0" fillId="23" fontId="7" numFmtId="0" xfId="0" applyAlignment="1" applyFill="1" applyFont="1">
      <alignment readingOrder="0"/>
    </xf>
    <xf borderId="0" fillId="23" fontId="7" numFmtId="171" xfId="0" applyFont="1" applyNumberFormat="1"/>
    <xf borderId="0" fillId="0" fontId="7" numFmtId="171" xfId="0" applyAlignment="1" applyFont="1" applyNumberFormat="1">
      <alignment readingOrder="0"/>
    </xf>
    <xf borderId="3" fillId="0" fontId="6" numFmtId="168" xfId="0" applyAlignment="1" applyBorder="1" applyFont="1" applyNumberFormat="1">
      <alignment horizontal="right" vertical="bottom"/>
    </xf>
    <xf borderId="0" fillId="13" fontId="7" numFmtId="2" xfId="0" applyAlignment="1" applyFont="1" applyNumberFormat="1">
      <alignment readingOrder="0"/>
    </xf>
    <xf borderId="4" fillId="0" fontId="6" numFmtId="168" xfId="0" applyAlignment="1" applyBorder="1" applyFont="1" applyNumberFormat="1">
      <alignment horizontal="right" vertical="bottom"/>
    </xf>
    <xf borderId="0" fillId="13" fontId="7" numFmtId="10" xfId="0" applyFont="1" applyNumberFormat="1"/>
    <xf borderId="1" fillId="0" fontId="11" numFmtId="0" xfId="0" applyAlignment="1" applyBorder="1" applyFont="1">
      <alignment readingOrder="0" vertical="bottom"/>
    </xf>
    <xf borderId="0" fillId="18" fontId="7" numFmtId="10" xfId="0" applyAlignment="1" applyFont="1" applyNumberFormat="1">
      <alignment readingOrder="0"/>
    </xf>
    <xf borderId="0" fillId="0" fontId="7" numFmtId="10" xfId="0" applyAlignment="1" applyFont="1" applyNumberFormat="1">
      <alignment readingOrder="0"/>
    </xf>
    <xf borderId="0" fillId="0" fontId="6" numFmtId="168" xfId="0" applyAlignment="1" applyFont="1" applyNumberFormat="1">
      <alignment vertical="bottom"/>
    </xf>
    <xf borderId="1" fillId="0" fontId="6" numFmtId="168" xfId="0" applyAlignment="1" applyBorder="1" applyFont="1" applyNumberFormat="1">
      <alignment vertical="bottom"/>
    </xf>
    <xf borderId="0" fillId="24" fontId="18" numFmtId="168" xfId="0" applyAlignment="1" applyFill="1" applyFont="1" applyNumberFormat="1">
      <alignment horizontal="right" vertical="bottom"/>
    </xf>
    <xf borderId="0" fillId="2" fontId="7" numFmtId="173" xfId="0" applyAlignment="1" applyFont="1" applyNumberFormat="1">
      <alignment readingOrder="0"/>
    </xf>
    <xf borderId="0" fillId="25" fontId="19" numFmtId="168" xfId="0" applyAlignment="1" applyFill="1" applyFont="1" applyNumberFormat="1">
      <alignment horizontal="right" vertical="bottom"/>
    </xf>
    <xf borderId="1" fillId="25" fontId="19" numFmtId="168" xfId="0" applyAlignment="1" applyBorder="1" applyFont="1" applyNumberFormat="1">
      <alignment horizontal="right" vertical="bottom"/>
    </xf>
    <xf borderId="1" fillId="24" fontId="18" numFmtId="168" xfId="0" applyAlignment="1" applyBorder="1" applyFont="1" applyNumberFormat="1">
      <alignment horizontal="right" vertical="bottom"/>
    </xf>
    <xf borderId="0" fillId="0" fontId="20" numFmtId="0" xfId="0" applyAlignment="1" applyFont="1">
      <alignment readingOrder="0"/>
    </xf>
    <xf borderId="0" fillId="0" fontId="7" numFmtId="0" xfId="0" applyAlignment="1" applyFont="1">
      <alignment readingOrder="0" vertical="top"/>
    </xf>
    <xf borderId="0" fillId="0" fontId="21" numFmtId="0" xfId="0" applyAlignment="1" applyFont="1">
      <alignment readingOrder="0"/>
    </xf>
    <xf borderId="0" fillId="0" fontId="21" numFmtId="0" xfId="0" applyFont="1"/>
    <xf borderId="0" fillId="0" fontId="7" numFmtId="0" xfId="0" applyAlignment="1" applyFont="1">
      <alignment readingOrder="0" shrinkToFit="0" vertical="top" wrapText="1"/>
    </xf>
    <xf borderId="0" fillId="0" fontId="21" numFmtId="0" xfId="0" applyAlignment="1" applyFont="1">
      <alignment readingOrder="0"/>
    </xf>
    <xf borderId="1" fillId="26" fontId="6" numFmtId="0" xfId="0" applyAlignment="1" applyBorder="1" applyFill="1" applyFont="1">
      <alignment vertical="bottom"/>
    </xf>
    <xf borderId="0" fillId="26" fontId="6" numFmtId="0" xfId="0" applyAlignment="1" applyFont="1">
      <alignment vertical="bottom"/>
    </xf>
    <xf borderId="0" fillId="27" fontId="22" numFmtId="0" xfId="0" applyAlignment="1" applyFill="1" applyFont="1">
      <alignment readingOrder="0"/>
    </xf>
    <xf borderId="1" fillId="28" fontId="6" numFmtId="0" xfId="0" applyAlignment="1" applyBorder="1" applyFill="1" applyFont="1">
      <alignment vertical="bottom"/>
    </xf>
    <xf borderId="0" fillId="27" fontId="22" numFmtId="0" xfId="0" applyFont="1"/>
    <xf borderId="1" fillId="29" fontId="6" numFmtId="0" xfId="0" applyAlignment="1" applyBorder="1" applyFill="1" applyFont="1">
      <alignment vertical="bottom"/>
    </xf>
    <xf borderId="0" fillId="24" fontId="23" numFmtId="168" xfId="0" applyAlignment="1" applyFont="1" applyNumberFormat="1">
      <alignment horizontal="right" vertical="bottom"/>
    </xf>
    <xf borderId="0" fillId="0" fontId="24" numFmtId="0" xfId="0" applyAlignment="1" applyFont="1">
      <alignment readingOrder="0"/>
    </xf>
    <xf borderId="0" fillId="0" fontId="24" numFmtId="0" xfId="0" applyFont="1"/>
    <xf borderId="0" fillId="30" fontId="6" numFmtId="2" xfId="0" applyAlignment="1" applyFill="1" applyFont="1" applyNumberFormat="1">
      <alignment horizontal="right" vertical="bottom"/>
    </xf>
    <xf borderId="0" fillId="0" fontId="24" numFmtId="174" xfId="0" applyAlignment="1" applyFont="1" applyNumberFormat="1">
      <alignment readingOrder="0"/>
    </xf>
    <xf borderId="0" fillId="0" fontId="24" numFmtId="0" xfId="0" applyAlignment="1" applyFont="1">
      <alignment readingOrder="0"/>
    </xf>
    <xf borderId="1" fillId="30" fontId="6" numFmtId="2" xfId="0" applyAlignment="1" applyBorder="1" applyFont="1" applyNumberFormat="1">
      <alignment horizontal="right" vertical="bottom"/>
    </xf>
    <xf borderId="0" fillId="30" fontId="8" numFmtId="2" xfId="0" applyAlignment="1" applyFont="1" applyNumberFormat="1">
      <alignment horizontal="right" vertical="bottom"/>
    </xf>
    <xf borderId="0" fillId="31" fontId="6" numFmtId="168" xfId="0" applyAlignment="1" applyFill="1" applyFont="1" applyNumberFormat="1">
      <alignment horizontal="right" vertical="bottom"/>
    </xf>
    <xf quotePrefix="1" borderId="0" fillId="0" fontId="24" numFmtId="0" xfId="0" applyAlignment="1" applyFont="1">
      <alignment readingOrder="0"/>
    </xf>
    <xf borderId="1" fillId="31" fontId="6" numFmtId="168" xfId="0" applyAlignment="1" applyBorder="1" applyFont="1" applyNumberFormat="1">
      <alignment horizontal="right" vertical="bottom"/>
    </xf>
    <xf borderId="0" fillId="32" fontId="2" numFmtId="2" xfId="0" applyAlignment="1" applyFill="1" applyFont="1" applyNumberFormat="1">
      <alignment horizontal="right" vertical="bottom"/>
    </xf>
    <xf borderId="1" fillId="32" fontId="2" numFmtId="2" xfId="0" applyAlignment="1" applyBorder="1" applyFont="1" applyNumberFormat="1">
      <alignment horizontal="right" vertical="bottom"/>
    </xf>
    <xf borderId="0" fillId="0" fontId="25" numFmtId="0" xfId="0" applyAlignment="1" applyFont="1">
      <alignment readingOrder="0"/>
    </xf>
    <xf borderId="1" fillId="33" fontId="2" numFmtId="0" xfId="0" applyAlignment="1" applyBorder="1" applyFill="1" applyFont="1">
      <alignment vertical="bottom"/>
    </xf>
    <xf borderId="1" fillId="34" fontId="6" numFmtId="0" xfId="0" applyAlignment="1" applyBorder="1" applyFill="1" applyFont="1">
      <alignment vertical="bottom"/>
    </xf>
    <xf borderId="0" fillId="35" fontId="26" numFmtId="168" xfId="0" applyAlignment="1" applyFill="1" applyFont="1" applyNumberFormat="1">
      <alignment horizontal="right" vertical="bottom"/>
    </xf>
    <xf borderId="0" fillId="35" fontId="6" numFmtId="168" xfId="0" applyAlignment="1" applyFont="1" applyNumberFormat="1">
      <alignment vertical="bottom"/>
    </xf>
    <xf borderId="1" fillId="35" fontId="26" numFmtId="168" xfId="0" applyAlignment="1" applyBorder="1" applyFont="1" applyNumberFormat="1">
      <alignment horizontal="right" vertical="bottom"/>
    </xf>
    <xf borderId="0" fillId="35" fontId="26" numFmtId="2" xfId="0" applyAlignment="1" applyFont="1" applyNumberFormat="1">
      <alignment horizontal="center" vertical="bottom"/>
    </xf>
    <xf borderId="0" fillId="35" fontId="6" numFmtId="2" xfId="0" applyAlignment="1" applyFont="1" applyNumberFormat="1">
      <alignment vertical="bottom"/>
    </xf>
    <xf borderId="1" fillId="35" fontId="26" numFmtId="2" xfId="0" applyAlignment="1" applyBorder="1" applyFont="1" applyNumberFormat="1">
      <alignment horizontal="center" vertical="bottom"/>
    </xf>
    <xf borderId="0" fillId="30" fontId="8" numFmtId="2" xfId="0" applyAlignment="1" applyFont="1" applyNumberFormat="1">
      <alignment horizontal="center" vertical="bottom"/>
    </xf>
    <xf borderId="0" fillId="35" fontId="26" numFmtId="168" xfId="0" applyAlignment="1" applyFont="1" applyNumberFormat="1">
      <alignment horizontal="center" vertical="bottom"/>
    </xf>
    <xf borderId="1" fillId="35" fontId="26" numFmtId="168" xfId="0" applyAlignment="1" applyBorder="1" applyFont="1" applyNumberFormat="1">
      <alignment horizontal="center" vertical="bottom"/>
    </xf>
    <xf borderId="1" fillId="36" fontId="2" numFmtId="0" xfId="0" applyAlignment="1" applyBorder="1" applyFill="1" applyFont="1">
      <alignment vertical="bottom"/>
    </xf>
    <xf borderId="1" fillId="37" fontId="6" numFmtId="0" xfId="0" applyAlignment="1" applyBorder="1" applyFill="1" applyFont="1">
      <alignment vertical="bottom"/>
    </xf>
    <xf borderId="0" fillId="0" fontId="6" numFmtId="2" xfId="0" applyAlignment="1" applyFont="1" applyNumberFormat="1">
      <alignment vertical="bottom"/>
    </xf>
    <xf borderId="1" fillId="0" fontId="6" numFmtId="2" xfId="0" applyAlignment="1" applyBorder="1" applyFont="1" applyNumberFormat="1">
      <alignment vertical="bottom"/>
    </xf>
    <xf borderId="1" fillId="38" fontId="6" numFmtId="0" xfId="0" applyAlignment="1" applyBorder="1" applyFill="1" applyFont="1">
      <alignment vertical="bottom"/>
    </xf>
    <xf borderId="1" fillId="39" fontId="6" numFmtId="0" xfId="0" applyAlignment="1" applyBorder="1" applyFill="1" applyFont="1">
      <alignment vertical="bottom"/>
    </xf>
    <xf borderId="1" fillId="0" fontId="6" numFmtId="172" xfId="0" applyAlignment="1" applyBorder="1" applyFont="1" applyNumberForma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40" fontId="6" numFmtId="0" xfId="0" applyAlignment="1" applyBorder="1" applyFill="1" applyFont="1">
      <alignment vertical="bottom"/>
    </xf>
    <xf borderId="1" fillId="41" fontId="2" numFmtId="0" xfId="0" applyAlignment="1" applyBorder="1" applyFill="1" applyFont="1">
      <alignment vertical="bottom"/>
    </xf>
    <xf borderId="0" fillId="11" fontId="27" numFmtId="168" xfId="0" applyAlignment="1" applyFont="1" applyNumberFormat="1">
      <alignment horizontal="right" vertical="bottom"/>
    </xf>
    <xf borderId="1" fillId="11" fontId="27" numFmtId="168" xfId="0" applyAlignment="1" applyBorder="1" applyFont="1" applyNumberFormat="1">
      <alignment horizontal="right" vertical="bottom"/>
    </xf>
    <xf borderId="0" fillId="11" fontId="27" numFmtId="2" xfId="0" applyAlignment="1" applyFont="1" applyNumberFormat="1">
      <alignment horizontal="center" vertical="bottom"/>
    </xf>
    <xf borderId="0" fillId="11" fontId="6" numFmtId="2" xfId="0" applyAlignment="1" applyFont="1" applyNumberFormat="1">
      <alignment vertical="bottom"/>
    </xf>
    <xf borderId="1" fillId="11" fontId="27" numFmtId="2" xfId="0" applyAlignment="1" applyBorder="1" applyFont="1" applyNumberFormat="1">
      <alignment horizontal="center" vertical="bottom"/>
    </xf>
    <xf borderId="0" fillId="11" fontId="27" numFmtId="168" xfId="0" applyAlignment="1" applyFont="1" applyNumberFormat="1">
      <alignment horizontal="center" vertical="bottom"/>
    </xf>
    <xf borderId="1" fillId="11" fontId="27" numFmtId="168" xfId="0" applyAlignment="1" applyBorder="1" applyFont="1" applyNumberFormat="1">
      <alignment horizontal="center" vertical="bottom"/>
    </xf>
    <xf borderId="1" fillId="42" fontId="2" numFmtId="0" xfId="0" applyAlignment="1" applyBorder="1" applyFill="1" applyFont="1">
      <alignment vertical="bottom"/>
    </xf>
    <xf borderId="1" fillId="43" fontId="2" numFmtId="0" xfId="0" applyAlignment="1" applyBorder="1" applyFill="1" applyFont="1">
      <alignment vertical="bottom"/>
    </xf>
    <xf borderId="0" fillId="30" fontId="6" numFmtId="2" xfId="0" applyAlignment="1" applyFont="1" applyNumberFormat="1">
      <alignment horizontal="center" vertical="bottom"/>
    </xf>
    <xf borderId="0" fillId="31" fontId="6" numFmtId="168" xfId="0" applyAlignment="1" applyFont="1" applyNumberFormat="1">
      <alignment horizontal="center" vertical="bottom"/>
    </xf>
    <xf borderId="1" fillId="31" fontId="6" numFmtId="168" xfId="0" applyAlignment="1" applyBorder="1" applyFont="1" applyNumberFormat="1">
      <alignment horizontal="center" vertical="bottom"/>
    </xf>
    <xf borderId="0" fillId="32" fontId="2" numFmtId="2" xfId="0" applyAlignment="1" applyFont="1" applyNumberFormat="1">
      <alignment horizontal="center" vertical="bottom"/>
    </xf>
    <xf borderId="1" fillId="44" fontId="2" numFmtId="0" xfId="0" applyAlignment="1" applyBorder="1" applyFill="1" applyFont="1">
      <alignment vertical="bottom"/>
    </xf>
    <xf borderId="0" fillId="25" fontId="28" numFmtId="168" xfId="0" applyAlignment="1" applyFont="1" applyNumberFormat="1">
      <alignment horizontal="right" vertical="bottom"/>
    </xf>
    <xf borderId="0" fillId="0" fontId="6" numFmtId="175" xfId="0" applyAlignment="1" applyFont="1" applyNumberFormat="1">
      <alignment vertical="bottom"/>
    </xf>
    <xf borderId="1" fillId="0" fontId="6" numFmtId="175" xfId="0" applyAlignment="1" applyBorder="1" applyFont="1" applyNumberFormat="1">
      <alignment vertical="bottom"/>
    </xf>
    <xf borderId="1" fillId="10" fontId="6" numFmtId="0" xfId="0" applyAlignment="1" applyBorder="1" applyFont="1">
      <alignment vertical="bottom"/>
    </xf>
    <xf borderId="0" fillId="45" fontId="6" numFmtId="168" xfId="0" applyAlignment="1" applyFill="1" applyFont="1" applyNumberFormat="1">
      <alignment horizontal="right" shrinkToFit="0" vertical="bottom" wrapText="1"/>
    </xf>
    <xf borderId="1" fillId="45" fontId="6" numFmtId="168" xfId="0" applyAlignment="1" applyBorder="1" applyFont="1" applyNumberFormat="1">
      <alignment horizontal="right" shrinkToFit="0" vertical="bottom" wrapText="1"/>
    </xf>
    <xf borderId="0" fillId="45" fontId="12" numFmtId="168" xfId="0" applyAlignment="1" applyFont="1" applyNumberFormat="1">
      <alignment horizontal="right" shrinkToFit="0" vertical="bottom" wrapText="1"/>
    </xf>
    <xf borderId="1" fillId="45" fontId="6" numFmtId="0" xfId="0" applyAlignment="1" applyBorder="1" applyFont="1">
      <alignment vertical="bottom"/>
    </xf>
    <xf borderId="0" fillId="0" fontId="6" numFmtId="0" xfId="0" applyAlignment="1" applyFont="1">
      <alignment horizontal="right" vertical="bottom"/>
    </xf>
    <xf borderId="1" fillId="0" fontId="6" numFmtId="0" xfId="0" applyAlignment="1" applyBorder="1" applyFont="1">
      <alignment horizontal="right" vertical="bottom"/>
    </xf>
    <xf borderId="0" fillId="0" fontId="12" numFmtId="0" xfId="0" applyAlignment="1" applyFont="1">
      <alignment horizontal="right" vertical="bottom"/>
    </xf>
    <xf borderId="0" fillId="45" fontId="6" numFmtId="0" xfId="0" applyAlignment="1" applyFont="1">
      <alignment horizontal="right" vertical="bottom"/>
    </xf>
    <xf borderId="1" fillId="45" fontId="6" numFmtId="0" xfId="0" applyAlignment="1" applyBorder="1" applyFont="1">
      <alignment horizontal="right" vertical="bottom"/>
    </xf>
    <xf borderId="0" fillId="10" fontId="12" numFmtId="0" xfId="0" applyAlignment="1" applyFont="1">
      <alignment horizontal="right" vertical="bottom"/>
    </xf>
    <xf borderId="1" fillId="46" fontId="6" numFmtId="0" xfId="0" applyAlignment="1" applyBorder="1" applyFill="1" applyFont="1">
      <alignment vertical="bottom"/>
    </xf>
    <xf borderId="0" fillId="0" fontId="29" numFmtId="168" xfId="0" applyAlignment="1" applyFont="1" applyNumberFormat="1">
      <alignment horizontal="right" vertical="bottom"/>
    </xf>
    <xf borderId="1" fillId="0" fontId="29" numFmtId="168" xfId="0" applyAlignment="1" applyBorder="1" applyFont="1" applyNumberFormat="1">
      <alignment horizontal="right" vertical="bottom"/>
    </xf>
    <xf borderId="1" fillId="47" fontId="6" numFmtId="0" xfId="0" applyAlignment="1" applyBorder="1" applyFill="1" applyFont="1">
      <alignment vertical="bottom"/>
    </xf>
    <xf borderId="0" fillId="47" fontId="6" numFmtId="168" xfId="0" applyAlignment="1" applyFont="1" applyNumberFormat="1">
      <alignment horizontal="right" vertical="bottom"/>
    </xf>
    <xf borderId="1" fillId="47" fontId="6" numFmtId="168" xfId="0" applyAlignment="1" applyBorder="1" applyFont="1" applyNumberFormat="1">
      <alignment horizontal="right" vertical="bottom"/>
    </xf>
    <xf borderId="0" fillId="47" fontId="12" numFmtId="168" xfId="0" applyAlignment="1" applyFont="1" applyNumberFormat="1">
      <alignment horizontal="right" vertical="bottom"/>
    </xf>
    <xf borderId="0" fillId="48" fontId="6" numFmtId="168" xfId="0" applyAlignment="1" applyFill="1" applyFont="1" applyNumberFormat="1">
      <alignment horizontal="right" vertical="bottom"/>
    </xf>
    <xf borderId="0" fillId="49" fontId="6" numFmtId="168" xfId="0" applyAlignment="1" applyFill="1" applyFont="1" applyNumberFormat="1">
      <alignment horizontal="right" vertical="bottom"/>
    </xf>
    <xf borderId="1" fillId="49" fontId="6" numFmtId="168" xfId="0" applyAlignment="1" applyBorder="1" applyFont="1" applyNumberFormat="1">
      <alignment horizontal="right" vertical="bottom"/>
    </xf>
    <xf borderId="0" fillId="50" fontId="30" numFmtId="0" xfId="0" applyAlignment="1" applyFill="1" applyFont="1">
      <alignment horizontal="right" vertical="bottom"/>
    </xf>
    <xf borderId="1" fillId="50" fontId="30" numFmtId="0" xfId="0" applyAlignment="1" applyBorder="1" applyFont="1">
      <alignment horizontal="right" vertical="bottom"/>
    </xf>
    <xf borderId="0" fillId="50" fontId="12" numFmtId="0" xfId="0" applyAlignment="1" applyFont="1">
      <alignment horizontal="right" vertical="bottom"/>
    </xf>
    <xf borderId="0" fillId="0" fontId="6" numFmtId="171" xfId="0" applyAlignment="1" applyFont="1" applyNumberFormat="1">
      <alignment horizontal="right" vertical="bottom"/>
    </xf>
    <xf borderId="1" fillId="0" fontId="6" numFmtId="171" xfId="0" applyAlignment="1" applyBorder="1" applyFont="1" applyNumberFormat="1">
      <alignment horizontal="right" vertical="bottom"/>
    </xf>
    <xf borderId="0" fillId="0" fontId="31" numFmtId="171" xfId="0" applyAlignment="1" applyFont="1" applyNumberFormat="1">
      <alignment horizontal="right" vertical="bottom"/>
    </xf>
    <xf borderId="0" fillId="47" fontId="6" numFmtId="171" xfId="0" applyAlignment="1" applyFont="1" applyNumberFormat="1">
      <alignment horizontal="right" vertical="bottom"/>
    </xf>
    <xf borderId="1" fillId="47" fontId="6" numFmtId="171" xfId="0" applyAlignment="1" applyBorder="1" applyFont="1" applyNumberFormat="1">
      <alignment horizontal="right" vertical="bottom"/>
    </xf>
    <xf borderId="0" fillId="47" fontId="12" numFmtId="171" xfId="0" applyAlignment="1" applyFont="1" applyNumberFormat="1">
      <alignment horizontal="right" vertical="bottom"/>
    </xf>
    <xf borderId="0" fillId="50" fontId="6" numFmtId="0" xfId="0" applyAlignment="1" applyFont="1">
      <alignment horizontal="right" vertical="bottom"/>
    </xf>
    <xf borderId="1" fillId="50" fontId="6" numFmtId="0" xfId="0" applyAlignment="1" applyBorder="1" applyFont="1">
      <alignment horizontal="right" vertical="bottom"/>
    </xf>
    <xf borderId="0" fillId="47" fontId="12" numFmtId="0" xfId="0" applyAlignment="1" applyFont="1">
      <alignment horizontal="right" vertical="bottom"/>
    </xf>
    <xf borderId="0" fillId="0" fontId="6" numFmtId="1" xfId="0" applyAlignment="1" applyFont="1" applyNumberFormat="1">
      <alignment horizontal="right" vertical="bottom"/>
    </xf>
    <xf borderId="0" fillId="0" fontId="11" numFmtId="1" xfId="0" applyAlignment="1" applyFont="1" applyNumberFormat="1">
      <alignment horizontal="right" vertical="bottom"/>
    </xf>
    <xf borderId="1" fillId="50" fontId="6" numFmtId="0" xfId="0" applyAlignment="1" applyBorder="1" applyFont="1">
      <alignment vertical="bottom"/>
    </xf>
    <xf borderId="0" fillId="50" fontId="6" numFmtId="1" xfId="0" applyAlignment="1" applyFont="1" applyNumberFormat="1">
      <alignment horizontal="right" vertical="bottom"/>
    </xf>
    <xf borderId="0" fillId="50" fontId="12" numFmtId="1" xfId="0" applyAlignment="1" applyFont="1" applyNumberFormat="1">
      <alignment horizontal="right" vertical="bottom"/>
    </xf>
    <xf borderId="0" fillId="0" fontId="6" numFmtId="1" xfId="0" applyAlignment="1" applyFont="1" applyNumberFormat="1">
      <alignment vertical="bottom"/>
    </xf>
    <xf borderId="0" fillId="0" fontId="11" numFmtId="0" xfId="0" applyAlignment="1" applyFont="1">
      <alignment horizontal="right" vertical="bottom"/>
    </xf>
    <xf borderId="1" fillId="0" fontId="11" numFmtId="0" xfId="0" applyAlignment="1" applyBorder="1" applyFont="1">
      <alignment horizontal="right" vertical="bottom"/>
    </xf>
    <xf borderId="1" fillId="50" fontId="6" numFmtId="1" xfId="0" applyAlignment="1" applyBorder="1" applyFont="1" applyNumberFormat="1">
      <alignment horizontal="right" vertical="bottom"/>
    </xf>
    <xf borderId="0" fillId="51" fontId="6" numFmtId="168" xfId="0" applyAlignment="1" applyFill="1" applyFont="1" applyNumberFormat="1">
      <alignment horizontal="right" vertical="bottom"/>
    </xf>
    <xf borderId="0" fillId="52" fontId="6" numFmtId="168" xfId="0" applyAlignment="1" applyFill="1" applyFont="1" applyNumberFormat="1">
      <alignment horizontal="right" vertical="bottom"/>
    </xf>
    <xf borderId="0" fillId="53" fontId="6" numFmtId="168" xfId="0" applyAlignment="1" applyFill="1" applyFont="1" applyNumberFormat="1">
      <alignment horizontal="right" vertical="bottom"/>
    </xf>
    <xf borderId="0" fillId="54" fontId="6" numFmtId="168" xfId="0" applyAlignment="1" applyFill="1" applyFont="1" applyNumberFormat="1">
      <alignment horizontal="right" vertical="bottom"/>
    </xf>
    <xf borderId="0" fillId="55" fontId="6" numFmtId="168" xfId="0" applyAlignment="1" applyFill="1" applyFont="1" applyNumberFormat="1">
      <alignment horizontal="right" vertical="bottom"/>
    </xf>
    <xf borderId="0" fillId="56" fontId="6" numFmtId="168" xfId="0" applyAlignment="1" applyFill="1" applyFont="1" applyNumberFormat="1">
      <alignment horizontal="right" vertical="bottom"/>
    </xf>
    <xf borderId="0" fillId="57" fontId="6" numFmtId="168" xfId="0" applyAlignment="1" applyFill="1" applyFont="1" applyNumberFormat="1">
      <alignment horizontal="right" vertical="bottom"/>
    </xf>
    <xf borderId="0" fillId="58" fontId="6" numFmtId="168" xfId="0" applyAlignment="1" applyFill="1" applyFont="1" applyNumberFormat="1">
      <alignment horizontal="right" vertical="bottom"/>
    </xf>
    <xf borderId="0" fillId="59" fontId="6" numFmtId="168" xfId="0" applyAlignment="1" applyFill="1" applyFont="1" applyNumberFormat="1">
      <alignment horizontal="right" vertical="bottom"/>
    </xf>
    <xf borderId="0" fillId="60" fontId="6" numFmtId="168" xfId="0" applyAlignment="1" applyFill="1" applyFont="1" applyNumberFormat="1">
      <alignment horizontal="right" vertical="bottom"/>
    </xf>
    <xf borderId="0" fillId="61" fontId="6" numFmtId="168" xfId="0" applyAlignment="1" applyFill="1" applyFont="1" applyNumberFormat="1">
      <alignment horizontal="right" vertical="bottom"/>
    </xf>
    <xf borderId="0" fillId="62" fontId="6" numFmtId="168" xfId="0" applyAlignment="1" applyFill="1" applyFont="1" applyNumberFormat="1">
      <alignment horizontal="right" vertical="bottom"/>
    </xf>
    <xf borderId="0" fillId="63" fontId="6" numFmtId="168" xfId="0" applyAlignment="1" applyFill="1" applyFont="1" applyNumberFormat="1">
      <alignment horizontal="right" vertical="bottom"/>
    </xf>
    <xf borderId="0" fillId="64" fontId="6" numFmtId="168" xfId="0" applyAlignment="1" applyFill="1" applyFont="1" applyNumberFormat="1">
      <alignment horizontal="right" vertical="bottom"/>
    </xf>
    <xf borderId="0" fillId="65" fontId="6" numFmtId="168" xfId="0" applyAlignment="1" applyFill="1" applyFont="1" applyNumberFormat="1">
      <alignment horizontal="right" vertical="bottom"/>
    </xf>
    <xf borderId="0" fillId="66" fontId="6" numFmtId="168" xfId="0" applyAlignment="1" applyFill="1" applyFont="1" applyNumberFormat="1">
      <alignment horizontal="right" vertical="bottom"/>
    </xf>
    <xf borderId="0" fillId="67" fontId="6" numFmtId="168" xfId="0" applyAlignment="1" applyFill="1" applyFont="1" applyNumberFormat="1">
      <alignment horizontal="right" vertical="bottom"/>
    </xf>
    <xf borderId="0" fillId="68" fontId="6" numFmtId="168" xfId="0" applyAlignment="1" applyFill="1" applyFont="1" applyNumberFormat="1">
      <alignment horizontal="right" vertical="bottom"/>
    </xf>
    <xf borderId="0" fillId="69" fontId="6" numFmtId="168" xfId="0" applyAlignment="1" applyFill="1" applyFont="1" applyNumberFormat="1">
      <alignment horizontal="right" vertical="bottom"/>
    </xf>
    <xf borderId="0" fillId="70" fontId="6" numFmtId="168" xfId="0" applyAlignment="1" applyFill="1" applyFont="1" applyNumberFormat="1">
      <alignment horizontal="right" vertical="bottom"/>
    </xf>
    <xf borderId="0" fillId="71" fontId="6" numFmtId="168" xfId="0" applyAlignment="1" applyFill="1" applyFont="1" applyNumberFormat="1">
      <alignment horizontal="right" vertical="bottom"/>
    </xf>
    <xf borderId="0" fillId="72" fontId="6" numFmtId="168" xfId="0" applyAlignment="1" applyFill="1" applyFont="1" applyNumberFormat="1">
      <alignment horizontal="right" vertical="bottom"/>
    </xf>
    <xf borderId="0" fillId="73" fontId="6" numFmtId="168" xfId="0" applyAlignment="1" applyFill="1" applyFont="1" applyNumberFormat="1">
      <alignment horizontal="right" vertical="bottom"/>
    </xf>
    <xf borderId="0" fillId="74" fontId="6" numFmtId="168" xfId="0" applyAlignment="1" applyFill="1" applyFont="1" applyNumberFormat="1">
      <alignment horizontal="right" vertical="bottom"/>
    </xf>
    <xf borderId="0" fillId="75" fontId="6" numFmtId="168" xfId="0" applyAlignment="1" applyFill="1" applyFont="1" applyNumberFormat="1">
      <alignment horizontal="right" vertical="bottom"/>
    </xf>
    <xf borderId="0" fillId="76" fontId="6" numFmtId="168" xfId="0" applyAlignment="1" applyFill="1" applyFont="1" applyNumberFormat="1">
      <alignment horizontal="right" vertical="bottom"/>
    </xf>
    <xf borderId="1" fillId="77" fontId="6" numFmtId="168" xfId="0" applyAlignment="1" applyBorder="1" applyFill="1" applyFont="1" applyNumberFormat="1">
      <alignment horizontal="right" vertical="bottom"/>
    </xf>
    <xf borderId="1" fillId="0" fontId="32" numFmtId="0" xfId="0" applyAlignment="1" applyBorder="1" applyFont="1">
      <alignment vertical="bottom"/>
    </xf>
    <xf borderId="0" fillId="0" fontId="32" numFmtId="168" xfId="0" applyAlignment="1" applyFont="1" applyNumberFormat="1">
      <alignment horizontal="right" vertical="bottom"/>
    </xf>
    <xf borderId="1" fillId="78" fontId="6" numFmtId="0" xfId="0" applyAlignment="1" applyBorder="1" applyFill="1" applyFont="1">
      <alignment vertical="bottom"/>
    </xf>
    <xf borderId="0" fillId="79" fontId="12" numFmtId="2" xfId="0" applyAlignment="1" applyFill="1" applyFont="1" applyNumberFormat="1">
      <alignment horizontal="right" vertical="bottom"/>
    </xf>
    <xf borderId="0" fillId="80" fontId="12" numFmtId="2" xfId="0" applyAlignment="1" applyFill="1" applyFont="1" applyNumberFormat="1">
      <alignment horizontal="right" vertical="bottom"/>
    </xf>
    <xf borderId="0" fillId="81" fontId="12" numFmtId="2" xfId="0" applyAlignment="1" applyFill="1" applyFont="1" applyNumberFormat="1">
      <alignment horizontal="right" vertical="bottom"/>
    </xf>
    <xf borderId="0" fillId="82" fontId="12" numFmtId="2" xfId="0" applyAlignment="1" applyFill="1" applyFont="1" applyNumberFormat="1">
      <alignment horizontal="right" vertical="bottom"/>
    </xf>
    <xf borderId="0" fillId="83" fontId="12" numFmtId="2" xfId="0" applyAlignment="1" applyFill="1" applyFont="1" applyNumberFormat="1">
      <alignment horizontal="right" vertical="bottom"/>
    </xf>
    <xf borderId="0" fillId="84" fontId="12" numFmtId="2" xfId="0" applyAlignment="1" applyFill="1" applyFont="1" applyNumberFormat="1">
      <alignment horizontal="right" vertical="bottom"/>
    </xf>
    <xf borderId="0" fillId="85" fontId="12" numFmtId="2" xfId="0" applyAlignment="1" applyFill="1" applyFont="1" applyNumberFormat="1">
      <alignment horizontal="right" vertical="bottom"/>
    </xf>
    <xf borderId="0" fillId="86" fontId="12" numFmtId="2" xfId="0" applyAlignment="1" applyFill="1" applyFont="1" applyNumberFormat="1">
      <alignment horizontal="right" vertical="bottom"/>
    </xf>
    <xf borderId="0" fillId="87" fontId="12" numFmtId="2" xfId="0" applyAlignment="1" applyFill="1" applyFont="1" applyNumberFormat="1">
      <alignment horizontal="right" vertical="bottom"/>
    </xf>
    <xf borderId="0" fillId="88" fontId="12" numFmtId="2" xfId="0" applyAlignment="1" applyFill="1" applyFont="1" applyNumberFormat="1">
      <alignment horizontal="right" vertical="bottom"/>
    </xf>
    <xf borderId="0" fillId="89" fontId="12" numFmtId="2" xfId="0" applyAlignment="1" applyFill="1" applyFont="1" applyNumberFormat="1">
      <alignment horizontal="right" vertical="bottom"/>
    </xf>
    <xf borderId="0" fillId="90" fontId="12" numFmtId="2" xfId="0" applyAlignment="1" applyFill="1" applyFont="1" applyNumberFormat="1">
      <alignment horizontal="right" vertical="bottom"/>
    </xf>
    <xf borderId="0" fillId="91" fontId="12" numFmtId="2" xfId="0" applyAlignment="1" applyFill="1" applyFont="1" applyNumberFormat="1">
      <alignment horizontal="right" vertical="bottom"/>
    </xf>
    <xf borderId="0" fillId="92" fontId="12" numFmtId="2" xfId="0" applyAlignment="1" applyFill="1" applyFont="1" applyNumberFormat="1">
      <alignment horizontal="right" vertical="bottom"/>
    </xf>
    <xf borderId="0" fillId="93" fontId="12" numFmtId="2" xfId="0" applyAlignment="1" applyFill="1" applyFont="1" applyNumberFormat="1">
      <alignment horizontal="right" vertical="bottom"/>
    </xf>
    <xf borderId="0" fillId="94" fontId="12" numFmtId="2" xfId="0" applyAlignment="1" applyFill="1" applyFont="1" applyNumberFormat="1">
      <alignment horizontal="right" vertical="bottom"/>
    </xf>
    <xf borderId="0" fillId="95" fontId="12" numFmtId="2" xfId="0" applyAlignment="1" applyFill="1" applyFont="1" applyNumberFormat="1">
      <alignment horizontal="right" vertical="bottom"/>
    </xf>
    <xf borderId="0" fillId="96" fontId="12" numFmtId="2" xfId="0" applyAlignment="1" applyFill="1" applyFont="1" applyNumberFormat="1">
      <alignment horizontal="right" vertical="bottom"/>
    </xf>
    <xf borderId="0" fillId="97" fontId="12" numFmtId="2" xfId="0" applyAlignment="1" applyFill="1" applyFont="1" applyNumberFormat="1">
      <alignment horizontal="right" vertical="bottom"/>
    </xf>
    <xf borderId="0" fillId="98" fontId="12" numFmtId="2" xfId="0" applyAlignment="1" applyFill="1" applyFont="1" applyNumberFormat="1">
      <alignment horizontal="right" vertical="bottom"/>
    </xf>
    <xf borderId="0" fillId="99" fontId="12" numFmtId="2" xfId="0" applyAlignment="1" applyFill="1" applyFont="1" applyNumberFormat="1">
      <alignment horizontal="right" vertical="bottom"/>
    </xf>
    <xf borderId="0" fillId="100" fontId="12" numFmtId="2" xfId="0" applyAlignment="1" applyFill="1" applyFont="1" applyNumberFormat="1">
      <alignment horizontal="right" vertical="bottom"/>
    </xf>
    <xf borderId="0" fillId="101" fontId="12" numFmtId="2" xfId="0" applyAlignment="1" applyFill="1" applyFont="1" applyNumberFormat="1">
      <alignment horizontal="right" vertical="bottom"/>
    </xf>
    <xf borderId="0" fillId="102" fontId="12" numFmtId="2" xfId="0" applyAlignment="1" applyFill="1" applyFont="1" applyNumberFormat="1">
      <alignment horizontal="right" vertical="bottom"/>
    </xf>
    <xf borderId="0" fillId="57" fontId="12" numFmtId="2" xfId="0" applyAlignment="1" applyFont="1" applyNumberFormat="1">
      <alignment horizontal="right" vertical="bottom"/>
    </xf>
    <xf borderId="0" fillId="103" fontId="12" numFmtId="2" xfId="0" applyAlignment="1" applyFill="1" applyFont="1" applyNumberFormat="1">
      <alignment horizontal="right" vertical="bottom"/>
    </xf>
    <xf borderId="0" fillId="104" fontId="12" numFmtId="2" xfId="0" applyAlignment="1" applyFill="1" applyFont="1" applyNumberFormat="1">
      <alignment horizontal="right" vertical="bottom"/>
    </xf>
    <xf borderId="1" fillId="105" fontId="12" numFmtId="2" xfId="0" applyAlignment="1" applyBorder="1" applyFill="1" applyFont="1" applyNumberFormat="1">
      <alignment horizontal="right" vertical="bottom"/>
    </xf>
    <xf borderId="0" fillId="106" fontId="6" numFmtId="0" xfId="0" applyAlignment="1" applyFill="1" applyFont="1">
      <alignment horizontal="right" vertical="bottom"/>
    </xf>
    <xf borderId="0" fillId="107" fontId="6" numFmtId="0" xfId="0" applyAlignment="1" applyFill="1" applyFont="1">
      <alignment horizontal="right" vertical="bottom"/>
    </xf>
    <xf borderId="0" fillId="108" fontId="6" numFmtId="0" xfId="0" applyAlignment="1" applyFill="1" applyFont="1">
      <alignment horizontal="right" vertical="bottom"/>
    </xf>
    <xf borderId="0" fillId="109" fontId="6" numFmtId="0" xfId="0" applyAlignment="1" applyFill="1" applyFont="1">
      <alignment horizontal="right" vertical="bottom"/>
    </xf>
    <xf borderId="0" fillId="110" fontId="6" numFmtId="0" xfId="0" applyAlignment="1" applyFill="1" applyFont="1">
      <alignment horizontal="right" vertical="bottom"/>
    </xf>
    <xf borderId="0" fillId="111" fontId="6" numFmtId="0" xfId="0" applyAlignment="1" applyFill="1" applyFont="1">
      <alignment horizontal="right" vertical="bottom"/>
    </xf>
    <xf borderId="0" fillId="112" fontId="6" numFmtId="0" xfId="0" applyAlignment="1" applyFill="1" applyFont="1">
      <alignment horizontal="right" vertical="bottom"/>
    </xf>
    <xf borderId="0" fillId="113" fontId="6" numFmtId="0" xfId="0" applyAlignment="1" applyFill="1" applyFont="1">
      <alignment horizontal="right" vertical="bottom"/>
    </xf>
    <xf borderId="0" fillId="114" fontId="6" numFmtId="0" xfId="0" applyAlignment="1" applyFill="1" applyFont="1">
      <alignment horizontal="right" vertical="bottom"/>
    </xf>
    <xf borderId="0" fillId="115" fontId="6" numFmtId="0" xfId="0" applyAlignment="1" applyFill="1" applyFont="1">
      <alignment horizontal="right" vertical="bottom"/>
    </xf>
    <xf borderId="0" fillId="116" fontId="6" numFmtId="0" xfId="0" applyAlignment="1" applyFill="1" applyFont="1">
      <alignment horizontal="right" vertical="bottom"/>
    </xf>
    <xf borderId="0" fillId="117" fontId="6" numFmtId="0" xfId="0" applyAlignment="1" applyFill="1" applyFont="1">
      <alignment horizontal="right" vertical="bottom"/>
    </xf>
    <xf borderId="0" fillId="118" fontId="6" numFmtId="0" xfId="0" applyAlignment="1" applyFill="1" applyFont="1">
      <alignment horizontal="right" vertical="bottom"/>
    </xf>
    <xf borderId="0" fillId="119" fontId="6" numFmtId="0" xfId="0" applyAlignment="1" applyFill="1" applyFont="1">
      <alignment horizontal="right" vertical="bottom"/>
    </xf>
    <xf borderId="0" fillId="82" fontId="6" numFmtId="0" xfId="0" applyAlignment="1" applyFont="1">
      <alignment horizontal="right" vertical="bottom"/>
    </xf>
    <xf borderId="0" fillId="120" fontId="6" numFmtId="0" xfId="0" applyAlignment="1" applyFill="1" applyFont="1">
      <alignment horizontal="right" vertical="bottom"/>
    </xf>
    <xf borderId="0" fillId="121" fontId="6" numFmtId="0" xfId="0" applyAlignment="1" applyFill="1" applyFont="1">
      <alignment horizontal="right" vertical="bottom"/>
    </xf>
    <xf borderId="0" fillId="92" fontId="6" numFmtId="0" xfId="0" applyAlignment="1" applyFont="1">
      <alignment horizontal="right" vertical="bottom"/>
    </xf>
    <xf borderId="0" fillId="98" fontId="6" numFmtId="0" xfId="0" applyAlignment="1" applyFont="1">
      <alignment horizontal="right" vertical="bottom"/>
    </xf>
    <xf borderId="0" fillId="122" fontId="6" numFmtId="0" xfId="0" applyAlignment="1" applyFill="1" applyFont="1">
      <alignment horizontal="right" vertical="bottom"/>
    </xf>
    <xf borderId="0" fillId="123" fontId="6" numFmtId="0" xfId="0" applyAlignment="1" applyFill="1" applyFont="1">
      <alignment horizontal="right" vertical="bottom"/>
    </xf>
    <xf borderId="0" fillId="124" fontId="6" numFmtId="0" xfId="0" applyAlignment="1" applyFill="1" applyFont="1">
      <alignment horizontal="right" vertical="bottom"/>
    </xf>
    <xf borderId="0" fillId="90" fontId="6" numFmtId="0" xfId="0" applyAlignment="1" applyFont="1">
      <alignment horizontal="right" vertical="bottom"/>
    </xf>
    <xf borderId="0" fillId="99" fontId="6" numFmtId="0" xfId="0" applyAlignment="1" applyFont="1">
      <alignment horizontal="right" vertical="bottom"/>
    </xf>
    <xf borderId="0" fillId="57" fontId="6" numFmtId="0" xfId="0" applyAlignment="1" applyFont="1">
      <alignment horizontal="right" vertical="bottom"/>
    </xf>
    <xf borderId="0" fillId="125" fontId="6" numFmtId="0" xfId="0" applyAlignment="1" applyFill="1" applyFont="1">
      <alignment horizontal="right" vertical="bottom"/>
    </xf>
    <xf borderId="0" fillId="126" fontId="6" numFmtId="0" xfId="0" applyAlignment="1" applyFill="1" applyFont="1">
      <alignment horizontal="right" vertical="bottom"/>
    </xf>
    <xf borderId="1" fillId="103" fontId="6" numFmtId="0" xfId="0" applyAlignment="1" applyBorder="1" applyFont="1">
      <alignment horizontal="right" vertical="bottom"/>
    </xf>
    <xf borderId="0" fillId="0" fontId="6" numFmtId="176" xfId="0" applyAlignment="1" applyFont="1" applyNumberFormat="1">
      <alignment vertical="bottom"/>
    </xf>
    <xf borderId="1" fillId="0" fontId="6" numFmtId="176" xfId="0" applyAlignment="1" applyBorder="1" applyFont="1" applyNumberFormat="1">
      <alignment vertical="bottom"/>
    </xf>
    <xf borderId="1" fillId="0" fontId="6" numFmtId="2" xfId="0" applyAlignment="1" applyBorder="1" applyFont="1" applyNumberFormat="1">
      <alignment horizontal="right" vertical="bottom"/>
    </xf>
    <xf borderId="0" fillId="127" fontId="6" numFmtId="168" xfId="0" applyAlignment="1" applyFill="1" applyFont="1" applyNumberFormat="1">
      <alignment vertical="bottom"/>
    </xf>
    <xf borderId="1" fillId="127" fontId="6" numFmtId="168" xfId="0" applyAlignment="1" applyBorder="1" applyFont="1" applyNumberFormat="1">
      <alignment vertical="bottom"/>
    </xf>
    <xf borderId="0" fillId="0" fontId="33" numFmtId="168" xfId="0" applyAlignment="1" applyFont="1" applyNumberFormat="1">
      <alignment horizontal="right" vertical="bottom"/>
    </xf>
    <xf borderId="1" fillId="0" fontId="33" numFmtId="168" xfId="0" applyAlignment="1" applyBorder="1" applyFont="1" applyNumberFormat="1">
      <alignment horizontal="right" vertical="bottom"/>
    </xf>
    <xf borderId="0" fillId="0" fontId="27" numFmtId="168" xfId="0" applyAlignment="1" applyFont="1" applyNumberFormat="1">
      <alignment horizontal="right" vertical="bottom"/>
    </xf>
    <xf borderId="1" fillId="0" fontId="27" numFmtId="168" xfId="0" applyAlignment="1" applyBorder="1" applyFont="1" applyNumberFormat="1">
      <alignment horizontal="right" vertical="bottom"/>
    </xf>
  </cellXfs>
  <cellStyles count="1">
    <cellStyle xfId="0" name="Normal" builtinId="0"/>
  </cellStyles>
  <dxfs count="3">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Sales!$A$8</c:f>
            </c:strRef>
          </c:tx>
          <c:spPr>
            <a:solidFill>
              <a:srgbClr val="4285F4">
                <a:alpha val="30000"/>
              </a:srgbClr>
            </a:solidFill>
            <a:ln cmpd="sng">
              <a:solidFill>
                <a:srgbClr val="4285F4"/>
              </a:solidFill>
            </a:ln>
          </c:spPr>
          <c:cat>
            <c:strRef>
              <c:f>Sales!$B$1:$AF$1</c:f>
            </c:strRef>
          </c:cat>
          <c:val>
            <c:numRef>
              <c:f>Sales!$B$8:$AF$8</c:f>
              <c:numCache/>
            </c:numRef>
          </c:val>
        </c:ser>
        <c:ser>
          <c:idx val="1"/>
          <c:order val="1"/>
          <c:tx>
            <c:strRef>
              <c:f>Sales!$A$16</c:f>
            </c:strRef>
          </c:tx>
          <c:spPr>
            <a:solidFill>
              <a:srgbClr val="EA4335">
                <a:alpha val="30000"/>
              </a:srgbClr>
            </a:solidFill>
            <a:ln cmpd="sng">
              <a:solidFill>
                <a:srgbClr val="EA4335"/>
              </a:solidFill>
            </a:ln>
          </c:spPr>
          <c:cat>
            <c:strRef>
              <c:f>Sales!$B$1:$AF$1</c:f>
            </c:strRef>
          </c:cat>
          <c:val>
            <c:numRef>
              <c:f>Sales!$B$16:$AF$16</c:f>
              <c:numCache/>
            </c:numRef>
          </c:val>
        </c:ser>
        <c:axId val="830545782"/>
        <c:axId val="844972896"/>
      </c:areaChart>
      <c:catAx>
        <c:axId val="830545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4972896"/>
      </c:catAx>
      <c:valAx>
        <c:axId val="844972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05457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a:t>
            </a:r>
          </a:p>
        </c:rich>
      </c:tx>
      <c:overlay val="0"/>
    </c:title>
    <c:plotArea>
      <c:layout/>
      <c:barChart>
        <c:barDir val="col"/>
        <c:ser>
          <c:idx val="0"/>
          <c:order val="0"/>
          <c:tx>
            <c:strRef>
              <c:f>Sales!$A$18</c:f>
            </c:strRef>
          </c:tx>
          <c:spPr>
            <a:solidFill>
              <a:schemeClr val="accent1"/>
            </a:solidFill>
            <a:ln cmpd="sng">
              <a:noFill/>
            </a:ln>
          </c:spPr>
          <c:cat>
            <c:strRef>
              <c:f>Sales!$B$1:$AF$1</c:f>
            </c:strRef>
          </c:cat>
          <c:val>
            <c:numRef>
              <c:f>Sales!$B$18:$AF$18</c:f>
              <c:numCache/>
            </c:numRef>
          </c:val>
        </c:ser>
        <c:axId val="1908812321"/>
        <c:axId val="1391529638"/>
      </c:barChart>
      <c:catAx>
        <c:axId val="1908812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1529638"/>
      </c:catAx>
      <c:valAx>
        <c:axId val="1391529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88123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lineChart>
        <c:ser>
          <c:idx val="0"/>
          <c:order val="0"/>
          <c:tx>
            <c:strRef>
              <c:f>Sales!$A$8</c:f>
            </c:strRef>
          </c:tx>
          <c:spPr>
            <a:ln cmpd="sng">
              <a:solidFill>
                <a:srgbClr val="4285F4"/>
              </a:solidFill>
            </a:ln>
          </c:spPr>
          <c:marker>
            <c:symbol val="none"/>
          </c:marker>
          <c:cat>
            <c:strRef>
              <c:f>Sales!$B$1:$AF$1</c:f>
            </c:strRef>
          </c:cat>
          <c:val>
            <c:numRef>
              <c:f>Sales!$B$8:$AF$8</c:f>
              <c:numCache/>
            </c:numRef>
          </c:val>
          <c:smooth val="0"/>
        </c:ser>
        <c:ser>
          <c:idx val="1"/>
          <c:order val="1"/>
          <c:tx>
            <c:strRef>
              <c:f>Sales!$A$16</c:f>
            </c:strRef>
          </c:tx>
          <c:spPr>
            <a:ln cmpd="sng">
              <a:solidFill>
                <a:srgbClr val="EA4335"/>
              </a:solidFill>
            </a:ln>
          </c:spPr>
          <c:marker>
            <c:symbol val="none"/>
          </c:marker>
          <c:cat>
            <c:strRef>
              <c:f>Sales!$B$1:$AF$1</c:f>
            </c:strRef>
          </c:cat>
          <c:val>
            <c:numRef>
              <c:f>Sales!$B$16:$AF$16</c:f>
              <c:numCache/>
            </c:numRef>
          </c:val>
          <c:smooth val="0"/>
        </c:ser>
        <c:axId val="2039063439"/>
        <c:axId val="1143541695"/>
      </c:lineChart>
      <c:catAx>
        <c:axId val="2039063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3541695"/>
      </c:catAx>
      <c:valAx>
        <c:axId val="1143541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906343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40</xdr:row>
      <xdr:rowOff>0</xdr:rowOff>
    </xdr:from>
    <xdr:ext cx="7781925" cy="225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51</xdr:row>
      <xdr:rowOff>57150</xdr:rowOff>
    </xdr:from>
    <xdr:ext cx="7781925" cy="2314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704850</xdr:colOff>
      <xdr:row>39</xdr:row>
      <xdr:rowOff>200025</xdr:rowOff>
    </xdr:from>
    <xdr:ext cx="7038975" cy="4600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1" t="s">
        <v>2</v>
      </c>
      <c r="B1" s="3">
        <v>44378.0</v>
      </c>
      <c r="C1" s="3">
        <v>44379.0</v>
      </c>
      <c r="D1" s="3">
        <v>44380.0</v>
      </c>
      <c r="E1" s="3">
        <v>44381.0</v>
      </c>
      <c r="F1" s="3">
        <v>44382.0</v>
      </c>
      <c r="G1" s="3">
        <v>44383.0</v>
      </c>
      <c r="H1" s="3">
        <v>44384.0</v>
      </c>
      <c r="I1" s="3">
        <v>44385.0</v>
      </c>
      <c r="J1" s="3">
        <v>44386.0</v>
      </c>
      <c r="K1" s="3">
        <v>44387.0</v>
      </c>
      <c r="L1" s="3">
        <v>44388.0</v>
      </c>
      <c r="M1" s="3">
        <v>44389.0</v>
      </c>
      <c r="N1" s="3">
        <v>44390.0</v>
      </c>
      <c r="O1" s="3">
        <v>44391.0</v>
      </c>
      <c r="P1" s="3">
        <v>44392.0</v>
      </c>
      <c r="Q1" s="3">
        <v>44393.0</v>
      </c>
      <c r="R1" s="3">
        <v>44394.0</v>
      </c>
      <c r="S1" s="3">
        <v>44395.0</v>
      </c>
      <c r="T1" s="3">
        <v>44396.0</v>
      </c>
      <c r="U1" s="3">
        <v>44397.0</v>
      </c>
      <c r="V1" s="3">
        <v>44398.0</v>
      </c>
      <c r="W1" s="3">
        <v>44399.0</v>
      </c>
      <c r="X1" s="3">
        <v>44400.0</v>
      </c>
      <c r="Y1" s="3">
        <v>44401.0</v>
      </c>
      <c r="Z1" s="3">
        <v>44402.0</v>
      </c>
      <c r="AA1" s="3">
        <v>44403.0</v>
      </c>
      <c r="AB1" s="3">
        <v>44404.0</v>
      </c>
      <c r="AC1" s="3">
        <v>44405.0</v>
      </c>
      <c r="AD1" s="3">
        <v>44406.0</v>
      </c>
      <c r="AE1" s="3">
        <v>44407.0</v>
      </c>
      <c r="AF1" s="3">
        <v>44408.0</v>
      </c>
    </row>
    <row r="2">
      <c r="B2" s="95" t="s">
        <v>36</v>
      </c>
      <c r="C2" s="95" t="s">
        <v>25</v>
      </c>
      <c r="D2" s="95" t="s">
        <v>29</v>
      </c>
      <c r="E2" s="95" t="s">
        <v>31</v>
      </c>
      <c r="F2" s="95" t="s">
        <v>33</v>
      </c>
      <c r="G2" s="95" t="s">
        <v>34</v>
      </c>
      <c r="H2" s="95" t="s">
        <v>35</v>
      </c>
      <c r="I2" s="95" t="s">
        <v>36</v>
      </c>
      <c r="J2" s="95" t="s">
        <v>25</v>
      </c>
      <c r="K2" s="95" t="s">
        <v>29</v>
      </c>
      <c r="L2" s="95" t="s">
        <v>31</v>
      </c>
      <c r="M2" s="95" t="s">
        <v>33</v>
      </c>
      <c r="N2" s="95" t="s">
        <v>34</v>
      </c>
      <c r="O2" s="95" t="s">
        <v>35</v>
      </c>
      <c r="P2" s="95" t="s">
        <v>36</v>
      </c>
      <c r="Q2" s="95" t="s">
        <v>25</v>
      </c>
      <c r="R2" s="95" t="s">
        <v>29</v>
      </c>
      <c r="S2" s="95" t="s">
        <v>31</v>
      </c>
      <c r="T2" s="95" t="s">
        <v>33</v>
      </c>
      <c r="U2" s="95" t="s">
        <v>34</v>
      </c>
      <c r="V2" s="95" t="s">
        <v>35</v>
      </c>
      <c r="W2" s="95" t="s">
        <v>36</v>
      </c>
      <c r="X2" s="95" t="s">
        <v>25</v>
      </c>
      <c r="Y2" s="95" t="s">
        <v>29</v>
      </c>
      <c r="Z2" s="95" t="s">
        <v>31</v>
      </c>
      <c r="AA2" s="95" t="s">
        <v>33</v>
      </c>
      <c r="AB2" s="95" t="s">
        <v>34</v>
      </c>
      <c r="AC2" s="95" t="s">
        <v>35</v>
      </c>
      <c r="AD2" s="95" t="s">
        <v>36</v>
      </c>
      <c r="AE2" s="95" t="s">
        <v>25</v>
      </c>
      <c r="AF2" s="95" t="s">
        <v>29</v>
      </c>
    </row>
    <row r="3">
      <c r="P3" s="98" t="s">
        <v>120</v>
      </c>
    </row>
    <row r="4">
      <c r="A4" s="47" t="s">
        <v>116</v>
      </c>
      <c r="D4" s="99" t="s">
        <v>118</v>
      </c>
      <c r="H4" s="24"/>
      <c r="J4" s="24"/>
      <c r="N4" s="24"/>
      <c r="P4" s="99" t="s">
        <v>119</v>
      </c>
    </row>
    <row r="6">
      <c r="A6" s="47" t="s">
        <v>91</v>
      </c>
      <c r="B6" s="103">
        <v>1494.0</v>
      </c>
      <c r="C6" s="103">
        <v>2164.0</v>
      </c>
      <c r="D6" s="103">
        <v>3071.0</v>
      </c>
      <c r="E6" s="103">
        <v>2450.0</v>
      </c>
      <c r="F6" s="103">
        <v>2393.0</v>
      </c>
      <c r="G6" s="103">
        <v>2670.0</v>
      </c>
      <c r="H6" s="103">
        <v>739.0</v>
      </c>
      <c r="I6" s="103">
        <v>830.0</v>
      </c>
      <c r="J6" s="103">
        <v>1079.0</v>
      </c>
      <c r="K6" s="103">
        <v>1260.0</v>
      </c>
      <c r="L6" s="103">
        <v>2681.0</v>
      </c>
      <c r="M6" s="103">
        <v>2436.0</v>
      </c>
      <c r="N6" s="103">
        <v>1653.0</v>
      </c>
      <c r="O6" s="103">
        <v>991.0</v>
      </c>
      <c r="P6" s="103">
        <v>1709.0</v>
      </c>
      <c r="Q6" s="103">
        <v>1807.0</v>
      </c>
      <c r="R6" s="103">
        <v>1262.0</v>
      </c>
      <c r="S6" s="103">
        <v>1053.0</v>
      </c>
      <c r="T6" s="103">
        <v>497.0</v>
      </c>
      <c r="U6" s="103">
        <v>548.0</v>
      </c>
      <c r="V6" s="103">
        <v>899.0</v>
      </c>
      <c r="W6" s="103">
        <v>430.0</v>
      </c>
      <c r="X6" s="103">
        <v>957.0</v>
      </c>
      <c r="Y6" s="103" t="s">
        <v>140</v>
      </c>
      <c r="Z6" s="103">
        <v>960.0</v>
      </c>
      <c r="AA6" s="103">
        <v>1044.0</v>
      </c>
      <c r="AB6" s="103">
        <v>279.0</v>
      </c>
      <c r="AC6" s="103">
        <v>497.0</v>
      </c>
      <c r="AD6" s="103">
        <v>3470.0</v>
      </c>
      <c r="AE6" s="103">
        <v>2752.0</v>
      </c>
      <c r="AF6" s="103">
        <v>2740.0</v>
      </c>
    </row>
    <row r="7">
      <c r="A7" s="47" t="s">
        <v>14</v>
      </c>
      <c r="B7" s="103">
        <v>32570.0</v>
      </c>
      <c r="C7" s="103">
        <v>36572.0</v>
      </c>
      <c r="D7" s="103">
        <v>35247.0</v>
      </c>
      <c r="E7" s="103">
        <v>31947.0</v>
      </c>
      <c r="F7" s="103">
        <v>31505.0</v>
      </c>
      <c r="G7" s="103">
        <v>28047.0</v>
      </c>
      <c r="H7" s="103">
        <v>18320.0</v>
      </c>
      <c r="I7" s="103">
        <v>23546.0</v>
      </c>
      <c r="J7" s="103">
        <v>29945.0</v>
      </c>
      <c r="K7" s="103">
        <v>35012.0</v>
      </c>
      <c r="L7" s="103">
        <v>32320.0</v>
      </c>
      <c r="M7" s="103">
        <v>35489.0</v>
      </c>
      <c r="N7" s="103">
        <v>32089.0</v>
      </c>
      <c r="O7" s="103">
        <v>28874.0</v>
      </c>
      <c r="P7" s="103">
        <v>36346.0</v>
      </c>
      <c r="Q7" s="103">
        <v>58331.0</v>
      </c>
      <c r="R7" s="103">
        <v>53841.0</v>
      </c>
      <c r="S7" s="103">
        <v>64157.0</v>
      </c>
      <c r="T7" s="103">
        <v>69793.0</v>
      </c>
      <c r="U7" s="103">
        <v>61156.0</v>
      </c>
      <c r="V7" s="103">
        <v>53592.0</v>
      </c>
      <c r="W7" s="103">
        <v>68150.0</v>
      </c>
      <c r="X7" s="103">
        <v>67098.0</v>
      </c>
      <c r="Y7" s="103">
        <v>74028.0</v>
      </c>
      <c r="Z7" s="103">
        <v>74028.0</v>
      </c>
      <c r="AA7" s="103">
        <v>84790.0</v>
      </c>
      <c r="AB7" s="103">
        <v>105949.0</v>
      </c>
      <c r="AC7" s="103">
        <v>32844.0</v>
      </c>
      <c r="AD7" s="103">
        <v>25310.0</v>
      </c>
      <c r="AE7" s="103">
        <v>22662.0</v>
      </c>
      <c r="AF7" s="103">
        <v>18654.0</v>
      </c>
    </row>
    <row r="8">
      <c r="A8" s="107" t="s">
        <v>143</v>
      </c>
      <c r="B8" s="108">
        <f t="shared" ref="B8:AF8" si="1">SUM(B6:B7)</f>
        <v>34064</v>
      </c>
      <c r="C8" s="108">
        <f t="shared" si="1"/>
        <v>38736</v>
      </c>
      <c r="D8" s="108">
        <f t="shared" si="1"/>
        <v>38318</v>
      </c>
      <c r="E8" s="108">
        <f t="shared" si="1"/>
        <v>34397</v>
      </c>
      <c r="F8" s="108">
        <f t="shared" si="1"/>
        <v>33898</v>
      </c>
      <c r="G8" s="108">
        <f t="shared" si="1"/>
        <v>30717</v>
      </c>
      <c r="H8" s="108">
        <f t="shared" si="1"/>
        <v>19059</v>
      </c>
      <c r="I8" s="108">
        <f t="shared" si="1"/>
        <v>24376</v>
      </c>
      <c r="J8" s="108">
        <f t="shared" si="1"/>
        <v>31024</v>
      </c>
      <c r="K8" s="108">
        <f t="shared" si="1"/>
        <v>36272</v>
      </c>
      <c r="L8" s="108">
        <f t="shared" si="1"/>
        <v>35001</v>
      </c>
      <c r="M8" s="108">
        <f t="shared" si="1"/>
        <v>37925</v>
      </c>
      <c r="N8" s="108">
        <f t="shared" si="1"/>
        <v>33742</v>
      </c>
      <c r="O8" s="108">
        <f t="shared" si="1"/>
        <v>29865</v>
      </c>
      <c r="P8" s="108">
        <f t="shared" si="1"/>
        <v>38055</v>
      </c>
      <c r="Q8" s="108">
        <f t="shared" si="1"/>
        <v>60138</v>
      </c>
      <c r="R8" s="108">
        <f t="shared" si="1"/>
        <v>55103</v>
      </c>
      <c r="S8" s="108">
        <f t="shared" si="1"/>
        <v>65210</v>
      </c>
      <c r="T8" s="108">
        <f t="shared" si="1"/>
        <v>70290</v>
      </c>
      <c r="U8" s="108">
        <f t="shared" si="1"/>
        <v>61704</v>
      </c>
      <c r="V8" s="108">
        <f t="shared" si="1"/>
        <v>54491</v>
      </c>
      <c r="W8" s="108">
        <f t="shared" si="1"/>
        <v>68580</v>
      </c>
      <c r="X8" s="108">
        <f t="shared" si="1"/>
        <v>68055</v>
      </c>
      <c r="Y8" s="108">
        <f t="shared" si="1"/>
        <v>74028</v>
      </c>
      <c r="Z8" s="108">
        <f t="shared" si="1"/>
        <v>74988</v>
      </c>
      <c r="AA8" s="108">
        <f t="shared" si="1"/>
        <v>85834</v>
      </c>
      <c r="AB8" s="108">
        <f t="shared" si="1"/>
        <v>106228</v>
      </c>
      <c r="AC8" s="108">
        <f t="shared" si="1"/>
        <v>33341</v>
      </c>
      <c r="AD8" s="108">
        <f t="shared" si="1"/>
        <v>28780</v>
      </c>
      <c r="AE8" s="108">
        <f t="shared" si="1"/>
        <v>25414</v>
      </c>
      <c r="AF8" s="108">
        <f t="shared" si="1"/>
        <v>21394</v>
      </c>
    </row>
    <row r="9">
      <c r="A9" s="24" t="s">
        <v>71</v>
      </c>
      <c r="B9" s="24">
        <v>124.0</v>
      </c>
      <c r="C9" s="24">
        <v>148.0</v>
      </c>
      <c r="D9" s="24">
        <v>139.0</v>
      </c>
      <c r="E9" s="24">
        <v>130.0</v>
      </c>
      <c r="F9" s="24">
        <v>124.0</v>
      </c>
      <c r="G9" s="24">
        <v>114.0</v>
      </c>
      <c r="H9" s="24">
        <v>67.0</v>
      </c>
      <c r="I9" s="24">
        <v>89.0</v>
      </c>
      <c r="J9" s="24">
        <v>116.0</v>
      </c>
      <c r="K9" s="24">
        <v>130.0</v>
      </c>
      <c r="L9" s="24">
        <v>125.0</v>
      </c>
      <c r="M9" s="24">
        <v>132.0</v>
      </c>
      <c r="N9" s="24">
        <v>129.0</v>
      </c>
      <c r="O9" s="24">
        <v>115.0</v>
      </c>
      <c r="P9" s="24">
        <v>140.0</v>
      </c>
      <c r="Q9" s="24">
        <v>214.0</v>
      </c>
      <c r="R9" s="24">
        <v>191.0</v>
      </c>
      <c r="S9" s="24">
        <v>236.0</v>
      </c>
      <c r="T9" s="24">
        <v>251.0</v>
      </c>
      <c r="U9" s="24">
        <v>224.0</v>
      </c>
      <c r="V9" s="24">
        <v>196.0</v>
      </c>
      <c r="W9" s="24">
        <v>240.0</v>
      </c>
      <c r="X9" s="24">
        <v>250.0</v>
      </c>
      <c r="Y9" s="24">
        <v>268.0</v>
      </c>
      <c r="Z9" s="24">
        <v>276.0</v>
      </c>
      <c r="AA9" s="24">
        <v>309.0</v>
      </c>
      <c r="AB9" s="24">
        <v>387.0</v>
      </c>
      <c r="AC9" s="24">
        <v>123.0</v>
      </c>
      <c r="AD9" s="24">
        <v>103.0</v>
      </c>
      <c r="AE9" s="24">
        <v>102.0</v>
      </c>
      <c r="AF9" s="24">
        <v>76.0</v>
      </c>
    </row>
    <row r="11">
      <c r="A11" s="47" t="s">
        <v>151</v>
      </c>
      <c r="B11" s="103">
        <v>466.35</v>
      </c>
      <c r="C11" s="103">
        <v>557.79</v>
      </c>
      <c r="D11" s="103">
        <v>415.28</v>
      </c>
      <c r="E11" s="103">
        <v>492.65</v>
      </c>
      <c r="F11" s="103">
        <v>526.14</v>
      </c>
      <c r="G11" s="103">
        <v>527.95</v>
      </c>
      <c r="H11" s="103">
        <v>1094.22</v>
      </c>
      <c r="I11" s="103">
        <v>724.88</v>
      </c>
      <c r="J11" s="103">
        <v>799.12</v>
      </c>
      <c r="K11" s="103">
        <v>681.39</v>
      </c>
      <c r="L11" s="103">
        <v>789.56</v>
      </c>
      <c r="M11" s="103">
        <v>747.59</v>
      </c>
      <c r="N11" s="103">
        <v>764.36</v>
      </c>
      <c r="O11" s="103">
        <v>651.47</v>
      </c>
      <c r="P11" s="103">
        <v>753.26</v>
      </c>
      <c r="Q11" s="103">
        <v>730.47</v>
      </c>
      <c r="R11" s="103">
        <v>721.01</v>
      </c>
      <c r="S11" s="103">
        <v>873.99</v>
      </c>
      <c r="T11" s="103">
        <v>724.78</v>
      </c>
      <c r="U11" s="103">
        <v>687.1</v>
      </c>
      <c r="V11" s="103">
        <v>739.52</v>
      </c>
      <c r="W11" s="103">
        <v>878.29</v>
      </c>
      <c r="X11" s="103">
        <v>768.91</v>
      </c>
      <c r="Y11" s="103">
        <v>841.67</v>
      </c>
      <c r="Z11" s="103">
        <v>871.36</v>
      </c>
      <c r="AA11" s="103">
        <v>861.98</v>
      </c>
      <c r="AB11" s="103">
        <v>851.09</v>
      </c>
      <c r="AC11" s="103">
        <v>843.44</v>
      </c>
      <c r="AD11" s="103">
        <v>754.03</v>
      </c>
      <c r="AE11" s="103">
        <v>536.77</v>
      </c>
      <c r="AF11" s="103">
        <v>524.85</v>
      </c>
    </row>
    <row r="12">
      <c r="A12" s="47" t="s">
        <v>157</v>
      </c>
      <c r="B12" s="103">
        <v>3695.48</v>
      </c>
      <c r="C12" s="103">
        <v>3545.88</v>
      </c>
      <c r="D12" s="103">
        <v>4168.04</v>
      </c>
      <c r="E12" s="103">
        <v>4831.33</v>
      </c>
      <c r="F12" s="103">
        <v>4041.1</v>
      </c>
      <c r="G12" s="103">
        <v>4074.07</v>
      </c>
      <c r="H12" s="103">
        <v>3809.39</v>
      </c>
      <c r="I12" s="103">
        <v>3458.92</v>
      </c>
      <c r="J12" s="103">
        <v>4562.25</v>
      </c>
      <c r="K12" s="103">
        <v>4618.71</v>
      </c>
      <c r="L12" s="103">
        <v>3870.15</v>
      </c>
      <c r="M12" s="103">
        <v>3546.59</v>
      </c>
      <c r="N12" s="103">
        <v>3641.65</v>
      </c>
      <c r="O12" s="103">
        <v>3740.82</v>
      </c>
      <c r="P12" s="103">
        <v>3726.01</v>
      </c>
      <c r="Q12" s="103">
        <v>5033.64</v>
      </c>
      <c r="R12" s="103">
        <v>5449.73</v>
      </c>
      <c r="S12" s="103">
        <v>6357.9</v>
      </c>
      <c r="T12" s="103">
        <v>6437.62</v>
      </c>
      <c r="U12" s="103">
        <v>6524.42</v>
      </c>
      <c r="V12" s="103">
        <v>5887.25</v>
      </c>
      <c r="W12" s="103">
        <v>5769.24</v>
      </c>
      <c r="X12" s="103">
        <v>5966.33</v>
      </c>
      <c r="Y12" s="103">
        <v>6320.78</v>
      </c>
      <c r="Z12" s="103">
        <v>6113.38</v>
      </c>
      <c r="AA12" s="103">
        <v>6485.27</v>
      </c>
      <c r="AB12" s="103">
        <v>6985.3</v>
      </c>
      <c r="AC12" s="103">
        <v>6083.54</v>
      </c>
      <c r="AD12" s="103">
        <v>4941.01</v>
      </c>
      <c r="AE12" s="103">
        <v>4500.04</v>
      </c>
      <c r="AF12" s="103">
        <v>3185.92</v>
      </c>
    </row>
    <row r="13">
      <c r="A13" s="47" t="s">
        <v>158</v>
      </c>
      <c r="B13" s="103">
        <v>5553.14</v>
      </c>
      <c r="C13" s="103">
        <v>6872.68</v>
      </c>
      <c r="D13" s="103">
        <v>5919.93</v>
      </c>
      <c r="E13" s="103">
        <v>6158.61</v>
      </c>
      <c r="F13" s="103">
        <v>6142.48</v>
      </c>
      <c r="G13" s="103">
        <v>5097.48</v>
      </c>
      <c r="H13" s="103">
        <v>4100.45</v>
      </c>
      <c r="I13" s="103">
        <v>4665.71</v>
      </c>
      <c r="J13" s="103">
        <v>5688.67</v>
      </c>
      <c r="K13" s="103">
        <v>6123.01</v>
      </c>
      <c r="L13" s="103">
        <v>6258.65</v>
      </c>
      <c r="M13" s="103">
        <v>7417.23</v>
      </c>
      <c r="N13" s="103">
        <v>6783.07</v>
      </c>
      <c r="O13" s="103">
        <v>6084.74</v>
      </c>
      <c r="P13" s="103">
        <v>7568.07</v>
      </c>
      <c r="Q13" s="103">
        <v>10047.87</v>
      </c>
      <c r="R13" s="103">
        <v>10400.47</v>
      </c>
      <c r="S13" s="103">
        <v>10796.9</v>
      </c>
      <c r="T13" s="103">
        <v>11091.63</v>
      </c>
      <c r="U13" s="103">
        <v>10082.93</v>
      </c>
      <c r="V13" s="103">
        <v>8600.94</v>
      </c>
      <c r="W13" s="103">
        <v>9160.89</v>
      </c>
      <c r="X13" s="103">
        <v>12450.31</v>
      </c>
      <c r="Y13" s="103">
        <v>14765.62</v>
      </c>
      <c r="Z13" s="103">
        <v>16563.23</v>
      </c>
      <c r="AA13" s="103">
        <v>17327.89</v>
      </c>
      <c r="AB13" s="103">
        <v>20220.9</v>
      </c>
      <c r="AC13" s="103">
        <v>14324.31</v>
      </c>
      <c r="AD13" s="103">
        <v>9103.11</v>
      </c>
      <c r="AE13" s="103">
        <v>9450.57</v>
      </c>
      <c r="AF13" s="103">
        <v>6086.07</v>
      </c>
    </row>
    <row r="14">
      <c r="A14" s="47" t="s">
        <v>122</v>
      </c>
      <c r="B14" s="103"/>
      <c r="C14" s="103"/>
      <c r="D14" s="103"/>
      <c r="E14" s="103"/>
      <c r="F14" s="103"/>
      <c r="G14" s="103"/>
      <c r="H14" s="103"/>
      <c r="I14" s="103"/>
      <c r="J14" s="103"/>
      <c r="K14" s="103"/>
      <c r="L14" s="103"/>
      <c r="M14" s="103"/>
      <c r="N14" s="103">
        <v>4.27</v>
      </c>
      <c r="O14" s="103">
        <v>8.1</v>
      </c>
      <c r="P14" s="103">
        <v>2.54</v>
      </c>
      <c r="Q14" s="103">
        <v>5.36</v>
      </c>
      <c r="R14" s="103">
        <v>0.09</v>
      </c>
      <c r="S14" s="103">
        <v>11.3</v>
      </c>
      <c r="T14" s="103">
        <v>12.62</v>
      </c>
      <c r="U14" s="103">
        <v>13.61</v>
      </c>
      <c r="V14" s="103">
        <v>11.09</v>
      </c>
      <c r="W14" s="103">
        <v>10.6</v>
      </c>
      <c r="X14" s="103">
        <v>17.49</v>
      </c>
      <c r="Y14" s="103">
        <v>10.57</v>
      </c>
      <c r="Z14" s="103">
        <v>8.41</v>
      </c>
      <c r="AA14" s="103">
        <v>15.78</v>
      </c>
      <c r="AB14" s="103">
        <v>13.89</v>
      </c>
      <c r="AC14" s="103">
        <v>11.93</v>
      </c>
      <c r="AD14" s="103">
        <v>9.16</v>
      </c>
      <c r="AE14" s="103">
        <v>10.36</v>
      </c>
      <c r="AF14" s="103">
        <v>11.96</v>
      </c>
    </row>
    <row r="15">
      <c r="A15" s="47" t="s">
        <v>161</v>
      </c>
      <c r="B15" s="103">
        <v>8.73</v>
      </c>
      <c r="C15" s="103">
        <v>1.75</v>
      </c>
      <c r="D15" s="103">
        <v>7.81</v>
      </c>
      <c r="E15" s="103">
        <v>10.56</v>
      </c>
      <c r="F15" s="103">
        <v>6.83</v>
      </c>
      <c r="G15" s="103">
        <v>5.35</v>
      </c>
      <c r="H15" s="103">
        <v>5.09</v>
      </c>
      <c r="I15" s="103">
        <v>17.35</v>
      </c>
      <c r="J15" s="103">
        <v>252.07</v>
      </c>
      <c r="K15" s="103">
        <v>69.6</v>
      </c>
      <c r="L15" s="103">
        <v>40.79</v>
      </c>
      <c r="M15" s="103">
        <v>21.82</v>
      </c>
      <c r="N15" s="103">
        <v>11.82</v>
      </c>
      <c r="O15" s="115"/>
      <c r="P15" s="115"/>
      <c r="Q15" s="115"/>
      <c r="R15" s="115"/>
      <c r="S15" s="115"/>
      <c r="T15" s="115"/>
      <c r="U15" s="115"/>
      <c r="V15" s="115"/>
      <c r="W15" s="115"/>
      <c r="X15" s="115"/>
      <c r="Y15" s="115"/>
      <c r="Z15" s="115"/>
      <c r="AA15" s="115"/>
      <c r="AB15" s="115"/>
      <c r="AC15" s="115"/>
      <c r="AD15" s="115"/>
      <c r="AE15" s="115"/>
      <c r="AF15" s="115"/>
    </row>
    <row r="16">
      <c r="A16" s="116" t="s">
        <v>163</v>
      </c>
      <c r="B16" s="117">
        <f t="shared" ref="B16:AF16" si="2">SUM(B11:B15)</f>
        <v>9723.7</v>
      </c>
      <c r="C16" s="117">
        <f t="shared" si="2"/>
        <v>10978.1</v>
      </c>
      <c r="D16" s="117">
        <f t="shared" si="2"/>
        <v>10511.06</v>
      </c>
      <c r="E16" s="117">
        <f t="shared" si="2"/>
        <v>11493.15</v>
      </c>
      <c r="F16" s="117">
        <f t="shared" si="2"/>
        <v>10716.55</v>
      </c>
      <c r="G16" s="117">
        <f t="shared" si="2"/>
        <v>9704.85</v>
      </c>
      <c r="H16" s="117">
        <f t="shared" si="2"/>
        <v>9009.15</v>
      </c>
      <c r="I16" s="117">
        <f t="shared" si="2"/>
        <v>8866.86</v>
      </c>
      <c r="J16" s="117">
        <f t="shared" si="2"/>
        <v>11302.11</v>
      </c>
      <c r="K16" s="117">
        <f t="shared" si="2"/>
        <v>11492.71</v>
      </c>
      <c r="L16" s="117">
        <f t="shared" si="2"/>
        <v>10959.15</v>
      </c>
      <c r="M16" s="117">
        <f t="shared" si="2"/>
        <v>11733.23</v>
      </c>
      <c r="N16" s="117">
        <f t="shared" si="2"/>
        <v>11205.17</v>
      </c>
      <c r="O16" s="117">
        <f t="shared" si="2"/>
        <v>10485.13</v>
      </c>
      <c r="P16" s="117">
        <f t="shared" si="2"/>
        <v>12049.88</v>
      </c>
      <c r="Q16" s="117">
        <f t="shared" si="2"/>
        <v>15817.34</v>
      </c>
      <c r="R16" s="117">
        <f t="shared" si="2"/>
        <v>16571.3</v>
      </c>
      <c r="S16" s="117">
        <f t="shared" si="2"/>
        <v>18040.09</v>
      </c>
      <c r="T16" s="117">
        <f t="shared" si="2"/>
        <v>18266.65</v>
      </c>
      <c r="U16" s="117">
        <f t="shared" si="2"/>
        <v>17308.06</v>
      </c>
      <c r="V16" s="117">
        <f t="shared" si="2"/>
        <v>15238.8</v>
      </c>
      <c r="W16" s="117">
        <f t="shared" si="2"/>
        <v>15819.02</v>
      </c>
      <c r="X16" s="117">
        <f t="shared" si="2"/>
        <v>19203.04</v>
      </c>
      <c r="Y16" s="117">
        <f t="shared" si="2"/>
        <v>21938.64</v>
      </c>
      <c r="Z16" s="117">
        <f t="shared" si="2"/>
        <v>23556.38</v>
      </c>
      <c r="AA16" s="117">
        <f t="shared" si="2"/>
        <v>24690.92</v>
      </c>
      <c r="AB16" s="117">
        <f t="shared" si="2"/>
        <v>28071.18</v>
      </c>
      <c r="AC16" s="117">
        <f t="shared" si="2"/>
        <v>21263.22</v>
      </c>
      <c r="AD16" s="117">
        <f t="shared" si="2"/>
        <v>14807.31</v>
      </c>
      <c r="AE16" s="117">
        <f t="shared" si="2"/>
        <v>14497.74</v>
      </c>
      <c r="AF16" s="117">
        <f t="shared" si="2"/>
        <v>9808.8</v>
      </c>
    </row>
    <row r="18">
      <c r="A18" s="47" t="s">
        <v>166</v>
      </c>
      <c r="B18" s="120">
        <v>3.52</v>
      </c>
      <c r="C18" s="120">
        <v>3.54</v>
      </c>
      <c r="D18" s="120">
        <v>3.65</v>
      </c>
      <c r="E18" s="120">
        <v>3.0</v>
      </c>
      <c r="F18" s="120">
        <v>3.16</v>
      </c>
      <c r="G18" s="120">
        <v>3.18</v>
      </c>
      <c r="H18" s="120">
        <v>2.13</v>
      </c>
      <c r="I18" s="120">
        <v>2.77</v>
      </c>
      <c r="J18" s="120">
        <v>2.81</v>
      </c>
      <c r="K18" s="120">
        <v>3.17</v>
      </c>
      <c r="L18" s="66">
        <v>3.21</v>
      </c>
      <c r="M18" s="66">
        <v>3.24</v>
      </c>
      <c r="N18" s="66">
        <v>3.04</v>
      </c>
      <c r="O18" s="66">
        <v>2.86</v>
      </c>
      <c r="P18" s="66">
        <v>3.18</v>
      </c>
      <c r="Q18" s="66">
        <v>3.85</v>
      </c>
      <c r="R18" s="66">
        <v>3.34</v>
      </c>
      <c r="S18" s="66">
        <v>3.61</v>
      </c>
      <c r="T18" s="66">
        <v>3.87</v>
      </c>
      <c r="U18" s="66">
        <v>3.57</v>
      </c>
      <c r="V18" s="66">
        <v>3.54</v>
      </c>
      <c r="W18" s="66">
        <v>4.24</v>
      </c>
      <c r="X18" s="66">
        <v>3.49</v>
      </c>
      <c r="Y18" s="66">
        <v>3.26</v>
      </c>
      <c r="Z18" s="66">
        <v>3.14</v>
      </c>
      <c r="AA18" s="66">
        <v>3.43</v>
      </c>
      <c r="AB18" s="66">
        <v>3.74</v>
      </c>
      <c r="AC18" s="66">
        <v>1.53</v>
      </c>
      <c r="AD18" s="66">
        <v>1.88</v>
      </c>
      <c r="AE18" s="66">
        <v>1.7</v>
      </c>
      <c r="AF18" s="66">
        <v>2.08</v>
      </c>
    </row>
    <row r="19">
      <c r="A19" s="47" t="s">
        <v>167</v>
      </c>
      <c r="B19" s="115">
        <f t="shared" ref="B19:AF19" si="3">B16/B9</f>
        <v>78.41693548</v>
      </c>
      <c r="C19" s="115">
        <f t="shared" si="3"/>
        <v>74.17635135</v>
      </c>
      <c r="D19" s="115">
        <f t="shared" si="3"/>
        <v>75.61913669</v>
      </c>
      <c r="E19" s="115">
        <f t="shared" si="3"/>
        <v>88.40884615</v>
      </c>
      <c r="F19" s="115">
        <f t="shared" si="3"/>
        <v>86.42379032</v>
      </c>
      <c r="G19" s="115">
        <f t="shared" si="3"/>
        <v>85.13026316</v>
      </c>
      <c r="H19" s="115">
        <f t="shared" si="3"/>
        <v>134.4649254</v>
      </c>
      <c r="I19" s="115">
        <f t="shared" si="3"/>
        <v>99.62764045</v>
      </c>
      <c r="J19" s="115">
        <f t="shared" si="3"/>
        <v>97.43198276</v>
      </c>
      <c r="K19" s="115">
        <f t="shared" si="3"/>
        <v>88.40546154</v>
      </c>
      <c r="L19" s="115">
        <f t="shared" si="3"/>
        <v>87.6732</v>
      </c>
      <c r="M19" s="115">
        <f t="shared" si="3"/>
        <v>88.88810606</v>
      </c>
      <c r="N19" s="115">
        <f t="shared" si="3"/>
        <v>86.86178295</v>
      </c>
      <c r="O19" s="115">
        <f t="shared" si="3"/>
        <v>91.17504348</v>
      </c>
      <c r="P19" s="115">
        <f t="shared" si="3"/>
        <v>86.07057143</v>
      </c>
      <c r="Q19" s="115">
        <f t="shared" si="3"/>
        <v>73.91280374</v>
      </c>
      <c r="R19" s="115">
        <f t="shared" si="3"/>
        <v>86.76073298</v>
      </c>
      <c r="S19" s="115">
        <f t="shared" si="3"/>
        <v>76.44105932</v>
      </c>
      <c r="T19" s="115">
        <f t="shared" si="3"/>
        <v>72.77549801</v>
      </c>
      <c r="U19" s="115">
        <f t="shared" si="3"/>
        <v>77.268125</v>
      </c>
      <c r="V19" s="115">
        <f t="shared" si="3"/>
        <v>77.74897959</v>
      </c>
      <c r="W19" s="115">
        <f t="shared" si="3"/>
        <v>65.91258333</v>
      </c>
      <c r="X19" s="115">
        <f t="shared" si="3"/>
        <v>76.81216</v>
      </c>
      <c r="Y19" s="115">
        <f t="shared" si="3"/>
        <v>81.86059701</v>
      </c>
      <c r="Z19" s="115">
        <f t="shared" si="3"/>
        <v>85.3492029</v>
      </c>
      <c r="AA19" s="115">
        <f t="shared" si="3"/>
        <v>79.90588997</v>
      </c>
      <c r="AB19" s="115">
        <f t="shared" si="3"/>
        <v>72.53534884</v>
      </c>
      <c r="AC19" s="115">
        <f t="shared" si="3"/>
        <v>172.8717073</v>
      </c>
      <c r="AD19" s="115">
        <f t="shared" si="3"/>
        <v>143.7602913</v>
      </c>
      <c r="AE19" s="115">
        <f t="shared" si="3"/>
        <v>142.1347059</v>
      </c>
      <c r="AF19" s="115">
        <f t="shared" si="3"/>
        <v>129.0631579</v>
      </c>
    </row>
    <row r="20">
      <c r="A20" s="47" t="s">
        <v>133</v>
      </c>
      <c r="B20" s="122">
        <v>0.007183870967741935</v>
      </c>
      <c r="C20" s="122">
        <v>0.008224324324324324</v>
      </c>
      <c r="D20" s="122">
        <v>0.008190647482014389</v>
      </c>
      <c r="E20" s="122">
        <v>0.006556923076923077</v>
      </c>
      <c r="F20" s="122">
        <v>0.006787096774193548</v>
      </c>
      <c r="G20" s="122">
        <v>0.007207017543859649</v>
      </c>
      <c r="H20" s="122">
        <v>0.004179104477611941</v>
      </c>
      <c r="I20" s="122">
        <v>0.006930337078651685</v>
      </c>
      <c r="J20" s="122">
        <v>0.00790603448275862</v>
      </c>
      <c r="K20" s="19">
        <v>0.008111538461538462</v>
      </c>
      <c r="L20" s="19">
        <v>0.0085328</v>
      </c>
      <c r="M20" s="19">
        <v>0.008715151515151514</v>
      </c>
      <c r="N20" s="19">
        <v>0.008576744186046512</v>
      </c>
      <c r="O20" s="19">
        <v>0.007260000000000001</v>
      </c>
      <c r="P20" s="19">
        <v>0.008403571428571429</v>
      </c>
      <c r="Q20" s="19">
        <v>0.012065420560747664</v>
      </c>
      <c r="R20" s="19">
        <v>0.01002931937172775</v>
      </c>
      <c r="S20" s="19">
        <v>0.010692372881355931</v>
      </c>
      <c r="T20" s="19">
        <v>0.011864940239043826</v>
      </c>
      <c r="U20" s="19">
        <v>0.01058125</v>
      </c>
      <c r="V20" s="19">
        <v>0.009565816326530613</v>
      </c>
      <c r="W20" s="19">
        <v>0.010987499999999999</v>
      </c>
      <c r="X20" s="19">
        <v>0.011192800000000001</v>
      </c>
      <c r="Y20" s="19">
        <v>0.0109</v>
      </c>
      <c r="Z20" s="19">
        <v>0.0106768115942029</v>
      </c>
      <c r="AA20" s="19">
        <v>0.01265210355987055</v>
      </c>
      <c r="AB20" s="19">
        <v>0.014478036175710595</v>
      </c>
      <c r="AC20" s="19">
        <v>0.005769918699186992</v>
      </c>
      <c r="AD20" s="19">
        <v>0.009609708737864077</v>
      </c>
      <c r="AE20" s="19">
        <v>0.010270588235294118</v>
      </c>
      <c r="AF20" s="19">
        <v>0.010852631578947367</v>
      </c>
    </row>
    <row r="21">
      <c r="A21" s="47" t="s">
        <v>135</v>
      </c>
      <c r="B21" s="115">
        <v>274.7096774193549</v>
      </c>
      <c r="C21" s="115">
        <v>261.72972972972974</v>
      </c>
      <c r="D21" s="115">
        <v>275.66906474820144</v>
      </c>
      <c r="E21" s="115">
        <v>264.5923076923077</v>
      </c>
      <c r="F21" s="115">
        <v>273.3709677419355</v>
      </c>
      <c r="G21" s="115">
        <v>269.44736842105266</v>
      </c>
      <c r="H21" s="115">
        <v>284.46268656716416</v>
      </c>
      <c r="I21" s="115">
        <v>273.8876404494382</v>
      </c>
      <c r="J21" s="115">
        <v>267.44827586206895</v>
      </c>
      <c r="K21" s="115">
        <v>279.0153846153846</v>
      </c>
      <c r="L21" s="115">
        <v>280.00800000000004</v>
      </c>
      <c r="M21" s="115">
        <v>287.31060606060606</v>
      </c>
      <c r="N21" s="115">
        <v>261.5658914728682</v>
      </c>
      <c r="O21" s="115">
        <v>259.695652173913</v>
      </c>
      <c r="P21" s="115">
        <v>271.82142857142856</v>
      </c>
      <c r="Q21" s="115">
        <v>281.01869158878503</v>
      </c>
      <c r="R21" s="115">
        <v>288.4973821989529</v>
      </c>
      <c r="S21" s="115">
        <v>276.3135593220339</v>
      </c>
      <c r="T21" s="115">
        <v>280.0398406374502</v>
      </c>
      <c r="U21" s="115">
        <v>275.4642857142857</v>
      </c>
      <c r="V21" s="115">
        <v>278.015306122449</v>
      </c>
      <c r="W21" s="115">
        <v>285.75</v>
      </c>
      <c r="X21" s="115">
        <v>272.21999999999997</v>
      </c>
      <c r="Y21" s="115">
        <v>276.2238805970149</v>
      </c>
      <c r="Z21" s="115">
        <v>271.69565217391306</v>
      </c>
      <c r="AA21" s="115">
        <v>277.7799352750809</v>
      </c>
      <c r="AB21" s="115">
        <v>274.4909560723514</v>
      </c>
      <c r="AC21" s="115">
        <v>271.0650406504065</v>
      </c>
      <c r="AD21" s="115">
        <v>279.41747572815535</v>
      </c>
      <c r="AE21" s="115">
        <v>249.15686274509804</v>
      </c>
      <c r="AF21" s="115">
        <v>281.5</v>
      </c>
    </row>
    <row r="23">
      <c r="A23" s="47" t="s">
        <v>170</v>
      </c>
    </row>
    <row r="24">
      <c r="A24" s="24" t="s">
        <v>171</v>
      </c>
      <c r="B24" s="124"/>
      <c r="C24" s="124"/>
      <c r="D24" s="124"/>
      <c r="E24" s="124"/>
      <c r="F24" s="124"/>
      <c r="G24" s="124"/>
      <c r="H24" s="124"/>
      <c r="I24" s="124"/>
      <c r="J24" s="124"/>
      <c r="K24" s="124"/>
      <c r="L24" s="124"/>
      <c r="M24" s="124"/>
      <c r="N24" s="124"/>
      <c r="O24" s="101"/>
      <c r="P24" s="101"/>
      <c r="Q24" s="101"/>
      <c r="R24" s="101"/>
      <c r="S24" s="101"/>
      <c r="T24" s="101"/>
      <c r="U24" s="101"/>
      <c r="V24" s="125">
        <v>0.831</v>
      </c>
      <c r="W24" s="125">
        <v>0.8581</v>
      </c>
      <c r="X24" s="125">
        <v>0.8354</v>
      </c>
      <c r="Y24" s="125">
        <v>0.8385</v>
      </c>
      <c r="Z24" s="125">
        <v>0.8371</v>
      </c>
      <c r="AA24" s="125">
        <v>0.8529</v>
      </c>
      <c r="AB24" s="125">
        <v>0.8374</v>
      </c>
      <c r="AC24" s="125">
        <v>0.7733</v>
      </c>
      <c r="AD24" s="125">
        <v>0.8525</v>
      </c>
      <c r="AE24" s="125">
        <v>0.8077</v>
      </c>
      <c r="AF24" s="125">
        <v>0.8</v>
      </c>
    </row>
    <row r="25">
      <c r="A25" s="24" t="s">
        <v>172</v>
      </c>
      <c r="B25" s="124"/>
      <c r="C25" s="124"/>
      <c r="D25" s="124"/>
      <c r="E25" s="124"/>
      <c r="F25" s="124"/>
      <c r="G25" s="124"/>
      <c r="H25" s="124"/>
      <c r="I25" s="124"/>
      <c r="J25" s="124"/>
      <c r="K25" s="124"/>
      <c r="L25" s="124"/>
      <c r="M25" s="124"/>
      <c r="N25" s="124"/>
      <c r="O25" s="101"/>
      <c r="P25" s="101"/>
      <c r="Q25" s="101"/>
      <c r="R25" s="101"/>
      <c r="S25" s="101"/>
      <c r="T25" s="101"/>
      <c r="U25" s="101"/>
      <c r="V25" s="125">
        <v>0.1408</v>
      </c>
      <c r="W25" s="125">
        <v>0.0645</v>
      </c>
      <c r="X25" s="125">
        <v>0.1037</v>
      </c>
      <c r="Y25" s="125">
        <v>0.1042</v>
      </c>
      <c r="Z25" s="125">
        <v>0.0618</v>
      </c>
      <c r="AA25" s="125">
        <v>0.0833</v>
      </c>
      <c r="AB25" s="125">
        <v>0.0772</v>
      </c>
      <c r="AC25" s="125">
        <v>0.1733</v>
      </c>
      <c r="AD25" s="125">
        <v>0.0492</v>
      </c>
      <c r="AE25" s="125">
        <v>0.1538</v>
      </c>
      <c r="AF25" s="125">
        <v>0.0889</v>
      </c>
    </row>
    <row r="26">
      <c r="A26" s="24" t="s">
        <v>174</v>
      </c>
      <c r="B26" s="124"/>
      <c r="C26" s="124"/>
      <c r="D26" s="124"/>
      <c r="E26" s="124"/>
      <c r="F26" s="124"/>
      <c r="G26" s="124"/>
      <c r="H26" s="124"/>
      <c r="I26" s="124"/>
      <c r="J26" s="124"/>
      <c r="K26" s="124"/>
      <c r="L26" s="124"/>
      <c r="M26" s="124"/>
      <c r="N26" s="124"/>
      <c r="O26" s="101"/>
      <c r="P26" s="101"/>
      <c r="Q26" s="101"/>
      <c r="R26" s="101"/>
      <c r="S26" s="101"/>
      <c r="T26" s="101"/>
      <c r="U26" s="101"/>
      <c r="V26" s="125">
        <v>0.0141</v>
      </c>
      <c r="W26" s="125">
        <v>0.0258</v>
      </c>
      <c r="X26" s="125">
        <v>0.0366</v>
      </c>
      <c r="Y26" s="125">
        <v>0.0156</v>
      </c>
      <c r="Z26" s="125">
        <v>0.0281</v>
      </c>
      <c r="AA26" s="125">
        <v>0.0245</v>
      </c>
      <c r="AB26" s="125">
        <v>0.0366</v>
      </c>
      <c r="AC26" s="125">
        <v>0.0133</v>
      </c>
      <c r="AD26" s="125">
        <v>0.0328</v>
      </c>
      <c r="AE26" s="125">
        <v>0.0</v>
      </c>
      <c r="AF26" s="125">
        <v>0.0444</v>
      </c>
    </row>
    <row r="27">
      <c r="A27" s="24" t="s">
        <v>122</v>
      </c>
      <c r="B27" s="124"/>
      <c r="C27" s="124"/>
      <c r="D27" s="124"/>
      <c r="E27" s="124"/>
      <c r="F27" s="124"/>
      <c r="G27" s="124"/>
      <c r="H27" s="124"/>
      <c r="I27" s="124"/>
      <c r="J27" s="124"/>
      <c r="K27" s="124"/>
      <c r="L27" s="124"/>
      <c r="M27" s="124"/>
      <c r="N27" s="124"/>
      <c r="O27" s="101"/>
      <c r="P27" s="101"/>
      <c r="Q27" s="101"/>
      <c r="R27" s="101"/>
      <c r="S27" s="101"/>
      <c r="T27" s="101"/>
      <c r="U27" s="101"/>
      <c r="V27" s="125">
        <v>0.0</v>
      </c>
      <c r="W27" s="125">
        <v>0.0194</v>
      </c>
      <c r="X27" s="125">
        <v>0.0061</v>
      </c>
      <c r="Y27" s="125">
        <v>0.0104</v>
      </c>
      <c r="Z27" s="125">
        <v>0.0225</v>
      </c>
      <c r="AA27" s="125">
        <v>0.0</v>
      </c>
      <c r="AB27" s="125">
        <v>0.0081</v>
      </c>
      <c r="AC27" s="125">
        <v>0.0</v>
      </c>
      <c r="AD27" s="125">
        <v>0.0328</v>
      </c>
      <c r="AE27" s="125">
        <v>0.0</v>
      </c>
      <c r="AF27" s="125">
        <v>0.0222</v>
      </c>
    </row>
    <row r="28">
      <c r="A28" s="24" t="s">
        <v>175</v>
      </c>
      <c r="B28" s="124"/>
      <c r="C28" s="124"/>
      <c r="D28" s="124"/>
      <c r="E28" s="124"/>
      <c r="F28" s="124"/>
      <c r="G28" s="124"/>
      <c r="H28" s="124"/>
      <c r="I28" s="124"/>
      <c r="J28" s="124"/>
      <c r="K28" s="124"/>
      <c r="L28" s="124"/>
      <c r="M28" s="124"/>
      <c r="N28" s="124"/>
      <c r="O28" s="101"/>
      <c r="P28" s="101"/>
      <c r="Q28" s="101"/>
      <c r="R28" s="101"/>
      <c r="S28" s="101"/>
      <c r="T28" s="101"/>
      <c r="U28" s="101"/>
      <c r="V28" s="125">
        <v>0.0</v>
      </c>
      <c r="W28" s="125">
        <v>0.0</v>
      </c>
      <c r="X28" s="125">
        <v>0.0061</v>
      </c>
      <c r="Y28" s="125">
        <v>0.0</v>
      </c>
      <c r="Z28" s="125">
        <v>0.0169</v>
      </c>
      <c r="AA28" s="125">
        <v>0.0196</v>
      </c>
      <c r="AB28" s="125">
        <v>0.0</v>
      </c>
      <c r="AC28" s="125">
        <v>0.0</v>
      </c>
      <c r="AD28" s="125">
        <v>0.0328</v>
      </c>
      <c r="AE28" s="125">
        <v>0.0</v>
      </c>
      <c r="AF28" s="125">
        <v>0.0222</v>
      </c>
    </row>
    <row r="29">
      <c r="A29" s="24" t="s">
        <v>176</v>
      </c>
      <c r="B29" s="124"/>
      <c r="C29" s="124"/>
      <c r="D29" s="124"/>
      <c r="E29" s="124"/>
      <c r="F29" s="124"/>
      <c r="G29" s="124"/>
      <c r="H29" s="124"/>
      <c r="I29" s="124"/>
      <c r="J29" s="124"/>
      <c r="K29" s="124"/>
      <c r="L29" s="124"/>
      <c r="M29" s="124"/>
      <c r="N29" s="124"/>
      <c r="O29" s="101"/>
      <c r="P29" s="101"/>
      <c r="Q29" s="101"/>
      <c r="R29" s="101"/>
      <c r="S29" s="101"/>
      <c r="T29" s="101"/>
      <c r="U29" s="101"/>
      <c r="V29" s="125">
        <v>0.0</v>
      </c>
      <c r="W29" s="125">
        <v>0.0</v>
      </c>
      <c r="X29" s="125">
        <v>0.0061</v>
      </c>
      <c r="Y29" s="125">
        <v>0.0</v>
      </c>
      <c r="Z29" s="125">
        <v>0.0</v>
      </c>
      <c r="AA29" s="125">
        <v>0.0</v>
      </c>
      <c r="AB29" s="125">
        <v>0.0041</v>
      </c>
      <c r="AC29" s="125">
        <v>0.0</v>
      </c>
      <c r="AD29" s="125">
        <v>0.0</v>
      </c>
      <c r="AE29" s="125">
        <v>0.0</v>
      </c>
      <c r="AF29" s="125">
        <v>0.0</v>
      </c>
    </row>
    <row r="30">
      <c r="A30" s="24" t="s">
        <v>178</v>
      </c>
      <c r="B30" s="124"/>
      <c r="C30" s="124"/>
      <c r="D30" s="124"/>
      <c r="E30" s="124"/>
      <c r="F30" s="124"/>
      <c r="G30" s="124"/>
      <c r="H30" s="124"/>
      <c r="I30" s="124"/>
      <c r="J30" s="124"/>
      <c r="K30" s="124"/>
      <c r="L30" s="124"/>
      <c r="M30" s="124"/>
      <c r="N30" s="124"/>
      <c r="O30" s="101"/>
      <c r="P30" s="101"/>
      <c r="Q30" s="101"/>
      <c r="R30" s="101"/>
      <c r="S30" s="101"/>
      <c r="T30" s="101"/>
      <c r="U30" s="101"/>
      <c r="V30" s="125">
        <v>0.0141</v>
      </c>
      <c r="W30" s="125">
        <v>0.0323</v>
      </c>
      <c r="X30" s="125">
        <v>0.0061</v>
      </c>
      <c r="Y30" s="125">
        <v>0.0313</v>
      </c>
      <c r="Z30" s="125">
        <v>0.0337</v>
      </c>
      <c r="AA30" s="125">
        <v>0.0196</v>
      </c>
      <c r="AB30" s="125">
        <v>0.0366</v>
      </c>
      <c r="AC30" s="125">
        <v>0.04</v>
      </c>
      <c r="AD30" s="125">
        <v>0.0</v>
      </c>
      <c r="AE30" s="125">
        <v>0.0385</v>
      </c>
      <c r="AF30" s="125">
        <v>0.0222</v>
      </c>
    </row>
    <row r="32">
      <c r="B32" s="129">
        <v>44378.0</v>
      </c>
    </row>
    <row r="33">
      <c r="A33" s="24" t="s">
        <v>179</v>
      </c>
      <c r="B33" s="115">
        <f>SUM(B8:AF8)</f>
        <v>1449027</v>
      </c>
    </row>
    <row r="34">
      <c r="A34" s="24" t="s">
        <v>180</v>
      </c>
      <c r="B34" s="115">
        <f>SUM(B16:AF16)</f>
        <v>455129.29</v>
      </c>
    </row>
    <row r="35">
      <c r="A35" s="24" t="s">
        <v>166</v>
      </c>
      <c r="B35" s="85">
        <f>B33/B34</f>
        <v>3.183770045</v>
      </c>
    </row>
    <row r="36">
      <c r="A36" s="24" t="s">
        <v>167</v>
      </c>
      <c r="B36" s="115">
        <f>SUM(B16:AF16)/SUM(B9:AF9)</f>
        <v>86.39508162</v>
      </c>
    </row>
    <row r="37">
      <c r="A37" s="24" t="s">
        <v>133</v>
      </c>
      <c r="B37" s="19">
        <f t="shared" ref="B37:B38" si="4">AVERAGE(B20:AF20)</f>
        <v>0.009192076766</v>
      </c>
    </row>
    <row r="38">
      <c r="A38" s="24" t="s">
        <v>135</v>
      </c>
      <c r="B38" s="115">
        <f t="shared" si="4"/>
        <v>274.3026952</v>
      </c>
    </row>
    <row r="39">
      <c r="A39" s="24" t="s">
        <v>71</v>
      </c>
      <c r="B39" s="28">
        <f>SUM(B9:AF9)</f>
        <v>5268</v>
      </c>
    </row>
  </sheetData>
  <mergeCells count="1">
    <mergeCell ref="P3:AB3"/>
  </mergeCells>
  <conditionalFormatting sqref="B18:AF18">
    <cfRule type="colorScale" priority="1">
      <colorScale>
        <cfvo type="min"/>
        <cfvo type="max"/>
        <color rgb="FFFFFFFF"/>
        <color rgb="FF57BB8A"/>
      </colorScale>
    </cfRule>
  </conditionalFormatting>
  <conditionalFormatting sqref="A19:AF19">
    <cfRule type="colorScale" priority="2">
      <colorScale>
        <cfvo type="min"/>
        <cfvo type="max"/>
        <color rgb="FF57BB8A"/>
        <color rgb="FFFFFFFF"/>
      </colorScale>
    </cfRule>
  </conditionalFormatting>
  <conditionalFormatting sqref="A20:AF20">
    <cfRule type="colorScale" priority="3">
      <colorScale>
        <cfvo type="min"/>
        <cfvo type="max"/>
        <color rgb="FFFFFFFF"/>
        <color rgb="FF57BB8A"/>
      </colorScale>
    </cfRule>
  </conditionalFormatting>
  <conditionalFormatting sqref="A21:AF21">
    <cfRule type="colorScale" priority="4">
      <colorScale>
        <cfvo type="min"/>
        <cfvo type="max"/>
        <color rgb="FFFFFFFF"/>
        <color rgb="FF57BB8A"/>
      </colorScale>
    </cfRule>
  </conditionalFormatting>
  <conditionalFormatting sqref="A9:AF9">
    <cfRule type="colorScale" priority="5">
      <colorScale>
        <cfvo type="min"/>
        <cfvo type="max"/>
        <color rgb="FFFFFFFF"/>
        <color rgb="FF57BB8A"/>
      </colorScale>
    </cfRule>
  </conditionalFormatting>
  <conditionalFormatting sqref="B24:AF30">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2" width="10.13"/>
  </cols>
  <sheetData>
    <row r="1">
      <c r="A1" s="1" t="s">
        <v>0</v>
      </c>
      <c r="B1" s="3">
        <v>44378.0</v>
      </c>
      <c r="C1" s="3">
        <v>44379.0</v>
      </c>
      <c r="D1" s="3">
        <v>44380.0</v>
      </c>
      <c r="E1" s="3">
        <v>44381.0</v>
      </c>
      <c r="F1" s="3">
        <v>44382.0</v>
      </c>
      <c r="G1" s="3">
        <v>44383.0</v>
      </c>
      <c r="H1" s="3">
        <v>44384.0</v>
      </c>
      <c r="I1" s="3">
        <v>44385.0</v>
      </c>
      <c r="J1" s="3">
        <v>44386.0</v>
      </c>
      <c r="K1" s="3">
        <v>44387.0</v>
      </c>
      <c r="L1" s="3">
        <v>44388.0</v>
      </c>
      <c r="M1" s="3">
        <v>44389.0</v>
      </c>
      <c r="N1" s="3">
        <v>44390.0</v>
      </c>
      <c r="O1" s="3">
        <v>44391.0</v>
      </c>
      <c r="P1" s="3">
        <v>44392.0</v>
      </c>
      <c r="Q1" s="3">
        <v>44393.0</v>
      </c>
      <c r="R1" s="3">
        <v>44394.0</v>
      </c>
      <c r="S1" s="3">
        <v>44395.0</v>
      </c>
      <c r="T1" s="3">
        <v>44396.0</v>
      </c>
      <c r="U1" s="3">
        <v>44397.0</v>
      </c>
      <c r="V1" s="3">
        <v>44398.0</v>
      </c>
      <c r="W1" s="3">
        <v>44399.0</v>
      </c>
      <c r="X1" s="3">
        <v>44400.0</v>
      </c>
      <c r="Y1" s="3">
        <v>44401.0</v>
      </c>
      <c r="Z1" s="3">
        <v>44402.0</v>
      </c>
      <c r="AA1" s="3">
        <v>44403.0</v>
      </c>
      <c r="AB1" s="3">
        <v>44404.0</v>
      </c>
      <c r="AC1" s="3">
        <v>44405.0</v>
      </c>
      <c r="AD1" s="3">
        <v>44406.0</v>
      </c>
      <c r="AE1" s="3">
        <v>44407.0</v>
      </c>
      <c r="AF1" s="3">
        <v>44408.0</v>
      </c>
    </row>
    <row r="2">
      <c r="B2" s="20" t="s">
        <v>25</v>
      </c>
      <c r="C2" s="20" t="s">
        <v>29</v>
      </c>
      <c r="D2" s="20" t="s">
        <v>31</v>
      </c>
      <c r="E2" s="20" t="s">
        <v>33</v>
      </c>
      <c r="F2" s="20" t="s">
        <v>34</v>
      </c>
      <c r="G2" s="20" t="s">
        <v>35</v>
      </c>
      <c r="H2" s="20" t="s">
        <v>36</v>
      </c>
      <c r="I2" s="20" t="s">
        <v>25</v>
      </c>
      <c r="J2" s="20" t="s">
        <v>29</v>
      </c>
      <c r="K2" s="20" t="s">
        <v>31</v>
      </c>
      <c r="L2" s="20" t="s">
        <v>33</v>
      </c>
      <c r="M2" s="20" t="s">
        <v>34</v>
      </c>
      <c r="N2" s="20" t="s">
        <v>35</v>
      </c>
      <c r="O2" s="20" t="s">
        <v>36</v>
      </c>
      <c r="P2" s="20" t="s">
        <v>25</v>
      </c>
      <c r="Q2" s="20" t="s">
        <v>29</v>
      </c>
      <c r="R2" s="20" t="s">
        <v>31</v>
      </c>
      <c r="S2" s="20" t="s">
        <v>33</v>
      </c>
      <c r="T2" s="20" t="s">
        <v>34</v>
      </c>
      <c r="U2" s="20" t="s">
        <v>35</v>
      </c>
      <c r="V2" s="20" t="s">
        <v>36</v>
      </c>
      <c r="W2" s="20" t="s">
        <v>25</v>
      </c>
      <c r="X2" s="20" t="s">
        <v>29</v>
      </c>
      <c r="Y2" s="20" t="s">
        <v>31</v>
      </c>
      <c r="Z2" s="20" t="s">
        <v>33</v>
      </c>
      <c r="AA2" s="20" t="s">
        <v>34</v>
      </c>
      <c r="AB2" s="20" t="s">
        <v>35</v>
      </c>
      <c r="AC2" s="20" t="s">
        <v>36</v>
      </c>
      <c r="AD2" s="20" t="s">
        <v>25</v>
      </c>
      <c r="AE2" s="20" t="s">
        <v>29</v>
      </c>
      <c r="AF2" s="20" t="s">
        <v>31</v>
      </c>
    </row>
    <row r="3">
      <c r="A3" s="24" t="s">
        <v>46</v>
      </c>
      <c r="B3" s="26">
        <v>70.0</v>
      </c>
      <c r="C3" s="26">
        <v>81.0</v>
      </c>
      <c r="D3" s="26">
        <v>90.0</v>
      </c>
      <c r="E3" s="26">
        <v>96.0</v>
      </c>
      <c r="F3" s="26">
        <v>54.0</v>
      </c>
      <c r="G3" s="26">
        <v>75.0</v>
      </c>
      <c r="H3" s="26">
        <v>60.0</v>
      </c>
      <c r="I3" s="26">
        <v>34.0</v>
      </c>
      <c r="J3" s="26">
        <v>56.0</v>
      </c>
      <c r="K3" s="26">
        <v>52.0</v>
      </c>
      <c r="L3" s="26">
        <v>61.0</v>
      </c>
      <c r="M3" s="26">
        <v>77.0</v>
      </c>
      <c r="N3" s="26">
        <v>82.0</v>
      </c>
      <c r="O3" s="28">
        <v>64.0</v>
      </c>
      <c r="P3" s="28">
        <v>84.0</v>
      </c>
      <c r="Q3" s="28">
        <v>114.0</v>
      </c>
      <c r="R3" s="28">
        <v>111.0</v>
      </c>
      <c r="S3" s="28">
        <v>149.0</v>
      </c>
      <c r="T3" s="28">
        <v>171.0</v>
      </c>
      <c r="U3" s="28">
        <v>130.0</v>
      </c>
      <c r="V3" s="28">
        <v>131.0</v>
      </c>
      <c r="W3" s="28">
        <v>179.0</v>
      </c>
      <c r="X3" s="28">
        <v>144.0</v>
      </c>
      <c r="Y3" s="28">
        <v>137.0</v>
      </c>
      <c r="Z3" s="28">
        <v>170.0</v>
      </c>
      <c r="AA3" s="28">
        <v>169.0</v>
      </c>
      <c r="AB3" s="28">
        <v>223.0</v>
      </c>
      <c r="AC3" s="28">
        <v>139.0</v>
      </c>
      <c r="AD3" s="28">
        <v>120.0</v>
      </c>
      <c r="AE3" s="28">
        <v>95.0</v>
      </c>
      <c r="AF3" s="28">
        <v>37.0</v>
      </c>
    </row>
    <row r="4">
      <c r="A4" s="24" t="s">
        <v>61</v>
      </c>
      <c r="B4" s="24">
        <v>124.0</v>
      </c>
      <c r="C4" s="24">
        <v>148.0</v>
      </c>
      <c r="D4" s="24">
        <v>139.0</v>
      </c>
      <c r="E4" s="24">
        <v>130.0</v>
      </c>
      <c r="F4" s="24">
        <v>124.0</v>
      </c>
      <c r="G4" s="24">
        <v>114.0</v>
      </c>
      <c r="H4" s="24">
        <v>67.0</v>
      </c>
      <c r="I4" s="24">
        <v>89.0</v>
      </c>
      <c r="J4" s="24">
        <v>116.0</v>
      </c>
      <c r="K4" s="24">
        <v>130.0</v>
      </c>
      <c r="L4" s="24">
        <v>125.0</v>
      </c>
      <c r="M4" s="24">
        <v>132.0</v>
      </c>
      <c r="N4" s="24">
        <v>129.0</v>
      </c>
      <c r="O4" s="24">
        <v>115.0</v>
      </c>
      <c r="P4" s="24">
        <v>140.0</v>
      </c>
      <c r="Q4" s="24">
        <v>214.0</v>
      </c>
      <c r="R4" s="24">
        <v>191.0</v>
      </c>
      <c r="S4" s="24">
        <v>236.0</v>
      </c>
      <c r="T4" s="24">
        <v>251.0</v>
      </c>
      <c r="U4" s="24">
        <v>224.0</v>
      </c>
      <c r="V4" s="24">
        <v>196.0</v>
      </c>
      <c r="W4" s="24">
        <v>240.0</v>
      </c>
      <c r="X4" s="24">
        <v>250.0</v>
      </c>
      <c r="Y4" s="24">
        <v>268.0</v>
      </c>
      <c r="Z4" s="24">
        <v>276.0</v>
      </c>
      <c r="AA4" s="24">
        <v>309.0</v>
      </c>
      <c r="AB4" s="24">
        <v>387.0</v>
      </c>
      <c r="AC4" s="24">
        <v>123.0</v>
      </c>
      <c r="AD4" s="24">
        <v>103.0</v>
      </c>
      <c r="AE4" s="24">
        <v>102.0</v>
      </c>
      <c r="AF4" s="24">
        <v>76.0</v>
      </c>
    </row>
    <row r="5">
      <c r="A5" s="24" t="s">
        <v>75</v>
      </c>
      <c r="B5" s="39">
        <f t="shared" ref="B5:AF5" si="1">B3/B4</f>
        <v>0.564516129</v>
      </c>
      <c r="C5" s="39">
        <f t="shared" si="1"/>
        <v>0.5472972973</v>
      </c>
      <c r="D5" s="39">
        <f t="shared" si="1"/>
        <v>0.6474820144</v>
      </c>
      <c r="E5" s="39">
        <f t="shared" si="1"/>
        <v>0.7384615385</v>
      </c>
      <c r="F5" s="39">
        <f t="shared" si="1"/>
        <v>0.435483871</v>
      </c>
      <c r="G5" s="39">
        <f t="shared" si="1"/>
        <v>0.6578947368</v>
      </c>
      <c r="H5" s="39">
        <f t="shared" si="1"/>
        <v>0.8955223881</v>
      </c>
      <c r="I5" s="39">
        <f t="shared" si="1"/>
        <v>0.3820224719</v>
      </c>
      <c r="J5" s="39">
        <f t="shared" si="1"/>
        <v>0.4827586207</v>
      </c>
      <c r="K5" s="39">
        <f t="shared" si="1"/>
        <v>0.4</v>
      </c>
      <c r="L5" s="39">
        <f t="shared" si="1"/>
        <v>0.488</v>
      </c>
      <c r="M5" s="39">
        <f t="shared" si="1"/>
        <v>0.5833333333</v>
      </c>
      <c r="N5" s="39">
        <f t="shared" si="1"/>
        <v>0.6356589147</v>
      </c>
      <c r="O5" s="39">
        <f t="shared" si="1"/>
        <v>0.5565217391</v>
      </c>
      <c r="P5" s="39">
        <f t="shared" si="1"/>
        <v>0.6</v>
      </c>
      <c r="Q5" s="39">
        <f t="shared" si="1"/>
        <v>0.5327102804</v>
      </c>
      <c r="R5" s="39">
        <f t="shared" si="1"/>
        <v>0.5811518325</v>
      </c>
      <c r="S5" s="39">
        <f t="shared" si="1"/>
        <v>0.6313559322</v>
      </c>
      <c r="T5" s="39">
        <f t="shared" si="1"/>
        <v>0.6812749004</v>
      </c>
      <c r="U5" s="39">
        <f t="shared" si="1"/>
        <v>0.5803571429</v>
      </c>
      <c r="V5" s="39">
        <f t="shared" si="1"/>
        <v>0.6683673469</v>
      </c>
      <c r="W5" s="39">
        <f t="shared" si="1"/>
        <v>0.7458333333</v>
      </c>
      <c r="X5" s="39">
        <f t="shared" si="1"/>
        <v>0.576</v>
      </c>
      <c r="Y5" s="39">
        <f t="shared" si="1"/>
        <v>0.5111940299</v>
      </c>
      <c r="Z5" s="39">
        <f t="shared" si="1"/>
        <v>0.615942029</v>
      </c>
      <c r="AA5" s="39">
        <f t="shared" si="1"/>
        <v>0.5469255663</v>
      </c>
      <c r="AB5" s="39">
        <f t="shared" si="1"/>
        <v>0.5762273902</v>
      </c>
      <c r="AC5" s="39">
        <f t="shared" si="1"/>
        <v>1.130081301</v>
      </c>
      <c r="AD5" s="39">
        <f t="shared" si="1"/>
        <v>1.165048544</v>
      </c>
      <c r="AE5" s="39">
        <f t="shared" si="1"/>
        <v>0.931372549</v>
      </c>
      <c r="AF5" s="39">
        <f t="shared" si="1"/>
        <v>0.4868421053</v>
      </c>
    </row>
    <row r="6">
      <c r="B6" s="46"/>
      <c r="C6" s="46"/>
      <c r="D6" s="46"/>
      <c r="E6" s="46"/>
      <c r="F6" s="46"/>
      <c r="G6" s="46"/>
      <c r="H6" s="46"/>
      <c r="I6" s="46"/>
      <c r="J6" s="46"/>
      <c r="K6" s="46"/>
      <c r="L6" s="46"/>
      <c r="M6" s="46"/>
      <c r="N6" s="46"/>
    </row>
    <row r="7">
      <c r="A7" s="1" t="s">
        <v>114</v>
      </c>
    </row>
    <row r="8">
      <c r="A8" s="47" t="s">
        <v>115</v>
      </c>
    </row>
    <row r="9">
      <c r="A9" s="47" t="s">
        <v>116</v>
      </c>
      <c r="B9" s="48"/>
      <c r="C9" s="48"/>
      <c r="D9" s="50" t="s">
        <v>118</v>
      </c>
      <c r="E9" s="48"/>
      <c r="F9" s="48"/>
      <c r="G9" s="48"/>
      <c r="H9" s="48"/>
      <c r="I9" s="48"/>
      <c r="P9" s="51" t="s">
        <v>119</v>
      </c>
    </row>
    <row r="10">
      <c r="H10" s="24"/>
      <c r="J10" s="24"/>
      <c r="N10" s="24"/>
      <c r="P10" s="52" t="s">
        <v>120</v>
      </c>
    </row>
    <row r="12">
      <c r="A12" s="53" t="s">
        <v>121</v>
      </c>
      <c r="B12" s="24">
        <v>69.0</v>
      </c>
      <c r="C12" s="24">
        <v>78.0</v>
      </c>
      <c r="D12" s="24">
        <v>87.0</v>
      </c>
      <c r="E12" s="24">
        <v>92.0</v>
      </c>
      <c r="F12" s="24">
        <v>52.0</v>
      </c>
      <c r="G12" s="24">
        <v>71.0</v>
      </c>
      <c r="H12" s="24">
        <v>60.0</v>
      </c>
      <c r="I12" s="24">
        <v>34.0</v>
      </c>
      <c r="J12" s="24">
        <v>53.0</v>
      </c>
      <c r="K12" s="24">
        <v>50.0</v>
      </c>
      <c r="L12" s="24">
        <v>60.0</v>
      </c>
      <c r="M12" s="24">
        <v>75.0</v>
      </c>
      <c r="N12" s="24">
        <v>81.0</v>
      </c>
      <c r="O12" s="24">
        <v>60.0</v>
      </c>
      <c r="P12" s="24">
        <v>84.0</v>
      </c>
      <c r="Q12" s="24">
        <v>114.0</v>
      </c>
      <c r="R12" s="24">
        <v>111.0</v>
      </c>
      <c r="S12" s="24">
        <v>149.0</v>
      </c>
      <c r="T12" s="24">
        <v>171.0</v>
      </c>
      <c r="U12" s="24">
        <v>130.0</v>
      </c>
      <c r="V12" s="24">
        <v>131.0</v>
      </c>
      <c r="W12" s="24">
        <v>179.0</v>
      </c>
      <c r="X12" s="24">
        <v>144.0</v>
      </c>
      <c r="Y12" s="24">
        <v>137.0</v>
      </c>
      <c r="Z12" s="24">
        <v>170.0</v>
      </c>
      <c r="AA12" s="24">
        <v>169.0</v>
      </c>
      <c r="AB12" s="24">
        <v>223.0</v>
      </c>
      <c r="AC12" s="24">
        <v>139.0</v>
      </c>
      <c r="AD12" s="24">
        <v>119.0</v>
      </c>
      <c r="AE12" s="24">
        <v>91.0</v>
      </c>
      <c r="AF12" s="24">
        <v>31.0</v>
      </c>
    </row>
    <row r="13">
      <c r="A13" s="31"/>
    </row>
    <row r="14">
      <c r="A14" s="53" t="s">
        <v>123</v>
      </c>
      <c r="B14" s="24">
        <v>43.0</v>
      </c>
      <c r="C14" s="24">
        <v>35.0</v>
      </c>
      <c r="D14" s="24">
        <v>36.0</v>
      </c>
      <c r="E14" s="24">
        <v>46.0</v>
      </c>
      <c r="F14" s="24">
        <v>42.0</v>
      </c>
      <c r="G14" s="24">
        <v>36.0</v>
      </c>
      <c r="H14" s="24">
        <v>22.0</v>
      </c>
      <c r="I14" s="24">
        <v>33.0</v>
      </c>
      <c r="J14" s="24">
        <v>61.0</v>
      </c>
      <c r="K14" s="24">
        <v>56.0</v>
      </c>
      <c r="L14" s="24">
        <v>61.0</v>
      </c>
      <c r="M14" s="24">
        <v>56.0</v>
      </c>
      <c r="N14" s="24">
        <v>60.0</v>
      </c>
      <c r="O14" s="24">
        <v>51.0</v>
      </c>
      <c r="P14" s="24">
        <v>57.0</v>
      </c>
      <c r="Q14" s="24">
        <v>84.0</v>
      </c>
      <c r="R14" s="24">
        <v>77.0</v>
      </c>
      <c r="S14" s="24">
        <v>100.0</v>
      </c>
      <c r="T14" s="24">
        <v>75.0</v>
      </c>
      <c r="U14" s="24">
        <v>60.0</v>
      </c>
      <c r="V14" s="24">
        <v>53.0</v>
      </c>
      <c r="W14" s="24">
        <v>56.0</v>
      </c>
      <c r="X14" s="24">
        <v>100.0</v>
      </c>
      <c r="Y14" s="24">
        <v>149.0</v>
      </c>
      <c r="Z14" s="24">
        <v>133.0</v>
      </c>
      <c r="AA14" s="24">
        <v>161.0</v>
      </c>
      <c r="AB14" s="24">
        <v>188.0</v>
      </c>
      <c r="AC14" s="24">
        <v>58.0</v>
      </c>
      <c r="AD14" s="24">
        <v>40.0</v>
      </c>
      <c r="AE14" s="24">
        <v>42.0</v>
      </c>
      <c r="AF14" s="24">
        <v>21.0</v>
      </c>
    </row>
    <row r="15">
      <c r="A15" s="53" t="s">
        <v>125</v>
      </c>
      <c r="B15" s="19">
        <f t="shared" ref="B15:AF15" si="2">B14/B12</f>
        <v>0.6231884058</v>
      </c>
      <c r="C15" s="19">
        <f t="shared" si="2"/>
        <v>0.4487179487</v>
      </c>
      <c r="D15" s="19">
        <f t="shared" si="2"/>
        <v>0.4137931034</v>
      </c>
      <c r="E15" s="19">
        <f t="shared" si="2"/>
        <v>0.5</v>
      </c>
      <c r="F15" s="19">
        <f t="shared" si="2"/>
        <v>0.8076923077</v>
      </c>
      <c r="G15" s="19">
        <f t="shared" si="2"/>
        <v>0.5070422535</v>
      </c>
      <c r="H15" s="19">
        <f t="shared" si="2"/>
        <v>0.3666666667</v>
      </c>
      <c r="I15" s="19">
        <f t="shared" si="2"/>
        <v>0.9705882353</v>
      </c>
      <c r="J15" s="19">
        <f t="shared" si="2"/>
        <v>1.150943396</v>
      </c>
      <c r="K15" s="19">
        <f t="shared" si="2"/>
        <v>1.12</v>
      </c>
      <c r="L15" s="19">
        <f t="shared" si="2"/>
        <v>1.016666667</v>
      </c>
      <c r="M15" s="19">
        <f t="shared" si="2"/>
        <v>0.7466666667</v>
      </c>
      <c r="N15" s="19">
        <f t="shared" si="2"/>
        <v>0.7407407407</v>
      </c>
      <c r="O15" s="19">
        <f t="shared" si="2"/>
        <v>0.85</v>
      </c>
      <c r="P15" s="19">
        <f t="shared" si="2"/>
        <v>0.6785714286</v>
      </c>
      <c r="Q15" s="19">
        <f t="shared" si="2"/>
        <v>0.7368421053</v>
      </c>
      <c r="R15" s="19">
        <f t="shared" si="2"/>
        <v>0.6936936937</v>
      </c>
      <c r="S15" s="19">
        <f t="shared" si="2"/>
        <v>0.6711409396</v>
      </c>
      <c r="T15" s="19">
        <f t="shared" si="2"/>
        <v>0.4385964912</v>
      </c>
      <c r="U15" s="19">
        <f t="shared" si="2"/>
        <v>0.4615384615</v>
      </c>
      <c r="V15" s="19">
        <f t="shared" si="2"/>
        <v>0.4045801527</v>
      </c>
      <c r="W15" s="19">
        <f t="shared" si="2"/>
        <v>0.312849162</v>
      </c>
      <c r="X15" s="19">
        <f t="shared" si="2"/>
        <v>0.6944444444</v>
      </c>
      <c r="Y15" s="19">
        <f t="shared" si="2"/>
        <v>1.087591241</v>
      </c>
      <c r="Z15" s="19">
        <f t="shared" si="2"/>
        <v>0.7823529412</v>
      </c>
      <c r="AA15" s="19">
        <f t="shared" si="2"/>
        <v>0.9526627219</v>
      </c>
      <c r="AB15" s="19">
        <f t="shared" si="2"/>
        <v>0.8430493274</v>
      </c>
      <c r="AC15" s="19">
        <f t="shared" si="2"/>
        <v>0.4172661871</v>
      </c>
      <c r="AD15" s="19">
        <f t="shared" si="2"/>
        <v>0.3361344538</v>
      </c>
      <c r="AE15" s="19">
        <f t="shared" si="2"/>
        <v>0.4615384615</v>
      </c>
      <c r="AF15" s="19">
        <f t="shared" si="2"/>
        <v>0.6774193548</v>
      </c>
    </row>
    <row r="16">
      <c r="A16" s="31"/>
    </row>
    <row r="17">
      <c r="A17" s="53" t="s">
        <v>126</v>
      </c>
      <c r="B17" s="24">
        <v>61.0</v>
      </c>
      <c r="C17" s="24">
        <v>64.0</v>
      </c>
      <c r="D17" s="24">
        <v>65.0</v>
      </c>
      <c r="E17" s="24">
        <v>55.0</v>
      </c>
      <c r="F17" s="24">
        <v>45.0</v>
      </c>
      <c r="G17" s="24">
        <v>41.0</v>
      </c>
      <c r="H17" s="24">
        <v>27.0</v>
      </c>
      <c r="I17" s="24">
        <v>39.0</v>
      </c>
      <c r="J17" s="24">
        <v>58.0</v>
      </c>
      <c r="K17" s="24">
        <v>64.0</v>
      </c>
      <c r="L17" s="24">
        <v>65.0</v>
      </c>
      <c r="M17" s="24">
        <v>59.0</v>
      </c>
      <c r="N17" s="24">
        <v>63.0</v>
      </c>
      <c r="O17" s="24">
        <v>57.0</v>
      </c>
      <c r="P17" s="24">
        <v>75.0</v>
      </c>
      <c r="Q17" s="24">
        <v>105.0</v>
      </c>
      <c r="R17" s="24">
        <v>100.0</v>
      </c>
      <c r="S17" s="24">
        <v>137.0</v>
      </c>
      <c r="T17" s="24">
        <v>119.0</v>
      </c>
      <c r="U17" s="24">
        <v>108.0</v>
      </c>
      <c r="V17" s="24">
        <v>90.0</v>
      </c>
      <c r="W17" s="24">
        <v>113.0</v>
      </c>
      <c r="X17" s="24">
        <v>123.0</v>
      </c>
      <c r="Y17" s="24">
        <v>147.0</v>
      </c>
      <c r="Z17" s="24">
        <v>130.0</v>
      </c>
      <c r="AA17" s="24">
        <v>145.0</v>
      </c>
      <c r="AB17" s="24">
        <v>184.0</v>
      </c>
      <c r="AC17" s="24">
        <v>58.0</v>
      </c>
      <c r="AD17" s="24">
        <v>38.0</v>
      </c>
      <c r="AE17" s="24">
        <v>41.0</v>
      </c>
      <c r="AF17" s="24">
        <v>20.0</v>
      </c>
    </row>
    <row r="18">
      <c r="A18" s="53" t="s">
        <v>125</v>
      </c>
      <c r="B18" s="19">
        <f t="shared" ref="B18:AF18" si="3">B17/B12</f>
        <v>0.884057971</v>
      </c>
      <c r="C18" s="19">
        <f t="shared" si="3"/>
        <v>0.8205128205</v>
      </c>
      <c r="D18" s="19">
        <f t="shared" si="3"/>
        <v>0.7471264368</v>
      </c>
      <c r="E18" s="19">
        <f t="shared" si="3"/>
        <v>0.597826087</v>
      </c>
      <c r="F18" s="19">
        <f t="shared" si="3"/>
        <v>0.8653846154</v>
      </c>
      <c r="G18" s="19">
        <f t="shared" si="3"/>
        <v>0.5774647887</v>
      </c>
      <c r="H18" s="19">
        <f t="shared" si="3"/>
        <v>0.45</v>
      </c>
      <c r="I18" s="19">
        <f t="shared" si="3"/>
        <v>1.147058824</v>
      </c>
      <c r="J18" s="19">
        <f t="shared" si="3"/>
        <v>1.094339623</v>
      </c>
      <c r="K18" s="19">
        <f t="shared" si="3"/>
        <v>1.28</v>
      </c>
      <c r="L18" s="19">
        <f t="shared" si="3"/>
        <v>1.083333333</v>
      </c>
      <c r="M18" s="19">
        <f t="shared" si="3"/>
        <v>0.7866666667</v>
      </c>
      <c r="N18" s="19">
        <f t="shared" si="3"/>
        <v>0.7777777778</v>
      </c>
      <c r="O18" s="19">
        <f t="shared" si="3"/>
        <v>0.95</v>
      </c>
      <c r="P18" s="19">
        <f t="shared" si="3"/>
        <v>0.8928571429</v>
      </c>
      <c r="Q18" s="19">
        <f t="shared" si="3"/>
        <v>0.9210526316</v>
      </c>
      <c r="R18" s="19">
        <f t="shared" si="3"/>
        <v>0.9009009009</v>
      </c>
      <c r="S18" s="19">
        <f t="shared" si="3"/>
        <v>0.9194630872</v>
      </c>
      <c r="T18" s="19">
        <f t="shared" si="3"/>
        <v>0.6959064327</v>
      </c>
      <c r="U18" s="19">
        <f t="shared" si="3"/>
        <v>0.8307692308</v>
      </c>
      <c r="V18" s="19">
        <f t="shared" si="3"/>
        <v>0.6870229008</v>
      </c>
      <c r="W18" s="19">
        <f t="shared" si="3"/>
        <v>0.6312849162</v>
      </c>
      <c r="X18" s="19">
        <f t="shared" si="3"/>
        <v>0.8541666667</v>
      </c>
      <c r="Y18" s="19">
        <f t="shared" si="3"/>
        <v>1.072992701</v>
      </c>
      <c r="Z18" s="19">
        <f t="shared" si="3"/>
        <v>0.7647058824</v>
      </c>
      <c r="AA18" s="19">
        <f t="shared" si="3"/>
        <v>0.8579881657</v>
      </c>
      <c r="AB18" s="19">
        <f t="shared" si="3"/>
        <v>0.8251121076</v>
      </c>
      <c r="AC18" s="19">
        <f t="shared" si="3"/>
        <v>0.4172661871</v>
      </c>
      <c r="AD18" s="19">
        <f t="shared" si="3"/>
        <v>0.3193277311</v>
      </c>
      <c r="AE18" s="19">
        <f t="shared" si="3"/>
        <v>0.4505494505</v>
      </c>
      <c r="AF18" s="19">
        <f t="shared" si="3"/>
        <v>0.6451612903</v>
      </c>
    </row>
    <row r="19">
      <c r="A19" s="31"/>
    </row>
    <row r="20">
      <c r="A20" s="73" t="s">
        <v>136</v>
      </c>
      <c r="B20" s="75">
        <v>0.0</v>
      </c>
      <c r="C20" s="75">
        <v>0.0</v>
      </c>
      <c r="D20" s="75">
        <v>0.0</v>
      </c>
      <c r="E20" s="75">
        <v>0.0</v>
      </c>
      <c r="F20" s="75">
        <v>0.0</v>
      </c>
      <c r="G20" s="75">
        <v>0.0</v>
      </c>
      <c r="H20" s="75">
        <v>0.0</v>
      </c>
      <c r="I20" s="75">
        <v>0.0</v>
      </c>
      <c r="J20" s="75">
        <v>0.0</v>
      </c>
      <c r="K20" s="75">
        <v>0.0</v>
      </c>
      <c r="L20" s="75">
        <v>0.0</v>
      </c>
      <c r="M20" s="75">
        <v>0.0</v>
      </c>
      <c r="N20" s="75">
        <v>0.0</v>
      </c>
      <c r="O20" s="75">
        <v>0.0</v>
      </c>
      <c r="P20" s="75">
        <v>0.0</v>
      </c>
      <c r="Q20" s="75">
        <v>0.0</v>
      </c>
      <c r="R20" s="75">
        <v>0.0</v>
      </c>
      <c r="S20" s="75">
        <v>0.0</v>
      </c>
      <c r="T20" s="75">
        <v>0.0</v>
      </c>
      <c r="U20" s="75">
        <v>0.0</v>
      </c>
      <c r="V20" s="80">
        <v>59.0</v>
      </c>
      <c r="W20" s="80">
        <v>133.0</v>
      </c>
      <c r="X20" s="80">
        <v>137.0</v>
      </c>
      <c r="Y20" s="80">
        <v>161.0</v>
      </c>
      <c r="Z20" s="80">
        <v>149.0</v>
      </c>
      <c r="AA20" s="80">
        <v>174.0</v>
      </c>
      <c r="AB20" s="80">
        <v>206.0</v>
      </c>
      <c r="AC20" s="80">
        <v>58.0</v>
      </c>
      <c r="AD20" s="80">
        <v>52.0</v>
      </c>
      <c r="AE20" s="80">
        <v>42.0</v>
      </c>
      <c r="AF20" s="80">
        <v>36.0</v>
      </c>
    </row>
    <row r="21">
      <c r="A21" s="73" t="s">
        <v>137</v>
      </c>
      <c r="B21" s="86">
        <f t="shared" ref="B21:AF21" si="4">(1-B23)*B20+B20</f>
        <v>0</v>
      </c>
      <c r="C21" s="86">
        <f t="shared" si="4"/>
        <v>0</v>
      </c>
      <c r="D21" s="86">
        <f t="shared" si="4"/>
        <v>0</v>
      </c>
      <c r="E21" s="86">
        <f t="shared" si="4"/>
        <v>0</v>
      </c>
      <c r="F21" s="86">
        <f t="shared" si="4"/>
        <v>0</v>
      </c>
      <c r="G21" s="86">
        <f t="shared" si="4"/>
        <v>0</v>
      </c>
      <c r="H21" s="86">
        <f t="shared" si="4"/>
        <v>0</v>
      </c>
      <c r="I21" s="86">
        <f t="shared" si="4"/>
        <v>0</v>
      </c>
      <c r="J21" s="86">
        <f t="shared" si="4"/>
        <v>0</v>
      </c>
      <c r="K21" s="86">
        <f t="shared" si="4"/>
        <v>0</v>
      </c>
      <c r="L21" s="86">
        <f t="shared" si="4"/>
        <v>0</v>
      </c>
      <c r="M21" s="86">
        <f t="shared" si="4"/>
        <v>0</v>
      </c>
      <c r="N21" s="86">
        <f t="shared" si="4"/>
        <v>0</v>
      </c>
      <c r="O21" s="86">
        <f t="shared" si="4"/>
        <v>0</v>
      </c>
      <c r="P21" s="86">
        <f t="shared" si="4"/>
        <v>0</v>
      </c>
      <c r="Q21" s="86">
        <f t="shared" si="4"/>
        <v>0</v>
      </c>
      <c r="R21" s="86">
        <f t="shared" si="4"/>
        <v>0</v>
      </c>
      <c r="S21" s="86">
        <f t="shared" si="4"/>
        <v>0</v>
      </c>
      <c r="T21" s="86">
        <f t="shared" si="4"/>
        <v>0</v>
      </c>
      <c r="U21" s="86">
        <f t="shared" si="4"/>
        <v>0</v>
      </c>
      <c r="V21" s="87">
        <f t="shared" si="4"/>
        <v>68.971</v>
      </c>
      <c r="W21" s="88">
        <f t="shared" si="4"/>
        <v>151.8727</v>
      </c>
      <c r="X21" s="88">
        <f t="shared" si="4"/>
        <v>159.5502</v>
      </c>
      <c r="Y21" s="88">
        <f t="shared" si="4"/>
        <v>187.0015</v>
      </c>
      <c r="Z21" s="88">
        <f t="shared" si="4"/>
        <v>173.2721</v>
      </c>
      <c r="AA21" s="88">
        <f t="shared" si="4"/>
        <v>199.5954</v>
      </c>
      <c r="AB21" s="88">
        <f t="shared" si="4"/>
        <v>239.4956</v>
      </c>
      <c r="AC21" s="88">
        <f t="shared" si="4"/>
        <v>71.1486</v>
      </c>
      <c r="AD21" s="88">
        <f t="shared" si="4"/>
        <v>59.67</v>
      </c>
      <c r="AE21" s="88">
        <f t="shared" si="4"/>
        <v>50.0766</v>
      </c>
      <c r="AF21" s="88">
        <f t="shared" si="4"/>
        <v>43.2</v>
      </c>
    </row>
    <row r="22">
      <c r="A22" s="53" t="s">
        <v>138</v>
      </c>
      <c r="B22" s="89" t="str">
        <f t="shared" ref="B22:AF22" si="5">(1-B34)*B21+B21</f>
        <v>#REF!</v>
      </c>
      <c r="C22" s="89" t="str">
        <f t="shared" si="5"/>
        <v>#REF!</v>
      </c>
      <c r="D22" s="89" t="str">
        <f t="shared" si="5"/>
        <v>#REF!</v>
      </c>
      <c r="E22" s="89" t="str">
        <f t="shared" si="5"/>
        <v>#REF!</v>
      </c>
      <c r="F22" s="89" t="str">
        <f t="shared" si="5"/>
        <v>#REF!</v>
      </c>
      <c r="G22" s="89" t="str">
        <f t="shared" si="5"/>
        <v>#REF!</v>
      </c>
      <c r="H22" s="89" t="str">
        <f t="shared" si="5"/>
        <v>#REF!</v>
      </c>
      <c r="I22" s="89" t="str">
        <f t="shared" si="5"/>
        <v>#REF!</v>
      </c>
      <c r="J22" s="89" t="str">
        <f t="shared" si="5"/>
        <v>#REF!</v>
      </c>
      <c r="K22" s="89" t="str">
        <f t="shared" si="5"/>
        <v>#REF!</v>
      </c>
      <c r="L22" s="89" t="str">
        <f t="shared" si="5"/>
        <v>#REF!</v>
      </c>
      <c r="M22" s="89" t="str">
        <f t="shared" si="5"/>
        <v>#REF!</v>
      </c>
      <c r="N22" s="89" t="str">
        <f t="shared" si="5"/>
        <v>#REF!</v>
      </c>
      <c r="O22" s="89" t="str">
        <f t="shared" si="5"/>
        <v>#REF!</v>
      </c>
      <c r="P22" s="89" t="str">
        <f t="shared" si="5"/>
        <v>#REF!</v>
      </c>
      <c r="Q22" s="89" t="str">
        <f t="shared" si="5"/>
        <v>#REF!</v>
      </c>
      <c r="R22" s="89" t="str">
        <f t="shared" si="5"/>
        <v>#REF!</v>
      </c>
      <c r="S22" s="89" t="str">
        <f t="shared" si="5"/>
        <v>#REF!</v>
      </c>
      <c r="T22" s="89" t="str">
        <f t="shared" si="5"/>
        <v>#REF!</v>
      </c>
      <c r="U22" s="89" t="str">
        <f t="shared" si="5"/>
        <v>#REF!</v>
      </c>
      <c r="V22" s="82">
        <f t="shared" si="5"/>
        <v>91.84221244</v>
      </c>
      <c r="W22" s="82">
        <f t="shared" si="5"/>
        <v>157.6157853</v>
      </c>
      <c r="X22" s="82">
        <f t="shared" si="5"/>
        <v>166.0359805</v>
      </c>
      <c r="Y22" s="82">
        <f t="shared" si="5"/>
        <v>189.7925672</v>
      </c>
      <c r="Z22" s="82">
        <f t="shared" si="5"/>
        <v>175.8202191</v>
      </c>
      <c r="AA22" s="82">
        <f t="shared" si="5"/>
        <v>203.5347829</v>
      </c>
      <c r="AB22" s="82">
        <f t="shared" si="5"/>
        <v>248.8024238</v>
      </c>
      <c r="AC22" s="82">
        <f t="shared" si="5"/>
        <v>78.2046595</v>
      </c>
      <c r="AD22" s="82">
        <f t="shared" si="5"/>
        <v>60.996</v>
      </c>
      <c r="AE22" s="82">
        <f t="shared" si="5"/>
        <v>53.45255056</v>
      </c>
      <c r="AF22" s="82">
        <f t="shared" si="5"/>
        <v>44.57142857</v>
      </c>
    </row>
    <row r="23">
      <c r="A23" s="73" t="s">
        <v>139</v>
      </c>
      <c r="B23" s="96"/>
      <c r="C23" s="96"/>
      <c r="D23" s="96"/>
      <c r="E23" s="96"/>
      <c r="F23" s="96"/>
      <c r="G23" s="96"/>
      <c r="H23" s="96"/>
      <c r="I23" s="96"/>
      <c r="J23" s="96"/>
      <c r="K23" s="96"/>
      <c r="L23" s="96"/>
      <c r="M23" s="96"/>
      <c r="N23" s="96"/>
      <c r="O23" s="96"/>
      <c r="P23" s="96"/>
      <c r="Q23" s="96"/>
      <c r="R23" s="96"/>
      <c r="S23" s="96"/>
      <c r="T23" s="96"/>
      <c r="U23" s="96"/>
      <c r="V23" s="97">
        <v>0.831</v>
      </c>
      <c r="W23" s="97">
        <v>0.8581</v>
      </c>
      <c r="X23" s="97">
        <v>0.8354</v>
      </c>
      <c r="Y23" s="97">
        <v>0.8385</v>
      </c>
      <c r="Z23" s="97">
        <v>0.8371</v>
      </c>
      <c r="AA23" s="97">
        <v>0.8529</v>
      </c>
      <c r="AB23" s="97">
        <v>0.8374</v>
      </c>
      <c r="AC23" s="97">
        <v>0.7733</v>
      </c>
      <c r="AD23" s="97">
        <v>0.8525</v>
      </c>
      <c r="AE23" s="97">
        <v>0.8077</v>
      </c>
      <c r="AF23" s="97">
        <v>0.8</v>
      </c>
    </row>
    <row r="24">
      <c r="A24" s="53" t="s">
        <v>125</v>
      </c>
      <c r="B24" s="101" t="str">
        <f t="shared" ref="B24:AF24" si="6">B22/B12</f>
        <v>#REF!</v>
      </c>
      <c r="C24" s="101" t="str">
        <f t="shared" si="6"/>
        <v>#REF!</v>
      </c>
      <c r="D24" s="101" t="str">
        <f t="shared" si="6"/>
        <v>#REF!</v>
      </c>
      <c r="E24" s="101" t="str">
        <f t="shared" si="6"/>
        <v>#REF!</v>
      </c>
      <c r="F24" s="101" t="str">
        <f t="shared" si="6"/>
        <v>#REF!</v>
      </c>
      <c r="G24" s="101" t="str">
        <f t="shared" si="6"/>
        <v>#REF!</v>
      </c>
      <c r="H24" s="101" t="str">
        <f t="shared" si="6"/>
        <v>#REF!</v>
      </c>
      <c r="I24" s="101" t="str">
        <f t="shared" si="6"/>
        <v>#REF!</v>
      </c>
      <c r="J24" s="101" t="str">
        <f t="shared" si="6"/>
        <v>#REF!</v>
      </c>
      <c r="K24" s="101" t="str">
        <f t="shared" si="6"/>
        <v>#REF!</v>
      </c>
      <c r="L24" s="101" t="str">
        <f t="shared" si="6"/>
        <v>#REF!</v>
      </c>
      <c r="M24" s="101" t="str">
        <f t="shared" si="6"/>
        <v>#REF!</v>
      </c>
      <c r="N24" s="101" t="str">
        <f t="shared" si="6"/>
        <v>#REF!</v>
      </c>
      <c r="O24" s="101" t="str">
        <f t="shared" si="6"/>
        <v>#REF!</v>
      </c>
      <c r="P24" s="101" t="str">
        <f t="shared" si="6"/>
        <v>#REF!</v>
      </c>
      <c r="Q24" s="101" t="str">
        <f t="shared" si="6"/>
        <v>#REF!</v>
      </c>
      <c r="R24" s="101" t="str">
        <f t="shared" si="6"/>
        <v>#REF!</v>
      </c>
      <c r="S24" s="101" t="str">
        <f t="shared" si="6"/>
        <v>#REF!</v>
      </c>
      <c r="T24" s="101" t="str">
        <f t="shared" si="6"/>
        <v>#REF!</v>
      </c>
      <c r="U24" s="101" t="str">
        <f t="shared" si="6"/>
        <v>#REF!</v>
      </c>
      <c r="V24" s="19">
        <f t="shared" si="6"/>
        <v>0.7010855911</v>
      </c>
      <c r="W24" s="19">
        <f t="shared" si="6"/>
        <v>0.8805351134</v>
      </c>
      <c r="X24" s="19">
        <f t="shared" si="6"/>
        <v>1.153027642</v>
      </c>
      <c r="Y24" s="19">
        <f t="shared" si="6"/>
        <v>1.385347206</v>
      </c>
      <c r="Z24" s="19">
        <f t="shared" si="6"/>
        <v>1.034236583</v>
      </c>
      <c r="AA24" s="19">
        <f t="shared" si="6"/>
        <v>1.204347828</v>
      </c>
      <c r="AB24" s="19">
        <f t="shared" si="6"/>
        <v>1.115705936</v>
      </c>
      <c r="AC24" s="19">
        <f t="shared" si="6"/>
        <v>0.5626234497</v>
      </c>
      <c r="AD24" s="19">
        <f t="shared" si="6"/>
        <v>0.5125714286</v>
      </c>
      <c r="AE24" s="19">
        <f t="shared" si="6"/>
        <v>0.5873906655</v>
      </c>
      <c r="AF24" s="19">
        <f t="shared" si="6"/>
        <v>1.437788018</v>
      </c>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row>
    <row r="28">
      <c r="A28" s="109" t="s">
        <v>144</v>
      </c>
      <c r="B28" s="109">
        <v>118.0</v>
      </c>
      <c r="C28" s="109">
        <v>140.0</v>
      </c>
      <c r="D28" s="109">
        <v>126.0</v>
      </c>
      <c r="E28" s="109">
        <v>121.0</v>
      </c>
      <c r="F28" s="109">
        <v>113.0</v>
      </c>
      <c r="G28" s="109">
        <v>104.0</v>
      </c>
      <c r="H28" s="109">
        <v>64.0</v>
      </c>
      <c r="I28" s="109">
        <v>85.0</v>
      </c>
      <c r="J28" s="109">
        <v>111.0</v>
      </c>
      <c r="K28" s="109">
        <v>125.0</v>
      </c>
      <c r="L28" s="109">
        <v>116.0</v>
      </c>
      <c r="M28" s="109">
        <v>124.0</v>
      </c>
      <c r="N28" s="109">
        <v>123.0</v>
      </c>
      <c r="O28" s="109">
        <v>111.0</v>
      </c>
      <c r="P28" s="109">
        <v>135.0</v>
      </c>
      <c r="Q28" s="109">
        <v>207.0</v>
      </c>
      <c r="R28" s="109">
        <v>187.0</v>
      </c>
      <c r="S28" s="109">
        <v>233.0</v>
      </c>
      <c r="T28" s="109">
        <v>249.0</v>
      </c>
      <c r="U28" s="109">
        <v>222.0</v>
      </c>
      <c r="V28" s="109">
        <v>193.0</v>
      </c>
      <c r="W28" s="109">
        <v>238.0</v>
      </c>
      <c r="X28" s="109">
        <v>246.0</v>
      </c>
      <c r="Y28" s="109">
        <v>268.0</v>
      </c>
      <c r="Z28" s="109">
        <v>272.0</v>
      </c>
      <c r="AA28" s="109">
        <v>304.0</v>
      </c>
      <c r="AB28" s="109">
        <v>386.0</v>
      </c>
      <c r="AC28" s="109">
        <v>121.0</v>
      </c>
      <c r="AD28" s="109">
        <v>90.0</v>
      </c>
      <c r="AE28" s="109">
        <v>89.0</v>
      </c>
      <c r="AF28" s="109">
        <v>63.0</v>
      </c>
    </row>
    <row r="30">
      <c r="A30" s="24" t="s">
        <v>146</v>
      </c>
      <c r="B30" s="24">
        <v>115.0</v>
      </c>
      <c r="C30" s="24">
        <v>133.0</v>
      </c>
      <c r="D30" s="24">
        <v>118.0</v>
      </c>
      <c r="E30" s="24">
        <v>119.0</v>
      </c>
      <c r="F30" s="24">
        <v>108.0</v>
      </c>
      <c r="G30" s="24">
        <v>100.0</v>
      </c>
      <c r="H30" s="24">
        <v>60.0</v>
      </c>
      <c r="I30" s="24">
        <v>78.0</v>
      </c>
      <c r="J30" s="24">
        <v>107.0</v>
      </c>
      <c r="K30" s="24">
        <v>119.0</v>
      </c>
      <c r="L30" s="24">
        <v>111.0</v>
      </c>
      <c r="M30" s="24">
        <v>116.0</v>
      </c>
      <c r="N30" s="24">
        <v>117.0</v>
      </c>
      <c r="O30" s="24">
        <v>104.0</v>
      </c>
      <c r="P30" s="24">
        <v>131.0</v>
      </c>
      <c r="Q30" s="24">
        <v>201.0</v>
      </c>
      <c r="R30" s="24">
        <v>179.0</v>
      </c>
      <c r="S30" s="24">
        <v>225.0</v>
      </c>
      <c r="T30" s="24">
        <v>232.0</v>
      </c>
      <c r="U30" s="24">
        <v>212.0</v>
      </c>
      <c r="V30" s="24">
        <v>180.0</v>
      </c>
      <c r="W30" s="24">
        <v>222.0</v>
      </c>
      <c r="X30" s="24">
        <v>237.0</v>
      </c>
      <c r="Y30" s="24">
        <v>257.0</v>
      </c>
      <c r="Z30" s="24">
        <v>262.0</v>
      </c>
      <c r="AA30" s="24">
        <v>290.0</v>
      </c>
      <c r="AB30" s="24">
        <v>365.0</v>
      </c>
      <c r="AC30" s="24">
        <v>110.0</v>
      </c>
      <c r="AD30" s="24">
        <v>84.0</v>
      </c>
      <c r="AE30" s="24">
        <v>86.0</v>
      </c>
      <c r="AF30" s="24">
        <v>59.0</v>
      </c>
    </row>
    <row r="31">
      <c r="A31" s="24" t="s">
        <v>125</v>
      </c>
      <c r="B31" s="19">
        <f t="shared" ref="B31:AF31" si="7">B30/B28</f>
        <v>0.9745762712</v>
      </c>
      <c r="C31" s="19">
        <f t="shared" si="7"/>
        <v>0.95</v>
      </c>
      <c r="D31" s="19">
        <f t="shared" si="7"/>
        <v>0.9365079365</v>
      </c>
      <c r="E31" s="19">
        <f t="shared" si="7"/>
        <v>0.9834710744</v>
      </c>
      <c r="F31" s="19">
        <f t="shared" si="7"/>
        <v>0.9557522124</v>
      </c>
      <c r="G31" s="19">
        <f t="shared" si="7"/>
        <v>0.9615384615</v>
      </c>
      <c r="H31" s="19">
        <f t="shared" si="7"/>
        <v>0.9375</v>
      </c>
      <c r="I31" s="19">
        <f t="shared" si="7"/>
        <v>0.9176470588</v>
      </c>
      <c r="J31" s="19">
        <f t="shared" si="7"/>
        <v>0.963963964</v>
      </c>
      <c r="K31" s="19">
        <f t="shared" si="7"/>
        <v>0.952</v>
      </c>
      <c r="L31" s="19">
        <f t="shared" si="7"/>
        <v>0.9568965517</v>
      </c>
      <c r="M31" s="19">
        <f t="shared" si="7"/>
        <v>0.935483871</v>
      </c>
      <c r="N31" s="19">
        <f t="shared" si="7"/>
        <v>0.9512195122</v>
      </c>
      <c r="O31" s="19">
        <f t="shared" si="7"/>
        <v>0.9369369369</v>
      </c>
      <c r="P31" s="19">
        <f t="shared" si="7"/>
        <v>0.9703703704</v>
      </c>
      <c r="Q31" s="19">
        <f t="shared" si="7"/>
        <v>0.9710144928</v>
      </c>
      <c r="R31" s="19">
        <f t="shared" si="7"/>
        <v>0.9572192513</v>
      </c>
      <c r="S31" s="19">
        <f t="shared" si="7"/>
        <v>0.9656652361</v>
      </c>
      <c r="T31" s="19">
        <f t="shared" si="7"/>
        <v>0.9317269076</v>
      </c>
      <c r="U31" s="19">
        <f t="shared" si="7"/>
        <v>0.954954955</v>
      </c>
      <c r="V31" s="19">
        <f t="shared" si="7"/>
        <v>0.932642487</v>
      </c>
      <c r="W31" s="19">
        <f t="shared" si="7"/>
        <v>0.9327731092</v>
      </c>
      <c r="X31" s="19">
        <f t="shared" si="7"/>
        <v>0.9634146341</v>
      </c>
      <c r="Y31" s="19">
        <f t="shared" si="7"/>
        <v>0.9589552239</v>
      </c>
      <c r="Z31" s="19">
        <f t="shared" si="7"/>
        <v>0.9632352941</v>
      </c>
      <c r="AA31" s="19">
        <f t="shared" si="7"/>
        <v>0.9539473684</v>
      </c>
      <c r="AB31" s="19">
        <f t="shared" si="7"/>
        <v>0.9455958549</v>
      </c>
      <c r="AC31" s="19">
        <f t="shared" si="7"/>
        <v>0.9090909091</v>
      </c>
      <c r="AD31" s="19">
        <f t="shared" si="7"/>
        <v>0.9333333333</v>
      </c>
      <c r="AE31" s="19">
        <f t="shared" si="7"/>
        <v>0.9662921348</v>
      </c>
      <c r="AF31" s="19">
        <f t="shared" si="7"/>
        <v>0.9365079365</v>
      </c>
    </row>
    <row r="33">
      <c r="A33" s="24" t="s">
        <v>149</v>
      </c>
      <c r="B33" s="75"/>
      <c r="C33" s="75"/>
      <c r="D33" s="75"/>
      <c r="E33" s="75"/>
      <c r="F33" s="75"/>
      <c r="G33" s="75"/>
      <c r="H33" s="75"/>
      <c r="I33" s="75"/>
      <c r="J33" s="75"/>
      <c r="K33" s="75"/>
      <c r="L33" s="75"/>
      <c r="M33" s="75"/>
      <c r="N33" s="75"/>
      <c r="O33" s="75"/>
      <c r="P33" s="75"/>
      <c r="Q33" s="75"/>
      <c r="R33" s="75"/>
      <c r="S33" s="75"/>
      <c r="T33" s="75"/>
      <c r="U33" s="75"/>
      <c r="V33" s="80">
        <v>129.0</v>
      </c>
      <c r="W33" s="80">
        <v>229.0</v>
      </c>
      <c r="X33" s="80">
        <v>236.0</v>
      </c>
      <c r="Y33" s="80">
        <v>264.0</v>
      </c>
      <c r="Z33" s="80">
        <v>268.0</v>
      </c>
      <c r="AA33" s="80">
        <v>298.0</v>
      </c>
      <c r="AB33" s="80">
        <v>371.0</v>
      </c>
      <c r="AC33" s="80">
        <v>109.0</v>
      </c>
      <c r="AD33" s="80">
        <v>88.0</v>
      </c>
      <c r="AE33" s="80">
        <v>83.0</v>
      </c>
      <c r="AF33" s="80">
        <v>61.0</v>
      </c>
    </row>
    <row r="34">
      <c r="A34" s="24" t="s">
        <v>125</v>
      </c>
      <c r="B34" s="101" t="str">
        <f t="shared" ref="B34:U34" si="8">#REF!/B28</f>
        <v>#REF!</v>
      </c>
      <c r="C34" s="101" t="str">
        <f t="shared" si="8"/>
        <v>#REF!</v>
      </c>
      <c r="D34" s="101" t="str">
        <f t="shared" si="8"/>
        <v>#REF!</v>
      </c>
      <c r="E34" s="101" t="str">
        <f t="shared" si="8"/>
        <v>#REF!</v>
      </c>
      <c r="F34" s="101" t="str">
        <f t="shared" si="8"/>
        <v>#REF!</v>
      </c>
      <c r="G34" s="101" t="str">
        <f t="shared" si="8"/>
        <v>#REF!</v>
      </c>
      <c r="H34" s="101" t="str">
        <f t="shared" si="8"/>
        <v>#REF!</v>
      </c>
      <c r="I34" s="101" t="str">
        <f t="shared" si="8"/>
        <v>#REF!</v>
      </c>
      <c r="J34" s="101" t="str">
        <f t="shared" si="8"/>
        <v>#REF!</v>
      </c>
      <c r="K34" s="101" t="str">
        <f t="shared" si="8"/>
        <v>#REF!</v>
      </c>
      <c r="L34" s="101" t="str">
        <f t="shared" si="8"/>
        <v>#REF!</v>
      </c>
      <c r="M34" s="101" t="str">
        <f t="shared" si="8"/>
        <v>#REF!</v>
      </c>
      <c r="N34" s="101" t="str">
        <f t="shared" si="8"/>
        <v>#REF!</v>
      </c>
      <c r="O34" s="101" t="str">
        <f t="shared" si="8"/>
        <v>#REF!</v>
      </c>
      <c r="P34" s="101" t="str">
        <f t="shared" si="8"/>
        <v>#REF!</v>
      </c>
      <c r="Q34" s="101" t="str">
        <f t="shared" si="8"/>
        <v>#REF!</v>
      </c>
      <c r="R34" s="101" t="str">
        <f t="shared" si="8"/>
        <v>#REF!</v>
      </c>
      <c r="S34" s="101" t="str">
        <f t="shared" si="8"/>
        <v>#REF!</v>
      </c>
      <c r="T34" s="101" t="str">
        <f t="shared" si="8"/>
        <v>#REF!</v>
      </c>
      <c r="U34" s="101" t="str">
        <f t="shared" si="8"/>
        <v>#REF!</v>
      </c>
      <c r="V34" s="19">
        <f t="shared" ref="V34:AF34" si="9">V33/V28</f>
        <v>0.6683937824</v>
      </c>
      <c r="W34" s="19">
        <f t="shared" si="9"/>
        <v>0.9621848739</v>
      </c>
      <c r="X34" s="19">
        <f t="shared" si="9"/>
        <v>0.9593495935</v>
      </c>
      <c r="Y34" s="19">
        <f t="shared" si="9"/>
        <v>0.9850746269</v>
      </c>
      <c r="Z34" s="19">
        <f t="shared" si="9"/>
        <v>0.9852941176</v>
      </c>
      <c r="AA34" s="19">
        <f t="shared" si="9"/>
        <v>0.9802631579</v>
      </c>
      <c r="AB34" s="19">
        <f t="shared" si="9"/>
        <v>0.9611398964</v>
      </c>
      <c r="AC34" s="19">
        <f t="shared" si="9"/>
        <v>0.9008264463</v>
      </c>
      <c r="AD34" s="19">
        <f t="shared" si="9"/>
        <v>0.9777777778</v>
      </c>
      <c r="AE34" s="19">
        <f t="shared" si="9"/>
        <v>0.9325842697</v>
      </c>
      <c r="AF34" s="19">
        <f t="shared" si="9"/>
        <v>0.9682539683</v>
      </c>
    </row>
  </sheetData>
  <mergeCells count="2">
    <mergeCell ref="A9:A10"/>
    <mergeCell ref="P10:AB10"/>
  </mergeCells>
  <conditionalFormatting sqref="B31:AF31">
    <cfRule type="cellIs" dxfId="0" priority="1" operator="equal">
      <formula>1</formula>
    </cfRule>
  </conditionalFormatting>
  <conditionalFormatting sqref="B31:AF31">
    <cfRule type="cellIs" dxfId="1" priority="2" operator="lessThan">
      <formula>1</formula>
    </cfRule>
  </conditionalFormatting>
  <conditionalFormatting sqref="B31:AF31">
    <cfRule type="cellIs" dxfId="2" priority="3" operator="greaterThan">
      <formula>1</formula>
    </cfRule>
  </conditionalFormatting>
  <conditionalFormatting sqref="B18:AF18">
    <cfRule type="cellIs" dxfId="0" priority="4" operator="equal">
      <formula>1</formula>
    </cfRule>
  </conditionalFormatting>
  <conditionalFormatting sqref="B18:AF18">
    <cfRule type="cellIs" dxfId="2" priority="5" operator="greaterThan">
      <formula>1</formula>
    </cfRule>
  </conditionalFormatting>
  <conditionalFormatting sqref="B18:AF18">
    <cfRule type="cellIs" dxfId="1" priority="6" operator="lessThan">
      <formula>1</formula>
    </cfRule>
  </conditionalFormatting>
  <conditionalFormatting sqref="B15:AF15">
    <cfRule type="cellIs" dxfId="0" priority="7" operator="equal">
      <formula>1</formula>
    </cfRule>
  </conditionalFormatting>
  <conditionalFormatting sqref="B15:AF15">
    <cfRule type="cellIs" dxfId="2" priority="8" operator="greaterThan">
      <formula>1</formula>
    </cfRule>
  </conditionalFormatting>
  <conditionalFormatting sqref="B15:AF15">
    <cfRule type="cellIs" dxfId="1" priority="9" operator="lessThan">
      <formula>1</formula>
    </cfRule>
  </conditionalFormatting>
  <conditionalFormatting sqref="B24:AF24">
    <cfRule type="cellIs" dxfId="0" priority="10" operator="equal">
      <formula>1</formula>
    </cfRule>
  </conditionalFormatting>
  <conditionalFormatting sqref="B24:AF24">
    <cfRule type="cellIs" dxfId="2" priority="11" operator="greaterThan">
      <formula>1</formula>
    </cfRule>
  </conditionalFormatting>
  <conditionalFormatting sqref="B24:AF24">
    <cfRule type="cellIs" dxfId="1" priority="12" operator="lessThan">
      <formula>1</formula>
    </cfRule>
  </conditionalFormatting>
  <conditionalFormatting sqref="B5:AF5">
    <cfRule type="colorScale" priority="13">
      <colorScale>
        <cfvo type="min"/>
        <cfvo type="max"/>
        <color rgb="FFFFFFFF"/>
        <color rgb="FF57BB8A"/>
      </colorScale>
    </cfRule>
  </conditionalFormatting>
  <conditionalFormatting sqref="A34:AF34">
    <cfRule type="cellIs" dxfId="0" priority="14" operator="equal">
      <formula>1</formula>
    </cfRule>
  </conditionalFormatting>
  <conditionalFormatting sqref="A34:AF34">
    <cfRule type="cellIs" dxfId="1" priority="15" operator="lessThan">
      <formula>1</formula>
    </cfRule>
  </conditionalFormatting>
  <conditionalFormatting sqref="A34:AF34">
    <cfRule type="cellIs" dxfId="2" priority="16" operator="greaterThan">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4" width="16.13"/>
  </cols>
  <sheetData>
    <row r="1">
      <c r="A1" s="2" t="s">
        <v>1</v>
      </c>
      <c r="B1" s="4">
        <v>44378.0</v>
      </c>
      <c r="C1" s="6">
        <v>44379.0</v>
      </c>
      <c r="D1" s="4">
        <v>44380.0</v>
      </c>
      <c r="E1" s="6">
        <v>44381.0</v>
      </c>
      <c r="F1" s="4">
        <v>44382.0</v>
      </c>
      <c r="G1" s="6">
        <v>44383.0</v>
      </c>
      <c r="H1" s="4">
        <v>44384.0</v>
      </c>
      <c r="I1" s="6">
        <v>44385.0</v>
      </c>
      <c r="J1" s="4">
        <v>44386.0</v>
      </c>
      <c r="K1" s="6">
        <v>44387.0</v>
      </c>
      <c r="L1" s="4">
        <v>44388.0</v>
      </c>
      <c r="M1" s="6">
        <v>44389.0</v>
      </c>
      <c r="N1" s="4">
        <v>44390.0</v>
      </c>
      <c r="O1" s="6">
        <v>44391.0</v>
      </c>
      <c r="P1" s="4">
        <v>44392.0</v>
      </c>
      <c r="Q1" s="6">
        <v>44393.0</v>
      </c>
      <c r="R1" s="4">
        <v>44394.0</v>
      </c>
      <c r="S1" s="6">
        <v>44395.0</v>
      </c>
      <c r="T1" s="4">
        <v>44396.0</v>
      </c>
      <c r="U1" s="6">
        <v>44397.0</v>
      </c>
      <c r="V1" s="4">
        <v>44398.0</v>
      </c>
      <c r="W1" s="6">
        <v>44399.0</v>
      </c>
      <c r="X1" s="4">
        <v>44400.0</v>
      </c>
      <c r="Y1" s="6">
        <v>44401.0</v>
      </c>
      <c r="Z1" s="4">
        <v>44402.0</v>
      </c>
      <c r="AA1" s="6">
        <v>44403.0</v>
      </c>
      <c r="AB1" s="4">
        <v>44404.0</v>
      </c>
      <c r="AC1" s="6">
        <v>44405.0</v>
      </c>
      <c r="AD1" s="4">
        <v>44406.0</v>
      </c>
      <c r="AE1" s="6">
        <v>44407.0</v>
      </c>
      <c r="AF1" s="14">
        <v>44408.0</v>
      </c>
      <c r="AG1" s="15" t="s">
        <v>16</v>
      </c>
      <c r="AH1" s="16"/>
    </row>
    <row r="2">
      <c r="A2" s="17" t="s">
        <v>17</v>
      </c>
      <c r="B2" s="18" t="s">
        <v>18</v>
      </c>
      <c r="C2" s="18" t="s">
        <v>19</v>
      </c>
      <c r="D2" s="18" t="s">
        <v>20</v>
      </c>
      <c r="E2" s="18" t="s">
        <v>21</v>
      </c>
      <c r="F2" s="18" t="s">
        <v>22</v>
      </c>
      <c r="G2" s="18" t="s">
        <v>23</v>
      </c>
      <c r="H2" s="18" t="s">
        <v>24</v>
      </c>
      <c r="I2" s="18" t="s">
        <v>18</v>
      </c>
      <c r="J2" s="18" t="s">
        <v>19</v>
      </c>
      <c r="K2" s="18" t="s">
        <v>20</v>
      </c>
      <c r="L2" s="18" t="s">
        <v>21</v>
      </c>
      <c r="M2" s="18" t="s">
        <v>22</v>
      </c>
      <c r="N2" s="18" t="s">
        <v>23</v>
      </c>
      <c r="O2" s="18" t="s">
        <v>24</v>
      </c>
      <c r="P2" s="18" t="s">
        <v>18</v>
      </c>
      <c r="Q2" s="18" t="s">
        <v>19</v>
      </c>
      <c r="R2" s="18" t="s">
        <v>20</v>
      </c>
      <c r="S2" s="18" t="s">
        <v>21</v>
      </c>
      <c r="T2" s="18" t="s">
        <v>22</v>
      </c>
      <c r="U2" s="18" t="s">
        <v>23</v>
      </c>
      <c r="V2" s="18" t="s">
        <v>24</v>
      </c>
      <c r="W2" s="18" t="s">
        <v>18</v>
      </c>
      <c r="X2" s="18" t="s">
        <v>19</v>
      </c>
      <c r="Y2" s="18" t="s">
        <v>20</v>
      </c>
      <c r="Z2" s="18" t="s">
        <v>21</v>
      </c>
      <c r="AA2" s="18" t="s">
        <v>22</v>
      </c>
      <c r="AB2" s="18" t="s">
        <v>23</v>
      </c>
      <c r="AC2" s="18" t="s">
        <v>24</v>
      </c>
      <c r="AD2" s="18" t="s">
        <v>18</v>
      </c>
      <c r="AE2" s="18" t="s">
        <v>19</v>
      </c>
      <c r="AF2" s="21" t="s">
        <v>20</v>
      </c>
      <c r="AG2" s="16"/>
      <c r="AH2" s="16"/>
    </row>
    <row r="3">
      <c r="A3" s="22" t="s">
        <v>40</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23"/>
      <c r="AG3" s="16"/>
      <c r="AH3" s="16"/>
    </row>
    <row r="4">
      <c r="A4" s="25" t="s">
        <v>50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23"/>
      <c r="AG4" s="16"/>
      <c r="AH4" s="16"/>
    </row>
    <row r="5">
      <c r="A5" s="23" t="s">
        <v>56</v>
      </c>
      <c r="B5" s="30">
        <v>20.0</v>
      </c>
      <c r="C5" s="30">
        <v>29.0</v>
      </c>
      <c r="D5" s="30">
        <v>13.0</v>
      </c>
      <c r="E5" s="30">
        <v>27.0</v>
      </c>
      <c r="F5" s="30">
        <v>23.0</v>
      </c>
      <c r="G5" s="30">
        <v>18.0</v>
      </c>
      <c r="H5" s="30">
        <v>9.0</v>
      </c>
      <c r="I5" s="30">
        <v>14.0</v>
      </c>
      <c r="J5" s="30">
        <v>12.0</v>
      </c>
      <c r="K5" s="30">
        <v>23.0</v>
      </c>
      <c r="L5" s="30">
        <v>12.0</v>
      </c>
      <c r="M5" s="30">
        <v>23.0</v>
      </c>
      <c r="N5" s="30">
        <v>22.0</v>
      </c>
      <c r="O5" s="30">
        <v>15.0</v>
      </c>
      <c r="P5" s="30">
        <v>28.0</v>
      </c>
      <c r="Q5" s="30">
        <v>27.0</v>
      </c>
      <c r="R5" s="30">
        <v>28.0</v>
      </c>
      <c r="S5" s="30">
        <v>30.0</v>
      </c>
      <c r="T5" s="30">
        <v>37.0</v>
      </c>
      <c r="U5" s="30">
        <v>34.0</v>
      </c>
      <c r="V5" s="30">
        <v>27.0</v>
      </c>
      <c r="W5" s="30">
        <v>38.0</v>
      </c>
      <c r="X5" s="30">
        <v>35.0</v>
      </c>
      <c r="Y5" s="30">
        <v>30.0</v>
      </c>
      <c r="Z5" s="30">
        <v>37.0</v>
      </c>
      <c r="AA5" s="30">
        <v>37.0</v>
      </c>
      <c r="AB5" s="30">
        <v>47.0</v>
      </c>
      <c r="AC5" s="30">
        <v>14.0</v>
      </c>
      <c r="AD5" s="30">
        <v>14.0</v>
      </c>
      <c r="AE5" s="30">
        <v>13.0</v>
      </c>
      <c r="AF5" s="32">
        <v>15.0</v>
      </c>
      <c r="AG5" s="34">
        <f t="shared" ref="AG5:AG14" si="1">SUM(B5:AF5)</f>
        <v>751</v>
      </c>
      <c r="AH5" s="16"/>
    </row>
    <row r="6">
      <c r="A6" s="23" t="s">
        <v>72</v>
      </c>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7"/>
      <c r="AG6" s="40">
        <f t="shared" si="1"/>
        <v>0</v>
      </c>
      <c r="AH6" s="16"/>
    </row>
    <row r="7">
      <c r="A7" s="23" t="s">
        <v>84</v>
      </c>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7"/>
      <c r="AG7" s="40">
        <f t="shared" si="1"/>
        <v>0</v>
      </c>
      <c r="AH7" s="16"/>
    </row>
    <row r="8">
      <c r="A8" s="23" t="s">
        <v>98</v>
      </c>
      <c r="B8" s="30">
        <v>32.0</v>
      </c>
      <c r="C8" s="30">
        <v>39.0</v>
      </c>
      <c r="D8" s="30">
        <v>47.0</v>
      </c>
      <c r="E8" s="30">
        <v>49.0</v>
      </c>
      <c r="F8" s="30">
        <v>26.0</v>
      </c>
      <c r="G8" s="30">
        <v>38.0</v>
      </c>
      <c r="H8" s="30">
        <v>33.0</v>
      </c>
      <c r="I8" s="30">
        <v>16.0</v>
      </c>
      <c r="J8" s="30">
        <v>23.0</v>
      </c>
      <c r="K8" s="30">
        <v>22.0</v>
      </c>
      <c r="L8" s="30">
        <v>28.0</v>
      </c>
      <c r="M8" s="30">
        <v>22.0</v>
      </c>
      <c r="N8" s="30">
        <v>38.0</v>
      </c>
      <c r="O8" s="30">
        <v>34.0</v>
      </c>
      <c r="P8" s="30">
        <v>33.0</v>
      </c>
      <c r="Q8" s="30">
        <v>51.0</v>
      </c>
      <c r="R8" s="30">
        <v>37.0</v>
      </c>
      <c r="S8" s="30">
        <v>57.0</v>
      </c>
      <c r="T8" s="30">
        <v>64.0</v>
      </c>
      <c r="U8" s="30">
        <v>47.0</v>
      </c>
      <c r="V8" s="30">
        <v>47.0</v>
      </c>
      <c r="W8" s="30">
        <v>50.0</v>
      </c>
      <c r="X8" s="30">
        <v>47.0</v>
      </c>
      <c r="Y8" s="30">
        <v>54.0</v>
      </c>
      <c r="Z8" s="30">
        <v>39.0</v>
      </c>
      <c r="AA8" s="30">
        <v>40.0</v>
      </c>
      <c r="AB8" s="30">
        <v>74.0</v>
      </c>
      <c r="AC8" s="30">
        <v>53.0</v>
      </c>
      <c r="AD8" s="30">
        <v>46.0</v>
      </c>
      <c r="AE8" s="30">
        <v>17.0</v>
      </c>
      <c r="AF8" s="32">
        <v>11.0</v>
      </c>
      <c r="AG8" s="34">
        <f t="shared" si="1"/>
        <v>1214</v>
      </c>
      <c r="AH8" s="16"/>
    </row>
    <row r="9">
      <c r="A9" s="23" t="s">
        <v>112</v>
      </c>
      <c r="B9" s="30">
        <v>38.0</v>
      </c>
      <c r="C9" s="30">
        <v>42.0</v>
      </c>
      <c r="D9" s="30">
        <v>43.0</v>
      </c>
      <c r="E9" s="30">
        <v>47.0</v>
      </c>
      <c r="F9" s="30">
        <v>28.0</v>
      </c>
      <c r="G9" s="30">
        <v>37.0</v>
      </c>
      <c r="H9" s="30">
        <v>27.0</v>
      </c>
      <c r="I9" s="30">
        <v>18.0</v>
      </c>
      <c r="J9" s="30">
        <v>33.0</v>
      </c>
      <c r="K9" s="30">
        <v>30.0</v>
      </c>
      <c r="L9" s="30">
        <v>33.0</v>
      </c>
      <c r="M9" s="30">
        <v>55.0</v>
      </c>
      <c r="N9" s="30">
        <v>44.0</v>
      </c>
      <c r="O9" s="30">
        <v>30.0</v>
      </c>
      <c r="P9" s="30">
        <v>51.0</v>
      </c>
      <c r="Q9" s="45">
        <v>63.0</v>
      </c>
      <c r="R9" s="30">
        <v>74.0</v>
      </c>
      <c r="S9" s="30">
        <v>92.0</v>
      </c>
      <c r="T9" s="30">
        <v>107.0</v>
      </c>
      <c r="U9" s="30">
        <v>83.0</v>
      </c>
      <c r="V9" s="30">
        <v>84.0</v>
      </c>
      <c r="W9" s="30">
        <v>129.0</v>
      </c>
      <c r="X9" s="30">
        <v>97.0</v>
      </c>
      <c r="Y9" s="30">
        <v>83.0</v>
      </c>
      <c r="Z9" s="30">
        <v>131.0</v>
      </c>
      <c r="AA9" s="30">
        <v>129.0</v>
      </c>
      <c r="AB9" s="30">
        <v>149.0</v>
      </c>
      <c r="AC9" s="30">
        <v>86.0</v>
      </c>
      <c r="AD9" s="30">
        <v>74.0</v>
      </c>
      <c r="AE9" s="30">
        <v>78.0</v>
      </c>
      <c r="AF9" s="32">
        <v>26.0</v>
      </c>
      <c r="AG9" s="34">
        <f t="shared" si="1"/>
        <v>2041</v>
      </c>
      <c r="AH9" s="16"/>
    </row>
    <row r="10">
      <c r="A10" s="23" t="s">
        <v>113</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40">
        <f t="shared" si="1"/>
        <v>0</v>
      </c>
      <c r="AH10" s="16"/>
    </row>
    <row r="11">
      <c r="A11" s="23" t="s">
        <v>117</v>
      </c>
      <c r="B11" s="49"/>
      <c r="C11" s="49"/>
      <c r="D11" s="49"/>
      <c r="E11" s="49"/>
      <c r="F11" s="49"/>
      <c r="G11" s="49"/>
      <c r="H11" s="49"/>
      <c r="I11" s="49"/>
      <c r="J11" s="49"/>
      <c r="K11" s="49"/>
      <c r="L11" s="49"/>
      <c r="M11" s="49"/>
      <c r="N11" s="30">
        <v>0.0</v>
      </c>
      <c r="O11" s="30">
        <v>1.0</v>
      </c>
      <c r="P11" s="30">
        <v>0.0</v>
      </c>
      <c r="Q11" s="30">
        <v>0.0</v>
      </c>
      <c r="R11" s="30">
        <v>0.0</v>
      </c>
      <c r="S11" s="30">
        <v>0.0</v>
      </c>
      <c r="T11" s="30">
        <v>2.0</v>
      </c>
      <c r="U11" s="30">
        <v>2.0</v>
      </c>
      <c r="V11" s="30">
        <v>3.0</v>
      </c>
      <c r="W11" s="30">
        <v>1.0</v>
      </c>
      <c r="X11" s="30">
        <v>3.0</v>
      </c>
      <c r="Y11" s="30">
        <v>1.0</v>
      </c>
      <c r="Z11" s="30">
        <v>3.0</v>
      </c>
      <c r="AA11" s="30">
        <v>1.0</v>
      </c>
      <c r="AB11" s="30">
        <v>3.0</v>
      </c>
      <c r="AC11" s="30">
        <v>1.0</v>
      </c>
      <c r="AD11" s="30">
        <v>1.0</v>
      </c>
      <c r="AE11" s="30">
        <v>0.0</v>
      </c>
      <c r="AF11" s="32">
        <v>0.0</v>
      </c>
      <c r="AG11" s="34">
        <f t="shared" si="1"/>
        <v>22</v>
      </c>
      <c r="AH11" s="16"/>
    </row>
    <row r="12">
      <c r="A12" s="23" t="s">
        <v>122</v>
      </c>
      <c r="B12" s="49"/>
      <c r="C12" s="49"/>
      <c r="D12" s="49"/>
      <c r="E12" s="49"/>
      <c r="F12" s="49"/>
      <c r="G12" s="49"/>
      <c r="H12" s="49"/>
      <c r="I12" s="49"/>
      <c r="J12" s="49"/>
      <c r="K12" s="49"/>
      <c r="L12" s="49"/>
      <c r="M12" s="49"/>
      <c r="N12" s="49"/>
      <c r="O12" s="49"/>
      <c r="P12" s="49"/>
      <c r="Q12" s="49"/>
      <c r="R12" s="49"/>
      <c r="S12" s="30">
        <v>1.0</v>
      </c>
      <c r="T12" s="30">
        <v>1.0</v>
      </c>
      <c r="U12" s="30">
        <v>2.0</v>
      </c>
      <c r="V12" s="30">
        <v>0.0</v>
      </c>
      <c r="W12" s="30">
        <v>8.0</v>
      </c>
      <c r="X12" s="30">
        <v>5.0</v>
      </c>
      <c r="Y12" s="30">
        <v>2.0</v>
      </c>
      <c r="Z12" s="30">
        <v>2.0</v>
      </c>
      <c r="AA12" s="30">
        <v>1.0</v>
      </c>
      <c r="AB12" s="30">
        <v>1.0</v>
      </c>
      <c r="AC12" s="30">
        <v>1.0</v>
      </c>
      <c r="AD12" s="30">
        <v>1.0</v>
      </c>
      <c r="AE12" s="30">
        <v>2.0</v>
      </c>
      <c r="AF12" s="32">
        <v>2.0</v>
      </c>
      <c r="AG12" s="34">
        <f t="shared" si="1"/>
        <v>29</v>
      </c>
      <c r="AH12" s="16"/>
    </row>
    <row r="13">
      <c r="A13" s="54" t="s">
        <v>124</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6"/>
      <c r="AG13" s="57">
        <f t="shared" si="1"/>
        <v>0</v>
      </c>
      <c r="AH13" s="58"/>
    </row>
    <row r="14">
      <c r="A14" s="23" t="s">
        <v>16</v>
      </c>
      <c r="B14" s="59">
        <f t="shared" ref="B14:AF14" si="2">SUM(B5:B13)</f>
        <v>90</v>
      </c>
      <c r="C14" s="59">
        <f t="shared" si="2"/>
        <v>110</v>
      </c>
      <c r="D14" s="59">
        <f t="shared" si="2"/>
        <v>103</v>
      </c>
      <c r="E14" s="59">
        <f t="shared" si="2"/>
        <v>123</v>
      </c>
      <c r="F14" s="59">
        <f t="shared" si="2"/>
        <v>77</v>
      </c>
      <c r="G14" s="59">
        <f t="shared" si="2"/>
        <v>93</v>
      </c>
      <c r="H14" s="59">
        <f t="shared" si="2"/>
        <v>69</v>
      </c>
      <c r="I14" s="59">
        <f t="shared" si="2"/>
        <v>48</v>
      </c>
      <c r="J14" s="59">
        <f t="shared" si="2"/>
        <v>68</v>
      </c>
      <c r="K14" s="59">
        <f t="shared" si="2"/>
        <v>75</v>
      </c>
      <c r="L14" s="59">
        <f t="shared" si="2"/>
        <v>73</v>
      </c>
      <c r="M14" s="59">
        <f t="shared" si="2"/>
        <v>100</v>
      </c>
      <c r="N14" s="59">
        <f t="shared" si="2"/>
        <v>104</v>
      </c>
      <c r="O14" s="59">
        <f t="shared" si="2"/>
        <v>80</v>
      </c>
      <c r="P14" s="59">
        <f t="shared" si="2"/>
        <v>112</v>
      </c>
      <c r="Q14" s="59">
        <f t="shared" si="2"/>
        <v>141</v>
      </c>
      <c r="R14" s="59">
        <f t="shared" si="2"/>
        <v>139</v>
      </c>
      <c r="S14" s="59">
        <f t="shared" si="2"/>
        <v>180</v>
      </c>
      <c r="T14" s="59">
        <f t="shared" si="2"/>
        <v>211</v>
      </c>
      <c r="U14" s="59">
        <f t="shared" si="2"/>
        <v>168</v>
      </c>
      <c r="V14" s="59">
        <f t="shared" si="2"/>
        <v>161</v>
      </c>
      <c r="W14" s="59">
        <f t="shared" si="2"/>
        <v>226</v>
      </c>
      <c r="X14" s="59">
        <f t="shared" si="2"/>
        <v>187</v>
      </c>
      <c r="Y14" s="59">
        <f t="shared" si="2"/>
        <v>170</v>
      </c>
      <c r="Z14" s="59">
        <f t="shared" si="2"/>
        <v>212</v>
      </c>
      <c r="AA14" s="59">
        <f t="shared" si="2"/>
        <v>208</v>
      </c>
      <c r="AB14" s="59">
        <f t="shared" si="2"/>
        <v>274</v>
      </c>
      <c r="AC14" s="59">
        <f t="shared" si="2"/>
        <v>155</v>
      </c>
      <c r="AD14" s="59">
        <f t="shared" si="2"/>
        <v>136</v>
      </c>
      <c r="AE14" s="59">
        <f t="shared" si="2"/>
        <v>110</v>
      </c>
      <c r="AF14" s="60">
        <f t="shared" si="2"/>
        <v>54</v>
      </c>
      <c r="AG14" s="40">
        <f t="shared" si="1"/>
        <v>4057</v>
      </c>
      <c r="AH14" s="16"/>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23"/>
      <c r="AG15" s="16"/>
      <c r="AH15" s="16"/>
    </row>
    <row r="16">
      <c r="A16" s="61" t="s">
        <v>127</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23"/>
      <c r="AG16" s="16"/>
      <c r="AH16" s="16"/>
    </row>
    <row r="17">
      <c r="A17" s="23" t="s">
        <v>56</v>
      </c>
      <c r="B17" s="64">
        <v>5846.0</v>
      </c>
      <c r="C17" s="64">
        <v>7304.0</v>
      </c>
      <c r="D17" s="64">
        <v>3393.0</v>
      </c>
      <c r="E17" s="64">
        <v>7252.0</v>
      </c>
      <c r="F17" s="64">
        <v>5836.0</v>
      </c>
      <c r="G17" s="64">
        <v>5296.0</v>
      </c>
      <c r="H17" s="64">
        <v>3073.0</v>
      </c>
      <c r="I17" s="64">
        <v>3608.0</v>
      </c>
      <c r="J17" s="64">
        <v>3575.0</v>
      </c>
      <c r="K17" s="64">
        <v>6161.0</v>
      </c>
      <c r="L17" s="64">
        <v>2869.0</v>
      </c>
      <c r="M17" s="64">
        <v>7851.0</v>
      </c>
      <c r="N17" s="64">
        <v>6092.0</v>
      </c>
      <c r="O17" s="64">
        <v>3722.0</v>
      </c>
      <c r="P17" s="64">
        <v>7292.0</v>
      </c>
      <c r="Q17" s="64">
        <v>9562.0</v>
      </c>
      <c r="R17" s="64">
        <v>8067.0</v>
      </c>
      <c r="S17" s="64">
        <v>8016.0</v>
      </c>
      <c r="T17" s="64">
        <v>10446.0</v>
      </c>
      <c r="U17" s="64">
        <v>9439.0</v>
      </c>
      <c r="V17" s="64">
        <v>7354.0</v>
      </c>
      <c r="W17" s="64">
        <v>9405.0</v>
      </c>
      <c r="X17" s="64">
        <v>9980.0</v>
      </c>
      <c r="Y17" s="64">
        <v>8290.0</v>
      </c>
      <c r="Z17" s="64">
        <v>9934.0</v>
      </c>
      <c r="AA17" s="64">
        <v>12155.0</v>
      </c>
      <c r="AB17" s="64">
        <v>13852.0</v>
      </c>
      <c r="AC17" s="64">
        <v>3941.0</v>
      </c>
      <c r="AD17" s="64">
        <v>4349.0</v>
      </c>
      <c r="AE17" s="64">
        <v>3100.0</v>
      </c>
      <c r="AF17" s="67">
        <v>5009.0</v>
      </c>
      <c r="AG17" s="68">
        <f t="shared" ref="AG17:AG26" si="3">SUM(B17:AF17)</f>
        <v>212069</v>
      </c>
      <c r="AH17" s="16"/>
    </row>
    <row r="18">
      <c r="A18" s="23" t="s">
        <v>72</v>
      </c>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71"/>
      <c r="AG18" s="68">
        <f t="shared" si="3"/>
        <v>0</v>
      </c>
      <c r="AH18" s="16"/>
    </row>
    <row r="19">
      <c r="A19" s="23" t="s">
        <v>84</v>
      </c>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71"/>
      <c r="AG19" s="68">
        <f t="shared" si="3"/>
        <v>0</v>
      </c>
      <c r="AH19" s="16"/>
    </row>
    <row r="20">
      <c r="A20" s="23" t="s">
        <v>98</v>
      </c>
      <c r="B20" s="64">
        <v>10249.46</v>
      </c>
      <c r="C20" s="64">
        <v>11527.37</v>
      </c>
      <c r="D20" s="64">
        <v>13961.75</v>
      </c>
      <c r="E20" s="64">
        <v>13399.58</v>
      </c>
      <c r="F20" s="64">
        <v>7198.26</v>
      </c>
      <c r="G20" s="64">
        <v>9972.29</v>
      </c>
      <c r="H20" s="64">
        <v>8959.9</v>
      </c>
      <c r="I20" s="64">
        <v>5378.47</v>
      </c>
      <c r="J20" s="64">
        <v>5183.43</v>
      </c>
      <c r="K20" s="64">
        <v>5599.14</v>
      </c>
      <c r="L20" s="64">
        <v>7474.45</v>
      </c>
      <c r="M20" s="64">
        <v>6757.84</v>
      </c>
      <c r="N20" s="64">
        <v>10221.05</v>
      </c>
      <c r="O20" s="64">
        <v>8698.91</v>
      </c>
      <c r="P20" s="64">
        <v>9296.93</v>
      </c>
      <c r="Q20" s="64">
        <v>14983.91</v>
      </c>
      <c r="R20" s="64">
        <v>11057.92</v>
      </c>
      <c r="S20" s="64">
        <v>14797.81</v>
      </c>
      <c r="T20" s="64">
        <v>17836.4</v>
      </c>
      <c r="U20" s="64">
        <v>12894.47</v>
      </c>
      <c r="V20" s="64">
        <v>10750.6</v>
      </c>
      <c r="W20" s="64">
        <v>12124.82</v>
      </c>
      <c r="X20" s="64">
        <v>12510.72</v>
      </c>
      <c r="Y20" s="64">
        <v>14444.17</v>
      </c>
      <c r="Z20" s="64">
        <v>11455.95</v>
      </c>
      <c r="AA20" s="64">
        <v>11985.9</v>
      </c>
      <c r="AB20" s="64">
        <v>20264.25</v>
      </c>
      <c r="AC20" s="64">
        <v>13086.38</v>
      </c>
      <c r="AD20" s="64">
        <v>12056.98</v>
      </c>
      <c r="AE20" s="64">
        <v>4585.23</v>
      </c>
      <c r="AF20" s="67">
        <v>2478.6</v>
      </c>
      <c r="AG20" s="68">
        <f t="shared" si="3"/>
        <v>331192.94</v>
      </c>
      <c r="AH20" s="16"/>
    </row>
    <row r="21">
      <c r="A21" s="23" t="s">
        <v>112</v>
      </c>
      <c r="B21" s="64">
        <v>9864.03</v>
      </c>
      <c r="C21" s="64">
        <v>10468.03</v>
      </c>
      <c r="D21" s="64">
        <v>11972.05</v>
      </c>
      <c r="E21" s="64">
        <v>12795.64</v>
      </c>
      <c r="F21" s="64">
        <v>6948.22</v>
      </c>
      <c r="G21" s="64">
        <v>10440.4</v>
      </c>
      <c r="H21" s="64">
        <v>8399.82</v>
      </c>
      <c r="I21" s="64">
        <v>4639.38</v>
      </c>
      <c r="J21" s="64">
        <v>8915.23</v>
      </c>
      <c r="K21" s="64">
        <v>9049.17</v>
      </c>
      <c r="L21" s="64">
        <v>9258.64</v>
      </c>
      <c r="M21" s="64">
        <v>15089.79</v>
      </c>
      <c r="N21" s="64">
        <v>11940.69</v>
      </c>
      <c r="O21" s="64">
        <v>8344.78</v>
      </c>
      <c r="P21" s="64">
        <v>14719.23</v>
      </c>
      <c r="Q21" s="64">
        <v>18567.61</v>
      </c>
      <c r="R21" s="64">
        <v>20192.19</v>
      </c>
      <c r="S21" s="64">
        <v>26281.86</v>
      </c>
      <c r="T21" s="64">
        <v>32292.73</v>
      </c>
      <c r="U21" s="64">
        <v>22721.22</v>
      </c>
      <c r="V21" s="64">
        <v>24885.2</v>
      </c>
      <c r="W21" s="64">
        <v>39500.01</v>
      </c>
      <c r="X21" s="64">
        <v>29482.73</v>
      </c>
      <c r="Y21" s="64">
        <v>22389.04</v>
      </c>
      <c r="Z21" s="64">
        <v>34583.75</v>
      </c>
      <c r="AA21" s="64">
        <v>37353.59</v>
      </c>
      <c r="AB21" s="64">
        <v>43674.89</v>
      </c>
      <c r="AC21" s="64">
        <v>22177.46</v>
      </c>
      <c r="AD21" s="64">
        <v>19703.28</v>
      </c>
      <c r="AE21" s="64">
        <v>12203.32</v>
      </c>
      <c r="AF21" s="67">
        <v>6468.79</v>
      </c>
      <c r="AG21" s="68">
        <f t="shared" si="3"/>
        <v>565322.77</v>
      </c>
      <c r="AH21" s="16"/>
    </row>
    <row r="22">
      <c r="A22" s="23" t="s">
        <v>113</v>
      </c>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71"/>
      <c r="AG22" s="68">
        <f t="shared" si="3"/>
        <v>0</v>
      </c>
      <c r="AH22" s="16"/>
    </row>
    <row r="23">
      <c r="A23" s="23" t="s">
        <v>117</v>
      </c>
      <c r="B23" s="69"/>
      <c r="C23" s="69"/>
      <c r="D23" s="69"/>
      <c r="E23" s="69"/>
      <c r="F23" s="69"/>
      <c r="G23" s="69"/>
      <c r="H23" s="69"/>
      <c r="I23" s="69"/>
      <c r="J23" s="69"/>
      <c r="K23" s="69"/>
      <c r="L23" s="69"/>
      <c r="M23" s="69"/>
      <c r="N23" s="64">
        <v>0.0</v>
      </c>
      <c r="O23" s="64">
        <v>265.0</v>
      </c>
      <c r="P23" s="64">
        <v>0.0</v>
      </c>
      <c r="Q23" s="64">
        <v>0.0</v>
      </c>
      <c r="R23" s="64">
        <v>0.0</v>
      </c>
      <c r="S23" s="64">
        <v>0.0</v>
      </c>
      <c r="T23" s="64">
        <v>543.0</v>
      </c>
      <c r="U23" s="64">
        <v>471.0</v>
      </c>
      <c r="V23" s="64">
        <v>890.0</v>
      </c>
      <c r="W23" s="64">
        <v>369.0</v>
      </c>
      <c r="X23" s="64">
        <v>680.0</v>
      </c>
      <c r="Y23" s="64">
        <v>265.0</v>
      </c>
      <c r="Z23" s="64">
        <v>915.0</v>
      </c>
      <c r="AA23" s="64">
        <v>283.0</v>
      </c>
      <c r="AB23" s="64">
        <v>918.0</v>
      </c>
      <c r="AC23" s="64">
        <v>283.0</v>
      </c>
      <c r="AD23" s="64">
        <v>283.0</v>
      </c>
      <c r="AE23" s="64">
        <v>0.0</v>
      </c>
      <c r="AF23" s="67">
        <v>0.0</v>
      </c>
      <c r="AG23" s="68">
        <f t="shared" si="3"/>
        <v>6165</v>
      </c>
      <c r="AH23" s="16"/>
    </row>
    <row r="24">
      <c r="A24" s="23" t="s">
        <v>122</v>
      </c>
      <c r="B24" s="69"/>
      <c r="C24" s="69"/>
      <c r="D24" s="69"/>
      <c r="E24" s="69"/>
      <c r="F24" s="69"/>
      <c r="G24" s="69"/>
      <c r="H24" s="69"/>
      <c r="I24" s="69"/>
      <c r="J24" s="69"/>
      <c r="K24" s="69"/>
      <c r="L24" s="69"/>
      <c r="M24" s="69"/>
      <c r="N24" s="69"/>
      <c r="O24" s="69"/>
      <c r="P24" s="69"/>
      <c r="Q24" s="69"/>
      <c r="R24" s="69"/>
      <c r="S24" s="64">
        <v>189.0</v>
      </c>
      <c r="T24" s="64">
        <v>189.0</v>
      </c>
      <c r="U24" s="64">
        <v>368.0</v>
      </c>
      <c r="V24" s="64">
        <v>0.0</v>
      </c>
      <c r="W24" s="64">
        <v>2225.0</v>
      </c>
      <c r="X24" s="64">
        <v>1010.0</v>
      </c>
      <c r="Y24" s="64">
        <v>396.0</v>
      </c>
      <c r="Z24" s="64">
        <v>496.0</v>
      </c>
      <c r="AA24" s="64">
        <v>189.0</v>
      </c>
      <c r="AB24" s="64">
        <v>248.0</v>
      </c>
      <c r="AC24" s="64">
        <v>189.0</v>
      </c>
      <c r="AD24" s="64">
        <v>189.0</v>
      </c>
      <c r="AE24" s="64">
        <v>396.0</v>
      </c>
      <c r="AF24" s="67">
        <v>497.0</v>
      </c>
      <c r="AG24" s="68">
        <f t="shared" si="3"/>
        <v>6581</v>
      </c>
      <c r="AH24" s="16"/>
    </row>
    <row r="25">
      <c r="A25" s="54" t="s">
        <v>124</v>
      </c>
      <c r="B25" s="90">
        <v>0.0</v>
      </c>
      <c r="C25" s="90">
        <v>0.0</v>
      </c>
      <c r="D25" s="90">
        <v>0.0</v>
      </c>
      <c r="E25" s="90">
        <v>0.0</v>
      </c>
      <c r="F25" s="90">
        <v>0.0</v>
      </c>
      <c r="G25" s="90">
        <v>0.0</v>
      </c>
      <c r="H25" s="90">
        <v>0.0</v>
      </c>
      <c r="I25" s="90">
        <v>0.0</v>
      </c>
      <c r="J25" s="90">
        <v>0.0</v>
      </c>
      <c r="K25" s="90">
        <v>0.0</v>
      </c>
      <c r="L25" s="90">
        <v>0.0</v>
      </c>
      <c r="M25" s="90">
        <v>0.0</v>
      </c>
      <c r="N25" s="90">
        <v>0.0</v>
      </c>
      <c r="O25" s="91"/>
      <c r="P25" s="91"/>
      <c r="Q25" s="91"/>
      <c r="R25" s="91"/>
      <c r="S25" s="91"/>
      <c r="T25" s="91"/>
      <c r="U25" s="91"/>
      <c r="V25" s="91"/>
      <c r="W25" s="91"/>
      <c r="X25" s="91"/>
      <c r="Y25" s="91"/>
      <c r="Z25" s="91"/>
      <c r="AA25" s="91"/>
      <c r="AB25" s="91"/>
      <c r="AC25" s="91"/>
      <c r="AD25" s="91"/>
      <c r="AE25" s="91"/>
      <c r="AF25" s="92"/>
      <c r="AG25" s="93">
        <f t="shared" si="3"/>
        <v>0</v>
      </c>
      <c r="AH25" s="58"/>
    </row>
    <row r="26">
      <c r="A26" s="23" t="s">
        <v>16</v>
      </c>
      <c r="B26" s="94">
        <f t="shared" ref="B26:AF26" si="4">SUM(B17:B25)</f>
        <v>25959.49</v>
      </c>
      <c r="C26" s="94">
        <f t="shared" si="4"/>
        <v>29299.4</v>
      </c>
      <c r="D26" s="94">
        <f t="shared" si="4"/>
        <v>29326.8</v>
      </c>
      <c r="E26" s="94">
        <f t="shared" si="4"/>
        <v>33447.22</v>
      </c>
      <c r="F26" s="94">
        <f t="shared" si="4"/>
        <v>19982.48</v>
      </c>
      <c r="G26" s="94">
        <f t="shared" si="4"/>
        <v>25708.69</v>
      </c>
      <c r="H26" s="94">
        <f t="shared" si="4"/>
        <v>20432.72</v>
      </c>
      <c r="I26" s="94">
        <f t="shared" si="4"/>
        <v>13625.85</v>
      </c>
      <c r="J26" s="94">
        <f t="shared" si="4"/>
        <v>17673.66</v>
      </c>
      <c r="K26" s="94">
        <f t="shared" si="4"/>
        <v>20809.31</v>
      </c>
      <c r="L26" s="94">
        <f t="shared" si="4"/>
        <v>19602.09</v>
      </c>
      <c r="M26" s="94">
        <f t="shared" si="4"/>
        <v>29698.63</v>
      </c>
      <c r="N26" s="94">
        <f t="shared" si="4"/>
        <v>28253.74</v>
      </c>
      <c r="O26" s="94">
        <f t="shared" si="4"/>
        <v>21030.69</v>
      </c>
      <c r="P26" s="94">
        <f t="shared" si="4"/>
        <v>31308.16</v>
      </c>
      <c r="Q26" s="94">
        <f t="shared" si="4"/>
        <v>43113.52</v>
      </c>
      <c r="R26" s="94">
        <f t="shared" si="4"/>
        <v>39317.11</v>
      </c>
      <c r="S26" s="94">
        <f t="shared" si="4"/>
        <v>49284.67</v>
      </c>
      <c r="T26" s="94">
        <f t="shared" si="4"/>
        <v>61307.13</v>
      </c>
      <c r="U26" s="94">
        <f t="shared" si="4"/>
        <v>45893.69</v>
      </c>
      <c r="V26" s="94">
        <f t="shared" si="4"/>
        <v>43879.8</v>
      </c>
      <c r="W26" s="94">
        <f t="shared" si="4"/>
        <v>63623.83</v>
      </c>
      <c r="X26" s="94">
        <f t="shared" si="4"/>
        <v>53663.45</v>
      </c>
      <c r="Y26" s="94">
        <f t="shared" si="4"/>
        <v>45784.21</v>
      </c>
      <c r="Z26" s="94">
        <f t="shared" si="4"/>
        <v>57384.7</v>
      </c>
      <c r="AA26" s="94">
        <f t="shared" si="4"/>
        <v>61966.49</v>
      </c>
      <c r="AB26" s="94">
        <f t="shared" si="4"/>
        <v>78957.14</v>
      </c>
      <c r="AC26" s="94">
        <f t="shared" si="4"/>
        <v>39676.84</v>
      </c>
      <c r="AD26" s="94">
        <f t="shared" si="4"/>
        <v>36581.26</v>
      </c>
      <c r="AE26" s="94">
        <f t="shared" si="4"/>
        <v>20284.55</v>
      </c>
      <c r="AF26" s="100">
        <f t="shared" si="4"/>
        <v>14453.39</v>
      </c>
      <c r="AG26" s="102">
        <f t="shared" si="3"/>
        <v>1121330.71</v>
      </c>
      <c r="AH26" s="16"/>
    </row>
    <row r="27">
      <c r="A27" s="23"/>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23"/>
      <c r="AG27" s="104"/>
      <c r="AH27" s="16"/>
    </row>
    <row r="28">
      <c r="A28" s="105" t="s">
        <v>141</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23"/>
      <c r="AG28" s="104"/>
      <c r="AH28" s="16"/>
    </row>
    <row r="29">
      <c r="A29" s="23" t="s">
        <v>142</v>
      </c>
      <c r="B29" s="64">
        <v>466.35</v>
      </c>
      <c r="C29" s="64">
        <v>557.79</v>
      </c>
      <c r="D29" s="64">
        <v>415.28</v>
      </c>
      <c r="E29" s="64">
        <v>492.65</v>
      </c>
      <c r="F29" s="64">
        <v>526.14</v>
      </c>
      <c r="G29" s="64">
        <v>527.95</v>
      </c>
      <c r="H29" s="64">
        <v>1094.22</v>
      </c>
      <c r="I29" s="64">
        <v>724.88</v>
      </c>
      <c r="J29" s="64">
        <v>799.12</v>
      </c>
      <c r="K29" s="64">
        <v>681.39</v>
      </c>
      <c r="L29" s="64">
        <v>789.56</v>
      </c>
      <c r="M29" s="64">
        <v>747.59</v>
      </c>
      <c r="N29" s="64">
        <v>764.36</v>
      </c>
      <c r="O29" s="64">
        <v>651.47</v>
      </c>
      <c r="P29" s="64">
        <v>753.26</v>
      </c>
      <c r="Q29" s="64">
        <v>730.47</v>
      </c>
      <c r="R29" s="64">
        <v>721.01</v>
      </c>
      <c r="S29" s="64">
        <v>873.99</v>
      </c>
      <c r="T29" s="64">
        <v>724.78</v>
      </c>
      <c r="U29" s="64">
        <v>687.1</v>
      </c>
      <c r="V29" s="64">
        <v>739.52</v>
      </c>
      <c r="W29" s="64">
        <v>878.29</v>
      </c>
      <c r="X29" s="64">
        <v>768.91</v>
      </c>
      <c r="Y29" s="64">
        <v>841.67</v>
      </c>
      <c r="Z29" s="64">
        <v>871.36</v>
      </c>
      <c r="AA29" s="64">
        <v>861.98</v>
      </c>
      <c r="AB29" s="64">
        <v>851.09</v>
      </c>
      <c r="AC29" s="64">
        <v>843.44</v>
      </c>
      <c r="AD29" s="64">
        <v>754.03</v>
      </c>
      <c r="AE29" s="64">
        <v>536.77</v>
      </c>
      <c r="AF29" s="67">
        <v>524.85</v>
      </c>
      <c r="AG29" s="68">
        <f t="shared" ref="AG29:AG44" si="6">SUM(B29:AF29)</f>
        <v>22201.27</v>
      </c>
      <c r="AH29" s="16"/>
    </row>
    <row r="30">
      <c r="A30" s="23" t="s">
        <v>145</v>
      </c>
      <c r="B30" s="110">
        <f t="shared" ref="B30:AF30" si="5">B29*0.15</f>
        <v>69.9525</v>
      </c>
      <c r="C30" s="110">
        <f t="shared" si="5"/>
        <v>83.6685</v>
      </c>
      <c r="D30" s="110">
        <f t="shared" si="5"/>
        <v>62.292</v>
      </c>
      <c r="E30" s="110">
        <f t="shared" si="5"/>
        <v>73.8975</v>
      </c>
      <c r="F30" s="110">
        <f t="shared" si="5"/>
        <v>78.921</v>
      </c>
      <c r="G30" s="110">
        <f t="shared" si="5"/>
        <v>79.1925</v>
      </c>
      <c r="H30" s="110">
        <f t="shared" si="5"/>
        <v>164.133</v>
      </c>
      <c r="I30" s="110">
        <f t="shared" si="5"/>
        <v>108.732</v>
      </c>
      <c r="J30" s="110">
        <f t="shared" si="5"/>
        <v>119.868</v>
      </c>
      <c r="K30" s="110">
        <f t="shared" si="5"/>
        <v>102.2085</v>
      </c>
      <c r="L30" s="110">
        <f t="shared" si="5"/>
        <v>118.434</v>
      </c>
      <c r="M30" s="110">
        <f t="shared" si="5"/>
        <v>112.1385</v>
      </c>
      <c r="N30" s="110">
        <f t="shared" si="5"/>
        <v>114.654</v>
      </c>
      <c r="O30" s="110">
        <f t="shared" si="5"/>
        <v>97.7205</v>
      </c>
      <c r="P30" s="110">
        <f t="shared" si="5"/>
        <v>112.989</v>
      </c>
      <c r="Q30" s="110">
        <f t="shared" si="5"/>
        <v>109.5705</v>
      </c>
      <c r="R30" s="110">
        <f t="shared" si="5"/>
        <v>108.1515</v>
      </c>
      <c r="S30" s="110">
        <f t="shared" si="5"/>
        <v>131.0985</v>
      </c>
      <c r="T30" s="110">
        <f t="shared" si="5"/>
        <v>108.717</v>
      </c>
      <c r="U30" s="110">
        <f t="shared" si="5"/>
        <v>103.065</v>
      </c>
      <c r="V30" s="110">
        <f t="shared" si="5"/>
        <v>110.928</v>
      </c>
      <c r="W30" s="110">
        <f t="shared" si="5"/>
        <v>131.7435</v>
      </c>
      <c r="X30" s="110">
        <f t="shared" si="5"/>
        <v>115.3365</v>
      </c>
      <c r="Y30" s="110">
        <f t="shared" si="5"/>
        <v>126.2505</v>
      </c>
      <c r="Z30" s="110">
        <f t="shared" si="5"/>
        <v>130.704</v>
      </c>
      <c r="AA30" s="110">
        <f t="shared" si="5"/>
        <v>129.297</v>
      </c>
      <c r="AB30" s="110">
        <f t="shared" si="5"/>
        <v>127.6635</v>
      </c>
      <c r="AC30" s="110">
        <f t="shared" si="5"/>
        <v>126.516</v>
      </c>
      <c r="AD30" s="110">
        <f t="shared" si="5"/>
        <v>113.1045</v>
      </c>
      <c r="AE30" s="110">
        <f t="shared" si="5"/>
        <v>80.5155</v>
      </c>
      <c r="AF30" s="111">
        <f t="shared" si="5"/>
        <v>78.7275</v>
      </c>
      <c r="AG30" s="68">
        <f t="shared" si="6"/>
        <v>3330.1905</v>
      </c>
      <c r="AH30" s="16"/>
    </row>
    <row r="31">
      <c r="A31" s="23" t="s">
        <v>147</v>
      </c>
      <c r="B31" s="112"/>
      <c r="C31" s="112"/>
      <c r="D31" s="112"/>
      <c r="E31" s="112"/>
      <c r="F31" s="112"/>
      <c r="G31" s="112"/>
      <c r="H31" s="112"/>
      <c r="I31" s="112"/>
      <c r="J31" s="112"/>
      <c r="K31" s="112"/>
      <c r="L31" s="112"/>
      <c r="M31" s="112"/>
      <c r="N31" s="112"/>
      <c r="O31" s="112"/>
      <c r="P31" s="112"/>
      <c r="Q31" s="112"/>
      <c r="R31" s="112"/>
      <c r="S31" s="112"/>
      <c r="T31" s="69"/>
      <c r="U31" s="69"/>
      <c r="V31" s="69"/>
      <c r="W31" s="69"/>
      <c r="X31" s="69"/>
      <c r="Y31" s="69"/>
      <c r="Z31" s="69"/>
      <c r="AA31" s="69"/>
      <c r="AB31" s="69"/>
      <c r="AC31" s="69"/>
      <c r="AD31" s="69"/>
      <c r="AE31" s="69"/>
      <c r="AF31" s="71"/>
      <c r="AG31" s="68">
        <f t="shared" si="6"/>
        <v>0</v>
      </c>
      <c r="AH31" s="16"/>
    </row>
    <row r="32">
      <c r="A32" s="23" t="s">
        <v>148</v>
      </c>
      <c r="B32" s="110">
        <f t="shared" ref="B32:S32" si="7">B18*0.13</f>
        <v>0</v>
      </c>
      <c r="C32" s="110">
        <f t="shared" si="7"/>
        <v>0</v>
      </c>
      <c r="D32" s="110">
        <f t="shared" si="7"/>
        <v>0</v>
      </c>
      <c r="E32" s="110">
        <f t="shared" si="7"/>
        <v>0</v>
      </c>
      <c r="F32" s="110">
        <f t="shared" si="7"/>
        <v>0</v>
      </c>
      <c r="G32" s="110">
        <f t="shared" si="7"/>
        <v>0</v>
      </c>
      <c r="H32" s="110">
        <f t="shared" si="7"/>
        <v>0</v>
      </c>
      <c r="I32" s="110">
        <f t="shared" si="7"/>
        <v>0</v>
      </c>
      <c r="J32" s="110">
        <f t="shared" si="7"/>
        <v>0</v>
      </c>
      <c r="K32" s="110">
        <f t="shared" si="7"/>
        <v>0</v>
      </c>
      <c r="L32" s="110">
        <f t="shared" si="7"/>
        <v>0</v>
      </c>
      <c r="M32" s="110">
        <f t="shared" si="7"/>
        <v>0</v>
      </c>
      <c r="N32" s="110">
        <f t="shared" si="7"/>
        <v>0</v>
      </c>
      <c r="O32" s="110">
        <f t="shared" si="7"/>
        <v>0</v>
      </c>
      <c r="P32" s="110">
        <f t="shared" si="7"/>
        <v>0</v>
      </c>
      <c r="Q32" s="110">
        <f t="shared" si="7"/>
        <v>0</v>
      </c>
      <c r="R32" s="110">
        <f t="shared" si="7"/>
        <v>0</v>
      </c>
      <c r="S32" s="110">
        <f t="shared" si="7"/>
        <v>0</v>
      </c>
      <c r="T32" s="69"/>
      <c r="U32" s="69"/>
      <c r="V32" s="69"/>
      <c r="W32" s="69"/>
      <c r="X32" s="69"/>
      <c r="Y32" s="69"/>
      <c r="Z32" s="69"/>
      <c r="AA32" s="69"/>
      <c r="AB32" s="69"/>
      <c r="AC32" s="69"/>
      <c r="AD32" s="69"/>
      <c r="AE32" s="69"/>
      <c r="AF32" s="71"/>
      <c r="AG32" s="68">
        <f t="shared" si="6"/>
        <v>0</v>
      </c>
      <c r="AH32" s="16"/>
    </row>
    <row r="33">
      <c r="A33" s="23" t="s">
        <v>150</v>
      </c>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71"/>
      <c r="AG33" s="68">
        <f t="shared" si="6"/>
        <v>0</v>
      </c>
      <c r="AH33" s="16"/>
    </row>
    <row r="34">
      <c r="A34" s="23" t="s">
        <v>152</v>
      </c>
      <c r="B34" s="113">
        <f t="shared" ref="B34:AD34" si="8">B19*0.15</f>
        <v>0</v>
      </c>
      <c r="C34" s="113">
        <f t="shared" si="8"/>
        <v>0</v>
      </c>
      <c r="D34" s="113">
        <f t="shared" si="8"/>
        <v>0</v>
      </c>
      <c r="E34" s="113">
        <f t="shared" si="8"/>
        <v>0</v>
      </c>
      <c r="F34" s="113">
        <f t="shared" si="8"/>
        <v>0</v>
      </c>
      <c r="G34" s="113">
        <f t="shared" si="8"/>
        <v>0</v>
      </c>
      <c r="H34" s="113">
        <f t="shared" si="8"/>
        <v>0</v>
      </c>
      <c r="I34" s="113">
        <f t="shared" si="8"/>
        <v>0</v>
      </c>
      <c r="J34" s="113">
        <f t="shared" si="8"/>
        <v>0</v>
      </c>
      <c r="K34" s="113">
        <f t="shared" si="8"/>
        <v>0</v>
      </c>
      <c r="L34" s="113">
        <f t="shared" si="8"/>
        <v>0</v>
      </c>
      <c r="M34" s="113">
        <f t="shared" si="8"/>
        <v>0</v>
      </c>
      <c r="N34" s="113">
        <f t="shared" si="8"/>
        <v>0</v>
      </c>
      <c r="O34" s="113">
        <f t="shared" si="8"/>
        <v>0</v>
      </c>
      <c r="P34" s="113">
        <f t="shared" si="8"/>
        <v>0</v>
      </c>
      <c r="Q34" s="113">
        <f t="shared" si="8"/>
        <v>0</v>
      </c>
      <c r="R34" s="113">
        <f t="shared" si="8"/>
        <v>0</v>
      </c>
      <c r="S34" s="113">
        <f t="shared" si="8"/>
        <v>0</v>
      </c>
      <c r="T34" s="113">
        <f t="shared" si="8"/>
        <v>0</v>
      </c>
      <c r="U34" s="113">
        <f t="shared" si="8"/>
        <v>0</v>
      </c>
      <c r="V34" s="113">
        <f t="shared" si="8"/>
        <v>0</v>
      </c>
      <c r="W34" s="113">
        <f t="shared" si="8"/>
        <v>0</v>
      </c>
      <c r="X34" s="113">
        <f t="shared" si="8"/>
        <v>0</v>
      </c>
      <c r="Y34" s="113">
        <f t="shared" si="8"/>
        <v>0</v>
      </c>
      <c r="Z34" s="113">
        <f t="shared" si="8"/>
        <v>0</v>
      </c>
      <c r="AA34" s="113">
        <f t="shared" si="8"/>
        <v>0</v>
      </c>
      <c r="AB34" s="113">
        <f t="shared" si="8"/>
        <v>0</v>
      </c>
      <c r="AC34" s="113">
        <f t="shared" si="8"/>
        <v>0</v>
      </c>
      <c r="AD34" s="113">
        <f t="shared" si="8"/>
        <v>0</v>
      </c>
      <c r="AE34" s="69"/>
      <c r="AF34" s="114">
        <f>AF19*0.15</f>
        <v>0</v>
      </c>
      <c r="AG34" s="68">
        <f t="shared" si="6"/>
        <v>0</v>
      </c>
      <c r="AH34" s="16"/>
    </row>
    <row r="35">
      <c r="A35" s="23" t="s">
        <v>153</v>
      </c>
      <c r="B35" s="64">
        <v>3695.48</v>
      </c>
      <c r="C35" s="64">
        <v>3545.88</v>
      </c>
      <c r="D35" s="64">
        <v>4168.04</v>
      </c>
      <c r="E35" s="64">
        <v>4831.33</v>
      </c>
      <c r="F35" s="64">
        <v>4041.1</v>
      </c>
      <c r="G35" s="64">
        <v>4074.07</v>
      </c>
      <c r="H35" s="64">
        <v>3809.39</v>
      </c>
      <c r="I35" s="64">
        <v>3458.92</v>
      </c>
      <c r="J35" s="64">
        <v>4562.25</v>
      </c>
      <c r="K35" s="64">
        <v>4618.71</v>
      </c>
      <c r="L35" s="64">
        <v>3870.15</v>
      </c>
      <c r="M35" s="64">
        <v>3546.59</v>
      </c>
      <c r="N35" s="64">
        <v>3641.65</v>
      </c>
      <c r="O35" s="64">
        <v>3740.82</v>
      </c>
      <c r="P35" s="64">
        <v>3726.01</v>
      </c>
      <c r="Q35" s="64">
        <v>5033.64</v>
      </c>
      <c r="R35" s="64">
        <v>5449.73</v>
      </c>
      <c r="S35" s="64">
        <v>6357.9</v>
      </c>
      <c r="T35" s="64">
        <v>6437.62</v>
      </c>
      <c r="U35" s="64">
        <v>6524.42</v>
      </c>
      <c r="V35" s="64">
        <v>5887.25</v>
      </c>
      <c r="W35" s="64">
        <v>5769.24</v>
      </c>
      <c r="X35" s="64">
        <v>5966.33</v>
      </c>
      <c r="Y35" s="64">
        <v>6320.78</v>
      </c>
      <c r="Z35" s="64">
        <v>6113.38</v>
      </c>
      <c r="AA35" s="64">
        <v>6485.27</v>
      </c>
      <c r="AB35" s="64">
        <v>6985.3</v>
      </c>
      <c r="AC35" s="64">
        <v>6083.54</v>
      </c>
      <c r="AD35" s="64">
        <v>4941.01</v>
      </c>
      <c r="AE35" s="64">
        <v>4500.04</v>
      </c>
      <c r="AF35" s="67">
        <v>3185.92</v>
      </c>
      <c r="AG35" s="68">
        <f t="shared" si="6"/>
        <v>151371.76</v>
      </c>
      <c r="AH35" s="16"/>
    </row>
    <row r="36">
      <c r="A36" s="23" t="s">
        <v>154</v>
      </c>
      <c r="B36" s="64">
        <v>5553.14</v>
      </c>
      <c r="C36" s="64">
        <v>6872.68</v>
      </c>
      <c r="D36" s="64">
        <v>5919.93</v>
      </c>
      <c r="E36" s="64">
        <v>6158.61</v>
      </c>
      <c r="F36" s="64">
        <v>6142.48</v>
      </c>
      <c r="G36" s="64">
        <v>5097.48</v>
      </c>
      <c r="H36" s="64">
        <v>4100.45</v>
      </c>
      <c r="I36" s="64">
        <v>4665.71</v>
      </c>
      <c r="J36" s="64">
        <v>5688.67</v>
      </c>
      <c r="K36" s="64">
        <v>6123.01</v>
      </c>
      <c r="L36" s="64">
        <v>6258.65</v>
      </c>
      <c r="M36" s="64">
        <v>7417.23</v>
      </c>
      <c r="N36" s="64">
        <v>6783.07</v>
      </c>
      <c r="O36" s="64">
        <v>6084.74</v>
      </c>
      <c r="P36" s="64">
        <v>7568.07</v>
      </c>
      <c r="Q36" s="64">
        <v>10047.87</v>
      </c>
      <c r="R36" s="64">
        <v>10400.47</v>
      </c>
      <c r="S36" s="64">
        <v>10796.9</v>
      </c>
      <c r="T36" s="64">
        <v>11091.63</v>
      </c>
      <c r="U36" s="64">
        <v>10082.93</v>
      </c>
      <c r="V36" s="64">
        <v>8600.94</v>
      </c>
      <c r="W36" s="64">
        <v>9160.89</v>
      </c>
      <c r="X36" s="64">
        <v>12450.31</v>
      </c>
      <c r="Y36" s="64">
        <v>14765.62</v>
      </c>
      <c r="Z36" s="64">
        <v>16563.23</v>
      </c>
      <c r="AA36" s="64">
        <v>17327.89</v>
      </c>
      <c r="AB36" s="64">
        <v>20220.9</v>
      </c>
      <c r="AC36" s="64">
        <v>14324.31</v>
      </c>
      <c r="AD36" s="64">
        <v>9103.11</v>
      </c>
      <c r="AE36" s="64">
        <v>9450.57</v>
      </c>
      <c r="AF36" s="67">
        <v>6086.07</v>
      </c>
      <c r="AG36" s="68">
        <f t="shared" si="6"/>
        <v>280907.56</v>
      </c>
      <c r="AH36" s="16"/>
    </row>
    <row r="37">
      <c r="A37" s="23" t="s">
        <v>155</v>
      </c>
      <c r="B37" s="69"/>
      <c r="C37" s="69"/>
      <c r="D37" s="69"/>
      <c r="E37" s="69"/>
      <c r="F37" s="69"/>
      <c r="G37" s="69"/>
      <c r="H37" s="69"/>
      <c r="I37" s="69"/>
      <c r="J37" s="69"/>
      <c r="K37" s="69"/>
      <c r="L37" s="69"/>
      <c r="M37" s="69"/>
      <c r="N37" s="64">
        <v>4.27</v>
      </c>
      <c r="O37" s="64">
        <v>8.1</v>
      </c>
      <c r="P37" s="64">
        <v>2.54</v>
      </c>
      <c r="Q37" s="64">
        <v>5.36</v>
      </c>
      <c r="R37" s="64">
        <v>0.09</v>
      </c>
      <c r="S37" s="64">
        <v>11.3</v>
      </c>
      <c r="T37" s="64">
        <v>12.62</v>
      </c>
      <c r="U37" s="64">
        <v>13.61</v>
      </c>
      <c r="V37" s="64">
        <v>11.09</v>
      </c>
      <c r="W37" s="64">
        <v>10.6</v>
      </c>
      <c r="X37" s="64">
        <v>17.49</v>
      </c>
      <c r="Y37" s="64">
        <v>10.57</v>
      </c>
      <c r="Z37" s="64">
        <v>8.41</v>
      </c>
      <c r="AA37" s="64">
        <v>15.78</v>
      </c>
      <c r="AB37" s="64">
        <v>13.89</v>
      </c>
      <c r="AC37" s="64">
        <v>11.93</v>
      </c>
      <c r="AD37" s="64">
        <v>9.16</v>
      </c>
      <c r="AE37" s="64">
        <v>10.36</v>
      </c>
      <c r="AF37" s="67">
        <v>11.96</v>
      </c>
      <c r="AG37" s="68">
        <f t="shared" si="6"/>
        <v>189.13</v>
      </c>
      <c r="AH37" s="16"/>
    </row>
    <row r="38">
      <c r="A38" s="23" t="s">
        <v>156</v>
      </c>
      <c r="B38" s="69"/>
      <c r="C38" s="69"/>
      <c r="D38" s="69"/>
      <c r="E38" s="69"/>
      <c r="F38" s="69"/>
      <c r="G38" s="69"/>
      <c r="H38" s="69"/>
      <c r="I38" s="69"/>
      <c r="J38" s="69"/>
      <c r="K38" s="69"/>
      <c r="L38" s="69"/>
      <c r="M38" s="69"/>
      <c r="N38" s="69"/>
      <c r="O38" s="69"/>
      <c r="P38" s="69"/>
      <c r="Q38" s="69"/>
      <c r="R38" s="64">
        <v>7.36</v>
      </c>
      <c r="S38" s="64">
        <v>133.28</v>
      </c>
      <c r="T38" s="64">
        <v>103.22</v>
      </c>
      <c r="U38" s="64">
        <v>147.11</v>
      </c>
      <c r="V38" s="64">
        <v>255.61</v>
      </c>
      <c r="W38" s="64">
        <v>500.0</v>
      </c>
      <c r="X38" s="64">
        <v>494.98</v>
      </c>
      <c r="Y38" s="64">
        <v>500.0</v>
      </c>
      <c r="Z38" s="64">
        <v>500.0</v>
      </c>
      <c r="AA38" s="64">
        <v>500.0</v>
      </c>
      <c r="AB38" s="64">
        <v>500.0</v>
      </c>
      <c r="AC38" s="64">
        <v>500.0</v>
      </c>
      <c r="AD38" s="64">
        <v>500.0</v>
      </c>
      <c r="AE38" s="64">
        <v>500.0</v>
      </c>
      <c r="AF38" s="67">
        <v>500.0</v>
      </c>
      <c r="AG38" s="68">
        <f t="shared" si="6"/>
        <v>5641.56</v>
      </c>
      <c r="AH38" s="16"/>
    </row>
    <row r="39">
      <c r="A39" s="23" t="s">
        <v>159</v>
      </c>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71"/>
      <c r="AG39" s="68">
        <f t="shared" si="6"/>
        <v>0</v>
      </c>
      <c r="AH39" s="16"/>
    </row>
    <row r="40">
      <c r="A40" s="23" t="s">
        <v>160</v>
      </c>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71"/>
      <c r="AG40" s="68">
        <f t="shared" si="6"/>
        <v>0</v>
      </c>
      <c r="AH40" s="16"/>
    </row>
    <row r="41">
      <c r="A41" s="23" t="s">
        <v>162</v>
      </c>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71"/>
      <c r="AG41" s="68">
        <f t="shared" si="6"/>
        <v>0</v>
      </c>
      <c r="AH41" s="16"/>
    </row>
    <row r="42">
      <c r="A42" s="23" t="s">
        <v>164</v>
      </c>
      <c r="B42" s="110">
        <f t="shared" ref="B42:AF42" si="9">B26*0.026</f>
        <v>674.94674</v>
      </c>
      <c r="C42" s="110">
        <f t="shared" si="9"/>
        <v>761.7844</v>
      </c>
      <c r="D42" s="110">
        <f t="shared" si="9"/>
        <v>762.4968</v>
      </c>
      <c r="E42" s="110">
        <f t="shared" si="9"/>
        <v>869.62772</v>
      </c>
      <c r="F42" s="110">
        <f t="shared" si="9"/>
        <v>519.54448</v>
      </c>
      <c r="G42" s="110">
        <f t="shared" si="9"/>
        <v>668.42594</v>
      </c>
      <c r="H42" s="110">
        <f t="shared" si="9"/>
        <v>531.25072</v>
      </c>
      <c r="I42" s="110">
        <f t="shared" si="9"/>
        <v>354.2721</v>
      </c>
      <c r="J42" s="110">
        <f t="shared" si="9"/>
        <v>459.51516</v>
      </c>
      <c r="K42" s="110">
        <f t="shared" si="9"/>
        <v>541.04206</v>
      </c>
      <c r="L42" s="110">
        <f t="shared" si="9"/>
        <v>509.65434</v>
      </c>
      <c r="M42" s="110">
        <f t="shared" si="9"/>
        <v>772.16438</v>
      </c>
      <c r="N42" s="110">
        <f t="shared" si="9"/>
        <v>734.59724</v>
      </c>
      <c r="O42" s="110">
        <f t="shared" si="9"/>
        <v>546.79794</v>
      </c>
      <c r="P42" s="110">
        <f t="shared" si="9"/>
        <v>814.01216</v>
      </c>
      <c r="Q42" s="110">
        <f t="shared" si="9"/>
        <v>1120.95152</v>
      </c>
      <c r="R42" s="110">
        <f t="shared" si="9"/>
        <v>1022.24486</v>
      </c>
      <c r="S42" s="110">
        <f t="shared" si="9"/>
        <v>1281.40142</v>
      </c>
      <c r="T42" s="110">
        <f t="shared" si="9"/>
        <v>1593.98538</v>
      </c>
      <c r="U42" s="110">
        <f t="shared" si="9"/>
        <v>1193.23594</v>
      </c>
      <c r="V42" s="110">
        <f t="shared" si="9"/>
        <v>1140.8748</v>
      </c>
      <c r="W42" s="110">
        <f t="shared" si="9"/>
        <v>1654.21958</v>
      </c>
      <c r="X42" s="110">
        <f t="shared" si="9"/>
        <v>1395.2497</v>
      </c>
      <c r="Y42" s="110">
        <f t="shared" si="9"/>
        <v>1190.38946</v>
      </c>
      <c r="Z42" s="110">
        <f t="shared" si="9"/>
        <v>1492.0022</v>
      </c>
      <c r="AA42" s="110">
        <f t="shared" si="9"/>
        <v>1611.12874</v>
      </c>
      <c r="AB42" s="110">
        <f t="shared" si="9"/>
        <v>2052.88564</v>
      </c>
      <c r="AC42" s="110">
        <f t="shared" si="9"/>
        <v>1031.59784</v>
      </c>
      <c r="AD42" s="110">
        <f t="shared" si="9"/>
        <v>951.11276</v>
      </c>
      <c r="AE42" s="110">
        <f t="shared" si="9"/>
        <v>527.3983</v>
      </c>
      <c r="AF42" s="111">
        <f t="shared" si="9"/>
        <v>375.78814</v>
      </c>
      <c r="AG42" s="68">
        <f t="shared" si="6"/>
        <v>29154.59846</v>
      </c>
      <c r="AH42" s="16"/>
    </row>
    <row r="43">
      <c r="A43" s="54" t="s">
        <v>165</v>
      </c>
      <c r="B43" s="119">
        <f t="shared" ref="B43:AF43" si="10">B14*0.3</f>
        <v>27</v>
      </c>
      <c r="C43" s="119">
        <f t="shared" si="10"/>
        <v>33</v>
      </c>
      <c r="D43" s="119">
        <f t="shared" si="10"/>
        <v>30.9</v>
      </c>
      <c r="E43" s="119">
        <f t="shared" si="10"/>
        <v>36.9</v>
      </c>
      <c r="F43" s="119">
        <f t="shared" si="10"/>
        <v>23.1</v>
      </c>
      <c r="G43" s="119">
        <f t="shared" si="10"/>
        <v>27.9</v>
      </c>
      <c r="H43" s="119">
        <f t="shared" si="10"/>
        <v>20.7</v>
      </c>
      <c r="I43" s="119">
        <f t="shared" si="10"/>
        <v>14.4</v>
      </c>
      <c r="J43" s="119">
        <f t="shared" si="10"/>
        <v>20.4</v>
      </c>
      <c r="K43" s="119">
        <f t="shared" si="10"/>
        <v>22.5</v>
      </c>
      <c r="L43" s="119">
        <f t="shared" si="10"/>
        <v>21.9</v>
      </c>
      <c r="M43" s="119">
        <f t="shared" si="10"/>
        <v>30</v>
      </c>
      <c r="N43" s="119">
        <f t="shared" si="10"/>
        <v>31.2</v>
      </c>
      <c r="O43" s="119">
        <f t="shared" si="10"/>
        <v>24</v>
      </c>
      <c r="P43" s="119">
        <f t="shared" si="10"/>
        <v>33.6</v>
      </c>
      <c r="Q43" s="119">
        <f t="shared" si="10"/>
        <v>42.3</v>
      </c>
      <c r="R43" s="119">
        <f t="shared" si="10"/>
        <v>41.7</v>
      </c>
      <c r="S43" s="119">
        <f t="shared" si="10"/>
        <v>54</v>
      </c>
      <c r="T43" s="119">
        <f t="shared" si="10"/>
        <v>63.3</v>
      </c>
      <c r="U43" s="119">
        <f t="shared" si="10"/>
        <v>50.4</v>
      </c>
      <c r="V43" s="119">
        <f t="shared" si="10"/>
        <v>48.3</v>
      </c>
      <c r="W43" s="119">
        <f t="shared" si="10"/>
        <v>67.8</v>
      </c>
      <c r="X43" s="119">
        <f t="shared" si="10"/>
        <v>56.1</v>
      </c>
      <c r="Y43" s="119">
        <f t="shared" si="10"/>
        <v>51</v>
      </c>
      <c r="Z43" s="119">
        <f t="shared" si="10"/>
        <v>63.6</v>
      </c>
      <c r="AA43" s="119">
        <f t="shared" si="10"/>
        <v>62.4</v>
      </c>
      <c r="AB43" s="119">
        <f t="shared" si="10"/>
        <v>82.2</v>
      </c>
      <c r="AC43" s="119">
        <f t="shared" si="10"/>
        <v>46.5</v>
      </c>
      <c r="AD43" s="119">
        <f t="shared" si="10"/>
        <v>40.8</v>
      </c>
      <c r="AE43" s="119">
        <f t="shared" si="10"/>
        <v>33</v>
      </c>
      <c r="AF43" s="121">
        <f t="shared" si="10"/>
        <v>16.2</v>
      </c>
      <c r="AG43" s="93">
        <f t="shared" si="6"/>
        <v>1217.1</v>
      </c>
      <c r="AH43" s="58"/>
    </row>
    <row r="44">
      <c r="A44" s="23" t="s">
        <v>16</v>
      </c>
      <c r="B44" s="94">
        <f t="shared" ref="B44:AF44" si="11">SUM(B29:B43)</f>
        <v>10486.86924</v>
      </c>
      <c r="C44" s="94">
        <f t="shared" si="11"/>
        <v>11854.8029</v>
      </c>
      <c r="D44" s="94">
        <f t="shared" si="11"/>
        <v>11358.9388</v>
      </c>
      <c r="E44" s="94">
        <f t="shared" si="11"/>
        <v>12463.01522</v>
      </c>
      <c r="F44" s="94">
        <f t="shared" si="11"/>
        <v>11331.28548</v>
      </c>
      <c r="G44" s="94">
        <f t="shared" si="11"/>
        <v>10475.01844</v>
      </c>
      <c r="H44" s="94">
        <f t="shared" si="11"/>
        <v>9720.14372</v>
      </c>
      <c r="I44" s="94">
        <f t="shared" si="11"/>
        <v>9326.9141</v>
      </c>
      <c r="J44" s="94">
        <f t="shared" si="11"/>
        <v>11649.82316</v>
      </c>
      <c r="K44" s="94">
        <f t="shared" si="11"/>
        <v>12088.86056</v>
      </c>
      <c r="L44" s="94">
        <f t="shared" si="11"/>
        <v>11568.34834</v>
      </c>
      <c r="M44" s="94">
        <f t="shared" si="11"/>
        <v>12625.71288</v>
      </c>
      <c r="N44" s="94">
        <f t="shared" si="11"/>
        <v>12073.80124</v>
      </c>
      <c r="O44" s="94">
        <f t="shared" si="11"/>
        <v>11153.64844</v>
      </c>
      <c r="P44" s="94">
        <f t="shared" si="11"/>
        <v>13010.48116</v>
      </c>
      <c r="Q44" s="94">
        <f t="shared" si="11"/>
        <v>17090.16202</v>
      </c>
      <c r="R44" s="94">
        <f t="shared" si="11"/>
        <v>17750.75636</v>
      </c>
      <c r="S44" s="94">
        <f t="shared" si="11"/>
        <v>19639.86992</v>
      </c>
      <c r="T44" s="94">
        <f t="shared" si="11"/>
        <v>20135.87238</v>
      </c>
      <c r="U44" s="94">
        <f t="shared" si="11"/>
        <v>18801.87094</v>
      </c>
      <c r="V44" s="94">
        <f t="shared" si="11"/>
        <v>16794.5128</v>
      </c>
      <c r="W44" s="94">
        <f t="shared" si="11"/>
        <v>18172.78308</v>
      </c>
      <c r="X44" s="94">
        <f t="shared" si="11"/>
        <v>21264.7062</v>
      </c>
      <c r="Y44" s="94">
        <f t="shared" si="11"/>
        <v>23806.27996</v>
      </c>
      <c r="Z44" s="94">
        <f t="shared" si="11"/>
        <v>25742.6862</v>
      </c>
      <c r="AA44" s="94">
        <f t="shared" si="11"/>
        <v>26993.74574</v>
      </c>
      <c r="AB44" s="94">
        <f t="shared" si="11"/>
        <v>30833.92914</v>
      </c>
      <c r="AC44" s="94">
        <f t="shared" si="11"/>
        <v>22967.83384</v>
      </c>
      <c r="AD44" s="94">
        <f t="shared" si="11"/>
        <v>16412.32726</v>
      </c>
      <c r="AE44" s="94">
        <f t="shared" si="11"/>
        <v>15638.6538</v>
      </c>
      <c r="AF44" s="100">
        <f t="shared" si="11"/>
        <v>10779.51564</v>
      </c>
      <c r="AG44" s="102">
        <f t="shared" si="6"/>
        <v>494013.169</v>
      </c>
      <c r="AH44" s="16"/>
    </row>
    <row r="45">
      <c r="A45" s="2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23"/>
      <c r="AG45" s="104"/>
      <c r="AH45" s="16"/>
    </row>
    <row r="46">
      <c r="A46" s="105" t="s">
        <v>168</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23"/>
      <c r="AG46" s="104"/>
      <c r="AH46" s="16"/>
    </row>
    <row r="47">
      <c r="A47" s="123" t="s">
        <v>169</v>
      </c>
      <c r="B47" s="110">
        <f t="shared" ref="B47:AF47" si="12">B14*86.58</f>
        <v>7792.2</v>
      </c>
      <c r="C47" s="110">
        <f t="shared" si="12"/>
        <v>9523.8</v>
      </c>
      <c r="D47" s="110">
        <f t="shared" si="12"/>
        <v>8917.74</v>
      </c>
      <c r="E47" s="110">
        <f t="shared" si="12"/>
        <v>10649.34</v>
      </c>
      <c r="F47" s="110">
        <f t="shared" si="12"/>
        <v>6666.66</v>
      </c>
      <c r="G47" s="110">
        <f t="shared" si="12"/>
        <v>8051.94</v>
      </c>
      <c r="H47" s="110">
        <f t="shared" si="12"/>
        <v>5974.02</v>
      </c>
      <c r="I47" s="110">
        <f t="shared" si="12"/>
        <v>4155.84</v>
      </c>
      <c r="J47" s="110">
        <f t="shared" si="12"/>
        <v>5887.44</v>
      </c>
      <c r="K47" s="110">
        <f t="shared" si="12"/>
        <v>6493.5</v>
      </c>
      <c r="L47" s="110">
        <f t="shared" si="12"/>
        <v>6320.34</v>
      </c>
      <c r="M47" s="110">
        <f t="shared" si="12"/>
        <v>8658</v>
      </c>
      <c r="N47" s="110">
        <f t="shared" si="12"/>
        <v>9004.32</v>
      </c>
      <c r="O47" s="110">
        <f t="shared" si="12"/>
        <v>6926.4</v>
      </c>
      <c r="P47" s="110">
        <f t="shared" si="12"/>
        <v>9696.96</v>
      </c>
      <c r="Q47" s="110">
        <f t="shared" si="12"/>
        <v>12207.78</v>
      </c>
      <c r="R47" s="110">
        <f t="shared" si="12"/>
        <v>12034.62</v>
      </c>
      <c r="S47" s="110">
        <f t="shared" si="12"/>
        <v>15584.4</v>
      </c>
      <c r="T47" s="110">
        <f t="shared" si="12"/>
        <v>18268.38</v>
      </c>
      <c r="U47" s="110">
        <f t="shared" si="12"/>
        <v>14545.44</v>
      </c>
      <c r="V47" s="110">
        <f t="shared" si="12"/>
        <v>13939.38</v>
      </c>
      <c r="W47" s="110">
        <f t="shared" si="12"/>
        <v>19567.08</v>
      </c>
      <c r="X47" s="110">
        <f t="shared" si="12"/>
        <v>16190.46</v>
      </c>
      <c r="Y47" s="110">
        <f t="shared" si="12"/>
        <v>14718.6</v>
      </c>
      <c r="Z47" s="110">
        <f t="shared" si="12"/>
        <v>18354.96</v>
      </c>
      <c r="AA47" s="110">
        <f t="shared" si="12"/>
        <v>18008.64</v>
      </c>
      <c r="AB47" s="110">
        <f t="shared" si="12"/>
        <v>23722.92</v>
      </c>
      <c r="AC47" s="110">
        <f t="shared" si="12"/>
        <v>13419.9</v>
      </c>
      <c r="AD47" s="110">
        <f t="shared" si="12"/>
        <v>11774.88</v>
      </c>
      <c r="AE47" s="110">
        <f t="shared" si="12"/>
        <v>9523.8</v>
      </c>
      <c r="AF47" s="110">
        <f t="shared" si="12"/>
        <v>4675.32</v>
      </c>
      <c r="AG47" s="68">
        <f t="shared" ref="AG47:AG49" si="14">SUM(B47:AF47)</f>
        <v>351255.06</v>
      </c>
      <c r="AH47" s="16"/>
    </row>
    <row r="48">
      <c r="A48" s="54" t="s">
        <v>173</v>
      </c>
      <c r="B48" s="119">
        <f t="shared" ref="B48:AF48" si="13">B14*10</f>
        <v>900</v>
      </c>
      <c r="C48" s="119">
        <f t="shared" si="13"/>
        <v>1100</v>
      </c>
      <c r="D48" s="119">
        <f t="shared" si="13"/>
        <v>1030</v>
      </c>
      <c r="E48" s="119">
        <f t="shared" si="13"/>
        <v>1230</v>
      </c>
      <c r="F48" s="119">
        <f t="shared" si="13"/>
        <v>770</v>
      </c>
      <c r="G48" s="119">
        <f t="shared" si="13"/>
        <v>930</v>
      </c>
      <c r="H48" s="119">
        <f t="shared" si="13"/>
        <v>690</v>
      </c>
      <c r="I48" s="119">
        <f t="shared" si="13"/>
        <v>480</v>
      </c>
      <c r="J48" s="119">
        <f t="shared" si="13"/>
        <v>680</v>
      </c>
      <c r="K48" s="119">
        <f t="shared" si="13"/>
        <v>750</v>
      </c>
      <c r="L48" s="119">
        <f t="shared" si="13"/>
        <v>730</v>
      </c>
      <c r="M48" s="119">
        <f t="shared" si="13"/>
        <v>1000</v>
      </c>
      <c r="N48" s="119">
        <f t="shared" si="13"/>
        <v>1040</v>
      </c>
      <c r="O48" s="119">
        <f t="shared" si="13"/>
        <v>800</v>
      </c>
      <c r="P48" s="119">
        <f t="shared" si="13"/>
        <v>1120</v>
      </c>
      <c r="Q48" s="119">
        <f t="shared" si="13"/>
        <v>1410</v>
      </c>
      <c r="R48" s="119">
        <f t="shared" si="13"/>
        <v>1390</v>
      </c>
      <c r="S48" s="119">
        <f t="shared" si="13"/>
        <v>1800</v>
      </c>
      <c r="T48" s="119">
        <f t="shared" si="13"/>
        <v>2110</v>
      </c>
      <c r="U48" s="119">
        <f t="shared" si="13"/>
        <v>1680</v>
      </c>
      <c r="V48" s="119">
        <f t="shared" si="13"/>
        <v>1610</v>
      </c>
      <c r="W48" s="119">
        <f t="shared" si="13"/>
        <v>2260</v>
      </c>
      <c r="X48" s="119">
        <f t="shared" si="13"/>
        <v>1870</v>
      </c>
      <c r="Y48" s="119">
        <f t="shared" si="13"/>
        <v>1700</v>
      </c>
      <c r="Z48" s="119">
        <f t="shared" si="13"/>
        <v>2120</v>
      </c>
      <c r="AA48" s="119">
        <f t="shared" si="13"/>
        <v>2080</v>
      </c>
      <c r="AB48" s="119">
        <f t="shared" si="13"/>
        <v>2740</v>
      </c>
      <c r="AC48" s="119">
        <f t="shared" si="13"/>
        <v>1550</v>
      </c>
      <c r="AD48" s="119">
        <f t="shared" si="13"/>
        <v>1360</v>
      </c>
      <c r="AE48" s="119">
        <f t="shared" si="13"/>
        <v>1100</v>
      </c>
      <c r="AF48" s="121">
        <f t="shared" si="13"/>
        <v>540</v>
      </c>
      <c r="AG48" s="93">
        <f t="shared" si="14"/>
        <v>40570</v>
      </c>
      <c r="AH48" s="58"/>
    </row>
    <row r="49">
      <c r="A49" s="23" t="s">
        <v>16</v>
      </c>
      <c r="B49" s="94">
        <f t="shared" ref="B49:AF49" si="15">SUM(B47:B48)</f>
        <v>8692.2</v>
      </c>
      <c r="C49" s="94">
        <f t="shared" si="15"/>
        <v>10623.8</v>
      </c>
      <c r="D49" s="94">
        <f t="shared" si="15"/>
        <v>9947.74</v>
      </c>
      <c r="E49" s="94">
        <f t="shared" si="15"/>
        <v>11879.34</v>
      </c>
      <c r="F49" s="94">
        <f t="shared" si="15"/>
        <v>7436.66</v>
      </c>
      <c r="G49" s="94">
        <f t="shared" si="15"/>
        <v>8981.94</v>
      </c>
      <c r="H49" s="94">
        <f t="shared" si="15"/>
        <v>6664.02</v>
      </c>
      <c r="I49" s="94">
        <f t="shared" si="15"/>
        <v>4635.84</v>
      </c>
      <c r="J49" s="94">
        <f t="shared" si="15"/>
        <v>6567.44</v>
      </c>
      <c r="K49" s="94">
        <f t="shared" si="15"/>
        <v>7243.5</v>
      </c>
      <c r="L49" s="94">
        <f t="shared" si="15"/>
        <v>7050.34</v>
      </c>
      <c r="M49" s="94">
        <f t="shared" si="15"/>
        <v>9658</v>
      </c>
      <c r="N49" s="94">
        <f t="shared" si="15"/>
        <v>10044.32</v>
      </c>
      <c r="O49" s="94">
        <f t="shared" si="15"/>
        <v>7726.4</v>
      </c>
      <c r="P49" s="94">
        <f t="shared" si="15"/>
        <v>10816.96</v>
      </c>
      <c r="Q49" s="94">
        <f t="shared" si="15"/>
        <v>13617.78</v>
      </c>
      <c r="R49" s="94">
        <f t="shared" si="15"/>
        <v>13424.62</v>
      </c>
      <c r="S49" s="94">
        <f t="shared" si="15"/>
        <v>17384.4</v>
      </c>
      <c r="T49" s="94">
        <f t="shared" si="15"/>
        <v>20378.38</v>
      </c>
      <c r="U49" s="94">
        <f t="shared" si="15"/>
        <v>16225.44</v>
      </c>
      <c r="V49" s="94">
        <f t="shared" si="15"/>
        <v>15549.38</v>
      </c>
      <c r="W49" s="94">
        <f t="shared" si="15"/>
        <v>21827.08</v>
      </c>
      <c r="X49" s="94">
        <f t="shared" si="15"/>
        <v>18060.46</v>
      </c>
      <c r="Y49" s="94">
        <f t="shared" si="15"/>
        <v>16418.6</v>
      </c>
      <c r="Z49" s="94">
        <f t="shared" si="15"/>
        <v>20474.96</v>
      </c>
      <c r="AA49" s="94">
        <f t="shared" si="15"/>
        <v>20088.64</v>
      </c>
      <c r="AB49" s="94">
        <f t="shared" si="15"/>
        <v>26462.92</v>
      </c>
      <c r="AC49" s="94">
        <f t="shared" si="15"/>
        <v>14969.9</v>
      </c>
      <c r="AD49" s="94">
        <f t="shared" si="15"/>
        <v>13134.88</v>
      </c>
      <c r="AE49" s="94">
        <f t="shared" si="15"/>
        <v>10623.8</v>
      </c>
      <c r="AF49" s="100">
        <f t="shared" si="15"/>
        <v>5215.32</v>
      </c>
      <c r="AG49" s="102">
        <f t="shared" si="14"/>
        <v>391825.06</v>
      </c>
      <c r="AH49" s="16"/>
    </row>
    <row r="50">
      <c r="A50" s="23"/>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7"/>
      <c r="AG50" s="126"/>
      <c r="AH50" s="16"/>
    </row>
    <row r="51">
      <c r="A51" s="61" t="s">
        <v>177</v>
      </c>
      <c r="B51" s="128">
        <f t="shared" ref="B51:AF51" si="16">B26-B44-B49</f>
        <v>6780.42076</v>
      </c>
      <c r="C51" s="128">
        <f t="shared" si="16"/>
        <v>6820.7971</v>
      </c>
      <c r="D51" s="128">
        <f t="shared" si="16"/>
        <v>8020.1212</v>
      </c>
      <c r="E51" s="128">
        <f t="shared" si="16"/>
        <v>9104.86478</v>
      </c>
      <c r="F51" s="128">
        <f t="shared" si="16"/>
        <v>1214.53452</v>
      </c>
      <c r="G51" s="128">
        <f t="shared" si="16"/>
        <v>6251.73156</v>
      </c>
      <c r="H51" s="128">
        <f t="shared" si="16"/>
        <v>4048.55628</v>
      </c>
      <c r="I51" s="128">
        <f t="shared" si="16"/>
        <v>-336.9041</v>
      </c>
      <c r="J51" s="128">
        <f t="shared" si="16"/>
        <v>-543.60316</v>
      </c>
      <c r="K51" s="128">
        <f t="shared" si="16"/>
        <v>1476.94944</v>
      </c>
      <c r="L51" s="128">
        <f t="shared" si="16"/>
        <v>983.40166</v>
      </c>
      <c r="M51" s="128">
        <f t="shared" si="16"/>
        <v>7414.91712</v>
      </c>
      <c r="N51" s="128">
        <f t="shared" si="16"/>
        <v>6135.61876</v>
      </c>
      <c r="O51" s="128">
        <f t="shared" si="16"/>
        <v>2150.64156</v>
      </c>
      <c r="P51" s="128">
        <f t="shared" si="16"/>
        <v>7480.71884</v>
      </c>
      <c r="Q51" s="128">
        <f t="shared" si="16"/>
        <v>12405.57798</v>
      </c>
      <c r="R51" s="128">
        <f t="shared" si="16"/>
        <v>8141.73364</v>
      </c>
      <c r="S51" s="128">
        <f t="shared" si="16"/>
        <v>12260.40008</v>
      </c>
      <c r="T51" s="128">
        <f t="shared" si="16"/>
        <v>20792.87762</v>
      </c>
      <c r="U51" s="128">
        <f t="shared" si="16"/>
        <v>10866.37906</v>
      </c>
      <c r="V51" s="128">
        <f t="shared" si="16"/>
        <v>11535.9072</v>
      </c>
      <c r="W51" s="128">
        <f t="shared" si="16"/>
        <v>23623.96692</v>
      </c>
      <c r="X51" s="128">
        <f t="shared" si="16"/>
        <v>14338.2838</v>
      </c>
      <c r="Y51" s="128">
        <f t="shared" si="16"/>
        <v>5559.33004</v>
      </c>
      <c r="Z51" s="128">
        <f t="shared" si="16"/>
        <v>11167.0538</v>
      </c>
      <c r="AA51" s="128">
        <f t="shared" si="16"/>
        <v>14884.10426</v>
      </c>
      <c r="AB51" s="128">
        <f t="shared" si="16"/>
        <v>21660.29086</v>
      </c>
      <c r="AC51" s="128">
        <f t="shared" si="16"/>
        <v>1739.10616</v>
      </c>
      <c r="AD51" s="128">
        <f t="shared" si="16"/>
        <v>7034.05274</v>
      </c>
      <c r="AE51" s="130">
        <f t="shared" si="16"/>
        <v>-5977.9038</v>
      </c>
      <c r="AF51" s="131">
        <f t="shared" si="16"/>
        <v>-1541.44564</v>
      </c>
      <c r="AG51" s="102">
        <f>SUM(B51:AF51)</f>
        <v>235492.481</v>
      </c>
      <c r="AH51" s="16"/>
    </row>
    <row r="52">
      <c r="A52" s="132">
        <f>SUM(B51:AF51)</f>
        <v>235492.481</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23"/>
      <c r="AG52" s="16"/>
      <c r="AH52" s="16"/>
    </row>
    <row r="53">
      <c r="A53" s="23"/>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23"/>
      <c r="AG53" s="16"/>
      <c r="AH53" s="16"/>
    </row>
    <row r="54">
      <c r="A54" s="139"/>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39"/>
      <c r="AG54" s="140"/>
      <c r="AH54" s="16"/>
    </row>
    <row r="55">
      <c r="A55" s="23"/>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23"/>
      <c r="AG55" s="16"/>
      <c r="AH55" s="16"/>
    </row>
    <row r="56">
      <c r="A56" s="142" t="s">
        <v>191</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23"/>
      <c r="AG56" s="16"/>
      <c r="AH56" s="16"/>
    </row>
    <row r="57">
      <c r="A57" s="144" t="s">
        <v>196</v>
      </c>
      <c r="B57" s="128">
        <f t="shared" ref="B57:AF57" si="17">B17-B29-B30-B193-B194-B195-B196-B197</f>
        <v>3253.709336</v>
      </c>
      <c r="C57" s="128">
        <f t="shared" si="17"/>
        <v>3698.007431</v>
      </c>
      <c r="D57" s="128">
        <f t="shared" si="17"/>
        <v>1580.29054</v>
      </c>
      <c r="E57" s="128">
        <f t="shared" si="17"/>
        <v>3921.45861</v>
      </c>
      <c r="F57" s="128">
        <f t="shared" si="17"/>
        <v>2883.850389</v>
      </c>
      <c r="G57" s="128">
        <f t="shared" si="17"/>
        <v>2844.084737</v>
      </c>
      <c r="H57" s="128">
        <f t="shared" si="17"/>
        <v>887.6534278</v>
      </c>
      <c r="I57" s="128">
        <f t="shared" si="17"/>
        <v>1336.858638</v>
      </c>
      <c r="J57" s="128">
        <f t="shared" si="17"/>
        <v>1431.321089</v>
      </c>
      <c r="K57" s="128">
        <f t="shared" si="17"/>
        <v>3019.581935</v>
      </c>
      <c r="L57" s="128">
        <f t="shared" si="17"/>
        <v>733.6272044</v>
      </c>
      <c r="M57" s="128">
        <f t="shared" si="17"/>
        <v>4621.773693</v>
      </c>
      <c r="N57" s="128">
        <f t="shared" si="17"/>
        <v>2960.99043</v>
      </c>
      <c r="O57" s="128">
        <f t="shared" si="17"/>
        <v>1440.784886</v>
      </c>
      <c r="P57" s="128">
        <f t="shared" si="17"/>
        <v>3553.84796</v>
      </c>
      <c r="Q57" s="128">
        <f t="shared" si="17"/>
        <v>5934.209209</v>
      </c>
      <c r="R57" s="128">
        <f t="shared" si="17"/>
        <v>4363.518672</v>
      </c>
      <c r="S57" s="128">
        <f t="shared" si="17"/>
        <v>3938.344597</v>
      </c>
      <c r="T57" s="128">
        <f t="shared" si="17"/>
        <v>5806.888976</v>
      </c>
      <c r="U57" s="128">
        <f t="shared" si="17"/>
        <v>5167.146774</v>
      </c>
      <c r="V57" s="128">
        <f t="shared" si="17"/>
        <v>3739.12517</v>
      </c>
      <c r="W57" s="128">
        <f t="shared" si="17"/>
        <v>4495.423385</v>
      </c>
      <c r="X57" s="128">
        <f t="shared" si="17"/>
        <v>5499.110508</v>
      </c>
      <c r="Y57" s="128">
        <f t="shared" si="17"/>
        <v>4253.010772</v>
      </c>
      <c r="Z57" s="128">
        <f t="shared" si="17"/>
        <v>5145.43939</v>
      </c>
      <c r="AA57" s="128">
        <f t="shared" si="17"/>
        <v>7351.027984</v>
      </c>
      <c r="AB57" s="128">
        <f t="shared" si="17"/>
        <v>8042.009182</v>
      </c>
      <c r="AC57" s="128">
        <f t="shared" si="17"/>
        <v>1543.667421</v>
      </c>
      <c r="AD57" s="128">
        <f t="shared" si="17"/>
        <v>2049.756834</v>
      </c>
      <c r="AE57" s="128">
        <f t="shared" si="17"/>
        <v>1181.48561</v>
      </c>
      <c r="AF57" s="132">
        <f t="shared" si="17"/>
        <v>2871.536906</v>
      </c>
      <c r="AG57" s="145">
        <f>SUM(B57:AF57)</f>
        <v>109549.5417</v>
      </c>
      <c r="AH57" s="16"/>
    </row>
    <row r="58">
      <c r="A58" s="144" t="s">
        <v>272</v>
      </c>
      <c r="B58" s="148">
        <f t="shared" ref="B58:AG58" si="18">B17/B29</f>
        <v>12.53564919</v>
      </c>
      <c r="C58" s="148">
        <f t="shared" si="18"/>
        <v>13.09453379</v>
      </c>
      <c r="D58" s="148">
        <f t="shared" si="18"/>
        <v>8.170391061</v>
      </c>
      <c r="E58" s="148">
        <f t="shared" si="18"/>
        <v>14.72038973</v>
      </c>
      <c r="F58" s="148">
        <f t="shared" si="18"/>
        <v>11.09210476</v>
      </c>
      <c r="G58" s="148">
        <f t="shared" si="18"/>
        <v>10.03125296</v>
      </c>
      <c r="H58" s="148">
        <f t="shared" si="18"/>
        <v>2.808393193</v>
      </c>
      <c r="I58" s="148">
        <f t="shared" si="18"/>
        <v>4.977375566</v>
      </c>
      <c r="J58" s="148">
        <f t="shared" si="18"/>
        <v>4.473671038</v>
      </c>
      <c r="K58" s="148">
        <f t="shared" si="18"/>
        <v>9.041811591</v>
      </c>
      <c r="L58" s="148">
        <f t="shared" si="18"/>
        <v>3.633669385</v>
      </c>
      <c r="M58" s="148">
        <f t="shared" si="18"/>
        <v>10.50174561</v>
      </c>
      <c r="N58" s="148">
        <f t="shared" si="18"/>
        <v>7.970066461</v>
      </c>
      <c r="O58" s="148">
        <f t="shared" si="18"/>
        <v>5.71323315</v>
      </c>
      <c r="P58" s="148">
        <f t="shared" si="18"/>
        <v>9.680588376</v>
      </c>
      <c r="Q58" s="148">
        <f t="shared" si="18"/>
        <v>13.0902022</v>
      </c>
      <c r="R58" s="148">
        <f t="shared" si="18"/>
        <v>11.18847173</v>
      </c>
      <c r="S58" s="148">
        <f t="shared" si="18"/>
        <v>9.171729654</v>
      </c>
      <c r="T58" s="148">
        <f t="shared" si="18"/>
        <v>14.41264936</v>
      </c>
      <c r="U58" s="148">
        <f t="shared" si="18"/>
        <v>13.73744724</v>
      </c>
      <c r="V58" s="148">
        <f t="shared" si="18"/>
        <v>9.944288187</v>
      </c>
      <c r="W58" s="148">
        <f t="shared" si="18"/>
        <v>10.70830819</v>
      </c>
      <c r="X58" s="148">
        <f t="shared" si="18"/>
        <v>12.97941241</v>
      </c>
      <c r="Y58" s="148">
        <f t="shared" si="18"/>
        <v>9.849465943</v>
      </c>
      <c r="Z58" s="148">
        <f t="shared" si="18"/>
        <v>11.40056923</v>
      </c>
      <c r="AA58" s="148">
        <f t="shared" si="18"/>
        <v>14.10125525</v>
      </c>
      <c r="AB58" s="148">
        <f t="shared" si="18"/>
        <v>16.27559953</v>
      </c>
      <c r="AC58" s="148">
        <f t="shared" si="18"/>
        <v>4.672531538</v>
      </c>
      <c r="AD58" s="148">
        <f t="shared" si="18"/>
        <v>5.767675026</v>
      </c>
      <c r="AE58" s="148">
        <f t="shared" si="18"/>
        <v>5.775285504</v>
      </c>
      <c r="AF58" s="151">
        <f t="shared" si="18"/>
        <v>9.543679146</v>
      </c>
      <c r="AG58" s="152">
        <f t="shared" si="18"/>
        <v>9.552111208</v>
      </c>
      <c r="AH58" s="16"/>
    </row>
    <row r="59">
      <c r="A59" s="144" t="s">
        <v>282</v>
      </c>
      <c r="B59" s="153">
        <f t="shared" ref="B59:AF59" si="19">B29/B5</f>
        <v>23.3175</v>
      </c>
      <c r="C59" s="153">
        <f t="shared" si="19"/>
        <v>19.23413793</v>
      </c>
      <c r="D59" s="153">
        <f t="shared" si="19"/>
        <v>31.94461538</v>
      </c>
      <c r="E59" s="153">
        <f t="shared" si="19"/>
        <v>18.2462963</v>
      </c>
      <c r="F59" s="153">
        <f t="shared" si="19"/>
        <v>22.87565217</v>
      </c>
      <c r="G59" s="153">
        <f t="shared" si="19"/>
        <v>29.33055556</v>
      </c>
      <c r="H59" s="153">
        <f t="shared" si="19"/>
        <v>121.58</v>
      </c>
      <c r="I59" s="153">
        <f t="shared" si="19"/>
        <v>51.77714286</v>
      </c>
      <c r="J59" s="153">
        <f t="shared" si="19"/>
        <v>66.59333333</v>
      </c>
      <c r="K59" s="153">
        <f t="shared" si="19"/>
        <v>29.62565217</v>
      </c>
      <c r="L59" s="153">
        <f t="shared" si="19"/>
        <v>65.79666667</v>
      </c>
      <c r="M59" s="153">
        <f t="shared" si="19"/>
        <v>32.50391304</v>
      </c>
      <c r="N59" s="153">
        <f t="shared" si="19"/>
        <v>34.74363636</v>
      </c>
      <c r="O59" s="153">
        <f t="shared" si="19"/>
        <v>43.43133333</v>
      </c>
      <c r="P59" s="153">
        <f t="shared" si="19"/>
        <v>26.90214286</v>
      </c>
      <c r="Q59" s="153">
        <f t="shared" si="19"/>
        <v>27.05444444</v>
      </c>
      <c r="R59" s="153">
        <f t="shared" si="19"/>
        <v>25.75035714</v>
      </c>
      <c r="S59" s="153">
        <f t="shared" si="19"/>
        <v>29.133</v>
      </c>
      <c r="T59" s="153">
        <f t="shared" si="19"/>
        <v>19.58864865</v>
      </c>
      <c r="U59" s="153">
        <f t="shared" si="19"/>
        <v>20.20882353</v>
      </c>
      <c r="V59" s="153">
        <f t="shared" si="19"/>
        <v>27.38962963</v>
      </c>
      <c r="W59" s="153">
        <f t="shared" si="19"/>
        <v>23.11289474</v>
      </c>
      <c r="X59" s="153">
        <f t="shared" si="19"/>
        <v>21.96885714</v>
      </c>
      <c r="Y59" s="153">
        <f t="shared" si="19"/>
        <v>28.05566667</v>
      </c>
      <c r="Z59" s="153">
        <f t="shared" si="19"/>
        <v>23.55027027</v>
      </c>
      <c r="AA59" s="153">
        <f t="shared" si="19"/>
        <v>23.29675676</v>
      </c>
      <c r="AB59" s="153">
        <f t="shared" si="19"/>
        <v>18.10829787</v>
      </c>
      <c r="AC59" s="153">
        <f t="shared" si="19"/>
        <v>60.24571429</v>
      </c>
      <c r="AD59" s="153">
        <f t="shared" si="19"/>
        <v>53.85928571</v>
      </c>
      <c r="AE59" s="153">
        <f t="shared" si="19"/>
        <v>41.29</v>
      </c>
      <c r="AF59" s="155">
        <f t="shared" si="19"/>
        <v>34.99</v>
      </c>
      <c r="AG59" s="16"/>
      <c r="AH59" s="16"/>
    </row>
    <row r="60">
      <c r="A60" s="144" t="s">
        <v>288</v>
      </c>
      <c r="B60" s="156">
        <f t="shared" ref="B60:AF60" si="20">B17/(B29+B30+B193+B194+B195+B196+B197)</f>
        <v>2.255148344</v>
      </c>
      <c r="C60" s="156">
        <f t="shared" si="20"/>
        <v>2.025517208</v>
      </c>
      <c r="D60" s="156">
        <f t="shared" si="20"/>
        <v>1.871783689</v>
      </c>
      <c r="E60" s="156">
        <f t="shared" si="20"/>
        <v>2.177423773</v>
      </c>
      <c r="F60" s="156">
        <f t="shared" si="20"/>
        <v>1.97686458</v>
      </c>
      <c r="G60" s="156">
        <f t="shared" si="20"/>
        <v>2.159944139</v>
      </c>
      <c r="H60" s="156">
        <f t="shared" si="20"/>
        <v>1.406184282</v>
      </c>
      <c r="I60" s="156">
        <f t="shared" si="20"/>
        <v>1.588628546</v>
      </c>
      <c r="J60" s="156">
        <f t="shared" si="20"/>
        <v>1.667693787</v>
      </c>
      <c r="K60" s="156">
        <f t="shared" si="20"/>
        <v>1.9612162</v>
      </c>
      <c r="L60" s="156">
        <f t="shared" si="20"/>
        <v>1.34355931</v>
      </c>
      <c r="M60" s="156">
        <f t="shared" si="20"/>
        <v>2.431232516</v>
      </c>
      <c r="N60" s="156">
        <f t="shared" si="20"/>
        <v>1.945698301</v>
      </c>
      <c r="O60" s="156">
        <f t="shared" si="20"/>
        <v>1.631586595</v>
      </c>
      <c r="P60" s="156">
        <f t="shared" si="20"/>
        <v>1.950696473</v>
      </c>
      <c r="Q60" s="156">
        <f t="shared" si="20"/>
        <v>2.635763899</v>
      </c>
      <c r="R60" s="156">
        <f t="shared" si="20"/>
        <v>2.178220784</v>
      </c>
      <c r="S60" s="156">
        <f t="shared" si="20"/>
        <v>1.965835562</v>
      </c>
      <c r="T60" s="156">
        <f t="shared" si="20"/>
        <v>2.251724511</v>
      </c>
      <c r="U60" s="156">
        <f t="shared" si="20"/>
        <v>2.20957966</v>
      </c>
      <c r="V60" s="156">
        <f t="shared" si="20"/>
        <v>2.034371962</v>
      </c>
      <c r="W60" s="156">
        <f t="shared" si="20"/>
        <v>1.915643799</v>
      </c>
      <c r="X60" s="156">
        <f t="shared" si="20"/>
        <v>2.22723636</v>
      </c>
      <c r="Y60" s="156">
        <f t="shared" si="20"/>
        <v>2.053510557</v>
      </c>
      <c r="Z60" s="156">
        <f t="shared" si="20"/>
        <v>2.07452736</v>
      </c>
      <c r="AA60" s="156">
        <f t="shared" si="20"/>
        <v>2.530197919</v>
      </c>
      <c r="AB60" s="156">
        <f t="shared" si="20"/>
        <v>2.384169</v>
      </c>
      <c r="AC60" s="156">
        <f t="shared" si="20"/>
        <v>1.643910417</v>
      </c>
      <c r="AD60" s="156">
        <f t="shared" si="20"/>
        <v>1.891491976</v>
      </c>
      <c r="AE60" s="156">
        <f t="shared" si="20"/>
        <v>1.615833593</v>
      </c>
      <c r="AF60" s="157">
        <f t="shared" si="20"/>
        <v>2.343432274</v>
      </c>
      <c r="AG60" s="126"/>
      <c r="AH60" s="16"/>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23"/>
      <c r="AG61" s="16"/>
      <c r="AH61" s="16"/>
    </row>
    <row r="62">
      <c r="A62" s="159" t="s">
        <v>293</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23"/>
      <c r="AG62" s="16"/>
      <c r="AH62" s="16"/>
    </row>
    <row r="63">
      <c r="A63" s="160" t="s">
        <v>196</v>
      </c>
      <c r="B63" s="161">
        <f t="shared" ref="B63:AD63" si="21">B18-B31-B32-B200-B201-B202-B203-B204</f>
        <v>0</v>
      </c>
      <c r="C63" s="161">
        <f t="shared" si="21"/>
        <v>0</v>
      </c>
      <c r="D63" s="161">
        <f t="shared" si="21"/>
        <v>0</v>
      </c>
      <c r="E63" s="161">
        <f t="shared" si="21"/>
        <v>0</v>
      </c>
      <c r="F63" s="161">
        <f t="shared" si="21"/>
        <v>0</v>
      </c>
      <c r="G63" s="161">
        <f t="shared" si="21"/>
        <v>0</v>
      </c>
      <c r="H63" s="161">
        <f t="shared" si="21"/>
        <v>0</v>
      </c>
      <c r="I63" s="161">
        <f t="shared" si="21"/>
        <v>0</v>
      </c>
      <c r="J63" s="161">
        <f t="shared" si="21"/>
        <v>0</v>
      </c>
      <c r="K63" s="161">
        <f t="shared" si="21"/>
        <v>0</v>
      </c>
      <c r="L63" s="161">
        <f t="shared" si="21"/>
        <v>0</v>
      </c>
      <c r="M63" s="161">
        <f t="shared" si="21"/>
        <v>0</v>
      </c>
      <c r="N63" s="161">
        <f t="shared" si="21"/>
        <v>0</v>
      </c>
      <c r="O63" s="161">
        <f t="shared" si="21"/>
        <v>0</v>
      </c>
      <c r="P63" s="161">
        <f t="shared" si="21"/>
        <v>0</v>
      </c>
      <c r="Q63" s="161">
        <f t="shared" si="21"/>
        <v>0</v>
      </c>
      <c r="R63" s="161">
        <f t="shared" si="21"/>
        <v>0</v>
      </c>
      <c r="S63" s="161">
        <f t="shared" si="21"/>
        <v>0</v>
      </c>
      <c r="T63" s="161">
        <f t="shared" si="21"/>
        <v>0</v>
      </c>
      <c r="U63" s="161">
        <f t="shared" si="21"/>
        <v>0</v>
      </c>
      <c r="V63" s="161">
        <f t="shared" si="21"/>
        <v>0</v>
      </c>
      <c r="W63" s="161">
        <f t="shared" si="21"/>
        <v>0</v>
      </c>
      <c r="X63" s="161">
        <f t="shared" si="21"/>
        <v>0</v>
      </c>
      <c r="Y63" s="161">
        <f t="shared" si="21"/>
        <v>0</v>
      </c>
      <c r="Z63" s="161">
        <f t="shared" si="21"/>
        <v>0</v>
      </c>
      <c r="AA63" s="161">
        <f t="shared" si="21"/>
        <v>0</v>
      </c>
      <c r="AB63" s="161">
        <f t="shared" si="21"/>
        <v>0</v>
      </c>
      <c r="AC63" s="161">
        <f t="shared" si="21"/>
        <v>0</v>
      </c>
      <c r="AD63" s="161">
        <f t="shared" si="21"/>
        <v>0</v>
      </c>
      <c r="AE63" s="162"/>
      <c r="AF63" s="163">
        <f>AF18-AF31-AF32-AF200-AF201-AF202-AF203-AF204</f>
        <v>0</v>
      </c>
      <c r="AG63" s="68">
        <f>SUM(B63:AF63)</f>
        <v>0</v>
      </c>
      <c r="AH63" s="16"/>
    </row>
    <row r="64">
      <c r="A64" s="160" t="s">
        <v>272</v>
      </c>
      <c r="B64" s="164" t="str">
        <f t="shared" ref="B64:AD64" si="22">B18/B31</f>
        <v>#DIV/0!</v>
      </c>
      <c r="C64" s="164" t="str">
        <f t="shared" si="22"/>
        <v>#DIV/0!</v>
      </c>
      <c r="D64" s="164" t="str">
        <f t="shared" si="22"/>
        <v>#DIV/0!</v>
      </c>
      <c r="E64" s="164" t="str">
        <f t="shared" si="22"/>
        <v>#DIV/0!</v>
      </c>
      <c r="F64" s="164" t="str">
        <f t="shared" si="22"/>
        <v>#DIV/0!</v>
      </c>
      <c r="G64" s="164" t="str">
        <f t="shared" si="22"/>
        <v>#DIV/0!</v>
      </c>
      <c r="H64" s="164" t="str">
        <f t="shared" si="22"/>
        <v>#DIV/0!</v>
      </c>
      <c r="I64" s="164" t="str">
        <f t="shared" si="22"/>
        <v>#DIV/0!</v>
      </c>
      <c r="J64" s="164" t="str">
        <f t="shared" si="22"/>
        <v>#DIV/0!</v>
      </c>
      <c r="K64" s="164" t="str">
        <f t="shared" si="22"/>
        <v>#DIV/0!</v>
      </c>
      <c r="L64" s="164" t="str">
        <f t="shared" si="22"/>
        <v>#DIV/0!</v>
      </c>
      <c r="M64" s="164" t="str">
        <f t="shared" si="22"/>
        <v>#DIV/0!</v>
      </c>
      <c r="N64" s="164" t="str">
        <f t="shared" si="22"/>
        <v>#DIV/0!</v>
      </c>
      <c r="O64" s="164" t="str">
        <f t="shared" si="22"/>
        <v>#DIV/0!</v>
      </c>
      <c r="P64" s="164" t="str">
        <f t="shared" si="22"/>
        <v>#DIV/0!</v>
      </c>
      <c r="Q64" s="164" t="str">
        <f t="shared" si="22"/>
        <v>#DIV/0!</v>
      </c>
      <c r="R64" s="164" t="str">
        <f t="shared" si="22"/>
        <v>#DIV/0!</v>
      </c>
      <c r="S64" s="164" t="str">
        <f t="shared" si="22"/>
        <v>#DIV/0!</v>
      </c>
      <c r="T64" s="164" t="str">
        <f t="shared" si="22"/>
        <v>#DIV/0!</v>
      </c>
      <c r="U64" s="164" t="str">
        <f t="shared" si="22"/>
        <v>#DIV/0!</v>
      </c>
      <c r="V64" s="164" t="str">
        <f t="shared" si="22"/>
        <v>#DIV/0!</v>
      </c>
      <c r="W64" s="164" t="str">
        <f t="shared" si="22"/>
        <v>#DIV/0!</v>
      </c>
      <c r="X64" s="164" t="str">
        <f t="shared" si="22"/>
        <v>#DIV/0!</v>
      </c>
      <c r="Y64" s="164" t="str">
        <f t="shared" si="22"/>
        <v>#DIV/0!</v>
      </c>
      <c r="Z64" s="164" t="str">
        <f t="shared" si="22"/>
        <v>#DIV/0!</v>
      </c>
      <c r="AA64" s="164" t="str">
        <f t="shared" si="22"/>
        <v>#DIV/0!</v>
      </c>
      <c r="AB64" s="164" t="str">
        <f t="shared" si="22"/>
        <v>#DIV/0!</v>
      </c>
      <c r="AC64" s="164" t="str">
        <f t="shared" si="22"/>
        <v>#DIV/0!</v>
      </c>
      <c r="AD64" s="164" t="str">
        <f t="shared" si="22"/>
        <v>#DIV/0!</v>
      </c>
      <c r="AE64" s="165"/>
      <c r="AF64" s="166" t="str">
        <f t="shared" ref="AF64:AG64" si="23">AF18/AF31</f>
        <v>#DIV/0!</v>
      </c>
      <c r="AG64" s="167" t="str">
        <f t="shared" si="23"/>
        <v>#DIV/0!</v>
      </c>
      <c r="AH64" s="16"/>
    </row>
    <row r="65">
      <c r="A65" s="160" t="s">
        <v>282</v>
      </c>
      <c r="B65" s="168" t="str">
        <f t="shared" ref="B65:AD65" si="24">B31/B6</f>
        <v>#DIV/0!</v>
      </c>
      <c r="C65" s="168" t="str">
        <f t="shared" si="24"/>
        <v>#DIV/0!</v>
      </c>
      <c r="D65" s="168" t="str">
        <f t="shared" si="24"/>
        <v>#DIV/0!</v>
      </c>
      <c r="E65" s="168" t="str">
        <f t="shared" si="24"/>
        <v>#DIV/0!</v>
      </c>
      <c r="F65" s="168" t="str">
        <f t="shared" si="24"/>
        <v>#DIV/0!</v>
      </c>
      <c r="G65" s="168" t="str">
        <f t="shared" si="24"/>
        <v>#DIV/0!</v>
      </c>
      <c r="H65" s="168" t="str">
        <f t="shared" si="24"/>
        <v>#DIV/0!</v>
      </c>
      <c r="I65" s="168" t="str">
        <f t="shared" si="24"/>
        <v>#DIV/0!</v>
      </c>
      <c r="J65" s="168" t="str">
        <f t="shared" si="24"/>
        <v>#DIV/0!</v>
      </c>
      <c r="K65" s="168" t="str">
        <f t="shared" si="24"/>
        <v>#DIV/0!</v>
      </c>
      <c r="L65" s="168" t="str">
        <f t="shared" si="24"/>
        <v>#DIV/0!</v>
      </c>
      <c r="M65" s="168" t="str">
        <f t="shared" si="24"/>
        <v>#DIV/0!</v>
      </c>
      <c r="N65" s="168" t="str">
        <f t="shared" si="24"/>
        <v>#DIV/0!</v>
      </c>
      <c r="O65" s="168" t="str">
        <f t="shared" si="24"/>
        <v>#DIV/0!</v>
      </c>
      <c r="P65" s="168" t="str">
        <f t="shared" si="24"/>
        <v>#DIV/0!</v>
      </c>
      <c r="Q65" s="168" t="str">
        <f t="shared" si="24"/>
        <v>#DIV/0!</v>
      </c>
      <c r="R65" s="168" t="str">
        <f t="shared" si="24"/>
        <v>#DIV/0!</v>
      </c>
      <c r="S65" s="168" t="str">
        <f t="shared" si="24"/>
        <v>#DIV/0!</v>
      </c>
      <c r="T65" s="168" t="str">
        <f t="shared" si="24"/>
        <v>#DIV/0!</v>
      </c>
      <c r="U65" s="168" t="str">
        <f t="shared" si="24"/>
        <v>#DIV/0!</v>
      </c>
      <c r="V65" s="168" t="str">
        <f t="shared" si="24"/>
        <v>#DIV/0!</v>
      </c>
      <c r="W65" s="168" t="str">
        <f t="shared" si="24"/>
        <v>#DIV/0!</v>
      </c>
      <c r="X65" s="168" t="str">
        <f t="shared" si="24"/>
        <v>#DIV/0!</v>
      </c>
      <c r="Y65" s="168" t="str">
        <f t="shared" si="24"/>
        <v>#DIV/0!</v>
      </c>
      <c r="Z65" s="168" t="str">
        <f t="shared" si="24"/>
        <v>#DIV/0!</v>
      </c>
      <c r="AA65" s="168" t="str">
        <f t="shared" si="24"/>
        <v>#DIV/0!</v>
      </c>
      <c r="AB65" s="168" t="str">
        <f t="shared" si="24"/>
        <v>#DIV/0!</v>
      </c>
      <c r="AC65" s="168" t="str">
        <f t="shared" si="24"/>
        <v>#DIV/0!</v>
      </c>
      <c r="AD65" s="168" t="str">
        <f t="shared" si="24"/>
        <v>#DIV/0!</v>
      </c>
      <c r="AE65" s="162"/>
      <c r="AF65" s="169" t="str">
        <f>AF31/AF6</f>
        <v>#DIV/0!</v>
      </c>
      <c r="AG65" s="16"/>
      <c r="AH65" s="16"/>
    </row>
    <row r="66">
      <c r="A66" s="160" t="s">
        <v>288</v>
      </c>
      <c r="B66" s="164" t="str">
        <f t="shared" ref="B66:AD66" si="25">B18/(B31+B32+B200+B201+B202+B203+B204)</f>
        <v>#DIV/0!</v>
      </c>
      <c r="C66" s="164" t="str">
        <f t="shared" si="25"/>
        <v>#DIV/0!</v>
      </c>
      <c r="D66" s="164" t="str">
        <f t="shared" si="25"/>
        <v>#DIV/0!</v>
      </c>
      <c r="E66" s="164" t="str">
        <f t="shared" si="25"/>
        <v>#DIV/0!</v>
      </c>
      <c r="F66" s="164" t="str">
        <f t="shared" si="25"/>
        <v>#DIV/0!</v>
      </c>
      <c r="G66" s="164" t="str">
        <f t="shared" si="25"/>
        <v>#DIV/0!</v>
      </c>
      <c r="H66" s="164" t="str">
        <f t="shared" si="25"/>
        <v>#DIV/0!</v>
      </c>
      <c r="I66" s="164" t="str">
        <f t="shared" si="25"/>
        <v>#DIV/0!</v>
      </c>
      <c r="J66" s="164" t="str">
        <f t="shared" si="25"/>
        <v>#DIV/0!</v>
      </c>
      <c r="K66" s="164" t="str">
        <f t="shared" si="25"/>
        <v>#DIV/0!</v>
      </c>
      <c r="L66" s="164" t="str">
        <f t="shared" si="25"/>
        <v>#DIV/0!</v>
      </c>
      <c r="M66" s="164" t="str">
        <f t="shared" si="25"/>
        <v>#DIV/0!</v>
      </c>
      <c r="N66" s="164" t="str">
        <f t="shared" si="25"/>
        <v>#DIV/0!</v>
      </c>
      <c r="O66" s="164" t="str">
        <f t="shared" si="25"/>
        <v>#DIV/0!</v>
      </c>
      <c r="P66" s="164" t="str">
        <f t="shared" si="25"/>
        <v>#DIV/0!</v>
      </c>
      <c r="Q66" s="164" t="str">
        <f t="shared" si="25"/>
        <v>#DIV/0!</v>
      </c>
      <c r="R66" s="164" t="str">
        <f t="shared" si="25"/>
        <v>#DIV/0!</v>
      </c>
      <c r="S66" s="164" t="str">
        <f t="shared" si="25"/>
        <v>#DIV/0!</v>
      </c>
      <c r="T66" s="164" t="str">
        <f t="shared" si="25"/>
        <v>#DIV/0!</v>
      </c>
      <c r="U66" s="164" t="str">
        <f t="shared" si="25"/>
        <v>#DIV/0!</v>
      </c>
      <c r="V66" s="164" t="str">
        <f t="shared" si="25"/>
        <v>#DIV/0!</v>
      </c>
      <c r="W66" s="164" t="str">
        <f t="shared" si="25"/>
        <v>#DIV/0!</v>
      </c>
      <c r="X66" s="164" t="str">
        <f t="shared" si="25"/>
        <v>#DIV/0!</v>
      </c>
      <c r="Y66" s="164" t="str">
        <f t="shared" si="25"/>
        <v>#DIV/0!</v>
      </c>
      <c r="Z66" s="164" t="str">
        <f t="shared" si="25"/>
        <v>#DIV/0!</v>
      </c>
      <c r="AA66" s="164" t="str">
        <f t="shared" si="25"/>
        <v>#DIV/0!</v>
      </c>
      <c r="AB66" s="164" t="str">
        <f t="shared" si="25"/>
        <v>#DIV/0!</v>
      </c>
      <c r="AC66" s="164" t="str">
        <f t="shared" si="25"/>
        <v>#DIV/0!</v>
      </c>
      <c r="AD66" s="164" t="str">
        <f t="shared" si="25"/>
        <v>#DIV/0!</v>
      </c>
      <c r="AE66" s="165"/>
      <c r="AF66" s="166" t="str">
        <f>AF18/(AF31+AF32+AF200+AF201+AF202+AF203+AF204)</f>
        <v>#DIV/0!</v>
      </c>
      <c r="AG66" s="126"/>
      <c r="AH66" s="16"/>
    </row>
    <row r="67">
      <c r="A67" s="23"/>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23"/>
      <c r="AG67" s="126"/>
      <c r="AH67" s="16"/>
    </row>
    <row r="68">
      <c r="A68" s="170" t="s">
        <v>303</v>
      </c>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23"/>
      <c r="AG68" s="16"/>
      <c r="AH68" s="16"/>
    </row>
    <row r="69">
      <c r="A69" s="171" t="s">
        <v>196</v>
      </c>
      <c r="B69" s="161">
        <f t="shared" ref="B69:AD69" si="26">B19-B33-B34-B207-B208-B209-B210-B211</f>
        <v>0</v>
      </c>
      <c r="C69" s="161">
        <f t="shared" si="26"/>
        <v>0</v>
      </c>
      <c r="D69" s="161">
        <f t="shared" si="26"/>
        <v>0</v>
      </c>
      <c r="E69" s="161">
        <f t="shared" si="26"/>
        <v>0</v>
      </c>
      <c r="F69" s="161">
        <f t="shared" si="26"/>
        <v>0</v>
      </c>
      <c r="G69" s="161">
        <f t="shared" si="26"/>
        <v>0</v>
      </c>
      <c r="H69" s="161">
        <f t="shared" si="26"/>
        <v>0</v>
      </c>
      <c r="I69" s="161">
        <f t="shared" si="26"/>
        <v>0</v>
      </c>
      <c r="J69" s="161">
        <f t="shared" si="26"/>
        <v>0</v>
      </c>
      <c r="K69" s="161">
        <f t="shared" si="26"/>
        <v>0</v>
      </c>
      <c r="L69" s="161">
        <f t="shared" si="26"/>
        <v>0</v>
      </c>
      <c r="M69" s="161">
        <f t="shared" si="26"/>
        <v>0</v>
      </c>
      <c r="N69" s="161">
        <f t="shared" si="26"/>
        <v>0</v>
      </c>
      <c r="O69" s="161">
        <f t="shared" si="26"/>
        <v>0</v>
      </c>
      <c r="P69" s="161">
        <f t="shared" si="26"/>
        <v>0</v>
      </c>
      <c r="Q69" s="161">
        <f t="shared" si="26"/>
        <v>0</v>
      </c>
      <c r="R69" s="161">
        <f t="shared" si="26"/>
        <v>0</v>
      </c>
      <c r="S69" s="161">
        <f t="shared" si="26"/>
        <v>0</v>
      </c>
      <c r="T69" s="161">
        <f t="shared" si="26"/>
        <v>0</v>
      </c>
      <c r="U69" s="161">
        <f t="shared" si="26"/>
        <v>0</v>
      </c>
      <c r="V69" s="161">
        <f t="shared" si="26"/>
        <v>0</v>
      </c>
      <c r="W69" s="161">
        <f t="shared" si="26"/>
        <v>0</v>
      </c>
      <c r="X69" s="161">
        <f t="shared" si="26"/>
        <v>0</v>
      </c>
      <c r="Y69" s="161">
        <f t="shared" si="26"/>
        <v>0</v>
      </c>
      <c r="Z69" s="161">
        <f t="shared" si="26"/>
        <v>0</v>
      </c>
      <c r="AA69" s="161">
        <f t="shared" si="26"/>
        <v>0</v>
      </c>
      <c r="AB69" s="161">
        <f t="shared" si="26"/>
        <v>0</v>
      </c>
      <c r="AC69" s="161">
        <f t="shared" si="26"/>
        <v>0</v>
      </c>
      <c r="AD69" s="161">
        <f t="shared" si="26"/>
        <v>0</v>
      </c>
      <c r="AE69" s="162"/>
      <c r="AF69" s="163">
        <f>AF19-AF33-AF34-AF207-AF208-AF209-AF210-AF211</f>
        <v>0</v>
      </c>
      <c r="AG69" s="68">
        <f>SUM(B69:AF69)</f>
        <v>0</v>
      </c>
      <c r="AH69" s="16"/>
    </row>
    <row r="70">
      <c r="A70" s="171" t="s">
        <v>272</v>
      </c>
      <c r="B70" s="164" t="str">
        <f t="shared" ref="B70:AD70" si="27">B19/B33</f>
        <v>#DIV/0!</v>
      </c>
      <c r="C70" s="164" t="str">
        <f t="shared" si="27"/>
        <v>#DIV/0!</v>
      </c>
      <c r="D70" s="164" t="str">
        <f t="shared" si="27"/>
        <v>#DIV/0!</v>
      </c>
      <c r="E70" s="164" t="str">
        <f t="shared" si="27"/>
        <v>#DIV/0!</v>
      </c>
      <c r="F70" s="164" t="str">
        <f t="shared" si="27"/>
        <v>#DIV/0!</v>
      </c>
      <c r="G70" s="164" t="str">
        <f t="shared" si="27"/>
        <v>#DIV/0!</v>
      </c>
      <c r="H70" s="164" t="str">
        <f t="shared" si="27"/>
        <v>#DIV/0!</v>
      </c>
      <c r="I70" s="164" t="str">
        <f t="shared" si="27"/>
        <v>#DIV/0!</v>
      </c>
      <c r="J70" s="164" t="str">
        <f t="shared" si="27"/>
        <v>#DIV/0!</v>
      </c>
      <c r="K70" s="164" t="str">
        <f t="shared" si="27"/>
        <v>#DIV/0!</v>
      </c>
      <c r="L70" s="164" t="str">
        <f t="shared" si="27"/>
        <v>#DIV/0!</v>
      </c>
      <c r="M70" s="164" t="str">
        <f t="shared" si="27"/>
        <v>#DIV/0!</v>
      </c>
      <c r="N70" s="164" t="str">
        <f t="shared" si="27"/>
        <v>#DIV/0!</v>
      </c>
      <c r="O70" s="164" t="str">
        <f t="shared" si="27"/>
        <v>#DIV/0!</v>
      </c>
      <c r="P70" s="164" t="str">
        <f t="shared" si="27"/>
        <v>#DIV/0!</v>
      </c>
      <c r="Q70" s="164" t="str">
        <f t="shared" si="27"/>
        <v>#DIV/0!</v>
      </c>
      <c r="R70" s="164" t="str">
        <f t="shared" si="27"/>
        <v>#DIV/0!</v>
      </c>
      <c r="S70" s="164" t="str">
        <f t="shared" si="27"/>
        <v>#DIV/0!</v>
      </c>
      <c r="T70" s="164" t="str">
        <f t="shared" si="27"/>
        <v>#DIV/0!</v>
      </c>
      <c r="U70" s="164" t="str">
        <f t="shared" si="27"/>
        <v>#DIV/0!</v>
      </c>
      <c r="V70" s="164" t="str">
        <f t="shared" si="27"/>
        <v>#DIV/0!</v>
      </c>
      <c r="W70" s="164" t="str">
        <f t="shared" si="27"/>
        <v>#DIV/0!</v>
      </c>
      <c r="X70" s="164" t="str">
        <f t="shared" si="27"/>
        <v>#DIV/0!</v>
      </c>
      <c r="Y70" s="164" t="str">
        <f t="shared" si="27"/>
        <v>#DIV/0!</v>
      </c>
      <c r="Z70" s="164" t="str">
        <f t="shared" si="27"/>
        <v>#DIV/0!</v>
      </c>
      <c r="AA70" s="164" t="str">
        <f t="shared" si="27"/>
        <v>#DIV/0!</v>
      </c>
      <c r="AB70" s="164" t="str">
        <f t="shared" si="27"/>
        <v>#DIV/0!</v>
      </c>
      <c r="AC70" s="164" t="str">
        <f t="shared" si="27"/>
        <v>#DIV/0!</v>
      </c>
      <c r="AD70" s="164" t="str">
        <f t="shared" si="27"/>
        <v>#DIV/0!</v>
      </c>
      <c r="AE70" s="165"/>
      <c r="AF70" s="166" t="str">
        <f t="shared" ref="AF70:AG70" si="28">AF19/AF33</f>
        <v>#DIV/0!</v>
      </c>
      <c r="AG70" s="167" t="str">
        <f t="shared" si="28"/>
        <v>#DIV/0!</v>
      </c>
      <c r="AH70" s="16"/>
    </row>
    <row r="71">
      <c r="A71" s="171" t="s">
        <v>282</v>
      </c>
      <c r="B71" s="168" t="str">
        <f t="shared" ref="B71:AD71" si="29">B33/B7</f>
        <v>#DIV/0!</v>
      </c>
      <c r="C71" s="168" t="str">
        <f t="shared" si="29"/>
        <v>#DIV/0!</v>
      </c>
      <c r="D71" s="168" t="str">
        <f t="shared" si="29"/>
        <v>#DIV/0!</v>
      </c>
      <c r="E71" s="168" t="str">
        <f t="shared" si="29"/>
        <v>#DIV/0!</v>
      </c>
      <c r="F71" s="168" t="str">
        <f t="shared" si="29"/>
        <v>#DIV/0!</v>
      </c>
      <c r="G71" s="168" t="str">
        <f t="shared" si="29"/>
        <v>#DIV/0!</v>
      </c>
      <c r="H71" s="168" t="str">
        <f t="shared" si="29"/>
        <v>#DIV/0!</v>
      </c>
      <c r="I71" s="168" t="str">
        <f t="shared" si="29"/>
        <v>#DIV/0!</v>
      </c>
      <c r="J71" s="168" t="str">
        <f t="shared" si="29"/>
        <v>#DIV/0!</v>
      </c>
      <c r="K71" s="168" t="str">
        <f t="shared" si="29"/>
        <v>#DIV/0!</v>
      </c>
      <c r="L71" s="168" t="str">
        <f t="shared" si="29"/>
        <v>#DIV/0!</v>
      </c>
      <c r="M71" s="168" t="str">
        <f t="shared" si="29"/>
        <v>#DIV/0!</v>
      </c>
      <c r="N71" s="168" t="str">
        <f t="shared" si="29"/>
        <v>#DIV/0!</v>
      </c>
      <c r="O71" s="168" t="str">
        <f t="shared" si="29"/>
        <v>#DIV/0!</v>
      </c>
      <c r="P71" s="168" t="str">
        <f t="shared" si="29"/>
        <v>#DIV/0!</v>
      </c>
      <c r="Q71" s="168" t="str">
        <f t="shared" si="29"/>
        <v>#DIV/0!</v>
      </c>
      <c r="R71" s="168" t="str">
        <f t="shared" si="29"/>
        <v>#DIV/0!</v>
      </c>
      <c r="S71" s="168" t="str">
        <f t="shared" si="29"/>
        <v>#DIV/0!</v>
      </c>
      <c r="T71" s="168" t="str">
        <f t="shared" si="29"/>
        <v>#DIV/0!</v>
      </c>
      <c r="U71" s="168" t="str">
        <f t="shared" si="29"/>
        <v>#DIV/0!</v>
      </c>
      <c r="V71" s="168" t="str">
        <f t="shared" si="29"/>
        <v>#DIV/0!</v>
      </c>
      <c r="W71" s="168" t="str">
        <f t="shared" si="29"/>
        <v>#DIV/0!</v>
      </c>
      <c r="X71" s="168" t="str">
        <f t="shared" si="29"/>
        <v>#DIV/0!</v>
      </c>
      <c r="Y71" s="168" t="str">
        <f t="shared" si="29"/>
        <v>#DIV/0!</v>
      </c>
      <c r="Z71" s="168" t="str">
        <f t="shared" si="29"/>
        <v>#DIV/0!</v>
      </c>
      <c r="AA71" s="168" t="str">
        <f t="shared" si="29"/>
        <v>#DIV/0!</v>
      </c>
      <c r="AB71" s="168" t="str">
        <f t="shared" si="29"/>
        <v>#DIV/0!</v>
      </c>
      <c r="AC71" s="168" t="str">
        <f t="shared" si="29"/>
        <v>#DIV/0!</v>
      </c>
      <c r="AD71" s="168" t="str">
        <f t="shared" si="29"/>
        <v>#DIV/0!</v>
      </c>
      <c r="AE71" s="162"/>
      <c r="AF71" s="169" t="str">
        <f>AF33/AF7</f>
        <v>#DIV/0!</v>
      </c>
      <c r="AG71" s="16"/>
      <c r="AH71" s="16"/>
    </row>
    <row r="72">
      <c r="A72" s="171" t="s">
        <v>288</v>
      </c>
      <c r="B72" s="164" t="str">
        <f t="shared" ref="B72:AD72" si="30">B19/(B33+B34+B207+B208+B209+B210+B211)</f>
        <v>#DIV/0!</v>
      </c>
      <c r="C72" s="164" t="str">
        <f t="shared" si="30"/>
        <v>#DIV/0!</v>
      </c>
      <c r="D72" s="164" t="str">
        <f t="shared" si="30"/>
        <v>#DIV/0!</v>
      </c>
      <c r="E72" s="164" t="str">
        <f t="shared" si="30"/>
        <v>#DIV/0!</v>
      </c>
      <c r="F72" s="164" t="str">
        <f t="shared" si="30"/>
        <v>#DIV/0!</v>
      </c>
      <c r="G72" s="164" t="str">
        <f t="shared" si="30"/>
        <v>#DIV/0!</v>
      </c>
      <c r="H72" s="164" t="str">
        <f t="shared" si="30"/>
        <v>#DIV/0!</v>
      </c>
      <c r="I72" s="164" t="str">
        <f t="shared" si="30"/>
        <v>#DIV/0!</v>
      </c>
      <c r="J72" s="164" t="str">
        <f t="shared" si="30"/>
        <v>#DIV/0!</v>
      </c>
      <c r="K72" s="164" t="str">
        <f t="shared" si="30"/>
        <v>#DIV/0!</v>
      </c>
      <c r="L72" s="164" t="str">
        <f t="shared" si="30"/>
        <v>#DIV/0!</v>
      </c>
      <c r="M72" s="164" t="str">
        <f t="shared" si="30"/>
        <v>#DIV/0!</v>
      </c>
      <c r="N72" s="164" t="str">
        <f t="shared" si="30"/>
        <v>#DIV/0!</v>
      </c>
      <c r="O72" s="164" t="str">
        <f t="shared" si="30"/>
        <v>#DIV/0!</v>
      </c>
      <c r="P72" s="164" t="str">
        <f t="shared" si="30"/>
        <v>#DIV/0!</v>
      </c>
      <c r="Q72" s="164" t="str">
        <f t="shared" si="30"/>
        <v>#DIV/0!</v>
      </c>
      <c r="R72" s="164" t="str">
        <f t="shared" si="30"/>
        <v>#DIV/0!</v>
      </c>
      <c r="S72" s="164" t="str">
        <f t="shared" si="30"/>
        <v>#DIV/0!</v>
      </c>
      <c r="T72" s="164" t="str">
        <f t="shared" si="30"/>
        <v>#DIV/0!</v>
      </c>
      <c r="U72" s="164" t="str">
        <f t="shared" si="30"/>
        <v>#DIV/0!</v>
      </c>
      <c r="V72" s="164" t="str">
        <f t="shared" si="30"/>
        <v>#DIV/0!</v>
      </c>
      <c r="W72" s="164" t="str">
        <f t="shared" si="30"/>
        <v>#DIV/0!</v>
      </c>
      <c r="X72" s="164" t="str">
        <f t="shared" si="30"/>
        <v>#DIV/0!</v>
      </c>
      <c r="Y72" s="164" t="str">
        <f t="shared" si="30"/>
        <v>#DIV/0!</v>
      </c>
      <c r="Z72" s="164" t="str">
        <f t="shared" si="30"/>
        <v>#DIV/0!</v>
      </c>
      <c r="AA72" s="164" t="str">
        <f t="shared" si="30"/>
        <v>#DIV/0!</v>
      </c>
      <c r="AB72" s="164" t="str">
        <f t="shared" si="30"/>
        <v>#DIV/0!</v>
      </c>
      <c r="AC72" s="164" t="str">
        <f t="shared" si="30"/>
        <v>#DIV/0!</v>
      </c>
      <c r="AD72" s="164" t="str">
        <f t="shared" si="30"/>
        <v>#DIV/0!</v>
      </c>
      <c r="AE72" s="165"/>
      <c r="AF72" s="166" t="str">
        <f>AF19/(AF33+AF34+AF207+AF208+AF209+AF210+AF211)</f>
        <v>#DIV/0!</v>
      </c>
      <c r="AG72" s="126"/>
      <c r="AH72" s="16"/>
    </row>
    <row r="73">
      <c r="A73" s="23"/>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c r="AA73" s="172"/>
      <c r="AB73" s="172"/>
      <c r="AC73" s="172"/>
      <c r="AD73" s="172"/>
      <c r="AE73" s="172"/>
      <c r="AF73" s="173"/>
      <c r="AG73" s="16"/>
      <c r="AH73" s="16"/>
    </row>
    <row r="74">
      <c r="A74" s="174" t="s">
        <v>305</v>
      </c>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23"/>
      <c r="AG74" s="16"/>
      <c r="AH74" s="16"/>
    </row>
    <row r="75">
      <c r="A75" s="175" t="s">
        <v>196</v>
      </c>
      <c r="B75" s="128">
        <f t="shared" ref="B75:AF75" si="31">B20-B35-B214-B215-B216-B217-B218</f>
        <v>3237.89404</v>
      </c>
      <c r="C75" s="128">
        <f t="shared" si="31"/>
        <v>3965.07838</v>
      </c>
      <c r="D75" s="128">
        <f t="shared" si="31"/>
        <v>4951.6045</v>
      </c>
      <c r="E75" s="128">
        <f t="shared" si="31"/>
        <v>3550.16092</v>
      </c>
      <c r="F75" s="128">
        <f t="shared" si="31"/>
        <v>492.20524</v>
      </c>
      <c r="G75" s="128">
        <f t="shared" si="31"/>
        <v>2017.54046</v>
      </c>
      <c r="H75" s="128">
        <f t="shared" si="31"/>
        <v>1772.6526</v>
      </c>
      <c r="I75" s="128">
        <f t="shared" si="31"/>
        <v>254.90978</v>
      </c>
      <c r="J75" s="130">
        <f t="shared" si="31"/>
        <v>-1705.48918</v>
      </c>
      <c r="K75" s="130">
        <f t="shared" si="31"/>
        <v>-1261.74764</v>
      </c>
      <c r="L75" s="128">
        <f t="shared" si="31"/>
        <v>741.5643</v>
      </c>
      <c r="M75" s="128">
        <f t="shared" si="31"/>
        <v>938.94616</v>
      </c>
      <c r="N75" s="128">
        <f t="shared" si="31"/>
        <v>2692.2527</v>
      </c>
      <c r="O75" s="128">
        <f t="shared" si="31"/>
        <v>1491.71834</v>
      </c>
      <c r="P75" s="128">
        <f t="shared" si="31"/>
        <v>2184.29982</v>
      </c>
      <c r="Q75" s="128">
        <f t="shared" si="31"/>
        <v>4700.38834</v>
      </c>
      <c r="R75" s="128">
        <f t="shared" si="31"/>
        <v>1794.58408</v>
      </c>
      <c r="S75" s="128">
        <f t="shared" si="31"/>
        <v>2623.06694</v>
      </c>
      <c r="T75" s="128">
        <f t="shared" si="31"/>
        <v>4835.8336</v>
      </c>
      <c r="U75" s="128">
        <f t="shared" si="31"/>
        <v>1555.69378</v>
      </c>
      <c r="V75" s="128">
        <f t="shared" si="31"/>
        <v>104.7344</v>
      </c>
      <c r="W75" s="128">
        <f t="shared" si="31"/>
        <v>1275.33468</v>
      </c>
      <c r="X75" s="128">
        <f t="shared" si="31"/>
        <v>1740.01128</v>
      </c>
      <c r="Y75" s="128">
        <f t="shared" si="31"/>
        <v>2601.64158</v>
      </c>
      <c r="Z75" s="128">
        <f t="shared" si="31"/>
        <v>1328.0153</v>
      </c>
      <c r="AA75" s="128">
        <f t="shared" si="31"/>
        <v>1376.9966</v>
      </c>
      <c r="AB75" s="128">
        <f t="shared" si="31"/>
        <v>5699.8795</v>
      </c>
      <c r="AC75" s="128">
        <f t="shared" si="31"/>
        <v>1611.69412</v>
      </c>
      <c r="AD75" s="128">
        <f t="shared" si="31"/>
        <v>2418.68852</v>
      </c>
      <c r="AE75" s="130">
        <f t="shared" si="31"/>
        <v>-1654.12598</v>
      </c>
      <c r="AF75" s="131">
        <f t="shared" si="31"/>
        <v>-1820.0636</v>
      </c>
      <c r="AG75" s="145">
        <f>SUM(B75:AF75)</f>
        <v>55515.96356</v>
      </c>
      <c r="AH75" s="16"/>
    </row>
    <row r="76">
      <c r="A76" s="175" t="s">
        <v>272</v>
      </c>
      <c r="B76" s="148">
        <f t="shared" ref="B76:AG76" si="32">B20/B35</f>
        <v>2.773512507</v>
      </c>
      <c r="C76" s="148">
        <f t="shared" si="32"/>
        <v>3.250919377</v>
      </c>
      <c r="D76" s="148">
        <f t="shared" si="32"/>
        <v>3.349715934</v>
      </c>
      <c r="E76" s="148">
        <f t="shared" si="32"/>
        <v>2.773476455</v>
      </c>
      <c r="F76" s="148">
        <f t="shared" si="32"/>
        <v>1.781262528</v>
      </c>
      <c r="G76" s="148">
        <f t="shared" si="32"/>
        <v>2.447746357</v>
      </c>
      <c r="H76" s="148">
        <f t="shared" si="32"/>
        <v>2.352056366</v>
      </c>
      <c r="I76" s="148">
        <f t="shared" si="32"/>
        <v>1.55495646</v>
      </c>
      <c r="J76" s="148">
        <f t="shared" si="32"/>
        <v>1.136156502</v>
      </c>
      <c r="K76" s="148">
        <f t="shared" si="32"/>
        <v>1.212273557</v>
      </c>
      <c r="L76" s="148">
        <f t="shared" si="32"/>
        <v>1.931307572</v>
      </c>
      <c r="M76" s="148">
        <f t="shared" si="32"/>
        <v>1.905447204</v>
      </c>
      <c r="N76" s="148">
        <f t="shared" si="32"/>
        <v>2.806708498</v>
      </c>
      <c r="O76" s="148">
        <f t="shared" si="32"/>
        <v>2.325401917</v>
      </c>
      <c r="P76" s="148">
        <f t="shared" si="32"/>
        <v>2.495143599</v>
      </c>
      <c r="Q76" s="148">
        <f t="shared" si="32"/>
        <v>2.976754396</v>
      </c>
      <c r="R76" s="148">
        <f t="shared" si="32"/>
        <v>2.02907667</v>
      </c>
      <c r="S76" s="148">
        <f t="shared" si="32"/>
        <v>2.327468189</v>
      </c>
      <c r="T76" s="148">
        <f t="shared" si="32"/>
        <v>2.770651266</v>
      </c>
      <c r="U76" s="148">
        <f t="shared" si="32"/>
        <v>1.976339659</v>
      </c>
      <c r="V76" s="148">
        <f t="shared" si="32"/>
        <v>1.826081787</v>
      </c>
      <c r="W76" s="148">
        <f t="shared" si="32"/>
        <v>2.101632104</v>
      </c>
      <c r="X76" s="148">
        <f t="shared" si="32"/>
        <v>2.096887031</v>
      </c>
      <c r="Y76" s="148">
        <f t="shared" si="32"/>
        <v>2.285187904</v>
      </c>
      <c r="Z76" s="148">
        <f t="shared" si="32"/>
        <v>1.873914267</v>
      </c>
      <c r="AA76" s="148">
        <f t="shared" si="32"/>
        <v>1.848172859</v>
      </c>
      <c r="AB76" s="148">
        <f t="shared" si="32"/>
        <v>2.900984925</v>
      </c>
      <c r="AC76" s="148">
        <f t="shared" si="32"/>
        <v>2.151112675</v>
      </c>
      <c r="AD76" s="148">
        <f t="shared" si="32"/>
        <v>2.440185306</v>
      </c>
      <c r="AE76" s="148">
        <f t="shared" si="32"/>
        <v>1.018930943</v>
      </c>
      <c r="AF76" s="151">
        <f t="shared" si="32"/>
        <v>0.7779856368</v>
      </c>
      <c r="AG76" s="152">
        <f t="shared" si="32"/>
        <v>2.187944039</v>
      </c>
      <c r="AH76" s="16"/>
    </row>
    <row r="77">
      <c r="A77" s="175" t="s">
        <v>282</v>
      </c>
      <c r="B77" s="153">
        <f t="shared" ref="B77:AF77" si="33">B35/B8</f>
        <v>115.48375</v>
      </c>
      <c r="C77" s="153">
        <f t="shared" si="33"/>
        <v>90.92</v>
      </c>
      <c r="D77" s="153">
        <f t="shared" si="33"/>
        <v>88.68170213</v>
      </c>
      <c r="E77" s="153">
        <f t="shared" si="33"/>
        <v>98.59857143</v>
      </c>
      <c r="F77" s="153">
        <f t="shared" si="33"/>
        <v>155.4269231</v>
      </c>
      <c r="G77" s="153">
        <f t="shared" si="33"/>
        <v>107.2123684</v>
      </c>
      <c r="H77" s="153">
        <f t="shared" si="33"/>
        <v>115.4360606</v>
      </c>
      <c r="I77" s="153">
        <f t="shared" si="33"/>
        <v>216.1825</v>
      </c>
      <c r="J77" s="153">
        <f t="shared" si="33"/>
        <v>198.3586957</v>
      </c>
      <c r="K77" s="153">
        <f t="shared" si="33"/>
        <v>209.9413636</v>
      </c>
      <c r="L77" s="153">
        <f t="shared" si="33"/>
        <v>138.2196429</v>
      </c>
      <c r="M77" s="153">
        <f t="shared" si="33"/>
        <v>161.2086364</v>
      </c>
      <c r="N77" s="153">
        <f t="shared" si="33"/>
        <v>95.83289474</v>
      </c>
      <c r="O77" s="153">
        <f t="shared" si="33"/>
        <v>110.0241176</v>
      </c>
      <c r="P77" s="153">
        <f t="shared" si="33"/>
        <v>112.9093939</v>
      </c>
      <c r="Q77" s="153">
        <f t="shared" si="33"/>
        <v>98.69882353</v>
      </c>
      <c r="R77" s="153">
        <f t="shared" si="33"/>
        <v>147.29</v>
      </c>
      <c r="S77" s="153">
        <f t="shared" si="33"/>
        <v>111.5421053</v>
      </c>
      <c r="T77" s="153">
        <f t="shared" si="33"/>
        <v>100.5878125</v>
      </c>
      <c r="U77" s="153">
        <f t="shared" si="33"/>
        <v>138.8174468</v>
      </c>
      <c r="V77" s="153">
        <f t="shared" si="33"/>
        <v>125.2606383</v>
      </c>
      <c r="W77" s="153">
        <f t="shared" si="33"/>
        <v>115.3848</v>
      </c>
      <c r="X77" s="153">
        <f t="shared" si="33"/>
        <v>126.9431915</v>
      </c>
      <c r="Y77" s="153">
        <f t="shared" si="33"/>
        <v>117.0514815</v>
      </c>
      <c r="Z77" s="153">
        <f t="shared" si="33"/>
        <v>156.7533333</v>
      </c>
      <c r="AA77" s="153">
        <f t="shared" si="33"/>
        <v>162.13175</v>
      </c>
      <c r="AB77" s="153">
        <f t="shared" si="33"/>
        <v>94.39594595</v>
      </c>
      <c r="AC77" s="153">
        <f t="shared" si="33"/>
        <v>114.7837736</v>
      </c>
      <c r="AD77" s="153">
        <f t="shared" si="33"/>
        <v>107.4132609</v>
      </c>
      <c r="AE77" s="153">
        <f t="shared" si="33"/>
        <v>264.7082353</v>
      </c>
      <c r="AF77" s="155">
        <f t="shared" si="33"/>
        <v>289.6290909</v>
      </c>
      <c r="AG77" s="16"/>
      <c r="AH77" s="16"/>
    </row>
    <row r="78">
      <c r="A78" s="175" t="s">
        <v>288</v>
      </c>
      <c r="B78" s="156">
        <f t="shared" ref="B78:AF78" si="34">B20/(B35+B214+B215+B216+B217+B218)</f>
        <v>1.46179328</v>
      </c>
      <c r="C78" s="156">
        <f t="shared" si="34"/>
        <v>1.524322332</v>
      </c>
      <c r="D78" s="156">
        <f t="shared" si="34"/>
        <v>1.549558772</v>
      </c>
      <c r="E78" s="156">
        <f t="shared" si="34"/>
        <v>1.360443686</v>
      </c>
      <c r="F78" s="156">
        <f t="shared" si="34"/>
        <v>1.07339714</v>
      </c>
      <c r="G78" s="156">
        <f t="shared" si="34"/>
        <v>1.253627151</v>
      </c>
      <c r="H78" s="156">
        <f t="shared" si="34"/>
        <v>1.246638595</v>
      </c>
      <c r="I78" s="156">
        <f t="shared" si="34"/>
        <v>1.049752471</v>
      </c>
      <c r="J78" s="156">
        <f t="shared" si="34"/>
        <v>0.7524300786</v>
      </c>
      <c r="K78" s="156">
        <f t="shared" si="34"/>
        <v>0.8160955686</v>
      </c>
      <c r="L78" s="156">
        <f t="shared" si="34"/>
        <v>1.110140634</v>
      </c>
      <c r="M78" s="156">
        <f t="shared" si="34"/>
        <v>1.161361624</v>
      </c>
      <c r="N78" s="156">
        <f t="shared" si="34"/>
        <v>1.357593994</v>
      </c>
      <c r="O78" s="156">
        <f t="shared" si="34"/>
        <v>1.206976366</v>
      </c>
      <c r="P78" s="156">
        <f t="shared" si="34"/>
        <v>1.307101559</v>
      </c>
      <c r="Q78" s="156">
        <f t="shared" si="34"/>
        <v>1.457079636</v>
      </c>
      <c r="R78" s="156">
        <f t="shared" si="34"/>
        <v>1.193729785</v>
      </c>
      <c r="S78" s="156">
        <f t="shared" si="34"/>
        <v>1.215451523</v>
      </c>
      <c r="T78" s="156">
        <f t="shared" si="34"/>
        <v>1.371970994</v>
      </c>
      <c r="U78" s="156">
        <f t="shared" si="34"/>
        <v>1.137201207</v>
      </c>
      <c r="V78" s="156">
        <f t="shared" si="34"/>
        <v>1.009838035</v>
      </c>
      <c r="W78" s="156">
        <f t="shared" si="34"/>
        <v>1.117547943</v>
      </c>
      <c r="X78" s="156">
        <f t="shared" si="34"/>
        <v>1.161550305</v>
      </c>
      <c r="Y78" s="156">
        <f t="shared" si="34"/>
        <v>1.219686328</v>
      </c>
      <c r="Z78" s="156">
        <f t="shared" si="34"/>
        <v>1.131123999</v>
      </c>
      <c r="AA78" s="156">
        <f t="shared" si="34"/>
        <v>1.129796318</v>
      </c>
      <c r="AB78" s="156">
        <f t="shared" si="34"/>
        <v>1.391357766</v>
      </c>
      <c r="AC78" s="156">
        <f t="shared" si="34"/>
        <v>1.140456492</v>
      </c>
      <c r="AD78" s="156">
        <f t="shared" si="34"/>
        <v>1.250945774</v>
      </c>
      <c r="AE78" s="156">
        <f t="shared" si="34"/>
        <v>0.7348883466</v>
      </c>
      <c r="AF78" s="157">
        <f t="shared" si="34"/>
        <v>0.5765978059</v>
      </c>
      <c r="AG78" s="126"/>
      <c r="AH78" s="16"/>
    </row>
    <row r="79">
      <c r="A79" s="23"/>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76"/>
      <c r="AG79" s="16"/>
      <c r="AH79" s="16"/>
    </row>
    <row r="80">
      <c r="A80" s="17" t="s">
        <v>306</v>
      </c>
      <c r="B80" s="16"/>
      <c r="C80" s="16"/>
      <c r="D80" s="16"/>
      <c r="E80" s="16"/>
      <c r="F80" s="16"/>
      <c r="G80" s="16"/>
      <c r="H80" s="16"/>
      <c r="I80" s="16"/>
      <c r="J80" s="16"/>
      <c r="K80" s="16"/>
      <c r="L80" s="16"/>
      <c r="M80" s="16"/>
      <c r="N80" s="16"/>
      <c r="O80" s="16"/>
      <c r="P80" s="16"/>
      <c r="Q80" s="16"/>
      <c r="R80" s="16"/>
      <c r="S80" s="16"/>
      <c r="T80" s="16"/>
      <c r="U80" s="16"/>
      <c r="V80" s="16"/>
      <c r="W80" s="16"/>
      <c r="X80" s="16"/>
      <c r="Y80" s="16"/>
      <c r="Z80" s="177">
        <v>3.11</v>
      </c>
      <c r="AA80" s="178">
        <v>1.8</v>
      </c>
      <c r="AB80" s="16"/>
      <c r="AC80" s="16"/>
      <c r="AD80" s="16"/>
      <c r="AE80" s="16"/>
      <c r="AF80" s="23"/>
      <c r="AG80" s="16"/>
      <c r="AH80" s="16"/>
    </row>
    <row r="81">
      <c r="A81" s="179" t="s">
        <v>196</v>
      </c>
      <c r="B81" s="128">
        <f t="shared" ref="B81:AF81" si="35">B21-B36-B221-B222-B223-B224-B225</f>
        <v>433.02522</v>
      </c>
      <c r="C81" s="130">
        <f t="shared" si="35"/>
        <v>-679.41878</v>
      </c>
      <c r="D81" s="128">
        <f t="shared" si="35"/>
        <v>1642.9467</v>
      </c>
      <c r="E81" s="128">
        <f t="shared" si="35"/>
        <v>1825.24336</v>
      </c>
      <c r="F81" s="130">
        <f t="shared" si="35"/>
        <v>-2043.31372</v>
      </c>
      <c r="G81" s="128">
        <f t="shared" si="35"/>
        <v>1545.3696</v>
      </c>
      <c r="H81" s="128">
        <f t="shared" si="35"/>
        <v>1507.87468</v>
      </c>
      <c r="I81" s="130">
        <f t="shared" si="35"/>
        <v>-1862.35388</v>
      </c>
      <c r="J81" s="130">
        <f t="shared" si="35"/>
        <v>-150.13598</v>
      </c>
      <c r="K81" s="130">
        <f t="shared" si="35"/>
        <v>-168.11842</v>
      </c>
      <c r="L81" s="130">
        <f t="shared" si="35"/>
        <v>-385.63464</v>
      </c>
      <c r="M81" s="128">
        <f t="shared" si="35"/>
        <v>2038.72546</v>
      </c>
      <c r="N81" s="128">
        <f t="shared" si="35"/>
        <v>653.96206</v>
      </c>
      <c r="O81" s="130">
        <f t="shared" si="35"/>
        <v>-815.92428</v>
      </c>
      <c r="P81" s="128">
        <f t="shared" si="35"/>
        <v>1908.16002</v>
      </c>
      <c r="Q81" s="128">
        <f t="shared" si="35"/>
        <v>2033.08214</v>
      </c>
      <c r="R81" s="128">
        <f t="shared" si="35"/>
        <v>2214.52306</v>
      </c>
      <c r="S81" s="128">
        <f t="shared" si="35"/>
        <v>6034.03164</v>
      </c>
      <c r="T81" s="128">
        <f t="shared" si="35"/>
        <v>10164.38902</v>
      </c>
      <c r="U81" s="128">
        <f t="shared" si="35"/>
        <v>4137.63828</v>
      </c>
      <c r="V81" s="128">
        <f t="shared" si="35"/>
        <v>7632.0448</v>
      </c>
      <c r="W81" s="128">
        <f t="shared" si="35"/>
        <v>17018.41974</v>
      </c>
      <c r="X81" s="128">
        <f t="shared" si="35"/>
        <v>7021.76902</v>
      </c>
      <c r="Y81" s="130">
        <f t="shared" si="35"/>
        <v>-868.59504</v>
      </c>
      <c r="Z81" s="128">
        <f t="shared" si="35"/>
        <v>4637.0425</v>
      </c>
      <c r="AA81" s="128">
        <f t="shared" si="35"/>
        <v>6760.80666</v>
      </c>
      <c r="AB81" s="128">
        <f t="shared" si="35"/>
        <v>8118.74286</v>
      </c>
      <c r="AC81" s="130">
        <f t="shared" si="35"/>
        <v>-919.26396</v>
      </c>
      <c r="AD81" s="128">
        <f t="shared" si="35"/>
        <v>3035.68472</v>
      </c>
      <c r="AE81" s="130">
        <f t="shared" si="35"/>
        <v>-4997.93632</v>
      </c>
      <c r="AF81" s="131">
        <f t="shared" si="35"/>
        <v>-2263.26854</v>
      </c>
      <c r="AG81" s="145">
        <f>SUM(B81:AF81)</f>
        <v>75209.51798</v>
      </c>
      <c r="AH81" s="16"/>
    </row>
    <row r="82">
      <c r="A82" s="179" t="s">
        <v>272</v>
      </c>
      <c r="B82" s="148">
        <f t="shared" ref="B82:AG82" si="36">B21/B36</f>
        <v>1.776297734</v>
      </c>
      <c r="C82" s="148">
        <f t="shared" si="36"/>
        <v>1.523136535</v>
      </c>
      <c r="D82" s="148">
        <f t="shared" si="36"/>
        <v>2.022329656</v>
      </c>
      <c r="E82" s="148">
        <f t="shared" si="36"/>
        <v>2.077683114</v>
      </c>
      <c r="F82" s="148">
        <f t="shared" si="36"/>
        <v>1.13117503</v>
      </c>
      <c r="G82" s="148">
        <f t="shared" si="36"/>
        <v>2.048149282</v>
      </c>
      <c r="H82" s="148">
        <f t="shared" si="36"/>
        <v>2.048511749</v>
      </c>
      <c r="I82" s="148">
        <f t="shared" si="36"/>
        <v>0.9943567003</v>
      </c>
      <c r="J82" s="148">
        <f t="shared" si="36"/>
        <v>1.567190574</v>
      </c>
      <c r="K82" s="148">
        <f t="shared" si="36"/>
        <v>1.477895675</v>
      </c>
      <c r="L82" s="148">
        <f t="shared" si="36"/>
        <v>1.479335</v>
      </c>
      <c r="M82" s="148">
        <f t="shared" si="36"/>
        <v>2.034423902</v>
      </c>
      <c r="N82" s="148">
        <f t="shared" si="36"/>
        <v>1.760366619</v>
      </c>
      <c r="O82" s="148">
        <f t="shared" si="36"/>
        <v>1.371427538</v>
      </c>
      <c r="P82" s="148">
        <f t="shared" si="36"/>
        <v>1.944911979</v>
      </c>
      <c r="Q82" s="148">
        <f t="shared" si="36"/>
        <v>1.847915031</v>
      </c>
      <c r="R82" s="148">
        <f t="shared" si="36"/>
        <v>1.941468991</v>
      </c>
      <c r="S82" s="148">
        <f t="shared" si="36"/>
        <v>2.434204262</v>
      </c>
      <c r="T82" s="148">
        <f t="shared" si="36"/>
        <v>2.911450346</v>
      </c>
      <c r="U82" s="148">
        <f t="shared" si="36"/>
        <v>2.25343427</v>
      </c>
      <c r="V82" s="148">
        <f t="shared" si="36"/>
        <v>2.893311661</v>
      </c>
      <c r="W82" s="148">
        <f t="shared" si="36"/>
        <v>4.311809224</v>
      </c>
      <c r="X82" s="148">
        <f t="shared" si="36"/>
        <v>2.3680318</v>
      </c>
      <c r="Y82" s="148">
        <f t="shared" si="36"/>
        <v>1.516295286</v>
      </c>
      <c r="Z82" s="148">
        <f t="shared" si="36"/>
        <v>2.087983443</v>
      </c>
      <c r="AA82" s="148">
        <f t="shared" si="36"/>
        <v>2.155691778</v>
      </c>
      <c r="AB82" s="148">
        <f t="shared" si="36"/>
        <v>2.159888531</v>
      </c>
      <c r="AC82" s="148">
        <f t="shared" si="36"/>
        <v>1.548239322</v>
      </c>
      <c r="AD82" s="148">
        <f t="shared" si="36"/>
        <v>2.164455884</v>
      </c>
      <c r="AE82" s="148">
        <f t="shared" si="36"/>
        <v>1.291278727</v>
      </c>
      <c r="AF82" s="151">
        <f t="shared" si="36"/>
        <v>1.062884587</v>
      </c>
      <c r="AG82" s="152">
        <f t="shared" si="36"/>
        <v>2.012486848</v>
      </c>
      <c r="AH82" s="16"/>
    </row>
    <row r="83">
      <c r="A83" s="179" t="s">
        <v>282</v>
      </c>
      <c r="B83" s="153">
        <f t="shared" ref="B83:AF83" si="37">B36/B9</f>
        <v>146.1352632</v>
      </c>
      <c r="C83" s="153">
        <f t="shared" si="37"/>
        <v>163.6352381</v>
      </c>
      <c r="D83" s="153">
        <f t="shared" si="37"/>
        <v>137.6727907</v>
      </c>
      <c r="E83" s="153">
        <f t="shared" si="37"/>
        <v>131.0342553</v>
      </c>
      <c r="F83" s="153">
        <f t="shared" si="37"/>
        <v>219.3742857</v>
      </c>
      <c r="G83" s="153">
        <f t="shared" si="37"/>
        <v>137.7697297</v>
      </c>
      <c r="H83" s="153">
        <f t="shared" si="37"/>
        <v>151.8685185</v>
      </c>
      <c r="I83" s="153">
        <f t="shared" si="37"/>
        <v>259.2061111</v>
      </c>
      <c r="J83" s="153">
        <f t="shared" si="37"/>
        <v>172.3839394</v>
      </c>
      <c r="K83" s="153">
        <f t="shared" si="37"/>
        <v>204.1003333</v>
      </c>
      <c r="L83" s="153">
        <f t="shared" si="37"/>
        <v>189.6560606</v>
      </c>
      <c r="M83" s="153">
        <f t="shared" si="37"/>
        <v>134.8587273</v>
      </c>
      <c r="N83" s="153">
        <f t="shared" si="37"/>
        <v>154.1606818</v>
      </c>
      <c r="O83" s="153">
        <f t="shared" si="37"/>
        <v>202.8246667</v>
      </c>
      <c r="P83" s="153">
        <f t="shared" si="37"/>
        <v>148.3935294</v>
      </c>
      <c r="Q83" s="153">
        <f t="shared" si="37"/>
        <v>159.49</v>
      </c>
      <c r="R83" s="153">
        <f t="shared" si="37"/>
        <v>140.5468919</v>
      </c>
      <c r="S83" s="153">
        <f t="shared" si="37"/>
        <v>117.3576087</v>
      </c>
      <c r="T83" s="153">
        <f t="shared" si="37"/>
        <v>103.6600935</v>
      </c>
      <c r="U83" s="153">
        <f t="shared" si="37"/>
        <v>121.4810843</v>
      </c>
      <c r="V83" s="153">
        <f t="shared" si="37"/>
        <v>102.3921429</v>
      </c>
      <c r="W83" s="153">
        <f t="shared" si="37"/>
        <v>71.01465116</v>
      </c>
      <c r="X83" s="153">
        <f t="shared" si="37"/>
        <v>128.3537113</v>
      </c>
      <c r="Y83" s="153">
        <f t="shared" si="37"/>
        <v>177.8990361</v>
      </c>
      <c r="Z83" s="153">
        <f t="shared" si="37"/>
        <v>126.4368702</v>
      </c>
      <c r="AA83" s="153">
        <f t="shared" si="37"/>
        <v>134.3247287</v>
      </c>
      <c r="AB83" s="153">
        <f t="shared" si="37"/>
        <v>135.7107383</v>
      </c>
      <c r="AC83" s="153">
        <f t="shared" si="37"/>
        <v>166.5617442</v>
      </c>
      <c r="AD83" s="153">
        <f t="shared" si="37"/>
        <v>123.015</v>
      </c>
      <c r="AE83" s="153">
        <f t="shared" si="37"/>
        <v>121.1611538</v>
      </c>
      <c r="AF83" s="155">
        <f t="shared" si="37"/>
        <v>234.0796154</v>
      </c>
      <c r="AG83" s="16"/>
      <c r="AH83" s="16"/>
    </row>
    <row r="84">
      <c r="A84" s="179" t="s">
        <v>288</v>
      </c>
      <c r="B84" s="156">
        <f t="shared" ref="B84:AF84" si="38">B21/(B36+B221+B222+B223+B224+B225)</f>
        <v>1.045915067</v>
      </c>
      <c r="C84" s="156">
        <f t="shared" si="38"/>
        <v>0.9390516347</v>
      </c>
      <c r="D84" s="156">
        <f t="shared" si="38"/>
        <v>1.159059954</v>
      </c>
      <c r="E84" s="156">
        <f t="shared" si="38"/>
        <v>1.166378976</v>
      </c>
      <c r="F84" s="156">
        <f t="shared" si="38"/>
        <v>0.7727513699</v>
      </c>
      <c r="G84" s="156">
        <f t="shared" si="38"/>
        <v>1.173734044</v>
      </c>
      <c r="H84" s="156">
        <f t="shared" si="38"/>
        <v>1.218787963</v>
      </c>
      <c r="I84" s="156">
        <f t="shared" si="38"/>
        <v>0.7135604264</v>
      </c>
      <c r="J84" s="156">
        <f t="shared" si="38"/>
        <v>0.9834385087</v>
      </c>
      <c r="K84" s="156">
        <f t="shared" si="38"/>
        <v>0.9817605339</v>
      </c>
      <c r="L84" s="156">
        <f t="shared" si="38"/>
        <v>0.9600141375</v>
      </c>
      <c r="M84" s="156">
        <f t="shared" si="38"/>
        <v>1.15621143</v>
      </c>
      <c r="N84" s="156">
        <f t="shared" si="38"/>
        <v>1.057940801</v>
      </c>
      <c r="O84" s="156">
        <f t="shared" si="38"/>
        <v>0.9109321451</v>
      </c>
      <c r="P84" s="156">
        <f t="shared" si="38"/>
        <v>1.148946187</v>
      </c>
      <c r="Q84" s="156">
        <f t="shared" si="38"/>
        <v>1.122959794</v>
      </c>
      <c r="R84" s="156">
        <f t="shared" si="38"/>
        <v>1.123181894</v>
      </c>
      <c r="S84" s="156">
        <f t="shared" si="38"/>
        <v>1.29800883</v>
      </c>
      <c r="T84" s="156">
        <f t="shared" si="38"/>
        <v>1.459338051</v>
      </c>
      <c r="U84" s="156">
        <f t="shared" si="38"/>
        <v>1.222650205</v>
      </c>
      <c r="V84" s="156">
        <f t="shared" si="38"/>
        <v>1.442356468</v>
      </c>
      <c r="W84" s="156">
        <f t="shared" si="38"/>
        <v>1.756993591</v>
      </c>
      <c r="X84" s="156">
        <f t="shared" si="38"/>
        <v>1.312621042</v>
      </c>
      <c r="Y84" s="156">
        <f t="shared" si="38"/>
        <v>0.9626533378</v>
      </c>
      <c r="Z84" s="156">
        <f t="shared" si="38"/>
        <v>1.154843149</v>
      </c>
      <c r="AA84" s="156">
        <f t="shared" si="38"/>
        <v>1.220993513</v>
      </c>
      <c r="AB84" s="156">
        <f t="shared" si="38"/>
        <v>1.228335844</v>
      </c>
      <c r="AC84" s="156">
        <f t="shared" si="38"/>
        <v>0.9601993789</v>
      </c>
      <c r="AD84" s="156">
        <f t="shared" si="38"/>
        <v>1.182130935</v>
      </c>
      <c r="AE84" s="156">
        <f t="shared" si="38"/>
        <v>0.7094435298</v>
      </c>
      <c r="AF84" s="157">
        <f t="shared" si="38"/>
        <v>0.74080928</v>
      </c>
      <c r="AG84" s="126"/>
      <c r="AH84" s="16"/>
    </row>
    <row r="85">
      <c r="A85" s="23"/>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3"/>
      <c r="AG85" s="126"/>
      <c r="AH85" s="16"/>
    </row>
    <row r="86">
      <c r="A86" s="180" t="s">
        <v>307</v>
      </c>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23"/>
      <c r="AG86" s="16"/>
      <c r="AH86" s="16"/>
    </row>
    <row r="87">
      <c r="A87" s="61" t="s">
        <v>196</v>
      </c>
      <c r="B87" s="181">
        <f t="shared" ref="B87:AD87" si="39">B25-B39-B228-B229-B230-B231-B232</f>
        <v>0</v>
      </c>
      <c r="C87" s="181">
        <f t="shared" si="39"/>
        <v>0</v>
      </c>
      <c r="D87" s="181">
        <f t="shared" si="39"/>
        <v>0</v>
      </c>
      <c r="E87" s="181">
        <f t="shared" si="39"/>
        <v>0</v>
      </c>
      <c r="F87" s="181">
        <f t="shared" si="39"/>
        <v>0</v>
      </c>
      <c r="G87" s="181">
        <f t="shared" si="39"/>
        <v>0</v>
      </c>
      <c r="H87" s="181">
        <f t="shared" si="39"/>
        <v>0</v>
      </c>
      <c r="I87" s="181">
        <f t="shared" si="39"/>
        <v>0</v>
      </c>
      <c r="J87" s="181">
        <f t="shared" si="39"/>
        <v>0</v>
      </c>
      <c r="K87" s="181">
        <f t="shared" si="39"/>
        <v>0</v>
      </c>
      <c r="L87" s="181">
        <f t="shared" si="39"/>
        <v>0</v>
      </c>
      <c r="M87" s="181">
        <f t="shared" si="39"/>
        <v>0</v>
      </c>
      <c r="N87" s="181">
        <f t="shared" si="39"/>
        <v>0</v>
      </c>
      <c r="O87" s="181">
        <f t="shared" si="39"/>
        <v>0</v>
      </c>
      <c r="P87" s="181">
        <f t="shared" si="39"/>
        <v>0</v>
      </c>
      <c r="Q87" s="181">
        <f t="shared" si="39"/>
        <v>0</v>
      </c>
      <c r="R87" s="181">
        <f t="shared" si="39"/>
        <v>0</v>
      </c>
      <c r="S87" s="181">
        <f t="shared" si="39"/>
        <v>0</v>
      </c>
      <c r="T87" s="181">
        <f t="shared" si="39"/>
        <v>0</v>
      </c>
      <c r="U87" s="181">
        <f t="shared" si="39"/>
        <v>0</v>
      </c>
      <c r="V87" s="181">
        <f t="shared" si="39"/>
        <v>0</v>
      </c>
      <c r="W87" s="181">
        <f t="shared" si="39"/>
        <v>0</v>
      </c>
      <c r="X87" s="181">
        <f t="shared" si="39"/>
        <v>0</v>
      </c>
      <c r="Y87" s="181">
        <f t="shared" si="39"/>
        <v>0</v>
      </c>
      <c r="Z87" s="181">
        <f t="shared" si="39"/>
        <v>0</v>
      </c>
      <c r="AA87" s="181">
        <f t="shared" si="39"/>
        <v>0</v>
      </c>
      <c r="AB87" s="181">
        <f t="shared" si="39"/>
        <v>0</v>
      </c>
      <c r="AC87" s="181">
        <f t="shared" si="39"/>
        <v>0</v>
      </c>
      <c r="AD87" s="181">
        <f t="shared" si="39"/>
        <v>0</v>
      </c>
      <c r="AE87" s="69"/>
      <c r="AF87" s="182">
        <f>AF25-AF39-AF228-AF229-AF230-AF231-AF232</f>
        <v>0</v>
      </c>
      <c r="AG87" s="68">
        <f>SUM(B87:AF87)</f>
        <v>0</v>
      </c>
      <c r="AH87" s="16"/>
    </row>
    <row r="88">
      <c r="A88" s="61" t="s">
        <v>272</v>
      </c>
      <c r="B88" s="183" t="str">
        <f t="shared" ref="B88:AD88" si="40">B25/B39</f>
        <v>#DIV/0!</v>
      </c>
      <c r="C88" s="183" t="str">
        <f t="shared" si="40"/>
        <v>#DIV/0!</v>
      </c>
      <c r="D88" s="183" t="str">
        <f t="shared" si="40"/>
        <v>#DIV/0!</v>
      </c>
      <c r="E88" s="183" t="str">
        <f t="shared" si="40"/>
        <v>#DIV/0!</v>
      </c>
      <c r="F88" s="183" t="str">
        <f t="shared" si="40"/>
        <v>#DIV/0!</v>
      </c>
      <c r="G88" s="183" t="str">
        <f t="shared" si="40"/>
        <v>#DIV/0!</v>
      </c>
      <c r="H88" s="183" t="str">
        <f t="shared" si="40"/>
        <v>#DIV/0!</v>
      </c>
      <c r="I88" s="183" t="str">
        <f t="shared" si="40"/>
        <v>#DIV/0!</v>
      </c>
      <c r="J88" s="183" t="str">
        <f t="shared" si="40"/>
        <v>#DIV/0!</v>
      </c>
      <c r="K88" s="183" t="str">
        <f t="shared" si="40"/>
        <v>#DIV/0!</v>
      </c>
      <c r="L88" s="183" t="str">
        <f t="shared" si="40"/>
        <v>#DIV/0!</v>
      </c>
      <c r="M88" s="183" t="str">
        <f t="shared" si="40"/>
        <v>#DIV/0!</v>
      </c>
      <c r="N88" s="183" t="str">
        <f t="shared" si="40"/>
        <v>#DIV/0!</v>
      </c>
      <c r="O88" s="183" t="str">
        <f t="shared" si="40"/>
        <v>#DIV/0!</v>
      </c>
      <c r="P88" s="183" t="str">
        <f t="shared" si="40"/>
        <v>#DIV/0!</v>
      </c>
      <c r="Q88" s="183" t="str">
        <f t="shared" si="40"/>
        <v>#DIV/0!</v>
      </c>
      <c r="R88" s="183" t="str">
        <f t="shared" si="40"/>
        <v>#DIV/0!</v>
      </c>
      <c r="S88" s="183" t="str">
        <f t="shared" si="40"/>
        <v>#DIV/0!</v>
      </c>
      <c r="T88" s="183" t="str">
        <f t="shared" si="40"/>
        <v>#DIV/0!</v>
      </c>
      <c r="U88" s="183" t="str">
        <f t="shared" si="40"/>
        <v>#DIV/0!</v>
      </c>
      <c r="V88" s="183" t="str">
        <f t="shared" si="40"/>
        <v>#DIV/0!</v>
      </c>
      <c r="W88" s="183" t="str">
        <f t="shared" si="40"/>
        <v>#DIV/0!</v>
      </c>
      <c r="X88" s="183" t="str">
        <f t="shared" si="40"/>
        <v>#DIV/0!</v>
      </c>
      <c r="Y88" s="183" t="str">
        <f t="shared" si="40"/>
        <v>#DIV/0!</v>
      </c>
      <c r="Z88" s="183" t="str">
        <f t="shared" si="40"/>
        <v>#DIV/0!</v>
      </c>
      <c r="AA88" s="183" t="str">
        <f t="shared" si="40"/>
        <v>#DIV/0!</v>
      </c>
      <c r="AB88" s="183" t="str">
        <f t="shared" si="40"/>
        <v>#DIV/0!</v>
      </c>
      <c r="AC88" s="183" t="str">
        <f t="shared" si="40"/>
        <v>#DIV/0!</v>
      </c>
      <c r="AD88" s="183" t="str">
        <f t="shared" si="40"/>
        <v>#DIV/0!</v>
      </c>
      <c r="AE88" s="184"/>
      <c r="AF88" s="185" t="str">
        <f t="shared" ref="AF88:AG88" si="41">AF25/AF39</f>
        <v>#DIV/0!</v>
      </c>
      <c r="AG88" s="167" t="str">
        <f t="shared" si="41"/>
        <v>#DIV/0!</v>
      </c>
      <c r="AH88" s="16"/>
    </row>
    <row r="89">
      <c r="A89" s="61" t="s">
        <v>282</v>
      </c>
      <c r="B89" s="186" t="str">
        <f t="shared" ref="B89:AD89" si="42">B39/B13</f>
        <v>#DIV/0!</v>
      </c>
      <c r="C89" s="186" t="str">
        <f t="shared" si="42"/>
        <v>#DIV/0!</v>
      </c>
      <c r="D89" s="186" t="str">
        <f t="shared" si="42"/>
        <v>#DIV/0!</v>
      </c>
      <c r="E89" s="186" t="str">
        <f t="shared" si="42"/>
        <v>#DIV/0!</v>
      </c>
      <c r="F89" s="186" t="str">
        <f t="shared" si="42"/>
        <v>#DIV/0!</v>
      </c>
      <c r="G89" s="186" t="str">
        <f t="shared" si="42"/>
        <v>#DIV/0!</v>
      </c>
      <c r="H89" s="186" t="str">
        <f t="shared" si="42"/>
        <v>#DIV/0!</v>
      </c>
      <c r="I89" s="186" t="str">
        <f t="shared" si="42"/>
        <v>#DIV/0!</v>
      </c>
      <c r="J89" s="186" t="str">
        <f t="shared" si="42"/>
        <v>#DIV/0!</v>
      </c>
      <c r="K89" s="186" t="str">
        <f t="shared" si="42"/>
        <v>#DIV/0!</v>
      </c>
      <c r="L89" s="186" t="str">
        <f t="shared" si="42"/>
        <v>#DIV/0!</v>
      </c>
      <c r="M89" s="186" t="str">
        <f t="shared" si="42"/>
        <v>#DIV/0!</v>
      </c>
      <c r="N89" s="186" t="str">
        <f t="shared" si="42"/>
        <v>#DIV/0!</v>
      </c>
      <c r="O89" s="186" t="str">
        <f t="shared" si="42"/>
        <v>#DIV/0!</v>
      </c>
      <c r="P89" s="186" t="str">
        <f t="shared" si="42"/>
        <v>#DIV/0!</v>
      </c>
      <c r="Q89" s="186" t="str">
        <f t="shared" si="42"/>
        <v>#DIV/0!</v>
      </c>
      <c r="R89" s="186" t="str">
        <f t="shared" si="42"/>
        <v>#DIV/0!</v>
      </c>
      <c r="S89" s="186" t="str">
        <f t="shared" si="42"/>
        <v>#DIV/0!</v>
      </c>
      <c r="T89" s="186" t="str">
        <f t="shared" si="42"/>
        <v>#DIV/0!</v>
      </c>
      <c r="U89" s="186" t="str">
        <f t="shared" si="42"/>
        <v>#DIV/0!</v>
      </c>
      <c r="V89" s="186" t="str">
        <f t="shared" si="42"/>
        <v>#DIV/0!</v>
      </c>
      <c r="W89" s="186" t="str">
        <f t="shared" si="42"/>
        <v>#DIV/0!</v>
      </c>
      <c r="X89" s="186" t="str">
        <f t="shared" si="42"/>
        <v>#DIV/0!</v>
      </c>
      <c r="Y89" s="186" t="str">
        <f t="shared" si="42"/>
        <v>#DIV/0!</v>
      </c>
      <c r="Z89" s="186" t="str">
        <f t="shared" si="42"/>
        <v>#DIV/0!</v>
      </c>
      <c r="AA89" s="186" t="str">
        <f t="shared" si="42"/>
        <v>#DIV/0!</v>
      </c>
      <c r="AB89" s="186" t="str">
        <f t="shared" si="42"/>
        <v>#DIV/0!</v>
      </c>
      <c r="AC89" s="186" t="str">
        <f t="shared" si="42"/>
        <v>#DIV/0!</v>
      </c>
      <c r="AD89" s="186" t="str">
        <f t="shared" si="42"/>
        <v>#DIV/0!</v>
      </c>
      <c r="AE89" s="69"/>
      <c r="AF89" s="187" t="str">
        <f>AF39/AF13</f>
        <v>#DIV/0!</v>
      </c>
      <c r="AG89" s="16"/>
      <c r="AH89" s="16"/>
    </row>
    <row r="90">
      <c r="A90" s="61" t="s">
        <v>288</v>
      </c>
      <c r="B90" s="183" t="str">
        <f t="shared" ref="B90:AD90" si="43">B25/(B39+B228+B229+B230+B231+B232)</f>
        <v>#DIV/0!</v>
      </c>
      <c r="C90" s="183" t="str">
        <f t="shared" si="43"/>
        <v>#DIV/0!</v>
      </c>
      <c r="D90" s="183" t="str">
        <f t="shared" si="43"/>
        <v>#DIV/0!</v>
      </c>
      <c r="E90" s="183" t="str">
        <f t="shared" si="43"/>
        <v>#DIV/0!</v>
      </c>
      <c r="F90" s="183" t="str">
        <f t="shared" si="43"/>
        <v>#DIV/0!</v>
      </c>
      <c r="G90" s="183" t="str">
        <f t="shared" si="43"/>
        <v>#DIV/0!</v>
      </c>
      <c r="H90" s="183" t="str">
        <f t="shared" si="43"/>
        <v>#DIV/0!</v>
      </c>
      <c r="I90" s="183" t="str">
        <f t="shared" si="43"/>
        <v>#DIV/0!</v>
      </c>
      <c r="J90" s="183" t="str">
        <f t="shared" si="43"/>
        <v>#DIV/0!</v>
      </c>
      <c r="K90" s="183" t="str">
        <f t="shared" si="43"/>
        <v>#DIV/0!</v>
      </c>
      <c r="L90" s="183" t="str">
        <f t="shared" si="43"/>
        <v>#DIV/0!</v>
      </c>
      <c r="M90" s="183" t="str">
        <f t="shared" si="43"/>
        <v>#DIV/0!</v>
      </c>
      <c r="N90" s="183" t="str">
        <f t="shared" si="43"/>
        <v>#DIV/0!</v>
      </c>
      <c r="O90" s="183" t="str">
        <f t="shared" si="43"/>
        <v>#DIV/0!</v>
      </c>
      <c r="P90" s="183" t="str">
        <f t="shared" si="43"/>
        <v>#DIV/0!</v>
      </c>
      <c r="Q90" s="183" t="str">
        <f t="shared" si="43"/>
        <v>#DIV/0!</v>
      </c>
      <c r="R90" s="183" t="str">
        <f t="shared" si="43"/>
        <v>#DIV/0!</v>
      </c>
      <c r="S90" s="183" t="str">
        <f t="shared" si="43"/>
        <v>#DIV/0!</v>
      </c>
      <c r="T90" s="183" t="str">
        <f t="shared" si="43"/>
        <v>#DIV/0!</v>
      </c>
      <c r="U90" s="183" t="str">
        <f t="shared" si="43"/>
        <v>#DIV/0!</v>
      </c>
      <c r="V90" s="183" t="str">
        <f t="shared" si="43"/>
        <v>#DIV/0!</v>
      </c>
      <c r="W90" s="183" t="str">
        <f t="shared" si="43"/>
        <v>#DIV/0!</v>
      </c>
      <c r="X90" s="183" t="str">
        <f t="shared" si="43"/>
        <v>#DIV/0!</v>
      </c>
      <c r="Y90" s="183" t="str">
        <f t="shared" si="43"/>
        <v>#DIV/0!</v>
      </c>
      <c r="Z90" s="183" t="str">
        <f t="shared" si="43"/>
        <v>#DIV/0!</v>
      </c>
      <c r="AA90" s="183" t="str">
        <f t="shared" si="43"/>
        <v>#DIV/0!</v>
      </c>
      <c r="AB90" s="183" t="str">
        <f t="shared" si="43"/>
        <v>#DIV/0!</v>
      </c>
      <c r="AC90" s="183" t="str">
        <f t="shared" si="43"/>
        <v>#DIV/0!</v>
      </c>
      <c r="AD90" s="183" t="str">
        <f t="shared" si="43"/>
        <v>#DIV/0!</v>
      </c>
      <c r="AE90" s="184"/>
      <c r="AF90" s="185" t="str">
        <f>AF25/(AF39+AF228+AF229+AF230+AF231+AF232)</f>
        <v>#DIV/0!</v>
      </c>
      <c r="AG90" s="126"/>
      <c r="AH90" s="16"/>
    </row>
    <row r="91">
      <c r="A91" s="173"/>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c r="AA91" s="172"/>
      <c r="AB91" s="172"/>
      <c r="AC91" s="172"/>
      <c r="AD91" s="172"/>
      <c r="AE91" s="172"/>
      <c r="AF91" s="173"/>
      <c r="AG91" s="126"/>
      <c r="AH91" s="16"/>
    </row>
    <row r="92">
      <c r="A92" s="188" t="s">
        <v>308</v>
      </c>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c r="AA92" s="172"/>
      <c r="AB92" s="172"/>
      <c r="AC92" s="172"/>
      <c r="AD92" s="172"/>
      <c r="AE92" s="172"/>
      <c r="AF92" s="173"/>
      <c r="AG92" s="126"/>
      <c r="AH92" s="16"/>
    </row>
    <row r="93">
      <c r="A93" s="144" t="s">
        <v>196</v>
      </c>
      <c r="B93" s="161">
        <f t="shared" ref="B93:AD93" si="44">B22-B40-B235-B236-B237-B238-B239</f>
        <v>0</v>
      </c>
      <c r="C93" s="161">
        <f t="shared" si="44"/>
        <v>0</v>
      </c>
      <c r="D93" s="161">
        <f t="shared" si="44"/>
        <v>0</v>
      </c>
      <c r="E93" s="161">
        <f t="shared" si="44"/>
        <v>0</v>
      </c>
      <c r="F93" s="161">
        <f t="shared" si="44"/>
        <v>0</v>
      </c>
      <c r="G93" s="161">
        <f t="shared" si="44"/>
        <v>0</v>
      </c>
      <c r="H93" s="161">
        <f t="shared" si="44"/>
        <v>0</v>
      </c>
      <c r="I93" s="161">
        <f t="shared" si="44"/>
        <v>0</v>
      </c>
      <c r="J93" s="161">
        <f t="shared" si="44"/>
        <v>0</v>
      </c>
      <c r="K93" s="161">
        <f t="shared" si="44"/>
        <v>0</v>
      </c>
      <c r="L93" s="161">
        <f t="shared" si="44"/>
        <v>0</v>
      </c>
      <c r="M93" s="161">
        <f t="shared" si="44"/>
        <v>0</v>
      </c>
      <c r="N93" s="161">
        <f t="shared" si="44"/>
        <v>0</v>
      </c>
      <c r="O93" s="161">
        <f t="shared" si="44"/>
        <v>0</v>
      </c>
      <c r="P93" s="161">
        <f t="shared" si="44"/>
        <v>0</v>
      </c>
      <c r="Q93" s="161">
        <f t="shared" si="44"/>
        <v>0</v>
      </c>
      <c r="R93" s="161">
        <f t="shared" si="44"/>
        <v>0</v>
      </c>
      <c r="S93" s="161">
        <f t="shared" si="44"/>
        <v>0</v>
      </c>
      <c r="T93" s="161">
        <f t="shared" si="44"/>
        <v>0</v>
      </c>
      <c r="U93" s="161">
        <f t="shared" si="44"/>
        <v>0</v>
      </c>
      <c r="V93" s="161">
        <f t="shared" si="44"/>
        <v>0</v>
      </c>
      <c r="W93" s="161">
        <f t="shared" si="44"/>
        <v>0</v>
      </c>
      <c r="X93" s="161">
        <f t="shared" si="44"/>
        <v>0</v>
      </c>
      <c r="Y93" s="161">
        <f t="shared" si="44"/>
        <v>0</v>
      </c>
      <c r="Z93" s="161">
        <f t="shared" si="44"/>
        <v>0</v>
      </c>
      <c r="AA93" s="161">
        <f t="shared" si="44"/>
        <v>0</v>
      </c>
      <c r="AB93" s="161">
        <f t="shared" si="44"/>
        <v>0</v>
      </c>
      <c r="AC93" s="161">
        <f t="shared" si="44"/>
        <v>0</v>
      </c>
      <c r="AD93" s="161">
        <f t="shared" si="44"/>
        <v>0</v>
      </c>
      <c r="AE93" s="162"/>
      <c r="AF93" s="163">
        <f>AF22-AF40-AF235-AF236-AF237-AF238-AF239</f>
        <v>0</v>
      </c>
      <c r="AG93" s="68">
        <f>SUM(B93:AF93)</f>
        <v>0</v>
      </c>
      <c r="AH93" s="16"/>
    </row>
    <row r="94">
      <c r="A94" s="144" t="s">
        <v>272</v>
      </c>
      <c r="B94" s="164" t="str">
        <f t="shared" ref="B94:AD94" si="45">B22/B40</f>
        <v>#DIV/0!</v>
      </c>
      <c r="C94" s="164" t="str">
        <f t="shared" si="45"/>
        <v>#DIV/0!</v>
      </c>
      <c r="D94" s="164" t="str">
        <f t="shared" si="45"/>
        <v>#DIV/0!</v>
      </c>
      <c r="E94" s="164" t="str">
        <f t="shared" si="45"/>
        <v>#DIV/0!</v>
      </c>
      <c r="F94" s="164" t="str">
        <f t="shared" si="45"/>
        <v>#DIV/0!</v>
      </c>
      <c r="G94" s="164" t="str">
        <f t="shared" si="45"/>
        <v>#DIV/0!</v>
      </c>
      <c r="H94" s="164" t="str">
        <f t="shared" si="45"/>
        <v>#DIV/0!</v>
      </c>
      <c r="I94" s="164" t="str">
        <f t="shared" si="45"/>
        <v>#DIV/0!</v>
      </c>
      <c r="J94" s="164" t="str">
        <f t="shared" si="45"/>
        <v>#DIV/0!</v>
      </c>
      <c r="K94" s="164" t="str">
        <f t="shared" si="45"/>
        <v>#DIV/0!</v>
      </c>
      <c r="L94" s="164" t="str">
        <f t="shared" si="45"/>
        <v>#DIV/0!</v>
      </c>
      <c r="M94" s="164" t="str">
        <f t="shared" si="45"/>
        <v>#DIV/0!</v>
      </c>
      <c r="N94" s="164" t="str">
        <f t="shared" si="45"/>
        <v>#DIV/0!</v>
      </c>
      <c r="O94" s="164" t="str">
        <f t="shared" si="45"/>
        <v>#DIV/0!</v>
      </c>
      <c r="P94" s="164" t="str">
        <f t="shared" si="45"/>
        <v>#DIV/0!</v>
      </c>
      <c r="Q94" s="164" t="str">
        <f t="shared" si="45"/>
        <v>#DIV/0!</v>
      </c>
      <c r="R94" s="164" t="str">
        <f t="shared" si="45"/>
        <v>#DIV/0!</v>
      </c>
      <c r="S94" s="164" t="str">
        <f t="shared" si="45"/>
        <v>#DIV/0!</v>
      </c>
      <c r="T94" s="164" t="str">
        <f t="shared" si="45"/>
        <v>#DIV/0!</v>
      </c>
      <c r="U94" s="164" t="str">
        <f t="shared" si="45"/>
        <v>#DIV/0!</v>
      </c>
      <c r="V94" s="164" t="str">
        <f t="shared" si="45"/>
        <v>#DIV/0!</v>
      </c>
      <c r="W94" s="164" t="str">
        <f t="shared" si="45"/>
        <v>#DIV/0!</v>
      </c>
      <c r="X94" s="164" t="str">
        <f t="shared" si="45"/>
        <v>#DIV/0!</v>
      </c>
      <c r="Y94" s="164" t="str">
        <f t="shared" si="45"/>
        <v>#DIV/0!</v>
      </c>
      <c r="Z94" s="164" t="str">
        <f t="shared" si="45"/>
        <v>#DIV/0!</v>
      </c>
      <c r="AA94" s="164" t="str">
        <f t="shared" si="45"/>
        <v>#DIV/0!</v>
      </c>
      <c r="AB94" s="164" t="str">
        <f t="shared" si="45"/>
        <v>#DIV/0!</v>
      </c>
      <c r="AC94" s="164" t="str">
        <f t="shared" si="45"/>
        <v>#DIV/0!</v>
      </c>
      <c r="AD94" s="164" t="str">
        <f t="shared" si="45"/>
        <v>#DIV/0!</v>
      </c>
      <c r="AE94" s="165"/>
      <c r="AF94" s="166" t="str">
        <f t="shared" ref="AF94:AG94" si="46">AF22/AF40</f>
        <v>#DIV/0!</v>
      </c>
      <c r="AG94" s="167" t="str">
        <f t="shared" si="46"/>
        <v>#DIV/0!</v>
      </c>
      <c r="AH94" s="16"/>
    </row>
    <row r="95">
      <c r="A95" s="144" t="s">
        <v>282</v>
      </c>
      <c r="B95" s="168" t="str">
        <f t="shared" ref="B95:AD95" si="47">B40/B10</f>
        <v>#DIV/0!</v>
      </c>
      <c r="C95" s="168" t="str">
        <f t="shared" si="47"/>
        <v>#DIV/0!</v>
      </c>
      <c r="D95" s="168" t="str">
        <f t="shared" si="47"/>
        <v>#DIV/0!</v>
      </c>
      <c r="E95" s="168" t="str">
        <f t="shared" si="47"/>
        <v>#DIV/0!</v>
      </c>
      <c r="F95" s="168" t="str">
        <f t="shared" si="47"/>
        <v>#DIV/0!</v>
      </c>
      <c r="G95" s="168" t="str">
        <f t="shared" si="47"/>
        <v>#DIV/0!</v>
      </c>
      <c r="H95" s="168" t="str">
        <f t="shared" si="47"/>
        <v>#DIV/0!</v>
      </c>
      <c r="I95" s="168" t="str">
        <f t="shared" si="47"/>
        <v>#DIV/0!</v>
      </c>
      <c r="J95" s="168" t="str">
        <f t="shared" si="47"/>
        <v>#DIV/0!</v>
      </c>
      <c r="K95" s="168" t="str">
        <f t="shared" si="47"/>
        <v>#DIV/0!</v>
      </c>
      <c r="L95" s="168" t="str">
        <f t="shared" si="47"/>
        <v>#DIV/0!</v>
      </c>
      <c r="M95" s="168" t="str">
        <f t="shared" si="47"/>
        <v>#DIV/0!</v>
      </c>
      <c r="N95" s="168" t="str">
        <f t="shared" si="47"/>
        <v>#DIV/0!</v>
      </c>
      <c r="O95" s="168" t="str">
        <f t="shared" si="47"/>
        <v>#DIV/0!</v>
      </c>
      <c r="P95" s="168" t="str">
        <f t="shared" si="47"/>
        <v>#DIV/0!</v>
      </c>
      <c r="Q95" s="168" t="str">
        <f t="shared" si="47"/>
        <v>#DIV/0!</v>
      </c>
      <c r="R95" s="168" t="str">
        <f t="shared" si="47"/>
        <v>#DIV/0!</v>
      </c>
      <c r="S95" s="168" t="str">
        <f t="shared" si="47"/>
        <v>#DIV/0!</v>
      </c>
      <c r="T95" s="168" t="str">
        <f t="shared" si="47"/>
        <v>#DIV/0!</v>
      </c>
      <c r="U95" s="168" t="str">
        <f t="shared" si="47"/>
        <v>#DIV/0!</v>
      </c>
      <c r="V95" s="168" t="str">
        <f t="shared" si="47"/>
        <v>#DIV/0!</v>
      </c>
      <c r="W95" s="168" t="str">
        <f t="shared" si="47"/>
        <v>#DIV/0!</v>
      </c>
      <c r="X95" s="168" t="str">
        <f t="shared" si="47"/>
        <v>#DIV/0!</v>
      </c>
      <c r="Y95" s="168" t="str">
        <f t="shared" si="47"/>
        <v>#DIV/0!</v>
      </c>
      <c r="Z95" s="168" t="str">
        <f t="shared" si="47"/>
        <v>#DIV/0!</v>
      </c>
      <c r="AA95" s="168" t="str">
        <f t="shared" si="47"/>
        <v>#DIV/0!</v>
      </c>
      <c r="AB95" s="168" t="str">
        <f t="shared" si="47"/>
        <v>#DIV/0!</v>
      </c>
      <c r="AC95" s="168" t="str">
        <f t="shared" si="47"/>
        <v>#DIV/0!</v>
      </c>
      <c r="AD95" s="168" t="str">
        <f t="shared" si="47"/>
        <v>#DIV/0!</v>
      </c>
      <c r="AE95" s="162"/>
      <c r="AF95" s="169" t="str">
        <f>AF40/AF10</f>
        <v>#DIV/0!</v>
      </c>
      <c r="AG95" s="126"/>
      <c r="AH95" s="16"/>
    </row>
    <row r="96">
      <c r="A96" s="144" t="s">
        <v>288</v>
      </c>
      <c r="B96" s="164" t="str">
        <f t="shared" ref="B96:AD96" si="48">B22/(B40+B235+B236+B237+B238+B239)</f>
        <v>#DIV/0!</v>
      </c>
      <c r="C96" s="164" t="str">
        <f t="shared" si="48"/>
        <v>#DIV/0!</v>
      </c>
      <c r="D96" s="164" t="str">
        <f t="shared" si="48"/>
        <v>#DIV/0!</v>
      </c>
      <c r="E96" s="164" t="str">
        <f t="shared" si="48"/>
        <v>#DIV/0!</v>
      </c>
      <c r="F96" s="164" t="str">
        <f t="shared" si="48"/>
        <v>#DIV/0!</v>
      </c>
      <c r="G96" s="164" t="str">
        <f t="shared" si="48"/>
        <v>#DIV/0!</v>
      </c>
      <c r="H96" s="164" t="str">
        <f t="shared" si="48"/>
        <v>#DIV/0!</v>
      </c>
      <c r="I96" s="164" t="str">
        <f t="shared" si="48"/>
        <v>#DIV/0!</v>
      </c>
      <c r="J96" s="164" t="str">
        <f t="shared" si="48"/>
        <v>#DIV/0!</v>
      </c>
      <c r="K96" s="164" t="str">
        <f t="shared" si="48"/>
        <v>#DIV/0!</v>
      </c>
      <c r="L96" s="164" t="str">
        <f t="shared" si="48"/>
        <v>#DIV/0!</v>
      </c>
      <c r="M96" s="164" t="str">
        <f t="shared" si="48"/>
        <v>#DIV/0!</v>
      </c>
      <c r="N96" s="164" t="str">
        <f t="shared" si="48"/>
        <v>#DIV/0!</v>
      </c>
      <c r="O96" s="164" t="str">
        <f t="shared" si="48"/>
        <v>#DIV/0!</v>
      </c>
      <c r="P96" s="164" t="str">
        <f t="shared" si="48"/>
        <v>#DIV/0!</v>
      </c>
      <c r="Q96" s="164" t="str">
        <f t="shared" si="48"/>
        <v>#DIV/0!</v>
      </c>
      <c r="R96" s="164" t="str">
        <f t="shared" si="48"/>
        <v>#DIV/0!</v>
      </c>
      <c r="S96" s="164" t="str">
        <f t="shared" si="48"/>
        <v>#DIV/0!</v>
      </c>
      <c r="T96" s="164" t="str">
        <f t="shared" si="48"/>
        <v>#DIV/0!</v>
      </c>
      <c r="U96" s="164" t="str">
        <f t="shared" si="48"/>
        <v>#DIV/0!</v>
      </c>
      <c r="V96" s="164" t="str">
        <f t="shared" si="48"/>
        <v>#DIV/0!</v>
      </c>
      <c r="W96" s="164" t="str">
        <f t="shared" si="48"/>
        <v>#DIV/0!</v>
      </c>
      <c r="X96" s="164" t="str">
        <f t="shared" si="48"/>
        <v>#DIV/0!</v>
      </c>
      <c r="Y96" s="164" t="str">
        <f t="shared" si="48"/>
        <v>#DIV/0!</v>
      </c>
      <c r="Z96" s="164" t="str">
        <f t="shared" si="48"/>
        <v>#DIV/0!</v>
      </c>
      <c r="AA96" s="164" t="str">
        <f t="shared" si="48"/>
        <v>#DIV/0!</v>
      </c>
      <c r="AB96" s="164" t="str">
        <f t="shared" si="48"/>
        <v>#DIV/0!</v>
      </c>
      <c r="AC96" s="164" t="str">
        <f t="shared" si="48"/>
        <v>#DIV/0!</v>
      </c>
      <c r="AD96" s="164" t="str">
        <f t="shared" si="48"/>
        <v>#DIV/0!</v>
      </c>
      <c r="AE96" s="165"/>
      <c r="AF96" s="166" t="str">
        <f>AF22/(AF40+AF235+AF236+AF237+AF238+AF239)</f>
        <v>#DIV/0!</v>
      </c>
      <c r="AG96" s="126"/>
      <c r="AH96" s="16"/>
    </row>
    <row r="97">
      <c r="A97" s="173"/>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c r="AA97" s="172"/>
      <c r="AB97" s="172"/>
      <c r="AC97" s="172"/>
      <c r="AD97" s="172"/>
      <c r="AE97" s="172"/>
      <c r="AF97" s="173"/>
      <c r="AG97" s="126"/>
      <c r="AH97" s="16"/>
    </row>
    <row r="98">
      <c r="A98" s="189" t="s">
        <v>309</v>
      </c>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c r="AA98" s="172"/>
      <c r="AB98" s="172"/>
      <c r="AC98" s="172"/>
      <c r="AD98" s="172"/>
      <c r="AE98" s="172"/>
      <c r="AF98" s="173"/>
      <c r="AG98" s="126"/>
      <c r="AH98" s="16"/>
    </row>
    <row r="99">
      <c r="A99" s="174" t="s">
        <v>196</v>
      </c>
      <c r="B99" s="110">
        <f t="shared" ref="B99:AF99" si="49">B23-B37-B242-B243-B244-B245-B246</f>
        <v>0</v>
      </c>
      <c r="C99" s="110">
        <f t="shared" si="49"/>
        <v>0</v>
      </c>
      <c r="D99" s="110">
        <f t="shared" si="49"/>
        <v>0</v>
      </c>
      <c r="E99" s="110">
        <f t="shared" si="49"/>
        <v>0</v>
      </c>
      <c r="F99" s="110">
        <f t="shared" si="49"/>
        <v>0</v>
      </c>
      <c r="G99" s="110">
        <f t="shared" si="49"/>
        <v>0</v>
      </c>
      <c r="H99" s="110">
        <f t="shared" si="49"/>
        <v>0</v>
      </c>
      <c r="I99" s="110">
        <f t="shared" si="49"/>
        <v>0</v>
      </c>
      <c r="J99" s="110">
        <f t="shared" si="49"/>
        <v>0</v>
      </c>
      <c r="K99" s="110">
        <f t="shared" si="49"/>
        <v>0</v>
      </c>
      <c r="L99" s="110">
        <f t="shared" si="49"/>
        <v>0</v>
      </c>
      <c r="M99" s="110">
        <f t="shared" si="49"/>
        <v>0</v>
      </c>
      <c r="N99" s="130">
        <f t="shared" si="49"/>
        <v>-4.27</v>
      </c>
      <c r="O99" s="128">
        <f t="shared" si="49"/>
        <v>154.71</v>
      </c>
      <c r="P99" s="130">
        <f t="shared" si="49"/>
        <v>-2.54</v>
      </c>
      <c r="Q99" s="130">
        <f t="shared" si="49"/>
        <v>-5.36</v>
      </c>
      <c r="R99" s="130">
        <f t="shared" si="49"/>
        <v>-0.09</v>
      </c>
      <c r="S99" s="130">
        <f t="shared" si="49"/>
        <v>-11.3</v>
      </c>
      <c r="T99" s="128">
        <f t="shared" si="49"/>
        <v>325.662</v>
      </c>
      <c r="U99" s="128">
        <f t="shared" si="49"/>
        <v>254.544</v>
      </c>
      <c r="V99" s="128">
        <f t="shared" si="49"/>
        <v>569.87</v>
      </c>
      <c r="W99" s="128">
        <f t="shared" si="49"/>
        <v>253.506</v>
      </c>
      <c r="X99" s="128">
        <f t="shared" si="49"/>
        <v>358.93</v>
      </c>
      <c r="Y99" s="128">
        <f t="shared" si="49"/>
        <v>152.24</v>
      </c>
      <c r="Z99" s="128">
        <f t="shared" si="49"/>
        <v>596.9</v>
      </c>
      <c r="AA99" s="128">
        <f t="shared" si="49"/>
        <v>164.562</v>
      </c>
      <c r="AB99" s="128">
        <f t="shared" si="49"/>
        <v>594.342</v>
      </c>
      <c r="AC99" s="128">
        <f t="shared" si="49"/>
        <v>168.412</v>
      </c>
      <c r="AD99" s="128">
        <f t="shared" si="49"/>
        <v>171.182</v>
      </c>
      <c r="AE99" s="130">
        <f t="shared" si="49"/>
        <v>-10.36</v>
      </c>
      <c r="AF99" s="131">
        <f t="shared" si="49"/>
        <v>-11.96</v>
      </c>
      <c r="AG99" s="145">
        <f>SUM(B99:AF99)</f>
        <v>3718.98</v>
      </c>
      <c r="AH99" s="16"/>
    </row>
    <row r="100">
      <c r="A100" s="174" t="s">
        <v>272</v>
      </c>
      <c r="B100" s="190" t="str">
        <f t="shared" ref="B100:AG100" si="50">B23/B37</f>
        <v>#DIV/0!</v>
      </c>
      <c r="C100" s="190" t="str">
        <f t="shared" si="50"/>
        <v>#DIV/0!</v>
      </c>
      <c r="D100" s="190" t="str">
        <f t="shared" si="50"/>
        <v>#DIV/0!</v>
      </c>
      <c r="E100" s="190" t="str">
        <f t="shared" si="50"/>
        <v>#DIV/0!</v>
      </c>
      <c r="F100" s="190" t="str">
        <f t="shared" si="50"/>
        <v>#DIV/0!</v>
      </c>
      <c r="G100" s="190" t="str">
        <f t="shared" si="50"/>
        <v>#DIV/0!</v>
      </c>
      <c r="H100" s="190" t="str">
        <f t="shared" si="50"/>
        <v>#DIV/0!</v>
      </c>
      <c r="I100" s="190" t="str">
        <f t="shared" si="50"/>
        <v>#DIV/0!</v>
      </c>
      <c r="J100" s="190" t="str">
        <f t="shared" si="50"/>
        <v>#DIV/0!</v>
      </c>
      <c r="K100" s="190" t="str">
        <f t="shared" si="50"/>
        <v>#DIV/0!</v>
      </c>
      <c r="L100" s="190" t="str">
        <f t="shared" si="50"/>
        <v>#DIV/0!</v>
      </c>
      <c r="M100" s="190" t="str">
        <f t="shared" si="50"/>
        <v>#DIV/0!</v>
      </c>
      <c r="N100" s="148">
        <f t="shared" si="50"/>
        <v>0</v>
      </c>
      <c r="O100" s="148">
        <f t="shared" si="50"/>
        <v>32.71604938</v>
      </c>
      <c r="P100" s="148">
        <f t="shared" si="50"/>
        <v>0</v>
      </c>
      <c r="Q100" s="148">
        <f t="shared" si="50"/>
        <v>0</v>
      </c>
      <c r="R100" s="148">
        <f t="shared" si="50"/>
        <v>0</v>
      </c>
      <c r="S100" s="148">
        <f t="shared" si="50"/>
        <v>0</v>
      </c>
      <c r="T100" s="148">
        <f t="shared" si="50"/>
        <v>43.02694136</v>
      </c>
      <c r="U100" s="148">
        <f t="shared" si="50"/>
        <v>34.60690669</v>
      </c>
      <c r="V100" s="148">
        <f t="shared" si="50"/>
        <v>80.25247971</v>
      </c>
      <c r="W100" s="148">
        <f t="shared" si="50"/>
        <v>34.81132075</v>
      </c>
      <c r="X100" s="148">
        <f t="shared" si="50"/>
        <v>38.87935963</v>
      </c>
      <c r="Y100" s="148">
        <f t="shared" si="50"/>
        <v>25.07095553</v>
      </c>
      <c r="Z100" s="148">
        <f t="shared" si="50"/>
        <v>108.7990488</v>
      </c>
      <c r="AA100" s="148">
        <f t="shared" si="50"/>
        <v>17.93409379</v>
      </c>
      <c r="AB100" s="148">
        <f t="shared" si="50"/>
        <v>66.09071274</v>
      </c>
      <c r="AC100" s="148">
        <f t="shared" si="50"/>
        <v>23.72170997</v>
      </c>
      <c r="AD100" s="148">
        <f t="shared" si="50"/>
        <v>30.89519651</v>
      </c>
      <c r="AE100" s="148">
        <f t="shared" si="50"/>
        <v>0</v>
      </c>
      <c r="AF100" s="151">
        <f t="shared" si="50"/>
        <v>0</v>
      </c>
      <c r="AG100" s="152">
        <f t="shared" si="50"/>
        <v>32.59662666</v>
      </c>
      <c r="AH100" s="16"/>
    </row>
    <row r="101">
      <c r="A101" s="174" t="s">
        <v>282</v>
      </c>
      <c r="B101" s="191" t="str">
        <f t="shared" ref="B101:AF101" si="51">B37/B11</f>
        <v>#DIV/0!</v>
      </c>
      <c r="C101" s="191" t="str">
        <f t="shared" si="51"/>
        <v>#DIV/0!</v>
      </c>
      <c r="D101" s="191" t="str">
        <f t="shared" si="51"/>
        <v>#DIV/0!</v>
      </c>
      <c r="E101" s="191" t="str">
        <f t="shared" si="51"/>
        <v>#DIV/0!</v>
      </c>
      <c r="F101" s="191" t="str">
        <f t="shared" si="51"/>
        <v>#DIV/0!</v>
      </c>
      <c r="G101" s="191" t="str">
        <f t="shared" si="51"/>
        <v>#DIV/0!</v>
      </c>
      <c r="H101" s="191" t="str">
        <f t="shared" si="51"/>
        <v>#DIV/0!</v>
      </c>
      <c r="I101" s="191" t="str">
        <f t="shared" si="51"/>
        <v>#DIV/0!</v>
      </c>
      <c r="J101" s="191" t="str">
        <f t="shared" si="51"/>
        <v>#DIV/0!</v>
      </c>
      <c r="K101" s="191" t="str">
        <f t="shared" si="51"/>
        <v>#DIV/0!</v>
      </c>
      <c r="L101" s="191" t="str">
        <f t="shared" si="51"/>
        <v>#DIV/0!</v>
      </c>
      <c r="M101" s="191" t="str">
        <f t="shared" si="51"/>
        <v>#DIV/0!</v>
      </c>
      <c r="N101" s="191" t="str">
        <f t="shared" si="51"/>
        <v>#DIV/0!</v>
      </c>
      <c r="O101" s="153">
        <f t="shared" si="51"/>
        <v>8.1</v>
      </c>
      <c r="P101" s="191" t="str">
        <f t="shared" si="51"/>
        <v>#DIV/0!</v>
      </c>
      <c r="Q101" s="191" t="str">
        <f t="shared" si="51"/>
        <v>#DIV/0!</v>
      </c>
      <c r="R101" s="191" t="str">
        <f t="shared" si="51"/>
        <v>#DIV/0!</v>
      </c>
      <c r="S101" s="191" t="str">
        <f t="shared" si="51"/>
        <v>#DIV/0!</v>
      </c>
      <c r="T101" s="153">
        <f t="shared" si="51"/>
        <v>6.31</v>
      </c>
      <c r="U101" s="153">
        <f t="shared" si="51"/>
        <v>6.805</v>
      </c>
      <c r="V101" s="153">
        <f t="shared" si="51"/>
        <v>3.696666667</v>
      </c>
      <c r="W101" s="153">
        <f t="shared" si="51"/>
        <v>10.6</v>
      </c>
      <c r="X101" s="153">
        <f t="shared" si="51"/>
        <v>5.83</v>
      </c>
      <c r="Y101" s="153">
        <f t="shared" si="51"/>
        <v>10.57</v>
      </c>
      <c r="Z101" s="153">
        <f t="shared" si="51"/>
        <v>2.803333333</v>
      </c>
      <c r="AA101" s="153">
        <f t="shared" si="51"/>
        <v>15.78</v>
      </c>
      <c r="AB101" s="153">
        <f t="shared" si="51"/>
        <v>4.63</v>
      </c>
      <c r="AC101" s="153">
        <f t="shared" si="51"/>
        <v>11.93</v>
      </c>
      <c r="AD101" s="153">
        <f t="shared" si="51"/>
        <v>9.16</v>
      </c>
      <c r="AE101" s="191" t="str">
        <f t="shared" si="51"/>
        <v>#DIV/0!</v>
      </c>
      <c r="AF101" s="192" t="str">
        <f t="shared" si="51"/>
        <v>#DIV/0!</v>
      </c>
      <c r="AG101" s="126"/>
      <c r="AH101" s="16"/>
    </row>
    <row r="102">
      <c r="A102" s="174" t="s">
        <v>288</v>
      </c>
      <c r="B102" s="193" t="str">
        <f t="shared" ref="B102:AF102" si="52">B23/(B37+B242+B243+B244+B245+B246)</f>
        <v>#DIV/0!</v>
      </c>
      <c r="C102" s="193" t="str">
        <f t="shared" si="52"/>
        <v>#DIV/0!</v>
      </c>
      <c r="D102" s="193" t="str">
        <f t="shared" si="52"/>
        <v>#DIV/0!</v>
      </c>
      <c r="E102" s="193" t="str">
        <f t="shared" si="52"/>
        <v>#DIV/0!</v>
      </c>
      <c r="F102" s="193" t="str">
        <f t="shared" si="52"/>
        <v>#DIV/0!</v>
      </c>
      <c r="G102" s="193" t="str">
        <f t="shared" si="52"/>
        <v>#DIV/0!</v>
      </c>
      <c r="H102" s="193" t="str">
        <f t="shared" si="52"/>
        <v>#DIV/0!</v>
      </c>
      <c r="I102" s="193" t="str">
        <f t="shared" si="52"/>
        <v>#DIV/0!</v>
      </c>
      <c r="J102" s="193" t="str">
        <f t="shared" si="52"/>
        <v>#DIV/0!</v>
      </c>
      <c r="K102" s="193" t="str">
        <f t="shared" si="52"/>
        <v>#DIV/0!</v>
      </c>
      <c r="L102" s="193" t="str">
        <f t="shared" si="52"/>
        <v>#DIV/0!</v>
      </c>
      <c r="M102" s="193" t="str">
        <f t="shared" si="52"/>
        <v>#DIV/0!</v>
      </c>
      <c r="N102" s="156">
        <f t="shared" si="52"/>
        <v>0</v>
      </c>
      <c r="O102" s="156">
        <f t="shared" si="52"/>
        <v>2.40275637</v>
      </c>
      <c r="P102" s="156">
        <f t="shared" si="52"/>
        <v>0</v>
      </c>
      <c r="Q102" s="156">
        <f t="shared" si="52"/>
        <v>0</v>
      </c>
      <c r="R102" s="156">
        <f t="shared" si="52"/>
        <v>0</v>
      </c>
      <c r="S102" s="156">
        <f t="shared" si="52"/>
        <v>0</v>
      </c>
      <c r="T102" s="156">
        <f t="shared" si="52"/>
        <v>2.498412611</v>
      </c>
      <c r="U102" s="156">
        <f t="shared" si="52"/>
        <v>2.175961858</v>
      </c>
      <c r="V102" s="156">
        <f t="shared" si="52"/>
        <v>2.780120576</v>
      </c>
      <c r="W102" s="156">
        <f t="shared" si="52"/>
        <v>3.194971167</v>
      </c>
      <c r="X102" s="156">
        <f t="shared" si="52"/>
        <v>2.117918211</v>
      </c>
      <c r="Y102" s="156">
        <f t="shared" si="52"/>
        <v>2.350124158</v>
      </c>
      <c r="Z102" s="156">
        <f t="shared" si="52"/>
        <v>2.876453945</v>
      </c>
      <c r="AA102" s="156">
        <f t="shared" si="52"/>
        <v>2.389435823</v>
      </c>
      <c r="AB102" s="156">
        <f t="shared" si="52"/>
        <v>2.836327234</v>
      </c>
      <c r="AC102" s="156">
        <f t="shared" si="52"/>
        <v>2.469717597</v>
      </c>
      <c r="AD102" s="156">
        <f t="shared" si="52"/>
        <v>2.530898424</v>
      </c>
      <c r="AE102" s="156">
        <f t="shared" si="52"/>
        <v>0</v>
      </c>
      <c r="AF102" s="157">
        <f t="shared" si="52"/>
        <v>0</v>
      </c>
      <c r="AG102" s="126"/>
      <c r="AH102" s="16"/>
    </row>
    <row r="103">
      <c r="A103" s="173"/>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c r="AC103" s="172"/>
      <c r="AD103" s="172"/>
      <c r="AE103" s="172"/>
      <c r="AF103" s="173"/>
      <c r="AG103" s="126"/>
      <c r="AH103" s="16"/>
    </row>
    <row r="104">
      <c r="A104" s="194" t="s">
        <v>310</v>
      </c>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c r="AA104" s="172"/>
      <c r="AB104" s="172"/>
      <c r="AC104" s="172"/>
      <c r="AD104" s="172"/>
      <c r="AE104" s="172"/>
      <c r="AF104" s="173"/>
      <c r="AG104" s="126"/>
      <c r="AH104" s="16"/>
    </row>
    <row r="105">
      <c r="A105" s="142" t="s">
        <v>196</v>
      </c>
      <c r="B105" s="110">
        <f t="shared" ref="B105:AF105" si="53">B24-B38-B249-B250-B251-B252-B253</f>
        <v>0</v>
      </c>
      <c r="C105" s="110">
        <f t="shared" si="53"/>
        <v>0</v>
      </c>
      <c r="D105" s="110">
        <f t="shared" si="53"/>
        <v>0</v>
      </c>
      <c r="E105" s="110">
        <f t="shared" si="53"/>
        <v>0</v>
      </c>
      <c r="F105" s="110">
        <f t="shared" si="53"/>
        <v>0</v>
      </c>
      <c r="G105" s="110">
        <f t="shared" si="53"/>
        <v>0</v>
      </c>
      <c r="H105" s="110">
        <f t="shared" si="53"/>
        <v>0</v>
      </c>
      <c r="I105" s="110">
        <f t="shared" si="53"/>
        <v>0</v>
      </c>
      <c r="J105" s="110">
        <f t="shared" si="53"/>
        <v>0</v>
      </c>
      <c r="K105" s="110">
        <f t="shared" si="53"/>
        <v>0</v>
      </c>
      <c r="L105" s="110">
        <f t="shared" si="53"/>
        <v>0</v>
      </c>
      <c r="M105" s="110">
        <f t="shared" si="53"/>
        <v>0</v>
      </c>
      <c r="N105" s="110">
        <f t="shared" si="53"/>
        <v>0</v>
      </c>
      <c r="O105" s="110">
        <f t="shared" si="53"/>
        <v>0</v>
      </c>
      <c r="P105" s="110">
        <f t="shared" si="53"/>
        <v>0</v>
      </c>
      <c r="Q105" s="110">
        <f t="shared" si="53"/>
        <v>0</v>
      </c>
      <c r="R105" s="130">
        <f t="shared" si="53"/>
        <v>-7.36</v>
      </c>
      <c r="S105" s="130">
        <f t="shared" si="53"/>
        <v>-44.494</v>
      </c>
      <c r="T105" s="130">
        <f t="shared" si="53"/>
        <v>-14.434</v>
      </c>
      <c r="U105" s="128">
        <f t="shared" si="53"/>
        <v>20.722</v>
      </c>
      <c r="V105" s="130">
        <f t="shared" si="53"/>
        <v>-255.61</v>
      </c>
      <c r="W105" s="128">
        <f t="shared" si="53"/>
        <v>904.75</v>
      </c>
      <c r="X105" s="128">
        <f t="shared" si="53"/>
        <v>12.26</v>
      </c>
      <c r="Y105" s="130">
        <f t="shared" si="53"/>
        <v>-304.896</v>
      </c>
      <c r="Z105" s="130">
        <f t="shared" si="53"/>
        <v>-207.496</v>
      </c>
      <c r="AA105" s="130">
        <f t="shared" si="53"/>
        <v>-411.214</v>
      </c>
      <c r="AB105" s="130">
        <f t="shared" si="53"/>
        <v>-353.748</v>
      </c>
      <c r="AC105" s="130">
        <f t="shared" si="53"/>
        <v>-411.214</v>
      </c>
      <c r="AD105" s="130">
        <f t="shared" si="53"/>
        <v>-411.214</v>
      </c>
      <c r="AE105" s="130">
        <f t="shared" si="53"/>
        <v>-304.896</v>
      </c>
      <c r="AF105" s="131">
        <f t="shared" si="53"/>
        <v>-206.522</v>
      </c>
      <c r="AG105" s="195">
        <f>SUM(B105:AF105)</f>
        <v>-1995.366</v>
      </c>
      <c r="AH105" s="16"/>
    </row>
    <row r="106">
      <c r="A106" s="142" t="s">
        <v>272</v>
      </c>
      <c r="B106" s="190" t="str">
        <f t="shared" ref="B106:AG106" si="54">B24/B38</f>
        <v>#DIV/0!</v>
      </c>
      <c r="C106" s="190" t="str">
        <f t="shared" si="54"/>
        <v>#DIV/0!</v>
      </c>
      <c r="D106" s="190" t="str">
        <f t="shared" si="54"/>
        <v>#DIV/0!</v>
      </c>
      <c r="E106" s="190" t="str">
        <f t="shared" si="54"/>
        <v>#DIV/0!</v>
      </c>
      <c r="F106" s="190" t="str">
        <f t="shared" si="54"/>
        <v>#DIV/0!</v>
      </c>
      <c r="G106" s="190" t="str">
        <f t="shared" si="54"/>
        <v>#DIV/0!</v>
      </c>
      <c r="H106" s="190" t="str">
        <f t="shared" si="54"/>
        <v>#DIV/0!</v>
      </c>
      <c r="I106" s="190" t="str">
        <f t="shared" si="54"/>
        <v>#DIV/0!</v>
      </c>
      <c r="J106" s="190" t="str">
        <f t="shared" si="54"/>
        <v>#DIV/0!</v>
      </c>
      <c r="K106" s="190" t="str">
        <f t="shared" si="54"/>
        <v>#DIV/0!</v>
      </c>
      <c r="L106" s="190" t="str">
        <f t="shared" si="54"/>
        <v>#DIV/0!</v>
      </c>
      <c r="M106" s="190" t="str">
        <f t="shared" si="54"/>
        <v>#DIV/0!</v>
      </c>
      <c r="N106" s="190" t="str">
        <f t="shared" si="54"/>
        <v>#DIV/0!</v>
      </c>
      <c r="O106" s="190" t="str">
        <f t="shared" si="54"/>
        <v>#DIV/0!</v>
      </c>
      <c r="P106" s="190" t="str">
        <f t="shared" si="54"/>
        <v>#DIV/0!</v>
      </c>
      <c r="Q106" s="190" t="str">
        <f t="shared" si="54"/>
        <v>#DIV/0!</v>
      </c>
      <c r="R106" s="148">
        <f t="shared" si="54"/>
        <v>0</v>
      </c>
      <c r="S106" s="148">
        <f t="shared" si="54"/>
        <v>1.418067227</v>
      </c>
      <c r="T106" s="148">
        <f t="shared" si="54"/>
        <v>1.831040496</v>
      </c>
      <c r="U106" s="148">
        <f t="shared" si="54"/>
        <v>2.501529468</v>
      </c>
      <c r="V106" s="148">
        <f t="shared" si="54"/>
        <v>0</v>
      </c>
      <c r="W106" s="148">
        <f t="shared" si="54"/>
        <v>4.45</v>
      </c>
      <c r="X106" s="148">
        <f t="shared" si="54"/>
        <v>2.040486484</v>
      </c>
      <c r="Y106" s="148">
        <f t="shared" si="54"/>
        <v>0.792</v>
      </c>
      <c r="Z106" s="148">
        <f t="shared" si="54"/>
        <v>0.992</v>
      </c>
      <c r="AA106" s="148">
        <f t="shared" si="54"/>
        <v>0.378</v>
      </c>
      <c r="AB106" s="148">
        <f t="shared" si="54"/>
        <v>0.496</v>
      </c>
      <c r="AC106" s="148">
        <f t="shared" si="54"/>
        <v>0.378</v>
      </c>
      <c r="AD106" s="148">
        <f t="shared" si="54"/>
        <v>0.378</v>
      </c>
      <c r="AE106" s="148">
        <f t="shared" si="54"/>
        <v>0.792</v>
      </c>
      <c r="AF106" s="151">
        <f t="shared" si="54"/>
        <v>0.994</v>
      </c>
      <c r="AG106" s="152">
        <f t="shared" si="54"/>
        <v>1.166521317</v>
      </c>
      <c r="AH106" s="16"/>
    </row>
    <row r="107">
      <c r="A107" s="142" t="s">
        <v>282</v>
      </c>
      <c r="B107" s="191" t="str">
        <f t="shared" ref="B107:AF107" si="55">B38/B12</f>
        <v>#DIV/0!</v>
      </c>
      <c r="C107" s="191" t="str">
        <f t="shared" si="55"/>
        <v>#DIV/0!</v>
      </c>
      <c r="D107" s="191" t="str">
        <f t="shared" si="55"/>
        <v>#DIV/0!</v>
      </c>
      <c r="E107" s="191" t="str">
        <f t="shared" si="55"/>
        <v>#DIV/0!</v>
      </c>
      <c r="F107" s="191" t="str">
        <f t="shared" si="55"/>
        <v>#DIV/0!</v>
      </c>
      <c r="G107" s="191" t="str">
        <f t="shared" si="55"/>
        <v>#DIV/0!</v>
      </c>
      <c r="H107" s="191" t="str">
        <f t="shared" si="55"/>
        <v>#DIV/0!</v>
      </c>
      <c r="I107" s="191" t="str">
        <f t="shared" si="55"/>
        <v>#DIV/0!</v>
      </c>
      <c r="J107" s="191" t="str">
        <f t="shared" si="55"/>
        <v>#DIV/0!</v>
      </c>
      <c r="K107" s="191" t="str">
        <f t="shared" si="55"/>
        <v>#DIV/0!</v>
      </c>
      <c r="L107" s="191" t="str">
        <f t="shared" si="55"/>
        <v>#DIV/0!</v>
      </c>
      <c r="M107" s="191" t="str">
        <f t="shared" si="55"/>
        <v>#DIV/0!</v>
      </c>
      <c r="N107" s="191" t="str">
        <f t="shared" si="55"/>
        <v>#DIV/0!</v>
      </c>
      <c r="O107" s="191" t="str">
        <f t="shared" si="55"/>
        <v>#DIV/0!</v>
      </c>
      <c r="P107" s="191" t="str">
        <f t="shared" si="55"/>
        <v>#DIV/0!</v>
      </c>
      <c r="Q107" s="191" t="str">
        <f t="shared" si="55"/>
        <v>#DIV/0!</v>
      </c>
      <c r="R107" s="191" t="str">
        <f t="shared" si="55"/>
        <v>#DIV/0!</v>
      </c>
      <c r="S107" s="153">
        <f t="shared" si="55"/>
        <v>133.28</v>
      </c>
      <c r="T107" s="153">
        <f t="shared" si="55"/>
        <v>103.22</v>
      </c>
      <c r="U107" s="153">
        <f t="shared" si="55"/>
        <v>73.555</v>
      </c>
      <c r="V107" s="191" t="str">
        <f t="shared" si="55"/>
        <v>#DIV/0!</v>
      </c>
      <c r="W107" s="153">
        <f t="shared" si="55"/>
        <v>62.5</v>
      </c>
      <c r="X107" s="153">
        <f t="shared" si="55"/>
        <v>98.996</v>
      </c>
      <c r="Y107" s="153">
        <f t="shared" si="55"/>
        <v>250</v>
      </c>
      <c r="Z107" s="153">
        <f t="shared" si="55"/>
        <v>250</v>
      </c>
      <c r="AA107" s="153">
        <f t="shared" si="55"/>
        <v>500</v>
      </c>
      <c r="AB107" s="153">
        <f t="shared" si="55"/>
        <v>500</v>
      </c>
      <c r="AC107" s="153">
        <f t="shared" si="55"/>
        <v>500</v>
      </c>
      <c r="AD107" s="153">
        <f t="shared" si="55"/>
        <v>500</v>
      </c>
      <c r="AE107" s="153">
        <f t="shared" si="55"/>
        <v>250</v>
      </c>
      <c r="AF107" s="155">
        <f t="shared" si="55"/>
        <v>250</v>
      </c>
      <c r="AG107" s="126"/>
      <c r="AH107" s="16"/>
    </row>
    <row r="108">
      <c r="A108" s="142" t="s">
        <v>288</v>
      </c>
      <c r="B108" s="193" t="str">
        <f t="shared" ref="B108:AF108" si="56">B24/(B38+B249+B250+B251+B252+B253)</f>
        <v>#DIV/0!</v>
      </c>
      <c r="C108" s="193" t="str">
        <f t="shared" si="56"/>
        <v>#DIV/0!</v>
      </c>
      <c r="D108" s="193" t="str">
        <f t="shared" si="56"/>
        <v>#DIV/0!</v>
      </c>
      <c r="E108" s="193" t="str">
        <f t="shared" si="56"/>
        <v>#DIV/0!</v>
      </c>
      <c r="F108" s="193" t="str">
        <f t="shared" si="56"/>
        <v>#DIV/0!</v>
      </c>
      <c r="G108" s="193" t="str">
        <f t="shared" si="56"/>
        <v>#DIV/0!</v>
      </c>
      <c r="H108" s="193" t="str">
        <f t="shared" si="56"/>
        <v>#DIV/0!</v>
      </c>
      <c r="I108" s="193" t="str">
        <f t="shared" si="56"/>
        <v>#DIV/0!</v>
      </c>
      <c r="J108" s="193" t="str">
        <f t="shared" si="56"/>
        <v>#DIV/0!</v>
      </c>
      <c r="K108" s="193" t="str">
        <f t="shared" si="56"/>
        <v>#DIV/0!</v>
      </c>
      <c r="L108" s="193" t="str">
        <f t="shared" si="56"/>
        <v>#DIV/0!</v>
      </c>
      <c r="M108" s="193" t="str">
        <f t="shared" si="56"/>
        <v>#DIV/0!</v>
      </c>
      <c r="N108" s="193" t="str">
        <f t="shared" si="56"/>
        <v>#DIV/0!</v>
      </c>
      <c r="O108" s="193" t="str">
        <f t="shared" si="56"/>
        <v>#DIV/0!</v>
      </c>
      <c r="P108" s="193" t="str">
        <f t="shared" si="56"/>
        <v>#DIV/0!</v>
      </c>
      <c r="Q108" s="193" t="str">
        <f t="shared" si="56"/>
        <v>#DIV/0!</v>
      </c>
      <c r="R108" s="156">
        <f t="shared" si="56"/>
        <v>0</v>
      </c>
      <c r="S108" s="156">
        <f t="shared" si="56"/>
        <v>0.8094426409</v>
      </c>
      <c r="T108" s="156">
        <f t="shared" si="56"/>
        <v>0.9290482417</v>
      </c>
      <c r="U108" s="156">
        <f t="shared" si="56"/>
        <v>1.059669775</v>
      </c>
      <c r="V108" s="156">
        <f t="shared" si="56"/>
        <v>0</v>
      </c>
      <c r="W108" s="156">
        <f t="shared" si="56"/>
        <v>1.685286877</v>
      </c>
      <c r="X108" s="156">
        <f t="shared" si="56"/>
        <v>1.01228777</v>
      </c>
      <c r="Y108" s="156">
        <f t="shared" si="56"/>
        <v>0.5649910971</v>
      </c>
      <c r="Z108" s="156">
        <f t="shared" si="56"/>
        <v>0.7050502064</v>
      </c>
      <c r="AA108" s="156">
        <f t="shared" si="56"/>
        <v>0.3148876901</v>
      </c>
      <c r="AB108" s="156">
        <f t="shared" si="56"/>
        <v>0.4121326535</v>
      </c>
      <c r="AC108" s="156">
        <f t="shared" si="56"/>
        <v>0.3148876901</v>
      </c>
      <c r="AD108" s="156">
        <f t="shared" si="56"/>
        <v>0.3148876901</v>
      </c>
      <c r="AE108" s="156">
        <f t="shared" si="56"/>
        <v>0.5649910971</v>
      </c>
      <c r="AF108" s="157">
        <f t="shared" si="56"/>
        <v>0.7064455696</v>
      </c>
      <c r="AG108" s="126"/>
      <c r="AH108" s="16"/>
    </row>
    <row r="109">
      <c r="A109" s="173"/>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72"/>
      <c r="AC109" s="172"/>
      <c r="AD109" s="172"/>
      <c r="AE109" s="172"/>
      <c r="AF109" s="173"/>
      <c r="AG109" s="126"/>
      <c r="AH109" s="16"/>
    </row>
    <row r="110">
      <c r="A110" s="23"/>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7"/>
      <c r="AG110" s="16"/>
      <c r="AH110" s="16"/>
    </row>
    <row r="111">
      <c r="A111" s="23"/>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7"/>
      <c r="AG111" s="16"/>
      <c r="AH111" s="16"/>
    </row>
    <row r="112">
      <c r="A112" s="23"/>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c r="AB112" s="196"/>
      <c r="AC112" s="196"/>
      <c r="AD112" s="196"/>
      <c r="AE112" s="196"/>
      <c r="AF112" s="197"/>
      <c r="AG112" s="16"/>
      <c r="AH112" s="16"/>
    </row>
    <row r="113">
      <c r="A113" s="170" t="s">
        <v>179</v>
      </c>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23"/>
      <c r="AG113" s="16"/>
      <c r="AH113" s="16"/>
    </row>
    <row r="114">
      <c r="A114" s="198" t="s">
        <v>311</v>
      </c>
      <c r="B114" s="110">
        <v>1494.0</v>
      </c>
      <c r="C114" s="110">
        <v>2164.0</v>
      </c>
      <c r="D114" s="110">
        <v>3071.0</v>
      </c>
      <c r="E114" s="110">
        <v>2450.0</v>
      </c>
      <c r="F114" s="110">
        <v>2393.0</v>
      </c>
      <c r="G114" s="110">
        <v>2670.0</v>
      </c>
      <c r="H114" s="110">
        <v>739.0</v>
      </c>
      <c r="I114" s="110">
        <v>830.0</v>
      </c>
      <c r="J114" s="110">
        <v>1079.0</v>
      </c>
      <c r="K114" s="110">
        <v>1260.0</v>
      </c>
      <c r="L114" s="110">
        <v>2681.0</v>
      </c>
      <c r="M114" s="110">
        <v>2436.0</v>
      </c>
      <c r="N114" s="110">
        <v>1653.0</v>
      </c>
      <c r="O114" s="110">
        <v>991.0</v>
      </c>
      <c r="P114" s="110">
        <v>1709.0</v>
      </c>
      <c r="Q114" s="110">
        <v>1807.0</v>
      </c>
      <c r="R114" s="110">
        <v>1262.0</v>
      </c>
      <c r="S114" s="110">
        <v>1053.0</v>
      </c>
      <c r="T114" s="110">
        <v>497.0</v>
      </c>
      <c r="U114" s="110">
        <v>548.0</v>
      </c>
      <c r="V114" s="110">
        <v>899.0</v>
      </c>
      <c r="W114" s="110">
        <v>430.0</v>
      </c>
      <c r="X114" s="110">
        <v>957.0</v>
      </c>
      <c r="Y114" s="110">
        <v>0.0</v>
      </c>
      <c r="Z114" s="110">
        <v>960.0</v>
      </c>
      <c r="AA114" s="110">
        <v>1044.0</v>
      </c>
      <c r="AB114" s="110">
        <v>279.0</v>
      </c>
      <c r="AC114" s="110">
        <v>497.0</v>
      </c>
      <c r="AD114" s="110">
        <v>3470.0</v>
      </c>
      <c r="AE114" s="110">
        <v>2752.0</v>
      </c>
      <c r="AF114" s="111">
        <v>2740.0</v>
      </c>
      <c r="AG114" s="94">
        <f t="shared" ref="AG114:AG116" si="57">SUM(B114:AF114)</f>
        <v>46815</v>
      </c>
      <c r="AH114" s="16"/>
    </row>
    <row r="115">
      <c r="A115" s="198" t="s">
        <v>312</v>
      </c>
      <c r="B115" s="110">
        <v>32570.0</v>
      </c>
      <c r="C115" s="110">
        <v>36572.0</v>
      </c>
      <c r="D115" s="110">
        <v>35247.0</v>
      </c>
      <c r="E115" s="110">
        <v>31947.0</v>
      </c>
      <c r="F115" s="110">
        <v>31505.0</v>
      </c>
      <c r="G115" s="110">
        <v>28047.0</v>
      </c>
      <c r="H115" s="110">
        <v>18320.0</v>
      </c>
      <c r="I115" s="110">
        <v>23546.0</v>
      </c>
      <c r="J115" s="110">
        <v>29945.0</v>
      </c>
      <c r="K115" s="110">
        <v>35012.0</v>
      </c>
      <c r="L115" s="110">
        <v>32320.0</v>
      </c>
      <c r="M115" s="110">
        <v>35489.0</v>
      </c>
      <c r="N115" s="110">
        <v>32089.0</v>
      </c>
      <c r="O115" s="110">
        <v>28874.0</v>
      </c>
      <c r="P115" s="110">
        <v>36346.0</v>
      </c>
      <c r="Q115" s="110">
        <v>58331.0</v>
      </c>
      <c r="R115" s="110">
        <v>53841.0</v>
      </c>
      <c r="S115" s="110">
        <v>64157.0</v>
      </c>
      <c r="T115" s="110">
        <v>69793.0</v>
      </c>
      <c r="U115" s="110">
        <v>61156.0</v>
      </c>
      <c r="V115" s="110">
        <v>53592.0</v>
      </c>
      <c r="W115" s="110">
        <v>68150.0</v>
      </c>
      <c r="X115" s="110">
        <v>67098.0</v>
      </c>
      <c r="Y115" s="110">
        <v>72584.0</v>
      </c>
      <c r="Z115" s="110">
        <v>74028.0</v>
      </c>
      <c r="AA115" s="110">
        <v>84790.0</v>
      </c>
      <c r="AB115" s="110">
        <v>105949.0</v>
      </c>
      <c r="AC115" s="110">
        <v>32844.0</v>
      </c>
      <c r="AD115" s="110">
        <v>25310.0</v>
      </c>
      <c r="AE115" s="110">
        <v>22662.0</v>
      </c>
      <c r="AF115" s="111">
        <v>18654.0</v>
      </c>
      <c r="AG115" s="94">
        <f t="shared" si="57"/>
        <v>1400768</v>
      </c>
      <c r="AH115" s="16"/>
    </row>
    <row r="116">
      <c r="A116" s="198" t="s">
        <v>313</v>
      </c>
      <c r="B116" s="199">
        <f t="shared" ref="B116:AF116" si="58">SUM(B114:B115)</f>
        <v>34064</v>
      </c>
      <c r="C116" s="199">
        <f t="shared" si="58"/>
        <v>38736</v>
      </c>
      <c r="D116" s="199">
        <f t="shared" si="58"/>
        <v>38318</v>
      </c>
      <c r="E116" s="199">
        <f t="shared" si="58"/>
        <v>34397</v>
      </c>
      <c r="F116" s="199">
        <f t="shared" si="58"/>
        <v>33898</v>
      </c>
      <c r="G116" s="199">
        <f t="shared" si="58"/>
        <v>30717</v>
      </c>
      <c r="H116" s="199">
        <f t="shared" si="58"/>
        <v>19059</v>
      </c>
      <c r="I116" s="199">
        <f t="shared" si="58"/>
        <v>24376</v>
      </c>
      <c r="J116" s="199">
        <f t="shared" si="58"/>
        <v>31024</v>
      </c>
      <c r="K116" s="199">
        <f t="shared" si="58"/>
        <v>36272</v>
      </c>
      <c r="L116" s="199">
        <f t="shared" si="58"/>
        <v>35001</v>
      </c>
      <c r="M116" s="199">
        <f t="shared" si="58"/>
        <v>37925</v>
      </c>
      <c r="N116" s="199">
        <f t="shared" si="58"/>
        <v>33742</v>
      </c>
      <c r="O116" s="199">
        <f t="shared" si="58"/>
        <v>29865</v>
      </c>
      <c r="P116" s="199">
        <f t="shared" si="58"/>
        <v>38055</v>
      </c>
      <c r="Q116" s="199">
        <f t="shared" si="58"/>
        <v>60138</v>
      </c>
      <c r="R116" s="199">
        <f t="shared" si="58"/>
        <v>55103</v>
      </c>
      <c r="S116" s="199">
        <f t="shared" si="58"/>
        <v>65210</v>
      </c>
      <c r="T116" s="199">
        <f t="shared" si="58"/>
        <v>70290</v>
      </c>
      <c r="U116" s="199">
        <f t="shared" si="58"/>
        <v>61704</v>
      </c>
      <c r="V116" s="199">
        <f t="shared" si="58"/>
        <v>54491</v>
      </c>
      <c r="W116" s="199">
        <f t="shared" si="58"/>
        <v>68580</v>
      </c>
      <c r="X116" s="199">
        <f t="shared" si="58"/>
        <v>68055</v>
      </c>
      <c r="Y116" s="199">
        <f t="shared" si="58"/>
        <v>72584</v>
      </c>
      <c r="Z116" s="199">
        <f t="shared" si="58"/>
        <v>74988</v>
      </c>
      <c r="AA116" s="199">
        <f t="shared" si="58"/>
        <v>85834</v>
      </c>
      <c r="AB116" s="199">
        <f t="shared" si="58"/>
        <v>106228</v>
      </c>
      <c r="AC116" s="199">
        <f t="shared" si="58"/>
        <v>33341</v>
      </c>
      <c r="AD116" s="199">
        <f t="shared" si="58"/>
        <v>28780</v>
      </c>
      <c r="AE116" s="199">
        <f t="shared" si="58"/>
        <v>25414</v>
      </c>
      <c r="AF116" s="200">
        <f t="shared" si="58"/>
        <v>21394</v>
      </c>
      <c r="AG116" s="201">
        <f t="shared" si="57"/>
        <v>1447583</v>
      </c>
      <c r="AH116" s="16"/>
    </row>
    <row r="117">
      <c r="A117" s="23"/>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23"/>
      <c r="AG117" s="16"/>
      <c r="AH117" s="16"/>
    </row>
    <row r="118">
      <c r="A118" s="170" t="s">
        <v>314</v>
      </c>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23"/>
      <c r="AG118" s="16"/>
      <c r="AH118" s="16"/>
    </row>
    <row r="119">
      <c r="A119" s="202" t="s">
        <v>315</v>
      </c>
      <c r="B119" s="203">
        <v>6.0</v>
      </c>
      <c r="C119" s="203">
        <v>8.0</v>
      </c>
      <c r="D119" s="203">
        <v>13.0</v>
      </c>
      <c r="E119" s="203">
        <v>9.0</v>
      </c>
      <c r="F119" s="203">
        <v>11.0</v>
      </c>
      <c r="G119" s="203">
        <v>10.0</v>
      </c>
      <c r="H119" s="203">
        <v>3.0</v>
      </c>
      <c r="I119" s="203">
        <v>4.0</v>
      </c>
      <c r="J119" s="203">
        <v>5.0</v>
      </c>
      <c r="K119" s="203">
        <v>5.0</v>
      </c>
      <c r="L119" s="203">
        <v>9.0</v>
      </c>
      <c r="M119" s="203">
        <v>8.0</v>
      </c>
      <c r="N119" s="203">
        <v>6.0</v>
      </c>
      <c r="O119" s="203">
        <v>4.0</v>
      </c>
      <c r="P119" s="203">
        <v>5.0</v>
      </c>
      <c r="Q119" s="203">
        <v>7.0</v>
      </c>
      <c r="R119" s="203">
        <v>4.0</v>
      </c>
      <c r="S119" s="203">
        <v>3.0</v>
      </c>
      <c r="T119" s="203">
        <v>2.0</v>
      </c>
      <c r="U119" s="203">
        <v>2.0</v>
      </c>
      <c r="V119" s="203">
        <v>3.0</v>
      </c>
      <c r="W119" s="203">
        <v>2.0</v>
      </c>
      <c r="X119" s="203">
        <v>4.0</v>
      </c>
      <c r="Y119" s="203">
        <v>0.0</v>
      </c>
      <c r="Z119" s="203">
        <v>4.0</v>
      </c>
      <c r="AA119" s="203">
        <v>5.0</v>
      </c>
      <c r="AB119" s="203">
        <v>1.0</v>
      </c>
      <c r="AC119" s="203">
        <v>2.0</v>
      </c>
      <c r="AD119" s="203">
        <v>13.0</v>
      </c>
      <c r="AE119" s="203">
        <v>13.0</v>
      </c>
      <c r="AF119" s="204">
        <v>13.0</v>
      </c>
      <c r="AG119" s="205">
        <f t="shared" ref="AG119:AG121" si="59">SUM(B119:AF119)</f>
        <v>184</v>
      </c>
      <c r="AH119" s="16"/>
    </row>
    <row r="120">
      <c r="A120" s="202" t="s">
        <v>316</v>
      </c>
      <c r="B120" s="203">
        <v>118.0</v>
      </c>
      <c r="C120" s="203">
        <v>140.0</v>
      </c>
      <c r="D120" s="203">
        <v>126.0</v>
      </c>
      <c r="E120" s="203">
        <v>121.0</v>
      </c>
      <c r="F120" s="203">
        <v>113.0</v>
      </c>
      <c r="G120" s="203">
        <v>104.0</v>
      </c>
      <c r="H120" s="203">
        <v>64.0</v>
      </c>
      <c r="I120" s="203">
        <v>85.0</v>
      </c>
      <c r="J120" s="203">
        <v>111.0</v>
      </c>
      <c r="K120" s="203">
        <v>125.0</v>
      </c>
      <c r="L120" s="203">
        <v>116.0</v>
      </c>
      <c r="M120" s="203">
        <v>124.0</v>
      </c>
      <c r="N120" s="203">
        <v>123.0</v>
      </c>
      <c r="O120" s="203">
        <v>111.0</v>
      </c>
      <c r="P120" s="203">
        <v>135.0</v>
      </c>
      <c r="Q120" s="203">
        <v>207.0</v>
      </c>
      <c r="R120" s="203">
        <v>187.0</v>
      </c>
      <c r="S120" s="203">
        <v>233.0</v>
      </c>
      <c r="T120" s="203">
        <v>249.0</v>
      </c>
      <c r="U120" s="203">
        <v>222.0</v>
      </c>
      <c r="V120" s="203">
        <v>193.0</v>
      </c>
      <c r="W120" s="203">
        <v>238.0</v>
      </c>
      <c r="X120" s="203">
        <v>246.0</v>
      </c>
      <c r="Y120" s="203">
        <v>268.0</v>
      </c>
      <c r="Z120" s="203">
        <v>272.0</v>
      </c>
      <c r="AA120" s="203">
        <v>304.0</v>
      </c>
      <c r="AB120" s="203">
        <v>386.0</v>
      </c>
      <c r="AC120" s="203">
        <v>121.0</v>
      </c>
      <c r="AD120" s="203">
        <v>90.0</v>
      </c>
      <c r="AE120" s="203">
        <v>89.0</v>
      </c>
      <c r="AF120" s="204">
        <v>63.0</v>
      </c>
      <c r="AG120" s="205">
        <f t="shared" si="59"/>
        <v>5084</v>
      </c>
      <c r="AH120" s="16"/>
    </row>
    <row r="121">
      <c r="A121" s="202" t="s">
        <v>317</v>
      </c>
      <c r="B121" s="206">
        <f t="shared" ref="B121:AF121" si="60">SUM(B119:B120)</f>
        <v>124</v>
      </c>
      <c r="C121" s="206">
        <f t="shared" si="60"/>
        <v>148</v>
      </c>
      <c r="D121" s="206">
        <f t="shared" si="60"/>
        <v>139</v>
      </c>
      <c r="E121" s="206">
        <f t="shared" si="60"/>
        <v>130</v>
      </c>
      <c r="F121" s="206">
        <f t="shared" si="60"/>
        <v>124</v>
      </c>
      <c r="G121" s="206">
        <f t="shared" si="60"/>
        <v>114</v>
      </c>
      <c r="H121" s="206">
        <f t="shared" si="60"/>
        <v>67</v>
      </c>
      <c r="I121" s="206">
        <f t="shared" si="60"/>
        <v>89</v>
      </c>
      <c r="J121" s="206">
        <f t="shared" si="60"/>
        <v>116</v>
      </c>
      <c r="K121" s="206">
        <f t="shared" si="60"/>
        <v>130</v>
      </c>
      <c r="L121" s="206">
        <f t="shared" si="60"/>
        <v>125</v>
      </c>
      <c r="M121" s="206">
        <f t="shared" si="60"/>
        <v>132</v>
      </c>
      <c r="N121" s="206">
        <f t="shared" si="60"/>
        <v>129</v>
      </c>
      <c r="O121" s="206">
        <f t="shared" si="60"/>
        <v>115</v>
      </c>
      <c r="P121" s="206">
        <f t="shared" si="60"/>
        <v>140</v>
      </c>
      <c r="Q121" s="206">
        <f t="shared" si="60"/>
        <v>214</v>
      </c>
      <c r="R121" s="206">
        <f t="shared" si="60"/>
        <v>191</v>
      </c>
      <c r="S121" s="206">
        <f t="shared" si="60"/>
        <v>236</v>
      </c>
      <c r="T121" s="206">
        <f t="shared" si="60"/>
        <v>251</v>
      </c>
      <c r="U121" s="206">
        <f t="shared" si="60"/>
        <v>224</v>
      </c>
      <c r="V121" s="206">
        <f t="shared" si="60"/>
        <v>196</v>
      </c>
      <c r="W121" s="206">
        <f t="shared" si="60"/>
        <v>240</v>
      </c>
      <c r="X121" s="206">
        <f t="shared" si="60"/>
        <v>250</v>
      </c>
      <c r="Y121" s="206">
        <f t="shared" si="60"/>
        <v>268</v>
      </c>
      <c r="Z121" s="206">
        <f t="shared" si="60"/>
        <v>276</v>
      </c>
      <c r="AA121" s="206">
        <f t="shared" si="60"/>
        <v>309</v>
      </c>
      <c r="AB121" s="206">
        <f t="shared" si="60"/>
        <v>387</v>
      </c>
      <c r="AC121" s="206">
        <f t="shared" si="60"/>
        <v>123</v>
      </c>
      <c r="AD121" s="206">
        <f t="shared" si="60"/>
        <v>103</v>
      </c>
      <c r="AE121" s="206">
        <f t="shared" si="60"/>
        <v>102</v>
      </c>
      <c r="AF121" s="207">
        <f t="shared" si="60"/>
        <v>76</v>
      </c>
      <c r="AG121" s="208">
        <f t="shared" si="59"/>
        <v>5268</v>
      </c>
      <c r="AH121" s="16"/>
    </row>
    <row r="122">
      <c r="A122" s="23"/>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23"/>
      <c r="AG122" s="16"/>
      <c r="AH122" s="16"/>
    </row>
    <row r="123">
      <c r="A123" s="170" t="s">
        <v>318</v>
      </c>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23"/>
      <c r="AG123" s="16"/>
      <c r="AH123" s="16"/>
    </row>
    <row r="124">
      <c r="A124" s="209" t="s">
        <v>319</v>
      </c>
      <c r="B124" s="110">
        <v>1704.0</v>
      </c>
      <c r="C124" s="110">
        <v>2356.0</v>
      </c>
      <c r="D124" s="110">
        <v>2998.0</v>
      </c>
      <c r="E124" s="110">
        <v>2538.0</v>
      </c>
      <c r="F124" s="110">
        <v>2374.0</v>
      </c>
      <c r="G124" s="110">
        <v>2193.0</v>
      </c>
      <c r="H124" s="210">
        <v>547.0</v>
      </c>
      <c r="I124" s="210">
        <v>614.0</v>
      </c>
      <c r="J124" s="210">
        <v>1079.0</v>
      </c>
      <c r="K124" s="210">
        <v>987.0</v>
      </c>
      <c r="L124" s="210">
        <v>1982.0</v>
      </c>
      <c r="M124" s="210">
        <v>2171.0</v>
      </c>
      <c r="N124" s="210">
        <v>1164.0</v>
      </c>
      <c r="O124" s="210">
        <v>484.0</v>
      </c>
      <c r="P124" s="210">
        <v>4834.0</v>
      </c>
      <c r="Q124" s="210">
        <v>1833.0</v>
      </c>
      <c r="R124" s="210">
        <v>964.0</v>
      </c>
      <c r="S124" s="210">
        <v>788.0</v>
      </c>
      <c r="T124" s="210">
        <v>202.0</v>
      </c>
      <c r="U124" s="210">
        <v>265.0</v>
      </c>
      <c r="V124" s="210">
        <v>778.0</v>
      </c>
      <c r="W124" s="210">
        <v>430.0</v>
      </c>
      <c r="X124" s="210">
        <v>202.0</v>
      </c>
      <c r="Y124" s="210">
        <v>0.0</v>
      </c>
      <c r="Z124" s="210">
        <v>960.0</v>
      </c>
      <c r="AA124" s="210">
        <v>430.0</v>
      </c>
      <c r="AB124" s="210">
        <v>574.0</v>
      </c>
      <c r="AC124" s="210">
        <v>945.0</v>
      </c>
      <c r="AD124" s="210">
        <v>3839.0</v>
      </c>
      <c r="AE124" s="210">
        <v>2574.0</v>
      </c>
      <c r="AF124" s="211">
        <v>2475.0</v>
      </c>
      <c r="AG124" s="94">
        <f t="shared" ref="AG124:AG126" si="61">SUM(B124:AF124)</f>
        <v>45284</v>
      </c>
      <c r="AH124" s="16"/>
    </row>
    <row r="125">
      <c r="A125" s="209" t="s">
        <v>320</v>
      </c>
      <c r="B125" s="110">
        <v>115.0</v>
      </c>
      <c r="C125" s="110">
        <v>154.0</v>
      </c>
      <c r="D125" s="110">
        <v>215.0</v>
      </c>
      <c r="E125" s="110">
        <v>155.0</v>
      </c>
      <c r="F125" s="110">
        <v>167.0</v>
      </c>
      <c r="G125" s="210">
        <v>131.0</v>
      </c>
      <c r="H125" s="210">
        <v>30.0</v>
      </c>
      <c r="I125" s="210">
        <v>57.0</v>
      </c>
      <c r="J125" s="210">
        <v>85.0</v>
      </c>
      <c r="K125" s="210">
        <v>60.0</v>
      </c>
      <c r="L125" s="210">
        <v>111.0</v>
      </c>
      <c r="M125" s="210">
        <v>99.0</v>
      </c>
      <c r="N125" s="210">
        <v>56.0</v>
      </c>
      <c r="O125" s="210">
        <v>44.0</v>
      </c>
      <c r="P125" s="210">
        <v>206.0</v>
      </c>
      <c r="Q125" s="210">
        <v>107.0</v>
      </c>
      <c r="R125" s="210">
        <v>43.0</v>
      </c>
      <c r="S125" s="210">
        <v>37.0</v>
      </c>
      <c r="T125" s="210">
        <v>13.0</v>
      </c>
      <c r="U125" s="210">
        <v>17.0</v>
      </c>
      <c r="V125" s="210">
        <v>33.0</v>
      </c>
      <c r="W125" s="210">
        <v>34.0</v>
      </c>
      <c r="X125" s="210">
        <v>13.0</v>
      </c>
      <c r="Y125" s="210">
        <v>0.0</v>
      </c>
      <c r="Z125" s="210">
        <v>56.0</v>
      </c>
      <c r="AA125" s="210">
        <v>40.0</v>
      </c>
      <c r="AB125" s="210">
        <v>30.0</v>
      </c>
      <c r="AC125" s="210">
        <v>64.0</v>
      </c>
      <c r="AD125" s="210">
        <v>257.0</v>
      </c>
      <c r="AE125" s="210">
        <v>214.0</v>
      </c>
      <c r="AF125" s="211">
        <v>204.0</v>
      </c>
      <c r="AG125" s="94">
        <f t="shared" si="61"/>
        <v>2847</v>
      </c>
      <c r="AH125" s="16"/>
    </row>
    <row r="126">
      <c r="A126" s="212" t="s">
        <v>321</v>
      </c>
      <c r="B126" s="213">
        <f t="shared" ref="B126:AF126" si="62">SUM(B124:B125)</f>
        <v>1819</v>
      </c>
      <c r="C126" s="213">
        <f t="shared" si="62"/>
        <v>2510</v>
      </c>
      <c r="D126" s="213">
        <f t="shared" si="62"/>
        <v>3213</v>
      </c>
      <c r="E126" s="213">
        <f t="shared" si="62"/>
        <v>2693</v>
      </c>
      <c r="F126" s="213">
        <f t="shared" si="62"/>
        <v>2541</v>
      </c>
      <c r="G126" s="213">
        <f t="shared" si="62"/>
        <v>2324</v>
      </c>
      <c r="H126" s="213">
        <f t="shared" si="62"/>
        <v>577</v>
      </c>
      <c r="I126" s="213">
        <f t="shared" si="62"/>
        <v>671</v>
      </c>
      <c r="J126" s="213">
        <f t="shared" si="62"/>
        <v>1164</v>
      </c>
      <c r="K126" s="213">
        <f t="shared" si="62"/>
        <v>1047</v>
      </c>
      <c r="L126" s="213">
        <f t="shared" si="62"/>
        <v>2093</v>
      </c>
      <c r="M126" s="213">
        <f t="shared" si="62"/>
        <v>2270</v>
      </c>
      <c r="N126" s="213">
        <f t="shared" si="62"/>
        <v>1220</v>
      </c>
      <c r="O126" s="213">
        <f t="shared" si="62"/>
        <v>528</v>
      </c>
      <c r="P126" s="213">
        <f t="shared" si="62"/>
        <v>5040</v>
      </c>
      <c r="Q126" s="213">
        <f t="shared" si="62"/>
        <v>1940</v>
      </c>
      <c r="R126" s="213">
        <f t="shared" si="62"/>
        <v>1007</v>
      </c>
      <c r="S126" s="213">
        <f t="shared" si="62"/>
        <v>825</v>
      </c>
      <c r="T126" s="213">
        <f t="shared" si="62"/>
        <v>215</v>
      </c>
      <c r="U126" s="213">
        <f t="shared" si="62"/>
        <v>282</v>
      </c>
      <c r="V126" s="213">
        <f t="shared" si="62"/>
        <v>811</v>
      </c>
      <c r="W126" s="213">
        <f t="shared" si="62"/>
        <v>464</v>
      </c>
      <c r="X126" s="213">
        <f t="shared" si="62"/>
        <v>215</v>
      </c>
      <c r="Y126" s="213">
        <f t="shared" si="62"/>
        <v>0</v>
      </c>
      <c r="Z126" s="213">
        <f t="shared" si="62"/>
        <v>1016</v>
      </c>
      <c r="AA126" s="213">
        <f t="shared" si="62"/>
        <v>470</v>
      </c>
      <c r="AB126" s="213">
        <f t="shared" si="62"/>
        <v>604</v>
      </c>
      <c r="AC126" s="213">
        <f t="shared" si="62"/>
        <v>1009</v>
      </c>
      <c r="AD126" s="213">
        <f t="shared" si="62"/>
        <v>4096</v>
      </c>
      <c r="AE126" s="213">
        <f t="shared" si="62"/>
        <v>2788</v>
      </c>
      <c r="AF126" s="214">
        <f t="shared" si="62"/>
        <v>2679</v>
      </c>
      <c r="AG126" s="215">
        <f t="shared" si="61"/>
        <v>48131</v>
      </c>
      <c r="AH126" s="16"/>
    </row>
    <row r="127">
      <c r="A127" s="23"/>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23"/>
      <c r="AG127" s="16"/>
      <c r="AH127" s="16"/>
    </row>
    <row r="128">
      <c r="A128" s="23" t="s">
        <v>322</v>
      </c>
      <c r="B128" s="216">
        <f t="shared" ref="B128:AG128" si="63">B126-B114</f>
        <v>325</v>
      </c>
      <c r="C128" s="216">
        <f t="shared" si="63"/>
        <v>346</v>
      </c>
      <c r="D128" s="216">
        <f t="shared" si="63"/>
        <v>142</v>
      </c>
      <c r="E128" s="216">
        <f t="shared" si="63"/>
        <v>243</v>
      </c>
      <c r="F128" s="216">
        <f t="shared" si="63"/>
        <v>148</v>
      </c>
      <c r="G128" s="217">
        <f t="shared" si="63"/>
        <v>-346</v>
      </c>
      <c r="H128" s="217">
        <f t="shared" si="63"/>
        <v>-162</v>
      </c>
      <c r="I128" s="217">
        <f t="shared" si="63"/>
        <v>-159</v>
      </c>
      <c r="J128" s="216">
        <f t="shared" si="63"/>
        <v>85</v>
      </c>
      <c r="K128" s="217">
        <f t="shared" si="63"/>
        <v>-213</v>
      </c>
      <c r="L128" s="217">
        <f t="shared" si="63"/>
        <v>-588</v>
      </c>
      <c r="M128" s="217">
        <f t="shared" si="63"/>
        <v>-166</v>
      </c>
      <c r="N128" s="217">
        <f t="shared" si="63"/>
        <v>-433</v>
      </c>
      <c r="O128" s="217">
        <f t="shared" si="63"/>
        <v>-463</v>
      </c>
      <c r="P128" s="216">
        <f t="shared" si="63"/>
        <v>3331</v>
      </c>
      <c r="Q128" s="216">
        <f t="shared" si="63"/>
        <v>133</v>
      </c>
      <c r="R128" s="217">
        <f t="shared" si="63"/>
        <v>-255</v>
      </c>
      <c r="S128" s="217">
        <f t="shared" si="63"/>
        <v>-228</v>
      </c>
      <c r="T128" s="217">
        <f t="shared" si="63"/>
        <v>-282</v>
      </c>
      <c r="U128" s="217">
        <f t="shared" si="63"/>
        <v>-266</v>
      </c>
      <c r="V128" s="217">
        <f t="shared" si="63"/>
        <v>-88</v>
      </c>
      <c r="W128" s="216">
        <f t="shared" si="63"/>
        <v>34</v>
      </c>
      <c r="X128" s="217">
        <f t="shared" si="63"/>
        <v>-742</v>
      </c>
      <c r="Y128" s="217">
        <f t="shared" si="63"/>
        <v>0</v>
      </c>
      <c r="Z128" s="216">
        <f t="shared" si="63"/>
        <v>56</v>
      </c>
      <c r="AA128" s="217">
        <f t="shared" si="63"/>
        <v>-574</v>
      </c>
      <c r="AB128" s="216">
        <f t="shared" si="63"/>
        <v>325</v>
      </c>
      <c r="AC128" s="216">
        <f t="shared" si="63"/>
        <v>512</v>
      </c>
      <c r="AD128" s="216">
        <f t="shared" si="63"/>
        <v>626</v>
      </c>
      <c r="AE128" s="216">
        <f t="shared" si="63"/>
        <v>36</v>
      </c>
      <c r="AF128" s="218">
        <f t="shared" si="63"/>
        <v>-61</v>
      </c>
      <c r="AG128" s="216">
        <f t="shared" si="63"/>
        <v>1316</v>
      </c>
      <c r="AH128" s="16"/>
    </row>
    <row r="129">
      <c r="A129" s="23"/>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23"/>
      <c r="AG129" s="16"/>
      <c r="AH129" s="16"/>
    </row>
    <row r="130">
      <c r="A130" s="212" t="s">
        <v>323</v>
      </c>
      <c r="B130" s="219">
        <v>7.0</v>
      </c>
      <c r="C130" s="219">
        <v>9.0</v>
      </c>
      <c r="D130" s="219">
        <v>13.0</v>
      </c>
      <c r="E130" s="219">
        <v>9.0</v>
      </c>
      <c r="F130" s="219">
        <v>11.0</v>
      </c>
      <c r="G130" s="219">
        <v>8.0</v>
      </c>
      <c r="H130" s="219">
        <v>2.0</v>
      </c>
      <c r="I130" s="219">
        <v>3.0</v>
      </c>
      <c r="J130" s="219">
        <v>5.0</v>
      </c>
      <c r="K130" s="219">
        <v>4.0</v>
      </c>
      <c r="L130" s="219">
        <v>6.0</v>
      </c>
      <c r="M130" s="219">
        <v>7.0</v>
      </c>
      <c r="N130" s="219">
        <v>4.0</v>
      </c>
      <c r="O130" s="219">
        <v>2.0</v>
      </c>
      <c r="P130" s="219">
        <v>9.0</v>
      </c>
      <c r="Q130" s="219">
        <v>7.0</v>
      </c>
      <c r="R130" s="219">
        <v>3.0</v>
      </c>
      <c r="S130" s="219">
        <v>2.0</v>
      </c>
      <c r="T130" s="219">
        <v>1.0</v>
      </c>
      <c r="U130" s="219">
        <v>1.0</v>
      </c>
      <c r="V130" s="219">
        <v>2.0</v>
      </c>
      <c r="W130" s="219">
        <v>2.0</v>
      </c>
      <c r="X130" s="219">
        <v>1.0</v>
      </c>
      <c r="Y130" s="219">
        <v>0.0</v>
      </c>
      <c r="Z130" s="219">
        <v>4.0</v>
      </c>
      <c r="AA130" s="219">
        <v>2.0</v>
      </c>
      <c r="AB130" s="219">
        <v>2.0</v>
      </c>
      <c r="AC130" s="219">
        <v>4.0</v>
      </c>
      <c r="AD130" s="219">
        <v>14.0</v>
      </c>
      <c r="AE130" s="219">
        <v>12.0</v>
      </c>
      <c r="AF130" s="220">
        <v>12.0</v>
      </c>
      <c r="AG130" s="221">
        <f>SUM(B130:AF130)</f>
        <v>168</v>
      </c>
      <c r="AH130" s="16"/>
    </row>
    <row r="131">
      <c r="A131" s="23"/>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23"/>
      <c r="AG131" s="16"/>
      <c r="AH131" s="16"/>
    </row>
    <row r="132">
      <c r="A132" s="170" t="s">
        <v>324</v>
      </c>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23"/>
      <c r="AG132" s="16"/>
      <c r="AH132" s="16"/>
    </row>
    <row r="133">
      <c r="A133" s="209" t="s">
        <v>325</v>
      </c>
      <c r="B133" s="222">
        <v>30468.0</v>
      </c>
      <c r="C133" s="222">
        <v>34193.0</v>
      </c>
      <c r="D133" s="222">
        <v>32948.0</v>
      </c>
      <c r="E133" s="222">
        <v>29804.0</v>
      </c>
      <c r="F133" s="222">
        <v>29488.0</v>
      </c>
      <c r="G133" s="222">
        <v>26237.0</v>
      </c>
      <c r="H133" s="222">
        <v>17153.0</v>
      </c>
      <c r="I133" s="222">
        <v>22051.0</v>
      </c>
      <c r="J133" s="222">
        <v>28047.0</v>
      </c>
      <c r="K133" s="222">
        <v>32793.0</v>
      </c>
      <c r="L133" s="222">
        <v>30239.0</v>
      </c>
      <c r="M133" s="222">
        <v>33323.0</v>
      </c>
      <c r="N133" s="222">
        <v>29914.0</v>
      </c>
      <c r="O133" s="222">
        <v>26962.0</v>
      </c>
      <c r="P133" s="222">
        <v>34012.0</v>
      </c>
      <c r="Q133" s="222">
        <v>54622.0</v>
      </c>
      <c r="R133" s="222">
        <v>50503.0</v>
      </c>
      <c r="S133" s="222">
        <v>60086.0</v>
      </c>
      <c r="T133" s="222">
        <v>65512.0</v>
      </c>
      <c r="U133" s="222">
        <v>57383.0</v>
      </c>
      <c r="V133" s="222">
        <v>50277.0</v>
      </c>
      <c r="W133" s="222">
        <v>64060.0</v>
      </c>
      <c r="X133" s="222">
        <v>62769.0</v>
      </c>
      <c r="Y133" s="222">
        <v>67937.0</v>
      </c>
      <c r="Z133" s="222">
        <v>69207.0</v>
      </c>
      <c r="AA133" s="222">
        <v>79506.0</v>
      </c>
      <c r="AB133" s="222">
        <v>99122.0</v>
      </c>
      <c r="AC133" s="222">
        <v>30746.0</v>
      </c>
      <c r="AD133" s="222">
        <v>23722.0</v>
      </c>
      <c r="AE133" s="222">
        <v>21178.0</v>
      </c>
      <c r="AF133" s="223">
        <v>17559.0</v>
      </c>
      <c r="AG133" s="224">
        <f t="shared" ref="AG133:AG135" si="64">SUM(B133:AF133)</f>
        <v>1311821</v>
      </c>
      <c r="AH133" s="16"/>
    </row>
    <row r="134">
      <c r="A134" s="209" t="s">
        <v>326</v>
      </c>
      <c r="B134" s="222">
        <v>2057.0</v>
      </c>
      <c r="C134" s="222">
        <v>2345.0</v>
      </c>
      <c r="D134" s="222">
        <v>2299.0</v>
      </c>
      <c r="E134" s="222">
        <v>2143.0</v>
      </c>
      <c r="F134" s="222">
        <v>1957.0</v>
      </c>
      <c r="G134" s="222">
        <v>1810.0</v>
      </c>
      <c r="H134" s="222">
        <v>1167.0</v>
      </c>
      <c r="I134" s="222">
        <v>1482.0</v>
      </c>
      <c r="J134" s="222">
        <v>1881.0</v>
      </c>
      <c r="K134" s="222">
        <v>2219.0</v>
      </c>
      <c r="L134" s="222">
        <v>2081.0</v>
      </c>
      <c r="M134" s="222">
        <v>2149.0</v>
      </c>
      <c r="N134" s="222">
        <v>2175.0</v>
      </c>
      <c r="O134" s="222">
        <v>1882.0</v>
      </c>
      <c r="P134" s="222">
        <v>2300.0</v>
      </c>
      <c r="Q134" s="222">
        <v>3641.0</v>
      </c>
      <c r="R134" s="222">
        <v>3338.0</v>
      </c>
      <c r="S134" s="222">
        <v>4071.0</v>
      </c>
      <c r="T134" s="222">
        <v>4247.0</v>
      </c>
      <c r="U134" s="222">
        <v>3722.0</v>
      </c>
      <c r="V134" s="222">
        <v>3285.0</v>
      </c>
      <c r="W134" s="222">
        <v>4053.0</v>
      </c>
      <c r="X134" s="222">
        <v>4329.0</v>
      </c>
      <c r="Y134" s="222">
        <v>4647.0</v>
      </c>
      <c r="Z134" s="222">
        <v>4821.0</v>
      </c>
      <c r="AA134" s="222">
        <v>5162.0</v>
      </c>
      <c r="AB134" s="222">
        <v>6743.0</v>
      </c>
      <c r="AC134" s="222">
        <v>2061.0</v>
      </c>
      <c r="AD134" s="222">
        <v>1571.0</v>
      </c>
      <c r="AE134" s="222">
        <v>1467.0</v>
      </c>
      <c r="AF134" s="223">
        <v>1095.0</v>
      </c>
      <c r="AG134" s="224">
        <f t="shared" si="64"/>
        <v>88200</v>
      </c>
      <c r="AH134" s="16"/>
    </row>
    <row r="135">
      <c r="A135" s="212" t="s">
        <v>327</v>
      </c>
      <c r="B135" s="225">
        <f t="shared" ref="B135:AF135" si="65">SUM(B133:B134)</f>
        <v>32525</v>
      </c>
      <c r="C135" s="225">
        <f t="shared" si="65"/>
        <v>36538</v>
      </c>
      <c r="D135" s="225">
        <f t="shared" si="65"/>
        <v>35247</v>
      </c>
      <c r="E135" s="225">
        <f t="shared" si="65"/>
        <v>31947</v>
      </c>
      <c r="F135" s="225">
        <f t="shared" si="65"/>
        <v>31445</v>
      </c>
      <c r="G135" s="225">
        <f t="shared" si="65"/>
        <v>28047</v>
      </c>
      <c r="H135" s="225">
        <f t="shared" si="65"/>
        <v>18320</v>
      </c>
      <c r="I135" s="225">
        <f t="shared" si="65"/>
        <v>23533</v>
      </c>
      <c r="J135" s="225">
        <f t="shared" si="65"/>
        <v>29928</v>
      </c>
      <c r="K135" s="225">
        <f t="shared" si="65"/>
        <v>35012</v>
      </c>
      <c r="L135" s="225">
        <f t="shared" si="65"/>
        <v>32320</v>
      </c>
      <c r="M135" s="225">
        <f t="shared" si="65"/>
        <v>35472</v>
      </c>
      <c r="N135" s="225">
        <f t="shared" si="65"/>
        <v>32089</v>
      </c>
      <c r="O135" s="225">
        <f t="shared" si="65"/>
        <v>28844</v>
      </c>
      <c r="P135" s="225">
        <f t="shared" si="65"/>
        <v>36312</v>
      </c>
      <c r="Q135" s="225">
        <f t="shared" si="65"/>
        <v>58263</v>
      </c>
      <c r="R135" s="225">
        <f t="shared" si="65"/>
        <v>53841</v>
      </c>
      <c r="S135" s="225">
        <f t="shared" si="65"/>
        <v>64157</v>
      </c>
      <c r="T135" s="225">
        <f t="shared" si="65"/>
        <v>69759</v>
      </c>
      <c r="U135" s="225">
        <f t="shared" si="65"/>
        <v>61105</v>
      </c>
      <c r="V135" s="225">
        <f t="shared" si="65"/>
        <v>53562</v>
      </c>
      <c r="W135" s="225">
        <f t="shared" si="65"/>
        <v>68113</v>
      </c>
      <c r="X135" s="225">
        <f t="shared" si="65"/>
        <v>67098</v>
      </c>
      <c r="Y135" s="225">
        <f t="shared" si="65"/>
        <v>72584</v>
      </c>
      <c r="Z135" s="225">
        <f t="shared" si="65"/>
        <v>74028</v>
      </c>
      <c r="AA135" s="225">
        <f t="shared" si="65"/>
        <v>84668</v>
      </c>
      <c r="AB135" s="225">
        <f t="shared" si="65"/>
        <v>105865</v>
      </c>
      <c r="AC135" s="225">
        <f t="shared" si="65"/>
        <v>32807</v>
      </c>
      <c r="AD135" s="225">
        <f t="shared" si="65"/>
        <v>25293</v>
      </c>
      <c r="AE135" s="225">
        <f t="shared" si="65"/>
        <v>22645</v>
      </c>
      <c r="AF135" s="226">
        <f t="shared" si="65"/>
        <v>18654</v>
      </c>
      <c r="AG135" s="227">
        <f t="shared" si="64"/>
        <v>1400021</v>
      </c>
      <c r="AH135" s="16"/>
    </row>
    <row r="136">
      <c r="A136" s="23"/>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23"/>
      <c r="AG136" s="16"/>
      <c r="AH136" s="16"/>
    </row>
    <row r="137">
      <c r="A137" s="170" t="s">
        <v>328</v>
      </c>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23"/>
      <c r="AG137" s="16"/>
      <c r="AH137" s="16"/>
    </row>
    <row r="138">
      <c r="A138" s="212" t="s">
        <v>313</v>
      </c>
      <c r="B138" s="213">
        <f t="shared" ref="B138:AF138" si="66">B126+B135</f>
        <v>34344</v>
      </c>
      <c r="C138" s="213">
        <f t="shared" si="66"/>
        <v>39048</v>
      </c>
      <c r="D138" s="213">
        <f t="shared" si="66"/>
        <v>38460</v>
      </c>
      <c r="E138" s="213">
        <f t="shared" si="66"/>
        <v>34640</v>
      </c>
      <c r="F138" s="213">
        <f t="shared" si="66"/>
        <v>33986</v>
      </c>
      <c r="G138" s="213">
        <f t="shared" si="66"/>
        <v>30371</v>
      </c>
      <c r="H138" s="213">
        <f t="shared" si="66"/>
        <v>18897</v>
      </c>
      <c r="I138" s="213">
        <f t="shared" si="66"/>
        <v>24204</v>
      </c>
      <c r="J138" s="213">
        <f t="shared" si="66"/>
        <v>31092</v>
      </c>
      <c r="K138" s="213">
        <f t="shared" si="66"/>
        <v>36059</v>
      </c>
      <c r="L138" s="213">
        <f t="shared" si="66"/>
        <v>34413</v>
      </c>
      <c r="M138" s="213">
        <f t="shared" si="66"/>
        <v>37742</v>
      </c>
      <c r="N138" s="213">
        <f t="shared" si="66"/>
        <v>33309</v>
      </c>
      <c r="O138" s="213">
        <f t="shared" si="66"/>
        <v>29372</v>
      </c>
      <c r="P138" s="213">
        <f t="shared" si="66"/>
        <v>41352</v>
      </c>
      <c r="Q138" s="213">
        <f t="shared" si="66"/>
        <v>60203</v>
      </c>
      <c r="R138" s="213">
        <f t="shared" si="66"/>
        <v>54848</v>
      </c>
      <c r="S138" s="213">
        <f t="shared" si="66"/>
        <v>64982</v>
      </c>
      <c r="T138" s="213">
        <f t="shared" si="66"/>
        <v>69974</v>
      </c>
      <c r="U138" s="213">
        <f t="shared" si="66"/>
        <v>61387</v>
      </c>
      <c r="V138" s="213">
        <f t="shared" si="66"/>
        <v>54373</v>
      </c>
      <c r="W138" s="213">
        <f t="shared" si="66"/>
        <v>68577</v>
      </c>
      <c r="X138" s="213">
        <f t="shared" si="66"/>
        <v>67313</v>
      </c>
      <c r="Y138" s="213">
        <f t="shared" si="66"/>
        <v>72584</v>
      </c>
      <c r="Z138" s="213">
        <f t="shared" si="66"/>
        <v>75044</v>
      </c>
      <c r="AA138" s="213">
        <f t="shared" si="66"/>
        <v>85138</v>
      </c>
      <c r="AB138" s="213">
        <f t="shared" si="66"/>
        <v>106469</v>
      </c>
      <c r="AC138" s="213">
        <f t="shared" si="66"/>
        <v>33816</v>
      </c>
      <c r="AD138" s="213">
        <f t="shared" si="66"/>
        <v>29389</v>
      </c>
      <c r="AE138" s="213">
        <f t="shared" si="66"/>
        <v>25433</v>
      </c>
      <c r="AF138" s="214">
        <f t="shared" si="66"/>
        <v>21333</v>
      </c>
      <c r="AG138" s="215">
        <f t="shared" ref="AG138:AG139" si="68">SUM(B138:AF138)</f>
        <v>1448152</v>
      </c>
      <c r="AH138" s="16"/>
    </row>
    <row r="139">
      <c r="A139" s="212" t="s">
        <v>317</v>
      </c>
      <c r="B139" s="228">
        <f t="shared" ref="B139:AF139" si="67">B120+B130</f>
        <v>125</v>
      </c>
      <c r="C139" s="228">
        <f t="shared" si="67"/>
        <v>149</v>
      </c>
      <c r="D139" s="228">
        <f t="shared" si="67"/>
        <v>139</v>
      </c>
      <c r="E139" s="228">
        <f t="shared" si="67"/>
        <v>130</v>
      </c>
      <c r="F139" s="228">
        <f t="shared" si="67"/>
        <v>124</v>
      </c>
      <c r="G139" s="228">
        <f t="shared" si="67"/>
        <v>112</v>
      </c>
      <c r="H139" s="228">
        <f t="shared" si="67"/>
        <v>66</v>
      </c>
      <c r="I139" s="228">
        <f t="shared" si="67"/>
        <v>88</v>
      </c>
      <c r="J139" s="228">
        <f t="shared" si="67"/>
        <v>116</v>
      </c>
      <c r="K139" s="228">
        <f t="shared" si="67"/>
        <v>129</v>
      </c>
      <c r="L139" s="228">
        <f t="shared" si="67"/>
        <v>122</v>
      </c>
      <c r="M139" s="228">
        <f t="shared" si="67"/>
        <v>131</v>
      </c>
      <c r="N139" s="228">
        <f t="shared" si="67"/>
        <v>127</v>
      </c>
      <c r="O139" s="228">
        <f t="shared" si="67"/>
        <v>113</v>
      </c>
      <c r="P139" s="228">
        <f t="shared" si="67"/>
        <v>144</v>
      </c>
      <c r="Q139" s="228">
        <f t="shared" si="67"/>
        <v>214</v>
      </c>
      <c r="R139" s="228">
        <f t="shared" si="67"/>
        <v>190</v>
      </c>
      <c r="S139" s="228">
        <f t="shared" si="67"/>
        <v>235</v>
      </c>
      <c r="T139" s="228">
        <f t="shared" si="67"/>
        <v>250</v>
      </c>
      <c r="U139" s="228">
        <f t="shared" si="67"/>
        <v>223</v>
      </c>
      <c r="V139" s="228">
        <f t="shared" si="67"/>
        <v>195</v>
      </c>
      <c r="W139" s="228">
        <f t="shared" si="67"/>
        <v>240</v>
      </c>
      <c r="X139" s="228">
        <f t="shared" si="67"/>
        <v>247</v>
      </c>
      <c r="Y139" s="228">
        <f t="shared" si="67"/>
        <v>268</v>
      </c>
      <c r="Z139" s="228">
        <f t="shared" si="67"/>
        <v>276</v>
      </c>
      <c r="AA139" s="228">
        <f t="shared" si="67"/>
        <v>306</v>
      </c>
      <c r="AB139" s="228">
        <f t="shared" si="67"/>
        <v>388</v>
      </c>
      <c r="AC139" s="228">
        <f t="shared" si="67"/>
        <v>125</v>
      </c>
      <c r="AD139" s="228">
        <f t="shared" si="67"/>
        <v>104</v>
      </c>
      <c r="AE139" s="228">
        <f t="shared" si="67"/>
        <v>101</v>
      </c>
      <c r="AF139" s="229">
        <f t="shared" si="67"/>
        <v>75</v>
      </c>
      <c r="AG139" s="230">
        <f t="shared" si="68"/>
        <v>5252</v>
      </c>
      <c r="AH139" s="16"/>
    </row>
    <row r="140">
      <c r="A140" s="23"/>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23"/>
      <c r="AG140" s="16"/>
      <c r="AH140" s="16"/>
    </row>
    <row r="141">
      <c r="A141" s="170" t="s">
        <v>329</v>
      </c>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23"/>
      <c r="AG141" s="16"/>
      <c r="AH141" s="16"/>
    </row>
    <row r="142">
      <c r="A142" s="175" t="s">
        <v>330</v>
      </c>
      <c r="B142" s="231">
        <v>110.0</v>
      </c>
      <c r="C142" s="231">
        <v>131.0</v>
      </c>
      <c r="D142" s="231">
        <v>122.0</v>
      </c>
      <c r="E142" s="231">
        <v>116.0</v>
      </c>
      <c r="F142" s="231">
        <v>100.0</v>
      </c>
      <c r="G142" s="231">
        <v>97.0</v>
      </c>
      <c r="H142" s="231">
        <v>56.0</v>
      </c>
      <c r="I142" s="203">
        <v>73.0</v>
      </c>
      <c r="J142" s="203">
        <v>105.0</v>
      </c>
      <c r="K142" s="203">
        <v>109.0</v>
      </c>
      <c r="L142" s="203">
        <v>104.0</v>
      </c>
      <c r="M142" s="203">
        <v>108.0</v>
      </c>
      <c r="N142" s="203">
        <v>112.0</v>
      </c>
      <c r="O142" s="203">
        <v>94.0</v>
      </c>
      <c r="P142" s="203">
        <v>119.0</v>
      </c>
      <c r="Q142" s="203">
        <v>179.0</v>
      </c>
      <c r="R142" s="203">
        <v>146.0</v>
      </c>
      <c r="S142" s="203">
        <v>206.0</v>
      </c>
      <c r="T142" s="203">
        <v>204.0</v>
      </c>
      <c r="U142" s="203">
        <v>187.0</v>
      </c>
      <c r="V142" s="203">
        <v>169.0</v>
      </c>
      <c r="W142" s="203">
        <v>193.0</v>
      </c>
      <c r="X142" s="203">
        <v>213.0</v>
      </c>
      <c r="Y142" s="203">
        <v>248.0</v>
      </c>
      <c r="Z142" s="203">
        <v>238.0</v>
      </c>
      <c r="AA142" s="203">
        <v>254.0</v>
      </c>
      <c r="AB142" s="203">
        <v>334.0</v>
      </c>
      <c r="AC142" s="203">
        <v>110.0</v>
      </c>
      <c r="AD142" s="203">
        <v>82.0</v>
      </c>
      <c r="AE142" s="203">
        <v>88.0</v>
      </c>
      <c r="AF142" s="204">
        <v>62.0</v>
      </c>
      <c r="AG142" s="59">
        <f t="shared" ref="AG142:AG146" si="69">SUM(B142:AF142)</f>
        <v>4469</v>
      </c>
      <c r="AH142" s="16"/>
    </row>
    <row r="143">
      <c r="A143" s="175" t="s">
        <v>331</v>
      </c>
      <c r="B143" s="231">
        <v>13.0</v>
      </c>
      <c r="C143" s="231">
        <v>12.0</v>
      </c>
      <c r="D143" s="231">
        <v>13.0</v>
      </c>
      <c r="E143" s="231">
        <v>10.0</v>
      </c>
      <c r="F143" s="231">
        <v>11.0</v>
      </c>
      <c r="G143" s="231">
        <v>13.0</v>
      </c>
      <c r="H143" s="231">
        <v>10.0</v>
      </c>
      <c r="I143" s="203">
        <v>10.0</v>
      </c>
      <c r="J143" s="203">
        <v>9.0</v>
      </c>
      <c r="K143" s="203">
        <v>11.0</v>
      </c>
      <c r="L143" s="203">
        <v>11.0</v>
      </c>
      <c r="M143" s="203">
        <v>16.0</v>
      </c>
      <c r="N143" s="203">
        <v>15.0</v>
      </c>
      <c r="O143" s="203">
        <v>16.0</v>
      </c>
      <c r="P143" s="203">
        <v>15.0</v>
      </c>
      <c r="Q143" s="203">
        <v>24.0</v>
      </c>
      <c r="R143" s="203">
        <v>38.0</v>
      </c>
      <c r="S143" s="203">
        <v>27.0</v>
      </c>
      <c r="T143" s="203">
        <v>24.0</v>
      </c>
      <c r="U143" s="203">
        <v>28.0</v>
      </c>
      <c r="V143" s="203">
        <v>19.0</v>
      </c>
      <c r="W143" s="203">
        <v>26.0</v>
      </c>
      <c r="X143" s="203">
        <v>28.0</v>
      </c>
      <c r="Y143" s="203">
        <v>20.0</v>
      </c>
      <c r="Z143" s="203">
        <v>32.0</v>
      </c>
      <c r="AA143" s="203">
        <v>31.0</v>
      </c>
      <c r="AB143" s="203">
        <v>40.0</v>
      </c>
      <c r="AC143" s="203">
        <v>11.0</v>
      </c>
      <c r="AD143" s="203">
        <v>16.0</v>
      </c>
      <c r="AE143" s="203">
        <v>7.0</v>
      </c>
      <c r="AF143" s="204">
        <v>11.0</v>
      </c>
      <c r="AG143" s="59">
        <f t="shared" si="69"/>
        <v>567</v>
      </c>
      <c r="AH143" s="16"/>
    </row>
    <row r="144">
      <c r="A144" s="175" t="s">
        <v>332</v>
      </c>
      <c r="B144" s="231">
        <v>2.0</v>
      </c>
      <c r="C144" s="231">
        <v>3.0</v>
      </c>
      <c r="D144" s="231">
        <v>5.0</v>
      </c>
      <c r="E144" s="231">
        <v>3.0</v>
      </c>
      <c r="F144" s="231">
        <v>6.0</v>
      </c>
      <c r="G144" s="231">
        <v>2.0</v>
      </c>
      <c r="H144" s="231">
        <v>1.0</v>
      </c>
      <c r="I144" s="203">
        <v>3.0</v>
      </c>
      <c r="J144" s="203">
        <v>4.0</v>
      </c>
      <c r="K144" s="203">
        <v>10.0</v>
      </c>
      <c r="L144" s="203">
        <v>6.0</v>
      </c>
      <c r="M144" s="203">
        <v>3.0</v>
      </c>
      <c r="N144" s="203">
        <v>0.0</v>
      </c>
      <c r="O144" s="203">
        <v>1.0</v>
      </c>
      <c r="P144" s="203">
        <v>8.0</v>
      </c>
      <c r="Q144" s="203">
        <v>4.0</v>
      </c>
      <c r="R144" s="203">
        <v>5.0</v>
      </c>
      <c r="S144" s="203">
        <v>4.0</v>
      </c>
      <c r="T144" s="203">
        <v>10.0</v>
      </c>
      <c r="U144" s="203">
        <v>7.0</v>
      </c>
      <c r="V144" s="203">
        <v>4.0</v>
      </c>
      <c r="W144" s="203">
        <v>14.0</v>
      </c>
      <c r="X144" s="203">
        <v>7.0</v>
      </c>
      <c r="Y144" s="203">
        <v>5.0</v>
      </c>
      <c r="Z144" s="203">
        <v>5.0</v>
      </c>
      <c r="AA144" s="203">
        <v>10.0</v>
      </c>
      <c r="AB144" s="203">
        <v>10.0</v>
      </c>
      <c r="AC144" s="203">
        <v>1.0</v>
      </c>
      <c r="AD144" s="203">
        <v>4.0</v>
      </c>
      <c r="AE144" s="203">
        <v>1.0</v>
      </c>
      <c r="AF144" s="204">
        <v>1.0</v>
      </c>
      <c r="AG144" s="59">
        <f t="shared" si="69"/>
        <v>149</v>
      </c>
      <c r="AH144" s="16"/>
    </row>
    <row r="145">
      <c r="A145" s="175" t="s">
        <v>333</v>
      </c>
      <c r="B145" s="232">
        <v>0.0</v>
      </c>
      <c r="C145" s="231">
        <v>0.0</v>
      </c>
      <c r="D145" s="231">
        <v>1.0</v>
      </c>
      <c r="E145" s="231">
        <v>1.0</v>
      </c>
      <c r="F145" s="231">
        <v>1.0</v>
      </c>
      <c r="G145" s="231">
        <v>0.0</v>
      </c>
      <c r="H145" s="231">
        <v>0.0</v>
      </c>
      <c r="I145" s="203">
        <v>1.0</v>
      </c>
      <c r="J145" s="203">
        <v>0.0</v>
      </c>
      <c r="K145" s="203">
        <v>0.0</v>
      </c>
      <c r="L145" s="203">
        <v>2.0</v>
      </c>
      <c r="M145" s="203">
        <v>3.0</v>
      </c>
      <c r="N145" s="203">
        <v>0.0</v>
      </c>
      <c r="O145" s="203">
        <v>0.0</v>
      </c>
      <c r="P145" s="203">
        <v>0.0</v>
      </c>
      <c r="Q145" s="203">
        <v>4.0</v>
      </c>
      <c r="R145" s="203">
        <v>0.0</v>
      </c>
      <c r="S145" s="203">
        <v>2.0</v>
      </c>
      <c r="T145" s="203">
        <v>3.0</v>
      </c>
      <c r="U145" s="203">
        <v>0.0</v>
      </c>
      <c r="V145" s="203">
        <v>3.0</v>
      </c>
      <c r="W145" s="203">
        <v>1.0</v>
      </c>
      <c r="X145" s="203">
        <v>0.0</v>
      </c>
      <c r="Y145" s="203">
        <v>1.0</v>
      </c>
      <c r="Z145" s="203">
        <v>2.0</v>
      </c>
      <c r="AA145" s="203">
        <v>4.0</v>
      </c>
      <c r="AB145" s="203">
        <v>4.0</v>
      </c>
      <c r="AC145" s="203">
        <v>0.0</v>
      </c>
      <c r="AD145" s="203">
        <v>0.0</v>
      </c>
      <c r="AE145" s="203">
        <v>1.0</v>
      </c>
      <c r="AF145" s="204">
        <v>1.0</v>
      </c>
      <c r="AG145" s="59">
        <f t="shared" si="69"/>
        <v>35</v>
      </c>
      <c r="AH145" s="16"/>
    </row>
    <row r="146">
      <c r="A146" s="175" t="s">
        <v>334</v>
      </c>
      <c r="B146" s="231">
        <v>0.0</v>
      </c>
      <c r="C146" s="231">
        <v>0.0</v>
      </c>
      <c r="D146" s="231">
        <v>0.0</v>
      </c>
      <c r="E146" s="231">
        <v>0.0</v>
      </c>
      <c r="F146" s="231">
        <v>0.0</v>
      </c>
      <c r="G146" s="231">
        <v>0.0</v>
      </c>
      <c r="H146" s="231">
        <v>0.0</v>
      </c>
      <c r="I146" s="203">
        <v>0.0</v>
      </c>
      <c r="J146" s="203">
        <v>0.0</v>
      </c>
      <c r="K146" s="203">
        <v>0.0</v>
      </c>
      <c r="L146" s="203">
        <v>0.0</v>
      </c>
      <c r="M146" s="203">
        <v>0.0</v>
      </c>
      <c r="N146" s="203">
        <v>0.0</v>
      </c>
      <c r="O146" s="203">
        <v>0.0</v>
      </c>
      <c r="P146" s="203">
        <v>1.0</v>
      </c>
      <c r="Q146" s="203">
        <v>0.0</v>
      </c>
      <c r="R146" s="203">
        <v>0.0</v>
      </c>
      <c r="S146" s="203">
        <v>0.0</v>
      </c>
      <c r="T146" s="203">
        <v>0.0</v>
      </c>
      <c r="U146" s="203">
        <v>0.0</v>
      </c>
      <c r="V146" s="203">
        <v>0.0</v>
      </c>
      <c r="W146" s="203">
        <v>0.0</v>
      </c>
      <c r="X146" s="203">
        <v>0.0</v>
      </c>
      <c r="Y146" s="203">
        <v>0.0</v>
      </c>
      <c r="Z146" s="203">
        <v>0.0</v>
      </c>
      <c r="AA146" s="203">
        <v>0.0</v>
      </c>
      <c r="AB146" s="203">
        <v>0.0</v>
      </c>
      <c r="AC146" s="203">
        <v>0.0</v>
      </c>
      <c r="AD146" s="203">
        <v>0.0</v>
      </c>
      <c r="AE146" s="203">
        <v>0.0</v>
      </c>
      <c r="AF146" s="204">
        <v>0.0</v>
      </c>
      <c r="AG146" s="59">
        <f t="shared" si="69"/>
        <v>1</v>
      </c>
      <c r="AH146" s="16"/>
    </row>
    <row r="147">
      <c r="A147" s="233" t="s">
        <v>16</v>
      </c>
      <c r="B147" s="234">
        <f t="shared" ref="B147:AG147" si="70">B142+(2*B143)+(3*B144)+(5*B145)+(10*B146)</f>
        <v>142</v>
      </c>
      <c r="C147" s="234">
        <f t="shared" si="70"/>
        <v>164</v>
      </c>
      <c r="D147" s="234">
        <f t="shared" si="70"/>
        <v>168</v>
      </c>
      <c r="E147" s="234">
        <f t="shared" si="70"/>
        <v>150</v>
      </c>
      <c r="F147" s="234">
        <f t="shared" si="70"/>
        <v>145</v>
      </c>
      <c r="G147" s="234">
        <f t="shared" si="70"/>
        <v>129</v>
      </c>
      <c r="H147" s="234">
        <f t="shared" si="70"/>
        <v>79</v>
      </c>
      <c r="I147" s="228">
        <f t="shared" si="70"/>
        <v>107</v>
      </c>
      <c r="J147" s="228">
        <f t="shared" si="70"/>
        <v>135</v>
      </c>
      <c r="K147" s="228">
        <f t="shared" si="70"/>
        <v>161</v>
      </c>
      <c r="L147" s="228">
        <f t="shared" si="70"/>
        <v>154</v>
      </c>
      <c r="M147" s="228">
        <f t="shared" si="70"/>
        <v>164</v>
      </c>
      <c r="N147" s="228">
        <f t="shared" si="70"/>
        <v>142</v>
      </c>
      <c r="O147" s="228">
        <f t="shared" si="70"/>
        <v>129</v>
      </c>
      <c r="P147" s="228">
        <f t="shared" si="70"/>
        <v>183</v>
      </c>
      <c r="Q147" s="228">
        <f t="shared" si="70"/>
        <v>259</v>
      </c>
      <c r="R147" s="228">
        <f t="shared" si="70"/>
        <v>237</v>
      </c>
      <c r="S147" s="228">
        <f t="shared" si="70"/>
        <v>282</v>
      </c>
      <c r="T147" s="228">
        <f t="shared" si="70"/>
        <v>297</v>
      </c>
      <c r="U147" s="228">
        <f t="shared" si="70"/>
        <v>264</v>
      </c>
      <c r="V147" s="228">
        <f t="shared" si="70"/>
        <v>234</v>
      </c>
      <c r="W147" s="228">
        <f t="shared" si="70"/>
        <v>292</v>
      </c>
      <c r="X147" s="228">
        <f t="shared" si="70"/>
        <v>290</v>
      </c>
      <c r="Y147" s="228">
        <f t="shared" si="70"/>
        <v>308</v>
      </c>
      <c r="Z147" s="228">
        <f t="shared" si="70"/>
        <v>327</v>
      </c>
      <c r="AA147" s="228">
        <f t="shared" si="70"/>
        <v>366</v>
      </c>
      <c r="AB147" s="228">
        <f t="shared" si="70"/>
        <v>464</v>
      </c>
      <c r="AC147" s="228">
        <f t="shared" si="70"/>
        <v>135</v>
      </c>
      <c r="AD147" s="228">
        <f t="shared" si="70"/>
        <v>126</v>
      </c>
      <c r="AE147" s="228">
        <f t="shared" si="70"/>
        <v>110</v>
      </c>
      <c r="AF147" s="229">
        <f t="shared" si="70"/>
        <v>92</v>
      </c>
      <c r="AG147" s="235">
        <f t="shared" si="70"/>
        <v>6235</v>
      </c>
      <c r="AH147" s="16"/>
    </row>
    <row r="148">
      <c r="A148" s="23"/>
      <c r="B148" s="236"/>
      <c r="C148" s="236"/>
      <c r="D148" s="236"/>
      <c r="E148" s="236"/>
      <c r="F148" s="236"/>
      <c r="G148" s="236"/>
      <c r="H148" s="23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23"/>
      <c r="AG148" s="16"/>
      <c r="AH148" s="16"/>
    </row>
    <row r="149">
      <c r="A149" s="175" t="s">
        <v>335</v>
      </c>
      <c r="B149" s="231">
        <v>79.0</v>
      </c>
      <c r="C149" s="231">
        <v>75.0</v>
      </c>
      <c r="D149" s="231">
        <v>71.0</v>
      </c>
      <c r="E149" s="231">
        <v>65.0</v>
      </c>
      <c r="F149" s="231">
        <v>59.0</v>
      </c>
      <c r="G149" s="231">
        <v>59.0</v>
      </c>
      <c r="H149" s="231">
        <v>41.0</v>
      </c>
      <c r="I149" s="203">
        <v>34.0</v>
      </c>
      <c r="J149" s="203">
        <v>52.0</v>
      </c>
      <c r="K149" s="203">
        <v>60.0</v>
      </c>
      <c r="L149" s="203">
        <v>56.0</v>
      </c>
      <c r="M149" s="203">
        <v>73.0</v>
      </c>
      <c r="N149" s="203">
        <v>70.0</v>
      </c>
      <c r="O149" s="203">
        <v>39.0</v>
      </c>
      <c r="P149" s="203">
        <v>69.0</v>
      </c>
      <c r="Q149" s="203">
        <v>107.0</v>
      </c>
      <c r="R149" s="203">
        <v>109.0</v>
      </c>
      <c r="S149" s="237">
        <v>128.0</v>
      </c>
      <c r="T149" s="203">
        <v>137.0</v>
      </c>
      <c r="U149" s="203">
        <v>117.0</v>
      </c>
      <c r="V149" s="237">
        <v>102.0</v>
      </c>
      <c r="W149" s="237">
        <v>138.0</v>
      </c>
      <c r="X149" s="237">
        <v>132.0</v>
      </c>
      <c r="Y149" s="237">
        <v>156.0</v>
      </c>
      <c r="Z149" s="237">
        <v>140.0</v>
      </c>
      <c r="AA149" s="237">
        <v>161.0</v>
      </c>
      <c r="AB149" s="237">
        <v>183.0</v>
      </c>
      <c r="AC149" s="237">
        <v>75.0</v>
      </c>
      <c r="AD149" s="237">
        <v>52.0</v>
      </c>
      <c r="AE149" s="237">
        <v>43.0</v>
      </c>
      <c r="AF149" s="238">
        <v>42.0</v>
      </c>
      <c r="AG149" s="59">
        <f t="shared" ref="AG149:AG152" si="71">SUM(B149:AF149)</f>
        <v>2724</v>
      </c>
      <c r="AH149" s="16"/>
    </row>
    <row r="150">
      <c r="A150" s="175" t="s">
        <v>336</v>
      </c>
      <c r="B150" s="231">
        <v>48.0</v>
      </c>
      <c r="C150" s="231">
        <v>43.0</v>
      </c>
      <c r="D150" s="231">
        <v>29.0</v>
      </c>
      <c r="E150" s="231">
        <v>38.0</v>
      </c>
      <c r="F150" s="231">
        <v>26.0</v>
      </c>
      <c r="G150" s="231">
        <v>36.0</v>
      </c>
      <c r="H150" s="231">
        <v>25.0</v>
      </c>
      <c r="I150" s="237">
        <v>21.0</v>
      </c>
      <c r="J150" s="237">
        <v>28.0</v>
      </c>
      <c r="K150" s="237">
        <v>35.0</v>
      </c>
      <c r="L150" s="237">
        <v>34.0</v>
      </c>
      <c r="M150" s="237">
        <v>32.0</v>
      </c>
      <c r="N150" s="237">
        <v>23.0</v>
      </c>
      <c r="O150" s="237">
        <v>30.0</v>
      </c>
      <c r="P150" s="237">
        <v>42.0</v>
      </c>
      <c r="Q150" s="203">
        <v>70.0</v>
      </c>
      <c r="R150" s="237">
        <v>58.0</v>
      </c>
      <c r="S150" s="237">
        <v>55.0</v>
      </c>
      <c r="T150" s="237">
        <v>66.0</v>
      </c>
      <c r="U150" s="237">
        <v>62.0</v>
      </c>
      <c r="V150" s="237">
        <v>63.0</v>
      </c>
      <c r="W150" s="237">
        <v>84.0</v>
      </c>
      <c r="X150" s="237">
        <v>72.0</v>
      </c>
      <c r="Y150" s="237">
        <v>78.0</v>
      </c>
      <c r="Z150" s="237">
        <v>70.0</v>
      </c>
      <c r="AA150" s="237">
        <v>80.0</v>
      </c>
      <c r="AB150" s="237">
        <v>110.0</v>
      </c>
      <c r="AC150" s="237">
        <v>50.0</v>
      </c>
      <c r="AD150" s="237">
        <v>39.0</v>
      </c>
      <c r="AE150" s="237">
        <v>22.0</v>
      </c>
      <c r="AF150" s="238">
        <v>27.0</v>
      </c>
      <c r="AG150" s="59">
        <f t="shared" si="71"/>
        <v>1496</v>
      </c>
      <c r="AH150" s="16"/>
    </row>
    <row r="151">
      <c r="A151" s="175" t="s">
        <v>337</v>
      </c>
      <c r="B151" s="231">
        <v>14.0</v>
      </c>
      <c r="C151" s="231">
        <v>12.0</v>
      </c>
      <c r="D151" s="231">
        <v>18.0</v>
      </c>
      <c r="E151" s="231">
        <v>11.0</v>
      </c>
      <c r="F151" s="231">
        <v>11.0</v>
      </c>
      <c r="G151" s="231">
        <v>13.0</v>
      </c>
      <c r="H151" s="231">
        <v>9.0</v>
      </c>
      <c r="I151" s="237">
        <v>4.0</v>
      </c>
      <c r="J151" s="237">
        <v>15.0</v>
      </c>
      <c r="K151" s="237">
        <v>13.0</v>
      </c>
      <c r="L151" s="237">
        <v>17.0</v>
      </c>
      <c r="M151" s="237">
        <v>10.0</v>
      </c>
      <c r="N151" s="237">
        <v>12.0</v>
      </c>
      <c r="O151" s="237">
        <v>10.0</v>
      </c>
      <c r="P151" s="237">
        <v>15.0</v>
      </c>
      <c r="Q151" s="237">
        <v>22.0</v>
      </c>
      <c r="R151" s="237">
        <v>23.0</v>
      </c>
      <c r="S151" s="237">
        <v>33.0</v>
      </c>
      <c r="T151" s="237">
        <v>41.0</v>
      </c>
      <c r="U151" s="237">
        <v>19.0</v>
      </c>
      <c r="V151" s="237">
        <v>27.0</v>
      </c>
      <c r="W151" s="237">
        <v>28.0</v>
      </c>
      <c r="X151" s="237">
        <v>25.0</v>
      </c>
      <c r="Y151" s="237">
        <v>27.0</v>
      </c>
      <c r="Z151" s="237">
        <v>30.0</v>
      </c>
      <c r="AA151" s="237">
        <v>21.0</v>
      </c>
      <c r="AB151" s="237">
        <v>37.0</v>
      </c>
      <c r="AC151" s="237">
        <v>12.0</v>
      </c>
      <c r="AD151" s="237">
        <v>10.0</v>
      </c>
      <c r="AE151" s="237">
        <v>12.0</v>
      </c>
      <c r="AF151" s="238">
        <v>5.0</v>
      </c>
      <c r="AG151" s="59">
        <f t="shared" si="71"/>
        <v>556</v>
      </c>
      <c r="AH151" s="16"/>
    </row>
    <row r="152">
      <c r="A152" s="175" t="s">
        <v>338</v>
      </c>
      <c r="B152" s="231">
        <v>20.0</v>
      </c>
      <c r="C152" s="231">
        <v>25.0</v>
      </c>
      <c r="D152" s="231">
        <v>16.0</v>
      </c>
      <c r="E152" s="231">
        <v>17.0</v>
      </c>
      <c r="F152" s="231">
        <v>18.0</v>
      </c>
      <c r="G152" s="231">
        <v>19.0</v>
      </c>
      <c r="H152" s="231">
        <v>8.0</v>
      </c>
      <c r="I152" s="237">
        <v>7.0</v>
      </c>
      <c r="J152" s="237">
        <v>19.0</v>
      </c>
      <c r="K152" s="237">
        <v>8.0</v>
      </c>
      <c r="L152" s="237">
        <v>19.0</v>
      </c>
      <c r="M152" s="237">
        <v>23.0</v>
      </c>
      <c r="N152" s="237">
        <v>11.0</v>
      </c>
      <c r="O152" s="237">
        <v>10.0</v>
      </c>
      <c r="P152" s="237">
        <v>16.0</v>
      </c>
      <c r="Q152" s="237">
        <v>35.0</v>
      </c>
      <c r="R152" s="237">
        <v>42.0</v>
      </c>
      <c r="S152" s="237">
        <v>40.0</v>
      </c>
      <c r="T152" s="237">
        <v>40.0</v>
      </c>
      <c r="U152" s="237">
        <v>31.0</v>
      </c>
      <c r="V152" s="237">
        <v>38.0</v>
      </c>
      <c r="W152" s="237">
        <v>46.0</v>
      </c>
      <c r="X152" s="237">
        <v>41.0</v>
      </c>
      <c r="Y152" s="237">
        <v>41.0</v>
      </c>
      <c r="Z152" s="237">
        <v>49.0</v>
      </c>
      <c r="AA152" s="237">
        <v>51.0</v>
      </c>
      <c r="AB152" s="237">
        <v>51.0</v>
      </c>
      <c r="AC152" s="237">
        <v>19.0</v>
      </c>
      <c r="AD152" s="237">
        <v>15.0</v>
      </c>
      <c r="AE152" s="237">
        <v>14.0</v>
      </c>
      <c r="AF152" s="238">
        <v>13.0</v>
      </c>
      <c r="AG152" s="59">
        <f t="shared" si="71"/>
        <v>802</v>
      </c>
      <c r="AH152" s="16"/>
    </row>
    <row r="153">
      <c r="A153" s="233" t="s">
        <v>16</v>
      </c>
      <c r="B153" s="234">
        <f t="shared" ref="B153:AG153" si="72">SUM(B149:B152)</f>
        <v>161</v>
      </c>
      <c r="C153" s="234">
        <f t="shared" si="72"/>
        <v>155</v>
      </c>
      <c r="D153" s="234">
        <f t="shared" si="72"/>
        <v>134</v>
      </c>
      <c r="E153" s="234">
        <f t="shared" si="72"/>
        <v>131</v>
      </c>
      <c r="F153" s="234">
        <f t="shared" si="72"/>
        <v>114</v>
      </c>
      <c r="G153" s="234">
        <f t="shared" si="72"/>
        <v>127</v>
      </c>
      <c r="H153" s="234">
        <f t="shared" si="72"/>
        <v>83</v>
      </c>
      <c r="I153" s="234">
        <f t="shared" si="72"/>
        <v>66</v>
      </c>
      <c r="J153" s="234">
        <f t="shared" si="72"/>
        <v>114</v>
      </c>
      <c r="K153" s="234">
        <f t="shared" si="72"/>
        <v>116</v>
      </c>
      <c r="L153" s="234">
        <f t="shared" si="72"/>
        <v>126</v>
      </c>
      <c r="M153" s="234">
        <f t="shared" si="72"/>
        <v>138</v>
      </c>
      <c r="N153" s="234">
        <f t="shared" si="72"/>
        <v>116</v>
      </c>
      <c r="O153" s="234">
        <f t="shared" si="72"/>
        <v>89</v>
      </c>
      <c r="P153" s="234">
        <f t="shared" si="72"/>
        <v>142</v>
      </c>
      <c r="Q153" s="234">
        <f t="shared" si="72"/>
        <v>234</v>
      </c>
      <c r="R153" s="234">
        <f t="shared" si="72"/>
        <v>232</v>
      </c>
      <c r="S153" s="234">
        <f t="shared" si="72"/>
        <v>256</v>
      </c>
      <c r="T153" s="234">
        <f t="shared" si="72"/>
        <v>284</v>
      </c>
      <c r="U153" s="234">
        <f t="shared" si="72"/>
        <v>229</v>
      </c>
      <c r="V153" s="234">
        <f t="shared" si="72"/>
        <v>230</v>
      </c>
      <c r="W153" s="234">
        <f t="shared" si="72"/>
        <v>296</v>
      </c>
      <c r="X153" s="234">
        <f t="shared" si="72"/>
        <v>270</v>
      </c>
      <c r="Y153" s="234">
        <f t="shared" si="72"/>
        <v>302</v>
      </c>
      <c r="Z153" s="234">
        <f t="shared" si="72"/>
        <v>289</v>
      </c>
      <c r="AA153" s="234">
        <f t="shared" si="72"/>
        <v>313</v>
      </c>
      <c r="AB153" s="234">
        <f t="shared" si="72"/>
        <v>381</v>
      </c>
      <c r="AC153" s="234">
        <f t="shared" si="72"/>
        <v>156</v>
      </c>
      <c r="AD153" s="234">
        <f t="shared" si="72"/>
        <v>116</v>
      </c>
      <c r="AE153" s="234">
        <f t="shared" si="72"/>
        <v>91</v>
      </c>
      <c r="AF153" s="239">
        <f t="shared" si="72"/>
        <v>87</v>
      </c>
      <c r="AG153" s="235">
        <f t="shared" si="72"/>
        <v>5578</v>
      </c>
      <c r="AH153" s="16"/>
    </row>
    <row r="154">
      <c r="A154" s="23"/>
      <c r="B154" s="172"/>
      <c r="C154" s="172"/>
      <c r="D154" s="172"/>
      <c r="E154" s="172"/>
      <c r="F154" s="172"/>
      <c r="G154" s="172"/>
      <c r="H154" s="172"/>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23"/>
      <c r="AG154" s="16"/>
      <c r="AH154" s="16"/>
    </row>
    <row r="155">
      <c r="A155" s="23"/>
      <c r="B155" s="172"/>
      <c r="C155" s="172"/>
      <c r="D155" s="172"/>
      <c r="E155" s="172"/>
      <c r="F155" s="172"/>
      <c r="G155" s="172"/>
      <c r="H155" s="172"/>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23"/>
      <c r="AG155" s="16"/>
      <c r="AH155" s="16"/>
    </row>
    <row r="156">
      <c r="A156" s="105" t="s">
        <v>168</v>
      </c>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23"/>
      <c r="AG156" s="16"/>
      <c r="AH156" s="16"/>
    </row>
    <row r="157">
      <c r="A157" s="23" t="s">
        <v>339</v>
      </c>
      <c r="B157" s="240">
        <f t="shared" ref="B157:AF157" si="73">B29+B31+B33+B35+B36+B39+B40+B37+B38</f>
        <v>9714.97</v>
      </c>
      <c r="C157" s="241">
        <f t="shared" si="73"/>
        <v>10976.35</v>
      </c>
      <c r="D157" s="242">
        <f t="shared" si="73"/>
        <v>10503.25</v>
      </c>
      <c r="E157" s="243">
        <f t="shared" si="73"/>
        <v>11482.59</v>
      </c>
      <c r="F157" s="244">
        <f t="shared" si="73"/>
        <v>10709.72</v>
      </c>
      <c r="G157" s="240">
        <f t="shared" si="73"/>
        <v>9699.5</v>
      </c>
      <c r="H157" s="245">
        <f t="shared" si="73"/>
        <v>9004.06</v>
      </c>
      <c r="I157" s="246">
        <f t="shared" si="73"/>
        <v>8849.51</v>
      </c>
      <c r="J157" s="247">
        <f t="shared" si="73"/>
        <v>11050.04</v>
      </c>
      <c r="K157" s="243">
        <f t="shared" si="73"/>
        <v>11423.11</v>
      </c>
      <c r="L157" s="241">
        <f t="shared" si="73"/>
        <v>10918.36</v>
      </c>
      <c r="M157" s="248">
        <f t="shared" si="73"/>
        <v>11711.41</v>
      </c>
      <c r="N157" s="249">
        <f t="shared" si="73"/>
        <v>11193.35</v>
      </c>
      <c r="O157" s="242">
        <f t="shared" si="73"/>
        <v>10485.13</v>
      </c>
      <c r="P157" s="250">
        <f t="shared" si="73"/>
        <v>12049.88</v>
      </c>
      <c r="Q157" s="251">
        <f t="shared" si="73"/>
        <v>15817.34</v>
      </c>
      <c r="R157" s="252">
        <f t="shared" si="73"/>
        <v>16578.66</v>
      </c>
      <c r="S157" s="253">
        <f t="shared" si="73"/>
        <v>18173.37</v>
      </c>
      <c r="T157" s="254">
        <f t="shared" si="73"/>
        <v>18369.87</v>
      </c>
      <c r="U157" s="255">
        <f t="shared" si="73"/>
        <v>17455.17</v>
      </c>
      <c r="V157" s="256">
        <f t="shared" si="73"/>
        <v>15494.41</v>
      </c>
      <c r="W157" s="257">
        <f t="shared" si="73"/>
        <v>16319.02</v>
      </c>
      <c r="X157" s="258">
        <f t="shared" si="73"/>
        <v>19698.02</v>
      </c>
      <c r="Y157" s="259">
        <f t="shared" si="73"/>
        <v>22438.64</v>
      </c>
      <c r="Z157" s="260">
        <f t="shared" si="73"/>
        <v>24056.38</v>
      </c>
      <c r="AA157" s="261">
        <f t="shared" si="73"/>
        <v>25190.92</v>
      </c>
      <c r="AB157" s="262">
        <f t="shared" si="73"/>
        <v>28571.18</v>
      </c>
      <c r="AC157" s="263">
        <f t="shared" si="73"/>
        <v>21763.22</v>
      </c>
      <c r="AD157" s="264">
        <f t="shared" si="73"/>
        <v>15307.31</v>
      </c>
      <c r="AE157" s="265">
        <f t="shared" si="73"/>
        <v>14997.74</v>
      </c>
      <c r="AF157" s="266">
        <f t="shared" si="73"/>
        <v>10308.8</v>
      </c>
      <c r="AG157" s="94">
        <f t="shared" ref="AG157:AG170" si="75">SUM(B157:AF157)</f>
        <v>460311.28</v>
      </c>
      <c r="AH157" s="16"/>
    </row>
    <row r="158">
      <c r="A158" s="23" t="s">
        <v>340</v>
      </c>
      <c r="B158" s="110">
        <f t="shared" ref="B158:AF158" si="74">B30+B32+B34</f>
        <v>69.9525</v>
      </c>
      <c r="C158" s="110">
        <f t="shared" si="74"/>
        <v>83.6685</v>
      </c>
      <c r="D158" s="110">
        <f t="shared" si="74"/>
        <v>62.292</v>
      </c>
      <c r="E158" s="110">
        <f t="shared" si="74"/>
        <v>73.8975</v>
      </c>
      <c r="F158" s="110">
        <f t="shared" si="74"/>
        <v>78.921</v>
      </c>
      <c r="G158" s="110">
        <f t="shared" si="74"/>
        <v>79.1925</v>
      </c>
      <c r="H158" s="110">
        <f t="shared" si="74"/>
        <v>164.133</v>
      </c>
      <c r="I158" s="110">
        <f t="shared" si="74"/>
        <v>108.732</v>
      </c>
      <c r="J158" s="110">
        <f t="shared" si="74"/>
        <v>119.868</v>
      </c>
      <c r="K158" s="110">
        <f t="shared" si="74"/>
        <v>102.2085</v>
      </c>
      <c r="L158" s="110">
        <f t="shared" si="74"/>
        <v>118.434</v>
      </c>
      <c r="M158" s="110">
        <f t="shared" si="74"/>
        <v>112.1385</v>
      </c>
      <c r="N158" s="110">
        <f t="shared" si="74"/>
        <v>114.654</v>
      </c>
      <c r="O158" s="110">
        <f t="shared" si="74"/>
        <v>97.7205</v>
      </c>
      <c r="P158" s="110">
        <f t="shared" si="74"/>
        <v>112.989</v>
      </c>
      <c r="Q158" s="110">
        <f t="shared" si="74"/>
        <v>109.5705</v>
      </c>
      <c r="R158" s="110">
        <f t="shared" si="74"/>
        <v>108.1515</v>
      </c>
      <c r="S158" s="110">
        <f t="shared" si="74"/>
        <v>131.0985</v>
      </c>
      <c r="T158" s="110">
        <f t="shared" si="74"/>
        <v>108.717</v>
      </c>
      <c r="U158" s="110">
        <f t="shared" si="74"/>
        <v>103.065</v>
      </c>
      <c r="V158" s="110">
        <f t="shared" si="74"/>
        <v>110.928</v>
      </c>
      <c r="W158" s="110">
        <f t="shared" si="74"/>
        <v>131.7435</v>
      </c>
      <c r="X158" s="110">
        <f t="shared" si="74"/>
        <v>115.3365</v>
      </c>
      <c r="Y158" s="110">
        <f t="shared" si="74"/>
        <v>126.2505</v>
      </c>
      <c r="Z158" s="110">
        <f t="shared" si="74"/>
        <v>130.704</v>
      </c>
      <c r="AA158" s="110">
        <f t="shared" si="74"/>
        <v>129.297</v>
      </c>
      <c r="AB158" s="110">
        <f t="shared" si="74"/>
        <v>127.6635</v>
      </c>
      <c r="AC158" s="110">
        <f t="shared" si="74"/>
        <v>126.516</v>
      </c>
      <c r="AD158" s="110">
        <f t="shared" si="74"/>
        <v>113.1045</v>
      </c>
      <c r="AE158" s="110">
        <f t="shared" si="74"/>
        <v>80.5155</v>
      </c>
      <c r="AF158" s="111">
        <f t="shared" si="74"/>
        <v>78.7275</v>
      </c>
      <c r="AG158" s="94">
        <f t="shared" si="75"/>
        <v>3330.1905</v>
      </c>
      <c r="AH158" s="16"/>
    </row>
    <row r="159">
      <c r="A159" s="23" t="s">
        <v>341</v>
      </c>
      <c r="B159" s="110">
        <f t="shared" ref="B159:AF159" si="76">B126*0.06</f>
        <v>109.14</v>
      </c>
      <c r="C159" s="110">
        <f t="shared" si="76"/>
        <v>150.6</v>
      </c>
      <c r="D159" s="110">
        <f t="shared" si="76"/>
        <v>192.78</v>
      </c>
      <c r="E159" s="110">
        <f t="shared" si="76"/>
        <v>161.58</v>
      </c>
      <c r="F159" s="110">
        <f t="shared" si="76"/>
        <v>152.46</v>
      </c>
      <c r="G159" s="110">
        <f t="shared" si="76"/>
        <v>139.44</v>
      </c>
      <c r="H159" s="110">
        <f t="shared" si="76"/>
        <v>34.62</v>
      </c>
      <c r="I159" s="110">
        <f t="shared" si="76"/>
        <v>40.26</v>
      </c>
      <c r="J159" s="110">
        <f t="shared" si="76"/>
        <v>69.84</v>
      </c>
      <c r="K159" s="110">
        <f t="shared" si="76"/>
        <v>62.82</v>
      </c>
      <c r="L159" s="110">
        <f t="shared" si="76"/>
        <v>125.58</v>
      </c>
      <c r="M159" s="110">
        <f t="shared" si="76"/>
        <v>136.2</v>
      </c>
      <c r="N159" s="110">
        <f t="shared" si="76"/>
        <v>73.2</v>
      </c>
      <c r="O159" s="110">
        <f t="shared" si="76"/>
        <v>31.68</v>
      </c>
      <c r="P159" s="110">
        <f t="shared" si="76"/>
        <v>302.4</v>
      </c>
      <c r="Q159" s="110">
        <f t="shared" si="76"/>
        <v>116.4</v>
      </c>
      <c r="R159" s="110">
        <f t="shared" si="76"/>
        <v>60.42</v>
      </c>
      <c r="S159" s="110">
        <f t="shared" si="76"/>
        <v>49.5</v>
      </c>
      <c r="T159" s="110">
        <f t="shared" si="76"/>
        <v>12.9</v>
      </c>
      <c r="U159" s="110">
        <f t="shared" si="76"/>
        <v>16.92</v>
      </c>
      <c r="V159" s="110">
        <f t="shared" si="76"/>
        <v>48.66</v>
      </c>
      <c r="W159" s="110">
        <f t="shared" si="76"/>
        <v>27.84</v>
      </c>
      <c r="X159" s="110">
        <f t="shared" si="76"/>
        <v>12.9</v>
      </c>
      <c r="Y159" s="110">
        <f t="shared" si="76"/>
        <v>0</v>
      </c>
      <c r="Z159" s="110">
        <f t="shared" si="76"/>
        <v>60.96</v>
      </c>
      <c r="AA159" s="110">
        <f t="shared" si="76"/>
        <v>28.2</v>
      </c>
      <c r="AB159" s="110">
        <f t="shared" si="76"/>
        <v>36.24</v>
      </c>
      <c r="AC159" s="110">
        <f t="shared" si="76"/>
        <v>60.54</v>
      </c>
      <c r="AD159" s="110">
        <f t="shared" si="76"/>
        <v>245.76</v>
      </c>
      <c r="AE159" s="110">
        <f t="shared" si="76"/>
        <v>167.28</v>
      </c>
      <c r="AF159" s="111">
        <f t="shared" si="76"/>
        <v>160.74</v>
      </c>
      <c r="AG159" s="94">
        <f t="shared" si="75"/>
        <v>2887.86</v>
      </c>
      <c r="AH159" s="16"/>
    </row>
    <row r="160">
      <c r="A160" s="23" t="s">
        <v>164</v>
      </c>
      <c r="B160" s="110">
        <f t="shared" ref="B160:AF160" si="77">B138*0.026</f>
        <v>892.944</v>
      </c>
      <c r="C160" s="110">
        <f t="shared" si="77"/>
        <v>1015.248</v>
      </c>
      <c r="D160" s="110">
        <f t="shared" si="77"/>
        <v>999.96</v>
      </c>
      <c r="E160" s="110">
        <f t="shared" si="77"/>
        <v>900.64</v>
      </c>
      <c r="F160" s="110">
        <f t="shared" si="77"/>
        <v>883.636</v>
      </c>
      <c r="G160" s="110">
        <f t="shared" si="77"/>
        <v>789.646</v>
      </c>
      <c r="H160" s="110">
        <f t="shared" si="77"/>
        <v>491.322</v>
      </c>
      <c r="I160" s="110">
        <f t="shared" si="77"/>
        <v>629.304</v>
      </c>
      <c r="J160" s="110">
        <f t="shared" si="77"/>
        <v>808.392</v>
      </c>
      <c r="K160" s="110">
        <f t="shared" si="77"/>
        <v>937.534</v>
      </c>
      <c r="L160" s="110">
        <f t="shared" si="77"/>
        <v>894.738</v>
      </c>
      <c r="M160" s="110">
        <f t="shared" si="77"/>
        <v>981.292</v>
      </c>
      <c r="N160" s="110">
        <f t="shared" si="77"/>
        <v>866.034</v>
      </c>
      <c r="O160" s="110">
        <f t="shared" si="77"/>
        <v>763.672</v>
      </c>
      <c r="P160" s="110">
        <f t="shared" si="77"/>
        <v>1075.152</v>
      </c>
      <c r="Q160" s="110">
        <f t="shared" si="77"/>
        <v>1565.278</v>
      </c>
      <c r="R160" s="110">
        <f t="shared" si="77"/>
        <v>1426.048</v>
      </c>
      <c r="S160" s="110">
        <f t="shared" si="77"/>
        <v>1689.532</v>
      </c>
      <c r="T160" s="110">
        <f t="shared" si="77"/>
        <v>1819.324</v>
      </c>
      <c r="U160" s="110">
        <f t="shared" si="77"/>
        <v>1596.062</v>
      </c>
      <c r="V160" s="110">
        <f t="shared" si="77"/>
        <v>1413.698</v>
      </c>
      <c r="W160" s="110">
        <f t="shared" si="77"/>
        <v>1783.002</v>
      </c>
      <c r="X160" s="110">
        <f t="shared" si="77"/>
        <v>1750.138</v>
      </c>
      <c r="Y160" s="110">
        <f t="shared" si="77"/>
        <v>1887.184</v>
      </c>
      <c r="Z160" s="110">
        <f t="shared" si="77"/>
        <v>1951.144</v>
      </c>
      <c r="AA160" s="110">
        <f t="shared" si="77"/>
        <v>2213.588</v>
      </c>
      <c r="AB160" s="110">
        <f t="shared" si="77"/>
        <v>2768.194</v>
      </c>
      <c r="AC160" s="110">
        <f t="shared" si="77"/>
        <v>879.216</v>
      </c>
      <c r="AD160" s="110">
        <f t="shared" si="77"/>
        <v>764.114</v>
      </c>
      <c r="AE160" s="110">
        <f t="shared" si="77"/>
        <v>661.258</v>
      </c>
      <c r="AF160" s="111">
        <f t="shared" si="77"/>
        <v>554.658</v>
      </c>
      <c r="AG160" s="94">
        <f t="shared" si="75"/>
        <v>37651.952</v>
      </c>
      <c r="AH160" s="16"/>
    </row>
    <row r="161">
      <c r="A161" s="23" t="s">
        <v>165</v>
      </c>
      <c r="B161" s="110">
        <f t="shared" ref="B161:AF161" si="78">B139*0.3</f>
        <v>37.5</v>
      </c>
      <c r="C161" s="110">
        <f t="shared" si="78"/>
        <v>44.7</v>
      </c>
      <c r="D161" s="110">
        <f t="shared" si="78"/>
        <v>41.7</v>
      </c>
      <c r="E161" s="110">
        <f t="shared" si="78"/>
        <v>39</v>
      </c>
      <c r="F161" s="110">
        <f t="shared" si="78"/>
        <v>37.2</v>
      </c>
      <c r="G161" s="110">
        <f t="shared" si="78"/>
        <v>33.6</v>
      </c>
      <c r="H161" s="110">
        <f t="shared" si="78"/>
        <v>19.8</v>
      </c>
      <c r="I161" s="110">
        <f t="shared" si="78"/>
        <v>26.4</v>
      </c>
      <c r="J161" s="110">
        <f t="shared" si="78"/>
        <v>34.8</v>
      </c>
      <c r="K161" s="110">
        <f t="shared" si="78"/>
        <v>38.7</v>
      </c>
      <c r="L161" s="110">
        <f t="shared" si="78"/>
        <v>36.6</v>
      </c>
      <c r="M161" s="110">
        <f t="shared" si="78"/>
        <v>39.3</v>
      </c>
      <c r="N161" s="110">
        <f t="shared" si="78"/>
        <v>38.1</v>
      </c>
      <c r="O161" s="110">
        <f t="shared" si="78"/>
        <v>33.9</v>
      </c>
      <c r="P161" s="110">
        <f t="shared" si="78"/>
        <v>43.2</v>
      </c>
      <c r="Q161" s="110">
        <f t="shared" si="78"/>
        <v>64.2</v>
      </c>
      <c r="R161" s="110">
        <f t="shared" si="78"/>
        <v>57</v>
      </c>
      <c r="S161" s="110">
        <f t="shared" si="78"/>
        <v>70.5</v>
      </c>
      <c r="T161" s="110">
        <f t="shared" si="78"/>
        <v>75</v>
      </c>
      <c r="U161" s="110">
        <f t="shared" si="78"/>
        <v>66.9</v>
      </c>
      <c r="V161" s="110">
        <f t="shared" si="78"/>
        <v>58.5</v>
      </c>
      <c r="W161" s="110">
        <f t="shared" si="78"/>
        <v>72</v>
      </c>
      <c r="X161" s="110">
        <f t="shared" si="78"/>
        <v>74.1</v>
      </c>
      <c r="Y161" s="110">
        <f t="shared" si="78"/>
        <v>80.4</v>
      </c>
      <c r="Z161" s="110">
        <f t="shared" si="78"/>
        <v>82.8</v>
      </c>
      <c r="AA161" s="110">
        <f t="shared" si="78"/>
        <v>91.8</v>
      </c>
      <c r="AB161" s="110">
        <f t="shared" si="78"/>
        <v>116.4</v>
      </c>
      <c r="AC161" s="110">
        <f t="shared" si="78"/>
        <v>37.5</v>
      </c>
      <c r="AD161" s="110">
        <f t="shared" si="78"/>
        <v>31.2</v>
      </c>
      <c r="AE161" s="110">
        <f t="shared" si="78"/>
        <v>30.3</v>
      </c>
      <c r="AF161" s="111">
        <f t="shared" si="78"/>
        <v>22.5</v>
      </c>
      <c r="AG161" s="94">
        <f t="shared" si="75"/>
        <v>1575.6</v>
      </c>
      <c r="AH161" s="16"/>
    </row>
    <row r="162">
      <c r="A162" s="123" t="s">
        <v>169</v>
      </c>
      <c r="B162" s="110">
        <f t="shared" ref="B162:AF162" si="79">B147*86.58</f>
        <v>12294.36</v>
      </c>
      <c r="C162" s="110">
        <f t="shared" si="79"/>
        <v>14199.12</v>
      </c>
      <c r="D162" s="110">
        <f t="shared" si="79"/>
        <v>14545.44</v>
      </c>
      <c r="E162" s="110">
        <f t="shared" si="79"/>
        <v>12987</v>
      </c>
      <c r="F162" s="110">
        <f t="shared" si="79"/>
        <v>12554.1</v>
      </c>
      <c r="G162" s="110">
        <f t="shared" si="79"/>
        <v>11168.82</v>
      </c>
      <c r="H162" s="110">
        <f t="shared" si="79"/>
        <v>6839.82</v>
      </c>
      <c r="I162" s="110">
        <f t="shared" si="79"/>
        <v>9264.06</v>
      </c>
      <c r="J162" s="110">
        <f t="shared" si="79"/>
        <v>11688.3</v>
      </c>
      <c r="K162" s="110">
        <f t="shared" si="79"/>
        <v>13939.38</v>
      </c>
      <c r="L162" s="110">
        <f t="shared" si="79"/>
        <v>13333.32</v>
      </c>
      <c r="M162" s="110">
        <f t="shared" si="79"/>
        <v>14199.12</v>
      </c>
      <c r="N162" s="110">
        <f t="shared" si="79"/>
        <v>12294.36</v>
      </c>
      <c r="O162" s="110">
        <f t="shared" si="79"/>
        <v>11168.82</v>
      </c>
      <c r="P162" s="110">
        <f t="shared" si="79"/>
        <v>15844.14</v>
      </c>
      <c r="Q162" s="110">
        <f t="shared" si="79"/>
        <v>22424.22</v>
      </c>
      <c r="R162" s="110">
        <f t="shared" si="79"/>
        <v>20519.46</v>
      </c>
      <c r="S162" s="110">
        <f t="shared" si="79"/>
        <v>24415.56</v>
      </c>
      <c r="T162" s="110">
        <f t="shared" si="79"/>
        <v>25714.26</v>
      </c>
      <c r="U162" s="110">
        <f t="shared" si="79"/>
        <v>22857.12</v>
      </c>
      <c r="V162" s="110">
        <f t="shared" si="79"/>
        <v>20259.72</v>
      </c>
      <c r="W162" s="110">
        <f t="shared" si="79"/>
        <v>25281.36</v>
      </c>
      <c r="X162" s="110">
        <f t="shared" si="79"/>
        <v>25108.2</v>
      </c>
      <c r="Y162" s="110">
        <f t="shared" si="79"/>
        <v>26666.64</v>
      </c>
      <c r="Z162" s="110">
        <f t="shared" si="79"/>
        <v>28311.66</v>
      </c>
      <c r="AA162" s="110">
        <f t="shared" si="79"/>
        <v>31688.28</v>
      </c>
      <c r="AB162" s="110">
        <f t="shared" si="79"/>
        <v>40173.12</v>
      </c>
      <c r="AC162" s="110">
        <f t="shared" si="79"/>
        <v>11688.3</v>
      </c>
      <c r="AD162" s="110">
        <f t="shared" si="79"/>
        <v>10909.08</v>
      </c>
      <c r="AE162" s="110">
        <f t="shared" si="79"/>
        <v>9523.8</v>
      </c>
      <c r="AF162" s="110">
        <f t="shared" si="79"/>
        <v>7965.36</v>
      </c>
      <c r="AG162" s="94">
        <f t="shared" si="75"/>
        <v>539826.3</v>
      </c>
      <c r="AH162" s="16"/>
    </row>
    <row r="163">
      <c r="A163" s="23" t="s">
        <v>342</v>
      </c>
      <c r="B163" s="110">
        <f t="shared" ref="B163:AF163" si="80">B125</f>
        <v>115</v>
      </c>
      <c r="C163" s="110">
        <f t="shared" si="80"/>
        <v>154</v>
      </c>
      <c r="D163" s="110">
        <f t="shared" si="80"/>
        <v>215</v>
      </c>
      <c r="E163" s="110">
        <f t="shared" si="80"/>
        <v>155</v>
      </c>
      <c r="F163" s="110">
        <f t="shared" si="80"/>
        <v>167</v>
      </c>
      <c r="G163" s="110">
        <f t="shared" si="80"/>
        <v>131</v>
      </c>
      <c r="H163" s="110">
        <f t="shared" si="80"/>
        <v>30</v>
      </c>
      <c r="I163" s="110">
        <f t="shared" si="80"/>
        <v>57</v>
      </c>
      <c r="J163" s="110">
        <f t="shared" si="80"/>
        <v>85</v>
      </c>
      <c r="K163" s="110">
        <f t="shared" si="80"/>
        <v>60</v>
      </c>
      <c r="L163" s="110">
        <f t="shared" si="80"/>
        <v>111</v>
      </c>
      <c r="M163" s="110">
        <f t="shared" si="80"/>
        <v>99</v>
      </c>
      <c r="N163" s="110">
        <f t="shared" si="80"/>
        <v>56</v>
      </c>
      <c r="O163" s="110">
        <f t="shared" si="80"/>
        <v>44</v>
      </c>
      <c r="P163" s="110">
        <f t="shared" si="80"/>
        <v>206</v>
      </c>
      <c r="Q163" s="110">
        <f t="shared" si="80"/>
        <v>107</v>
      </c>
      <c r="R163" s="110">
        <f t="shared" si="80"/>
        <v>43</v>
      </c>
      <c r="S163" s="110">
        <f t="shared" si="80"/>
        <v>37</v>
      </c>
      <c r="T163" s="110">
        <f t="shared" si="80"/>
        <v>13</v>
      </c>
      <c r="U163" s="110">
        <f t="shared" si="80"/>
        <v>17</v>
      </c>
      <c r="V163" s="110">
        <f t="shared" si="80"/>
        <v>33</v>
      </c>
      <c r="W163" s="110">
        <f t="shared" si="80"/>
        <v>34</v>
      </c>
      <c r="X163" s="110">
        <f t="shared" si="80"/>
        <v>13</v>
      </c>
      <c r="Y163" s="110">
        <f t="shared" si="80"/>
        <v>0</v>
      </c>
      <c r="Z163" s="110">
        <f t="shared" si="80"/>
        <v>56</v>
      </c>
      <c r="AA163" s="110">
        <f t="shared" si="80"/>
        <v>40</v>
      </c>
      <c r="AB163" s="110">
        <f t="shared" si="80"/>
        <v>30</v>
      </c>
      <c r="AC163" s="110">
        <f t="shared" si="80"/>
        <v>64</v>
      </c>
      <c r="AD163" s="110">
        <f t="shared" si="80"/>
        <v>257</v>
      </c>
      <c r="AE163" s="110">
        <f t="shared" si="80"/>
        <v>214</v>
      </c>
      <c r="AF163" s="111">
        <f t="shared" si="80"/>
        <v>204</v>
      </c>
      <c r="AG163" s="94">
        <f t="shared" si="75"/>
        <v>2847</v>
      </c>
      <c r="AH163" s="16"/>
    </row>
    <row r="164">
      <c r="A164" s="23" t="s">
        <v>343</v>
      </c>
      <c r="B164" s="110">
        <f t="shared" ref="B164:AF164" si="81">B134</f>
        <v>2057</v>
      </c>
      <c r="C164" s="110">
        <f t="shared" si="81"/>
        <v>2345</v>
      </c>
      <c r="D164" s="110">
        <f t="shared" si="81"/>
        <v>2299</v>
      </c>
      <c r="E164" s="110">
        <f t="shared" si="81"/>
        <v>2143</v>
      </c>
      <c r="F164" s="110">
        <f t="shared" si="81"/>
        <v>1957</v>
      </c>
      <c r="G164" s="110">
        <f t="shared" si="81"/>
        <v>1810</v>
      </c>
      <c r="H164" s="110">
        <f t="shared" si="81"/>
        <v>1167</v>
      </c>
      <c r="I164" s="110">
        <f t="shared" si="81"/>
        <v>1482</v>
      </c>
      <c r="J164" s="110">
        <f t="shared" si="81"/>
        <v>1881</v>
      </c>
      <c r="K164" s="110">
        <f t="shared" si="81"/>
        <v>2219</v>
      </c>
      <c r="L164" s="110">
        <f t="shared" si="81"/>
        <v>2081</v>
      </c>
      <c r="M164" s="110">
        <f t="shared" si="81"/>
        <v>2149</v>
      </c>
      <c r="N164" s="110">
        <f t="shared" si="81"/>
        <v>2175</v>
      </c>
      <c r="O164" s="110">
        <f t="shared" si="81"/>
        <v>1882</v>
      </c>
      <c r="P164" s="110">
        <f t="shared" si="81"/>
        <v>2300</v>
      </c>
      <c r="Q164" s="110">
        <f t="shared" si="81"/>
        <v>3641</v>
      </c>
      <c r="R164" s="110">
        <f t="shared" si="81"/>
        <v>3338</v>
      </c>
      <c r="S164" s="110">
        <f t="shared" si="81"/>
        <v>4071</v>
      </c>
      <c r="T164" s="110">
        <f t="shared" si="81"/>
        <v>4247</v>
      </c>
      <c r="U164" s="110">
        <f t="shared" si="81"/>
        <v>3722</v>
      </c>
      <c r="V164" s="110">
        <f t="shared" si="81"/>
        <v>3285</v>
      </c>
      <c r="W164" s="110">
        <f t="shared" si="81"/>
        <v>4053</v>
      </c>
      <c r="X164" s="110">
        <f t="shared" si="81"/>
        <v>4329</v>
      </c>
      <c r="Y164" s="110">
        <f t="shared" si="81"/>
        <v>4647</v>
      </c>
      <c r="Z164" s="110">
        <f t="shared" si="81"/>
        <v>4821</v>
      </c>
      <c r="AA164" s="110">
        <f t="shared" si="81"/>
        <v>5162</v>
      </c>
      <c r="AB164" s="110">
        <f t="shared" si="81"/>
        <v>6743</v>
      </c>
      <c r="AC164" s="110">
        <f t="shared" si="81"/>
        <v>2061</v>
      </c>
      <c r="AD164" s="110">
        <f t="shared" si="81"/>
        <v>1571</v>
      </c>
      <c r="AE164" s="110">
        <f t="shared" si="81"/>
        <v>1467</v>
      </c>
      <c r="AF164" s="111">
        <f t="shared" si="81"/>
        <v>1095</v>
      </c>
      <c r="AG164" s="94">
        <f t="shared" si="75"/>
        <v>88200</v>
      </c>
      <c r="AH164" s="16"/>
    </row>
    <row r="165">
      <c r="A165" s="123" t="s">
        <v>344</v>
      </c>
      <c r="B165" s="110">
        <f t="shared" ref="B165:AF165" si="82">8.93*B149</f>
        <v>705.47</v>
      </c>
      <c r="C165" s="110">
        <f t="shared" si="82"/>
        <v>669.75</v>
      </c>
      <c r="D165" s="110">
        <f t="shared" si="82"/>
        <v>634.03</v>
      </c>
      <c r="E165" s="110">
        <f t="shared" si="82"/>
        <v>580.45</v>
      </c>
      <c r="F165" s="110">
        <f t="shared" si="82"/>
        <v>526.87</v>
      </c>
      <c r="G165" s="110">
        <f t="shared" si="82"/>
        <v>526.87</v>
      </c>
      <c r="H165" s="110">
        <f t="shared" si="82"/>
        <v>366.13</v>
      </c>
      <c r="I165" s="110">
        <f t="shared" si="82"/>
        <v>303.62</v>
      </c>
      <c r="J165" s="110">
        <f t="shared" si="82"/>
        <v>464.36</v>
      </c>
      <c r="K165" s="110">
        <f t="shared" si="82"/>
        <v>535.8</v>
      </c>
      <c r="L165" s="110">
        <f t="shared" si="82"/>
        <v>500.08</v>
      </c>
      <c r="M165" s="110">
        <f t="shared" si="82"/>
        <v>651.89</v>
      </c>
      <c r="N165" s="110">
        <f t="shared" si="82"/>
        <v>625.1</v>
      </c>
      <c r="O165" s="110">
        <f t="shared" si="82"/>
        <v>348.27</v>
      </c>
      <c r="P165" s="110">
        <f t="shared" si="82"/>
        <v>616.17</v>
      </c>
      <c r="Q165" s="110">
        <f t="shared" si="82"/>
        <v>955.51</v>
      </c>
      <c r="R165" s="110">
        <f t="shared" si="82"/>
        <v>973.37</v>
      </c>
      <c r="S165" s="110">
        <f t="shared" si="82"/>
        <v>1143.04</v>
      </c>
      <c r="T165" s="110">
        <f t="shared" si="82"/>
        <v>1223.41</v>
      </c>
      <c r="U165" s="110">
        <f t="shared" si="82"/>
        <v>1044.81</v>
      </c>
      <c r="V165" s="110">
        <f t="shared" si="82"/>
        <v>910.86</v>
      </c>
      <c r="W165" s="110">
        <f t="shared" si="82"/>
        <v>1232.34</v>
      </c>
      <c r="X165" s="110">
        <f t="shared" si="82"/>
        <v>1178.76</v>
      </c>
      <c r="Y165" s="110">
        <f t="shared" si="82"/>
        <v>1393.08</v>
      </c>
      <c r="Z165" s="110">
        <f t="shared" si="82"/>
        <v>1250.2</v>
      </c>
      <c r="AA165" s="110">
        <f t="shared" si="82"/>
        <v>1437.73</v>
      </c>
      <c r="AB165" s="110">
        <f t="shared" si="82"/>
        <v>1634.19</v>
      </c>
      <c r="AC165" s="110">
        <f t="shared" si="82"/>
        <v>669.75</v>
      </c>
      <c r="AD165" s="110">
        <f t="shared" si="82"/>
        <v>464.36</v>
      </c>
      <c r="AE165" s="110">
        <f t="shared" si="82"/>
        <v>383.99</v>
      </c>
      <c r="AF165" s="110">
        <f t="shared" si="82"/>
        <v>375.06</v>
      </c>
      <c r="AG165" s="94">
        <f t="shared" si="75"/>
        <v>24325.32</v>
      </c>
      <c r="AH165" s="16"/>
    </row>
    <row r="166">
      <c r="A166" s="123" t="s">
        <v>345</v>
      </c>
      <c r="B166" s="110">
        <f t="shared" ref="B166:AF166" si="83">B151*7</f>
        <v>98</v>
      </c>
      <c r="C166" s="110">
        <f t="shared" si="83"/>
        <v>84</v>
      </c>
      <c r="D166" s="110">
        <f t="shared" si="83"/>
        <v>126</v>
      </c>
      <c r="E166" s="110">
        <f t="shared" si="83"/>
        <v>77</v>
      </c>
      <c r="F166" s="110">
        <f t="shared" si="83"/>
        <v>77</v>
      </c>
      <c r="G166" s="110">
        <f t="shared" si="83"/>
        <v>91</v>
      </c>
      <c r="H166" s="110">
        <f t="shared" si="83"/>
        <v>63</v>
      </c>
      <c r="I166" s="110">
        <f t="shared" si="83"/>
        <v>28</v>
      </c>
      <c r="J166" s="110">
        <f t="shared" si="83"/>
        <v>105</v>
      </c>
      <c r="K166" s="110">
        <f t="shared" si="83"/>
        <v>91</v>
      </c>
      <c r="L166" s="110">
        <f t="shared" si="83"/>
        <v>119</v>
      </c>
      <c r="M166" s="110">
        <f t="shared" si="83"/>
        <v>70</v>
      </c>
      <c r="N166" s="110">
        <f t="shared" si="83"/>
        <v>84</v>
      </c>
      <c r="O166" s="110">
        <f t="shared" si="83"/>
        <v>70</v>
      </c>
      <c r="P166" s="110">
        <f t="shared" si="83"/>
        <v>105</v>
      </c>
      <c r="Q166" s="110">
        <f t="shared" si="83"/>
        <v>154</v>
      </c>
      <c r="R166" s="110">
        <f t="shared" si="83"/>
        <v>161</v>
      </c>
      <c r="S166" s="110">
        <f t="shared" si="83"/>
        <v>231</v>
      </c>
      <c r="T166" s="110">
        <f t="shared" si="83"/>
        <v>287</v>
      </c>
      <c r="U166" s="110">
        <f t="shared" si="83"/>
        <v>133</v>
      </c>
      <c r="V166" s="110">
        <f t="shared" si="83"/>
        <v>189</v>
      </c>
      <c r="W166" s="110">
        <f t="shared" si="83"/>
        <v>196</v>
      </c>
      <c r="X166" s="110">
        <f t="shared" si="83"/>
        <v>175</v>
      </c>
      <c r="Y166" s="110">
        <f t="shared" si="83"/>
        <v>189</v>
      </c>
      <c r="Z166" s="110">
        <f t="shared" si="83"/>
        <v>210</v>
      </c>
      <c r="AA166" s="110">
        <f t="shared" si="83"/>
        <v>147</v>
      </c>
      <c r="AB166" s="110">
        <f t="shared" si="83"/>
        <v>259</v>
      </c>
      <c r="AC166" s="110">
        <f t="shared" si="83"/>
        <v>84</v>
      </c>
      <c r="AD166" s="110">
        <f t="shared" si="83"/>
        <v>70</v>
      </c>
      <c r="AE166" s="110">
        <f t="shared" si="83"/>
        <v>84</v>
      </c>
      <c r="AF166" s="110">
        <f t="shared" si="83"/>
        <v>35</v>
      </c>
      <c r="AG166" s="94">
        <f t="shared" si="75"/>
        <v>3892</v>
      </c>
      <c r="AH166" s="16"/>
    </row>
    <row r="167">
      <c r="A167" s="123" t="s">
        <v>346</v>
      </c>
      <c r="B167" s="110">
        <f t="shared" ref="B167:AF167" si="84">3.29*B150</f>
        <v>157.92</v>
      </c>
      <c r="C167" s="110">
        <f t="shared" si="84"/>
        <v>141.47</v>
      </c>
      <c r="D167" s="110">
        <f t="shared" si="84"/>
        <v>95.41</v>
      </c>
      <c r="E167" s="110">
        <f t="shared" si="84"/>
        <v>125.02</v>
      </c>
      <c r="F167" s="110">
        <f t="shared" si="84"/>
        <v>85.54</v>
      </c>
      <c r="G167" s="110">
        <f t="shared" si="84"/>
        <v>118.44</v>
      </c>
      <c r="H167" s="110">
        <f t="shared" si="84"/>
        <v>82.25</v>
      </c>
      <c r="I167" s="110">
        <f t="shared" si="84"/>
        <v>69.09</v>
      </c>
      <c r="J167" s="110">
        <f t="shared" si="84"/>
        <v>92.12</v>
      </c>
      <c r="K167" s="110">
        <f t="shared" si="84"/>
        <v>115.15</v>
      </c>
      <c r="L167" s="110">
        <f t="shared" si="84"/>
        <v>111.86</v>
      </c>
      <c r="M167" s="110">
        <f t="shared" si="84"/>
        <v>105.28</v>
      </c>
      <c r="N167" s="110">
        <f t="shared" si="84"/>
        <v>75.67</v>
      </c>
      <c r="O167" s="110">
        <f t="shared" si="84"/>
        <v>98.7</v>
      </c>
      <c r="P167" s="110">
        <f t="shared" si="84"/>
        <v>138.18</v>
      </c>
      <c r="Q167" s="110">
        <f t="shared" si="84"/>
        <v>230.3</v>
      </c>
      <c r="R167" s="110">
        <f t="shared" si="84"/>
        <v>190.82</v>
      </c>
      <c r="S167" s="110">
        <f t="shared" si="84"/>
        <v>180.95</v>
      </c>
      <c r="T167" s="110">
        <f t="shared" si="84"/>
        <v>217.14</v>
      </c>
      <c r="U167" s="110">
        <f t="shared" si="84"/>
        <v>203.98</v>
      </c>
      <c r="V167" s="110">
        <f t="shared" si="84"/>
        <v>207.27</v>
      </c>
      <c r="W167" s="110">
        <f t="shared" si="84"/>
        <v>276.36</v>
      </c>
      <c r="X167" s="110">
        <f t="shared" si="84"/>
        <v>236.88</v>
      </c>
      <c r="Y167" s="110">
        <f t="shared" si="84"/>
        <v>256.62</v>
      </c>
      <c r="Z167" s="110">
        <f t="shared" si="84"/>
        <v>230.3</v>
      </c>
      <c r="AA167" s="110">
        <f t="shared" si="84"/>
        <v>263.2</v>
      </c>
      <c r="AB167" s="110">
        <f t="shared" si="84"/>
        <v>361.9</v>
      </c>
      <c r="AC167" s="110">
        <f t="shared" si="84"/>
        <v>164.5</v>
      </c>
      <c r="AD167" s="110">
        <f t="shared" si="84"/>
        <v>128.31</v>
      </c>
      <c r="AE167" s="110">
        <f t="shared" si="84"/>
        <v>72.38</v>
      </c>
      <c r="AF167" s="110">
        <f t="shared" si="84"/>
        <v>88.83</v>
      </c>
      <c r="AG167" s="94">
        <f t="shared" si="75"/>
        <v>4921.84</v>
      </c>
      <c r="AH167" s="16"/>
    </row>
    <row r="168">
      <c r="A168" s="123" t="s">
        <v>347</v>
      </c>
      <c r="B168" s="110">
        <f t="shared" ref="B168:AF168" si="85">B152*0.45</f>
        <v>9</v>
      </c>
      <c r="C168" s="110">
        <f t="shared" si="85"/>
        <v>11.25</v>
      </c>
      <c r="D168" s="110">
        <f t="shared" si="85"/>
        <v>7.2</v>
      </c>
      <c r="E168" s="110">
        <f t="shared" si="85"/>
        <v>7.65</v>
      </c>
      <c r="F168" s="110">
        <f t="shared" si="85"/>
        <v>8.1</v>
      </c>
      <c r="G168" s="110">
        <f t="shared" si="85"/>
        <v>8.55</v>
      </c>
      <c r="H168" s="110">
        <f t="shared" si="85"/>
        <v>3.6</v>
      </c>
      <c r="I168" s="110">
        <f t="shared" si="85"/>
        <v>3.15</v>
      </c>
      <c r="J168" s="110">
        <f t="shared" si="85"/>
        <v>8.55</v>
      </c>
      <c r="K168" s="110">
        <f t="shared" si="85"/>
        <v>3.6</v>
      </c>
      <c r="L168" s="110">
        <f t="shared" si="85"/>
        <v>8.55</v>
      </c>
      <c r="M168" s="110">
        <f t="shared" si="85"/>
        <v>10.35</v>
      </c>
      <c r="N168" s="110">
        <f t="shared" si="85"/>
        <v>4.95</v>
      </c>
      <c r="O168" s="110">
        <f t="shared" si="85"/>
        <v>4.5</v>
      </c>
      <c r="P168" s="110">
        <f t="shared" si="85"/>
        <v>7.2</v>
      </c>
      <c r="Q168" s="110">
        <f t="shared" si="85"/>
        <v>15.75</v>
      </c>
      <c r="R168" s="110">
        <f t="shared" si="85"/>
        <v>18.9</v>
      </c>
      <c r="S168" s="110">
        <f t="shared" si="85"/>
        <v>18</v>
      </c>
      <c r="T168" s="110">
        <f t="shared" si="85"/>
        <v>18</v>
      </c>
      <c r="U168" s="110">
        <f t="shared" si="85"/>
        <v>13.95</v>
      </c>
      <c r="V168" s="110">
        <f t="shared" si="85"/>
        <v>17.1</v>
      </c>
      <c r="W168" s="110">
        <f t="shared" si="85"/>
        <v>20.7</v>
      </c>
      <c r="X168" s="110">
        <f t="shared" si="85"/>
        <v>18.45</v>
      </c>
      <c r="Y168" s="110">
        <f t="shared" si="85"/>
        <v>18.45</v>
      </c>
      <c r="Z168" s="110">
        <f t="shared" si="85"/>
        <v>22.05</v>
      </c>
      <c r="AA168" s="110">
        <f t="shared" si="85"/>
        <v>22.95</v>
      </c>
      <c r="AB168" s="110">
        <f t="shared" si="85"/>
        <v>22.95</v>
      </c>
      <c r="AC168" s="110">
        <f t="shared" si="85"/>
        <v>8.55</v>
      </c>
      <c r="AD168" s="110">
        <f t="shared" si="85"/>
        <v>6.75</v>
      </c>
      <c r="AE168" s="110">
        <f t="shared" si="85"/>
        <v>6.3</v>
      </c>
      <c r="AF168" s="110">
        <f t="shared" si="85"/>
        <v>5.85</v>
      </c>
      <c r="AG168" s="94">
        <f t="shared" si="75"/>
        <v>360.9</v>
      </c>
      <c r="AH168" s="16"/>
    </row>
    <row r="169">
      <c r="A169" s="23" t="s">
        <v>348</v>
      </c>
      <c r="B169" s="110">
        <v>754.0</v>
      </c>
      <c r="C169" s="110">
        <v>656.0</v>
      </c>
      <c r="D169" s="110">
        <v>0.0</v>
      </c>
      <c r="E169" s="110">
        <v>0.0</v>
      </c>
      <c r="F169" s="110">
        <v>1060.0</v>
      </c>
      <c r="G169" s="110">
        <v>0.0</v>
      </c>
      <c r="H169" s="110">
        <v>0.0</v>
      </c>
      <c r="I169" s="110">
        <v>645.0</v>
      </c>
      <c r="J169" s="110">
        <v>189.0</v>
      </c>
      <c r="K169" s="110">
        <v>0.0</v>
      </c>
      <c r="L169" s="110">
        <v>0.0</v>
      </c>
      <c r="M169" s="110">
        <v>644.0</v>
      </c>
      <c r="N169" s="110">
        <v>0.0</v>
      </c>
      <c r="O169" s="110">
        <v>422.0</v>
      </c>
      <c r="P169" s="110">
        <v>363.0</v>
      </c>
      <c r="Q169" s="110">
        <v>1105.0</v>
      </c>
      <c r="R169" s="110">
        <v>0.0</v>
      </c>
      <c r="S169" s="110">
        <v>0.0</v>
      </c>
      <c r="T169" s="110">
        <v>1637.0</v>
      </c>
      <c r="U169" s="110">
        <v>665.0</v>
      </c>
      <c r="V169" s="110">
        <v>378.0</v>
      </c>
      <c r="W169" s="110">
        <v>745.0</v>
      </c>
      <c r="X169" s="110">
        <v>0.0</v>
      </c>
      <c r="Y169" s="110">
        <v>0.0</v>
      </c>
      <c r="Z169" s="110">
        <v>0.0</v>
      </c>
      <c r="AA169" s="110">
        <v>1946.0</v>
      </c>
      <c r="AB169" s="110">
        <v>1424.0</v>
      </c>
      <c r="AC169" s="110">
        <v>975.0</v>
      </c>
      <c r="AD169" s="110">
        <v>251.0</v>
      </c>
      <c r="AE169" s="110">
        <v>248.0</v>
      </c>
      <c r="AF169" s="111">
        <v>0.0</v>
      </c>
      <c r="AG169" s="94">
        <f t="shared" si="75"/>
        <v>14107</v>
      </c>
      <c r="AH169" s="16"/>
    </row>
    <row r="170">
      <c r="A170" s="123" t="s">
        <v>349</v>
      </c>
      <c r="B170" s="126">
        <f t="shared" ref="B170:AF170" si="86">B138*0.05</f>
        <v>1717.2</v>
      </c>
      <c r="C170" s="126">
        <f t="shared" si="86"/>
        <v>1952.4</v>
      </c>
      <c r="D170" s="126">
        <f t="shared" si="86"/>
        <v>1923</v>
      </c>
      <c r="E170" s="126">
        <f t="shared" si="86"/>
        <v>1732</v>
      </c>
      <c r="F170" s="126">
        <f t="shared" si="86"/>
        <v>1699.3</v>
      </c>
      <c r="G170" s="126">
        <f t="shared" si="86"/>
        <v>1518.55</v>
      </c>
      <c r="H170" s="126">
        <f t="shared" si="86"/>
        <v>944.85</v>
      </c>
      <c r="I170" s="126">
        <f t="shared" si="86"/>
        <v>1210.2</v>
      </c>
      <c r="J170" s="126">
        <f t="shared" si="86"/>
        <v>1554.6</v>
      </c>
      <c r="K170" s="126">
        <f t="shared" si="86"/>
        <v>1802.95</v>
      </c>
      <c r="L170" s="126">
        <f t="shared" si="86"/>
        <v>1720.65</v>
      </c>
      <c r="M170" s="126">
        <f t="shared" si="86"/>
        <v>1887.1</v>
      </c>
      <c r="N170" s="126">
        <f t="shared" si="86"/>
        <v>1665.45</v>
      </c>
      <c r="O170" s="126">
        <f t="shared" si="86"/>
        <v>1468.6</v>
      </c>
      <c r="P170" s="126">
        <f t="shared" si="86"/>
        <v>2067.6</v>
      </c>
      <c r="Q170" s="126">
        <f t="shared" si="86"/>
        <v>3010.15</v>
      </c>
      <c r="R170" s="126">
        <f t="shared" si="86"/>
        <v>2742.4</v>
      </c>
      <c r="S170" s="126">
        <f t="shared" si="86"/>
        <v>3249.1</v>
      </c>
      <c r="T170" s="126">
        <f t="shared" si="86"/>
        <v>3498.7</v>
      </c>
      <c r="U170" s="126">
        <f t="shared" si="86"/>
        <v>3069.35</v>
      </c>
      <c r="V170" s="126">
        <f t="shared" si="86"/>
        <v>2718.65</v>
      </c>
      <c r="W170" s="126">
        <f t="shared" si="86"/>
        <v>3428.85</v>
      </c>
      <c r="X170" s="126">
        <f t="shared" si="86"/>
        <v>3365.65</v>
      </c>
      <c r="Y170" s="126">
        <f t="shared" si="86"/>
        <v>3629.2</v>
      </c>
      <c r="Z170" s="126">
        <f t="shared" si="86"/>
        <v>3752.2</v>
      </c>
      <c r="AA170" s="126">
        <f t="shared" si="86"/>
        <v>4256.9</v>
      </c>
      <c r="AB170" s="126">
        <f t="shared" si="86"/>
        <v>5323.45</v>
      </c>
      <c r="AC170" s="126">
        <f t="shared" si="86"/>
        <v>1690.8</v>
      </c>
      <c r="AD170" s="126">
        <f t="shared" si="86"/>
        <v>1469.45</v>
      </c>
      <c r="AE170" s="126">
        <f t="shared" si="86"/>
        <v>1271.65</v>
      </c>
      <c r="AF170" s="126">
        <f t="shared" si="86"/>
        <v>1066.65</v>
      </c>
      <c r="AG170" s="94">
        <f t="shared" si="75"/>
        <v>72407.6</v>
      </c>
      <c r="AH170" s="16"/>
    </row>
    <row r="171">
      <c r="A171" s="23"/>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23"/>
      <c r="AG171" s="16"/>
      <c r="AH171" s="16"/>
    </row>
    <row r="172">
      <c r="A172" s="267" t="s">
        <v>16</v>
      </c>
      <c r="B172" s="268">
        <f t="shared" ref="B172:AF172" si="87">SUM(B157:B170)</f>
        <v>28732.4565</v>
      </c>
      <c r="C172" s="268">
        <f t="shared" si="87"/>
        <v>32483.5565</v>
      </c>
      <c r="D172" s="268">
        <f t="shared" si="87"/>
        <v>31645.062</v>
      </c>
      <c r="E172" s="268">
        <f t="shared" si="87"/>
        <v>30464.8275</v>
      </c>
      <c r="F172" s="268">
        <f t="shared" si="87"/>
        <v>29996.847</v>
      </c>
      <c r="G172" s="268">
        <f t="shared" si="87"/>
        <v>26114.6085</v>
      </c>
      <c r="H172" s="268">
        <f t="shared" si="87"/>
        <v>19210.585</v>
      </c>
      <c r="I172" s="268">
        <f t="shared" si="87"/>
        <v>22716.326</v>
      </c>
      <c r="J172" s="268">
        <f t="shared" si="87"/>
        <v>28150.87</v>
      </c>
      <c r="K172" s="268">
        <f t="shared" si="87"/>
        <v>31331.2525</v>
      </c>
      <c r="L172" s="268">
        <f t="shared" si="87"/>
        <v>30079.172</v>
      </c>
      <c r="M172" s="268">
        <f t="shared" si="87"/>
        <v>32796.0805</v>
      </c>
      <c r="N172" s="268">
        <f t="shared" si="87"/>
        <v>29265.868</v>
      </c>
      <c r="O172" s="268">
        <f t="shared" si="87"/>
        <v>26918.9925</v>
      </c>
      <c r="P172" s="268">
        <f t="shared" si="87"/>
        <v>35230.911</v>
      </c>
      <c r="Q172" s="268">
        <f t="shared" si="87"/>
        <v>49315.7185</v>
      </c>
      <c r="R172" s="268">
        <f t="shared" si="87"/>
        <v>46217.2295</v>
      </c>
      <c r="S172" s="268">
        <f t="shared" si="87"/>
        <v>53459.6505</v>
      </c>
      <c r="T172" s="268">
        <f t="shared" si="87"/>
        <v>57241.321</v>
      </c>
      <c r="U172" s="268">
        <f t="shared" si="87"/>
        <v>50964.327</v>
      </c>
      <c r="V172" s="268">
        <f t="shared" si="87"/>
        <v>45124.796</v>
      </c>
      <c r="W172" s="268">
        <f t="shared" si="87"/>
        <v>53601.2155</v>
      </c>
      <c r="X172" s="268">
        <f t="shared" si="87"/>
        <v>56075.4345</v>
      </c>
      <c r="Y172" s="268">
        <f t="shared" si="87"/>
        <v>61332.4645</v>
      </c>
      <c r="Z172" s="268">
        <f t="shared" si="87"/>
        <v>64935.398</v>
      </c>
      <c r="AA172" s="268">
        <f t="shared" si="87"/>
        <v>72617.865</v>
      </c>
      <c r="AB172" s="268">
        <f t="shared" si="87"/>
        <v>87591.2875</v>
      </c>
      <c r="AC172" s="268">
        <f t="shared" si="87"/>
        <v>40272.892</v>
      </c>
      <c r="AD172" s="268">
        <f t="shared" si="87"/>
        <v>31588.4385</v>
      </c>
      <c r="AE172" s="268">
        <f t="shared" si="87"/>
        <v>29208.2135</v>
      </c>
      <c r="AF172" s="268">
        <f t="shared" si="87"/>
        <v>21961.1755</v>
      </c>
      <c r="AG172" s="94">
        <f>SUM(B172:AF172)</f>
        <v>1256644.843</v>
      </c>
      <c r="AH172" s="16"/>
    </row>
    <row r="173">
      <c r="A173" s="23"/>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7"/>
      <c r="AG173" s="126"/>
      <c r="AH173" s="16"/>
    </row>
    <row r="174">
      <c r="A174" s="61" t="s">
        <v>177</v>
      </c>
      <c r="B174" s="128">
        <f t="shared" ref="B174:AF174" si="88">B138-B172</f>
        <v>5611.5435</v>
      </c>
      <c r="C174" s="128">
        <f t="shared" si="88"/>
        <v>6564.4435</v>
      </c>
      <c r="D174" s="128">
        <f t="shared" si="88"/>
        <v>6814.938</v>
      </c>
      <c r="E174" s="128">
        <f t="shared" si="88"/>
        <v>4175.1725</v>
      </c>
      <c r="F174" s="128">
        <f t="shared" si="88"/>
        <v>3989.153</v>
      </c>
      <c r="G174" s="128">
        <f t="shared" si="88"/>
        <v>4256.3915</v>
      </c>
      <c r="H174" s="128">
        <f t="shared" si="88"/>
        <v>-313.585</v>
      </c>
      <c r="I174" s="128">
        <f t="shared" si="88"/>
        <v>1487.674</v>
      </c>
      <c r="J174" s="128">
        <f t="shared" si="88"/>
        <v>2941.13</v>
      </c>
      <c r="K174" s="128">
        <f t="shared" si="88"/>
        <v>4727.7475</v>
      </c>
      <c r="L174" s="128">
        <f t="shared" si="88"/>
        <v>4333.828</v>
      </c>
      <c r="M174" s="128">
        <f t="shared" si="88"/>
        <v>4945.9195</v>
      </c>
      <c r="N174" s="128">
        <f t="shared" si="88"/>
        <v>4043.132</v>
      </c>
      <c r="O174" s="128">
        <f t="shared" si="88"/>
        <v>2453.0075</v>
      </c>
      <c r="P174" s="128">
        <f t="shared" si="88"/>
        <v>6121.089</v>
      </c>
      <c r="Q174" s="128">
        <f t="shared" si="88"/>
        <v>10887.2815</v>
      </c>
      <c r="R174" s="128">
        <f t="shared" si="88"/>
        <v>8630.7705</v>
      </c>
      <c r="S174" s="128">
        <f t="shared" si="88"/>
        <v>11522.3495</v>
      </c>
      <c r="T174" s="128">
        <f t="shared" si="88"/>
        <v>12732.679</v>
      </c>
      <c r="U174" s="128">
        <f t="shared" si="88"/>
        <v>10422.673</v>
      </c>
      <c r="V174" s="128">
        <f t="shared" si="88"/>
        <v>9248.204</v>
      </c>
      <c r="W174" s="128">
        <f t="shared" si="88"/>
        <v>14975.7845</v>
      </c>
      <c r="X174" s="128">
        <f t="shared" si="88"/>
        <v>11237.5655</v>
      </c>
      <c r="Y174" s="128">
        <f t="shared" si="88"/>
        <v>11251.5355</v>
      </c>
      <c r="Z174" s="128">
        <f t="shared" si="88"/>
        <v>10108.602</v>
      </c>
      <c r="AA174" s="128">
        <f t="shared" si="88"/>
        <v>12520.135</v>
      </c>
      <c r="AB174" s="128">
        <f t="shared" si="88"/>
        <v>18877.7125</v>
      </c>
      <c r="AC174" s="130">
        <f t="shared" si="88"/>
        <v>-6456.892</v>
      </c>
      <c r="AD174" s="130">
        <f t="shared" si="88"/>
        <v>-2199.4385</v>
      </c>
      <c r="AE174" s="130">
        <f t="shared" si="88"/>
        <v>-3775.2135</v>
      </c>
      <c r="AF174" s="132">
        <f t="shared" si="88"/>
        <v>-628.1755</v>
      </c>
      <c r="AG174" s="126"/>
      <c r="AH174" s="16"/>
    </row>
    <row r="175">
      <c r="A175" s="132">
        <f>SUM(B174:AF174)</f>
        <v>191507.1575</v>
      </c>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7"/>
      <c r="AG175" s="126"/>
      <c r="AH175" s="16"/>
    </row>
    <row r="176">
      <c r="A176" s="23"/>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7"/>
      <c r="AG176" s="126"/>
      <c r="AH176" s="16"/>
    </row>
    <row r="177">
      <c r="A177" s="269" t="s">
        <v>350</v>
      </c>
      <c r="B177" s="270">
        <f t="shared" ref="B177:AF177" si="89">B138/B172</f>
        <v>1.195303298</v>
      </c>
      <c r="C177" s="271">
        <f t="shared" si="89"/>
        <v>1.202085123</v>
      </c>
      <c r="D177" s="272">
        <f t="shared" si="89"/>
        <v>1.215355495</v>
      </c>
      <c r="E177" s="273">
        <f t="shared" si="89"/>
        <v>1.137048946</v>
      </c>
      <c r="F177" s="274">
        <f t="shared" si="89"/>
        <v>1.132985743</v>
      </c>
      <c r="G177" s="275">
        <f t="shared" si="89"/>
        <v>1.162988907</v>
      </c>
      <c r="H177" s="276">
        <f t="shared" si="89"/>
        <v>0.9836764471</v>
      </c>
      <c r="I177" s="277">
        <f t="shared" si="89"/>
        <v>1.065489199</v>
      </c>
      <c r="J177" s="278">
        <f t="shared" si="89"/>
        <v>1.10447741</v>
      </c>
      <c r="K177" s="279">
        <f t="shared" si="89"/>
        <v>1.150895579</v>
      </c>
      <c r="L177" s="280">
        <f t="shared" si="89"/>
        <v>1.144080695</v>
      </c>
      <c r="M177" s="281">
        <f t="shared" si="89"/>
        <v>1.15080825</v>
      </c>
      <c r="N177" s="273">
        <f t="shared" si="89"/>
        <v>1.138151788</v>
      </c>
      <c r="O177" s="282">
        <f t="shared" si="89"/>
        <v>1.091125532</v>
      </c>
      <c r="P177" s="283">
        <f t="shared" si="89"/>
        <v>1.173742002</v>
      </c>
      <c r="Q177" s="284">
        <f t="shared" si="89"/>
        <v>1.220766965</v>
      </c>
      <c r="R177" s="285">
        <f t="shared" si="89"/>
        <v>1.186743571</v>
      </c>
      <c r="S177" s="272">
        <f t="shared" si="89"/>
        <v>1.215533573</v>
      </c>
      <c r="T177" s="286">
        <f t="shared" si="89"/>
        <v>1.222438595</v>
      </c>
      <c r="U177" s="287">
        <f t="shared" si="89"/>
        <v>1.204509185</v>
      </c>
      <c r="V177" s="288">
        <f t="shared" si="89"/>
        <v>1.204947276</v>
      </c>
      <c r="W177" s="289">
        <f t="shared" si="89"/>
        <v>1.279392629</v>
      </c>
      <c r="X177" s="290">
        <f t="shared" si="89"/>
        <v>1.200400864</v>
      </c>
      <c r="Y177" s="291">
        <f t="shared" si="89"/>
        <v>1.183451547</v>
      </c>
      <c r="Z177" s="292">
        <f t="shared" si="89"/>
        <v>1.155671672</v>
      </c>
      <c r="AA177" s="293">
        <f t="shared" si="89"/>
        <v>1.172411224</v>
      </c>
      <c r="AB177" s="272">
        <f t="shared" si="89"/>
        <v>1.215520436</v>
      </c>
      <c r="AC177" s="294">
        <f t="shared" si="89"/>
        <v>0.8396715091</v>
      </c>
      <c r="AD177" s="295">
        <f t="shared" si="89"/>
        <v>0.930372041</v>
      </c>
      <c r="AE177" s="296">
        <f t="shared" si="89"/>
        <v>0.8707482229</v>
      </c>
      <c r="AF177" s="297">
        <f t="shared" si="89"/>
        <v>0.9713960894</v>
      </c>
      <c r="AG177" s="126"/>
      <c r="AH177" s="16"/>
    </row>
    <row r="178">
      <c r="A178" s="127"/>
      <c r="B178" s="172"/>
      <c r="C178" s="172"/>
      <c r="D178" s="172"/>
      <c r="E178" s="172"/>
      <c r="F178" s="172"/>
      <c r="G178" s="172"/>
      <c r="H178" s="172"/>
      <c r="I178" s="172"/>
      <c r="J178" s="172"/>
      <c r="K178" s="172"/>
      <c r="L178" s="172"/>
      <c r="M178" s="172"/>
      <c r="N178" s="172"/>
      <c r="O178" s="16"/>
      <c r="P178" s="16"/>
      <c r="Q178" s="16"/>
      <c r="R178" s="16"/>
      <c r="S178" s="16"/>
      <c r="T178" s="16"/>
      <c r="U178" s="16"/>
      <c r="V178" s="16"/>
      <c r="W178" s="16"/>
      <c r="X178" s="172"/>
      <c r="Y178" s="172"/>
      <c r="Z178" s="172"/>
      <c r="AA178" s="172"/>
      <c r="AB178" s="172"/>
      <c r="AC178" s="172"/>
      <c r="AD178" s="172"/>
      <c r="AE178" s="172"/>
      <c r="AF178" s="173"/>
      <c r="AG178" s="126"/>
      <c r="AH178" s="16"/>
    </row>
    <row r="179">
      <c r="A179" s="269" t="s">
        <v>351</v>
      </c>
      <c r="B179" s="298">
        <v>3.52</v>
      </c>
      <c r="C179" s="299">
        <v>3.54</v>
      </c>
      <c r="D179" s="300">
        <v>3.65</v>
      </c>
      <c r="E179" s="301">
        <v>3.0</v>
      </c>
      <c r="F179" s="302">
        <v>3.16</v>
      </c>
      <c r="G179" s="303">
        <v>3.18</v>
      </c>
      <c r="H179" s="304">
        <v>2.13</v>
      </c>
      <c r="I179" s="305">
        <v>2.77</v>
      </c>
      <c r="J179" s="306">
        <v>2.81</v>
      </c>
      <c r="K179" s="302">
        <v>3.17</v>
      </c>
      <c r="L179" s="307">
        <v>3.21</v>
      </c>
      <c r="M179" s="308">
        <v>3.24</v>
      </c>
      <c r="N179" s="309">
        <v>3.04</v>
      </c>
      <c r="O179" s="310">
        <v>2.86</v>
      </c>
      <c r="P179" s="303">
        <v>3.18</v>
      </c>
      <c r="Q179" s="311">
        <v>3.85</v>
      </c>
      <c r="R179" s="312">
        <v>3.34</v>
      </c>
      <c r="S179" s="313">
        <v>3.61</v>
      </c>
      <c r="T179" s="314">
        <v>3.87</v>
      </c>
      <c r="U179" s="315">
        <v>3.57</v>
      </c>
      <c r="V179" s="299">
        <v>3.54</v>
      </c>
      <c r="W179" s="316">
        <v>4.24</v>
      </c>
      <c r="X179" s="317">
        <v>3.49</v>
      </c>
      <c r="Y179" s="318">
        <v>3.26</v>
      </c>
      <c r="Z179" s="319">
        <v>3.14</v>
      </c>
      <c r="AA179" s="320">
        <v>3.43</v>
      </c>
      <c r="AB179" s="321">
        <v>3.74</v>
      </c>
      <c r="AC179" s="322">
        <v>1.53</v>
      </c>
      <c r="AD179" s="323">
        <v>1.88</v>
      </c>
      <c r="AE179" s="324">
        <v>1.7</v>
      </c>
      <c r="AF179" s="325">
        <v>2.08</v>
      </c>
      <c r="AG179" s="126"/>
      <c r="AH179" s="16"/>
    </row>
    <row r="180">
      <c r="A180" s="23"/>
      <c r="B180" s="12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23"/>
      <c r="AG180" s="16"/>
      <c r="AH180" s="16"/>
    </row>
    <row r="181">
      <c r="A181" s="269" t="s">
        <v>179</v>
      </c>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16"/>
      <c r="AB181" s="326"/>
      <c r="AC181" s="326"/>
      <c r="AD181" s="326"/>
      <c r="AE181" s="326"/>
      <c r="AF181" s="327"/>
      <c r="AG181" s="326"/>
      <c r="AH181" s="16"/>
    </row>
    <row r="182">
      <c r="A182" s="111">
        <f>SUM(B138:AF138)</f>
        <v>1448152</v>
      </c>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c r="AA182" s="326"/>
      <c r="AB182" s="326"/>
      <c r="AC182" s="326"/>
      <c r="AD182" s="326"/>
      <c r="AE182" s="326"/>
      <c r="AF182" s="327"/>
      <c r="AG182" s="326"/>
      <c r="AH182" s="16"/>
    </row>
    <row r="183">
      <c r="A183" s="23"/>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23"/>
      <c r="AG183" s="16"/>
      <c r="AH183" s="16"/>
    </row>
    <row r="184">
      <c r="A184" s="269" t="s">
        <v>168</v>
      </c>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23"/>
      <c r="AG184" s="16"/>
      <c r="AH184" s="16"/>
    </row>
    <row r="185">
      <c r="A185" s="111">
        <f>SUM(B172:AF172)</f>
        <v>1256644.843</v>
      </c>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23"/>
      <c r="AG185" s="16"/>
      <c r="AH185" s="16"/>
    </row>
    <row r="186">
      <c r="A186" s="23"/>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23"/>
      <c r="AG186" s="16"/>
      <c r="AH186" s="16"/>
    </row>
    <row r="187">
      <c r="A187" s="269" t="s">
        <v>288</v>
      </c>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23"/>
      <c r="AG187" s="16"/>
      <c r="AH187" s="16"/>
    </row>
    <row r="188">
      <c r="A188" s="328">
        <f>A182/A185</f>
        <v>1.15239561</v>
      </c>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23"/>
      <c r="AG188" s="16"/>
      <c r="AH188" s="16"/>
    </row>
    <row r="189">
      <c r="A189" s="23"/>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23"/>
      <c r="AG189" s="16"/>
      <c r="AH189" s="16"/>
    </row>
    <row r="190">
      <c r="A190" s="23"/>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23"/>
      <c r="AG190" s="16"/>
      <c r="AH190" s="16"/>
    </row>
    <row r="191">
      <c r="A191" s="23"/>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23"/>
      <c r="AG191" s="16"/>
      <c r="AH191" s="16"/>
    </row>
    <row r="192">
      <c r="A192" s="23" t="s">
        <v>352</v>
      </c>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7"/>
      <c r="AG192" s="16"/>
      <c r="AH192" s="16"/>
    </row>
    <row r="193">
      <c r="A193" s="23" t="s">
        <v>341</v>
      </c>
      <c r="B193" s="329"/>
      <c r="C193" s="329"/>
      <c r="D193" s="329"/>
      <c r="E193" s="329"/>
      <c r="F193" s="329"/>
      <c r="G193" s="329"/>
      <c r="H193" s="329"/>
      <c r="I193" s="329"/>
      <c r="J193" s="329"/>
      <c r="K193" s="329"/>
      <c r="L193" s="329"/>
      <c r="M193" s="329"/>
      <c r="N193" s="329"/>
      <c r="O193" s="329"/>
      <c r="P193" s="329"/>
      <c r="Q193" s="329"/>
      <c r="R193" s="329"/>
      <c r="S193" s="329"/>
      <c r="T193" s="329"/>
      <c r="U193" s="329"/>
      <c r="V193" s="329"/>
      <c r="W193" s="329"/>
      <c r="X193" s="329"/>
      <c r="Y193" s="329"/>
      <c r="Z193" s="329"/>
      <c r="AA193" s="329"/>
      <c r="AB193" s="329"/>
      <c r="AC193" s="329"/>
      <c r="AD193" s="329"/>
      <c r="AE193" s="329"/>
      <c r="AF193" s="330"/>
      <c r="AG193" s="16"/>
      <c r="AH193" s="16"/>
    </row>
    <row r="194">
      <c r="A194" s="23" t="s">
        <v>164</v>
      </c>
      <c r="B194" s="331">
        <f t="shared" ref="B194:AF194" si="90">(B42/B14)*(B5)</f>
        <v>149.9881644</v>
      </c>
      <c r="C194" s="331">
        <f t="shared" si="90"/>
        <v>200.8340691</v>
      </c>
      <c r="D194" s="331">
        <f t="shared" si="90"/>
        <v>96.23746019</v>
      </c>
      <c r="E194" s="331">
        <f t="shared" si="90"/>
        <v>190.8938898</v>
      </c>
      <c r="F194" s="331">
        <f t="shared" si="90"/>
        <v>155.1886109</v>
      </c>
      <c r="G194" s="331">
        <f t="shared" si="90"/>
        <v>129.3727626</v>
      </c>
      <c r="H194" s="331">
        <f t="shared" si="90"/>
        <v>69.29357217</v>
      </c>
      <c r="I194" s="331">
        <f t="shared" si="90"/>
        <v>103.3293625</v>
      </c>
      <c r="J194" s="331">
        <f t="shared" si="90"/>
        <v>81.09091059</v>
      </c>
      <c r="K194" s="331">
        <f t="shared" si="90"/>
        <v>165.9195651</v>
      </c>
      <c r="L194" s="331">
        <f t="shared" si="90"/>
        <v>83.77879562</v>
      </c>
      <c r="M194" s="331">
        <f t="shared" si="90"/>
        <v>177.5978074</v>
      </c>
      <c r="N194" s="331">
        <f t="shared" si="90"/>
        <v>155.39557</v>
      </c>
      <c r="O194" s="331">
        <f t="shared" si="90"/>
        <v>102.5246138</v>
      </c>
      <c r="P194" s="331">
        <f t="shared" si="90"/>
        <v>203.50304</v>
      </c>
      <c r="Q194" s="331">
        <f t="shared" si="90"/>
        <v>214.6502911</v>
      </c>
      <c r="R194" s="331">
        <f t="shared" si="90"/>
        <v>205.9198279</v>
      </c>
      <c r="S194" s="331">
        <f t="shared" si="90"/>
        <v>213.5669033</v>
      </c>
      <c r="T194" s="331">
        <f t="shared" si="90"/>
        <v>279.514024</v>
      </c>
      <c r="U194" s="331">
        <f t="shared" si="90"/>
        <v>241.488226</v>
      </c>
      <c r="V194" s="331">
        <f t="shared" si="90"/>
        <v>191.3268298</v>
      </c>
      <c r="W194" s="331">
        <f t="shared" si="90"/>
        <v>278.1431152</v>
      </c>
      <c r="X194" s="331">
        <f t="shared" si="90"/>
        <v>261.142992</v>
      </c>
      <c r="Y194" s="331">
        <f t="shared" si="90"/>
        <v>210.0687282</v>
      </c>
      <c r="Z194" s="331">
        <f t="shared" si="90"/>
        <v>260.3966104</v>
      </c>
      <c r="AA194" s="331">
        <f t="shared" si="90"/>
        <v>286.5950163</v>
      </c>
      <c r="AB194" s="331">
        <f t="shared" si="90"/>
        <v>352.1373178</v>
      </c>
      <c r="AC194" s="331">
        <f t="shared" si="90"/>
        <v>93.1765791</v>
      </c>
      <c r="AD194" s="331">
        <f t="shared" si="90"/>
        <v>97.90866647</v>
      </c>
      <c r="AE194" s="331">
        <f t="shared" si="90"/>
        <v>62.32889</v>
      </c>
      <c r="AF194" s="332">
        <f t="shared" si="90"/>
        <v>104.3855944</v>
      </c>
      <c r="AG194" s="16"/>
      <c r="AH194" s="16"/>
    </row>
    <row r="195">
      <c r="A195" s="23" t="s">
        <v>165</v>
      </c>
      <c r="B195" s="331">
        <f t="shared" ref="B195:AF195" si="91">(B43/B14)*B5</f>
        <v>6</v>
      </c>
      <c r="C195" s="331">
        <f t="shared" si="91"/>
        <v>8.7</v>
      </c>
      <c r="D195" s="331">
        <f t="shared" si="91"/>
        <v>3.9</v>
      </c>
      <c r="E195" s="331">
        <f t="shared" si="91"/>
        <v>8.1</v>
      </c>
      <c r="F195" s="331">
        <f t="shared" si="91"/>
        <v>6.9</v>
      </c>
      <c r="G195" s="331">
        <f t="shared" si="91"/>
        <v>5.4</v>
      </c>
      <c r="H195" s="331">
        <f t="shared" si="91"/>
        <v>2.7</v>
      </c>
      <c r="I195" s="331">
        <f t="shared" si="91"/>
        <v>4.2</v>
      </c>
      <c r="J195" s="331">
        <f t="shared" si="91"/>
        <v>3.6</v>
      </c>
      <c r="K195" s="331">
        <f t="shared" si="91"/>
        <v>6.9</v>
      </c>
      <c r="L195" s="331">
        <f t="shared" si="91"/>
        <v>3.6</v>
      </c>
      <c r="M195" s="331">
        <f t="shared" si="91"/>
        <v>6.9</v>
      </c>
      <c r="N195" s="331">
        <f t="shared" si="91"/>
        <v>6.6</v>
      </c>
      <c r="O195" s="331">
        <f t="shared" si="91"/>
        <v>4.5</v>
      </c>
      <c r="P195" s="331">
        <f t="shared" si="91"/>
        <v>8.4</v>
      </c>
      <c r="Q195" s="331">
        <f t="shared" si="91"/>
        <v>8.1</v>
      </c>
      <c r="R195" s="331">
        <f t="shared" si="91"/>
        <v>8.4</v>
      </c>
      <c r="S195" s="331">
        <f t="shared" si="91"/>
        <v>9</v>
      </c>
      <c r="T195" s="331">
        <f t="shared" si="91"/>
        <v>11.1</v>
      </c>
      <c r="U195" s="331">
        <f t="shared" si="91"/>
        <v>10.2</v>
      </c>
      <c r="V195" s="331">
        <f t="shared" si="91"/>
        <v>8.1</v>
      </c>
      <c r="W195" s="331">
        <f t="shared" si="91"/>
        <v>11.4</v>
      </c>
      <c r="X195" s="331">
        <f t="shared" si="91"/>
        <v>10.5</v>
      </c>
      <c r="Y195" s="331">
        <f t="shared" si="91"/>
        <v>9</v>
      </c>
      <c r="Z195" s="331">
        <f t="shared" si="91"/>
        <v>11.1</v>
      </c>
      <c r="AA195" s="331">
        <f t="shared" si="91"/>
        <v>11.1</v>
      </c>
      <c r="AB195" s="331">
        <f t="shared" si="91"/>
        <v>14.1</v>
      </c>
      <c r="AC195" s="331">
        <f t="shared" si="91"/>
        <v>4.2</v>
      </c>
      <c r="AD195" s="331">
        <f t="shared" si="91"/>
        <v>4.2</v>
      </c>
      <c r="AE195" s="331">
        <f t="shared" si="91"/>
        <v>3.9</v>
      </c>
      <c r="AF195" s="332">
        <f t="shared" si="91"/>
        <v>4.5</v>
      </c>
      <c r="AG195" s="16"/>
      <c r="AH195" s="16"/>
    </row>
    <row r="196">
      <c r="A196" s="23" t="s">
        <v>353</v>
      </c>
      <c r="B196" s="331">
        <f t="shared" ref="B196:AF196" si="92">85*B5</f>
        <v>1700</v>
      </c>
      <c r="C196" s="331">
        <f t="shared" si="92"/>
        <v>2465</v>
      </c>
      <c r="D196" s="331">
        <f t="shared" si="92"/>
        <v>1105</v>
      </c>
      <c r="E196" s="331">
        <f t="shared" si="92"/>
        <v>2295</v>
      </c>
      <c r="F196" s="331">
        <f t="shared" si="92"/>
        <v>1955</v>
      </c>
      <c r="G196" s="331">
        <f t="shared" si="92"/>
        <v>1530</v>
      </c>
      <c r="H196" s="331">
        <f t="shared" si="92"/>
        <v>765</v>
      </c>
      <c r="I196" s="331">
        <f t="shared" si="92"/>
        <v>1190</v>
      </c>
      <c r="J196" s="331">
        <f t="shared" si="92"/>
        <v>1020</v>
      </c>
      <c r="K196" s="331">
        <f t="shared" si="92"/>
        <v>1955</v>
      </c>
      <c r="L196" s="331">
        <f t="shared" si="92"/>
        <v>1020</v>
      </c>
      <c r="M196" s="331">
        <f t="shared" si="92"/>
        <v>1955</v>
      </c>
      <c r="N196" s="331">
        <f t="shared" si="92"/>
        <v>1870</v>
      </c>
      <c r="O196" s="331">
        <f t="shared" si="92"/>
        <v>1275</v>
      </c>
      <c r="P196" s="331">
        <f t="shared" si="92"/>
        <v>2380</v>
      </c>
      <c r="Q196" s="331">
        <f t="shared" si="92"/>
        <v>2295</v>
      </c>
      <c r="R196" s="331">
        <f t="shared" si="92"/>
        <v>2380</v>
      </c>
      <c r="S196" s="331">
        <f t="shared" si="92"/>
        <v>2550</v>
      </c>
      <c r="T196" s="331">
        <f t="shared" si="92"/>
        <v>3145</v>
      </c>
      <c r="U196" s="331">
        <f t="shared" si="92"/>
        <v>2890</v>
      </c>
      <c r="V196" s="331">
        <f t="shared" si="92"/>
        <v>2295</v>
      </c>
      <c r="W196" s="331">
        <f t="shared" si="92"/>
        <v>3230</v>
      </c>
      <c r="X196" s="331">
        <f t="shared" si="92"/>
        <v>2975</v>
      </c>
      <c r="Y196" s="331">
        <f t="shared" si="92"/>
        <v>2550</v>
      </c>
      <c r="Z196" s="331">
        <f t="shared" si="92"/>
        <v>3145</v>
      </c>
      <c r="AA196" s="331">
        <f t="shared" si="92"/>
        <v>3145</v>
      </c>
      <c r="AB196" s="331">
        <f t="shared" si="92"/>
        <v>3995</v>
      </c>
      <c r="AC196" s="331">
        <f t="shared" si="92"/>
        <v>1190</v>
      </c>
      <c r="AD196" s="331">
        <f t="shared" si="92"/>
        <v>1190</v>
      </c>
      <c r="AE196" s="331">
        <f t="shared" si="92"/>
        <v>1105</v>
      </c>
      <c r="AF196" s="332">
        <f t="shared" si="92"/>
        <v>1275</v>
      </c>
      <c r="AG196" s="16"/>
      <c r="AH196" s="16"/>
    </row>
    <row r="197">
      <c r="A197" s="23" t="s">
        <v>173</v>
      </c>
      <c r="B197" s="331">
        <f t="shared" ref="B197:AF197" si="93">10*B5</f>
        <v>200</v>
      </c>
      <c r="C197" s="331">
        <f t="shared" si="93"/>
        <v>290</v>
      </c>
      <c r="D197" s="331">
        <f t="shared" si="93"/>
        <v>130</v>
      </c>
      <c r="E197" s="331">
        <f t="shared" si="93"/>
        <v>270</v>
      </c>
      <c r="F197" s="331">
        <f t="shared" si="93"/>
        <v>230</v>
      </c>
      <c r="G197" s="331">
        <f t="shared" si="93"/>
        <v>180</v>
      </c>
      <c r="H197" s="331">
        <f t="shared" si="93"/>
        <v>90</v>
      </c>
      <c r="I197" s="331">
        <f t="shared" si="93"/>
        <v>140</v>
      </c>
      <c r="J197" s="331">
        <f t="shared" si="93"/>
        <v>120</v>
      </c>
      <c r="K197" s="331">
        <f t="shared" si="93"/>
        <v>230</v>
      </c>
      <c r="L197" s="331">
        <f t="shared" si="93"/>
        <v>120</v>
      </c>
      <c r="M197" s="331">
        <f t="shared" si="93"/>
        <v>230</v>
      </c>
      <c r="N197" s="331">
        <f t="shared" si="93"/>
        <v>220</v>
      </c>
      <c r="O197" s="331">
        <f t="shared" si="93"/>
        <v>150</v>
      </c>
      <c r="P197" s="331">
        <f t="shared" si="93"/>
        <v>280</v>
      </c>
      <c r="Q197" s="331">
        <f t="shared" si="93"/>
        <v>270</v>
      </c>
      <c r="R197" s="331">
        <f t="shared" si="93"/>
        <v>280</v>
      </c>
      <c r="S197" s="331">
        <f t="shared" si="93"/>
        <v>300</v>
      </c>
      <c r="T197" s="331">
        <f t="shared" si="93"/>
        <v>370</v>
      </c>
      <c r="U197" s="331">
        <f t="shared" si="93"/>
        <v>340</v>
      </c>
      <c r="V197" s="331">
        <f t="shared" si="93"/>
        <v>270</v>
      </c>
      <c r="W197" s="331">
        <f t="shared" si="93"/>
        <v>380</v>
      </c>
      <c r="X197" s="331">
        <f t="shared" si="93"/>
        <v>350</v>
      </c>
      <c r="Y197" s="331">
        <f t="shared" si="93"/>
        <v>300</v>
      </c>
      <c r="Z197" s="331">
        <f t="shared" si="93"/>
        <v>370</v>
      </c>
      <c r="AA197" s="331">
        <f t="shared" si="93"/>
        <v>370</v>
      </c>
      <c r="AB197" s="331">
        <f t="shared" si="93"/>
        <v>470</v>
      </c>
      <c r="AC197" s="331">
        <f t="shared" si="93"/>
        <v>140</v>
      </c>
      <c r="AD197" s="331">
        <f t="shared" si="93"/>
        <v>140</v>
      </c>
      <c r="AE197" s="331">
        <f t="shared" si="93"/>
        <v>130</v>
      </c>
      <c r="AF197" s="332">
        <f t="shared" si="93"/>
        <v>150</v>
      </c>
      <c r="AG197" s="16"/>
      <c r="AH197" s="16"/>
    </row>
    <row r="198">
      <c r="A198" s="23"/>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23"/>
      <c r="AG198" s="16"/>
      <c r="AH198" s="16"/>
    </row>
    <row r="199">
      <c r="A199" s="23" t="s">
        <v>354</v>
      </c>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7"/>
      <c r="AG199" s="16"/>
      <c r="AH199" s="16"/>
    </row>
    <row r="200">
      <c r="A200" s="23" t="s">
        <v>341</v>
      </c>
      <c r="B200" s="329"/>
      <c r="C200" s="329"/>
      <c r="D200" s="329"/>
      <c r="E200" s="329"/>
      <c r="F200" s="329"/>
      <c r="G200" s="329"/>
      <c r="H200" s="329"/>
      <c r="I200" s="329"/>
      <c r="J200" s="329"/>
      <c r="K200" s="329"/>
      <c r="L200" s="329"/>
      <c r="M200" s="329"/>
      <c r="N200" s="329"/>
      <c r="O200" s="329"/>
      <c r="P200" s="329"/>
      <c r="Q200" s="329"/>
      <c r="R200" s="329"/>
      <c r="S200" s="329"/>
      <c r="T200" s="329"/>
      <c r="U200" s="329"/>
      <c r="V200" s="329"/>
      <c r="W200" s="329"/>
      <c r="X200" s="329"/>
      <c r="Y200" s="329"/>
      <c r="Z200" s="329"/>
      <c r="AA200" s="329"/>
      <c r="AB200" s="329"/>
      <c r="AC200" s="329"/>
      <c r="AD200" s="329"/>
      <c r="AE200" s="329"/>
      <c r="AF200" s="330"/>
      <c r="AG200" s="16"/>
      <c r="AH200" s="16"/>
    </row>
    <row r="201">
      <c r="A201" s="23" t="s">
        <v>164</v>
      </c>
      <c r="B201" s="331">
        <f t="shared" ref="B201:AF201" si="94">(B42/B26)*B18</f>
        <v>0</v>
      </c>
      <c r="C201" s="331">
        <f t="shared" si="94"/>
        <v>0</v>
      </c>
      <c r="D201" s="331">
        <f t="shared" si="94"/>
        <v>0</v>
      </c>
      <c r="E201" s="331">
        <f t="shared" si="94"/>
        <v>0</v>
      </c>
      <c r="F201" s="331">
        <f t="shared" si="94"/>
        <v>0</v>
      </c>
      <c r="G201" s="331">
        <f t="shared" si="94"/>
        <v>0</v>
      </c>
      <c r="H201" s="331">
        <f t="shared" si="94"/>
        <v>0</v>
      </c>
      <c r="I201" s="331">
        <f t="shared" si="94"/>
        <v>0</v>
      </c>
      <c r="J201" s="331">
        <f t="shared" si="94"/>
        <v>0</v>
      </c>
      <c r="K201" s="331">
        <f t="shared" si="94"/>
        <v>0</v>
      </c>
      <c r="L201" s="331">
        <f t="shared" si="94"/>
        <v>0</v>
      </c>
      <c r="M201" s="331">
        <f t="shared" si="94"/>
        <v>0</v>
      </c>
      <c r="N201" s="331">
        <f t="shared" si="94"/>
        <v>0</v>
      </c>
      <c r="O201" s="331">
        <f t="shared" si="94"/>
        <v>0</v>
      </c>
      <c r="P201" s="331">
        <f t="shared" si="94"/>
        <v>0</v>
      </c>
      <c r="Q201" s="331">
        <f t="shared" si="94"/>
        <v>0</v>
      </c>
      <c r="R201" s="331">
        <f t="shared" si="94"/>
        <v>0</v>
      </c>
      <c r="S201" s="331">
        <f t="shared" si="94"/>
        <v>0</v>
      </c>
      <c r="T201" s="331">
        <f t="shared" si="94"/>
        <v>0</v>
      </c>
      <c r="U201" s="331">
        <f t="shared" si="94"/>
        <v>0</v>
      </c>
      <c r="V201" s="331">
        <f t="shared" si="94"/>
        <v>0</v>
      </c>
      <c r="W201" s="331">
        <f t="shared" si="94"/>
        <v>0</v>
      </c>
      <c r="X201" s="331">
        <f t="shared" si="94"/>
        <v>0</v>
      </c>
      <c r="Y201" s="331">
        <f t="shared" si="94"/>
        <v>0</v>
      </c>
      <c r="Z201" s="331">
        <f t="shared" si="94"/>
        <v>0</v>
      </c>
      <c r="AA201" s="331">
        <f t="shared" si="94"/>
        <v>0</v>
      </c>
      <c r="AB201" s="331">
        <f t="shared" si="94"/>
        <v>0</v>
      </c>
      <c r="AC201" s="331">
        <f t="shared" si="94"/>
        <v>0</v>
      </c>
      <c r="AD201" s="331">
        <f t="shared" si="94"/>
        <v>0</v>
      </c>
      <c r="AE201" s="331">
        <f t="shared" si="94"/>
        <v>0</v>
      </c>
      <c r="AF201" s="332">
        <f t="shared" si="94"/>
        <v>0</v>
      </c>
      <c r="AG201" s="16"/>
      <c r="AH201" s="16"/>
    </row>
    <row r="202">
      <c r="A202" s="23" t="s">
        <v>165</v>
      </c>
      <c r="B202" s="331">
        <f t="shared" ref="B202:AF202" si="95">(B43/B14)*B6</f>
        <v>0</v>
      </c>
      <c r="C202" s="331">
        <f t="shared" si="95"/>
        <v>0</v>
      </c>
      <c r="D202" s="331">
        <f t="shared" si="95"/>
        <v>0</v>
      </c>
      <c r="E202" s="331">
        <f t="shared" si="95"/>
        <v>0</v>
      </c>
      <c r="F202" s="331">
        <f t="shared" si="95"/>
        <v>0</v>
      </c>
      <c r="G202" s="331">
        <f t="shared" si="95"/>
        <v>0</v>
      </c>
      <c r="H202" s="331">
        <f t="shared" si="95"/>
        <v>0</v>
      </c>
      <c r="I202" s="331">
        <f t="shared" si="95"/>
        <v>0</v>
      </c>
      <c r="J202" s="331">
        <f t="shared" si="95"/>
        <v>0</v>
      </c>
      <c r="K202" s="331">
        <f t="shared" si="95"/>
        <v>0</v>
      </c>
      <c r="L202" s="331">
        <f t="shared" si="95"/>
        <v>0</v>
      </c>
      <c r="M202" s="331">
        <f t="shared" si="95"/>
        <v>0</v>
      </c>
      <c r="N202" s="331">
        <f t="shared" si="95"/>
        <v>0</v>
      </c>
      <c r="O202" s="331">
        <f t="shared" si="95"/>
        <v>0</v>
      </c>
      <c r="P202" s="331">
        <f t="shared" si="95"/>
        <v>0</v>
      </c>
      <c r="Q202" s="331">
        <f t="shared" si="95"/>
        <v>0</v>
      </c>
      <c r="R202" s="331">
        <f t="shared" si="95"/>
        <v>0</v>
      </c>
      <c r="S202" s="331">
        <f t="shared" si="95"/>
        <v>0</v>
      </c>
      <c r="T202" s="331">
        <f t="shared" si="95"/>
        <v>0</v>
      </c>
      <c r="U202" s="331">
        <f t="shared" si="95"/>
        <v>0</v>
      </c>
      <c r="V202" s="331">
        <f t="shared" si="95"/>
        <v>0</v>
      </c>
      <c r="W202" s="331">
        <f t="shared" si="95"/>
        <v>0</v>
      </c>
      <c r="X202" s="331">
        <f t="shared" si="95"/>
        <v>0</v>
      </c>
      <c r="Y202" s="331">
        <f t="shared" si="95"/>
        <v>0</v>
      </c>
      <c r="Z202" s="331">
        <f t="shared" si="95"/>
        <v>0</v>
      </c>
      <c r="AA202" s="331">
        <f t="shared" si="95"/>
        <v>0</v>
      </c>
      <c r="AB202" s="331">
        <f t="shared" si="95"/>
        <v>0</v>
      </c>
      <c r="AC202" s="331">
        <f t="shared" si="95"/>
        <v>0</v>
      </c>
      <c r="AD202" s="331">
        <f t="shared" si="95"/>
        <v>0</v>
      </c>
      <c r="AE202" s="331">
        <f t="shared" si="95"/>
        <v>0</v>
      </c>
      <c r="AF202" s="332">
        <f t="shared" si="95"/>
        <v>0</v>
      </c>
      <c r="AG202" s="16"/>
      <c r="AH202" s="16"/>
    </row>
    <row r="203">
      <c r="A203" s="23" t="s">
        <v>353</v>
      </c>
      <c r="B203" s="331">
        <f t="shared" ref="B203:AF203" si="96">85*B6</f>
        <v>0</v>
      </c>
      <c r="C203" s="331">
        <f t="shared" si="96"/>
        <v>0</v>
      </c>
      <c r="D203" s="331">
        <f t="shared" si="96"/>
        <v>0</v>
      </c>
      <c r="E203" s="331">
        <f t="shared" si="96"/>
        <v>0</v>
      </c>
      <c r="F203" s="331">
        <f t="shared" si="96"/>
        <v>0</v>
      </c>
      <c r="G203" s="331">
        <f t="shared" si="96"/>
        <v>0</v>
      </c>
      <c r="H203" s="331">
        <f t="shared" si="96"/>
        <v>0</v>
      </c>
      <c r="I203" s="331">
        <f t="shared" si="96"/>
        <v>0</v>
      </c>
      <c r="J203" s="331">
        <f t="shared" si="96"/>
        <v>0</v>
      </c>
      <c r="K203" s="331">
        <f t="shared" si="96"/>
        <v>0</v>
      </c>
      <c r="L203" s="331">
        <f t="shared" si="96"/>
        <v>0</v>
      </c>
      <c r="M203" s="331">
        <f t="shared" si="96"/>
        <v>0</v>
      </c>
      <c r="N203" s="331">
        <f t="shared" si="96"/>
        <v>0</v>
      </c>
      <c r="O203" s="331">
        <f t="shared" si="96"/>
        <v>0</v>
      </c>
      <c r="P203" s="331">
        <f t="shared" si="96"/>
        <v>0</v>
      </c>
      <c r="Q203" s="331">
        <f t="shared" si="96"/>
        <v>0</v>
      </c>
      <c r="R203" s="331">
        <f t="shared" si="96"/>
        <v>0</v>
      </c>
      <c r="S203" s="331">
        <f t="shared" si="96"/>
        <v>0</v>
      </c>
      <c r="T203" s="331">
        <f t="shared" si="96"/>
        <v>0</v>
      </c>
      <c r="U203" s="331">
        <f t="shared" si="96"/>
        <v>0</v>
      </c>
      <c r="V203" s="331">
        <f t="shared" si="96"/>
        <v>0</v>
      </c>
      <c r="W203" s="331">
        <f t="shared" si="96"/>
        <v>0</v>
      </c>
      <c r="X203" s="331">
        <f t="shared" si="96"/>
        <v>0</v>
      </c>
      <c r="Y203" s="331">
        <f t="shared" si="96"/>
        <v>0</v>
      </c>
      <c r="Z203" s="331">
        <f t="shared" si="96"/>
        <v>0</v>
      </c>
      <c r="AA203" s="331">
        <f t="shared" si="96"/>
        <v>0</v>
      </c>
      <c r="AB203" s="331">
        <f t="shared" si="96"/>
        <v>0</v>
      </c>
      <c r="AC203" s="331">
        <f t="shared" si="96"/>
        <v>0</v>
      </c>
      <c r="AD203" s="331">
        <f t="shared" si="96"/>
        <v>0</v>
      </c>
      <c r="AE203" s="331">
        <f t="shared" si="96"/>
        <v>0</v>
      </c>
      <c r="AF203" s="332">
        <f t="shared" si="96"/>
        <v>0</v>
      </c>
      <c r="AG203" s="16"/>
      <c r="AH203" s="16"/>
    </row>
    <row r="204">
      <c r="A204" s="23" t="s">
        <v>173</v>
      </c>
      <c r="B204" s="331">
        <f t="shared" ref="B204:AF204" si="97">10*B6</f>
        <v>0</v>
      </c>
      <c r="C204" s="331">
        <f t="shared" si="97"/>
        <v>0</v>
      </c>
      <c r="D204" s="331">
        <f t="shared" si="97"/>
        <v>0</v>
      </c>
      <c r="E204" s="331">
        <f t="shared" si="97"/>
        <v>0</v>
      </c>
      <c r="F204" s="331">
        <f t="shared" si="97"/>
        <v>0</v>
      </c>
      <c r="G204" s="331">
        <f t="shared" si="97"/>
        <v>0</v>
      </c>
      <c r="H204" s="331">
        <f t="shared" si="97"/>
        <v>0</v>
      </c>
      <c r="I204" s="331">
        <f t="shared" si="97"/>
        <v>0</v>
      </c>
      <c r="J204" s="331">
        <f t="shared" si="97"/>
        <v>0</v>
      </c>
      <c r="K204" s="331">
        <f t="shared" si="97"/>
        <v>0</v>
      </c>
      <c r="L204" s="331">
        <f t="shared" si="97"/>
        <v>0</v>
      </c>
      <c r="M204" s="331">
        <f t="shared" si="97"/>
        <v>0</v>
      </c>
      <c r="N204" s="331">
        <f t="shared" si="97"/>
        <v>0</v>
      </c>
      <c r="O204" s="331">
        <f t="shared" si="97"/>
        <v>0</v>
      </c>
      <c r="P204" s="331">
        <f t="shared" si="97"/>
        <v>0</v>
      </c>
      <c r="Q204" s="331">
        <f t="shared" si="97"/>
        <v>0</v>
      </c>
      <c r="R204" s="331">
        <f t="shared" si="97"/>
        <v>0</v>
      </c>
      <c r="S204" s="331">
        <f t="shared" si="97"/>
        <v>0</v>
      </c>
      <c r="T204" s="331">
        <f t="shared" si="97"/>
        <v>0</v>
      </c>
      <c r="U204" s="331">
        <f t="shared" si="97"/>
        <v>0</v>
      </c>
      <c r="V204" s="331">
        <f t="shared" si="97"/>
        <v>0</v>
      </c>
      <c r="W204" s="331">
        <f t="shared" si="97"/>
        <v>0</v>
      </c>
      <c r="X204" s="331">
        <f t="shared" si="97"/>
        <v>0</v>
      </c>
      <c r="Y204" s="331">
        <f t="shared" si="97"/>
        <v>0</v>
      </c>
      <c r="Z204" s="331">
        <f t="shared" si="97"/>
        <v>0</v>
      </c>
      <c r="AA204" s="331">
        <f t="shared" si="97"/>
        <v>0</v>
      </c>
      <c r="AB204" s="331">
        <f t="shared" si="97"/>
        <v>0</v>
      </c>
      <c r="AC204" s="331">
        <f t="shared" si="97"/>
        <v>0</v>
      </c>
      <c r="AD204" s="331">
        <f t="shared" si="97"/>
        <v>0</v>
      </c>
      <c r="AE204" s="331">
        <f t="shared" si="97"/>
        <v>0</v>
      </c>
      <c r="AF204" s="332">
        <f t="shared" si="97"/>
        <v>0</v>
      </c>
      <c r="AG204" s="16"/>
      <c r="AH204" s="16"/>
    </row>
    <row r="205">
      <c r="A205" s="23"/>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23"/>
      <c r="AG205" s="16"/>
      <c r="AH205" s="16"/>
    </row>
    <row r="206">
      <c r="A206" s="23" t="s">
        <v>355</v>
      </c>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7"/>
      <c r="AG206" s="16"/>
      <c r="AH206" s="16"/>
    </row>
    <row r="207">
      <c r="A207" s="23" t="s">
        <v>341</v>
      </c>
      <c r="B207" s="333">
        <f t="shared" ref="B207:AD207" si="98">(B41/B26)*B19</f>
        <v>0</v>
      </c>
      <c r="C207" s="333">
        <f t="shared" si="98"/>
        <v>0</v>
      </c>
      <c r="D207" s="333">
        <f t="shared" si="98"/>
        <v>0</v>
      </c>
      <c r="E207" s="333">
        <f t="shared" si="98"/>
        <v>0</v>
      </c>
      <c r="F207" s="333">
        <f t="shared" si="98"/>
        <v>0</v>
      </c>
      <c r="G207" s="333">
        <f t="shared" si="98"/>
        <v>0</v>
      </c>
      <c r="H207" s="333">
        <f t="shared" si="98"/>
        <v>0</v>
      </c>
      <c r="I207" s="333">
        <f t="shared" si="98"/>
        <v>0</v>
      </c>
      <c r="J207" s="333">
        <f t="shared" si="98"/>
        <v>0</v>
      </c>
      <c r="K207" s="333">
        <f t="shared" si="98"/>
        <v>0</v>
      </c>
      <c r="L207" s="333">
        <f t="shared" si="98"/>
        <v>0</v>
      </c>
      <c r="M207" s="333">
        <f t="shared" si="98"/>
        <v>0</v>
      </c>
      <c r="N207" s="333">
        <f t="shared" si="98"/>
        <v>0</v>
      </c>
      <c r="O207" s="333">
        <f t="shared" si="98"/>
        <v>0</v>
      </c>
      <c r="P207" s="333">
        <f t="shared" si="98"/>
        <v>0</v>
      </c>
      <c r="Q207" s="333">
        <f t="shared" si="98"/>
        <v>0</v>
      </c>
      <c r="R207" s="333">
        <f t="shared" si="98"/>
        <v>0</v>
      </c>
      <c r="S207" s="333">
        <f t="shared" si="98"/>
        <v>0</v>
      </c>
      <c r="T207" s="333">
        <f t="shared" si="98"/>
        <v>0</v>
      </c>
      <c r="U207" s="333">
        <f t="shared" si="98"/>
        <v>0</v>
      </c>
      <c r="V207" s="333">
        <f t="shared" si="98"/>
        <v>0</v>
      </c>
      <c r="W207" s="333">
        <f t="shared" si="98"/>
        <v>0</v>
      </c>
      <c r="X207" s="333">
        <f t="shared" si="98"/>
        <v>0</v>
      </c>
      <c r="Y207" s="333">
        <f t="shared" si="98"/>
        <v>0</v>
      </c>
      <c r="Z207" s="333">
        <f t="shared" si="98"/>
        <v>0</v>
      </c>
      <c r="AA207" s="333">
        <f t="shared" si="98"/>
        <v>0</v>
      </c>
      <c r="AB207" s="333">
        <f t="shared" si="98"/>
        <v>0</v>
      </c>
      <c r="AC207" s="333">
        <f t="shared" si="98"/>
        <v>0</v>
      </c>
      <c r="AD207" s="333">
        <f t="shared" si="98"/>
        <v>0</v>
      </c>
      <c r="AE207" s="126"/>
      <c r="AF207" s="334">
        <f>(AF41/AF26)*AF19</f>
        <v>0</v>
      </c>
      <c r="AG207" s="16"/>
      <c r="AH207" s="16"/>
    </row>
    <row r="208">
      <c r="A208" s="23" t="s">
        <v>164</v>
      </c>
      <c r="B208" s="333">
        <f t="shared" ref="B208:AD208" si="99">(B42/B26)*B19</f>
        <v>0</v>
      </c>
      <c r="C208" s="333">
        <f t="shared" si="99"/>
        <v>0</v>
      </c>
      <c r="D208" s="333">
        <f t="shared" si="99"/>
        <v>0</v>
      </c>
      <c r="E208" s="333">
        <f t="shared" si="99"/>
        <v>0</v>
      </c>
      <c r="F208" s="333">
        <f t="shared" si="99"/>
        <v>0</v>
      </c>
      <c r="G208" s="333">
        <f t="shared" si="99"/>
        <v>0</v>
      </c>
      <c r="H208" s="333">
        <f t="shared" si="99"/>
        <v>0</v>
      </c>
      <c r="I208" s="333">
        <f t="shared" si="99"/>
        <v>0</v>
      </c>
      <c r="J208" s="333">
        <f t="shared" si="99"/>
        <v>0</v>
      </c>
      <c r="K208" s="333">
        <f t="shared" si="99"/>
        <v>0</v>
      </c>
      <c r="L208" s="333">
        <f t="shared" si="99"/>
        <v>0</v>
      </c>
      <c r="M208" s="333">
        <f t="shared" si="99"/>
        <v>0</v>
      </c>
      <c r="N208" s="333">
        <f t="shared" si="99"/>
        <v>0</v>
      </c>
      <c r="O208" s="333">
        <f t="shared" si="99"/>
        <v>0</v>
      </c>
      <c r="P208" s="333">
        <f t="shared" si="99"/>
        <v>0</v>
      </c>
      <c r="Q208" s="333">
        <f t="shared" si="99"/>
        <v>0</v>
      </c>
      <c r="R208" s="333">
        <f t="shared" si="99"/>
        <v>0</v>
      </c>
      <c r="S208" s="333">
        <f t="shared" si="99"/>
        <v>0</v>
      </c>
      <c r="T208" s="333">
        <f t="shared" si="99"/>
        <v>0</v>
      </c>
      <c r="U208" s="333">
        <f t="shared" si="99"/>
        <v>0</v>
      </c>
      <c r="V208" s="333">
        <f t="shared" si="99"/>
        <v>0</v>
      </c>
      <c r="W208" s="333">
        <f t="shared" si="99"/>
        <v>0</v>
      </c>
      <c r="X208" s="333">
        <f t="shared" si="99"/>
        <v>0</v>
      </c>
      <c r="Y208" s="333">
        <f t="shared" si="99"/>
        <v>0</v>
      </c>
      <c r="Z208" s="333">
        <f t="shared" si="99"/>
        <v>0</v>
      </c>
      <c r="AA208" s="333">
        <f t="shared" si="99"/>
        <v>0</v>
      </c>
      <c r="AB208" s="333">
        <f t="shared" si="99"/>
        <v>0</v>
      </c>
      <c r="AC208" s="333">
        <f t="shared" si="99"/>
        <v>0</v>
      </c>
      <c r="AD208" s="333">
        <f t="shared" si="99"/>
        <v>0</v>
      </c>
      <c r="AE208" s="126"/>
      <c r="AF208" s="334">
        <f>(AF42/AF26)*AF19</f>
        <v>0</v>
      </c>
      <c r="AG208" s="16"/>
      <c r="AH208" s="16"/>
    </row>
    <row r="209">
      <c r="A209" s="23" t="s">
        <v>165</v>
      </c>
      <c r="B209" s="333">
        <f t="shared" ref="B209:AD209" si="100">(B43/B14)*B7</f>
        <v>0</v>
      </c>
      <c r="C209" s="333">
        <f t="shared" si="100"/>
        <v>0</v>
      </c>
      <c r="D209" s="333">
        <f t="shared" si="100"/>
        <v>0</v>
      </c>
      <c r="E209" s="333">
        <f t="shared" si="100"/>
        <v>0</v>
      </c>
      <c r="F209" s="333">
        <f t="shared" si="100"/>
        <v>0</v>
      </c>
      <c r="G209" s="333">
        <f t="shared" si="100"/>
        <v>0</v>
      </c>
      <c r="H209" s="333">
        <f t="shared" si="100"/>
        <v>0</v>
      </c>
      <c r="I209" s="333">
        <f t="shared" si="100"/>
        <v>0</v>
      </c>
      <c r="J209" s="333">
        <f t="shared" si="100"/>
        <v>0</v>
      </c>
      <c r="K209" s="333">
        <f t="shared" si="100"/>
        <v>0</v>
      </c>
      <c r="L209" s="333">
        <f t="shared" si="100"/>
        <v>0</v>
      </c>
      <c r="M209" s="333">
        <f t="shared" si="100"/>
        <v>0</v>
      </c>
      <c r="N209" s="333">
        <f t="shared" si="100"/>
        <v>0</v>
      </c>
      <c r="O209" s="333">
        <f t="shared" si="100"/>
        <v>0</v>
      </c>
      <c r="P209" s="333">
        <f t="shared" si="100"/>
        <v>0</v>
      </c>
      <c r="Q209" s="333">
        <f t="shared" si="100"/>
        <v>0</v>
      </c>
      <c r="R209" s="333">
        <f t="shared" si="100"/>
        <v>0</v>
      </c>
      <c r="S209" s="333">
        <f t="shared" si="100"/>
        <v>0</v>
      </c>
      <c r="T209" s="333">
        <f t="shared" si="100"/>
        <v>0</v>
      </c>
      <c r="U209" s="333">
        <f t="shared" si="100"/>
        <v>0</v>
      </c>
      <c r="V209" s="333">
        <f t="shared" si="100"/>
        <v>0</v>
      </c>
      <c r="W209" s="333">
        <f t="shared" si="100"/>
        <v>0</v>
      </c>
      <c r="X209" s="333">
        <f t="shared" si="100"/>
        <v>0</v>
      </c>
      <c r="Y209" s="333">
        <f t="shared" si="100"/>
        <v>0</v>
      </c>
      <c r="Z209" s="333">
        <f t="shared" si="100"/>
        <v>0</v>
      </c>
      <c r="AA209" s="333">
        <f t="shared" si="100"/>
        <v>0</v>
      </c>
      <c r="AB209" s="333">
        <f t="shared" si="100"/>
        <v>0</v>
      </c>
      <c r="AC209" s="333">
        <f t="shared" si="100"/>
        <v>0</v>
      </c>
      <c r="AD209" s="333">
        <f t="shared" si="100"/>
        <v>0</v>
      </c>
      <c r="AE209" s="126"/>
      <c r="AF209" s="334">
        <f>(AF43/AF14)*AF7</f>
        <v>0</v>
      </c>
      <c r="AG209" s="16"/>
      <c r="AH209" s="16"/>
    </row>
    <row r="210">
      <c r="A210" s="23" t="s">
        <v>353</v>
      </c>
      <c r="B210" s="333">
        <f t="shared" ref="B210:AF210" si="101">85*B7</f>
        <v>0</v>
      </c>
      <c r="C210" s="333">
        <f t="shared" si="101"/>
        <v>0</v>
      </c>
      <c r="D210" s="333">
        <f t="shared" si="101"/>
        <v>0</v>
      </c>
      <c r="E210" s="333">
        <f t="shared" si="101"/>
        <v>0</v>
      </c>
      <c r="F210" s="333">
        <f t="shared" si="101"/>
        <v>0</v>
      </c>
      <c r="G210" s="333">
        <f t="shared" si="101"/>
        <v>0</v>
      </c>
      <c r="H210" s="333">
        <f t="shared" si="101"/>
        <v>0</v>
      </c>
      <c r="I210" s="333">
        <f t="shared" si="101"/>
        <v>0</v>
      </c>
      <c r="J210" s="333">
        <f t="shared" si="101"/>
        <v>0</v>
      </c>
      <c r="K210" s="333">
        <f t="shared" si="101"/>
        <v>0</v>
      </c>
      <c r="L210" s="333">
        <f t="shared" si="101"/>
        <v>0</v>
      </c>
      <c r="M210" s="333">
        <f t="shared" si="101"/>
        <v>0</v>
      </c>
      <c r="N210" s="333">
        <f t="shared" si="101"/>
        <v>0</v>
      </c>
      <c r="O210" s="333">
        <f t="shared" si="101"/>
        <v>0</v>
      </c>
      <c r="P210" s="333">
        <f t="shared" si="101"/>
        <v>0</v>
      </c>
      <c r="Q210" s="333">
        <f t="shared" si="101"/>
        <v>0</v>
      </c>
      <c r="R210" s="333">
        <f t="shared" si="101"/>
        <v>0</v>
      </c>
      <c r="S210" s="333">
        <f t="shared" si="101"/>
        <v>0</v>
      </c>
      <c r="T210" s="333">
        <f t="shared" si="101"/>
        <v>0</v>
      </c>
      <c r="U210" s="333">
        <f t="shared" si="101"/>
        <v>0</v>
      </c>
      <c r="V210" s="333">
        <f t="shared" si="101"/>
        <v>0</v>
      </c>
      <c r="W210" s="333">
        <f t="shared" si="101"/>
        <v>0</v>
      </c>
      <c r="X210" s="333">
        <f t="shared" si="101"/>
        <v>0</v>
      </c>
      <c r="Y210" s="333">
        <f t="shared" si="101"/>
        <v>0</v>
      </c>
      <c r="Z210" s="333">
        <f t="shared" si="101"/>
        <v>0</v>
      </c>
      <c r="AA210" s="333">
        <f t="shared" si="101"/>
        <v>0</v>
      </c>
      <c r="AB210" s="333">
        <f t="shared" si="101"/>
        <v>0</v>
      </c>
      <c r="AC210" s="333">
        <f t="shared" si="101"/>
        <v>0</v>
      </c>
      <c r="AD210" s="333">
        <f t="shared" si="101"/>
        <v>0</v>
      </c>
      <c r="AE210" s="333">
        <f t="shared" si="101"/>
        <v>0</v>
      </c>
      <c r="AF210" s="334">
        <f t="shared" si="101"/>
        <v>0</v>
      </c>
      <c r="AG210" s="16"/>
      <c r="AH210" s="16"/>
    </row>
    <row r="211">
      <c r="A211" s="23" t="s">
        <v>173</v>
      </c>
      <c r="B211" s="333">
        <f t="shared" ref="B211:AD211" si="102">10*B7</f>
        <v>0</v>
      </c>
      <c r="C211" s="333">
        <f t="shared" si="102"/>
        <v>0</v>
      </c>
      <c r="D211" s="333">
        <f t="shared" si="102"/>
        <v>0</v>
      </c>
      <c r="E211" s="333">
        <f t="shared" si="102"/>
        <v>0</v>
      </c>
      <c r="F211" s="333">
        <f t="shared" si="102"/>
        <v>0</v>
      </c>
      <c r="G211" s="333">
        <f t="shared" si="102"/>
        <v>0</v>
      </c>
      <c r="H211" s="333">
        <f t="shared" si="102"/>
        <v>0</v>
      </c>
      <c r="I211" s="333">
        <f t="shared" si="102"/>
        <v>0</v>
      </c>
      <c r="J211" s="333">
        <f t="shared" si="102"/>
        <v>0</v>
      </c>
      <c r="K211" s="333">
        <f t="shared" si="102"/>
        <v>0</v>
      </c>
      <c r="L211" s="333">
        <f t="shared" si="102"/>
        <v>0</v>
      </c>
      <c r="M211" s="333">
        <f t="shared" si="102"/>
        <v>0</v>
      </c>
      <c r="N211" s="333">
        <f t="shared" si="102"/>
        <v>0</v>
      </c>
      <c r="O211" s="333">
        <f t="shared" si="102"/>
        <v>0</v>
      </c>
      <c r="P211" s="333">
        <f t="shared" si="102"/>
        <v>0</v>
      </c>
      <c r="Q211" s="333">
        <f t="shared" si="102"/>
        <v>0</v>
      </c>
      <c r="R211" s="333">
        <f t="shared" si="102"/>
        <v>0</v>
      </c>
      <c r="S211" s="333">
        <f t="shared" si="102"/>
        <v>0</v>
      </c>
      <c r="T211" s="333">
        <f t="shared" si="102"/>
        <v>0</v>
      </c>
      <c r="U211" s="333">
        <f t="shared" si="102"/>
        <v>0</v>
      </c>
      <c r="V211" s="333">
        <f t="shared" si="102"/>
        <v>0</v>
      </c>
      <c r="W211" s="333">
        <f t="shared" si="102"/>
        <v>0</v>
      </c>
      <c r="X211" s="333">
        <f t="shared" si="102"/>
        <v>0</v>
      </c>
      <c r="Y211" s="333">
        <f t="shared" si="102"/>
        <v>0</v>
      </c>
      <c r="Z211" s="333">
        <f t="shared" si="102"/>
        <v>0</v>
      </c>
      <c r="AA211" s="333">
        <f t="shared" si="102"/>
        <v>0</v>
      </c>
      <c r="AB211" s="333">
        <f t="shared" si="102"/>
        <v>0</v>
      </c>
      <c r="AC211" s="333">
        <f t="shared" si="102"/>
        <v>0</v>
      </c>
      <c r="AD211" s="333">
        <f t="shared" si="102"/>
        <v>0</v>
      </c>
      <c r="AE211" s="126"/>
      <c r="AF211" s="334">
        <f>10*AF7</f>
        <v>0</v>
      </c>
      <c r="AG211" s="16"/>
      <c r="AH211" s="16"/>
    </row>
    <row r="212">
      <c r="A212" s="23"/>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7"/>
      <c r="AG212" s="126"/>
      <c r="AH212" s="16"/>
    </row>
    <row r="213">
      <c r="A213" s="23" t="s">
        <v>356</v>
      </c>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7"/>
      <c r="AG213" s="16"/>
      <c r="AH213" s="16"/>
    </row>
    <row r="214">
      <c r="A214" s="23" t="s">
        <v>341</v>
      </c>
      <c r="B214" s="329"/>
      <c r="C214" s="329"/>
      <c r="D214" s="329"/>
      <c r="E214" s="329"/>
      <c r="F214" s="329"/>
      <c r="G214" s="329"/>
      <c r="H214" s="329"/>
      <c r="I214" s="329"/>
      <c r="J214" s="329"/>
      <c r="K214" s="329"/>
      <c r="L214" s="329"/>
      <c r="M214" s="329"/>
      <c r="N214" s="329"/>
      <c r="O214" s="329"/>
      <c r="P214" s="329"/>
      <c r="Q214" s="329"/>
      <c r="R214" s="329"/>
      <c r="S214" s="329"/>
      <c r="T214" s="329"/>
      <c r="U214" s="329"/>
      <c r="V214" s="329"/>
      <c r="W214" s="329"/>
      <c r="X214" s="329"/>
      <c r="Y214" s="329"/>
      <c r="Z214" s="329"/>
      <c r="AA214" s="329"/>
      <c r="AB214" s="329"/>
      <c r="AC214" s="329"/>
      <c r="AD214" s="329"/>
      <c r="AE214" s="329"/>
      <c r="AF214" s="330"/>
      <c r="AG214" s="16"/>
      <c r="AH214" s="16"/>
    </row>
    <row r="215">
      <c r="A215" s="23" t="s">
        <v>164</v>
      </c>
      <c r="B215" s="331">
        <f t="shared" ref="B215:AF215" si="103">(B42/B26)*B20</f>
        <v>266.48596</v>
      </c>
      <c r="C215" s="331">
        <f t="shared" si="103"/>
        <v>299.71162</v>
      </c>
      <c r="D215" s="331">
        <f t="shared" si="103"/>
        <v>363.0055</v>
      </c>
      <c r="E215" s="331">
        <f t="shared" si="103"/>
        <v>348.38908</v>
      </c>
      <c r="F215" s="331">
        <f t="shared" si="103"/>
        <v>187.15476</v>
      </c>
      <c r="G215" s="331">
        <f t="shared" si="103"/>
        <v>259.27954</v>
      </c>
      <c r="H215" s="331">
        <f t="shared" si="103"/>
        <v>232.9574</v>
      </c>
      <c r="I215" s="331">
        <f t="shared" si="103"/>
        <v>139.84022</v>
      </c>
      <c r="J215" s="331">
        <f t="shared" si="103"/>
        <v>134.76918</v>
      </c>
      <c r="K215" s="331">
        <f t="shared" si="103"/>
        <v>145.57764</v>
      </c>
      <c r="L215" s="331">
        <f t="shared" si="103"/>
        <v>194.3357</v>
      </c>
      <c r="M215" s="331">
        <f t="shared" si="103"/>
        <v>175.70384</v>
      </c>
      <c r="N215" s="331">
        <f t="shared" si="103"/>
        <v>265.7473</v>
      </c>
      <c r="O215" s="331">
        <f t="shared" si="103"/>
        <v>226.17166</v>
      </c>
      <c r="P215" s="331">
        <f t="shared" si="103"/>
        <v>241.72018</v>
      </c>
      <c r="Q215" s="331">
        <f t="shared" si="103"/>
        <v>389.58166</v>
      </c>
      <c r="R215" s="331">
        <f t="shared" si="103"/>
        <v>287.50592</v>
      </c>
      <c r="S215" s="331">
        <f t="shared" si="103"/>
        <v>384.74306</v>
      </c>
      <c r="T215" s="331">
        <f t="shared" si="103"/>
        <v>463.7464</v>
      </c>
      <c r="U215" s="331">
        <f t="shared" si="103"/>
        <v>335.25622</v>
      </c>
      <c r="V215" s="331">
        <f t="shared" si="103"/>
        <v>279.5156</v>
      </c>
      <c r="W215" s="331">
        <f t="shared" si="103"/>
        <v>315.24532</v>
      </c>
      <c r="X215" s="331">
        <f t="shared" si="103"/>
        <v>325.27872</v>
      </c>
      <c r="Y215" s="331">
        <f t="shared" si="103"/>
        <v>375.54842</v>
      </c>
      <c r="Z215" s="331">
        <f t="shared" si="103"/>
        <v>297.8547</v>
      </c>
      <c r="AA215" s="331">
        <f t="shared" si="103"/>
        <v>311.6334</v>
      </c>
      <c r="AB215" s="331">
        <f t="shared" si="103"/>
        <v>526.8705</v>
      </c>
      <c r="AC215" s="331">
        <f t="shared" si="103"/>
        <v>340.24588</v>
      </c>
      <c r="AD215" s="331">
        <f t="shared" si="103"/>
        <v>313.48148</v>
      </c>
      <c r="AE215" s="331">
        <f t="shared" si="103"/>
        <v>119.21598</v>
      </c>
      <c r="AF215" s="332">
        <f t="shared" si="103"/>
        <v>64.4436</v>
      </c>
      <c r="AG215" s="16"/>
      <c r="AH215" s="16"/>
    </row>
    <row r="216">
      <c r="A216" s="23" t="s">
        <v>165</v>
      </c>
      <c r="B216" s="331">
        <f t="shared" ref="B216:AF216" si="104">(B43/B14)*B8</f>
        <v>9.6</v>
      </c>
      <c r="C216" s="331">
        <f t="shared" si="104"/>
        <v>11.7</v>
      </c>
      <c r="D216" s="331">
        <f t="shared" si="104"/>
        <v>14.1</v>
      </c>
      <c r="E216" s="331">
        <f t="shared" si="104"/>
        <v>14.7</v>
      </c>
      <c r="F216" s="331">
        <f t="shared" si="104"/>
        <v>7.8</v>
      </c>
      <c r="G216" s="331">
        <f t="shared" si="104"/>
        <v>11.4</v>
      </c>
      <c r="H216" s="331">
        <f t="shared" si="104"/>
        <v>9.9</v>
      </c>
      <c r="I216" s="331">
        <f t="shared" si="104"/>
        <v>4.8</v>
      </c>
      <c r="J216" s="331">
        <f t="shared" si="104"/>
        <v>6.9</v>
      </c>
      <c r="K216" s="331">
        <f t="shared" si="104"/>
        <v>6.6</v>
      </c>
      <c r="L216" s="331">
        <f t="shared" si="104"/>
        <v>8.4</v>
      </c>
      <c r="M216" s="331">
        <f t="shared" si="104"/>
        <v>6.6</v>
      </c>
      <c r="N216" s="331">
        <f t="shared" si="104"/>
        <v>11.4</v>
      </c>
      <c r="O216" s="331">
        <f t="shared" si="104"/>
        <v>10.2</v>
      </c>
      <c r="P216" s="331">
        <f t="shared" si="104"/>
        <v>9.9</v>
      </c>
      <c r="Q216" s="331">
        <f t="shared" si="104"/>
        <v>15.3</v>
      </c>
      <c r="R216" s="331">
        <f t="shared" si="104"/>
        <v>11.1</v>
      </c>
      <c r="S216" s="331">
        <f t="shared" si="104"/>
        <v>17.1</v>
      </c>
      <c r="T216" s="331">
        <f t="shared" si="104"/>
        <v>19.2</v>
      </c>
      <c r="U216" s="331">
        <f t="shared" si="104"/>
        <v>14.1</v>
      </c>
      <c r="V216" s="331">
        <f t="shared" si="104"/>
        <v>14.1</v>
      </c>
      <c r="W216" s="331">
        <f t="shared" si="104"/>
        <v>15</v>
      </c>
      <c r="X216" s="331">
        <f t="shared" si="104"/>
        <v>14.1</v>
      </c>
      <c r="Y216" s="331">
        <f t="shared" si="104"/>
        <v>16.2</v>
      </c>
      <c r="Z216" s="331">
        <f t="shared" si="104"/>
        <v>11.7</v>
      </c>
      <c r="AA216" s="331">
        <f t="shared" si="104"/>
        <v>12</v>
      </c>
      <c r="AB216" s="331">
        <f t="shared" si="104"/>
        <v>22.2</v>
      </c>
      <c r="AC216" s="331">
        <f t="shared" si="104"/>
        <v>15.9</v>
      </c>
      <c r="AD216" s="331">
        <f t="shared" si="104"/>
        <v>13.8</v>
      </c>
      <c r="AE216" s="331">
        <f t="shared" si="104"/>
        <v>5.1</v>
      </c>
      <c r="AF216" s="332">
        <f t="shared" si="104"/>
        <v>3.3</v>
      </c>
      <c r="AG216" s="16"/>
      <c r="AH216" s="16"/>
    </row>
    <row r="217">
      <c r="A217" s="23" t="s">
        <v>353</v>
      </c>
      <c r="B217" s="331">
        <f t="shared" ref="B217:AF217" si="105">85*B8</f>
        <v>2720</v>
      </c>
      <c r="C217" s="331">
        <f t="shared" si="105"/>
        <v>3315</v>
      </c>
      <c r="D217" s="331">
        <f t="shared" si="105"/>
        <v>3995</v>
      </c>
      <c r="E217" s="331">
        <f t="shared" si="105"/>
        <v>4165</v>
      </c>
      <c r="F217" s="331">
        <f t="shared" si="105"/>
        <v>2210</v>
      </c>
      <c r="G217" s="331">
        <f t="shared" si="105"/>
        <v>3230</v>
      </c>
      <c r="H217" s="331">
        <f t="shared" si="105"/>
        <v>2805</v>
      </c>
      <c r="I217" s="331">
        <f t="shared" si="105"/>
        <v>1360</v>
      </c>
      <c r="J217" s="331">
        <f t="shared" si="105"/>
        <v>1955</v>
      </c>
      <c r="K217" s="331">
        <f t="shared" si="105"/>
        <v>1870</v>
      </c>
      <c r="L217" s="331">
        <f t="shared" si="105"/>
        <v>2380</v>
      </c>
      <c r="M217" s="331">
        <f t="shared" si="105"/>
        <v>1870</v>
      </c>
      <c r="N217" s="331">
        <f t="shared" si="105"/>
        <v>3230</v>
      </c>
      <c r="O217" s="331">
        <f t="shared" si="105"/>
        <v>2890</v>
      </c>
      <c r="P217" s="331">
        <f t="shared" si="105"/>
        <v>2805</v>
      </c>
      <c r="Q217" s="331">
        <f t="shared" si="105"/>
        <v>4335</v>
      </c>
      <c r="R217" s="331">
        <f t="shared" si="105"/>
        <v>3145</v>
      </c>
      <c r="S217" s="331">
        <f t="shared" si="105"/>
        <v>4845</v>
      </c>
      <c r="T217" s="331">
        <f t="shared" si="105"/>
        <v>5440</v>
      </c>
      <c r="U217" s="331">
        <f t="shared" si="105"/>
        <v>3995</v>
      </c>
      <c r="V217" s="331">
        <f t="shared" si="105"/>
        <v>3995</v>
      </c>
      <c r="W217" s="331">
        <f t="shared" si="105"/>
        <v>4250</v>
      </c>
      <c r="X217" s="331">
        <f t="shared" si="105"/>
        <v>3995</v>
      </c>
      <c r="Y217" s="331">
        <f t="shared" si="105"/>
        <v>4590</v>
      </c>
      <c r="Z217" s="331">
        <f t="shared" si="105"/>
        <v>3315</v>
      </c>
      <c r="AA217" s="331">
        <f t="shared" si="105"/>
        <v>3400</v>
      </c>
      <c r="AB217" s="331">
        <f t="shared" si="105"/>
        <v>6290</v>
      </c>
      <c r="AC217" s="331">
        <f t="shared" si="105"/>
        <v>4505</v>
      </c>
      <c r="AD217" s="331">
        <f t="shared" si="105"/>
        <v>3910</v>
      </c>
      <c r="AE217" s="331">
        <f t="shared" si="105"/>
        <v>1445</v>
      </c>
      <c r="AF217" s="332">
        <f t="shared" si="105"/>
        <v>935</v>
      </c>
      <c r="AG217" s="16"/>
      <c r="AH217" s="16"/>
    </row>
    <row r="218">
      <c r="A218" s="23" t="s">
        <v>173</v>
      </c>
      <c r="B218" s="331">
        <f t="shared" ref="B218:AF218" si="106">10*B8</f>
        <v>320</v>
      </c>
      <c r="C218" s="331">
        <f t="shared" si="106"/>
        <v>390</v>
      </c>
      <c r="D218" s="331">
        <f t="shared" si="106"/>
        <v>470</v>
      </c>
      <c r="E218" s="331">
        <f t="shared" si="106"/>
        <v>490</v>
      </c>
      <c r="F218" s="331">
        <f t="shared" si="106"/>
        <v>260</v>
      </c>
      <c r="G218" s="331">
        <f t="shared" si="106"/>
        <v>380</v>
      </c>
      <c r="H218" s="331">
        <f t="shared" si="106"/>
        <v>330</v>
      </c>
      <c r="I218" s="331">
        <f t="shared" si="106"/>
        <v>160</v>
      </c>
      <c r="J218" s="331">
        <f t="shared" si="106"/>
        <v>230</v>
      </c>
      <c r="K218" s="331">
        <f t="shared" si="106"/>
        <v>220</v>
      </c>
      <c r="L218" s="331">
        <f t="shared" si="106"/>
        <v>280</v>
      </c>
      <c r="M218" s="331">
        <f t="shared" si="106"/>
        <v>220</v>
      </c>
      <c r="N218" s="331">
        <f t="shared" si="106"/>
        <v>380</v>
      </c>
      <c r="O218" s="331">
        <f t="shared" si="106"/>
        <v>340</v>
      </c>
      <c r="P218" s="331">
        <f t="shared" si="106"/>
        <v>330</v>
      </c>
      <c r="Q218" s="331">
        <f t="shared" si="106"/>
        <v>510</v>
      </c>
      <c r="R218" s="331">
        <f t="shared" si="106"/>
        <v>370</v>
      </c>
      <c r="S218" s="331">
        <f t="shared" si="106"/>
        <v>570</v>
      </c>
      <c r="T218" s="331">
        <f t="shared" si="106"/>
        <v>640</v>
      </c>
      <c r="U218" s="331">
        <f t="shared" si="106"/>
        <v>470</v>
      </c>
      <c r="V218" s="331">
        <f t="shared" si="106"/>
        <v>470</v>
      </c>
      <c r="W218" s="331">
        <f t="shared" si="106"/>
        <v>500</v>
      </c>
      <c r="X218" s="331">
        <f t="shared" si="106"/>
        <v>470</v>
      </c>
      <c r="Y218" s="331">
        <f t="shared" si="106"/>
        <v>540</v>
      </c>
      <c r="Z218" s="331">
        <f t="shared" si="106"/>
        <v>390</v>
      </c>
      <c r="AA218" s="331">
        <f t="shared" si="106"/>
        <v>400</v>
      </c>
      <c r="AB218" s="331">
        <f t="shared" si="106"/>
        <v>740</v>
      </c>
      <c r="AC218" s="331">
        <f t="shared" si="106"/>
        <v>530</v>
      </c>
      <c r="AD218" s="331">
        <f t="shared" si="106"/>
        <v>460</v>
      </c>
      <c r="AE218" s="331">
        <f t="shared" si="106"/>
        <v>170</v>
      </c>
      <c r="AF218" s="332">
        <f t="shared" si="106"/>
        <v>110</v>
      </c>
      <c r="AG218" s="16"/>
      <c r="AH218" s="16"/>
    </row>
    <row r="219">
      <c r="A219" s="23"/>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23"/>
      <c r="AG219" s="16"/>
      <c r="AH219" s="16"/>
    </row>
    <row r="220">
      <c r="A220" s="23" t="s">
        <v>357</v>
      </c>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7"/>
      <c r="AG220" s="16"/>
      <c r="AH220" s="16"/>
    </row>
    <row r="221">
      <c r="A221" s="23" t="s">
        <v>341</v>
      </c>
      <c r="B221" s="329"/>
      <c r="C221" s="329"/>
      <c r="D221" s="329"/>
      <c r="E221" s="329"/>
      <c r="F221" s="329"/>
      <c r="G221" s="329"/>
      <c r="H221" s="329"/>
      <c r="I221" s="329"/>
      <c r="J221" s="329"/>
      <c r="K221" s="329"/>
      <c r="L221" s="329"/>
      <c r="M221" s="329"/>
      <c r="N221" s="329"/>
      <c r="O221" s="329"/>
      <c r="P221" s="329"/>
      <c r="Q221" s="329"/>
      <c r="R221" s="329"/>
      <c r="S221" s="329"/>
      <c r="T221" s="329"/>
      <c r="U221" s="329"/>
      <c r="V221" s="329"/>
      <c r="W221" s="329"/>
      <c r="X221" s="329"/>
      <c r="Y221" s="329"/>
      <c r="Z221" s="329"/>
      <c r="AA221" s="329"/>
      <c r="AB221" s="329"/>
      <c r="AC221" s="329"/>
      <c r="AD221" s="329"/>
      <c r="AE221" s="329"/>
      <c r="AF221" s="330"/>
      <c r="AG221" s="16"/>
      <c r="AH221" s="16"/>
    </row>
    <row r="222">
      <c r="A222" s="23" t="s">
        <v>164</v>
      </c>
      <c r="B222" s="331">
        <f t="shared" ref="B222:AF222" si="107">(B42/B26)*B21</f>
        <v>256.46478</v>
      </c>
      <c r="C222" s="331">
        <f t="shared" si="107"/>
        <v>272.16878</v>
      </c>
      <c r="D222" s="331">
        <f t="shared" si="107"/>
        <v>311.2733</v>
      </c>
      <c r="E222" s="331">
        <f t="shared" si="107"/>
        <v>332.68664</v>
      </c>
      <c r="F222" s="331">
        <f t="shared" si="107"/>
        <v>180.65372</v>
      </c>
      <c r="G222" s="331">
        <f t="shared" si="107"/>
        <v>271.4504</v>
      </c>
      <c r="H222" s="331">
        <f t="shared" si="107"/>
        <v>218.39532</v>
      </c>
      <c r="I222" s="331">
        <f t="shared" si="107"/>
        <v>120.62388</v>
      </c>
      <c r="J222" s="331">
        <f t="shared" si="107"/>
        <v>231.79598</v>
      </c>
      <c r="K222" s="331">
        <f t="shared" si="107"/>
        <v>235.27842</v>
      </c>
      <c r="L222" s="331">
        <f t="shared" si="107"/>
        <v>240.72464</v>
      </c>
      <c r="M222" s="331">
        <f t="shared" si="107"/>
        <v>392.33454</v>
      </c>
      <c r="N222" s="331">
        <f t="shared" si="107"/>
        <v>310.45794</v>
      </c>
      <c r="O222" s="331">
        <f t="shared" si="107"/>
        <v>216.96428</v>
      </c>
      <c r="P222" s="331">
        <f t="shared" si="107"/>
        <v>382.69998</v>
      </c>
      <c r="Q222" s="331">
        <f t="shared" si="107"/>
        <v>482.75786</v>
      </c>
      <c r="R222" s="331">
        <f t="shared" si="107"/>
        <v>524.99694</v>
      </c>
      <c r="S222" s="331">
        <f t="shared" si="107"/>
        <v>683.32836</v>
      </c>
      <c r="T222" s="331">
        <f t="shared" si="107"/>
        <v>839.61098</v>
      </c>
      <c r="U222" s="331">
        <f t="shared" si="107"/>
        <v>590.75172</v>
      </c>
      <c r="V222" s="331">
        <f t="shared" si="107"/>
        <v>647.0152</v>
      </c>
      <c r="W222" s="331">
        <f t="shared" si="107"/>
        <v>1027.00026</v>
      </c>
      <c r="X222" s="331">
        <f t="shared" si="107"/>
        <v>766.55098</v>
      </c>
      <c r="Y222" s="331">
        <f t="shared" si="107"/>
        <v>582.11504</v>
      </c>
      <c r="Z222" s="331">
        <f t="shared" si="107"/>
        <v>899.1775</v>
      </c>
      <c r="AA222" s="331">
        <f t="shared" si="107"/>
        <v>971.19334</v>
      </c>
      <c r="AB222" s="331">
        <f t="shared" si="107"/>
        <v>1135.54714</v>
      </c>
      <c r="AC222" s="331">
        <f t="shared" si="107"/>
        <v>576.61396</v>
      </c>
      <c r="AD222" s="331">
        <f t="shared" si="107"/>
        <v>512.28528</v>
      </c>
      <c r="AE222" s="331">
        <f t="shared" si="107"/>
        <v>317.28632</v>
      </c>
      <c r="AF222" s="332">
        <f t="shared" si="107"/>
        <v>168.18854</v>
      </c>
      <c r="AG222" s="16"/>
      <c r="AH222" s="16"/>
    </row>
    <row r="223">
      <c r="A223" s="23" t="s">
        <v>165</v>
      </c>
      <c r="B223" s="331">
        <f t="shared" ref="B223:AF223" si="108">(B43/B14)*B9</f>
        <v>11.4</v>
      </c>
      <c r="C223" s="331">
        <f t="shared" si="108"/>
        <v>12.6</v>
      </c>
      <c r="D223" s="331">
        <f t="shared" si="108"/>
        <v>12.9</v>
      </c>
      <c r="E223" s="331">
        <f t="shared" si="108"/>
        <v>14.1</v>
      </c>
      <c r="F223" s="331">
        <f t="shared" si="108"/>
        <v>8.4</v>
      </c>
      <c r="G223" s="331">
        <f t="shared" si="108"/>
        <v>11.1</v>
      </c>
      <c r="H223" s="331">
        <f t="shared" si="108"/>
        <v>8.1</v>
      </c>
      <c r="I223" s="331">
        <f t="shared" si="108"/>
        <v>5.4</v>
      </c>
      <c r="J223" s="331">
        <f t="shared" si="108"/>
        <v>9.9</v>
      </c>
      <c r="K223" s="331">
        <f t="shared" si="108"/>
        <v>9</v>
      </c>
      <c r="L223" s="331">
        <f t="shared" si="108"/>
        <v>9.9</v>
      </c>
      <c r="M223" s="331">
        <f t="shared" si="108"/>
        <v>16.5</v>
      </c>
      <c r="N223" s="331">
        <f t="shared" si="108"/>
        <v>13.2</v>
      </c>
      <c r="O223" s="331">
        <f t="shared" si="108"/>
        <v>9</v>
      </c>
      <c r="P223" s="331">
        <f t="shared" si="108"/>
        <v>15.3</v>
      </c>
      <c r="Q223" s="331">
        <f t="shared" si="108"/>
        <v>18.9</v>
      </c>
      <c r="R223" s="331">
        <f t="shared" si="108"/>
        <v>22.2</v>
      </c>
      <c r="S223" s="331">
        <f t="shared" si="108"/>
        <v>27.6</v>
      </c>
      <c r="T223" s="331">
        <f t="shared" si="108"/>
        <v>32.1</v>
      </c>
      <c r="U223" s="331">
        <f t="shared" si="108"/>
        <v>24.9</v>
      </c>
      <c r="V223" s="331">
        <f t="shared" si="108"/>
        <v>25.2</v>
      </c>
      <c r="W223" s="331">
        <f t="shared" si="108"/>
        <v>38.7</v>
      </c>
      <c r="X223" s="331">
        <f t="shared" si="108"/>
        <v>29.1</v>
      </c>
      <c r="Y223" s="331">
        <f t="shared" si="108"/>
        <v>24.9</v>
      </c>
      <c r="Z223" s="331">
        <f t="shared" si="108"/>
        <v>39.3</v>
      </c>
      <c r="AA223" s="331">
        <f t="shared" si="108"/>
        <v>38.7</v>
      </c>
      <c r="AB223" s="331">
        <f t="shared" si="108"/>
        <v>44.7</v>
      </c>
      <c r="AC223" s="331">
        <f t="shared" si="108"/>
        <v>25.8</v>
      </c>
      <c r="AD223" s="331">
        <f t="shared" si="108"/>
        <v>22.2</v>
      </c>
      <c r="AE223" s="331">
        <f t="shared" si="108"/>
        <v>23.4</v>
      </c>
      <c r="AF223" s="332">
        <f t="shared" si="108"/>
        <v>7.8</v>
      </c>
      <c r="AG223" s="16"/>
      <c r="AH223" s="16"/>
    </row>
    <row r="224">
      <c r="A224" s="23" t="s">
        <v>353</v>
      </c>
      <c r="B224" s="331">
        <f t="shared" ref="B224:AF224" si="109">85*B9</f>
        <v>3230</v>
      </c>
      <c r="C224" s="331">
        <f t="shared" si="109"/>
        <v>3570</v>
      </c>
      <c r="D224" s="331">
        <f t="shared" si="109"/>
        <v>3655</v>
      </c>
      <c r="E224" s="331">
        <f t="shared" si="109"/>
        <v>3995</v>
      </c>
      <c r="F224" s="331">
        <f t="shared" si="109"/>
        <v>2380</v>
      </c>
      <c r="G224" s="331">
        <f t="shared" si="109"/>
        <v>3145</v>
      </c>
      <c r="H224" s="331">
        <f t="shared" si="109"/>
        <v>2295</v>
      </c>
      <c r="I224" s="331">
        <f t="shared" si="109"/>
        <v>1530</v>
      </c>
      <c r="J224" s="331">
        <f t="shared" si="109"/>
        <v>2805</v>
      </c>
      <c r="K224" s="331">
        <f t="shared" si="109"/>
        <v>2550</v>
      </c>
      <c r="L224" s="331">
        <f t="shared" si="109"/>
        <v>2805</v>
      </c>
      <c r="M224" s="331">
        <f t="shared" si="109"/>
        <v>4675</v>
      </c>
      <c r="N224" s="331">
        <f t="shared" si="109"/>
        <v>3740</v>
      </c>
      <c r="O224" s="331">
        <f t="shared" si="109"/>
        <v>2550</v>
      </c>
      <c r="P224" s="331">
        <f t="shared" si="109"/>
        <v>4335</v>
      </c>
      <c r="Q224" s="331">
        <f t="shared" si="109"/>
        <v>5355</v>
      </c>
      <c r="R224" s="331">
        <f t="shared" si="109"/>
        <v>6290</v>
      </c>
      <c r="S224" s="331">
        <f t="shared" si="109"/>
        <v>7820</v>
      </c>
      <c r="T224" s="331">
        <f t="shared" si="109"/>
        <v>9095</v>
      </c>
      <c r="U224" s="331">
        <f t="shared" si="109"/>
        <v>7055</v>
      </c>
      <c r="V224" s="331">
        <f t="shared" si="109"/>
        <v>7140</v>
      </c>
      <c r="W224" s="331">
        <f t="shared" si="109"/>
        <v>10965</v>
      </c>
      <c r="X224" s="331">
        <f t="shared" si="109"/>
        <v>8245</v>
      </c>
      <c r="Y224" s="331">
        <f t="shared" si="109"/>
        <v>7055</v>
      </c>
      <c r="Z224" s="331">
        <f t="shared" si="109"/>
        <v>11135</v>
      </c>
      <c r="AA224" s="331">
        <f t="shared" si="109"/>
        <v>10965</v>
      </c>
      <c r="AB224" s="331">
        <f t="shared" si="109"/>
        <v>12665</v>
      </c>
      <c r="AC224" s="331">
        <f t="shared" si="109"/>
        <v>7310</v>
      </c>
      <c r="AD224" s="331">
        <f t="shared" si="109"/>
        <v>6290</v>
      </c>
      <c r="AE224" s="331">
        <f t="shared" si="109"/>
        <v>6630</v>
      </c>
      <c r="AF224" s="332">
        <f t="shared" si="109"/>
        <v>2210</v>
      </c>
      <c r="AG224" s="16"/>
      <c r="AH224" s="16"/>
    </row>
    <row r="225">
      <c r="A225" s="23" t="s">
        <v>173</v>
      </c>
      <c r="B225" s="331">
        <f t="shared" ref="B225:AF225" si="110">10*B9</f>
        <v>380</v>
      </c>
      <c r="C225" s="331">
        <f t="shared" si="110"/>
        <v>420</v>
      </c>
      <c r="D225" s="331">
        <f t="shared" si="110"/>
        <v>430</v>
      </c>
      <c r="E225" s="331">
        <f t="shared" si="110"/>
        <v>470</v>
      </c>
      <c r="F225" s="331">
        <f t="shared" si="110"/>
        <v>280</v>
      </c>
      <c r="G225" s="331">
        <f t="shared" si="110"/>
        <v>370</v>
      </c>
      <c r="H225" s="331">
        <f t="shared" si="110"/>
        <v>270</v>
      </c>
      <c r="I225" s="331">
        <f t="shared" si="110"/>
        <v>180</v>
      </c>
      <c r="J225" s="331">
        <f t="shared" si="110"/>
        <v>330</v>
      </c>
      <c r="K225" s="331">
        <f t="shared" si="110"/>
        <v>300</v>
      </c>
      <c r="L225" s="331">
        <f t="shared" si="110"/>
        <v>330</v>
      </c>
      <c r="M225" s="331">
        <f t="shared" si="110"/>
        <v>550</v>
      </c>
      <c r="N225" s="331">
        <f t="shared" si="110"/>
        <v>440</v>
      </c>
      <c r="O225" s="331">
        <f t="shared" si="110"/>
        <v>300</v>
      </c>
      <c r="P225" s="331">
        <f t="shared" si="110"/>
        <v>510</v>
      </c>
      <c r="Q225" s="331">
        <f t="shared" si="110"/>
        <v>630</v>
      </c>
      <c r="R225" s="331">
        <f t="shared" si="110"/>
        <v>740</v>
      </c>
      <c r="S225" s="331">
        <f t="shared" si="110"/>
        <v>920</v>
      </c>
      <c r="T225" s="331">
        <f t="shared" si="110"/>
        <v>1070</v>
      </c>
      <c r="U225" s="331">
        <f t="shared" si="110"/>
        <v>830</v>
      </c>
      <c r="V225" s="331">
        <f t="shared" si="110"/>
        <v>840</v>
      </c>
      <c r="W225" s="331">
        <f t="shared" si="110"/>
        <v>1290</v>
      </c>
      <c r="X225" s="331">
        <f t="shared" si="110"/>
        <v>970</v>
      </c>
      <c r="Y225" s="331">
        <f t="shared" si="110"/>
        <v>830</v>
      </c>
      <c r="Z225" s="331">
        <f t="shared" si="110"/>
        <v>1310</v>
      </c>
      <c r="AA225" s="331">
        <f t="shared" si="110"/>
        <v>1290</v>
      </c>
      <c r="AB225" s="331">
        <f t="shared" si="110"/>
        <v>1490</v>
      </c>
      <c r="AC225" s="331">
        <f t="shared" si="110"/>
        <v>860</v>
      </c>
      <c r="AD225" s="331">
        <f t="shared" si="110"/>
        <v>740</v>
      </c>
      <c r="AE225" s="331">
        <f t="shared" si="110"/>
        <v>780</v>
      </c>
      <c r="AF225" s="332">
        <f t="shared" si="110"/>
        <v>260</v>
      </c>
      <c r="AG225" s="16"/>
      <c r="AH225" s="16"/>
    </row>
    <row r="226">
      <c r="A226" s="23"/>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7"/>
      <c r="AG226" s="16"/>
      <c r="AH226" s="16"/>
    </row>
    <row r="227">
      <c r="A227" s="23" t="s">
        <v>358</v>
      </c>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7"/>
      <c r="AG227" s="16"/>
      <c r="AH227" s="16"/>
    </row>
    <row r="228">
      <c r="A228" s="23" t="s">
        <v>341</v>
      </c>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7"/>
      <c r="AG228" s="16"/>
      <c r="AH228" s="16"/>
    </row>
    <row r="229">
      <c r="A229" s="23" t="s">
        <v>164</v>
      </c>
      <c r="B229" s="333">
        <f t="shared" ref="B229:AD229" si="111">(B42/B26)*B25</f>
        <v>0</v>
      </c>
      <c r="C229" s="333">
        <f t="shared" si="111"/>
        <v>0</v>
      </c>
      <c r="D229" s="333">
        <f t="shared" si="111"/>
        <v>0</v>
      </c>
      <c r="E229" s="333">
        <f t="shared" si="111"/>
        <v>0</v>
      </c>
      <c r="F229" s="333">
        <f t="shared" si="111"/>
        <v>0</v>
      </c>
      <c r="G229" s="333">
        <f t="shared" si="111"/>
        <v>0</v>
      </c>
      <c r="H229" s="333">
        <f t="shared" si="111"/>
        <v>0</v>
      </c>
      <c r="I229" s="333">
        <f t="shared" si="111"/>
        <v>0</v>
      </c>
      <c r="J229" s="333">
        <f t="shared" si="111"/>
        <v>0</v>
      </c>
      <c r="K229" s="333">
        <f t="shared" si="111"/>
        <v>0</v>
      </c>
      <c r="L229" s="333">
        <f t="shared" si="111"/>
        <v>0</v>
      </c>
      <c r="M229" s="333">
        <f t="shared" si="111"/>
        <v>0</v>
      </c>
      <c r="N229" s="333">
        <f t="shared" si="111"/>
        <v>0</v>
      </c>
      <c r="O229" s="333">
        <f t="shared" si="111"/>
        <v>0</v>
      </c>
      <c r="P229" s="333">
        <f t="shared" si="111"/>
        <v>0</v>
      </c>
      <c r="Q229" s="333">
        <f t="shared" si="111"/>
        <v>0</v>
      </c>
      <c r="R229" s="333">
        <f t="shared" si="111"/>
        <v>0</v>
      </c>
      <c r="S229" s="333">
        <f t="shared" si="111"/>
        <v>0</v>
      </c>
      <c r="T229" s="333">
        <f t="shared" si="111"/>
        <v>0</v>
      </c>
      <c r="U229" s="333">
        <f t="shared" si="111"/>
        <v>0</v>
      </c>
      <c r="V229" s="333">
        <f t="shared" si="111"/>
        <v>0</v>
      </c>
      <c r="W229" s="333">
        <f t="shared" si="111"/>
        <v>0</v>
      </c>
      <c r="X229" s="333">
        <f t="shared" si="111"/>
        <v>0</v>
      </c>
      <c r="Y229" s="333">
        <f t="shared" si="111"/>
        <v>0</v>
      </c>
      <c r="Z229" s="333">
        <f t="shared" si="111"/>
        <v>0</v>
      </c>
      <c r="AA229" s="333">
        <f t="shared" si="111"/>
        <v>0</v>
      </c>
      <c r="AB229" s="333">
        <f t="shared" si="111"/>
        <v>0</v>
      </c>
      <c r="AC229" s="333">
        <f t="shared" si="111"/>
        <v>0</v>
      </c>
      <c r="AD229" s="333">
        <f t="shared" si="111"/>
        <v>0</v>
      </c>
      <c r="AE229" s="126"/>
      <c r="AF229" s="334">
        <f>(AF42/AF26)*AF25</f>
        <v>0</v>
      </c>
      <c r="AG229" s="16"/>
      <c r="AH229" s="16"/>
    </row>
    <row r="230">
      <c r="A230" s="23" t="s">
        <v>165</v>
      </c>
      <c r="B230" s="333">
        <f t="shared" ref="B230:AD230" si="112">(B43/B14)*B13</f>
        <v>0</v>
      </c>
      <c r="C230" s="333">
        <f t="shared" si="112"/>
        <v>0</v>
      </c>
      <c r="D230" s="333">
        <f t="shared" si="112"/>
        <v>0</v>
      </c>
      <c r="E230" s="333">
        <f t="shared" si="112"/>
        <v>0</v>
      </c>
      <c r="F230" s="333">
        <f t="shared" si="112"/>
        <v>0</v>
      </c>
      <c r="G230" s="333">
        <f t="shared" si="112"/>
        <v>0</v>
      </c>
      <c r="H230" s="333">
        <f t="shared" si="112"/>
        <v>0</v>
      </c>
      <c r="I230" s="333">
        <f t="shared" si="112"/>
        <v>0</v>
      </c>
      <c r="J230" s="333">
        <f t="shared" si="112"/>
        <v>0</v>
      </c>
      <c r="K230" s="333">
        <f t="shared" si="112"/>
        <v>0</v>
      </c>
      <c r="L230" s="333">
        <f t="shared" si="112"/>
        <v>0</v>
      </c>
      <c r="M230" s="333">
        <f t="shared" si="112"/>
        <v>0</v>
      </c>
      <c r="N230" s="333">
        <f t="shared" si="112"/>
        <v>0</v>
      </c>
      <c r="O230" s="333">
        <f t="shared" si="112"/>
        <v>0</v>
      </c>
      <c r="P230" s="333">
        <f t="shared" si="112"/>
        <v>0</v>
      </c>
      <c r="Q230" s="333">
        <f t="shared" si="112"/>
        <v>0</v>
      </c>
      <c r="R230" s="333">
        <f t="shared" si="112"/>
        <v>0</v>
      </c>
      <c r="S230" s="333">
        <f t="shared" si="112"/>
        <v>0</v>
      </c>
      <c r="T230" s="333">
        <f t="shared" si="112"/>
        <v>0</v>
      </c>
      <c r="U230" s="333">
        <f t="shared" si="112"/>
        <v>0</v>
      </c>
      <c r="V230" s="333">
        <f t="shared" si="112"/>
        <v>0</v>
      </c>
      <c r="W230" s="333">
        <f t="shared" si="112"/>
        <v>0</v>
      </c>
      <c r="X230" s="333">
        <f t="shared" si="112"/>
        <v>0</v>
      </c>
      <c r="Y230" s="333">
        <f t="shared" si="112"/>
        <v>0</v>
      </c>
      <c r="Z230" s="333">
        <f t="shared" si="112"/>
        <v>0</v>
      </c>
      <c r="AA230" s="333">
        <f t="shared" si="112"/>
        <v>0</v>
      </c>
      <c r="AB230" s="333">
        <f t="shared" si="112"/>
        <v>0</v>
      </c>
      <c r="AC230" s="333">
        <f t="shared" si="112"/>
        <v>0</v>
      </c>
      <c r="AD230" s="333">
        <f t="shared" si="112"/>
        <v>0</v>
      </c>
      <c r="AE230" s="126"/>
      <c r="AF230" s="334">
        <f>(AF43/AF14)*AF13</f>
        <v>0</v>
      </c>
      <c r="AG230" s="16"/>
      <c r="AH230" s="16"/>
    </row>
    <row r="231">
      <c r="A231" s="23" t="s">
        <v>353</v>
      </c>
      <c r="B231" s="333">
        <f t="shared" ref="B231:AF231" si="113">85*B13</f>
        <v>0</v>
      </c>
      <c r="C231" s="333">
        <f t="shared" si="113"/>
        <v>0</v>
      </c>
      <c r="D231" s="333">
        <f t="shared" si="113"/>
        <v>0</v>
      </c>
      <c r="E231" s="333">
        <f t="shared" si="113"/>
        <v>0</v>
      </c>
      <c r="F231" s="333">
        <f t="shared" si="113"/>
        <v>0</v>
      </c>
      <c r="G231" s="333">
        <f t="shared" si="113"/>
        <v>0</v>
      </c>
      <c r="H231" s="333">
        <f t="shared" si="113"/>
        <v>0</v>
      </c>
      <c r="I231" s="333">
        <f t="shared" si="113"/>
        <v>0</v>
      </c>
      <c r="J231" s="333">
        <f t="shared" si="113"/>
        <v>0</v>
      </c>
      <c r="K231" s="333">
        <f t="shared" si="113"/>
        <v>0</v>
      </c>
      <c r="L231" s="333">
        <f t="shared" si="113"/>
        <v>0</v>
      </c>
      <c r="M231" s="333">
        <f t="shared" si="113"/>
        <v>0</v>
      </c>
      <c r="N231" s="333">
        <f t="shared" si="113"/>
        <v>0</v>
      </c>
      <c r="O231" s="333">
        <f t="shared" si="113"/>
        <v>0</v>
      </c>
      <c r="P231" s="333">
        <f t="shared" si="113"/>
        <v>0</v>
      </c>
      <c r="Q231" s="333">
        <f t="shared" si="113"/>
        <v>0</v>
      </c>
      <c r="R231" s="333">
        <f t="shared" si="113"/>
        <v>0</v>
      </c>
      <c r="S231" s="333">
        <f t="shared" si="113"/>
        <v>0</v>
      </c>
      <c r="T231" s="333">
        <f t="shared" si="113"/>
        <v>0</v>
      </c>
      <c r="U231" s="333">
        <f t="shared" si="113"/>
        <v>0</v>
      </c>
      <c r="V231" s="333">
        <f t="shared" si="113"/>
        <v>0</v>
      </c>
      <c r="W231" s="333">
        <f t="shared" si="113"/>
        <v>0</v>
      </c>
      <c r="X231" s="333">
        <f t="shared" si="113"/>
        <v>0</v>
      </c>
      <c r="Y231" s="333">
        <f t="shared" si="113"/>
        <v>0</v>
      </c>
      <c r="Z231" s="333">
        <f t="shared" si="113"/>
        <v>0</v>
      </c>
      <c r="AA231" s="333">
        <f t="shared" si="113"/>
        <v>0</v>
      </c>
      <c r="AB231" s="333">
        <f t="shared" si="113"/>
        <v>0</v>
      </c>
      <c r="AC231" s="333">
        <f t="shared" si="113"/>
        <v>0</v>
      </c>
      <c r="AD231" s="333">
        <f t="shared" si="113"/>
        <v>0</v>
      </c>
      <c r="AE231" s="333">
        <f t="shared" si="113"/>
        <v>0</v>
      </c>
      <c r="AF231" s="334">
        <f t="shared" si="113"/>
        <v>0</v>
      </c>
      <c r="AG231" s="16"/>
      <c r="AH231" s="16"/>
    </row>
    <row r="232">
      <c r="A232" s="23" t="s">
        <v>173</v>
      </c>
      <c r="B232" s="333">
        <f t="shared" ref="B232:AD232" si="114">10*B13</f>
        <v>0</v>
      </c>
      <c r="C232" s="333">
        <f t="shared" si="114"/>
        <v>0</v>
      </c>
      <c r="D232" s="333">
        <f t="shared" si="114"/>
        <v>0</v>
      </c>
      <c r="E232" s="333">
        <f t="shared" si="114"/>
        <v>0</v>
      </c>
      <c r="F232" s="333">
        <f t="shared" si="114"/>
        <v>0</v>
      </c>
      <c r="G232" s="333">
        <f t="shared" si="114"/>
        <v>0</v>
      </c>
      <c r="H232" s="333">
        <f t="shared" si="114"/>
        <v>0</v>
      </c>
      <c r="I232" s="333">
        <f t="shared" si="114"/>
        <v>0</v>
      </c>
      <c r="J232" s="333">
        <f t="shared" si="114"/>
        <v>0</v>
      </c>
      <c r="K232" s="333">
        <f t="shared" si="114"/>
        <v>0</v>
      </c>
      <c r="L232" s="333">
        <f t="shared" si="114"/>
        <v>0</v>
      </c>
      <c r="M232" s="333">
        <f t="shared" si="114"/>
        <v>0</v>
      </c>
      <c r="N232" s="333">
        <f t="shared" si="114"/>
        <v>0</v>
      </c>
      <c r="O232" s="333">
        <f t="shared" si="114"/>
        <v>0</v>
      </c>
      <c r="P232" s="333">
        <f t="shared" si="114"/>
        <v>0</v>
      </c>
      <c r="Q232" s="333">
        <f t="shared" si="114"/>
        <v>0</v>
      </c>
      <c r="R232" s="333">
        <f t="shared" si="114"/>
        <v>0</v>
      </c>
      <c r="S232" s="333">
        <f t="shared" si="114"/>
        <v>0</v>
      </c>
      <c r="T232" s="333">
        <f t="shared" si="114"/>
        <v>0</v>
      </c>
      <c r="U232" s="333">
        <f t="shared" si="114"/>
        <v>0</v>
      </c>
      <c r="V232" s="333">
        <f t="shared" si="114"/>
        <v>0</v>
      </c>
      <c r="W232" s="333">
        <f t="shared" si="114"/>
        <v>0</v>
      </c>
      <c r="X232" s="333">
        <f t="shared" si="114"/>
        <v>0</v>
      </c>
      <c r="Y232" s="333">
        <f t="shared" si="114"/>
        <v>0</v>
      </c>
      <c r="Z232" s="333">
        <f t="shared" si="114"/>
        <v>0</v>
      </c>
      <c r="AA232" s="333">
        <f t="shared" si="114"/>
        <v>0</v>
      </c>
      <c r="AB232" s="333">
        <f t="shared" si="114"/>
        <v>0</v>
      </c>
      <c r="AC232" s="333">
        <f t="shared" si="114"/>
        <v>0</v>
      </c>
      <c r="AD232" s="333">
        <f t="shared" si="114"/>
        <v>0</v>
      </c>
      <c r="AE232" s="126"/>
      <c r="AF232" s="334">
        <f>10*AF13</f>
        <v>0</v>
      </c>
      <c r="AG232" s="16"/>
      <c r="AH232" s="16"/>
    </row>
    <row r="233">
      <c r="A233" s="23"/>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7"/>
      <c r="AG233" s="16"/>
      <c r="AH233" s="16"/>
    </row>
    <row r="234">
      <c r="A234" s="23" t="s">
        <v>359</v>
      </c>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7"/>
      <c r="AG234" s="16"/>
      <c r="AH234" s="16"/>
    </row>
    <row r="235">
      <c r="A235" s="23" t="s">
        <v>341</v>
      </c>
      <c r="B235" s="329"/>
      <c r="C235" s="329"/>
      <c r="D235" s="329"/>
      <c r="E235" s="329"/>
      <c r="F235" s="329"/>
      <c r="G235" s="329"/>
      <c r="H235" s="329"/>
      <c r="I235" s="329"/>
      <c r="J235" s="329"/>
      <c r="K235" s="329"/>
      <c r="L235" s="329"/>
      <c r="M235" s="329"/>
      <c r="N235" s="329"/>
      <c r="O235" s="329"/>
      <c r="P235" s="329"/>
      <c r="Q235" s="329"/>
      <c r="R235" s="329"/>
      <c r="S235" s="329"/>
      <c r="T235" s="329"/>
      <c r="U235" s="329"/>
      <c r="V235" s="329"/>
      <c r="W235" s="329"/>
      <c r="X235" s="329"/>
      <c r="Y235" s="329"/>
      <c r="Z235" s="329"/>
      <c r="AA235" s="329"/>
      <c r="AB235" s="329"/>
      <c r="AC235" s="329"/>
      <c r="AD235" s="329"/>
      <c r="AE235" s="329"/>
      <c r="AF235" s="330"/>
      <c r="AG235" s="16"/>
      <c r="AH235" s="16"/>
    </row>
    <row r="236">
      <c r="A236" s="23" t="s">
        <v>164</v>
      </c>
      <c r="B236" s="331">
        <f t="shared" ref="B236:AF236" si="115">(B42/B26)*B22</f>
        <v>0</v>
      </c>
      <c r="C236" s="331">
        <f t="shared" si="115"/>
        <v>0</v>
      </c>
      <c r="D236" s="331">
        <f t="shared" si="115"/>
        <v>0</v>
      </c>
      <c r="E236" s="331">
        <f t="shared" si="115"/>
        <v>0</v>
      </c>
      <c r="F236" s="331">
        <f t="shared" si="115"/>
        <v>0</v>
      </c>
      <c r="G236" s="331">
        <f t="shared" si="115"/>
        <v>0</v>
      </c>
      <c r="H236" s="331">
        <f t="shared" si="115"/>
        <v>0</v>
      </c>
      <c r="I236" s="331">
        <f t="shared" si="115"/>
        <v>0</v>
      </c>
      <c r="J236" s="331">
        <f t="shared" si="115"/>
        <v>0</v>
      </c>
      <c r="K236" s="331">
        <f t="shared" si="115"/>
        <v>0</v>
      </c>
      <c r="L236" s="331">
        <f t="shared" si="115"/>
        <v>0</v>
      </c>
      <c r="M236" s="331">
        <f t="shared" si="115"/>
        <v>0</v>
      </c>
      <c r="N236" s="331">
        <f t="shared" si="115"/>
        <v>0</v>
      </c>
      <c r="O236" s="331">
        <f t="shared" si="115"/>
        <v>0</v>
      </c>
      <c r="P236" s="331">
        <f t="shared" si="115"/>
        <v>0</v>
      </c>
      <c r="Q236" s="331">
        <f t="shared" si="115"/>
        <v>0</v>
      </c>
      <c r="R236" s="331">
        <f t="shared" si="115"/>
        <v>0</v>
      </c>
      <c r="S236" s="331">
        <f t="shared" si="115"/>
        <v>0</v>
      </c>
      <c r="T236" s="331">
        <f t="shared" si="115"/>
        <v>0</v>
      </c>
      <c r="U236" s="331">
        <f t="shared" si="115"/>
        <v>0</v>
      </c>
      <c r="V236" s="331">
        <f t="shared" si="115"/>
        <v>0</v>
      </c>
      <c r="W236" s="331">
        <f t="shared" si="115"/>
        <v>0</v>
      </c>
      <c r="X236" s="331">
        <f t="shared" si="115"/>
        <v>0</v>
      </c>
      <c r="Y236" s="331">
        <f t="shared" si="115"/>
        <v>0</v>
      </c>
      <c r="Z236" s="331">
        <f t="shared" si="115"/>
        <v>0</v>
      </c>
      <c r="AA236" s="331">
        <f t="shared" si="115"/>
        <v>0</v>
      </c>
      <c r="AB236" s="331">
        <f t="shared" si="115"/>
        <v>0</v>
      </c>
      <c r="AC236" s="331">
        <f t="shared" si="115"/>
        <v>0</v>
      </c>
      <c r="AD236" s="331">
        <f t="shared" si="115"/>
        <v>0</v>
      </c>
      <c r="AE236" s="331">
        <f t="shared" si="115"/>
        <v>0</v>
      </c>
      <c r="AF236" s="332">
        <f t="shared" si="115"/>
        <v>0</v>
      </c>
      <c r="AG236" s="16"/>
      <c r="AH236" s="16"/>
    </row>
    <row r="237">
      <c r="A237" s="23" t="s">
        <v>165</v>
      </c>
      <c r="B237" s="331">
        <f t="shared" ref="B237:AF237" si="116">(B43/B14)*B10</f>
        <v>0</v>
      </c>
      <c r="C237" s="331">
        <f t="shared" si="116"/>
        <v>0</v>
      </c>
      <c r="D237" s="331">
        <f t="shared" si="116"/>
        <v>0</v>
      </c>
      <c r="E237" s="331">
        <f t="shared" si="116"/>
        <v>0</v>
      </c>
      <c r="F237" s="331">
        <f t="shared" si="116"/>
        <v>0</v>
      </c>
      <c r="G237" s="331">
        <f t="shared" si="116"/>
        <v>0</v>
      </c>
      <c r="H237" s="331">
        <f t="shared" si="116"/>
        <v>0</v>
      </c>
      <c r="I237" s="331">
        <f t="shared" si="116"/>
        <v>0</v>
      </c>
      <c r="J237" s="331">
        <f t="shared" si="116"/>
        <v>0</v>
      </c>
      <c r="K237" s="331">
        <f t="shared" si="116"/>
        <v>0</v>
      </c>
      <c r="L237" s="331">
        <f t="shared" si="116"/>
        <v>0</v>
      </c>
      <c r="M237" s="331">
        <f t="shared" si="116"/>
        <v>0</v>
      </c>
      <c r="N237" s="331">
        <f t="shared" si="116"/>
        <v>0</v>
      </c>
      <c r="O237" s="331">
        <f t="shared" si="116"/>
        <v>0</v>
      </c>
      <c r="P237" s="331">
        <f t="shared" si="116"/>
        <v>0</v>
      </c>
      <c r="Q237" s="331">
        <f t="shared" si="116"/>
        <v>0</v>
      </c>
      <c r="R237" s="331">
        <f t="shared" si="116"/>
        <v>0</v>
      </c>
      <c r="S237" s="331">
        <f t="shared" si="116"/>
        <v>0</v>
      </c>
      <c r="T237" s="331">
        <f t="shared" si="116"/>
        <v>0</v>
      </c>
      <c r="U237" s="331">
        <f t="shared" si="116"/>
        <v>0</v>
      </c>
      <c r="V237" s="331">
        <f t="shared" si="116"/>
        <v>0</v>
      </c>
      <c r="W237" s="331">
        <f t="shared" si="116"/>
        <v>0</v>
      </c>
      <c r="X237" s="331">
        <f t="shared" si="116"/>
        <v>0</v>
      </c>
      <c r="Y237" s="331">
        <f t="shared" si="116"/>
        <v>0</v>
      </c>
      <c r="Z237" s="331">
        <f t="shared" si="116"/>
        <v>0</v>
      </c>
      <c r="AA237" s="331">
        <f t="shared" si="116"/>
        <v>0</v>
      </c>
      <c r="AB237" s="331">
        <f t="shared" si="116"/>
        <v>0</v>
      </c>
      <c r="AC237" s="331">
        <f t="shared" si="116"/>
        <v>0</v>
      </c>
      <c r="AD237" s="331">
        <f t="shared" si="116"/>
        <v>0</v>
      </c>
      <c r="AE237" s="331">
        <f t="shared" si="116"/>
        <v>0</v>
      </c>
      <c r="AF237" s="332">
        <f t="shared" si="116"/>
        <v>0</v>
      </c>
      <c r="AG237" s="16"/>
      <c r="AH237" s="16"/>
    </row>
    <row r="238">
      <c r="A238" s="23" t="s">
        <v>353</v>
      </c>
      <c r="B238" s="331">
        <f t="shared" ref="B238:AF238" si="117">85*B10</f>
        <v>0</v>
      </c>
      <c r="C238" s="331">
        <f t="shared" si="117"/>
        <v>0</v>
      </c>
      <c r="D238" s="331">
        <f t="shared" si="117"/>
        <v>0</v>
      </c>
      <c r="E238" s="331">
        <f t="shared" si="117"/>
        <v>0</v>
      </c>
      <c r="F238" s="331">
        <f t="shared" si="117"/>
        <v>0</v>
      </c>
      <c r="G238" s="331">
        <f t="shared" si="117"/>
        <v>0</v>
      </c>
      <c r="H238" s="331">
        <f t="shared" si="117"/>
        <v>0</v>
      </c>
      <c r="I238" s="331">
        <f t="shared" si="117"/>
        <v>0</v>
      </c>
      <c r="J238" s="331">
        <f t="shared" si="117"/>
        <v>0</v>
      </c>
      <c r="K238" s="331">
        <f t="shared" si="117"/>
        <v>0</v>
      </c>
      <c r="L238" s="331">
        <f t="shared" si="117"/>
        <v>0</v>
      </c>
      <c r="M238" s="331">
        <f t="shared" si="117"/>
        <v>0</v>
      </c>
      <c r="N238" s="331">
        <f t="shared" si="117"/>
        <v>0</v>
      </c>
      <c r="O238" s="331">
        <f t="shared" si="117"/>
        <v>0</v>
      </c>
      <c r="P238" s="331">
        <f t="shared" si="117"/>
        <v>0</v>
      </c>
      <c r="Q238" s="331">
        <f t="shared" si="117"/>
        <v>0</v>
      </c>
      <c r="R238" s="331">
        <f t="shared" si="117"/>
        <v>0</v>
      </c>
      <c r="S238" s="331">
        <f t="shared" si="117"/>
        <v>0</v>
      </c>
      <c r="T238" s="331">
        <f t="shared" si="117"/>
        <v>0</v>
      </c>
      <c r="U238" s="331">
        <f t="shared" si="117"/>
        <v>0</v>
      </c>
      <c r="V238" s="331">
        <f t="shared" si="117"/>
        <v>0</v>
      </c>
      <c r="W238" s="331">
        <f t="shared" si="117"/>
        <v>0</v>
      </c>
      <c r="X238" s="331">
        <f t="shared" si="117"/>
        <v>0</v>
      </c>
      <c r="Y238" s="331">
        <f t="shared" si="117"/>
        <v>0</v>
      </c>
      <c r="Z238" s="331">
        <f t="shared" si="117"/>
        <v>0</v>
      </c>
      <c r="AA238" s="331">
        <f t="shared" si="117"/>
        <v>0</v>
      </c>
      <c r="AB238" s="331">
        <f t="shared" si="117"/>
        <v>0</v>
      </c>
      <c r="AC238" s="331">
        <f t="shared" si="117"/>
        <v>0</v>
      </c>
      <c r="AD238" s="331">
        <f t="shared" si="117"/>
        <v>0</v>
      </c>
      <c r="AE238" s="331">
        <f t="shared" si="117"/>
        <v>0</v>
      </c>
      <c r="AF238" s="332">
        <f t="shared" si="117"/>
        <v>0</v>
      </c>
      <c r="AG238" s="16"/>
      <c r="AH238" s="16"/>
    </row>
    <row r="239">
      <c r="A239" s="23" t="s">
        <v>173</v>
      </c>
      <c r="B239" s="331">
        <f t="shared" ref="B239:AF239" si="118">10*B10</f>
        <v>0</v>
      </c>
      <c r="C239" s="331">
        <f t="shared" si="118"/>
        <v>0</v>
      </c>
      <c r="D239" s="331">
        <f t="shared" si="118"/>
        <v>0</v>
      </c>
      <c r="E239" s="331">
        <f t="shared" si="118"/>
        <v>0</v>
      </c>
      <c r="F239" s="331">
        <f t="shared" si="118"/>
        <v>0</v>
      </c>
      <c r="G239" s="331">
        <f t="shared" si="118"/>
        <v>0</v>
      </c>
      <c r="H239" s="331">
        <f t="shared" si="118"/>
        <v>0</v>
      </c>
      <c r="I239" s="331">
        <f t="shared" si="118"/>
        <v>0</v>
      </c>
      <c r="J239" s="331">
        <f t="shared" si="118"/>
        <v>0</v>
      </c>
      <c r="K239" s="331">
        <f t="shared" si="118"/>
        <v>0</v>
      </c>
      <c r="L239" s="331">
        <f t="shared" si="118"/>
        <v>0</v>
      </c>
      <c r="M239" s="331">
        <f t="shared" si="118"/>
        <v>0</v>
      </c>
      <c r="N239" s="331">
        <f t="shared" si="118"/>
        <v>0</v>
      </c>
      <c r="O239" s="331">
        <f t="shared" si="118"/>
        <v>0</v>
      </c>
      <c r="P239" s="331">
        <f t="shared" si="118"/>
        <v>0</v>
      </c>
      <c r="Q239" s="331">
        <f t="shared" si="118"/>
        <v>0</v>
      </c>
      <c r="R239" s="331">
        <f t="shared" si="118"/>
        <v>0</v>
      </c>
      <c r="S239" s="331">
        <f t="shared" si="118"/>
        <v>0</v>
      </c>
      <c r="T239" s="331">
        <f t="shared" si="118"/>
        <v>0</v>
      </c>
      <c r="U239" s="331">
        <f t="shared" si="118"/>
        <v>0</v>
      </c>
      <c r="V239" s="331">
        <f t="shared" si="118"/>
        <v>0</v>
      </c>
      <c r="W239" s="331">
        <f t="shared" si="118"/>
        <v>0</v>
      </c>
      <c r="X239" s="331">
        <f t="shared" si="118"/>
        <v>0</v>
      </c>
      <c r="Y239" s="331">
        <f t="shared" si="118"/>
        <v>0</v>
      </c>
      <c r="Z239" s="331">
        <f t="shared" si="118"/>
        <v>0</v>
      </c>
      <c r="AA239" s="331">
        <f t="shared" si="118"/>
        <v>0</v>
      </c>
      <c r="AB239" s="331">
        <f t="shared" si="118"/>
        <v>0</v>
      </c>
      <c r="AC239" s="331">
        <f t="shared" si="118"/>
        <v>0</v>
      </c>
      <c r="AD239" s="331">
        <f t="shared" si="118"/>
        <v>0</v>
      </c>
      <c r="AE239" s="331">
        <f t="shared" si="118"/>
        <v>0</v>
      </c>
      <c r="AF239" s="332">
        <f t="shared" si="118"/>
        <v>0</v>
      </c>
      <c r="AG239" s="16"/>
      <c r="AH239" s="16"/>
    </row>
    <row r="240">
      <c r="A240" s="23"/>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7"/>
      <c r="AG240" s="16"/>
      <c r="AH240" s="16"/>
    </row>
    <row r="241">
      <c r="A241" s="23" t="s">
        <v>360</v>
      </c>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7"/>
      <c r="AG241" s="16"/>
      <c r="AH241" s="16"/>
    </row>
    <row r="242">
      <c r="A242" s="23" t="s">
        <v>341</v>
      </c>
      <c r="B242" s="329"/>
      <c r="C242" s="329"/>
      <c r="D242" s="329"/>
      <c r="E242" s="329"/>
      <c r="F242" s="329"/>
      <c r="G242" s="329"/>
      <c r="H242" s="329"/>
      <c r="I242" s="329"/>
      <c r="J242" s="329"/>
      <c r="K242" s="329"/>
      <c r="L242" s="329"/>
      <c r="M242" s="329"/>
      <c r="N242" s="329"/>
      <c r="O242" s="329"/>
      <c r="P242" s="329"/>
      <c r="Q242" s="329"/>
      <c r="R242" s="329"/>
      <c r="S242" s="329"/>
      <c r="T242" s="329"/>
      <c r="U242" s="329"/>
      <c r="V242" s="329"/>
      <c r="W242" s="329"/>
      <c r="X242" s="329"/>
      <c r="Y242" s="329"/>
      <c r="Z242" s="329"/>
      <c r="AA242" s="329"/>
      <c r="AB242" s="329"/>
      <c r="AC242" s="329"/>
      <c r="AD242" s="329"/>
      <c r="AE242" s="329"/>
      <c r="AF242" s="330"/>
      <c r="AG242" s="16"/>
      <c r="AH242" s="16"/>
    </row>
    <row r="243">
      <c r="A243" s="23" t="s">
        <v>164</v>
      </c>
      <c r="B243" s="331">
        <f t="shared" ref="B243:AF243" si="119">(B42/B26)*B23</f>
        <v>0</v>
      </c>
      <c r="C243" s="331">
        <f t="shared" si="119"/>
        <v>0</v>
      </c>
      <c r="D243" s="331">
        <f t="shared" si="119"/>
        <v>0</v>
      </c>
      <c r="E243" s="331">
        <f t="shared" si="119"/>
        <v>0</v>
      </c>
      <c r="F243" s="331">
        <f t="shared" si="119"/>
        <v>0</v>
      </c>
      <c r="G243" s="331">
        <f t="shared" si="119"/>
        <v>0</v>
      </c>
      <c r="H243" s="331">
        <f t="shared" si="119"/>
        <v>0</v>
      </c>
      <c r="I243" s="331">
        <f t="shared" si="119"/>
        <v>0</v>
      </c>
      <c r="J243" s="331">
        <f t="shared" si="119"/>
        <v>0</v>
      </c>
      <c r="K243" s="331">
        <f t="shared" si="119"/>
        <v>0</v>
      </c>
      <c r="L243" s="331">
        <f t="shared" si="119"/>
        <v>0</v>
      </c>
      <c r="M243" s="331">
        <f t="shared" si="119"/>
        <v>0</v>
      </c>
      <c r="N243" s="331">
        <f t="shared" si="119"/>
        <v>0</v>
      </c>
      <c r="O243" s="331">
        <f t="shared" si="119"/>
        <v>6.89</v>
      </c>
      <c r="P243" s="331">
        <f t="shared" si="119"/>
        <v>0</v>
      </c>
      <c r="Q243" s="331">
        <f t="shared" si="119"/>
        <v>0</v>
      </c>
      <c r="R243" s="331">
        <f t="shared" si="119"/>
        <v>0</v>
      </c>
      <c r="S243" s="331">
        <f t="shared" si="119"/>
        <v>0</v>
      </c>
      <c r="T243" s="331">
        <f t="shared" si="119"/>
        <v>14.118</v>
      </c>
      <c r="U243" s="331">
        <f t="shared" si="119"/>
        <v>12.246</v>
      </c>
      <c r="V243" s="331">
        <f t="shared" si="119"/>
        <v>23.14</v>
      </c>
      <c r="W243" s="331">
        <f t="shared" si="119"/>
        <v>9.594</v>
      </c>
      <c r="X243" s="331">
        <f t="shared" si="119"/>
        <v>17.68</v>
      </c>
      <c r="Y243" s="331">
        <f t="shared" si="119"/>
        <v>6.89</v>
      </c>
      <c r="Z243" s="331">
        <f t="shared" si="119"/>
        <v>23.79</v>
      </c>
      <c r="AA243" s="331">
        <f t="shared" si="119"/>
        <v>7.358</v>
      </c>
      <c r="AB243" s="331">
        <f t="shared" si="119"/>
        <v>23.868</v>
      </c>
      <c r="AC243" s="331">
        <f t="shared" si="119"/>
        <v>7.358</v>
      </c>
      <c r="AD243" s="331">
        <f t="shared" si="119"/>
        <v>7.358</v>
      </c>
      <c r="AE243" s="331">
        <f t="shared" si="119"/>
        <v>0</v>
      </c>
      <c r="AF243" s="332">
        <f t="shared" si="119"/>
        <v>0</v>
      </c>
      <c r="AG243" s="16"/>
      <c r="AH243" s="16"/>
    </row>
    <row r="244">
      <c r="A244" s="23" t="s">
        <v>165</v>
      </c>
      <c r="B244" s="331">
        <f t="shared" ref="B244:AF244" si="120">(B43/B14)*B11</f>
        <v>0</v>
      </c>
      <c r="C244" s="331">
        <f t="shared" si="120"/>
        <v>0</v>
      </c>
      <c r="D244" s="331">
        <f t="shared" si="120"/>
        <v>0</v>
      </c>
      <c r="E244" s="331">
        <f t="shared" si="120"/>
        <v>0</v>
      </c>
      <c r="F244" s="331">
        <f t="shared" si="120"/>
        <v>0</v>
      </c>
      <c r="G244" s="331">
        <f t="shared" si="120"/>
        <v>0</v>
      </c>
      <c r="H244" s="331">
        <f t="shared" si="120"/>
        <v>0</v>
      </c>
      <c r="I244" s="331">
        <f t="shared" si="120"/>
        <v>0</v>
      </c>
      <c r="J244" s="331">
        <f t="shared" si="120"/>
        <v>0</v>
      </c>
      <c r="K244" s="331">
        <f t="shared" si="120"/>
        <v>0</v>
      </c>
      <c r="L244" s="331">
        <f t="shared" si="120"/>
        <v>0</v>
      </c>
      <c r="M244" s="331">
        <f t="shared" si="120"/>
        <v>0</v>
      </c>
      <c r="N244" s="331">
        <f t="shared" si="120"/>
        <v>0</v>
      </c>
      <c r="O244" s="331">
        <f t="shared" si="120"/>
        <v>0.3</v>
      </c>
      <c r="P244" s="331">
        <f t="shared" si="120"/>
        <v>0</v>
      </c>
      <c r="Q244" s="331">
        <f t="shared" si="120"/>
        <v>0</v>
      </c>
      <c r="R244" s="331">
        <f t="shared" si="120"/>
        <v>0</v>
      </c>
      <c r="S244" s="331">
        <f t="shared" si="120"/>
        <v>0</v>
      </c>
      <c r="T244" s="331">
        <f t="shared" si="120"/>
        <v>0.6</v>
      </c>
      <c r="U244" s="331">
        <f t="shared" si="120"/>
        <v>0.6</v>
      </c>
      <c r="V244" s="331">
        <f t="shared" si="120"/>
        <v>0.9</v>
      </c>
      <c r="W244" s="331">
        <f t="shared" si="120"/>
        <v>0.3</v>
      </c>
      <c r="X244" s="331">
        <f t="shared" si="120"/>
        <v>0.9</v>
      </c>
      <c r="Y244" s="331">
        <f t="shared" si="120"/>
        <v>0.3</v>
      </c>
      <c r="Z244" s="331">
        <f t="shared" si="120"/>
        <v>0.9</v>
      </c>
      <c r="AA244" s="331">
        <f t="shared" si="120"/>
        <v>0.3</v>
      </c>
      <c r="AB244" s="331">
        <f t="shared" si="120"/>
        <v>0.9</v>
      </c>
      <c r="AC244" s="331">
        <f t="shared" si="120"/>
        <v>0.3</v>
      </c>
      <c r="AD244" s="331">
        <f t="shared" si="120"/>
        <v>0.3</v>
      </c>
      <c r="AE244" s="331">
        <f t="shared" si="120"/>
        <v>0</v>
      </c>
      <c r="AF244" s="332">
        <f t="shared" si="120"/>
        <v>0</v>
      </c>
      <c r="AG244" s="16"/>
      <c r="AH244" s="16"/>
    </row>
    <row r="245">
      <c r="A245" s="23" t="s">
        <v>353</v>
      </c>
      <c r="B245" s="331">
        <f t="shared" ref="B245:AF245" si="121">85*B11</f>
        <v>0</v>
      </c>
      <c r="C245" s="331">
        <f t="shared" si="121"/>
        <v>0</v>
      </c>
      <c r="D245" s="331">
        <f t="shared" si="121"/>
        <v>0</v>
      </c>
      <c r="E245" s="331">
        <f t="shared" si="121"/>
        <v>0</v>
      </c>
      <c r="F245" s="331">
        <f t="shared" si="121"/>
        <v>0</v>
      </c>
      <c r="G245" s="331">
        <f t="shared" si="121"/>
        <v>0</v>
      </c>
      <c r="H245" s="331">
        <f t="shared" si="121"/>
        <v>0</v>
      </c>
      <c r="I245" s="331">
        <f t="shared" si="121"/>
        <v>0</v>
      </c>
      <c r="J245" s="331">
        <f t="shared" si="121"/>
        <v>0</v>
      </c>
      <c r="K245" s="331">
        <f t="shared" si="121"/>
        <v>0</v>
      </c>
      <c r="L245" s="331">
        <f t="shared" si="121"/>
        <v>0</v>
      </c>
      <c r="M245" s="331">
        <f t="shared" si="121"/>
        <v>0</v>
      </c>
      <c r="N245" s="331">
        <f t="shared" si="121"/>
        <v>0</v>
      </c>
      <c r="O245" s="331">
        <f t="shared" si="121"/>
        <v>85</v>
      </c>
      <c r="P245" s="331">
        <f t="shared" si="121"/>
        <v>0</v>
      </c>
      <c r="Q245" s="331">
        <f t="shared" si="121"/>
        <v>0</v>
      </c>
      <c r="R245" s="331">
        <f t="shared" si="121"/>
        <v>0</v>
      </c>
      <c r="S245" s="331">
        <f t="shared" si="121"/>
        <v>0</v>
      </c>
      <c r="T245" s="331">
        <f t="shared" si="121"/>
        <v>170</v>
      </c>
      <c r="U245" s="331">
        <f t="shared" si="121"/>
        <v>170</v>
      </c>
      <c r="V245" s="331">
        <f t="shared" si="121"/>
        <v>255</v>
      </c>
      <c r="W245" s="331">
        <f t="shared" si="121"/>
        <v>85</v>
      </c>
      <c r="X245" s="331">
        <f t="shared" si="121"/>
        <v>255</v>
      </c>
      <c r="Y245" s="331">
        <f t="shared" si="121"/>
        <v>85</v>
      </c>
      <c r="Z245" s="331">
        <f t="shared" si="121"/>
        <v>255</v>
      </c>
      <c r="AA245" s="331">
        <f t="shared" si="121"/>
        <v>85</v>
      </c>
      <c r="AB245" s="331">
        <f t="shared" si="121"/>
        <v>255</v>
      </c>
      <c r="AC245" s="331">
        <f t="shared" si="121"/>
        <v>85</v>
      </c>
      <c r="AD245" s="331">
        <f t="shared" si="121"/>
        <v>85</v>
      </c>
      <c r="AE245" s="331">
        <f t="shared" si="121"/>
        <v>0</v>
      </c>
      <c r="AF245" s="332">
        <f t="shared" si="121"/>
        <v>0</v>
      </c>
      <c r="AG245" s="16"/>
      <c r="AH245" s="16"/>
    </row>
    <row r="246">
      <c r="A246" s="23" t="s">
        <v>173</v>
      </c>
      <c r="B246" s="331">
        <f t="shared" ref="B246:AF246" si="122">10*B11</f>
        <v>0</v>
      </c>
      <c r="C246" s="331">
        <f t="shared" si="122"/>
        <v>0</v>
      </c>
      <c r="D246" s="331">
        <f t="shared" si="122"/>
        <v>0</v>
      </c>
      <c r="E246" s="331">
        <f t="shared" si="122"/>
        <v>0</v>
      </c>
      <c r="F246" s="331">
        <f t="shared" si="122"/>
        <v>0</v>
      </c>
      <c r="G246" s="331">
        <f t="shared" si="122"/>
        <v>0</v>
      </c>
      <c r="H246" s="331">
        <f t="shared" si="122"/>
        <v>0</v>
      </c>
      <c r="I246" s="331">
        <f t="shared" si="122"/>
        <v>0</v>
      </c>
      <c r="J246" s="331">
        <f t="shared" si="122"/>
        <v>0</v>
      </c>
      <c r="K246" s="331">
        <f t="shared" si="122"/>
        <v>0</v>
      </c>
      <c r="L246" s="331">
        <f t="shared" si="122"/>
        <v>0</v>
      </c>
      <c r="M246" s="331">
        <f t="shared" si="122"/>
        <v>0</v>
      </c>
      <c r="N246" s="331">
        <f t="shared" si="122"/>
        <v>0</v>
      </c>
      <c r="O246" s="331">
        <f t="shared" si="122"/>
        <v>10</v>
      </c>
      <c r="P246" s="331">
        <f t="shared" si="122"/>
        <v>0</v>
      </c>
      <c r="Q246" s="331">
        <f t="shared" si="122"/>
        <v>0</v>
      </c>
      <c r="R246" s="331">
        <f t="shared" si="122"/>
        <v>0</v>
      </c>
      <c r="S246" s="331">
        <f t="shared" si="122"/>
        <v>0</v>
      </c>
      <c r="T246" s="331">
        <f t="shared" si="122"/>
        <v>20</v>
      </c>
      <c r="U246" s="331">
        <f t="shared" si="122"/>
        <v>20</v>
      </c>
      <c r="V246" s="331">
        <f t="shared" si="122"/>
        <v>30</v>
      </c>
      <c r="W246" s="331">
        <f t="shared" si="122"/>
        <v>10</v>
      </c>
      <c r="X246" s="331">
        <f t="shared" si="122"/>
        <v>30</v>
      </c>
      <c r="Y246" s="331">
        <f t="shared" si="122"/>
        <v>10</v>
      </c>
      <c r="Z246" s="331">
        <f t="shared" si="122"/>
        <v>30</v>
      </c>
      <c r="AA246" s="331">
        <f t="shared" si="122"/>
        <v>10</v>
      </c>
      <c r="AB246" s="331">
        <f t="shared" si="122"/>
        <v>30</v>
      </c>
      <c r="AC246" s="331">
        <f t="shared" si="122"/>
        <v>10</v>
      </c>
      <c r="AD246" s="331">
        <f t="shared" si="122"/>
        <v>10</v>
      </c>
      <c r="AE246" s="331">
        <f t="shared" si="122"/>
        <v>0</v>
      </c>
      <c r="AF246" s="332">
        <f t="shared" si="122"/>
        <v>0</v>
      </c>
      <c r="AG246" s="16"/>
      <c r="AH246" s="16"/>
    </row>
    <row r="247">
      <c r="A247" s="23"/>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7"/>
      <c r="AG247" s="16"/>
      <c r="AH247" s="16"/>
    </row>
    <row r="248">
      <c r="A248" s="23" t="s">
        <v>361</v>
      </c>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7"/>
      <c r="AG248" s="16"/>
      <c r="AH248" s="16"/>
    </row>
    <row r="249">
      <c r="A249" s="23" t="s">
        <v>341</v>
      </c>
      <c r="B249" s="329"/>
      <c r="C249" s="329"/>
      <c r="D249" s="329"/>
      <c r="E249" s="329"/>
      <c r="F249" s="329"/>
      <c r="G249" s="329"/>
      <c r="H249" s="329"/>
      <c r="I249" s="329"/>
      <c r="J249" s="329"/>
      <c r="K249" s="329"/>
      <c r="L249" s="329"/>
      <c r="M249" s="329"/>
      <c r="N249" s="329"/>
      <c r="O249" s="329"/>
      <c r="P249" s="329"/>
      <c r="Q249" s="329"/>
      <c r="R249" s="329"/>
      <c r="S249" s="329"/>
      <c r="T249" s="329"/>
      <c r="U249" s="329"/>
      <c r="V249" s="329"/>
      <c r="W249" s="329"/>
      <c r="X249" s="329"/>
      <c r="Y249" s="329"/>
      <c r="Z249" s="329"/>
      <c r="AA249" s="329"/>
      <c r="AB249" s="329"/>
      <c r="AC249" s="329"/>
      <c r="AD249" s="329"/>
      <c r="AE249" s="329"/>
      <c r="AF249" s="330"/>
      <c r="AG249" s="16"/>
      <c r="AH249" s="16"/>
    </row>
    <row r="250">
      <c r="A250" s="23" t="s">
        <v>164</v>
      </c>
      <c r="B250" s="331">
        <f t="shared" ref="B250:AF250" si="123">(B42/B26)*B24</f>
        <v>0</v>
      </c>
      <c r="C250" s="331">
        <f t="shared" si="123"/>
        <v>0</v>
      </c>
      <c r="D250" s="331">
        <f t="shared" si="123"/>
        <v>0</v>
      </c>
      <c r="E250" s="331">
        <f t="shared" si="123"/>
        <v>0</v>
      </c>
      <c r="F250" s="331">
        <f t="shared" si="123"/>
        <v>0</v>
      </c>
      <c r="G250" s="331">
        <f t="shared" si="123"/>
        <v>0</v>
      </c>
      <c r="H250" s="331">
        <f t="shared" si="123"/>
        <v>0</v>
      </c>
      <c r="I250" s="331">
        <f t="shared" si="123"/>
        <v>0</v>
      </c>
      <c r="J250" s="331">
        <f t="shared" si="123"/>
        <v>0</v>
      </c>
      <c r="K250" s="331">
        <f t="shared" si="123"/>
        <v>0</v>
      </c>
      <c r="L250" s="331">
        <f t="shared" si="123"/>
        <v>0</v>
      </c>
      <c r="M250" s="331">
        <f t="shared" si="123"/>
        <v>0</v>
      </c>
      <c r="N250" s="331">
        <f t="shared" si="123"/>
        <v>0</v>
      </c>
      <c r="O250" s="331">
        <f t="shared" si="123"/>
        <v>0</v>
      </c>
      <c r="P250" s="331">
        <f t="shared" si="123"/>
        <v>0</v>
      </c>
      <c r="Q250" s="331">
        <f t="shared" si="123"/>
        <v>0</v>
      </c>
      <c r="R250" s="331">
        <f t="shared" si="123"/>
        <v>0</v>
      </c>
      <c r="S250" s="331">
        <f t="shared" si="123"/>
        <v>4.914</v>
      </c>
      <c r="T250" s="331">
        <f t="shared" si="123"/>
        <v>4.914</v>
      </c>
      <c r="U250" s="331">
        <f t="shared" si="123"/>
        <v>9.568</v>
      </c>
      <c r="V250" s="331">
        <f t="shared" si="123"/>
        <v>0</v>
      </c>
      <c r="W250" s="331">
        <f t="shared" si="123"/>
        <v>57.85</v>
      </c>
      <c r="X250" s="331">
        <f t="shared" si="123"/>
        <v>26.26</v>
      </c>
      <c r="Y250" s="331">
        <f t="shared" si="123"/>
        <v>10.296</v>
      </c>
      <c r="Z250" s="331">
        <f t="shared" si="123"/>
        <v>12.896</v>
      </c>
      <c r="AA250" s="331">
        <f t="shared" si="123"/>
        <v>4.914</v>
      </c>
      <c r="AB250" s="331">
        <f t="shared" si="123"/>
        <v>6.448</v>
      </c>
      <c r="AC250" s="331">
        <f t="shared" si="123"/>
        <v>4.914</v>
      </c>
      <c r="AD250" s="331">
        <f t="shared" si="123"/>
        <v>4.914</v>
      </c>
      <c r="AE250" s="331">
        <f t="shared" si="123"/>
        <v>10.296</v>
      </c>
      <c r="AF250" s="332">
        <f t="shared" si="123"/>
        <v>12.922</v>
      </c>
      <c r="AG250" s="16"/>
      <c r="AH250" s="16"/>
    </row>
    <row r="251">
      <c r="A251" s="23" t="s">
        <v>165</v>
      </c>
      <c r="B251" s="331">
        <f t="shared" ref="B251:AF251" si="124">(B43/B14)*B12</f>
        <v>0</v>
      </c>
      <c r="C251" s="331">
        <f t="shared" si="124"/>
        <v>0</v>
      </c>
      <c r="D251" s="331">
        <f t="shared" si="124"/>
        <v>0</v>
      </c>
      <c r="E251" s="331">
        <f t="shared" si="124"/>
        <v>0</v>
      </c>
      <c r="F251" s="331">
        <f t="shared" si="124"/>
        <v>0</v>
      </c>
      <c r="G251" s="331">
        <f t="shared" si="124"/>
        <v>0</v>
      </c>
      <c r="H251" s="331">
        <f t="shared" si="124"/>
        <v>0</v>
      </c>
      <c r="I251" s="331">
        <f t="shared" si="124"/>
        <v>0</v>
      </c>
      <c r="J251" s="331">
        <f t="shared" si="124"/>
        <v>0</v>
      </c>
      <c r="K251" s="331">
        <f t="shared" si="124"/>
        <v>0</v>
      </c>
      <c r="L251" s="331">
        <f t="shared" si="124"/>
        <v>0</v>
      </c>
      <c r="M251" s="331">
        <f t="shared" si="124"/>
        <v>0</v>
      </c>
      <c r="N251" s="331">
        <f t="shared" si="124"/>
        <v>0</v>
      </c>
      <c r="O251" s="331">
        <f t="shared" si="124"/>
        <v>0</v>
      </c>
      <c r="P251" s="331">
        <f t="shared" si="124"/>
        <v>0</v>
      </c>
      <c r="Q251" s="331">
        <f t="shared" si="124"/>
        <v>0</v>
      </c>
      <c r="R251" s="331">
        <f t="shared" si="124"/>
        <v>0</v>
      </c>
      <c r="S251" s="331">
        <f t="shared" si="124"/>
        <v>0.3</v>
      </c>
      <c r="T251" s="331">
        <f t="shared" si="124"/>
        <v>0.3</v>
      </c>
      <c r="U251" s="331">
        <f t="shared" si="124"/>
        <v>0.6</v>
      </c>
      <c r="V251" s="331">
        <f t="shared" si="124"/>
        <v>0</v>
      </c>
      <c r="W251" s="331">
        <f t="shared" si="124"/>
        <v>2.4</v>
      </c>
      <c r="X251" s="331">
        <f t="shared" si="124"/>
        <v>1.5</v>
      </c>
      <c r="Y251" s="331">
        <f t="shared" si="124"/>
        <v>0.6</v>
      </c>
      <c r="Z251" s="331">
        <f t="shared" si="124"/>
        <v>0.6</v>
      </c>
      <c r="AA251" s="331">
        <f t="shared" si="124"/>
        <v>0.3</v>
      </c>
      <c r="AB251" s="331">
        <f t="shared" si="124"/>
        <v>0.3</v>
      </c>
      <c r="AC251" s="331">
        <f t="shared" si="124"/>
        <v>0.3</v>
      </c>
      <c r="AD251" s="331">
        <f t="shared" si="124"/>
        <v>0.3</v>
      </c>
      <c r="AE251" s="331">
        <f t="shared" si="124"/>
        <v>0.6</v>
      </c>
      <c r="AF251" s="332">
        <f t="shared" si="124"/>
        <v>0.6</v>
      </c>
      <c r="AG251" s="16"/>
      <c r="AH251" s="16"/>
    </row>
    <row r="252">
      <c r="A252" s="23" t="s">
        <v>353</v>
      </c>
      <c r="B252" s="331">
        <f t="shared" ref="B252:AF252" si="125">85*B12</f>
        <v>0</v>
      </c>
      <c r="C252" s="331">
        <f t="shared" si="125"/>
        <v>0</v>
      </c>
      <c r="D252" s="331">
        <f t="shared" si="125"/>
        <v>0</v>
      </c>
      <c r="E252" s="331">
        <f t="shared" si="125"/>
        <v>0</v>
      </c>
      <c r="F252" s="331">
        <f t="shared" si="125"/>
        <v>0</v>
      </c>
      <c r="G252" s="331">
        <f t="shared" si="125"/>
        <v>0</v>
      </c>
      <c r="H252" s="331">
        <f t="shared" si="125"/>
        <v>0</v>
      </c>
      <c r="I252" s="331">
        <f t="shared" si="125"/>
        <v>0</v>
      </c>
      <c r="J252" s="331">
        <f t="shared" si="125"/>
        <v>0</v>
      </c>
      <c r="K252" s="331">
        <f t="shared" si="125"/>
        <v>0</v>
      </c>
      <c r="L252" s="331">
        <f t="shared" si="125"/>
        <v>0</v>
      </c>
      <c r="M252" s="331">
        <f t="shared" si="125"/>
        <v>0</v>
      </c>
      <c r="N252" s="331">
        <f t="shared" si="125"/>
        <v>0</v>
      </c>
      <c r="O252" s="331">
        <f t="shared" si="125"/>
        <v>0</v>
      </c>
      <c r="P252" s="331">
        <f t="shared" si="125"/>
        <v>0</v>
      </c>
      <c r="Q252" s="331">
        <f t="shared" si="125"/>
        <v>0</v>
      </c>
      <c r="R252" s="331">
        <f t="shared" si="125"/>
        <v>0</v>
      </c>
      <c r="S252" s="331">
        <f t="shared" si="125"/>
        <v>85</v>
      </c>
      <c r="T252" s="331">
        <f t="shared" si="125"/>
        <v>85</v>
      </c>
      <c r="U252" s="331">
        <f t="shared" si="125"/>
        <v>170</v>
      </c>
      <c r="V252" s="331">
        <f t="shared" si="125"/>
        <v>0</v>
      </c>
      <c r="W252" s="331">
        <f t="shared" si="125"/>
        <v>680</v>
      </c>
      <c r="X252" s="331">
        <f t="shared" si="125"/>
        <v>425</v>
      </c>
      <c r="Y252" s="331">
        <f t="shared" si="125"/>
        <v>170</v>
      </c>
      <c r="Z252" s="331">
        <f t="shared" si="125"/>
        <v>170</v>
      </c>
      <c r="AA252" s="331">
        <f t="shared" si="125"/>
        <v>85</v>
      </c>
      <c r="AB252" s="331">
        <f t="shared" si="125"/>
        <v>85</v>
      </c>
      <c r="AC252" s="331">
        <f t="shared" si="125"/>
        <v>85</v>
      </c>
      <c r="AD252" s="331">
        <f t="shared" si="125"/>
        <v>85</v>
      </c>
      <c r="AE252" s="331">
        <f t="shared" si="125"/>
        <v>170</v>
      </c>
      <c r="AF252" s="332">
        <f t="shared" si="125"/>
        <v>170</v>
      </c>
      <c r="AG252" s="16"/>
      <c r="AH252" s="16"/>
    </row>
    <row r="253">
      <c r="A253" s="23" t="s">
        <v>173</v>
      </c>
      <c r="B253" s="331">
        <f t="shared" ref="B253:AF253" si="126">10*B12</f>
        <v>0</v>
      </c>
      <c r="C253" s="331">
        <f t="shared" si="126"/>
        <v>0</v>
      </c>
      <c r="D253" s="331">
        <f t="shared" si="126"/>
        <v>0</v>
      </c>
      <c r="E253" s="331">
        <f t="shared" si="126"/>
        <v>0</v>
      </c>
      <c r="F253" s="331">
        <f t="shared" si="126"/>
        <v>0</v>
      </c>
      <c r="G253" s="331">
        <f t="shared" si="126"/>
        <v>0</v>
      </c>
      <c r="H253" s="331">
        <f t="shared" si="126"/>
        <v>0</v>
      </c>
      <c r="I253" s="331">
        <f t="shared" si="126"/>
        <v>0</v>
      </c>
      <c r="J253" s="331">
        <f t="shared" si="126"/>
        <v>0</v>
      </c>
      <c r="K253" s="331">
        <f t="shared" si="126"/>
        <v>0</v>
      </c>
      <c r="L253" s="331">
        <f t="shared" si="126"/>
        <v>0</v>
      </c>
      <c r="M253" s="331">
        <f t="shared" si="126"/>
        <v>0</v>
      </c>
      <c r="N253" s="331">
        <f t="shared" si="126"/>
        <v>0</v>
      </c>
      <c r="O253" s="331">
        <f t="shared" si="126"/>
        <v>0</v>
      </c>
      <c r="P253" s="331">
        <f t="shared" si="126"/>
        <v>0</v>
      </c>
      <c r="Q253" s="331">
        <f t="shared" si="126"/>
        <v>0</v>
      </c>
      <c r="R253" s="331">
        <f t="shared" si="126"/>
        <v>0</v>
      </c>
      <c r="S253" s="331">
        <f t="shared" si="126"/>
        <v>10</v>
      </c>
      <c r="T253" s="331">
        <f t="shared" si="126"/>
        <v>10</v>
      </c>
      <c r="U253" s="331">
        <f t="shared" si="126"/>
        <v>20</v>
      </c>
      <c r="V253" s="331">
        <f t="shared" si="126"/>
        <v>0</v>
      </c>
      <c r="W253" s="331">
        <f t="shared" si="126"/>
        <v>80</v>
      </c>
      <c r="X253" s="331">
        <f t="shared" si="126"/>
        <v>50</v>
      </c>
      <c r="Y253" s="331">
        <f t="shared" si="126"/>
        <v>20</v>
      </c>
      <c r="Z253" s="331">
        <f t="shared" si="126"/>
        <v>20</v>
      </c>
      <c r="AA253" s="331">
        <f t="shared" si="126"/>
        <v>10</v>
      </c>
      <c r="AB253" s="331">
        <f t="shared" si="126"/>
        <v>10</v>
      </c>
      <c r="AC253" s="331">
        <f t="shared" si="126"/>
        <v>10</v>
      </c>
      <c r="AD253" s="331">
        <f t="shared" si="126"/>
        <v>10</v>
      </c>
      <c r="AE253" s="331">
        <f t="shared" si="126"/>
        <v>20</v>
      </c>
      <c r="AF253" s="332">
        <f t="shared" si="126"/>
        <v>20</v>
      </c>
      <c r="AG253" s="16"/>
      <c r="AH253" s="16"/>
    </row>
    <row r="254">
      <c r="A254" s="23"/>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23"/>
      <c r="AG254" s="16"/>
      <c r="AH254" s="16"/>
    </row>
    <row r="255">
      <c r="A255" s="23"/>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23"/>
      <c r="AG255" s="16"/>
      <c r="AH255" s="16"/>
    </row>
    <row r="256">
      <c r="A256" s="23"/>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23"/>
      <c r="AG256" s="16"/>
      <c r="AH256" s="16"/>
    </row>
    <row r="257">
      <c r="A257" s="23"/>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23"/>
      <c r="AG257" s="16"/>
      <c r="AH257" s="16"/>
    </row>
    <row r="258">
      <c r="A258" s="23"/>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23"/>
      <c r="AG258" s="16"/>
      <c r="AH258" s="16"/>
    </row>
    <row r="259">
      <c r="A259" s="23"/>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23"/>
      <c r="AG259" s="16"/>
      <c r="AH259" s="16"/>
    </row>
    <row r="260">
      <c r="A260" s="23"/>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23"/>
      <c r="AG260" s="16"/>
      <c r="AH260" s="16"/>
    </row>
    <row r="261">
      <c r="A261" s="23"/>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23"/>
      <c r="AG261" s="16"/>
      <c r="AH261" s="16"/>
    </row>
    <row r="262">
      <c r="A262" s="23"/>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23"/>
      <c r="AG262" s="16"/>
      <c r="AH262" s="16"/>
    </row>
    <row r="263">
      <c r="A263" s="23"/>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23"/>
      <c r="AG263" s="16"/>
      <c r="AH263" s="16"/>
    </row>
    <row r="264">
      <c r="A264" s="23"/>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23"/>
      <c r="AG264" s="16"/>
      <c r="AH264" s="16"/>
    </row>
    <row r="265">
      <c r="A265" s="23"/>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23"/>
      <c r="AG265" s="16"/>
      <c r="AH265" s="16"/>
    </row>
    <row r="266">
      <c r="A266" s="23"/>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23"/>
      <c r="AG266" s="16"/>
      <c r="AH266" s="16"/>
    </row>
    <row r="267">
      <c r="A267" s="23"/>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23"/>
      <c r="AG267" s="16"/>
      <c r="AH267" s="16"/>
    </row>
    <row r="268">
      <c r="A268" s="23"/>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23"/>
      <c r="AG268" s="16"/>
      <c r="AH268" s="16"/>
    </row>
    <row r="269">
      <c r="A269" s="23"/>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23"/>
      <c r="AG269" s="16"/>
      <c r="AH269" s="16"/>
    </row>
    <row r="270">
      <c r="A270" s="23"/>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23"/>
      <c r="AG270" s="16"/>
      <c r="AH270" s="16"/>
    </row>
    <row r="271">
      <c r="A271" s="23"/>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23"/>
      <c r="AG271" s="16"/>
      <c r="AH271" s="16"/>
    </row>
    <row r="272">
      <c r="A272" s="23"/>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23"/>
      <c r="AG272" s="16"/>
      <c r="AH272" s="16"/>
    </row>
    <row r="273">
      <c r="A273" s="23"/>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23"/>
      <c r="AG273" s="16"/>
      <c r="AH273" s="16"/>
    </row>
    <row r="274">
      <c r="A274" s="23"/>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23"/>
      <c r="AG274" s="16"/>
      <c r="AH274" s="16"/>
    </row>
    <row r="275">
      <c r="A275" s="23"/>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23"/>
      <c r="AG275" s="16"/>
      <c r="AH275" s="16"/>
    </row>
    <row r="276">
      <c r="A276" s="23"/>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23"/>
      <c r="AG276" s="16"/>
      <c r="AH276" s="16"/>
    </row>
    <row r="277">
      <c r="A277" s="23"/>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23"/>
      <c r="AG277" s="16"/>
      <c r="AH277" s="16"/>
    </row>
    <row r="278">
      <c r="A278" s="23"/>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23"/>
      <c r="AG278" s="16"/>
      <c r="AH278" s="16"/>
    </row>
    <row r="279">
      <c r="A279" s="23"/>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23"/>
      <c r="AG279" s="16"/>
      <c r="AH279" s="16"/>
    </row>
    <row r="280">
      <c r="A280" s="23"/>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23"/>
      <c r="AG280" s="16"/>
      <c r="AH280" s="16"/>
    </row>
    <row r="281">
      <c r="A281" s="23"/>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23"/>
      <c r="AG281" s="16"/>
      <c r="AH281" s="16"/>
    </row>
    <row r="282">
      <c r="A282" s="23"/>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23"/>
      <c r="AG282" s="16"/>
      <c r="AH282" s="16"/>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23"/>
      <c r="AG283" s="16"/>
      <c r="AH283" s="16"/>
    </row>
    <row r="284">
      <c r="A284" s="23"/>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23"/>
      <c r="AG284" s="16"/>
      <c r="AH284" s="16"/>
    </row>
    <row r="285">
      <c r="A285" s="23"/>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23"/>
      <c r="AG285" s="16"/>
      <c r="AH285" s="16"/>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23"/>
      <c r="AG286" s="16"/>
      <c r="AH286" s="16"/>
    </row>
    <row r="287">
      <c r="A287" s="23"/>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23"/>
      <c r="AG287" s="16"/>
      <c r="AH287" s="16"/>
    </row>
    <row r="288">
      <c r="A288" s="23"/>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23"/>
      <c r="AG288" s="16"/>
      <c r="AH288" s="16"/>
    </row>
    <row r="289">
      <c r="A289" s="23"/>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23"/>
      <c r="AG289" s="16"/>
      <c r="AH289" s="16"/>
    </row>
    <row r="290">
      <c r="A290" s="23"/>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23"/>
      <c r="AG290" s="16"/>
      <c r="AH290" s="16"/>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23"/>
      <c r="AG291" s="16"/>
      <c r="AH291" s="16"/>
    </row>
    <row r="292">
      <c r="A292" s="23"/>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23"/>
      <c r="AG292" s="16"/>
      <c r="AH292" s="16"/>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23"/>
      <c r="AG293" s="16"/>
      <c r="AH293" s="16"/>
    </row>
    <row r="294">
      <c r="A294" s="23"/>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23"/>
      <c r="AG294" s="16"/>
      <c r="AH294" s="16"/>
    </row>
    <row r="295">
      <c r="A295" s="23"/>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23"/>
      <c r="AG295" s="16"/>
      <c r="AH295" s="16"/>
    </row>
    <row r="296">
      <c r="A296" s="23"/>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23"/>
      <c r="AG296" s="16"/>
      <c r="AH296" s="16"/>
    </row>
    <row r="297">
      <c r="A297" s="23"/>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23"/>
      <c r="AG297" s="16"/>
      <c r="AH297" s="16"/>
    </row>
    <row r="298">
      <c r="A298" s="23"/>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23"/>
      <c r="AG298" s="16"/>
      <c r="AH298" s="16"/>
    </row>
    <row r="299">
      <c r="A299" s="23"/>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23"/>
      <c r="AG299" s="16"/>
      <c r="AH299" s="16"/>
    </row>
    <row r="300">
      <c r="A300" s="23"/>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23"/>
      <c r="AG300" s="16"/>
      <c r="AH300" s="16"/>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23"/>
      <c r="AG301" s="16"/>
      <c r="AH301" s="16"/>
    </row>
    <row r="302">
      <c r="A302" s="23"/>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23"/>
      <c r="AG302" s="16"/>
      <c r="AH302" s="16"/>
    </row>
    <row r="303">
      <c r="A303" s="23"/>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23"/>
      <c r="AG303" s="16"/>
      <c r="AH303" s="16"/>
    </row>
    <row r="304">
      <c r="A304" s="23"/>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23"/>
      <c r="AG304" s="16"/>
      <c r="AH304" s="16"/>
    </row>
    <row r="305">
      <c r="A305" s="23"/>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23"/>
      <c r="AG305" s="16"/>
      <c r="AH305" s="16"/>
    </row>
    <row r="306">
      <c r="A306" s="23"/>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23"/>
      <c r="AG306" s="16"/>
      <c r="AH306" s="16"/>
    </row>
    <row r="307">
      <c r="A307" s="23"/>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23"/>
      <c r="AG307" s="16"/>
      <c r="AH307" s="16"/>
    </row>
    <row r="308">
      <c r="A308" s="23"/>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23"/>
      <c r="AG308" s="16"/>
      <c r="AH308" s="16"/>
    </row>
    <row r="309">
      <c r="A309" s="23"/>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23"/>
      <c r="AG309" s="16"/>
      <c r="AH309" s="16"/>
    </row>
    <row r="310">
      <c r="A310" s="23"/>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23"/>
      <c r="AG310" s="16"/>
      <c r="AH310" s="16"/>
    </row>
    <row r="311">
      <c r="A311" s="23"/>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23"/>
      <c r="AG311" s="16"/>
      <c r="AH311" s="16"/>
    </row>
    <row r="312">
      <c r="A312" s="23"/>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23"/>
      <c r="AG312" s="16"/>
      <c r="AH312" s="16"/>
    </row>
    <row r="313">
      <c r="A313" s="23"/>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23"/>
      <c r="AG313" s="16"/>
      <c r="AH313" s="16"/>
    </row>
    <row r="314">
      <c r="A314" s="23"/>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23"/>
      <c r="AG314" s="16"/>
      <c r="AH314" s="16"/>
    </row>
    <row r="315">
      <c r="A315" s="23"/>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23"/>
      <c r="AG315" s="16"/>
      <c r="AH315" s="16"/>
    </row>
    <row r="316">
      <c r="A316" s="23"/>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23"/>
      <c r="AG316" s="16"/>
      <c r="AH316" s="16"/>
    </row>
    <row r="317">
      <c r="A317" s="23"/>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23"/>
      <c r="AG317" s="16"/>
      <c r="AH317" s="16"/>
    </row>
    <row r="318">
      <c r="A318" s="23"/>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23"/>
      <c r="AG318" s="16"/>
      <c r="AH318" s="16"/>
    </row>
    <row r="319">
      <c r="A319" s="23"/>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23"/>
      <c r="AG319" s="16"/>
      <c r="AH319" s="16"/>
    </row>
    <row r="320">
      <c r="A320" s="23"/>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23"/>
      <c r="AG320" s="16"/>
      <c r="AH320" s="16"/>
    </row>
    <row r="321">
      <c r="A321" s="23"/>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23"/>
      <c r="AG321" s="16"/>
      <c r="AH321" s="16"/>
    </row>
    <row r="322">
      <c r="A322" s="23"/>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23"/>
      <c r="AG322" s="16"/>
      <c r="AH322" s="16"/>
    </row>
    <row r="323">
      <c r="A323" s="23"/>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23"/>
      <c r="AG323" s="16"/>
      <c r="AH323" s="16"/>
    </row>
    <row r="324">
      <c r="A324" s="23"/>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23"/>
      <c r="AG324" s="16"/>
      <c r="AH324" s="16"/>
    </row>
    <row r="325">
      <c r="A325" s="23"/>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23"/>
      <c r="AG325" s="16"/>
      <c r="AH325" s="16"/>
    </row>
    <row r="326">
      <c r="A326" s="23"/>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23"/>
      <c r="AG326" s="16"/>
      <c r="AH326" s="16"/>
    </row>
    <row r="327">
      <c r="A327" s="23"/>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23"/>
      <c r="AG327" s="16"/>
      <c r="AH327" s="16"/>
    </row>
    <row r="328">
      <c r="A328" s="23"/>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23"/>
      <c r="AG328" s="16"/>
      <c r="AH328" s="16"/>
    </row>
    <row r="329">
      <c r="A329" s="23"/>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23"/>
      <c r="AG329" s="16"/>
      <c r="AH329" s="16"/>
    </row>
    <row r="330">
      <c r="A330" s="23"/>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23"/>
      <c r="AG330" s="16"/>
      <c r="AH330" s="16"/>
    </row>
    <row r="331">
      <c r="A331" s="23"/>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23"/>
      <c r="AG331" s="16"/>
      <c r="AH331" s="16"/>
    </row>
    <row r="332">
      <c r="A332" s="23"/>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23"/>
      <c r="AG332" s="16"/>
      <c r="AH332" s="16"/>
    </row>
    <row r="333">
      <c r="A333" s="23"/>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23"/>
      <c r="AG333" s="16"/>
      <c r="AH333" s="16"/>
    </row>
    <row r="334">
      <c r="A334" s="23"/>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23"/>
      <c r="AG334" s="16"/>
      <c r="AH334" s="16"/>
    </row>
    <row r="335">
      <c r="A335" s="23"/>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23"/>
      <c r="AG335" s="16"/>
      <c r="AH335" s="16"/>
    </row>
    <row r="336">
      <c r="A336" s="23"/>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23"/>
      <c r="AG336" s="16"/>
      <c r="AH336" s="16"/>
    </row>
    <row r="337">
      <c r="A337" s="23"/>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23"/>
      <c r="AG337" s="16"/>
      <c r="AH337" s="16"/>
    </row>
    <row r="338">
      <c r="A338" s="23"/>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23"/>
      <c r="AG338" s="16"/>
      <c r="AH338" s="16"/>
    </row>
    <row r="339">
      <c r="A339" s="23"/>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23"/>
      <c r="AG339" s="16"/>
      <c r="AH339" s="16"/>
    </row>
    <row r="340">
      <c r="A340" s="23"/>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23"/>
      <c r="AG340" s="16"/>
      <c r="AH340" s="16"/>
    </row>
    <row r="341">
      <c r="A341" s="23"/>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23"/>
      <c r="AG341" s="16"/>
      <c r="AH341" s="16"/>
    </row>
    <row r="342">
      <c r="A342" s="23"/>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23"/>
      <c r="AG342" s="16"/>
      <c r="AH342" s="16"/>
    </row>
    <row r="343">
      <c r="A343" s="23"/>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23"/>
      <c r="AG343" s="16"/>
      <c r="AH343" s="16"/>
    </row>
    <row r="344">
      <c r="A344" s="23"/>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23"/>
      <c r="AG344" s="16"/>
      <c r="AH344" s="16"/>
    </row>
    <row r="345">
      <c r="A345" s="23"/>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23"/>
      <c r="AG345" s="16"/>
      <c r="AH345" s="16"/>
    </row>
    <row r="346">
      <c r="A346" s="23"/>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23"/>
      <c r="AG346" s="16"/>
      <c r="AH346" s="16"/>
    </row>
    <row r="347">
      <c r="A347" s="23"/>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23"/>
      <c r="AG347" s="16"/>
      <c r="AH347" s="16"/>
    </row>
    <row r="348">
      <c r="A348" s="23"/>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23"/>
      <c r="AG348" s="16"/>
      <c r="AH348" s="16"/>
    </row>
    <row r="349">
      <c r="A349" s="23"/>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23"/>
      <c r="AG349" s="16"/>
      <c r="AH349" s="16"/>
    </row>
    <row r="350">
      <c r="A350" s="23"/>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23"/>
      <c r="AG350" s="16"/>
      <c r="AH350" s="16"/>
    </row>
    <row r="351">
      <c r="A351" s="23"/>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23"/>
      <c r="AG351" s="16"/>
      <c r="AH351" s="16"/>
    </row>
    <row r="352">
      <c r="A352" s="23"/>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23"/>
      <c r="AG352" s="16"/>
      <c r="AH352" s="16"/>
    </row>
    <row r="353">
      <c r="A353" s="23"/>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23"/>
      <c r="AG353" s="16"/>
      <c r="AH353" s="16"/>
    </row>
    <row r="354">
      <c r="A354" s="23"/>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23"/>
      <c r="AG354" s="16"/>
      <c r="AH354" s="16"/>
    </row>
    <row r="355">
      <c r="A355" s="23"/>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23"/>
      <c r="AG355" s="16"/>
      <c r="AH355" s="16"/>
    </row>
    <row r="356">
      <c r="A356" s="23"/>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23"/>
      <c r="AG356" s="16"/>
      <c r="AH356" s="16"/>
    </row>
    <row r="357">
      <c r="A357" s="23"/>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23"/>
      <c r="AG357" s="16"/>
      <c r="AH357" s="16"/>
    </row>
    <row r="358">
      <c r="A358" s="23"/>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23"/>
      <c r="AG358" s="16"/>
      <c r="AH358" s="16"/>
    </row>
    <row r="359">
      <c r="A359" s="23"/>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23"/>
      <c r="AG359" s="16"/>
      <c r="AH359" s="16"/>
    </row>
    <row r="360">
      <c r="A360" s="23"/>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23"/>
      <c r="AG360" s="16"/>
      <c r="AH360" s="16"/>
    </row>
    <row r="361">
      <c r="A361" s="23"/>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23"/>
      <c r="AG361" s="16"/>
      <c r="AH361" s="16"/>
    </row>
    <row r="362">
      <c r="A362" s="23"/>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23"/>
      <c r="AG362" s="16"/>
      <c r="AH362" s="16"/>
    </row>
    <row r="363">
      <c r="A363" s="23"/>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23"/>
      <c r="AG363" s="16"/>
      <c r="AH363" s="16"/>
    </row>
    <row r="364">
      <c r="A364" s="23"/>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23"/>
      <c r="AG364" s="16"/>
      <c r="AH364" s="16"/>
    </row>
    <row r="365">
      <c r="A365" s="23"/>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23"/>
      <c r="AG365" s="16"/>
      <c r="AH365" s="16"/>
    </row>
    <row r="366">
      <c r="A366" s="23"/>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23"/>
      <c r="AG366" s="16"/>
      <c r="AH366" s="16"/>
    </row>
    <row r="367">
      <c r="A367" s="23"/>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23"/>
      <c r="AG367" s="16"/>
      <c r="AH367" s="16"/>
    </row>
    <row r="368">
      <c r="A368" s="23"/>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23"/>
      <c r="AG368" s="16"/>
      <c r="AH368" s="16"/>
    </row>
    <row r="369">
      <c r="A369" s="23"/>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23"/>
      <c r="AG369" s="16"/>
      <c r="AH369" s="16"/>
    </row>
    <row r="370">
      <c r="A370" s="23"/>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23"/>
      <c r="AG370" s="16"/>
      <c r="AH370" s="16"/>
    </row>
    <row r="371">
      <c r="A371" s="23"/>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23"/>
      <c r="AG371" s="16"/>
      <c r="AH371" s="16"/>
    </row>
    <row r="372">
      <c r="A372" s="23"/>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23"/>
      <c r="AG372" s="16"/>
      <c r="AH372" s="16"/>
    </row>
    <row r="373">
      <c r="A373" s="23"/>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23"/>
      <c r="AG373" s="16"/>
      <c r="AH373" s="16"/>
    </row>
    <row r="374">
      <c r="A374" s="23"/>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23"/>
      <c r="AG374" s="16"/>
      <c r="AH374" s="16"/>
    </row>
    <row r="375">
      <c r="A375" s="23"/>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23"/>
      <c r="AG375" s="16"/>
      <c r="AH375" s="16"/>
    </row>
    <row r="376">
      <c r="A376" s="23"/>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23"/>
      <c r="AG376" s="16"/>
      <c r="AH376" s="16"/>
    </row>
    <row r="377">
      <c r="A377" s="23"/>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23"/>
      <c r="AG377" s="16"/>
      <c r="AH377" s="16"/>
    </row>
    <row r="378">
      <c r="A378" s="23"/>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23"/>
      <c r="AG378" s="16"/>
      <c r="AH378" s="16"/>
    </row>
    <row r="379">
      <c r="A379" s="23"/>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23"/>
      <c r="AG379" s="16"/>
      <c r="AH379" s="16"/>
    </row>
    <row r="380">
      <c r="A380" s="23"/>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23"/>
      <c r="AG380" s="16"/>
      <c r="AH380" s="16"/>
    </row>
    <row r="381">
      <c r="A381" s="23"/>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23"/>
      <c r="AG381" s="16"/>
      <c r="AH381" s="16"/>
    </row>
    <row r="382">
      <c r="A382" s="23"/>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23"/>
      <c r="AG382" s="16"/>
      <c r="AH382" s="16"/>
    </row>
    <row r="383">
      <c r="A383" s="23"/>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23"/>
      <c r="AG383" s="16"/>
      <c r="AH383" s="16"/>
    </row>
    <row r="384">
      <c r="A384" s="23"/>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23"/>
      <c r="AG384" s="16"/>
      <c r="AH384" s="16"/>
    </row>
    <row r="385">
      <c r="A385" s="23"/>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23"/>
      <c r="AG385" s="16"/>
      <c r="AH385" s="16"/>
    </row>
    <row r="386">
      <c r="A386" s="23"/>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23"/>
      <c r="AG386" s="16"/>
      <c r="AH386" s="16"/>
    </row>
    <row r="387">
      <c r="A387" s="23"/>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23"/>
      <c r="AG387" s="16"/>
      <c r="AH387" s="16"/>
    </row>
    <row r="388">
      <c r="A388" s="23"/>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23"/>
      <c r="AG388" s="16"/>
      <c r="AH388" s="16"/>
    </row>
    <row r="389">
      <c r="A389" s="23"/>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23"/>
      <c r="AG389" s="16"/>
      <c r="AH389" s="16"/>
    </row>
    <row r="390">
      <c r="A390" s="23"/>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23"/>
      <c r="AG390" s="16"/>
      <c r="AH390" s="16"/>
    </row>
    <row r="391">
      <c r="A391" s="23"/>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23"/>
      <c r="AG391" s="16"/>
      <c r="AH391" s="16"/>
    </row>
    <row r="392">
      <c r="A392" s="23"/>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23"/>
      <c r="AG392" s="16"/>
      <c r="AH392" s="16"/>
    </row>
    <row r="393">
      <c r="A393" s="23"/>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23"/>
      <c r="AG393" s="16"/>
      <c r="AH393" s="16"/>
    </row>
    <row r="394">
      <c r="A394" s="23"/>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23"/>
      <c r="AG394" s="16"/>
      <c r="AH394" s="16"/>
    </row>
    <row r="395">
      <c r="A395" s="23"/>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23"/>
      <c r="AG395" s="16"/>
      <c r="AH395" s="16"/>
    </row>
    <row r="396">
      <c r="A396" s="23"/>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23"/>
      <c r="AG396" s="16"/>
      <c r="AH396" s="16"/>
    </row>
    <row r="397">
      <c r="A397" s="23"/>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23"/>
      <c r="AG397" s="16"/>
      <c r="AH397" s="16"/>
    </row>
    <row r="398">
      <c r="A398" s="23"/>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23"/>
      <c r="AG398" s="16"/>
      <c r="AH398" s="16"/>
    </row>
    <row r="399">
      <c r="A399" s="23"/>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23"/>
      <c r="AG399" s="16"/>
      <c r="AH399" s="16"/>
    </row>
    <row r="400">
      <c r="A400" s="23"/>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23"/>
      <c r="AG400" s="16"/>
      <c r="AH400" s="16"/>
    </row>
    <row r="401">
      <c r="A401" s="23"/>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23"/>
      <c r="AG401" s="16"/>
      <c r="AH401" s="16"/>
    </row>
    <row r="402">
      <c r="A402" s="23"/>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23"/>
      <c r="AG402" s="16"/>
      <c r="AH402" s="16"/>
    </row>
    <row r="403">
      <c r="A403" s="23"/>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23"/>
      <c r="AG403" s="16"/>
      <c r="AH403" s="16"/>
    </row>
    <row r="404">
      <c r="A404" s="23"/>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23"/>
      <c r="AG404" s="16"/>
      <c r="AH404" s="16"/>
    </row>
    <row r="405">
      <c r="A405" s="23"/>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23"/>
      <c r="AG405" s="16"/>
      <c r="AH405" s="16"/>
    </row>
    <row r="406">
      <c r="A406" s="23"/>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23"/>
      <c r="AG406" s="16"/>
      <c r="AH406" s="16"/>
    </row>
    <row r="407">
      <c r="A407" s="23"/>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23"/>
      <c r="AG407" s="16"/>
      <c r="AH407" s="16"/>
    </row>
    <row r="408">
      <c r="A408" s="23"/>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23"/>
      <c r="AG408" s="16"/>
      <c r="AH408" s="16"/>
    </row>
    <row r="409">
      <c r="A409" s="23"/>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23"/>
      <c r="AG409" s="16"/>
      <c r="AH409" s="16"/>
    </row>
    <row r="410">
      <c r="A410" s="23"/>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23"/>
      <c r="AG410" s="16"/>
      <c r="AH410" s="16"/>
    </row>
    <row r="411">
      <c r="A411" s="23"/>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23"/>
      <c r="AG411" s="16"/>
      <c r="AH411" s="16"/>
    </row>
    <row r="412">
      <c r="A412" s="23"/>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23"/>
      <c r="AG412" s="16"/>
      <c r="AH412" s="16"/>
    </row>
    <row r="413">
      <c r="A413" s="23"/>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23"/>
      <c r="AG413" s="16"/>
      <c r="AH413" s="16"/>
    </row>
    <row r="414">
      <c r="A414" s="23"/>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23"/>
      <c r="AG414" s="16"/>
      <c r="AH414" s="16"/>
    </row>
    <row r="415">
      <c r="A415" s="23"/>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23"/>
      <c r="AG415" s="16"/>
      <c r="AH415" s="16"/>
    </row>
    <row r="416">
      <c r="A416" s="23"/>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23"/>
      <c r="AG416" s="16"/>
      <c r="AH416" s="16"/>
    </row>
    <row r="417">
      <c r="A417" s="23"/>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23"/>
      <c r="AG417" s="16"/>
      <c r="AH417" s="16"/>
    </row>
    <row r="418">
      <c r="A418" s="23"/>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23"/>
      <c r="AG418" s="16"/>
      <c r="AH418" s="16"/>
    </row>
    <row r="419">
      <c r="A419" s="23"/>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23"/>
      <c r="AG419" s="16"/>
      <c r="AH419" s="16"/>
    </row>
    <row r="420">
      <c r="A420" s="23"/>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23"/>
      <c r="AG420" s="16"/>
      <c r="AH420" s="16"/>
    </row>
    <row r="421">
      <c r="A421" s="23"/>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23"/>
      <c r="AG421" s="16"/>
      <c r="AH421" s="16"/>
    </row>
    <row r="422">
      <c r="A422" s="23"/>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23"/>
      <c r="AG422" s="16"/>
      <c r="AH422" s="16"/>
    </row>
    <row r="423">
      <c r="A423" s="23"/>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23"/>
      <c r="AG423" s="16"/>
      <c r="AH423" s="16"/>
    </row>
    <row r="424">
      <c r="A424" s="23"/>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23"/>
      <c r="AG424" s="16"/>
      <c r="AH424" s="16"/>
    </row>
    <row r="425">
      <c r="A425" s="23"/>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23"/>
      <c r="AG425" s="16"/>
      <c r="AH425" s="16"/>
    </row>
    <row r="426">
      <c r="A426" s="23"/>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23"/>
      <c r="AG426" s="16"/>
      <c r="AH426" s="16"/>
    </row>
    <row r="427">
      <c r="A427" s="23"/>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23"/>
      <c r="AG427" s="16"/>
      <c r="AH427" s="16"/>
    </row>
    <row r="428">
      <c r="A428" s="23"/>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23"/>
      <c r="AG428" s="16"/>
      <c r="AH428" s="16"/>
    </row>
    <row r="429">
      <c r="A429" s="23"/>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23"/>
      <c r="AG429" s="16"/>
      <c r="AH429" s="16"/>
    </row>
    <row r="430">
      <c r="A430" s="23"/>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23"/>
      <c r="AG430" s="16"/>
      <c r="AH430" s="16"/>
    </row>
    <row r="431">
      <c r="A431" s="23"/>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23"/>
      <c r="AG431" s="16"/>
      <c r="AH431" s="16"/>
    </row>
    <row r="432">
      <c r="A432" s="23"/>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23"/>
      <c r="AG432" s="16"/>
      <c r="AH432" s="16"/>
    </row>
    <row r="433">
      <c r="A433" s="23"/>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23"/>
      <c r="AG433" s="16"/>
      <c r="AH433" s="16"/>
    </row>
    <row r="434">
      <c r="A434" s="23"/>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23"/>
      <c r="AG434" s="16"/>
      <c r="AH434" s="16"/>
    </row>
    <row r="435">
      <c r="A435" s="23"/>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23"/>
      <c r="AG435" s="16"/>
      <c r="AH435" s="16"/>
    </row>
    <row r="436">
      <c r="A436" s="23"/>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23"/>
      <c r="AG436" s="16"/>
      <c r="AH436" s="16"/>
    </row>
    <row r="437">
      <c r="A437" s="23"/>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23"/>
      <c r="AG437" s="16"/>
      <c r="AH437" s="16"/>
    </row>
    <row r="438">
      <c r="A438" s="23"/>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23"/>
      <c r="AG438" s="16"/>
      <c r="AH438" s="16"/>
    </row>
    <row r="439">
      <c r="A439" s="23"/>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23"/>
      <c r="AG439" s="16"/>
      <c r="AH439" s="16"/>
    </row>
    <row r="440">
      <c r="A440" s="23"/>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23"/>
      <c r="AG440" s="16"/>
      <c r="AH440" s="16"/>
    </row>
    <row r="441">
      <c r="A441" s="23"/>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23"/>
      <c r="AG441" s="16"/>
      <c r="AH441" s="16"/>
    </row>
    <row r="442">
      <c r="A442" s="23"/>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23"/>
      <c r="AG442" s="16"/>
      <c r="AH442" s="16"/>
    </row>
    <row r="443">
      <c r="A443" s="23"/>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23"/>
      <c r="AG443" s="16"/>
      <c r="AH443" s="16"/>
    </row>
    <row r="444">
      <c r="A444" s="23"/>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23"/>
      <c r="AG444" s="16"/>
      <c r="AH444" s="16"/>
    </row>
    <row r="445">
      <c r="A445" s="23"/>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23"/>
      <c r="AG445" s="16"/>
      <c r="AH445" s="16"/>
    </row>
    <row r="446">
      <c r="A446" s="23"/>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23"/>
      <c r="AG446" s="16"/>
      <c r="AH446" s="16"/>
    </row>
    <row r="447">
      <c r="A447" s="23"/>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23"/>
      <c r="AG447" s="16"/>
      <c r="AH447" s="16"/>
    </row>
    <row r="448">
      <c r="A448" s="23"/>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23"/>
      <c r="AG448" s="16"/>
      <c r="AH448" s="16"/>
    </row>
    <row r="449">
      <c r="A449" s="23"/>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23"/>
      <c r="AG449" s="16"/>
      <c r="AH449" s="16"/>
    </row>
    <row r="450">
      <c r="A450" s="23"/>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23"/>
      <c r="AG450" s="16"/>
      <c r="AH450" s="16"/>
    </row>
    <row r="451">
      <c r="A451" s="23"/>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23"/>
      <c r="AG451" s="16"/>
      <c r="AH451" s="16"/>
    </row>
    <row r="452">
      <c r="A452" s="23"/>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23"/>
      <c r="AG452" s="16"/>
      <c r="AH452" s="16"/>
    </row>
    <row r="453">
      <c r="A453" s="23"/>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23"/>
      <c r="AG453" s="16"/>
      <c r="AH453" s="16"/>
    </row>
    <row r="454">
      <c r="A454" s="23"/>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23"/>
      <c r="AG454" s="16"/>
      <c r="AH454" s="16"/>
    </row>
    <row r="455">
      <c r="A455" s="23"/>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23"/>
      <c r="AG455" s="16"/>
      <c r="AH455" s="16"/>
    </row>
    <row r="456">
      <c r="A456" s="23"/>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23"/>
      <c r="AG456" s="16"/>
      <c r="AH456" s="16"/>
    </row>
    <row r="457">
      <c r="A457" s="23"/>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23"/>
      <c r="AG457" s="16"/>
      <c r="AH457" s="16"/>
    </row>
    <row r="458">
      <c r="A458" s="23"/>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23"/>
      <c r="AG458" s="16"/>
      <c r="AH458" s="16"/>
    </row>
    <row r="459">
      <c r="A459" s="23"/>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23"/>
      <c r="AG459" s="16"/>
      <c r="AH459" s="16"/>
    </row>
    <row r="460">
      <c r="A460" s="23"/>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23"/>
      <c r="AG460" s="16"/>
      <c r="AH460" s="16"/>
    </row>
    <row r="461">
      <c r="A461" s="23"/>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23"/>
      <c r="AG461" s="16"/>
      <c r="AH461" s="16"/>
    </row>
    <row r="462">
      <c r="A462" s="23"/>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23"/>
      <c r="AG462" s="16"/>
      <c r="AH462" s="16"/>
    </row>
    <row r="463">
      <c r="A463" s="23"/>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23"/>
      <c r="AG463" s="16"/>
      <c r="AH463" s="16"/>
    </row>
    <row r="464">
      <c r="A464" s="23"/>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23"/>
      <c r="AG464" s="16"/>
      <c r="AH464" s="16"/>
    </row>
    <row r="465">
      <c r="A465" s="23"/>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23"/>
      <c r="AG465" s="16"/>
      <c r="AH465" s="16"/>
    </row>
    <row r="466">
      <c r="A466" s="23"/>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23"/>
      <c r="AG466" s="16"/>
      <c r="AH466" s="16"/>
    </row>
    <row r="467">
      <c r="A467" s="23"/>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23"/>
      <c r="AG467" s="16"/>
      <c r="AH467" s="16"/>
    </row>
    <row r="468">
      <c r="A468" s="23"/>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23"/>
      <c r="AG468" s="16"/>
      <c r="AH468" s="16"/>
    </row>
    <row r="469">
      <c r="A469" s="23"/>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23"/>
      <c r="AG469" s="16"/>
      <c r="AH469" s="16"/>
    </row>
    <row r="470">
      <c r="A470" s="23"/>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23"/>
      <c r="AG470" s="16"/>
      <c r="AH470" s="16"/>
    </row>
    <row r="471">
      <c r="A471" s="23"/>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23"/>
      <c r="AG471" s="16"/>
      <c r="AH471" s="16"/>
    </row>
    <row r="472">
      <c r="A472" s="23"/>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23"/>
      <c r="AG472" s="16"/>
      <c r="AH472" s="16"/>
    </row>
    <row r="473">
      <c r="A473" s="23"/>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23"/>
      <c r="AG473" s="16"/>
      <c r="AH473" s="16"/>
    </row>
    <row r="474">
      <c r="A474" s="23"/>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23"/>
      <c r="AG474" s="16"/>
      <c r="AH474" s="16"/>
    </row>
    <row r="475">
      <c r="A475" s="23"/>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23"/>
      <c r="AG475" s="16"/>
      <c r="AH475" s="16"/>
    </row>
    <row r="476">
      <c r="A476" s="23"/>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23"/>
      <c r="AG476" s="16"/>
      <c r="AH476" s="16"/>
    </row>
    <row r="477">
      <c r="A477" s="23"/>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23"/>
      <c r="AG477" s="16"/>
      <c r="AH477" s="16"/>
    </row>
    <row r="478">
      <c r="A478" s="23"/>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23"/>
      <c r="AG478" s="16"/>
      <c r="AH478" s="16"/>
    </row>
    <row r="479">
      <c r="A479" s="23"/>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23"/>
      <c r="AG479" s="16"/>
      <c r="AH479" s="16"/>
    </row>
    <row r="480">
      <c r="A480" s="23"/>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23"/>
      <c r="AG480" s="16"/>
      <c r="AH480" s="16"/>
    </row>
    <row r="481">
      <c r="A481" s="23"/>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23"/>
      <c r="AG481" s="16"/>
      <c r="AH481" s="16"/>
    </row>
    <row r="482">
      <c r="A482" s="23"/>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23"/>
      <c r="AG482" s="16"/>
      <c r="AH482" s="16"/>
    </row>
    <row r="483">
      <c r="A483" s="23"/>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23"/>
      <c r="AG483" s="16"/>
      <c r="AH483" s="16"/>
    </row>
    <row r="484">
      <c r="A484" s="23"/>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23"/>
      <c r="AG484" s="16"/>
      <c r="AH484" s="16"/>
    </row>
    <row r="485">
      <c r="A485" s="23"/>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23"/>
      <c r="AG485" s="16"/>
      <c r="AH485" s="16"/>
    </row>
    <row r="486">
      <c r="A486" s="23"/>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23"/>
      <c r="AG486" s="16"/>
      <c r="AH486" s="16"/>
    </row>
    <row r="487">
      <c r="A487" s="23"/>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23"/>
      <c r="AG487" s="16"/>
      <c r="AH487" s="16"/>
    </row>
    <row r="488">
      <c r="A488" s="23"/>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23"/>
      <c r="AG488" s="16"/>
      <c r="AH488" s="16"/>
    </row>
    <row r="489">
      <c r="A489" s="23"/>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23"/>
      <c r="AG489" s="16"/>
      <c r="AH489" s="16"/>
    </row>
    <row r="490">
      <c r="A490" s="23"/>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23"/>
      <c r="AG490" s="16"/>
      <c r="AH490" s="16"/>
    </row>
    <row r="491">
      <c r="A491" s="23"/>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23"/>
      <c r="AG491" s="16"/>
      <c r="AH491" s="16"/>
    </row>
    <row r="492">
      <c r="A492" s="23"/>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23"/>
      <c r="AG492" s="16"/>
      <c r="AH492" s="16"/>
    </row>
    <row r="493">
      <c r="A493" s="23"/>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23"/>
      <c r="AG493" s="16"/>
      <c r="AH493" s="16"/>
    </row>
    <row r="494">
      <c r="A494" s="23"/>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23"/>
      <c r="AG494" s="16"/>
      <c r="AH494" s="16"/>
    </row>
    <row r="495">
      <c r="A495" s="23"/>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23"/>
      <c r="AG495" s="16"/>
      <c r="AH495" s="16"/>
    </row>
    <row r="496">
      <c r="A496" s="23"/>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23"/>
      <c r="AG496" s="16"/>
      <c r="AH496" s="16"/>
    </row>
    <row r="497">
      <c r="A497" s="23"/>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23"/>
      <c r="AG497" s="16"/>
      <c r="AH497" s="16"/>
    </row>
    <row r="498">
      <c r="A498" s="23"/>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23"/>
      <c r="AG498" s="16"/>
      <c r="AH498" s="16"/>
    </row>
    <row r="499">
      <c r="A499" s="23"/>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23"/>
      <c r="AG499" s="16"/>
      <c r="AH499" s="16"/>
    </row>
    <row r="500">
      <c r="A500" s="23"/>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23"/>
      <c r="AG500" s="16"/>
      <c r="AH500" s="16"/>
    </row>
    <row r="501">
      <c r="A501" s="23"/>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23"/>
      <c r="AG501" s="16"/>
      <c r="AH501" s="16"/>
    </row>
    <row r="502">
      <c r="A502" s="23"/>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23"/>
      <c r="AG502" s="16"/>
      <c r="AH502" s="16"/>
    </row>
    <row r="503">
      <c r="A503" s="23"/>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23"/>
      <c r="AG503" s="16"/>
      <c r="AH503" s="16"/>
    </row>
    <row r="504">
      <c r="A504" s="23"/>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23"/>
      <c r="AG504" s="16"/>
      <c r="AH504" s="16"/>
    </row>
    <row r="505">
      <c r="A505" s="23"/>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23"/>
      <c r="AG505" s="16"/>
      <c r="AH505" s="16"/>
    </row>
    <row r="506">
      <c r="A506" s="23"/>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23"/>
      <c r="AG506" s="16"/>
      <c r="AH506" s="16"/>
    </row>
    <row r="507">
      <c r="A507" s="23"/>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23"/>
      <c r="AG507" s="16"/>
      <c r="AH507" s="16"/>
    </row>
    <row r="508">
      <c r="A508" s="23"/>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23"/>
      <c r="AG508" s="16"/>
      <c r="AH508" s="16"/>
    </row>
    <row r="509">
      <c r="A509" s="23"/>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23"/>
      <c r="AG509" s="16"/>
      <c r="AH509" s="16"/>
    </row>
    <row r="510">
      <c r="A510" s="23"/>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23"/>
      <c r="AG510" s="16"/>
      <c r="AH510" s="16"/>
    </row>
    <row r="511">
      <c r="A511" s="23"/>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23"/>
      <c r="AG511" s="16"/>
      <c r="AH511" s="16"/>
    </row>
    <row r="512">
      <c r="A512" s="23"/>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23"/>
      <c r="AG512" s="16"/>
      <c r="AH512" s="16"/>
    </row>
    <row r="513">
      <c r="A513" s="23"/>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23"/>
      <c r="AG513" s="16"/>
      <c r="AH513" s="16"/>
    </row>
    <row r="514">
      <c r="A514" s="23"/>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23"/>
      <c r="AG514" s="16"/>
      <c r="AH514" s="16"/>
    </row>
    <row r="515">
      <c r="A515" s="23"/>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23"/>
      <c r="AG515" s="16"/>
      <c r="AH515" s="16"/>
    </row>
    <row r="516">
      <c r="A516" s="23"/>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23"/>
      <c r="AG516" s="16"/>
      <c r="AH516" s="16"/>
    </row>
    <row r="517">
      <c r="A517" s="23"/>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23"/>
      <c r="AG517" s="16"/>
      <c r="AH517" s="16"/>
    </row>
    <row r="518">
      <c r="A518" s="23"/>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23"/>
      <c r="AG518" s="16"/>
      <c r="AH518" s="16"/>
    </row>
    <row r="519">
      <c r="A519" s="23"/>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23"/>
      <c r="AG519" s="16"/>
      <c r="AH519" s="16"/>
    </row>
    <row r="520">
      <c r="A520" s="23"/>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23"/>
      <c r="AG520" s="16"/>
      <c r="AH520" s="16"/>
    </row>
    <row r="521">
      <c r="A521" s="23"/>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23"/>
      <c r="AG521" s="16"/>
      <c r="AH521" s="16"/>
    </row>
    <row r="522">
      <c r="A522" s="23"/>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23"/>
      <c r="AG522" s="16"/>
      <c r="AH522" s="16"/>
    </row>
    <row r="523">
      <c r="A523" s="23"/>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23"/>
      <c r="AG523" s="16"/>
      <c r="AH523" s="16"/>
    </row>
    <row r="524">
      <c r="A524" s="23"/>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23"/>
      <c r="AG524" s="16"/>
      <c r="AH524" s="16"/>
    </row>
    <row r="525">
      <c r="A525" s="23"/>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23"/>
      <c r="AG525" s="16"/>
      <c r="AH525" s="16"/>
    </row>
    <row r="526">
      <c r="A526" s="23"/>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23"/>
      <c r="AG526" s="16"/>
      <c r="AH526" s="16"/>
    </row>
    <row r="527">
      <c r="A527" s="23"/>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23"/>
      <c r="AG527" s="16"/>
      <c r="AH527" s="16"/>
    </row>
    <row r="528">
      <c r="A528" s="23"/>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23"/>
      <c r="AG528" s="16"/>
      <c r="AH528" s="16"/>
    </row>
    <row r="529">
      <c r="A529" s="23"/>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23"/>
      <c r="AG529" s="16"/>
      <c r="AH529" s="16"/>
    </row>
    <row r="530">
      <c r="A530" s="23"/>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23"/>
      <c r="AG530" s="16"/>
      <c r="AH530" s="16"/>
    </row>
    <row r="531">
      <c r="A531" s="23"/>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23"/>
      <c r="AG531" s="16"/>
      <c r="AH531" s="16"/>
    </row>
    <row r="532">
      <c r="A532" s="23"/>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23"/>
      <c r="AG532" s="16"/>
      <c r="AH532" s="16"/>
    </row>
    <row r="533">
      <c r="A533" s="23"/>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23"/>
      <c r="AG533" s="16"/>
      <c r="AH533" s="16"/>
    </row>
    <row r="534">
      <c r="A534" s="23"/>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23"/>
      <c r="AG534" s="16"/>
      <c r="AH534" s="16"/>
    </row>
    <row r="535">
      <c r="A535" s="23"/>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23"/>
      <c r="AG535" s="16"/>
      <c r="AH535" s="16"/>
    </row>
    <row r="536">
      <c r="A536" s="23"/>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23"/>
      <c r="AG536" s="16"/>
      <c r="AH536" s="16"/>
    </row>
    <row r="537">
      <c r="A537" s="23"/>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23"/>
      <c r="AG537" s="16"/>
      <c r="AH537" s="16"/>
    </row>
    <row r="538">
      <c r="A538" s="23"/>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23"/>
      <c r="AG538" s="16"/>
      <c r="AH538" s="16"/>
    </row>
    <row r="539">
      <c r="A539" s="23"/>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23"/>
      <c r="AG539" s="16"/>
      <c r="AH539" s="16"/>
    </row>
    <row r="540">
      <c r="A540" s="23"/>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23"/>
      <c r="AG540" s="16"/>
      <c r="AH540" s="16"/>
    </row>
    <row r="541">
      <c r="A541" s="23"/>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23"/>
      <c r="AG541" s="16"/>
      <c r="AH541" s="16"/>
    </row>
    <row r="542">
      <c r="A542" s="23"/>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23"/>
      <c r="AG542" s="16"/>
      <c r="AH542" s="16"/>
    </row>
    <row r="543">
      <c r="A543" s="23"/>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23"/>
      <c r="AG543" s="16"/>
      <c r="AH543" s="16"/>
    </row>
    <row r="544">
      <c r="A544" s="23"/>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23"/>
      <c r="AG544" s="16"/>
      <c r="AH544" s="16"/>
    </row>
    <row r="545">
      <c r="A545" s="23"/>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23"/>
      <c r="AG545" s="16"/>
      <c r="AH545" s="16"/>
    </row>
    <row r="546">
      <c r="A546" s="23"/>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23"/>
      <c r="AG546" s="16"/>
      <c r="AH546" s="16"/>
    </row>
    <row r="547">
      <c r="A547" s="23"/>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23"/>
      <c r="AG547" s="16"/>
      <c r="AH547" s="16"/>
    </row>
    <row r="548">
      <c r="A548" s="23"/>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23"/>
      <c r="AG548" s="16"/>
      <c r="AH548" s="16"/>
    </row>
    <row r="549">
      <c r="A549" s="23"/>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23"/>
      <c r="AG549" s="16"/>
      <c r="AH549" s="16"/>
    </row>
    <row r="550">
      <c r="A550" s="23"/>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23"/>
      <c r="AG550" s="16"/>
      <c r="AH550" s="16"/>
    </row>
    <row r="551">
      <c r="A551" s="23"/>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23"/>
      <c r="AG551" s="16"/>
      <c r="AH551" s="16"/>
    </row>
    <row r="552">
      <c r="A552" s="23"/>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23"/>
      <c r="AG552" s="16"/>
      <c r="AH552" s="16"/>
    </row>
    <row r="553">
      <c r="A553" s="23"/>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23"/>
      <c r="AG553" s="16"/>
      <c r="AH553" s="16"/>
    </row>
    <row r="554">
      <c r="A554" s="23"/>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23"/>
      <c r="AG554" s="16"/>
      <c r="AH554" s="16"/>
    </row>
    <row r="555">
      <c r="A555" s="23"/>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23"/>
      <c r="AG555" s="16"/>
      <c r="AH555" s="16"/>
    </row>
    <row r="556">
      <c r="A556" s="23"/>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23"/>
      <c r="AG556" s="16"/>
      <c r="AH556" s="16"/>
    </row>
    <row r="557">
      <c r="A557" s="23"/>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23"/>
      <c r="AG557" s="16"/>
      <c r="AH557" s="16"/>
    </row>
    <row r="558">
      <c r="A558" s="23"/>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23"/>
      <c r="AG558" s="16"/>
      <c r="AH558" s="16"/>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23"/>
      <c r="AG559" s="16"/>
      <c r="AH559" s="16"/>
    </row>
    <row r="560">
      <c r="A560" s="23"/>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23"/>
      <c r="AG560" s="16"/>
      <c r="AH560" s="16"/>
    </row>
    <row r="561">
      <c r="A561" s="23"/>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23"/>
      <c r="AG561" s="16"/>
      <c r="AH561" s="16"/>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23"/>
      <c r="AG562" s="16"/>
      <c r="AH562" s="16"/>
    </row>
    <row r="563">
      <c r="A563" s="23"/>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23"/>
      <c r="AG563" s="16"/>
      <c r="AH563" s="16"/>
    </row>
    <row r="564">
      <c r="A564" s="23"/>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23"/>
      <c r="AG564" s="16"/>
      <c r="AH564" s="16"/>
    </row>
    <row r="565">
      <c r="A565" s="23"/>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23"/>
      <c r="AG565" s="16"/>
      <c r="AH565" s="16"/>
    </row>
    <row r="566">
      <c r="A566" s="23"/>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23"/>
      <c r="AG566" s="16"/>
      <c r="AH566" s="16"/>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23"/>
      <c r="AG567" s="16"/>
      <c r="AH567" s="16"/>
    </row>
    <row r="568">
      <c r="A568" s="23"/>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23"/>
      <c r="AG568" s="16"/>
      <c r="AH568" s="16"/>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23"/>
      <c r="AG569" s="16"/>
      <c r="AH569" s="16"/>
    </row>
    <row r="570">
      <c r="A570" s="23"/>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23"/>
      <c r="AG570" s="16"/>
      <c r="AH570" s="16"/>
    </row>
    <row r="571">
      <c r="A571" s="23"/>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23"/>
      <c r="AG571" s="16"/>
      <c r="AH571" s="16"/>
    </row>
    <row r="572">
      <c r="A572" s="23"/>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23"/>
      <c r="AG572" s="16"/>
      <c r="AH572" s="16"/>
    </row>
    <row r="573">
      <c r="A573" s="23"/>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23"/>
      <c r="AG573" s="16"/>
      <c r="AH573" s="16"/>
    </row>
    <row r="574">
      <c r="A574" s="23"/>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23"/>
      <c r="AG574" s="16"/>
      <c r="AH574" s="16"/>
    </row>
    <row r="575">
      <c r="A575" s="23"/>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23"/>
      <c r="AG575" s="16"/>
      <c r="AH575" s="16"/>
    </row>
    <row r="576">
      <c r="A576" s="23"/>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23"/>
      <c r="AG576" s="16"/>
      <c r="AH576" s="16"/>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23"/>
      <c r="AG577" s="16"/>
      <c r="AH577" s="16"/>
    </row>
    <row r="578">
      <c r="A578" s="23"/>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23"/>
      <c r="AG578" s="16"/>
      <c r="AH578" s="16"/>
    </row>
    <row r="579">
      <c r="A579" s="23"/>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23"/>
      <c r="AG579" s="16"/>
      <c r="AH579" s="16"/>
    </row>
    <row r="580">
      <c r="A580" s="23"/>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23"/>
      <c r="AG580" s="16"/>
      <c r="AH580" s="16"/>
    </row>
    <row r="581">
      <c r="A581" s="23"/>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23"/>
      <c r="AG581" s="16"/>
      <c r="AH581" s="16"/>
    </row>
    <row r="582">
      <c r="A582" s="23"/>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23"/>
      <c r="AG582" s="16"/>
      <c r="AH582" s="16"/>
    </row>
    <row r="583">
      <c r="A583" s="23"/>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23"/>
      <c r="AG583" s="16"/>
      <c r="AH583" s="16"/>
    </row>
    <row r="584">
      <c r="A584" s="23"/>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23"/>
      <c r="AG584" s="16"/>
      <c r="AH584" s="16"/>
    </row>
    <row r="585">
      <c r="A585" s="23"/>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23"/>
      <c r="AG585" s="16"/>
      <c r="AH585" s="16"/>
    </row>
    <row r="586">
      <c r="A586" s="23"/>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23"/>
      <c r="AG586" s="16"/>
      <c r="AH586" s="16"/>
    </row>
    <row r="587">
      <c r="A587" s="23"/>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23"/>
      <c r="AG587" s="16"/>
      <c r="AH587" s="16"/>
    </row>
    <row r="588">
      <c r="A588" s="23"/>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23"/>
      <c r="AG588" s="16"/>
      <c r="AH588" s="16"/>
    </row>
    <row r="589">
      <c r="A589" s="23"/>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23"/>
      <c r="AG589" s="16"/>
      <c r="AH589" s="16"/>
    </row>
    <row r="590">
      <c r="A590" s="23"/>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23"/>
      <c r="AG590" s="16"/>
      <c r="AH590" s="16"/>
    </row>
    <row r="591">
      <c r="A591" s="23"/>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23"/>
      <c r="AG591" s="16"/>
      <c r="AH591" s="16"/>
    </row>
    <row r="592">
      <c r="A592" s="23"/>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23"/>
      <c r="AG592" s="16"/>
      <c r="AH592" s="16"/>
    </row>
    <row r="593">
      <c r="A593" s="23"/>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23"/>
      <c r="AG593" s="16"/>
      <c r="AH593" s="16"/>
    </row>
    <row r="594">
      <c r="A594" s="23"/>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23"/>
      <c r="AG594" s="16"/>
      <c r="AH594" s="16"/>
    </row>
    <row r="595">
      <c r="A595" s="23"/>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23"/>
      <c r="AG595" s="16"/>
      <c r="AH595" s="16"/>
    </row>
    <row r="596">
      <c r="A596" s="23"/>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23"/>
      <c r="AG596" s="16"/>
      <c r="AH596" s="16"/>
    </row>
    <row r="597">
      <c r="A597" s="23"/>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23"/>
      <c r="AG597" s="16"/>
      <c r="AH597" s="16"/>
    </row>
    <row r="598">
      <c r="A598" s="23"/>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23"/>
      <c r="AG598" s="16"/>
      <c r="AH598" s="16"/>
    </row>
    <row r="599">
      <c r="A599" s="23"/>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23"/>
      <c r="AG599" s="16"/>
      <c r="AH599" s="16"/>
    </row>
    <row r="600">
      <c r="A600" s="23"/>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23"/>
      <c r="AG600" s="16"/>
      <c r="AH600" s="16"/>
    </row>
    <row r="601">
      <c r="A601" s="23"/>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23"/>
      <c r="AG601" s="16"/>
      <c r="AH601" s="16"/>
    </row>
    <row r="602">
      <c r="A602" s="23"/>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23"/>
      <c r="AG602" s="16"/>
      <c r="AH602" s="16"/>
    </row>
    <row r="603">
      <c r="A603" s="23"/>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23"/>
      <c r="AG603" s="16"/>
      <c r="AH603" s="16"/>
    </row>
    <row r="604">
      <c r="A604" s="23"/>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23"/>
      <c r="AG604" s="16"/>
      <c r="AH604" s="16"/>
    </row>
    <row r="605">
      <c r="A605" s="23"/>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23"/>
      <c r="AG605" s="16"/>
      <c r="AH605" s="16"/>
    </row>
    <row r="606">
      <c r="A606" s="23"/>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23"/>
      <c r="AG606" s="16"/>
      <c r="AH606" s="16"/>
    </row>
    <row r="607">
      <c r="A607" s="23"/>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23"/>
      <c r="AG607" s="16"/>
      <c r="AH607" s="16"/>
    </row>
    <row r="608">
      <c r="A608" s="23"/>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23"/>
      <c r="AG608" s="16"/>
      <c r="AH608" s="16"/>
    </row>
    <row r="609">
      <c r="A609" s="23"/>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23"/>
      <c r="AG609" s="16"/>
      <c r="AH609" s="16"/>
    </row>
    <row r="610">
      <c r="A610" s="23"/>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23"/>
      <c r="AG610" s="16"/>
      <c r="AH610" s="16"/>
    </row>
    <row r="611">
      <c r="A611" s="23"/>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23"/>
      <c r="AG611" s="16"/>
      <c r="AH611" s="16"/>
    </row>
    <row r="612">
      <c r="A612" s="23"/>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23"/>
      <c r="AG612" s="16"/>
      <c r="AH612" s="16"/>
    </row>
    <row r="613">
      <c r="A613" s="23"/>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23"/>
      <c r="AG613" s="16"/>
      <c r="AH613" s="16"/>
    </row>
    <row r="614">
      <c r="A614" s="23"/>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23"/>
      <c r="AG614" s="16"/>
      <c r="AH614" s="16"/>
    </row>
    <row r="615">
      <c r="A615" s="23"/>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23"/>
      <c r="AG615" s="16"/>
      <c r="AH615" s="16"/>
    </row>
    <row r="616">
      <c r="A616" s="23"/>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23"/>
      <c r="AG616" s="16"/>
      <c r="AH616" s="16"/>
    </row>
    <row r="617">
      <c r="A617" s="23"/>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23"/>
      <c r="AG617" s="16"/>
      <c r="AH617" s="16"/>
    </row>
    <row r="618">
      <c r="A618" s="23"/>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23"/>
      <c r="AG618" s="16"/>
      <c r="AH618" s="16"/>
    </row>
    <row r="619">
      <c r="A619" s="23"/>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23"/>
      <c r="AG619" s="16"/>
      <c r="AH619" s="16"/>
    </row>
    <row r="620">
      <c r="A620" s="23"/>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23"/>
      <c r="AG620" s="16"/>
      <c r="AH620" s="16"/>
    </row>
    <row r="621">
      <c r="A621" s="23"/>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23"/>
      <c r="AG621" s="16"/>
      <c r="AH621" s="16"/>
    </row>
    <row r="622">
      <c r="A622" s="23"/>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23"/>
      <c r="AG622" s="16"/>
      <c r="AH622" s="16"/>
    </row>
    <row r="623">
      <c r="A623" s="23"/>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23"/>
      <c r="AG623" s="16"/>
      <c r="AH623" s="16"/>
    </row>
    <row r="624">
      <c r="A624" s="23"/>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23"/>
      <c r="AG624" s="16"/>
      <c r="AH624" s="16"/>
    </row>
    <row r="625">
      <c r="A625" s="23"/>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23"/>
      <c r="AG625" s="16"/>
      <c r="AH625" s="16"/>
    </row>
    <row r="626">
      <c r="A626" s="23"/>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23"/>
      <c r="AG626" s="16"/>
      <c r="AH626" s="16"/>
    </row>
    <row r="627">
      <c r="A627" s="23"/>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23"/>
      <c r="AG627" s="16"/>
      <c r="AH627" s="16"/>
    </row>
    <row r="628">
      <c r="A628" s="23"/>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23"/>
      <c r="AG628" s="16"/>
      <c r="AH628" s="16"/>
    </row>
    <row r="629">
      <c r="A629" s="23"/>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23"/>
      <c r="AG629" s="16"/>
      <c r="AH629" s="16"/>
    </row>
    <row r="630">
      <c r="A630" s="23"/>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23"/>
      <c r="AG630" s="16"/>
      <c r="AH630" s="16"/>
    </row>
    <row r="631">
      <c r="A631" s="23"/>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23"/>
      <c r="AG631" s="16"/>
      <c r="AH631" s="16"/>
    </row>
    <row r="632">
      <c r="A632" s="23"/>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23"/>
      <c r="AG632" s="16"/>
      <c r="AH632" s="16"/>
    </row>
    <row r="633">
      <c r="A633" s="23"/>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23"/>
      <c r="AG633" s="16"/>
      <c r="AH633" s="16"/>
    </row>
    <row r="634">
      <c r="A634" s="23"/>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23"/>
      <c r="AG634" s="16"/>
      <c r="AH634" s="16"/>
    </row>
    <row r="635">
      <c r="A635" s="23"/>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23"/>
      <c r="AG635" s="16"/>
      <c r="AH635" s="16"/>
    </row>
    <row r="636">
      <c r="A636" s="23"/>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23"/>
      <c r="AG636" s="16"/>
      <c r="AH636" s="16"/>
    </row>
    <row r="637">
      <c r="A637" s="23"/>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23"/>
      <c r="AG637" s="16"/>
      <c r="AH637" s="16"/>
    </row>
    <row r="638">
      <c r="A638" s="23"/>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23"/>
      <c r="AG638" s="16"/>
      <c r="AH638" s="16"/>
    </row>
    <row r="639">
      <c r="A639" s="23"/>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23"/>
      <c r="AG639" s="16"/>
      <c r="AH639" s="16"/>
    </row>
    <row r="640">
      <c r="A640" s="23"/>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23"/>
      <c r="AG640" s="16"/>
      <c r="AH640" s="16"/>
    </row>
    <row r="641">
      <c r="A641" s="23"/>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23"/>
      <c r="AG641" s="16"/>
      <c r="AH641" s="16"/>
    </row>
    <row r="642">
      <c r="A642" s="23"/>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23"/>
      <c r="AG642" s="16"/>
      <c r="AH642" s="16"/>
    </row>
    <row r="643">
      <c r="A643" s="23"/>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23"/>
      <c r="AG643" s="16"/>
      <c r="AH643" s="16"/>
    </row>
    <row r="644">
      <c r="A644" s="23"/>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23"/>
      <c r="AG644" s="16"/>
      <c r="AH644" s="16"/>
    </row>
    <row r="645">
      <c r="A645" s="23"/>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23"/>
      <c r="AG645" s="16"/>
      <c r="AH645" s="16"/>
    </row>
    <row r="646">
      <c r="A646" s="23"/>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23"/>
      <c r="AG646" s="16"/>
      <c r="AH646" s="16"/>
    </row>
    <row r="647">
      <c r="A647" s="23"/>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23"/>
      <c r="AG647" s="16"/>
      <c r="AH647" s="16"/>
    </row>
    <row r="648">
      <c r="A648" s="23"/>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23"/>
      <c r="AG648" s="16"/>
      <c r="AH648" s="16"/>
    </row>
    <row r="649">
      <c r="A649" s="23"/>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23"/>
      <c r="AG649" s="16"/>
      <c r="AH649" s="16"/>
    </row>
    <row r="650">
      <c r="A650" s="23"/>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23"/>
      <c r="AG650" s="16"/>
      <c r="AH650" s="16"/>
    </row>
    <row r="651">
      <c r="A651" s="23"/>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23"/>
      <c r="AG651" s="16"/>
      <c r="AH651" s="16"/>
    </row>
    <row r="652">
      <c r="A652" s="23"/>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23"/>
      <c r="AG652" s="16"/>
      <c r="AH652" s="16"/>
    </row>
    <row r="653">
      <c r="A653" s="23"/>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23"/>
      <c r="AG653" s="16"/>
      <c r="AH653" s="16"/>
    </row>
    <row r="654">
      <c r="A654" s="23"/>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23"/>
      <c r="AG654" s="16"/>
      <c r="AH654" s="16"/>
    </row>
    <row r="655">
      <c r="A655" s="23"/>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23"/>
      <c r="AG655" s="16"/>
      <c r="AH655" s="16"/>
    </row>
    <row r="656">
      <c r="A656" s="23"/>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23"/>
      <c r="AG656" s="16"/>
      <c r="AH656" s="16"/>
    </row>
    <row r="657">
      <c r="A657" s="23"/>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23"/>
      <c r="AG657" s="16"/>
      <c r="AH657" s="16"/>
    </row>
    <row r="658">
      <c r="A658" s="23"/>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23"/>
      <c r="AG658" s="16"/>
      <c r="AH658" s="16"/>
    </row>
    <row r="659">
      <c r="A659" s="23"/>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23"/>
      <c r="AG659" s="16"/>
      <c r="AH659" s="16"/>
    </row>
    <row r="660">
      <c r="A660" s="23"/>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23"/>
      <c r="AG660" s="16"/>
      <c r="AH660" s="16"/>
    </row>
    <row r="661">
      <c r="A661" s="23"/>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23"/>
      <c r="AG661" s="16"/>
      <c r="AH661" s="16"/>
    </row>
    <row r="662">
      <c r="A662" s="23"/>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23"/>
      <c r="AG662" s="16"/>
      <c r="AH662" s="16"/>
    </row>
    <row r="663">
      <c r="A663" s="23"/>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23"/>
      <c r="AG663" s="16"/>
      <c r="AH663" s="16"/>
    </row>
    <row r="664">
      <c r="A664" s="23"/>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23"/>
      <c r="AG664" s="16"/>
      <c r="AH664" s="16"/>
    </row>
    <row r="665">
      <c r="A665" s="23"/>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23"/>
      <c r="AG665" s="16"/>
      <c r="AH665" s="16"/>
    </row>
    <row r="666">
      <c r="A666" s="23"/>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23"/>
      <c r="AG666" s="16"/>
      <c r="AH666" s="16"/>
    </row>
    <row r="667">
      <c r="A667" s="23"/>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23"/>
      <c r="AG667" s="16"/>
      <c r="AH667" s="16"/>
    </row>
    <row r="668">
      <c r="A668" s="23"/>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23"/>
      <c r="AG668" s="16"/>
      <c r="AH668" s="16"/>
    </row>
    <row r="669">
      <c r="A669" s="23"/>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23"/>
      <c r="AG669" s="16"/>
      <c r="AH669" s="16"/>
    </row>
    <row r="670">
      <c r="A670" s="23"/>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23"/>
      <c r="AG670" s="16"/>
      <c r="AH670" s="16"/>
    </row>
    <row r="671">
      <c r="A671" s="23"/>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23"/>
      <c r="AG671" s="16"/>
      <c r="AH671" s="16"/>
    </row>
    <row r="672">
      <c r="A672" s="23"/>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23"/>
      <c r="AG672" s="16"/>
      <c r="AH672" s="16"/>
    </row>
    <row r="673">
      <c r="A673" s="23"/>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23"/>
      <c r="AG673" s="16"/>
      <c r="AH673" s="16"/>
    </row>
    <row r="674">
      <c r="A674" s="23"/>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23"/>
      <c r="AG674" s="16"/>
      <c r="AH674" s="16"/>
    </row>
    <row r="675">
      <c r="A675" s="23"/>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23"/>
      <c r="AG675" s="16"/>
      <c r="AH675" s="16"/>
    </row>
    <row r="676">
      <c r="A676" s="23"/>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23"/>
      <c r="AG676" s="16"/>
      <c r="AH676" s="16"/>
    </row>
    <row r="677">
      <c r="A677" s="23"/>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23"/>
      <c r="AG677" s="16"/>
      <c r="AH677" s="16"/>
    </row>
    <row r="678">
      <c r="A678" s="23"/>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23"/>
      <c r="AG678" s="16"/>
      <c r="AH678" s="16"/>
    </row>
    <row r="679">
      <c r="A679" s="23"/>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23"/>
      <c r="AG679" s="16"/>
      <c r="AH679" s="16"/>
    </row>
    <row r="680">
      <c r="A680" s="23"/>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23"/>
      <c r="AG680" s="16"/>
      <c r="AH680" s="16"/>
    </row>
    <row r="681">
      <c r="A681" s="23"/>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23"/>
      <c r="AG681" s="16"/>
      <c r="AH681" s="16"/>
    </row>
    <row r="682">
      <c r="A682" s="23"/>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23"/>
      <c r="AG682" s="16"/>
      <c r="AH682" s="16"/>
    </row>
    <row r="683">
      <c r="A683" s="23"/>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23"/>
      <c r="AG683" s="16"/>
      <c r="AH683" s="16"/>
    </row>
    <row r="684">
      <c r="A684" s="23"/>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23"/>
      <c r="AG684" s="16"/>
      <c r="AH684" s="16"/>
    </row>
    <row r="685">
      <c r="A685" s="23"/>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23"/>
      <c r="AG685" s="16"/>
      <c r="AH685" s="16"/>
    </row>
    <row r="686">
      <c r="A686" s="23"/>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23"/>
      <c r="AG686" s="16"/>
      <c r="AH686" s="16"/>
    </row>
    <row r="687">
      <c r="A687" s="23"/>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23"/>
      <c r="AG687" s="16"/>
      <c r="AH687" s="16"/>
    </row>
    <row r="688">
      <c r="A688" s="23"/>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23"/>
      <c r="AG688" s="16"/>
      <c r="AH688" s="16"/>
    </row>
    <row r="689">
      <c r="A689" s="23"/>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23"/>
      <c r="AG689" s="16"/>
      <c r="AH689" s="16"/>
    </row>
    <row r="690">
      <c r="A690" s="23"/>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23"/>
      <c r="AG690" s="16"/>
      <c r="AH690" s="16"/>
    </row>
    <row r="691">
      <c r="A691" s="23"/>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23"/>
      <c r="AG691" s="16"/>
      <c r="AH691" s="16"/>
    </row>
    <row r="692">
      <c r="A692" s="23"/>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23"/>
      <c r="AG692" s="16"/>
      <c r="AH692" s="16"/>
    </row>
    <row r="693">
      <c r="A693" s="23"/>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23"/>
      <c r="AG693" s="16"/>
      <c r="AH693" s="16"/>
    </row>
    <row r="694">
      <c r="A694" s="23"/>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23"/>
      <c r="AG694" s="16"/>
      <c r="AH694" s="16"/>
    </row>
    <row r="695">
      <c r="A695" s="23"/>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23"/>
      <c r="AG695" s="16"/>
      <c r="AH695" s="16"/>
    </row>
    <row r="696">
      <c r="A696" s="23"/>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23"/>
      <c r="AG696" s="16"/>
      <c r="AH696" s="16"/>
    </row>
    <row r="697">
      <c r="A697" s="23"/>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23"/>
      <c r="AG697" s="16"/>
      <c r="AH697" s="16"/>
    </row>
    <row r="698">
      <c r="A698" s="23"/>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23"/>
      <c r="AG698" s="16"/>
      <c r="AH698" s="16"/>
    </row>
    <row r="699">
      <c r="A699" s="23"/>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23"/>
      <c r="AG699" s="16"/>
      <c r="AH699" s="16"/>
    </row>
    <row r="700">
      <c r="A700" s="23"/>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23"/>
      <c r="AG700" s="16"/>
      <c r="AH700" s="16"/>
    </row>
    <row r="701">
      <c r="A701" s="23"/>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23"/>
      <c r="AG701" s="16"/>
      <c r="AH701" s="16"/>
    </row>
    <row r="702">
      <c r="A702" s="23"/>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23"/>
      <c r="AG702" s="16"/>
      <c r="AH702" s="16"/>
    </row>
    <row r="703">
      <c r="A703" s="23"/>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23"/>
      <c r="AG703" s="16"/>
      <c r="AH703" s="16"/>
    </row>
    <row r="704">
      <c r="A704" s="23"/>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23"/>
      <c r="AG704" s="16"/>
      <c r="AH704" s="16"/>
    </row>
    <row r="705">
      <c r="A705" s="23"/>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23"/>
      <c r="AG705" s="16"/>
      <c r="AH705" s="16"/>
    </row>
    <row r="706">
      <c r="A706" s="23"/>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23"/>
      <c r="AG706" s="16"/>
      <c r="AH706" s="16"/>
    </row>
    <row r="707">
      <c r="A707" s="23"/>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23"/>
      <c r="AG707" s="16"/>
      <c r="AH707" s="16"/>
    </row>
    <row r="708">
      <c r="A708" s="23"/>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23"/>
      <c r="AG708" s="16"/>
      <c r="AH708" s="16"/>
    </row>
    <row r="709">
      <c r="A709" s="23"/>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23"/>
      <c r="AG709" s="16"/>
      <c r="AH709" s="16"/>
    </row>
    <row r="710">
      <c r="A710" s="23"/>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23"/>
      <c r="AG710" s="16"/>
      <c r="AH710" s="16"/>
    </row>
    <row r="711">
      <c r="A711" s="23"/>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23"/>
      <c r="AG711" s="16"/>
      <c r="AH711" s="16"/>
    </row>
    <row r="712">
      <c r="A712" s="23"/>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23"/>
      <c r="AG712" s="16"/>
      <c r="AH712" s="16"/>
    </row>
    <row r="713">
      <c r="A713" s="23"/>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23"/>
      <c r="AG713" s="16"/>
      <c r="AH713" s="16"/>
    </row>
    <row r="714">
      <c r="A714" s="23"/>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23"/>
      <c r="AG714" s="16"/>
      <c r="AH714" s="16"/>
    </row>
    <row r="715">
      <c r="A715" s="23"/>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23"/>
      <c r="AG715" s="16"/>
      <c r="AH715" s="16"/>
    </row>
    <row r="716">
      <c r="A716" s="23"/>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23"/>
      <c r="AG716" s="16"/>
      <c r="AH716" s="16"/>
    </row>
    <row r="717">
      <c r="A717" s="23"/>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23"/>
      <c r="AG717" s="16"/>
      <c r="AH717" s="16"/>
    </row>
    <row r="718">
      <c r="A718" s="23"/>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23"/>
      <c r="AG718" s="16"/>
      <c r="AH718" s="16"/>
    </row>
    <row r="719">
      <c r="A719" s="23"/>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23"/>
      <c r="AG719" s="16"/>
      <c r="AH719" s="16"/>
    </row>
    <row r="720">
      <c r="A720" s="23"/>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23"/>
      <c r="AG720" s="16"/>
      <c r="AH720" s="16"/>
    </row>
    <row r="721">
      <c r="A721" s="23"/>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23"/>
      <c r="AG721" s="16"/>
      <c r="AH721" s="16"/>
    </row>
    <row r="722">
      <c r="A722" s="23"/>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23"/>
      <c r="AG722" s="16"/>
      <c r="AH722" s="16"/>
    </row>
    <row r="723">
      <c r="A723" s="23"/>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23"/>
      <c r="AG723" s="16"/>
      <c r="AH723" s="16"/>
    </row>
    <row r="724">
      <c r="A724" s="23"/>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23"/>
      <c r="AG724" s="16"/>
      <c r="AH724" s="16"/>
    </row>
    <row r="725">
      <c r="A725" s="23"/>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23"/>
      <c r="AG725" s="16"/>
      <c r="AH725" s="16"/>
    </row>
    <row r="726">
      <c r="A726" s="23"/>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23"/>
      <c r="AG726" s="16"/>
      <c r="AH726" s="16"/>
    </row>
    <row r="727">
      <c r="A727" s="23"/>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23"/>
      <c r="AG727" s="16"/>
      <c r="AH727" s="16"/>
    </row>
    <row r="728">
      <c r="A728" s="23"/>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23"/>
      <c r="AG728" s="16"/>
      <c r="AH728" s="16"/>
    </row>
    <row r="729">
      <c r="A729" s="23"/>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23"/>
      <c r="AG729" s="16"/>
      <c r="AH729" s="16"/>
    </row>
    <row r="730">
      <c r="A730" s="23"/>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23"/>
      <c r="AG730" s="16"/>
      <c r="AH730" s="16"/>
    </row>
    <row r="731">
      <c r="A731" s="23"/>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23"/>
      <c r="AG731" s="16"/>
      <c r="AH731" s="16"/>
    </row>
    <row r="732">
      <c r="A732" s="23"/>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23"/>
      <c r="AG732" s="16"/>
      <c r="AH732" s="16"/>
    </row>
    <row r="733">
      <c r="A733" s="23"/>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23"/>
      <c r="AG733" s="16"/>
      <c r="AH733" s="16"/>
    </row>
    <row r="734">
      <c r="A734" s="23"/>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23"/>
      <c r="AG734" s="16"/>
      <c r="AH734" s="16"/>
    </row>
    <row r="735">
      <c r="A735" s="23"/>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23"/>
      <c r="AG735" s="16"/>
      <c r="AH735" s="16"/>
    </row>
    <row r="736">
      <c r="A736" s="23"/>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23"/>
      <c r="AG736" s="16"/>
      <c r="AH736" s="16"/>
    </row>
    <row r="737">
      <c r="A737" s="23"/>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23"/>
      <c r="AG737" s="16"/>
      <c r="AH737" s="16"/>
    </row>
    <row r="738">
      <c r="A738" s="23"/>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23"/>
      <c r="AG738" s="16"/>
      <c r="AH738" s="16"/>
    </row>
    <row r="739">
      <c r="A739" s="23"/>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23"/>
      <c r="AG739" s="16"/>
      <c r="AH739" s="16"/>
    </row>
    <row r="740">
      <c r="A740" s="23"/>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23"/>
      <c r="AG740" s="16"/>
      <c r="AH740" s="16"/>
    </row>
    <row r="741">
      <c r="A741" s="23"/>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23"/>
      <c r="AG741" s="16"/>
      <c r="AH741" s="16"/>
    </row>
    <row r="742">
      <c r="A742" s="23"/>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23"/>
      <c r="AG742" s="16"/>
      <c r="AH742" s="16"/>
    </row>
    <row r="743">
      <c r="A743" s="23"/>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23"/>
      <c r="AG743" s="16"/>
      <c r="AH743" s="16"/>
    </row>
    <row r="744">
      <c r="A744" s="23"/>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23"/>
      <c r="AG744" s="16"/>
      <c r="AH744" s="16"/>
    </row>
    <row r="745">
      <c r="A745" s="23"/>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23"/>
      <c r="AG745" s="16"/>
      <c r="AH745" s="16"/>
    </row>
    <row r="746">
      <c r="A746" s="23"/>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23"/>
      <c r="AG746" s="16"/>
      <c r="AH746" s="16"/>
    </row>
    <row r="747">
      <c r="A747" s="23"/>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23"/>
      <c r="AG747" s="16"/>
      <c r="AH747" s="16"/>
    </row>
    <row r="748">
      <c r="A748" s="23"/>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23"/>
      <c r="AG748" s="16"/>
      <c r="AH748" s="16"/>
    </row>
    <row r="749">
      <c r="A749" s="23"/>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23"/>
      <c r="AG749" s="16"/>
      <c r="AH749" s="16"/>
    </row>
    <row r="750">
      <c r="A750" s="23"/>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23"/>
      <c r="AG750" s="16"/>
      <c r="AH750" s="16"/>
    </row>
    <row r="751">
      <c r="A751" s="23"/>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23"/>
      <c r="AG751" s="16"/>
      <c r="AH751" s="16"/>
    </row>
    <row r="752">
      <c r="A752" s="23"/>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23"/>
      <c r="AG752" s="16"/>
      <c r="AH752" s="16"/>
    </row>
    <row r="753">
      <c r="A753" s="23"/>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23"/>
      <c r="AG753" s="16"/>
      <c r="AH753" s="16"/>
    </row>
    <row r="754">
      <c r="A754" s="23"/>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23"/>
      <c r="AG754" s="16"/>
      <c r="AH754" s="16"/>
    </row>
    <row r="755">
      <c r="A755" s="23"/>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23"/>
      <c r="AG755" s="16"/>
      <c r="AH755" s="16"/>
    </row>
    <row r="756">
      <c r="A756" s="23"/>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23"/>
      <c r="AG756" s="16"/>
      <c r="AH756" s="16"/>
    </row>
    <row r="757">
      <c r="A757" s="23"/>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23"/>
      <c r="AG757" s="16"/>
      <c r="AH757" s="16"/>
    </row>
    <row r="758">
      <c r="A758" s="23"/>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23"/>
      <c r="AG758" s="16"/>
      <c r="AH758" s="16"/>
    </row>
    <row r="759">
      <c r="A759" s="23"/>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23"/>
      <c r="AG759" s="16"/>
      <c r="AH759" s="16"/>
    </row>
    <row r="760">
      <c r="A760" s="23"/>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23"/>
      <c r="AG760" s="16"/>
      <c r="AH760" s="16"/>
    </row>
    <row r="761">
      <c r="A761" s="23"/>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23"/>
      <c r="AG761" s="16"/>
      <c r="AH761" s="16"/>
    </row>
    <row r="762">
      <c r="A762" s="23"/>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23"/>
      <c r="AG762" s="16"/>
      <c r="AH762" s="16"/>
    </row>
    <row r="763">
      <c r="A763" s="23"/>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23"/>
      <c r="AG763" s="16"/>
      <c r="AH763" s="16"/>
    </row>
    <row r="764">
      <c r="A764" s="23"/>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23"/>
      <c r="AG764" s="16"/>
      <c r="AH764" s="16"/>
    </row>
    <row r="765">
      <c r="A765" s="23"/>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23"/>
      <c r="AG765" s="16"/>
      <c r="AH765" s="16"/>
    </row>
    <row r="766">
      <c r="A766" s="23"/>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23"/>
      <c r="AG766" s="16"/>
      <c r="AH766" s="16"/>
    </row>
    <row r="767">
      <c r="A767" s="23"/>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23"/>
      <c r="AG767" s="16"/>
      <c r="AH767" s="16"/>
    </row>
    <row r="768">
      <c r="A768" s="23"/>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23"/>
      <c r="AG768" s="16"/>
      <c r="AH768" s="16"/>
    </row>
    <row r="769">
      <c r="A769" s="23"/>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23"/>
      <c r="AG769" s="16"/>
      <c r="AH769" s="16"/>
    </row>
    <row r="770">
      <c r="A770" s="23"/>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23"/>
      <c r="AG770" s="16"/>
      <c r="AH770" s="16"/>
    </row>
    <row r="771">
      <c r="A771" s="23"/>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23"/>
      <c r="AG771" s="16"/>
      <c r="AH771" s="16"/>
    </row>
    <row r="772">
      <c r="A772" s="23"/>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23"/>
      <c r="AG772" s="16"/>
      <c r="AH772" s="16"/>
    </row>
    <row r="773">
      <c r="A773" s="23"/>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23"/>
      <c r="AG773" s="16"/>
      <c r="AH773" s="16"/>
    </row>
    <row r="774">
      <c r="A774" s="23"/>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23"/>
      <c r="AG774" s="16"/>
      <c r="AH774" s="16"/>
    </row>
    <row r="775">
      <c r="A775" s="23"/>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23"/>
      <c r="AG775" s="16"/>
      <c r="AH775" s="16"/>
    </row>
    <row r="776">
      <c r="A776" s="23"/>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23"/>
      <c r="AG776" s="16"/>
      <c r="AH776" s="16"/>
    </row>
    <row r="777">
      <c r="A777" s="23"/>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23"/>
      <c r="AG777" s="16"/>
      <c r="AH777" s="16"/>
    </row>
    <row r="778">
      <c r="A778" s="23"/>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23"/>
      <c r="AG778" s="16"/>
      <c r="AH778" s="16"/>
    </row>
    <row r="779">
      <c r="A779" s="23"/>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23"/>
      <c r="AG779" s="16"/>
      <c r="AH779" s="16"/>
    </row>
    <row r="780">
      <c r="A780" s="23"/>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23"/>
      <c r="AG780" s="16"/>
      <c r="AH780" s="16"/>
    </row>
    <row r="781">
      <c r="A781" s="23"/>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23"/>
      <c r="AG781" s="16"/>
      <c r="AH781" s="16"/>
    </row>
    <row r="782">
      <c r="A782" s="23"/>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23"/>
      <c r="AG782" s="16"/>
      <c r="AH782" s="16"/>
    </row>
    <row r="783">
      <c r="A783" s="23"/>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23"/>
      <c r="AG783" s="16"/>
      <c r="AH783" s="16"/>
    </row>
    <row r="784">
      <c r="A784" s="23"/>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23"/>
      <c r="AG784" s="16"/>
      <c r="AH784" s="16"/>
    </row>
    <row r="785">
      <c r="A785" s="23"/>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23"/>
      <c r="AG785" s="16"/>
      <c r="AH785" s="16"/>
    </row>
    <row r="786">
      <c r="A786" s="23"/>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23"/>
      <c r="AG786" s="16"/>
      <c r="AH786" s="16"/>
    </row>
    <row r="787">
      <c r="A787" s="23"/>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23"/>
      <c r="AG787" s="16"/>
      <c r="AH787" s="16"/>
    </row>
    <row r="788">
      <c r="A788" s="23"/>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23"/>
      <c r="AG788" s="16"/>
      <c r="AH788" s="16"/>
    </row>
    <row r="789">
      <c r="A789" s="23"/>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23"/>
      <c r="AG789" s="16"/>
      <c r="AH789" s="16"/>
    </row>
    <row r="790">
      <c r="A790" s="23"/>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23"/>
      <c r="AG790" s="16"/>
      <c r="AH790" s="16"/>
    </row>
    <row r="791">
      <c r="A791" s="23"/>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23"/>
      <c r="AG791" s="16"/>
      <c r="AH791" s="16"/>
    </row>
    <row r="792">
      <c r="A792" s="23"/>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23"/>
      <c r="AG792" s="16"/>
      <c r="AH792" s="16"/>
    </row>
    <row r="793">
      <c r="A793" s="23"/>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23"/>
      <c r="AG793" s="16"/>
      <c r="AH793" s="16"/>
    </row>
    <row r="794">
      <c r="A794" s="23"/>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23"/>
      <c r="AG794" s="16"/>
      <c r="AH794" s="16"/>
    </row>
    <row r="795">
      <c r="A795" s="23"/>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23"/>
      <c r="AG795" s="16"/>
      <c r="AH795" s="16"/>
    </row>
    <row r="796">
      <c r="A796" s="23"/>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23"/>
      <c r="AG796" s="16"/>
      <c r="AH796" s="16"/>
    </row>
    <row r="797">
      <c r="A797" s="23"/>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23"/>
      <c r="AG797" s="16"/>
      <c r="AH797" s="16"/>
    </row>
    <row r="798">
      <c r="A798" s="23"/>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23"/>
      <c r="AG798" s="16"/>
      <c r="AH798" s="16"/>
    </row>
    <row r="799">
      <c r="A799" s="23"/>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23"/>
      <c r="AG799" s="16"/>
      <c r="AH799" s="16"/>
    </row>
    <row r="800">
      <c r="A800" s="23"/>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23"/>
      <c r="AG800" s="16"/>
      <c r="AH800" s="16"/>
    </row>
    <row r="801">
      <c r="A801" s="23"/>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23"/>
      <c r="AG801" s="16"/>
      <c r="AH801" s="16"/>
    </row>
    <row r="802">
      <c r="A802" s="23"/>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23"/>
      <c r="AG802" s="16"/>
      <c r="AH802" s="16"/>
    </row>
    <row r="803">
      <c r="A803" s="23"/>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23"/>
      <c r="AG803" s="16"/>
      <c r="AH803" s="16"/>
    </row>
    <row r="804">
      <c r="A804" s="23"/>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23"/>
      <c r="AG804" s="16"/>
      <c r="AH804" s="16"/>
    </row>
    <row r="805">
      <c r="A805" s="23"/>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23"/>
      <c r="AG805" s="16"/>
      <c r="AH805" s="16"/>
    </row>
    <row r="806">
      <c r="A806" s="23"/>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23"/>
      <c r="AG806" s="16"/>
      <c r="AH806" s="16"/>
    </row>
    <row r="807">
      <c r="A807" s="23"/>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23"/>
      <c r="AG807" s="16"/>
      <c r="AH807" s="16"/>
    </row>
    <row r="808">
      <c r="A808" s="23"/>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23"/>
      <c r="AG808" s="16"/>
      <c r="AH808" s="16"/>
    </row>
    <row r="809">
      <c r="A809" s="23"/>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23"/>
      <c r="AG809" s="16"/>
      <c r="AH809" s="16"/>
    </row>
    <row r="810">
      <c r="A810" s="23"/>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23"/>
      <c r="AG810" s="16"/>
      <c r="AH810" s="16"/>
    </row>
    <row r="811">
      <c r="A811" s="23"/>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23"/>
      <c r="AG811" s="16"/>
      <c r="AH811" s="16"/>
    </row>
    <row r="812">
      <c r="A812" s="23"/>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23"/>
      <c r="AG812" s="16"/>
      <c r="AH812" s="16"/>
    </row>
    <row r="813">
      <c r="A813" s="23"/>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23"/>
      <c r="AG813" s="16"/>
      <c r="AH813" s="16"/>
    </row>
    <row r="814">
      <c r="A814" s="23"/>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23"/>
      <c r="AG814" s="16"/>
      <c r="AH814" s="16"/>
    </row>
    <row r="815">
      <c r="A815" s="23"/>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23"/>
      <c r="AG815" s="16"/>
      <c r="AH815" s="16"/>
    </row>
    <row r="816">
      <c r="A816" s="23"/>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23"/>
      <c r="AG816" s="16"/>
      <c r="AH816" s="16"/>
    </row>
    <row r="817">
      <c r="A817" s="23"/>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23"/>
      <c r="AG817" s="16"/>
      <c r="AH817" s="16"/>
    </row>
    <row r="818">
      <c r="A818" s="23"/>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23"/>
      <c r="AG818" s="16"/>
      <c r="AH818" s="16"/>
    </row>
    <row r="819">
      <c r="A819" s="23"/>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23"/>
      <c r="AG819" s="16"/>
      <c r="AH819" s="16"/>
    </row>
    <row r="820">
      <c r="A820" s="23"/>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23"/>
      <c r="AG820" s="16"/>
      <c r="AH820" s="16"/>
    </row>
    <row r="821">
      <c r="A821" s="23"/>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23"/>
      <c r="AG821" s="16"/>
      <c r="AH821" s="16"/>
    </row>
    <row r="822">
      <c r="A822" s="23"/>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23"/>
      <c r="AG822" s="16"/>
      <c r="AH822" s="16"/>
    </row>
    <row r="823">
      <c r="A823" s="23"/>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23"/>
      <c r="AG823" s="16"/>
      <c r="AH823" s="16"/>
    </row>
    <row r="824">
      <c r="A824" s="23"/>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23"/>
      <c r="AG824" s="16"/>
      <c r="AH824" s="16"/>
    </row>
    <row r="825">
      <c r="A825" s="23"/>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23"/>
      <c r="AG825" s="16"/>
      <c r="AH825" s="16"/>
    </row>
    <row r="826">
      <c r="A826" s="23"/>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23"/>
      <c r="AG826" s="16"/>
      <c r="AH826" s="16"/>
    </row>
    <row r="827">
      <c r="A827" s="23"/>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23"/>
      <c r="AG827" s="16"/>
      <c r="AH827" s="16"/>
    </row>
    <row r="828">
      <c r="A828" s="23"/>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23"/>
      <c r="AG828" s="16"/>
      <c r="AH828" s="16"/>
    </row>
    <row r="829">
      <c r="A829" s="23"/>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23"/>
      <c r="AG829" s="16"/>
      <c r="AH829" s="16"/>
    </row>
    <row r="830">
      <c r="A830" s="23"/>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23"/>
      <c r="AG830" s="16"/>
      <c r="AH830" s="16"/>
    </row>
    <row r="831">
      <c r="A831" s="23"/>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23"/>
      <c r="AG831" s="16"/>
      <c r="AH831" s="16"/>
    </row>
    <row r="832">
      <c r="A832" s="23"/>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23"/>
      <c r="AG832" s="16"/>
      <c r="AH832" s="16"/>
    </row>
    <row r="833">
      <c r="A833" s="23"/>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23"/>
      <c r="AG833" s="16"/>
      <c r="AH833" s="16"/>
    </row>
    <row r="834">
      <c r="A834" s="23"/>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23"/>
      <c r="AG834" s="16"/>
      <c r="AH834" s="16"/>
    </row>
    <row r="835">
      <c r="A835" s="23"/>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23"/>
      <c r="AG835" s="16"/>
      <c r="AH835" s="16"/>
    </row>
    <row r="836">
      <c r="A836" s="23"/>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23"/>
      <c r="AG836" s="16"/>
      <c r="AH836" s="16"/>
    </row>
    <row r="837">
      <c r="A837" s="23"/>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23"/>
      <c r="AG837" s="16"/>
      <c r="AH837" s="16"/>
    </row>
    <row r="838">
      <c r="A838" s="23"/>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23"/>
      <c r="AG838" s="16"/>
      <c r="AH838" s="16"/>
    </row>
    <row r="839">
      <c r="A839" s="23"/>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23"/>
      <c r="AG839" s="16"/>
      <c r="AH839" s="16"/>
    </row>
    <row r="840">
      <c r="A840" s="23"/>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23"/>
      <c r="AG840" s="16"/>
      <c r="AH840" s="16"/>
    </row>
    <row r="841">
      <c r="A841" s="23"/>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23"/>
      <c r="AG841" s="16"/>
      <c r="AH841" s="16"/>
    </row>
    <row r="842">
      <c r="A842" s="23"/>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23"/>
      <c r="AG842" s="16"/>
      <c r="AH842" s="16"/>
    </row>
    <row r="843">
      <c r="A843" s="23"/>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23"/>
      <c r="AG843" s="16"/>
      <c r="AH843" s="16"/>
    </row>
    <row r="844">
      <c r="A844" s="23"/>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23"/>
      <c r="AG844" s="16"/>
      <c r="AH844" s="16"/>
    </row>
    <row r="845">
      <c r="A845" s="23"/>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23"/>
      <c r="AG845" s="16"/>
      <c r="AH845" s="16"/>
    </row>
    <row r="846">
      <c r="A846" s="23"/>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23"/>
      <c r="AG846" s="16"/>
      <c r="AH846" s="16"/>
    </row>
    <row r="847">
      <c r="A847" s="23"/>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23"/>
      <c r="AG847" s="16"/>
      <c r="AH847" s="16"/>
    </row>
    <row r="848">
      <c r="A848" s="23"/>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23"/>
      <c r="AG848" s="16"/>
      <c r="AH848" s="16"/>
    </row>
    <row r="849">
      <c r="A849" s="23"/>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23"/>
      <c r="AG849" s="16"/>
      <c r="AH849" s="16"/>
    </row>
    <row r="850">
      <c r="A850" s="23"/>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23"/>
      <c r="AG850" s="16"/>
      <c r="AH850" s="16"/>
    </row>
    <row r="851">
      <c r="A851" s="23"/>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23"/>
      <c r="AG851" s="16"/>
      <c r="AH851" s="16"/>
    </row>
    <row r="852">
      <c r="A852" s="23"/>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23"/>
      <c r="AG852" s="16"/>
      <c r="AH852" s="16"/>
    </row>
    <row r="853">
      <c r="A853" s="23"/>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23"/>
      <c r="AG853" s="16"/>
      <c r="AH853" s="16"/>
    </row>
    <row r="854">
      <c r="A854" s="23"/>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23"/>
      <c r="AG854" s="16"/>
      <c r="AH854" s="16"/>
    </row>
    <row r="855">
      <c r="A855" s="23"/>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23"/>
      <c r="AG855" s="16"/>
      <c r="AH855" s="16"/>
    </row>
    <row r="856">
      <c r="A856" s="23"/>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23"/>
      <c r="AG856" s="16"/>
      <c r="AH856" s="16"/>
    </row>
    <row r="857">
      <c r="A857" s="23"/>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23"/>
      <c r="AG857" s="16"/>
      <c r="AH857" s="16"/>
    </row>
    <row r="858">
      <c r="A858" s="23"/>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23"/>
      <c r="AG858" s="16"/>
      <c r="AH858" s="16"/>
    </row>
    <row r="859">
      <c r="A859" s="23"/>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23"/>
      <c r="AG859" s="16"/>
      <c r="AH859" s="16"/>
    </row>
    <row r="860">
      <c r="A860" s="23"/>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23"/>
      <c r="AG860" s="16"/>
      <c r="AH860" s="16"/>
    </row>
    <row r="861">
      <c r="A861" s="23"/>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23"/>
      <c r="AG861" s="16"/>
      <c r="AH861" s="16"/>
    </row>
    <row r="862">
      <c r="A862" s="23"/>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23"/>
      <c r="AG862" s="16"/>
      <c r="AH862" s="16"/>
    </row>
    <row r="863">
      <c r="A863" s="23"/>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23"/>
      <c r="AG863" s="16"/>
      <c r="AH863" s="16"/>
    </row>
    <row r="864">
      <c r="A864" s="23"/>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23"/>
      <c r="AG864" s="16"/>
      <c r="AH864" s="16"/>
    </row>
    <row r="865">
      <c r="A865" s="23"/>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23"/>
      <c r="AG865" s="16"/>
      <c r="AH865" s="16"/>
    </row>
    <row r="866">
      <c r="A866" s="23"/>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23"/>
      <c r="AG866" s="16"/>
      <c r="AH866" s="16"/>
    </row>
    <row r="867">
      <c r="A867" s="23"/>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23"/>
      <c r="AG867" s="16"/>
      <c r="AH867" s="16"/>
    </row>
    <row r="868">
      <c r="A868" s="23"/>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23"/>
      <c r="AG868" s="16"/>
      <c r="AH868" s="16"/>
    </row>
    <row r="869">
      <c r="A869" s="23"/>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23"/>
      <c r="AG869" s="16"/>
      <c r="AH869" s="16"/>
    </row>
    <row r="870">
      <c r="A870" s="23"/>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23"/>
      <c r="AG870" s="16"/>
      <c r="AH870" s="16"/>
    </row>
    <row r="871">
      <c r="A871" s="23"/>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23"/>
      <c r="AG871" s="16"/>
      <c r="AH871" s="16"/>
    </row>
    <row r="872">
      <c r="A872" s="23"/>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23"/>
      <c r="AG872" s="16"/>
      <c r="AH872" s="16"/>
    </row>
    <row r="873">
      <c r="A873" s="23"/>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23"/>
      <c r="AG873" s="16"/>
      <c r="AH873" s="16"/>
    </row>
    <row r="874">
      <c r="A874" s="23"/>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23"/>
      <c r="AG874" s="16"/>
      <c r="AH874" s="16"/>
    </row>
    <row r="875">
      <c r="A875" s="23"/>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23"/>
      <c r="AG875" s="16"/>
      <c r="AH875" s="16"/>
    </row>
    <row r="876">
      <c r="A876" s="23"/>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23"/>
      <c r="AG876" s="16"/>
      <c r="AH876" s="16"/>
    </row>
    <row r="877">
      <c r="A877" s="23"/>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23"/>
      <c r="AG877" s="16"/>
      <c r="AH877" s="16"/>
    </row>
    <row r="878">
      <c r="A878" s="23"/>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23"/>
      <c r="AG878" s="16"/>
      <c r="AH878" s="16"/>
    </row>
    <row r="879">
      <c r="A879" s="23"/>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23"/>
      <c r="AG879" s="16"/>
      <c r="AH879" s="16"/>
    </row>
    <row r="880">
      <c r="A880" s="23"/>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23"/>
      <c r="AG880" s="16"/>
      <c r="AH880" s="16"/>
    </row>
    <row r="881">
      <c r="A881" s="23"/>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23"/>
      <c r="AG881" s="16"/>
      <c r="AH881" s="16"/>
    </row>
    <row r="882">
      <c r="A882" s="23"/>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23"/>
      <c r="AG882" s="16"/>
      <c r="AH882" s="16"/>
    </row>
    <row r="883">
      <c r="A883" s="23"/>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23"/>
      <c r="AG883" s="16"/>
      <c r="AH883" s="16"/>
    </row>
    <row r="884">
      <c r="A884" s="23"/>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23"/>
      <c r="AG884" s="16"/>
      <c r="AH884" s="16"/>
    </row>
    <row r="885">
      <c r="A885" s="23"/>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23"/>
      <c r="AG885" s="16"/>
      <c r="AH885" s="16"/>
    </row>
    <row r="886">
      <c r="A886" s="23"/>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23"/>
      <c r="AG886" s="16"/>
      <c r="AH886" s="16"/>
    </row>
    <row r="887">
      <c r="A887" s="23"/>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23"/>
      <c r="AG887" s="16"/>
      <c r="AH887" s="16"/>
    </row>
    <row r="888">
      <c r="A888" s="23"/>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23"/>
      <c r="AG888" s="16"/>
      <c r="AH888" s="16"/>
    </row>
    <row r="889">
      <c r="A889" s="23"/>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23"/>
      <c r="AG889" s="16"/>
      <c r="AH889" s="16"/>
    </row>
    <row r="890">
      <c r="A890" s="23"/>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23"/>
      <c r="AG890" s="16"/>
      <c r="AH890" s="16"/>
    </row>
    <row r="891">
      <c r="A891" s="23"/>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23"/>
      <c r="AG891" s="16"/>
      <c r="AH891" s="16"/>
    </row>
    <row r="892">
      <c r="A892" s="23"/>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23"/>
      <c r="AG892" s="16"/>
      <c r="AH892" s="16"/>
    </row>
    <row r="893">
      <c r="A893" s="23"/>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23"/>
      <c r="AG893" s="16"/>
      <c r="AH893" s="16"/>
    </row>
    <row r="894">
      <c r="A894" s="23"/>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23"/>
      <c r="AG894" s="16"/>
      <c r="AH894" s="16"/>
    </row>
    <row r="895">
      <c r="A895" s="23"/>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23"/>
      <c r="AG895" s="16"/>
      <c r="AH895" s="16"/>
    </row>
    <row r="896">
      <c r="A896" s="23"/>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23"/>
      <c r="AG896" s="16"/>
      <c r="AH896" s="16"/>
    </row>
    <row r="897">
      <c r="A897" s="23"/>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23"/>
      <c r="AG897" s="16"/>
      <c r="AH897" s="16"/>
    </row>
    <row r="898">
      <c r="A898" s="23"/>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23"/>
      <c r="AG898" s="16"/>
      <c r="AH898" s="16"/>
    </row>
    <row r="899">
      <c r="A899" s="23"/>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23"/>
      <c r="AG899" s="16"/>
      <c r="AH899" s="16"/>
    </row>
    <row r="900">
      <c r="A900" s="23"/>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23"/>
      <c r="AG900" s="16"/>
      <c r="AH900" s="16"/>
    </row>
    <row r="901">
      <c r="A901" s="23"/>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23"/>
      <c r="AG901" s="16"/>
      <c r="AH901" s="16"/>
    </row>
    <row r="902">
      <c r="A902" s="23"/>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23"/>
      <c r="AG902" s="16"/>
      <c r="AH902" s="16"/>
    </row>
    <row r="903">
      <c r="A903" s="23"/>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23"/>
      <c r="AG903" s="16"/>
      <c r="AH903" s="16"/>
    </row>
    <row r="904">
      <c r="A904" s="23"/>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23"/>
      <c r="AG904" s="16"/>
      <c r="AH904" s="16"/>
    </row>
    <row r="905">
      <c r="A905" s="23"/>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23"/>
      <c r="AG905" s="16"/>
      <c r="AH905" s="16"/>
    </row>
    <row r="906">
      <c r="A906" s="23"/>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23"/>
      <c r="AG906" s="16"/>
      <c r="AH906" s="16"/>
    </row>
    <row r="907">
      <c r="A907" s="23"/>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23"/>
      <c r="AG907" s="16"/>
      <c r="AH907" s="16"/>
    </row>
    <row r="908">
      <c r="A908" s="23"/>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23"/>
      <c r="AG908" s="16"/>
      <c r="AH908" s="16"/>
    </row>
    <row r="909">
      <c r="A909" s="23"/>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23"/>
      <c r="AG909" s="16"/>
      <c r="AH909" s="16"/>
    </row>
    <row r="910">
      <c r="A910" s="23"/>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23"/>
      <c r="AG910" s="16"/>
      <c r="AH910" s="16"/>
    </row>
    <row r="911">
      <c r="A911" s="23"/>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23"/>
      <c r="AG911" s="16"/>
      <c r="AH911" s="16"/>
    </row>
    <row r="912">
      <c r="A912" s="23"/>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23"/>
      <c r="AG912" s="16"/>
      <c r="AH912" s="16"/>
    </row>
    <row r="913">
      <c r="A913" s="23"/>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23"/>
      <c r="AG913" s="16"/>
      <c r="AH913" s="16"/>
    </row>
    <row r="914">
      <c r="A914" s="23"/>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23"/>
      <c r="AG914" s="16"/>
      <c r="AH914" s="16"/>
    </row>
    <row r="915">
      <c r="A915" s="23"/>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23"/>
      <c r="AG915" s="16"/>
      <c r="AH915" s="16"/>
    </row>
    <row r="916">
      <c r="A916" s="23"/>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23"/>
      <c r="AG916" s="16"/>
      <c r="AH916" s="16"/>
    </row>
    <row r="917">
      <c r="A917" s="23"/>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23"/>
      <c r="AG917" s="16"/>
      <c r="AH917" s="16"/>
    </row>
    <row r="918">
      <c r="A918" s="23"/>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23"/>
      <c r="AG918" s="16"/>
      <c r="AH918" s="16"/>
    </row>
    <row r="919">
      <c r="A919" s="23"/>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23"/>
      <c r="AG919" s="16"/>
      <c r="AH919" s="16"/>
    </row>
    <row r="920">
      <c r="A920" s="23"/>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23"/>
      <c r="AG920" s="16"/>
      <c r="AH920" s="16"/>
    </row>
    <row r="921">
      <c r="A921" s="23"/>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23"/>
      <c r="AG921" s="16"/>
      <c r="AH921" s="16"/>
    </row>
    <row r="922">
      <c r="A922" s="23"/>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23"/>
      <c r="AG922" s="16"/>
      <c r="AH922" s="16"/>
    </row>
    <row r="923">
      <c r="A923" s="23"/>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23"/>
      <c r="AG923" s="16"/>
      <c r="AH923" s="16"/>
    </row>
    <row r="924">
      <c r="A924" s="23"/>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23"/>
      <c r="AG924" s="16"/>
      <c r="AH924" s="16"/>
    </row>
    <row r="925">
      <c r="A925" s="23"/>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23"/>
      <c r="AG925" s="16"/>
      <c r="AH925" s="16"/>
    </row>
    <row r="926">
      <c r="A926" s="23"/>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23"/>
      <c r="AG926" s="16"/>
      <c r="AH926" s="16"/>
    </row>
    <row r="927">
      <c r="A927" s="23"/>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23"/>
      <c r="AG927" s="16"/>
      <c r="AH927" s="16"/>
    </row>
    <row r="928">
      <c r="A928" s="23"/>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23"/>
      <c r="AG928" s="16"/>
      <c r="AH928" s="16"/>
    </row>
    <row r="929">
      <c r="A929" s="23"/>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23"/>
      <c r="AG929" s="16"/>
      <c r="AH929" s="16"/>
    </row>
    <row r="930">
      <c r="A930" s="23"/>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23"/>
      <c r="AG930" s="16"/>
      <c r="AH930" s="16"/>
    </row>
    <row r="931">
      <c r="A931" s="23"/>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23"/>
      <c r="AG931" s="16"/>
      <c r="AH931" s="16"/>
    </row>
    <row r="932">
      <c r="A932" s="23"/>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23"/>
      <c r="AG932" s="16"/>
      <c r="AH932" s="16"/>
    </row>
    <row r="933">
      <c r="A933" s="23"/>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23"/>
      <c r="AG933" s="16"/>
      <c r="AH933" s="16"/>
    </row>
    <row r="934">
      <c r="A934" s="23"/>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23"/>
      <c r="AG934" s="16"/>
      <c r="AH934" s="16"/>
    </row>
    <row r="935">
      <c r="A935" s="23"/>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23"/>
      <c r="AG935" s="16"/>
      <c r="AH935" s="16"/>
    </row>
    <row r="936">
      <c r="A936" s="23"/>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23"/>
      <c r="AG936" s="16"/>
      <c r="AH936" s="16"/>
    </row>
    <row r="937">
      <c r="A937" s="23"/>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23"/>
      <c r="AG937" s="16"/>
      <c r="AH937" s="16"/>
    </row>
    <row r="938">
      <c r="A938" s="23"/>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23"/>
      <c r="AG938" s="16"/>
      <c r="AH938" s="16"/>
    </row>
    <row r="939">
      <c r="A939" s="23"/>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23"/>
      <c r="AG939" s="16"/>
      <c r="AH939" s="16"/>
    </row>
    <row r="940">
      <c r="A940" s="23"/>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23"/>
      <c r="AG940" s="16"/>
      <c r="AH940" s="16"/>
    </row>
    <row r="941">
      <c r="A941" s="23"/>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23"/>
      <c r="AG941" s="16"/>
      <c r="AH941" s="16"/>
    </row>
    <row r="942">
      <c r="A942" s="23"/>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23"/>
      <c r="AG942" s="16"/>
      <c r="AH942" s="16"/>
    </row>
    <row r="943">
      <c r="A943" s="23"/>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23"/>
      <c r="AG943" s="16"/>
      <c r="AH943" s="16"/>
    </row>
    <row r="944">
      <c r="A944" s="23"/>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23"/>
      <c r="AG944" s="16"/>
      <c r="AH944" s="16"/>
    </row>
    <row r="945">
      <c r="A945" s="23"/>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23"/>
      <c r="AG945" s="16"/>
      <c r="AH945" s="16"/>
    </row>
    <row r="946">
      <c r="A946" s="23"/>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23"/>
      <c r="AG946" s="16"/>
      <c r="AH946" s="16"/>
    </row>
    <row r="947">
      <c r="A947" s="23"/>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23"/>
      <c r="AG947" s="16"/>
      <c r="AH947" s="16"/>
    </row>
    <row r="948">
      <c r="A948" s="23"/>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23"/>
      <c r="AG948" s="16"/>
      <c r="AH948" s="16"/>
    </row>
    <row r="949">
      <c r="A949" s="23"/>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23"/>
      <c r="AG949" s="16"/>
      <c r="AH949" s="16"/>
    </row>
    <row r="950">
      <c r="A950" s="23"/>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23"/>
      <c r="AG950" s="16"/>
      <c r="AH950" s="16"/>
    </row>
    <row r="951">
      <c r="A951" s="23"/>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23"/>
      <c r="AG951" s="16"/>
      <c r="AH951" s="16"/>
    </row>
    <row r="952">
      <c r="A952" s="23"/>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23"/>
      <c r="AG952" s="16"/>
      <c r="AH952" s="16"/>
    </row>
    <row r="953">
      <c r="A953" s="23"/>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23"/>
      <c r="AG953" s="16"/>
      <c r="AH953" s="16"/>
    </row>
    <row r="954">
      <c r="A954" s="23"/>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23"/>
      <c r="AG954" s="16"/>
      <c r="AH954" s="16"/>
    </row>
    <row r="955">
      <c r="A955" s="23"/>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23"/>
      <c r="AG955" s="16"/>
      <c r="AH955" s="16"/>
    </row>
    <row r="956">
      <c r="A956" s="23"/>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23"/>
      <c r="AG956" s="16"/>
      <c r="AH956" s="16"/>
    </row>
    <row r="957">
      <c r="A957" s="23"/>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23"/>
      <c r="AG957" s="16"/>
      <c r="AH957" s="16"/>
    </row>
    <row r="958">
      <c r="A958" s="23"/>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23"/>
      <c r="AG958" s="16"/>
      <c r="AH958" s="16"/>
    </row>
    <row r="959">
      <c r="A959" s="23"/>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23"/>
      <c r="AG959" s="16"/>
      <c r="AH959" s="16"/>
    </row>
    <row r="960">
      <c r="A960" s="23"/>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23"/>
      <c r="AG960" s="16"/>
      <c r="AH960" s="16"/>
    </row>
    <row r="961">
      <c r="A961" s="23"/>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23"/>
      <c r="AG961" s="16"/>
      <c r="AH961" s="16"/>
    </row>
    <row r="962">
      <c r="A962" s="23"/>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23"/>
      <c r="AG962" s="16"/>
      <c r="AH962" s="16"/>
    </row>
    <row r="963">
      <c r="A963" s="23"/>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23"/>
      <c r="AG963" s="16"/>
      <c r="AH963" s="16"/>
    </row>
    <row r="964">
      <c r="A964" s="23"/>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23"/>
      <c r="AG964" s="16"/>
      <c r="AH964" s="16"/>
    </row>
    <row r="965">
      <c r="A965" s="23"/>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23"/>
      <c r="AG965" s="16"/>
      <c r="AH965" s="16"/>
    </row>
    <row r="966">
      <c r="A966" s="23"/>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23"/>
      <c r="AG966" s="16"/>
      <c r="AH966" s="16"/>
    </row>
    <row r="967">
      <c r="A967" s="23"/>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23"/>
      <c r="AG967" s="16"/>
      <c r="AH967" s="16"/>
    </row>
    <row r="968">
      <c r="A968" s="23"/>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23"/>
      <c r="AG968" s="16"/>
      <c r="AH968" s="16"/>
    </row>
    <row r="969">
      <c r="A969" s="23"/>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23"/>
      <c r="AG969" s="16"/>
      <c r="AH969" s="16"/>
    </row>
    <row r="970">
      <c r="A970" s="23"/>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23"/>
      <c r="AG970" s="16"/>
      <c r="AH970" s="16"/>
    </row>
    <row r="971">
      <c r="A971" s="23"/>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23"/>
      <c r="AG971" s="16"/>
      <c r="AH971" s="16"/>
    </row>
    <row r="972">
      <c r="A972" s="23"/>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23"/>
      <c r="AG972" s="16"/>
      <c r="AH972" s="16"/>
    </row>
    <row r="973">
      <c r="A973" s="23"/>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23"/>
      <c r="AG973" s="16"/>
      <c r="AH973" s="16"/>
    </row>
    <row r="974">
      <c r="A974" s="23"/>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23"/>
      <c r="AG974" s="16"/>
      <c r="AH974" s="16"/>
    </row>
    <row r="975">
      <c r="A975" s="23"/>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23"/>
      <c r="AG975" s="16"/>
      <c r="AH975" s="16"/>
    </row>
    <row r="976">
      <c r="A976" s="23"/>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23"/>
      <c r="AG976" s="16"/>
      <c r="AH976" s="16"/>
    </row>
    <row r="977">
      <c r="A977" s="23"/>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23"/>
      <c r="AG977" s="16"/>
      <c r="AH977" s="16"/>
    </row>
    <row r="978">
      <c r="A978" s="23"/>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23"/>
      <c r="AG978" s="16"/>
      <c r="AH978" s="16"/>
    </row>
    <row r="979">
      <c r="A979" s="23"/>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23"/>
      <c r="AG979" s="16"/>
      <c r="AH979" s="16"/>
    </row>
    <row r="980">
      <c r="A980" s="23"/>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23"/>
      <c r="AG980" s="16"/>
      <c r="AH980" s="16"/>
    </row>
    <row r="981">
      <c r="A981" s="23"/>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23"/>
      <c r="AG981" s="16"/>
      <c r="AH981" s="16"/>
    </row>
    <row r="982">
      <c r="A982" s="23"/>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23"/>
      <c r="AG982" s="16"/>
      <c r="AH982" s="16"/>
    </row>
    <row r="983">
      <c r="A983" s="23"/>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23"/>
      <c r="AG983" s="16"/>
      <c r="AH983" s="16"/>
    </row>
    <row r="984">
      <c r="A984" s="23"/>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23"/>
      <c r="AG984" s="16"/>
      <c r="AH984" s="16"/>
    </row>
    <row r="985">
      <c r="A985" s="23"/>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23"/>
      <c r="AG985" s="16"/>
      <c r="AH985" s="16"/>
    </row>
    <row r="986">
      <c r="A986" s="23"/>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23"/>
      <c r="AG986" s="16"/>
      <c r="AH986" s="16"/>
    </row>
    <row r="987">
      <c r="A987" s="23"/>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23"/>
      <c r="AG987" s="16"/>
      <c r="AH987" s="16"/>
    </row>
    <row r="988">
      <c r="A988" s="23"/>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23"/>
      <c r="AG988" s="16"/>
      <c r="AH988" s="16"/>
    </row>
    <row r="989">
      <c r="A989" s="23"/>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23"/>
      <c r="AG989" s="16"/>
      <c r="AH989" s="16"/>
    </row>
    <row r="990">
      <c r="A990" s="23"/>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23"/>
      <c r="AG990" s="16"/>
      <c r="AH990" s="16"/>
    </row>
    <row r="991">
      <c r="A991" s="23"/>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23"/>
      <c r="AG991" s="16"/>
      <c r="AH991" s="16"/>
    </row>
    <row r="992">
      <c r="A992" s="23"/>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23"/>
      <c r="AG992" s="16"/>
      <c r="AH992" s="16"/>
    </row>
    <row r="993">
      <c r="A993" s="23"/>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23"/>
      <c r="AG993" s="16"/>
      <c r="AH993" s="16"/>
    </row>
    <row r="994">
      <c r="A994" s="23"/>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23"/>
      <c r="AG994" s="16"/>
      <c r="AH994" s="16"/>
    </row>
    <row r="995">
      <c r="A995" s="23"/>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23"/>
      <c r="AG995" s="16"/>
      <c r="AH995" s="16"/>
    </row>
    <row r="996">
      <c r="A996" s="23"/>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23"/>
      <c r="AG996" s="16"/>
      <c r="AH996" s="16"/>
    </row>
    <row r="997">
      <c r="A997" s="23"/>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23"/>
      <c r="AG997" s="16"/>
      <c r="AH997" s="16"/>
    </row>
    <row r="998">
      <c r="A998" s="23"/>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23"/>
      <c r="AG998" s="16"/>
      <c r="AH998" s="16"/>
    </row>
    <row r="999">
      <c r="A999" s="23"/>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23"/>
      <c r="AG999" s="16"/>
      <c r="AH999" s="16"/>
    </row>
    <row r="1000">
      <c r="A1000" s="23"/>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23"/>
      <c r="AG1000" s="16"/>
      <c r="AH1000" s="16"/>
    </row>
    <row r="1001">
      <c r="A1001" s="23"/>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23"/>
      <c r="AG1001" s="16"/>
      <c r="AH1001"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3.88"/>
    <col customWidth="1" min="3" max="3" width="25.38"/>
    <col customWidth="1" min="4" max="4" width="28.0"/>
    <col customWidth="1" min="5" max="5" width="9.88"/>
    <col customWidth="1" min="6" max="6" width="29.5"/>
    <col customWidth="1" min="7" max="7" width="11.63"/>
    <col customWidth="1" min="8" max="8" width="29.5"/>
    <col customWidth="1" min="9" max="9" width="10.0"/>
    <col customWidth="1" min="10" max="10" width="11.5"/>
  </cols>
  <sheetData>
    <row r="1">
      <c r="A1" s="5" t="s">
        <v>2</v>
      </c>
      <c r="B1" s="5" t="s">
        <v>3</v>
      </c>
      <c r="C1" s="5" t="s">
        <v>4</v>
      </c>
      <c r="D1" s="5" t="s">
        <v>5</v>
      </c>
      <c r="E1" s="5" t="s">
        <v>6</v>
      </c>
      <c r="F1" s="5" t="s">
        <v>7</v>
      </c>
      <c r="G1" s="5" t="s">
        <v>8</v>
      </c>
      <c r="H1" s="7" t="s">
        <v>7</v>
      </c>
      <c r="I1" s="8" t="s">
        <v>9</v>
      </c>
    </row>
    <row r="2">
      <c r="A2" s="9">
        <v>44326.0</v>
      </c>
      <c r="B2" s="10" t="s">
        <v>10</v>
      </c>
      <c r="C2" s="10" t="s">
        <v>11</v>
      </c>
      <c r="D2" s="10" t="s">
        <v>12</v>
      </c>
      <c r="E2" s="11">
        <v>369.0</v>
      </c>
      <c r="F2" s="10" t="s">
        <v>13</v>
      </c>
      <c r="G2" s="10" t="s">
        <v>14</v>
      </c>
      <c r="H2" s="12" t="s">
        <v>15</v>
      </c>
      <c r="I2" s="13">
        <v>8.0</v>
      </c>
      <c r="J2" s="19">
        <f>I2/I8</f>
        <v>0.4</v>
      </c>
    </row>
    <row r="3">
      <c r="A3" s="9">
        <v>44357.0</v>
      </c>
      <c r="B3" s="10" t="s">
        <v>26</v>
      </c>
      <c r="C3" s="10" t="s">
        <v>27</v>
      </c>
      <c r="D3" s="10" t="s">
        <v>28</v>
      </c>
      <c r="E3" s="11">
        <v>295.0</v>
      </c>
      <c r="F3" s="10" t="s">
        <v>30</v>
      </c>
      <c r="G3" s="10" t="s">
        <v>14</v>
      </c>
      <c r="H3" s="12" t="s">
        <v>32</v>
      </c>
      <c r="I3" s="13">
        <v>5.0</v>
      </c>
      <c r="J3" s="19">
        <f>I3/I8</f>
        <v>0.25</v>
      </c>
    </row>
    <row r="4">
      <c r="A4" s="9">
        <v>44357.0</v>
      </c>
      <c r="B4" s="10" t="s">
        <v>37</v>
      </c>
      <c r="C4" s="10" t="s">
        <v>38</v>
      </c>
      <c r="D4" s="10" t="s">
        <v>39</v>
      </c>
      <c r="E4" s="11">
        <v>265.0</v>
      </c>
      <c r="F4" s="10" t="s">
        <v>13</v>
      </c>
      <c r="G4" s="10" t="s">
        <v>14</v>
      </c>
      <c r="H4" s="12" t="s">
        <v>41</v>
      </c>
      <c r="I4" s="12"/>
      <c r="J4" s="19">
        <f>I4/I8</f>
        <v>0</v>
      </c>
    </row>
    <row r="5">
      <c r="A5" s="9">
        <v>44418.0</v>
      </c>
      <c r="B5" s="10" t="s">
        <v>42</v>
      </c>
      <c r="C5" s="10" t="s">
        <v>43</v>
      </c>
      <c r="D5" s="10" t="s">
        <v>44</v>
      </c>
      <c r="E5" s="11">
        <v>220.0</v>
      </c>
      <c r="F5" s="10" t="s">
        <v>13</v>
      </c>
      <c r="G5" s="10" t="s">
        <v>14</v>
      </c>
      <c r="H5" s="12" t="s">
        <v>45</v>
      </c>
      <c r="I5" s="12"/>
      <c r="J5" s="19">
        <f>I5/I8</f>
        <v>0</v>
      </c>
    </row>
    <row r="6">
      <c r="A6" s="9">
        <v>44418.0</v>
      </c>
      <c r="B6" s="10" t="s">
        <v>47</v>
      </c>
      <c r="C6" s="10" t="s">
        <v>48</v>
      </c>
      <c r="D6" s="10" t="s">
        <v>49</v>
      </c>
      <c r="E6" s="11">
        <v>582.0</v>
      </c>
      <c r="F6" s="10" t="s">
        <v>51</v>
      </c>
      <c r="G6" s="10" t="s">
        <v>14</v>
      </c>
      <c r="H6" s="12" t="s">
        <v>51</v>
      </c>
      <c r="I6" s="13">
        <v>4.0</v>
      </c>
      <c r="J6" s="19">
        <f>I6/I8</f>
        <v>0.2</v>
      </c>
    </row>
    <row r="7">
      <c r="A7" s="9">
        <v>44510.0</v>
      </c>
      <c r="B7" s="10" t="s">
        <v>52</v>
      </c>
      <c r="C7" s="10" t="s">
        <v>53</v>
      </c>
      <c r="D7" s="10" t="s">
        <v>54</v>
      </c>
      <c r="E7" s="11">
        <v>265.0</v>
      </c>
      <c r="F7" s="10" t="s">
        <v>51</v>
      </c>
      <c r="G7" s="10" t="s">
        <v>14</v>
      </c>
      <c r="H7" s="27" t="s">
        <v>55</v>
      </c>
      <c r="I7" s="29">
        <v>3.0</v>
      </c>
      <c r="J7" s="19">
        <f>I7/I8</f>
        <v>0.15</v>
      </c>
    </row>
    <row r="8">
      <c r="A8" s="9">
        <v>44510.0</v>
      </c>
      <c r="B8" s="10" t="s">
        <v>57</v>
      </c>
      <c r="C8" s="10" t="s">
        <v>58</v>
      </c>
      <c r="D8" s="10" t="s">
        <v>59</v>
      </c>
      <c r="E8" s="11">
        <v>216.0</v>
      </c>
      <c r="F8" s="10" t="s">
        <v>55</v>
      </c>
      <c r="G8" s="10" t="s">
        <v>14</v>
      </c>
      <c r="H8" s="12" t="s">
        <v>60</v>
      </c>
      <c r="I8" s="13">
        <f>SUM(I2:I7)</f>
        <v>20</v>
      </c>
    </row>
    <row r="9">
      <c r="A9" s="9">
        <v>44510.0</v>
      </c>
      <c r="B9" s="10" t="s">
        <v>62</v>
      </c>
      <c r="C9" s="10" t="s">
        <v>63</v>
      </c>
      <c r="D9" s="10" t="s">
        <v>64</v>
      </c>
      <c r="E9" s="11">
        <v>283.0</v>
      </c>
      <c r="F9" s="10" t="s">
        <v>30</v>
      </c>
      <c r="G9" s="10" t="s">
        <v>14</v>
      </c>
      <c r="H9" s="31"/>
      <c r="I9" s="31"/>
    </row>
    <row r="10">
      <c r="A10" s="9">
        <v>44510.0</v>
      </c>
      <c r="B10" s="10" t="s">
        <v>65</v>
      </c>
      <c r="C10" s="10" t="s">
        <v>66</v>
      </c>
      <c r="D10" s="10" t="s">
        <v>67</v>
      </c>
      <c r="E10" s="11">
        <v>279.0</v>
      </c>
      <c r="F10" s="10" t="s">
        <v>55</v>
      </c>
      <c r="G10" s="10" t="s">
        <v>14</v>
      </c>
      <c r="H10" s="12"/>
      <c r="I10" s="13"/>
    </row>
    <row r="11">
      <c r="A11" s="9">
        <v>44510.0</v>
      </c>
      <c r="B11" s="10" t="s">
        <v>68</v>
      </c>
      <c r="C11" s="10" t="s">
        <v>69</v>
      </c>
      <c r="D11" s="10" t="s">
        <v>70</v>
      </c>
      <c r="E11" s="11">
        <v>216.0</v>
      </c>
      <c r="F11" s="10" t="s">
        <v>55</v>
      </c>
      <c r="G11" s="10" t="s">
        <v>14</v>
      </c>
      <c r="H11" s="33" t="s">
        <v>71</v>
      </c>
      <c r="I11" s="29">
        <f>Sales!B39</f>
        <v>5268</v>
      </c>
    </row>
    <row r="12">
      <c r="A12" s="9">
        <v>44510.0</v>
      </c>
      <c r="B12" s="36" t="s">
        <v>73</v>
      </c>
      <c r="C12" s="10" t="s">
        <v>74</v>
      </c>
      <c r="D12" s="10" t="s">
        <v>76</v>
      </c>
      <c r="E12" s="11">
        <v>224.0</v>
      </c>
      <c r="F12" s="10" t="s">
        <v>51</v>
      </c>
      <c r="G12" s="10" t="s">
        <v>14</v>
      </c>
      <c r="H12" s="12" t="s">
        <v>60</v>
      </c>
      <c r="I12" s="13">
        <f>SUM(I10:I11)</f>
        <v>5268</v>
      </c>
    </row>
    <row r="13">
      <c r="A13" s="9">
        <v>44510.0</v>
      </c>
      <c r="B13" s="10" t="s">
        <v>77</v>
      </c>
      <c r="C13" s="10" t="s">
        <v>78</v>
      </c>
      <c r="D13" s="10" t="s">
        <v>79</v>
      </c>
      <c r="E13" s="11">
        <v>398.0</v>
      </c>
      <c r="F13" s="10" t="s">
        <v>30</v>
      </c>
      <c r="G13" s="10" t="s">
        <v>14</v>
      </c>
      <c r="H13" s="31"/>
      <c r="I13" s="31"/>
    </row>
    <row r="14">
      <c r="A14" s="9">
        <v>44510.0</v>
      </c>
      <c r="B14" s="10" t="s">
        <v>80</v>
      </c>
      <c r="C14" s="10" t="s">
        <v>81</v>
      </c>
      <c r="D14" s="10" t="s">
        <v>82</v>
      </c>
      <c r="E14" s="11">
        <v>206.0</v>
      </c>
      <c r="F14" s="10" t="s">
        <v>13</v>
      </c>
      <c r="G14" s="10" t="s">
        <v>14</v>
      </c>
      <c r="H14" s="38" t="s">
        <v>83</v>
      </c>
      <c r="I14" s="41">
        <f>I8/I12</f>
        <v>0.003796507213</v>
      </c>
    </row>
    <row r="15">
      <c r="A15" s="9">
        <v>44510.0</v>
      </c>
      <c r="B15" s="10" t="s">
        <v>85</v>
      </c>
      <c r="C15" s="10" t="s">
        <v>86</v>
      </c>
      <c r="D15" s="10" t="s">
        <v>87</v>
      </c>
      <c r="E15" s="11">
        <v>234.0</v>
      </c>
      <c r="F15" s="10" t="s">
        <v>30</v>
      </c>
      <c r="G15" s="10" t="s">
        <v>14</v>
      </c>
      <c r="H15" s="31"/>
      <c r="I15" s="31"/>
    </row>
    <row r="16">
      <c r="A16" s="9">
        <v>44540.0</v>
      </c>
      <c r="B16" s="10" t="s">
        <v>88</v>
      </c>
      <c r="C16" s="10" t="s">
        <v>89</v>
      </c>
      <c r="D16" s="10" t="s">
        <v>90</v>
      </c>
      <c r="E16" s="11">
        <v>263.0</v>
      </c>
      <c r="F16" s="42" t="s">
        <v>13</v>
      </c>
      <c r="G16" s="10" t="s">
        <v>91</v>
      </c>
      <c r="H16" s="31"/>
      <c r="I16" s="31"/>
    </row>
    <row r="17">
      <c r="A17" s="9">
        <v>44540.0</v>
      </c>
      <c r="B17" s="10" t="s">
        <v>92</v>
      </c>
      <c r="C17" s="10" t="s">
        <v>93</v>
      </c>
      <c r="D17" s="10" t="s">
        <v>94</v>
      </c>
      <c r="E17" s="11">
        <v>275.0</v>
      </c>
      <c r="F17" s="10" t="s">
        <v>13</v>
      </c>
      <c r="G17" s="10" t="s">
        <v>14</v>
      </c>
      <c r="H17" s="31"/>
      <c r="I17" s="31"/>
    </row>
    <row r="18">
      <c r="A18" s="9" t="s">
        <v>95</v>
      </c>
      <c r="B18" s="10" t="s">
        <v>96</v>
      </c>
      <c r="C18" s="10" t="s">
        <v>97</v>
      </c>
      <c r="D18" s="10" t="s">
        <v>99</v>
      </c>
      <c r="E18" s="11">
        <v>265.0</v>
      </c>
      <c r="F18" s="10" t="s">
        <v>13</v>
      </c>
      <c r="G18" s="10" t="s">
        <v>14</v>
      </c>
      <c r="H18" s="31"/>
      <c r="I18" s="31"/>
    </row>
    <row r="19">
      <c r="A19" s="9" t="s">
        <v>95</v>
      </c>
      <c r="B19" s="10" t="s">
        <v>100</v>
      </c>
      <c r="C19" s="10" t="s">
        <v>101</v>
      </c>
      <c r="D19" s="10" t="s">
        <v>102</v>
      </c>
      <c r="E19" s="11">
        <v>108.0</v>
      </c>
      <c r="F19" s="10" t="s">
        <v>13</v>
      </c>
      <c r="G19" s="10" t="s">
        <v>103</v>
      </c>
      <c r="H19" s="31"/>
      <c r="I19" s="31"/>
    </row>
    <row r="20">
      <c r="A20" s="43" t="s">
        <v>95</v>
      </c>
      <c r="B20" s="10" t="s">
        <v>104</v>
      </c>
      <c r="C20" s="10" t="s">
        <v>105</v>
      </c>
      <c r="D20" s="10" t="s">
        <v>106</v>
      </c>
      <c r="E20" s="11">
        <v>287.0</v>
      </c>
      <c r="F20" s="44" t="s">
        <v>107</v>
      </c>
      <c r="G20" s="10" t="s">
        <v>14</v>
      </c>
      <c r="H20" s="31"/>
      <c r="I20" s="31"/>
    </row>
    <row r="21">
      <c r="A21" s="43" t="s">
        <v>108</v>
      </c>
      <c r="B21" s="10" t="s">
        <v>109</v>
      </c>
      <c r="C21" s="10" t="s">
        <v>110</v>
      </c>
      <c r="D21" s="10" t="s">
        <v>111</v>
      </c>
      <c r="E21" s="11">
        <v>523.0</v>
      </c>
      <c r="F21" s="10" t="s">
        <v>30</v>
      </c>
      <c r="G21" s="10" t="s">
        <v>14</v>
      </c>
      <c r="H21" s="31"/>
      <c r="I21" s="31"/>
    </row>
  </sheetData>
  <conditionalFormatting sqref="J2:J7">
    <cfRule type="colorScale" priority="1">
      <colorScale>
        <cfvo type="min"/>
        <cfvo type="max"/>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62" t="s">
        <v>128</v>
      </c>
    </row>
    <row r="2">
      <c r="C2" s="24" t="s">
        <v>129</v>
      </c>
      <c r="D2" s="24" t="s">
        <v>130</v>
      </c>
    </row>
    <row r="3">
      <c r="A3" s="63">
        <v>44470.0</v>
      </c>
      <c r="C3" s="24">
        <v>1164.89</v>
      </c>
      <c r="D3" s="28">
        <f>IFERROR(__xludf.DUMMYFUNCTION("GOOGLEFINANCE(""CURRENCY:EURUSD"")*C3"),1344.0733797999999)</f>
        <v>1344.07338</v>
      </c>
      <c r="F3" s="24" t="s">
        <v>131</v>
      </c>
      <c r="G3" s="24" t="s">
        <v>132</v>
      </c>
    </row>
    <row r="4">
      <c r="A4" s="63">
        <v>44471.0</v>
      </c>
      <c r="C4" s="24">
        <v>1703.41</v>
      </c>
      <c r="D4" s="28">
        <f>IFERROR(__xludf.DUMMYFUNCTION("GOOGLEFINANCE(""CURRENCY:EURUSD"")*C4"),1965.4285261999999)</f>
        <v>1965.428526</v>
      </c>
      <c r="F4" s="65">
        <v>44482.0</v>
      </c>
      <c r="G4" s="66">
        <v>9169.0</v>
      </c>
      <c r="J4" s="24"/>
    </row>
    <row r="5">
      <c r="A5" s="63">
        <v>44472.0</v>
      </c>
      <c r="C5" s="24">
        <v>2018.51</v>
      </c>
      <c r="D5" s="28">
        <f>IFERROR(__xludf.DUMMYFUNCTION("GOOGLEFINANCE(""CURRENCY:EURUSD"")*C5"),2328.9972081999995)</f>
        <v>2328.997208</v>
      </c>
      <c r="G5" s="65"/>
    </row>
    <row r="6">
      <c r="A6" s="63">
        <v>44473.0</v>
      </c>
      <c r="C6" s="24">
        <v>1487.1</v>
      </c>
      <c r="D6" s="28">
        <f>IFERROR(__xludf.DUMMYFUNCTION("GOOGLEFINANCE(""CURRENCY:EURUSD"")*C6"),1715.8457219999996)</f>
        <v>1715.845722</v>
      </c>
    </row>
    <row r="7">
      <c r="A7" s="63">
        <v>44474.0</v>
      </c>
      <c r="C7" s="24">
        <v>1814.21</v>
      </c>
      <c r="D7" s="28">
        <f>IFERROR(__xludf.DUMMYFUNCTION("GOOGLEFINANCE(""CURRENCY:EURUSD"")*C7"),2093.2717822)</f>
        <v>2093.271782</v>
      </c>
    </row>
    <row r="8">
      <c r="A8" s="63">
        <v>44475.0</v>
      </c>
      <c r="C8" s="24">
        <v>1327.97</v>
      </c>
      <c r="D8" s="28">
        <f>IFERROR(__xludf.DUMMYFUNCTION("GOOGLEFINANCE(""CURRENCY:EURUSD"")*C8"),1532.2383453999998)</f>
        <v>1532.238345</v>
      </c>
    </row>
    <row r="9">
      <c r="A9" s="63">
        <v>44476.0</v>
      </c>
      <c r="C9" s="24">
        <v>1022.24</v>
      </c>
      <c r="D9" s="28">
        <f>IFERROR(__xludf.DUMMYFUNCTION("GOOGLEFINANCE(""CURRENCY:EURUSD"")*C9"),1179.4809567999998)</f>
        <v>1179.480957</v>
      </c>
    </row>
    <row r="10">
      <c r="A10" s="63">
        <v>44477.0</v>
      </c>
      <c r="C10" s="24">
        <v>1286.49</v>
      </c>
      <c r="D10" s="28">
        <f>IFERROR(__xludf.DUMMYFUNCTION("GOOGLEFINANCE(""CURRENCY:EURUSD"")*C10"),1484.3778917999998)</f>
        <v>1484.377892</v>
      </c>
      <c r="J10" s="31"/>
      <c r="K10" s="31"/>
      <c r="L10" s="31" t="s">
        <v>133</v>
      </c>
      <c r="M10" s="31" t="s">
        <v>71</v>
      </c>
      <c r="N10" s="31" t="s">
        <v>134</v>
      </c>
      <c r="P10" s="31"/>
      <c r="Q10" s="31"/>
      <c r="R10" s="70" t="s">
        <v>135</v>
      </c>
      <c r="S10" s="31" t="s">
        <v>71</v>
      </c>
      <c r="T10" s="31" t="s">
        <v>134</v>
      </c>
    </row>
    <row r="11">
      <c r="A11" s="63">
        <v>44478.0</v>
      </c>
      <c r="C11" s="24">
        <v>1509.93</v>
      </c>
      <c r="D11" s="28">
        <f>IFERROR(__xludf.DUMMYFUNCTION("GOOGLEFINANCE(""CURRENCY:EURUSD"")*C11"),1742.1874325999997)</f>
        <v>1742.187433</v>
      </c>
      <c r="J11" s="72">
        <v>44378.0</v>
      </c>
      <c r="K11" s="74" t="s">
        <v>14</v>
      </c>
      <c r="L11" s="76">
        <v>0.007</v>
      </c>
      <c r="M11" s="77">
        <v>118.0</v>
      </c>
      <c r="N11" s="78">
        <f>IFERROR(__xludf.DUMMYFUNCTION("AVERAGE.WEIGHTED(L11:L12,M11:M12)"),0.007183870967741935)</f>
        <v>0.007183870968</v>
      </c>
      <c r="P11" s="72">
        <v>44378.0</v>
      </c>
      <c r="Q11" s="74" t="s">
        <v>14</v>
      </c>
      <c r="R11" s="79">
        <v>276.0169491525424</v>
      </c>
      <c r="S11" s="77">
        <v>118.0</v>
      </c>
      <c r="T11" s="81">
        <f>IFERROR(__xludf.DUMMYFUNCTION("AVERAGE.WEIGHTED(R11:R12,S11:S12)"),274.7096774193549)</f>
        <v>274.7096774</v>
      </c>
      <c r="V11" s="82">
        <v>249.0</v>
      </c>
      <c r="X11" s="24">
        <v>118.0</v>
      </c>
    </row>
    <row r="12">
      <c r="A12" s="63">
        <v>44479.0</v>
      </c>
      <c r="C12" s="24">
        <v>1468.62</v>
      </c>
      <c r="D12" s="28">
        <f>IFERROR(__xludf.DUMMYFUNCTION("GOOGLEFINANCE(""CURRENCY:EURUSD"")*C12"),1694.5231283999997)</f>
        <v>1694.523128</v>
      </c>
      <c r="K12" s="31" t="s">
        <v>119</v>
      </c>
      <c r="L12" s="83">
        <v>0.0108</v>
      </c>
      <c r="M12" s="84">
        <v>6.0</v>
      </c>
      <c r="Q12" s="31" t="s">
        <v>119</v>
      </c>
      <c r="R12" s="85">
        <v>249.0</v>
      </c>
      <c r="S12" s="84">
        <v>6.0</v>
      </c>
      <c r="V12" s="82">
        <v>270.5</v>
      </c>
      <c r="X12" s="24">
        <v>140.0</v>
      </c>
    </row>
    <row r="13">
      <c r="A13" s="63">
        <v>44480.0</v>
      </c>
      <c r="C13" s="24">
        <v>1387.67</v>
      </c>
      <c r="D13" s="28">
        <f>IFERROR(__xludf.DUMMYFUNCTION("GOOGLEFINANCE(""CURRENCY:EURUSD"")*C13"),1601.1213994)</f>
        <v>1601.121399</v>
      </c>
      <c r="J13" s="72">
        <v>44379.0</v>
      </c>
      <c r="K13" s="74" t="s">
        <v>14</v>
      </c>
      <c r="L13" s="76">
        <v>0.0079</v>
      </c>
      <c r="M13" s="77">
        <v>140.0</v>
      </c>
      <c r="N13" s="78">
        <f>IFERROR(__xludf.DUMMYFUNCTION("AVERAGE.WEIGHTED(L13:L14,M13:M14)"),0.008224324324324324)</f>
        <v>0.008224324324</v>
      </c>
      <c r="P13" s="72">
        <v>44379.0</v>
      </c>
      <c r="Q13" s="74" t="s">
        <v>14</v>
      </c>
      <c r="R13" s="79">
        <v>261.22857142857146</v>
      </c>
      <c r="S13" s="77">
        <v>140.0</v>
      </c>
      <c r="T13" s="81">
        <f>IFERROR(__xludf.DUMMYFUNCTION("AVERAGE.WEIGHTED(R13:R14,S13:S14)"),261.72972972972974)</f>
        <v>261.7297297</v>
      </c>
      <c r="V13" s="82">
        <v>236.23076923076923</v>
      </c>
      <c r="X13" s="24">
        <v>126.0</v>
      </c>
    </row>
    <row r="14">
      <c r="A14" s="63">
        <v>44481.0</v>
      </c>
      <c r="C14" s="24">
        <v>1691.91</v>
      </c>
      <c r="D14" s="28">
        <f>IFERROR(__xludf.DUMMYFUNCTION("GOOGLEFINANCE(""CURRENCY:EURUSD"")*C14"),1952.1595962)</f>
        <v>1952.159596</v>
      </c>
      <c r="K14" s="31" t="s">
        <v>119</v>
      </c>
      <c r="L14" s="83">
        <v>0.0139</v>
      </c>
      <c r="M14" s="84">
        <v>8.0</v>
      </c>
      <c r="Q14" s="31" t="s">
        <v>119</v>
      </c>
      <c r="R14" s="85">
        <v>270.5</v>
      </c>
      <c r="S14" s="84">
        <v>8.0</v>
      </c>
      <c r="V14" s="82">
        <v>272.22222222222223</v>
      </c>
      <c r="X14" s="24">
        <v>121.0</v>
      </c>
    </row>
    <row r="15">
      <c r="A15" s="63">
        <v>44482.0</v>
      </c>
      <c r="C15" s="24">
        <v>1506.35</v>
      </c>
      <c r="D15" s="28">
        <f>IFERROR(__xludf.DUMMYFUNCTION("GOOGLEFINANCE(""CURRENCY:EURUSD"")*C15"),1738.0567569999996)</f>
        <v>1738.056757</v>
      </c>
      <c r="J15" s="72">
        <v>44380.0</v>
      </c>
      <c r="K15" s="74" t="s">
        <v>14</v>
      </c>
      <c r="L15" s="76">
        <v>0.0069</v>
      </c>
      <c r="M15" s="77">
        <v>126.0</v>
      </c>
      <c r="N15" s="78">
        <f>IFERROR(__xludf.DUMMYFUNCTION("AVERAGE.WEIGHTED(L15:L16,M15:M16)"),0.008190647482014389)</f>
        <v>0.008190647482</v>
      </c>
      <c r="P15" s="72">
        <v>44380.0</v>
      </c>
      <c r="Q15" s="74" t="s">
        <v>14</v>
      </c>
      <c r="R15" s="79">
        <v>279.73809523809524</v>
      </c>
      <c r="S15" s="77">
        <v>126.0</v>
      </c>
      <c r="T15" s="81">
        <f>IFERROR(__xludf.DUMMYFUNCTION("AVERAGE.WEIGHTED(R15:R16,S15:S16)"),275.66906474820144)</f>
        <v>275.6690647</v>
      </c>
      <c r="V15" s="82">
        <v>217.54545454545453</v>
      </c>
      <c r="X15" s="24">
        <v>113.0</v>
      </c>
    </row>
    <row r="16">
      <c r="A16" s="63">
        <v>44483.0</v>
      </c>
      <c r="D16" s="28">
        <f>IFERROR(__xludf.DUMMYFUNCTION("GOOGLEFINANCE(""CURRENCY:EURUSD"")*C16"),0.0)</f>
        <v>0</v>
      </c>
      <c r="K16" s="31" t="s">
        <v>119</v>
      </c>
      <c r="L16" s="83">
        <v>0.0207</v>
      </c>
      <c r="M16" s="84">
        <v>13.0</v>
      </c>
      <c r="Q16" s="31" t="s">
        <v>119</v>
      </c>
      <c r="R16" s="85">
        <v>236.23076923076923</v>
      </c>
      <c r="S16" s="84">
        <v>13.0</v>
      </c>
      <c r="V16" s="82">
        <v>267.0</v>
      </c>
      <c r="X16" s="24">
        <v>104.0</v>
      </c>
    </row>
    <row r="17">
      <c r="A17" s="63">
        <v>44484.0</v>
      </c>
      <c r="D17" s="28">
        <f>IFERROR(__xludf.DUMMYFUNCTION("GOOGLEFINANCE(""CURRENCY:EURUSD"")*C17"),0.0)</f>
        <v>0</v>
      </c>
      <c r="J17" s="72">
        <v>44381.0</v>
      </c>
      <c r="K17" s="74" t="s">
        <v>14</v>
      </c>
      <c r="L17" s="76">
        <v>0.0061</v>
      </c>
      <c r="M17" s="77">
        <v>121.0</v>
      </c>
      <c r="N17" s="78">
        <f>IFERROR(__xludf.DUMMYFUNCTION("AVERAGE.WEIGHTED(L17:L18,M17:M18)"),0.006556923076923077)</f>
        <v>0.006556923077</v>
      </c>
      <c r="P17" s="72">
        <v>44381.0</v>
      </c>
      <c r="Q17" s="74" t="s">
        <v>14</v>
      </c>
      <c r="R17" s="79">
        <v>264.02479338842977</v>
      </c>
      <c r="S17" s="77">
        <v>121.0</v>
      </c>
      <c r="T17" s="81">
        <f>IFERROR(__xludf.DUMMYFUNCTION("AVERAGE.WEIGHTED(R17:R18,S17:S18)"),264.5923076923077)</f>
        <v>264.5923077</v>
      </c>
      <c r="V17" s="82">
        <v>246.33333333333334</v>
      </c>
      <c r="X17" s="24">
        <v>64.0</v>
      </c>
    </row>
    <row r="18">
      <c r="A18" s="63">
        <v>44485.0</v>
      </c>
      <c r="D18" s="28">
        <f>IFERROR(__xludf.DUMMYFUNCTION("GOOGLEFINANCE(""CURRENCY:EURUSD"")*C18"),0.0)</f>
        <v>0</v>
      </c>
      <c r="K18" s="31" t="s">
        <v>119</v>
      </c>
      <c r="L18" s="83">
        <v>0.0127</v>
      </c>
      <c r="M18" s="84">
        <v>9.0</v>
      </c>
      <c r="Q18" s="31" t="s">
        <v>119</v>
      </c>
      <c r="R18" s="85">
        <v>272.22222222222223</v>
      </c>
      <c r="S18" s="84">
        <v>9.0</v>
      </c>
      <c r="V18" s="82">
        <v>207.5</v>
      </c>
      <c r="X18" s="24">
        <v>85.0</v>
      </c>
    </row>
    <row r="19">
      <c r="A19" s="63">
        <v>44486.0</v>
      </c>
      <c r="D19" s="28">
        <f>IFERROR(__xludf.DUMMYFUNCTION("GOOGLEFINANCE(""CURRENCY:EURUSD"")*C19"),0.0)</f>
        <v>0</v>
      </c>
      <c r="J19" s="72">
        <v>44382.0</v>
      </c>
      <c r="K19" s="74" t="s">
        <v>14</v>
      </c>
      <c r="L19" s="76">
        <v>0.0059</v>
      </c>
      <c r="M19" s="77">
        <v>113.0</v>
      </c>
      <c r="N19" s="78">
        <f>IFERROR(__xludf.DUMMYFUNCTION("AVERAGE.WEIGHTED(L19:L20,M19:M20)"),0.006787096774193548)</f>
        <v>0.006787096774</v>
      </c>
      <c r="P19" s="72">
        <v>44382.0</v>
      </c>
      <c r="Q19" s="74" t="s">
        <v>14</v>
      </c>
      <c r="R19" s="79">
        <v>278.8053097345133</v>
      </c>
      <c r="S19" s="77">
        <v>113.0</v>
      </c>
      <c r="T19" s="81">
        <f>IFERROR(__xludf.DUMMYFUNCTION("AVERAGE.WEIGHTED(R19:R20,S19:S20)"),273.3709677419355)</f>
        <v>273.3709677</v>
      </c>
      <c r="V19" s="82">
        <v>215.8</v>
      </c>
      <c r="X19" s="24">
        <v>111.0</v>
      </c>
    </row>
    <row r="20">
      <c r="A20" s="63">
        <v>44487.0</v>
      </c>
      <c r="D20" s="28">
        <f>IFERROR(__xludf.DUMMYFUNCTION("GOOGLEFINANCE(""CURRENCY:EURUSD"")*C20"),0.0)</f>
        <v>0</v>
      </c>
      <c r="K20" s="31" t="s">
        <v>119</v>
      </c>
      <c r="L20" s="83">
        <v>0.0159</v>
      </c>
      <c r="M20" s="84">
        <v>11.0</v>
      </c>
      <c r="Q20" s="31" t="s">
        <v>119</v>
      </c>
      <c r="R20" s="85">
        <v>217.54545454545453</v>
      </c>
      <c r="S20" s="84">
        <v>11.0</v>
      </c>
      <c r="V20" s="82">
        <v>252.0</v>
      </c>
      <c r="X20" s="24">
        <v>125.0</v>
      </c>
    </row>
    <row r="21">
      <c r="A21" s="63">
        <v>44488.0</v>
      </c>
      <c r="D21" s="28">
        <f>IFERROR(__xludf.DUMMYFUNCTION("GOOGLEFINANCE(""CURRENCY:EURUSD"")*C21"),0.0)</f>
        <v>0</v>
      </c>
      <c r="J21" s="72">
        <v>44383.0</v>
      </c>
      <c r="K21" s="74" t="s">
        <v>14</v>
      </c>
      <c r="L21" s="76">
        <v>0.0059</v>
      </c>
      <c r="M21" s="77">
        <v>104.0</v>
      </c>
      <c r="N21" s="78">
        <f>IFERROR(__xludf.DUMMYFUNCTION("AVERAGE.WEIGHTED(L21:L22,M21:M22)"),0.007207017543859649)</f>
        <v>0.007207017544</v>
      </c>
      <c r="P21" s="72">
        <v>44383.0</v>
      </c>
      <c r="Q21" s="74" t="s">
        <v>14</v>
      </c>
      <c r="R21" s="79">
        <v>269.6826923076923</v>
      </c>
      <c r="S21" s="77">
        <v>104.0</v>
      </c>
      <c r="T21" s="81">
        <f>IFERROR(__xludf.DUMMYFUNCTION("AVERAGE.WEIGHTED(R21:R22,S21:S22)"),269.44736842105266)</f>
        <v>269.4473684</v>
      </c>
      <c r="V21" s="82">
        <v>297.8888888888889</v>
      </c>
      <c r="X21" s="24">
        <v>116.0</v>
      </c>
    </row>
    <row r="22">
      <c r="A22" s="63">
        <v>44489.0</v>
      </c>
      <c r="D22" s="28">
        <f>IFERROR(__xludf.DUMMYFUNCTION("GOOGLEFINANCE(""CURRENCY:EURUSD"")*C22"),0.0)</f>
        <v>0</v>
      </c>
      <c r="K22" s="31" t="s">
        <v>119</v>
      </c>
      <c r="L22" s="83">
        <v>0.0208</v>
      </c>
      <c r="M22" s="84">
        <v>10.0</v>
      </c>
      <c r="Q22" s="31" t="s">
        <v>119</v>
      </c>
      <c r="R22" s="85">
        <v>267.0</v>
      </c>
      <c r="S22" s="84">
        <v>10.0</v>
      </c>
      <c r="V22" s="82">
        <v>304.5</v>
      </c>
      <c r="X22" s="24">
        <v>124.0</v>
      </c>
    </row>
    <row r="23">
      <c r="A23" s="63">
        <v>44490.0</v>
      </c>
      <c r="D23" s="28">
        <f>IFERROR(__xludf.DUMMYFUNCTION("GOOGLEFINANCE(""CURRENCY:EURUSD"")*C23"),0.0)</f>
        <v>0</v>
      </c>
      <c r="J23" s="72">
        <v>44384.0</v>
      </c>
      <c r="K23" s="74" t="s">
        <v>14</v>
      </c>
      <c r="L23" s="76">
        <v>0.004</v>
      </c>
      <c r="M23" s="77">
        <v>64.0</v>
      </c>
      <c r="N23" s="78">
        <f>IFERROR(__xludf.DUMMYFUNCTION("AVERAGE.WEIGHTED(L23:L24,M23:M24)"),0.004179104477611941)</f>
        <v>0.004179104478</v>
      </c>
      <c r="P23" s="72">
        <v>44384.0</v>
      </c>
      <c r="Q23" s="74" t="s">
        <v>14</v>
      </c>
      <c r="R23" s="79">
        <v>286.25</v>
      </c>
      <c r="S23" s="77">
        <v>64.0</v>
      </c>
      <c r="T23" s="81">
        <f>IFERROR(__xludf.DUMMYFUNCTION("AVERAGE.WEIGHTED(R23:R24,S23:S24)"),284.46268656716416)</f>
        <v>284.4626866</v>
      </c>
      <c r="V23" s="82">
        <v>275.5</v>
      </c>
      <c r="X23" s="24">
        <v>123.0</v>
      </c>
    </row>
    <row r="24">
      <c r="A24" s="63">
        <v>44491.0</v>
      </c>
      <c r="D24" s="28">
        <f>IFERROR(__xludf.DUMMYFUNCTION("GOOGLEFINANCE(""CURRENCY:EURUSD"")*C24"),0.0)</f>
        <v>0</v>
      </c>
      <c r="K24" s="31" t="s">
        <v>119</v>
      </c>
      <c r="L24" s="83">
        <v>0.008</v>
      </c>
      <c r="M24" s="84">
        <v>3.0</v>
      </c>
      <c r="Q24" s="31" t="s">
        <v>119</v>
      </c>
      <c r="R24" s="85">
        <v>246.33333333333334</v>
      </c>
      <c r="S24" s="84">
        <v>3.0</v>
      </c>
      <c r="V24" s="82">
        <v>247.75</v>
      </c>
      <c r="X24" s="24">
        <v>111.0</v>
      </c>
    </row>
    <row r="25">
      <c r="A25" s="63">
        <v>44492.0</v>
      </c>
      <c r="D25" s="28">
        <f>IFERROR(__xludf.DUMMYFUNCTION("GOOGLEFINANCE(""CURRENCY:EURUSD"")*C25"),0.0)</f>
        <v>0</v>
      </c>
      <c r="J25" s="72">
        <v>44385.0</v>
      </c>
      <c r="K25" s="74" t="s">
        <v>14</v>
      </c>
      <c r="L25" s="76">
        <v>0.0068</v>
      </c>
      <c r="M25" s="77">
        <v>85.0</v>
      </c>
      <c r="N25" s="78">
        <f>IFERROR(__xludf.DUMMYFUNCTION("AVERAGE.WEIGHTED(L25:L26,M25:M26)"),0.006930337078651685)</f>
        <v>0.006930337079</v>
      </c>
      <c r="P25" s="72">
        <v>44385.0</v>
      </c>
      <c r="Q25" s="74" t="s">
        <v>14</v>
      </c>
      <c r="R25" s="79">
        <v>277.01176470588234</v>
      </c>
      <c r="S25" s="77">
        <v>85.0</v>
      </c>
      <c r="T25" s="81">
        <f>IFERROR(__xludf.DUMMYFUNCTION("AVERAGE.WEIGHTED(R25:R26,S25:S26)"),273.8876404494382)</f>
        <v>273.8876404</v>
      </c>
      <c r="V25" s="82">
        <v>341.8</v>
      </c>
      <c r="X25" s="24">
        <v>135.0</v>
      </c>
    </row>
    <row r="26">
      <c r="A26" s="63">
        <v>44493.0</v>
      </c>
      <c r="D26" s="28">
        <f>IFERROR(__xludf.DUMMYFUNCTION("GOOGLEFINANCE(""CURRENCY:EURUSD"")*C26"),0.0)</f>
        <v>0</v>
      </c>
      <c r="K26" s="31" t="s">
        <v>119</v>
      </c>
      <c r="L26" s="83">
        <v>0.0097</v>
      </c>
      <c r="M26" s="84">
        <v>4.0</v>
      </c>
      <c r="Q26" s="31" t="s">
        <v>119</v>
      </c>
      <c r="R26" s="85">
        <v>207.5</v>
      </c>
      <c r="S26" s="84">
        <v>4.0</v>
      </c>
      <c r="V26" s="82">
        <v>258.14285714285717</v>
      </c>
      <c r="X26" s="24">
        <v>207.0</v>
      </c>
    </row>
    <row r="27">
      <c r="A27" s="63">
        <v>44494.0</v>
      </c>
      <c r="D27" s="28">
        <f>IFERROR(__xludf.DUMMYFUNCTION("GOOGLEFINANCE(""CURRENCY:EURUSD"")*C27"),0.0)</f>
        <v>0</v>
      </c>
      <c r="J27" s="72">
        <v>44386.0</v>
      </c>
      <c r="K27" s="74" t="s">
        <v>14</v>
      </c>
      <c r="L27" s="76">
        <v>0.0076</v>
      </c>
      <c r="M27" s="77">
        <v>111.0</v>
      </c>
      <c r="N27" s="78">
        <f>IFERROR(__xludf.DUMMYFUNCTION("AVERAGE.WEIGHTED(L27:L28,M27:M28)"),0.00790603448275862)</f>
        <v>0.007906034483</v>
      </c>
      <c r="P27" s="72">
        <v>44386.0</v>
      </c>
      <c r="Q27" s="74" t="s">
        <v>14</v>
      </c>
      <c r="R27" s="79">
        <v>269.77477477477476</v>
      </c>
      <c r="S27" s="77">
        <v>111.0</v>
      </c>
      <c r="T27" s="81">
        <f>IFERROR(__xludf.DUMMYFUNCTION("AVERAGE.WEIGHTED(R27:R28,S27:S28)"),267.44827586206895)</f>
        <v>267.4482759</v>
      </c>
      <c r="V27" s="82">
        <v>315.5</v>
      </c>
      <c r="X27" s="24">
        <v>187.0</v>
      </c>
    </row>
    <row r="28">
      <c r="A28" s="63">
        <v>44495.0</v>
      </c>
      <c r="D28" s="28">
        <f>IFERROR(__xludf.DUMMYFUNCTION("GOOGLEFINANCE(""CURRENCY:EURUSD"")*C28"),0.0)</f>
        <v>0</v>
      </c>
      <c r="K28" s="31" t="s">
        <v>119</v>
      </c>
      <c r="L28" s="83">
        <v>0.0147</v>
      </c>
      <c r="M28" s="84">
        <v>5.0</v>
      </c>
      <c r="Q28" s="31" t="s">
        <v>119</v>
      </c>
      <c r="R28" s="85">
        <v>215.8</v>
      </c>
      <c r="S28" s="84">
        <v>5.0</v>
      </c>
      <c r="V28" s="82">
        <v>351.0</v>
      </c>
      <c r="X28" s="24">
        <v>233.0</v>
      </c>
    </row>
    <row r="29">
      <c r="A29" s="63">
        <v>44496.0</v>
      </c>
      <c r="D29" s="28">
        <f>IFERROR(__xludf.DUMMYFUNCTION("GOOGLEFINANCE(""CURRENCY:EURUSD"")*C29"),0.0)</f>
        <v>0</v>
      </c>
      <c r="J29" s="72">
        <v>44387.0</v>
      </c>
      <c r="K29" s="74" t="s">
        <v>14</v>
      </c>
      <c r="L29" s="76">
        <v>0.0078</v>
      </c>
      <c r="M29" s="77">
        <v>125.0</v>
      </c>
      <c r="N29" s="78">
        <f>IFERROR(__xludf.DUMMYFUNCTION("AVERAGE.WEIGHTED(L29:L30,M29:M30)"),0.008111538461538462)</f>
        <v>0.008111538462</v>
      </c>
      <c r="P29" s="72">
        <v>44387.0</v>
      </c>
      <c r="Q29" s="74" t="s">
        <v>14</v>
      </c>
      <c r="R29" s="79">
        <v>280.096</v>
      </c>
      <c r="S29" s="77">
        <v>125.0</v>
      </c>
      <c r="T29" s="81">
        <f>IFERROR(__xludf.DUMMYFUNCTION("AVERAGE.WEIGHTED(R29:R30,S29:S30)"),279.0153846153846)</f>
        <v>279.0153846</v>
      </c>
      <c r="V29" s="82">
        <v>248.5</v>
      </c>
      <c r="X29" s="24">
        <v>249.0</v>
      </c>
    </row>
    <row r="30">
      <c r="A30" s="63">
        <v>44497.0</v>
      </c>
      <c r="D30" s="28">
        <f>IFERROR(__xludf.DUMMYFUNCTION("GOOGLEFINANCE(""CURRENCY:EURUSD"")*C30"),0.0)</f>
        <v>0</v>
      </c>
      <c r="K30" s="31" t="s">
        <v>119</v>
      </c>
      <c r="L30" s="83">
        <v>0.0159</v>
      </c>
      <c r="M30" s="84">
        <v>5.0</v>
      </c>
      <c r="Q30" s="31" t="s">
        <v>119</v>
      </c>
      <c r="R30" s="85">
        <v>252.0</v>
      </c>
      <c r="S30" s="84">
        <v>5.0</v>
      </c>
      <c r="V30" s="82">
        <v>274.0</v>
      </c>
      <c r="X30" s="24">
        <v>222.0</v>
      </c>
    </row>
    <row r="31">
      <c r="A31" s="63">
        <v>44498.0</v>
      </c>
      <c r="D31" s="28">
        <f>IFERROR(__xludf.DUMMYFUNCTION("GOOGLEFINANCE(""CURRENCY:EURUSD"")*C31"),0.0)</f>
        <v>0</v>
      </c>
      <c r="J31" s="72">
        <v>44388.0</v>
      </c>
      <c r="K31" s="74" t="s">
        <v>14</v>
      </c>
      <c r="L31" s="76">
        <v>0.0071</v>
      </c>
      <c r="M31" s="77">
        <v>116.0</v>
      </c>
      <c r="N31" s="78">
        <f>IFERROR(__xludf.DUMMYFUNCTION("AVERAGE.WEIGHTED(L31:L32,M31:M32)"),0.0085328)</f>
        <v>0.0085328</v>
      </c>
      <c r="P31" s="72">
        <v>44388.0</v>
      </c>
      <c r="Q31" s="74" t="s">
        <v>14</v>
      </c>
      <c r="R31" s="79">
        <v>278.62068965517244</v>
      </c>
      <c r="S31" s="77">
        <v>116.0</v>
      </c>
      <c r="T31" s="81">
        <f>IFERROR(__xludf.DUMMYFUNCTION("AVERAGE.WEIGHTED(R31:R32,S31:S32)"),280.00800000000004)</f>
        <v>280.008</v>
      </c>
      <c r="V31" s="82">
        <v>299.6666666666667</v>
      </c>
      <c r="X31" s="24">
        <v>193.0</v>
      </c>
    </row>
    <row r="32">
      <c r="A32" s="63">
        <v>44499.0</v>
      </c>
      <c r="D32" s="28">
        <f>IFERROR(__xludf.DUMMYFUNCTION("GOOGLEFINANCE(""CURRENCY:EURUSD"")*C32"),0.0)</f>
        <v>0</v>
      </c>
      <c r="K32" s="31" t="s">
        <v>119</v>
      </c>
      <c r="L32" s="83">
        <v>0.027</v>
      </c>
      <c r="M32" s="84">
        <v>9.0</v>
      </c>
      <c r="Q32" s="31" t="s">
        <v>119</v>
      </c>
      <c r="R32" s="85">
        <v>297.8888888888889</v>
      </c>
      <c r="S32" s="84">
        <v>9.0</v>
      </c>
      <c r="V32" s="82">
        <v>215.0</v>
      </c>
      <c r="X32" s="24">
        <v>238.0</v>
      </c>
    </row>
    <row r="33">
      <c r="A33" s="63">
        <v>44500.0</v>
      </c>
      <c r="D33" s="28">
        <f>IFERROR(__xludf.DUMMYFUNCTION("GOOGLEFINANCE(""CURRENCY:EURUSD"")*C33"),0.0)</f>
        <v>0</v>
      </c>
      <c r="J33" s="72">
        <v>44389.0</v>
      </c>
      <c r="K33" s="74" t="s">
        <v>14</v>
      </c>
      <c r="L33" s="76">
        <v>0.0078</v>
      </c>
      <c r="M33" s="77">
        <v>124.0</v>
      </c>
      <c r="N33" s="78">
        <f>IFERROR(__xludf.DUMMYFUNCTION("AVERAGE.WEIGHTED(L33:L34,M33:M34)"),0.008715151515151514)</f>
        <v>0.008715151515</v>
      </c>
      <c r="P33" s="72">
        <v>44389.0</v>
      </c>
      <c r="Q33" s="74" t="s">
        <v>14</v>
      </c>
      <c r="R33" s="79">
        <v>286.2016129032258</v>
      </c>
      <c r="S33" s="77">
        <v>124.0</v>
      </c>
      <c r="T33" s="81">
        <f>IFERROR(__xludf.DUMMYFUNCTION("AVERAGE.WEIGHTED(R33:R34,S33:S34)"),287.31060606060606)</f>
        <v>287.3106061</v>
      </c>
      <c r="V33" s="82">
        <v>239.25</v>
      </c>
      <c r="X33" s="24">
        <v>246.0</v>
      </c>
    </row>
    <row r="34">
      <c r="K34" s="31" t="s">
        <v>119</v>
      </c>
      <c r="L34" s="83">
        <v>0.0229</v>
      </c>
      <c r="M34" s="84">
        <v>8.0</v>
      </c>
      <c r="Q34" s="31" t="s">
        <v>119</v>
      </c>
      <c r="R34" s="85">
        <v>304.5</v>
      </c>
      <c r="S34" s="84">
        <v>8.0</v>
      </c>
      <c r="V34" s="82" t="e">
        <v>#VALUE!</v>
      </c>
      <c r="X34" s="24">
        <v>268.0</v>
      </c>
    </row>
    <row r="35">
      <c r="J35" s="72">
        <v>44390.0</v>
      </c>
      <c r="K35" s="74" t="s">
        <v>14</v>
      </c>
      <c r="L35" s="76">
        <v>0.0082</v>
      </c>
      <c r="M35" s="77">
        <v>123.0</v>
      </c>
      <c r="N35" s="78">
        <f>IFERROR(__xludf.DUMMYFUNCTION("AVERAGE.WEIGHTED(L35:L36,M35:M36)"),0.008576744186046512)</f>
        <v>0.008576744186</v>
      </c>
      <c r="P35" s="72">
        <v>44390.0</v>
      </c>
      <c r="Q35" s="74" t="s">
        <v>14</v>
      </c>
      <c r="R35" s="79">
        <v>260.8861788617886</v>
      </c>
      <c r="S35" s="77">
        <v>123.0</v>
      </c>
      <c r="T35" s="81">
        <f>IFERROR(__xludf.DUMMYFUNCTION("AVERAGE.WEIGHTED(R35:R36,S35:S36)"),261.5658914728682)</f>
        <v>261.5658915</v>
      </c>
      <c r="V35" s="82">
        <v>240.0</v>
      </c>
      <c r="X35" s="24">
        <v>272.0</v>
      </c>
    </row>
    <row r="36">
      <c r="K36" s="31" t="s">
        <v>119</v>
      </c>
      <c r="L36" s="83">
        <v>0.0163</v>
      </c>
      <c r="M36" s="84">
        <v>6.0</v>
      </c>
      <c r="Q36" s="31" t="s">
        <v>119</v>
      </c>
      <c r="R36" s="85">
        <v>275.5</v>
      </c>
      <c r="S36" s="84">
        <v>6.0</v>
      </c>
      <c r="V36" s="82">
        <v>208.8</v>
      </c>
      <c r="X36" s="24">
        <v>304.0</v>
      </c>
    </row>
    <row r="37">
      <c r="J37" s="72">
        <v>44391.0</v>
      </c>
      <c r="K37" s="74" t="s">
        <v>14</v>
      </c>
      <c r="L37" s="76">
        <v>0.0071</v>
      </c>
      <c r="M37" s="77">
        <v>111.0</v>
      </c>
      <c r="N37" s="78">
        <f>IFERROR(__xludf.DUMMYFUNCTION("AVERAGE.WEIGHTED(L37:L38,M37:M38)"),0.007260000000000001)</f>
        <v>0.00726</v>
      </c>
      <c r="P37" s="72">
        <v>44391.0</v>
      </c>
      <c r="Q37" s="74" t="s">
        <v>14</v>
      </c>
      <c r="R37" s="79">
        <v>260.1261261261261</v>
      </c>
      <c r="S37" s="77">
        <v>111.0</v>
      </c>
      <c r="T37" s="81">
        <f>IFERROR(__xludf.DUMMYFUNCTION("AVERAGE.WEIGHTED(R37:R38,S37:S38)"),259.695652173913)</f>
        <v>259.6956522</v>
      </c>
      <c r="V37" s="82">
        <v>279.0</v>
      </c>
      <c r="X37" s="24">
        <v>386.0</v>
      </c>
    </row>
    <row r="38">
      <c r="K38" s="31" t="s">
        <v>119</v>
      </c>
      <c r="L38" s="83">
        <v>0.0117</v>
      </c>
      <c r="M38" s="84">
        <v>4.0</v>
      </c>
      <c r="Q38" s="31" t="s">
        <v>119</v>
      </c>
      <c r="R38" s="85">
        <v>247.75</v>
      </c>
      <c r="S38" s="84">
        <v>4.0</v>
      </c>
      <c r="V38" s="82">
        <v>248.5</v>
      </c>
      <c r="X38" s="24">
        <v>121.0</v>
      </c>
    </row>
    <row r="39">
      <c r="J39" s="72">
        <v>44392.0</v>
      </c>
      <c r="K39" s="74" t="s">
        <v>14</v>
      </c>
      <c r="L39" s="76">
        <v>0.0085</v>
      </c>
      <c r="M39" s="77">
        <v>135.0</v>
      </c>
      <c r="N39" s="78">
        <f>IFERROR(__xludf.DUMMYFUNCTION("AVERAGE.WEIGHTED(L39:L40,M39:M40)"),0.008403571428571429)</f>
        <v>0.008403571429</v>
      </c>
      <c r="P39" s="72">
        <v>44392.0</v>
      </c>
      <c r="Q39" s="74" t="s">
        <v>14</v>
      </c>
      <c r="R39" s="79">
        <v>269.22962962962964</v>
      </c>
      <c r="S39" s="77">
        <v>135.0</v>
      </c>
      <c r="T39" s="81">
        <f>IFERROR(__xludf.DUMMYFUNCTION("AVERAGE.WEIGHTED(R39:R40,S39:S40)"),271.82142857142856)</f>
        <v>271.8214286</v>
      </c>
      <c r="V39" s="82">
        <v>266.9230769230769</v>
      </c>
      <c r="X39" s="24">
        <v>90.0</v>
      </c>
    </row>
    <row r="40">
      <c r="K40" s="31" t="s">
        <v>119</v>
      </c>
      <c r="L40" s="83">
        <v>0.0058</v>
      </c>
      <c r="M40" s="84">
        <v>5.0</v>
      </c>
      <c r="Q40" s="31" t="s">
        <v>119</v>
      </c>
      <c r="R40" s="85">
        <v>341.8</v>
      </c>
      <c r="S40" s="84">
        <v>5.0</v>
      </c>
      <c r="V40" s="82">
        <v>211.69230769230768</v>
      </c>
      <c r="X40" s="24">
        <v>89.0</v>
      </c>
    </row>
    <row r="41">
      <c r="J41" s="72">
        <v>44393.0</v>
      </c>
      <c r="K41" s="74" t="s">
        <v>14</v>
      </c>
      <c r="L41" s="76">
        <v>0.012</v>
      </c>
      <c r="M41" s="77">
        <v>207.0</v>
      </c>
      <c r="N41" s="78">
        <f>IFERROR(__xludf.DUMMYFUNCTION("AVERAGE.WEIGHTED(L41:L42,M41:M42)"),0.012065420560747664)</f>
        <v>0.01206542056</v>
      </c>
      <c r="P41" s="72">
        <v>44393.0</v>
      </c>
      <c r="Q41" s="74" t="s">
        <v>14</v>
      </c>
      <c r="R41" s="79">
        <v>281.79227053140096</v>
      </c>
      <c r="S41" s="77">
        <v>207.0</v>
      </c>
      <c r="T41" s="81">
        <f>IFERROR(__xludf.DUMMYFUNCTION("AVERAGE.WEIGHTED(R41:R42,S41:S42)"),281.01869158878503)</f>
        <v>281.0186916</v>
      </c>
      <c r="V41" s="82">
        <v>210.76923076923077</v>
      </c>
      <c r="X41" s="24">
        <v>63.0</v>
      </c>
    </row>
    <row r="42">
      <c r="K42" s="31" t="s">
        <v>119</v>
      </c>
      <c r="L42" s="83">
        <v>0.014</v>
      </c>
      <c r="M42" s="84">
        <v>7.0</v>
      </c>
      <c r="Q42" s="31" t="s">
        <v>119</v>
      </c>
      <c r="R42" s="85">
        <v>258.14285714285717</v>
      </c>
      <c r="S42" s="84">
        <v>7.0</v>
      </c>
    </row>
    <row r="43">
      <c r="J43" s="72">
        <v>44394.0</v>
      </c>
      <c r="K43" s="74" t="s">
        <v>14</v>
      </c>
      <c r="L43" s="76">
        <v>0.01</v>
      </c>
      <c r="M43" s="77">
        <v>187.0</v>
      </c>
      <c r="N43" s="78">
        <f>IFERROR(__xludf.DUMMYFUNCTION("AVERAGE.WEIGHTED(L43:L44,M43:M44)"),0.01002931937172775)</f>
        <v>0.01002931937</v>
      </c>
      <c r="P43" s="72">
        <v>44394.0</v>
      </c>
      <c r="Q43" s="74" t="s">
        <v>14</v>
      </c>
      <c r="R43" s="79">
        <v>287.9197860962567</v>
      </c>
      <c r="S43" s="77">
        <v>187.0</v>
      </c>
      <c r="T43" s="81">
        <f>IFERROR(__xludf.DUMMYFUNCTION("AVERAGE.WEIGHTED(R43:R44,S43:S44)"),288.4973821989529)</f>
        <v>288.4973822</v>
      </c>
    </row>
    <row r="44">
      <c r="K44" s="31" t="s">
        <v>119</v>
      </c>
      <c r="L44" s="83">
        <v>0.0114</v>
      </c>
      <c r="M44" s="84">
        <v>4.0</v>
      </c>
      <c r="Q44" s="31" t="s">
        <v>119</v>
      </c>
      <c r="R44" s="85">
        <v>315.5</v>
      </c>
      <c r="S44" s="84">
        <v>4.0</v>
      </c>
    </row>
    <row r="45">
      <c r="J45" s="72">
        <v>44395.0</v>
      </c>
      <c r="K45" s="74" t="s">
        <v>14</v>
      </c>
      <c r="L45" s="76">
        <v>0.0107</v>
      </c>
      <c r="M45" s="77">
        <v>233.0</v>
      </c>
      <c r="N45" s="78">
        <f>IFERROR(__xludf.DUMMYFUNCTION("AVERAGE.WEIGHTED(L45:L46,M45:M46)"),0.010692372881355931)</f>
        <v>0.01069237288</v>
      </c>
      <c r="P45" s="72">
        <v>44395.0</v>
      </c>
      <c r="Q45" s="74" t="s">
        <v>14</v>
      </c>
      <c r="R45" s="79">
        <v>275.3519313304721</v>
      </c>
      <c r="S45" s="77">
        <v>233.0</v>
      </c>
      <c r="T45" s="81">
        <f>IFERROR(__xludf.DUMMYFUNCTION("AVERAGE.WEIGHTED(R45:R46,S45:S46)"),276.3135593220339)</f>
        <v>276.3135593</v>
      </c>
    </row>
    <row r="46">
      <c r="K46" s="31" t="s">
        <v>119</v>
      </c>
      <c r="L46" s="83">
        <v>0.0101</v>
      </c>
      <c r="M46" s="84">
        <v>3.0</v>
      </c>
      <c r="Q46" s="31" t="s">
        <v>119</v>
      </c>
      <c r="R46" s="85">
        <v>351.0</v>
      </c>
      <c r="S46" s="84">
        <v>3.0</v>
      </c>
    </row>
    <row r="47">
      <c r="J47" s="72">
        <v>44396.0</v>
      </c>
      <c r="K47" s="74" t="s">
        <v>14</v>
      </c>
      <c r="L47" s="76">
        <v>0.0119</v>
      </c>
      <c r="M47" s="77">
        <v>249.0</v>
      </c>
      <c r="N47" s="78">
        <f>IFERROR(__xludf.DUMMYFUNCTION("AVERAGE.WEIGHTED(L47:L48,M47:M48)"),0.011864940239043826)</f>
        <v>0.01186494024</v>
      </c>
      <c r="P47" s="72">
        <v>44396.0</v>
      </c>
      <c r="Q47" s="74" t="s">
        <v>14</v>
      </c>
      <c r="R47" s="79">
        <v>280.2931726907631</v>
      </c>
      <c r="S47" s="77">
        <v>249.0</v>
      </c>
      <c r="T47" s="81">
        <f>IFERROR(__xludf.DUMMYFUNCTION("AVERAGE.WEIGHTED(R47:R48,S47:S48)"),280.0398406374502)</f>
        <v>280.0398406</v>
      </c>
    </row>
    <row r="48">
      <c r="K48" s="31" t="s">
        <v>119</v>
      </c>
      <c r="L48" s="83">
        <v>0.0075</v>
      </c>
      <c r="M48" s="84">
        <v>2.0</v>
      </c>
      <c r="Q48" s="31" t="s">
        <v>119</v>
      </c>
      <c r="R48" s="85">
        <v>248.5</v>
      </c>
      <c r="S48" s="84">
        <v>2.0</v>
      </c>
    </row>
    <row r="49">
      <c r="J49" s="72">
        <v>44397.0</v>
      </c>
      <c r="K49" s="74" t="s">
        <v>14</v>
      </c>
      <c r="L49" s="76">
        <v>0.0106</v>
      </c>
      <c r="M49" s="77">
        <v>222.0</v>
      </c>
      <c r="N49" s="78">
        <f>IFERROR(__xludf.DUMMYFUNCTION("AVERAGE.WEIGHTED(L49:L50,M49:M50)"),0.01058125)</f>
        <v>0.01058125</v>
      </c>
      <c r="P49" s="72">
        <v>44397.0</v>
      </c>
      <c r="Q49" s="74" t="s">
        <v>14</v>
      </c>
      <c r="R49" s="79">
        <v>275.47747747747746</v>
      </c>
      <c r="S49" s="77">
        <v>222.0</v>
      </c>
      <c r="T49" s="81">
        <f>IFERROR(__xludf.DUMMYFUNCTION("AVERAGE.WEIGHTED(R49:R50,S49:S50)"),275.4642857142857)</f>
        <v>275.4642857</v>
      </c>
    </row>
    <row r="50">
      <c r="K50" s="31" t="s">
        <v>119</v>
      </c>
      <c r="L50" s="83">
        <v>0.0085</v>
      </c>
      <c r="M50" s="84">
        <v>2.0</v>
      </c>
      <c r="Q50" s="31" t="s">
        <v>119</v>
      </c>
      <c r="R50" s="85">
        <v>274.0</v>
      </c>
      <c r="S50" s="84">
        <v>2.0</v>
      </c>
    </row>
    <row r="51">
      <c r="J51" s="72">
        <v>44398.0</v>
      </c>
      <c r="K51" s="74" t="s">
        <v>14</v>
      </c>
      <c r="L51" s="76">
        <v>0.0095</v>
      </c>
      <c r="M51" s="77">
        <v>193.0</v>
      </c>
      <c r="N51" s="78">
        <f>IFERROR(__xludf.DUMMYFUNCTION("AVERAGE.WEIGHTED(L51:L52,M51:M52)"),0.009565816326530613)</f>
        <v>0.009565816327</v>
      </c>
      <c r="P51" s="72">
        <v>44398.0</v>
      </c>
      <c r="Q51" s="74" t="s">
        <v>14</v>
      </c>
      <c r="R51" s="79">
        <v>277.67875647668393</v>
      </c>
      <c r="S51" s="77">
        <v>193.0</v>
      </c>
      <c r="T51" s="81">
        <f>IFERROR(__xludf.DUMMYFUNCTION("AVERAGE.WEIGHTED(R51:R52,S51:S52)"),278.015306122449)</f>
        <v>278.0153061</v>
      </c>
    </row>
    <row r="52">
      <c r="K52" s="31" t="s">
        <v>119</v>
      </c>
      <c r="L52" s="83">
        <v>0.0138</v>
      </c>
      <c r="M52" s="84">
        <v>3.0</v>
      </c>
      <c r="Q52" s="31" t="s">
        <v>119</v>
      </c>
      <c r="R52" s="85">
        <v>299.6666666666667</v>
      </c>
      <c r="S52" s="84">
        <v>3.0</v>
      </c>
    </row>
    <row r="53">
      <c r="J53" s="72">
        <v>44399.0</v>
      </c>
      <c r="K53" s="74" t="s">
        <v>14</v>
      </c>
      <c r="L53" s="76">
        <v>0.011</v>
      </c>
      <c r="M53" s="77">
        <v>238.0</v>
      </c>
      <c r="N53" s="78">
        <f>IFERROR(__xludf.DUMMYFUNCTION("AVERAGE.WEIGHTED(L53:L54,M53:M54)"),0.010987499999999999)</f>
        <v>0.0109875</v>
      </c>
      <c r="P53" s="72">
        <v>44399.0</v>
      </c>
      <c r="Q53" s="74" t="s">
        <v>14</v>
      </c>
      <c r="R53" s="79">
        <v>286.34453781512605</v>
      </c>
      <c r="S53" s="77">
        <v>238.0</v>
      </c>
      <c r="T53" s="81">
        <f>IFERROR(__xludf.DUMMYFUNCTION("AVERAGE.WEIGHTED(R53:R54,S53:S54)"),285.75)</f>
        <v>285.75</v>
      </c>
    </row>
    <row r="54">
      <c r="K54" s="31" t="s">
        <v>119</v>
      </c>
      <c r="L54" s="83">
        <v>0.0095</v>
      </c>
      <c r="M54" s="84">
        <v>2.0</v>
      </c>
      <c r="Q54" s="31" t="s">
        <v>119</v>
      </c>
      <c r="R54" s="85">
        <v>215.0</v>
      </c>
      <c r="S54" s="84">
        <v>2.0</v>
      </c>
    </row>
    <row r="55">
      <c r="J55" s="72">
        <v>44400.0</v>
      </c>
      <c r="K55" s="74" t="s">
        <v>14</v>
      </c>
      <c r="L55" s="76">
        <v>0.0111</v>
      </c>
      <c r="M55" s="77">
        <v>246.0</v>
      </c>
      <c r="N55" s="78">
        <f>IFERROR(__xludf.DUMMYFUNCTION("AVERAGE.WEIGHTED(L55:L56,M55:M56)"),0.011192800000000001)</f>
        <v>0.0111928</v>
      </c>
      <c r="P55" s="72">
        <v>44400.0</v>
      </c>
      <c r="Q55" s="74" t="s">
        <v>14</v>
      </c>
      <c r="R55" s="79">
        <v>272.7560975609756</v>
      </c>
      <c r="S55" s="77">
        <v>246.0</v>
      </c>
      <c r="T55" s="81">
        <f>IFERROR(__xludf.DUMMYFUNCTION("AVERAGE.WEIGHTED(R55:R56,S55:S56)"),272.21999999999997)</f>
        <v>272.22</v>
      </c>
    </row>
    <row r="56">
      <c r="K56" s="31" t="s">
        <v>119</v>
      </c>
      <c r="L56" s="83">
        <v>0.0169</v>
      </c>
      <c r="M56" s="84">
        <v>4.0</v>
      </c>
      <c r="Q56" s="31" t="s">
        <v>119</v>
      </c>
      <c r="R56" s="85">
        <v>239.25</v>
      </c>
      <c r="S56" s="84">
        <v>4.0</v>
      </c>
    </row>
    <row r="57">
      <c r="J57" s="72">
        <v>44401.0</v>
      </c>
      <c r="K57" s="74" t="s">
        <v>14</v>
      </c>
      <c r="L57" s="76">
        <v>0.0109</v>
      </c>
      <c r="M57" s="77">
        <v>268.0</v>
      </c>
      <c r="N57" s="78">
        <f>IFERROR(__xludf.DUMMYFUNCTION("AVERAGE.WEIGHTED(L57:L58,M57:M58)"),0.0109)</f>
        <v>0.0109</v>
      </c>
      <c r="P57" s="72">
        <v>44401.0</v>
      </c>
      <c r="Q57" s="74" t="s">
        <v>14</v>
      </c>
      <c r="R57" s="79">
        <v>276.2238805970149</v>
      </c>
      <c r="S57" s="77">
        <v>268.0</v>
      </c>
      <c r="T57" s="81">
        <f>IFERROR(__xludf.DUMMYFUNCTION("AVERAGE.WEIGHTED(R57:R58,S57:S58)"),276.2238805970149)</f>
        <v>276.2238806</v>
      </c>
    </row>
    <row r="58">
      <c r="K58" s="31" t="s">
        <v>119</v>
      </c>
      <c r="L58" s="83">
        <v>0.0</v>
      </c>
      <c r="M58" s="84">
        <v>0.0</v>
      </c>
      <c r="Q58" s="31" t="s">
        <v>119</v>
      </c>
      <c r="R58" s="66">
        <v>0.0</v>
      </c>
      <c r="S58" s="84">
        <v>0.0</v>
      </c>
    </row>
    <row r="59">
      <c r="J59" s="72">
        <v>44402.0</v>
      </c>
      <c r="K59" s="74" t="s">
        <v>14</v>
      </c>
      <c r="L59" s="76">
        <v>0.0105</v>
      </c>
      <c r="M59" s="77">
        <v>272.0</v>
      </c>
      <c r="N59" s="78">
        <f>IFERROR(__xludf.DUMMYFUNCTION("AVERAGE.WEIGHTED(L59:L60,M59:M60)"),0.0106768115942029)</f>
        <v>0.01067681159</v>
      </c>
      <c r="P59" s="72">
        <v>44402.0</v>
      </c>
      <c r="Q59" s="74" t="s">
        <v>14</v>
      </c>
      <c r="R59" s="79">
        <v>272.1617647058824</v>
      </c>
      <c r="S59" s="77">
        <v>272.0</v>
      </c>
      <c r="T59" s="81">
        <f>IFERROR(__xludf.DUMMYFUNCTION("AVERAGE.WEIGHTED(R59:R60,S59:S60)"),271.69565217391306)</f>
        <v>271.6956522</v>
      </c>
    </row>
    <row r="60">
      <c r="K60" s="31" t="s">
        <v>119</v>
      </c>
      <c r="L60" s="83">
        <v>0.0227</v>
      </c>
      <c r="M60" s="84">
        <v>4.0</v>
      </c>
      <c r="Q60" s="31" t="s">
        <v>119</v>
      </c>
      <c r="R60" s="85">
        <v>240.0</v>
      </c>
      <c r="S60" s="84">
        <v>4.0</v>
      </c>
    </row>
    <row r="61">
      <c r="J61" s="72">
        <v>44403.0</v>
      </c>
      <c r="K61" s="74" t="s">
        <v>14</v>
      </c>
      <c r="L61" s="76">
        <v>0.0125</v>
      </c>
      <c r="M61" s="77">
        <v>304.0</v>
      </c>
      <c r="N61" s="78">
        <f>IFERROR(__xludf.DUMMYFUNCTION("AVERAGE.WEIGHTED(L61:L62,M61:M62)"),0.01265210355987055)</f>
        <v>0.01265210356</v>
      </c>
      <c r="P61" s="72">
        <v>44403.0</v>
      </c>
      <c r="Q61" s="74" t="s">
        <v>14</v>
      </c>
      <c r="R61" s="79">
        <v>278.9144736842105</v>
      </c>
      <c r="S61" s="77">
        <v>304.0</v>
      </c>
      <c r="T61" s="81">
        <f>IFERROR(__xludf.DUMMYFUNCTION("AVERAGE.WEIGHTED(R61:R62,S61:S62)"),277.7799352750809)</f>
        <v>277.7799353</v>
      </c>
    </row>
    <row r="62">
      <c r="K62" s="31" t="s">
        <v>119</v>
      </c>
      <c r="L62" s="83">
        <v>0.0219</v>
      </c>
      <c r="M62" s="84">
        <v>5.0</v>
      </c>
      <c r="Q62" s="31" t="s">
        <v>119</v>
      </c>
      <c r="R62" s="85">
        <v>208.8</v>
      </c>
      <c r="S62" s="84">
        <v>5.0</v>
      </c>
    </row>
    <row r="63">
      <c r="J63" s="72">
        <v>44404.0</v>
      </c>
      <c r="K63" s="74" t="s">
        <v>14</v>
      </c>
      <c r="L63" s="76">
        <v>0.0145</v>
      </c>
      <c r="M63" s="77">
        <v>386.0</v>
      </c>
      <c r="N63" s="78">
        <f>IFERROR(__xludf.DUMMYFUNCTION("AVERAGE.WEIGHTED(L63:L64,M63:M64)"),0.014478036175710595)</f>
        <v>0.01447803618</v>
      </c>
      <c r="P63" s="72">
        <v>44404.0</v>
      </c>
      <c r="Q63" s="74" t="s">
        <v>14</v>
      </c>
      <c r="R63" s="79">
        <v>274.479274611399</v>
      </c>
      <c r="S63" s="77">
        <v>386.0</v>
      </c>
      <c r="T63" s="81">
        <f>IFERROR(__xludf.DUMMYFUNCTION("AVERAGE.WEIGHTED(R63:R64,S63:S64)"),274.4909560723514)</f>
        <v>274.4909561</v>
      </c>
    </row>
    <row r="64">
      <c r="K64" s="31" t="s">
        <v>119</v>
      </c>
      <c r="L64" s="83">
        <v>0.006</v>
      </c>
      <c r="M64" s="84">
        <v>1.0</v>
      </c>
      <c r="Q64" s="31" t="s">
        <v>119</v>
      </c>
      <c r="R64" s="85">
        <v>279.0</v>
      </c>
      <c r="S64" s="84">
        <v>1.0</v>
      </c>
    </row>
    <row r="65">
      <c r="J65" s="72">
        <v>44405.0</v>
      </c>
      <c r="K65" s="74" t="s">
        <v>14</v>
      </c>
      <c r="L65" s="76">
        <v>0.0057</v>
      </c>
      <c r="M65" s="77">
        <v>121.0</v>
      </c>
      <c r="N65" s="78">
        <f>IFERROR(__xludf.DUMMYFUNCTION("AVERAGE.WEIGHTED(L65:L66,M65:M66)"),0.005769918699186992)</f>
        <v>0.005769918699</v>
      </c>
      <c r="P65" s="72">
        <v>44405.0</v>
      </c>
      <c r="Q65" s="74" t="s">
        <v>14</v>
      </c>
      <c r="R65" s="79">
        <v>271.43801652892563</v>
      </c>
      <c r="S65" s="77">
        <v>121.0</v>
      </c>
      <c r="T65" s="81">
        <f>IFERROR(__xludf.DUMMYFUNCTION("AVERAGE.WEIGHTED(R65:R66,S65:S66)"),271.0650406504065)</f>
        <v>271.0650407</v>
      </c>
    </row>
    <row r="66">
      <c r="K66" s="31" t="s">
        <v>119</v>
      </c>
      <c r="L66" s="83">
        <v>0.01</v>
      </c>
      <c r="M66" s="84">
        <v>2.0</v>
      </c>
      <c r="Q66" s="31" t="s">
        <v>119</v>
      </c>
      <c r="R66" s="85">
        <v>248.5</v>
      </c>
      <c r="S66" s="84">
        <v>2.0</v>
      </c>
    </row>
    <row r="67">
      <c r="J67" s="72">
        <v>44406.0</v>
      </c>
      <c r="K67" s="74" t="s">
        <v>14</v>
      </c>
      <c r="L67" s="76">
        <v>0.0073</v>
      </c>
      <c r="M67" s="77">
        <v>90.0</v>
      </c>
      <c r="N67" s="78">
        <f>IFERROR(__xludf.DUMMYFUNCTION("AVERAGE.WEIGHTED(L67:L68,M67:M68)"),0.009609708737864077)</f>
        <v>0.009609708738</v>
      </c>
      <c r="P67" s="72">
        <v>44406.0</v>
      </c>
      <c r="Q67" s="74" t="s">
        <v>14</v>
      </c>
      <c r="R67" s="79">
        <v>281.22222222222223</v>
      </c>
      <c r="S67" s="77">
        <v>90.0</v>
      </c>
      <c r="T67" s="81">
        <f>IFERROR(__xludf.DUMMYFUNCTION("AVERAGE.WEIGHTED(R67:R68,S67:S68)"),279.41747572815535)</f>
        <v>279.4174757</v>
      </c>
    </row>
    <row r="68">
      <c r="K68" s="31" t="s">
        <v>119</v>
      </c>
      <c r="L68" s="83">
        <v>0.0256</v>
      </c>
      <c r="M68" s="84">
        <v>13.0</v>
      </c>
      <c r="Q68" s="31" t="s">
        <v>119</v>
      </c>
      <c r="R68" s="85">
        <v>266.9230769230769</v>
      </c>
      <c r="S68" s="84">
        <v>13.0</v>
      </c>
    </row>
    <row r="69">
      <c r="J69" s="72">
        <v>44407.0</v>
      </c>
      <c r="K69" s="74" t="s">
        <v>14</v>
      </c>
      <c r="L69" s="76">
        <v>0.0079</v>
      </c>
      <c r="M69" s="77">
        <v>89.0</v>
      </c>
      <c r="N69" s="78">
        <f>IFERROR(__xludf.DUMMYFUNCTION("AVERAGE.WEIGHTED(L69:L70,M69:M70)"),0.010270588235294118)</f>
        <v>0.01027058824</v>
      </c>
      <c r="P69" s="72">
        <v>44407.0</v>
      </c>
      <c r="Q69" s="74" t="s">
        <v>14</v>
      </c>
      <c r="R69" s="79">
        <v>254.62921348314606</v>
      </c>
      <c r="S69" s="77">
        <v>89.0</v>
      </c>
      <c r="T69" s="81">
        <f>IFERROR(__xludf.DUMMYFUNCTION("AVERAGE.WEIGHTED(R69:R70,S69:S70)"),249.15686274509804)</f>
        <v>249.1568627</v>
      </c>
    </row>
    <row r="70">
      <c r="K70" s="31" t="s">
        <v>119</v>
      </c>
      <c r="L70" s="83">
        <v>0.0265</v>
      </c>
      <c r="M70" s="84">
        <v>13.0</v>
      </c>
      <c r="Q70" s="31" t="s">
        <v>119</v>
      </c>
      <c r="R70" s="85">
        <v>211.69230769230768</v>
      </c>
      <c r="S70" s="84">
        <v>13.0</v>
      </c>
    </row>
    <row r="71">
      <c r="J71" s="72">
        <v>44408.0</v>
      </c>
      <c r="K71" s="74" t="s">
        <v>14</v>
      </c>
      <c r="L71" s="76">
        <v>0.0075</v>
      </c>
      <c r="M71" s="77">
        <v>63.0</v>
      </c>
      <c r="N71" s="78">
        <f>IFERROR(__xludf.DUMMYFUNCTION("AVERAGE.WEIGHTED(L71:L72,M71:M72)"),0.010852631578947367)</f>
        <v>0.01085263158</v>
      </c>
      <c r="P71" s="72">
        <v>44408.0</v>
      </c>
      <c r="Q71" s="74" t="s">
        <v>14</v>
      </c>
      <c r="R71" s="79">
        <v>296.0952380952381</v>
      </c>
      <c r="S71" s="77">
        <v>63.0</v>
      </c>
      <c r="T71" s="81">
        <f>IFERROR(__xludf.DUMMYFUNCTION("AVERAGE.WEIGHTED(R71:R72,S71:S72)"),281.5)</f>
        <v>281.5</v>
      </c>
    </row>
    <row r="72">
      <c r="K72" s="31" t="s">
        <v>119</v>
      </c>
      <c r="L72" s="83">
        <v>0.0271</v>
      </c>
      <c r="M72" s="24">
        <v>13.0</v>
      </c>
      <c r="Q72" s="31" t="s">
        <v>119</v>
      </c>
      <c r="R72" s="85">
        <v>210.76923076923077</v>
      </c>
      <c r="S72" s="24">
        <v>13.0</v>
      </c>
    </row>
    <row r="75">
      <c r="V75" s="28">
        <v>274.7096774193549</v>
      </c>
      <c r="W75" s="28">
        <v>261.72972972972974</v>
      </c>
      <c r="X75" s="28">
        <v>275.66906474820144</v>
      </c>
      <c r="Y75" s="82">
        <v>264.5923076923077</v>
      </c>
      <c r="Z75" s="28">
        <v>273.3709677419355</v>
      </c>
      <c r="AA75" s="28">
        <v>269.44736842105266</v>
      </c>
      <c r="AB75" s="28">
        <v>284.46268656716416</v>
      </c>
      <c r="AC75" s="28">
        <v>273.8876404494382</v>
      </c>
      <c r="AD75" s="28">
        <v>267.44827586206895</v>
      </c>
      <c r="AE75" s="28">
        <v>279.0153846153846</v>
      </c>
      <c r="AF75" s="28">
        <v>280.00800000000004</v>
      </c>
      <c r="AG75" s="28">
        <v>287.31060606060606</v>
      </c>
      <c r="AH75" s="28">
        <v>261.5658914728682</v>
      </c>
      <c r="AI75" s="28">
        <v>259.695652173913</v>
      </c>
      <c r="AJ75" s="28">
        <v>271.82142857142856</v>
      </c>
      <c r="AK75" s="28">
        <v>281.01869158878503</v>
      </c>
      <c r="AL75" s="28">
        <v>288.4973821989529</v>
      </c>
      <c r="AM75" s="28">
        <v>276.3135593220339</v>
      </c>
      <c r="AN75" s="28">
        <v>280.0398406374502</v>
      </c>
      <c r="AO75" s="28">
        <v>275.4642857142857</v>
      </c>
      <c r="AP75" s="28">
        <v>278.015306122449</v>
      </c>
      <c r="AQ75" s="28">
        <v>285.75</v>
      </c>
      <c r="AR75" s="28">
        <v>272.21999999999997</v>
      </c>
      <c r="AS75" s="28">
        <v>276.2238805970149</v>
      </c>
      <c r="AT75" s="28">
        <v>271.69565217391306</v>
      </c>
      <c r="AU75" s="28">
        <v>277.7799352750809</v>
      </c>
      <c r="AV75" s="28">
        <v>274.4909560723514</v>
      </c>
      <c r="AW75" s="28">
        <v>271.0650406504065</v>
      </c>
      <c r="AX75" s="28">
        <v>279.41747572815535</v>
      </c>
      <c r="AY75" s="28">
        <v>249.15686274509804</v>
      </c>
      <c r="AZ75" s="28">
        <v>281.5</v>
      </c>
    </row>
    <row r="80">
      <c r="G80" s="118"/>
      <c r="H80" s="118"/>
      <c r="I80" s="118"/>
      <c r="J80" s="118"/>
      <c r="K80" s="118"/>
      <c r="L80" s="118"/>
      <c r="M80" s="118"/>
      <c r="N80" s="118"/>
      <c r="O80" s="118"/>
      <c r="P80" s="118"/>
      <c r="Q80" s="118"/>
      <c r="R80" s="118"/>
      <c r="S80" s="118"/>
      <c r="T80" s="118"/>
      <c r="U80" s="118"/>
      <c r="V80" s="118"/>
      <c r="W80" s="118"/>
      <c r="X80" s="118"/>
      <c r="Y80" s="118"/>
      <c r="AA80" s="118"/>
      <c r="AB80" s="118"/>
      <c r="AC80" s="118"/>
    </row>
    <row r="81">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row>
    <row r="84">
      <c r="AD84" s="19"/>
      <c r="AE84" s="19"/>
      <c r="AF84" s="19"/>
      <c r="AG84" s="19"/>
      <c r="AH84" s="19"/>
      <c r="AI84" s="19"/>
      <c r="AJ84" s="19"/>
      <c r="AK84" s="19"/>
      <c r="AL84" s="19"/>
      <c r="AM84" s="19"/>
      <c r="AN84" s="19"/>
      <c r="AO84" s="19"/>
      <c r="AP84" s="19"/>
      <c r="AQ84" s="19"/>
      <c r="AR84" s="19"/>
      <c r="AS84" s="19"/>
      <c r="AT84" s="19"/>
      <c r="AU84" s="19"/>
      <c r="AV84" s="19"/>
      <c r="AW84" s="19"/>
      <c r="AX84" s="19"/>
      <c r="AY84" s="19"/>
      <c r="AZ84" s="19"/>
    </row>
    <row r="87">
      <c r="G87" s="82"/>
      <c r="H87" s="82"/>
      <c r="I87" s="82"/>
      <c r="J87" s="82"/>
      <c r="K87" s="82"/>
      <c r="L87" s="82"/>
      <c r="M87" s="82"/>
      <c r="N87" s="82"/>
      <c r="O87" s="82"/>
      <c r="P87" s="82"/>
      <c r="Q87" s="82"/>
      <c r="R87" s="82"/>
      <c r="S87" s="82"/>
      <c r="T87" s="82"/>
      <c r="U87" s="82"/>
      <c r="V87" s="82"/>
      <c r="W87" s="82"/>
      <c r="X87" s="82"/>
      <c r="Y87" s="82"/>
      <c r="Z87" s="82"/>
      <c r="AA87" s="82"/>
      <c r="AB87" s="82"/>
      <c r="AC87" s="82"/>
    </row>
    <row r="88">
      <c r="G88" s="82"/>
      <c r="H88" s="82"/>
      <c r="I88" s="82"/>
      <c r="J88" s="82"/>
      <c r="K88" s="82"/>
      <c r="L88" s="82"/>
      <c r="M88" s="82"/>
      <c r="N88" s="82"/>
      <c r="O88" s="82"/>
      <c r="P88" s="82"/>
      <c r="Q88" s="82"/>
      <c r="R88" s="82"/>
      <c r="S88" s="82"/>
      <c r="T88" s="82"/>
      <c r="U88" s="82"/>
      <c r="V88" s="82"/>
      <c r="W88" s="82"/>
      <c r="X88" s="82"/>
      <c r="Y88" s="82"/>
      <c r="Z88" s="82"/>
      <c r="AA88" s="82"/>
      <c r="AB88" s="82"/>
      <c r="AC88" s="82"/>
    </row>
  </sheetData>
  <mergeCells count="125">
    <mergeCell ref="N29:N30"/>
    <mergeCell ref="N31:N32"/>
    <mergeCell ref="N33:N34"/>
    <mergeCell ref="N23:N24"/>
    <mergeCell ref="P23:P24"/>
    <mergeCell ref="N25:N26"/>
    <mergeCell ref="P25:P26"/>
    <mergeCell ref="N27:N28"/>
    <mergeCell ref="P27:P28"/>
    <mergeCell ref="P29:P30"/>
    <mergeCell ref="N39:N40"/>
    <mergeCell ref="N41:N42"/>
    <mergeCell ref="P31:P32"/>
    <mergeCell ref="P33:P34"/>
    <mergeCell ref="N35:N36"/>
    <mergeCell ref="P35:P36"/>
    <mergeCell ref="N37:N38"/>
    <mergeCell ref="P37:P38"/>
    <mergeCell ref="P39:P40"/>
    <mergeCell ref="P41:P42"/>
    <mergeCell ref="N45:N46"/>
    <mergeCell ref="N47:N48"/>
    <mergeCell ref="P47:P48"/>
    <mergeCell ref="T39:T40"/>
    <mergeCell ref="T41:T42"/>
    <mergeCell ref="N43:N44"/>
    <mergeCell ref="P43:P44"/>
    <mergeCell ref="T43:T44"/>
    <mergeCell ref="P45:P46"/>
    <mergeCell ref="T45:T46"/>
    <mergeCell ref="T47:T48"/>
    <mergeCell ref="T11:T12"/>
    <mergeCell ref="T13:T14"/>
    <mergeCell ref="T15:T16"/>
    <mergeCell ref="T17:T18"/>
    <mergeCell ref="T19:T20"/>
    <mergeCell ref="T21:T22"/>
    <mergeCell ref="T23:T24"/>
    <mergeCell ref="T57:T58"/>
    <mergeCell ref="T59:T60"/>
    <mergeCell ref="T61:T62"/>
    <mergeCell ref="T63:T64"/>
    <mergeCell ref="T65:T66"/>
    <mergeCell ref="T67:T68"/>
    <mergeCell ref="T69:T70"/>
    <mergeCell ref="T71:T72"/>
    <mergeCell ref="T25:T26"/>
    <mergeCell ref="T27:T28"/>
    <mergeCell ref="T29:T30"/>
    <mergeCell ref="T31:T32"/>
    <mergeCell ref="T33:T34"/>
    <mergeCell ref="T35:T36"/>
    <mergeCell ref="T37:T38"/>
    <mergeCell ref="P57:P58"/>
    <mergeCell ref="P59:P60"/>
    <mergeCell ref="P61:P62"/>
    <mergeCell ref="P63:P64"/>
    <mergeCell ref="P65:P66"/>
    <mergeCell ref="P67:P68"/>
    <mergeCell ref="P69:P70"/>
    <mergeCell ref="P71:P72"/>
    <mergeCell ref="J47:J48"/>
    <mergeCell ref="J49:J50"/>
    <mergeCell ref="N49:N50"/>
    <mergeCell ref="P49:P50"/>
    <mergeCell ref="P51:P52"/>
    <mergeCell ref="P53:P54"/>
    <mergeCell ref="P55:P56"/>
    <mergeCell ref="J65:J66"/>
    <mergeCell ref="J67:J68"/>
    <mergeCell ref="J69:J70"/>
    <mergeCell ref="J71:J72"/>
    <mergeCell ref="J51:J52"/>
    <mergeCell ref="J53:J54"/>
    <mergeCell ref="J55:J56"/>
    <mergeCell ref="J57:J58"/>
    <mergeCell ref="J59:J60"/>
    <mergeCell ref="J61:J62"/>
    <mergeCell ref="J63:J64"/>
    <mergeCell ref="N69:N70"/>
    <mergeCell ref="N71:N72"/>
    <mergeCell ref="N51:N52"/>
    <mergeCell ref="N57:N58"/>
    <mergeCell ref="N59:N60"/>
    <mergeCell ref="N61:N62"/>
    <mergeCell ref="N63:N64"/>
    <mergeCell ref="N65:N66"/>
    <mergeCell ref="N67:N68"/>
    <mergeCell ref="C1:D1"/>
    <mergeCell ref="J11:J12"/>
    <mergeCell ref="N11:N12"/>
    <mergeCell ref="P11:P12"/>
    <mergeCell ref="J13:J14"/>
    <mergeCell ref="P13:P14"/>
    <mergeCell ref="J15:J16"/>
    <mergeCell ref="P15:P16"/>
    <mergeCell ref="P19:P20"/>
    <mergeCell ref="P21:P22"/>
    <mergeCell ref="N13:N14"/>
    <mergeCell ref="N15:N16"/>
    <mergeCell ref="J17:J18"/>
    <mergeCell ref="N17:N18"/>
    <mergeCell ref="P17:P18"/>
    <mergeCell ref="N19:N20"/>
    <mergeCell ref="N21:N22"/>
    <mergeCell ref="J19:J20"/>
    <mergeCell ref="J21:J22"/>
    <mergeCell ref="J23:J24"/>
    <mergeCell ref="J25:J26"/>
    <mergeCell ref="J27:J28"/>
    <mergeCell ref="J29:J30"/>
    <mergeCell ref="J31:J32"/>
    <mergeCell ref="T49:T50"/>
    <mergeCell ref="T51:T52"/>
    <mergeCell ref="T53:T54"/>
    <mergeCell ref="T55:T56"/>
    <mergeCell ref="J33:J34"/>
    <mergeCell ref="J35:J36"/>
    <mergeCell ref="J37:J38"/>
    <mergeCell ref="J39:J40"/>
    <mergeCell ref="J41:J42"/>
    <mergeCell ref="J43:J44"/>
    <mergeCell ref="J45:J46"/>
    <mergeCell ref="N53:N54"/>
    <mergeCell ref="N55:N5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3" t="s">
        <v>181</v>
      </c>
    </row>
    <row r="3">
      <c r="A3" s="134" t="s">
        <v>182</v>
      </c>
    </row>
    <row r="4">
      <c r="H4" s="135">
        <v>1.634038E7</v>
      </c>
    </row>
    <row r="5">
      <c r="A5" s="24" t="s">
        <v>183</v>
      </c>
      <c r="H5" s="136"/>
    </row>
    <row r="6">
      <c r="A6" s="137" t="s">
        <v>184</v>
      </c>
      <c r="H6" s="136"/>
    </row>
    <row r="8">
      <c r="A8" s="137" t="s">
        <v>185</v>
      </c>
      <c r="H8" s="138" t="s">
        <v>186</v>
      </c>
    </row>
    <row r="10">
      <c r="A10" s="137" t="s">
        <v>187</v>
      </c>
    </row>
    <row r="13">
      <c r="A13" s="137" t="s">
        <v>188</v>
      </c>
    </row>
    <row r="16">
      <c r="A16" s="137" t="s">
        <v>189</v>
      </c>
    </row>
    <row r="19">
      <c r="A19" s="141" t="s">
        <v>190</v>
      </c>
      <c r="B19" s="143"/>
      <c r="C19" s="143"/>
      <c r="D19" s="141" t="s">
        <v>192</v>
      </c>
      <c r="E19" s="141" t="s">
        <v>193</v>
      </c>
      <c r="F19" s="143"/>
      <c r="G19" s="141" t="s">
        <v>194</v>
      </c>
      <c r="H19" s="141" t="s">
        <v>195</v>
      </c>
      <c r="I19" s="141" t="s">
        <v>197</v>
      </c>
      <c r="J19" s="141" t="s">
        <v>198</v>
      </c>
      <c r="K19" s="141" t="s">
        <v>199</v>
      </c>
      <c r="L19" s="141" t="s">
        <v>200</v>
      </c>
      <c r="M19" s="141" t="s">
        <v>201</v>
      </c>
      <c r="N19" s="141" t="s">
        <v>202</v>
      </c>
      <c r="O19" s="141" t="s">
        <v>203</v>
      </c>
      <c r="P19" s="143"/>
      <c r="Q19" s="141" t="s">
        <v>204</v>
      </c>
      <c r="R19" s="141" t="s">
        <v>205</v>
      </c>
      <c r="S19" s="141" t="s">
        <v>206</v>
      </c>
      <c r="T19" s="141" t="s">
        <v>207</v>
      </c>
      <c r="U19" s="141" t="s">
        <v>208</v>
      </c>
      <c r="V19" s="143"/>
      <c r="W19" s="141" t="s">
        <v>209</v>
      </c>
      <c r="X19" s="141" t="s">
        <v>210</v>
      </c>
      <c r="Y19" s="141" t="s">
        <v>211</v>
      </c>
      <c r="Z19" s="141" t="s">
        <v>212</v>
      </c>
      <c r="AA19" s="141" t="s">
        <v>213</v>
      </c>
      <c r="AB19" s="141" t="s">
        <v>214</v>
      </c>
      <c r="AC19" s="141" t="s">
        <v>215</v>
      </c>
      <c r="AD19" s="141" t="s">
        <v>216</v>
      </c>
      <c r="AE19" s="141" t="s">
        <v>217</v>
      </c>
      <c r="AF19" s="141" t="s">
        <v>218</v>
      </c>
      <c r="AG19" s="141" t="s">
        <v>219</v>
      </c>
      <c r="AH19" s="143"/>
      <c r="AI19" s="143"/>
      <c r="AJ19" s="141" t="s">
        <v>220</v>
      </c>
      <c r="AK19" s="141" t="s">
        <v>221</v>
      </c>
      <c r="AL19" s="141" t="s">
        <v>222</v>
      </c>
      <c r="AM19" s="143"/>
      <c r="AN19" s="141" t="s">
        <v>223</v>
      </c>
      <c r="AO19" s="141" t="s">
        <v>224</v>
      </c>
      <c r="AP19" s="141" t="s">
        <v>225</v>
      </c>
      <c r="AQ19" s="141" t="s">
        <v>226</v>
      </c>
      <c r="AR19" s="143"/>
      <c r="AS19" s="143"/>
      <c r="AT19" s="141" t="s">
        <v>227</v>
      </c>
      <c r="AU19" s="141" t="s">
        <v>228</v>
      </c>
      <c r="AV19" s="141" t="s">
        <v>229</v>
      </c>
      <c r="AW19" s="143"/>
      <c r="AX19" s="143"/>
      <c r="AY19" s="143"/>
      <c r="AZ19" s="143"/>
      <c r="BA19" s="143"/>
      <c r="BB19" s="143"/>
      <c r="BC19" s="143"/>
      <c r="BD19" s="143"/>
      <c r="BE19" s="143"/>
      <c r="BF19" s="143"/>
      <c r="BG19" s="143"/>
      <c r="BH19" s="143"/>
      <c r="BI19" s="143"/>
      <c r="BJ19" s="143"/>
      <c r="BK19" s="143"/>
      <c r="BL19" s="143"/>
      <c r="BM19" s="143"/>
    </row>
    <row r="20" hidden="1">
      <c r="A20" s="24" t="s">
        <v>230</v>
      </c>
      <c r="C20" s="24" t="s">
        <v>231</v>
      </c>
      <c r="D20" s="24" t="s">
        <v>232</v>
      </c>
      <c r="E20" s="24" t="s">
        <v>233</v>
      </c>
      <c r="G20" s="24" t="s">
        <v>234</v>
      </c>
      <c r="H20" s="24" t="s">
        <v>235</v>
      </c>
      <c r="I20" s="24" t="s">
        <v>236</v>
      </c>
      <c r="J20" s="24" t="s">
        <v>237</v>
      </c>
      <c r="K20" s="24" t="s">
        <v>238</v>
      </c>
      <c r="L20" s="24" t="s">
        <v>239</v>
      </c>
      <c r="M20" s="24" t="s">
        <v>240</v>
      </c>
      <c r="N20" s="24" t="s">
        <v>241</v>
      </c>
      <c r="O20" s="24" t="s">
        <v>242</v>
      </c>
      <c r="Q20" s="24" t="s">
        <v>243</v>
      </c>
      <c r="R20" s="24" t="s">
        <v>244</v>
      </c>
      <c r="S20" s="24" t="s">
        <v>245</v>
      </c>
      <c r="T20" s="24" t="s">
        <v>246</v>
      </c>
      <c r="U20" s="24" t="s">
        <v>247</v>
      </c>
      <c r="W20" s="24" t="s">
        <v>248</v>
      </c>
      <c r="X20" s="24" t="s">
        <v>249</v>
      </c>
      <c r="Y20" s="24" t="s">
        <v>250</v>
      </c>
      <c r="Z20" s="24" t="s">
        <v>251</v>
      </c>
      <c r="AA20" s="24" t="s">
        <v>252</v>
      </c>
      <c r="AB20" s="24" t="s">
        <v>253</v>
      </c>
      <c r="AC20" s="24" t="s">
        <v>254</v>
      </c>
      <c r="AD20" s="24" t="s">
        <v>255</v>
      </c>
      <c r="AE20" s="24" t="s">
        <v>256</v>
      </c>
      <c r="AF20" s="24" t="s">
        <v>257</v>
      </c>
      <c r="AG20" s="24" t="s">
        <v>258</v>
      </c>
      <c r="AJ20" s="24" t="s">
        <v>259</v>
      </c>
      <c r="AK20" s="24" t="s">
        <v>260</v>
      </c>
      <c r="AL20" s="24" t="s">
        <v>261</v>
      </c>
      <c r="AN20" s="24" t="s">
        <v>262</v>
      </c>
      <c r="AO20" s="24" t="s">
        <v>263</v>
      </c>
      <c r="AP20" s="24" t="s">
        <v>264</v>
      </c>
      <c r="AQ20" s="24" t="s">
        <v>265</v>
      </c>
      <c r="AR20" s="24" t="s">
        <v>266</v>
      </c>
      <c r="AS20" s="24" t="s">
        <v>267</v>
      </c>
      <c r="AT20" s="24" t="s">
        <v>268</v>
      </c>
      <c r="AU20" s="24" t="s">
        <v>269</v>
      </c>
      <c r="AV20" s="24" t="s">
        <v>270</v>
      </c>
    </row>
    <row r="21">
      <c r="A21" s="146" t="s">
        <v>271</v>
      </c>
      <c r="B21" s="147"/>
      <c r="C21" s="147"/>
      <c r="D21" s="146" t="str">
        <f>IFERROR(__xludf.DUMMYFUNCTION("ARRAY_CONSTRAIN(split(CELL(""ADDRESS"",zsupermetrics_9i4W4hgd80uRpQLMeX0eRnESN8gjyv),""!""),1,1)"),"Formula")</f>
        <v>Formula</v>
      </c>
      <c r="E21" s="146" t="str">
        <f>CELL("ADDRESS",zsupermetrics_9i4W4hgd80uRpQLMeX0eRnESN8gjyv)&amp;":"&amp;address(row(zsupermetrics_9i4W4hgd80uRpQLMeX0eRnESN8gjyv)+rows(zsupermetrics_9i4W4hgd80uRpQLMeX0eRnESN8gjyv)-1,column(zsupermetrics_9i4W4hgd80uRpQLMeX0eRnESN8gjyv)+COLUMNS(zsupermetrics_9i4W4hgd80uRpQLMeX0eRnESN8gjyv)-1)</f>
        <v>Formula!$H$12:$H$13</v>
      </c>
      <c r="F21" s="147"/>
      <c r="G21" s="149">
        <v>44481.52024305556</v>
      </c>
      <c r="H21" s="149">
        <v>44481.52127314815</v>
      </c>
      <c r="I21" s="146" t="s">
        <v>273</v>
      </c>
      <c r="J21" s="147"/>
      <c r="K21" s="146" t="b">
        <v>0</v>
      </c>
      <c r="L21" s="150">
        <v>1.0</v>
      </c>
      <c r="M21" s="146" t="s">
        <v>274</v>
      </c>
      <c r="N21" s="147"/>
      <c r="O21" s="146" t="s">
        <v>275</v>
      </c>
      <c r="P21" s="147"/>
      <c r="Q21" s="146" t="s">
        <v>276</v>
      </c>
      <c r="R21" s="147"/>
      <c r="S21" s="147"/>
      <c r="T21" s="147"/>
      <c r="U21" s="147"/>
      <c r="V21" s="147"/>
      <c r="W21" s="146" t="s">
        <v>277</v>
      </c>
      <c r="X21" s="146" t="s">
        <v>278</v>
      </c>
      <c r="Y21" s="146" t="s">
        <v>279</v>
      </c>
      <c r="Z21" s="146" t="s">
        <v>279</v>
      </c>
      <c r="AA21" s="146" t="s">
        <v>280</v>
      </c>
      <c r="AB21" s="146" t="s">
        <v>279</v>
      </c>
      <c r="AC21" s="147"/>
      <c r="AD21" s="150">
        <v>1000.0</v>
      </c>
      <c r="AE21" s="150">
        <v>10.0</v>
      </c>
      <c r="AF21" s="146" t="s">
        <v>279</v>
      </c>
      <c r="AG21" s="146" t="s">
        <v>281</v>
      </c>
      <c r="AH21" s="147"/>
      <c r="AI21" s="147"/>
      <c r="AJ21" s="147"/>
      <c r="AK21" s="147"/>
      <c r="AL21" s="147"/>
      <c r="AM21" s="147"/>
      <c r="AN21" s="147"/>
      <c r="AO21" s="147"/>
      <c r="AP21" s="154" t="s">
        <v>283</v>
      </c>
      <c r="AQ21" s="147"/>
      <c r="AR21" s="147"/>
      <c r="AS21" s="147"/>
      <c r="AT21" s="147"/>
      <c r="AU21" s="146" t="s">
        <v>284</v>
      </c>
      <c r="AV21" s="147"/>
      <c r="AW21" s="147"/>
      <c r="AX21" s="147"/>
    </row>
    <row r="22">
      <c r="A22" s="146" t="s">
        <v>285</v>
      </c>
      <c r="B22" s="147"/>
      <c r="C22" s="147"/>
      <c r="D22" s="146" t="str">
        <f>IFERROR(__xludf.DUMMYFUNCTION("ARRAY_CONSTRAIN(split(CELL(""ADDRESS"",zsupermetrics_DQl8lUbpTRu3fayaJJi7lVfOGKjNU4),""!""),1,1)"),"Formula")</f>
        <v>Formula</v>
      </c>
      <c r="E22" s="146" t="str">
        <f>CELL("ADDRESS",zsupermetrics_DQl8lUbpTRu3fayaJJi7lVfOGKjNU4)&amp;":"&amp;address(row(zsupermetrics_DQl8lUbpTRu3fayaJJi7lVfOGKjNU4)+rows(zsupermetrics_DQl8lUbpTRu3fayaJJi7lVfOGKjNU4)-1,column(zsupermetrics_DQl8lUbpTRu3fayaJJi7lVfOGKjNU4)+COLUMNS(zsupermetrics_DQl8lUbpTRu3fayaJJi7lVfOGKjNU4)-1)</f>
        <v>Formula!$F$2:$F$3</v>
      </c>
      <c r="F22" s="147"/>
      <c r="G22" s="149">
        <v>44481.56743055556</v>
      </c>
      <c r="H22" s="147"/>
      <c r="I22" s="146" t="s">
        <v>273</v>
      </c>
      <c r="J22" s="147"/>
      <c r="K22" s="146" t="b">
        <v>0</v>
      </c>
      <c r="L22" s="150">
        <v>4.0</v>
      </c>
      <c r="M22" s="146" t="s">
        <v>274</v>
      </c>
      <c r="N22" s="147"/>
      <c r="O22" s="146" t="s">
        <v>275</v>
      </c>
      <c r="P22" s="147"/>
      <c r="Q22" s="146" t="s">
        <v>286</v>
      </c>
      <c r="R22" s="147"/>
      <c r="S22" s="147"/>
      <c r="T22" s="147"/>
      <c r="U22" s="147"/>
      <c r="V22" s="147"/>
      <c r="W22" s="146" t="s">
        <v>277</v>
      </c>
      <c r="X22" s="146" t="s">
        <v>278</v>
      </c>
      <c r="Y22" s="146" t="s">
        <v>279</v>
      </c>
      <c r="Z22" s="146" t="s">
        <v>279</v>
      </c>
      <c r="AA22" s="146" t="s">
        <v>279</v>
      </c>
      <c r="AB22" s="146" t="s">
        <v>279</v>
      </c>
      <c r="AC22" s="147"/>
      <c r="AD22" s="147"/>
      <c r="AE22" s="147"/>
      <c r="AF22" s="146" t="s">
        <v>279</v>
      </c>
      <c r="AG22" s="146" t="s">
        <v>281</v>
      </c>
      <c r="AH22" s="147"/>
      <c r="AI22" s="147"/>
      <c r="AJ22" s="147"/>
      <c r="AK22" s="147"/>
      <c r="AL22" s="147"/>
      <c r="AM22" s="147"/>
      <c r="AN22" s="147"/>
      <c r="AO22" s="147"/>
      <c r="AP22" s="154" t="s">
        <v>287</v>
      </c>
      <c r="AQ22" s="147"/>
      <c r="AR22" s="147"/>
      <c r="AS22" s="147"/>
      <c r="AT22" s="147"/>
      <c r="AU22" s="146" t="s">
        <v>284</v>
      </c>
      <c r="AV22" s="147"/>
      <c r="AW22" s="147"/>
      <c r="AX22" s="147"/>
    </row>
    <row r="23">
      <c r="A23" s="146" t="s">
        <v>289</v>
      </c>
      <c r="B23" s="147"/>
      <c r="C23" s="147"/>
      <c r="D23" s="146" t="str">
        <f>IFERROR(__xludf.DUMMYFUNCTION("ARRAY_CONSTRAIN(split(CELL(""ADDRESS"",zsupermetrics_n3GtLgiKpTmd2pYmQNMuq6TPD0qE0b),""!""),1,1)"),"Formula")</f>
        <v>Formula</v>
      </c>
      <c r="E23" s="146" t="str">
        <f>CELL("ADDRESS",zsupermetrics_n3GtLgiKpTmd2pYmQNMuq6TPD0qE0b)&amp;":"&amp;address(row(zsupermetrics_n3GtLgiKpTmd2pYmQNMuq6TPD0qE0b)+rows(zsupermetrics_n3GtLgiKpTmd2pYmQNMuq6TPD0qE0b)-1,column(zsupermetrics_n3GtLgiKpTmd2pYmQNMuq6TPD0qE0b)+COLUMNS(zsupermetrics_n3GtLgiKpTmd2pYmQNMuq6TPD0qE0b)-1)</f>
        <v>Formula!$G$3:$G$4</v>
      </c>
      <c r="F23" s="147"/>
      <c r="G23" s="149">
        <v>44481.599282407406</v>
      </c>
      <c r="H23" s="147"/>
      <c r="I23" s="146" t="s">
        <v>273</v>
      </c>
      <c r="J23" s="147"/>
      <c r="K23" s="146" t="b">
        <v>0</v>
      </c>
      <c r="L23" s="150">
        <v>5.0</v>
      </c>
      <c r="M23" s="146" t="s">
        <v>274</v>
      </c>
      <c r="N23" s="147"/>
      <c r="O23" s="146" t="s">
        <v>275</v>
      </c>
      <c r="P23" s="147"/>
      <c r="Q23" s="146" t="s">
        <v>286</v>
      </c>
      <c r="R23" s="147"/>
      <c r="S23" s="147"/>
      <c r="T23" s="147"/>
      <c r="U23" s="147"/>
      <c r="V23" s="147"/>
      <c r="W23" s="146" t="s">
        <v>277</v>
      </c>
      <c r="X23" s="146" t="s">
        <v>278</v>
      </c>
      <c r="Y23" s="146" t="s">
        <v>279</v>
      </c>
      <c r="Z23" s="146" t="s">
        <v>279</v>
      </c>
      <c r="AA23" s="146" t="s">
        <v>279</v>
      </c>
      <c r="AB23" s="146" t="s">
        <v>279</v>
      </c>
      <c r="AC23" s="147"/>
      <c r="AD23" s="147"/>
      <c r="AE23" s="147"/>
      <c r="AF23" s="146" t="s">
        <v>279</v>
      </c>
      <c r="AG23" s="146" t="s">
        <v>281</v>
      </c>
      <c r="AH23" s="147"/>
      <c r="AI23" s="147"/>
      <c r="AJ23" s="147"/>
      <c r="AK23" s="147"/>
      <c r="AL23" s="147"/>
      <c r="AM23" s="147"/>
      <c r="AN23" s="147"/>
      <c r="AO23" s="147"/>
      <c r="AP23" s="154" t="s">
        <v>290</v>
      </c>
      <c r="AQ23" s="147"/>
      <c r="AR23" s="147"/>
      <c r="AS23" s="147"/>
      <c r="AT23" s="147"/>
      <c r="AU23" s="146" t="s">
        <v>284</v>
      </c>
      <c r="AV23" s="147"/>
      <c r="AW23" s="147"/>
      <c r="AX23" s="147"/>
    </row>
    <row r="24">
      <c r="A24" s="146" t="s">
        <v>291</v>
      </c>
      <c r="B24" s="147"/>
      <c r="C24" s="147"/>
      <c r="D24" s="146" t="str">
        <f>IFERROR(__xludf.DUMMYFUNCTION("ARRAY_CONSTRAIN(split(CELL(""ADDRESS"",zsupermetrics_qWp7V908pNEYMtfv8QZvSTeDnBAHOU),""!""),1,1)"),"Formula")</f>
        <v>Formula</v>
      </c>
      <c r="E24" s="146" t="str">
        <f>CELL("ADDRESS",zsupermetrics_qWp7V908pNEYMtfv8QZvSTeDnBAHOU)&amp;":"&amp;address(row(zsupermetrics_qWp7V908pNEYMtfv8QZvSTeDnBAHOU)+rows(zsupermetrics_qWp7V908pNEYMtfv8QZvSTeDnBAHOU)-1,column(zsupermetrics_qWp7V908pNEYMtfv8QZvSTeDnBAHOU)+COLUMNS(zsupermetrics_qWp7V908pNEYMtfv8QZvSTeDnBAHOU)-1)</f>
        <v>Formula!$G$4:$H$5</v>
      </c>
      <c r="F24" s="147"/>
      <c r="G24" s="149">
        <v>44481.60076388889</v>
      </c>
      <c r="H24" s="149">
        <v>44481.55980324074</v>
      </c>
      <c r="I24" s="158" t="s">
        <v>292</v>
      </c>
      <c r="J24" s="150">
        <v>1.634037959028E12</v>
      </c>
      <c r="K24" s="146" t="b">
        <v>0</v>
      </c>
      <c r="L24" s="150"/>
      <c r="M24" s="146" t="s">
        <v>274</v>
      </c>
      <c r="N24" s="147"/>
      <c r="O24" s="146" t="s">
        <v>275</v>
      </c>
      <c r="P24" s="147"/>
      <c r="Q24" s="146" t="s">
        <v>286</v>
      </c>
      <c r="R24" s="147"/>
      <c r="S24" s="147"/>
      <c r="T24" s="147"/>
      <c r="U24" s="147"/>
      <c r="V24" s="147"/>
      <c r="W24" s="146" t="s">
        <v>277</v>
      </c>
      <c r="X24" s="146" t="s">
        <v>278</v>
      </c>
      <c r="Y24" s="146" t="s">
        <v>279</v>
      </c>
      <c r="Z24" s="146" t="s">
        <v>279</v>
      </c>
      <c r="AA24" s="146" t="s">
        <v>279</v>
      </c>
      <c r="AB24" s="146" t="s">
        <v>279</v>
      </c>
      <c r="AC24" s="147"/>
      <c r="AD24" s="147"/>
      <c r="AE24" s="147"/>
      <c r="AF24" s="146" t="s">
        <v>294</v>
      </c>
      <c r="AG24" s="146" t="s">
        <v>281</v>
      </c>
      <c r="AH24" s="147"/>
      <c r="AI24" s="147"/>
      <c r="AJ24" s="147"/>
      <c r="AK24" s="147"/>
      <c r="AL24" s="147"/>
      <c r="AM24" s="147"/>
      <c r="AN24" s="147"/>
      <c r="AO24" s="147"/>
      <c r="AP24" s="154" t="s">
        <v>295</v>
      </c>
      <c r="AQ24" s="147"/>
      <c r="AR24" s="147"/>
      <c r="AS24" s="147"/>
      <c r="AT24" s="147"/>
      <c r="AU24" s="146" t="s">
        <v>284</v>
      </c>
      <c r="AV24" s="147"/>
      <c r="AW24" s="147"/>
      <c r="AX24" s="147"/>
    </row>
    <row r="25">
      <c r="A25" s="146" t="s">
        <v>296</v>
      </c>
      <c r="B25" s="147"/>
      <c r="C25" s="147"/>
      <c r="D25" s="146" t="str">
        <f>IFERROR(__xludf.DUMMYFUNCTION("ARRAY_CONSTRAIN(split(CELL(""ADDRESS"",zsupermetrics_lx4cNai7gT6tH4j08ZRkI21Qlpjioi),""!""),1,1)"),"Formula")</f>
        <v>Formula</v>
      </c>
      <c r="E25" s="146" t="str">
        <f>CELL("ADDRESS",zsupermetrics_lx4cNai7gT6tH4j08ZRkI21Qlpjioi)&amp;":"&amp;address(row(zsupermetrics_lx4cNai7gT6tH4j08ZRkI21Qlpjioi)+rows(zsupermetrics_lx4cNai7gT6tH4j08ZRkI21Qlpjioi)-1,column(zsupermetrics_lx4cNai7gT6tH4j08ZRkI21Qlpjioi)+COLUMNS(zsupermetrics_lx4cNai7gT6tH4j08ZRkI21Qlpjioi)-1)</f>
        <v>Formula!$G$3:$H$4</v>
      </c>
      <c r="F25" s="147"/>
      <c r="G25" s="149">
        <v>44481.61704861111</v>
      </c>
      <c r="H25" s="147"/>
      <c r="I25" s="146" t="s">
        <v>273</v>
      </c>
      <c r="J25" s="147"/>
      <c r="K25" s="146" t="b">
        <v>0</v>
      </c>
      <c r="L25" s="150">
        <v>0.0</v>
      </c>
      <c r="M25" s="146" t="s">
        <v>274</v>
      </c>
      <c r="N25" s="147"/>
      <c r="O25" s="146" t="s">
        <v>275</v>
      </c>
      <c r="P25" s="147"/>
      <c r="Q25" s="146" t="s">
        <v>286</v>
      </c>
      <c r="R25" s="147"/>
      <c r="S25" s="147"/>
      <c r="T25" s="147"/>
      <c r="U25" s="147"/>
      <c r="V25" s="147"/>
      <c r="W25" s="146" t="s">
        <v>277</v>
      </c>
      <c r="X25" s="146" t="s">
        <v>278</v>
      </c>
      <c r="Y25" s="146" t="s">
        <v>279</v>
      </c>
      <c r="Z25" s="146" t="s">
        <v>279</v>
      </c>
      <c r="AA25" s="146" t="s">
        <v>279</v>
      </c>
      <c r="AB25" s="146" t="s">
        <v>279</v>
      </c>
      <c r="AC25" s="147"/>
      <c r="AD25" s="147"/>
      <c r="AE25" s="147"/>
      <c r="AF25" s="146" t="s">
        <v>294</v>
      </c>
      <c r="AG25" s="146" t="s">
        <v>281</v>
      </c>
      <c r="AH25" s="147"/>
      <c r="AI25" s="147"/>
      <c r="AJ25" s="147"/>
      <c r="AK25" s="147"/>
      <c r="AL25" s="147"/>
      <c r="AM25" s="147"/>
      <c r="AN25" s="147"/>
      <c r="AO25" s="147"/>
      <c r="AP25" s="154" t="s">
        <v>297</v>
      </c>
      <c r="AQ25" s="147"/>
      <c r="AR25" s="147"/>
      <c r="AS25" s="147"/>
      <c r="AT25" s="147"/>
      <c r="AU25" s="146" t="s">
        <v>284</v>
      </c>
      <c r="AV25" s="147"/>
      <c r="AW25" s="147"/>
      <c r="AX25" s="147"/>
    </row>
    <row r="26">
      <c r="A26" s="146" t="s">
        <v>298</v>
      </c>
      <c r="B26" s="147"/>
      <c r="C26" s="147"/>
      <c r="D26" s="146" t="str">
        <f>IFERROR(__xludf.DUMMYFUNCTION("ARRAY_CONSTRAIN(split(CELL(""ADDRESS"",zsupermetrics_4VkB7ij7WO0JjKBEgvjB2GHjSy2Egm),""!""),1,1)"),"Formula")</f>
        <v>Formula</v>
      </c>
      <c r="E26" s="146" t="str">
        <f>CELL("ADDRESS",zsupermetrics_4VkB7ij7WO0JjKBEgvjB2GHjSy2Egm)&amp;":"&amp;address(row(zsupermetrics_4VkB7ij7WO0JjKBEgvjB2GHjSy2Egm)+rows(zsupermetrics_4VkB7ij7WO0JjKBEgvjB2GHjSy2Egm)-1,column(zsupermetrics_4VkB7ij7WO0JjKBEgvjB2GHjSy2Egm)+COLUMNS(zsupermetrics_4VkB7ij7WO0JjKBEgvjB2GHjSy2Egm)-1)</f>
        <v>Formula!$G$3:$H$4</v>
      </c>
      <c r="F26" s="147"/>
      <c r="G26" s="149">
        <v>44481.617314814815</v>
      </c>
      <c r="H26" s="147"/>
      <c r="I26" s="146" t="s">
        <v>273</v>
      </c>
      <c r="J26" s="147"/>
      <c r="K26" s="146" t="b">
        <v>0</v>
      </c>
      <c r="L26" s="150">
        <v>9.0</v>
      </c>
      <c r="M26" s="146" t="s">
        <v>274</v>
      </c>
      <c r="N26" s="147"/>
      <c r="O26" s="146" t="s">
        <v>275</v>
      </c>
      <c r="P26" s="147"/>
      <c r="Q26" s="146" t="s">
        <v>276</v>
      </c>
      <c r="R26" s="147"/>
      <c r="S26" s="147"/>
      <c r="T26" s="147"/>
      <c r="U26" s="147"/>
      <c r="V26" s="147"/>
      <c r="W26" s="146" t="s">
        <v>277</v>
      </c>
      <c r="X26" s="146" t="s">
        <v>278</v>
      </c>
      <c r="Y26" s="146" t="s">
        <v>279</v>
      </c>
      <c r="Z26" s="146" t="s">
        <v>279</v>
      </c>
      <c r="AA26" s="146" t="s">
        <v>279</v>
      </c>
      <c r="AB26" s="146" t="s">
        <v>279</v>
      </c>
      <c r="AC26" s="147"/>
      <c r="AD26" s="147"/>
      <c r="AE26" s="147"/>
      <c r="AF26" s="146" t="s">
        <v>294</v>
      </c>
      <c r="AG26" s="146" t="s">
        <v>281</v>
      </c>
      <c r="AH26" s="147"/>
      <c r="AI26" s="147"/>
      <c r="AJ26" s="147"/>
      <c r="AK26" s="147"/>
      <c r="AL26" s="147"/>
      <c r="AM26" s="147"/>
      <c r="AN26" s="147"/>
      <c r="AO26" s="147"/>
      <c r="AP26" s="154" t="s">
        <v>297</v>
      </c>
      <c r="AQ26" s="147"/>
      <c r="AR26" s="147"/>
      <c r="AS26" s="147"/>
      <c r="AT26" s="147"/>
      <c r="AU26" s="146" t="s">
        <v>284</v>
      </c>
      <c r="AV26" s="147"/>
      <c r="AW26" s="147"/>
      <c r="AX26" s="147"/>
    </row>
    <row r="27">
      <c r="A27" s="146" t="s">
        <v>299</v>
      </c>
      <c r="B27" s="147"/>
      <c r="C27" s="147"/>
      <c r="D27" s="146" t="str">
        <f>IFERROR(__xludf.DUMMYFUNCTION("ARRAY_CONSTRAIN(split(CELL(""ADDRESS"",zsupermetrics_HgZqhorObHOtZHuyJjpmyYaEPoYntx),""!""),1,1)"),"Formula")</f>
        <v>Formula</v>
      </c>
      <c r="E27" s="146" t="str">
        <f>CELL("ADDRESS",zsupermetrics_HgZqhorObHOtZHuyJjpmyYaEPoYntx)&amp;":"&amp;address(row(zsupermetrics_HgZqhorObHOtZHuyJjpmyYaEPoYntx)+rows(zsupermetrics_HgZqhorObHOtZHuyJjpmyYaEPoYntx)-1,column(zsupermetrics_HgZqhorObHOtZHuyJjpmyYaEPoYntx)+COLUMNS(zsupermetrics_HgZqhorObHOtZHuyJjpmyYaEPoYntx)-1)</f>
        <v>Formula!$G$3:$G$4</v>
      </c>
      <c r="F27" s="147"/>
      <c r="G27" s="149">
        <v>44481.61914351852</v>
      </c>
      <c r="H27" s="147"/>
      <c r="I27" s="146" t="s">
        <v>273</v>
      </c>
      <c r="J27" s="147"/>
      <c r="K27" s="146" t="b">
        <v>0</v>
      </c>
      <c r="L27" s="150">
        <v>5.0</v>
      </c>
      <c r="M27" s="146" t="s">
        <v>274</v>
      </c>
      <c r="N27" s="147"/>
      <c r="O27" s="146" t="s">
        <v>275</v>
      </c>
      <c r="P27" s="147"/>
      <c r="Q27" s="146" t="s">
        <v>286</v>
      </c>
      <c r="R27" s="147"/>
      <c r="S27" s="147"/>
      <c r="T27" s="147"/>
      <c r="U27" s="147"/>
      <c r="V27" s="147"/>
      <c r="W27" s="146" t="s">
        <v>277</v>
      </c>
      <c r="X27" s="146" t="s">
        <v>278</v>
      </c>
      <c r="Y27" s="146" t="s">
        <v>279</v>
      </c>
      <c r="Z27" s="146" t="s">
        <v>279</v>
      </c>
      <c r="AA27" s="146" t="s">
        <v>279</v>
      </c>
      <c r="AB27" s="146" t="s">
        <v>279</v>
      </c>
      <c r="AC27" s="147"/>
      <c r="AD27" s="147"/>
      <c r="AE27" s="147"/>
      <c r="AF27" s="146" t="s">
        <v>279</v>
      </c>
      <c r="AG27" s="146" t="s">
        <v>281</v>
      </c>
      <c r="AH27" s="147"/>
      <c r="AI27" s="147"/>
      <c r="AJ27" s="147"/>
      <c r="AK27" s="147"/>
      <c r="AL27" s="147"/>
      <c r="AM27" s="147"/>
      <c r="AN27" s="147"/>
      <c r="AO27" s="147"/>
      <c r="AP27" s="154" t="s">
        <v>290</v>
      </c>
      <c r="AQ27" s="147"/>
      <c r="AR27" s="147"/>
      <c r="AS27" s="147"/>
      <c r="AT27" s="147"/>
      <c r="AU27" s="146" t="s">
        <v>284</v>
      </c>
      <c r="AV27" s="147"/>
      <c r="AW27" s="147"/>
      <c r="AX27" s="147"/>
    </row>
    <row r="28">
      <c r="A28" s="146" t="s">
        <v>300</v>
      </c>
      <c r="B28" s="147"/>
      <c r="C28" s="147"/>
      <c r="D28" s="146" t="str">
        <f>IFERROR(__xludf.DUMMYFUNCTION("ARRAY_CONSTRAIN(split(CELL(""ADDRESS"",zsupermetrics_ru0GDtbZzDLHQOQtJJ6K08MvUDyyp7),""!""),1,1)"),"Formula")</f>
        <v>Formula</v>
      </c>
      <c r="E28" s="146" t="str">
        <f>CELL("ADDRESS",zsupermetrics_ru0GDtbZzDLHQOQtJJ6K08MvUDyyp7)&amp;":"&amp;address(row(zsupermetrics_ru0GDtbZzDLHQOQtJJ6K08MvUDyyp7)+rows(zsupermetrics_ru0GDtbZzDLHQOQtJJ6K08MvUDyyp7)-1,column(zsupermetrics_ru0GDtbZzDLHQOQtJJ6K08MvUDyyp7)+COLUMNS(zsupermetrics_ru0GDtbZzDLHQOQtJJ6K08MvUDyyp7)-1)</f>
        <v>Formula!$G$3:$G$4</v>
      </c>
      <c r="F28" s="147"/>
      <c r="G28" s="149">
        <v>44481.62012731482</v>
      </c>
      <c r="H28" s="147"/>
      <c r="I28" s="146" t="s">
        <v>273</v>
      </c>
      <c r="J28" s="147"/>
      <c r="K28" s="146" t="b">
        <v>0</v>
      </c>
      <c r="L28" s="150">
        <v>0.0</v>
      </c>
      <c r="M28" s="146" t="s">
        <v>274</v>
      </c>
      <c r="N28" s="147"/>
      <c r="O28" s="146" t="s">
        <v>275</v>
      </c>
      <c r="P28" s="147"/>
      <c r="Q28" s="146" t="s">
        <v>286</v>
      </c>
      <c r="R28" s="147"/>
      <c r="S28" s="147"/>
      <c r="T28" s="147"/>
      <c r="U28" s="147"/>
      <c r="V28" s="147"/>
      <c r="W28" s="146" t="s">
        <v>277</v>
      </c>
      <c r="X28" s="146" t="s">
        <v>278</v>
      </c>
      <c r="Y28" s="146" t="s">
        <v>279</v>
      </c>
      <c r="Z28" s="146" t="s">
        <v>279</v>
      </c>
      <c r="AA28" s="146" t="s">
        <v>279</v>
      </c>
      <c r="AB28" s="146" t="s">
        <v>279</v>
      </c>
      <c r="AC28" s="147"/>
      <c r="AD28" s="147"/>
      <c r="AE28" s="147"/>
      <c r="AF28" s="146" t="s">
        <v>279</v>
      </c>
      <c r="AG28" s="146" t="s">
        <v>281</v>
      </c>
      <c r="AH28" s="147"/>
      <c r="AI28" s="147"/>
      <c r="AJ28" s="147"/>
      <c r="AK28" s="147"/>
      <c r="AL28" s="147"/>
      <c r="AM28" s="147"/>
      <c r="AN28" s="147"/>
      <c r="AO28" s="147"/>
      <c r="AP28" s="154" t="s">
        <v>290</v>
      </c>
      <c r="AQ28" s="147"/>
      <c r="AR28" s="147"/>
      <c r="AS28" s="147"/>
      <c r="AT28" s="147"/>
      <c r="AU28" s="146" t="s">
        <v>284</v>
      </c>
      <c r="AV28" s="147"/>
      <c r="AW28" s="147"/>
      <c r="AX28" s="147"/>
    </row>
    <row r="29">
      <c r="A29" s="146" t="s">
        <v>301</v>
      </c>
      <c r="B29" s="147"/>
      <c r="C29" s="147"/>
      <c r="D29" s="146" t="str">
        <f>IFERROR(__xludf.DUMMYFUNCTION("ARRAY_CONSTRAIN(split(CELL(""ADDRESS"",zsupermetrics_YsFuuYtr8vOdNXCCPiFJIO38NP4b2T),""!""),1,1)"),"Formula")</f>
        <v>Formula</v>
      </c>
      <c r="E29" s="146" t="str">
        <f>CELL("ADDRESS",zsupermetrics_YsFuuYtr8vOdNXCCPiFJIO38NP4b2T)&amp;":"&amp;address(row(zsupermetrics_YsFuuYtr8vOdNXCCPiFJIO38NP4b2T)+rows(zsupermetrics_YsFuuYtr8vOdNXCCPiFJIO38NP4b2T)-1,column(zsupermetrics_YsFuuYtr8vOdNXCCPiFJIO38NP4b2T)+COLUMNS(zsupermetrics_YsFuuYtr8vOdNXCCPiFJIO38NP4b2T)-1)</f>
        <v>Formula!$G$3:$H$4</v>
      </c>
      <c r="F29" s="147"/>
      <c r="G29" s="149">
        <v>44481.62038194444</v>
      </c>
      <c r="H29" s="147"/>
      <c r="I29" s="146" t="s">
        <v>273</v>
      </c>
      <c r="J29" s="147"/>
      <c r="K29" s="146" t="b">
        <v>0</v>
      </c>
      <c r="L29" s="150">
        <v>0.0</v>
      </c>
      <c r="M29" s="146" t="s">
        <v>274</v>
      </c>
      <c r="N29" s="147"/>
      <c r="O29" s="146" t="s">
        <v>275</v>
      </c>
      <c r="P29" s="147"/>
      <c r="Q29" s="146" t="s">
        <v>286</v>
      </c>
      <c r="R29" s="147"/>
      <c r="S29" s="147"/>
      <c r="T29" s="147"/>
      <c r="U29" s="147"/>
      <c r="V29" s="147"/>
      <c r="W29" s="146" t="s">
        <v>277</v>
      </c>
      <c r="X29" s="146" t="s">
        <v>278</v>
      </c>
      <c r="Y29" s="146" t="s">
        <v>279</v>
      </c>
      <c r="Z29" s="146" t="s">
        <v>279</v>
      </c>
      <c r="AA29" s="146" t="s">
        <v>279</v>
      </c>
      <c r="AB29" s="146" t="s">
        <v>279</v>
      </c>
      <c r="AC29" s="147"/>
      <c r="AD29" s="147"/>
      <c r="AE29" s="147"/>
      <c r="AF29" s="146" t="s">
        <v>294</v>
      </c>
      <c r="AG29" s="146" t="s">
        <v>281</v>
      </c>
      <c r="AH29" s="147"/>
      <c r="AI29" s="147"/>
      <c r="AJ29" s="147"/>
      <c r="AK29" s="147"/>
      <c r="AL29" s="147"/>
      <c r="AM29" s="147"/>
      <c r="AN29" s="147"/>
      <c r="AO29" s="147"/>
      <c r="AP29" s="154" t="s">
        <v>297</v>
      </c>
      <c r="AQ29" s="147"/>
      <c r="AR29" s="147"/>
      <c r="AS29" s="147"/>
      <c r="AT29" s="147"/>
      <c r="AU29" s="146" t="s">
        <v>284</v>
      </c>
      <c r="AV29" s="147"/>
      <c r="AW29" s="147"/>
      <c r="AX29" s="147"/>
    </row>
    <row r="30">
      <c r="A30" s="146" t="s">
        <v>302</v>
      </c>
      <c r="B30" s="147"/>
      <c r="C30" s="147"/>
      <c r="D30" s="146" t="str">
        <f>IFERROR(__xludf.DUMMYFUNCTION("ARRAY_CONSTRAIN(split(CELL(""ADDRESS"",zsupermetrics_OI1SHh9RTAzpmZ8JDWgszLojYv8Hv4),""!""),1,1)"),"Formula")</f>
        <v>Formula</v>
      </c>
      <c r="E30" s="146" t="str">
        <f>CELL("ADDRESS",zsupermetrics_OI1SHh9RTAzpmZ8JDWgszLojYv8Hv4)&amp;":"&amp;address(row(zsupermetrics_OI1SHh9RTAzpmZ8JDWgszLojYv8Hv4)+rows(zsupermetrics_OI1SHh9RTAzpmZ8JDWgszLojYv8Hv4)-1,column(zsupermetrics_OI1SHh9RTAzpmZ8JDWgszLojYv8Hv4)+COLUMNS(zsupermetrics_OI1SHh9RTAzpmZ8JDWgszLojYv8Hv4)-1)</f>
        <v>Formula!$F$3:$G$4</v>
      </c>
      <c r="F30" s="147"/>
      <c r="G30" s="149">
        <v>44482.39501157407</v>
      </c>
      <c r="H30" s="147"/>
      <c r="I30" s="146" t="s">
        <v>273</v>
      </c>
      <c r="J30" s="147"/>
      <c r="K30" s="146" t="b">
        <v>0</v>
      </c>
      <c r="L30" s="150">
        <v>4.0</v>
      </c>
      <c r="M30" s="146" t="s">
        <v>274</v>
      </c>
      <c r="N30" s="147"/>
      <c r="O30" s="146" t="s">
        <v>275</v>
      </c>
      <c r="P30" s="147"/>
      <c r="Q30" s="146" t="s">
        <v>286</v>
      </c>
      <c r="R30" s="147"/>
      <c r="S30" s="147"/>
      <c r="T30" s="147"/>
      <c r="U30" s="147"/>
      <c r="V30" s="147"/>
      <c r="W30" s="146" t="s">
        <v>277</v>
      </c>
      <c r="X30" s="146" t="s">
        <v>278</v>
      </c>
      <c r="Y30" s="146" t="s">
        <v>279</v>
      </c>
      <c r="Z30" s="146" t="s">
        <v>279</v>
      </c>
      <c r="AA30" s="146" t="s">
        <v>279</v>
      </c>
      <c r="AB30" s="146" t="s">
        <v>279</v>
      </c>
      <c r="AC30" s="147"/>
      <c r="AD30" s="147"/>
      <c r="AE30" s="147"/>
      <c r="AF30" s="146" t="s">
        <v>294</v>
      </c>
      <c r="AG30" s="146" t="s">
        <v>281</v>
      </c>
      <c r="AH30" s="147"/>
      <c r="AI30" s="147"/>
      <c r="AJ30" s="147"/>
      <c r="AK30" s="147"/>
      <c r="AL30" s="147"/>
      <c r="AM30" s="147"/>
      <c r="AN30" s="147"/>
      <c r="AO30" s="147"/>
      <c r="AP30" s="154" t="s">
        <v>304</v>
      </c>
      <c r="AQ30" s="147"/>
      <c r="AR30" s="147"/>
      <c r="AS30" s="147"/>
      <c r="AT30" s="147"/>
      <c r="AU30" s="146" t="s">
        <v>284</v>
      </c>
      <c r="AV30" s="147"/>
      <c r="AW30" s="147"/>
      <c r="AX30" s="147"/>
    </row>
  </sheetData>
  <mergeCells count="5">
    <mergeCell ref="A6:G7"/>
    <mergeCell ref="A8:G9"/>
    <mergeCell ref="A10:G11"/>
    <mergeCell ref="A13:H15"/>
    <mergeCell ref="A16:H17"/>
  </mergeCells>
  <drawing r:id="rId2"/>
  <legacyDrawing r:id="rId3"/>
</worksheet>
</file>