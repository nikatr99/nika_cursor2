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heetId="1" r:id="rId5"/>
    <sheet state="visible" name="Attribution" sheetId="2" r:id="rId6"/>
    <sheet state="visible" name="Detailed Report" sheetId="3" r:id="rId7"/>
    <sheet state="visible" name="Refunds" sheetId="4" r:id="rId8"/>
    <sheet state="visible" name="Formula" sheetId="5" r:id="rId9"/>
    <sheet state="visible" name="SupermetricsQueries" sheetId="6" r:id="rId10"/>
  </sheets>
  <definedNames>
    <definedName name="zsupermetrics_9i4W4hgd80uRpQLMeX0eRnESN8gjyv">Formula!$H$12</definedName>
    <definedName name="zsupermetrics_ru0GDtbZzDLHQOQtJJ6K08MvUDyyp7">Formula!$G$3:$G$4</definedName>
    <definedName name="zsupermetrics_lx4cNai7gT6tH4j08ZRkI21Qlpjioi">Formula!$G$3:$H$12</definedName>
    <definedName name="zsupermetrics_refreshAll">SupermetricsQueries!$H$5</definedName>
    <definedName name="zsupermetrics_8xojRjNDjo2jWHGDWjFEhflhyIq3Hq">Sales!$K$7:$K$8</definedName>
    <definedName name="zsupermetrics_n3GtLgiKpTmd2pYmQNMuq6TPD0qE0b">Formula!$G$3:$G$4</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wbYMmT0YL9bAN0yhimW0ziPFnia9Dx">Formula!$F$1:$F$2</definedName>
    <definedName name="zsupermetrics_YsFuuYtr8vOdNXCCPiFJIO38NP4b2T">Formula!$G$3:$H$12</definedName>
    <definedName name="zsupermetrics_iNpyVy90bWCI0yUaFQpxOtzWMa6sW4">Formula!$F$1:$F$2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tc={369216ea-16a5-4890-910c-d101a0961ce2}</author>
    <author>tc={a6d6d675-64f3-4cdc-8586-36bd55f2ffea}</author>
  </authors>
  <commentList>
    <comment authorId="0" ref="I9">
      <text>
        <t xml:space="preserve">Before 8.10. - data from GA
8.10. and onwards from FB</t>
      </text>
    </comment>
    <comment authorId="1" xr:uid="{369216ea-16a5-4890-910c-d101a0961ce2}" ref="B3">
      <text>
        <t xml:space="preserve">[Threaded comment]
 Your version of Excel allows you to read this threaded comment; however, any edits to it will get removed if the file is opened in a newer version of Excel. Learn more: https://go.microsoft.com/fwlink/?linkid=870924
Comment:
	Strošek BB iz $85 na $86.58
Strošek Fence Mount na $7
Strošek Wall mount na $3.29
Strošek Solar Roof na $8.93
Strošek Suet Ball na $0.45
Added Sales tax 5% to all revenue (line 135)
</t>
      </text>
    </comment>
    <comment authorId="2" xr:uid="{a6d6d675-64f3-4cdc-8586-36bd55f2ffea}" ref="Z141">
      <text>
        <t xml:space="preserve">[Threaded comment]
 Your version of Excel allows you to read this threaded comment; however, any edits to it will get removed if the file is opened in a newer version of Excel. Learn more: https://go.microsoft.com/fwlink/?linkid=870924
Comment:
	Odšteti vsi refundi, ki ne bodo shippani.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<sst xmlns="http://schemas.openxmlformats.org/spreadsheetml/2006/main" count="968" uniqueCount="564">
  <si>
    <t>Date</t>
  </si>
  <si>
    <t>MESEC</t>
  </si>
  <si>
    <t>Date of purchase</t>
  </si>
  <si>
    <t>Order ID</t>
  </si>
  <si>
    <t>Name</t>
  </si>
  <si>
    <t>Email</t>
  </si>
  <si>
    <t>Value</t>
  </si>
  <si>
    <t>Reason</t>
  </si>
  <si>
    <t>Platform</t>
  </si>
  <si>
    <t>Number</t>
  </si>
  <si>
    <t>#6121</t>
  </si>
  <si>
    <t>AJ Kratt</t>
  </si>
  <si>
    <t>ajkratt@icloud.com</t>
  </si>
  <si>
    <t>Delivery date</t>
  </si>
  <si>
    <t>Shopify</t>
  </si>
  <si>
    <t>FRI</t>
  </si>
  <si>
    <t>Delivery Date</t>
  </si>
  <si>
    <t>SAT</t>
  </si>
  <si>
    <t>SUN</t>
  </si>
  <si>
    <t>MON</t>
  </si>
  <si>
    <t>TUE</t>
  </si>
  <si>
    <t>WED</t>
  </si>
  <si>
    <t>THU</t>
  </si>
  <si>
    <t>Skupaj</t>
  </si>
  <si>
    <t>DAN</t>
  </si>
  <si>
    <t>PET</t>
  </si>
  <si>
    <t>SOB</t>
  </si>
  <si>
    <t>NED</t>
  </si>
  <si>
    <t>PON</t>
  </si>
  <si>
    <t>TOR</t>
  </si>
  <si>
    <t>SRE</t>
  </si>
  <si>
    <t>ČET</t>
  </si>
  <si>
    <t>17/6/2021</t>
  </si>
  <si>
    <t>#3795</t>
  </si>
  <si>
    <t>FB Orders (Shopify + IGG)</t>
  </si>
  <si>
    <t>Marisol Plazas</t>
  </si>
  <si>
    <t>marisolcplazas@gmail.com</t>
  </si>
  <si>
    <t>Cannot afford it anymore</t>
  </si>
  <si>
    <t>Cannot Afford it Anymore</t>
  </si>
  <si>
    <t>KOMENTAR</t>
  </si>
  <si>
    <t>18/7/2021</t>
  </si>
  <si>
    <t>#7605</t>
  </si>
  <si>
    <t>Ciera Dillard</t>
  </si>
  <si>
    <t>dillardeevee@gmail.com</t>
  </si>
  <si>
    <t>Moving</t>
  </si>
  <si>
    <t>All Orders (Shopify + IGG)</t>
  </si>
  <si>
    <t>19/5/2021</t>
  </si>
  <si>
    <t>#1464</t>
  </si>
  <si>
    <t>Laurence Humphreys-Davies</t>
  </si>
  <si>
    <t>Transakcije</t>
  </si>
  <si>
    <t>laurence@humphreysdavies.co.uk</t>
  </si>
  <si>
    <t>Refund and order another Bundle</t>
  </si>
  <si>
    <t>#2942</t>
  </si>
  <si>
    <t>Laramee John</t>
  </si>
  <si>
    <t>johnlaramee@me.com</t>
  </si>
  <si>
    <t>Unknown</t>
  </si>
  <si>
    <t>Google (Internal)</t>
  </si>
  <si>
    <t>#11544</t>
  </si>
  <si>
    <t>Donna Christensen</t>
  </si>
  <si>
    <t>dnattyr@gmail.com</t>
  </si>
  <si>
    <t>Other</t>
  </si>
  <si>
    <t>% Attributed to FB (Ads Manager)</t>
  </si>
  <si>
    <t>#12132</t>
  </si>
  <si>
    <t>Nicklas Ansman Giertz</t>
  </si>
  <si>
    <t>nicklas@ansman.se</t>
  </si>
  <si>
    <t>All</t>
  </si>
  <si>
    <t>#2922</t>
  </si>
  <si>
    <t>Aiden Beard</t>
  </si>
  <si>
    <t>canaidenb@gmail.com</t>
  </si>
  <si>
    <t>FB (IGG Digital Team)</t>
  </si>
  <si>
    <t>#12240</t>
  </si>
  <si>
    <t>Patricia Osterhouse</t>
  </si>
  <si>
    <t>trisho831@gmail.com</t>
  </si>
  <si>
    <t>All Orders</t>
  </si>
  <si>
    <t>14/6/2021</t>
  </si>
  <si>
    <t>#7011</t>
  </si>
  <si>
    <t>Rachel Shelton</t>
  </si>
  <si>
    <t>racheldshelton@yahoo.com</t>
  </si>
  <si>
    <t>Attribution</t>
  </si>
  <si>
    <t>#7788</t>
  </si>
  <si>
    <t>Cynthia Bannon</t>
  </si>
  <si>
    <t>cindy@salomonrealty.com</t>
  </si>
  <si>
    <t>Notes</t>
  </si>
  <si>
    <t>Refund %</t>
  </si>
  <si>
    <t>Counting MUA Purchases</t>
  </si>
  <si>
    <t>Uploading offline conversions</t>
  </si>
  <si>
    <t>20/6/2021</t>
  </si>
  <si>
    <t>Price Up</t>
  </si>
  <si>
    <t>#4340</t>
  </si>
  <si>
    <t>CBS</t>
  </si>
  <si>
    <t>Carol Mecham</t>
  </si>
  <si>
    <t>cnmmecham@gmail.com</t>
  </si>
  <si>
    <t>IGG Over</t>
  </si>
  <si>
    <t>FB Orders (Shopify)</t>
  </si>
  <si>
    <t>FB (Backerkit)</t>
  </si>
  <si>
    <t>#10529</t>
  </si>
  <si>
    <t>Martin Tödtling</t>
  </si>
  <si>
    <t>martin@xn--tdtling-90a.com</t>
  </si>
  <si>
    <t>#12355</t>
  </si>
  <si>
    <t>Becky Fenwick</t>
  </si>
  <si>
    <t>rgfenstick@gmail.com</t>
  </si>
  <si>
    <t>FB Offline Conversions (Shopify</t>
  </si>
  <si>
    <t>23/5/2021</t>
  </si>
  <si>
    <t>FB (Internal Paid)</t>
  </si>
  <si>
    <t>#12294</t>
  </si>
  <si>
    <t>Donna Goodwin</t>
  </si>
  <si>
    <t>donnacgoodwin1@gmail.com</t>
  </si>
  <si>
    <t>Indiegogo</t>
  </si>
  <si>
    <t>#12259</t>
  </si>
  <si>
    <t>Gregg Mitchell</t>
  </si>
  <si>
    <t>greggmitch1@att.net</t>
  </si>
  <si>
    <t>% difference</t>
  </si>
  <si>
    <t>Januar</t>
  </si>
  <si>
    <t>13/10/2021</t>
  </si>
  <si>
    <t>22/6/2021</t>
  </si>
  <si>
    <t>#4671</t>
  </si>
  <si>
    <t>Belinda Moisan</t>
  </si>
  <si>
    <t>bsmoisan@gmail.com</t>
  </si>
  <si>
    <t>Februar</t>
  </si>
  <si>
    <t>FB (US &amp; CA)</t>
  </si>
  <si>
    <t>18/11/2020</t>
  </si>
  <si>
    <t>#820</t>
  </si>
  <si>
    <t>Kieran Bohan</t>
  </si>
  <si>
    <t>kieran.bohan@yahoo.co.uk</t>
  </si>
  <si>
    <t>Kickstarter</t>
  </si>
  <si>
    <t>Marec</t>
  </si>
  <si>
    <t>#12258</t>
  </si>
  <si>
    <t>Alisa Ruot</t>
  </si>
  <si>
    <t>rosieruot@gmail.com</t>
  </si>
  <si>
    <t>April</t>
  </si>
  <si>
    <t xml:space="preserve">       14/10/2021</t>
  </si>
  <si>
    <t>#1614</t>
  </si>
  <si>
    <t>GA (UTM: fb-paid) Orders (Shopify)</t>
  </si>
  <si>
    <t>Jody Thoennes</t>
  </si>
  <si>
    <t>jody.thoennes@gmail.com</t>
  </si>
  <si>
    <t>Maj</t>
  </si>
  <si>
    <t>#10357</t>
  </si>
  <si>
    <t>Brandy Reed</t>
  </si>
  <si>
    <t>brandynicole7399@yahoo.com</t>
  </si>
  <si>
    <t>Junij</t>
  </si>
  <si>
    <t>14/10/2021</t>
  </si>
  <si>
    <t>#12324</t>
  </si>
  <si>
    <t>FB (EU &amp; UK)</t>
  </si>
  <si>
    <t>Heidi K Hohmann</t>
  </si>
  <si>
    <t>heidik520@gmail.com</t>
  </si>
  <si>
    <t>Julij</t>
  </si>
  <si>
    <t>15/10/2021</t>
  </si>
  <si>
    <t>24/7/2021</t>
  </si>
  <si>
    <t>#9061</t>
  </si>
  <si>
    <t>Laura McKnight</t>
  </si>
  <si>
    <t>lkmck07@gmail.com</t>
  </si>
  <si>
    <t>Avgust</t>
  </si>
  <si>
    <t>18/10/2021</t>
  </si>
  <si>
    <t>#12662</t>
  </si>
  <si>
    <t>Marian Williams</t>
  </si>
  <si>
    <t>mwilliams2529@cfl.rr.com</t>
  </si>
  <si>
    <t>September</t>
  </si>
  <si>
    <t>#11516</t>
  </si>
  <si>
    <t>Julia Kiwitter</t>
  </si>
  <si>
    <t>julia@julia-kiwitter.de</t>
  </si>
  <si>
    <t>Bing Microsoft</t>
  </si>
  <si>
    <t>Oktober</t>
  </si>
  <si>
    <t>17/7/2021</t>
  </si>
  <si>
    <t>#7507</t>
  </si>
  <si>
    <t>Traci Waiss</t>
  </si>
  <si>
    <t>hospicern35@gmail.com</t>
  </si>
  <si>
    <t>Social Orders (Shopify)</t>
  </si>
  <si>
    <t>#7564</t>
  </si>
  <si>
    <t>Pinterest</t>
  </si>
  <si>
    <t>Blair Davis</t>
  </si>
  <si>
    <t>baydavis1@gmail.com</t>
  </si>
  <si>
    <t>26/6/2021</t>
  </si>
  <si>
    <t>#5004</t>
  </si>
  <si>
    <t>Daniel Oikari</t>
  </si>
  <si>
    <t>daniel@planetpromo.se</t>
  </si>
  <si>
    <t>13/7/2021</t>
  </si>
  <si>
    <t>TikTok</t>
  </si>
  <si>
    <t>#6914</t>
  </si>
  <si>
    <t>Michael Noonan</t>
  </si>
  <si>
    <t>mjnoonan2@gmail.com</t>
  </si>
  <si>
    <t>16/10/2021</t>
  </si>
  <si>
    <t>#12743</t>
  </si>
  <si>
    <t>barbara glasser</t>
  </si>
  <si>
    <t>barbglasser@yahoo.com</t>
  </si>
  <si>
    <t>19/10/2021</t>
  </si>
  <si>
    <t>#11993</t>
  </si>
  <si>
    <t>Dan Hentschke</t>
  </si>
  <si>
    <t>bblackhu@gmail.com</t>
  </si>
  <si>
    <t>16/7/2021</t>
  </si>
  <si>
    <t>#7352</t>
  </si>
  <si>
    <t>Kelly Tanner</t>
  </si>
  <si>
    <t>PP Survey (FB) Orders</t>
  </si>
  <si>
    <t>momoftwo2021@yahoo.com</t>
  </si>
  <si>
    <t>#10824</t>
  </si>
  <si>
    <t>Dan Bullerman</t>
  </si>
  <si>
    <t>dlbuller@mtu.edu</t>
  </si>
  <si>
    <t>20/10/2021</t>
  </si>
  <si>
    <t>PP Survey (FB) Orders Modeled #1</t>
  </si>
  <si>
    <t>#3466</t>
  </si>
  <si>
    <t>Brian McCarty</t>
  </si>
  <si>
    <t>bkmccarty@gmail.com</t>
  </si>
  <si>
    <t>#3901</t>
  </si>
  <si>
    <t>Katherine Scott</t>
  </si>
  <si>
    <t>17kascott@gmail.com</t>
  </si>
  <si>
    <t>27/7/2021</t>
  </si>
  <si>
    <t>#9925</t>
  </si>
  <si>
    <t>Laura Allen</t>
  </si>
  <si>
    <t>allen3841@gmail.com</t>
  </si>
  <si>
    <t>21/10/2021</t>
  </si>
  <si>
    <t>23/11/2020</t>
  </si>
  <si>
    <t>#5392</t>
  </si>
  <si>
    <t>Jody Sataloff</t>
  </si>
  <si>
    <t>jsataloff@gmail.com</t>
  </si>
  <si>
    <t>#18603</t>
  </si>
  <si>
    <t>Cheryl Hanes</t>
  </si>
  <si>
    <t>cheryl@idri.net</t>
  </si>
  <si>
    <t>Prihodek</t>
  </si>
  <si>
    <t>22/10/2021</t>
  </si>
  <si>
    <t>#5780</t>
  </si>
  <si>
    <t>Joel Sthilaire</t>
  </si>
  <si>
    <t>joelst40@gmail.com</t>
  </si>
  <si>
    <t>19/7/2021</t>
  </si>
  <si>
    <t>#7939</t>
  </si>
  <si>
    <t>Oliver Steel</t>
  </si>
  <si>
    <t>osteel3@gmail.com</t>
  </si>
  <si>
    <t>PP Survey (FB) Orders Modeled #2</t>
  </si>
  <si>
    <t>25/10/2021</t>
  </si>
  <si>
    <t>#7624</t>
  </si>
  <si>
    <t>Runshen Zhu</t>
  </si>
  <si>
    <t>runshen.zhu@gmail.com</t>
  </si>
  <si>
    <t>#11143</t>
  </si>
  <si>
    <t>Julie Sessions</t>
  </si>
  <si>
    <t>jds-33@hotmail.com</t>
  </si>
  <si>
    <t>Product Price Up</t>
  </si>
  <si>
    <t>24/5/2021</t>
  </si>
  <si>
    <t>CBS Broadcast</t>
  </si>
  <si>
    <t>#12440</t>
  </si>
  <si>
    <t>Gerold Riedmann</t>
  </si>
  <si>
    <t>gerold@riedmann.net.</t>
  </si>
  <si>
    <t>Shipping Price Up, Special Offer from March to April</t>
  </si>
  <si>
    <t>#12736</t>
  </si>
  <si>
    <t>Carly Rigg</t>
  </si>
  <si>
    <t>biggrigg@gmail.com</t>
  </si>
  <si>
    <t>Halloween Offer</t>
  </si>
  <si>
    <t>#6320</t>
  </si>
  <si>
    <t>Jenna Greiner</t>
  </si>
  <si>
    <t>jengrein@umich.edu</t>
  </si>
  <si>
    <t>#1519</t>
  </si>
  <si>
    <t>Rebecca Satterfield</t>
  </si>
  <si>
    <t>beckysatterfield@gmail.com</t>
  </si>
  <si>
    <t>21/7/2021</t>
  </si>
  <si>
    <t>#8371</t>
  </si>
  <si>
    <t>Elizabeth Meyer</t>
  </si>
  <si>
    <t>ecr1974@aol.com</t>
  </si>
  <si>
    <t>13/5/2021</t>
  </si>
  <si>
    <t>#1207</t>
  </si>
  <si>
    <t>Richard Ward</t>
  </si>
  <si>
    <t>richardjamesward@icloud.com</t>
  </si>
  <si>
    <t>#13044</t>
  </si>
  <si>
    <t>Tannis Chartier</t>
  </si>
  <si>
    <t>tannis.chartier@gmail.com</t>
  </si>
  <si>
    <t>Doesn't wan't BB anymore</t>
  </si>
  <si>
    <t>#4316</t>
  </si>
  <si>
    <t>Rosemary Morrissey</t>
  </si>
  <si>
    <t>hopetori@aol.com</t>
  </si>
  <si>
    <t>#6813</t>
  </si>
  <si>
    <t>Victoria Rodriguez</t>
  </si>
  <si>
    <t>cambrea.sosa@gmail.com</t>
  </si>
  <si>
    <t>18/6/2021</t>
  </si>
  <si>
    <t>#3876</t>
  </si>
  <si>
    <t>Amy Kirkland</t>
  </si>
  <si>
    <t>kirkland1130@gmail.com</t>
  </si>
  <si>
    <t>Response Rate</t>
  </si>
  <si>
    <t>23/7/2021</t>
  </si>
  <si>
    <t>#8768</t>
  </si>
  <si>
    <t>Kate Simonton</t>
  </si>
  <si>
    <t>Total Revenue</t>
  </si>
  <si>
    <t>dr.ksimonton@gmail.com</t>
  </si>
  <si>
    <t>22/7/2021</t>
  </si>
  <si>
    <t>#8538</t>
  </si>
  <si>
    <t>Berit van Meegen</t>
  </si>
  <si>
    <t>berit.vanmeegen@icloud.com</t>
  </si>
  <si>
    <t>#12246</t>
  </si>
  <si>
    <t>Mary Tarpey</t>
  </si>
  <si>
    <t>martarp@comcast.net</t>
  </si>
  <si>
    <t>#8012</t>
  </si>
  <si>
    <t>Amy Nardella</t>
  </si>
  <si>
    <t>amyw87@gmail.com</t>
  </si>
  <si>
    <t>#3836</t>
  </si>
  <si>
    <t>Dana Loomis</t>
  </si>
  <si>
    <t>dvloomis@icloud.com</t>
  </si>
  <si>
    <t>17/5/2021</t>
  </si>
  <si>
    <t>#1373</t>
  </si>
  <si>
    <t>Synthia Kaiser</t>
  </si>
  <si>
    <t>synkaiser@hotmail.com</t>
  </si>
  <si>
    <t>#3211</t>
  </si>
  <si>
    <t>Katharine Jaydan</t>
  </si>
  <si>
    <t>katiejaydan@hotmail.com</t>
  </si>
  <si>
    <t>25/7/2021</t>
  </si>
  <si>
    <t>#9274</t>
  </si>
  <si>
    <t>Andrew Hawes</t>
  </si>
  <si>
    <t>ahawes69@hotmail.com</t>
  </si>
  <si>
    <t>#6570</t>
  </si>
  <si>
    <t>Glenn Gregory</t>
  </si>
  <si>
    <t>gsgregory@hotmail.com.au</t>
  </si>
  <si>
    <t>26/10/2021</t>
  </si>
  <si>
    <t>#8933</t>
  </si>
  <si>
    <t>Graham Moss</t>
  </si>
  <si>
    <t>grahamwmoss@hotmail.com</t>
  </si>
  <si>
    <t>#12561</t>
  </si>
  <si>
    <t>Christopher McGratty</t>
  </si>
  <si>
    <t>chrisfmcgratty@gmail.com</t>
  </si>
  <si>
    <t>Orders</t>
  </si>
  <si>
    <t>28/6/2021</t>
  </si>
  <si>
    <t>#5193</t>
  </si>
  <si>
    <t>Tammy Bieber</t>
  </si>
  <si>
    <t>tammylbieber@gmail.com</t>
  </si>
  <si>
    <t>20/7/2021</t>
  </si>
  <si>
    <t>#8063</t>
  </si>
  <si>
    <t>Don Sheppard</t>
  </si>
  <si>
    <t>dw3cdo544@hotmail.ca</t>
  </si>
  <si>
    <t>FB - US &amp; CA</t>
  </si>
  <si>
    <t>#7503</t>
  </si>
  <si>
    <t>Amy Boshell</t>
  </si>
  <si>
    <t>amywelch324@gmail.com</t>
  </si>
  <si>
    <t>29/6/2021</t>
  </si>
  <si>
    <t>#5299</t>
  </si>
  <si>
    <t>Rachael Cornius-Randall</t>
  </si>
  <si>
    <t>info@advancedlearningcentre.com.au</t>
  </si>
  <si>
    <t>Shopify (All)</t>
  </si>
  <si>
    <t>#9877</t>
  </si>
  <si>
    <t>Paul Albrecht</t>
  </si>
  <si>
    <t>paul.albrecht@gmail.com</t>
  </si>
  <si>
    <t>#12928</t>
  </si>
  <si>
    <t>Microsoft</t>
  </si>
  <si>
    <t>Meredith Wright</t>
  </si>
  <si>
    <t>swimlbi@aol.com</t>
  </si>
  <si>
    <t>27/10/2021</t>
  </si>
  <si>
    <t>18/10/2020</t>
  </si>
  <si>
    <t>#1854</t>
  </si>
  <si>
    <t>Adam East</t>
  </si>
  <si>
    <t>adameast.east976@gmail.com</t>
  </si>
  <si>
    <t>28/10/2021</t>
  </si>
  <si>
    <t>23/6/2021</t>
  </si>
  <si>
    <t>#8775</t>
  </si>
  <si>
    <t>Marlis Schmid</t>
  </si>
  <si>
    <t>marlis.schmid@gmx.net</t>
  </si>
  <si>
    <t>29/10/2021</t>
  </si>
  <si>
    <t>#13124</t>
  </si>
  <si>
    <t>Nicholas Lau</t>
  </si>
  <si>
    <t>nlau@hey.com</t>
  </si>
  <si>
    <t>23/06/2021</t>
  </si>
  <si>
    <t>#4731</t>
  </si>
  <si>
    <t>Youssef AlMuawad</t>
  </si>
  <si>
    <t>yalmuawad@gmail.com</t>
  </si>
  <si>
    <t>#2785</t>
  </si>
  <si>
    <t>Karri Craig</t>
  </si>
  <si>
    <t>GA (Shopify)</t>
  </si>
  <si>
    <t>karricraig@verizon.net</t>
  </si>
  <si>
    <t>Google - WW</t>
  </si>
  <si>
    <t>Bing - WW</t>
  </si>
  <si>
    <t>Total Spend</t>
  </si>
  <si>
    <t>PP Survey (All) Order Views</t>
  </si>
  <si>
    <t>ROAS</t>
  </si>
  <si>
    <t>Odhodek</t>
  </si>
  <si>
    <t>Google Spend (Internal)</t>
  </si>
  <si>
    <t>CAC</t>
  </si>
  <si>
    <t>CR</t>
  </si>
  <si>
    <t>Provizija 15% Spend (MuteSIX) / $3,500</t>
  </si>
  <si>
    <t>AOV</t>
  </si>
  <si>
    <t>FB Spend (IGG Digital Team)</t>
  </si>
  <si>
    <t>Provizija 13% Purchase (IGG Digital Team)</t>
  </si>
  <si>
    <t>Post-purchase Survey</t>
  </si>
  <si>
    <t>Facebook / Instagram</t>
  </si>
  <si>
    <t>FB Spend (Backerkit)</t>
  </si>
  <si>
    <t>Friends / Family</t>
  </si>
  <si>
    <t>Provizija 15% Purchase (Backerkit)</t>
  </si>
  <si>
    <t>Google, Yahoo, Bing</t>
  </si>
  <si>
    <t>FB Spend (Internal Paid)</t>
  </si>
  <si>
    <t>FB Spend (US &amp; CA)</t>
  </si>
  <si>
    <t>TV / Radio</t>
  </si>
  <si>
    <t>Blog / Article</t>
  </si>
  <si>
    <t>Microsoft Spend</t>
  </si>
  <si>
    <t>Revenue</t>
  </si>
  <si>
    <t>Spend</t>
  </si>
  <si>
    <t>Pinterest Spend</t>
  </si>
  <si>
    <t>TikTok Spend</t>
  </si>
  <si>
    <t>FB Spend (EU &amp; UK)</t>
  </si>
  <si>
    <t>Platform Fee (6,90%)</t>
  </si>
  <si>
    <t>Processing Fee (2,6%)</t>
  </si>
  <si>
    <t>FB - US and CA</t>
  </si>
  <si>
    <t>Error: You need to reauthenticate the Shopify account used in the query and run it again: https://supermetrics.link/reauth</t>
  </si>
  <si>
    <t>EUR</t>
  </si>
  <si>
    <t>USD</t>
  </si>
  <si>
    <t>Transaction Fee ($0.3)</t>
  </si>
  <si>
    <t>Supermetrics Queries</t>
  </si>
  <si>
    <t>Stroški</t>
  </si>
  <si>
    <t>Strošek BB ($86.58)</t>
  </si>
  <si>
    <t>All the queries created by Supermetrics are stored here, each in its own row.</t>
  </si>
  <si>
    <t>Poštnina ($10)</t>
  </si>
  <si>
    <t>On this sheet you can:</t>
  </si>
  <si>
    <t>Delni dobiček</t>
  </si>
  <si>
    <t>1. Modify the parameters of a query. Any changes will be visible when you run a refresh.</t>
  </si>
  <si>
    <t>2. Remove a query by deleting its row</t>
  </si>
  <si>
    <t>Europe/Paris</t>
  </si>
  <si>
    <t>Performance (Google)</t>
  </si>
  <si>
    <t>Facebook</t>
  </si>
  <si>
    <t>3. Add new queries: type a range address and query parameters, leave the query ID empty. The query will be added when you run a refresh. (Of course, it's much easier to use the sidebar to add new queries.)</t>
  </si>
  <si>
    <t>FB ROAS</t>
  </si>
  <si>
    <t>FB CPO</t>
  </si>
  <si>
    <t>MER</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</si>
  <si>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</si>
  <si>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Performance IGG Digital Team</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</si>
  <si>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</si>
  <si>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</si>
  <si>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</si>
  <si>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</si>
  <si>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</si>
  <si>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</si>
  <si>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</si>
  <si>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</si>
  <si>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</si>
  <si>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</si>
  <si>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</si>
  <si>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</si>
  <si>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</si>
  <si>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</si>
  <si>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</si>
  <si>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</si>
  <si>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</si>
  <si>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</si>
  <si>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</si>
  <si>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</si>
  <si>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</si>
  <si>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</si>
  <si>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</si>
  <si>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</si>
  <si>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Performance Backerkit</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</si>
  <si>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</si>
  <si>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</si>
  <si>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</si>
  <si>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</si>
  <si>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</si>
  <si>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</si>
  <si>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</si>
  <si>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</si>
  <si>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</si>
  <si>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</si>
  <si>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</si>
  <si>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</si>
  <si>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</si>
  <si>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</si>
  <si>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</si>
  <si>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</si>
  <si>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</si>
  <si>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</si>
  <si>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</si>
  <si>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</si>
  <si>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</si>
  <si>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</si>
  <si>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</si>
  <si>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</si>
  <si>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</si>
  <si>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</si>
  <si>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</si>
  <si>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</si>
  <si>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</si>
  <si>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</si>
  <si>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</si>
  <si>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</si>
  <si>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</si>
  <si>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</si>
  <si>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</si>
  <si>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</si>
  <si>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</si>
  <si>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</si>
  <si>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</si>
  <si>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</si>
  <si>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</si>
  <si>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</si>
  <si>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</si>
  <si>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</si>
  <si>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</si>
  <si>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</si>
  <si>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</si>
  <si>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</si>
  <si>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</si>
  <si>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</si>
  <si>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</si>
  <si>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</si>
  <si>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</si>
  <si>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</si>
  <si>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</si>
  <si>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</si>
  <si>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</si>
  <si>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</si>
  <si>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xwoIpANxRm908eDp5oKTwQpEI8gvD4</t>
  </si>
  <si>
    <t>TABLE</t>
  </si>
  <si>
    <t>SHP</t>
  </si>
  <si>
    <t>yesterday</t>
  </si>
  <si>
    <t>["gid://shopify/Shop/55807180983`Bird Buddy"]</t>
  </si>
  <si>
    <t>["total_sales"]</t>
  </si>
  <si>
    <t>[]</t>
  </si>
  <si>
    <t>{}</t>
  </si>
  <si>
    <t>Formula'!F1</t>
  </si>
  <si>
    <t>gid://shopify/Shop/55807180983</t>
  </si>
  <si>
    <t>Performance Internal Paid</t>
  </si>
  <si>
    <t>Performance US &amp; CA</t>
  </si>
  <si>
    <t>Performance TikTok</t>
  </si>
  <si>
    <t>Performance EU &amp; UK</t>
  </si>
  <si>
    <t>Performance Bing Microsoft</t>
  </si>
  <si>
    <t>Performance Pinterest</t>
  </si>
  <si>
    <t>Revenue IGG (GA)</t>
  </si>
  <si>
    <t>Revenue Shopify (Platform)</t>
  </si>
  <si>
    <t>Revenue - All</t>
  </si>
  <si>
    <t>Transactions</t>
  </si>
  <si>
    <t>Transactions IGG (GA)</t>
  </si>
  <si>
    <t>Transactions Shopify (Platform)</t>
  </si>
  <si>
    <t>Transactions - All</t>
  </si>
  <si>
    <t>Indiegogo Platform</t>
  </si>
  <si>
    <t>Revenue IGG</t>
  </si>
  <si>
    <t>Shipping IGG</t>
  </si>
  <si>
    <t>Skupaj IGG</t>
  </si>
  <si>
    <t>Razlika med reportingom</t>
  </si>
  <si>
    <t>Transactions IGG (Platform)</t>
  </si>
  <si>
    <t>Shopify Platform</t>
  </si>
  <si>
    <t>Revenue Shopify (gross)</t>
  </si>
  <si>
    <t>Shipping Shopify</t>
  </si>
  <si>
    <t>Skupaj Shopify</t>
  </si>
  <si>
    <t>Revenue &amp; Transactions (Platform) - ALL</t>
  </si>
  <si>
    <t>Units Sold</t>
  </si>
  <si>
    <t>1x BB (net)</t>
  </si>
  <si>
    <t>2x BB (net)</t>
  </si>
  <si>
    <t>3x BB (net)</t>
  </si>
  <si>
    <t>5x BB (net)</t>
  </si>
  <si>
    <t>10x BB (net)</t>
  </si>
  <si>
    <t>Solar Roof (net)</t>
  </si>
  <si>
    <t>Wall Mount (net)</t>
  </si>
  <si>
    <t>Fence Mount (net)</t>
  </si>
  <si>
    <t>Suet Ball Holder (net)</t>
  </si>
  <si>
    <t>Facebook &amp; Google Spend</t>
  </si>
  <si>
    <t>Facebook &amp; Google Fees</t>
  </si>
  <si>
    <t>Platform Fee (6%)</t>
  </si>
  <si>
    <t>Poštnina (IGG)</t>
  </si>
  <si>
    <t>Poštnina (Shopify)</t>
  </si>
  <si>
    <t>Solar Roof ($8.93)</t>
  </si>
  <si>
    <t>Fence Mount ($7)</t>
  </si>
  <si>
    <t>Wall Mount ($3.29)</t>
  </si>
  <si>
    <t>Suet Ball ($0.45)</t>
  </si>
  <si>
    <t>Shopify Refunds</t>
  </si>
  <si>
    <t>Sales Tax (5%)</t>
  </si>
  <si>
    <t>Air Freight ($20)</t>
  </si>
  <si>
    <t>Daily MER</t>
  </si>
  <si>
    <t>Daily ROAS</t>
  </si>
  <si>
    <t>Formula Google</t>
  </si>
  <si>
    <t>Strošek naprave ($85)</t>
  </si>
  <si>
    <t>Formula IGG Digital Team</t>
  </si>
  <si>
    <t>Formula IGG Backerkit</t>
  </si>
  <si>
    <t>Formula Internal Paid</t>
  </si>
  <si>
    <t>Formula US &amp; CA</t>
  </si>
  <si>
    <t>Formula TikTok</t>
  </si>
  <si>
    <t>Formula EU &amp; UK</t>
  </si>
  <si>
    <t>Formula Microsoft</t>
  </si>
  <si>
    <t>Formula Pinterest</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</si>
</sst>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quot;$&quot;#,##0.00"/>
    <numFmt numFmtId="165" formatCode="m/d"/>
    <numFmt numFmtId="166" formatCode="m/d/yyyy"/>
    <numFmt numFmtId="167" formatCode="&quot;$&quot;#,##0"/>
    <numFmt numFmtId="168" formatCode="mmmm yyyy"/>
    <numFmt numFmtId="169" formatCode="_-[$$-409]* #,##0.00_ ;_-[$$-409]* \-#,##0.00\ ;_-[$$-409]* &quot;-&quot;??_ ;_-@_ "/>
    <numFmt numFmtId="170" formatCode="mm/dd/yyyy"/>
    <numFmt numFmtId="171" formatCode="_-&quot;€&quot;* #,##0.00_-;\-&quot;€&quot;* #,##0.00_-;_-&quot;€&quot;* &quot;-&quot;??_-;_-@"/>
    <numFmt numFmtId="172" formatCode="mmm yyyy"/>
    <numFmt numFmtId="173" formatCode="_(&quot;$&quot;* #,##0.00_);_(&quot;$&quot;* \(#,##0.00\);_(&quot;$&quot;* &quot;-&quot;??_);_(@_)"/>
    <numFmt numFmtId="174" formatCode="yyyy-mm-dd"/>
    <numFmt numFmtId="175" formatCode="yyyy-mm-dd h:mm:ss"/>
    <numFmt numFmtId="176" formatCode="_-[$€-2]\ * #,##0.00_-;\-[$€-2]\ * #,##0.00_-;_-[$€-2]\ * &quot;-&quot;??_-;_-@"/>
    <numFmt numFmtId="177" formatCode="_([$€-2]\ * #,##0.00_);_([$€-2]\ * \(#,##0.00\);_([$€-2]\ * &quot;-&quot;??_);_(@_)"/>
  </numFmts>
  <fonts count="35">
    <font>
      <sz val="10.0"/>
      <color rgb="FF000000"/>
      <name val="Arial"/>
      <scheme val="minor"/>
    </font>
    <font>
      <color theme="1"/>
      <name val="Arial"/>
      <scheme val="minor"/>
    </font>
    <font>
      <b/>
      <color theme="1"/>
      <name val="Nunito"/>
    </font>
    <font>
      <color theme="1"/>
      <name val="Arial"/>
    </font>
    <font>
      <sz val="12.0"/>
      <color rgb="FFFFFFFF"/>
      <name val="Calibri"/>
    </font>
    <font>
      <sz val="12.0"/>
      <color rgb="FFFFFFFF"/>
      <name val="Arial"/>
    </font>
    <font>
      <color rgb="FFFFFFFF"/>
      <name val="Nunito"/>
    </font>
    <font>
      <color theme="1"/>
      <name val="Nunito"/>
    </font>
    <font>
      <sz val="12.0"/>
      <color theme="1"/>
      <name val="Calibri"/>
    </font>
    <font>
      <sz val="12.0"/>
      <color theme="1"/>
      <name val="Arial"/>
    </font>
    <font>
      <b/>
      <i/>
      <sz val="12.0"/>
      <color theme="1"/>
      <name val="Calibri"/>
    </font>
    <font>
      <color theme="1"/>
      <name val="Docs-Nunito"/>
    </font>
    <font>
      <b/>
      <sz val="12.0"/>
      <color theme="1"/>
      <name val="Calibri"/>
    </font>
    <font>
      <color rgb="FFB7B7B7"/>
      <name val="Arial"/>
      <scheme val="minor"/>
    </font>
    <font>
      <i/>
      <sz val="12.0"/>
      <color theme="1"/>
      <name val="Calibri"/>
    </font>
    <font>
      <name val="Nunito"/>
    </font>
    <font>
      <sz val="10.0"/>
      <color theme="1"/>
      <name val="Nunito"/>
    </font>
    <font>
      <sz val="10.0"/>
      <color rgb="FF202223"/>
      <name val="Nunito"/>
    </font>
    <font>
      <color rgb="FFFFFFFF"/>
      <name val="Arial"/>
      <scheme val="minor"/>
    </font>
    <font>
      <color rgb="FF000000"/>
      <name val="Arial"/>
      <scheme val="minor"/>
    </font>
    <font>
      <b/>
      <sz val="20.0"/>
      <color theme="1"/>
      <name val="Arial"/>
      <scheme val="minor"/>
    </font>
    <font>
      <color rgb="FFEEEEEE"/>
      <name val="Arial"/>
      <scheme val="minor"/>
    </font>
    <font>
      <sz val="12.0"/>
      <color rgb="FF006100"/>
      <name val="Calibri"/>
    </font>
    <font>
      <sz val="12.0"/>
      <color rgb="FF9C0006"/>
      <name val="Calibri"/>
    </font>
    <font/>
    <font>
      <sz val="12.0"/>
      <color rgb="FF999999"/>
      <name val="Calibri"/>
    </font>
    <font>
      <b/>
      <color theme="1"/>
      <name val="Arial"/>
      <scheme val="minor"/>
    </font>
    <font>
      <color rgb="FFFF0000"/>
      <name val="Arial"/>
      <scheme val="minor"/>
    </font>
    <font>
      <color rgb="FF008000"/>
      <name val="Arial"/>
      <scheme val="minor"/>
    </font>
    <font>
      <sz val="11.0"/>
      <color theme="1"/>
      <name val="Arial"/>
    </font>
    <font>
      <b/>
      <sz val="11.0"/>
      <color rgb="FF202223"/>
      <name val="-apple-system"/>
    </font>
    <font>
      <sz val="12.0"/>
      <color theme="1"/>
      <name val="Arial"/>
      <scheme val="minor"/>
    </font>
    <font>
      <sz val="12.0"/>
      <color rgb="FFAEABAB"/>
      <name val="Calibri"/>
    </font>
    <font>
      <sz val="12.0"/>
      <color rgb="FFCCCCCC"/>
      <name val="Calibri"/>
    </font>
    <font>
      <sz val="12.0"/>
      <color rgb="FFBFBFBF"/>
      <name val="Calibri"/>
    </font>
  </fonts>
  <fills count="96">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4A86E8"/>
        <bgColor rgb="FF4A86E8"/>
      </patternFill>
    </fill>
    <fill>
      <patternFill patternType="solid">
        <fgColor rgb="FFA4C2F4"/>
        <bgColor rgb="FFA4C2F4"/>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3F3F3"/>
        <bgColor rgb="FFF3F3F3"/>
      </patternFill>
    </fill>
    <fill>
      <patternFill patternType="solid">
        <fgColor rgb="FFCCCCCC"/>
        <bgColor rgb="FFCCCCCC"/>
      </patternFill>
    </fill>
    <fill>
      <patternFill patternType="solid">
        <fgColor rgb="FFBFBFBF"/>
        <bgColor rgb="FFBFBFBF"/>
      </patternFill>
    </fill>
    <fill>
      <patternFill patternType="solid">
        <fgColor rgb="FFFFFFFF"/>
        <bgColor rgb="FFFFFFFF"/>
      </patternFill>
    </fill>
    <fill>
      <patternFill patternType="solid">
        <fgColor rgb="FFA8D08D"/>
        <bgColor rgb="FFA8D08D"/>
      </patternFill>
    </fill>
    <fill>
      <patternFill patternType="solid">
        <fgColor rgb="FFB7B7B7"/>
        <bgColor rgb="FFB7B7B7"/>
      </patternFill>
    </fill>
    <fill>
      <patternFill patternType="solid">
        <fgColor rgb="FFB6D7A8"/>
        <bgColor rgb="FFB6D7A8"/>
      </patternFill>
    </fill>
    <fill>
      <patternFill patternType="solid">
        <fgColor rgb="FFF6F6F7"/>
        <bgColor rgb="FFF6F6F7"/>
      </patternFill>
    </fill>
    <fill>
      <patternFill patternType="solid">
        <fgColor rgb="FFF4CCCC"/>
        <bgColor rgb="FFF4CCCC"/>
      </patternFill>
    </fill>
    <fill>
      <patternFill patternType="solid">
        <fgColor rgb="FFFF7E79"/>
        <bgColor rgb="FFFF7E79"/>
      </patternFill>
    </fill>
    <fill>
      <patternFill patternType="solid">
        <fgColor rgb="FF666666"/>
        <bgColor rgb="FF666666"/>
      </patternFill>
    </fill>
    <fill>
      <patternFill patternType="solid">
        <fgColor rgb="FFC6EFCE"/>
        <bgColor rgb="FFC6EFCE"/>
      </patternFill>
    </fill>
    <fill>
      <patternFill patternType="solid">
        <fgColor rgb="FFFFC7CE"/>
        <bgColor rgb="FFFFC7CE"/>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C9DAF8"/>
        <bgColor rgb="FFC9DAF8"/>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EA9999"/>
        <bgColor rgb="FFEA9999"/>
      </patternFill>
    </fill>
    <fill>
      <patternFill patternType="solid">
        <fgColor rgb="FFB7E1CD"/>
        <bgColor rgb="FFB7E1CD"/>
      </patternFill>
    </fill>
    <fill>
      <patternFill patternType="solid">
        <fgColor rgb="FFFFE598"/>
        <bgColor rgb="FFFFE598"/>
      </patternFill>
    </fill>
    <fill>
      <patternFill patternType="solid">
        <fgColor rgb="FFFFFF00"/>
        <bgColor rgb="FFFFFF00"/>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DADADA"/>
        <bgColor rgb="FFDADADA"/>
      </patternFill>
    </fill>
    <fill>
      <patternFill patternType="solid">
        <fgColor rgb="FFBFE4CB"/>
        <bgColor rgb="FFBFE4CB"/>
      </patternFill>
    </fill>
    <fill>
      <patternFill patternType="solid">
        <fgColor rgb="FFBEE3C9"/>
        <bgColor rgb="FFBEE3C9"/>
      </patternFill>
    </fill>
    <fill>
      <patternFill patternType="solid">
        <fgColor rgb="FFC0E4CB"/>
        <bgColor rgb="FFC0E4CB"/>
      </patternFill>
    </fill>
    <fill>
      <patternFill patternType="solid">
        <fgColor rgb="FFD3ECDC"/>
        <bgColor rgb="FFD3ECDC"/>
      </patternFill>
    </fill>
    <fill>
      <patternFill patternType="solid">
        <fgColor rgb="FFE6F3EC"/>
        <bgColor rgb="FFE6F3EC"/>
      </patternFill>
    </fill>
    <fill>
      <patternFill patternType="solid">
        <fgColor rgb="FFE7F4ED"/>
        <bgColor rgb="FFE7F4ED"/>
      </patternFill>
    </fill>
    <fill>
      <patternFill patternType="solid">
        <fgColor rgb="FFD8EEE0"/>
        <bgColor rgb="FFD8EEE0"/>
      </patternFill>
    </fill>
    <fill>
      <patternFill patternType="solid">
        <fgColor rgb="FF63BE7B"/>
        <bgColor rgb="FF63BE7B"/>
      </patternFill>
    </fill>
    <fill>
      <patternFill patternType="solid">
        <fgColor rgb="FF8BCF9E"/>
        <bgColor rgb="FF8BCF9E"/>
      </patternFill>
    </fill>
    <fill>
      <patternFill patternType="solid">
        <fgColor rgb="FFC4E6CF"/>
        <bgColor rgb="FFC4E6CF"/>
      </patternFill>
    </fill>
    <fill>
      <patternFill patternType="solid">
        <fgColor rgb="FFCCE9D6"/>
        <bgColor rgb="FFCCE9D6"/>
      </patternFill>
    </fill>
    <fill>
      <patternFill patternType="solid">
        <fgColor rgb="FFE9F5EF"/>
        <bgColor rgb="FFE9F5EF"/>
      </patternFill>
    </fill>
    <fill>
      <patternFill patternType="solid">
        <fgColor rgb="FFB3DFC1"/>
        <bgColor rgb="FFB3DFC1"/>
      </patternFill>
    </fill>
    <fill>
      <patternFill patternType="solid">
        <fgColor rgb="FFD2EBDB"/>
        <bgColor rgb="FFD2EBDB"/>
      </patternFill>
    </fill>
    <fill>
      <patternFill patternType="solid">
        <fgColor rgb="FFEBF5F1"/>
        <bgColor rgb="FFEBF5F1"/>
      </patternFill>
    </fill>
    <fill>
      <patternFill patternType="solid">
        <fgColor rgb="FFEAF5F0"/>
        <bgColor rgb="FFEAF5F0"/>
      </patternFill>
    </fill>
    <fill>
      <patternFill patternType="solid">
        <fgColor rgb="FFEDF6F2"/>
        <bgColor rgb="FFEDF6F2"/>
      </patternFill>
    </fill>
    <fill>
      <patternFill patternType="solid">
        <fgColor rgb="FFF3F8F7"/>
        <bgColor rgb="FFF3F8F7"/>
      </patternFill>
    </fill>
    <fill>
      <patternFill patternType="solid">
        <fgColor rgb="FFF9FBFC"/>
        <bgColor rgb="FFF9FBFC"/>
      </patternFill>
    </fill>
    <fill>
      <patternFill patternType="solid">
        <fgColor rgb="FFFAFBFD"/>
        <bgColor rgb="FFFAFBFD"/>
      </patternFill>
    </fill>
    <fill>
      <patternFill patternType="solid">
        <fgColor rgb="FFF8FBFB"/>
        <bgColor rgb="FFF8FBFB"/>
      </patternFill>
    </fill>
    <fill>
      <patternFill patternType="solid">
        <fgColor rgb="FFD0EAD9"/>
        <bgColor rgb="FFD0EAD9"/>
      </patternFill>
    </fill>
    <fill>
      <patternFill patternType="solid">
        <fgColor rgb="FFDBEFE3"/>
        <bgColor rgb="FFDBEFE3"/>
      </patternFill>
    </fill>
    <fill>
      <patternFill patternType="solid">
        <fgColor rgb="FFF2F8F7"/>
        <bgColor rgb="FFF2F8F7"/>
      </patternFill>
    </fill>
    <fill>
      <patternFill patternType="solid">
        <fgColor rgb="FFF2F8F6"/>
        <bgColor rgb="FFF2F8F6"/>
      </patternFill>
    </fill>
    <fill>
      <patternFill patternType="solid">
        <fgColor rgb="FFF8FAFB"/>
        <bgColor rgb="FFF8FAFB"/>
      </patternFill>
    </fill>
    <fill>
      <patternFill patternType="solid">
        <fgColor rgb="FFF2F2F2"/>
        <bgColor rgb="FFF2F2F2"/>
      </patternFill>
    </fill>
  </fills>
  <borders count="15">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0" fillId="0" fontId="1" numFmtId="164" xfId="0" applyAlignment="1" applyFont="1" applyNumberFormat="1">
      <alignment readingOrder="0"/>
    </xf>
    <xf borderId="1" fillId="2" fontId="2" numFmtId="0" xfId="0" applyAlignment="1" applyBorder="1" applyFill="1" applyFont="1">
      <alignment vertical="bottom"/>
    </xf>
    <xf borderId="0" fillId="2" fontId="3" numFmtId="165" xfId="0" applyAlignment="1" applyFont="1" applyNumberFormat="1">
      <alignment horizontal="left" vertical="bottom"/>
    </xf>
    <xf borderId="2" fillId="3" fontId="4" numFmtId="0" xfId="0" applyAlignment="1" applyBorder="1" applyFill="1" applyFont="1">
      <alignment vertical="bottom"/>
    </xf>
    <xf borderId="1" fillId="2" fontId="2" numFmtId="0" xfId="0" applyAlignment="1" applyBorder="1" applyFont="1">
      <alignment readingOrder="0" vertical="bottom"/>
    </xf>
    <xf borderId="0" fillId="3" fontId="5" numFmtId="16" xfId="0" applyAlignment="1" applyFont="1" applyNumberFormat="1">
      <alignment horizontal="center" vertical="bottom"/>
    </xf>
    <xf borderId="0" fillId="4" fontId="6" numFmtId="0" xfId="0" applyAlignment="1" applyFill="1" applyFont="1">
      <alignment shrinkToFit="0" vertical="bottom" wrapText="1"/>
    </xf>
    <xf borderId="0" fillId="5" fontId="7" numFmtId="0" xfId="0" applyAlignment="1" applyFill="1" applyFont="1">
      <alignment shrinkToFit="0" vertical="bottom" wrapText="1"/>
    </xf>
    <xf borderId="0" fillId="0" fontId="7" numFmtId="166" xfId="0" applyAlignment="1" applyFont="1" applyNumberFormat="1">
      <alignment horizontal="right" vertical="bottom"/>
    </xf>
    <xf borderId="0" fillId="0" fontId="7" numFmtId="166" xfId="0" applyAlignment="1" applyFont="1" applyNumberFormat="1">
      <alignment horizontal="right" readingOrder="0" vertical="bottom"/>
    </xf>
    <xf borderId="0" fillId="0" fontId="7" numFmtId="0" xfId="0" applyAlignment="1" applyFont="1">
      <alignment vertical="bottom"/>
    </xf>
    <xf borderId="0" fillId="0" fontId="7" numFmtId="167" xfId="0" applyAlignment="1" applyFont="1" applyNumberFormat="1">
      <alignment horizontal="right" vertical="bottom"/>
    </xf>
    <xf borderId="0" fillId="6" fontId="3" numFmtId="0" xfId="0" applyAlignment="1" applyFill="1" applyFont="1">
      <alignment horizontal="left" vertical="bottom"/>
    </xf>
    <xf borderId="0" fillId="0" fontId="7" numFmtId="0" xfId="0" applyAlignment="1" applyFont="1">
      <alignment shrinkToFit="0" vertical="bottom" wrapText="1"/>
    </xf>
    <xf borderId="0" fillId="0" fontId="7" numFmtId="0" xfId="0" applyAlignment="1" applyFont="1">
      <alignment horizontal="right" readingOrder="0" shrinkToFit="0" vertical="bottom" wrapText="1"/>
    </xf>
    <xf borderId="2" fillId="3" fontId="5" numFmtId="16" xfId="0" applyAlignment="1" applyBorder="1" applyFont="1" applyNumberFormat="1">
      <alignment horizontal="center" vertical="bottom"/>
    </xf>
    <xf borderId="0" fillId="3" fontId="4" numFmtId="0" xfId="0" applyAlignment="1" applyFont="1">
      <alignment horizontal="center" vertical="bottom"/>
    </xf>
    <xf borderId="2" fillId="7" fontId="4" numFmtId="0" xfId="0" applyAlignment="1" applyBorder="1" applyFill="1" applyFont="1">
      <alignment vertical="bottom"/>
    </xf>
    <xf borderId="0" fillId="7" fontId="5" numFmtId="0" xfId="0" applyAlignment="1" applyFont="1">
      <alignment horizontal="center" vertical="bottom"/>
    </xf>
    <xf borderId="0" fillId="0" fontId="1" numFmtId="10" xfId="0" applyFont="1" applyNumberFormat="1"/>
    <xf borderId="0" fillId="0" fontId="7" numFmtId="0" xfId="0" applyAlignment="1" applyFont="1">
      <alignment horizontal="right" readingOrder="0" vertical="bottom"/>
    </xf>
    <xf borderId="0" fillId="0" fontId="1" numFmtId="0" xfId="0" applyAlignment="1" applyFont="1">
      <alignment readingOrder="0"/>
    </xf>
    <xf borderId="2" fillId="7" fontId="5" numFmtId="0" xfId="0" applyAlignment="1" applyBorder="1" applyFont="1">
      <alignment horizontal="center" vertical="bottom"/>
    </xf>
    <xf borderId="0" fillId="0" fontId="8" numFmtId="0" xfId="0" applyAlignment="1" applyFont="1">
      <alignment vertical="bottom"/>
    </xf>
    <xf borderId="2" fillId="8" fontId="4" numFmtId="0" xfId="0" applyAlignment="1" applyBorder="1" applyFill="1" applyFont="1">
      <alignment vertical="bottom"/>
    </xf>
    <xf borderId="0" fillId="0" fontId="7" numFmtId="0" xfId="0" applyAlignment="1" applyFont="1">
      <alignment readingOrder="0" shrinkToFit="0" vertical="bottom" wrapText="1"/>
    </xf>
    <xf borderId="2" fillId="0" fontId="8" numFmtId="0" xfId="0" applyAlignment="1" applyBorder="1" applyFont="1">
      <alignment vertical="bottom"/>
    </xf>
    <xf borderId="2" fillId="9" fontId="8" numFmtId="0" xfId="0" applyAlignment="1" applyBorder="1" applyFill="1" applyFont="1">
      <alignment vertical="bottom"/>
    </xf>
    <xf borderId="2" fillId="0" fontId="9" numFmtId="0" xfId="0" applyAlignment="1" applyBorder="1" applyFont="1">
      <alignment vertical="bottom"/>
    </xf>
    <xf borderId="0" fillId="10" fontId="9" numFmtId="0" xfId="0" applyAlignment="1" applyFill="1" applyFont="1">
      <alignment horizontal="right" vertical="bottom"/>
    </xf>
    <xf borderId="3" fillId="0" fontId="7" numFmtId="0" xfId="0" applyAlignment="1" applyBorder="1" applyFont="1">
      <alignment shrinkToFit="0" vertical="bottom" wrapText="1"/>
    </xf>
    <xf borderId="3" fillId="0" fontId="7" numFmtId="0" xfId="0" applyAlignment="1" applyBorder="1" applyFont="1">
      <alignment horizontal="right" readingOrder="0" shrinkToFit="0" vertical="bottom" wrapText="1"/>
    </xf>
    <xf borderId="0" fillId="10" fontId="9" numFmtId="0" xfId="0" applyAlignment="1" applyFont="1">
      <alignment readingOrder="0" vertical="bottom"/>
    </xf>
    <xf borderId="0" fillId="0" fontId="1" numFmtId="9" xfId="0" applyFont="1" applyNumberFormat="1"/>
    <xf borderId="2" fillId="10" fontId="9" numFmtId="0" xfId="0" applyAlignment="1" applyBorder="1" applyFont="1">
      <alignment readingOrder="0" vertical="bottom"/>
    </xf>
    <xf borderId="0" fillId="0" fontId="7" numFmtId="0" xfId="0" applyAlignment="1" applyFont="1">
      <alignment horizontal="right" shrinkToFit="0" vertical="bottom" wrapText="1"/>
    </xf>
    <xf borderId="0" fillId="0" fontId="10" numFmtId="0" xfId="0" applyAlignment="1" applyFont="1">
      <alignment horizontal="right" vertical="bottom"/>
    </xf>
    <xf borderId="0" fillId="0" fontId="3" numFmtId="0" xfId="0" applyAlignment="1" applyFont="1">
      <alignment vertical="bottom"/>
    </xf>
    <xf borderId="0" fillId="11" fontId="8" numFmtId="1" xfId="0" applyAlignment="1" applyFill="1" applyFont="1" applyNumberFormat="1">
      <alignment vertical="bottom"/>
    </xf>
    <xf borderId="0" fillId="0" fontId="7" numFmtId="0" xfId="0" applyAlignment="1" applyFont="1">
      <alignment vertical="bottom"/>
    </xf>
    <xf borderId="0" fillId="2" fontId="3" numFmtId="0" xfId="0" applyAlignment="1" applyFont="1">
      <alignment horizontal="left" readingOrder="0" vertical="bottom"/>
    </xf>
    <xf borderId="0" fillId="6" fontId="7" numFmtId="0" xfId="0" applyAlignment="1" applyFont="1">
      <alignment shrinkToFit="0" vertical="bottom" wrapText="1"/>
    </xf>
    <xf borderId="0" fillId="12" fontId="1" numFmtId="0" xfId="0" applyAlignment="1" applyFill="1" applyFont="1">
      <alignment readingOrder="0"/>
    </xf>
    <xf borderId="0" fillId="13" fontId="1" numFmtId="0" xfId="0" applyAlignment="1" applyFill="1" applyFont="1">
      <alignment horizontal="center" readingOrder="0"/>
    </xf>
    <xf borderId="2" fillId="11" fontId="8" numFmtId="1" xfId="0" applyAlignment="1" applyBorder="1" applyFont="1" applyNumberFormat="1">
      <alignment vertical="bottom"/>
    </xf>
    <xf borderId="0" fillId="6" fontId="7" numFmtId="10" xfId="0" applyAlignment="1" applyFont="1" applyNumberFormat="1">
      <alignment horizontal="right" shrinkToFit="0" vertical="bottom" wrapText="1"/>
    </xf>
    <xf borderId="0" fillId="13" fontId="1" numFmtId="0" xfId="0" applyAlignment="1" applyFont="1">
      <alignment readingOrder="0"/>
    </xf>
    <xf borderId="0" fillId="0" fontId="10" numFmtId="1" xfId="0" applyAlignment="1" applyFont="1" applyNumberFormat="1">
      <alignment horizontal="right" vertical="bottom"/>
    </xf>
    <xf borderId="0" fillId="14" fontId="1" numFmtId="0" xfId="0" applyFill="1" applyFont="1"/>
    <xf borderId="0" fillId="15" fontId="11" numFmtId="0" xfId="0" applyAlignment="1" applyFill="1" applyFont="1">
      <alignment vertical="bottom"/>
    </xf>
    <xf borderId="0" fillId="0" fontId="7" numFmtId="168" xfId="0" applyAlignment="1" applyFont="1" applyNumberFormat="1">
      <alignment horizontal="left" readingOrder="0" vertical="bottom"/>
    </xf>
    <xf borderId="0" fillId="0" fontId="7" numFmtId="0" xfId="0" applyAlignment="1" applyFont="1">
      <alignment readingOrder="0" vertical="bottom"/>
    </xf>
    <xf borderId="0" fillId="0" fontId="7" numFmtId="0" xfId="0" applyAlignment="1" applyFont="1">
      <alignment readingOrder="0"/>
    </xf>
    <xf borderId="0" fillId="0" fontId="1" numFmtId="0" xfId="0" applyFont="1"/>
    <xf borderId="0" fillId="0" fontId="1" numFmtId="0" xfId="0" applyAlignment="1" applyFont="1">
      <alignment readingOrder="0"/>
    </xf>
    <xf borderId="0" fillId="11" fontId="8" numFmtId="0" xfId="0" applyAlignment="1" applyFont="1">
      <alignment vertical="bottom"/>
    </xf>
    <xf borderId="2" fillId="11" fontId="8" numFmtId="0" xfId="0" applyAlignment="1" applyBorder="1" applyFont="1">
      <alignment vertical="bottom"/>
    </xf>
    <xf borderId="4" fillId="0" fontId="9" numFmtId="0" xfId="0" applyAlignment="1" applyBorder="1" applyFont="1">
      <alignment vertical="bottom"/>
    </xf>
    <xf borderId="3" fillId="11" fontId="8" numFmtId="0" xfId="0" applyAlignment="1" applyBorder="1" applyFont="1">
      <alignment vertical="bottom"/>
    </xf>
    <xf borderId="0" fillId="0" fontId="7" numFmtId="167" xfId="0" applyAlignment="1" applyFont="1" applyNumberFormat="1">
      <alignment readingOrder="0"/>
    </xf>
    <xf borderId="4" fillId="11" fontId="8" numFmtId="0" xfId="0" applyAlignment="1" applyBorder="1" applyFont="1">
      <alignment vertical="bottom"/>
    </xf>
    <xf borderId="0" fillId="0" fontId="7" numFmtId="0" xfId="0" applyAlignment="1" applyFont="1">
      <alignment horizontal="right" readingOrder="0"/>
    </xf>
    <xf borderId="3" fillId="0" fontId="10" numFmtId="0" xfId="0" applyAlignment="1" applyBorder="1" applyFont="1">
      <alignment horizontal="right" vertical="bottom"/>
    </xf>
    <xf borderId="0" fillId="0" fontId="7" numFmtId="166" xfId="0" applyAlignment="1" applyFont="1" applyNumberFormat="1">
      <alignment horizontal="right" readingOrder="0"/>
    </xf>
    <xf borderId="3" fillId="0" fontId="1" numFmtId="0" xfId="0" applyBorder="1" applyFont="1"/>
    <xf borderId="0" fillId="0" fontId="12" numFmtId="1" xfId="0" applyAlignment="1" applyFont="1" applyNumberFormat="1">
      <alignment horizontal="right" vertical="bottom"/>
    </xf>
    <xf borderId="0" fillId="0" fontId="13" numFmtId="0" xfId="0" applyAlignment="1" applyFont="1">
      <alignment readingOrder="0"/>
    </xf>
    <xf borderId="0" fillId="0" fontId="13" numFmtId="0" xfId="0" applyFont="1"/>
    <xf borderId="0" fillId="0" fontId="13" numFmtId="1" xfId="0" applyFont="1" applyNumberFormat="1"/>
    <xf borderId="2" fillId="0" fontId="12" numFmtId="1" xfId="0" applyAlignment="1" applyBorder="1" applyFont="1" applyNumberFormat="1">
      <alignment horizontal="right" vertical="bottom"/>
    </xf>
    <xf borderId="2" fillId="16" fontId="8" numFmtId="0" xfId="0" applyAlignment="1" applyBorder="1" applyFill="1" applyFont="1">
      <alignment vertical="bottom"/>
    </xf>
    <xf borderId="0" fillId="0" fontId="7" numFmtId="0" xfId="0" applyAlignment="1" applyFont="1">
      <alignment readingOrder="0"/>
    </xf>
    <xf borderId="0" fillId="10" fontId="9" numFmtId="169" xfId="0" applyAlignment="1" applyFont="1" applyNumberFormat="1">
      <alignment horizontal="right" vertical="bottom"/>
    </xf>
    <xf borderId="0" fillId="0" fontId="1" numFmtId="1" xfId="0" applyFont="1" applyNumberFormat="1"/>
    <xf borderId="0" fillId="12" fontId="1" numFmtId="0" xfId="0" applyAlignment="1" applyFont="1">
      <alignment readingOrder="0" shrinkToFit="0" wrapText="1"/>
    </xf>
    <xf borderId="0" fillId="0" fontId="1" numFmtId="0" xfId="0" applyAlignment="1" applyFont="1">
      <alignment shrinkToFit="0" wrapText="1"/>
    </xf>
    <xf borderId="0" fillId="10" fontId="8" numFmtId="169" xfId="0" applyAlignment="1" applyFont="1" applyNumberFormat="1">
      <alignment horizontal="right" vertical="bottom"/>
    </xf>
    <xf borderId="0" fillId="17" fontId="1" numFmtId="0" xfId="0" applyAlignment="1" applyFill="1" applyFont="1">
      <alignment readingOrder="0" shrinkToFit="0" wrapText="1"/>
    </xf>
    <xf borderId="0" fillId="10" fontId="9" numFmtId="169" xfId="0" applyAlignment="1" applyFont="1" applyNumberFormat="1">
      <alignment readingOrder="0" vertical="bottom"/>
    </xf>
    <xf borderId="0" fillId="10" fontId="8" numFmtId="169" xfId="0" applyAlignment="1" applyFont="1" applyNumberFormat="1">
      <alignment readingOrder="0" vertical="bottom"/>
    </xf>
    <xf borderId="2" fillId="10" fontId="9" numFmtId="169" xfId="0" applyAlignment="1" applyBorder="1" applyFont="1" applyNumberFormat="1">
      <alignment readingOrder="0" vertical="bottom"/>
    </xf>
    <xf borderId="0" fillId="6" fontId="1" numFmtId="164" xfId="0" applyFont="1" applyNumberFormat="1"/>
    <xf borderId="0" fillId="0" fontId="14" numFmtId="169" xfId="0" applyAlignment="1" applyFont="1" applyNumberFormat="1">
      <alignment horizontal="right" vertical="bottom"/>
    </xf>
    <xf borderId="0" fillId="11" fontId="8" numFmtId="169" xfId="0" applyAlignment="1" applyFont="1" applyNumberFormat="1">
      <alignment vertical="bottom"/>
    </xf>
    <xf borderId="2" fillId="11" fontId="8" numFmtId="169" xfId="0" applyAlignment="1" applyBorder="1" applyFont="1" applyNumberFormat="1">
      <alignment vertical="bottom"/>
    </xf>
    <xf borderId="0" fillId="0" fontId="13" numFmtId="10" xfId="0" applyAlignment="1" applyFont="1" applyNumberFormat="1">
      <alignment readingOrder="0"/>
    </xf>
    <xf borderId="0" fillId="18" fontId="1" numFmtId="0" xfId="0" applyAlignment="1" applyFill="1" applyFont="1">
      <alignment readingOrder="0"/>
    </xf>
    <xf borderId="0" fillId="18" fontId="1" numFmtId="164" xfId="0" applyFont="1" applyNumberFormat="1"/>
    <xf borderId="0" fillId="0" fontId="7" numFmtId="167" xfId="0" applyAlignment="1" applyFont="1" applyNumberFormat="1">
      <alignment readingOrder="0" vertical="bottom"/>
    </xf>
    <xf borderId="0" fillId="0" fontId="7" numFmtId="0" xfId="0" applyFont="1"/>
    <xf borderId="0" fillId="6" fontId="1" numFmtId="0" xfId="0" applyFont="1"/>
    <xf borderId="0" fillId="10" fontId="9" numFmtId="169" xfId="0" applyAlignment="1" applyFont="1" applyNumberFormat="1">
      <alignment horizontal="right" readingOrder="0" vertical="bottom"/>
    </xf>
    <xf borderId="0" fillId="13" fontId="1" numFmtId="0" xfId="0" applyFont="1"/>
    <xf borderId="0" fillId="0" fontId="15" numFmtId="0" xfId="0" applyAlignment="1" applyFont="1">
      <alignment vertical="bottom"/>
    </xf>
    <xf borderId="0" fillId="0" fontId="16" numFmtId="0" xfId="0" applyAlignment="1" applyFont="1">
      <alignment horizontal="right" readingOrder="0"/>
    </xf>
    <xf borderId="0" fillId="0" fontId="16" numFmtId="170" xfId="0" applyAlignment="1" applyFont="1" applyNumberFormat="1">
      <alignment readingOrder="0"/>
    </xf>
    <xf borderId="0" fillId="0" fontId="16" numFmtId="0" xfId="0" applyAlignment="1" applyFont="1">
      <alignment readingOrder="0"/>
    </xf>
    <xf borderId="0" fillId="19" fontId="17" numFmtId="0" xfId="0" applyAlignment="1" applyFill="1" applyFont="1">
      <alignment readingOrder="0"/>
    </xf>
    <xf borderId="0" fillId="15" fontId="17" numFmtId="167" xfId="0" applyAlignment="1" applyFont="1" applyNumberFormat="1">
      <alignment readingOrder="0"/>
    </xf>
    <xf borderId="0" fillId="0" fontId="16" numFmtId="0" xfId="0" applyAlignment="1" applyFont="1">
      <alignment vertical="bottom"/>
    </xf>
    <xf borderId="3" fillId="11" fontId="8" numFmtId="169" xfId="0" applyAlignment="1" applyBorder="1" applyFont="1" applyNumberFormat="1">
      <alignment vertical="bottom"/>
    </xf>
    <xf borderId="0" fillId="0" fontId="7" numFmtId="166" xfId="0" applyAlignment="1" applyFont="1" applyNumberFormat="1">
      <alignment readingOrder="0"/>
    </xf>
    <xf borderId="4" fillId="11" fontId="8" numFmtId="169" xfId="0" applyAlignment="1" applyBorder="1" applyFont="1" applyNumberFormat="1">
      <alignment vertical="bottom"/>
    </xf>
    <xf borderId="3" fillId="0" fontId="14" numFmtId="169" xfId="0" applyAlignment="1" applyBorder="1" applyFont="1" applyNumberFormat="1">
      <alignment horizontal="right" vertical="bottom"/>
    </xf>
    <xf borderId="0" fillId="20" fontId="1" numFmtId="0" xfId="0" applyAlignment="1" applyFill="1" applyFont="1">
      <alignment readingOrder="0"/>
    </xf>
    <xf borderId="0" fillId="0" fontId="12" numFmtId="169" xfId="0" applyAlignment="1" applyFont="1" applyNumberFormat="1">
      <alignment horizontal="right" vertical="bottom"/>
    </xf>
    <xf borderId="0" fillId="20" fontId="1" numFmtId="164" xfId="0" applyFont="1" applyNumberFormat="1"/>
    <xf borderId="0" fillId="0" fontId="1" numFmtId="1" xfId="0" applyAlignment="1" applyFont="1" applyNumberFormat="1">
      <alignment readingOrder="0"/>
    </xf>
    <xf borderId="0" fillId="12" fontId="1" numFmtId="2" xfId="0" applyFont="1" applyNumberFormat="1"/>
    <xf borderId="2" fillId="0" fontId="12" numFmtId="169" xfId="0" applyAlignment="1" applyBorder="1" applyFont="1" applyNumberFormat="1">
      <alignment horizontal="right" vertical="bottom"/>
    </xf>
    <xf borderId="0" fillId="0" fontId="10" numFmtId="169" xfId="0" applyAlignment="1" applyFont="1" applyNumberFormat="1">
      <alignment horizontal="right" vertical="bottom"/>
    </xf>
    <xf borderId="0" fillId="0" fontId="1" numFmtId="2" xfId="0" applyFont="1" applyNumberFormat="1"/>
    <xf borderId="0" fillId="0" fontId="8" numFmtId="171" xfId="0" applyAlignment="1" applyFont="1" applyNumberFormat="1">
      <alignment vertical="bottom"/>
    </xf>
    <xf borderId="2" fillId="21" fontId="8" numFmtId="0" xfId="0" applyAlignment="1" applyBorder="1" applyFill="1" applyFont="1">
      <alignment vertical="bottom"/>
    </xf>
    <xf borderId="0" fillId="0" fontId="1" numFmtId="164" xfId="0" applyFont="1" applyNumberFormat="1"/>
    <xf borderId="0" fillId="10" fontId="8" numFmtId="169" xfId="0" applyAlignment="1" applyFont="1" applyNumberFormat="1">
      <alignment vertical="bottom"/>
    </xf>
    <xf borderId="2" fillId="10" fontId="8" numFmtId="169" xfId="0" applyAlignment="1" applyBorder="1" applyFont="1" applyNumberFormat="1">
      <alignment vertical="bottom"/>
    </xf>
    <xf borderId="0" fillId="12" fontId="1" numFmtId="10" xfId="0" applyAlignment="1" applyFont="1" applyNumberFormat="1">
      <alignment readingOrder="0"/>
    </xf>
    <xf borderId="0" fillId="0" fontId="1" numFmtId="10" xfId="0" applyAlignment="1" applyFont="1" applyNumberFormat="1">
      <alignment readingOrder="0"/>
    </xf>
    <xf borderId="0" fillId="2" fontId="1" numFmtId="172" xfId="0" applyAlignment="1" applyFont="1" applyNumberFormat="1">
      <alignment readingOrder="0"/>
    </xf>
    <xf borderId="0" fillId="22" fontId="18" numFmtId="0" xfId="0" applyAlignment="1" applyFill="1" applyFont="1">
      <alignment horizontal="center" readingOrder="0"/>
    </xf>
    <xf borderId="0" fillId="0" fontId="8" numFmtId="169" xfId="0" applyAlignment="1" applyFont="1" applyNumberFormat="1">
      <alignment horizontal="right" vertical="bottom"/>
    </xf>
    <xf borderId="0" fillId="15" fontId="19" numFmtId="0" xfId="0" applyAlignment="1" applyFont="1">
      <alignment readingOrder="0"/>
    </xf>
    <xf borderId="0" fillId="15" fontId="19" numFmtId="0" xfId="0" applyFont="1"/>
    <xf borderId="0" fillId="15" fontId="19" numFmtId="173" xfId="0" applyAlignment="1" applyFont="1" applyNumberFormat="1">
      <alignment readingOrder="0"/>
    </xf>
    <xf borderId="0" fillId="15" fontId="19" numFmtId="174" xfId="0" applyAlignment="1" applyFont="1" applyNumberFormat="1">
      <alignment readingOrder="0"/>
    </xf>
    <xf borderId="0" fillId="15" fontId="19" numFmtId="2" xfId="0" applyAlignment="1" applyFont="1" applyNumberFormat="1">
      <alignment readingOrder="0"/>
    </xf>
    <xf borderId="2" fillId="0" fontId="8" numFmtId="169" xfId="0" applyAlignment="1" applyBorder="1" applyFont="1" applyNumberFormat="1">
      <alignment horizontal="right" vertical="bottom"/>
    </xf>
    <xf borderId="4" fillId="0" fontId="8" numFmtId="0" xfId="0" applyAlignment="1" applyBorder="1" applyFont="1">
      <alignment vertical="bottom"/>
    </xf>
    <xf borderId="3" fillId="0" fontId="8" numFmtId="169" xfId="0" applyAlignment="1" applyBorder="1" applyFont="1" applyNumberFormat="1">
      <alignment horizontal="right" vertical="bottom"/>
    </xf>
    <xf borderId="5" fillId="0" fontId="20" numFmtId="0" xfId="0" applyAlignment="1" applyBorder="1" applyFont="1">
      <alignment readingOrder="0"/>
    </xf>
    <xf borderId="5" fillId="0" fontId="1" numFmtId="0" xfId="0" applyBorder="1" applyFont="1"/>
    <xf borderId="0" fillId="0" fontId="1" numFmtId="4" xfId="0" applyAlignment="1" applyFont="1" applyNumberFormat="1">
      <alignment readingOrder="0"/>
    </xf>
    <xf borderId="4" fillId="0" fontId="8" numFmtId="169" xfId="0" applyAlignment="1" applyBorder="1" applyFont="1" applyNumberFormat="1">
      <alignment horizontal="right" vertical="bottom"/>
    </xf>
    <xf borderId="2" fillId="0" fontId="9" numFmtId="0" xfId="0" applyAlignment="1" applyBorder="1" applyFont="1">
      <alignment readingOrder="0" vertical="bottom"/>
    </xf>
    <xf borderId="5" fillId="0" fontId="1" numFmtId="0" xfId="0" applyAlignment="1" applyBorder="1" applyFont="1">
      <alignment readingOrder="0" vertical="top"/>
    </xf>
    <xf borderId="5" fillId="0" fontId="18" numFmtId="0" xfId="0" applyAlignment="1" applyBorder="1" applyFont="1">
      <alignment readingOrder="0"/>
    </xf>
    <xf borderId="5" fillId="0" fontId="1" numFmtId="0" xfId="0" applyAlignment="1" applyBorder="1" applyFont="1">
      <alignment readingOrder="0"/>
    </xf>
    <xf borderId="0" fillId="0" fontId="8" numFmtId="169" xfId="0" applyAlignment="1" applyFont="1" applyNumberFormat="1">
      <alignment vertical="bottom"/>
    </xf>
    <xf borderId="5" fillId="0" fontId="21" numFmtId="0" xfId="0" applyBorder="1" applyFont="1"/>
    <xf borderId="2" fillId="0" fontId="8" numFmtId="169" xfId="0" applyAlignment="1" applyBorder="1" applyFont="1" applyNumberFormat="1">
      <alignment vertical="bottom"/>
    </xf>
    <xf borderId="0" fillId="23" fontId="22" numFmtId="169" xfId="0" applyAlignment="1" applyFill="1" applyFont="1" applyNumberFormat="1">
      <alignment horizontal="right" vertical="bottom"/>
    </xf>
    <xf borderId="0" fillId="24" fontId="23" numFmtId="169" xfId="0" applyAlignment="1" applyFill="1" applyFont="1" applyNumberFormat="1">
      <alignment horizontal="right" vertical="bottom"/>
    </xf>
    <xf borderId="6" fillId="0" fontId="1" numFmtId="0" xfId="0" applyAlignment="1" applyBorder="1" applyFont="1">
      <alignment readingOrder="0" shrinkToFit="0" vertical="top" wrapText="1"/>
    </xf>
    <xf borderId="7" fillId="0" fontId="24" numFmtId="0" xfId="0" applyBorder="1" applyFont="1"/>
    <xf borderId="8" fillId="0" fontId="24" numFmtId="0" xfId="0" applyBorder="1" applyFont="1"/>
    <xf borderId="9" fillId="0" fontId="24" numFmtId="0" xfId="0" applyBorder="1" applyFont="1"/>
    <xf borderId="10" fillId="0" fontId="24" numFmtId="0" xfId="0" applyBorder="1" applyFont="1"/>
    <xf borderId="11" fillId="0" fontId="24" numFmtId="0" xfId="0" applyBorder="1" applyFont="1"/>
    <xf borderId="2" fillId="23" fontId="22" numFmtId="169" xfId="0" applyAlignment="1" applyBorder="1" applyFont="1" applyNumberFormat="1">
      <alignment horizontal="right" vertical="bottom"/>
    </xf>
    <xf borderId="2" fillId="14" fontId="8" numFmtId="0" xfId="0" applyAlignment="1" applyBorder="1" applyFont="1">
      <alignment vertical="bottom"/>
    </xf>
    <xf borderId="0" fillId="14" fontId="8" numFmtId="0" xfId="0" applyAlignment="1" applyFont="1">
      <alignment vertical="bottom"/>
    </xf>
    <xf borderId="5" fillId="0" fontId="18" numFmtId="0" xfId="0" applyAlignment="1" applyBorder="1" applyFont="1">
      <alignment readingOrder="0"/>
    </xf>
    <xf borderId="2" fillId="25" fontId="9" numFmtId="0" xfId="0" applyAlignment="1" applyBorder="1" applyFill="1" applyFont="1">
      <alignment vertical="bottom"/>
    </xf>
    <xf borderId="2" fillId="26" fontId="8" numFmtId="0" xfId="0" applyAlignment="1" applyBorder="1" applyFill="1" applyFont="1">
      <alignment vertical="bottom"/>
    </xf>
    <xf borderId="0" fillId="0" fontId="8" numFmtId="169" xfId="0" applyAlignment="1" applyFont="1" applyNumberFormat="1">
      <alignment horizontal="center" vertical="bottom"/>
    </xf>
    <xf borderId="2" fillId="0" fontId="8" numFmtId="169" xfId="0" applyAlignment="1" applyBorder="1" applyFont="1" applyNumberFormat="1">
      <alignment horizontal="center" vertical="bottom"/>
    </xf>
    <xf borderId="0" fillId="0" fontId="14" numFmtId="169" xfId="0" applyAlignment="1" applyFont="1" applyNumberFormat="1">
      <alignment horizontal="center" vertical="bottom"/>
    </xf>
    <xf borderId="0" fillId="27" fontId="8" numFmtId="2" xfId="0" applyAlignment="1" applyFill="1" applyFont="1" applyNumberFormat="1">
      <alignment horizontal="right" vertical="bottom"/>
    </xf>
    <xf borderId="2" fillId="27" fontId="8" numFmtId="2" xfId="0" applyAlignment="1" applyBorder="1" applyFont="1" applyNumberFormat="1">
      <alignment horizontal="right" vertical="bottom"/>
    </xf>
    <xf borderId="0" fillId="27" fontId="10" numFmtId="2" xfId="0" applyAlignment="1" applyFont="1" applyNumberFormat="1">
      <alignment horizontal="right" vertical="bottom"/>
    </xf>
    <xf borderId="0" fillId="28" fontId="8" numFmtId="169" xfId="0" applyAlignment="1" applyFill="1" applyFont="1" applyNumberFormat="1">
      <alignment horizontal="right" vertical="bottom"/>
    </xf>
    <xf borderId="0" fillId="28" fontId="8" numFmtId="169" xfId="0" applyAlignment="1" applyFont="1" applyNumberFormat="1">
      <alignment horizontal="center" vertical="bottom"/>
    </xf>
    <xf borderId="2" fillId="28" fontId="8" numFmtId="169" xfId="0" applyAlignment="1" applyBorder="1" applyFont="1" applyNumberFormat="1">
      <alignment horizontal="center" vertical="bottom"/>
    </xf>
    <xf borderId="0" fillId="29" fontId="4" numFmtId="2" xfId="0" applyAlignment="1" applyFill="1" applyFont="1" applyNumberFormat="1">
      <alignment horizontal="right" vertical="bottom"/>
    </xf>
    <xf borderId="0" fillId="29" fontId="4" numFmtId="2" xfId="0" applyAlignment="1" applyFont="1" applyNumberFormat="1">
      <alignment horizontal="center" vertical="bottom"/>
    </xf>
    <xf borderId="12" fillId="0" fontId="24" numFmtId="0" xfId="0" applyBorder="1" applyFont="1"/>
    <xf borderId="2" fillId="29" fontId="4" numFmtId="2" xfId="0" applyAlignment="1" applyBorder="1" applyFont="1" applyNumberFormat="1">
      <alignment horizontal="center" vertical="bottom"/>
    </xf>
    <xf borderId="13" fillId="0" fontId="24" numFmtId="0" xfId="0" applyBorder="1" applyFont="1"/>
    <xf borderId="2" fillId="30" fontId="4" numFmtId="0" xfId="0" applyAlignment="1" applyBorder="1" applyFill="1" applyFont="1">
      <alignment vertical="bottom"/>
    </xf>
    <xf borderId="2" fillId="31" fontId="8" numFmtId="0" xfId="0" applyAlignment="1" applyBorder="1" applyFill="1" applyFont="1">
      <alignment vertical="bottom"/>
    </xf>
    <xf borderId="0" fillId="32" fontId="25" numFmtId="169" xfId="0" applyAlignment="1" applyFill="1" applyFont="1" applyNumberFormat="1">
      <alignment horizontal="right" vertical="bottom"/>
    </xf>
    <xf borderId="0" fillId="32" fontId="25" numFmtId="169" xfId="0" applyAlignment="1" applyFont="1" applyNumberFormat="1">
      <alignment horizontal="center" vertical="bottom"/>
    </xf>
    <xf borderId="0" fillId="32" fontId="8" numFmtId="169" xfId="0" applyAlignment="1" applyFont="1" applyNumberFormat="1">
      <alignment vertical="bottom"/>
    </xf>
    <xf borderId="2" fillId="32" fontId="8" numFmtId="169" xfId="0" applyAlignment="1" applyBorder="1" applyFont="1" applyNumberFormat="1">
      <alignment vertical="bottom"/>
    </xf>
    <xf borderId="0" fillId="32" fontId="25" numFmtId="2" xfId="0" applyAlignment="1" applyFont="1" applyNumberFormat="1">
      <alignment horizontal="center" vertical="bottom"/>
    </xf>
    <xf borderId="0" fillId="32" fontId="8" numFmtId="2" xfId="0" applyAlignment="1" applyFont="1" applyNumberFormat="1">
      <alignment vertical="bottom"/>
    </xf>
    <xf borderId="2" fillId="32" fontId="8" numFmtId="2" xfId="0" applyAlignment="1" applyBorder="1" applyFont="1" applyNumberFormat="1">
      <alignment vertical="bottom"/>
    </xf>
    <xf borderId="0" fillId="27" fontId="10" numFmtId="2" xfId="0" applyAlignment="1" applyFont="1" applyNumberFormat="1">
      <alignment horizontal="center" vertical="bottom"/>
    </xf>
    <xf borderId="5" fillId="33" fontId="26" numFmtId="0" xfId="0" applyAlignment="1" applyBorder="1" applyFill="1" applyFont="1">
      <alignment readingOrder="0"/>
    </xf>
    <xf borderId="5" fillId="33" fontId="26" numFmtId="0" xfId="0" applyBorder="1" applyFont="1"/>
    <xf borderId="2" fillId="34" fontId="4" numFmtId="0" xfId="0" applyAlignment="1" applyBorder="1" applyFill="1" applyFont="1">
      <alignment vertical="bottom"/>
    </xf>
    <xf borderId="2" fillId="35" fontId="8" numFmtId="0" xfId="0" applyAlignment="1" applyBorder="1" applyFill="1" applyFont="1">
      <alignment vertical="bottom"/>
    </xf>
    <xf borderId="0" fillId="0" fontId="19" numFmtId="0" xfId="0" applyAlignment="1" applyFont="1">
      <alignment readingOrder="0"/>
    </xf>
    <xf borderId="0" fillId="0" fontId="19" numFmtId="0" xfId="0" applyFont="1"/>
    <xf borderId="0" fillId="0" fontId="19" numFmtId="175" xfId="0" applyAlignment="1" applyFont="1" applyNumberFormat="1">
      <alignment readingOrder="0"/>
    </xf>
    <xf borderId="0" fillId="0" fontId="27" numFmtId="0" xfId="0" applyAlignment="1" applyFont="1">
      <alignment readingOrder="0"/>
    </xf>
    <xf borderId="0" fillId="0" fontId="19" numFmtId="0" xfId="0" applyAlignment="1" applyFont="1">
      <alignment readingOrder="0"/>
    </xf>
    <xf quotePrefix="1" borderId="0" fillId="0" fontId="19" numFmtId="0" xfId="0" applyAlignment="1" applyFont="1">
      <alignment readingOrder="0"/>
    </xf>
    <xf borderId="0" fillId="0" fontId="28" numFmtId="0" xfId="0" applyAlignment="1" applyFont="1">
      <alignment readingOrder="0"/>
    </xf>
    <xf borderId="0" fillId="0" fontId="8" numFmtId="2" xfId="0" applyAlignment="1" applyFont="1" applyNumberFormat="1">
      <alignment vertical="bottom"/>
    </xf>
    <xf borderId="2" fillId="0" fontId="8" numFmtId="2" xfId="0" applyAlignment="1" applyBorder="1" applyFont="1" applyNumberFormat="1">
      <alignment vertical="bottom"/>
    </xf>
    <xf borderId="2" fillId="36" fontId="8" numFmtId="0" xfId="0" applyAlignment="1" applyBorder="1" applyFill="1" applyFont="1">
      <alignment vertical="bottom"/>
    </xf>
    <xf borderId="2" fillId="37" fontId="8" numFmtId="0" xfId="0" applyAlignment="1" applyBorder="1" applyFill="1" applyFont="1">
      <alignment vertical="bottom"/>
    </xf>
    <xf borderId="2" fillId="32" fontId="25" numFmtId="169" xfId="0" applyAlignment="1" applyBorder="1" applyFont="1" applyNumberFormat="1">
      <alignment horizontal="center" vertical="bottom"/>
    </xf>
    <xf borderId="2" fillId="32" fontId="25" numFmtId="2" xfId="0" applyAlignment="1" applyBorder="1" applyFont="1" applyNumberFormat="1">
      <alignment horizontal="center" vertical="bottom"/>
    </xf>
    <xf borderId="2" fillId="0" fontId="8" numFmtId="171" xfId="0" applyAlignment="1" applyBorder="1" applyFont="1" applyNumberFormat="1">
      <alignment vertical="bottom"/>
    </xf>
    <xf borderId="0" fillId="0" fontId="4" numFmtId="0" xfId="0" applyAlignment="1" applyFont="1">
      <alignment horizontal="right" vertical="bottom"/>
    </xf>
    <xf borderId="0" fillId="0" fontId="4" numFmtId="2" xfId="0" applyAlignment="1" applyFont="1" applyNumberFormat="1">
      <alignment horizontal="right" vertical="bottom"/>
    </xf>
    <xf borderId="2" fillId="38" fontId="8" numFmtId="0" xfId="0" applyAlignment="1" applyBorder="1" applyFill="1" applyFont="1">
      <alignment vertical="bottom"/>
    </xf>
    <xf borderId="0" fillId="27" fontId="8" numFmtId="2" xfId="0" applyAlignment="1" applyFont="1" applyNumberFormat="1">
      <alignment horizontal="center" vertical="bottom"/>
    </xf>
    <xf borderId="2" fillId="27" fontId="8" numFmtId="2" xfId="0" applyAlignment="1" applyBorder="1" applyFont="1" applyNumberFormat="1">
      <alignment horizontal="center" vertical="bottom"/>
    </xf>
    <xf borderId="2" fillId="39" fontId="5" numFmtId="0" xfId="0" applyAlignment="1" applyBorder="1" applyFill="1" applyFont="1">
      <alignment vertical="bottom"/>
    </xf>
    <xf borderId="2" fillId="40" fontId="4" numFmtId="0" xfId="0" applyAlignment="1" applyBorder="1" applyFill="1" applyFont="1">
      <alignment vertical="bottom"/>
    </xf>
    <xf borderId="2" fillId="41" fontId="4" numFmtId="0" xfId="0" applyAlignment="1" applyBorder="1" applyFill="1" applyFont="1">
      <alignment vertical="bottom"/>
    </xf>
    <xf borderId="2" fillId="42" fontId="4" numFmtId="0" xfId="0" applyAlignment="1" applyBorder="1" applyFill="1" applyFont="1">
      <alignment vertical="bottom"/>
    </xf>
    <xf borderId="2" fillId="25" fontId="8" numFmtId="0" xfId="0" applyAlignment="1" applyBorder="1" applyFont="1">
      <alignment vertical="bottom"/>
    </xf>
    <xf borderId="0" fillId="0" fontId="8" numFmtId="176" xfId="0" applyAlignment="1" applyFont="1" applyNumberFormat="1">
      <alignment vertical="bottom"/>
    </xf>
    <xf borderId="2" fillId="0" fontId="8" numFmtId="176" xfId="0" applyAlignment="1" applyBorder="1" applyFont="1" applyNumberFormat="1">
      <alignment vertical="bottom"/>
    </xf>
    <xf borderId="2" fillId="10" fontId="8" numFmtId="0" xfId="0" applyAlignment="1" applyBorder="1" applyFont="1">
      <alignment vertical="bottom"/>
    </xf>
    <xf borderId="0" fillId="0" fontId="9" numFmtId="169" xfId="0" applyAlignment="1" applyFont="1" applyNumberFormat="1">
      <alignment horizontal="right" vertical="bottom"/>
    </xf>
    <xf borderId="0" fillId="0" fontId="9" numFmtId="169" xfId="0" applyAlignment="1" applyFont="1" applyNumberFormat="1">
      <alignment readingOrder="0" vertical="bottom"/>
    </xf>
    <xf borderId="2" fillId="0" fontId="9" numFmtId="169" xfId="0" applyAlignment="1" applyBorder="1" applyFont="1" applyNumberFormat="1">
      <alignment readingOrder="0" vertical="bottom"/>
    </xf>
    <xf borderId="0" fillId="0" fontId="8" numFmtId="169" xfId="0" applyAlignment="1" applyFont="1" applyNumberFormat="1">
      <alignment readingOrder="0" vertical="bottom"/>
    </xf>
    <xf borderId="0" fillId="43" fontId="8" numFmtId="169" xfId="0" applyAlignment="1" applyFill="1" applyFont="1" applyNumberFormat="1">
      <alignment horizontal="right" shrinkToFit="0" vertical="bottom" wrapText="1"/>
    </xf>
    <xf borderId="2" fillId="43" fontId="8" numFmtId="169" xfId="0" applyAlignment="1" applyBorder="1" applyFont="1" applyNumberFormat="1">
      <alignment horizontal="right" shrinkToFit="0" vertical="bottom" wrapText="1"/>
    </xf>
    <xf borderId="0" fillId="43" fontId="12" numFmtId="169" xfId="0" applyAlignment="1" applyFont="1" applyNumberFormat="1">
      <alignment horizontal="right" shrinkToFit="0" vertical="bottom" wrapText="1"/>
    </xf>
    <xf borderId="2" fillId="43" fontId="8" numFmtId="0" xfId="0" applyAlignment="1" applyBorder="1" applyFont="1">
      <alignment vertical="bottom"/>
    </xf>
    <xf borderId="0" fillId="0" fontId="9" numFmtId="0" xfId="0" applyAlignment="1" applyFont="1">
      <alignment horizontal="right" vertical="bottom"/>
    </xf>
    <xf borderId="0" fillId="0" fontId="9" numFmtId="0" xfId="0" applyAlignment="1" applyFont="1">
      <alignment readingOrder="0" vertical="bottom"/>
    </xf>
    <xf borderId="0" fillId="0" fontId="12" numFmtId="0" xfId="0" applyAlignment="1" applyFont="1">
      <alignment horizontal="right" vertical="bottom"/>
    </xf>
    <xf borderId="0" fillId="0" fontId="9" numFmtId="0" xfId="0" applyAlignment="1" applyFont="1">
      <alignment vertical="bottom"/>
    </xf>
    <xf borderId="0" fillId="43" fontId="8" numFmtId="0" xfId="0" applyAlignment="1" applyFont="1">
      <alignment horizontal="right" vertical="bottom"/>
    </xf>
    <xf borderId="2" fillId="43" fontId="8" numFmtId="0" xfId="0" applyAlignment="1" applyBorder="1" applyFont="1">
      <alignment horizontal="right" vertical="bottom"/>
    </xf>
    <xf borderId="0" fillId="10" fontId="12" numFmtId="0" xfId="0" applyAlignment="1" applyFont="1">
      <alignment horizontal="right" vertical="bottom"/>
    </xf>
    <xf borderId="2" fillId="44" fontId="8" numFmtId="0" xfId="0" applyAlignment="1" applyBorder="1" applyFill="1" applyFont="1">
      <alignment vertical="bottom"/>
    </xf>
    <xf borderId="0" fillId="0" fontId="29" numFmtId="169" xfId="0" applyAlignment="1" applyFont="1" applyNumberFormat="1">
      <alignment horizontal="right" vertical="bottom"/>
    </xf>
    <xf borderId="0" fillId="0" fontId="29" numFmtId="169" xfId="0" applyAlignment="1" applyFont="1" applyNumberFormat="1">
      <alignment horizontal="right" readingOrder="0" vertical="bottom"/>
    </xf>
    <xf borderId="2" fillId="0" fontId="29" numFmtId="169" xfId="0" applyAlignment="1" applyBorder="1" applyFont="1" applyNumberFormat="1">
      <alignment horizontal="right" readingOrder="0" vertical="bottom"/>
    </xf>
    <xf borderId="2" fillId="45" fontId="8" numFmtId="0" xfId="0" applyAlignment="1" applyBorder="1" applyFill="1" applyFont="1">
      <alignment vertical="bottom"/>
    </xf>
    <xf borderId="0" fillId="45" fontId="8" numFmtId="169" xfId="0" applyAlignment="1" applyFont="1" applyNumberFormat="1">
      <alignment horizontal="right" vertical="bottom"/>
    </xf>
    <xf borderId="2" fillId="45" fontId="8" numFmtId="169" xfId="0" applyAlignment="1" applyBorder="1" applyFont="1" applyNumberFormat="1">
      <alignment horizontal="right" vertical="bottom"/>
    </xf>
    <xf borderId="0" fillId="45" fontId="12" numFmtId="169" xfId="0" applyAlignment="1" applyFont="1" applyNumberFormat="1">
      <alignment horizontal="right" vertical="bottom"/>
    </xf>
    <xf borderId="0" fillId="46" fontId="8" numFmtId="169" xfId="0" applyAlignment="1" applyFill="1" applyFont="1" applyNumberFormat="1">
      <alignment horizontal="right" vertical="bottom"/>
    </xf>
    <xf borderId="0" fillId="47" fontId="8" numFmtId="169" xfId="0" applyAlignment="1" applyFill="1" applyFont="1" applyNumberFormat="1">
      <alignment horizontal="right" vertical="bottom"/>
    </xf>
    <xf borderId="2" fillId="46" fontId="8" numFmtId="169" xfId="0" applyAlignment="1" applyBorder="1" applyFont="1" applyNumberFormat="1">
      <alignment horizontal="right" vertical="bottom"/>
    </xf>
    <xf borderId="0" fillId="48" fontId="29" numFmtId="0" xfId="0" applyAlignment="1" applyFill="1" applyFont="1">
      <alignment horizontal="right" vertical="bottom"/>
    </xf>
    <xf borderId="0" fillId="48" fontId="29" numFmtId="0" xfId="0" applyAlignment="1" applyFont="1">
      <alignment horizontal="right" readingOrder="0" vertical="bottom"/>
    </xf>
    <xf borderId="0" fillId="48" fontId="12" numFmtId="0" xfId="0" applyAlignment="1" applyFont="1">
      <alignment horizontal="right" vertical="bottom"/>
    </xf>
    <xf borderId="0" fillId="0" fontId="9" numFmtId="164" xfId="0" applyAlignment="1" applyFont="1" applyNumberFormat="1">
      <alignment horizontal="right" vertical="bottom"/>
    </xf>
    <xf borderId="0" fillId="0" fontId="8" numFmtId="164" xfId="0" applyAlignment="1" applyFont="1" applyNumberFormat="1">
      <alignment horizontal="right" vertical="bottom"/>
    </xf>
    <xf borderId="0" fillId="0" fontId="8" numFmtId="164" xfId="0" applyAlignment="1" applyFont="1" applyNumberFormat="1">
      <alignment horizontal="right" readingOrder="0" vertical="bottom"/>
    </xf>
    <xf borderId="0" fillId="0" fontId="9" numFmtId="164" xfId="0" applyAlignment="1" applyFont="1" applyNumberFormat="1">
      <alignment horizontal="right" readingOrder="0" vertical="bottom"/>
    </xf>
    <xf borderId="2" fillId="0" fontId="9" numFmtId="164" xfId="0" applyAlignment="1" applyBorder="1" applyFont="1" applyNumberFormat="1">
      <alignment horizontal="right" readingOrder="0" vertical="bottom"/>
    </xf>
    <xf borderId="0" fillId="0" fontId="30" numFmtId="164" xfId="0" applyAlignment="1" applyFont="1" applyNumberFormat="1">
      <alignment horizontal="right" vertical="bottom"/>
    </xf>
    <xf borderId="0" fillId="45" fontId="8" numFmtId="164" xfId="0" applyAlignment="1" applyFont="1" applyNumberFormat="1">
      <alignment horizontal="right" vertical="bottom"/>
    </xf>
    <xf borderId="2" fillId="45" fontId="8" numFmtId="164" xfId="0" applyAlignment="1" applyBorder="1" applyFont="1" applyNumberFormat="1">
      <alignment horizontal="right" vertical="bottom"/>
    </xf>
    <xf borderId="0" fillId="45" fontId="12" numFmtId="164" xfId="0" applyAlignment="1" applyFont="1" applyNumberFormat="1">
      <alignment horizontal="right" vertical="bottom"/>
    </xf>
    <xf borderId="0" fillId="48" fontId="8" numFmtId="0" xfId="0" applyAlignment="1" applyFont="1">
      <alignment horizontal="right" vertical="bottom"/>
    </xf>
    <xf borderId="2" fillId="48" fontId="8" numFmtId="0" xfId="0" applyAlignment="1" applyBorder="1" applyFont="1">
      <alignment horizontal="right" vertical="bottom"/>
    </xf>
    <xf borderId="0" fillId="45" fontId="12" numFmtId="0" xfId="0" applyAlignment="1" applyFont="1">
      <alignment horizontal="right" vertical="bottom"/>
    </xf>
    <xf borderId="0" fillId="49" fontId="8" numFmtId="0" xfId="0" applyAlignment="1" applyFill="1" applyFont="1">
      <alignment vertical="bottom"/>
    </xf>
    <xf borderId="0" fillId="0" fontId="9" numFmtId="1" xfId="0" applyAlignment="1" applyFont="1" applyNumberFormat="1">
      <alignment horizontal="right" vertical="bottom"/>
    </xf>
    <xf borderId="0" fillId="0" fontId="9" numFmtId="1" xfId="0" applyAlignment="1" applyFont="1" applyNumberFormat="1">
      <alignment horizontal="right" readingOrder="0" vertical="bottom"/>
    </xf>
    <xf borderId="0" fillId="0" fontId="9" numFmtId="0" xfId="0" applyAlignment="1" applyFont="1">
      <alignment horizontal="right" readingOrder="0" vertical="bottom"/>
    </xf>
    <xf borderId="2" fillId="48" fontId="8" numFmtId="0" xfId="0" applyAlignment="1" applyBorder="1" applyFont="1">
      <alignment vertical="bottom"/>
    </xf>
    <xf borderId="0" fillId="48" fontId="8" numFmtId="1" xfId="0" applyAlignment="1" applyFont="1" applyNumberFormat="1">
      <alignment horizontal="right" vertical="bottom"/>
    </xf>
    <xf borderId="0" fillId="48" fontId="12" numFmtId="1" xfId="0" applyAlignment="1" applyFont="1" applyNumberFormat="1">
      <alignment horizontal="right" vertical="bottom"/>
    </xf>
    <xf borderId="0" fillId="0" fontId="8" numFmtId="1" xfId="0" applyAlignment="1" applyFont="1" applyNumberFormat="1">
      <alignment vertical="bottom"/>
    </xf>
    <xf borderId="2" fillId="48" fontId="8" numFmtId="1" xfId="0" applyAlignment="1" applyBorder="1" applyFont="1" applyNumberFormat="1">
      <alignment horizontal="right" vertical="bottom"/>
    </xf>
    <xf borderId="0" fillId="50" fontId="8" numFmtId="169" xfId="0" applyAlignment="1" applyFill="1" applyFont="1" applyNumberFormat="1">
      <alignment horizontal="right" vertical="bottom"/>
    </xf>
    <xf borderId="0" fillId="51" fontId="8" numFmtId="169" xfId="0" applyAlignment="1" applyFill="1" applyFont="1" applyNumberFormat="1">
      <alignment horizontal="right" vertical="bottom"/>
    </xf>
    <xf borderId="0" fillId="52" fontId="8" numFmtId="169" xfId="0" applyAlignment="1" applyFill="1" applyFont="1" applyNumberFormat="1">
      <alignment horizontal="right" vertical="bottom"/>
    </xf>
    <xf borderId="0" fillId="53" fontId="8" numFmtId="169" xfId="0" applyAlignment="1" applyFill="1" applyFont="1" applyNumberFormat="1">
      <alignment horizontal="right" vertical="bottom"/>
    </xf>
    <xf borderId="0" fillId="54" fontId="8" numFmtId="169" xfId="0" applyAlignment="1" applyFill="1" applyFont="1" applyNumberFormat="1">
      <alignment horizontal="right" vertical="bottom"/>
    </xf>
    <xf borderId="0" fillId="55" fontId="8" numFmtId="169" xfId="0" applyAlignment="1" applyFill="1" applyFont="1" applyNumberFormat="1">
      <alignment horizontal="right" vertical="bottom"/>
    </xf>
    <xf borderId="0" fillId="56" fontId="8" numFmtId="169" xfId="0" applyAlignment="1" applyFill="1" applyFont="1" applyNumberFormat="1">
      <alignment horizontal="right" vertical="bottom"/>
    </xf>
    <xf borderId="0" fillId="57" fontId="8" numFmtId="169" xfId="0" applyAlignment="1" applyFill="1" applyFont="1" applyNumberFormat="1">
      <alignment horizontal="right" vertical="bottom"/>
    </xf>
    <xf borderId="0" fillId="58" fontId="8" numFmtId="169" xfId="0" applyAlignment="1" applyFill="1" applyFont="1" applyNumberFormat="1">
      <alignment horizontal="right" vertical="bottom"/>
    </xf>
    <xf borderId="0" fillId="59" fontId="8" numFmtId="169" xfId="0" applyAlignment="1" applyFill="1" applyFont="1" applyNumberFormat="1">
      <alignment horizontal="right" vertical="bottom"/>
    </xf>
    <xf borderId="0" fillId="60" fontId="8" numFmtId="169" xfId="0" applyAlignment="1" applyFill="1" applyFont="1" applyNumberFormat="1">
      <alignment horizontal="right" vertical="bottom"/>
    </xf>
    <xf borderId="0" fillId="61" fontId="8" numFmtId="169" xfId="0" applyAlignment="1" applyFill="1" applyFont="1" applyNumberFormat="1">
      <alignment horizontal="right" vertical="bottom"/>
    </xf>
    <xf borderId="0" fillId="62" fontId="8" numFmtId="169" xfId="0" applyAlignment="1" applyFill="1" applyFont="1" applyNumberFormat="1">
      <alignment horizontal="right" vertical="bottom"/>
    </xf>
    <xf borderId="0" fillId="63" fontId="8" numFmtId="169" xfId="0" applyAlignment="1" applyFill="1" applyFont="1" applyNumberFormat="1">
      <alignment horizontal="right" vertical="bottom"/>
    </xf>
    <xf borderId="0" fillId="64" fontId="8" numFmtId="169" xfId="0" applyAlignment="1" applyFill="1" applyFont="1" applyNumberFormat="1">
      <alignment horizontal="right" vertical="bottom"/>
    </xf>
    <xf borderId="0" fillId="65" fontId="8" numFmtId="169" xfId="0" applyAlignment="1" applyFill="1" applyFont="1" applyNumberFormat="1">
      <alignment horizontal="right" vertical="bottom"/>
    </xf>
    <xf borderId="0" fillId="66" fontId="8" numFmtId="169" xfId="0" applyAlignment="1" applyFill="1" applyFont="1" applyNumberFormat="1">
      <alignment horizontal="right" vertical="bottom"/>
    </xf>
    <xf borderId="0" fillId="67" fontId="8" numFmtId="169" xfId="0" applyAlignment="1" applyFill="1" applyFont="1" applyNumberFormat="1">
      <alignment horizontal="right" vertical="bottom"/>
    </xf>
    <xf borderId="2" fillId="67" fontId="8" numFmtId="169" xfId="0" applyAlignment="1" applyBorder="1" applyFont="1" applyNumberFormat="1">
      <alignment horizontal="right" vertical="bottom"/>
    </xf>
    <xf borderId="2" fillId="49" fontId="9" numFmtId="0" xfId="0" applyAlignment="1" applyBorder="1" applyFont="1">
      <alignment readingOrder="0" vertical="bottom"/>
    </xf>
    <xf borderId="0" fillId="49" fontId="31" numFmtId="164" xfId="0" applyFont="1" applyNumberFormat="1"/>
    <xf borderId="14" fillId="0" fontId="1" numFmtId="0" xfId="0" applyBorder="1" applyFont="1"/>
    <xf borderId="14" fillId="0" fontId="8" numFmtId="0" xfId="0" applyAlignment="1" applyBorder="1" applyFont="1">
      <alignment vertical="bottom"/>
    </xf>
    <xf borderId="2" fillId="0" fontId="32" numFmtId="0" xfId="0" applyAlignment="1" applyBorder="1" applyFont="1">
      <alignment vertical="bottom"/>
    </xf>
    <xf borderId="0" fillId="0" fontId="32" numFmtId="169" xfId="0" applyAlignment="1" applyFont="1" applyNumberFormat="1">
      <alignment horizontal="right" vertical="bottom"/>
    </xf>
    <xf borderId="14" fillId="0" fontId="12" numFmtId="169" xfId="0" applyAlignment="1" applyBorder="1" applyFont="1" applyNumberFormat="1">
      <alignment horizontal="right" vertical="bottom"/>
    </xf>
    <xf borderId="14" fillId="0" fontId="8" numFmtId="169" xfId="0" applyAlignment="1" applyBorder="1" applyFont="1" applyNumberFormat="1">
      <alignment vertical="bottom"/>
    </xf>
    <xf borderId="2" fillId="68" fontId="8" numFmtId="0" xfId="0" applyAlignment="1" applyBorder="1" applyFill="1" applyFont="1">
      <alignment vertical="bottom"/>
    </xf>
    <xf borderId="0" fillId="69" fontId="12" numFmtId="2" xfId="0" applyAlignment="1" applyFill="1" applyFont="1" applyNumberFormat="1">
      <alignment horizontal="right" vertical="bottom"/>
    </xf>
    <xf borderId="0" fillId="70" fontId="12" numFmtId="2" xfId="0" applyAlignment="1" applyFill="1" applyFont="1" applyNumberFormat="1">
      <alignment horizontal="right" vertical="bottom"/>
    </xf>
    <xf borderId="0" fillId="71" fontId="12" numFmtId="2" xfId="0" applyAlignment="1" applyFill="1" applyFont="1" applyNumberFormat="1">
      <alignment horizontal="right" vertical="bottom"/>
    </xf>
    <xf borderId="0" fillId="72" fontId="12" numFmtId="2" xfId="0" applyAlignment="1" applyFill="1" applyFont="1" applyNumberFormat="1">
      <alignment horizontal="right" vertical="bottom"/>
    </xf>
    <xf borderId="0" fillId="73" fontId="12" numFmtId="2" xfId="0" applyAlignment="1" applyFill="1" applyFont="1" applyNumberFormat="1">
      <alignment horizontal="right" vertical="bottom"/>
    </xf>
    <xf borderId="0" fillId="74" fontId="12" numFmtId="2" xfId="0" applyAlignment="1" applyFill="1" applyFont="1" applyNumberFormat="1">
      <alignment horizontal="right" vertical="bottom"/>
    </xf>
    <xf borderId="0" fillId="75" fontId="12" numFmtId="2" xfId="0" applyAlignment="1" applyFill="1" applyFont="1" applyNumberFormat="1">
      <alignment horizontal="right" vertical="bottom"/>
    </xf>
    <xf borderId="0" fillId="67" fontId="12" numFmtId="2" xfId="0" applyAlignment="1" applyFont="1" applyNumberFormat="1">
      <alignment horizontal="right" vertical="bottom"/>
    </xf>
    <xf borderId="0" fillId="76" fontId="12" numFmtId="2" xfId="0" applyAlignment="1" applyFill="1" applyFont="1" applyNumberFormat="1">
      <alignment horizontal="right" vertical="bottom"/>
    </xf>
    <xf borderId="0" fillId="77" fontId="12" numFmtId="2" xfId="0" applyAlignment="1" applyFill="1" applyFont="1" applyNumberFormat="1">
      <alignment horizontal="right" vertical="bottom"/>
    </xf>
    <xf borderId="0" fillId="78" fontId="12" numFmtId="2" xfId="0" applyAlignment="1" applyFill="1" applyFont="1" applyNumberFormat="1">
      <alignment horizontal="right" vertical="bottom"/>
    </xf>
    <xf borderId="0" fillId="79" fontId="12" numFmtId="2" xfId="0" applyAlignment="1" applyFill="1" applyFont="1" applyNumberFormat="1">
      <alignment horizontal="right" vertical="bottom"/>
    </xf>
    <xf borderId="0" fillId="80" fontId="12" numFmtId="2" xfId="0" applyAlignment="1" applyFill="1" applyFont="1" applyNumberFormat="1">
      <alignment horizontal="right" vertical="bottom"/>
    </xf>
    <xf borderId="0" fillId="81" fontId="12" numFmtId="2" xfId="0" applyAlignment="1" applyFill="1" applyFont="1" applyNumberFormat="1">
      <alignment horizontal="right" vertical="bottom"/>
    </xf>
    <xf borderId="0" fillId="82" fontId="12" numFmtId="2" xfId="0" applyAlignment="1" applyFill="1" applyFont="1" applyNumberFormat="1">
      <alignment horizontal="right" vertical="bottom"/>
    </xf>
    <xf borderId="0" fillId="0" fontId="12" numFmtId="2" xfId="0" applyAlignment="1" applyFont="1" applyNumberFormat="1">
      <alignment horizontal="right" vertical="bottom"/>
    </xf>
    <xf borderId="2" fillId="0" fontId="12" numFmtId="2" xfId="0" applyAlignment="1" applyBorder="1" applyFont="1" applyNumberFormat="1">
      <alignment horizontal="right" vertical="bottom"/>
    </xf>
    <xf borderId="0" fillId="0" fontId="8" numFmtId="2" xfId="0" applyAlignment="1" applyFont="1" applyNumberFormat="1">
      <alignment horizontal="right" vertical="bottom"/>
    </xf>
    <xf borderId="0" fillId="0" fontId="8" numFmtId="0" xfId="0" applyAlignment="1" applyFont="1">
      <alignment horizontal="right" vertical="bottom"/>
    </xf>
    <xf borderId="2" fillId="0" fontId="8" numFmtId="2" xfId="0" applyAlignment="1" applyBorder="1" applyFont="1" applyNumberFormat="1">
      <alignment horizontal="right" vertical="bottom"/>
    </xf>
    <xf borderId="0" fillId="83" fontId="9" numFmtId="0" xfId="0" applyAlignment="1" applyFill="1" applyFont="1">
      <alignment horizontal="right" vertical="bottom"/>
    </xf>
    <xf borderId="0" fillId="84" fontId="9" numFmtId="0" xfId="0" applyAlignment="1" applyFill="1" applyFont="1">
      <alignment horizontal="right" vertical="bottom"/>
    </xf>
    <xf borderId="0" fillId="85" fontId="9" numFmtId="0" xfId="0" applyAlignment="1" applyFill="1" applyFont="1">
      <alignment horizontal="right" vertical="bottom"/>
    </xf>
    <xf borderId="0" fillId="86" fontId="9" numFmtId="0" xfId="0" applyAlignment="1" applyFill="1" applyFont="1">
      <alignment horizontal="right" vertical="bottom"/>
    </xf>
    <xf borderId="0" fillId="87" fontId="9" numFmtId="0" xfId="0" applyAlignment="1" applyFill="1" applyFont="1">
      <alignment horizontal="right" vertical="bottom"/>
    </xf>
    <xf borderId="0" fillId="88" fontId="9" numFmtId="0" xfId="0" applyAlignment="1" applyFill="1" applyFont="1">
      <alignment horizontal="right" vertical="bottom"/>
    </xf>
    <xf borderId="0" fillId="89" fontId="9" numFmtId="0" xfId="0" applyAlignment="1" applyFill="1" applyFont="1">
      <alignment horizontal="right" vertical="bottom"/>
    </xf>
    <xf borderId="0" fillId="67" fontId="9" numFmtId="0" xfId="0" applyAlignment="1" applyFont="1">
      <alignment horizontal="right" vertical="bottom"/>
    </xf>
    <xf borderId="0" fillId="76" fontId="9" numFmtId="0" xfId="0" applyAlignment="1" applyFont="1">
      <alignment horizontal="right" vertical="bottom"/>
    </xf>
    <xf borderId="0" fillId="90" fontId="9" numFmtId="0" xfId="0" applyAlignment="1" applyFill="1" applyFont="1">
      <alignment horizontal="right" vertical="bottom"/>
    </xf>
    <xf borderId="0" fillId="91" fontId="9" numFmtId="0" xfId="0" applyAlignment="1" applyFill="1" applyFont="1">
      <alignment horizontal="right" vertical="bottom"/>
    </xf>
    <xf borderId="0" fillId="92" fontId="9" numFmtId="0" xfId="0" applyAlignment="1" applyFill="1" applyFont="1">
      <alignment horizontal="right" vertical="bottom"/>
    </xf>
    <xf borderId="0" fillId="93" fontId="9" numFmtId="0" xfId="0" applyAlignment="1" applyFill="1" applyFont="1">
      <alignment horizontal="right" vertical="bottom"/>
    </xf>
    <xf borderId="0" fillId="94" fontId="9" numFmtId="0" xfId="0" applyAlignment="1" applyFill="1" applyFont="1">
      <alignment horizontal="right" vertical="bottom"/>
    </xf>
    <xf borderId="0" fillId="0" fontId="9" numFmtId="2" xfId="0" applyAlignment="1" applyFont="1" applyNumberFormat="1">
      <alignment horizontal="right" vertical="bottom"/>
    </xf>
    <xf borderId="0" fillId="0" fontId="8" numFmtId="4" xfId="0" applyAlignment="1" applyFont="1" applyNumberFormat="1">
      <alignment vertical="bottom"/>
    </xf>
    <xf borderId="0" fillId="0" fontId="8" numFmtId="177" xfId="0" applyAlignment="1" applyFont="1" applyNumberFormat="1">
      <alignment vertical="bottom"/>
    </xf>
    <xf borderId="2" fillId="0" fontId="8" numFmtId="177" xfId="0" applyAlignment="1" applyBorder="1" applyFont="1" applyNumberFormat="1">
      <alignment vertical="bottom"/>
    </xf>
    <xf borderId="14" fillId="0" fontId="8" numFmtId="177" xfId="0" applyAlignment="1" applyBorder="1" applyFont="1" applyNumberFormat="1">
      <alignment vertical="bottom"/>
    </xf>
    <xf borderId="2" fillId="0" fontId="33" numFmtId="0" xfId="0" applyAlignment="1" applyBorder="1" applyFont="1">
      <alignment vertical="bottom"/>
    </xf>
    <xf borderId="0" fillId="95" fontId="8" numFmtId="169" xfId="0" applyAlignment="1" applyFill="1" applyFont="1" applyNumberFormat="1">
      <alignment vertical="bottom"/>
    </xf>
    <xf borderId="2" fillId="95" fontId="8" numFmtId="169" xfId="0" applyAlignment="1" applyBorder="1" applyFont="1" applyNumberFormat="1">
      <alignment vertical="bottom"/>
    </xf>
    <xf borderId="0" fillId="0" fontId="34" numFmtId="169" xfId="0" applyAlignment="1" applyFont="1" applyNumberFormat="1">
      <alignment horizontal="right" vertical="bottom"/>
    </xf>
    <xf borderId="0" fillId="0" fontId="34" numFmtId="169" xfId="0" applyAlignment="1" applyFont="1" applyNumberFormat="1">
      <alignment horizontal="center" vertical="bottom"/>
    </xf>
    <xf borderId="2" fillId="0" fontId="34" numFmtId="169" xfId="0" applyAlignment="1" applyBorder="1" applyFont="1" applyNumberFormat="1">
      <alignment horizontal="center" vertical="bottom"/>
    </xf>
    <xf borderId="2" fillId="0" fontId="34" numFmtId="169" xfId="0" applyAlignment="1" applyBorder="1" applyFont="1" applyNumberFormat="1">
      <alignment horizontal="right" vertical="bottom"/>
    </xf>
    <xf borderId="2" fillId="0" fontId="1" numFmtId="0" xfId="0" applyBorder="1" applyFont="1"/>
  </cellXfs>
  <cellStyles count="1">
    <cellStyle xfId="0" name="Normal" builtinId="0"/>
  </cellStyles>
  <dxfs count="7">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C7CE"/>
          <bgColor rgb="FFFFC7CE"/>
        </patternFill>
      </fill>
      <border/>
    </dxf>
    <dxf>
      <font/>
      <fill>
        <patternFill patternType="solid">
          <fgColor rgb="FFFEF2CB"/>
          <bgColor rgb="FFFEF2CB"/>
        </patternFill>
      </fill>
      <border/>
    </dxf>
    <dxf>
      <font/>
      <fill>
        <patternFill patternType="solid">
          <fgColor rgb="FFD9EAD3"/>
          <bgColor rgb="FFD9EAD3"/>
        </patternFill>
      </fill>
      <border/>
    </dxf>
    <dxf>
      <font/>
      <fill>
        <patternFill patternType="solid">
          <fgColor rgb="FFE67C73"/>
          <bgColor rgb="FFE67C7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Sales!$A$8</c:f>
            </c:strRef>
          </c:tx>
          <c:spPr>
            <a:solidFill>
              <a:srgbClr val="4285F4">
                <a:alpha val="30000"/>
              </a:srgbClr>
            </a:solidFill>
            <a:ln cmpd="sng">
              <a:solidFill>
                <a:srgbClr val="4285F4"/>
              </a:solidFill>
            </a:ln>
          </c:spPr>
          <c:cat>
            <c:strRef>
              <c:f>Sales!$B$1:$AF$1</c:f>
            </c:strRef>
          </c:cat>
          <c:val>
            <c:numRef>
              <c:f>Sales!$B$8:$AF$8</c:f>
              <c:numCache/>
            </c:numRef>
          </c:val>
        </c:ser>
        <c:ser>
          <c:idx val="1"/>
          <c:order val="1"/>
          <c:tx>
            <c:strRef>
              <c:f>Sales!$A$14</c:f>
            </c:strRef>
          </c:tx>
          <c:spPr>
            <a:solidFill>
              <a:srgbClr val="EA4335">
                <a:alpha val="30000"/>
              </a:srgbClr>
            </a:solidFill>
            <a:ln cmpd="sng">
              <a:solidFill>
                <a:srgbClr val="EA4335"/>
              </a:solidFill>
            </a:ln>
          </c:spPr>
          <c:cat>
            <c:strRef>
              <c:f>Sales!$B$1:$AF$1</c:f>
            </c:strRef>
          </c:cat>
          <c:val>
            <c:numRef>
              <c:f>Sales!$B$14:$AF$14</c:f>
              <c:numCache/>
            </c:numRef>
          </c:val>
        </c:ser>
        <c:axId val="464162268"/>
        <c:axId val="1074837037"/>
      </c:areaChart>
      <c:catAx>
        <c:axId val="4641622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4837037"/>
      </c:catAx>
      <c:valAx>
        <c:axId val="10748370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416226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a:t>
            </a:r>
          </a:p>
        </c:rich>
      </c:tx>
      <c:overlay val="0"/>
    </c:title>
    <c:plotArea>
      <c:layout/>
      <c:barChart>
        <c:barDir val="col"/>
        <c:ser>
          <c:idx val="0"/>
          <c:order val="0"/>
          <c:tx>
            <c:strRef>
              <c:f>Sales!$A$16</c:f>
            </c:strRef>
          </c:tx>
          <c:spPr>
            <a:solidFill>
              <a:schemeClr val="accent1"/>
            </a:solidFill>
            <a:ln cmpd="sng">
              <a:noFill/>
            </a:ln>
          </c:spPr>
          <c:cat>
            <c:strRef>
              <c:f>Sales!$B$1:$AF$1</c:f>
            </c:strRef>
          </c:cat>
          <c:val>
            <c:numRef>
              <c:f>Sales!$B$16:$AF$16</c:f>
              <c:numCache/>
            </c:numRef>
          </c:val>
        </c:ser>
        <c:axId val="471917421"/>
        <c:axId val="74453223"/>
      </c:barChart>
      <c:catAx>
        <c:axId val="471917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4453223"/>
      </c:catAx>
      <c:valAx>
        <c:axId val="744532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191742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lineChart>
        <c:ser>
          <c:idx val="0"/>
          <c:order val="0"/>
          <c:tx>
            <c:strRef>
              <c:f>Sales!$A$8</c:f>
            </c:strRef>
          </c:tx>
          <c:spPr>
            <a:ln cmpd="sng">
              <a:solidFill>
                <a:srgbClr val="4285F4"/>
              </a:solidFill>
            </a:ln>
          </c:spPr>
          <c:marker>
            <c:symbol val="none"/>
          </c:marker>
          <c:cat>
            <c:strRef>
              <c:f>Sales!$B$1:$AF$1</c:f>
            </c:strRef>
          </c:cat>
          <c:val>
            <c:numRef>
              <c:f>Sales!$B$8:$AF$8</c:f>
              <c:numCache/>
            </c:numRef>
          </c:val>
          <c:smooth val="0"/>
        </c:ser>
        <c:ser>
          <c:idx val="1"/>
          <c:order val="1"/>
          <c:tx>
            <c:strRef>
              <c:f>Sales!$A$14</c:f>
            </c:strRef>
          </c:tx>
          <c:spPr>
            <a:ln cmpd="sng">
              <a:solidFill>
                <a:srgbClr val="EA4335"/>
              </a:solidFill>
            </a:ln>
          </c:spPr>
          <c:marker>
            <c:symbol val="none"/>
          </c:marker>
          <c:cat>
            <c:strRef>
              <c:f>Sales!$B$1:$AF$1</c:f>
            </c:strRef>
          </c:cat>
          <c:val>
            <c:numRef>
              <c:f>Sales!$B$14:$AF$14</c:f>
              <c:numCache/>
            </c:numRef>
          </c:val>
          <c:smooth val="0"/>
        </c:ser>
        <c:axId val="926803593"/>
        <c:axId val="1661588154"/>
      </c:lineChart>
      <c:catAx>
        <c:axId val="9268035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61588154"/>
      </c:catAx>
      <c:valAx>
        <c:axId val="1661588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680359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38</xdr:row>
      <xdr:rowOff>0</xdr:rowOff>
    </xdr:from>
    <xdr:ext cx="7781925" cy="3352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54</xdr:row>
      <xdr:rowOff>104775</xdr:rowOff>
    </xdr:from>
    <xdr:ext cx="7781925" cy="37242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733425</xdr:colOff>
      <xdr:row>38</xdr:row>
      <xdr:rowOff>9525</xdr:rowOff>
    </xdr:from>
    <xdr:ext cx="7038975" cy="70199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Benjamin Kumalić" id="{1a21aaaa-b0b8-4be3-bede-033b0c008857}" providerId="google-sheets"/>
  <x18tc:person displayName="Peter Drole" id="{bdeaad57-9740-4b30-9123-704b54f532a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1-10-18T13:16:38.00" personId="{bdeaad57-9740-4b30-9123-704b54f532a2}" id="{369216ea-16a5-4890-910c-d101a0961ce2}" done="0">
    <x18tc:text xml:space="preserve">Strošek BB iz $85 na $86.58
Strošek Fence Mount na $7
Strošek Wall mount na $3.29
Strošek Solar Roof na $8.93
Strošek Suet Ball na $0.45
Added Sales tax 5% to all revenue (line 135)</x18tc:text>
  </x18tc:threadedComment>
  <x18tc:threadedComment ref="Z141" dT="2021-10-26T08:37:24.00" personId="{1a21aaaa-b0b8-4be3-bede-033b0c008857}" id="{a6d6d675-64f3-4cdc-8586-36bd55f2ffea}" done="0">
    <x18tc:text xml:space="preserve">Odšteti vsi refundi, ki ne bodo shippani.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kickstarter.com/projects/mybirdbuddy/bird-buddy-a-smart-bird-feeder/backers/138483177" TargetMode="External"/><Relationship Id="rId2" Type="http://schemas.openxmlformats.org/officeDocument/2006/relationships/hyperlink" Target="https://my-bird-buddy.myshopify.com/admin/orders/4494395277559" TargetMode="External"/><Relationship Id="rId3" Type="http://schemas.openxmlformats.org/officeDocument/2006/relationships/hyperlink" Target="https://my-bird-buddy.myshopify.com/admin/customers/5417992519863"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32" width="10.25"/>
  </cols>
  <sheetData>
    <row r="1">
      <c r="A1" s="41">
        <v>3.0</v>
      </c>
      <c r="B1" s="3">
        <v>44470.0</v>
      </c>
      <c r="C1" s="3">
        <v>44471.0</v>
      </c>
      <c r="D1" s="3">
        <v>44472.0</v>
      </c>
      <c r="E1" s="3">
        <v>44473.0</v>
      </c>
      <c r="F1" s="3">
        <v>44474.0</v>
      </c>
      <c r="G1" s="3">
        <v>44475.0</v>
      </c>
      <c r="H1" s="3">
        <v>44476.0</v>
      </c>
      <c r="I1" s="3">
        <v>44477.0</v>
      </c>
      <c r="J1" s="3">
        <v>44478.0</v>
      </c>
      <c r="K1" s="3">
        <v>44479.0</v>
      </c>
      <c r="L1" s="3">
        <v>44480.0</v>
      </c>
      <c r="M1" s="3">
        <v>44481.0</v>
      </c>
      <c r="N1" s="3">
        <v>44482.0</v>
      </c>
      <c r="O1" s="3">
        <v>44483.0</v>
      </c>
      <c r="P1" s="3">
        <v>44484.0</v>
      </c>
      <c r="Q1" s="3">
        <v>44485.0</v>
      </c>
      <c r="R1" s="3">
        <v>44486.0</v>
      </c>
      <c r="S1" s="3">
        <v>44487.0</v>
      </c>
      <c r="T1" s="3">
        <v>44488.0</v>
      </c>
      <c r="U1" s="3">
        <v>44489.0</v>
      </c>
      <c r="V1" s="3">
        <v>44490.0</v>
      </c>
      <c r="W1" s="3">
        <v>44491.0</v>
      </c>
      <c r="X1" s="3">
        <v>44492.0</v>
      </c>
      <c r="Y1" s="3">
        <v>44493.0</v>
      </c>
      <c r="Z1" s="3">
        <v>44494.0</v>
      </c>
      <c r="AA1" s="3">
        <v>44495.0</v>
      </c>
      <c r="AB1" s="3">
        <v>44496.0</v>
      </c>
      <c r="AC1" s="3">
        <v>44497.0</v>
      </c>
      <c r="AD1" s="3">
        <v>44498.0</v>
      </c>
      <c r="AE1" s="3">
        <v>44499.0</v>
      </c>
      <c r="AF1" s="3">
        <v>44500.0</v>
      </c>
    </row>
    <row r="2">
      <c r="B2" s="13" t="s">
        <v>15</v>
      </c>
      <c r="C2" s="13" t="s">
        <v>17</v>
      </c>
      <c r="D2" s="13" t="s">
        <v>18</v>
      </c>
      <c r="E2" s="13" t="s">
        <v>19</v>
      </c>
      <c r="F2" s="13" t="s">
        <v>20</v>
      </c>
      <c r="G2" s="13" t="s">
        <v>21</v>
      </c>
      <c r="H2" s="13" t="s">
        <v>22</v>
      </c>
      <c r="I2" s="13" t="s">
        <v>15</v>
      </c>
      <c r="J2" s="13" t="s">
        <v>17</v>
      </c>
      <c r="K2" s="13" t="s">
        <v>18</v>
      </c>
      <c r="L2" s="13" t="s">
        <v>19</v>
      </c>
      <c r="M2" s="13" t="s">
        <v>20</v>
      </c>
      <c r="N2" s="13" t="s">
        <v>21</v>
      </c>
      <c r="O2" s="13" t="s">
        <v>22</v>
      </c>
      <c r="P2" s="13" t="s">
        <v>15</v>
      </c>
      <c r="Q2" s="13" t="s">
        <v>17</v>
      </c>
      <c r="R2" s="13" t="s">
        <v>18</v>
      </c>
      <c r="S2" s="13" t="s">
        <v>19</v>
      </c>
      <c r="T2" s="13" t="s">
        <v>20</v>
      </c>
      <c r="U2" s="13" t="s">
        <v>21</v>
      </c>
      <c r="V2" s="13" t="s">
        <v>22</v>
      </c>
      <c r="W2" s="13" t="s">
        <v>15</v>
      </c>
      <c r="X2" s="13" t="s">
        <v>17</v>
      </c>
      <c r="Y2" s="13" t="s">
        <v>18</v>
      </c>
      <c r="Z2" s="13" t="s">
        <v>19</v>
      </c>
      <c r="AA2" s="13" t="s">
        <v>20</v>
      </c>
      <c r="AB2" s="13" t="s">
        <v>21</v>
      </c>
      <c r="AC2" s="13" t="s">
        <v>22</v>
      </c>
      <c r="AD2" s="13" t="s">
        <v>15</v>
      </c>
      <c r="AE2" s="13" t="s">
        <v>17</v>
      </c>
      <c r="AF2" s="13" t="s">
        <v>18</v>
      </c>
    </row>
    <row r="4">
      <c r="A4" s="75" t="s">
        <v>82</v>
      </c>
      <c r="B4" s="76"/>
      <c r="C4" s="76"/>
      <c r="D4" s="76"/>
      <c r="E4" s="76"/>
      <c r="F4" s="76"/>
      <c r="G4" s="76"/>
      <c r="H4" s="78" t="s">
        <v>233</v>
      </c>
      <c r="I4" s="76"/>
      <c r="J4" s="78" t="s">
        <v>235</v>
      </c>
      <c r="K4" s="76"/>
      <c r="L4" s="76"/>
      <c r="M4" s="76"/>
      <c r="N4" s="78" t="s">
        <v>92</v>
      </c>
      <c r="O4" s="76"/>
      <c r="P4" s="76"/>
      <c r="Q4" s="76"/>
      <c r="R4" s="76"/>
      <c r="S4" s="76"/>
      <c r="T4" s="78" t="s">
        <v>239</v>
      </c>
      <c r="U4" s="76"/>
      <c r="V4" s="76"/>
      <c r="W4" s="76"/>
      <c r="X4" s="76"/>
      <c r="Y4" s="76"/>
      <c r="Z4" s="76"/>
      <c r="AA4" s="76"/>
      <c r="AB4" s="76"/>
      <c r="AC4" s="78" t="s">
        <v>243</v>
      </c>
    </row>
    <row r="6">
      <c r="A6" s="43" t="s">
        <v>107</v>
      </c>
      <c r="B6" s="1">
        <v>0.0</v>
      </c>
      <c r="C6" s="1">
        <v>0.0</v>
      </c>
      <c r="D6" s="1">
        <v>202.0</v>
      </c>
      <c r="E6" s="1">
        <v>0.0</v>
      </c>
      <c r="F6" s="1">
        <v>202.0</v>
      </c>
      <c r="G6" s="1">
        <v>511.0</v>
      </c>
      <c r="H6" s="1">
        <v>0.0</v>
      </c>
      <c r="I6" s="1">
        <v>0.0</v>
      </c>
      <c r="J6" s="1">
        <v>1266.0</v>
      </c>
      <c r="K6" s="1">
        <v>0.0</v>
      </c>
      <c r="L6" s="1">
        <v>1513.0</v>
      </c>
      <c r="M6" s="1">
        <v>563.0</v>
      </c>
      <c r="N6" s="1">
        <v>0.0</v>
      </c>
      <c r="O6" s="1">
        <v>774.0</v>
      </c>
      <c r="P6" s="82"/>
      <c r="Q6" s="82"/>
      <c r="R6" s="82"/>
      <c r="S6" s="82"/>
      <c r="T6" s="82"/>
      <c r="U6" s="82"/>
      <c r="V6" s="82"/>
      <c r="W6" s="82"/>
      <c r="X6" s="82"/>
      <c r="Y6" s="82"/>
      <c r="Z6" s="82"/>
      <c r="AA6" s="82"/>
      <c r="AB6" s="82"/>
      <c r="AC6" s="82"/>
      <c r="AD6" s="82"/>
      <c r="AE6" s="82"/>
      <c r="AF6" s="82"/>
    </row>
    <row r="7">
      <c r="A7" s="43" t="s">
        <v>14</v>
      </c>
      <c r="B7" s="1">
        <v>7630.0</v>
      </c>
      <c r="C7" s="1">
        <v>11329.0</v>
      </c>
      <c r="D7" s="1">
        <v>12479.0</v>
      </c>
      <c r="E7" s="1">
        <v>8050.0</v>
      </c>
      <c r="F7" s="1">
        <v>8353.0</v>
      </c>
      <c r="G7" s="1">
        <v>5696.0</v>
      </c>
      <c r="H7" s="1">
        <v>5140.0</v>
      </c>
      <c r="I7" s="1">
        <v>5585.0</v>
      </c>
      <c r="J7" s="1">
        <v>92219.0</v>
      </c>
      <c r="K7" s="1">
        <v>24793.0</v>
      </c>
      <c r="L7" s="1">
        <v>14104.0</v>
      </c>
      <c r="M7" s="1">
        <v>9503.0</v>
      </c>
      <c r="N7" s="1">
        <v>7614.0</v>
      </c>
      <c r="O7" s="1">
        <v>8202.0</v>
      </c>
      <c r="P7" s="1">
        <v>6635.0</v>
      </c>
      <c r="Q7" s="1">
        <v>14130.0</v>
      </c>
      <c r="R7" s="1">
        <v>11060.0</v>
      </c>
      <c r="S7" s="1">
        <v>8197.0</v>
      </c>
      <c r="T7" s="1">
        <v>7684.0</v>
      </c>
      <c r="U7" s="1">
        <v>5998.0</v>
      </c>
      <c r="V7" s="1">
        <v>7969.0</v>
      </c>
      <c r="W7" s="1">
        <v>9244.0</v>
      </c>
      <c r="X7" s="1">
        <v>8367.0</v>
      </c>
      <c r="Y7" s="1">
        <v>9031.0</v>
      </c>
      <c r="Z7" s="1">
        <v>9037.0</v>
      </c>
      <c r="AA7" s="1">
        <v>5927.0</v>
      </c>
      <c r="AB7" s="1">
        <v>7247.0</v>
      </c>
      <c r="AC7" s="1">
        <v>7071.0</v>
      </c>
      <c r="AD7" s="1">
        <v>9772.0</v>
      </c>
      <c r="AE7" s="1">
        <v>10906.0</v>
      </c>
      <c r="AF7" s="1">
        <v>10568.0</v>
      </c>
    </row>
    <row r="8">
      <c r="A8" s="87" t="s">
        <v>276</v>
      </c>
      <c r="B8" s="88">
        <f t="shared" ref="B8:AF8" si="1">SUM(B6:B7)</f>
        <v>7630</v>
      </c>
      <c r="C8" s="88">
        <f t="shared" si="1"/>
        <v>11329</v>
      </c>
      <c r="D8" s="88">
        <f t="shared" si="1"/>
        <v>12681</v>
      </c>
      <c r="E8" s="88">
        <f t="shared" si="1"/>
        <v>8050</v>
      </c>
      <c r="F8" s="88">
        <f t="shared" si="1"/>
        <v>8555</v>
      </c>
      <c r="G8" s="88">
        <f t="shared" si="1"/>
        <v>6207</v>
      </c>
      <c r="H8" s="88">
        <f t="shared" si="1"/>
        <v>5140</v>
      </c>
      <c r="I8" s="88">
        <f t="shared" si="1"/>
        <v>5585</v>
      </c>
      <c r="J8" s="88">
        <f t="shared" si="1"/>
        <v>93485</v>
      </c>
      <c r="K8" s="88">
        <f t="shared" si="1"/>
        <v>24793</v>
      </c>
      <c r="L8" s="88">
        <f t="shared" si="1"/>
        <v>15617</v>
      </c>
      <c r="M8" s="88">
        <f t="shared" si="1"/>
        <v>10066</v>
      </c>
      <c r="N8" s="88">
        <f t="shared" si="1"/>
        <v>7614</v>
      </c>
      <c r="O8" s="88">
        <f t="shared" si="1"/>
        <v>8976</v>
      </c>
      <c r="P8" s="88">
        <f t="shared" si="1"/>
        <v>6635</v>
      </c>
      <c r="Q8" s="88">
        <f t="shared" si="1"/>
        <v>14130</v>
      </c>
      <c r="R8" s="88">
        <f t="shared" si="1"/>
        <v>11060</v>
      </c>
      <c r="S8" s="88">
        <f t="shared" si="1"/>
        <v>8197</v>
      </c>
      <c r="T8" s="88">
        <f t="shared" si="1"/>
        <v>7684</v>
      </c>
      <c r="U8" s="88">
        <f t="shared" si="1"/>
        <v>5998</v>
      </c>
      <c r="V8" s="88">
        <f t="shared" si="1"/>
        <v>7969</v>
      </c>
      <c r="W8" s="88">
        <f t="shared" si="1"/>
        <v>9244</v>
      </c>
      <c r="X8" s="88">
        <f t="shared" si="1"/>
        <v>8367</v>
      </c>
      <c r="Y8" s="88">
        <f t="shared" si="1"/>
        <v>9031</v>
      </c>
      <c r="Z8" s="88">
        <f t="shared" si="1"/>
        <v>9037</v>
      </c>
      <c r="AA8" s="88">
        <f t="shared" si="1"/>
        <v>5927</v>
      </c>
      <c r="AB8" s="88">
        <f t="shared" si="1"/>
        <v>7247</v>
      </c>
      <c r="AC8" s="88">
        <f t="shared" si="1"/>
        <v>7071</v>
      </c>
      <c r="AD8" s="88">
        <f t="shared" si="1"/>
        <v>9772</v>
      </c>
      <c r="AE8" s="88">
        <f t="shared" si="1"/>
        <v>10906</v>
      </c>
      <c r="AF8" s="88">
        <f t="shared" si="1"/>
        <v>10568</v>
      </c>
    </row>
    <row r="9">
      <c r="A9" s="22" t="s">
        <v>312</v>
      </c>
      <c r="B9" s="22">
        <v>31.0</v>
      </c>
      <c r="C9" s="22">
        <v>45.0</v>
      </c>
      <c r="D9" s="22">
        <v>52.0</v>
      </c>
      <c r="E9" s="22">
        <v>29.0</v>
      </c>
      <c r="F9" s="22">
        <v>33.0</v>
      </c>
      <c r="G9" s="22">
        <v>22.0</v>
      </c>
      <c r="H9" s="22">
        <v>22.0</v>
      </c>
      <c r="I9" s="22">
        <v>23.0</v>
      </c>
      <c r="J9" s="22">
        <v>334.0</v>
      </c>
      <c r="K9" s="22">
        <v>89.0</v>
      </c>
      <c r="L9" s="22">
        <v>51.0</v>
      </c>
      <c r="M9" s="22">
        <v>36.0</v>
      </c>
      <c r="N9" s="22">
        <v>27.0</v>
      </c>
      <c r="O9" s="22">
        <v>31.0</v>
      </c>
      <c r="P9" s="22">
        <v>25.0</v>
      </c>
      <c r="Q9" s="22">
        <v>49.0</v>
      </c>
      <c r="R9" s="22">
        <v>44.0</v>
      </c>
      <c r="S9" s="22">
        <v>33.0</v>
      </c>
      <c r="T9" s="22">
        <v>31.0</v>
      </c>
      <c r="U9" s="22">
        <v>21.0</v>
      </c>
      <c r="V9" s="22">
        <v>30.0</v>
      </c>
      <c r="W9" s="22">
        <v>37.0</v>
      </c>
      <c r="X9" s="22">
        <v>28.0</v>
      </c>
      <c r="Y9" s="22">
        <v>36.0</v>
      </c>
      <c r="Z9" s="22">
        <v>34.0</v>
      </c>
      <c r="AA9" s="22">
        <v>23.0</v>
      </c>
      <c r="AB9" s="22">
        <v>28.0</v>
      </c>
      <c r="AC9" s="22">
        <v>26.0</v>
      </c>
      <c r="AD9" s="22">
        <v>39.0</v>
      </c>
      <c r="AE9" s="22">
        <v>43.0</v>
      </c>
      <c r="AF9" s="22">
        <v>43.0</v>
      </c>
    </row>
    <row r="11">
      <c r="A11" s="43" t="s">
        <v>321</v>
      </c>
      <c r="B11" s="1">
        <f>Formula!D3</f>
        <v>1344.07338</v>
      </c>
      <c r="C11" s="1">
        <f>Formula!D4</f>
        <v>1965.428526</v>
      </c>
      <c r="D11" s="1">
        <f>Formula!D5</f>
        <v>2328.997208</v>
      </c>
      <c r="E11" s="1">
        <f>Formula!D6</f>
        <v>1715.845722</v>
      </c>
      <c r="F11" s="1">
        <f>Formula!D7</f>
        <v>2093.271782</v>
      </c>
      <c r="G11" s="1">
        <f>Formula!D8</f>
        <v>1532.238345</v>
      </c>
      <c r="H11" s="1">
        <f>Formula!D9</f>
        <v>1179.480957</v>
      </c>
      <c r="I11" s="1">
        <f>Formula!D10</f>
        <v>1484.377892</v>
      </c>
      <c r="J11" s="1">
        <f>Formula!D11</f>
        <v>1742.187433</v>
      </c>
      <c r="K11" s="1">
        <f>Formula!D12</f>
        <v>1694.523128</v>
      </c>
      <c r="L11" s="1">
        <f>Formula!D13</f>
        <v>1601.121399</v>
      </c>
      <c r="M11" s="1">
        <f>Formula!D14</f>
        <v>1952.159596</v>
      </c>
      <c r="N11" s="1">
        <f>Formula!D15</f>
        <v>1738.056757</v>
      </c>
      <c r="O11" s="1">
        <f>Formula!D16</f>
        <v>1714.853437</v>
      </c>
      <c r="P11" s="1">
        <f>Formula!D17</f>
        <v>1749.710339</v>
      </c>
      <c r="Q11" s="1">
        <f>Formula!D18</f>
        <v>2207.015358</v>
      </c>
      <c r="R11" s="1">
        <f>Formula!D19</f>
        <v>2327.95877</v>
      </c>
      <c r="S11" s="1">
        <f>Formula!D20</f>
        <v>2171.523855</v>
      </c>
      <c r="T11" s="1">
        <f>Formula!D21</f>
        <v>1639.682064</v>
      </c>
      <c r="U11" s="1">
        <f>Formula!D22</f>
        <v>1921.537213</v>
      </c>
      <c r="V11" s="1">
        <f>Formula!D23</f>
        <v>1941.544452</v>
      </c>
      <c r="W11" s="1">
        <f>Formula!D24</f>
        <v>3286.298586</v>
      </c>
      <c r="X11" s="1">
        <f>Formula!D25</f>
        <v>1942.77904</v>
      </c>
      <c r="Y11" s="1">
        <f>Formula!D26</f>
        <v>2092.487185</v>
      </c>
      <c r="Z11" s="1">
        <f>Formula!D27</f>
        <v>2065.46472</v>
      </c>
      <c r="AA11" s="1">
        <f>Formula!D28</f>
        <v>1721.084065</v>
      </c>
      <c r="AB11" s="1">
        <f>Formula!D29</f>
        <v>1605.344381</v>
      </c>
      <c r="AC11" s="1">
        <f>Formula!D30</f>
        <v>1712.488106</v>
      </c>
      <c r="AD11" s="1">
        <f>Formula!D31</f>
        <v>2588.306715</v>
      </c>
      <c r="AE11" s="1">
        <f>Formula!D32</f>
        <v>3725.823238</v>
      </c>
      <c r="AF11" s="1">
        <f>Formula!D33</f>
        <v>3391.353897</v>
      </c>
    </row>
    <row r="12">
      <c r="A12" s="43" t="s">
        <v>359</v>
      </c>
      <c r="B12" s="1">
        <v>41.01</v>
      </c>
      <c r="C12" s="1">
        <v>65.55</v>
      </c>
      <c r="D12" s="1">
        <v>54.81</v>
      </c>
      <c r="E12" s="1">
        <v>46.74</v>
      </c>
      <c r="F12" s="1">
        <v>154.83</v>
      </c>
      <c r="G12" s="1">
        <v>167.87</v>
      </c>
      <c r="H12" s="1">
        <v>124.85</v>
      </c>
      <c r="I12" s="1">
        <v>186.66</v>
      </c>
      <c r="J12" s="1">
        <v>2187.48</v>
      </c>
      <c r="K12" s="1">
        <v>1020.78</v>
      </c>
      <c r="L12" s="1">
        <v>451.7</v>
      </c>
      <c r="M12" s="1">
        <v>223.39</v>
      </c>
      <c r="N12" s="1">
        <v>259.05</v>
      </c>
      <c r="O12" s="1">
        <v>198.01</v>
      </c>
      <c r="P12" s="1">
        <v>206.53</v>
      </c>
      <c r="Q12" s="1">
        <v>330.57</v>
      </c>
      <c r="R12" s="1">
        <v>467.23</v>
      </c>
      <c r="S12" s="1">
        <v>195.86</v>
      </c>
      <c r="T12" s="1">
        <v>179.37</v>
      </c>
      <c r="U12" s="1">
        <v>218.64</v>
      </c>
      <c r="V12" s="1">
        <v>182.78</v>
      </c>
      <c r="W12" s="1">
        <v>182.62</v>
      </c>
      <c r="X12" s="1">
        <v>185.5</v>
      </c>
      <c r="Y12" s="1">
        <v>183.33</v>
      </c>
      <c r="Z12" s="1">
        <v>134.14</v>
      </c>
      <c r="AA12" s="1">
        <v>128.61</v>
      </c>
      <c r="AB12" s="1">
        <v>112.6</v>
      </c>
      <c r="AC12" s="1">
        <v>123.69</v>
      </c>
      <c r="AD12" s="1">
        <v>111.63</v>
      </c>
      <c r="AE12" s="1">
        <v>140.2</v>
      </c>
      <c r="AF12" s="1">
        <v>149.52</v>
      </c>
    </row>
    <row r="13">
      <c r="A13" s="43" t="s">
        <v>360</v>
      </c>
      <c r="B13" s="1">
        <v>8.73</v>
      </c>
      <c r="C13" s="1">
        <v>1.75</v>
      </c>
      <c r="D13" s="1">
        <v>7.81</v>
      </c>
      <c r="E13" s="1">
        <v>10.56</v>
      </c>
      <c r="F13" s="1">
        <v>6.83</v>
      </c>
      <c r="G13" s="1">
        <v>5.35</v>
      </c>
      <c r="H13" s="1">
        <v>5.09</v>
      </c>
      <c r="I13" s="1">
        <v>17.35</v>
      </c>
      <c r="J13" s="1">
        <v>252.07</v>
      </c>
      <c r="K13" s="1">
        <v>69.6</v>
      </c>
      <c r="L13" s="1">
        <v>40.79</v>
      </c>
      <c r="M13" s="1">
        <v>21.82</v>
      </c>
      <c r="N13" s="1">
        <v>11.82</v>
      </c>
      <c r="O13" s="1">
        <v>7.92</v>
      </c>
      <c r="P13" s="1">
        <v>8.01</v>
      </c>
      <c r="Q13" s="1">
        <v>8.08</v>
      </c>
      <c r="R13" s="1">
        <v>15.47</v>
      </c>
      <c r="S13" s="1">
        <v>10.62</v>
      </c>
      <c r="T13" s="1">
        <v>8.18</v>
      </c>
      <c r="U13" s="1">
        <v>5.53</v>
      </c>
      <c r="V13" s="1">
        <v>9.54</v>
      </c>
      <c r="W13" s="1">
        <v>9.48</v>
      </c>
      <c r="X13" s="1">
        <v>7.71</v>
      </c>
      <c r="Y13" s="1">
        <v>12.34</v>
      </c>
      <c r="Z13" s="1">
        <v>8.62</v>
      </c>
      <c r="AA13" s="1">
        <v>10.63</v>
      </c>
      <c r="AB13" s="1">
        <v>3.53</v>
      </c>
      <c r="AC13" s="1">
        <v>6.12</v>
      </c>
      <c r="AD13" s="1">
        <v>9.11</v>
      </c>
      <c r="AE13" s="1">
        <v>11.04</v>
      </c>
      <c r="AF13" s="1">
        <v>7.25</v>
      </c>
    </row>
    <row r="14">
      <c r="A14" s="105" t="s">
        <v>361</v>
      </c>
      <c r="B14" s="107">
        <f t="shared" ref="B14:AF14" si="2">SUM(B11:B13)</f>
        <v>1393.81338</v>
      </c>
      <c r="C14" s="107">
        <f t="shared" si="2"/>
        <v>2032.728526</v>
      </c>
      <c r="D14" s="107">
        <f t="shared" si="2"/>
        <v>2391.617208</v>
      </c>
      <c r="E14" s="107">
        <f t="shared" si="2"/>
        <v>1773.145722</v>
      </c>
      <c r="F14" s="107">
        <f t="shared" si="2"/>
        <v>2254.931782</v>
      </c>
      <c r="G14" s="107">
        <f t="shared" si="2"/>
        <v>1705.458345</v>
      </c>
      <c r="H14" s="107">
        <f t="shared" si="2"/>
        <v>1309.420957</v>
      </c>
      <c r="I14" s="107">
        <f t="shared" si="2"/>
        <v>1688.387892</v>
      </c>
      <c r="J14" s="107">
        <f t="shared" si="2"/>
        <v>4181.737433</v>
      </c>
      <c r="K14" s="107">
        <f t="shared" si="2"/>
        <v>2784.903128</v>
      </c>
      <c r="L14" s="107">
        <f t="shared" si="2"/>
        <v>2093.611399</v>
      </c>
      <c r="M14" s="107">
        <f t="shared" si="2"/>
        <v>2197.369596</v>
      </c>
      <c r="N14" s="107">
        <f t="shared" si="2"/>
        <v>2008.926757</v>
      </c>
      <c r="O14" s="107">
        <f t="shared" si="2"/>
        <v>1920.783437</v>
      </c>
      <c r="P14" s="107">
        <f t="shared" si="2"/>
        <v>1964.250339</v>
      </c>
      <c r="Q14" s="107">
        <f t="shared" si="2"/>
        <v>2545.665358</v>
      </c>
      <c r="R14" s="107">
        <f t="shared" si="2"/>
        <v>2810.65877</v>
      </c>
      <c r="S14" s="107">
        <f t="shared" si="2"/>
        <v>2378.003855</v>
      </c>
      <c r="T14" s="107">
        <f t="shared" si="2"/>
        <v>1827.232064</v>
      </c>
      <c r="U14" s="107">
        <f t="shared" si="2"/>
        <v>2145.707213</v>
      </c>
      <c r="V14" s="107">
        <f t="shared" si="2"/>
        <v>2133.864452</v>
      </c>
      <c r="W14" s="107">
        <f t="shared" si="2"/>
        <v>3478.398586</v>
      </c>
      <c r="X14" s="107">
        <f t="shared" si="2"/>
        <v>2135.98904</v>
      </c>
      <c r="Y14" s="107">
        <f t="shared" si="2"/>
        <v>2288.157185</v>
      </c>
      <c r="Z14" s="107">
        <f t="shared" si="2"/>
        <v>2208.22472</v>
      </c>
      <c r="AA14" s="107">
        <f t="shared" si="2"/>
        <v>1860.324065</v>
      </c>
      <c r="AB14" s="107">
        <f t="shared" si="2"/>
        <v>1721.474381</v>
      </c>
      <c r="AC14" s="107">
        <f t="shared" si="2"/>
        <v>1842.298106</v>
      </c>
      <c r="AD14" s="107">
        <f t="shared" si="2"/>
        <v>2709.046715</v>
      </c>
      <c r="AE14" s="107">
        <f t="shared" si="2"/>
        <v>3877.063238</v>
      </c>
      <c r="AF14" s="107">
        <f t="shared" si="2"/>
        <v>3548.123897</v>
      </c>
    </row>
    <row r="16">
      <c r="A16" s="43" t="s">
        <v>363</v>
      </c>
      <c r="B16" s="109">
        <f t="shared" ref="B16:AF16" si="3">B8/B14</f>
        <v>5.474190527</v>
      </c>
      <c r="C16" s="109">
        <f t="shared" si="3"/>
        <v>5.5732971</v>
      </c>
      <c r="D16" s="109">
        <f t="shared" si="3"/>
        <v>5.302269927</v>
      </c>
      <c r="E16" s="109">
        <f t="shared" si="3"/>
        <v>4.539953993</v>
      </c>
      <c r="F16" s="109">
        <f t="shared" si="3"/>
        <v>3.793906347</v>
      </c>
      <c r="G16" s="109">
        <f t="shared" si="3"/>
        <v>3.639490825</v>
      </c>
      <c r="H16" s="109">
        <f t="shared" si="3"/>
        <v>3.925399218</v>
      </c>
      <c r="I16" s="109">
        <f t="shared" si="3"/>
        <v>3.307889157</v>
      </c>
      <c r="J16" s="109">
        <f t="shared" si="3"/>
        <v>22.35554037</v>
      </c>
      <c r="K16" s="109">
        <f t="shared" si="3"/>
        <v>8.902643595</v>
      </c>
      <c r="L16" s="112">
        <f t="shared" si="3"/>
        <v>7.459359461</v>
      </c>
      <c r="M16" s="112">
        <f t="shared" si="3"/>
        <v>4.580931682</v>
      </c>
      <c r="N16" s="112">
        <f t="shared" si="3"/>
        <v>3.790083423</v>
      </c>
      <c r="O16" s="112">
        <f t="shared" si="3"/>
        <v>4.673093191</v>
      </c>
      <c r="P16" s="112">
        <f t="shared" si="3"/>
        <v>3.377879015</v>
      </c>
      <c r="Q16" s="112">
        <f t="shared" si="3"/>
        <v>5.550611732</v>
      </c>
      <c r="R16" s="112">
        <f t="shared" si="3"/>
        <v>3.935020543</v>
      </c>
      <c r="S16" s="112">
        <f t="shared" si="3"/>
        <v>3.44700871</v>
      </c>
      <c r="T16" s="112">
        <f t="shared" si="3"/>
        <v>4.205267712</v>
      </c>
      <c r="U16" s="112">
        <f t="shared" si="3"/>
        <v>2.795348761</v>
      </c>
      <c r="V16" s="112">
        <f t="shared" si="3"/>
        <v>3.734538992</v>
      </c>
      <c r="W16" s="112">
        <f t="shared" si="3"/>
        <v>2.657544779</v>
      </c>
      <c r="X16" s="112">
        <f t="shared" si="3"/>
        <v>3.917154931</v>
      </c>
      <c r="Y16" s="112">
        <f t="shared" si="3"/>
        <v>3.946844238</v>
      </c>
      <c r="Z16" s="112">
        <f t="shared" si="3"/>
        <v>4.092427694</v>
      </c>
      <c r="AA16" s="112">
        <f t="shared" si="3"/>
        <v>3.186004047</v>
      </c>
      <c r="AB16" s="112">
        <f t="shared" si="3"/>
        <v>4.209763492</v>
      </c>
      <c r="AC16" s="112">
        <f t="shared" si="3"/>
        <v>3.838141057</v>
      </c>
      <c r="AD16" s="112">
        <f t="shared" si="3"/>
        <v>3.607172939</v>
      </c>
      <c r="AE16" s="112">
        <f t="shared" si="3"/>
        <v>2.81295386</v>
      </c>
      <c r="AF16" s="112">
        <f t="shared" si="3"/>
        <v>2.978475472</v>
      </c>
    </row>
    <row r="17">
      <c r="A17" s="43" t="s">
        <v>366</v>
      </c>
      <c r="B17" s="115">
        <f t="shared" ref="B17:AF17" si="4">B14/B9</f>
        <v>44.96172193</v>
      </c>
      <c r="C17" s="115">
        <f t="shared" si="4"/>
        <v>45.17174503</v>
      </c>
      <c r="D17" s="115">
        <f t="shared" si="4"/>
        <v>45.99263862</v>
      </c>
      <c r="E17" s="115">
        <f t="shared" si="4"/>
        <v>61.14295593</v>
      </c>
      <c r="F17" s="115">
        <f t="shared" si="4"/>
        <v>68.33126613</v>
      </c>
      <c r="G17" s="115">
        <f t="shared" si="4"/>
        <v>77.52083388</v>
      </c>
      <c r="H17" s="115">
        <f t="shared" si="4"/>
        <v>59.5191344</v>
      </c>
      <c r="I17" s="115">
        <f t="shared" si="4"/>
        <v>73.40816921</v>
      </c>
      <c r="J17" s="115">
        <f t="shared" si="4"/>
        <v>12.52017195</v>
      </c>
      <c r="K17" s="115">
        <f t="shared" si="4"/>
        <v>31.29104639</v>
      </c>
      <c r="L17" s="115">
        <f t="shared" si="4"/>
        <v>41.05120391</v>
      </c>
      <c r="M17" s="115">
        <f t="shared" si="4"/>
        <v>61.03804434</v>
      </c>
      <c r="N17" s="115">
        <f t="shared" si="4"/>
        <v>74.4046947</v>
      </c>
      <c r="O17" s="115">
        <f t="shared" si="4"/>
        <v>61.96075603</v>
      </c>
      <c r="P17" s="115">
        <f t="shared" si="4"/>
        <v>78.57001356</v>
      </c>
      <c r="Q17" s="115">
        <f t="shared" si="4"/>
        <v>51.95235424</v>
      </c>
      <c r="R17" s="115">
        <f t="shared" si="4"/>
        <v>63.87860841</v>
      </c>
      <c r="S17" s="115">
        <f t="shared" si="4"/>
        <v>72.06072287</v>
      </c>
      <c r="T17" s="115">
        <f t="shared" si="4"/>
        <v>58.9429698</v>
      </c>
      <c r="U17" s="115">
        <f t="shared" si="4"/>
        <v>102.176534</v>
      </c>
      <c r="V17" s="115">
        <f t="shared" si="4"/>
        <v>71.12881507</v>
      </c>
      <c r="W17" s="115">
        <f t="shared" si="4"/>
        <v>94.01077259</v>
      </c>
      <c r="X17" s="115">
        <f t="shared" si="4"/>
        <v>76.28532284</v>
      </c>
      <c r="Y17" s="115">
        <f t="shared" si="4"/>
        <v>63.55992179</v>
      </c>
      <c r="Z17" s="115">
        <f t="shared" si="4"/>
        <v>64.94778589</v>
      </c>
      <c r="AA17" s="115">
        <f t="shared" si="4"/>
        <v>80.88365499</v>
      </c>
      <c r="AB17" s="115">
        <f t="shared" si="4"/>
        <v>61.48122788</v>
      </c>
      <c r="AC17" s="115">
        <f t="shared" si="4"/>
        <v>70.85761945</v>
      </c>
      <c r="AD17" s="115">
        <f t="shared" si="4"/>
        <v>69.46273628</v>
      </c>
      <c r="AE17" s="115">
        <f t="shared" si="4"/>
        <v>90.16426136</v>
      </c>
      <c r="AF17" s="115">
        <f t="shared" si="4"/>
        <v>82.51450923</v>
      </c>
    </row>
    <row r="18">
      <c r="A18" s="43" t="s">
        <v>367</v>
      </c>
      <c r="B18" s="118">
        <v>0.011</v>
      </c>
      <c r="C18" s="118">
        <v>0.0118</v>
      </c>
      <c r="D18" s="118">
        <v>0.0112</v>
      </c>
      <c r="E18" s="118">
        <v>0.008</v>
      </c>
      <c r="F18" s="118">
        <v>0.0084</v>
      </c>
      <c r="G18" s="118">
        <v>0.0068</v>
      </c>
      <c r="H18" s="118">
        <v>0.009</v>
      </c>
      <c r="I18" s="118">
        <v>0.0083</v>
      </c>
      <c r="J18" s="118">
        <v>0.0232</v>
      </c>
      <c r="K18" s="119">
        <v>0.0137</v>
      </c>
      <c r="L18" s="119">
        <v>0.0118</v>
      </c>
      <c r="M18" s="119">
        <v>0.0088</v>
      </c>
      <c r="N18" s="119">
        <v>0.0083</v>
      </c>
      <c r="O18" s="119">
        <v>0.0097</v>
      </c>
      <c r="P18" s="119">
        <v>0.0074</v>
      </c>
      <c r="Q18" s="119">
        <v>0.0135</v>
      </c>
      <c r="R18" s="119">
        <v>0.0122</v>
      </c>
      <c r="S18" s="119">
        <v>0.0099</v>
      </c>
      <c r="T18" s="119">
        <v>0.0102</v>
      </c>
      <c r="U18" s="119">
        <v>0.0078</v>
      </c>
      <c r="V18" s="119">
        <v>0.0115</v>
      </c>
      <c r="W18" s="119">
        <v>0.0105</v>
      </c>
      <c r="X18" s="119">
        <v>0.011</v>
      </c>
      <c r="Y18" s="119">
        <v>0.0123</v>
      </c>
      <c r="Z18" s="119">
        <v>0.0126</v>
      </c>
      <c r="AA18" s="119">
        <v>0.0099</v>
      </c>
      <c r="AB18" s="119">
        <v>0.0128</v>
      </c>
      <c r="AC18" s="119">
        <v>0.01</v>
      </c>
      <c r="AD18" s="119">
        <v>0.013</v>
      </c>
      <c r="AE18" s="119">
        <v>0.0111</v>
      </c>
      <c r="AF18" s="119">
        <v>0.0125</v>
      </c>
    </row>
    <row r="19">
      <c r="A19" s="43" t="s">
        <v>369</v>
      </c>
      <c r="B19" s="1">
        <f t="shared" ref="B19:AF19" si="5">B8/B9</f>
        <v>246.1290323</v>
      </c>
      <c r="C19" s="1">
        <f t="shared" si="5"/>
        <v>251.7555556</v>
      </c>
      <c r="D19" s="1">
        <f t="shared" si="5"/>
        <v>243.8653846</v>
      </c>
      <c r="E19" s="1">
        <f t="shared" si="5"/>
        <v>277.5862069</v>
      </c>
      <c r="F19" s="1">
        <f t="shared" si="5"/>
        <v>259.2424242</v>
      </c>
      <c r="G19" s="1">
        <f t="shared" si="5"/>
        <v>282.1363636</v>
      </c>
      <c r="H19" s="1">
        <f t="shared" si="5"/>
        <v>233.6363636</v>
      </c>
      <c r="I19" s="1">
        <f t="shared" si="5"/>
        <v>242.826087</v>
      </c>
      <c r="J19" s="1">
        <f t="shared" si="5"/>
        <v>279.8952096</v>
      </c>
      <c r="K19" s="1">
        <f t="shared" si="5"/>
        <v>278.5730337</v>
      </c>
      <c r="L19" s="1">
        <f t="shared" si="5"/>
        <v>306.2156863</v>
      </c>
      <c r="M19" s="1">
        <f t="shared" si="5"/>
        <v>279.6111111</v>
      </c>
      <c r="N19" s="1">
        <f t="shared" si="5"/>
        <v>282</v>
      </c>
      <c r="O19" s="1">
        <f t="shared" si="5"/>
        <v>289.5483871</v>
      </c>
      <c r="P19" s="1">
        <f t="shared" si="5"/>
        <v>265.4</v>
      </c>
      <c r="Q19" s="1">
        <f t="shared" si="5"/>
        <v>288.3673469</v>
      </c>
      <c r="R19" s="1">
        <f t="shared" si="5"/>
        <v>251.3636364</v>
      </c>
      <c r="S19" s="1">
        <f t="shared" si="5"/>
        <v>248.3939394</v>
      </c>
      <c r="T19" s="1">
        <f t="shared" si="5"/>
        <v>247.8709677</v>
      </c>
      <c r="U19" s="1">
        <f t="shared" si="5"/>
        <v>285.6190476</v>
      </c>
      <c r="V19" s="1">
        <f t="shared" si="5"/>
        <v>265.6333333</v>
      </c>
      <c r="W19" s="1">
        <f t="shared" si="5"/>
        <v>249.8378378</v>
      </c>
      <c r="X19" s="1">
        <f t="shared" si="5"/>
        <v>298.8214286</v>
      </c>
      <c r="Y19" s="1">
        <f t="shared" si="5"/>
        <v>250.8611111</v>
      </c>
      <c r="Z19" s="1">
        <f t="shared" si="5"/>
        <v>265.7941176</v>
      </c>
      <c r="AA19" s="1">
        <f t="shared" si="5"/>
        <v>257.6956522</v>
      </c>
      <c r="AB19" s="1">
        <f t="shared" si="5"/>
        <v>258.8214286</v>
      </c>
      <c r="AC19" s="1">
        <f t="shared" si="5"/>
        <v>271.9615385</v>
      </c>
      <c r="AD19" s="1">
        <f t="shared" si="5"/>
        <v>250.5641026</v>
      </c>
      <c r="AE19" s="1">
        <f t="shared" si="5"/>
        <v>253.627907</v>
      </c>
      <c r="AF19" s="1">
        <f t="shared" si="5"/>
        <v>245.7674419</v>
      </c>
    </row>
    <row r="21">
      <c r="A21" s="43" t="s">
        <v>372</v>
      </c>
    </row>
    <row r="22">
      <c r="A22" s="22" t="s">
        <v>373</v>
      </c>
      <c r="B22" s="119">
        <v>0.85</v>
      </c>
      <c r="C22" s="119">
        <v>0.7241</v>
      </c>
      <c r="D22" s="119">
        <v>0.7</v>
      </c>
      <c r="E22" s="119">
        <v>0.8</v>
      </c>
      <c r="F22" s="119">
        <v>0.6471</v>
      </c>
      <c r="G22" s="119">
        <v>0.75</v>
      </c>
      <c r="H22" s="119">
        <v>0.8571</v>
      </c>
      <c r="I22" s="119">
        <v>0.5714</v>
      </c>
      <c r="J22" s="119">
        <v>0.0656</v>
      </c>
      <c r="K22" s="119">
        <v>0.2414</v>
      </c>
      <c r="L22" s="119">
        <v>0.2581</v>
      </c>
      <c r="M22" s="119">
        <v>0.2778</v>
      </c>
      <c r="N22" s="119">
        <v>0.5263</v>
      </c>
      <c r="O22" s="119">
        <v>0.5</v>
      </c>
      <c r="P22" s="119">
        <v>0.5</v>
      </c>
      <c r="Q22" s="119">
        <v>0.4211</v>
      </c>
      <c r="R22" s="119">
        <v>0.4643</v>
      </c>
      <c r="S22" s="119">
        <v>0.4286</v>
      </c>
      <c r="T22" s="119">
        <v>0.7059</v>
      </c>
      <c r="U22" s="119">
        <v>0.875</v>
      </c>
      <c r="V22" s="119">
        <v>0.6154</v>
      </c>
      <c r="W22" s="119">
        <v>0.5909</v>
      </c>
      <c r="X22" s="119">
        <v>0.3571</v>
      </c>
      <c r="Y22" s="119">
        <v>0.7391</v>
      </c>
      <c r="Z22" s="119">
        <v>0.6429</v>
      </c>
      <c r="AA22" s="119">
        <v>0.2727</v>
      </c>
      <c r="AB22" s="119">
        <v>0.6154</v>
      </c>
      <c r="AC22" s="119">
        <v>0.8333</v>
      </c>
      <c r="AD22" s="119">
        <v>0.8421</v>
      </c>
      <c r="AE22" s="119">
        <v>0.5714</v>
      </c>
      <c r="AF22" s="119">
        <v>0.9167</v>
      </c>
    </row>
    <row r="23">
      <c r="A23" s="22" t="s">
        <v>375</v>
      </c>
      <c r="B23" s="119">
        <v>0.1</v>
      </c>
      <c r="C23" s="119">
        <v>0.1379</v>
      </c>
      <c r="D23" s="119">
        <v>0.1667</v>
      </c>
      <c r="E23" s="119">
        <v>0.0667</v>
      </c>
      <c r="F23" s="119">
        <v>0.1765</v>
      </c>
      <c r="G23" s="119">
        <v>0.125</v>
      </c>
      <c r="H23" s="119">
        <v>0.0714</v>
      </c>
      <c r="I23" s="119">
        <v>0.1429</v>
      </c>
      <c r="J23" s="119">
        <v>0.0123</v>
      </c>
      <c r="K23" s="119">
        <v>0.0172</v>
      </c>
      <c r="L23" s="119">
        <v>0.1613</v>
      </c>
      <c r="M23" s="119">
        <v>0.1111</v>
      </c>
      <c r="N23" s="119">
        <v>0.1053</v>
      </c>
      <c r="O23" s="119">
        <v>0.0</v>
      </c>
      <c r="P23" s="119">
        <v>0.4</v>
      </c>
      <c r="Q23" s="119">
        <v>0.0</v>
      </c>
      <c r="R23" s="119">
        <v>0.0714</v>
      </c>
      <c r="S23" s="119">
        <v>0.0</v>
      </c>
      <c r="T23" s="119">
        <v>0.1765</v>
      </c>
      <c r="U23" s="119">
        <v>0.0</v>
      </c>
      <c r="V23" s="119">
        <v>0.1538</v>
      </c>
      <c r="W23" s="119">
        <v>0.0909</v>
      </c>
      <c r="X23" s="119">
        <v>0.2143</v>
      </c>
      <c r="Y23" s="119">
        <v>0.087</v>
      </c>
      <c r="Z23" s="119">
        <v>0.2143</v>
      </c>
      <c r="AA23" s="119">
        <v>0.3636</v>
      </c>
      <c r="AB23" s="119">
        <v>0.1538</v>
      </c>
      <c r="AC23" s="119">
        <v>0.1667</v>
      </c>
      <c r="AD23" s="119">
        <v>0.0526</v>
      </c>
      <c r="AE23" s="119">
        <v>0.1905</v>
      </c>
      <c r="AF23" s="119">
        <v>0.0833</v>
      </c>
    </row>
    <row r="24">
      <c r="A24" s="22" t="s">
        <v>377</v>
      </c>
      <c r="B24" s="119">
        <v>0.0</v>
      </c>
      <c r="C24" s="119">
        <v>0.0</v>
      </c>
      <c r="D24" s="119">
        <v>0.0667</v>
      </c>
      <c r="E24" s="119">
        <v>0.1333</v>
      </c>
      <c r="F24" s="119">
        <v>0.0588</v>
      </c>
      <c r="G24" s="119">
        <v>0.0</v>
      </c>
      <c r="H24" s="119">
        <v>0.0</v>
      </c>
      <c r="I24" s="119">
        <v>0.1429</v>
      </c>
      <c r="J24" s="119">
        <v>0.0164</v>
      </c>
      <c r="K24" s="119">
        <v>0.0172</v>
      </c>
      <c r="L24" s="119">
        <v>0.0645</v>
      </c>
      <c r="M24" s="119">
        <v>0.0556</v>
      </c>
      <c r="N24" s="119">
        <v>0.0526</v>
      </c>
      <c r="O24" s="119">
        <v>0.0833</v>
      </c>
      <c r="P24" s="119">
        <v>0.0</v>
      </c>
      <c r="Q24" s="119">
        <v>0.0</v>
      </c>
      <c r="R24" s="119">
        <v>0.0357</v>
      </c>
      <c r="S24" s="119">
        <v>0.2143</v>
      </c>
      <c r="T24" s="119">
        <v>0.0</v>
      </c>
      <c r="U24" s="119">
        <v>0.125</v>
      </c>
      <c r="V24" s="119">
        <v>0.1538</v>
      </c>
      <c r="W24" s="119">
        <v>0.0455</v>
      </c>
      <c r="X24" s="119">
        <v>0.0714</v>
      </c>
      <c r="Y24" s="119">
        <v>0.0435</v>
      </c>
      <c r="Z24" s="119">
        <v>0.0</v>
      </c>
      <c r="AA24" s="119">
        <v>0.2727</v>
      </c>
      <c r="AB24" s="119">
        <v>0.1538</v>
      </c>
      <c r="AC24" s="119">
        <v>0.0</v>
      </c>
      <c r="AD24" s="119">
        <v>0.0</v>
      </c>
      <c r="AE24" s="119">
        <v>0.0952</v>
      </c>
      <c r="AF24" s="119">
        <v>0.0</v>
      </c>
    </row>
    <row r="25">
      <c r="A25" s="22" t="s">
        <v>168</v>
      </c>
      <c r="B25" s="119">
        <v>0.0</v>
      </c>
      <c r="C25" s="119">
        <v>0.0</v>
      </c>
      <c r="D25" s="119">
        <v>0.0</v>
      </c>
      <c r="E25" s="119">
        <v>0.0</v>
      </c>
      <c r="F25" s="119">
        <v>0.0</v>
      </c>
      <c r="G25" s="119">
        <v>0.0</v>
      </c>
      <c r="H25" s="119">
        <v>0.0</v>
      </c>
      <c r="I25" s="119">
        <v>0.0</v>
      </c>
      <c r="J25" s="119">
        <v>0.0</v>
      </c>
      <c r="K25" s="119">
        <v>0.0</v>
      </c>
      <c r="L25" s="119">
        <v>0.0</v>
      </c>
      <c r="M25" s="119">
        <v>0.0</v>
      </c>
      <c r="N25" s="119">
        <v>0.0</v>
      </c>
      <c r="O25" s="119">
        <v>0.0</v>
      </c>
      <c r="P25" s="119">
        <v>0.0</v>
      </c>
      <c r="Q25" s="119">
        <v>0.0</v>
      </c>
      <c r="R25" s="119">
        <v>0.0</v>
      </c>
      <c r="S25" s="119">
        <v>0.0</v>
      </c>
      <c r="T25" s="119">
        <v>0.0</v>
      </c>
      <c r="U25" s="119">
        <v>0.0</v>
      </c>
      <c r="V25" s="119">
        <v>0.0</v>
      </c>
      <c r="W25" s="119">
        <v>0.0</v>
      </c>
      <c r="X25" s="119">
        <v>0.0</v>
      </c>
      <c r="Y25" s="119">
        <v>0.0</v>
      </c>
      <c r="Z25" s="119">
        <v>0.0</v>
      </c>
      <c r="AA25" s="119">
        <v>0.0</v>
      </c>
      <c r="AB25" s="119">
        <v>0.0</v>
      </c>
      <c r="AC25" s="119">
        <v>0.0</v>
      </c>
      <c r="AD25" s="119">
        <v>0.0526</v>
      </c>
      <c r="AE25" s="119">
        <v>0.0476</v>
      </c>
      <c r="AF25" s="119">
        <v>0.0</v>
      </c>
    </row>
    <row r="26">
      <c r="A26" s="22" t="s">
        <v>176</v>
      </c>
      <c r="B26" s="119">
        <v>0.0</v>
      </c>
      <c r="C26" s="119">
        <v>0.0</v>
      </c>
      <c r="D26" s="119">
        <v>0.0333</v>
      </c>
      <c r="E26" s="119">
        <v>0.0</v>
      </c>
      <c r="F26" s="119">
        <v>0.0</v>
      </c>
      <c r="G26" s="119">
        <v>0.0</v>
      </c>
      <c r="H26" s="119">
        <v>0.0</v>
      </c>
      <c r="I26" s="119">
        <v>0.0</v>
      </c>
      <c r="J26" s="119">
        <v>0.0</v>
      </c>
      <c r="K26" s="119">
        <v>0.0</v>
      </c>
      <c r="L26" s="119">
        <v>0.0</v>
      </c>
      <c r="M26" s="119">
        <v>0.0</v>
      </c>
      <c r="N26" s="119">
        <v>0.0</v>
      </c>
      <c r="O26" s="119">
        <v>0.0</v>
      </c>
      <c r="P26" s="119">
        <v>0.0</v>
      </c>
      <c r="Q26" s="119">
        <v>0.0526</v>
      </c>
      <c r="R26" s="119">
        <v>0.0357</v>
      </c>
      <c r="S26" s="119">
        <v>0.0</v>
      </c>
      <c r="T26" s="119">
        <v>0.0</v>
      </c>
      <c r="U26" s="119">
        <v>0.0</v>
      </c>
      <c r="V26" s="119">
        <v>0.0</v>
      </c>
      <c r="W26" s="119">
        <v>0.0</v>
      </c>
      <c r="X26" s="119">
        <v>0.0714</v>
      </c>
      <c r="Y26" s="119">
        <v>0.0</v>
      </c>
      <c r="Z26" s="119">
        <v>0.0</v>
      </c>
      <c r="AA26" s="119">
        <v>0.0</v>
      </c>
      <c r="AB26" s="119">
        <v>0.0</v>
      </c>
      <c r="AC26" s="119">
        <v>0.0</v>
      </c>
      <c r="AD26" s="119">
        <v>0.0</v>
      </c>
      <c r="AE26" s="119">
        <v>0.0</v>
      </c>
      <c r="AF26" s="119">
        <v>0.0</v>
      </c>
    </row>
    <row r="27">
      <c r="A27" s="22" t="s">
        <v>380</v>
      </c>
      <c r="B27" s="119">
        <v>0.0</v>
      </c>
      <c r="C27" s="119">
        <v>0.069</v>
      </c>
      <c r="D27" s="119">
        <v>0.0</v>
      </c>
      <c r="E27" s="119">
        <v>0.0</v>
      </c>
      <c r="F27" s="119">
        <v>0.0</v>
      </c>
      <c r="G27" s="119">
        <v>0.0</v>
      </c>
      <c r="H27" s="119">
        <v>0.0</v>
      </c>
      <c r="I27" s="119">
        <v>0.0</v>
      </c>
      <c r="J27" s="119">
        <v>0.8975</v>
      </c>
      <c r="K27" s="119">
        <v>0.7241</v>
      </c>
      <c r="L27" s="119">
        <v>0.4839</v>
      </c>
      <c r="M27" s="119">
        <v>0.5</v>
      </c>
      <c r="N27" s="119">
        <v>0.3158</v>
      </c>
      <c r="O27" s="119">
        <v>0.3333</v>
      </c>
      <c r="P27" s="119">
        <v>0.1</v>
      </c>
      <c r="Q27" s="119">
        <v>0.5263</v>
      </c>
      <c r="R27" s="119">
        <v>0.3214</v>
      </c>
      <c r="S27" s="119">
        <v>0.2143</v>
      </c>
      <c r="T27" s="119">
        <v>0.1176</v>
      </c>
      <c r="U27" s="119">
        <v>0.0</v>
      </c>
      <c r="V27" s="119">
        <v>0.0</v>
      </c>
      <c r="W27" s="119">
        <v>0.1364</v>
      </c>
      <c r="X27" s="119">
        <v>0.2857</v>
      </c>
      <c r="Y27" s="119">
        <v>0.1304</v>
      </c>
      <c r="Z27" s="119">
        <v>0.0714</v>
      </c>
      <c r="AA27" s="119">
        <v>0.0909</v>
      </c>
      <c r="AB27" s="119">
        <v>0.0769</v>
      </c>
      <c r="AC27" s="119">
        <v>0.0</v>
      </c>
      <c r="AD27" s="119">
        <v>0.0526</v>
      </c>
      <c r="AE27" s="119">
        <v>0.0476</v>
      </c>
      <c r="AF27" s="119">
        <v>0.0</v>
      </c>
    </row>
    <row r="28">
      <c r="A28" s="22" t="s">
        <v>381</v>
      </c>
      <c r="B28" s="119">
        <v>0.05</v>
      </c>
      <c r="C28" s="119">
        <v>0.069</v>
      </c>
      <c r="D28" s="119">
        <v>0.0333</v>
      </c>
      <c r="E28" s="119">
        <v>0.0</v>
      </c>
      <c r="F28" s="119">
        <v>0.1176</v>
      </c>
      <c r="G28" s="119">
        <v>0.125</v>
      </c>
      <c r="H28" s="119">
        <v>0.0714</v>
      </c>
      <c r="I28" s="119">
        <v>0.1429</v>
      </c>
      <c r="J28" s="119">
        <v>0.0082</v>
      </c>
      <c r="K28" s="119">
        <v>0.0</v>
      </c>
      <c r="L28" s="119">
        <v>0.0323</v>
      </c>
      <c r="M28" s="119">
        <v>0.0556</v>
      </c>
      <c r="N28" s="119">
        <v>0.0</v>
      </c>
      <c r="O28" s="119">
        <v>0.0833</v>
      </c>
      <c r="P28" s="119">
        <v>0.0</v>
      </c>
      <c r="Q28" s="119">
        <v>0.0</v>
      </c>
      <c r="R28" s="119">
        <v>0.0714</v>
      </c>
      <c r="S28" s="119">
        <v>0.1429</v>
      </c>
      <c r="T28" s="119">
        <v>0.0</v>
      </c>
      <c r="U28" s="119">
        <v>0.0</v>
      </c>
      <c r="V28" s="119">
        <v>0.0769</v>
      </c>
      <c r="W28" s="119">
        <v>0.1364</v>
      </c>
      <c r="X28" s="119">
        <v>0.0</v>
      </c>
      <c r="Y28" s="119">
        <v>0.0</v>
      </c>
      <c r="Z28" s="119">
        <v>0.0714</v>
      </c>
      <c r="AA28" s="119">
        <v>0.0</v>
      </c>
      <c r="AB28" s="119">
        <v>0.0</v>
      </c>
      <c r="AC28" s="119">
        <v>0.0</v>
      </c>
      <c r="AD28" s="119">
        <v>0.0</v>
      </c>
      <c r="AE28" s="119">
        <v>0.0476</v>
      </c>
      <c r="AF28" s="119">
        <v>0.0</v>
      </c>
    </row>
    <row r="30">
      <c r="B30" s="120">
        <v>44470.0</v>
      </c>
    </row>
    <row r="31">
      <c r="A31" s="22" t="s">
        <v>383</v>
      </c>
      <c r="B31" s="115">
        <f>SUM(B8:AF8)</f>
        <v>374571</v>
      </c>
    </row>
    <row r="32">
      <c r="A32" s="22" t="s">
        <v>384</v>
      </c>
      <c r="B32" s="115">
        <f>SUM(B14:AF14)</f>
        <v>71211.31755</v>
      </c>
    </row>
    <row r="33">
      <c r="A33" s="22" t="s">
        <v>363</v>
      </c>
      <c r="B33" s="112">
        <f>B31/B32</f>
        <v>5.259992553</v>
      </c>
    </row>
    <row r="34">
      <c r="A34" s="22" t="s">
        <v>366</v>
      </c>
      <c r="B34" s="115">
        <f>SUM(B14:AF14)/SUM(B9:AF9)</f>
        <v>51.04753946</v>
      </c>
    </row>
    <row r="35">
      <c r="A35" s="22" t="s">
        <v>367</v>
      </c>
      <c r="B35" s="20">
        <f>AVERAGE(B18:AF18)</f>
        <v>0.01090967742</v>
      </c>
    </row>
    <row r="36">
      <c r="A36" s="22" t="s">
        <v>369</v>
      </c>
      <c r="B36" s="115">
        <f>B31/B37</f>
        <v>268.5096774</v>
      </c>
    </row>
    <row r="37">
      <c r="A37" s="22" t="s">
        <v>312</v>
      </c>
      <c r="B37" s="54">
        <f>SUM(B9:AF9)</f>
        <v>1395</v>
      </c>
    </row>
  </sheetData>
  <mergeCells count="1">
    <mergeCell ref="AC4:AF4"/>
  </mergeCells>
  <conditionalFormatting sqref="B16:AF16">
    <cfRule type="colorScale" priority="1">
      <colorScale>
        <cfvo type="min"/>
        <cfvo type="max"/>
        <color rgb="FFFFFFFF"/>
        <color rgb="FF57BB8A"/>
      </colorScale>
    </cfRule>
  </conditionalFormatting>
  <conditionalFormatting sqref="A17:AF17">
    <cfRule type="colorScale" priority="2">
      <colorScale>
        <cfvo type="min"/>
        <cfvo type="max"/>
        <color rgb="FF57BB8A"/>
        <color rgb="FFFFFFFF"/>
      </colorScale>
    </cfRule>
  </conditionalFormatting>
  <conditionalFormatting sqref="A18:AF18">
    <cfRule type="colorScale" priority="3">
      <colorScale>
        <cfvo type="min"/>
        <cfvo type="max"/>
        <color rgb="FFFFFFFF"/>
        <color rgb="FF57BB8A"/>
      </colorScale>
    </cfRule>
  </conditionalFormatting>
  <conditionalFormatting sqref="A19:AF19">
    <cfRule type="colorScale" priority="4">
      <colorScale>
        <cfvo type="min"/>
        <cfvo type="max"/>
        <color rgb="FFFFFFFF"/>
        <color rgb="FF57BB8A"/>
      </colorScale>
    </cfRule>
  </conditionalFormatting>
  <conditionalFormatting sqref="A9:AF9">
    <cfRule type="colorScale" priority="5">
      <colorScale>
        <cfvo type="min"/>
        <cfvo type="max"/>
        <color rgb="FFFFFFFF"/>
        <color rgb="FF57BB8A"/>
      </colorScale>
    </cfRule>
  </conditionalFormatting>
  <conditionalFormatting sqref="B22:AF28">
    <cfRule type="colorScale" priority="6">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32" width="10.13"/>
  </cols>
  <sheetData>
    <row r="1">
      <c r="A1" s="1"/>
      <c r="B1" s="3">
        <v>44470.0</v>
      </c>
      <c r="C1" s="3">
        <v>44471.0</v>
      </c>
      <c r="D1" s="3">
        <v>44472.0</v>
      </c>
      <c r="E1" s="3">
        <v>44473.0</v>
      </c>
      <c r="F1" s="3">
        <v>44474.0</v>
      </c>
      <c r="G1" s="3">
        <v>44475.0</v>
      </c>
      <c r="H1" s="3">
        <v>44476.0</v>
      </c>
      <c r="I1" s="3">
        <v>44477.0</v>
      </c>
      <c r="J1" s="3">
        <v>44478.0</v>
      </c>
      <c r="K1" s="3">
        <v>44479.0</v>
      </c>
      <c r="L1" s="3">
        <v>44480.0</v>
      </c>
      <c r="M1" s="3">
        <v>44481.0</v>
      </c>
      <c r="N1" s="3">
        <v>44482.0</v>
      </c>
      <c r="O1" s="3">
        <v>44483.0</v>
      </c>
      <c r="P1" s="3">
        <v>44484.0</v>
      </c>
      <c r="Q1" s="3">
        <v>44485.0</v>
      </c>
      <c r="R1" s="3">
        <v>44486.0</v>
      </c>
      <c r="S1" s="3">
        <v>44487.0</v>
      </c>
      <c r="T1" s="3">
        <v>44488.0</v>
      </c>
      <c r="U1" s="3">
        <v>44489.0</v>
      </c>
      <c r="V1" s="3">
        <v>44490.0</v>
      </c>
      <c r="W1" s="3">
        <v>44491.0</v>
      </c>
      <c r="X1" s="3">
        <v>44492.0</v>
      </c>
      <c r="Y1" s="3">
        <v>44493.0</v>
      </c>
      <c r="Z1" s="3">
        <v>44494.0</v>
      </c>
      <c r="AA1" s="3">
        <v>44495.0</v>
      </c>
      <c r="AB1" s="3">
        <v>44496.0</v>
      </c>
      <c r="AC1" s="3">
        <v>44497.0</v>
      </c>
      <c r="AD1" s="3">
        <v>44498.0</v>
      </c>
      <c r="AE1" s="3">
        <v>44499.0</v>
      </c>
      <c r="AF1" s="3">
        <v>44500.0</v>
      </c>
    </row>
    <row r="2">
      <c r="B2" s="13" t="s">
        <v>15</v>
      </c>
      <c r="C2" s="13" t="s">
        <v>17</v>
      </c>
      <c r="D2" s="13" t="s">
        <v>18</v>
      </c>
      <c r="E2" s="13" t="s">
        <v>19</v>
      </c>
      <c r="F2" s="13" t="s">
        <v>20</v>
      </c>
      <c r="G2" s="13" t="s">
        <v>21</v>
      </c>
      <c r="H2" s="13" t="s">
        <v>22</v>
      </c>
      <c r="I2" s="13" t="s">
        <v>15</v>
      </c>
      <c r="J2" s="13" t="s">
        <v>17</v>
      </c>
      <c r="K2" s="13" t="s">
        <v>18</v>
      </c>
      <c r="L2" s="13" t="s">
        <v>19</v>
      </c>
      <c r="M2" s="13" t="s">
        <v>20</v>
      </c>
      <c r="N2" s="13" t="s">
        <v>21</v>
      </c>
      <c r="O2" s="13" t="s">
        <v>22</v>
      </c>
      <c r="P2" s="13" t="s">
        <v>15</v>
      </c>
      <c r="Q2" s="13" t="s">
        <v>17</v>
      </c>
      <c r="R2" s="13" t="s">
        <v>18</v>
      </c>
      <c r="S2" s="13" t="s">
        <v>19</v>
      </c>
      <c r="T2" s="13" t="s">
        <v>20</v>
      </c>
      <c r="U2" s="13" t="s">
        <v>21</v>
      </c>
      <c r="V2" s="13" t="s">
        <v>22</v>
      </c>
      <c r="W2" s="13" t="s">
        <v>15</v>
      </c>
      <c r="X2" s="13" t="s">
        <v>17</v>
      </c>
      <c r="Y2" s="13" t="s">
        <v>18</v>
      </c>
      <c r="Z2" s="13" t="s">
        <v>19</v>
      </c>
      <c r="AA2" s="13" t="s">
        <v>20</v>
      </c>
      <c r="AB2" s="13" t="s">
        <v>21</v>
      </c>
      <c r="AC2" s="13" t="s">
        <v>22</v>
      </c>
      <c r="AD2" s="13" t="s">
        <v>15</v>
      </c>
      <c r="AE2" s="13" t="s">
        <v>17</v>
      </c>
      <c r="AF2" s="13" t="s">
        <v>18</v>
      </c>
    </row>
    <row r="3">
      <c r="A3" s="22" t="s">
        <v>34</v>
      </c>
      <c r="B3" s="22">
        <v>18.0</v>
      </c>
      <c r="C3" s="22">
        <v>19.0</v>
      </c>
      <c r="D3" s="22">
        <v>19.0</v>
      </c>
      <c r="E3" s="22">
        <v>8.0</v>
      </c>
      <c r="F3" s="22">
        <v>9.0</v>
      </c>
      <c r="G3" s="22">
        <v>4.0</v>
      </c>
      <c r="H3" s="22">
        <v>9.0</v>
      </c>
      <c r="I3" s="22">
        <v>4.0</v>
      </c>
      <c r="J3" s="22">
        <v>10.0</v>
      </c>
      <c r="K3" s="22">
        <v>9.0</v>
      </c>
      <c r="L3" s="22">
        <v>13.0</v>
      </c>
      <c r="M3" s="22">
        <v>12.0</v>
      </c>
      <c r="N3" s="22">
        <v>2.0</v>
      </c>
      <c r="O3" s="22">
        <v>1.0</v>
      </c>
      <c r="P3" s="22">
        <v>8.0</v>
      </c>
      <c r="Q3" s="22">
        <v>6.0</v>
      </c>
      <c r="R3" s="22">
        <v>17.0</v>
      </c>
      <c r="S3" s="22">
        <v>15.0</v>
      </c>
      <c r="T3" s="22">
        <v>12.0</v>
      </c>
      <c r="U3" s="22">
        <v>5.0</v>
      </c>
    </row>
    <row r="4">
      <c r="A4" s="22" t="s">
        <v>45</v>
      </c>
      <c r="B4" s="22">
        <f t="shared" ref="B4:T4" si="1">B31</f>
        <v>31</v>
      </c>
      <c r="C4" s="22">
        <f t="shared" si="1"/>
        <v>45</v>
      </c>
      <c r="D4" s="22">
        <f t="shared" si="1"/>
        <v>52</v>
      </c>
      <c r="E4" s="22">
        <f t="shared" si="1"/>
        <v>29</v>
      </c>
      <c r="F4" s="22">
        <f t="shared" si="1"/>
        <v>33</v>
      </c>
      <c r="G4" s="22">
        <f t="shared" si="1"/>
        <v>22</v>
      </c>
      <c r="H4" s="22">
        <f t="shared" si="1"/>
        <v>22</v>
      </c>
      <c r="I4" s="22">
        <f t="shared" si="1"/>
        <v>23</v>
      </c>
      <c r="J4" s="22">
        <f t="shared" si="1"/>
        <v>334</v>
      </c>
      <c r="K4" s="22">
        <f t="shared" si="1"/>
        <v>89</v>
      </c>
      <c r="L4" s="22">
        <f t="shared" si="1"/>
        <v>51</v>
      </c>
      <c r="M4" s="22">
        <f t="shared" si="1"/>
        <v>36</v>
      </c>
      <c r="N4" s="22">
        <f t="shared" si="1"/>
        <v>27</v>
      </c>
      <c r="O4" s="22">
        <f t="shared" si="1"/>
        <v>31</v>
      </c>
      <c r="P4" s="22">
        <f t="shared" si="1"/>
        <v>25</v>
      </c>
      <c r="Q4" s="22">
        <f t="shared" si="1"/>
        <v>49</v>
      </c>
      <c r="R4" s="22">
        <f t="shared" si="1"/>
        <v>44</v>
      </c>
      <c r="S4" s="22">
        <f t="shared" si="1"/>
        <v>33</v>
      </c>
      <c r="T4" s="22">
        <f t="shared" si="1"/>
        <v>31</v>
      </c>
      <c r="U4" s="22">
        <v>21.0</v>
      </c>
      <c r="V4" s="22">
        <f t="shared" ref="V4:AF4" si="2">V31</f>
        <v>30</v>
      </c>
      <c r="W4" s="22">
        <f t="shared" si="2"/>
        <v>37</v>
      </c>
      <c r="X4" s="22">
        <f t="shared" si="2"/>
        <v>28</v>
      </c>
      <c r="Y4" s="22">
        <f t="shared" si="2"/>
        <v>36</v>
      </c>
      <c r="Z4" s="22">
        <f t="shared" si="2"/>
        <v>34</v>
      </c>
      <c r="AA4" s="22">
        <f t="shared" si="2"/>
        <v>23</v>
      </c>
      <c r="AB4" s="22">
        <f t="shared" si="2"/>
        <v>28</v>
      </c>
      <c r="AC4" s="22">
        <f t="shared" si="2"/>
        <v>26</v>
      </c>
      <c r="AD4" s="22">
        <f t="shared" si="2"/>
        <v>39</v>
      </c>
      <c r="AE4" s="22">
        <f t="shared" si="2"/>
        <v>43</v>
      </c>
      <c r="AF4" s="22">
        <f t="shared" si="2"/>
        <v>43</v>
      </c>
    </row>
    <row r="5">
      <c r="A5" s="22" t="s">
        <v>61</v>
      </c>
      <c r="B5" s="34">
        <f t="shared" ref="B5:U5" si="3">B3/B4</f>
        <v>0.5806451613</v>
      </c>
      <c r="C5" s="34">
        <f t="shared" si="3"/>
        <v>0.4222222222</v>
      </c>
      <c r="D5" s="34">
        <f t="shared" si="3"/>
        <v>0.3653846154</v>
      </c>
      <c r="E5" s="34">
        <f t="shared" si="3"/>
        <v>0.275862069</v>
      </c>
      <c r="F5" s="34">
        <f t="shared" si="3"/>
        <v>0.2727272727</v>
      </c>
      <c r="G5" s="34">
        <f t="shared" si="3"/>
        <v>0.1818181818</v>
      </c>
      <c r="H5" s="34">
        <f t="shared" si="3"/>
        <v>0.4090909091</v>
      </c>
      <c r="I5" s="34">
        <f t="shared" si="3"/>
        <v>0.1739130435</v>
      </c>
      <c r="J5" s="34">
        <f t="shared" si="3"/>
        <v>0.02994011976</v>
      </c>
      <c r="K5" s="34">
        <f t="shared" si="3"/>
        <v>0.1011235955</v>
      </c>
      <c r="L5" s="34">
        <f t="shared" si="3"/>
        <v>0.2549019608</v>
      </c>
      <c r="M5" s="34">
        <f t="shared" si="3"/>
        <v>0.3333333333</v>
      </c>
      <c r="N5" s="34">
        <f t="shared" si="3"/>
        <v>0.07407407407</v>
      </c>
      <c r="O5" s="34">
        <f t="shared" si="3"/>
        <v>0.03225806452</v>
      </c>
      <c r="P5" s="34">
        <f t="shared" si="3"/>
        <v>0.32</v>
      </c>
      <c r="Q5" s="34">
        <f t="shared" si="3"/>
        <v>0.1224489796</v>
      </c>
      <c r="R5" s="34">
        <f t="shared" si="3"/>
        <v>0.3863636364</v>
      </c>
      <c r="S5" s="34">
        <f t="shared" si="3"/>
        <v>0.4545454545</v>
      </c>
      <c r="T5" s="34">
        <f t="shared" si="3"/>
        <v>0.3870967742</v>
      </c>
      <c r="U5" s="34">
        <f t="shared" si="3"/>
        <v>0.2380952381</v>
      </c>
    </row>
    <row r="6">
      <c r="B6" s="1"/>
      <c r="C6" s="1"/>
      <c r="D6" s="1"/>
      <c r="E6" s="1"/>
      <c r="F6" s="1"/>
      <c r="G6" s="1"/>
      <c r="H6" s="1"/>
      <c r="I6" s="1"/>
      <c r="J6" s="1"/>
      <c r="K6" s="1"/>
      <c r="L6" s="1"/>
      <c r="M6" s="1"/>
      <c r="N6" s="1"/>
      <c r="O6" s="1"/>
    </row>
    <row r="7">
      <c r="A7" s="41" t="s">
        <v>78</v>
      </c>
    </row>
    <row r="9">
      <c r="A9" s="43" t="s">
        <v>82</v>
      </c>
      <c r="B9" s="44" t="s">
        <v>84</v>
      </c>
      <c r="P9" s="47" t="s">
        <v>85</v>
      </c>
    </row>
    <row r="10">
      <c r="H10" s="47" t="s">
        <v>87</v>
      </c>
      <c r="J10" s="47" t="s">
        <v>89</v>
      </c>
      <c r="N10" s="47" t="s">
        <v>92</v>
      </c>
    </row>
    <row r="12">
      <c r="A12" s="22" t="s">
        <v>93</v>
      </c>
      <c r="B12" s="22">
        <f t="shared" ref="B12:I12" si="4">B3</f>
        <v>18</v>
      </c>
      <c r="C12" s="22">
        <f t="shared" si="4"/>
        <v>19</v>
      </c>
      <c r="D12" s="22">
        <f t="shared" si="4"/>
        <v>19</v>
      </c>
      <c r="E12" s="22">
        <f t="shared" si="4"/>
        <v>8</v>
      </c>
      <c r="F12" s="22">
        <f t="shared" si="4"/>
        <v>9</v>
      </c>
      <c r="G12" s="22">
        <f t="shared" si="4"/>
        <v>4</v>
      </c>
      <c r="H12" s="22">
        <f t="shared" si="4"/>
        <v>9</v>
      </c>
      <c r="I12" s="22">
        <f t="shared" si="4"/>
        <v>4</v>
      </c>
      <c r="J12" s="22">
        <v>10.0</v>
      </c>
      <c r="K12" s="22">
        <v>9.0</v>
      </c>
      <c r="L12" s="22">
        <v>13.0</v>
      </c>
      <c r="M12" s="22">
        <v>12.0</v>
      </c>
      <c r="N12" s="22">
        <v>2.0</v>
      </c>
      <c r="O12" s="22">
        <v>1.0</v>
      </c>
      <c r="P12" s="22">
        <v>8.0</v>
      </c>
      <c r="Q12" s="22">
        <v>6.0</v>
      </c>
      <c r="R12" s="22">
        <v>17.0</v>
      </c>
      <c r="S12" s="22">
        <v>15.0</v>
      </c>
      <c r="T12" s="22">
        <v>12.0</v>
      </c>
      <c r="U12" s="22">
        <v>5.0</v>
      </c>
    </row>
    <row r="14">
      <c r="A14" s="22" t="s">
        <v>101</v>
      </c>
      <c r="B14" s="49"/>
      <c r="C14" s="49"/>
      <c r="D14" s="49"/>
      <c r="E14" s="49"/>
      <c r="F14" s="49"/>
      <c r="G14" s="49"/>
      <c r="H14" s="49"/>
      <c r="I14" s="49"/>
      <c r="J14" s="49"/>
      <c r="K14" s="49"/>
      <c r="L14" s="49"/>
      <c r="M14" s="49"/>
      <c r="N14" s="49"/>
      <c r="O14" s="49"/>
      <c r="P14" s="22">
        <v>3.0</v>
      </c>
      <c r="Q14" s="22">
        <v>12.0</v>
      </c>
      <c r="R14" s="22">
        <v>14.0</v>
      </c>
      <c r="S14" s="22">
        <v>10.0</v>
      </c>
      <c r="T14" s="22">
        <v>10.0</v>
      </c>
      <c r="U14" s="22">
        <v>11.0</v>
      </c>
    </row>
    <row r="15">
      <c r="A15" s="22" t="s">
        <v>111</v>
      </c>
      <c r="B15" s="49"/>
      <c r="C15" s="49"/>
      <c r="D15" s="49"/>
      <c r="E15" s="49"/>
      <c r="F15" s="49"/>
      <c r="G15" s="49"/>
      <c r="H15" s="49"/>
      <c r="I15" s="49"/>
      <c r="J15" s="49"/>
      <c r="K15" s="49"/>
      <c r="L15" s="49"/>
      <c r="M15" s="49"/>
      <c r="N15" s="49"/>
      <c r="O15" s="49"/>
      <c r="P15" s="20">
        <f t="shared" ref="P15:U15" si="5">P14/P12</f>
        <v>0.375</v>
      </c>
      <c r="Q15" s="20">
        <f t="shared" si="5"/>
        <v>2</v>
      </c>
      <c r="R15" s="20">
        <f t="shared" si="5"/>
        <v>0.8235294118</v>
      </c>
      <c r="S15" s="20">
        <f t="shared" si="5"/>
        <v>0.6666666667</v>
      </c>
      <c r="T15" s="20">
        <f t="shared" si="5"/>
        <v>0.8333333333</v>
      </c>
      <c r="U15" s="20">
        <f t="shared" si="5"/>
        <v>2.2</v>
      </c>
    </row>
    <row r="17">
      <c r="A17" s="22" t="s">
        <v>132</v>
      </c>
      <c r="B17" s="22">
        <v>18.0</v>
      </c>
      <c r="C17" s="22">
        <v>19.0</v>
      </c>
      <c r="D17" s="22">
        <v>19.0</v>
      </c>
      <c r="E17" s="22">
        <v>8.0</v>
      </c>
      <c r="F17" s="22">
        <v>9.0</v>
      </c>
      <c r="G17" s="22">
        <v>4.0</v>
      </c>
      <c r="H17" s="22">
        <v>9.0</v>
      </c>
      <c r="I17" s="22">
        <v>5.0</v>
      </c>
      <c r="J17" s="22">
        <v>8.0</v>
      </c>
      <c r="K17" s="22">
        <v>14.0</v>
      </c>
      <c r="L17" s="22">
        <v>6.0</v>
      </c>
      <c r="M17" s="22">
        <v>4.0</v>
      </c>
      <c r="N17" s="22">
        <v>8.0</v>
      </c>
      <c r="O17" s="22">
        <v>4.0</v>
      </c>
      <c r="P17" s="22">
        <v>9.0</v>
      </c>
      <c r="Q17" s="22">
        <v>16.0</v>
      </c>
      <c r="R17" s="22">
        <v>11.0</v>
      </c>
      <c r="S17" s="22">
        <v>9.0</v>
      </c>
      <c r="T17" s="22">
        <v>9.0</v>
      </c>
      <c r="U17" s="22">
        <v>11.0</v>
      </c>
    </row>
    <row r="18">
      <c r="A18" s="22" t="s">
        <v>111</v>
      </c>
      <c r="B18" s="20">
        <f t="shared" ref="B18:AF18" si="6">B17/B12</f>
        <v>1</v>
      </c>
      <c r="C18" s="20">
        <f t="shared" si="6"/>
        <v>1</v>
      </c>
      <c r="D18" s="20">
        <f t="shared" si="6"/>
        <v>1</v>
      </c>
      <c r="E18" s="20">
        <f t="shared" si="6"/>
        <v>1</v>
      </c>
      <c r="F18" s="20">
        <f t="shared" si="6"/>
        <v>1</v>
      </c>
      <c r="G18" s="20">
        <f t="shared" si="6"/>
        <v>1</v>
      </c>
      <c r="H18" s="20">
        <f t="shared" si="6"/>
        <v>1</v>
      </c>
      <c r="I18" s="20">
        <f t="shared" si="6"/>
        <v>1.25</v>
      </c>
      <c r="J18" s="20">
        <f t="shared" si="6"/>
        <v>0.8</v>
      </c>
      <c r="K18" s="20">
        <f t="shared" si="6"/>
        <v>1.555555556</v>
      </c>
      <c r="L18" s="20">
        <f t="shared" si="6"/>
        <v>0.4615384615</v>
      </c>
      <c r="M18" s="20">
        <f t="shared" si="6"/>
        <v>0.3333333333</v>
      </c>
      <c r="N18" s="20">
        <f t="shared" si="6"/>
        <v>4</v>
      </c>
      <c r="O18" s="20">
        <f t="shared" si="6"/>
        <v>4</v>
      </c>
      <c r="P18" s="20">
        <f t="shared" si="6"/>
        <v>1.125</v>
      </c>
      <c r="Q18" s="20">
        <f t="shared" si="6"/>
        <v>2.666666667</v>
      </c>
      <c r="R18" s="20">
        <f t="shared" si="6"/>
        <v>0.6470588235</v>
      </c>
      <c r="S18" s="20">
        <f t="shared" si="6"/>
        <v>0.6</v>
      </c>
      <c r="T18" s="20">
        <f t="shared" si="6"/>
        <v>0.75</v>
      </c>
      <c r="U18" s="20">
        <f t="shared" si="6"/>
        <v>2.2</v>
      </c>
      <c r="V18" s="20" t="str">
        <f t="shared" si="6"/>
        <v>#DIV/0!</v>
      </c>
      <c r="W18" s="20" t="str">
        <f t="shared" si="6"/>
        <v>#DIV/0!</v>
      </c>
      <c r="X18" s="20" t="str">
        <f t="shared" si="6"/>
        <v>#DIV/0!</v>
      </c>
      <c r="Y18" s="20" t="str">
        <f t="shared" si="6"/>
        <v>#DIV/0!</v>
      </c>
      <c r="Z18" s="20" t="str">
        <f t="shared" si="6"/>
        <v>#DIV/0!</v>
      </c>
      <c r="AA18" s="20" t="str">
        <f t="shared" si="6"/>
        <v>#DIV/0!</v>
      </c>
      <c r="AB18" s="20" t="str">
        <f t="shared" si="6"/>
        <v>#DIV/0!</v>
      </c>
      <c r="AC18" s="20" t="str">
        <f t="shared" si="6"/>
        <v>#DIV/0!</v>
      </c>
      <c r="AD18" s="20" t="str">
        <f t="shared" si="6"/>
        <v>#DIV/0!</v>
      </c>
      <c r="AE18" s="20" t="str">
        <f t="shared" si="6"/>
        <v>#DIV/0!</v>
      </c>
      <c r="AF18" s="20" t="str">
        <f t="shared" si="6"/>
        <v>#DIV/0!</v>
      </c>
    </row>
    <row r="20">
      <c r="A20" s="22" t="s">
        <v>166</v>
      </c>
      <c r="B20" s="22">
        <v>10.0</v>
      </c>
      <c r="C20" s="22">
        <v>10.0</v>
      </c>
      <c r="D20" s="22">
        <v>17.0</v>
      </c>
      <c r="E20" s="22">
        <v>0.0</v>
      </c>
      <c r="F20" s="22">
        <v>2.0</v>
      </c>
      <c r="G20" s="22">
        <v>4.0</v>
      </c>
      <c r="H20" s="22">
        <v>10.0</v>
      </c>
      <c r="I20" s="22">
        <v>6.0</v>
      </c>
      <c r="J20" s="22">
        <v>15.0</v>
      </c>
      <c r="K20" s="22">
        <v>16.0</v>
      </c>
      <c r="L20" s="22">
        <v>7.0</v>
      </c>
      <c r="M20" s="22">
        <v>4.0</v>
      </c>
      <c r="N20" s="22">
        <v>1.0</v>
      </c>
      <c r="O20" s="22">
        <v>2.0</v>
      </c>
      <c r="P20" s="55">
        <v>3.0</v>
      </c>
      <c r="Q20" s="55">
        <v>5.0</v>
      </c>
      <c r="R20" s="55">
        <v>12.0</v>
      </c>
      <c r="S20" s="22">
        <v>6.0</v>
      </c>
      <c r="T20" s="22">
        <v>3.0</v>
      </c>
      <c r="U20" s="22">
        <v>4.0</v>
      </c>
    </row>
    <row r="21">
      <c r="A21" s="22" t="s">
        <v>111</v>
      </c>
      <c r="B21" s="20">
        <f t="shared" ref="B21:AF21" si="7">B20/B12</f>
        <v>0.5555555556</v>
      </c>
      <c r="C21" s="20">
        <f t="shared" si="7"/>
        <v>0.5263157895</v>
      </c>
      <c r="D21" s="20">
        <f t="shared" si="7"/>
        <v>0.8947368421</v>
      </c>
      <c r="E21" s="20">
        <f t="shared" si="7"/>
        <v>0</v>
      </c>
      <c r="F21" s="20">
        <f t="shared" si="7"/>
        <v>0.2222222222</v>
      </c>
      <c r="G21" s="20">
        <f t="shared" si="7"/>
        <v>1</v>
      </c>
      <c r="H21" s="20">
        <f t="shared" si="7"/>
        <v>1.111111111</v>
      </c>
      <c r="I21" s="20">
        <f t="shared" si="7"/>
        <v>1.5</v>
      </c>
      <c r="J21" s="20">
        <f t="shared" si="7"/>
        <v>1.5</v>
      </c>
      <c r="K21" s="20">
        <f t="shared" si="7"/>
        <v>1.777777778</v>
      </c>
      <c r="L21" s="20">
        <f t="shared" si="7"/>
        <v>0.5384615385</v>
      </c>
      <c r="M21" s="20">
        <f t="shared" si="7"/>
        <v>0.3333333333</v>
      </c>
      <c r="N21" s="20">
        <f t="shared" si="7"/>
        <v>0.5</v>
      </c>
      <c r="O21" s="20">
        <f t="shared" si="7"/>
        <v>2</v>
      </c>
      <c r="P21" s="20">
        <f t="shared" si="7"/>
        <v>0.375</v>
      </c>
      <c r="Q21" s="20">
        <f t="shared" si="7"/>
        <v>0.8333333333</v>
      </c>
      <c r="R21" s="20">
        <f t="shared" si="7"/>
        <v>0.7058823529</v>
      </c>
      <c r="S21" s="20">
        <f t="shared" si="7"/>
        <v>0.4</v>
      </c>
      <c r="T21" s="20">
        <f t="shared" si="7"/>
        <v>0.25</v>
      </c>
      <c r="U21" s="20">
        <f t="shared" si="7"/>
        <v>0.8</v>
      </c>
      <c r="V21" s="20" t="str">
        <f t="shared" si="7"/>
        <v>#DIV/0!</v>
      </c>
      <c r="W21" s="20" t="str">
        <f t="shared" si="7"/>
        <v>#DIV/0!</v>
      </c>
      <c r="X21" s="20" t="str">
        <f t="shared" si="7"/>
        <v>#DIV/0!</v>
      </c>
      <c r="Y21" s="20" t="str">
        <f t="shared" si="7"/>
        <v>#DIV/0!</v>
      </c>
      <c r="Z21" s="20" t="str">
        <f t="shared" si="7"/>
        <v>#DIV/0!</v>
      </c>
      <c r="AA21" s="20" t="str">
        <f t="shared" si="7"/>
        <v>#DIV/0!</v>
      </c>
      <c r="AB21" s="20" t="str">
        <f t="shared" si="7"/>
        <v>#DIV/0!</v>
      </c>
      <c r="AC21" s="20" t="str">
        <f t="shared" si="7"/>
        <v>#DIV/0!</v>
      </c>
      <c r="AD21" s="20" t="str">
        <f t="shared" si="7"/>
        <v>#DIV/0!</v>
      </c>
      <c r="AE21" s="20" t="str">
        <f t="shared" si="7"/>
        <v>#DIV/0!</v>
      </c>
      <c r="AF21" s="20" t="str">
        <f t="shared" si="7"/>
        <v>#DIV/0!</v>
      </c>
    </row>
    <row r="23">
      <c r="A23" s="67" t="s">
        <v>191</v>
      </c>
      <c r="B23" s="67">
        <v>17.0</v>
      </c>
      <c r="C23" s="67">
        <v>21.0</v>
      </c>
      <c r="D23" s="67">
        <v>21.0</v>
      </c>
      <c r="E23" s="67">
        <v>12.0</v>
      </c>
      <c r="F23" s="67">
        <v>11.0</v>
      </c>
      <c r="G23" s="67">
        <v>12.0</v>
      </c>
      <c r="H23" s="67">
        <v>12.0</v>
      </c>
      <c r="I23" s="67">
        <v>4.0</v>
      </c>
      <c r="J23" s="67">
        <v>16.0</v>
      </c>
      <c r="K23" s="67">
        <v>14.0</v>
      </c>
      <c r="L23" s="67">
        <v>8.0</v>
      </c>
      <c r="M23" s="67">
        <v>5.0</v>
      </c>
      <c r="N23" s="67">
        <v>10.0</v>
      </c>
      <c r="O23" s="67">
        <v>6.0</v>
      </c>
      <c r="P23" s="67">
        <v>5.0</v>
      </c>
      <c r="Q23" s="67">
        <v>9.0</v>
      </c>
      <c r="R23" s="67">
        <v>13.0</v>
      </c>
      <c r="S23" s="67">
        <v>6.0</v>
      </c>
      <c r="T23" s="67">
        <v>12.0</v>
      </c>
      <c r="U23" s="67">
        <v>7.0</v>
      </c>
      <c r="V23" s="68"/>
      <c r="W23" s="68"/>
      <c r="X23" s="68"/>
      <c r="Y23" s="68"/>
      <c r="Z23" s="68"/>
      <c r="AA23" s="68"/>
      <c r="AB23" s="68"/>
      <c r="AC23" s="68"/>
      <c r="AD23" s="68"/>
      <c r="AE23" s="68"/>
      <c r="AF23" s="68"/>
    </row>
    <row r="24">
      <c r="A24" s="67" t="s">
        <v>197</v>
      </c>
      <c r="B24" s="69">
        <f t="shared" ref="B24:AF24" si="8">(1-B26)*B23+B23</f>
        <v>23.0316</v>
      </c>
      <c r="C24" s="69">
        <f t="shared" si="8"/>
        <v>28.1589</v>
      </c>
      <c r="D24" s="69">
        <f t="shared" si="8"/>
        <v>29.8851</v>
      </c>
      <c r="E24" s="69">
        <f t="shared" si="8"/>
        <v>17.5716</v>
      </c>
      <c r="F24" s="69">
        <f t="shared" si="8"/>
        <v>15.5518</v>
      </c>
      <c r="G24" s="69">
        <f t="shared" si="8"/>
        <v>14.8572</v>
      </c>
      <c r="H24" s="69">
        <f t="shared" si="8"/>
        <v>15.6</v>
      </c>
      <c r="I24" s="69">
        <f t="shared" si="8"/>
        <v>6.7828</v>
      </c>
      <c r="J24" s="69">
        <f t="shared" si="8"/>
        <v>19.8752</v>
      </c>
      <c r="K24" s="69">
        <f t="shared" si="8"/>
        <v>18.4464</v>
      </c>
      <c r="L24" s="69">
        <f t="shared" si="8"/>
        <v>10.8336</v>
      </c>
      <c r="M24" s="69">
        <f t="shared" si="8"/>
        <v>7.2725</v>
      </c>
      <c r="N24" s="69">
        <f t="shared" si="8"/>
        <v>12.963</v>
      </c>
      <c r="O24" s="69">
        <f t="shared" si="8"/>
        <v>9</v>
      </c>
      <c r="P24" s="69">
        <f t="shared" si="8"/>
        <v>7.5</v>
      </c>
      <c r="Q24" s="69">
        <f t="shared" si="8"/>
        <v>13.95</v>
      </c>
      <c r="R24" s="69">
        <f t="shared" si="8"/>
        <v>19.9641</v>
      </c>
      <c r="S24" s="69">
        <f t="shared" si="8"/>
        <v>9.4284</v>
      </c>
      <c r="T24" s="69">
        <f t="shared" si="8"/>
        <v>15.5292</v>
      </c>
      <c r="U24" s="69">
        <f t="shared" si="8"/>
        <v>7.875</v>
      </c>
      <c r="V24" s="69">
        <f t="shared" si="8"/>
        <v>0</v>
      </c>
      <c r="W24" s="69">
        <f t="shared" si="8"/>
        <v>0</v>
      </c>
      <c r="X24" s="69">
        <f t="shared" si="8"/>
        <v>0</v>
      </c>
      <c r="Y24" s="69">
        <f t="shared" si="8"/>
        <v>0</v>
      </c>
      <c r="Z24" s="69">
        <f t="shared" si="8"/>
        <v>0</v>
      </c>
      <c r="AA24" s="69">
        <f t="shared" si="8"/>
        <v>0</v>
      </c>
      <c r="AB24" s="69">
        <f t="shared" si="8"/>
        <v>0</v>
      </c>
      <c r="AC24" s="69">
        <f t="shared" si="8"/>
        <v>0</v>
      </c>
      <c r="AD24" s="69">
        <f t="shared" si="8"/>
        <v>0</v>
      </c>
      <c r="AE24" s="69">
        <f t="shared" si="8"/>
        <v>0</v>
      </c>
      <c r="AF24" s="69">
        <f t="shared" si="8"/>
        <v>0</v>
      </c>
    </row>
    <row r="25">
      <c r="A25" s="22" t="s">
        <v>225</v>
      </c>
      <c r="B25" s="74">
        <f t="shared" ref="B25:AF25" si="9">(1-B37)*B24+B24</f>
        <v>23.0316</v>
      </c>
      <c r="C25" s="74">
        <f t="shared" si="9"/>
        <v>28.78465333</v>
      </c>
      <c r="D25" s="74">
        <f t="shared" si="9"/>
        <v>29.8851</v>
      </c>
      <c r="E25" s="74">
        <f t="shared" si="9"/>
        <v>18.17751724</v>
      </c>
      <c r="F25" s="74">
        <f t="shared" si="9"/>
        <v>17.43686667</v>
      </c>
      <c r="G25" s="74">
        <f t="shared" si="9"/>
        <v>15.53252727</v>
      </c>
      <c r="H25" s="74">
        <f t="shared" si="9"/>
        <v>17.01818182</v>
      </c>
      <c r="I25" s="74">
        <f t="shared" si="9"/>
        <v>6.7828</v>
      </c>
      <c r="J25" s="74">
        <f t="shared" si="9"/>
        <v>20.58927904</v>
      </c>
      <c r="K25" s="74">
        <f t="shared" si="9"/>
        <v>19.27545169</v>
      </c>
      <c r="L25" s="74">
        <f t="shared" si="9"/>
        <v>11.47087059</v>
      </c>
      <c r="M25" s="74">
        <f t="shared" si="9"/>
        <v>7.878541667</v>
      </c>
      <c r="N25" s="74">
        <f t="shared" si="9"/>
        <v>12.963</v>
      </c>
      <c r="O25" s="74">
        <f t="shared" si="9"/>
        <v>9.580645161</v>
      </c>
      <c r="P25" s="74">
        <f t="shared" si="9"/>
        <v>7.5</v>
      </c>
      <c r="Q25" s="74">
        <f t="shared" si="9"/>
        <v>14.23469388</v>
      </c>
      <c r="R25" s="74">
        <f t="shared" si="9"/>
        <v>19.9641</v>
      </c>
      <c r="S25" s="74">
        <f t="shared" si="9"/>
        <v>10.57123636</v>
      </c>
      <c r="T25" s="74">
        <f t="shared" si="9"/>
        <v>17.03202581</v>
      </c>
      <c r="U25" s="74">
        <f t="shared" si="9"/>
        <v>8.25</v>
      </c>
      <c r="V25" s="74">
        <f t="shared" si="9"/>
        <v>0</v>
      </c>
      <c r="W25" s="74">
        <f t="shared" si="9"/>
        <v>0</v>
      </c>
      <c r="X25" s="74">
        <f t="shared" si="9"/>
        <v>0</v>
      </c>
      <c r="Y25" s="74">
        <f t="shared" si="9"/>
        <v>0</v>
      </c>
      <c r="Z25" s="74">
        <f t="shared" si="9"/>
        <v>0</v>
      </c>
      <c r="AA25" s="74">
        <f t="shared" si="9"/>
        <v>0</v>
      </c>
      <c r="AB25" s="74">
        <f t="shared" si="9"/>
        <v>0</v>
      </c>
      <c r="AC25" s="74">
        <f t="shared" si="9"/>
        <v>0</v>
      </c>
      <c r="AD25" s="74">
        <f t="shared" si="9"/>
        <v>0</v>
      </c>
      <c r="AE25" s="74">
        <f t="shared" si="9"/>
        <v>0</v>
      </c>
      <c r="AF25" s="74">
        <f t="shared" si="9"/>
        <v>0</v>
      </c>
    </row>
    <row r="26">
      <c r="A26" s="67" t="s">
        <v>272</v>
      </c>
      <c r="B26" s="86">
        <v>0.6452</v>
      </c>
      <c r="C26" s="86">
        <v>0.6591</v>
      </c>
      <c r="D26" s="86">
        <v>0.5769</v>
      </c>
      <c r="E26" s="86">
        <v>0.5357</v>
      </c>
      <c r="F26" s="86">
        <v>0.5862</v>
      </c>
      <c r="G26" s="86">
        <v>0.7619</v>
      </c>
      <c r="H26" s="86">
        <v>0.7</v>
      </c>
      <c r="I26" s="86">
        <v>0.3043</v>
      </c>
      <c r="J26" s="86">
        <v>0.7578</v>
      </c>
      <c r="K26" s="86">
        <v>0.6824</v>
      </c>
      <c r="L26" s="86">
        <v>0.6458</v>
      </c>
      <c r="M26" s="86">
        <v>0.5455</v>
      </c>
      <c r="N26" s="86">
        <v>0.7037</v>
      </c>
      <c r="O26" s="86">
        <v>0.5</v>
      </c>
      <c r="P26" s="86">
        <v>0.5</v>
      </c>
      <c r="Q26" s="86">
        <v>0.45</v>
      </c>
      <c r="R26" s="86">
        <v>0.4643</v>
      </c>
      <c r="S26" s="86">
        <v>0.4286</v>
      </c>
      <c r="T26" s="86">
        <v>0.7059</v>
      </c>
      <c r="U26" s="86">
        <v>0.875</v>
      </c>
      <c r="V26" s="86"/>
      <c r="W26" s="86"/>
      <c r="X26" s="86"/>
      <c r="Y26" s="86"/>
      <c r="Z26" s="86"/>
      <c r="AA26" s="86"/>
      <c r="AB26" s="86"/>
      <c r="AC26" s="86"/>
      <c r="AD26" s="86"/>
      <c r="AE26" s="86"/>
      <c r="AF26" s="86"/>
    </row>
    <row r="27">
      <c r="A27" s="22" t="s">
        <v>111</v>
      </c>
      <c r="B27" s="20">
        <f t="shared" ref="B27:AF27" si="10">B25/B12</f>
        <v>1.279533333</v>
      </c>
      <c r="C27" s="20">
        <f t="shared" si="10"/>
        <v>1.514981754</v>
      </c>
      <c r="D27" s="20">
        <f t="shared" si="10"/>
        <v>1.5729</v>
      </c>
      <c r="E27" s="20">
        <f t="shared" si="10"/>
        <v>2.272189655</v>
      </c>
      <c r="F27" s="20">
        <f t="shared" si="10"/>
        <v>1.93742963</v>
      </c>
      <c r="G27" s="20">
        <f t="shared" si="10"/>
        <v>3.883131818</v>
      </c>
      <c r="H27" s="20">
        <f t="shared" si="10"/>
        <v>1.890909091</v>
      </c>
      <c r="I27" s="20">
        <f t="shared" si="10"/>
        <v>1.6957</v>
      </c>
      <c r="J27" s="20">
        <f t="shared" si="10"/>
        <v>2.058927904</v>
      </c>
      <c r="K27" s="20">
        <f t="shared" si="10"/>
        <v>2.141716854</v>
      </c>
      <c r="L27" s="20">
        <f t="shared" si="10"/>
        <v>0.8823746606</v>
      </c>
      <c r="M27" s="20">
        <f t="shared" si="10"/>
        <v>0.6565451389</v>
      </c>
      <c r="N27" s="20">
        <f t="shared" si="10"/>
        <v>6.4815</v>
      </c>
      <c r="O27" s="20">
        <f t="shared" si="10"/>
        <v>9.580645161</v>
      </c>
      <c r="P27" s="20">
        <f t="shared" si="10"/>
        <v>0.9375</v>
      </c>
      <c r="Q27" s="20">
        <f t="shared" si="10"/>
        <v>2.37244898</v>
      </c>
      <c r="R27" s="20">
        <f t="shared" si="10"/>
        <v>1.174358824</v>
      </c>
      <c r="S27" s="20">
        <f t="shared" si="10"/>
        <v>0.7047490909</v>
      </c>
      <c r="T27" s="20">
        <f t="shared" si="10"/>
        <v>1.419335484</v>
      </c>
      <c r="U27" s="20">
        <f t="shared" si="10"/>
        <v>1.65</v>
      </c>
      <c r="V27" s="20" t="str">
        <f t="shared" si="10"/>
        <v>#DIV/0!</v>
      </c>
      <c r="W27" s="20" t="str">
        <f t="shared" si="10"/>
        <v>#DIV/0!</v>
      </c>
      <c r="X27" s="20" t="str">
        <f t="shared" si="10"/>
        <v>#DIV/0!</v>
      </c>
      <c r="Y27" s="20" t="str">
        <f t="shared" si="10"/>
        <v>#DIV/0!</v>
      </c>
      <c r="Z27" s="20" t="str">
        <f t="shared" si="10"/>
        <v>#DIV/0!</v>
      </c>
      <c r="AA27" s="20" t="str">
        <f t="shared" si="10"/>
        <v>#DIV/0!</v>
      </c>
      <c r="AB27" s="20" t="str">
        <f t="shared" si="10"/>
        <v>#DIV/0!</v>
      </c>
      <c r="AC27" s="20" t="str">
        <f t="shared" si="10"/>
        <v>#DIV/0!</v>
      </c>
      <c r="AD27" s="20" t="str">
        <f t="shared" si="10"/>
        <v>#DIV/0!</v>
      </c>
      <c r="AE27" s="20" t="str">
        <f t="shared" si="10"/>
        <v>#DIV/0!</v>
      </c>
      <c r="AF27" s="20" t="str">
        <f t="shared" si="10"/>
        <v>#DIV/0!</v>
      </c>
    </row>
    <row r="29">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row>
    <row r="31">
      <c r="A31" s="47" t="s">
        <v>329</v>
      </c>
      <c r="B31" s="93">
        <f>Sales!B9</f>
        <v>31</v>
      </c>
      <c r="C31" s="93">
        <f>Sales!C9</f>
        <v>45</v>
      </c>
      <c r="D31" s="93">
        <f>Sales!D9</f>
        <v>52</v>
      </c>
      <c r="E31" s="93">
        <f>Sales!E9</f>
        <v>29</v>
      </c>
      <c r="F31" s="93">
        <f>Sales!F9</f>
        <v>33</v>
      </c>
      <c r="G31" s="93">
        <f>Sales!G9</f>
        <v>22</v>
      </c>
      <c r="H31" s="93">
        <f>Sales!H9</f>
        <v>22</v>
      </c>
      <c r="I31" s="93">
        <f>Sales!I9</f>
        <v>23</v>
      </c>
      <c r="J31" s="93">
        <f>Sales!J9</f>
        <v>334</v>
      </c>
      <c r="K31" s="93">
        <f>Sales!K9</f>
        <v>89</v>
      </c>
      <c r="L31" s="93">
        <f>Sales!L9</f>
        <v>51</v>
      </c>
      <c r="M31" s="93">
        <f>Sales!M9</f>
        <v>36</v>
      </c>
      <c r="N31" s="93">
        <f>Sales!N9</f>
        <v>27</v>
      </c>
      <c r="O31" s="93">
        <f>Sales!O9</f>
        <v>31</v>
      </c>
      <c r="P31" s="93">
        <f>Sales!P9</f>
        <v>25</v>
      </c>
      <c r="Q31" s="93">
        <f>Sales!Q9</f>
        <v>49</v>
      </c>
      <c r="R31" s="93">
        <f>Sales!R9</f>
        <v>44</v>
      </c>
      <c r="S31" s="93">
        <f>Sales!S9</f>
        <v>33</v>
      </c>
      <c r="T31" s="93">
        <f>Sales!T9</f>
        <v>31</v>
      </c>
      <c r="U31" s="47">
        <v>21.0</v>
      </c>
      <c r="V31" s="93">
        <f>Sales!V9</f>
        <v>30</v>
      </c>
      <c r="W31" s="93">
        <f>Sales!W9</f>
        <v>37</v>
      </c>
      <c r="X31" s="93">
        <f>Sales!X9</f>
        <v>28</v>
      </c>
      <c r="Y31" s="93">
        <f>Sales!Y9</f>
        <v>36</v>
      </c>
      <c r="Z31" s="93">
        <f>Sales!Z9</f>
        <v>34</v>
      </c>
      <c r="AA31" s="93">
        <f>Sales!AA9</f>
        <v>23</v>
      </c>
      <c r="AB31" s="93">
        <f>Sales!AB9</f>
        <v>28</v>
      </c>
      <c r="AC31" s="93">
        <f>Sales!AC9</f>
        <v>26</v>
      </c>
      <c r="AD31" s="93">
        <f>Sales!AD9</f>
        <v>39</v>
      </c>
      <c r="AE31" s="93">
        <f>Sales!AE9</f>
        <v>43</v>
      </c>
      <c r="AF31" s="93">
        <f>Sales!AF9</f>
        <v>43</v>
      </c>
    </row>
    <row r="32">
      <c r="K32" s="34"/>
    </row>
    <row r="33">
      <c r="A33" s="22" t="s">
        <v>357</v>
      </c>
      <c r="B33" s="22">
        <v>32.0</v>
      </c>
      <c r="C33" s="22">
        <v>43.0</v>
      </c>
      <c r="D33" s="22">
        <v>49.0</v>
      </c>
      <c r="E33" s="22">
        <v>28.0</v>
      </c>
      <c r="F33" s="22">
        <v>30.0</v>
      </c>
      <c r="G33" s="22">
        <v>20.0</v>
      </c>
      <c r="H33" s="22">
        <v>22.0</v>
      </c>
      <c r="I33" s="22">
        <v>23.0</v>
      </c>
      <c r="J33" s="22">
        <v>310.0</v>
      </c>
      <c r="K33" s="22">
        <v>77.0</v>
      </c>
      <c r="L33" s="22">
        <v>50.0</v>
      </c>
      <c r="M33" s="22">
        <v>31.0</v>
      </c>
      <c r="N33" s="22">
        <v>27.0</v>
      </c>
      <c r="O33" s="22">
        <v>28.0</v>
      </c>
      <c r="P33" s="22">
        <v>25.0</v>
      </c>
      <c r="Q33" s="22">
        <v>44.0</v>
      </c>
      <c r="R33" s="22">
        <v>41.0</v>
      </c>
      <c r="S33" s="22">
        <v>32.0</v>
      </c>
      <c r="T33" s="22">
        <v>30.0</v>
      </c>
      <c r="U33" s="22">
        <v>19.0</v>
      </c>
    </row>
    <row r="34">
      <c r="A34" s="22" t="s">
        <v>111</v>
      </c>
      <c r="B34" s="20">
        <f t="shared" ref="B34:AF34" si="11">B33/B31</f>
        <v>1.032258065</v>
      </c>
      <c r="C34" s="20">
        <f t="shared" si="11"/>
        <v>0.9555555556</v>
      </c>
      <c r="D34" s="20">
        <f t="shared" si="11"/>
        <v>0.9423076923</v>
      </c>
      <c r="E34" s="20">
        <f t="shared" si="11"/>
        <v>0.9655172414</v>
      </c>
      <c r="F34" s="20">
        <f t="shared" si="11"/>
        <v>0.9090909091</v>
      </c>
      <c r="G34" s="20">
        <f t="shared" si="11"/>
        <v>0.9090909091</v>
      </c>
      <c r="H34" s="20">
        <f t="shared" si="11"/>
        <v>1</v>
      </c>
      <c r="I34" s="20">
        <f t="shared" si="11"/>
        <v>1</v>
      </c>
      <c r="J34" s="20">
        <f t="shared" si="11"/>
        <v>0.9281437126</v>
      </c>
      <c r="K34" s="20">
        <f t="shared" si="11"/>
        <v>0.8651685393</v>
      </c>
      <c r="L34" s="20">
        <f t="shared" si="11"/>
        <v>0.9803921569</v>
      </c>
      <c r="M34" s="20">
        <f t="shared" si="11"/>
        <v>0.8611111111</v>
      </c>
      <c r="N34" s="20">
        <f t="shared" si="11"/>
        <v>1</v>
      </c>
      <c r="O34" s="20">
        <f t="shared" si="11"/>
        <v>0.9032258065</v>
      </c>
      <c r="P34" s="20">
        <f t="shared" si="11"/>
        <v>1</v>
      </c>
      <c r="Q34" s="20">
        <f t="shared" si="11"/>
        <v>0.8979591837</v>
      </c>
      <c r="R34" s="20">
        <f t="shared" si="11"/>
        <v>0.9318181818</v>
      </c>
      <c r="S34" s="20">
        <f t="shared" si="11"/>
        <v>0.9696969697</v>
      </c>
      <c r="T34" s="20">
        <f t="shared" si="11"/>
        <v>0.9677419355</v>
      </c>
      <c r="U34" s="20">
        <f t="shared" si="11"/>
        <v>0.9047619048</v>
      </c>
      <c r="V34" s="20">
        <f t="shared" si="11"/>
        <v>0</v>
      </c>
      <c r="W34" s="20">
        <f t="shared" si="11"/>
        <v>0</v>
      </c>
      <c r="X34" s="20">
        <f t="shared" si="11"/>
        <v>0</v>
      </c>
      <c r="Y34" s="20">
        <f t="shared" si="11"/>
        <v>0</v>
      </c>
      <c r="Z34" s="20">
        <f t="shared" si="11"/>
        <v>0</v>
      </c>
      <c r="AA34" s="20">
        <f t="shared" si="11"/>
        <v>0</v>
      </c>
      <c r="AB34" s="20">
        <f t="shared" si="11"/>
        <v>0</v>
      </c>
      <c r="AC34" s="20">
        <f t="shared" si="11"/>
        <v>0</v>
      </c>
      <c r="AD34" s="20">
        <f t="shared" si="11"/>
        <v>0</v>
      </c>
      <c r="AE34" s="20">
        <f t="shared" si="11"/>
        <v>0</v>
      </c>
      <c r="AF34" s="20">
        <f t="shared" si="11"/>
        <v>0</v>
      </c>
    </row>
    <row r="36">
      <c r="A36" s="22" t="s">
        <v>362</v>
      </c>
      <c r="B36" s="108">
        <v>31.0</v>
      </c>
      <c r="C36" s="108">
        <v>44.0</v>
      </c>
      <c r="D36" s="108">
        <v>52.0</v>
      </c>
      <c r="E36" s="108">
        <v>28.0</v>
      </c>
      <c r="F36" s="108">
        <v>29.0</v>
      </c>
      <c r="G36" s="108">
        <v>21.0</v>
      </c>
      <c r="H36" s="108">
        <v>20.0</v>
      </c>
      <c r="I36" s="108">
        <v>23.0</v>
      </c>
      <c r="J36" s="108">
        <v>322.0</v>
      </c>
      <c r="K36" s="108">
        <v>85.0</v>
      </c>
      <c r="L36" s="108">
        <v>48.0</v>
      </c>
      <c r="M36" s="108">
        <v>33.0</v>
      </c>
      <c r="N36" s="108">
        <v>27.0</v>
      </c>
      <c r="O36" s="108">
        <v>29.0</v>
      </c>
      <c r="P36" s="108">
        <v>25.0</v>
      </c>
      <c r="Q36" s="108">
        <v>48.0</v>
      </c>
      <c r="R36" s="108">
        <v>44.0</v>
      </c>
      <c r="S36" s="108">
        <v>29.0</v>
      </c>
      <c r="T36" s="108">
        <v>28.0</v>
      </c>
      <c r="U36" s="108">
        <v>20.0</v>
      </c>
      <c r="V36" s="74"/>
      <c r="W36" s="74"/>
      <c r="X36" s="74"/>
      <c r="Y36" s="74"/>
      <c r="Z36" s="74"/>
      <c r="AA36" s="74"/>
      <c r="AB36" s="74"/>
      <c r="AC36" s="74"/>
      <c r="AD36" s="74"/>
      <c r="AE36" s="74"/>
      <c r="AF36" s="74"/>
    </row>
    <row r="37">
      <c r="A37" s="22" t="s">
        <v>111</v>
      </c>
      <c r="B37" s="20">
        <f t="shared" ref="B37:AF37" si="12">B36/B31</f>
        <v>1</v>
      </c>
      <c r="C37" s="20">
        <f t="shared" si="12"/>
        <v>0.9777777778</v>
      </c>
      <c r="D37" s="20">
        <f t="shared" si="12"/>
        <v>1</v>
      </c>
      <c r="E37" s="20">
        <f t="shared" si="12"/>
        <v>0.9655172414</v>
      </c>
      <c r="F37" s="20">
        <f t="shared" si="12"/>
        <v>0.8787878788</v>
      </c>
      <c r="G37" s="20">
        <f t="shared" si="12"/>
        <v>0.9545454545</v>
      </c>
      <c r="H37" s="20">
        <f t="shared" si="12"/>
        <v>0.9090909091</v>
      </c>
      <c r="I37" s="20">
        <f t="shared" si="12"/>
        <v>1</v>
      </c>
      <c r="J37" s="20">
        <f t="shared" si="12"/>
        <v>0.9640718563</v>
      </c>
      <c r="K37" s="20">
        <f t="shared" si="12"/>
        <v>0.9550561798</v>
      </c>
      <c r="L37" s="20">
        <f t="shared" si="12"/>
        <v>0.9411764706</v>
      </c>
      <c r="M37" s="20">
        <f t="shared" si="12"/>
        <v>0.9166666667</v>
      </c>
      <c r="N37" s="20">
        <f t="shared" si="12"/>
        <v>1</v>
      </c>
      <c r="O37" s="20">
        <f t="shared" si="12"/>
        <v>0.935483871</v>
      </c>
      <c r="P37" s="20">
        <f t="shared" si="12"/>
        <v>1</v>
      </c>
      <c r="Q37" s="20">
        <f t="shared" si="12"/>
        <v>0.9795918367</v>
      </c>
      <c r="R37" s="20">
        <f t="shared" si="12"/>
        <v>1</v>
      </c>
      <c r="S37" s="20">
        <f t="shared" si="12"/>
        <v>0.8787878788</v>
      </c>
      <c r="T37" s="20">
        <f t="shared" si="12"/>
        <v>0.9032258065</v>
      </c>
      <c r="U37" s="20">
        <f t="shared" si="12"/>
        <v>0.9523809524</v>
      </c>
      <c r="V37" s="20">
        <f t="shared" si="12"/>
        <v>0</v>
      </c>
      <c r="W37" s="20">
        <f t="shared" si="12"/>
        <v>0</v>
      </c>
      <c r="X37" s="20">
        <f t="shared" si="12"/>
        <v>0</v>
      </c>
      <c r="Y37" s="20">
        <f t="shared" si="12"/>
        <v>0</v>
      </c>
      <c r="Z37" s="20">
        <f t="shared" si="12"/>
        <v>0</v>
      </c>
      <c r="AA37" s="20">
        <f t="shared" si="12"/>
        <v>0</v>
      </c>
      <c r="AB37" s="20">
        <f t="shared" si="12"/>
        <v>0</v>
      </c>
      <c r="AC37" s="20">
        <f t="shared" si="12"/>
        <v>0</v>
      </c>
      <c r="AD37" s="20">
        <f t="shared" si="12"/>
        <v>0</v>
      </c>
      <c r="AE37" s="20">
        <f t="shared" si="12"/>
        <v>0</v>
      </c>
      <c r="AF37" s="20">
        <f t="shared" si="12"/>
        <v>0</v>
      </c>
    </row>
    <row r="40">
      <c r="O40" s="67"/>
      <c r="P40" s="67"/>
      <c r="Q40" s="67"/>
      <c r="R40" s="67"/>
      <c r="S40" s="67"/>
      <c r="T40" s="67"/>
      <c r="U40" s="67"/>
      <c r="V40" s="67"/>
      <c r="W40" s="67"/>
      <c r="X40" s="67"/>
      <c r="Y40" s="67"/>
      <c r="Z40" s="67"/>
      <c r="AA40" s="67"/>
      <c r="AB40" s="67"/>
      <c r="AC40" s="67"/>
      <c r="AD40" s="67"/>
      <c r="AE40" s="67"/>
      <c r="AF40" s="67"/>
    </row>
  </sheetData>
  <mergeCells count="3">
    <mergeCell ref="A9:A10"/>
    <mergeCell ref="B9:I9"/>
    <mergeCell ref="P9:T9"/>
  </mergeCells>
  <conditionalFormatting sqref="B34:AF34">
    <cfRule type="cellIs" dxfId="0" priority="1" operator="equal">
      <formula>1</formula>
    </cfRule>
  </conditionalFormatting>
  <conditionalFormatting sqref="B34:AF34">
    <cfRule type="cellIs" dxfId="1" priority="2" operator="lessThan">
      <formula>1</formula>
    </cfRule>
  </conditionalFormatting>
  <conditionalFormatting sqref="B34:AF34">
    <cfRule type="cellIs" dxfId="2" priority="3" operator="greaterThan">
      <formula>1</formula>
    </cfRule>
  </conditionalFormatting>
  <conditionalFormatting sqref="B21:AF21">
    <cfRule type="cellIs" dxfId="0" priority="4" operator="equal">
      <formula>1</formula>
    </cfRule>
  </conditionalFormatting>
  <conditionalFormatting sqref="B21:AF21">
    <cfRule type="cellIs" dxfId="2" priority="5" operator="greaterThan">
      <formula>1</formula>
    </cfRule>
  </conditionalFormatting>
  <conditionalFormatting sqref="B21:AF21">
    <cfRule type="cellIs" dxfId="1" priority="6" operator="lessThan">
      <formula>1</formula>
    </cfRule>
  </conditionalFormatting>
  <conditionalFormatting sqref="B18:AF18">
    <cfRule type="cellIs" dxfId="0" priority="7" operator="equal">
      <formula>1</formula>
    </cfRule>
  </conditionalFormatting>
  <conditionalFormatting sqref="B18:AF18">
    <cfRule type="cellIs" dxfId="2" priority="8" operator="greaterThan">
      <formula>1</formula>
    </cfRule>
  </conditionalFormatting>
  <conditionalFormatting sqref="B18:AF18">
    <cfRule type="cellIs" dxfId="1" priority="9" operator="lessThan">
      <formula>1</formula>
    </cfRule>
  </conditionalFormatting>
  <conditionalFormatting sqref="B27:AF27">
    <cfRule type="cellIs" dxfId="0" priority="10" operator="equal">
      <formula>1</formula>
    </cfRule>
  </conditionalFormatting>
  <conditionalFormatting sqref="B27:AF27">
    <cfRule type="cellIs" dxfId="2" priority="11" operator="greaterThan">
      <formula>1</formula>
    </cfRule>
  </conditionalFormatting>
  <conditionalFormatting sqref="B27:AF27">
    <cfRule type="cellIs" dxfId="1" priority="12" operator="lessThan">
      <formula>1</formula>
    </cfRule>
  </conditionalFormatting>
  <conditionalFormatting sqref="B37:AF37">
    <cfRule type="cellIs" dxfId="0" priority="13" operator="equal">
      <formula>1</formula>
    </cfRule>
  </conditionalFormatting>
  <conditionalFormatting sqref="B37:AF37">
    <cfRule type="cellIs" dxfId="1" priority="14" operator="lessThan">
      <formula>1</formula>
    </cfRule>
  </conditionalFormatting>
  <conditionalFormatting sqref="B37:AF37">
    <cfRule type="cellIs" dxfId="2" priority="15" operator="greaterThan">
      <formula>1</formula>
    </cfRule>
  </conditionalFormatting>
  <conditionalFormatting sqref="B5:AF5 K32">
    <cfRule type="colorScale" priority="16">
      <colorScale>
        <cfvo type="min"/>
        <cfvo type="max"/>
        <color rgb="FFFFFFFF"/>
        <color rgb="FF57BB8A"/>
      </colorScale>
    </cfRule>
  </conditionalFormatting>
  <conditionalFormatting sqref="P15:AF15">
    <cfRule type="cellIs" dxfId="3" priority="17" operator="greaterThan">
      <formula>1</formula>
    </cfRule>
  </conditionalFormatting>
  <conditionalFormatting sqref="P15:AF15">
    <cfRule type="cellIs" dxfId="0" priority="18" operator="equal">
      <formula>1</formula>
    </cfRule>
  </conditionalFormatting>
  <conditionalFormatting sqref="P15:AF15">
    <cfRule type="cellIs" dxfId="4" priority="19" operator="lessThan">
      <formul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4" width="16.13"/>
  </cols>
  <sheetData>
    <row r="1">
      <c r="A1" s="4" t="s">
        <v>1</v>
      </c>
      <c r="B1" s="6">
        <v>44470.0</v>
      </c>
      <c r="C1" s="6">
        <v>44471.0</v>
      </c>
      <c r="D1" s="6">
        <v>44472.0</v>
      </c>
      <c r="E1" s="6">
        <v>44473.0</v>
      </c>
      <c r="F1" s="6">
        <v>44474.0</v>
      </c>
      <c r="G1" s="6">
        <v>44475.0</v>
      </c>
      <c r="H1" s="6">
        <v>44476.0</v>
      </c>
      <c r="I1" s="6">
        <v>44477.0</v>
      </c>
      <c r="J1" s="6">
        <v>44478.0</v>
      </c>
      <c r="K1" s="6">
        <v>44479.0</v>
      </c>
      <c r="L1" s="6">
        <v>44480.0</v>
      </c>
      <c r="M1" s="6">
        <v>44481.0</v>
      </c>
      <c r="N1" s="6">
        <v>44482.0</v>
      </c>
      <c r="O1" s="6">
        <v>44483.0</v>
      </c>
      <c r="P1" s="6">
        <v>44484.0</v>
      </c>
      <c r="Q1" s="6">
        <v>44485.0</v>
      </c>
      <c r="R1" s="6">
        <v>44486.0</v>
      </c>
      <c r="S1" s="6">
        <v>44487.0</v>
      </c>
      <c r="T1" s="6">
        <v>44488.0</v>
      </c>
      <c r="U1" s="6">
        <v>44489.0</v>
      </c>
      <c r="V1" s="6">
        <v>44490.0</v>
      </c>
      <c r="W1" s="6">
        <v>44491.0</v>
      </c>
      <c r="X1" s="6">
        <v>44492.0</v>
      </c>
      <c r="Y1" s="6">
        <v>44493.0</v>
      </c>
      <c r="Z1" s="6">
        <v>44494.0</v>
      </c>
      <c r="AA1" s="6">
        <v>44495.0</v>
      </c>
      <c r="AB1" s="6">
        <v>44496.0</v>
      </c>
      <c r="AC1" s="6">
        <v>44497.0</v>
      </c>
      <c r="AD1" s="6">
        <v>44498.0</v>
      </c>
      <c r="AE1" s="6">
        <v>44499.0</v>
      </c>
      <c r="AF1" s="16">
        <v>44500.0</v>
      </c>
      <c r="AG1" s="17" t="s">
        <v>23</v>
      </c>
    </row>
    <row r="2">
      <c r="A2" s="18" t="s">
        <v>24</v>
      </c>
      <c r="B2" s="19" t="s">
        <v>25</v>
      </c>
      <c r="C2" s="19" t="s">
        <v>26</v>
      </c>
      <c r="D2" s="19" t="s">
        <v>27</v>
      </c>
      <c r="E2" s="19" t="s">
        <v>28</v>
      </c>
      <c r="F2" s="19" t="s">
        <v>29</v>
      </c>
      <c r="G2" s="19" t="s">
        <v>30</v>
      </c>
      <c r="H2" s="19" t="s">
        <v>31</v>
      </c>
      <c r="I2" s="19" t="s">
        <v>25</v>
      </c>
      <c r="J2" s="19" t="s">
        <v>26</v>
      </c>
      <c r="K2" s="19" t="s">
        <v>27</v>
      </c>
      <c r="L2" s="19" t="s">
        <v>28</v>
      </c>
      <c r="M2" s="19" t="s">
        <v>29</v>
      </c>
      <c r="N2" s="19" t="s">
        <v>30</v>
      </c>
      <c r="O2" s="19" t="s">
        <v>31</v>
      </c>
      <c r="P2" s="19" t="s">
        <v>25</v>
      </c>
      <c r="Q2" s="19" t="s">
        <v>26</v>
      </c>
      <c r="R2" s="19" t="s">
        <v>27</v>
      </c>
      <c r="S2" s="19" t="s">
        <v>28</v>
      </c>
      <c r="T2" s="19" t="s">
        <v>29</v>
      </c>
      <c r="U2" s="19" t="s">
        <v>30</v>
      </c>
      <c r="V2" s="19" t="s">
        <v>31</v>
      </c>
      <c r="W2" s="19" t="s">
        <v>25</v>
      </c>
      <c r="X2" s="19" t="s">
        <v>26</v>
      </c>
      <c r="Y2" s="19" t="s">
        <v>27</v>
      </c>
      <c r="Z2" s="19" t="s">
        <v>28</v>
      </c>
      <c r="AA2" s="19" t="s">
        <v>29</v>
      </c>
      <c r="AB2" s="19" t="s">
        <v>30</v>
      </c>
      <c r="AC2" s="19" t="s">
        <v>31</v>
      </c>
      <c r="AD2" s="19" t="s">
        <v>25</v>
      </c>
      <c r="AE2" s="19" t="s">
        <v>26</v>
      </c>
      <c r="AF2" s="23" t="s">
        <v>27</v>
      </c>
      <c r="AG2" s="24"/>
    </row>
    <row r="3">
      <c r="A3" s="25" t="s">
        <v>39</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7"/>
      <c r="AG3" s="24"/>
    </row>
    <row r="4">
      <c r="A4" s="28" t="s">
        <v>49</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7"/>
      <c r="AG4" s="24"/>
    </row>
    <row r="5">
      <c r="A5" s="29" t="s">
        <v>56</v>
      </c>
      <c r="B5" s="30">
        <v>2.0</v>
      </c>
      <c r="C5" s="30">
        <v>11.0</v>
      </c>
      <c r="D5" s="30">
        <v>11.0</v>
      </c>
      <c r="E5" s="30">
        <v>4.0</v>
      </c>
      <c r="F5" s="30">
        <v>10.0</v>
      </c>
      <c r="G5" s="30">
        <v>5.0</v>
      </c>
      <c r="H5" s="30">
        <v>2.0</v>
      </c>
      <c r="I5" s="30">
        <v>9.0</v>
      </c>
      <c r="J5" s="30">
        <v>27.0</v>
      </c>
      <c r="K5" s="30">
        <v>31.0</v>
      </c>
      <c r="L5" s="30">
        <v>23.0</v>
      </c>
      <c r="M5" s="30">
        <v>9.0</v>
      </c>
      <c r="N5" s="30">
        <v>8.0</v>
      </c>
      <c r="O5" s="30">
        <v>6.0</v>
      </c>
      <c r="P5" s="30">
        <v>2.0</v>
      </c>
      <c r="Q5" s="30">
        <v>15.0</v>
      </c>
      <c r="R5" s="30">
        <v>12.0</v>
      </c>
      <c r="S5" s="33">
        <v>11.0</v>
      </c>
      <c r="T5" s="33">
        <v>3.0</v>
      </c>
      <c r="U5" s="33">
        <v>3.0</v>
      </c>
      <c r="V5" s="33">
        <v>8.0</v>
      </c>
      <c r="W5" s="33">
        <v>9.0</v>
      </c>
      <c r="X5" s="33">
        <v>10.0</v>
      </c>
      <c r="Y5" s="33">
        <v>9.0</v>
      </c>
      <c r="Z5" s="33">
        <v>9.0</v>
      </c>
      <c r="AA5" s="33">
        <v>7.0</v>
      </c>
      <c r="AB5" s="33">
        <v>5.0</v>
      </c>
      <c r="AC5" s="33">
        <v>2.0</v>
      </c>
      <c r="AD5" s="33">
        <v>8.0</v>
      </c>
      <c r="AE5" s="33">
        <v>7.0</v>
      </c>
      <c r="AF5" s="35">
        <v>5.0</v>
      </c>
      <c r="AG5" s="37">
        <f>SUM(B5:AF5)</f>
        <v>283</v>
      </c>
    </row>
    <row r="6">
      <c r="A6" s="27" t="s">
        <v>69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45"/>
      <c r="AG6" s="48">
        <f t="shared" ref="AG6:AG8" si="1">SUM(B6:AE6)</f>
        <v>0</v>
      </c>
    </row>
    <row r="7">
      <c r="A7" s="27" t="s">
        <v>94</v>
      </c>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45"/>
      <c r="AG7" s="48">
        <f t="shared" si="1"/>
        <v>0</v>
      </c>
    </row>
    <row r="8">
      <c r="A8" s="27" t="s">
        <v>103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5"/>
      <c r="AG8" s="48">
        <f t="shared" si="1"/>
        <v>0</v>
      </c>
    </row>
    <row r="9">
      <c r="A9" s="27" t="s">
        <v>119</v>
      </c>
      <c r="B9" s="30">
        <v>18.0</v>
      </c>
      <c r="C9" s="30">
        <v>19.0</v>
      </c>
      <c r="D9" s="30">
        <v>19.0</v>
      </c>
      <c r="E9" s="30">
        <v>8.0</v>
      </c>
      <c r="F9" s="30">
        <v>9.0</v>
      </c>
      <c r="G9" s="30">
        <v>4.0</v>
      </c>
      <c r="H9" s="30">
        <v>9.0</v>
      </c>
      <c r="I9" s="30">
        <v>4.0</v>
      </c>
      <c r="J9" s="30">
        <v>10.0</v>
      </c>
      <c r="K9" s="30">
        <v>9.0</v>
      </c>
      <c r="L9" s="30">
        <v>13.0</v>
      </c>
      <c r="M9" s="30">
        <v>12.0</v>
      </c>
      <c r="N9" s="30">
        <v>2.0</v>
      </c>
      <c r="O9" s="30">
        <v>1.0</v>
      </c>
      <c r="P9" s="30">
        <v>8.0</v>
      </c>
      <c r="Q9" s="30">
        <v>6.0</v>
      </c>
      <c r="R9" s="30">
        <v>17.0</v>
      </c>
      <c r="S9" s="33">
        <v>15.0</v>
      </c>
      <c r="T9" s="33">
        <v>12.0</v>
      </c>
      <c r="U9" s="33">
        <v>5.0</v>
      </c>
      <c r="V9" s="33">
        <v>16.0</v>
      </c>
      <c r="W9" s="33">
        <v>13.0</v>
      </c>
      <c r="X9" s="33">
        <v>11.0</v>
      </c>
      <c r="Y9" s="33">
        <v>9.0</v>
      </c>
      <c r="Z9" s="33">
        <v>7.0</v>
      </c>
      <c r="AA9" s="33">
        <v>7.0</v>
      </c>
      <c r="AB9" s="33">
        <v>8.0</v>
      </c>
      <c r="AC9" s="33">
        <v>4.0</v>
      </c>
      <c r="AD9" s="33">
        <v>12.0</v>
      </c>
      <c r="AE9" s="33">
        <v>18.0</v>
      </c>
      <c r="AF9" s="35">
        <v>15.0</v>
      </c>
      <c r="AG9" s="37">
        <f>SUM(B9:AF9)</f>
        <v>320</v>
      </c>
    </row>
    <row r="10">
      <c r="A10" s="27" t="s">
        <v>142</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45"/>
      <c r="AG10" s="48">
        <f>SUM(B10:AE10)</f>
        <v>0</v>
      </c>
    </row>
    <row r="11">
      <c r="A11" s="27" t="s">
        <v>160</v>
      </c>
      <c r="B11" s="30">
        <v>1.0</v>
      </c>
      <c r="C11" s="30">
        <v>0.0</v>
      </c>
      <c r="D11" s="30">
        <v>1.0</v>
      </c>
      <c r="E11" s="30">
        <v>0.0</v>
      </c>
      <c r="F11" s="30">
        <v>0.0</v>
      </c>
      <c r="G11" s="30">
        <v>0.0</v>
      </c>
      <c r="H11" s="30">
        <v>0.0</v>
      </c>
      <c r="I11" s="30">
        <v>0.0</v>
      </c>
      <c r="J11" s="30">
        <v>36.0</v>
      </c>
      <c r="K11" s="30">
        <v>5.0</v>
      </c>
      <c r="L11" s="30">
        <v>0.0</v>
      </c>
      <c r="M11" s="30">
        <v>0.0</v>
      </c>
      <c r="N11" s="30">
        <v>1.0</v>
      </c>
      <c r="O11" s="30">
        <v>1.0</v>
      </c>
      <c r="P11" s="30">
        <v>0.0</v>
      </c>
      <c r="Q11" s="30">
        <v>1.0</v>
      </c>
      <c r="R11" s="30">
        <v>0.0</v>
      </c>
      <c r="S11" s="33">
        <v>1.0</v>
      </c>
      <c r="T11" s="33">
        <v>0.0</v>
      </c>
      <c r="U11" s="33">
        <v>0.0</v>
      </c>
      <c r="V11" s="33">
        <v>0.0</v>
      </c>
      <c r="W11" s="33">
        <v>2.0</v>
      </c>
      <c r="X11" s="33">
        <v>0.0</v>
      </c>
      <c r="Y11" s="33">
        <v>0.0</v>
      </c>
      <c r="Z11" s="33">
        <v>0.0</v>
      </c>
      <c r="AA11" s="33">
        <v>1.0</v>
      </c>
      <c r="AB11" s="33">
        <v>0.0</v>
      </c>
      <c r="AC11" s="33">
        <v>0.0</v>
      </c>
      <c r="AD11" s="33">
        <v>1.0</v>
      </c>
      <c r="AE11" s="33">
        <v>0.0</v>
      </c>
      <c r="AF11" s="35">
        <v>2.0</v>
      </c>
      <c r="AG11" s="37">
        <f>SUM(B11:AF11)</f>
        <v>53</v>
      </c>
    </row>
    <row r="12">
      <c r="A12" s="27" t="s">
        <v>168</v>
      </c>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7"/>
      <c r="AG12" s="37">
        <f t="shared" ref="AG12:AG14" si="2">SUM(B12:AE12)</f>
        <v>0</v>
      </c>
    </row>
    <row r="13">
      <c r="A13" s="58" t="s">
        <v>176</v>
      </c>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61"/>
      <c r="AG13" s="63">
        <f t="shared" si="2"/>
        <v>0</v>
      </c>
      <c r="AH13" s="65"/>
    </row>
    <row r="14">
      <c r="A14" s="27" t="s">
        <v>23</v>
      </c>
      <c r="B14" s="66">
        <f t="shared" ref="B14:AF14" si="3">SUM(B5:B13)</f>
        <v>21</v>
      </c>
      <c r="C14" s="66">
        <f t="shared" si="3"/>
        <v>30</v>
      </c>
      <c r="D14" s="66">
        <f t="shared" si="3"/>
        <v>31</v>
      </c>
      <c r="E14" s="66">
        <f t="shared" si="3"/>
        <v>12</v>
      </c>
      <c r="F14" s="66">
        <f t="shared" si="3"/>
        <v>19</v>
      </c>
      <c r="G14" s="66">
        <f t="shared" si="3"/>
        <v>9</v>
      </c>
      <c r="H14" s="66">
        <f t="shared" si="3"/>
        <v>11</v>
      </c>
      <c r="I14" s="66">
        <f t="shared" si="3"/>
        <v>13</v>
      </c>
      <c r="J14" s="66">
        <f t="shared" si="3"/>
        <v>73</v>
      </c>
      <c r="K14" s="66">
        <f t="shared" si="3"/>
        <v>45</v>
      </c>
      <c r="L14" s="66">
        <f t="shared" si="3"/>
        <v>36</v>
      </c>
      <c r="M14" s="66">
        <f t="shared" si="3"/>
        <v>21</v>
      </c>
      <c r="N14" s="66">
        <f t="shared" si="3"/>
        <v>11</v>
      </c>
      <c r="O14" s="66">
        <f t="shared" si="3"/>
        <v>8</v>
      </c>
      <c r="P14" s="66">
        <f t="shared" si="3"/>
        <v>10</v>
      </c>
      <c r="Q14" s="66">
        <f t="shared" si="3"/>
        <v>22</v>
      </c>
      <c r="R14" s="66">
        <f t="shared" si="3"/>
        <v>29</v>
      </c>
      <c r="S14" s="66">
        <f t="shared" si="3"/>
        <v>27</v>
      </c>
      <c r="T14" s="66">
        <f t="shared" si="3"/>
        <v>15</v>
      </c>
      <c r="U14" s="66">
        <f t="shared" si="3"/>
        <v>8</v>
      </c>
      <c r="V14" s="66">
        <f t="shared" si="3"/>
        <v>24</v>
      </c>
      <c r="W14" s="66">
        <f t="shared" si="3"/>
        <v>24</v>
      </c>
      <c r="X14" s="66">
        <f t="shared" si="3"/>
        <v>21</v>
      </c>
      <c r="Y14" s="66">
        <f t="shared" si="3"/>
        <v>18</v>
      </c>
      <c r="Z14" s="66">
        <f t="shared" si="3"/>
        <v>16</v>
      </c>
      <c r="AA14" s="66">
        <f t="shared" si="3"/>
        <v>15</v>
      </c>
      <c r="AB14" s="66">
        <f t="shared" si="3"/>
        <v>13</v>
      </c>
      <c r="AC14" s="66">
        <f t="shared" si="3"/>
        <v>6</v>
      </c>
      <c r="AD14" s="66">
        <f t="shared" si="3"/>
        <v>21</v>
      </c>
      <c r="AE14" s="66">
        <f t="shared" si="3"/>
        <v>25</v>
      </c>
      <c r="AF14" s="70">
        <f t="shared" si="3"/>
        <v>22</v>
      </c>
      <c r="AG14" s="48">
        <f t="shared" si="2"/>
        <v>634</v>
      </c>
    </row>
    <row r="15">
      <c r="A15" s="27"/>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7"/>
      <c r="AG15" s="24"/>
    </row>
    <row r="16">
      <c r="A16" s="71" t="s">
        <v>216</v>
      </c>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7"/>
      <c r="AG16" s="24"/>
    </row>
    <row r="17">
      <c r="A17" s="29" t="s">
        <v>56</v>
      </c>
      <c r="B17" s="73">
        <v>412.0</v>
      </c>
      <c r="C17" s="73">
        <v>2509.0</v>
      </c>
      <c r="D17" s="73">
        <v>2800.0</v>
      </c>
      <c r="E17" s="73">
        <v>1480.0</v>
      </c>
      <c r="F17" s="73">
        <v>2788.0</v>
      </c>
      <c r="G17" s="73">
        <v>1298.0</v>
      </c>
      <c r="H17" s="73">
        <v>481.0</v>
      </c>
      <c r="I17" s="73">
        <v>2271.0</v>
      </c>
      <c r="J17" s="73">
        <v>7102.0</v>
      </c>
      <c r="K17" s="73">
        <v>8189.0</v>
      </c>
      <c r="L17" s="77">
        <v>6056.0</v>
      </c>
      <c r="M17" s="73">
        <v>2429.0</v>
      </c>
      <c r="N17" s="73">
        <v>1983.0</v>
      </c>
      <c r="O17" s="73">
        <v>1472.0</v>
      </c>
      <c r="P17" s="73">
        <v>635.0</v>
      </c>
      <c r="Q17" s="73">
        <v>4082.0</v>
      </c>
      <c r="R17" s="77">
        <v>2929.0</v>
      </c>
      <c r="S17" s="79">
        <v>2685.0</v>
      </c>
      <c r="T17" s="79">
        <v>802.0</v>
      </c>
      <c r="U17" s="80">
        <v>937.0</v>
      </c>
      <c r="V17" s="79">
        <v>1871.0</v>
      </c>
      <c r="W17" s="79">
        <v>2149.0</v>
      </c>
      <c r="X17" s="79">
        <v>2701.0</v>
      </c>
      <c r="Y17" s="79">
        <v>2536.0</v>
      </c>
      <c r="Z17" s="79">
        <v>2504.0</v>
      </c>
      <c r="AA17" s="79">
        <v>1758.0</v>
      </c>
      <c r="AB17" s="79">
        <v>1220.0</v>
      </c>
      <c r="AC17" s="79">
        <v>438.0</v>
      </c>
      <c r="AD17" s="79">
        <v>2027.0</v>
      </c>
      <c r="AE17" s="79">
        <v>1686.0</v>
      </c>
      <c r="AF17" s="81">
        <v>1257.0</v>
      </c>
      <c r="AG17" s="83">
        <f>SUM(B17:AF17)</f>
        <v>73487</v>
      </c>
    </row>
    <row r="18">
      <c r="A18" s="27" t="s">
        <v>69</v>
      </c>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5"/>
      <c r="AG18" s="83">
        <f t="shared" ref="AG18:AG20" si="4">SUM(B18:AE18)</f>
        <v>0</v>
      </c>
    </row>
    <row r="19">
      <c r="A19" s="27" t="s">
        <v>94</v>
      </c>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5"/>
      <c r="AG19" s="83">
        <f t="shared" si="4"/>
        <v>0</v>
      </c>
    </row>
    <row r="20">
      <c r="A20" s="27" t="s">
        <v>103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5"/>
      <c r="AG20" s="83">
        <f t="shared" si="4"/>
        <v>0</v>
      </c>
    </row>
    <row r="21">
      <c r="A21" s="27" t="s">
        <v>119</v>
      </c>
      <c r="B21" s="73">
        <v>4739.0</v>
      </c>
      <c r="C21" s="73">
        <v>5207.0</v>
      </c>
      <c r="D21" s="73">
        <v>4697.0</v>
      </c>
      <c r="E21" s="73">
        <v>1977.0</v>
      </c>
      <c r="F21" s="73">
        <v>2286.0</v>
      </c>
      <c r="G21" s="73">
        <v>996.0</v>
      </c>
      <c r="H21" s="73">
        <v>2074.0</v>
      </c>
      <c r="I21" s="73">
        <v>1095.66</v>
      </c>
      <c r="J21" s="73">
        <v>2426.99</v>
      </c>
      <c r="K21" s="73">
        <v>2179.99</v>
      </c>
      <c r="L21" s="73">
        <v>3751.64</v>
      </c>
      <c r="M21" s="73">
        <v>2910.29</v>
      </c>
      <c r="N21" s="73">
        <v>602.54</v>
      </c>
      <c r="O21" s="73">
        <v>212.8</v>
      </c>
      <c r="P21" s="73">
        <v>3672.05</v>
      </c>
      <c r="Q21" s="73">
        <v>1852.13</v>
      </c>
      <c r="R21" s="92">
        <v>3699.9</v>
      </c>
      <c r="S21" s="80">
        <v>3650.84</v>
      </c>
      <c r="T21" s="80">
        <v>2732.72</v>
      </c>
      <c r="U21" s="80">
        <v>1134.57</v>
      </c>
      <c r="V21" s="79">
        <v>5569.17</v>
      </c>
      <c r="W21" s="79">
        <v>3236.06</v>
      </c>
      <c r="X21" s="79">
        <v>2862.2</v>
      </c>
      <c r="Y21" s="79">
        <v>2074.1</v>
      </c>
      <c r="Z21" s="79">
        <v>1459.6</v>
      </c>
      <c r="AA21" s="79">
        <v>1681.58</v>
      </c>
      <c r="AB21" s="79">
        <v>2436.9</v>
      </c>
      <c r="AC21" s="79">
        <v>926.25</v>
      </c>
      <c r="AD21" s="79">
        <v>3040.55</v>
      </c>
      <c r="AE21" s="79">
        <v>4239.43</v>
      </c>
      <c r="AF21" s="81">
        <v>3740.25</v>
      </c>
      <c r="AG21" s="83">
        <f>SUM(B21:AF21)</f>
        <v>83164.21</v>
      </c>
    </row>
    <row r="22">
      <c r="A22" s="27" t="s">
        <v>142</v>
      </c>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5"/>
      <c r="AG22" s="83">
        <f>SUM(B22:AE22)</f>
        <v>0</v>
      </c>
    </row>
    <row r="23">
      <c r="A23" s="27" t="s">
        <v>334</v>
      </c>
      <c r="B23" s="73">
        <v>206.0</v>
      </c>
      <c r="C23" s="73">
        <v>0.0</v>
      </c>
      <c r="D23" s="73">
        <v>224.0</v>
      </c>
      <c r="E23" s="73">
        <v>0.0</v>
      </c>
      <c r="F23" s="73">
        <v>0.0</v>
      </c>
      <c r="G23" s="73">
        <v>0.0</v>
      </c>
      <c r="H23" s="73">
        <v>0.0</v>
      </c>
      <c r="I23" s="73">
        <v>0.0</v>
      </c>
      <c r="J23" s="73">
        <v>10135.0</v>
      </c>
      <c r="K23" s="73">
        <v>1375.0</v>
      </c>
      <c r="L23" s="73">
        <v>0.0</v>
      </c>
      <c r="M23" s="73">
        <v>0.0</v>
      </c>
      <c r="N23" s="73">
        <v>216.0</v>
      </c>
      <c r="O23" s="73">
        <v>216.0</v>
      </c>
      <c r="P23" s="73">
        <v>0.0</v>
      </c>
      <c r="Q23" s="73">
        <v>287.0</v>
      </c>
      <c r="R23" s="73">
        <v>0.0</v>
      </c>
      <c r="S23" s="79">
        <v>275.0</v>
      </c>
      <c r="T23" s="79">
        <v>0.0</v>
      </c>
      <c r="U23" s="79">
        <v>0.0</v>
      </c>
      <c r="V23" s="79">
        <v>0.0</v>
      </c>
      <c r="W23" s="79">
        <v>497.0</v>
      </c>
      <c r="X23" s="79">
        <v>0.0</v>
      </c>
      <c r="Y23" s="79">
        <v>0.0</v>
      </c>
      <c r="Z23" s="79">
        <v>0.0</v>
      </c>
      <c r="AA23" s="79">
        <v>219.0</v>
      </c>
      <c r="AB23" s="79">
        <v>0.0</v>
      </c>
      <c r="AC23" s="79">
        <v>0.0</v>
      </c>
      <c r="AD23" s="79">
        <v>263.0</v>
      </c>
      <c r="AE23" s="79">
        <v>0.0</v>
      </c>
      <c r="AF23" s="81">
        <v>479.0</v>
      </c>
      <c r="AG23" s="83">
        <f>SUM(B23:AF23)</f>
        <v>14392</v>
      </c>
    </row>
    <row r="24">
      <c r="A24" s="27" t="s">
        <v>168</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5"/>
      <c r="AG24" s="83">
        <f t="shared" ref="AG24:AG26" si="5">SUM(B24:AE24)</f>
        <v>0</v>
      </c>
    </row>
    <row r="25">
      <c r="A25" s="58" t="s">
        <v>176</v>
      </c>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3"/>
      <c r="AG25" s="104">
        <f t="shared" si="5"/>
        <v>0</v>
      </c>
      <c r="AH25" s="65"/>
    </row>
    <row r="26">
      <c r="A26" s="27" t="s">
        <v>23</v>
      </c>
      <c r="B26" s="106">
        <f t="shared" ref="B26:AF26" si="6">SUM(B17:B25)</f>
        <v>5357</v>
      </c>
      <c r="C26" s="106">
        <f t="shared" si="6"/>
        <v>7716</v>
      </c>
      <c r="D26" s="106">
        <f t="shared" si="6"/>
        <v>7721</v>
      </c>
      <c r="E26" s="106">
        <f t="shared" si="6"/>
        <v>3457</v>
      </c>
      <c r="F26" s="106">
        <f t="shared" si="6"/>
        <v>5074</v>
      </c>
      <c r="G26" s="106">
        <f t="shared" si="6"/>
        <v>2294</v>
      </c>
      <c r="H26" s="106">
        <f t="shared" si="6"/>
        <v>2555</v>
      </c>
      <c r="I26" s="106">
        <f t="shared" si="6"/>
        <v>3366.66</v>
      </c>
      <c r="J26" s="106">
        <f t="shared" si="6"/>
        <v>19663.99</v>
      </c>
      <c r="K26" s="106">
        <f t="shared" si="6"/>
        <v>11743.99</v>
      </c>
      <c r="L26" s="106">
        <f t="shared" si="6"/>
        <v>9807.64</v>
      </c>
      <c r="M26" s="106">
        <f t="shared" si="6"/>
        <v>5339.29</v>
      </c>
      <c r="N26" s="106">
        <f t="shared" si="6"/>
        <v>2801.54</v>
      </c>
      <c r="O26" s="106">
        <f t="shared" si="6"/>
        <v>1900.8</v>
      </c>
      <c r="P26" s="106">
        <f t="shared" si="6"/>
        <v>4307.05</v>
      </c>
      <c r="Q26" s="106">
        <f t="shared" si="6"/>
        <v>6221.13</v>
      </c>
      <c r="R26" s="106">
        <f t="shared" si="6"/>
        <v>6628.9</v>
      </c>
      <c r="S26" s="106">
        <f t="shared" si="6"/>
        <v>6610.84</v>
      </c>
      <c r="T26" s="106">
        <f t="shared" si="6"/>
        <v>3534.72</v>
      </c>
      <c r="U26" s="106">
        <f t="shared" si="6"/>
        <v>2071.57</v>
      </c>
      <c r="V26" s="106">
        <f t="shared" si="6"/>
        <v>7440.17</v>
      </c>
      <c r="W26" s="106">
        <f t="shared" si="6"/>
        <v>5882.06</v>
      </c>
      <c r="X26" s="106">
        <f t="shared" si="6"/>
        <v>5563.2</v>
      </c>
      <c r="Y26" s="106">
        <f t="shared" si="6"/>
        <v>4610.1</v>
      </c>
      <c r="Z26" s="106">
        <f t="shared" si="6"/>
        <v>3963.6</v>
      </c>
      <c r="AA26" s="106">
        <f t="shared" si="6"/>
        <v>3658.58</v>
      </c>
      <c r="AB26" s="106">
        <f t="shared" si="6"/>
        <v>3656.9</v>
      </c>
      <c r="AC26" s="106">
        <f t="shared" si="6"/>
        <v>1364.25</v>
      </c>
      <c r="AD26" s="106">
        <f t="shared" si="6"/>
        <v>5330.55</v>
      </c>
      <c r="AE26" s="106">
        <f t="shared" si="6"/>
        <v>5925.43</v>
      </c>
      <c r="AF26" s="110">
        <f t="shared" si="6"/>
        <v>5476.25</v>
      </c>
      <c r="AG26" s="111">
        <f t="shared" si="5"/>
        <v>165566.96</v>
      </c>
    </row>
    <row r="27">
      <c r="A27" s="27"/>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7"/>
      <c r="AG27" s="113"/>
    </row>
    <row r="28">
      <c r="A28" s="114" t="s">
        <v>364</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7"/>
      <c r="AG28" s="113"/>
    </row>
    <row r="29">
      <c r="A29" s="29" t="s">
        <v>365</v>
      </c>
      <c r="B29" s="73">
        <v>41.01</v>
      </c>
      <c r="C29" s="73">
        <v>65.55</v>
      </c>
      <c r="D29" s="73">
        <v>54.81</v>
      </c>
      <c r="E29" s="73">
        <v>46.74</v>
      </c>
      <c r="F29" s="73">
        <v>154.83</v>
      </c>
      <c r="G29" s="73">
        <v>167.87</v>
      </c>
      <c r="H29" s="73">
        <v>124.85</v>
      </c>
      <c r="I29" s="73">
        <v>186.66</v>
      </c>
      <c r="J29" s="73">
        <v>2187.48</v>
      </c>
      <c r="K29" s="73">
        <v>1020.78</v>
      </c>
      <c r="L29" s="77">
        <v>451.7</v>
      </c>
      <c r="M29" s="73">
        <v>223.39</v>
      </c>
      <c r="N29" s="73">
        <v>259.05</v>
      </c>
      <c r="O29" s="73">
        <v>198.01</v>
      </c>
      <c r="P29" s="73">
        <v>206.53</v>
      </c>
      <c r="Q29" s="73">
        <v>330.57</v>
      </c>
      <c r="R29" s="77">
        <v>467.23</v>
      </c>
      <c r="S29" s="79">
        <v>195.86</v>
      </c>
      <c r="T29" s="79">
        <v>179.37</v>
      </c>
      <c r="U29" s="80">
        <v>218.64</v>
      </c>
      <c r="V29" s="116">
        <f>Sales!V12</f>
        <v>182.78</v>
      </c>
      <c r="W29" s="116">
        <f>Sales!W12</f>
        <v>182.62</v>
      </c>
      <c r="X29" s="116">
        <f>Sales!X12</f>
        <v>185.5</v>
      </c>
      <c r="Y29" s="116">
        <f>Sales!Y12</f>
        <v>183.33</v>
      </c>
      <c r="Z29" s="116">
        <f>Sales!Z12</f>
        <v>134.14</v>
      </c>
      <c r="AA29" s="116">
        <f>Sales!AA12</f>
        <v>128.61</v>
      </c>
      <c r="AB29" s="116">
        <f>Sales!AB12</f>
        <v>112.6</v>
      </c>
      <c r="AC29" s="116">
        <f>Sales!AC12</f>
        <v>123.69</v>
      </c>
      <c r="AD29" s="116">
        <f>Sales!AD12</f>
        <v>111.63</v>
      </c>
      <c r="AE29" s="116">
        <f>Sales!AE12</f>
        <v>140.2</v>
      </c>
      <c r="AF29" s="117">
        <f>Sales!AF12</f>
        <v>149.52</v>
      </c>
      <c r="AG29" s="83">
        <f t="shared" ref="AG29:AG44" si="7">SUM(B29:AE29)</f>
        <v>8266.03</v>
      </c>
    </row>
    <row r="30">
      <c r="A30" s="27" t="s">
        <v>368</v>
      </c>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5"/>
      <c r="AG30" s="83">
        <f t="shared" si="7"/>
        <v>0</v>
      </c>
    </row>
    <row r="31">
      <c r="A31" s="27" t="s">
        <v>370</v>
      </c>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5"/>
      <c r="AG31" s="83">
        <f t="shared" si="7"/>
        <v>0</v>
      </c>
    </row>
    <row r="32">
      <c r="A32" s="27" t="s">
        <v>371</v>
      </c>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5"/>
      <c r="AG32" s="83">
        <f t="shared" si="7"/>
        <v>0</v>
      </c>
    </row>
    <row r="33">
      <c r="A33" s="27" t="s">
        <v>374</v>
      </c>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5"/>
      <c r="AG33" s="83">
        <f t="shared" si="7"/>
        <v>0</v>
      </c>
    </row>
    <row r="34">
      <c r="A34" s="27" t="s">
        <v>376</v>
      </c>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5"/>
      <c r="AG34" s="83">
        <f t="shared" si="7"/>
        <v>0</v>
      </c>
    </row>
    <row r="35">
      <c r="A35" s="27" t="s">
        <v>378</v>
      </c>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5"/>
      <c r="AG35" s="83">
        <f t="shared" si="7"/>
        <v>0</v>
      </c>
    </row>
    <row r="36">
      <c r="A36" s="27" t="s">
        <v>379</v>
      </c>
      <c r="B36" s="73">
        <v>1347.74</v>
      </c>
      <c r="C36" s="73">
        <v>1974.88</v>
      </c>
      <c r="D36" s="73">
        <v>2341.3</v>
      </c>
      <c r="E36" s="73">
        <v>1722.07</v>
      </c>
      <c r="F36" s="73">
        <v>2098.14</v>
      </c>
      <c r="G36" s="73">
        <v>1534.35</v>
      </c>
      <c r="H36" s="73">
        <v>1179.45</v>
      </c>
      <c r="I36" s="73">
        <v>1487.15</v>
      </c>
      <c r="J36" s="73">
        <v>1747.78</v>
      </c>
      <c r="K36" s="73">
        <v>1696.28</v>
      </c>
      <c r="L36" s="73">
        <v>1604.65</v>
      </c>
      <c r="M36" s="73">
        <v>1967.38</v>
      </c>
      <c r="N36" s="73">
        <v>1748.89</v>
      </c>
      <c r="O36" s="73">
        <v>1722.92</v>
      </c>
      <c r="P36" s="73">
        <v>1757.94</v>
      </c>
      <c r="Q36" s="73">
        <v>2217.5</v>
      </c>
      <c r="R36" s="73">
        <v>2337.64</v>
      </c>
      <c r="S36" s="80">
        <v>2188.64</v>
      </c>
      <c r="T36" s="80">
        <v>1651.01</v>
      </c>
      <c r="U36" s="80">
        <v>1938.13</v>
      </c>
      <c r="V36" s="116">
        <f>Formula!D23</f>
        <v>1941.544452</v>
      </c>
      <c r="W36" s="116">
        <f>Formula!D24</f>
        <v>3286.298586</v>
      </c>
      <c r="X36" s="116">
        <f>Formula!D25</f>
        <v>1942.77904</v>
      </c>
      <c r="Y36" s="116">
        <f>Formula!D26</f>
        <v>2092.487185</v>
      </c>
      <c r="Z36" s="116">
        <f>Formula!D27</f>
        <v>2065.46472</v>
      </c>
      <c r="AA36" s="116">
        <f>Formula!D28</f>
        <v>1721.084065</v>
      </c>
      <c r="AB36" s="116">
        <f>Formula!D29</f>
        <v>1605.344381</v>
      </c>
      <c r="AC36" s="116">
        <f>Formula!D30</f>
        <v>1712.488106</v>
      </c>
      <c r="AD36" s="116">
        <f>Formula!D31</f>
        <v>2588.306715</v>
      </c>
      <c r="AE36" s="116">
        <f>Formula!D32</f>
        <v>3725.823238</v>
      </c>
      <c r="AF36" s="117">
        <f>Formula!D33</f>
        <v>3391.353897</v>
      </c>
      <c r="AG36" s="83">
        <f t="shared" si="7"/>
        <v>58945.46049</v>
      </c>
    </row>
    <row r="37">
      <c r="A37" s="27" t="s">
        <v>382</v>
      </c>
      <c r="B37" s="73">
        <v>8.73</v>
      </c>
      <c r="C37" s="73">
        <v>1.75</v>
      </c>
      <c r="D37" s="73">
        <v>7.81</v>
      </c>
      <c r="E37" s="73">
        <v>10.56</v>
      </c>
      <c r="F37" s="73">
        <v>6.83</v>
      </c>
      <c r="G37" s="73">
        <v>5.35</v>
      </c>
      <c r="H37" s="73">
        <v>5.09</v>
      </c>
      <c r="I37" s="73">
        <v>17.35</v>
      </c>
      <c r="J37" s="73">
        <v>252.07</v>
      </c>
      <c r="K37" s="73">
        <v>69.6</v>
      </c>
      <c r="L37" s="77">
        <v>40.79</v>
      </c>
      <c r="M37" s="73">
        <v>21.82</v>
      </c>
      <c r="N37" s="73">
        <v>11.82</v>
      </c>
      <c r="O37" s="73">
        <v>7.92</v>
      </c>
      <c r="P37" s="73">
        <v>8.01</v>
      </c>
      <c r="Q37" s="73">
        <v>8.08</v>
      </c>
      <c r="R37" s="73">
        <v>15.47</v>
      </c>
      <c r="S37" s="80">
        <v>10.62</v>
      </c>
      <c r="T37" s="80">
        <v>8.18</v>
      </c>
      <c r="U37" s="80">
        <v>5.53</v>
      </c>
      <c r="V37" s="116">
        <f>Sales!V13</f>
        <v>9.54</v>
      </c>
      <c r="W37" s="116">
        <f>Sales!W13</f>
        <v>9.48</v>
      </c>
      <c r="X37" s="116">
        <f>Sales!X13</f>
        <v>7.71</v>
      </c>
      <c r="Y37" s="116">
        <f>Sales!Y13</f>
        <v>12.34</v>
      </c>
      <c r="Z37" s="116">
        <f>Sales!Z13</f>
        <v>8.62</v>
      </c>
      <c r="AA37" s="116">
        <f>Sales!AA13</f>
        <v>10.63</v>
      </c>
      <c r="AB37" s="116">
        <f>Sales!AB13</f>
        <v>3.53</v>
      </c>
      <c r="AC37" s="116">
        <f>Sales!AC13</f>
        <v>6.12</v>
      </c>
      <c r="AD37" s="116">
        <f>Sales!AD13</f>
        <v>9.11</v>
      </c>
      <c r="AE37" s="116">
        <f>Sales!AE13</f>
        <v>11.04</v>
      </c>
      <c r="AF37" s="117">
        <f>Sales!AF13</f>
        <v>7.25</v>
      </c>
      <c r="AG37" s="83">
        <f t="shared" si="7"/>
        <v>611.5</v>
      </c>
    </row>
    <row r="38">
      <c r="A38" s="27" t="s">
        <v>385</v>
      </c>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5"/>
      <c r="AG38" s="83">
        <f t="shared" si="7"/>
        <v>0</v>
      </c>
    </row>
    <row r="39">
      <c r="A39" s="29" t="s">
        <v>386</v>
      </c>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5"/>
      <c r="AG39" s="83">
        <f t="shared" si="7"/>
        <v>0</v>
      </c>
    </row>
    <row r="40">
      <c r="A40" s="27" t="s">
        <v>387</v>
      </c>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5"/>
      <c r="AG40" s="83">
        <f t="shared" si="7"/>
        <v>0</v>
      </c>
    </row>
    <row r="41">
      <c r="A41" s="27" t="s">
        <v>388</v>
      </c>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5"/>
      <c r="AG41" s="83">
        <f t="shared" si="7"/>
        <v>0</v>
      </c>
    </row>
    <row r="42">
      <c r="A42" s="27" t="s">
        <v>389</v>
      </c>
      <c r="B42" s="122">
        <f t="shared" ref="B42:AF42" si="8">B26*0.026</f>
        <v>139.282</v>
      </c>
      <c r="C42" s="122">
        <f t="shared" si="8"/>
        <v>200.616</v>
      </c>
      <c r="D42" s="122">
        <f t="shared" si="8"/>
        <v>200.746</v>
      </c>
      <c r="E42" s="122">
        <f t="shared" si="8"/>
        <v>89.882</v>
      </c>
      <c r="F42" s="122">
        <f t="shared" si="8"/>
        <v>131.924</v>
      </c>
      <c r="G42" s="122">
        <f t="shared" si="8"/>
        <v>59.644</v>
      </c>
      <c r="H42" s="122">
        <f t="shared" si="8"/>
        <v>66.43</v>
      </c>
      <c r="I42" s="122">
        <f t="shared" si="8"/>
        <v>87.53316</v>
      </c>
      <c r="J42" s="122">
        <f t="shared" si="8"/>
        <v>511.26374</v>
      </c>
      <c r="K42" s="122">
        <f t="shared" si="8"/>
        <v>305.34374</v>
      </c>
      <c r="L42" s="122">
        <f t="shared" si="8"/>
        <v>254.99864</v>
      </c>
      <c r="M42" s="122">
        <f t="shared" si="8"/>
        <v>138.82154</v>
      </c>
      <c r="N42" s="122">
        <f t="shared" si="8"/>
        <v>72.84004</v>
      </c>
      <c r="O42" s="122">
        <f t="shared" si="8"/>
        <v>49.4208</v>
      </c>
      <c r="P42" s="122">
        <f t="shared" si="8"/>
        <v>111.9833</v>
      </c>
      <c r="Q42" s="122">
        <f t="shared" si="8"/>
        <v>161.74938</v>
      </c>
      <c r="R42" s="122">
        <f t="shared" si="8"/>
        <v>172.3514</v>
      </c>
      <c r="S42" s="122">
        <f t="shared" si="8"/>
        <v>171.88184</v>
      </c>
      <c r="T42" s="122">
        <f t="shared" si="8"/>
        <v>91.90272</v>
      </c>
      <c r="U42" s="122">
        <f t="shared" si="8"/>
        <v>53.86082</v>
      </c>
      <c r="V42" s="122">
        <f t="shared" si="8"/>
        <v>193.44442</v>
      </c>
      <c r="W42" s="122">
        <f t="shared" si="8"/>
        <v>152.93356</v>
      </c>
      <c r="X42" s="122">
        <f t="shared" si="8"/>
        <v>144.6432</v>
      </c>
      <c r="Y42" s="122">
        <f t="shared" si="8"/>
        <v>119.8626</v>
      </c>
      <c r="Z42" s="122">
        <f t="shared" si="8"/>
        <v>103.0536</v>
      </c>
      <c r="AA42" s="122">
        <f t="shared" si="8"/>
        <v>95.12308</v>
      </c>
      <c r="AB42" s="122">
        <f t="shared" si="8"/>
        <v>95.0794</v>
      </c>
      <c r="AC42" s="122">
        <f t="shared" si="8"/>
        <v>35.4705</v>
      </c>
      <c r="AD42" s="122">
        <f t="shared" si="8"/>
        <v>138.5943</v>
      </c>
      <c r="AE42" s="122">
        <f t="shared" si="8"/>
        <v>154.06118</v>
      </c>
      <c r="AF42" s="128">
        <f t="shared" si="8"/>
        <v>142.3825</v>
      </c>
      <c r="AG42" s="83">
        <f t="shared" si="7"/>
        <v>4304.74096</v>
      </c>
    </row>
    <row r="43">
      <c r="A43" s="129" t="s">
        <v>394</v>
      </c>
      <c r="B43" s="130">
        <f t="shared" ref="B43:AF43" si="9">B14*0.3</f>
        <v>6.3</v>
      </c>
      <c r="C43" s="130">
        <f t="shared" si="9"/>
        <v>9</v>
      </c>
      <c r="D43" s="130">
        <f t="shared" si="9"/>
        <v>9.3</v>
      </c>
      <c r="E43" s="130">
        <f t="shared" si="9"/>
        <v>3.6</v>
      </c>
      <c r="F43" s="130">
        <f t="shared" si="9"/>
        <v>5.7</v>
      </c>
      <c r="G43" s="130">
        <f t="shared" si="9"/>
        <v>2.7</v>
      </c>
      <c r="H43" s="130">
        <f t="shared" si="9"/>
        <v>3.3</v>
      </c>
      <c r="I43" s="130">
        <f t="shared" si="9"/>
        <v>3.9</v>
      </c>
      <c r="J43" s="130">
        <f t="shared" si="9"/>
        <v>21.9</v>
      </c>
      <c r="K43" s="130">
        <f t="shared" si="9"/>
        <v>13.5</v>
      </c>
      <c r="L43" s="130">
        <f t="shared" si="9"/>
        <v>10.8</v>
      </c>
      <c r="M43" s="130">
        <f t="shared" si="9"/>
        <v>6.3</v>
      </c>
      <c r="N43" s="130">
        <f t="shared" si="9"/>
        <v>3.3</v>
      </c>
      <c r="O43" s="130">
        <f t="shared" si="9"/>
        <v>2.4</v>
      </c>
      <c r="P43" s="130">
        <f t="shared" si="9"/>
        <v>3</v>
      </c>
      <c r="Q43" s="130">
        <f t="shared" si="9"/>
        <v>6.6</v>
      </c>
      <c r="R43" s="130">
        <f t="shared" si="9"/>
        <v>8.7</v>
      </c>
      <c r="S43" s="130">
        <f t="shared" si="9"/>
        <v>8.1</v>
      </c>
      <c r="T43" s="130">
        <f t="shared" si="9"/>
        <v>4.5</v>
      </c>
      <c r="U43" s="130">
        <f t="shared" si="9"/>
        <v>2.4</v>
      </c>
      <c r="V43" s="130">
        <f t="shared" si="9"/>
        <v>7.2</v>
      </c>
      <c r="W43" s="130">
        <f t="shared" si="9"/>
        <v>7.2</v>
      </c>
      <c r="X43" s="130">
        <f t="shared" si="9"/>
        <v>6.3</v>
      </c>
      <c r="Y43" s="130">
        <f t="shared" si="9"/>
        <v>5.4</v>
      </c>
      <c r="Z43" s="130">
        <f t="shared" si="9"/>
        <v>4.8</v>
      </c>
      <c r="AA43" s="130">
        <f t="shared" si="9"/>
        <v>4.5</v>
      </c>
      <c r="AB43" s="130">
        <f t="shared" si="9"/>
        <v>3.9</v>
      </c>
      <c r="AC43" s="130">
        <f t="shared" si="9"/>
        <v>1.8</v>
      </c>
      <c r="AD43" s="130">
        <f t="shared" si="9"/>
        <v>6.3</v>
      </c>
      <c r="AE43" s="130">
        <f t="shared" si="9"/>
        <v>7.5</v>
      </c>
      <c r="AF43" s="134">
        <f t="shared" si="9"/>
        <v>6.6</v>
      </c>
      <c r="AG43" s="104">
        <f t="shared" si="7"/>
        <v>190.2</v>
      </c>
      <c r="AH43" s="65"/>
    </row>
    <row r="44">
      <c r="A44" s="27" t="s">
        <v>23</v>
      </c>
      <c r="B44" s="106">
        <f t="shared" ref="B44:AF44" si="10">SUM(B29:B43)</f>
        <v>1543.062</v>
      </c>
      <c r="C44" s="106">
        <f t="shared" si="10"/>
        <v>2251.796</v>
      </c>
      <c r="D44" s="106">
        <f t="shared" si="10"/>
        <v>2613.966</v>
      </c>
      <c r="E44" s="106">
        <f t="shared" si="10"/>
        <v>1872.852</v>
      </c>
      <c r="F44" s="106">
        <f t="shared" si="10"/>
        <v>2397.424</v>
      </c>
      <c r="G44" s="106">
        <f t="shared" si="10"/>
        <v>1769.914</v>
      </c>
      <c r="H44" s="106">
        <f t="shared" si="10"/>
        <v>1379.12</v>
      </c>
      <c r="I44" s="106">
        <f t="shared" si="10"/>
        <v>1782.59316</v>
      </c>
      <c r="J44" s="106">
        <f t="shared" si="10"/>
        <v>4720.49374</v>
      </c>
      <c r="K44" s="106">
        <f t="shared" si="10"/>
        <v>3105.50374</v>
      </c>
      <c r="L44" s="106">
        <f t="shared" si="10"/>
        <v>2362.93864</v>
      </c>
      <c r="M44" s="106">
        <f t="shared" si="10"/>
        <v>2357.71154</v>
      </c>
      <c r="N44" s="106">
        <f t="shared" si="10"/>
        <v>2095.90004</v>
      </c>
      <c r="O44" s="106">
        <f t="shared" si="10"/>
        <v>1980.6708</v>
      </c>
      <c r="P44" s="106">
        <f t="shared" si="10"/>
        <v>2087.4633</v>
      </c>
      <c r="Q44" s="106">
        <f t="shared" si="10"/>
        <v>2724.49938</v>
      </c>
      <c r="R44" s="106">
        <f t="shared" si="10"/>
        <v>3001.3914</v>
      </c>
      <c r="S44" s="106">
        <f t="shared" si="10"/>
        <v>2575.10184</v>
      </c>
      <c r="T44" s="106">
        <f t="shared" si="10"/>
        <v>1934.96272</v>
      </c>
      <c r="U44" s="106">
        <f t="shared" si="10"/>
        <v>2218.56082</v>
      </c>
      <c r="V44" s="106">
        <f t="shared" si="10"/>
        <v>2334.508872</v>
      </c>
      <c r="W44" s="106">
        <f t="shared" si="10"/>
        <v>3638.532146</v>
      </c>
      <c r="X44" s="106">
        <f t="shared" si="10"/>
        <v>2286.93224</v>
      </c>
      <c r="Y44" s="106">
        <f t="shared" si="10"/>
        <v>2413.419785</v>
      </c>
      <c r="Z44" s="106">
        <f t="shared" si="10"/>
        <v>2316.07832</v>
      </c>
      <c r="AA44" s="106">
        <f t="shared" si="10"/>
        <v>1959.947145</v>
      </c>
      <c r="AB44" s="106">
        <f t="shared" si="10"/>
        <v>1820.453781</v>
      </c>
      <c r="AC44" s="106">
        <f t="shared" si="10"/>
        <v>1879.568606</v>
      </c>
      <c r="AD44" s="106">
        <f t="shared" si="10"/>
        <v>2853.941015</v>
      </c>
      <c r="AE44" s="106">
        <f t="shared" si="10"/>
        <v>4038.624418</v>
      </c>
      <c r="AF44" s="110">
        <f t="shared" si="10"/>
        <v>3697.106397</v>
      </c>
      <c r="AG44" s="111">
        <f t="shared" si="7"/>
        <v>72317.93145</v>
      </c>
    </row>
    <row r="45">
      <c r="A45" s="27"/>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7"/>
      <c r="AG45" s="113"/>
    </row>
    <row r="46">
      <c r="A46" s="114" t="s">
        <v>396</v>
      </c>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7"/>
      <c r="AG46" s="113"/>
    </row>
    <row r="47">
      <c r="A47" s="135" t="s">
        <v>397</v>
      </c>
      <c r="B47" s="122">
        <f t="shared" ref="B47:AF47" si="11">B14*86.58</f>
        <v>1818.18</v>
      </c>
      <c r="C47" s="122">
        <f t="shared" si="11"/>
        <v>2597.4</v>
      </c>
      <c r="D47" s="122">
        <f t="shared" si="11"/>
        <v>2683.98</v>
      </c>
      <c r="E47" s="122">
        <f t="shared" si="11"/>
        <v>1038.96</v>
      </c>
      <c r="F47" s="122">
        <f t="shared" si="11"/>
        <v>1645.02</v>
      </c>
      <c r="G47" s="122">
        <f t="shared" si="11"/>
        <v>779.22</v>
      </c>
      <c r="H47" s="122">
        <f t="shared" si="11"/>
        <v>952.38</v>
      </c>
      <c r="I47" s="122">
        <f t="shared" si="11"/>
        <v>1125.54</v>
      </c>
      <c r="J47" s="122">
        <f t="shared" si="11"/>
        <v>6320.34</v>
      </c>
      <c r="K47" s="122">
        <f t="shared" si="11"/>
        <v>3896.1</v>
      </c>
      <c r="L47" s="122">
        <f t="shared" si="11"/>
        <v>3116.88</v>
      </c>
      <c r="M47" s="122">
        <f t="shared" si="11"/>
        <v>1818.18</v>
      </c>
      <c r="N47" s="122">
        <f t="shared" si="11"/>
        <v>952.38</v>
      </c>
      <c r="O47" s="122">
        <f t="shared" si="11"/>
        <v>692.64</v>
      </c>
      <c r="P47" s="122">
        <f t="shared" si="11"/>
        <v>865.8</v>
      </c>
      <c r="Q47" s="122">
        <f t="shared" si="11"/>
        <v>1904.76</v>
      </c>
      <c r="R47" s="122">
        <f t="shared" si="11"/>
        <v>2510.82</v>
      </c>
      <c r="S47" s="122">
        <f t="shared" si="11"/>
        <v>2337.66</v>
      </c>
      <c r="T47" s="122">
        <f t="shared" si="11"/>
        <v>1298.7</v>
      </c>
      <c r="U47" s="122">
        <f t="shared" si="11"/>
        <v>692.64</v>
      </c>
      <c r="V47" s="122">
        <f t="shared" si="11"/>
        <v>2077.92</v>
      </c>
      <c r="W47" s="122">
        <f t="shared" si="11"/>
        <v>2077.92</v>
      </c>
      <c r="X47" s="122">
        <f t="shared" si="11"/>
        <v>1818.18</v>
      </c>
      <c r="Y47" s="122">
        <f t="shared" si="11"/>
        <v>1558.44</v>
      </c>
      <c r="Z47" s="122">
        <f t="shared" si="11"/>
        <v>1385.28</v>
      </c>
      <c r="AA47" s="122">
        <f t="shared" si="11"/>
        <v>1298.7</v>
      </c>
      <c r="AB47" s="122">
        <f t="shared" si="11"/>
        <v>1125.54</v>
      </c>
      <c r="AC47" s="122">
        <f t="shared" si="11"/>
        <v>519.48</v>
      </c>
      <c r="AD47" s="122">
        <f t="shared" si="11"/>
        <v>1818.18</v>
      </c>
      <c r="AE47" s="122">
        <f t="shared" si="11"/>
        <v>2164.5</v>
      </c>
      <c r="AF47" s="128">
        <f t="shared" si="11"/>
        <v>1904.76</v>
      </c>
      <c r="AG47" s="83">
        <f t="shared" ref="AG47:AG49" si="13">SUM(B47:AE47)</f>
        <v>54891.72</v>
      </c>
    </row>
    <row r="48">
      <c r="A48" s="129" t="s">
        <v>399</v>
      </c>
      <c r="B48" s="130">
        <f t="shared" ref="B48:AF48" si="12">B14*10</f>
        <v>210</v>
      </c>
      <c r="C48" s="130">
        <f t="shared" si="12"/>
        <v>300</v>
      </c>
      <c r="D48" s="130">
        <f t="shared" si="12"/>
        <v>310</v>
      </c>
      <c r="E48" s="130">
        <f t="shared" si="12"/>
        <v>120</v>
      </c>
      <c r="F48" s="130">
        <f t="shared" si="12"/>
        <v>190</v>
      </c>
      <c r="G48" s="130">
        <f t="shared" si="12"/>
        <v>90</v>
      </c>
      <c r="H48" s="130">
        <f t="shared" si="12"/>
        <v>110</v>
      </c>
      <c r="I48" s="130">
        <f t="shared" si="12"/>
        <v>130</v>
      </c>
      <c r="J48" s="130">
        <f t="shared" si="12"/>
        <v>730</v>
      </c>
      <c r="K48" s="130">
        <f t="shared" si="12"/>
        <v>450</v>
      </c>
      <c r="L48" s="130">
        <f t="shared" si="12"/>
        <v>360</v>
      </c>
      <c r="M48" s="130">
        <f t="shared" si="12"/>
        <v>210</v>
      </c>
      <c r="N48" s="130">
        <f t="shared" si="12"/>
        <v>110</v>
      </c>
      <c r="O48" s="130">
        <f t="shared" si="12"/>
        <v>80</v>
      </c>
      <c r="P48" s="130">
        <f t="shared" si="12"/>
        <v>100</v>
      </c>
      <c r="Q48" s="130">
        <f t="shared" si="12"/>
        <v>220</v>
      </c>
      <c r="R48" s="130">
        <f t="shared" si="12"/>
        <v>290</v>
      </c>
      <c r="S48" s="130">
        <f t="shared" si="12"/>
        <v>270</v>
      </c>
      <c r="T48" s="130">
        <f t="shared" si="12"/>
        <v>150</v>
      </c>
      <c r="U48" s="130">
        <f t="shared" si="12"/>
        <v>80</v>
      </c>
      <c r="V48" s="130">
        <f t="shared" si="12"/>
        <v>240</v>
      </c>
      <c r="W48" s="130">
        <f t="shared" si="12"/>
        <v>240</v>
      </c>
      <c r="X48" s="130">
        <f t="shared" si="12"/>
        <v>210</v>
      </c>
      <c r="Y48" s="130">
        <f t="shared" si="12"/>
        <v>180</v>
      </c>
      <c r="Z48" s="130">
        <f t="shared" si="12"/>
        <v>160</v>
      </c>
      <c r="AA48" s="130">
        <f t="shared" si="12"/>
        <v>150</v>
      </c>
      <c r="AB48" s="130">
        <f t="shared" si="12"/>
        <v>130</v>
      </c>
      <c r="AC48" s="130">
        <f t="shared" si="12"/>
        <v>60</v>
      </c>
      <c r="AD48" s="130">
        <f t="shared" si="12"/>
        <v>210</v>
      </c>
      <c r="AE48" s="130">
        <f t="shared" si="12"/>
        <v>250</v>
      </c>
      <c r="AF48" s="134">
        <f t="shared" si="12"/>
        <v>220</v>
      </c>
      <c r="AG48" s="104">
        <f t="shared" si="13"/>
        <v>6340</v>
      </c>
      <c r="AH48" s="65"/>
    </row>
    <row r="49">
      <c r="A49" s="27" t="s">
        <v>23</v>
      </c>
      <c r="B49" s="106">
        <f t="shared" ref="B49:AF49" si="14">SUM(B47:B48)</f>
        <v>2028.18</v>
      </c>
      <c r="C49" s="106">
        <f t="shared" si="14"/>
        <v>2897.4</v>
      </c>
      <c r="D49" s="106">
        <f t="shared" si="14"/>
        <v>2993.98</v>
      </c>
      <c r="E49" s="106">
        <f t="shared" si="14"/>
        <v>1158.96</v>
      </c>
      <c r="F49" s="106">
        <f t="shared" si="14"/>
        <v>1835.02</v>
      </c>
      <c r="G49" s="106">
        <f t="shared" si="14"/>
        <v>869.22</v>
      </c>
      <c r="H49" s="106">
        <f t="shared" si="14"/>
        <v>1062.38</v>
      </c>
      <c r="I49" s="106">
        <f t="shared" si="14"/>
        <v>1255.54</v>
      </c>
      <c r="J49" s="106">
        <f t="shared" si="14"/>
        <v>7050.34</v>
      </c>
      <c r="K49" s="106">
        <f t="shared" si="14"/>
        <v>4346.1</v>
      </c>
      <c r="L49" s="106">
        <f t="shared" si="14"/>
        <v>3476.88</v>
      </c>
      <c r="M49" s="106">
        <f t="shared" si="14"/>
        <v>2028.18</v>
      </c>
      <c r="N49" s="106">
        <f t="shared" si="14"/>
        <v>1062.38</v>
      </c>
      <c r="O49" s="106">
        <f t="shared" si="14"/>
        <v>772.64</v>
      </c>
      <c r="P49" s="106">
        <f t="shared" si="14"/>
        <v>965.8</v>
      </c>
      <c r="Q49" s="106">
        <f t="shared" si="14"/>
        <v>2124.76</v>
      </c>
      <c r="R49" s="106">
        <f t="shared" si="14"/>
        <v>2800.82</v>
      </c>
      <c r="S49" s="106">
        <f t="shared" si="14"/>
        <v>2607.66</v>
      </c>
      <c r="T49" s="106">
        <f t="shared" si="14"/>
        <v>1448.7</v>
      </c>
      <c r="U49" s="106">
        <f t="shared" si="14"/>
        <v>772.64</v>
      </c>
      <c r="V49" s="106">
        <f t="shared" si="14"/>
        <v>2317.92</v>
      </c>
      <c r="W49" s="106">
        <f t="shared" si="14"/>
        <v>2317.92</v>
      </c>
      <c r="X49" s="106">
        <f t="shared" si="14"/>
        <v>2028.18</v>
      </c>
      <c r="Y49" s="106">
        <f t="shared" si="14"/>
        <v>1738.44</v>
      </c>
      <c r="Z49" s="106">
        <f t="shared" si="14"/>
        <v>1545.28</v>
      </c>
      <c r="AA49" s="106">
        <f t="shared" si="14"/>
        <v>1448.7</v>
      </c>
      <c r="AB49" s="106">
        <f t="shared" si="14"/>
        <v>1255.54</v>
      </c>
      <c r="AC49" s="106">
        <f t="shared" si="14"/>
        <v>579.48</v>
      </c>
      <c r="AD49" s="106">
        <f t="shared" si="14"/>
        <v>2028.18</v>
      </c>
      <c r="AE49" s="106">
        <f t="shared" si="14"/>
        <v>2414.5</v>
      </c>
      <c r="AF49" s="110">
        <f t="shared" si="14"/>
        <v>2124.76</v>
      </c>
      <c r="AG49" s="111">
        <f t="shared" si="13"/>
        <v>61231.72</v>
      </c>
    </row>
    <row r="50">
      <c r="A50" s="27"/>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41"/>
      <c r="AG50" s="139"/>
    </row>
    <row r="51">
      <c r="A51" s="71" t="s">
        <v>401</v>
      </c>
      <c r="B51" s="142">
        <f t="shared" ref="B51:AF51" si="15">B26-B44-B49</f>
        <v>1785.758</v>
      </c>
      <c r="C51" s="142">
        <f t="shared" si="15"/>
        <v>2566.804</v>
      </c>
      <c r="D51" s="142">
        <f t="shared" si="15"/>
        <v>2113.054</v>
      </c>
      <c r="E51" s="142">
        <f t="shared" si="15"/>
        <v>425.188</v>
      </c>
      <c r="F51" s="142">
        <f t="shared" si="15"/>
        <v>841.556</v>
      </c>
      <c r="G51" s="143">
        <f t="shared" si="15"/>
        <v>-345.134</v>
      </c>
      <c r="H51" s="142">
        <f t="shared" si="15"/>
        <v>113.5</v>
      </c>
      <c r="I51" s="142">
        <f t="shared" si="15"/>
        <v>328.52684</v>
      </c>
      <c r="J51" s="142">
        <f t="shared" si="15"/>
        <v>7893.15626</v>
      </c>
      <c r="K51" s="142">
        <f t="shared" si="15"/>
        <v>4292.38626</v>
      </c>
      <c r="L51" s="142">
        <f t="shared" si="15"/>
        <v>3967.82136</v>
      </c>
      <c r="M51" s="142">
        <f t="shared" si="15"/>
        <v>953.39846</v>
      </c>
      <c r="N51" s="143">
        <f t="shared" si="15"/>
        <v>-356.74004</v>
      </c>
      <c r="O51" s="143">
        <f t="shared" si="15"/>
        <v>-852.5108</v>
      </c>
      <c r="P51" s="142">
        <f t="shared" si="15"/>
        <v>1253.7867</v>
      </c>
      <c r="Q51" s="142">
        <f t="shared" si="15"/>
        <v>1371.87062</v>
      </c>
      <c r="R51" s="142">
        <f t="shared" si="15"/>
        <v>826.6886</v>
      </c>
      <c r="S51" s="122">
        <f t="shared" si="15"/>
        <v>1428.07816</v>
      </c>
      <c r="T51" s="122">
        <f t="shared" si="15"/>
        <v>151.05728</v>
      </c>
      <c r="U51" s="122">
        <f t="shared" si="15"/>
        <v>-919.63082</v>
      </c>
      <c r="V51" s="122">
        <f t="shared" si="15"/>
        <v>2787.741128</v>
      </c>
      <c r="W51" s="122">
        <f t="shared" si="15"/>
        <v>-74.3921458</v>
      </c>
      <c r="X51" s="122">
        <f t="shared" si="15"/>
        <v>1248.08776</v>
      </c>
      <c r="Y51" s="122">
        <f t="shared" si="15"/>
        <v>458.2402154</v>
      </c>
      <c r="Z51" s="122">
        <f t="shared" si="15"/>
        <v>102.2416798</v>
      </c>
      <c r="AA51" s="122">
        <f t="shared" si="15"/>
        <v>249.9328552</v>
      </c>
      <c r="AB51" s="122">
        <f t="shared" si="15"/>
        <v>580.9062194</v>
      </c>
      <c r="AC51" s="122">
        <f t="shared" si="15"/>
        <v>-1094.798606</v>
      </c>
      <c r="AD51" s="122">
        <f t="shared" si="15"/>
        <v>448.428985</v>
      </c>
      <c r="AE51" s="122">
        <f t="shared" si="15"/>
        <v>-527.6944184</v>
      </c>
      <c r="AF51" s="128">
        <f t="shared" si="15"/>
        <v>-345.6163968</v>
      </c>
      <c r="AG51" s="111">
        <f>SUM(B51:AE51)</f>
        <v>32017.30855</v>
      </c>
    </row>
    <row r="52">
      <c r="A52" s="150">
        <f>SUM(B51:AE51)</f>
        <v>32017.30855</v>
      </c>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7"/>
      <c r="AG52" s="24"/>
    </row>
    <row r="53">
      <c r="A53" s="27"/>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7"/>
      <c r="AG53" s="24"/>
    </row>
    <row r="54">
      <c r="A54" s="151"/>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c r="AB54" s="152"/>
      <c r="AC54" s="152"/>
      <c r="AD54" s="152"/>
      <c r="AE54" s="152"/>
      <c r="AF54" s="151"/>
      <c r="AG54" s="152"/>
    </row>
    <row r="55">
      <c r="A55" s="27"/>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7"/>
      <c r="AG55" s="24"/>
    </row>
    <row r="56">
      <c r="A56" s="154" t="s">
        <v>405</v>
      </c>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7"/>
      <c r="AG56" s="24"/>
    </row>
    <row r="57">
      <c r="A57" s="155" t="s">
        <v>406</v>
      </c>
      <c r="B57" s="142">
        <f t="shared" ref="B57:AF57" si="16">B17-B29-B30-B194-B195-B196-B197-B198</f>
        <v>167.1250476</v>
      </c>
      <c r="C57" s="142">
        <f t="shared" si="16"/>
        <v>1321.5908</v>
      </c>
      <c r="D57" s="142">
        <f t="shared" si="16"/>
        <v>1625.657548</v>
      </c>
      <c r="E57" s="142">
        <f t="shared" si="16"/>
        <v>1022.099333</v>
      </c>
      <c r="F57" s="142">
        <f t="shared" si="16"/>
        <v>1610.736316</v>
      </c>
      <c r="G57" s="142">
        <f t="shared" si="16"/>
        <v>620.4944444</v>
      </c>
      <c r="H57" s="142">
        <f t="shared" si="16"/>
        <v>153.4718182</v>
      </c>
      <c r="I57" s="142">
        <f t="shared" si="16"/>
        <v>1166.04012</v>
      </c>
      <c r="J57" s="142">
        <f t="shared" si="16"/>
        <v>2152.322452</v>
      </c>
      <c r="K57" s="142">
        <f t="shared" si="16"/>
        <v>4003.57209</v>
      </c>
      <c r="L57" s="142">
        <f t="shared" si="16"/>
        <v>3249.484202</v>
      </c>
      <c r="M57" s="142">
        <f t="shared" si="16"/>
        <v>1288.415054</v>
      </c>
      <c r="N57" s="142">
        <f t="shared" si="16"/>
        <v>908.5754255</v>
      </c>
      <c r="O57" s="142">
        <f t="shared" si="16"/>
        <v>665.1244</v>
      </c>
      <c r="P57" s="142">
        <f t="shared" si="16"/>
        <v>215.47334</v>
      </c>
      <c r="Q57" s="142">
        <f t="shared" si="16"/>
        <v>2211.646332</v>
      </c>
      <c r="R57" s="142">
        <f t="shared" si="16"/>
        <v>1246.852179</v>
      </c>
      <c r="S57" s="156">
        <f t="shared" si="16"/>
        <v>1370.814065</v>
      </c>
      <c r="T57" s="156">
        <f t="shared" si="16"/>
        <v>318.349456</v>
      </c>
      <c r="U57" s="156">
        <f t="shared" si="16"/>
        <v>412.2621925</v>
      </c>
      <c r="V57" s="156">
        <f t="shared" si="16"/>
        <v>861.3385267</v>
      </c>
      <c r="W57" s="156">
        <f t="shared" si="16"/>
        <v>1051.329915</v>
      </c>
      <c r="X57" s="156">
        <f t="shared" si="16"/>
        <v>1493.622286</v>
      </c>
      <c r="Y57" s="156">
        <f t="shared" si="16"/>
        <v>1435.0387</v>
      </c>
      <c r="Z57" s="156">
        <f t="shared" si="16"/>
        <v>1454.19235</v>
      </c>
      <c r="AA57" s="156">
        <f t="shared" si="16"/>
        <v>917.8992293</v>
      </c>
      <c r="AB57" s="156">
        <f t="shared" si="16"/>
        <v>594.331</v>
      </c>
      <c r="AC57" s="156">
        <f t="shared" si="16"/>
        <v>111.8865</v>
      </c>
      <c r="AD57" s="156">
        <f t="shared" si="16"/>
        <v>1100.172171</v>
      </c>
      <c r="AE57" s="156">
        <f t="shared" si="16"/>
        <v>835.5628696</v>
      </c>
      <c r="AF57" s="157">
        <f t="shared" si="16"/>
        <v>598.6203409</v>
      </c>
      <c r="AG57" s="158">
        <f>SUM(B57:AE57)</f>
        <v>35585.48016</v>
      </c>
    </row>
    <row r="58">
      <c r="A58" s="155" t="s">
        <v>408</v>
      </c>
      <c r="B58" s="159">
        <f t="shared" ref="B58:AG58" si="17">B17/B29</f>
        <v>10.04633016</v>
      </c>
      <c r="C58" s="159">
        <f t="shared" si="17"/>
        <v>38.2761251</v>
      </c>
      <c r="D58" s="159">
        <f t="shared" si="17"/>
        <v>51.08556833</v>
      </c>
      <c r="E58" s="159">
        <f t="shared" si="17"/>
        <v>31.66452717</v>
      </c>
      <c r="F58" s="159">
        <f t="shared" si="17"/>
        <v>18.00684622</v>
      </c>
      <c r="G58" s="159">
        <f t="shared" si="17"/>
        <v>7.732173706</v>
      </c>
      <c r="H58" s="159">
        <f t="shared" si="17"/>
        <v>3.852623148</v>
      </c>
      <c r="I58" s="159">
        <f t="shared" si="17"/>
        <v>12.16650595</v>
      </c>
      <c r="J58" s="159">
        <f t="shared" si="17"/>
        <v>3.246658255</v>
      </c>
      <c r="K58" s="159">
        <f t="shared" si="17"/>
        <v>8.022296675</v>
      </c>
      <c r="L58" s="159">
        <f t="shared" si="17"/>
        <v>13.40712863</v>
      </c>
      <c r="M58" s="159">
        <f t="shared" si="17"/>
        <v>10.87336049</v>
      </c>
      <c r="N58" s="159">
        <f t="shared" si="17"/>
        <v>7.654892878</v>
      </c>
      <c r="O58" s="159">
        <f t="shared" si="17"/>
        <v>7.433967981</v>
      </c>
      <c r="P58" s="159">
        <f t="shared" si="17"/>
        <v>3.074613858</v>
      </c>
      <c r="Q58" s="159">
        <f t="shared" si="17"/>
        <v>12.34836797</v>
      </c>
      <c r="R58" s="159">
        <f t="shared" si="17"/>
        <v>6.26886116</v>
      </c>
      <c r="S58" s="159">
        <f t="shared" si="17"/>
        <v>13.70877157</v>
      </c>
      <c r="T58" s="159">
        <f t="shared" si="17"/>
        <v>4.471204772</v>
      </c>
      <c r="U58" s="159">
        <f t="shared" si="17"/>
        <v>4.285583608</v>
      </c>
      <c r="V58" s="159">
        <f t="shared" si="17"/>
        <v>10.23634971</v>
      </c>
      <c r="W58" s="159">
        <f t="shared" si="17"/>
        <v>11.76760486</v>
      </c>
      <c r="X58" s="159">
        <f t="shared" si="17"/>
        <v>14.5606469</v>
      </c>
      <c r="Y58" s="159">
        <f t="shared" si="17"/>
        <v>13.83297878</v>
      </c>
      <c r="Z58" s="159">
        <f t="shared" si="17"/>
        <v>18.66706426</v>
      </c>
      <c r="AA58" s="159">
        <f t="shared" si="17"/>
        <v>13.66923256</v>
      </c>
      <c r="AB58" s="159">
        <f t="shared" si="17"/>
        <v>10.8348135</v>
      </c>
      <c r="AC58" s="159">
        <f t="shared" si="17"/>
        <v>3.541110842</v>
      </c>
      <c r="AD58" s="159">
        <f t="shared" si="17"/>
        <v>18.1582012</v>
      </c>
      <c r="AE58" s="159">
        <f t="shared" si="17"/>
        <v>12.0256776</v>
      </c>
      <c r="AF58" s="160">
        <f t="shared" si="17"/>
        <v>8.406902087</v>
      </c>
      <c r="AG58" s="161">
        <f t="shared" si="17"/>
        <v>8.890241144</v>
      </c>
    </row>
    <row r="59">
      <c r="A59" s="155" t="s">
        <v>409</v>
      </c>
      <c r="B59" s="162">
        <f t="shared" ref="B59:AF59" si="18">B29/B5</f>
        <v>20.505</v>
      </c>
      <c r="C59" s="162">
        <f t="shared" si="18"/>
        <v>5.959090909</v>
      </c>
      <c r="D59" s="162">
        <f t="shared" si="18"/>
        <v>4.982727273</v>
      </c>
      <c r="E59" s="162">
        <f t="shared" si="18"/>
        <v>11.685</v>
      </c>
      <c r="F59" s="162">
        <f t="shared" si="18"/>
        <v>15.483</v>
      </c>
      <c r="G59" s="162">
        <f t="shared" si="18"/>
        <v>33.574</v>
      </c>
      <c r="H59" s="162">
        <f t="shared" si="18"/>
        <v>62.425</v>
      </c>
      <c r="I59" s="162">
        <f t="shared" si="18"/>
        <v>20.74</v>
      </c>
      <c r="J59" s="162">
        <f t="shared" si="18"/>
        <v>81.01777778</v>
      </c>
      <c r="K59" s="162">
        <f t="shared" si="18"/>
        <v>32.9283871</v>
      </c>
      <c r="L59" s="162">
        <f t="shared" si="18"/>
        <v>19.63913043</v>
      </c>
      <c r="M59" s="162">
        <f t="shared" si="18"/>
        <v>24.82111111</v>
      </c>
      <c r="N59" s="162">
        <f t="shared" si="18"/>
        <v>32.38125</v>
      </c>
      <c r="O59" s="162">
        <f t="shared" si="18"/>
        <v>33.00166667</v>
      </c>
      <c r="P59" s="162">
        <f t="shared" si="18"/>
        <v>103.265</v>
      </c>
      <c r="Q59" s="162">
        <f t="shared" si="18"/>
        <v>22.038</v>
      </c>
      <c r="R59" s="162">
        <f t="shared" si="18"/>
        <v>38.93583333</v>
      </c>
      <c r="S59" s="163">
        <f t="shared" si="18"/>
        <v>17.80545455</v>
      </c>
      <c r="T59" s="163">
        <f t="shared" si="18"/>
        <v>59.79</v>
      </c>
      <c r="U59" s="163">
        <f t="shared" si="18"/>
        <v>72.88</v>
      </c>
      <c r="V59" s="163">
        <f t="shared" si="18"/>
        <v>22.8475</v>
      </c>
      <c r="W59" s="163">
        <f t="shared" si="18"/>
        <v>20.29111111</v>
      </c>
      <c r="X59" s="163">
        <f t="shared" si="18"/>
        <v>18.55</v>
      </c>
      <c r="Y59" s="163">
        <f t="shared" si="18"/>
        <v>20.37</v>
      </c>
      <c r="Z59" s="163">
        <f t="shared" si="18"/>
        <v>14.90444444</v>
      </c>
      <c r="AA59" s="163">
        <f t="shared" si="18"/>
        <v>18.37285714</v>
      </c>
      <c r="AB59" s="163">
        <f t="shared" si="18"/>
        <v>22.52</v>
      </c>
      <c r="AC59" s="163">
        <f t="shared" si="18"/>
        <v>61.845</v>
      </c>
      <c r="AD59" s="163">
        <f t="shared" si="18"/>
        <v>13.95375</v>
      </c>
      <c r="AE59" s="163">
        <f t="shared" si="18"/>
        <v>20.02857143</v>
      </c>
      <c r="AF59" s="164">
        <f t="shared" si="18"/>
        <v>29.904</v>
      </c>
      <c r="AG59" s="24"/>
    </row>
    <row r="60">
      <c r="A60" s="155" t="s">
        <v>410</v>
      </c>
      <c r="B60" s="165">
        <f t="shared" ref="B60:AF60" si="19">B17/(B29+B30+B194+B195+B196+B197+B198)</f>
        <v>1.682491394</v>
      </c>
      <c r="C60" s="165">
        <f t="shared" si="19"/>
        <v>2.113003672</v>
      </c>
      <c r="D60" s="165">
        <f t="shared" si="19"/>
        <v>2.384313022</v>
      </c>
      <c r="E60" s="165">
        <f t="shared" si="19"/>
        <v>3.232142051</v>
      </c>
      <c r="F60" s="165">
        <f t="shared" si="19"/>
        <v>2.368203519</v>
      </c>
      <c r="G60" s="165">
        <f t="shared" si="19"/>
        <v>1.915851449</v>
      </c>
      <c r="H60" s="165">
        <f t="shared" si="19"/>
        <v>1.468575917</v>
      </c>
      <c r="I60" s="165">
        <f t="shared" si="19"/>
        <v>2.055278242</v>
      </c>
      <c r="J60" s="165">
        <f t="shared" si="19"/>
        <v>1.434840943</v>
      </c>
      <c r="K60" s="165">
        <f t="shared" si="19"/>
        <v>1.956550244</v>
      </c>
      <c r="L60" s="165">
        <f t="shared" si="19"/>
        <v>2.157835707</v>
      </c>
      <c r="M60" s="165">
        <f t="shared" si="19"/>
        <v>2.12960903</v>
      </c>
      <c r="N60" s="165">
        <f t="shared" si="19"/>
        <v>1.845639096</v>
      </c>
      <c r="O60" s="165">
        <f t="shared" si="19"/>
        <v>1.824320874</v>
      </c>
      <c r="P60" s="165">
        <f t="shared" si="19"/>
        <v>1.513610601</v>
      </c>
      <c r="Q60" s="165">
        <f t="shared" si="19"/>
        <v>2.182474935</v>
      </c>
      <c r="R60" s="165">
        <f t="shared" si="19"/>
        <v>1.741226285</v>
      </c>
      <c r="S60" s="166">
        <f t="shared" si="19"/>
        <v>2.043089892</v>
      </c>
      <c r="T60" s="166">
        <f t="shared" si="19"/>
        <v>1.658222057</v>
      </c>
      <c r="U60" s="166">
        <f t="shared" si="19"/>
        <v>1.785653686</v>
      </c>
      <c r="V60" s="166">
        <f t="shared" si="19"/>
        <v>1.853096359</v>
      </c>
      <c r="W60" s="166">
        <f t="shared" si="19"/>
        <v>1.957783153</v>
      </c>
      <c r="X60" s="166">
        <f t="shared" si="19"/>
        <v>2.237079555</v>
      </c>
      <c r="Y60" s="166">
        <f t="shared" si="19"/>
        <v>2.303441547</v>
      </c>
      <c r="Z60" s="166">
        <f t="shared" si="19"/>
        <v>2.38519885</v>
      </c>
      <c r="AA60" s="166">
        <f t="shared" si="19"/>
        <v>2.092606103</v>
      </c>
      <c r="AB60" s="166">
        <f t="shared" si="19"/>
        <v>1.949912813</v>
      </c>
      <c r="AC60" s="166">
        <f t="shared" si="19"/>
        <v>1.343090672</v>
      </c>
      <c r="AD60" s="166">
        <f t="shared" si="19"/>
        <v>2.187029713</v>
      </c>
      <c r="AE60" s="166">
        <f t="shared" si="19"/>
        <v>1.982509864</v>
      </c>
      <c r="AF60" s="168">
        <f t="shared" si="19"/>
        <v>1.909232739</v>
      </c>
      <c r="AG60" s="139"/>
    </row>
    <row r="61">
      <c r="A61" s="27"/>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7"/>
      <c r="AG61" s="24"/>
    </row>
    <row r="62">
      <c r="A62" s="170" t="s">
        <v>412</v>
      </c>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7"/>
      <c r="AG62" s="24"/>
    </row>
    <row r="63">
      <c r="A63" s="171" t="s">
        <v>406</v>
      </c>
      <c r="B63" s="172">
        <f t="shared" ref="B63:AD63" si="20">B18-B31-B32-B201-B202-B203-B204-B205</f>
        <v>0</v>
      </c>
      <c r="C63" s="172">
        <f t="shared" si="20"/>
        <v>0</v>
      </c>
      <c r="D63" s="172">
        <f t="shared" si="20"/>
        <v>0</v>
      </c>
      <c r="E63" s="172">
        <f t="shared" si="20"/>
        <v>0</v>
      </c>
      <c r="F63" s="172">
        <f t="shared" si="20"/>
        <v>0</v>
      </c>
      <c r="G63" s="172">
        <f t="shared" si="20"/>
        <v>0</v>
      </c>
      <c r="H63" s="172">
        <f t="shared" si="20"/>
        <v>0</v>
      </c>
      <c r="I63" s="172">
        <f t="shared" si="20"/>
        <v>0</v>
      </c>
      <c r="J63" s="172">
        <f t="shared" si="20"/>
        <v>0</v>
      </c>
      <c r="K63" s="172">
        <f t="shared" si="20"/>
        <v>0</v>
      </c>
      <c r="L63" s="172">
        <f t="shared" si="20"/>
        <v>0</v>
      </c>
      <c r="M63" s="172">
        <f t="shared" si="20"/>
        <v>0</v>
      </c>
      <c r="N63" s="172">
        <f t="shared" si="20"/>
        <v>0</v>
      </c>
      <c r="O63" s="172">
        <f t="shared" si="20"/>
        <v>0</v>
      </c>
      <c r="P63" s="172">
        <f t="shared" si="20"/>
        <v>0</v>
      </c>
      <c r="Q63" s="172">
        <f t="shared" si="20"/>
        <v>0</v>
      </c>
      <c r="R63" s="172">
        <f t="shared" si="20"/>
        <v>0</v>
      </c>
      <c r="S63" s="173">
        <f t="shared" si="20"/>
        <v>0</v>
      </c>
      <c r="T63" s="173">
        <f t="shared" si="20"/>
        <v>0</v>
      </c>
      <c r="U63" s="173">
        <f t="shared" si="20"/>
        <v>0</v>
      </c>
      <c r="V63" s="173">
        <f t="shared" si="20"/>
        <v>0</v>
      </c>
      <c r="W63" s="173">
        <f t="shared" si="20"/>
        <v>0</v>
      </c>
      <c r="X63" s="173">
        <f t="shared" si="20"/>
        <v>0</v>
      </c>
      <c r="Y63" s="173">
        <f t="shared" si="20"/>
        <v>0</v>
      </c>
      <c r="Z63" s="173">
        <f t="shared" si="20"/>
        <v>0</v>
      </c>
      <c r="AA63" s="173">
        <f t="shared" si="20"/>
        <v>0</v>
      </c>
      <c r="AB63" s="173">
        <f t="shared" si="20"/>
        <v>0</v>
      </c>
      <c r="AC63" s="173">
        <f t="shared" si="20"/>
        <v>0</v>
      </c>
      <c r="AD63" s="173">
        <f t="shared" si="20"/>
        <v>0</v>
      </c>
      <c r="AE63" s="174"/>
      <c r="AF63" s="175"/>
      <c r="AG63" s="158">
        <f>SUM(B63:AE63)</f>
        <v>0</v>
      </c>
    </row>
    <row r="64">
      <c r="A64" s="171" t="s">
        <v>408</v>
      </c>
      <c r="B64" s="176" t="str">
        <f t="shared" ref="B64:AD64" si="21">B18/B31</f>
        <v>#DIV/0!</v>
      </c>
      <c r="C64" s="176" t="str">
        <f t="shared" si="21"/>
        <v>#DIV/0!</v>
      </c>
      <c r="D64" s="176" t="str">
        <f t="shared" si="21"/>
        <v>#DIV/0!</v>
      </c>
      <c r="E64" s="176" t="str">
        <f t="shared" si="21"/>
        <v>#DIV/0!</v>
      </c>
      <c r="F64" s="176" t="str">
        <f t="shared" si="21"/>
        <v>#DIV/0!</v>
      </c>
      <c r="G64" s="176" t="str">
        <f t="shared" si="21"/>
        <v>#DIV/0!</v>
      </c>
      <c r="H64" s="176" t="str">
        <f t="shared" si="21"/>
        <v>#DIV/0!</v>
      </c>
      <c r="I64" s="176" t="str">
        <f t="shared" si="21"/>
        <v>#DIV/0!</v>
      </c>
      <c r="J64" s="176" t="str">
        <f t="shared" si="21"/>
        <v>#DIV/0!</v>
      </c>
      <c r="K64" s="176" t="str">
        <f t="shared" si="21"/>
        <v>#DIV/0!</v>
      </c>
      <c r="L64" s="176" t="str">
        <f t="shared" si="21"/>
        <v>#DIV/0!</v>
      </c>
      <c r="M64" s="176" t="str">
        <f t="shared" si="21"/>
        <v>#DIV/0!</v>
      </c>
      <c r="N64" s="176" t="str">
        <f t="shared" si="21"/>
        <v>#DIV/0!</v>
      </c>
      <c r="O64" s="176" t="str">
        <f t="shared" si="21"/>
        <v>#DIV/0!</v>
      </c>
      <c r="P64" s="176" t="str">
        <f t="shared" si="21"/>
        <v>#DIV/0!</v>
      </c>
      <c r="Q64" s="176" t="str">
        <f t="shared" si="21"/>
        <v>#DIV/0!</v>
      </c>
      <c r="R64" s="176" t="str">
        <f t="shared" si="21"/>
        <v>#DIV/0!</v>
      </c>
      <c r="S64" s="176" t="str">
        <f t="shared" si="21"/>
        <v>#DIV/0!</v>
      </c>
      <c r="T64" s="176" t="str">
        <f t="shared" si="21"/>
        <v>#DIV/0!</v>
      </c>
      <c r="U64" s="176" t="str">
        <f t="shared" si="21"/>
        <v>#DIV/0!</v>
      </c>
      <c r="V64" s="176" t="str">
        <f t="shared" si="21"/>
        <v>#DIV/0!</v>
      </c>
      <c r="W64" s="176" t="str">
        <f t="shared" si="21"/>
        <v>#DIV/0!</v>
      </c>
      <c r="X64" s="176" t="str">
        <f t="shared" si="21"/>
        <v>#DIV/0!</v>
      </c>
      <c r="Y64" s="176" t="str">
        <f t="shared" si="21"/>
        <v>#DIV/0!</v>
      </c>
      <c r="Z64" s="176" t="str">
        <f t="shared" si="21"/>
        <v>#DIV/0!</v>
      </c>
      <c r="AA64" s="176" t="str">
        <f t="shared" si="21"/>
        <v>#DIV/0!</v>
      </c>
      <c r="AB64" s="176" t="str">
        <f t="shared" si="21"/>
        <v>#DIV/0!</v>
      </c>
      <c r="AC64" s="176" t="str">
        <f t="shared" si="21"/>
        <v>#DIV/0!</v>
      </c>
      <c r="AD64" s="176" t="str">
        <f t="shared" si="21"/>
        <v>#DIV/0!</v>
      </c>
      <c r="AE64" s="177"/>
      <c r="AF64" s="178"/>
      <c r="AG64" s="179" t="str">
        <f>AG18/AG31</f>
        <v>#DIV/0!</v>
      </c>
    </row>
    <row r="65">
      <c r="A65" s="171" t="s">
        <v>409</v>
      </c>
      <c r="B65" s="173" t="str">
        <f t="shared" ref="B65:AD65" si="22">B31/B6</f>
        <v>#DIV/0!</v>
      </c>
      <c r="C65" s="173" t="str">
        <f t="shared" si="22"/>
        <v>#DIV/0!</v>
      </c>
      <c r="D65" s="173" t="str">
        <f t="shared" si="22"/>
        <v>#DIV/0!</v>
      </c>
      <c r="E65" s="173" t="str">
        <f t="shared" si="22"/>
        <v>#DIV/0!</v>
      </c>
      <c r="F65" s="173" t="str">
        <f t="shared" si="22"/>
        <v>#DIV/0!</v>
      </c>
      <c r="G65" s="173" t="str">
        <f t="shared" si="22"/>
        <v>#DIV/0!</v>
      </c>
      <c r="H65" s="173" t="str">
        <f t="shared" si="22"/>
        <v>#DIV/0!</v>
      </c>
      <c r="I65" s="173" t="str">
        <f t="shared" si="22"/>
        <v>#DIV/0!</v>
      </c>
      <c r="J65" s="173" t="str">
        <f t="shared" si="22"/>
        <v>#DIV/0!</v>
      </c>
      <c r="K65" s="173" t="str">
        <f t="shared" si="22"/>
        <v>#DIV/0!</v>
      </c>
      <c r="L65" s="173" t="str">
        <f t="shared" si="22"/>
        <v>#DIV/0!</v>
      </c>
      <c r="M65" s="173" t="str">
        <f t="shared" si="22"/>
        <v>#DIV/0!</v>
      </c>
      <c r="N65" s="173" t="str">
        <f t="shared" si="22"/>
        <v>#DIV/0!</v>
      </c>
      <c r="O65" s="173" t="str">
        <f t="shared" si="22"/>
        <v>#DIV/0!</v>
      </c>
      <c r="P65" s="173" t="str">
        <f t="shared" si="22"/>
        <v>#DIV/0!</v>
      </c>
      <c r="Q65" s="173" t="str">
        <f t="shared" si="22"/>
        <v>#DIV/0!</v>
      </c>
      <c r="R65" s="173" t="str">
        <f t="shared" si="22"/>
        <v>#DIV/0!</v>
      </c>
      <c r="S65" s="173" t="str">
        <f t="shared" si="22"/>
        <v>#DIV/0!</v>
      </c>
      <c r="T65" s="173" t="str">
        <f t="shared" si="22"/>
        <v>#DIV/0!</v>
      </c>
      <c r="U65" s="173" t="str">
        <f t="shared" si="22"/>
        <v>#DIV/0!</v>
      </c>
      <c r="V65" s="173" t="str">
        <f t="shared" si="22"/>
        <v>#DIV/0!</v>
      </c>
      <c r="W65" s="173" t="str">
        <f t="shared" si="22"/>
        <v>#DIV/0!</v>
      </c>
      <c r="X65" s="173" t="str">
        <f t="shared" si="22"/>
        <v>#DIV/0!</v>
      </c>
      <c r="Y65" s="173" t="str">
        <f t="shared" si="22"/>
        <v>#DIV/0!</v>
      </c>
      <c r="Z65" s="173" t="str">
        <f t="shared" si="22"/>
        <v>#DIV/0!</v>
      </c>
      <c r="AA65" s="173" t="str">
        <f t="shared" si="22"/>
        <v>#DIV/0!</v>
      </c>
      <c r="AB65" s="173" t="str">
        <f t="shared" si="22"/>
        <v>#DIV/0!</v>
      </c>
      <c r="AC65" s="173" t="str">
        <f t="shared" si="22"/>
        <v>#DIV/0!</v>
      </c>
      <c r="AD65" s="173" t="str">
        <f t="shared" si="22"/>
        <v>#DIV/0!</v>
      </c>
      <c r="AE65" s="174"/>
      <c r="AF65" s="175"/>
      <c r="AG65" s="24"/>
    </row>
    <row r="66">
      <c r="A66" s="171" t="s">
        <v>410</v>
      </c>
      <c r="B66" s="176" t="str">
        <f t="shared" ref="B66:AD66" si="23">B18/(B31+B32+B201+B202+B203+B204+B205)</f>
        <v>#DIV/0!</v>
      </c>
      <c r="C66" s="176" t="str">
        <f t="shared" si="23"/>
        <v>#DIV/0!</v>
      </c>
      <c r="D66" s="176" t="str">
        <f t="shared" si="23"/>
        <v>#DIV/0!</v>
      </c>
      <c r="E66" s="176" t="str">
        <f t="shared" si="23"/>
        <v>#DIV/0!</v>
      </c>
      <c r="F66" s="176" t="str">
        <f t="shared" si="23"/>
        <v>#DIV/0!</v>
      </c>
      <c r="G66" s="176" t="str">
        <f t="shared" si="23"/>
        <v>#DIV/0!</v>
      </c>
      <c r="H66" s="176" t="str">
        <f t="shared" si="23"/>
        <v>#DIV/0!</v>
      </c>
      <c r="I66" s="176" t="str">
        <f t="shared" si="23"/>
        <v>#DIV/0!</v>
      </c>
      <c r="J66" s="176" t="str">
        <f t="shared" si="23"/>
        <v>#DIV/0!</v>
      </c>
      <c r="K66" s="176" t="str">
        <f t="shared" si="23"/>
        <v>#DIV/0!</v>
      </c>
      <c r="L66" s="176" t="str">
        <f t="shared" si="23"/>
        <v>#DIV/0!</v>
      </c>
      <c r="M66" s="176" t="str">
        <f t="shared" si="23"/>
        <v>#DIV/0!</v>
      </c>
      <c r="N66" s="176" t="str">
        <f t="shared" si="23"/>
        <v>#DIV/0!</v>
      </c>
      <c r="O66" s="176" t="str">
        <f t="shared" si="23"/>
        <v>#DIV/0!</v>
      </c>
      <c r="P66" s="176" t="str">
        <f t="shared" si="23"/>
        <v>#DIV/0!</v>
      </c>
      <c r="Q66" s="176" t="str">
        <f t="shared" si="23"/>
        <v>#DIV/0!</v>
      </c>
      <c r="R66" s="176" t="str">
        <f t="shared" si="23"/>
        <v>#DIV/0!</v>
      </c>
      <c r="S66" s="176" t="str">
        <f t="shared" si="23"/>
        <v>#DIV/0!</v>
      </c>
      <c r="T66" s="176" t="str">
        <f t="shared" si="23"/>
        <v>#DIV/0!</v>
      </c>
      <c r="U66" s="176" t="str">
        <f t="shared" si="23"/>
        <v>#DIV/0!</v>
      </c>
      <c r="V66" s="176" t="str">
        <f t="shared" si="23"/>
        <v>#DIV/0!</v>
      </c>
      <c r="W66" s="176" t="str">
        <f t="shared" si="23"/>
        <v>#DIV/0!</v>
      </c>
      <c r="X66" s="176" t="str">
        <f t="shared" si="23"/>
        <v>#DIV/0!</v>
      </c>
      <c r="Y66" s="176" t="str">
        <f t="shared" si="23"/>
        <v>#DIV/0!</v>
      </c>
      <c r="Z66" s="176" t="str">
        <f t="shared" si="23"/>
        <v>#DIV/0!</v>
      </c>
      <c r="AA66" s="176" t="str">
        <f t="shared" si="23"/>
        <v>#DIV/0!</v>
      </c>
      <c r="AB66" s="176" t="str">
        <f t="shared" si="23"/>
        <v>#DIV/0!</v>
      </c>
      <c r="AC66" s="176" t="str">
        <f t="shared" si="23"/>
        <v>#DIV/0!</v>
      </c>
      <c r="AD66" s="176" t="str">
        <f t="shared" si="23"/>
        <v>#DIV/0!</v>
      </c>
      <c r="AE66" s="177"/>
      <c r="AF66" s="178"/>
      <c r="AG66" s="139"/>
    </row>
    <row r="67">
      <c r="A67" s="27"/>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7"/>
      <c r="AG67" s="139"/>
    </row>
    <row r="68">
      <c r="A68" s="182" t="s">
        <v>437</v>
      </c>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7"/>
      <c r="AG68" s="24"/>
    </row>
    <row r="69">
      <c r="A69" s="183" t="s">
        <v>406</v>
      </c>
      <c r="B69" s="172">
        <f t="shared" ref="B69:AD69" si="24">B19-B33-B34-B208-B209-B210-B211-B212</f>
        <v>0</v>
      </c>
      <c r="C69" s="172">
        <f t="shared" si="24"/>
        <v>0</v>
      </c>
      <c r="D69" s="172">
        <f t="shared" si="24"/>
        <v>0</v>
      </c>
      <c r="E69" s="172">
        <f t="shared" si="24"/>
        <v>0</v>
      </c>
      <c r="F69" s="172">
        <f t="shared" si="24"/>
        <v>0</v>
      </c>
      <c r="G69" s="172">
        <f t="shared" si="24"/>
        <v>0</v>
      </c>
      <c r="H69" s="172">
        <f t="shared" si="24"/>
        <v>0</v>
      </c>
      <c r="I69" s="172">
        <f t="shared" si="24"/>
        <v>0</v>
      </c>
      <c r="J69" s="172">
        <f t="shared" si="24"/>
        <v>0</v>
      </c>
      <c r="K69" s="172">
        <f t="shared" si="24"/>
        <v>0</v>
      </c>
      <c r="L69" s="172">
        <f t="shared" si="24"/>
        <v>0</v>
      </c>
      <c r="M69" s="172">
        <f t="shared" si="24"/>
        <v>0</v>
      </c>
      <c r="N69" s="172">
        <f t="shared" si="24"/>
        <v>0</v>
      </c>
      <c r="O69" s="172">
        <f t="shared" si="24"/>
        <v>0</v>
      </c>
      <c r="P69" s="172">
        <f t="shared" si="24"/>
        <v>0</v>
      </c>
      <c r="Q69" s="172">
        <f t="shared" si="24"/>
        <v>0</v>
      </c>
      <c r="R69" s="172">
        <f t="shared" si="24"/>
        <v>0</v>
      </c>
      <c r="S69" s="173">
        <f t="shared" si="24"/>
        <v>0</v>
      </c>
      <c r="T69" s="173">
        <f t="shared" si="24"/>
        <v>0</v>
      </c>
      <c r="U69" s="173">
        <f t="shared" si="24"/>
        <v>0</v>
      </c>
      <c r="V69" s="173">
        <f t="shared" si="24"/>
        <v>0</v>
      </c>
      <c r="W69" s="173">
        <f t="shared" si="24"/>
        <v>0</v>
      </c>
      <c r="X69" s="173">
        <f t="shared" si="24"/>
        <v>0</v>
      </c>
      <c r="Y69" s="173">
        <f t="shared" si="24"/>
        <v>0</v>
      </c>
      <c r="Z69" s="173">
        <f t="shared" si="24"/>
        <v>0</v>
      </c>
      <c r="AA69" s="173">
        <f t="shared" si="24"/>
        <v>0</v>
      </c>
      <c r="AB69" s="173">
        <f t="shared" si="24"/>
        <v>0</v>
      </c>
      <c r="AC69" s="173">
        <f t="shared" si="24"/>
        <v>0</v>
      </c>
      <c r="AD69" s="173">
        <f t="shared" si="24"/>
        <v>0</v>
      </c>
      <c r="AE69" s="174"/>
      <c r="AF69" s="175"/>
      <c r="AG69" s="158">
        <f>SUM(B69:AE69)</f>
        <v>0</v>
      </c>
    </row>
    <row r="70">
      <c r="A70" s="183" t="s">
        <v>408</v>
      </c>
      <c r="B70" s="176" t="str">
        <f t="shared" ref="B70:AD70" si="25">B19/B33</f>
        <v>#DIV/0!</v>
      </c>
      <c r="C70" s="176" t="str">
        <f t="shared" si="25"/>
        <v>#DIV/0!</v>
      </c>
      <c r="D70" s="176" t="str">
        <f t="shared" si="25"/>
        <v>#DIV/0!</v>
      </c>
      <c r="E70" s="176" t="str">
        <f t="shared" si="25"/>
        <v>#DIV/0!</v>
      </c>
      <c r="F70" s="176" t="str">
        <f t="shared" si="25"/>
        <v>#DIV/0!</v>
      </c>
      <c r="G70" s="176" t="str">
        <f t="shared" si="25"/>
        <v>#DIV/0!</v>
      </c>
      <c r="H70" s="176" t="str">
        <f t="shared" si="25"/>
        <v>#DIV/0!</v>
      </c>
      <c r="I70" s="176" t="str">
        <f t="shared" si="25"/>
        <v>#DIV/0!</v>
      </c>
      <c r="J70" s="176" t="str">
        <f t="shared" si="25"/>
        <v>#DIV/0!</v>
      </c>
      <c r="K70" s="176" t="str">
        <f t="shared" si="25"/>
        <v>#DIV/0!</v>
      </c>
      <c r="L70" s="176" t="str">
        <f t="shared" si="25"/>
        <v>#DIV/0!</v>
      </c>
      <c r="M70" s="176" t="str">
        <f t="shared" si="25"/>
        <v>#DIV/0!</v>
      </c>
      <c r="N70" s="176" t="str">
        <f t="shared" si="25"/>
        <v>#DIV/0!</v>
      </c>
      <c r="O70" s="176" t="str">
        <f t="shared" si="25"/>
        <v>#DIV/0!</v>
      </c>
      <c r="P70" s="176" t="str">
        <f t="shared" si="25"/>
        <v>#DIV/0!</v>
      </c>
      <c r="Q70" s="176" t="str">
        <f t="shared" si="25"/>
        <v>#DIV/0!</v>
      </c>
      <c r="R70" s="176" t="str">
        <f t="shared" si="25"/>
        <v>#DIV/0!</v>
      </c>
      <c r="S70" s="176" t="str">
        <f t="shared" si="25"/>
        <v>#DIV/0!</v>
      </c>
      <c r="T70" s="176" t="str">
        <f t="shared" si="25"/>
        <v>#DIV/0!</v>
      </c>
      <c r="U70" s="176" t="str">
        <f t="shared" si="25"/>
        <v>#DIV/0!</v>
      </c>
      <c r="V70" s="176" t="str">
        <f t="shared" si="25"/>
        <v>#DIV/0!</v>
      </c>
      <c r="W70" s="176" t="str">
        <f t="shared" si="25"/>
        <v>#DIV/0!</v>
      </c>
      <c r="X70" s="176" t="str">
        <f t="shared" si="25"/>
        <v>#DIV/0!</v>
      </c>
      <c r="Y70" s="176" t="str">
        <f t="shared" si="25"/>
        <v>#DIV/0!</v>
      </c>
      <c r="Z70" s="176" t="str">
        <f t="shared" si="25"/>
        <v>#DIV/0!</v>
      </c>
      <c r="AA70" s="176" t="str">
        <f t="shared" si="25"/>
        <v>#DIV/0!</v>
      </c>
      <c r="AB70" s="176" t="str">
        <f t="shared" si="25"/>
        <v>#DIV/0!</v>
      </c>
      <c r="AC70" s="176" t="str">
        <f t="shared" si="25"/>
        <v>#DIV/0!</v>
      </c>
      <c r="AD70" s="176" t="str">
        <f t="shared" si="25"/>
        <v>#DIV/0!</v>
      </c>
      <c r="AE70" s="177"/>
      <c r="AF70" s="178"/>
      <c r="AG70" s="179" t="str">
        <f>AG19/AG33</f>
        <v>#DIV/0!</v>
      </c>
    </row>
    <row r="71">
      <c r="A71" s="183" t="s">
        <v>409</v>
      </c>
      <c r="B71" s="173" t="str">
        <f t="shared" ref="B71:AD71" si="26">B33/B7</f>
        <v>#DIV/0!</v>
      </c>
      <c r="C71" s="173" t="str">
        <f t="shared" si="26"/>
        <v>#DIV/0!</v>
      </c>
      <c r="D71" s="173" t="str">
        <f t="shared" si="26"/>
        <v>#DIV/0!</v>
      </c>
      <c r="E71" s="173" t="str">
        <f t="shared" si="26"/>
        <v>#DIV/0!</v>
      </c>
      <c r="F71" s="173" t="str">
        <f t="shared" si="26"/>
        <v>#DIV/0!</v>
      </c>
      <c r="G71" s="173" t="str">
        <f t="shared" si="26"/>
        <v>#DIV/0!</v>
      </c>
      <c r="H71" s="173" t="str">
        <f t="shared" si="26"/>
        <v>#DIV/0!</v>
      </c>
      <c r="I71" s="173" t="str">
        <f t="shared" si="26"/>
        <v>#DIV/0!</v>
      </c>
      <c r="J71" s="173" t="str">
        <f t="shared" si="26"/>
        <v>#DIV/0!</v>
      </c>
      <c r="K71" s="173" t="str">
        <f t="shared" si="26"/>
        <v>#DIV/0!</v>
      </c>
      <c r="L71" s="173" t="str">
        <f t="shared" si="26"/>
        <v>#DIV/0!</v>
      </c>
      <c r="M71" s="173" t="str">
        <f t="shared" si="26"/>
        <v>#DIV/0!</v>
      </c>
      <c r="N71" s="173" t="str">
        <f t="shared" si="26"/>
        <v>#DIV/0!</v>
      </c>
      <c r="O71" s="173" t="str">
        <f t="shared" si="26"/>
        <v>#DIV/0!</v>
      </c>
      <c r="P71" s="173" t="str">
        <f t="shared" si="26"/>
        <v>#DIV/0!</v>
      </c>
      <c r="Q71" s="173" t="str">
        <f t="shared" si="26"/>
        <v>#DIV/0!</v>
      </c>
      <c r="R71" s="173" t="str">
        <f t="shared" si="26"/>
        <v>#DIV/0!</v>
      </c>
      <c r="S71" s="173" t="str">
        <f t="shared" si="26"/>
        <v>#DIV/0!</v>
      </c>
      <c r="T71" s="173" t="str">
        <f t="shared" si="26"/>
        <v>#DIV/0!</v>
      </c>
      <c r="U71" s="173" t="str">
        <f t="shared" si="26"/>
        <v>#DIV/0!</v>
      </c>
      <c r="V71" s="173" t="str">
        <f t="shared" si="26"/>
        <v>#DIV/0!</v>
      </c>
      <c r="W71" s="173" t="str">
        <f t="shared" si="26"/>
        <v>#DIV/0!</v>
      </c>
      <c r="X71" s="173" t="str">
        <f t="shared" si="26"/>
        <v>#DIV/0!</v>
      </c>
      <c r="Y71" s="173" t="str">
        <f t="shared" si="26"/>
        <v>#DIV/0!</v>
      </c>
      <c r="Z71" s="173" t="str">
        <f t="shared" si="26"/>
        <v>#DIV/0!</v>
      </c>
      <c r="AA71" s="173" t="str">
        <f t="shared" si="26"/>
        <v>#DIV/0!</v>
      </c>
      <c r="AB71" s="173" t="str">
        <f t="shared" si="26"/>
        <v>#DIV/0!</v>
      </c>
      <c r="AC71" s="173" t="str">
        <f t="shared" si="26"/>
        <v>#DIV/0!</v>
      </c>
      <c r="AD71" s="173" t="str">
        <f t="shared" si="26"/>
        <v>#DIV/0!</v>
      </c>
      <c r="AE71" s="174"/>
      <c r="AF71" s="175"/>
      <c r="AG71" s="24"/>
    </row>
    <row r="72">
      <c r="A72" s="183" t="s">
        <v>410</v>
      </c>
      <c r="B72" s="176" t="str">
        <f t="shared" ref="B72:AD72" si="27">B19/(B33+B34+B208+B209+B210+B211+B212)</f>
        <v>#DIV/0!</v>
      </c>
      <c r="C72" s="176" t="str">
        <f t="shared" si="27"/>
        <v>#DIV/0!</v>
      </c>
      <c r="D72" s="176" t="str">
        <f t="shared" si="27"/>
        <v>#DIV/0!</v>
      </c>
      <c r="E72" s="176" t="str">
        <f t="shared" si="27"/>
        <v>#DIV/0!</v>
      </c>
      <c r="F72" s="176" t="str">
        <f t="shared" si="27"/>
        <v>#DIV/0!</v>
      </c>
      <c r="G72" s="176" t="str">
        <f t="shared" si="27"/>
        <v>#DIV/0!</v>
      </c>
      <c r="H72" s="176" t="str">
        <f t="shared" si="27"/>
        <v>#DIV/0!</v>
      </c>
      <c r="I72" s="176" t="str">
        <f t="shared" si="27"/>
        <v>#DIV/0!</v>
      </c>
      <c r="J72" s="176" t="str">
        <f t="shared" si="27"/>
        <v>#DIV/0!</v>
      </c>
      <c r="K72" s="176" t="str">
        <f t="shared" si="27"/>
        <v>#DIV/0!</v>
      </c>
      <c r="L72" s="176" t="str">
        <f t="shared" si="27"/>
        <v>#DIV/0!</v>
      </c>
      <c r="M72" s="176" t="str">
        <f t="shared" si="27"/>
        <v>#DIV/0!</v>
      </c>
      <c r="N72" s="176" t="str">
        <f t="shared" si="27"/>
        <v>#DIV/0!</v>
      </c>
      <c r="O72" s="176" t="str">
        <f t="shared" si="27"/>
        <v>#DIV/0!</v>
      </c>
      <c r="P72" s="176" t="str">
        <f t="shared" si="27"/>
        <v>#DIV/0!</v>
      </c>
      <c r="Q72" s="176" t="str">
        <f t="shared" si="27"/>
        <v>#DIV/0!</v>
      </c>
      <c r="R72" s="176" t="str">
        <f t="shared" si="27"/>
        <v>#DIV/0!</v>
      </c>
      <c r="S72" s="176" t="str">
        <f t="shared" si="27"/>
        <v>#DIV/0!</v>
      </c>
      <c r="T72" s="176" t="str">
        <f t="shared" si="27"/>
        <v>#DIV/0!</v>
      </c>
      <c r="U72" s="176" t="str">
        <f t="shared" si="27"/>
        <v>#DIV/0!</v>
      </c>
      <c r="V72" s="176" t="str">
        <f t="shared" si="27"/>
        <v>#DIV/0!</v>
      </c>
      <c r="W72" s="176" t="str">
        <f t="shared" si="27"/>
        <v>#DIV/0!</v>
      </c>
      <c r="X72" s="176" t="str">
        <f t="shared" si="27"/>
        <v>#DIV/0!</v>
      </c>
      <c r="Y72" s="176" t="str">
        <f t="shared" si="27"/>
        <v>#DIV/0!</v>
      </c>
      <c r="Z72" s="176" t="str">
        <f t="shared" si="27"/>
        <v>#DIV/0!</v>
      </c>
      <c r="AA72" s="176" t="str">
        <f t="shared" si="27"/>
        <v>#DIV/0!</v>
      </c>
      <c r="AB72" s="176" t="str">
        <f t="shared" si="27"/>
        <v>#DIV/0!</v>
      </c>
      <c r="AC72" s="176" t="str">
        <f t="shared" si="27"/>
        <v>#DIV/0!</v>
      </c>
      <c r="AD72" s="176" t="str">
        <f t="shared" si="27"/>
        <v>#DIV/0!</v>
      </c>
      <c r="AE72" s="177"/>
      <c r="AF72" s="178"/>
      <c r="AG72" s="139"/>
    </row>
    <row r="73">
      <c r="A73" s="27"/>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c r="AA73" s="191"/>
      <c r="AB73" s="191"/>
      <c r="AC73" s="191"/>
      <c r="AD73" s="191"/>
      <c r="AE73" s="191"/>
      <c r="AF73" s="192"/>
      <c r="AG73" s="24"/>
    </row>
    <row r="74">
      <c r="A74" s="193" t="s">
        <v>506</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7"/>
      <c r="AG74" s="24"/>
    </row>
    <row r="75">
      <c r="A75" s="194" t="s">
        <v>406</v>
      </c>
      <c r="B75" s="172">
        <f t="shared" ref="B75:AF75" si="28">B20-B35-B215-B216-B217-B218-B219</f>
        <v>0</v>
      </c>
      <c r="C75" s="172">
        <f t="shared" si="28"/>
        <v>0</v>
      </c>
      <c r="D75" s="172">
        <f t="shared" si="28"/>
        <v>0</v>
      </c>
      <c r="E75" s="172">
        <f t="shared" si="28"/>
        <v>0</v>
      </c>
      <c r="F75" s="172">
        <f t="shared" si="28"/>
        <v>0</v>
      </c>
      <c r="G75" s="172">
        <f t="shared" si="28"/>
        <v>0</v>
      </c>
      <c r="H75" s="172">
        <f t="shared" si="28"/>
        <v>0</v>
      </c>
      <c r="I75" s="172">
        <f t="shared" si="28"/>
        <v>0</v>
      </c>
      <c r="J75" s="172">
        <f t="shared" si="28"/>
        <v>0</v>
      </c>
      <c r="K75" s="172">
        <f t="shared" si="28"/>
        <v>0</v>
      </c>
      <c r="L75" s="172">
        <f t="shared" si="28"/>
        <v>0</v>
      </c>
      <c r="M75" s="172">
        <f t="shared" si="28"/>
        <v>0</v>
      </c>
      <c r="N75" s="172">
        <f t="shared" si="28"/>
        <v>0</v>
      </c>
      <c r="O75" s="172">
        <f t="shared" si="28"/>
        <v>0</v>
      </c>
      <c r="P75" s="172">
        <f t="shared" si="28"/>
        <v>0</v>
      </c>
      <c r="Q75" s="172">
        <f t="shared" si="28"/>
        <v>0</v>
      </c>
      <c r="R75" s="172">
        <f t="shared" si="28"/>
        <v>0</v>
      </c>
      <c r="S75" s="173">
        <f t="shared" si="28"/>
        <v>0</v>
      </c>
      <c r="T75" s="173">
        <f t="shared" si="28"/>
        <v>0</v>
      </c>
      <c r="U75" s="173">
        <f t="shared" si="28"/>
        <v>0</v>
      </c>
      <c r="V75" s="173">
        <f t="shared" si="28"/>
        <v>0</v>
      </c>
      <c r="W75" s="173">
        <f t="shared" si="28"/>
        <v>0</v>
      </c>
      <c r="X75" s="173">
        <f t="shared" si="28"/>
        <v>0</v>
      </c>
      <c r="Y75" s="173">
        <f t="shared" si="28"/>
        <v>0</v>
      </c>
      <c r="Z75" s="173">
        <f t="shared" si="28"/>
        <v>0</v>
      </c>
      <c r="AA75" s="173">
        <f t="shared" si="28"/>
        <v>0</v>
      </c>
      <c r="AB75" s="173">
        <f t="shared" si="28"/>
        <v>0</v>
      </c>
      <c r="AC75" s="173">
        <f t="shared" si="28"/>
        <v>0</v>
      </c>
      <c r="AD75" s="173">
        <f t="shared" si="28"/>
        <v>0</v>
      </c>
      <c r="AE75" s="173">
        <f t="shared" si="28"/>
        <v>0</v>
      </c>
      <c r="AF75" s="195">
        <f t="shared" si="28"/>
        <v>0</v>
      </c>
      <c r="AG75" s="158">
        <f>SUM(B75:AE75)</f>
        <v>0</v>
      </c>
    </row>
    <row r="76">
      <c r="A76" s="194" t="s">
        <v>408</v>
      </c>
      <c r="B76" s="176" t="str">
        <f t="shared" ref="B76:AG76" si="29">B20/B35</f>
        <v>#DIV/0!</v>
      </c>
      <c r="C76" s="176" t="str">
        <f t="shared" si="29"/>
        <v>#DIV/0!</v>
      </c>
      <c r="D76" s="176" t="str">
        <f t="shared" si="29"/>
        <v>#DIV/0!</v>
      </c>
      <c r="E76" s="176" t="str">
        <f t="shared" si="29"/>
        <v>#DIV/0!</v>
      </c>
      <c r="F76" s="176" t="str">
        <f t="shared" si="29"/>
        <v>#DIV/0!</v>
      </c>
      <c r="G76" s="176" t="str">
        <f t="shared" si="29"/>
        <v>#DIV/0!</v>
      </c>
      <c r="H76" s="176" t="str">
        <f t="shared" si="29"/>
        <v>#DIV/0!</v>
      </c>
      <c r="I76" s="176" t="str">
        <f t="shared" si="29"/>
        <v>#DIV/0!</v>
      </c>
      <c r="J76" s="176" t="str">
        <f t="shared" si="29"/>
        <v>#DIV/0!</v>
      </c>
      <c r="K76" s="176" t="str">
        <f t="shared" si="29"/>
        <v>#DIV/0!</v>
      </c>
      <c r="L76" s="176" t="str">
        <f t="shared" si="29"/>
        <v>#DIV/0!</v>
      </c>
      <c r="M76" s="176" t="str">
        <f t="shared" si="29"/>
        <v>#DIV/0!</v>
      </c>
      <c r="N76" s="176" t="str">
        <f t="shared" si="29"/>
        <v>#DIV/0!</v>
      </c>
      <c r="O76" s="176" t="str">
        <f t="shared" si="29"/>
        <v>#DIV/0!</v>
      </c>
      <c r="P76" s="176" t="str">
        <f t="shared" si="29"/>
        <v>#DIV/0!</v>
      </c>
      <c r="Q76" s="176" t="str">
        <f t="shared" si="29"/>
        <v>#DIV/0!</v>
      </c>
      <c r="R76" s="176" t="str">
        <f t="shared" si="29"/>
        <v>#DIV/0!</v>
      </c>
      <c r="S76" s="176" t="str">
        <f t="shared" si="29"/>
        <v>#DIV/0!</v>
      </c>
      <c r="T76" s="176" t="str">
        <f t="shared" si="29"/>
        <v>#DIV/0!</v>
      </c>
      <c r="U76" s="176" t="str">
        <f t="shared" si="29"/>
        <v>#DIV/0!</v>
      </c>
      <c r="V76" s="176" t="str">
        <f t="shared" si="29"/>
        <v>#DIV/0!</v>
      </c>
      <c r="W76" s="176" t="str">
        <f t="shared" si="29"/>
        <v>#DIV/0!</v>
      </c>
      <c r="X76" s="176" t="str">
        <f t="shared" si="29"/>
        <v>#DIV/0!</v>
      </c>
      <c r="Y76" s="176" t="str">
        <f t="shared" si="29"/>
        <v>#DIV/0!</v>
      </c>
      <c r="Z76" s="176" t="str">
        <f t="shared" si="29"/>
        <v>#DIV/0!</v>
      </c>
      <c r="AA76" s="176" t="str">
        <f t="shared" si="29"/>
        <v>#DIV/0!</v>
      </c>
      <c r="AB76" s="176" t="str">
        <f t="shared" si="29"/>
        <v>#DIV/0!</v>
      </c>
      <c r="AC76" s="176" t="str">
        <f t="shared" si="29"/>
        <v>#DIV/0!</v>
      </c>
      <c r="AD76" s="176" t="str">
        <f t="shared" si="29"/>
        <v>#DIV/0!</v>
      </c>
      <c r="AE76" s="176" t="str">
        <f t="shared" si="29"/>
        <v>#DIV/0!</v>
      </c>
      <c r="AF76" s="196" t="str">
        <f t="shared" si="29"/>
        <v>#DIV/0!</v>
      </c>
      <c r="AG76" s="179" t="str">
        <f t="shared" si="29"/>
        <v>#DIV/0!</v>
      </c>
    </row>
    <row r="77">
      <c r="A77" s="194" t="s">
        <v>409</v>
      </c>
      <c r="B77" s="173" t="str">
        <f t="shared" ref="B77:AF77" si="30">B35/B8</f>
        <v>#DIV/0!</v>
      </c>
      <c r="C77" s="173" t="str">
        <f t="shared" si="30"/>
        <v>#DIV/0!</v>
      </c>
      <c r="D77" s="173" t="str">
        <f t="shared" si="30"/>
        <v>#DIV/0!</v>
      </c>
      <c r="E77" s="173" t="str">
        <f t="shared" si="30"/>
        <v>#DIV/0!</v>
      </c>
      <c r="F77" s="173" t="str">
        <f t="shared" si="30"/>
        <v>#DIV/0!</v>
      </c>
      <c r="G77" s="173" t="str">
        <f t="shared" si="30"/>
        <v>#DIV/0!</v>
      </c>
      <c r="H77" s="173" t="str">
        <f t="shared" si="30"/>
        <v>#DIV/0!</v>
      </c>
      <c r="I77" s="173" t="str">
        <f t="shared" si="30"/>
        <v>#DIV/0!</v>
      </c>
      <c r="J77" s="173" t="str">
        <f t="shared" si="30"/>
        <v>#DIV/0!</v>
      </c>
      <c r="K77" s="173" t="str">
        <f t="shared" si="30"/>
        <v>#DIV/0!</v>
      </c>
      <c r="L77" s="173" t="str">
        <f t="shared" si="30"/>
        <v>#DIV/0!</v>
      </c>
      <c r="M77" s="173" t="str">
        <f t="shared" si="30"/>
        <v>#DIV/0!</v>
      </c>
      <c r="N77" s="173" t="str">
        <f t="shared" si="30"/>
        <v>#DIV/0!</v>
      </c>
      <c r="O77" s="173" t="str">
        <f t="shared" si="30"/>
        <v>#DIV/0!</v>
      </c>
      <c r="P77" s="173" t="str">
        <f t="shared" si="30"/>
        <v>#DIV/0!</v>
      </c>
      <c r="Q77" s="173" t="str">
        <f t="shared" si="30"/>
        <v>#DIV/0!</v>
      </c>
      <c r="R77" s="173" t="str">
        <f t="shared" si="30"/>
        <v>#DIV/0!</v>
      </c>
      <c r="S77" s="173" t="str">
        <f t="shared" si="30"/>
        <v>#DIV/0!</v>
      </c>
      <c r="T77" s="173" t="str">
        <f t="shared" si="30"/>
        <v>#DIV/0!</v>
      </c>
      <c r="U77" s="173" t="str">
        <f t="shared" si="30"/>
        <v>#DIV/0!</v>
      </c>
      <c r="V77" s="173" t="str">
        <f t="shared" si="30"/>
        <v>#DIV/0!</v>
      </c>
      <c r="W77" s="173" t="str">
        <f t="shared" si="30"/>
        <v>#DIV/0!</v>
      </c>
      <c r="X77" s="173" t="str">
        <f t="shared" si="30"/>
        <v>#DIV/0!</v>
      </c>
      <c r="Y77" s="173" t="str">
        <f t="shared" si="30"/>
        <v>#DIV/0!</v>
      </c>
      <c r="Z77" s="173" t="str">
        <f t="shared" si="30"/>
        <v>#DIV/0!</v>
      </c>
      <c r="AA77" s="173" t="str">
        <f t="shared" si="30"/>
        <v>#DIV/0!</v>
      </c>
      <c r="AB77" s="173" t="str">
        <f t="shared" si="30"/>
        <v>#DIV/0!</v>
      </c>
      <c r="AC77" s="173" t="str">
        <f t="shared" si="30"/>
        <v>#DIV/0!</v>
      </c>
      <c r="AD77" s="173" t="str">
        <f t="shared" si="30"/>
        <v>#DIV/0!</v>
      </c>
      <c r="AE77" s="173" t="str">
        <f t="shared" si="30"/>
        <v>#DIV/0!</v>
      </c>
      <c r="AF77" s="195" t="str">
        <f t="shared" si="30"/>
        <v>#DIV/0!</v>
      </c>
      <c r="AG77" s="24"/>
    </row>
    <row r="78">
      <c r="A78" s="194" t="s">
        <v>410</v>
      </c>
      <c r="B78" s="176" t="str">
        <f t="shared" ref="B78:AF78" si="31">B20/(B35+B215+B216+B217+B218+B219)</f>
        <v>#DIV/0!</v>
      </c>
      <c r="C78" s="176" t="str">
        <f t="shared" si="31"/>
        <v>#DIV/0!</v>
      </c>
      <c r="D78" s="176" t="str">
        <f t="shared" si="31"/>
        <v>#DIV/0!</v>
      </c>
      <c r="E78" s="176" t="str">
        <f t="shared" si="31"/>
        <v>#DIV/0!</v>
      </c>
      <c r="F78" s="176" t="str">
        <f t="shared" si="31"/>
        <v>#DIV/0!</v>
      </c>
      <c r="G78" s="176" t="str">
        <f t="shared" si="31"/>
        <v>#DIV/0!</v>
      </c>
      <c r="H78" s="176" t="str">
        <f t="shared" si="31"/>
        <v>#DIV/0!</v>
      </c>
      <c r="I78" s="176" t="str">
        <f t="shared" si="31"/>
        <v>#DIV/0!</v>
      </c>
      <c r="J78" s="176" t="str">
        <f t="shared" si="31"/>
        <v>#DIV/0!</v>
      </c>
      <c r="K78" s="176" t="str">
        <f t="shared" si="31"/>
        <v>#DIV/0!</v>
      </c>
      <c r="L78" s="176" t="str">
        <f t="shared" si="31"/>
        <v>#DIV/0!</v>
      </c>
      <c r="M78" s="176" t="str">
        <f t="shared" si="31"/>
        <v>#DIV/0!</v>
      </c>
      <c r="N78" s="176" t="str">
        <f t="shared" si="31"/>
        <v>#DIV/0!</v>
      </c>
      <c r="O78" s="176" t="str">
        <f t="shared" si="31"/>
        <v>#DIV/0!</v>
      </c>
      <c r="P78" s="176" t="str">
        <f t="shared" si="31"/>
        <v>#DIV/0!</v>
      </c>
      <c r="Q78" s="176" t="str">
        <f t="shared" si="31"/>
        <v>#DIV/0!</v>
      </c>
      <c r="R78" s="176" t="str">
        <f t="shared" si="31"/>
        <v>#DIV/0!</v>
      </c>
      <c r="S78" s="176" t="str">
        <f t="shared" si="31"/>
        <v>#DIV/0!</v>
      </c>
      <c r="T78" s="176" t="str">
        <f t="shared" si="31"/>
        <v>#DIV/0!</v>
      </c>
      <c r="U78" s="176" t="str">
        <f t="shared" si="31"/>
        <v>#DIV/0!</v>
      </c>
      <c r="V78" s="176" t="str">
        <f t="shared" si="31"/>
        <v>#DIV/0!</v>
      </c>
      <c r="W78" s="176" t="str">
        <f t="shared" si="31"/>
        <v>#DIV/0!</v>
      </c>
      <c r="X78" s="176" t="str">
        <f t="shared" si="31"/>
        <v>#DIV/0!</v>
      </c>
      <c r="Y78" s="176" t="str">
        <f t="shared" si="31"/>
        <v>#DIV/0!</v>
      </c>
      <c r="Z78" s="176" t="str">
        <f t="shared" si="31"/>
        <v>#DIV/0!</v>
      </c>
      <c r="AA78" s="176" t="str">
        <f t="shared" si="31"/>
        <v>#DIV/0!</v>
      </c>
      <c r="AB78" s="176" t="str">
        <f t="shared" si="31"/>
        <v>#DIV/0!</v>
      </c>
      <c r="AC78" s="176" t="str">
        <f t="shared" si="31"/>
        <v>#DIV/0!</v>
      </c>
      <c r="AD78" s="176" t="str">
        <f t="shared" si="31"/>
        <v>#DIV/0!</v>
      </c>
      <c r="AE78" s="176" t="str">
        <f t="shared" si="31"/>
        <v>#DIV/0!</v>
      </c>
      <c r="AF78" s="196" t="str">
        <f t="shared" si="31"/>
        <v>#DIV/0!</v>
      </c>
      <c r="AG78" s="139"/>
    </row>
    <row r="79">
      <c r="A79" s="27"/>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97"/>
      <c r="AG79" s="24"/>
    </row>
    <row r="80">
      <c r="A80" s="18" t="s">
        <v>507</v>
      </c>
      <c r="B80" s="24"/>
      <c r="C80" s="24"/>
      <c r="D80" s="24"/>
      <c r="E80" s="24"/>
      <c r="F80" s="24"/>
      <c r="G80" s="24"/>
      <c r="H80" s="24"/>
      <c r="I80" s="24"/>
      <c r="J80" s="24"/>
      <c r="K80" s="24"/>
      <c r="L80" s="24"/>
      <c r="M80" s="24"/>
      <c r="N80" s="24"/>
      <c r="O80" s="24"/>
      <c r="P80" s="24"/>
      <c r="Q80" s="24"/>
      <c r="R80" s="24"/>
      <c r="S80" s="24"/>
      <c r="T80" s="24"/>
      <c r="U80" s="24"/>
      <c r="V80" s="24"/>
      <c r="W80" s="24"/>
      <c r="X80" s="24"/>
      <c r="Y80" s="24"/>
      <c r="Z80" s="198">
        <v>3.11</v>
      </c>
      <c r="AA80" s="199">
        <v>1.8</v>
      </c>
      <c r="AB80" s="24"/>
      <c r="AC80" s="24"/>
      <c r="AD80" s="24"/>
      <c r="AE80" s="24"/>
      <c r="AF80" s="27"/>
      <c r="AG80" s="24"/>
    </row>
    <row r="81">
      <c r="A81" s="200" t="s">
        <v>406</v>
      </c>
      <c r="B81" s="142">
        <f t="shared" ref="B81:AF81" si="32">B21-B36-B222-B223-B224-B225-B226</f>
        <v>1552.646</v>
      </c>
      <c r="C81" s="142">
        <f t="shared" si="32"/>
        <v>1286.038</v>
      </c>
      <c r="D81" s="142">
        <f t="shared" si="32"/>
        <v>422.878</v>
      </c>
      <c r="E81" s="143">
        <f t="shared" si="32"/>
        <v>-558.872</v>
      </c>
      <c r="F81" s="143">
        <f t="shared" si="32"/>
        <v>-729.276</v>
      </c>
      <c r="G81" s="143">
        <f t="shared" si="32"/>
        <v>-945.446</v>
      </c>
      <c r="H81" s="143">
        <f t="shared" si="32"/>
        <v>-17.074</v>
      </c>
      <c r="I81" s="143">
        <f t="shared" si="32"/>
        <v>-801.17716</v>
      </c>
      <c r="J81" s="143">
        <f t="shared" si="32"/>
        <v>-336.89174</v>
      </c>
      <c r="K81" s="143">
        <f t="shared" si="32"/>
        <v>-430.66974</v>
      </c>
      <c r="L81" s="142">
        <f t="shared" si="32"/>
        <v>810.54736</v>
      </c>
      <c r="M81" s="143">
        <f t="shared" si="32"/>
        <v>-276.35754</v>
      </c>
      <c r="N81" s="143">
        <f t="shared" si="32"/>
        <v>-1352.61604</v>
      </c>
      <c r="O81" s="143">
        <f t="shared" si="32"/>
        <v>-1610.9528</v>
      </c>
      <c r="P81" s="142">
        <f t="shared" si="32"/>
        <v>1056.2367</v>
      </c>
      <c r="Q81" s="143">
        <f t="shared" si="32"/>
        <v>-985.32538</v>
      </c>
      <c r="R81" s="143">
        <f t="shared" si="32"/>
        <v>-354.0374</v>
      </c>
      <c r="S81" s="156">
        <f t="shared" si="32"/>
        <v>-62.22184</v>
      </c>
      <c r="T81" s="156">
        <f t="shared" si="32"/>
        <v>-132.94072</v>
      </c>
      <c r="U81" s="156">
        <f t="shared" si="32"/>
        <v>-1309.55882</v>
      </c>
      <c r="V81" s="156">
        <f t="shared" si="32"/>
        <v>1958.027128</v>
      </c>
      <c r="W81" s="156">
        <f t="shared" si="32"/>
        <v>-1373.276146</v>
      </c>
      <c r="X81" s="156">
        <f t="shared" si="32"/>
        <v>-203.2962396</v>
      </c>
      <c r="Y81" s="156">
        <f t="shared" si="32"/>
        <v>-930.0137846</v>
      </c>
      <c r="Z81" s="156">
        <f t="shared" si="32"/>
        <v>-1310.91432</v>
      </c>
      <c r="AA81" s="156">
        <f t="shared" si="32"/>
        <v>-750.3251448</v>
      </c>
      <c r="AB81" s="156">
        <f t="shared" si="32"/>
        <v>5.7962194</v>
      </c>
      <c r="AC81" s="156">
        <f t="shared" si="32"/>
        <v>-1191.520606</v>
      </c>
      <c r="AD81" s="156">
        <f t="shared" si="32"/>
        <v>-770.411015</v>
      </c>
      <c r="AE81" s="156">
        <f t="shared" si="32"/>
        <v>-1312.018418</v>
      </c>
      <c r="AF81" s="157">
        <f t="shared" si="32"/>
        <v>-1177.850397</v>
      </c>
      <c r="AG81" s="158">
        <f>SUM(B81:AE81)</f>
        <v>-10653.02345</v>
      </c>
    </row>
    <row r="82">
      <c r="A82" s="200" t="s">
        <v>408</v>
      </c>
      <c r="B82" s="159">
        <f t="shared" ref="B82:AG82" si="33">B21/B36</f>
        <v>3.516256845</v>
      </c>
      <c r="C82" s="159">
        <f t="shared" si="33"/>
        <v>2.636615896</v>
      </c>
      <c r="D82" s="159">
        <f t="shared" si="33"/>
        <v>2.006150429</v>
      </c>
      <c r="E82" s="159">
        <f t="shared" si="33"/>
        <v>1.148036956</v>
      </c>
      <c r="F82" s="159">
        <f t="shared" si="33"/>
        <v>1.089536447</v>
      </c>
      <c r="G82" s="159">
        <f t="shared" si="33"/>
        <v>0.6491348128</v>
      </c>
      <c r="H82" s="159">
        <f t="shared" si="33"/>
        <v>1.758446734</v>
      </c>
      <c r="I82" s="159">
        <f t="shared" si="33"/>
        <v>0.7367515046</v>
      </c>
      <c r="J82" s="159">
        <f t="shared" si="33"/>
        <v>1.388612983</v>
      </c>
      <c r="K82" s="159">
        <f t="shared" si="33"/>
        <v>1.28515929</v>
      </c>
      <c r="L82" s="159">
        <f t="shared" si="33"/>
        <v>2.337980245</v>
      </c>
      <c r="M82" s="159">
        <f t="shared" si="33"/>
        <v>1.479271925</v>
      </c>
      <c r="N82" s="159">
        <f t="shared" si="33"/>
        <v>0.3445271</v>
      </c>
      <c r="O82" s="159">
        <f t="shared" si="33"/>
        <v>0.1235112483</v>
      </c>
      <c r="P82" s="159">
        <f t="shared" si="33"/>
        <v>2.088836934</v>
      </c>
      <c r="Q82" s="159">
        <f t="shared" si="33"/>
        <v>0.8352333709</v>
      </c>
      <c r="R82" s="159">
        <f t="shared" si="33"/>
        <v>1.582750124</v>
      </c>
      <c r="S82" s="201">
        <f t="shared" si="33"/>
        <v>1.668086117</v>
      </c>
      <c r="T82" s="201">
        <f t="shared" si="33"/>
        <v>1.655180768</v>
      </c>
      <c r="U82" s="201">
        <f t="shared" si="33"/>
        <v>0.5853941686</v>
      </c>
      <c r="V82" s="201">
        <f t="shared" si="33"/>
        <v>2.868422607</v>
      </c>
      <c r="W82" s="201">
        <f t="shared" si="33"/>
        <v>0.9847127142</v>
      </c>
      <c r="X82" s="201">
        <f t="shared" si="33"/>
        <v>1.473250401</v>
      </c>
      <c r="Y82" s="201">
        <f t="shared" si="33"/>
        <v>0.9912127612</v>
      </c>
      <c r="Z82" s="201">
        <f t="shared" si="33"/>
        <v>0.7066690541</v>
      </c>
      <c r="AA82" s="201">
        <f t="shared" si="33"/>
        <v>0.9770469871</v>
      </c>
      <c r="AB82" s="201">
        <f t="shared" si="33"/>
        <v>1.517992045</v>
      </c>
      <c r="AC82" s="201">
        <f t="shared" si="33"/>
        <v>0.5408796691</v>
      </c>
      <c r="AD82" s="201">
        <f t="shared" si="33"/>
        <v>1.174725539</v>
      </c>
      <c r="AE82" s="201">
        <f t="shared" si="33"/>
        <v>1.137850544</v>
      </c>
      <c r="AF82" s="202">
        <f t="shared" si="33"/>
        <v>1.102878117</v>
      </c>
      <c r="AG82" s="161">
        <f t="shared" si="33"/>
        <v>1.410867085</v>
      </c>
    </row>
    <row r="83">
      <c r="A83" s="200" t="s">
        <v>409</v>
      </c>
      <c r="B83" s="162">
        <f t="shared" ref="B83:AF83" si="34">B36/B9</f>
        <v>74.87444444</v>
      </c>
      <c r="C83" s="162">
        <f t="shared" si="34"/>
        <v>103.9410526</v>
      </c>
      <c r="D83" s="162">
        <f t="shared" si="34"/>
        <v>123.2263158</v>
      </c>
      <c r="E83" s="162">
        <f t="shared" si="34"/>
        <v>215.25875</v>
      </c>
      <c r="F83" s="162">
        <f t="shared" si="34"/>
        <v>233.1266667</v>
      </c>
      <c r="G83" s="162">
        <f t="shared" si="34"/>
        <v>383.5875</v>
      </c>
      <c r="H83" s="162">
        <f t="shared" si="34"/>
        <v>131.05</v>
      </c>
      <c r="I83" s="162">
        <f t="shared" si="34"/>
        <v>371.7875</v>
      </c>
      <c r="J83" s="162">
        <f t="shared" si="34"/>
        <v>174.778</v>
      </c>
      <c r="K83" s="162">
        <f t="shared" si="34"/>
        <v>188.4755556</v>
      </c>
      <c r="L83" s="162">
        <f t="shared" si="34"/>
        <v>123.4346154</v>
      </c>
      <c r="M83" s="162">
        <f t="shared" si="34"/>
        <v>163.9483333</v>
      </c>
      <c r="N83" s="162">
        <f t="shared" si="34"/>
        <v>874.445</v>
      </c>
      <c r="O83" s="162">
        <f t="shared" si="34"/>
        <v>1722.92</v>
      </c>
      <c r="P83" s="162">
        <f t="shared" si="34"/>
        <v>219.7425</v>
      </c>
      <c r="Q83" s="162">
        <f t="shared" si="34"/>
        <v>369.5833333</v>
      </c>
      <c r="R83" s="162">
        <f t="shared" si="34"/>
        <v>137.5082353</v>
      </c>
      <c r="S83" s="163">
        <f t="shared" si="34"/>
        <v>145.9093333</v>
      </c>
      <c r="T83" s="163">
        <f t="shared" si="34"/>
        <v>137.5841667</v>
      </c>
      <c r="U83" s="163">
        <f t="shared" si="34"/>
        <v>387.626</v>
      </c>
      <c r="V83" s="163">
        <f t="shared" si="34"/>
        <v>121.3465283</v>
      </c>
      <c r="W83" s="163">
        <f t="shared" si="34"/>
        <v>252.7921989</v>
      </c>
      <c r="X83" s="163">
        <f t="shared" si="34"/>
        <v>176.6162763</v>
      </c>
      <c r="Y83" s="163">
        <f t="shared" si="34"/>
        <v>232.4985761</v>
      </c>
      <c r="Z83" s="163">
        <f t="shared" si="34"/>
        <v>295.0663886</v>
      </c>
      <c r="AA83" s="163">
        <f t="shared" si="34"/>
        <v>245.8691521</v>
      </c>
      <c r="AB83" s="163">
        <f t="shared" si="34"/>
        <v>200.6680476</v>
      </c>
      <c r="AC83" s="163">
        <f t="shared" si="34"/>
        <v>428.1220265</v>
      </c>
      <c r="AD83" s="163">
        <f t="shared" si="34"/>
        <v>215.6922263</v>
      </c>
      <c r="AE83" s="163">
        <f t="shared" si="34"/>
        <v>206.9901799</v>
      </c>
      <c r="AF83" s="164">
        <f t="shared" si="34"/>
        <v>226.0902598</v>
      </c>
      <c r="AG83" s="24"/>
    </row>
    <row r="84">
      <c r="A84" s="200" t="s">
        <v>410</v>
      </c>
      <c r="B84" s="165">
        <f t="shared" ref="B84:AF84" si="35">B21/(B36+B222+B223+B224+B225+B226)</f>
        <v>1.487279819</v>
      </c>
      <c r="C84" s="165">
        <f t="shared" si="35"/>
        <v>1.327990427</v>
      </c>
      <c r="D84" s="165">
        <f t="shared" si="35"/>
        <v>1.098939151</v>
      </c>
      <c r="E84" s="165">
        <f t="shared" si="35"/>
        <v>0.7796134821</v>
      </c>
      <c r="F84" s="165">
        <f t="shared" si="35"/>
        <v>0.7581395534</v>
      </c>
      <c r="G84" s="165">
        <f t="shared" si="35"/>
        <v>0.5130196771</v>
      </c>
      <c r="H84" s="165">
        <f t="shared" si="35"/>
        <v>0.9918348179</v>
      </c>
      <c r="I84" s="165">
        <f t="shared" si="35"/>
        <v>0.5776247024</v>
      </c>
      <c r="J84" s="165">
        <f t="shared" si="35"/>
        <v>0.8781092059</v>
      </c>
      <c r="K84" s="165">
        <f t="shared" si="35"/>
        <v>0.8350341359</v>
      </c>
      <c r="L84" s="165">
        <f t="shared" si="35"/>
        <v>1.275593957</v>
      </c>
      <c r="M84" s="165">
        <f t="shared" si="35"/>
        <v>0.9132764021</v>
      </c>
      <c r="N84" s="165">
        <f t="shared" si="35"/>
        <v>0.3081800059</v>
      </c>
      <c r="O84" s="165">
        <f t="shared" si="35"/>
        <v>0.1166824802</v>
      </c>
      <c r="P84" s="165">
        <f t="shared" si="35"/>
        <v>1.403789024</v>
      </c>
      <c r="Q84" s="165">
        <f t="shared" si="35"/>
        <v>0.6527433041</v>
      </c>
      <c r="R84" s="165">
        <f t="shared" si="35"/>
        <v>0.9126682617</v>
      </c>
      <c r="S84" s="166">
        <f t="shared" si="35"/>
        <v>0.9832424445</v>
      </c>
      <c r="T84" s="166">
        <f t="shared" si="35"/>
        <v>0.9536090511</v>
      </c>
      <c r="U84" s="166">
        <f t="shared" si="35"/>
        <v>0.4642022101</v>
      </c>
      <c r="V84" s="166">
        <f t="shared" si="35"/>
        <v>1.542218128</v>
      </c>
      <c r="W84" s="166">
        <f t="shared" si="35"/>
        <v>0.7020663926</v>
      </c>
      <c r="X84" s="166">
        <f t="shared" si="35"/>
        <v>0.9336824371</v>
      </c>
      <c r="Y84" s="166">
        <f t="shared" si="35"/>
        <v>0.6904199204</v>
      </c>
      <c r="Z84" s="166">
        <f t="shared" si="35"/>
        <v>0.526833588</v>
      </c>
      <c r="AA84" s="166">
        <f t="shared" si="35"/>
        <v>0.691466114</v>
      </c>
      <c r="AB84" s="166">
        <f t="shared" si="35"/>
        <v>1.002384192</v>
      </c>
      <c r="AC84" s="166">
        <f t="shared" si="35"/>
        <v>0.4373703164</v>
      </c>
      <c r="AD84" s="166">
        <f t="shared" si="35"/>
        <v>0.7978433755</v>
      </c>
      <c r="AE84" s="166">
        <f t="shared" si="35"/>
        <v>0.7636619636</v>
      </c>
      <c r="AF84" s="168">
        <f t="shared" si="35"/>
        <v>0.760507045</v>
      </c>
      <c r="AG84" s="139"/>
    </row>
    <row r="85">
      <c r="A85" s="27"/>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2"/>
      <c r="AG85" s="139"/>
    </row>
    <row r="86">
      <c r="A86" s="203" t="s">
        <v>508</v>
      </c>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7"/>
      <c r="AG86" s="24"/>
    </row>
    <row r="87">
      <c r="A87" s="71" t="s">
        <v>406</v>
      </c>
      <c r="B87" s="172">
        <f t="shared" ref="B87:AF87" si="36">B25-B39-B229-B230-B231-B232-B233</f>
        <v>0</v>
      </c>
      <c r="C87" s="172">
        <f t="shared" si="36"/>
        <v>0</v>
      </c>
      <c r="D87" s="172">
        <f t="shared" si="36"/>
        <v>0</v>
      </c>
      <c r="E87" s="172">
        <f t="shared" si="36"/>
        <v>0</v>
      </c>
      <c r="F87" s="172">
        <f t="shared" si="36"/>
        <v>0</v>
      </c>
      <c r="G87" s="172">
        <f t="shared" si="36"/>
        <v>0</v>
      </c>
      <c r="H87" s="172">
        <f t="shared" si="36"/>
        <v>0</v>
      </c>
      <c r="I87" s="172">
        <f t="shared" si="36"/>
        <v>0</v>
      </c>
      <c r="J87" s="172">
        <f t="shared" si="36"/>
        <v>0</v>
      </c>
      <c r="K87" s="172">
        <f t="shared" si="36"/>
        <v>0</v>
      </c>
      <c r="L87" s="172">
        <f t="shared" si="36"/>
        <v>0</v>
      </c>
      <c r="M87" s="172">
        <f t="shared" si="36"/>
        <v>0</v>
      </c>
      <c r="N87" s="172">
        <f t="shared" si="36"/>
        <v>0</v>
      </c>
      <c r="O87" s="172">
        <f t="shared" si="36"/>
        <v>0</v>
      </c>
      <c r="P87" s="172">
        <f t="shared" si="36"/>
        <v>0</v>
      </c>
      <c r="Q87" s="172">
        <f t="shared" si="36"/>
        <v>0</v>
      </c>
      <c r="R87" s="172">
        <f t="shared" si="36"/>
        <v>0</v>
      </c>
      <c r="S87" s="173">
        <f t="shared" si="36"/>
        <v>0</v>
      </c>
      <c r="T87" s="173">
        <f t="shared" si="36"/>
        <v>0</v>
      </c>
      <c r="U87" s="173">
        <f t="shared" si="36"/>
        <v>0</v>
      </c>
      <c r="V87" s="173">
        <f t="shared" si="36"/>
        <v>0</v>
      </c>
      <c r="W87" s="173">
        <f t="shared" si="36"/>
        <v>0</v>
      </c>
      <c r="X87" s="173">
        <f t="shared" si="36"/>
        <v>0</v>
      </c>
      <c r="Y87" s="173">
        <f t="shared" si="36"/>
        <v>0</v>
      </c>
      <c r="Z87" s="173">
        <f t="shared" si="36"/>
        <v>0</v>
      </c>
      <c r="AA87" s="173">
        <f t="shared" si="36"/>
        <v>0</v>
      </c>
      <c r="AB87" s="173">
        <f t="shared" si="36"/>
        <v>0</v>
      </c>
      <c r="AC87" s="173">
        <f t="shared" si="36"/>
        <v>0</v>
      </c>
      <c r="AD87" s="173">
        <f t="shared" si="36"/>
        <v>0</v>
      </c>
      <c r="AE87" s="173">
        <f t="shared" si="36"/>
        <v>0</v>
      </c>
      <c r="AF87" s="195">
        <f t="shared" si="36"/>
        <v>0</v>
      </c>
      <c r="AG87" s="158">
        <f>SUM(B87:AE87)</f>
        <v>0</v>
      </c>
    </row>
    <row r="88">
      <c r="A88" s="71" t="s">
        <v>408</v>
      </c>
      <c r="B88" s="176" t="str">
        <f t="shared" ref="B88:AG88" si="37">B25/B39</f>
        <v>#DIV/0!</v>
      </c>
      <c r="C88" s="176" t="str">
        <f t="shared" si="37"/>
        <v>#DIV/0!</v>
      </c>
      <c r="D88" s="176" t="str">
        <f t="shared" si="37"/>
        <v>#DIV/0!</v>
      </c>
      <c r="E88" s="176" t="str">
        <f t="shared" si="37"/>
        <v>#DIV/0!</v>
      </c>
      <c r="F88" s="176" t="str">
        <f t="shared" si="37"/>
        <v>#DIV/0!</v>
      </c>
      <c r="G88" s="176" t="str">
        <f t="shared" si="37"/>
        <v>#DIV/0!</v>
      </c>
      <c r="H88" s="176" t="str">
        <f t="shared" si="37"/>
        <v>#DIV/0!</v>
      </c>
      <c r="I88" s="176" t="str">
        <f t="shared" si="37"/>
        <v>#DIV/0!</v>
      </c>
      <c r="J88" s="176" t="str">
        <f t="shared" si="37"/>
        <v>#DIV/0!</v>
      </c>
      <c r="K88" s="176" t="str">
        <f t="shared" si="37"/>
        <v>#DIV/0!</v>
      </c>
      <c r="L88" s="176" t="str">
        <f t="shared" si="37"/>
        <v>#DIV/0!</v>
      </c>
      <c r="M88" s="176" t="str">
        <f t="shared" si="37"/>
        <v>#DIV/0!</v>
      </c>
      <c r="N88" s="176" t="str">
        <f t="shared" si="37"/>
        <v>#DIV/0!</v>
      </c>
      <c r="O88" s="176" t="str">
        <f t="shared" si="37"/>
        <v>#DIV/0!</v>
      </c>
      <c r="P88" s="176" t="str">
        <f t="shared" si="37"/>
        <v>#DIV/0!</v>
      </c>
      <c r="Q88" s="176" t="str">
        <f t="shared" si="37"/>
        <v>#DIV/0!</v>
      </c>
      <c r="R88" s="176" t="str">
        <f t="shared" si="37"/>
        <v>#DIV/0!</v>
      </c>
      <c r="S88" s="176" t="str">
        <f t="shared" si="37"/>
        <v>#DIV/0!</v>
      </c>
      <c r="T88" s="176" t="str">
        <f t="shared" si="37"/>
        <v>#DIV/0!</v>
      </c>
      <c r="U88" s="176" t="str">
        <f t="shared" si="37"/>
        <v>#DIV/0!</v>
      </c>
      <c r="V88" s="176" t="str">
        <f t="shared" si="37"/>
        <v>#DIV/0!</v>
      </c>
      <c r="W88" s="176" t="str">
        <f t="shared" si="37"/>
        <v>#DIV/0!</v>
      </c>
      <c r="X88" s="176" t="str">
        <f t="shared" si="37"/>
        <v>#DIV/0!</v>
      </c>
      <c r="Y88" s="176" t="str">
        <f t="shared" si="37"/>
        <v>#DIV/0!</v>
      </c>
      <c r="Z88" s="176" t="str">
        <f t="shared" si="37"/>
        <v>#DIV/0!</v>
      </c>
      <c r="AA88" s="176" t="str">
        <f t="shared" si="37"/>
        <v>#DIV/0!</v>
      </c>
      <c r="AB88" s="176" t="str">
        <f t="shared" si="37"/>
        <v>#DIV/0!</v>
      </c>
      <c r="AC88" s="176" t="str">
        <f t="shared" si="37"/>
        <v>#DIV/0!</v>
      </c>
      <c r="AD88" s="176" t="str">
        <f t="shared" si="37"/>
        <v>#DIV/0!</v>
      </c>
      <c r="AE88" s="176" t="str">
        <f t="shared" si="37"/>
        <v>#DIV/0!</v>
      </c>
      <c r="AF88" s="196" t="str">
        <f t="shared" si="37"/>
        <v>#DIV/0!</v>
      </c>
      <c r="AG88" s="179" t="str">
        <f t="shared" si="37"/>
        <v>#DIV/0!</v>
      </c>
    </row>
    <row r="89">
      <c r="A89" s="71" t="s">
        <v>409</v>
      </c>
      <c r="B89" s="173" t="str">
        <f t="shared" ref="B89:AF89" si="38">B39/B13</f>
        <v>#DIV/0!</v>
      </c>
      <c r="C89" s="173" t="str">
        <f t="shared" si="38"/>
        <v>#DIV/0!</v>
      </c>
      <c r="D89" s="173" t="str">
        <f t="shared" si="38"/>
        <v>#DIV/0!</v>
      </c>
      <c r="E89" s="173" t="str">
        <f t="shared" si="38"/>
        <v>#DIV/0!</v>
      </c>
      <c r="F89" s="173" t="str">
        <f t="shared" si="38"/>
        <v>#DIV/0!</v>
      </c>
      <c r="G89" s="173" t="str">
        <f t="shared" si="38"/>
        <v>#DIV/0!</v>
      </c>
      <c r="H89" s="173" t="str">
        <f t="shared" si="38"/>
        <v>#DIV/0!</v>
      </c>
      <c r="I89" s="173" t="str">
        <f t="shared" si="38"/>
        <v>#DIV/0!</v>
      </c>
      <c r="J89" s="173" t="str">
        <f t="shared" si="38"/>
        <v>#DIV/0!</v>
      </c>
      <c r="K89" s="173" t="str">
        <f t="shared" si="38"/>
        <v>#DIV/0!</v>
      </c>
      <c r="L89" s="173" t="str">
        <f t="shared" si="38"/>
        <v>#DIV/0!</v>
      </c>
      <c r="M89" s="173" t="str">
        <f t="shared" si="38"/>
        <v>#DIV/0!</v>
      </c>
      <c r="N89" s="173" t="str">
        <f t="shared" si="38"/>
        <v>#DIV/0!</v>
      </c>
      <c r="O89" s="173" t="str">
        <f t="shared" si="38"/>
        <v>#DIV/0!</v>
      </c>
      <c r="P89" s="173" t="str">
        <f t="shared" si="38"/>
        <v>#DIV/0!</v>
      </c>
      <c r="Q89" s="173" t="str">
        <f t="shared" si="38"/>
        <v>#DIV/0!</v>
      </c>
      <c r="R89" s="173" t="str">
        <f t="shared" si="38"/>
        <v>#DIV/0!</v>
      </c>
      <c r="S89" s="173" t="str">
        <f t="shared" si="38"/>
        <v>#DIV/0!</v>
      </c>
      <c r="T89" s="173" t="str">
        <f t="shared" si="38"/>
        <v>#DIV/0!</v>
      </c>
      <c r="U89" s="173" t="str">
        <f t="shared" si="38"/>
        <v>#DIV/0!</v>
      </c>
      <c r="V89" s="173" t="str">
        <f t="shared" si="38"/>
        <v>#DIV/0!</v>
      </c>
      <c r="W89" s="173" t="str">
        <f t="shared" si="38"/>
        <v>#DIV/0!</v>
      </c>
      <c r="X89" s="173" t="str">
        <f t="shared" si="38"/>
        <v>#DIV/0!</v>
      </c>
      <c r="Y89" s="173" t="str">
        <f t="shared" si="38"/>
        <v>#DIV/0!</v>
      </c>
      <c r="Z89" s="173" t="str">
        <f t="shared" si="38"/>
        <v>#DIV/0!</v>
      </c>
      <c r="AA89" s="173" t="str">
        <f t="shared" si="38"/>
        <v>#DIV/0!</v>
      </c>
      <c r="AB89" s="173" t="str">
        <f t="shared" si="38"/>
        <v>#DIV/0!</v>
      </c>
      <c r="AC89" s="173" t="str">
        <f t="shared" si="38"/>
        <v>#DIV/0!</v>
      </c>
      <c r="AD89" s="173" t="str">
        <f t="shared" si="38"/>
        <v>#DIV/0!</v>
      </c>
      <c r="AE89" s="173" t="str">
        <f t="shared" si="38"/>
        <v>#DIV/0!</v>
      </c>
      <c r="AF89" s="195" t="str">
        <f t="shared" si="38"/>
        <v>#DIV/0!</v>
      </c>
      <c r="AG89" s="24"/>
    </row>
    <row r="90">
      <c r="A90" s="71" t="s">
        <v>410</v>
      </c>
      <c r="B90" s="176" t="str">
        <f t="shared" ref="B90:AF90" si="39">B25/(B39+B229+B230+B231+B232+B233)</f>
        <v>#DIV/0!</v>
      </c>
      <c r="C90" s="176" t="str">
        <f t="shared" si="39"/>
        <v>#DIV/0!</v>
      </c>
      <c r="D90" s="176" t="str">
        <f t="shared" si="39"/>
        <v>#DIV/0!</v>
      </c>
      <c r="E90" s="176" t="str">
        <f t="shared" si="39"/>
        <v>#DIV/0!</v>
      </c>
      <c r="F90" s="176" t="str">
        <f t="shared" si="39"/>
        <v>#DIV/0!</v>
      </c>
      <c r="G90" s="176" t="str">
        <f t="shared" si="39"/>
        <v>#DIV/0!</v>
      </c>
      <c r="H90" s="176" t="str">
        <f t="shared" si="39"/>
        <v>#DIV/0!</v>
      </c>
      <c r="I90" s="176" t="str">
        <f t="shared" si="39"/>
        <v>#DIV/0!</v>
      </c>
      <c r="J90" s="176" t="str">
        <f t="shared" si="39"/>
        <v>#DIV/0!</v>
      </c>
      <c r="K90" s="176" t="str">
        <f t="shared" si="39"/>
        <v>#DIV/0!</v>
      </c>
      <c r="L90" s="176" t="str">
        <f t="shared" si="39"/>
        <v>#DIV/0!</v>
      </c>
      <c r="M90" s="176" t="str">
        <f t="shared" si="39"/>
        <v>#DIV/0!</v>
      </c>
      <c r="N90" s="176" t="str">
        <f t="shared" si="39"/>
        <v>#DIV/0!</v>
      </c>
      <c r="O90" s="176" t="str">
        <f t="shared" si="39"/>
        <v>#DIV/0!</v>
      </c>
      <c r="P90" s="176" t="str">
        <f t="shared" si="39"/>
        <v>#DIV/0!</v>
      </c>
      <c r="Q90" s="176" t="str">
        <f t="shared" si="39"/>
        <v>#DIV/0!</v>
      </c>
      <c r="R90" s="176" t="str">
        <f t="shared" si="39"/>
        <v>#DIV/0!</v>
      </c>
      <c r="S90" s="176" t="str">
        <f t="shared" si="39"/>
        <v>#DIV/0!</v>
      </c>
      <c r="T90" s="176" t="str">
        <f t="shared" si="39"/>
        <v>#DIV/0!</v>
      </c>
      <c r="U90" s="176" t="str">
        <f t="shared" si="39"/>
        <v>#DIV/0!</v>
      </c>
      <c r="V90" s="176" t="str">
        <f t="shared" si="39"/>
        <v>#DIV/0!</v>
      </c>
      <c r="W90" s="176" t="str">
        <f t="shared" si="39"/>
        <v>#DIV/0!</v>
      </c>
      <c r="X90" s="176" t="str">
        <f t="shared" si="39"/>
        <v>#DIV/0!</v>
      </c>
      <c r="Y90" s="176" t="str">
        <f t="shared" si="39"/>
        <v>#DIV/0!</v>
      </c>
      <c r="Z90" s="176" t="str">
        <f t="shared" si="39"/>
        <v>#DIV/0!</v>
      </c>
      <c r="AA90" s="176" t="str">
        <f t="shared" si="39"/>
        <v>#DIV/0!</v>
      </c>
      <c r="AB90" s="176" t="str">
        <f t="shared" si="39"/>
        <v>#DIV/0!</v>
      </c>
      <c r="AC90" s="176" t="str">
        <f t="shared" si="39"/>
        <v>#DIV/0!</v>
      </c>
      <c r="AD90" s="176" t="str">
        <f t="shared" si="39"/>
        <v>#DIV/0!</v>
      </c>
      <c r="AE90" s="176" t="str">
        <f t="shared" si="39"/>
        <v>#DIV/0!</v>
      </c>
      <c r="AF90" s="196" t="str">
        <f t="shared" si="39"/>
        <v>#DIV/0!</v>
      </c>
      <c r="AG90" s="139"/>
    </row>
    <row r="91">
      <c r="A91" s="192"/>
      <c r="B91" s="19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c r="AA91" s="191"/>
      <c r="AB91" s="191"/>
      <c r="AC91" s="191"/>
      <c r="AD91" s="191"/>
      <c r="AE91" s="191"/>
      <c r="AF91" s="192"/>
      <c r="AG91" s="139"/>
    </row>
    <row r="92">
      <c r="A92" s="204" t="s">
        <v>509</v>
      </c>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c r="AA92" s="191"/>
      <c r="AB92" s="191"/>
      <c r="AC92" s="191"/>
      <c r="AD92" s="191"/>
      <c r="AE92" s="191"/>
      <c r="AF92" s="192"/>
      <c r="AG92" s="139"/>
    </row>
    <row r="93">
      <c r="A93" s="155" t="s">
        <v>406</v>
      </c>
      <c r="B93" s="172">
        <f t="shared" ref="B93:AD93" si="40">B22-B40-B236-B237-B238-B239-B240</f>
        <v>0</v>
      </c>
      <c r="C93" s="172">
        <f t="shared" si="40"/>
        <v>0</v>
      </c>
      <c r="D93" s="172">
        <f t="shared" si="40"/>
        <v>0</v>
      </c>
      <c r="E93" s="172">
        <f t="shared" si="40"/>
        <v>0</v>
      </c>
      <c r="F93" s="172">
        <f t="shared" si="40"/>
        <v>0</v>
      </c>
      <c r="G93" s="172">
        <f t="shared" si="40"/>
        <v>0</v>
      </c>
      <c r="H93" s="172">
        <f t="shared" si="40"/>
        <v>0</v>
      </c>
      <c r="I93" s="172">
        <f t="shared" si="40"/>
        <v>0</v>
      </c>
      <c r="J93" s="172">
        <f t="shared" si="40"/>
        <v>0</v>
      </c>
      <c r="K93" s="172">
        <f t="shared" si="40"/>
        <v>0</v>
      </c>
      <c r="L93" s="172">
        <f t="shared" si="40"/>
        <v>0</v>
      </c>
      <c r="M93" s="172">
        <f t="shared" si="40"/>
        <v>0</v>
      </c>
      <c r="N93" s="172">
        <f t="shared" si="40"/>
        <v>0</v>
      </c>
      <c r="O93" s="172">
        <f t="shared" si="40"/>
        <v>0</v>
      </c>
      <c r="P93" s="172">
        <f t="shared" si="40"/>
        <v>0</v>
      </c>
      <c r="Q93" s="172">
        <f t="shared" si="40"/>
        <v>0</v>
      </c>
      <c r="R93" s="172">
        <f t="shared" si="40"/>
        <v>0</v>
      </c>
      <c r="S93" s="173">
        <f t="shared" si="40"/>
        <v>0</v>
      </c>
      <c r="T93" s="173">
        <f t="shared" si="40"/>
        <v>0</v>
      </c>
      <c r="U93" s="173">
        <f t="shared" si="40"/>
        <v>0</v>
      </c>
      <c r="V93" s="173">
        <f t="shared" si="40"/>
        <v>0</v>
      </c>
      <c r="W93" s="173">
        <f t="shared" si="40"/>
        <v>0</v>
      </c>
      <c r="X93" s="173">
        <f t="shared" si="40"/>
        <v>0</v>
      </c>
      <c r="Y93" s="173">
        <f t="shared" si="40"/>
        <v>0</v>
      </c>
      <c r="Z93" s="173">
        <f t="shared" si="40"/>
        <v>0</v>
      </c>
      <c r="AA93" s="173">
        <f t="shared" si="40"/>
        <v>0</v>
      </c>
      <c r="AB93" s="173">
        <f t="shared" si="40"/>
        <v>0</v>
      </c>
      <c r="AC93" s="173">
        <f t="shared" si="40"/>
        <v>0</v>
      </c>
      <c r="AD93" s="173">
        <f t="shared" si="40"/>
        <v>0</v>
      </c>
      <c r="AE93" s="174"/>
      <c r="AF93" s="175"/>
      <c r="AG93" s="158">
        <f>SUM(B93:AE93)</f>
        <v>0</v>
      </c>
    </row>
    <row r="94">
      <c r="A94" s="155" t="s">
        <v>408</v>
      </c>
      <c r="B94" s="176" t="str">
        <f t="shared" ref="B94:AD94" si="41">B22/B40</f>
        <v>#DIV/0!</v>
      </c>
      <c r="C94" s="176" t="str">
        <f t="shared" si="41"/>
        <v>#DIV/0!</v>
      </c>
      <c r="D94" s="176" t="str">
        <f t="shared" si="41"/>
        <v>#DIV/0!</v>
      </c>
      <c r="E94" s="176" t="str">
        <f t="shared" si="41"/>
        <v>#DIV/0!</v>
      </c>
      <c r="F94" s="176" t="str">
        <f t="shared" si="41"/>
        <v>#DIV/0!</v>
      </c>
      <c r="G94" s="176" t="str">
        <f t="shared" si="41"/>
        <v>#DIV/0!</v>
      </c>
      <c r="H94" s="176" t="str">
        <f t="shared" si="41"/>
        <v>#DIV/0!</v>
      </c>
      <c r="I94" s="176" t="str">
        <f t="shared" si="41"/>
        <v>#DIV/0!</v>
      </c>
      <c r="J94" s="176" t="str">
        <f t="shared" si="41"/>
        <v>#DIV/0!</v>
      </c>
      <c r="K94" s="176" t="str">
        <f t="shared" si="41"/>
        <v>#DIV/0!</v>
      </c>
      <c r="L94" s="176" t="str">
        <f t="shared" si="41"/>
        <v>#DIV/0!</v>
      </c>
      <c r="M94" s="176" t="str">
        <f t="shared" si="41"/>
        <v>#DIV/0!</v>
      </c>
      <c r="N94" s="176" t="str">
        <f t="shared" si="41"/>
        <v>#DIV/0!</v>
      </c>
      <c r="O94" s="176" t="str">
        <f t="shared" si="41"/>
        <v>#DIV/0!</v>
      </c>
      <c r="P94" s="176" t="str">
        <f t="shared" si="41"/>
        <v>#DIV/0!</v>
      </c>
      <c r="Q94" s="176" t="str">
        <f t="shared" si="41"/>
        <v>#DIV/0!</v>
      </c>
      <c r="R94" s="176" t="str">
        <f t="shared" si="41"/>
        <v>#DIV/0!</v>
      </c>
      <c r="S94" s="176" t="str">
        <f t="shared" si="41"/>
        <v>#DIV/0!</v>
      </c>
      <c r="T94" s="176" t="str">
        <f t="shared" si="41"/>
        <v>#DIV/0!</v>
      </c>
      <c r="U94" s="176" t="str">
        <f t="shared" si="41"/>
        <v>#DIV/0!</v>
      </c>
      <c r="V94" s="176" t="str">
        <f t="shared" si="41"/>
        <v>#DIV/0!</v>
      </c>
      <c r="W94" s="176" t="str">
        <f t="shared" si="41"/>
        <v>#DIV/0!</v>
      </c>
      <c r="X94" s="176" t="str">
        <f t="shared" si="41"/>
        <v>#DIV/0!</v>
      </c>
      <c r="Y94" s="176" t="str">
        <f t="shared" si="41"/>
        <v>#DIV/0!</v>
      </c>
      <c r="Z94" s="176" t="str">
        <f t="shared" si="41"/>
        <v>#DIV/0!</v>
      </c>
      <c r="AA94" s="176" t="str">
        <f t="shared" si="41"/>
        <v>#DIV/0!</v>
      </c>
      <c r="AB94" s="176" t="str">
        <f t="shared" si="41"/>
        <v>#DIV/0!</v>
      </c>
      <c r="AC94" s="176" t="str">
        <f t="shared" si="41"/>
        <v>#DIV/0!</v>
      </c>
      <c r="AD94" s="176" t="str">
        <f t="shared" si="41"/>
        <v>#DIV/0!</v>
      </c>
      <c r="AE94" s="177"/>
      <c r="AF94" s="178"/>
      <c r="AG94" s="179" t="str">
        <f>AG22/AG40</f>
        <v>#DIV/0!</v>
      </c>
    </row>
    <row r="95">
      <c r="A95" s="155" t="s">
        <v>409</v>
      </c>
      <c r="B95" s="173" t="str">
        <f t="shared" ref="B95:AD95" si="42">B40/B10</f>
        <v>#DIV/0!</v>
      </c>
      <c r="C95" s="173" t="str">
        <f t="shared" si="42"/>
        <v>#DIV/0!</v>
      </c>
      <c r="D95" s="173" t="str">
        <f t="shared" si="42"/>
        <v>#DIV/0!</v>
      </c>
      <c r="E95" s="173" t="str">
        <f t="shared" si="42"/>
        <v>#DIV/0!</v>
      </c>
      <c r="F95" s="173" t="str">
        <f t="shared" si="42"/>
        <v>#DIV/0!</v>
      </c>
      <c r="G95" s="173" t="str">
        <f t="shared" si="42"/>
        <v>#DIV/0!</v>
      </c>
      <c r="H95" s="173" t="str">
        <f t="shared" si="42"/>
        <v>#DIV/0!</v>
      </c>
      <c r="I95" s="173" t="str">
        <f t="shared" si="42"/>
        <v>#DIV/0!</v>
      </c>
      <c r="J95" s="173" t="str">
        <f t="shared" si="42"/>
        <v>#DIV/0!</v>
      </c>
      <c r="K95" s="173" t="str">
        <f t="shared" si="42"/>
        <v>#DIV/0!</v>
      </c>
      <c r="L95" s="173" t="str">
        <f t="shared" si="42"/>
        <v>#DIV/0!</v>
      </c>
      <c r="M95" s="173" t="str">
        <f t="shared" si="42"/>
        <v>#DIV/0!</v>
      </c>
      <c r="N95" s="173" t="str">
        <f t="shared" si="42"/>
        <v>#DIV/0!</v>
      </c>
      <c r="O95" s="173" t="str">
        <f t="shared" si="42"/>
        <v>#DIV/0!</v>
      </c>
      <c r="P95" s="173" t="str">
        <f t="shared" si="42"/>
        <v>#DIV/0!</v>
      </c>
      <c r="Q95" s="173" t="str">
        <f t="shared" si="42"/>
        <v>#DIV/0!</v>
      </c>
      <c r="R95" s="173" t="str">
        <f t="shared" si="42"/>
        <v>#DIV/0!</v>
      </c>
      <c r="S95" s="173" t="str">
        <f t="shared" si="42"/>
        <v>#DIV/0!</v>
      </c>
      <c r="T95" s="173" t="str">
        <f t="shared" si="42"/>
        <v>#DIV/0!</v>
      </c>
      <c r="U95" s="173" t="str">
        <f t="shared" si="42"/>
        <v>#DIV/0!</v>
      </c>
      <c r="V95" s="173" t="str">
        <f t="shared" si="42"/>
        <v>#DIV/0!</v>
      </c>
      <c r="W95" s="173" t="str">
        <f t="shared" si="42"/>
        <v>#DIV/0!</v>
      </c>
      <c r="X95" s="173" t="str">
        <f t="shared" si="42"/>
        <v>#DIV/0!</v>
      </c>
      <c r="Y95" s="173" t="str">
        <f t="shared" si="42"/>
        <v>#DIV/0!</v>
      </c>
      <c r="Z95" s="173" t="str">
        <f t="shared" si="42"/>
        <v>#DIV/0!</v>
      </c>
      <c r="AA95" s="173" t="str">
        <f t="shared" si="42"/>
        <v>#DIV/0!</v>
      </c>
      <c r="AB95" s="173" t="str">
        <f t="shared" si="42"/>
        <v>#DIV/0!</v>
      </c>
      <c r="AC95" s="173" t="str">
        <f t="shared" si="42"/>
        <v>#DIV/0!</v>
      </c>
      <c r="AD95" s="173" t="str">
        <f t="shared" si="42"/>
        <v>#DIV/0!</v>
      </c>
      <c r="AE95" s="174"/>
      <c r="AF95" s="175"/>
      <c r="AG95" s="139"/>
    </row>
    <row r="96">
      <c r="A96" s="155" t="s">
        <v>410</v>
      </c>
      <c r="B96" s="176" t="str">
        <f t="shared" ref="B96:AD96" si="43">B22/(B40+B236+B237+B238+B239+B240)</f>
        <v>#DIV/0!</v>
      </c>
      <c r="C96" s="176" t="str">
        <f t="shared" si="43"/>
        <v>#DIV/0!</v>
      </c>
      <c r="D96" s="176" t="str">
        <f t="shared" si="43"/>
        <v>#DIV/0!</v>
      </c>
      <c r="E96" s="176" t="str">
        <f t="shared" si="43"/>
        <v>#DIV/0!</v>
      </c>
      <c r="F96" s="176" t="str">
        <f t="shared" si="43"/>
        <v>#DIV/0!</v>
      </c>
      <c r="G96" s="176" t="str">
        <f t="shared" si="43"/>
        <v>#DIV/0!</v>
      </c>
      <c r="H96" s="176" t="str">
        <f t="shared" si="43"/>
        <v>#DIV/0!</v>
      </c>
      <c r="I96" s="176" t="str">
        <f t="shared" si="43"/>
        <v>#DIV/0!</v>
      </c>
      <c r="J96" s="176" t="str">
        <f t="shared" si="43"/>
        <v>#DIV/0!</v>
      </c>
      <c r="K96" s="176" t="str">
        <f t="shared" si="43"/>
        <v>#DIV/0!</v>
      </c>
      <c r="L96" s="176" t="str">
        <f t="shared" si="43"/>
        <v>#DIV/0!</v>
      </c>
      <c r="M96" s="176" t="str">
        <f t="shared" si="43"/>
        <v>#DIV/0!</v>
      </c>
      <c r="N96" s="176" t="str">
        <f t="shared" si="43"/>
        <v>#DIV/0!</v>
      </c>
      <c r="O96" s="176" t="str">
        <f t="shared" si="43"/>
        <v>#DIV/0!</v>
      </c>
      <c r="P96" s="176" t="str">
        <f t="shared" si="43"/>
        <v>#DIV/0!</v>
      </c>
      <c r="Q96" s="176" t="str">
        <f t="shared" si="43"/>
        <v>#DIV/0!</v>
      </c>
      <c r="R96" s="176" t="str">
        <f t="shared" si="43"/>
        <v>#DIV/0!</v>
      </c>
      <c r="S96" s="176" t="str">
        <f t="shared" si="43"/>
        <v>#DIV/0!</v>
      </c>
      <c r="T96" s="176" t="str">
        <f t="shared" si="43"/>
        <v>#DIV/0!</v>
      </c>
      <c r="U96" s="176" t="str">
        <f t="shared" si="43"/>
        <v>#DIV/0!</v>
      </c>
      <c r="V96" s="176" t="str">
        <f t="shared" si="43"/>
        <v>#DIV/0!</v>
      </c>
      <c r="W96" s="176" t="str">
        <f t="shared" si="43"/>
        <v>#DIV/0!</v>
      </c>
      <c r="X96" s="176" t="str">
        <f t="shared" si="43"/>
        <v>#DIV/0!</v>
      </c>
      <c r="Y96" s="176" t="str">
        <f t="shared" si="43"/>
        <v>#DIV/0!</v>
      </c>
      <c r="Z96" s="176" t="str">
        <f t="shared" si="43"/>
        <v>#DIV/0!</v>
      </c>
      <c r="AA96" s="176" t="str">
        <f t="shared" si="43"/>
        <v>#DIV/0!</v>
      </c>
      <c r="AB96" s="176" t="str">
        <f t="shared" si="43"/>
        <v>#DIV/0!</v>
      </c>
      <c r="AC96" s="176" t="str">
        <f t="shared" si="43"/>
        <v>#DIV/0!</v>
      </c>
      <c r="AD96" s="176" t="str">
        <f t="shared" si="43"/>
        <v>#DIV/0!</v>
      </c>
      <c r="AE96" s="177"/>
      <c r="AF96" s="178"/>
      <c r="AG96" s="139"/>
    </row>
    <row r="97">
      <c r="A97" s="192"/>
      <c r="B97" s="19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c r="AA97" s="191"/>
      <c r="AB97" s="191"/>
      <c r="AC97" s="191"/>
      <c r="AD97" s="191"/>
      <c r="AE97" s="191"/>
      <c r="AF97" s="192"/>
      <c r="AG97" s="139"/>
    </row>
    <row r="98">
      <c r="A98" s="205" t="s">
        <v>510</v>
      </c>
      <c r="B98" s="19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c r="AA98" s="191"/>
      <c r="AB98" s="191"/>
      <c r="AC98" s="191"/>
      <c r="AD98" s="191"/>
      <c r="AE98" s="191"/>
      <c r="AF98" s="192"/>
      <c r="AG98" s="139"/>
    </row>
    <row r="99">
      <c r="A99" s="193" t="s">
        <v>406</v>
      </c>
      <c r="B99" s="142">
        <f t="shared" ref="B99:AF99" si="44">B23-B37-B243-B244-B245-B246-B247</f>
        <v>96.614</v>
      </c>
      <c r="C99" s="143">
        <f t="shared" si="44"/>
        <v>-1.75</v>
      </c>
      <c r="D99" s="142">
        <f t="shared" si="44"/>
        <v>115.066</v>
      </c>
      <c r="E99" s="143">
        <f t="shared" si="44"/>
        <v>-10.56</v>
      </c>
      <c r="F99" s="143">
        <f t="shared" si="44"/>
        <v>-6.83</v>
      </c>
      <c r="G99" s="143">
        <f t="shared" si="44"/>
        <v>-5.35</v>
      </c>
      <c r="H99" s="143">
        <f t="shared" si="44"/>
        <v>-5.09</v>
      </c>
      <c r="I99" s="143">
        <f t="shared" si="44"/>
        <v>-17.35</v>
      </c>
      <c r="J99" s="142">
        <f t="shared" si="44"/>
        <v>6188.62</v>
      </c>
      <c r="K99" s="142">
        <f t="shared" si="44"/>
        <v>793.15</v>
      </c>
      <c r="L99" s="143">
        <f t="shared" si="44"/>
        <v>-40.79</v>
      </c>
      <c r="M99" s="143">
        <f t="shared" si="44"/>
        <v>-21.82</v>
      </c>
      <c r="N99" s="142">
        <f t="shared" si="44"/>
        <v>103.264</v>
      </c>
      <c r="O99" s="142">
        <f t="shared" si="44"/>
        <v>107.164</v>
      </c>
      <c r="P99" s="143">
        <f t="shared" si="44"/>
        <v>-8.01</v>
      </c>
      <c r="Q99" s="142">
        <f t="shared" si="44"/>
        <v>176.158</v>
      </c>
      <c r="R99" s="143">
        <f t="shared" si="44"/>
        <v>-15.47</v>
      </c>
      <c r="S99" s="156">
        <f t="shared" si="44"/>
        <v>161.93</v>
      </c>
      <c r="T99" s="156">
        <f t="shared" si="44"/>
        <v>-8.18</v>
      </c>
      <c r="U99" s="156">
        <f t="shared" si="44"/>
        <v>-5.53</v>
      </c>
      <c r="V99" s="156">
        <f t="shared" si="44"/>
        <v>-9.54</v>
      </c>
      <c r="W99" s="156">
        <f t="shared" si="44"/>
        <v>283.998</v>
      </c>
      <c r="X99" s="156">
        <f t="shared" si="44"/>
        <v>-7.71</v>
      </c>
      <c r="Y99" s="156">
        <f t="shared" si="44"/>
        <v>-12.34</v>
      </c>
      <c r="Z99" s="156">
        <f t="shared" si="44"/>
        <v>-8.62</v>
      </c>
      <c r="AA99" s="156">
        <f t="shared" si="44"/>
        <v>107.376</v>
      </c>
      <c r="AB99" s="156">
        <f t="shared" si="44"/>
        <v>-3.53</v>
      </c>
      <c r="AC99" s="156">
        <f t="shared" si="44"/>
        <v>-6.12</v>
      </c>
      <c r="AD99" s="156">
        <f t="shared" si="44"/>
        <v>151.752</v>
      </c>
      <c r="AE99" s="156">
        <f t="shared" si="44"/>
        <v>-11.04</v>
      </c>
      <c r="AF99" s="157">
        <f t="shared" si="44"/>
        <v>268.696</v>
      </c>
      <c r="AG99" s="158">
        <f>SUM(B99:AE99)</f>
        <v>8079.462</v>
      </c>
    </row>
    <row r="100">
      <c r="A100" s="193" t="s">
        <v>408</v>
      </c>
      <c r="B100" s="159">
        <f t="shared" ref="B100:AG100" si="45">B23/B37</f>
        <v>23.59679267</v>
      </c>
      <c r="C100" s="159">
        <f t="shared" si="45"/>
        <v>0</v>
      </c>
      <c r="D100" s="159">
        <f t="shared" si="45"/>
        <v>28.68117798</v>
      </c>
      <c r="E100" s="159">
        <f t="shared" si="45"/>
        <v>0</v>
      </c>
      <c r="F100" s="159">
        <f t="shared" si="45"/>
        <v>0</v>
      </c>
      <c r="G100" s="159">
        <f t="shared" si="45"/>
        <v>0</v>
      </c>
      <c r="H100" s="159">
        <f t="shared" si="45"/>
        <v>0</v>
      </c>
      <c r="I100" s="159">
        <f t="shared" si="45"/>
        <v>0</v>
      </c>
      <c r="J100" s="159">
        <f t="shared" si="45"/>
        <v>40.20708533</v>
      </c>
      <c r="K100" s="159">
        <f t="shared" si="45"/>
        <v>19.75574713</v>
      </c>
      <c r="L100" s="159">
        <f t="shared" si="45"/>
        <v>0</v>
      </c>
      <c r="M100" s="159">
        <f t="shared" si="45"/>
        <v>0</v>
      </c>
      <c r="N100" s="159">
        <f t="shared" si="45"/>
        <v>18.27411168</v>
      </c>
      <c r="O100" s="159">
        <f t="shared" si="45"/>
        <v>27.27272727</v>
      </c>
      <c r="P100" s="159">
        <f t="shared" si="45"/>
        <v>0</v>
      </c>
      <c r="Q100" s="159">
        <f t="shared" si="45"/>
        <v>35.51980198</v>
      </c>
      <c r="R100" s="159">
        <f t="shared" si="45"/>
        <v>0</v>
      </c>
      <c r="S100" s="201">
        <f t="shared" si="45"/>
        <v>25.89453861</v>
      </c>
      <c r="T100" s="201">
        <f t="shared" si="45"/>
        <v>0</v>
      </c>
      <c r="U100" s="201">
        <f t="shared" si="45"/>
        <v>0</v>
      </c>
      <c r="V100" s="201">
        <f t="shared" si="45"/>
        <v>0</v>
      </c>
      <c r="W100" s="201">
        <f t="shared" si="45"/>
        <v>52.42616034</v>
      </c>
      <c r="X100" s="201">
        <f t="shared" si="45"/>
        <v>0</v>
      </c>
      <c r="Y100" s="201">
        <f t="shared" si="45"/>
        <v>0</v>
      </c>
      <c r="Z100" s="201">
        <f t="shared" si="45"/>
        <v>0</v>
      </c>
      <c r="AA100" s="201">
        <f t="shared" si="45"/>
        <v>20.60206961</v>
      </c>
      <c r="AB100" s="201">
        <f t="shared" si="45"/>
        <v>0</v>
      </c>
      <c r="AC100" s="201">
        <f t="shared" si="45"/>
        <v>0</v>
      </c>
      <c r="AD100" s="201">
        <f t="shared" si="45"/>
        <v>28.86937431</v>
      </c>
      <c r="AE100" s="201">
        <f t="shared" si="45"/>
        <v>0</v>
      </c>
      <c r="AF100" s="202">
        <f t="shared" si="45"/>
        <v>66.06896552</v>
      </c>
      <c r="AG100" s="161">
        <f t="shared" si="45"/>
        <v>23.53556827</v>
      </c>
    </row>
    <row r="101">
      <c r="A101" s="193" t="s">
        <v>409</v>
      </c>
      <c r="B101" s="162">
        <f t="shared" ref="B101:AF101" si="46">B37/B11</f>
        <v>8.73</v>
      </c>
      <c r="C101" s="163" t="str">
        <f t="shared" si="46"/>
        <v>#DIV/0!</v>
      </c>
      <c r="D101" s="162">
        <f t="shared" si="46"/>
        <v>7.81</v>
      </c>
      <c r="E101" s="163" t="str">
        <f t="shared" si="46"/>
        <v>#DIV/0!</v>
      </c>
      <c r="F101" s="163" t="str">
        <f t="shared" si="46"/>
        <v>#DIV/0!</v>
      </c>
      <c r="G101" s="163" t="str">
        <f t="shared" si="46"/>
        <v>#DIV/0!</v>
      </c>
      <c r="H101" s="163" t="str">
        <f t="shared" si="46"/>
        <v>#DIV/0!</v>
      </c>
      <c r="I101" s="163" t="str">
        <f t="shared" si="46"/>
        <v>#DIV/0!</v>
      </c>
      <c r="J101" s="162">
        <f t="shared" si="46"/>
        <v>7.001944444</v>
      </c>
      <c r="K101" s="162">
        <f t="shared" si="46"/>
        <v>13.92</v>
      </c>
      <c r="L101" s="163" t="str">
        <f t="shared" si="46"/>
        <v>#DIV/0!</v>
      </c>
      <c r="M101" s="163" t="str">
        <f t="shared" si="46"/>
        <v>#DIV/0!</v>
      </c>
      <c r="N101" s="162">
        <f t="shared" si="46"/>
        <v>11.82</v>
      </c>
      <c r="O101" s="162">
        <f t="shared" si="46"/>
        <v>7.92</v>
      </c>
      <c r="P101" s="163" t="str">
        <f t="shared" si="46"/>
        <v>#DIV/0!</v>
      </c>
      <c r="Q101" s="162">
        <f t="shared" si="46"/>
        <v>8.08</v>
      </c>
      <c r="R101" s="163" t="str">
        <f t="shared" si="46"/>
        <v>#DIV/0!</v>
      </c>
      <c r="S101" s="163">
        <f t="shared" si="46"/>
        <v>10.62</v>
      </c>
      <c r="T101" s="163" t="str">
        <f t="shared" si="46"/>
        <v>#DIV/0!</v>
      </c>
      <c r="U101" s="163" t="str">
        <f t="shared" si="46"/>
        <v>#DIV/0!</v>
      </c>
      <c r="V101" s="163" t="str">
        <f t="shared" si="46"/>
        <v>#DIV/0!</v>
      </c>
      <c r="W101" s="163">
        <f t="shared" si="46"/>
        <v>4.74</v>
      </c>
      <c r="X101" s="163" t="str">
        <f t="shared" si="46"/>
        <v>#DIV/0!</v>
      </c>
      <c r="Y101" s="163" t="str">
        <f t="shared" si="46"/>
        <v>#DIV/0!</v>
      </c>
      <c r="Z101" s="163" t="str">
        <f t="shared" si="46"/>
        <v>#DIV/0!</v>
      </c>
      <c r="AA101" s="163">
        <f t="shared" si="46"/>
        <v>10.63</v>
      </c>
      <c r="AB101" s="163" t="str">
        <f t="shared" si="46"/>
        <v>#DIV/0!</v>
      </c>
      <c r="AC101" s="163" t="str">
        <f t="shared" si="46"/>
        <v>#DIV/0!</v>
      </c>
      <c r="AD101" s="163">
        <f t="shared" si="46"/>
        <v>9.11</v>
      </c>
      <c r="AE101" s="163" t="str">
        <f t="shared" si="46"/>
        <v>#DIV/0!</v>
      </c>
      <c r="AF101" s="164">
        <f t="shared" si="46"/>
        <v>3.625</v>
      </c>
      <c r="AG101" s="139"/>
    </row>
    <row r="102">
      <c r="A102" s="193" t="s">
        <v>410</v>
      </c>
      <c r="B102" s="165">
        <f t="shared" ref="B102:AF102" si="47">B23/(B37+B243+B244+B245+B246+B247)</f>
        <v>1.883239171</v>
      </c>
      <c r="C102" s="165">
        <f t="shared" si="47"/>
        <v>0</v>
      </c>
      <c r="D102" s="165">
        <f t="shared" si="47"/>
        <v>2.056290965</v>
      </c>
      <c r="E102" s="165">
        <f t="shared" si="47"/>
        <v>0</v>
      </c>
      <c r="F102" s="165">
        <f t="shared" si="47"/>
        <v>0</v>
      </c>
      <c r="G102" s="165">
        <f t="shared" si="47"/>
        <v>0</v>
      </c>
      <c r="H102" s="165">
        <f t="shared" si="47"/>
        <v>0</v>
      </c>
      <c r="I102" s="165">
        <f t="shared" si="47"/>
        <v>0</v>
      </c>
      <c r="J102" s="165">
        <f t="shared" si="47"/>
        <v>2.568176405</v>
      </c>
      <c r="K102" s="165">
        <f t="shared" si="47"/>
        <v>2.363152015</v>
      </c>
      <c r="L102" s="165">
        <f t="shared" si="47"/>
        <v>0</v>
      </c>
      <c r="M102" s="165">
        <f t="shared" si="47"/>
        <v>0</v>
      </c>
      <c r="N102" s="165">
        <f t="shared" si="47"/>
        <v>1.915980698</v>
      </c>
      <c r="O102" s="165">
        <f t="shared" si="47"/>
        <v>1.984637436</v>
      </c>
      <c r="P102" s="165">
        <f t="shared" si="47"/>
        <v>0</v>
      </c>
      <c r="Q102" s="165">
        <f t="shared" si="47"/>
        <v>2.589271215</v>
      </c>
      <c r="R102" s="165">
        <f t="shared" si="47"/>
        <v>0</v>
      </c>
      <c r="S102" s="166">
        <f t="shared" si="47"/>
        <v>2.432121695</v>
      </c>
      <c r="T102" s="166">
        <f t="shared" si="47"/>
        <v>0</v>
      </c>
      <c r="U102" s="166">
        <f t="shared" si="47"/>
        <v>0</v>
      </c>
      <c r="V102" s="166">
        <f t="shared" si="47"/>
        <v>0</v>
      </c>
      <c r="W102" s="166">
        <f t="shared" si="47"/>
        <v>2.333311424</v>
      </c>
      <c r="X102" s="166">
        <f t="shared" si="47"/>
        <v>0</v>
      </c>
      <c r="Y102" s="166">
        <f t="shared" si="47"/>
        <v>0</v>
      </c>
      <c r="Z102" s="166">
        <f t="shared" si="47"/>
        <v>0</v>
      </c>
      <c r="AA102" s="166">
        <f t="shared" si="47"/>
        <v>1.961943668</v>
      </c>
      <c r="AB102" s="166">
        <f t="shared" si="47"/>
        <v>0</v>
      </c>
      <c r="AC102" s="166">
        <f t="shared" si="47"/>
        <v>0</v>
      </c>
      <c r="AD102" s="166">
        <f t="shared" si="47"/>
        <v>2.364087444</v>
      </c>
      <c r="AE102" s="166">
        <f t="shared" si="47"/>
        <v>0</v>
      </c>
      <c r="AF102" s="168">
        <f t="shared" si="47"/>
        <v>2.277655204</v>
      </c>
      <c r="AG102" s="139"/>
    </row>
    <row r="103">
      <c r="A103" s="192"/>
      <c r="B103" s="19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c r="AA103" s="191"/>
      <c r="AB103" s="191"/>
      <c r="AC103" s="191"/>
      <c r="AD103" s="191"/>
      <c r="AE103" s="191"/>
      <c r="AF103" s="192"/>
      <c r="AG103" s="139"/>
    </row>
    <row r="104">
      <c r="A104" s="206" t="s">
        <v>511</v>
      </c>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2"/>
      <c r="AG104" s="139"/>
    </row>
    <row r="105">
      <c r="A105" s="207" t="s">
        <v>406</v>
      </c>
      <c r="B105" s="172">
        <f t="shared" ref="B105:AF105" si="48">B24-B38-B250-B251-B252-B253-B254</f>
        <v>0</v>
      </c>
      <c r="C105" s="172">
        <f t="shared" si="48"/>
        <v>0</v>
      </c>
      <c r="D105" s="172">
        <f t="shared" si="48"/>
        <v>0</v>
      </c>
      <c r="E105" s="172">
        <f t="shared" si="48"/>
        <v>0</v>
      </c>
      <c r="F105" s="172">
        <f t="shared" si="48"/>
        <v>0</v>
      </c>
      <c r="G105" s="172">
        <f t="shared" si="48"/>
        <v>0</v>
      </c>
      <c r="H105" s="172">
        <f t="shared" si="48"/>
        <v>0</v>
      </c>
      <c r="I105" s="172">
        <f t="shared" si="48"/>
        <v>0</v>
      </c>
      <c r="J105" s="172">
        <f t="shared" si="48"/>
        <v>0</v>
      </c>
      <c r="K105" s="172">
        <f t="shared" si="48"/>
        <v>0</v>
      </c>
      <c r="L105" s="172">
        <f t="shared" si="48"/>
        <v>0</v>
      </c>
      <c r="M105" s="172">
        <f t="shared" si="48"/>
        <v>0</v>
      </c>
      <c r="N105" s="172">
        <f t="shared" si="48"/>
        <v>0</v>
      </c>
      <c r="O105" s="172">
        <f t="shared" si="48"/>
        <v>0</v>
      </c>
      <c r="P105" s="172">
        <f t="shared" si="48"/>
        <v>0</v>
      </c>
      <c r="Q105" s="172">
        <f t="shared" si="48"/>
        <v>0</v>
      </c>
      <c r="R105" s="172">
        <f t="shared" si="48"/>
        <v>0</v>
      </c>
      <c r="S105" s="173">
        <f t="shared" si="48"/>
        <v>0</v>
      </c>
      <c r="T105" s="173">
        <f t="shared" si="48"/>
        <v>0</v>
      </c>
      <c r="U105" s="173">
        <f t="shared" si="48"/>
        <v>0</v>
      </c>
      <c r="V105" s="173">
        <f t="shared" si="48"/>
        <v>0</v>
      </c>
      <c r="W105" s="173">
        <f t="shared" si="48"/>
        <v>0</v>
      </c>
      <c r="X105" s="173">
        <f t="shared" si="48"/>
        <v>0</v>
      </c>
      <c r="Y105" s="173">
        <f t="shared" si="48"/>
        <v>0</v>
      </c>
      <c r="Z105" s="173">
        <f t="shared" si="48"/>
        <v>0</v>
      </c>
      <c r="AA105" s="173">
        <f t="shared" si="48"/>
        <v>0</v>
      </c>
      <c r="AB105" s="173">
        <f t="shared" si="48"/>
        <v>0</v>
      </c>
      <c r="AC105" s="173">
        <f t="shared" si="48"/>
        <v>0</v>
      </c>
      <c r="AD105" s="173">
        <f t="shared" si="48"/>
        <v>0</v>
      </c>
      <c r="AE105" s="173">
        <f t="shared" si="48"/>
        <v>0</v>
      </c>
      <c r="AF105" s="195">
        <f t="shared" si="48"/>
        <v>0</v>
      </c>
      <c r="AG105" s="158">
        <f>SUM(B105:AE105)</f>
        <v>0</v>
      </c>
    </row>
    <row r="106">
      <c r="A106" s="207" t="s">
        <v>408</v>
      </c>
      <c r="B106" s="176" t="str">
        <f t="shared" ref="B106:AG106" si="49">B24/B38</f>
        <v>#DIV/0!</v>
      </c>
      <c r="C106" s="176" t="str">
        <f t="shared" si="49"/>
        <v>#DIV/0!</v>
      </c>
      <c r="D106" s="176" t="str">
        <f t="shared" si="49"/>
        <v>#DIV/0!</v>
      </c>
      <c r="E106" s="176" t="str">
        <f t="shared" si="49"/>
        <v>#DIV/0!</v>
      </c>
      <c r="F106" s="176" t="str">
        <f t="shared" si="49"/>
        <v>#DIV/0!</v>
      </c>
      <c r="G106" s="176" t="str">
        <f t="shared" si="49"/>
        <v>#DIV/0!</v>
      </c>
      <c r="H106" s="176" t="str">
        <f t="shared" si="49"/>
        <v>#DIV/0!</v>
      </c>
      <c r="I106" s="176" t="str">
        <f t="shared" si="49"/>
        <v>#DIV/0!</v>
      </c>
      <c r="J106" s="176" t="str">
        <f t="shared" si="49"/>
        <v>#DIV/0!</v>
      </c>
      <c r="K106" s="176" t="str">
        <f t="shared" si="49"/>
        <v>#DIV/0!</v>
      </c>
      <c r="L106" s="176" t="str">
        <f t="shared" si="49"/>
        <v>#DIV/0!</v>
      </c>
      <c r="M106" s="176" t="str">
        <f t="shared" si="49"/>
        <v>#DIV/0!</v>
      </c>
      <c r="N106" s="176" t="str">
        <f t="shared" si="49"/>
        <v>#DIV/0!</v>
      </c>
      <c r="O106" s="176" t="str">
        <f t="shared" si="49"/>
        <v>#DIV/0!</v>
      </c>
      <c r="P106" s="176" t="str">
        <f t="shared" si="49"/>
        <v>#DIV/0!</v>
      </c>
      <c r="Q106" s="176" t="str">
        <f t="shared" si="49"/>
        <v>#DIV/0!</v>
      </c>
      <c r="R106" s="176" t="str">
        <f t="shared" si="49"/>
        <v>#DIV/0!</v>
      </c>
      <c r="S106" s="176" t="str">
        <f t="shared" si="49"/>
        <v>#DIV/0!</v>
      </c>
      <c r="T106" s="176" t="str">
        <f t="shared" si="49"/>
        <v>#DIV/0!</v>
      </c>
      <c r="U106" s="176" t="str">
        <f t="shared" si="49"/>
        <v>#DIV/0!</v>
      </c>
      <c r="V106" s="176" t="str">
        <f t="shared" si="49"/>
        <v>#DIV/0!</v>
      </c>
      <c r="W106" s="176" t="str">
        <f t="shared" si="49"/>
        <v>#DIV/0!</v>
      </c>
      <c r="X106" s="176" t="str">
        <f t="shared" si="49"/>
        <v>#DIV/0!</v>
      </c>
      <c r="Y106" s="176" t="str">
        <f t="shared" si="49"/>
        <v>#DIV/0!</v>
      </c>
      <c r="Z106" s="176" t="str">
        <f t="shared" si="49"/>
        <v>#DIV/0!</v>
      </c>
      <c r="AA106" s="176" t="str">
        <f t="shared" si="49"/>
        <v>#DIV/0!</v>
      </c>
      <c r="AB106" s="176" t="str">
        <f t="shared" si="49"/>
        <v>#DIV/0!</v>
      </c>
      <c r="AC106" s="176" t="str">
        <f t="shared" si="49"/>
        <v>#DIV/0!</v>
      </c>
      <c r="AD106" s="176" t="str">
        <f t="shared" si="49"/>
        <v>#DIV/0!</v>
      </c>
      <c r="AE106" s="176" t="str">
        <f t="shared" si="49"/>
        <v>#DIV/0!</v>
      </c>
      <c r="AF106" s="196" t="str">
        <f t="shared" si="49"/>
        <v>#DIV/0!</v>
      </c>
      <c r="AG106" s="179" t="str">
        <f t="shared" si="49"/>
        <v>#DIV/0!</v>
      </c>
    </row>
    <row r="107">
      <c r="A107" s="207" t="s">
        <v>409</v>
      </c>
      <c r="B107" s="173" t="str">
        <f t="shared" ref="B107:AF107" si="50">B38/B12</f>
        <v>#DIV/0!</v>
      </c>
      <c r="C107" s="173" t="str">
        <f t="shared" si="50"/>
        <v>#DIV/0!</v>
      </c>
      <c r="D107" s="173" t="str">
        <f t="shared" si="50"/>
        <v>#DIV/0!</v>
      </c>
      <c r="E107" s="173" t="str">
        <f t="shared" si="50"/>
        <v>#DIV/0!</v>
      </c>
      <c r="F107" s="173" t="str">
        <f t="shared" si="50"/>
        <v>#DIV/0!</v>
      </c>
      <c r="G107" s="173" t="str">
        <f t="shared" si="50"/>
        <v>#DIV/0!</v>
      </c>
      <c r="H107" s="173" t="str">
        <f t="shared" si="50"/>
        <v>#DIV/0!</v>
      </c>
      <c r="I107" s="173" t="str">
        <f t="shared" si="50"/>
        <v>#DIV/0!</v>
      </c>
      <c r="J107" s="173" t="str">
        <f t="shared" si="50"/>
        <v>#DIV/0!</v>
      </c>
      <c r="K107" s="173" t="str">
        <f t="shared" si="50"/>
        <v>#DIV/0!</v>
      </c>
      <c r="L107" s="173" t="str">
        <f t="shared" si="50"/>
        <v>#DIV/0!</v>
      </c>
      <c r="M107" s="173" t="str">
        <f t="shared" si="50"/>
        <v>#DIV/0!</v>
      </c>
      <c r="N107" s="173" t="str">
        <f t="shared" si="50"/>
        <v>#DIV/0!</v>
      </c>
      <c r="O107" s="173" t="str">
        <f t="shared" si="50"/>
        <v>#DIV/0!</v>
      </c>
      <c r="P107" s="173" t="str">
        <f t="shared" si="50"/>
        <v>#DIV/0!</v>
      </c>
      <c r="Q107" s="173" t="str">
        <f t="shared" si="50"/>
        <v>#DIV/0!</v>
      </c>
      <c r="R107" s="173" t="str">
        <f t="shared" si="50"/>
        <v>#DIV/0!</v>
      </c>
      <c r="S107" s="173" t="str">
        <f t="shared" si="50"/>
        <v>#DIV/0!</v>
      </c>
      <c r="T107" s="173" t="str">
        <f t="shared" si="50"/>
        <v>#DIV/0!</v>
      </c>
      <c r="U107" s="173" t="str">
        <f t="shared" si="50"/>
        <v>#DIV/0!</v>
      </c>
      <c r="V107" s="173" t="str">
        <f t="shared" si="50"/>
        <v>#DIV/0!</v>
      </c>
      <c r="W107" s="173" t="str">
        <f t="shared" si="50"/>
        <v>#DIV/0!</v>
      </c>
      <c r="X107" s="173" t="str">
        <f t="shared" si="50"/>
        <v>#DIV/0!</v>
      </c>
      <c r="Y107" s="173" t="str">
        <f t="shared" si="50"/>
        <v>#DIV/0!</v>
      </c>
      <c r="Z107" s="173" t="str">
        <f t="shared" si="50"/>
        <v>#DIV/0!</v>
      </c>
      <c r="AA107" s="173" t="str">
        <f t="shared" si="50"/>
        <v>#DIV/0!</v>
      </c>
      <c r="AB107" s="173" t="str">
        <f t="shared" si="50"/>
        <v>#DIV/0!</v>
      </c>
      <c r="AC107" s="173" t="str">
        <f t="shared" si="50"/>
        <v>#DIV/0!</v>
      </c>
      <c r="AD107" s="173" t="str">
        <f t="shared" si="50"/>
        <v>#DIV/0!</v>
      </c>
      <c r="AE107" s="173" t="str">
        <f t="shared" si="50"/>
        <v>#DIV/0!</v>
      </c>
      <c r="AF107" s="195" t="str">
        <f t="shared" si="50"/>
        <v>#DIV/0!</v>
      </c>
      <c r="AG107" s="139"/>
    </row>
    <row r="108">
      <c r="A108" s="207" t="s">
        <v>410</v>
      </c>
      <c r="B108" s="176" t="str">
        <f t="shared" ref="B108:AF108" si="51">B24/(B38+B250+B251+B252+B253+B254)</f>
        <v>#DIV/0!</v>
      </c>
      <c r="C108" s="176" t="str">
        <f t="shared" si="51"/>
        <v>#DIV/0!</v>
      </c>
      <c r="D108" s="176" t="str">
        <f t="shared" si="51"/>
        <v>#DIV/0!</v>
      </c>
      <c r="E108" s="176" t="str">
        <f t="shared" si="51"/>
        <v>#DIV/0!</v>
      </c>
      <c r="F108" s="176" t="str">
        <f t="shared" si="51"/>
        <v>#DIV/0!</v>
      </c>
      <c r="G108" s="176" t="str">
        <f t="shared" si="51"/>
        <v>#DIV/0!</v>
      </c>
      <c r="H108" s="176" t="str">
        <f t="shared" si="51"/>
        <v>#DIV/0!</v>
      </c>
      <c r="I108" s="176" t="str">
        <f t="shared" si="51"/>
        <v>#DIV/0!</v>
      </c>
      <c r="J108" s="176" t="str">
        <f t="shared" si="51"/>
        <v>#DIV/0!</v>
      </c>
      <c r="K108" s="176" t="str">
        <f t="shared" si="51"/>
        <v>#DIV/0!</v>
      </c>
      <c r="L108" s="176" t="str">
        <f t="shared" si="51"/>
        <v>#DIV/0!</v>
      </c>
      <c r="M108" s="176" t="str">
        <f t="shared" si="51"/>
        <v>#DIV/0!</v>
      </c>
      <c r="N108" s="176" t="str">
        <f t="shared" si="51"/>
        <v>#DIV/0!</v>
      </c>
      <c r="O108" s="176" t="str">
        <f t="shared" si="51"/>
        <v>#DIV/0!</v>
      </c>
      <c r="P108" s="176" t="str">
        <f t="shared" si="51"/>
        <v>#DIV/0!</v>
      </c>
      <c r="Q108" s="176" t="str">
        <f t="shared" si="51"/>
        <v>#DIV/0!</v>
      </c>
      <c r="R108" s="176" t="str">
        <f t="shared" si="51"/>
        <v>#DIV/0!</v>
      </c>
      <c r="S108" s="176" t="str">
        <f t="shared" si="51"/>
        <v>#DIV/0!</v>
      </c>
      <c r="T108" s="176" t="str">
        <f t="shared" si="51"/>
        <v>#DIV/0!</v>
      </c>
      <c r="U108" s="176" t="str">
        <f t="shared" si="51"/>
        <v>#DIV/0!</v>
      </c>
      <c r="V108" s="176" t="str">
        <f t="shared" si="51"/>
        <v>#DIV/0!</v>
      </c>
      <c r="W108" s="176" t="str">
        <f t="shared" si="51"/>
        <v>#DIV/0!</v>
      </c>
      <c r="X108" s="176" t="str">
        <f t="shared" si="51"/>
        <v>#DIV/0!</v>
      </c>
      <c r="Y108" s="176" t="str">
        <f t="shared" si="51"/>
        <v>#DIV/0!</v>
      </c>
      <c r="Z108" s="176" t="str">
        <f t="shared" si="51"/>
        <v>#DIV/0!</v>
      </c>
      <c r="AA108" s="176" t="str">
        <f t="shared" si="51"/>
        <v>#DIV/0!</v>
      </c>
      <c r="AB108" s="176" t="str">
        <f t="shared" si="51"/>
        <v>#DIV/0!</v>
      </c>
      <c r="AC108" s="176" t="str">
        <f t="shared" si="51"/>
        <v>#DIV/0!</v>
      </c>
      <c r="AD108" s="176" t="str">
        <f t="shared" si="51"/>
        <v>#DIV/0!</v>
      </c>
      <c r="AE108" s="176" t="str">
        <f t="shared" si="51"/>
        <v>#DIV/0!</v>
      </c>
      <c r="AF108" s="196" t="str">
        <f t="shared" si="51"/>
        <v>#DIV/0!</v>
      </c>
      <c r="AG108" s="139"/>
    </row>
    <row r="109">
      <c r="A109" s="192"/>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c r="AB109" s="191"/>
      <c r="AC109" s="191"/>
      <c r="AD109" s="191"/>
      <c r="AE109" s="191"/>
      <c r="AF109" s="192"/>
      <c r="AG109" s="139"/>
    </row>
    <row r="110">
      <c r="A110" s="27"/>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41"/>
      <c r="AG110" s="24"/>
    </row>
    <row r="111">
      <c r="A111" s="27"/>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41"/>
      <c r="AG111" s="24"/>
    </row>
    <row r="112">
      <c r="A112" s="27"/>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9"/>
      <c r="AG112" s="24"/>
    </row>
    <row r="113">
      <c r="A113" s="182" t="s">
        <v>383</v>
      </c>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7"/>
      <c r="AG113" s="24"/>
    </row>
    <row r="114">
      <c r="A114" s="210" t="s">
        <v>512</v>
      </c>
      <c r="B114" s="211">
        <v>0.0</v>
      </c>
      <c r="C114" s="211">
        <v>0.0</v>
      </c>
      <c r="D114" s="211">
        <v>202.0</v>
      </c>
      <c r="E114" s="211">
        <v>0.0</v>
      </c>
      <c r="F114" s="211">
        <v>202.0</v>
      </c>
      <c r="G114" s="211">
        <v>511.0</v>
      </c>
      <c r="H114" s="211">
        <v>0.0</v>
      </c>
      <c r="I114" s="122">
        <v>0.0</v>
      </c>
      <c r="J114" s="122">
        <v>1266.0</v>
      </c>
      <c r="K114" s="122">
        <v>0.0</v>
      </c>
      <c r="L114" s="122">
        <v>1513.0</v>
      </c>
      <c r="M114" s="211">
        <v>563.0</v>
      </c>
      <c r="N114" s="211">
        <v>0.0</v>
      </c>
      <c r="O114" s="211">
        <v>774.0</v>
      </c>
      <c r="P114" s="211">
        <v>0.0</v>
      </c>
      <c r="Q114" s="211">
        <v>0.0</v>
      </c>
      <c r="R114" s="211">
        <v>0.0</v>
      </c>
      <c r="S114" s="212">
        <v>0.0</v>
      </c>
      <c r="T114" s="212">
        <v>0.0</v>
      </c>
      <c r="U114" s="212">
        <v>0.0</v>
      </c>
      <c r="V114" s="212">
        <v>0.0</v>
      </c>
      <c r="W114" s="212">
        <v>0.0</v>
      </c>
      <c r="X114" s="212">
        <v>0.0</v>
      </c>
      <c r="Y114" s="212">
        <v>0.0</v>
      </c>
      <c r="Z114" s="212">
        <v>0.0</v>
      </c>
      <c r="AA114" s="212">
        <v>0.0</v>
      </c>
      <c r="AB114" s="212">
        <v>0.0</v>
      </c>
      <c r="AC114" s="212">
        <v>0.0</v>
      </c>
      <c r="AD114" s="212">
        <v>0.0</v>
      </c>
      <c r="AE114" s="212">
        <v>0.0</v>
      </c>
      <c r="AF114" s="213">
        <v>0.0</v>
      </c>
      <c r="AG114" s="106">
        <f t="shared" ref="AG114:AG116" si="52">SUM(B114:AF114)</f>
        <v>5031</v>
      </c>
    </row>
    <row r="115">
      <c r="A115" s="210" t="s">
        <v>513</v>
      </c>
      <c r="B115" s="122">
        <v>7630.0</v>
      </c>
      <c r="C115" s="122">
        <v>11329.0</v>
      </c>
      <c r="D115" s="122">
        <v>12479.0</v>
      </c>
      <c r="E115" s="122">
        <v>8050.0</v>
      </c>
      <c r="F115" s="122">
        <v>8353.0</v>
      </c>
      <c r="G115" s="122">
        <v>5696.0</v>
      </c>
      <c r="H115" s="122">
        <v>5140.0</v>
      </c>
      <c r="I115" s="122">
        <v>5585.0</v>
      </c>
      <c r="J115" s="122">
        <v>92219.0</v>
      </c>
      <c r="K115" s="122">
        <v>24793.0</v>
      </c>
      <c r="L115" s="211">
        <v>14104.0</v>
      </c>
      <c r="M115" s="122">
        <v>9503.0</v>
      </c>
      <c r="N115" s="122">
        <v>7614.0</v>
      </c>
      <c r="O115" s="211">
        <v>8202.0</v>
      </c>
      <c r="P115" s="211">
        <v>6635.0</v>
      </c>
      <c r="Q115" s="211">
        <v>14130.0</v>
      </c>
      <c r="R115" s="122">
        <v>11060.0</v>
      </c>
      <c r="S115" s="214">
        <v>8197.0</v>
      </c>
      <c r="T115" s="214">
        <v>7684.0</v>
      </c>
      <c r="U115" s="214">
        <v>5998.0</v>
      </c>
      <c r="V115" s="139">
        <f>Sales!V7</f>
        <v>7969</v>
      </c>
      <c r="W115" s="139">
        <f>Sales!W7</f>
        <v>9244</v>
      </c>
      <c r="X115" s="139">
        <f>Sales!X7</f>
        <v>8367</v>
      </c>
      <c r="Y115" s="139">
        <f>Sales!Y7</f>
        <v>9031</v>
      </c>
      <c r="Z115" s="139">
        <f>Sales!Z7</f>
        <v>9037</v>
      </c>
      <c r="AA115" s="139">
        <f>Sales!AA7</f>
        <v>5927</v>
      </c>
      <c r="AB115" s="139">
        <f>Sales!AB7</f>
        <v>7247</v>
      </c>
      <c r="AC115" s="139">
        <f>Sales!AC7</f>
        <v>7071</v>
      </c>
      <c r="AD115" s="139">
        <f>Sales!AD7</f>
        <v>9772</v>
      </c>
      <c r="AE115" s="139">
        <f>Sales!AE7</f>
        <v>10906</v>
      </c>
      <c r="AF115" s="141">
        <f>Sales!AF7</f>
        <v>10568</v>
      </c>
      <c r="AG115" s="106">
        <f t="shared" si="52"/>
        <v>369540</v>
      </c>
    </row>
    <row r="116">
      <c r="A116" s="210" t="s">
        <v>514</v>
      </c>
      <c r="B116" s="215">
        <f t="shared" ref="B116:AF116" si="53">SUM(B114:B115)</f>
        <v>7630</v>
      </c>
      <c r="C116" s="215">
        <f t="shared" si="53"/>
        <v>11329</v>
      </c>
      <c r="D116" s="215">
        <f t="shared" si="53"/>
        <v>12681</v>
      </c>
      <c r="E116" s="215">
        <f t="shared" si="53"/>
        <v>8050</v>
      </c>
      <c r="F116" s="215">
        <f t="shared" si="53"/>
        <v>8555</v>
      </c>
      <c r="G116" s="215">
        <f t="shared" si="53"/>
        <v>6207</v>
      </c>
      <c r="H116" s="215">
        <f t="shared" si="53"/>
        <v>5140</v>
      </c>
      <c r="I116" s="215">
        <f t="shared" si="53"/>
        <v>5585</v>
      </c>
      <c r="J116" s="215">
        <f t="shared" si="53"/>
        <v>93485</v>
      </c>
      <c r="K116" s="215">
        <f t="shared" si="53"/>
        <v>24793</v>
      </c>
      <c r="L116" s="215">
        <f t="shared" si="53"/>
        <v>15617</v>
      </c>
      <c r="M116" s="215">
        <f t="shared" si="53"/>
        <v>10066</v>
      </c>
      <c r="N116" s="215">
        <f t="shared" si="53"/>
        <v>7614</v>
      </c>
      <c r="O116" s="215">
        <f t="shared" si="53"/>
        <v>8976</v>
      </c>
      <c r="P116" s="215">
        <f t="shared" si="53"/>
        <v>6635</v>
      </c>
      <c r="Q116" s="215">
        <f t="shared" si="53"/>
        <v>14130</v>
      </c>
      <c r="R116" s="215">
        <f t="shared" si="53"/>
        <v>11060</v>
      </c>
      <c r="S116" s="215">
        <f t="shared" si="53"/>
        <v>8197</v>
      </c>
      <c r="T116" s="215">
        <f t="shared" si="53"/>
        <v>7684</v>
      </c>
      <c r="U116" s="215">
        <f t="shared" si="53"/>
        <v>5998</v>
      </c>
      <c r="V116" s="215">
        <f t="shared" si="53"/>
        <v>7969</v>
      </c>
      <c r="W116" s="215">
        <f t="shared" si="53"/>
        <v>9244</v>
      </c>
      <c r="X116" s="215">
        <f t="shared" si="53"/>
        <v>8367</v>
      </c>
      <c r="Y116" s="215">
        <f t="shared" si="53"/>
        <v>9031</v>
      </c>
      <c r="Z116" s="215">
        <f t="shared" si="53"/>
        <v>9037</v>
      </c>
      <c r="AA116" s="215">
        <f t="shared" si="53"/>
        <v>5927</v>
      </c>
      <c r="AB116" s="215">
        <f t="shared" si="53"/>
        <v>7247</v>
      </c>
      <c r="AC116" s="215">
        <f t="shared" si="53"/>
        <v>7071</v>
      </c>
      <c r="AD116" s="215">
        <f t="shared" si="53"/>
        <v>9772</v>
      </c>
      <c r="AE116" s="215">
        <f t="shared" si="53"/>
        <v>10906</v>
      </c>
      <c r="AF116" s="216">
        <f t="shared" si="53"/>
        <v>10568</v>
      </c>
      <c r="AG116" s="217">
        <f t="shared" si="52"/>
        <v>374571</v>
      </c>
    </row>
    <row r="117">
      <c r="A117" s="27"/>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7"/>
      <c r="AG117" s="24"/>
    </row>
    <row r="118">
      <c r="A118" s="182" t="s">
        <v>515</v>
      </c>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7"/>
      <c r="AG118" s="24"/>
    </row>
    <row r="119">
      <c r="A119" s="218" t="s">
        <v>516</v>
      </c>
      <c r="B119" s="219">
        <v>0.0</v>
      </c>
      <c r="C119" s="219">
        <v>0.0</v>
      </c>
      <c r="D119" s="219">
        <v>1.0</v>
      </c>
      <c r="E119" s="219">
        <v>0.0</v>
      </c>
      <c r="F119" s="219">
        <v>1.0</v>
      </c>
      <c r="G119" s="219">
        <v>2.0</v>
      </c>
      <c r="H119" s="219">
        <v>0.0</v>
      </c>
      <c r="I119" s="219">
        <v>0.0</v>
      </c>
      <c r="J119" s="219">
        <v>5.0</v>
      </c>
      <c r="K119" s="219">
        <v>0.0</v>
      </c>
      <c r="L119" s="219">
        <v>5.0</v>
      </c>
      <c r="M119" s="219">
        <v>2.0</v>
      </c>
      <c r="N119" s="219">
        <v>0.0</v>
      </c>
      <c r="O119" s="219">
        <v>3.0</v>
      </c>
      <c r="P119" s="219">
        <v>0.0</v>
      </c>
      <c r="Q119" s="219">
        <v>0.0</v>
      </c>
      <c r="R119" s="219">
        <v>0.0</v>
      </c>
      <c r="S119" s="219">
        <v>0.0</v>
      </c>
      <c r="T119" s="219">
        <v>0.0</v>
      </c>
      <c r="U119" s="220">
        <v>0.0</v>
      </c>
      <c r="V119" s="220">
        <v>0.0</v>
      </c>
      <c r="W119" s="220">
        <v>0.0</v>
      </c>
      <c r="X119" s="220">
        <v>0.0</v>
      </c>
      <c r="Y119" s="220">
        <v>0.0</v>
      </c>
      <c r="Z119" s="220">
        <v>0.0</v>
      </c>
      <c r="AA119" s="220">
        <v>0.0</v>
      </c>
      <c r="AB119" s="220">
        <v>0.0</v>
      </c>
      <c r="AC119" s="220">
        <v>0.0</v>
      </c>
      <c r="AD119" s="220">
        <v>0.0</v>
      </c>
      <c r="AE119" s="220">
        <v>0.0</v>
      </c>
      <c r="AF119" s="135">
        <v>0.0</v>
      </c>
      <c r="AG119" s="221">
        <f t="shared" ref="AG119:AG121" si="54">SUM(B119:AF119)</f>
        <v>19</v>
      </c>
    </row>
    <row r="120">
      <c r="A120" s="218" t="s">
        <v>517</v>
      </c>
      <c r="B120" s="219">
        <v>31.0</v>
      </c>
      <c r="C120" s="219">
        <v>45.0</v>
      </c>
      <c r="D120" s="219">
        <v>52.0</v>
      </c>
      <c r="E120" s="219">
        <v>29.0</v>
      </c>
      <c r="F120" s="219">
        <v>33.0</v>
      </c>
      <c r="G120" s="219">
        <v>22.0</v>
      </c>
      <c r="H120" s="219">
        <v>22.0</v>
      </c>
      <c r="I120" s="219">
        <v>23.0</v>
      </c>
      <c r="J120" s="219">
        <v>334.0</v>
      </c>
      <c r="K120" s="219">
        <v>89.0</v>
      </c>
      <c r="L120" s="219">
        <v>51.0</v>
      </c>
      <c r="M120" s="219">
        <v>36.0</v>
      </c>
      <c r="N120" s="219">
        <v>27.0</v>
      </c>
      <c r="O120" s="219">
        <v>31.0</v>
      </c>
      <c r="P120" s="219">
        <v>25.0</v>
      </c>
      <c r="Q120" s="219">
        <v>49.0</v>
      </c>
      <c r="R120" s="219">
        <v>44.0</v>
      </c>
      <c r="S120" s="220">
        <v>33.0</v>
      </c>
      <c r="T120" s="220">
        <v>31.0</v>
      </c>
      <c r="U120" s="220">
        <v>21.0</v>
      </c>
      <c r="V120" s="222">
        <f>Sales!V9</f>
        <v>30</v>
      </c>
      <c r="W120" s="222">
        <f>Sales!W9</f>
        <v>37</v>
      </c>
      <c r="X120" s="222">
        <f>Sales!X9</f>
        <v>28</v>
      </c>
      <c r="Y120" s="24">
        <f>Sales!Y9</f>
        <v>36</v>
      </c>
      <c r="Z120" s="24">
        <f>Sales!Z9</f>
        <v>34</v>
      </c>
      <c r="AA120" s="24">
        <f>Sales!AA9</f>
        <v>23</v>
      </c>
      <c r="AB120" s="24">
        <f>Sales!AB9</f>
        <v>28</v>
      </c>
      <c r="AC120" s="24">
        <f>Sales!AC9</f>
        <v>26</v>
      </c>
      <c r="AD120" s="24">
        <f>Sales!AD9</f>
        <v>39</v>
      </c>
      <c r="AE120" s="24">
        <f>Sales!AE9</f>
        <v>43</v>
      </c>
      <c r="AF120" s="27">
        <f>Sales!AF9</f>
        <v>43</v>
      </c>
      <c r="AG120" s="221">
        <f t="shared" si="54"/>
        <v>1395</v>
      </c>
    </row>
    <row r="121">
      <c r="A121" s="218" t="s">
        <v>518</v>
      </c>
      <c r="B121" s="223">
        <f t="shared" ref="B121:AF121" si="55">SUM(B119:B120)</f>
        <v>31</v>
      </c>
      <c r="C121" s="223">
        <f t="shared" si="55"/>
        <v>45</v>
      </c>
      <c r="D121" s="223">
        <f t="shared" si="55"/>
        <v>53</v>
      </c>
      <c r="E121" s="223">
        <f t="shared" si="55"/>
        <v>29</v>
      </c>
      <c r="F121" s="223">
        <f t="shared" si="55"/>
        <v>34</v>
      </c>
      <c r="G121" s="223">
        <f t="shared" si="55"/>
        <v>24</v>
      </c>
      <c r="H121" s="223">
        <f t="shared" si="55"/>
        <v>22</v>
      </c>
      <c r="I121" s="223">
        <f t="shared" si="55"/>
        <v>23</v>
      </c>
      <c r="J121" s="223">
        <f t="shared" si="55"/>
        <v>339</v>
      </c>
      <c r="K121" s="223">
        <f t="shared" si="55"/>
        <v>89</v>
      </c>
      <c r="L121" s="223">
        <f t="shared" si="55"/>
        <v>56</v>
      </c>
      <c r="M121" s="223">
        <f t="shared" si="55"/>
        <v>38</v>
      </c>
      <c r="N121" s="223">
        <f t="shared" si="55"/>
        <v>27</v>
      </c>
      <c r="O121" s="223">
        <f t="shared" si="55"/>
        <v>34</v>
      </c>
      <c r="P121" s="223">
        <f t="shared" si="55"/>
        <v>25</v>
      </c>
      <c r="Q121" s="223">
        <f t="shared" si="55"/>
        <v>49</v>
      </c>
      <c r="R121" s="223">
        <f t="shared" si="55"/>
        <v>44</v>
      </c>
      <c r="S121" s="223">
        <f t="shared" si="55"/>
        <v>33</v>
      </c>
      <c r="T121" s="223">
        <f t="shared" si="55"/>
        <v>31</v>
      </c>
      <c r="U121" s="223">
        <f t="shared" si="55"/>
        <v>21</v>
      </c>
      <c r="V121" s="223">
        <f t="shared" si="55"/>
        <v>30</v>
      </c>
      <c r="W121" s="223">
        <f t="shared" si="55"/>
        <v>37</v>
      </c>
      <c r="X121" s="223">
        <f t="shared" si="55"/>
        <v>28</v>
      </c>
      <c r="Y121" s="223">
        <f t="shared" si="55"/>
        <v>36</v>
      </c>
      <c r="Z121" s="223">
        <f t="shared" si="55"/>
        <v>34</v>
      </c>
      <c r="AA121" s="223">
        <f t="shared" si="55"/>
        <v>23</v>
      </c>
      <c r="AB121" s="223">
        <f t="shared" si="55"/>
        <v>28</v>
      </c>
      <c r="AC121" s="223">
        <f t="shared" si="55"/>
        <v>26</v>
      </c>
      <c r="AD121" s="223">
        <f t="shared" si="55"/>
        <v>39</v>
      </c>
      <c r="AE121" s="223">
        <f t="shared" si="55"/>
        <v>43</v>
      </c>
      <c r="AF121" s="224">
        <f t="shared" si="55"/>
        <v>43</v>
      </c>
      <c r="AG121" s="225">
        <f t="shared" si="54"/>
        <v>1414</v>
      </c>
    </row>
    <row r="122">
      <c r="A122" s="27"/>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7"/>
      <c r="AG122" s="24"/>
    </row>
    <row r="123">
      <c r="A123" s="182" t="s">
        <v>519</v>
      </c>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7"/>
      <c r="AG123" s="24"/>
    </row>
    <row r="124">
      <c r="A124" s="226" t="s">
        <v>520</v>
      </c>
      <c r="B124" s="211">
        <v>0.0</v>
      </c>
      <c r="C124" s="211">
        <v>0.0</v>
      </c>
      <c r="D124" s="211">
        <v>202.0</v>
      </c>
      <c r="E124" s="211">
        <v>0.0</v>
      </c>
      <c r="F124" s="211">
        <v>202.0</v>
      </c>
      <c r="G124" s="211">
        <v>998.0</v>
      </c>
      <c r="H124" s="227">
        <v>0.0</v>
      </c>
      <c r="I124" s="227">
        <v>0.0</v>
      </c>
      <c r="J124" s="227">
        <v>736.0</v>
      </c>
      <c r="K124" s="227">
        <v>0.0</v>
      </c>
      <c r="L124" s="227">
        <v>1733.0</v>
      </c>
      <c r="M124" s="227">
        <v>268.0</v>
      </c>
      <c r="N124" s="227">
        <v>0.0</v>
      </c>
      <c r="O124" s="227">
        <v>568.0</v>
      </c>
      <c r="P124" s="227">
        <v>0.0</v>
      </c>
      <c r="Q124" s="227">
        <v>0.0</v>
      </c>
      <c r="R124" s="227">
        <v>0.0</v>
      </c>
      <c r="S124" s="228">
        <v>0.0</v>
      </c>
      <c r="T124" s="228">
        <v>0.0</v>
      </c>
      <c r="U124" s="228">
        <v>0.0</v>
      </c>
      <c r="V124" s="228">
        <v>0.0</v>
      </c>
      <c r="W124" s="228">
        <v>0.0</v>
      </c>
      <c r="X124" s="228">
        <v>0.0</v>
      </c>
      <c r="Y124" s="228">
        <v>0.0</v>
      </c>
      <c r="Z124" s="228">
        <v>0.0</v>
      </c>
      <c r="AA124" s="228">
        <v>0.0</v>
      </c>
      <c r="AB124" s="228">
        <v>0.0</v>
      </c>
      <c r="AC124" s="228">
        <v>0.0</v>
      </c>
      <c r="AD124" s="228">
        <v>0.0</v>
      </c>
      <c r="AE124" s="228">
        <v>0.0</v>
      </c>
      <c r="AF124" s="229">
        <v>0.0</v>
      </c>
      <c r="AG124" s="106">
        <f t="shared" ref="AG124:AG126" si="56">SUM(B124:AF124)</f>
        <v>4707</v>
      </c>
    </row>
    <row r="125">
      <c r="A125" s="226" t="s">
        <v>521</v>
      </c>
      <c r="B125" s="211">
        <v>0.0</v>
      </c>
      <c r="C125" s="211">
        <v>0.0</v>
      </c>
      <c r="D125" s="211">
        <v>13.0</v>
      </c>
      <c r="E125" s="211">
        <v>0.0</v>
      </c>
      <c r="F125" s="211">
        <v>13.0</v>
      </c>
      <c r="G125" s="227">
        <v>64.0</v>
      </c>
      <c r="H125" s="227">
        <v>0.0</v>
      </c>
      <c r="I125" s="227">
        <v>0.0</v>
      </c>
      <c r="J125" s="227">
        <v>51.0</v>
      </c>
      <c r="K125" s="227">
        <v>0.0</v>
      </c>
      <c r="L125" s="227">
        <v>107.0</v>
      </c>
      <c r="M125" s="227">
        <v>17.0</v>
      </c>
      <c r="N125" s="227">
        <v>0.0</v>
      </c>
      <c r="O125" s="227">
        <v>30.0</v>
      </c>
      <c r="P125" s="227">
        <v>0.0</v>
      </c>
      <c r="Q125" s="227">
        <v>0.0</v>
      </c>
      <c r="R125" s="227">
        <v>0.0</v>
      </c>
      <c r="S125" s="228">
        <v>0.0</v>
      </c>
      <c r="T125" s="228">
        <v>0.0</v>
      </c>
      <c r="U125" s="228">
        <v>0.0</v>
      </c>
      <c r="V125" s="228">
        <v>0.0</v>
      </c>
      <c r="W125" s="228">
        <v>0.0</v>
      </c>
      <c r="X125" s="228">
        <v>0.0</v>
      </c>
      <c r="Y125" s="228">
        <v>0.0</v>
      </c>
      <c r="Z125" s="228">
        <v>0.0</v>
      </c>
      <c r="AA125" s="228">
        <v>0.0</v>
      </c>
      <c r="AB125" s="228">
        <v>0.0</v>
      </c>
      <c r="AC125" s="228">
        <v>0.0</v>
      </c>
      <c r="AD125" s="228">
        <v>0.0</v>
      </c>
      <c r="AE125" s="228">
        <v>0.0</v>
      </c>
      <c r="AF125" s="229">
        <v>0.0</v>
      </c>
      <c r="AG125" s="106">
        <f t="shared" si="56"/>
        <v>295</v>
      </c>
    </row>
    <row r="126">
      <c r="A126" s="230" t="s">
        <v>522</v>
      </c>
      <c r="B126" s="231">
        <f t="shared" ref="B126:AF126" si="57">SUM(B124:B125)</f>
        <v>0</v>
      </c>
      <c r="C126" s="231">
        <f t="shared" si="57"/>
        <v>0</v>
      </c>
      <c r="D126" s="231">
        <f t="shared" si="57"/>
        <v>215</v>
      </c>
      <c r="E126" s="231">
        <f t="shared" si="57"/>
        <v>0</v>
      </c>
      <c r="F126" s="231">
        <f t="shared" si="57"/>
        <v>215</v>
      </c>
      <c r="G126" s="231">
        <f t="shared" si="57"/>
        <v>1062</v>
      </c>
      <c r="H126" s="231">
        <f t="shared" si="57"/>
        <v>0</v>
      </c>
      <c r="I126" s="231">
        <f t="shared" si="57"/>
        <v>0</v>
      </c>
      <c r="J126" s="231">
        <f t="shared" si="57"/>
        <v>787</v>
      </c>
      <c r="K126" s="231">
        <f t="shared" si="57"/>
        <v>0</v>
      </c>
      <c r="L126" s="231">
        <f t="shared" si="57"/>
        <v>1840</v>
      </c>
      <c r="M126" s="231">
        <f t="shared" si="57"/>
        <v>285</v>
      </c>
      <c r="N126" s="231">
        <f t="shared" si="57"/>
        <v>0</v>
      </c>
      <c r="O126" s="231">
        <f t="shared" si="57"/>
        <v>598</v>
      </c>
      <c r="P126" s="231">
        <f t="shared" si="57"/>
        <v>0</v>
      </c>
      <c r="Q126" s="231">
        <f t="shared" si="57"/>
        <v>0</v>
      </c>
      <c r="R126" s="231">
        <f t="shared" si="57"/>
        <v>0</v>
      </c>
      <c r="S126" s="231">
        <f t="shared" si="57"/>
        <v>0</v>
      </c>
      <c r="T126" s="231">
        <f t="shared" si="57"/>
        <v>0</v>
      </c>
      <c r="U126" s="231">
        <f t="shared" si="57"/>
        <v>0</v>
      </c>
      <c r="V126" s="231">
        <f t="shared" si="57"/>
        <v>0</v>
      </c>
      <c r="W126" s="231">
        <f t="shared" si="57"/>
        <v>0</v>
      </c>
      <c r="X126" s="231">
        <f t="shared" si="57"/>
        <v>0</v>
      </c>
      <c r="Y126" s="231">
        <f t="shared" si="57"/>
        <v>0</v>
      </c>
      <c r="Z126" s="231">
        <f t="shared" si="57"/>
        <v>0</v>
      </c>
      <c r="AA126" s="231">
        <f t="shared" si="57"/>
        <v>0</v>
      </c>
      <c r="AB126" s="231">
        <f t="shared" si="57"/>
        <v>0</v>
      </c>
      <c r="AC126" s="231">
        <f t="shared" si="57"/>
        <v>0</v>
      </c>
      <c r="AD126" s="231">
        <f t="shared" si="57"/>
        <v>0</v>
      </c>
      <c r="AE126" s="231">
        <f t="shared" si="57"/>
        <v>0</v>
      </c>
      <c r="AF126" s="232">
        <f t="shared" si="57"/>
        <v>0</v>
      </c>
      <c r="AG126" s="233">
        <f t="shared" si="56"/>
        <v>5002</v>
      </c>
    </row>
    <row r="127">
      <c r="A127" s="27"/>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7"/>
      <c r="AG127" s="24"/>
    </row>
    <row r="128">
      <c r="A128" s="27" t="s">
        <v>523</v>
      </c>
      <c r="B128" s="234">
        <f t="shared" ref="B128:AG128" si="58">B126-B114</f>
        <v>0</v>
      </c>
      <c r="C128" s="234">
        <f t="shared" si="58"/>
        <v>0</v>
      </c>
      <c r="D128" s="235">
        <f t="shared" si="58"/>
        <v>13</v>
      </c>
      <c r="E128" s="234">
        <f t="shared" si="58"/>
        <v>0</v>
      </c>
      <c r="F128" s="235">
        <f t="shared" si="58"/>
        <v>13</v>
      </c>
      <c r="G128" s="235">
        <f t="shared" si="58"/>
        <v>551</v>
      </c>
      <c r="H128" s="234">
        <f t="shared" si="58"/>
        <v>0</v>
      </c>
      <c r="I128" s="234">
        <f t="shared" si="58"/>
        <v>0</v>
      </c>
      <c r="J128" s="234">
        <f t="shared" si="58"/>
        <v>-479</v>
      </c>
      <c r="K128" s="234">
        <f t="shared" si="58"/>
        <v>0</v>
      </c>
      <c r="L128" s="235">
        <f t="shared" si="58"/>
        <v>327</v>
      </c>
      <c r="M128" s="234">
        <f t="shared" si="58"/>
        <v>-278</v>
      </c>
      <c r="N128" s="234">
        <f t="shared" si="58"/>
        <v>0</v>
      </c>
      <c r="O128" s="234">
        <f t="shared" si="58"/>
        <v>-176</v>
      </c>
      <c r="P128" s="234">
        <f t="shared" si="58"/>
        <v>0</v>
      </c>
      <c r="Q128" s="234">
        <f t="shared" si="58"/>
        <v>0</v>
      </c>
      <c r="R128" s="234">
        <f t="shared" si="58"/>
        <v>0</v>
      </c>
      <c r="S128" s="234">
        <f t="shared" si="58"/>
        <v>0</v>
      </c>
      <c r="T128" s="234">
        <f t="shared" si="58"/>
        <v>0</v>
      </c>
      <c r="U128" s="234">
        <f t="shared" si="58"/>
        <v>0</v>
      </c>
      <c r="V128" s="234">
        <f t="shared" si="58"/>
        <v>0</v>
      </c>
      <c r="W128" s="234">
        <f t="shared" si="58"/>
        <v>0</v>
      </c>
      <c r="X128" s="234">
        <f t="shared" si="58"/>
        <v>0</v>
      </c>
      <c r="Y128" s="234">
        <f t="shared" si="58"/>
        <v>0</v>
      </c>
      <c r="Z128" s="234">
        <f t="shared" si="58"/>
        <v>0</v>
      </c>
      <c r="AA128" s="234">
        <f t="shared" si="58"/>
        <v>0</v>
      </c>
      <c r="AB128" s="234">
        <f t="shared" si="58"/>
        <v>0</v>
      </c>
      <c r="AC128" s="234">
        <f t="shared" si="58"/>
        <v>0</v>
      </c>
      <c r="AD128" s="234">
        <f t="shared" si="58"/>
        <v>0</v>
      </c>
      <c r="AE128" s="234">
        <f t="shared" si="58"/>
        <v>0</v>
      </c>
      <c r="AF128" s="236">
        <f t="shared" si="58"/>
        <v>0</v>
      </c>
      <c r="AG128" s="234">
        <f t="shared" si="58"/>
        <v>-29</v>
      </c>
    </row>
    <row r="129">
      <c r="A129" s="27"/>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7"/>
      <c r="AG129" s="24"/>
    </row>
    <row r="130">
      <c r="A130" s="230" t="s">
        <v>524</v>
      </c>
      <c r="B130" s="237">
        <v>0.0</v>
      </c>
      <c r="C130" s="237">
        <v>0.0</v>
      </c>
      <c r="D130" s="237">
        <v>1.0</v>
      </c>
      <c r="E130" s="237">
        <v>0.0</v>
      </c>
      <c r="F130" s="237">
        <v>1.0</v>
      </c>
      <c r="G130" s="237">
        <v>3.0</v>
      </c>
      <c r="H130" s="237">
        <v>0.0</v>
      </c>
      <c r="I130" s="237">
        <v>0.0</v>
      </c>
      <c r="J130" s="237">
        <v>3.0</v>
      </c>
      <c r="K130" s="237">
        <v>0.0</v>
      </c>
      <c r="L130" s="237">
        <v>6.0</v>
      </c>
      <c r="M130" s="237">
        <v>1.0</v>
      </c>
      <c r="N130" s="237">
        <v>0.0</v>
      </c>
      <c r="O130" s="237">
        <v>2.0</v>
      </c>
      <c r="P130" s="237">
        <v>0.0</v>
      </c>
      <c r="Q130" s="237">
        <v>0.0</v>
      </c>
      <c r="R130" s="238">
        <v>0.0</v>
      </c>
      <c r="S130" s="238">
        <v>0.0</v>
      </c>
      <c r="T130" s="238">
        <v>0.0</v>
      </c>
      <c r="U130" s="238">
        <v>0.0</v>
      </c>
      <c r="V130" s="238">
        <v>0.0</v>
      </c>
      <c r="W130" s="238">
        <v>0.0</v>
      </c>
      <c r="X130" s="238">
        <v>0.0</v>
      </c>
      <c r="Y130" s="238">
        <v>0.0</v>
      </c>
      <c r="Z130" s="238">
        <v>0.0</v>
      </c>
      <c r="AA130" s="238">
        <v>0.0</v>
      </c>
      <c r="AB130" s="238">
        <v>0.0</v>
      </c>
      <c r="AC130" s="238">
        <v>0.0</v>
      </c>
      <c r="AD130" s="238">
        <v>0.0</v>
      </c>
      <c r="AE130" s="238">
        <v>0.0</v>
      </c>
      <c r="AF130" s="238">
        <v>0.0</v>
      </c>
      <c r="AG130" s="239">
        <f>SUM(B130:AF130)</f>
        <v>17</v>
      </c>
    </row>
    <row r="131">
      <c r="A131" s="27"/>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7"/>
      <c r="AG131" s="24"/>
    </row>
    <row r="132">
      <c r="A132" s="182" t="s">
        <v>525</v>
      </c>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7"/>
      <c r="AG132" s="24"/>
    </row>
    <row r="133">
      <c r="A133" s="226" t="s">
        <v>526</v>
      </c>
      <c r="B133" s="240">
        <v>7097.0</v>
      </c>
      <c r="C133" s="240">
        <v>10556.0</v>
      </c>
      <c r="D133" s="240">
        <v>11628.0</v>
      </c>
      <c r="E133" s="240">
        <v>7547.0</v>
      </c>
      <c r="F133" s="240">
        <v>7788.0</v>
      </c>
      <c r="G133" s="240">
        <v>5336.0</v>
      </c>
      <c r="H133" s="240">
        <v>4764.0</v>
      </c>
      <c r="I133" s="240">
        <v>5215.0</v>
      </c>
      <c r="J133" s="240">
        <v>86420.0</v>
      </c>
      <c r="K133" s="240">
        <v>23260.0</v>
      </c>
      <c r="L133" s="241">
        <v>13217.0</v>
      </c>
      <c r="M133" s="241">
        <v>8912.0</v>
      </c>
      <c r="N133" s="241">
        <v>7146.0</v>
      </c>
      <c r="O133" s="240">
        <v>7654.0</v>
      </c>
      <c r="P133" s="240">
        <v>6225.0</v>
      </c>
      <c r="Q133" s="240">
        <v>13261.0</v>
      </c>
      <c r="R133" s="241">
        <v>10319.0</v>
      </c>
      <c r="S133" s="242">
        <v>7638.0</v>
      </c>
      <c r="T133" s="242">
        <v>7093.0</v>
      </c>
      <c r="U133" s="243">
        <v>5548.0</v>
      </c>
      <c r="V133" s="243">
        <v>7303.0</v>
      </c>
      <c r="W133" s="243">
        <v>8500.0</v>
      </c>
      <c r="X133" s="243">
        <v>7733.0</v>
      </c>
      <c r="Y133" s="243">
        <v>8233.0</v>
      </c>
      <c r="Z133" s="243">
        <v>8339.0</v>
      </c>
      <c r="AA133" s="243">
        <v>5428.0</v>
      </c>
      <c r="AB133" s="243">
        <v>6627.0</v>
      </c>
      <c r="AC133" s="243">
        <v>6530.0</v>
      </c>
      <c r="AD133" s="243">
        <v>8976.0</v>
      </c>
      <c r="AE133" s="243">
        <v>10004.0</v>
      </c>
      <c r="AF133" s="244">
        <v>9669.0</v>
      </c>
      <c r="AG133" s="245">
        <f t="shared" ref="AG133:AG135" si="59">SUM(B133:AF133)</f>
        <v>343966</v>
      </c>
    </row>
    <row r="134">
      <c r="A134" s="226" t="s">
        <v>527</v>
      </c>
      <c r="B134" s="240">
        <v>533.0</v>
      </c>
      <c r="C134" s="240">
        <v>773.0</v>
      </c>
      <c r="D134" s="240">
        <v>851.0</v>
      </c>
      <c r="E134" s="240">
        <v>503.0</v>
      </c>
      <c r="F134" s="240">
        <v>545.0</v>
      </c>
      <c r="G134" s="240">
        <v>326.0</v>
      </c>
      <c r="H134" s="240">
        <v>376.0</v>
      </c>
      <c r="I134" s="240">
        <v>333.0</v>
      </c>
      <c r="J134" s="240">
        <v>5779.0</v>
      </c>
      <c r="K134" s="240">
        <v>1533.0</v>
      </c>
      <c r="L134" s="240">
        <v>735.0</v>
      </c>
      <c r="M134" s="241">
        <v>574.0</v>
      </c>
      <c r="N134" s="240">
        <v>434.0</v>
      </c>
      <c r="O134" s="240">
        <v>511.0</v>
      </c>
      <c r="P134" s="240">
        <v>393.0</v>
      </c>
      <c r="Q134" s="240">
        <v>869.0</v>
      </c>
      <c r="R134" s="241">
        <v>741.0</v>
      </c>
      <c r="S134" s="242">
        <v>445.0</v>
      </c>
      <c r="T134" s="242">
        <v>557.0</v>
      </c>
      <c r="U134" s="243">
        <v>433.0</v>
      </c>
      <c r="V134" s="243">
        <v>666.0</v>
      </c>
      <c r="W134" s="243">
        <v>714.0</v>
      </c>
      <c r="X134" s="243">
        <v>634.0</v>
      </c>
      <c r="Y134" s="243">
        <v>798.0</v>
      </c>
      <c r="Z134" s="243">
        <v>456.0</v>
      </c>
      <c r="AA134" s="243">
        <v>354.0</v>
      </c>
      <c r="AB134" s="243">
        <v>620.0</v>
      </c>
      <c r="AC134" s="243">
        <v>497.0</v>
      </c>
      <c r="AD134" s="243">
        <v>732.0</v>
      </c>
      <c r="AE134" s="243">
        <v>834.0</v>
      </c>
      <c r="AF134" s="244">
        <v>899.0</v>
      </c>
      <c r="AG134" s="245">
        <f t="shared" si="59"/>
        <v>24448</v>
      </c>
    </row>
    <row r="135">
      <c r="A135" s="230" t="s">
        <v>528</v>
      </c>
      <c r="B135" s="246">
        <f t="shared" ref="B135:AF135" si="60">SUM(B133:B134)</f>
        <v>7630</v>
      </c>
      <c r="C135" s="246">
        <f t="shared" si="60"/>
        <v>11329</v>
      </c>
      <c r="D135" s="246">
        <f t="shared" si="60"/>
        <v>12479</v>
      </c>
      <c r="E135" s="246">
        <f t="shared" si="60"/>
        <v>8050</v>
      </c>
      <c r="F135" s="246">
        <f t="shared" si="60"/>
        <v>8333</v>
      </c>
      <c r="G135" s="246">
        <f t="shared" si="60"/>
        <v>5662</v>
      </c>
      <c r="H135" s="246">
        <f t="shared" si="60"/>
        <v>5140</v>
      </c>
      <c r="I135" s="246">
        <f t="shared" si="60"/>
        <v>5548</v>
      </c>
      <c r="J135" s="246">
        <f t="shared" si="60"/>
        <v>92199</v>
      </c>
      <c r="K135" s="246">
        <f t="shared" si="60"/>
        <v>24793</v>
      </c>
      <c r="L135" s="246">
        <f t="shared" si="60"/>
        <v>13952</v>
      </c>
      <c r="M135" s="246">
        <f t="shared" si="60"/>
        <v>9486</v>
      </c>
      <c r="N135" s="246">
        <f t="shared" si="60"/>
        <v>7580</v>
      </c>
      <c r="O135" s="246">
        <f t="shared" si="60"/>
        <v>8165</v>
      </c>
      <c r="P135" s="246">
        <f t="shared" si="60"/>
        <v>6618</v>
      </c>
      <c r="Q135" s="246">
        <f t="shared" si="60"/>
        <v>14130</v>
      </c>
      <c r="R135" s="246">
        <f t="shared" si="60"/>
        <v>11060</v>
      </c>
      <c r="S135" s="246">
        <f t="shared" si="60"/>
        <v>8083</v>
      </c>
      <c r="T135" s="246">
        <f t="shared" si="60"/>
        <v>7650</v>
      </c>
      <c r="U135" s="246">
        <f t="shared" si="60"/>
        <v>5981</v>
      </c>
      <c r="V135" s="246">
        <f t="shared" si="60"/>
        <v>7969</v>
      </c>
      <c r="W135" s="246">
        <f t="shared" si="60"/>
        <v>9214</v>
      </c>
      <c r="X135" s="246">
        <f t="shared" si="60"/>
        <v>8367</v>
      </c>
      <c r="Y135" s="246">
        <f t="shared" si="60"/>
        <v>9031</v>
      </c>
      <c r="Z135" s="246">
        <f t="shared" si="60"/>
        <v>8795</v>
      </c>
      <c r="AA135" s="246">
        <f t="shared" si="60"/>
        <v>5782</v>
      </c>
      <c r="AB135" s="246">
        <f t="shared" si="60"/>
        <v>7247</v>
      </c>
      <c r="AC135" s="246">
        <f t="shared" si="60"/>
        <v>7027</v>
      </c>
      <c r="AD135" s="246">
        <f t="shared" si="60"/>
        <v>9708</v>
      </c>
      <c r="AE135" s="246">
        <f t="shared" si="60"/>
        <v>10838</v>
      </c>
      <c r="AF135" s="247">
        <f t="shared" si="60"/>
        <v>10568</v>
      </c>
      <c r="AG135" s="248">
        <f t="shared" si="59"/>
        <v>368414</v>
      </c>
    </row>
    <row r="136">
      <c r="A136" s="27"/>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7"/>
      <c r="AG136" s="24"/>
    </row>
    <row r="137">
      <c r="A137" s="182" t="s">
        <v>529</v>
      </c>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7"/>
      <c r="AG137" s="24"/>
    </row>
    <row r="138">
      <c r="A138" s="230" t="s">
        <v>514</v>
      </c>
      <c r="B138" s="231">
        <f t="shared" ref="B138:AG138" si="61">B126+B135</f>
        <v>7630</v>
      </c>
      <c r="C138" s="231">
        <f t="shared" si="61"/>
        <v>11329</v>
      </c>
      <c r="D138" s="231">
        <f t="shared" si="61"/>
        <v>12694</v>
      </c>
      <c r="E138" s="231">
        <f t="shared" si="61"/>
        <v>8050</v>
      </c>
      <c r="F138" s="231">
        <f t="shared" si="61"/>
        <v>8548</v>
      </c>
      <c r="G138" s="231">
        <f t="shared" si="61"/>
        <v>6724</v>
      </c>
      <c r="H138" s="231">
        <f t="shared" si="61"/>
        <v>5140</v>
      </c>
      <c r="I138" s="231">
        <f t="shared" si="61"/>
        <v>5548</v>
      </c>
      <c r="J138" s="231">
        <f t="shared" si="61"/>
        <v>92986</v>
      </c>
      <c r="K138" s="231">
        <f t="shared" si="61"/>
        <v>24793</v>
      </c>
      <c r="L138" s="231">
        <f t="shared" si="61"/>
        <v>15792</v>
      </c>
      <c r="M138" s="231">
        <f t="shared" si="61"/>
        <v>9771</v>
      </c>
      <c r="N138" s="231">
        <f t="shared" si="61"/>
        <v>7580</v>
      </c>
      <c r="O138" s="231">
        <f t="shared" si="61"/>
        <v>8763</v>
      </c>
      <c r="P138" s="231">
        <f t="shared" si="61"/>
        <v>6618</v>
      </c>
      <c r="Q138" s="231">
        <f t="shared" si="61"/>
        <v>14130</v>
      </c>
      <c r="R138" s="231">
        <f t="shared" si="61"/>
        <v>11060</v>
      </c>
      <c r="S138" s="231">
        <f t="shared" si="61"/>
        <v>8083</v>
      </c>
      <c r="T138" s="231">
        <f t="shared" si="61"/>
        <v>7650</v>
      </c>
      <c r="U138" s="231">
        <f t="shared" si="61"/>
        <v>5981</v>
      </c>
      <c r="V138" s="231">
        <f t="shared" si="61"/>
        <v>7969</v>
      </c>
      <c r="W138" s="231">
        <f t="shared" si="61"/>
        <v>9214</v>
      </c>
      <c r="X138" s="231">
        <f t="shared" si="61"/>
        <v>8367</v>
      </c>
      <c r="Y138" s="231">
        <f t="shared" si="61"/>
        <v>9031</v>
      </c>
      <c r="Z138" s="231">
        <f t="shared" si="61"/>
        <v>8795</v>
      </c>
      <c r="AA138" s="231">
        <f t="shared" si="61"/>
        <v>5782</v>
      </c>
      <c r="AB138" s="231">
        <f t="shared" si="61"/>
        <v>7247</v>
      </c>
      <c r="AC138" s="231">
        <f t="shared" si="61"/>
        <v>7027</v>
      </c>
      <c r="AD138" s="231">
        <f t="shared" si="61"/>
        <v>9708</v>
      </c>
      <c r="AE138" s="231">
        <f t="shared" si="61"/>
        <v>10838</v>
      </c>
      <c r="AF138" s="232">
        <f t="shared" si="61"/>
        <v>10568</v>
      </c>
      <c r="AG138" s="233">
        <f t="shared" si="61"/>
        <v>373416</v>
      </c>
    </row>
    <row r="139">
      <c r="A139" s="230" t="s">
        <v>518</v>
      </c>
      <c r="B139" s="249">
        <f t="shared" ref="B139:AF139" si="62">B120+B130</f>
        <v>31</v>
      </c>
      <c r="C139" s="249">
        <f t="shared" si="62"/>
        <v>45</v>
      </c>
      <c r="D139" s="249">
        <f t="shared" si="62"/>
        <v>53</v>
      </c>
      <c r="E139" s="249">
        <f t="shared" si="62"/>
        <v>29</v>
      </c>
      <c r="F139" s="249">
        <f t="shared" si="62"/>
        <v>34</v>
      </c>
      <c r="G139" s="249">
        <f t="shared" si="62"/>
        <v>25</v>
      </c>
      <c r="H139" s="249">
        <f t="shared" si="62"/>
        <v>22</v>
      </c>
      <c r="I139" s="249">
        <f t="shared" si="62"/>
        <v>23</v>
      </c>
      <c r="J139" s="249">
        <f t="shared" si="62"/>
        <v>337</v>
      </c>
      <c r="K139" s="249">
        <f t="shared" si="62"/>
        <v>89</v>
      </c>
      <c r="L139" s="249">
        <f t="shared" si="62"/>
        <v>57</v>
      </c>
      <c r="M139" s="249">
        <f t="shared" si="62"/>
        <v>37</v>
      </c>
      <c r="N139" s="249">
        <f t="shared" si="62"/>
        <v>27</v>
      </c>
      <c r="O139" s="249">
        <f t="shared" si="62"/>
        <v>33</v>
      </c>
      <c r="P139" s="249">
        <f t="shared" si="62"/>
        <v>25</v>
      </c>
      <c r="Q139" s="249">
        <f t="shared" si="62"/>
        <v>49</v>
      </c>
      <c r="R139" s="249">
        <f t="shared" si="62"/>
        <v>44</v>
      </c>
      <c r="S139" s="249">
        <f t="shared" si="62"/>
        <v>33</v>
      </c>
      <c r="T139" s="249">
        <f t="shared" si="62"/>
        <v>31</v>
      </c>
      <c r="U139" s="249">
        <f t="shared" si="62"/>
        <v>21</v>
      </c>
      <c r="V139" s="249">
        <f t="shared" si="62"/>
        <v>30</v>
      </c>
      <c r="W139" s="249">
        <f t="shared" si="62"/>
        <v>37</v>
      </c>
      <c r="X139" s="249">
        <f t="shared" si="62"/>
        <v>28</v>
      </c>
      <c r="Y139" s="249">
        <f t="shared" si="62"/>
        <v>36</v>
      </c>
      <c r="Z139" s="249">
        <f t="shared" si="62"/>
        <v>34</v>
      </c>
      <c r="AA139" s="249">
        <f t="shared" si="62"/>
        <v>23</v>
      </c>
      <c r="AB139" s="249">
        <f t="shared" si="62"/>
        <v>28</v>
      </c>
      <c r="AC139" s="249">
        <f t="shared" si="62"/>
        <v>26</v>
      </c>
      <c r="AD139" s="249">
        <f t="shared" si="62"/>
        <v>39</v>
      </c>
      <c r="AE139" s="249">
        <f t="shared" si="62"/>
        <v>43</v>
      </c>
      <c r="AF139" s="250">
        <f t="shared" si="62"/>
        <v>43</v>
      </c>
      <c r="AG139" s="251">
        <f>SUM(B139:AF139)</f>
        <v>1412</v>
      </c>
    </row>
    <row r="140">
      <c r="A140" s="27"/>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7"/>
      <c r="AG140" s="24"/>
    </row>
    <row r="141">
      <c r="A141" s="182" t="s">
        <v>530</v>
      </c>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52"/>
      <c r="AA141" s="24"/>
      <c r="AB141" s="24"/>
      <c r="AC141" s="24"/>
      <c r="AD141" s="24"/>
      <c r="AE141" s="24"/>
      <c r="AF141" s="27"/>
      <c r="AG141" s="24"/>
    </row>
    <row r="142">
      <c r="A142" s="194" t="s">
        <v>531</v>
      </c>
      <c r="B142" s="253">
        <v>29.0</v>
      </c>
      <c r="C142" s="253">
        <v>49.0</v>
      </c>
      <c r="D142" s="254">
        <v>53.0</v>
      </c>
      <c r="E142" s="253">
        <v>26.0</v>
      </c>
      <c r="F142" s="254">
        <v>35.0</v>
      </c>
      <c r="G142" s="253">
        <f>20+2</f>
        <v>22</v>
      </c>
      <c r="H142" s="253">
        <v>22.0</v>
      </c>
      <c r="I142" s="219">
        <v>21.0</v>
      </c>
      <c r="J142" s="219">
        <v>334.0</v>
      </c>
      <c r="K142" s="219">
        <v>88.0</v>
      </c>
      <c r="L142" s="219">
        <f>39+5</f>
        <v>44</v>
      </c>
      <c r="M142" s="219">
        <f>32+1</f>
        <v>33</v>
      </c>
      <c r="N142" s="219">
        <f>28+1</f>
        <v>29</v>
      </c>
      <c r="O142" s="219">
        <v>33.0</v>
      </c>
      <c r="P142" s="255">
        <v>24.0</v>
      </c>
      <c r="Q142" s="255">
        <v>46.0</v>
      </c>
      <c r="R142" s="219">
        <v>43.0</v>
      </c>
      <c r="S142" s="220">
        <v>26.0</v>
      </c>
      <c r="T142" s="220">
        <v>28.0</v>
      </c>
      <c r="U142" s="220">
        <v>20.0</v>
      </c>
      <c r="V142" s="220">
        <v>32.0</v>
      </c>
      <c r="W142" s="220">
        <v>33.0</v>
      </c>
      <c r="X142" s="220">
        <v>25.0</v>
      </c>
      <c r="Y142" s="220">
        <v>34.0</v>
      </c>
      <c r="Z142" s="220">
        <v>16.0</v>
      </c>
      <c r="AA142" s="220">
        <v>14.0</v>
      </c>
      <c r="AB142" s="220">
        <v>28.0</v>
      </c>
      <c r="AC142" s="220">
        <v>25.0</v>
      </c>
      <c r="AD142" s="220">
        <v>35.0</v>
      </c>
      <c r="AE142" s="220">
        <v>43.0</v>
      </c>
      <c r="AF142" s="135">
        <v>44.0</v>
      </c>
      <c r="AG142" s="66">
        <f t="shared" ref="AG142:AG146" si="63">SUM(B142:AF142)</f>
        <v>1334</v>
      </c>
    </row>
    <row r="143">
      <c r="A143" s="194" t="s">
        <v>532</v>
      </c>
      <c r="B143" s="253">
        <v>2.0</v>
      </c>
      <c r="C143" s="253">
        <v>0.0</v>
      </c>
      <c r="D143" s="253">
        <v>0.0</v>
      </c>
      <c r="E143" s="253">
        <v>3.0</v>
      </c>
      <c r="F143" s="254">
        <v>-1.0</v>
      </c>
      <c r="G143" s="253">
        <f>1+1</f>
        <v>2</v>
      </c>
      <c r="H143" s="253">
        <v>0.0</v>
      </c>
      <c r="I143" s="219">
        <v>0.0</v>
      </c>
      <c r="J143" s="219">
        <v>12.0</v>
      </c>
      <c r="K143" s="219">
        <v>4.0</v>
      </c>
      <c r="L143" s="219">
        <f>2+1</f>
        <v>3</v>
      </c>
      <c r="M143" s="219">
        <v>2.0</v>
      </c>
      <c r="N143" s="219">
        <v>1.0</v>
      </c>
      <c r="O143" s="255">
        <v>-1.0</v>
      </c>
      <c r="P143" s="219">
        <v>1.0</v>
      </c>
      <c r="Q143" s="219">
        <v>6.0</v>
      </c>
      <c r="R143" s="219">
        <v>1.0</v>
      </c>
      <c r="S143" s="220">
        <v>0.0</v>
      </c>
      <c r="T143" s="220">
        <v>0.0</v>
      </c>
      <c r="U143" s="220">
        <v>1.0</v>
      </c>
      <c r="V143" s="220">
        <v>0.0</v>
      </c>
      <c r="W143" s="220">
        <v>0.0</v>
      </c>
      <c r="X143" s="220">
        <v>3.0</v>
      </c>
      <c r="Y143" s="220">
        <v>2.0</v>
      </c>
      <c r="Z143" s="220">
        <v>0.0</v>
      </c>
      <c r="AA143" s="220">
        <v>0.0</v>
      </c>
      <c r="AB143" s="220">
        <v>0.0</v>
      </c>
      <c r="AC143" s="220">
        <v>1.0</v>
      </c>
      <c r="AD143" s="220">
        <v>2.0</v>
      </c>
      <c r="AE143" s="220">
        <v>1.0</v>
      </c>
      <c r="AF143" s="135">
        <v>0.0</v>
      </c>
      <c r="AG143" s="66">
        <f t="shared" si="63"/>
        <v>45</v>
      </c>
    </row>
    <row r="144">
      <c r="A144" s="194" t="s">
        <v>533</v>
      </c>
      <c r="B144" s="253">
        <v>0.0</v>
      </c>
      <c r="C144" s="253">
        <v>0.0</v>
      </c>
      <c r="D144" s="253">
        <v>0.0</v>
      </c>
      <c r="E144" s="253">
        <v>0.0</v>
      </c>
      <c r="F144" s="253">
        <v>0.0</v>
      </c>
      <c r="G144" s="253">
        <v>0.0</v>
      </c>
      <c r="H144" s="253">
        <v>0.0</v>
      </c>
      <c r="I144" s="219">
        <v>0.0</v>
      </c>
      <c r="J144" s="219">
        <v>2.0</v>
      </c>
      <c r="K144" s="219">
        <v>0.0</v>
      </c>
      <c r="L144" s="219">
        <v>1.0</v>
      </c>
      <c r="M144" s="219">
        <v>0.0</v>
      </c>
      <c r="N144" s="219">
        <v>0.0</v>
      </c>
      <c r="O144" s="219">
        <v>0.0</v>
      </c>
      <c r="P144" s="219">
        <v>0.0</v>
      </c>
      <c r="Q144" s="219">
        <v>0.0</v>
      </c>
      <c r="R144" s="219">
        <v>0.0</v>
      </c>
      <c r="S144" s="220">
        <v>0.0</v>
      </c>
      <c r="T144" s="220">
        <v>0.0</v>
      </c>
      <c r="U144" s="220">
        <v>0.0</v>
      </c>
      <c r="V144" s="220">
        <v>0.0</v>
      </c>
      <c r="W144" s="220">
        <v>1.0</v>
      </c>
      <c r="X144" s="220">
        <v>0.0</v>
      </c>
      <c r="Y144" s="220">
        <v>0.0</v>
      </c>
      <c r="Z144" s="220">
        <v>0.0</v>
      </c>
      <c r="AA144" s="220">
        <v>0.0</v>
      </c>
      <c r="AB144" s="220">
        <v>0.0</v>
      </c>
      <c r="AC144" s="220">
        <v>0.0</v>
      </c>
      <c r="AD144" s="220">
        <v>0.0</v>
      </c>
      <c r="AE144" s="220">
        <v>0.0</v>
      </c>
      <c r="AF144" s="135">
        <v>0.0</v>
      </c>
      <c r="AG144" s="66">
        <f t="shared" si="63"/>
        <v>4</v>
      </c>
    </row>
    <row r="145">
      <c r="A145" s="194" t="s">
        <v>534</v>
      </c>
      <c r="B145" s="253">
        <v>0.0</v>
      </c>
      <c r="C145" s="253">
        <v>0.0</v>
      </c>
      <c r="D145" s="253">
        <v>0.0</v>
      </c>
      <c r="E145" s="253">
        <v>1.0</v>
      </c>
      <c r="F145" s="253">
        <v>0.0</v>
      </c>
      <c r="G145" s="253">
        <v>0.0</v>
      </c>
      <c r="H145" s="253">
        <v>0.0</v>
      </c>
      <c r="I145" s="219">
        <v>0.0</v>
      </c>
      <c r="J145" s="219">
        <v>1.0</v>
      </c>
      <c r="K145" s="219">
        <v>0.0</v>
      </c>
      <c r="L145" s="219">
        <v>0.0</v>
      </c>
      <c r="M145" s="219">
        <v>0.0</v>
      </c>
      <c r="N145" s="219">
        <v>0.0</v>
      </c>
      <c r="O145" s="219">
        <v>0.0</v>
      </c>
      <c r="P145" s="219">
        <v>0.0</v>
      </c>
      <c r="Q145" s="219">
        <v>0.0</v>
      </c>
      <c r="R145" s="219">
        <v>0.0</v>
      </c>
      <c r="S145" s="220">
        <v>0.0</v>
      </c>
      <c r="T145" s="220">
        <v>0.0</v>
      </c>
      <c r="U145" s="220">
        <v>0.0</v>
      </c>
      <c r="V145" s="220">
        <v>0.0</v>
      </c>
      <c r="W145" s="220">
        <v>0.0</v>
      </c>
      <c r="X145" s="220">
        <v>1.0</v>
      </c>
      <c r="Y145" s="220">
        <v>0.0</v>
      </c>
      <c r="Z145" s="220">
        <v>0.0</v>
      </c>
      <c r="AA145" s="220">
        <v>0.0</v>
      </c>
      <c r="AB145" s="220">
        <v>0.0</v>
      </c>
      <c r="AC145" s="220">
        <v>0.0</v>
      </c>
      <c r="AD145" s="220">
        <v>0.0</v>
      </c>
      <c r="AE145" s="220">
        <v>0.0</v>
      </c>
      <c r="AF145" s="135">
        <v>0.0</v>
      </c>
      <c r="AG145" s="66">
        <f t="shared" si="63"/>
        <v>3</v>
      </c>
    </row>
    <row r="146">
      <c r="A146" s="194" t="s">
        <v>535</v>
      </c>
      <c r="B146" s="253">
        <v>0.0</v>
      </c>
      <c r="C146" s="253">
        <v>0.0</v>
      </c>
      <c r="D146" s="253">
        <v>0.0</v>
      </c>
      <c r="E146" s="253">
        <v>0.0</v>
      </c>
      <c r="F146" s="253">
        <v>0.0</v>
      </c>
      <c r="G146" s="253">
        <v>0.0</v>
      </c>
      <c r="H146" s="253">
        <v>0.0</v>
      </c>
      <c r="I146" s="219">
        <v>0.0</v>
      </c>
      <c r="J146" s="219">
        <v>0.0</v>
      </c>
      <c r="K146" s="219">
        <v>0.0</v>
      </c>
      <c r="L146" s="219">
        <v>0.0</v>
      </c>
      <c r="M146" s="219">
        <v>0.0</v>
      </c>
      <c r="N146" s="219">
        <v>0.0</v>
      </c>
      <c r="O146" s="219">
        <v>0.0</v>
      </c>
      <c r="P146" s="219">
        <v>0.0</v>
      </c>
      <c r="Q146" s="219">
        <v>0.0</v>
      </c>
      <c r="R146" s="219">
        <v>0.0</v>
      </c>
      <c r="S146" s="220">
        <v>0.0</v>
      </c>
      <c r="T146" s="220">
        <v>0.0</v>
      </c>
      <c r="U146" s="220">
        <v>0.0</v>
      </c>
      <c r="V146" s="220">
        <v>0.0</v>
      </c>
      <c r="W146" s="220">
        <v>0.0</v>
      </c>
      <c r="X146" s="220">
        <v>0.0</v>
      </c>
      <c r="Y146" s="220">
        <v>0.0</v>
      </c>
      <c r="Z146" s="220">
        <v>0.0</v>
      </c>
      <c r="AA146" s="220">
        <v>0.0</v>
      </c>
      <c r="AB146" s="220">
        <v>0.0</v>
      </c>
      <c r="AC146" s="220">
        <v>0.0</v>
      </c>
      <c r="AD146" s="220">
        <v>0.0</v>
      </c>
      <c r="AE146" s="220">
        <v>0.0</v>
      </c>
      <c r="AF146" s="135">
        <v>0.0</v>
      </c>
      <c r="AG146" s="66">
        <f t="shared" si="63"/>
        <v>0</v>
      </c>
    </row>
    <row r="147">
      <c r="A147" s="256" t="s">
        <v>23</v>
      </c>
      <c r="B147" s="257">
        <f t="shared" ref="B147:AG147" si="64">B142+(2*B143)+(3*B144)+(5*B145)+(10*B146)</f>
        <v>33</v>
      </c>
      <c r="C147" s="257">
        <f t="shared" si="64"/>
        <v>49</v>
      </c>
      <c r="D147" s="257">
        <f t="shared" si="64"/>
        <v>53</v>
      </c>
      <c r="E147" s="257">
        <f t="shared" si="64"/>
        <v>37</v>
      </c>
      <c r="F147" s="257">
        <f t="shared" si="64"/>
        <v>33</v>
      </c>
      <c r="G147" s="257">
        <f t="shared" si="64"/>
        <v>26</v>
      </c>
      <c r="H147" s="257">
        <f t="shared" si="64"/>
        <v>22</v>
      </c>
      <c r="I147" s="249">
        <f t="shared" si="64"/>
        <v>21</v>
      </c>
      <c r="J147" s="249">
        <f t="shared" si="64"/>
        <v>369</v>
      </c>
      <c r="K147" s="249">
        <f t="shared" si="64"/>
        <v>96</v>
      </c>
      <c r="L147" s="249">
        <f t="shared" si="64"/>
        <v>53</v>
      </c>
      <c r="M147" s="249">
        <f t="shared" si="64"/>
        <v>37</v>
      </c>
      <c r="N147" s="249">
        <f t="shared" si="64"/>
        <v>31</v>
      </c>
      <c r="O147" s="249">
        <f t="shared" si="64"/>
        <v>31</v>
      </c>
      <c r="P147" s="249">
        <f t="shared" si="64"/>
        <v>26</v>
      </c>
      <c r="Q147" s="249">
        <f t="shared" si="64"/>
        <v>58</v>
      </c>
      <c r="R147" s="249">
        <f t="shared" si="64"/>
        <v>45</v>
      </c>
      <c r="S147" s="249">
        <f t="shared" si="64"/>
        <v>26</v>
      </c>
      <c r="T147" s="249">
        <f t="shared" si="64"/>
        <v>28</v>
      </c>
      <c r="U147" s="249">
        <f t="shared" si="64"/>
        <v>22</v>
      </c>
      <c r="V147" s="249">
        <f t="shared" si="64"/>
        <v>32</v>
      </c>
      <c r="W147" s="249">
        <f t="shared" si="64"/>
        <v>36</v>
      </c>
      <c r="X147" s="249">
        <f t="shared" si="64"/>
        <v>36</v>
      </c>
      <c r="Y147" s="249">
        <f t="shared" si="64"/>
        <v>38</v>
      </c>
      <c r="Z147" s="249">
        <f t="shared" si="64"/>
        <v>16</v>
      </c>
      <c r="AA147" s="249">
        <f t="shared" si="64"/>
        <v>14</v>
      </c>
      <c r="AB147" s="249">
        <f t="shared" si="64"/>
        <v>28</v>
      </c>
      <c r="AC147" s="249">
        <f t="shared" si="64"/>
        <v>27</v>
      </c>
      <c r="AD147" s="249">
        <f t="shared" si="64"/>
        <v>39</v>
      </c>
      <c r="AE147" s="249">
        <f t="shared" si="64"/>
        <v>45</v>
      </c>
      <c r="AF147" s="250">
        <f t="shared" si="64"/>
        <v>44</v>
      </c>
      <c r="AG147" s="258">
        <f t="shared" si="64"/>
        <v>1451</v>
      </c>
    </row>
    <row r="148">
      <c r="A148" s="27"/>
      <c r="B148" s="259"/>
      <c r="C148" s="259"/>
      <c r="D148" s="259"/>
      <c r="E148" s="259"/>
      <c r="F148" s="259"/>
      <c r="G148" s="259"/>
      <c r="H148" s="259"/>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7"/>
      <c r="AG148" s="24"/>
    </row>
    <row r="149">
      <c r="A149" s="194" t="s">
        <v>536</v>
      </c>
      <c r="B149" s="254">
        <v>12.0</v>
      </c>
      <c r="C149" s="253">
        <v>16.0</v>
      </c>
      <c r="D149" s="254">
        <v>21.0</v>
      </c>
      <c r="E149" s="253">
        <v>11.0</v>
      </c>
      <c r="F149" s="254">
        <v>15.0</v>
      </c>
      <c r="G149" s="253">
        <f>9+3</f>
        <v>12</v>
      </c>
      <c r="H149" s="253">
        <v>6.0</v>
      </c>
      <c r="I149" s="255">
        <v>3.0</v>
      </c>
      <c r="J149" s="219">
        <f>188+2</f>
        <v>190</v>
      </c>
      <c r="K149" s="255">
        <v>60.0</v>
      </c>
      <c r="L149" s="219">
        <f>27+4</f>
        <v>31</v>
      </c>
      <c r="M149" s="219">
        <f>21+1</f>
        <v>22</v>
      </c>
      <c r="N149" s="219">
        <v>16.0</v>
      </c>
      <c r="O149" s="219">
        <v>9.0</v>
      </c>
      <c r="P149" s="219">
        <v>10.0</v>
      </c>
      <c r="Q149" s="219">
        <v>29.0</v>
      </c>
      <c r="R149" s="219">
        <v>20.0</v>
      </c>
      <c r="S149" s="220">
        <v>7.0</v>
      </c>
      <c r="T149" s="220">
        <v>11.0</v>
      </c>
      <c r="U149" s="220">
        <v>13.0</v>
      </c>
      <c r="V149" s="220">
        <v>12.0</v>
      </c>
      <c r="W149" s="220">
        <v>15.0</v>
      </c>
      <c r="X149" s="220">
        <v>12.0</v>
      </c>
      <c r="Y149" s="220">
        <v>12.0</v>
      </c>
      <c r="Z149" s="220">
        <v>7.0</v>
      </c>
      <c r="AA149" s="220">
        <v>5.0</v>
      </c>
      <c r="AB149" s="220">
        <v>13.0</v>
      </c>
      <c r="AC149" s="220">
        <v>11.0</v>
      </c>
      <c r="AD149" s="220">
        <v>12.0</v>
      </c>
      <c r="AE149" s="220">
        <v>23.0</v>
      </c>
      <c r="AF149" s="135">
        <v>20.0</v>
      </c>
      <c r="AG149" s="66">
        <f t="shared" ref="AG149:AG152" si="65">SUM(B149:AF149)</f>
        <v>656</v>
      </c>
    </row>
    <row r="150">
      <c r="A150" s="194" t="s">
        <v>537</v>
      </c>
      <c r="B150" s="253">
        <v>4.0</v>
      </c>
      <c r="C150" s="253">
        <v>11.0</v>
      </c>
      <c r="D150" s="253">
        <v>12.0</v>
      </c>
      <c r="E150" s="253">
        <v>7.0</v>
      </c>
      <c r="F150" s="253">
        <v>7.0</v>
      </c>
      <c r="G150" s="253">
        <f>6+1</f>
        <v>7</v>
      </c>
      <c r="H150" s="253">
        <v>1.0</v>
      </c>
      <c r="I150" s="255">
        <v>3.0</v>
      </c>
      <c r="J150" s="255">
        <v>90.0</v>
      </c>
      <c r="K150" s="255">
        <v>26.0</v>
      </c>
      <c r="L150" s="219">
        <f>10+2</f>
        <v>12</v>
      </c>
      <c r="M150" s="219">
        <f>9+1</f>
        <v>10</v>
      </c>
      <c r="N150" s="219">
        <v>4.0</v>
      </c>
      <c r="O150" s="219">
        <v>3.0</v>
      </c>
      <c r="P150" s="219">
        <v>10.0</v>
      </c>
      <c r="Q150" s="219">
        <v>18.0</v>
      </c>
      <c r="R150" s="219">
        <v>7.0</v>
      </c>
      <c r="S150" s="220">
        <v>1.0</v>
      </c>
      <c r="T150" s="220">
        <v>5.0</v>
      </c>
      <c r="U150" s="220">
        <v>2.0</v>
      </c>
      <c r="V150" s="220">
        <v>10.0</v>
      </c>
      <c r="W150" s="220">
        <v>8.0</v>
      </c>
      <c r="X150" s="220">
        <v>3.0</v>
      </c>
      <c r="Y150" s="220">
        <v>2.0</v>
      </c>
      <c r="Z150" s="220">
        <v>4.0</v>
      </c>
      <c r="AA150" s="220">
        <v>2.0</v>
      </c>
      <c r="AB150" s="220">
        <v>11.0</v>
      </c>
      <c r="AC150" s="220">
        <v>7.0</v>
      </c>
      <c r="AD150" s="220">
        <v>15.0</v>
      </c>
      <c r="AE150" s="220">
        <v>13.0</v>
      </c>
      <c r="AF150" s="135">
        <v>9.0</v>
      </c>
      <c r="AG150" s="66">
        <f t="shared" si="65"/>
        <v>324</v>
      </c>
    </row>
    <row r="151">
      <c r="A151" s="194" t="s">
        <v>538</v>
      </c>
      <c r="B151" s="254">
        <v>6.0</v>
      </c>
      <c r="C151" s="254">
        <v>9.0</v>
      </c>
      <c r="D151" s="253">
        <v>9.0</v>
      </c>
      <c r="E151" s="253">
        <v>2.0</v>
      </c>
      <c r="F151" s="253">
        <v>6.0</v>
      </c>
      <c r="G151" s="253">
        <v>1.0</v>
      </c>
      <c r="H151" s="253">
        <v>2.0</v>
      </c>
      <c r="I151" s="255">
        <v>0.0</v>
      </c>
      <c r="J151" s="255">
        <v>19.0</v>
      </c>
      <c r="K151" s="219">
        <v>8.0</v>
      </c>
      <c r="L151" s="219">
        <f>7+2</f>
        <v>9</v>
      </c>
      <c r="M151" s="219">
        <v>5.0</v>
      </c>
      <c r="N151" s="219">
        <v>2.0</v>
      </c>
      <c r="O151" s="219">
        <v>3.0</v>
      </c>
      <c r="P151" s="219">
        <v>1.0</v>
      </c>
      <c r="Q151" s="219">
        <v>3.0</v>
      </c>
      <c r="R151" s="219">
        <v>5.0</v>
      </c>
      <c r="S151" s="220">
        <v>0.0</v>
      </c>
      <c r="T151" s="220">
        <v>3.0</v>
      </c>
      <c r="U151" s="220">
        <v>5.0</v>
      </c>
      <c r="V151" s="220">
        <v>2.0</v>
      </c>
      <c r="W151" s="220">
        <v>4.0</v>
      </c>
      <c r="X151" s="220">
        <v>2.0</v>
      </c>
      <c r="Y151" s="220">
        <v>2.0</v>
      </c>
      <c r="Z151" s="220">
        <v>1.0</v>
      </c>
      <c r="AA151" s="220">
        <v>1.0</v>
      </c>
      <c r="AB151" s="220">
        <v>1.0</v>
      </c>
      <c r="AC151" s="220">
        <v>1.0</v>
      </c>
      <c r="AD151" s="220">
        <v>1.0</v>
      </c>
      <c r="AE151" s="220">
        <v>3.0</v>
      </c>
      <c r="AF151" s="135">
        <v>3.0</v>
      </c>
      <c r="AG151" s="66">
        <f t="shared" si="65"/>
        <v>119</v>
      </c>
    </row>
    <row r="152">
      <c r="A152" s="194" t="s">
        <v>539</v>
      </c>
      <c r="B152" s="254">
        <v>5.0</v>
      </c>
      <c r="C152" s="253">
        <v>3.0</v>
      </c>
      <c r="D152" s="253">
        <v>2.0</v>
      </c>
      <c r="E152" s="253">
        <v>3.0</v>
      </c>
      <c r="F152" s="254">
        <v>7.0</v>
      </c>
      <c r="G152" s="253">
        <f>2+1</f>
        <v>3</v>
      </c>
      <c r="H152" s="253">
        <v>4.0</v>
      </c>
      <c r="I152" s="219">
        <v>3.0</v>
      </c>
      <c r="J152" s="255">
        <v>55.0</v>
      </c>
      <c r="K152" s="219">
        <v>20.0</v>
      </c>
      <c r="L152" s="219">
        <f>8+2</f>
        <v>10</v>
      </c>
      <c r="M152" s="219">
        <v>6.0</v>
      </c>
      <c r="N152" s="255">
        <v>2.0</v>
      </c>
      <c r="O152" s="219">
        <v>3.0</v>
      </c>
      <c r="P152" s="219">
        <v>4.0</v>
      </c>
      <c r="Q152" s="219">
        <v>4.0</v>
      </c>
      <c r="R152" s="219">
        <v>6.0</v>
      </c>
      <c r="S152" s="220">
        <v>2.0</v>
      </c>
      <c r="T152" s="220">
        <v>1.0</v>
      </c>
      <c r="U152" s="220">
        <v>4.0</v>
      </c>
      <c r="V152" s="220">
        <v>1.0</v>
      </c>
      <c r="W152" s="220">
        <v>5.0</v>
      </c>
      <c r="X152" s="220">
        <v>7.0</v>
      </c>
      <c r="Y152" s="220">
        <v>2.0</v>
      </c>
      <c r="Z152" s="220">
        <v>3.0</v>
      </c>
      <c r="AA152" s="220">
        <v>-3.0</v>
      </c>
      <c r="AB152" s="220">
        <v>6.0</v>
      </c>
      <c r="AC152" s="220">
        <v>5.0</v>
      </c>
      <c r="AD152" s="220">
        <v>4.0</v>
      </c>
      <c r="AE152" s="220">
        <v>4.0</v>
      </c>
      <c r="AF152" s="135">
        <v>11.0</v>
      </c>
      <c r="AG152" s="66">
        <f t="shared" si="65"/>
        <v>192</v>
      </c>
    </row>
    <row r="153">
      <c r="A153" s="256" t="s">
        <v>23</v>
      </c>
      <c r="B153" s="257">
        <f t="shared" ref="B153:Q153" si="66">SUM(B149:B152)</f>
        <v>27</v>
      </c>
      <c r="C153" s="257">
        <f t="shared" si="66"/>
        <v>39</v>
      </c>
      <c r="D153" s="257">
        <f t="shared" si="66"/>
        <v>44</v>
      </c>
      <c r="E153" s="257">
        <f t="shared" si="66"/>
        <v>23</v>
      </c>
      <c r="F153" s="257">
        <f t="shared" si="66"/>
        <v>35</v>
      </c>
      <c r="G153" s="257">
        <f t="shared" si="66"/>
        <v>23</v>
      </c>
      <c r="H153" s="257">
        <f t="shared" si="66"/>
        <v>13</v>
      </c>
      <c r="I153" s="257">
        <f t="shared" si="66"/>
        <v>9</v>
      </c>
      <c r="J153" s="257">
        <f t="shared" si="66"/>
        <v>354</v>
      </c>
      <c r="K153" s="257">
        <f t="shared" si="66"/>
        <v>114</v>
      </c>
      <c r="L153" s="257">
        <f t="shared" si="66"/>
        <v>62</v>
      </c>
      <c r="M153" s="257">
        <f t="shared" si="66"/>
        <v>43</v>
      </c>
      <c r="N153" s="257">
        <f t="shared" si="66"/>
        <v>24</v>
      </c>
      <c r="O153" s="257">
        <f t="shared" si="66"/>
        <v>18</v>
      </c>
      <c r="P153" s="257">
        <f t="shared" si="66"/>
        <v>25</v>
      </c>
      <c r="Q153" s="257">
        <f t="shared" si="66"/>
        <v>54</v>
      </c>
      <c r="R153" s="257">
        <f>SUM(R148:R152)</f>
        <v>38</v>
      </c>
      <c r="S153" s="257">
        <f t="shared" ref="S153:AG153" si="67">SUM(S149:S152)</f>
        <v>10</v>
      </c>
      <c r="T153" s="257">
        <f t="shared" si="67"/>
        <v>20</v>
      </c>
      <c r="U153" s="257">
        <f t="shared" si="67"/>
        <v>24</v>
      </c>
      <c r="V153" s="257">
        <f t="shared" si="67"/>
        <v>25</v>
      </c>
      <c r="W153" s="257">
        <f t="shared" si="67"/>
        <v>32</v>
      </c>
      <c r="X153" s="257">
        <f t="shared" si="67"/>
        <v>24</v>
      </c>
      <c r="Y153" s="257">
        <f t="shared" si="67"/>
        <v>18</v>
      </c>
      <c r="Z153" s="257">
        <f t="shared" si="67"/>
        <v>15</v>
      </c>
      <c r="AA153" s="257">
        <f t="shared" si="67"/>
        <v>5</v>
      </c>
      <c r="AB153" s="257">
        <f t="shared" si="67"/>
        <v>31</v>
      </c>
      <c r="AC153" s="257">
        <f t="shared" si="67"/>
        <v>24</v>
      </c>
      <c r="AD153" s="257">
        <f t="shared" si="67"/>
        <v>32</v>
      </c>
      <c r="AE153" s="257">
        <f t="shared" si="67"/>
        <v>43</v>
      </c>
      <c r="AF153" s="260">
        <f t="shared" si="67"/>
        <v>43</v>
      </c>
      <c r="AG153" s="258">
        <f t="shared" si="67"/>
        <v>1291</v>
      </c>
    </row>
    <row r="154">
      <c r="A154" s="27"/>
      <c r="B154" s="191"/>
      <c r="C154" s="191"/>
      <c r="D154" s="191"/>
      <c r="E154" s="191"/>
      <c r="F154" s="191"/>
      <c r="G154" s="191"/>
      <c r="H154" s="191"/>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7"/>
      <c r="AG154" s="24"/>
    </row>
    <row r="155">
      <c r="A155" s="27"/>
      <c r="B155" s="191"/>
      <c r="C155" s="191"/>
      <c r="D155" s="191"/>
      <c r="E155" s="191"/>
      <c r="F155" s="191"/>
      <c r="G155" s="191"/>
      <c r="H155" s="191"/>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7"/>
      <c r="AG155" s="24"/>
    </row>
    <row r="156">
      <c r="A156" s="114" t="s">
        <v>396</v>
      </c>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7"/>
      <c r="AG156" s="24"/>
    </row>
    <row r="157">
      <c r="A157" s="27" t="s">
        <v>540</v>
      </c>
      <c r="B157" s="261">
        <f t="shared" ref="B157:AF157" si="68">B29+B31+B33+B35+B36+B39+B40+B37+B38</f>
        <v>1397.48</v>
      </c>
      <c r="C157" s="262">
        <f t="shared" si="68"/>
        <v>2042.18</v>
      </c>
      <c r="D157" s="263">
        <f t="shared" si="68"/>
        <v>2403.92</v>
      </c>
      <c r="E157" s="264">
        <f t="shared" si="68"/>
        <v>1779.37</v>
      </c>
      <c r="F157" s="265">
        <f t="shared" si="68"/>
        <v>2259.8</v>
      </c>
      <c r="G157" s="266">
        <f t="shared" si="68"/>
        <v>1707.57</v>
      </c>
      <c r="H157" s="267">
        <f t="shared" si="68"/>
        <v>1309.39</v>
      </c>
      <c r="I157" s="268">
        <f t="shared" si="68"/>
        <v>1691.16</v>
      </c>
      <c r="J157" s="269">
        <f t="shared" si="68"/>
        <v>4187.33</v>
      </c>
      <c r="K157" s="270">
        <f t="shared" si="68"/>
        <v>2786.66</v>
      </c>
      <c r="L157" s="271">
        <f t="shared" si="68"/>
        <v>2097.14</v>
      </c>
      <c r="M157" s="272">
        <f t="shared" si="68"/>
        <v>2212.59</v>
      </c>
      <c r="N157" s="273">
        <f t="shared" si="68"/>
        <v>2019.76</v>
      </c>
      <c r="O157" s="274">
        <f t="shared" si="68"/>
        <v>1928.85</v>
      </c>
      <c r="P157" s="275">
        <f t="shared" si="68"/>
        <v>1972.48</v>
      </c>
      <c r="Q157" s="276">
        <f t="shared" si="68"/>
        <v>2556.15</v>
      </c>
      <c r="R157" s="277">
        <f t="shared" si="68"/>
        <v>2820.34</v>
      </c>
      <c r="S157" s="278">
        <f t="shared" si="68"/>
        <v>2395.12</v>
      </c>
      <c r="T157" s="278">
        <f t="shared" si="68"/>
        <v>1838.56</v>
      </c>
      <c r="U157" s="278">
        <f t="shared" si="68"/>
        <v>2162.3</v>
      </c>
      <c r="V157" s="278">
        <f t="shared" si="68"/>
        <v>2133.864452</v>
      </c>
      <c r="W157" s="278">
        <f t="shared" si="68"/>
        <v>3478.398586</v>
      </c>
      <c r="X157" s="278">
        <f t="shared" si="68"/>
        <v>2135.98904</v>
      </c>
      <c r="Y157" s="278">
        <f t="shared" si="68"/>
        <v>2288.157185</v>
      </c>
      <c r="Z157" s="278">
        <f t="shared" si="68"/>
        <v>2208.22472</v>
      </c>
      <c r="AA157" s="278">
        <f t="shared" si="68"/>
        <v>1860.324065</v>
      </c>
      <c r="AB157" s="278">
        <f t="shared" si="68"/>
        <v>1721.474381</v>
      </c>
      <c r="AC157" s="278">
        <f t="shared" si="68"/>
        <v>1842.298106</v>
      </c>
      <c r="AD157" s="278">
        <f t="shared" si="68"/>
        <v>2709.046715</v>
      </c>
      <c r="AE157" s="278">
        <f t="shared" si="68"/>
        <v>3877.063238</v>
      </c>
      <c r="AF157" s="279">
        <f t="shared" si="68"/>
        <v>3548.123897</v>
      </c>
      <c r="AG157" s="106">
        <f t="shared" ref="AG157:AG170" si="70">SUM(B157:AF157)</f>
        <v>71371.11438</v>
      </c>
    </row>
    <row r="158">
      <c r="A158" s="27" t="s">
        <v>541</v>
      </c>
      <c r="B158" s="122">
        <f t="shared" ref="B158:AF158" si="69">B30+B32+B34</f>
        <v>0</v>
      </c>
      <c r="C158" s="122">
        <f t="shared" si="69"/>
        <v>0</v>
      </c>
      <c r="D158" s="122">
        <f t="shared" si="69"/>
        <v>0</v>
      </c>
      <c r="E158" s="122">
        <f t="shared" si="69"/>
        <v>0</v>
      </c>
      <c r="F158" s="122">
        <f t="shared" si="69"/>
        <v>0</v>
      </c>
      <c r="G158" s="122">
        <f t="shared" si="69"/>
        <v>0</v>
      </c>
      <c r="H158" s="122">
        <f t="shared" si="69"/>
        <v>0</v>
      </c>
      <c r="I158" s="122">
        <f t="shared" si="69"/>
        <v>0</v>
      </c>
      <c r="J158" s="122">
        <f t="shared" si="69"/>
        <v>0</v>
      </c>
      <c r="K158" s="122">
        <f t="shared" si="69"/>
        <v>0</v>
      </c>
      <c r="L158" s="122">
        <f t="shared" si="69"/>
        <v>0</v>
      </c>
      <c r="M158" s="122">
        <f t="shared" si="69"/>
        <v>0</v>
      </c>
      <c r="N158" s="122">
        <f t="shared" si="69"/>
        <v>0</v>
      </c>
      <c r="O158" s="122">
        <f t="shared" si="69"/>
        <v>0</v>
      </c>
      <c r="P158" s="122">
        <f t="shared" si="69"/>
        <v>0</v>
      </c>
      <c r="Q158" s="122">
        <f t="shared" si="69"/>
        <v>0</v>
      </c>
      <c r="R158" s="122">
        <f t="shared" si="69"/>
        <v>0</v>
      </c>
      <c r="S158" s="122">
        <f t="shared" si="69"/>
        <v>0</v>
      </c>
      <c r="T158" s="122">
        <f t="shared" si="69"/>
        <v>0</v>
      </c>
      <c r="U158" s="122">
        <f t="shared" si="69"/>
        <v>0</v>
      </c>
      <c r="V158" s="122">
        <f t="shared" si="69"/>
        <v>0</v>
      </c>
      <c r="W158" s="122">
        <f t="shared" si="69"/>
        <v>0</v>
      </c>
      <c r="X158" s="122">
        <f t="shared" si="69"/>
        <v>0</v>
      </c>
      <c r="Y158" s="122">
        <f t="shared" si="69"/>
        <v>0</v>
      </c>
      <c r="Z158" s="122">
        <f t="shared" si="69"/>
        <v>0</v>
      </c>
      <c r="AA158" s="122">
        <f t="shared" si="69"/>
        <v>0</v>
      </c>
      <c r="AB158" s="122">
        <f t="shared" si="69"/>
        <v>0</v>
      </c>
      <c r="AC158" s="122">
        <f t="shared" si="69"/>
        <v>0</v>
      </c>
      <c r="AD158" s="122">
        <f t="shared" si="69"/>
        <v>0</v>
      </c>
      <c r="AE158" s="122">
        <f t="shared" si="69"/>
        <v>0</v>
      </c>
      <c r="AF158" s="128">
        <f t="shared" si="69"/>
        <v>0</v>
      </c>
      <c r="AG158" s="106">
        <f t="shared" si="70"/>
        <v>0</v>
      </c>
    </row>
    <row r="159">
      <c r="A159" s="27" t="s">
        <v>542</v>
      </c>
      <c r="B159" s="122">
        <f t="shared" ref="B159:AF159" si="71">B126*0.06</f>
        <v>0</v>
      </c>
      <c r="C159" s="122">
        <f t="shared" si="71"/>
        <v>0</v>
      </c>
      <c r="D159" s="122">
        <f t="shared" si="71"/>
        <v>12.9</v>
      </c>
      <c r="E159" s="122">
        <f t="shared" si="71"/>
        <v>0</v>
      </c>
      <c r="F159" s="122">
        <f t="shared" si="71"/>
        <v>12.9</v>
      </c>
      <c r="G159" s="122">
        <f t="shared" si="71"/>
        <v>63.72</v>
      </c>
      <c r="H159" s="122">
        <f t="shared" si="71"/>
        <v>0</v>
      </c>
      <c r="I159" s="122">
        <f t="shared" si="71"/>
        <v>0</v>
      </c>
      <c r="J159" s="122">
        <f t="shared" si="71"/>
        <v>47.22</v>
      </c>
      <c r="K159" s="122">
        <f t="shared" si="71"/>
        <v>0</v>
      </c>
      <c r="L159" s="122">
        <f t="shared" si="71"/>
        <v>110.4</v>
      </c>
      <c r="M159" s="122">
        <f t="shared" si="71"/>
        <v>17.1</v>
      </c>
      <c r="N159" s="122">
        <f t="shared" si="71"/>
        <v>0</v>
      </c>
      <c r="O159" s="122">
        <f t="shared" si="71"/>
        <v>35.88</v>
      </c>
      <c r="P159" s="122">
        <f t="shared" si="71"/>
        <v>0</v>
      </c>
      <c r="Q159" s="122">
        <f t="shared" si="71"/>
        <v>0</v>
      </c>
      <c r="R159" s="122">
        <f t="shared" si="71"/>
        <v>0</v>
      </c>
      <c r="S159" s="122">
        <f t="shared" si="71"/>
        <v>0</v>
      </c>
      <c r="T159" s="122">
        <f t="shared" si="71"/>
        <v>0</v>
      </c>
      <c r="U159" s="122">
        <f t="shared" si="71"/>
        <v>0</v>
      </c>
      <c r="V159" s="122">
        <f t="shared" si="71"/>
        <v>0</v>
      </c>
      <c r="W159" s="122">
        <f t="shared" si="71"/>
        <v>0</v>
      </c>
      <c r="X159" s="122">
        <f t="shared" si="71"/>
        <v>0</v>
      </c>
      <c r="Y159" s="122">
        <f t="shared" si="71"/>
        <v>0</v>
      </c>
      <c r="Z159" s="122">
        <f t="shared" si="71"/>
        <v>0</v>
      </c>
      <c r="AA159" s="122">
        <f t="shared" si="71"/>
        <v>0</v>
      </c>
      <c r="AB159" s="122">
        <f t="shared" si="71"/>
        <v>0</v>
      </c>
      <c r="AC159" s="122">
        <f t="shared" si="71"/>
        <v>0</v>
      </c>
      <c r="AD159" s="122">
        <f t="shared" si="71"/>
        <v>0</v>
      </c>
      <c r="AE159" s="122">
        <f t="shared" si="71"/>
        <v>0</v>
      </c>
      <c r="AF159" s="128">
        <f t="shared" si="71"/>
        <v>0</v>
      </c>
      <c r="AG159" s="106">
        <f t="shared" si="70"/>
        <v>300.12</v>
      </c>
    </row>
    <row r="160">
      <c r="A160" s="27" t="s">
        <v>389</v>
      </c>
      <c r="B160" s="122">
        <f t="shared" ref="B160:AF160" si="72">B138*0.026</f>
        <v>198.38</v>
      </c>
      <c r="C160" s="122">
        <f t="shared" si="72"/>
        <v>294.554</v>
      </c>
      <c r="D160" s="122">
        <f t="shared" si="72"/>
        <v>330.044</v>
      </c>
      <c r="E160" s="122">
        <f t="shared" si="72"/>
        <v>209.3</v>
      </c>
      <c r="F160" s="122">
        <f t="shared" si="72"/>
        <v>222.248</v>
      </c>
      <c r="G160" s="122">
        <f t="shared" si="72"/>
        <v>174.824</v>
      </c>
      <c r="H160" s="122">
        <f t="shared" si="72"/>
        <v>133.64</v>
      </c>
      <c r="I160" s="122">
        <f t="shared" si="72"/>
        <v>144.248</v>
      </c>
      <c r="J160" s="122">
        <f t="shared" si="72"/>
        <v>2417.636</v>
      </c>
      <c r="K160" s="122">
        <f t="shared" si="72"/>
        <v>644.618</v>
      </c>
      <c r="L160" s="122">
        <f t="shared" si="72"/>
        <v>410.592</v>
      </c>
      <c r="M160" s="122">
        <f t="shared" si="72"/>
        <v>254.046</v>
      </c>
      <c r="N160" s="122">
        <f t="shared" si="72"/>
        <v>197.08</v>
      </c>
      <c r="O160" s="122">
        <f t="shared" si="72"/>
        <v>227.838</v>
      </c>
      <c r="P160" s="122">
        <f t="shared" si="72"/>
        <v>172.068</v>
      </c>
      <c r="Q160" s="122">
        <f t="shared" si="72"/>
        <v>367.38</v>
      </c>
      <c r="R160" s="122">
        <f t="shared" si="72"/>
        <v>287.56</v>
      </c>
      <c r="S160" s="122">
        <f t="shared" si="72"/>
        <v>210.158</v>
      </c>
      <c r="T160" s="122">
        <f t="shared" si="72"/>
        <v>198.9</v>
      </c>
      <c r="U160" s="122">
        <f t="shared" si="72"/>
        <v>155.506</v>
      </c>
      <c r="V160" s="122">
        <f t="shared" si="72"/>
        <v>207.194</v>
      </c>
      <c r="W160" s="122">
        <f t="shared" si="72"/>
        <v>239.564</v>
      </c>
      <c r="X160" s="122">
        <f t="shared" si="72"/>
        <v>217.542</v>
      </c>
      <c r="Y160" s="122">
        <f t="shared" si="72"/>
        <v>234.806</v>
      </c>
      <c r="Z160" s="122">
        <f t="shared" si="72"/>
        <v>228.67</v>
      </c>
      <c r="AA160" s="122">
        <f t="shared" si="72"/>
        <v>150.332</v>
      </c>
      <c r="AB160" s="122">
        <f t="shared" si="72"/>
        <v>188.422</v>
      </c>
      <c r="AC160" s="122">
        <f t="shared" si="72"/>
        <v>182.702</v>
      </c>
      <c r="AD160" s="122">
        <f t="shared" si="72"/>
        <v>252.408</v>
      </c>
      <c r="AE160" s="122">
        <f t="shared" si="72"/>
        <v>281.788</v>
      </c>
      <c r="AF160" s="128">
        <f t="shared" si="72"/>
        <v>274.768</v>
      </c>
      <c r="AG160" s="106">
        <f t="shared" si="70"/>
        <v>9708.816</v>
      </c>
    </row>
    <row r="161">
      <c r="A161" s="27" t="s">
        <v>394</v>
      </c>
      <c r="B161" s="122">
        <f t="shared" ref="B161:AF161" si="73">B139*0.3</f>
        <v>9.3</v>
      </c>
      <c r="C161" s="122">
        <f t="shared" si="73"/>
        <v>13.5</v>
      </c>
      <c r="D161" s="122">
        <f t="shared" si="73"/>
        <v>15.9</v>
      </c>
      <c r="E161" s="122">
        <f t="shared" si="73"/>
        <v>8.7</v>
      </c>
      <c r="F161" s="122">
        <f t="shared" si="73"/>
        <v>10.2</v>
      </c>
      <c r="G161" s="122">
        <f t="shared" si="73"/>
        <v>7.5</v>
      </c>
      <c r="H161" s="122">
        <f t="shared" si="73"/>
        <v>6.6</v>
      </c>
      <c r="I161" s="122">
        <f t="shared" si="73"/>
        <v>6.9</v>
      </c>
      <c r="J161" s="122">
        <f t="shared" si="73"/>
        <v>101.1</v>
      </c>
      <c r="K161" s="122">
        <f t="shared" si="73"/>
        <v>26.7</v>
      </c>
      <c r="L161" s="122">
        <f t="shared" si="73"/>
        <v>17.1</v>
      </c>
      <c r="M161" s="122">
        <f t="shared" si="73"/>
        <v>11.1</v>
      </c>
      <c r="N161" s="122">
        <f t="shared" si="73"/>
        <v>8.1</v>
      </c>
      <c r="O161" s="122">
        <f t="shared" si="73"/>
        <v>9.9</v>
      </c>
      <c r="P161" s="122">
        <f t="shared" si="73"/>
        <v>7.5</v>
      </c>
      <c r="Q161" s="122">
        <f t="shared" si="73"/>
        <v>14.7</v>
      </c>
      <c r="R161" s="122">
        <f t="shared" si="73"/>
        <v>13.2</v>
      </c>
      <c r="S161" s="122">
        <f t="shared" si="73"/>
        <v>9.9</v>
      </c>
      <c r="T161" s="122">
        <f t="shared" si="73"/>
        <v>9.3</v>
      </c>
      <c r="U161" s="122">
        <f t="shared" si="73"/>
        <v>6.3</v>
      </c>
      <c r="V161" s="122">
        <f t="shared" si="73"/>
        <v>9</v>
      </c>
      <c r="W161" s="122">
        <f t="shared" si="73"/>
        <v>11.1</v>
      </c>
      <c r="X161" s="122">
        <f t="shared" si="73"/>
        <v>8.4</v>
      </c>
      <c r="Y161" s="122">
        <f t="shared" si="73"/>
        <v>10.8</v>
      </c>
      <c r="Z161" s="122">
        <f t="shared" si="73"/>
        <v>10.2</v>
      </c>
      <c r="AA161" s="122">
        <f t="shared" si="73"/>
        <v>6.9</v>
      </c>
      <c r="AB161" s="122">
        <f t="shared" si="73"/>
        <v>8.4</v>
      </c>
      <c r="AC161" s="122">
        <f t="shared" si="73"/>
        <v>7.8</v>
      </c>
      <c r="AD161" s="122">
        <f t="shared" si="73"/>
        <v>11.7</v>
      </c>
      <c r="AE161" s="122">
        <f t="shared" si="73"/>
        <v>12.9</v>
      </c>
      <c r="AF161" s="128">
        <f t="shared" si="73"/>
        <v>12.9</v>
      </c>
      <c r="AG161" s="106">
        <f t="shared" si="70"/>
        <v>423.6</v>
      </c>
    </row>
    <row r="162">
      <c r="A162" s="135" t="s">
        <v>397</v>
      </c>
      <c r="B162" s="122">
        <f t="shared" ref="B162:AF162" si="74">B147*86.58</f>
        <v>2857.14</v>
      </c>
      <c r="C162" s="122">
        <f t="shared" si="74"/>
        <v>4242.42</v>
      </c>
      <c r="D162" s="122">
        <f t="shared" si="74"/>
        <v>4588.74</v>
      </c>
      <c r="E162" s="122">
        <f t="shared" si="74"/>
        <v>3203.46</v>
      </c>
      <c r="F162" s="122">
        <f t="shared" si="74"/>
        <v>2857.14</v>
      </c>
      <c r="G162" s="122">
        <f t="shared" si="74"/>
        <v>2251.08</v>
      </c>
      <c r="H162" s="122">
        <f t="shared" si="74"/>
        <v>1904.76</v>
      </c>
      <c r="I162" s="122">
        <f t="shared" si="74"/>
        <v>1818.18</v>
      </c>
      <c r="J162" s="122">
        <f t="shared" si="74"/>
        <v>31948.02</v>
      </c>
      <c r="K162" s="122">
        <f t="shared" si="74"/>
        <v>8311.68</v>
      </c>
      <c r="L162" s="122">
        <f t="shared" si="74"/>
        <v>4588.74</v>
      </c>
      <c r="M162" s="122">
        <f t="shared" si="74"/>
        <v>3203.46</v>
      </c>
      <c r="N162" s="122">
        <f t="shared" si="74"/>
        <v>2683.98</v>
      </c>
      <c r="O162" s="122">
        <f t="shared" si="74"/>
        <v>2683.98</v>
      </c>
      <c r="P162" s="122">
        <f t="shared" si="74"/>
        <v>2251.08</v>
      </c>
      <c r="Q162" s="122">
        <f t="shared" si="74"/>
        <v>5021.64</v>
      </c>
      <c r="R162" s="122">
        <f t="shared" si="74"/>
        <v>3896.1</v>
      </c>
      <c r="S162" s="122">
        <f t="shared" si="74"/>
        <v>2251.08</v>
      </c>
      <c r="T162" s="122">
        <f t="shared" si="74"/>
        <v>2424.24</v>
      </c>
      <c r="U162" s="122">
        <f t="shared" si="74"/>
        <v>1904.76</v>
      </c>
      <c r="V162" s="122">
        <f t="shared" si="74"/>
        <v>2770.56</v>
      </c>
      <c r="W162" s="122">
        <f t="shared" si="74"/>
        <v>3116.88</v>
      </c>
      <c r="X162" s="122">
        <f t="shared" si="74"/>
        <v>3116.88</v>
      </c>
      <c r="Y162" s="122">
        <f t="shared" si="74"/>
        <v>3290.04</v>
      </c>
      <c r="Z162" s="122">
        <f t="shared" si="74"/>
        <v>1385.28</v>
      </c>
      <c r="AA162" s="122">
        <f t="shared" si="74"/>
        <v>1212.12</v>
      </c>
      <c r="AB162" s="122">
        <f t="shared" si="74"/>
        <v>2424.24</v>
      </c>
      <c r="AC162" s="122">
        <f t="shared" si="74"/>
        <v>2337.66</v>
      </c>
      <c r="AD162" s="122">
        <f t="shared" si="74"/>
        <v>3376.62</v>
      </c>
      <c r="AE162" s="122">
        <f t="shared" si="74"/>
        <v>3896.1</v>
      </c>
      <c r="AF162" s="128">
        <f t="shared" si="74"/>
        <v>3809.52</v>
      </c>
      <c r="AG162" s="106">
        <f t="shared" si="70"/>
        <v>125627.58</v>
      </c>
    </row>
    <row r="163">
      <c r="A163" s="27" t="s">
        <v>543</v>
      </c>
      <c r="B163" s="122">
        <f t="shared" ref="B163:AF163" si="75">B125</f>
        <v>0</v>
      </c>
      <c r="C163" s="122">
        <f t="shared" si="75"/>
        <v>0</v>
      </c>
      <c r="D163" s="122">
        <f t="shared" si="75"/>
        <v>13</v>
      </c>
      <c r="E163" s="122">
        <f t="shared" si="75"/>
        <v>0</v>
      </c>
      <c r="F163" s="122">
        <f t="shared" si="75"/>
        <v>13</v>
      </c>
      <c r="G163" s="122">
        <f t="shared" si="75"/>
        <v>64</v>
      </c>
      <c r="H163" s="122">
        <f t="shared" si="75"/>
        <v>0</v>
      </c>
      <c r="I163" s="122">
        <f t="shared" si="75"/>
        <v>0</v>
      </c>
      <c r="J163" s="122">
        <f t="shared" si="75"/>
        <v>51</v>
      </c>
      <c r="K163" s="122">
        <f t="shared" si="75"/>
        <v>0</v>
      </c>
      <c r="L163" s="122">
        <f t="shared" si="75"/>
        <v>107</v>
      </c>
      <c r="M163" s="122">
        <f t="shared" si="75"/>
        <v>17</v>
      </c>
      <c r="N163" s="122">
        <f t="shared" si="75"/>
        <v>0</v>
      </c>
      <c r="O163" s="122">
        <f t="shared" si="75"/>
        <v>30</v>
      </c>
      <c r="P163" s="122">
        <f t="shared" si="75"/>
        <v>0</v>
      </c>
      <c r="Q163" s="122">
        <f t="shared" si="75"/>
        <v>0</v>
      </c>
      <c r="R163" s="122">
        <f t="shared" si="75"/>
        <v>0</v>
      </c>
      <c r="S163" s="139">
        <f t="shared" si="75"/>
        <v>0</v>
      </c>
      <c r="T163" s="139">
        <f t="shared" si="75"/>
        <v>0</v>
      </c>
      <c r="U163" s="139">
        <f t="shared" si="75"/>
        <v>0</v>
      </c>
      <c r="V163" s="139">
        <f t="shared" si="75"/>
        <v>0</v>
      </c>
      <c r="W163" s="139">
        <f t="shared" si="75"/>
        <v>0</v>
      </c>
      <c r="X163" s="139">
        <f t="shared" si="75"/>
        <v>0</v>
      </c>
      <c r="Y163" s="139">
        <f t="shared" si="75"/>
        <v>0</v>
      </c>
      <c r="Z163" s="139">
        <f t="shared" si="75"/>
        <v>0</v>
      </c>
      <c r="AA163" s="139">
        <f t="shared" si="75"/>
        <v>0</v>
      </c>
      <c r="AB163" s="139">
        <f t="shared" si="75"/>
        <v>0</v>
      </c>
      <c r="AC163" s="139">
        <f t="shared" si="75"/>
        <v>0</v>
      </c>
      <c r="AD163" s="139">
        <f t="shared" si="75"/>
        <v>0</v>
      </c>
      <c r="AE163" s="139">
        <f t="shared" si="75"/>
        <v>0</v>
      </c>
      <c r="AF163" s="141">
        <f t="shared" si="75"/>
        <v>0</v>
      </c>
      <c r="AG163" s="106">
        <f t="shared" si="70"/>
        <v>295</v>
      </c>
    </row>
    <row r="164">
      <c r="A164" s="27" t="s">
        <v>544</v>
      </c>
      <c r="B164" s="122">
        <f t="shared" ref="B164:AF164" si="76">B134</f>
        <v>533</v>
      </c>
      <c r="C164" s="122">
        <f t="shared" si="76"/>
        <v>773</v>
      </c>
      <c r="D164" s="122">
        <f t="shared" si="76"/>
        <v>851</v>
      </c>
      <c r="E164" s="122">
        <f t="shared" si="76"/>
        <v>503</v>
      </c>
      <c r="F164" s="122">
        <f t="shared" si="76"/>
        <v>545</v>
      </c>
      <c r="G164" s="122">
        <f t="shared" si="76"/>
        <v>326</v>
      </c>
      <c r="H164" s="122">
        <f t="shared" si="76"/>
        <v>376</v>
      </c>
      <c r="I164" s="122">
        <f t="shared" si="76"/>
        <v>333</v>
      </c>
      <c r="J164" s="122">
        <f t="shared" si="76"/>
        <v>5779</v>
      </c>
      <c r="K164" s="122">
        <f t="shared" si="76"/>
        <v>1533</v>
      </c>
      <c r="L164" s="122">
        <f t="shared" si="76"/>
        <v>735</v>
      </c>
      <c r="M164" s="122">
        <f t="shared" si="76"/>
        <v>574</v>
      </c>
      <c r="N164" s="122">
        <f t="shared" si="76"/>
        <v>434</v>
      </c>
      <c r="O164" s="122">
        <f t="shared" si="76"/>
        <v>511</v>
      </c>
      <c r="P164" s="122">
        <f t="shared" si="76"/>
        <v>393</v>
      </c>
      <c r="Q164" s="122">
        <f t="shared" si="76"/>
        <v>869</v>
      </c>
      <c r="R164" s="122">
        <f t="shared" si="76"/>
        <v>741</v>
      </c>
      <c r="S164" s="139">
        <f t="shared" si="76"/>
        <v>445</v>
      </c>
      <c r="T164" s="139">
        <f t="shared" si="76"/>
        <v>557</v>
      </c>
      <c r="U164" s="139">
        <f t="shared" si="76"/>
        <v>433</v>
      </c>
      <c r="V164" s="139">
        <f t="shared" si="76"/>
        <v>666</v>
      </c>
      <c r="W164" s="139">
        <f t="shared" si="76"/>
        <v>714</v>
      </c>
      <c r="X164" s="139">
        <f t="shared" si="76"/>
        <v>634</v>
      </c>
      <c r="Y164" s="139">
        <f t="shared" si="76"/>
        <v>798</v>
      </c>
      <c r="Z164" s="139">
        <f t="shared" si="76"/>
        <v>456</v>
      </c>
      <c r="AA164" s="139">
        <f t="shared" si="76"/>
        <v>354</v>
      </c>
      <c r="AB164" s="139">
        <f t="shared" si="76"/>
        <v>620</v>
      </c>
      <c r="AC164" s="139">
        <f t="shared" si="76"/>
        <v>497</v>
      </c>
      <c r="AD164" s="139">
        <f t="shared" si="76"/>
        <v>732</v>
      </c>
      <c r="AE164" s="139">
        <f t="shared" si="76"/>
        <v>834</v>
      </c>
      <c r="AF164" s="141">
        <f t="shared" si="76"/>
        <v>899</v>
      </c>
      <c r="AG164" s="106">
        <f t="shared" si="70"/>
        <v>24448</v>
      </c>
    </row>
    <row r="165">
      <c r="A165" s="135" t="s">
        <v>545</v>
      </c>
      <c r="B165" s="122">
        <f t="shared" ref="B165:AF165" si="77">8.93*B149</f>
        <v>107.16</v>
      </c>
      <c r="C165" s="122">
        <f t="shared" si="77"/>
        <v>142.88</v>
      </c>
      <c r="D165" s="122">
        <f t="shared" si="77"/>
        <v>187.53</v>
      </c>
      <c r="E165" s="122">
        <f t="shared" si="77"/>
        <v>98.23</v>
      </c>
      <c r="F165" s="122">
        <f t="shared" si="77"/>
        <v>133.95</v>
      </c>
      <c r="G165" s="122">
        <f t="shared" si="77"/>
        <v>107.16</v>
      </c>
      <c r="H165" s="122">
        <f t="shared" si="77"/>
        <v>53.58</v>
      </c>
      <c r="I165" s="122">
        <f t="shared" si="77"/>
        <v>26.79</v>
      </c>
      <c r="J165" s="122">
        <f t="shared" si="77"/>
        <v>1696.7</v>
      </c>
      <c r="K165" s="122">
        <f t="shared" si="77"/>
        <v>535.8</v>
      </c>
      <c r="L165" s="122">
        <f t="shared" si="77"/>
        <v>276.83</v>
      </c>
      <c r="M165" s="122">
        <f t="shared" si="77"/>
        <v>196.46</v>
      </c>
      <c r="N165" s="122">
        <f t="shared" si="77"/>
        <v>142.88</v>
      </c>
      <c r="O165" s="122">
        <f t="shared" si="77"/>
        <v>80.37</v>
      </c>
      <c r="P165" s="122">
        <f t="shared" si="77"/>
        <v>89.3</v>
      </c>
      <c r="Q165" s="122">
        <f t="shared" si="77"/>
        <v>258.97</v>
      </c>
      <c r="R165" s="122">
        <f t="shared" si="77"/>
        <v>178.6</v>
      </c>
      <c r="S165" s="122">
        <f t="shared" si="77"/>
        <v>62.51</v>
      </c>
      <c r="T165" s="122">
        <f t="shared" si="77"/>
        <v>98.23</v>
      </c>
      <c r="U165" s="122">
        <f t="shared" si="77"/>
        <v>116.09</v>
      </c>
      <c r="V165" s="122">
        <f t="shared" si="77"/>
        <v>107.16</v>
      </c>
      <c r="W165" s="122">
        <f t="shared" si="77"/>
        <v>133.95</v>
      </c>
      <c r="X165" s="122">
        <f t="shared" si="77"/>
        <v>107.16</v>
      </c>
      <c r="Y165" s="122">
        <f t="shared" si="77"/>
        <v>107.16</v>
      </c>
      <c r="Z165" s="122">
        <f t="shared" si="77"/>
        <v>62.51</v>
      </c>
      <c r="AA165" s="122">
        <f t="shared" si="77"/>
        <v>44.65</v>
      </c>
      <c r="AB165" s="122">
        <f t="shared" si="77"/>
        <v>116.09</v>
      </c>
      <c r="AC165" s="122">
        <f t="shared" si="77"/>
        <v>98.23</v>
      </c>
      <c r="AD165" s="122">
        <f t="shared" si="77"/>
        <v>107.16</v>
      </c>
      <c r="AE165" s="122">
        <f t="shared" si="77"/>
        <v>205.39</v>
      </c>
      <c r="AF165" s="128">
        <f t="shared" si="77"/>
        <v>178.6</v>
      </c>
      <c r="AG165" s="106">
        <f t="shared" si="70"/>
        <v>5858.08</v>
      </c>
    </row>
    <row r="166">
      <c r="A166" s="135" t="s">
        <v>546</v>
      </c>
      <c r="B166" s="122">
        <f t="shared" ref="B166:AF166" si="78">7*B151</f>
        <v>42</v>
      </c>
      <c r="C166" s="122">
        <f t="shared" si="78"/>
        <v>63</v>
      </c>
      <c r="D166" s="122">
        <f t="shared" si="78"/>
        <v>63</v>
      </c>
      <c r="E166" s="122">
        <f t="shared" si="78"/>
        <v>14</v>
      </c>
      <c r="F166" s="122">
        <f t="shared" si="78"/>
        <v>42</v>
      </c>
      <c r="G166" s="122">
        <f t="shared" si="78"/>
        <v>7</v>
      </c>
      <c r="H166" s="122">
        <f t="shared" si="78"/>
        <v>14</v>
      </c>
      <c r="I166" s="122">
        <f t="shared" si="78"/>
        <v>0</v>
      </c>
      <c r="J166" s="122">
        <f t="shared" si="78"/>
        <v>133</v>
      </c>
      <c r="K166" s="122">
        <f t="shared" si="78"/>
        <v>56</v>
      </c>
      <c r="L166" s="122">
        <f t="shared" si="78"/>
        <v>63</v>
      </c>
      <c r="M166" s="122">
        <f t="shared" si="78"/>
        <v>35</v>
      </c>
      <c r="N166" s="122">
        <f t="shared" si="78"/>
        <v>14</v>
      </c>
      <c r="O166" s="122">
        <f t="shared" si="78"/>
        <v>21</v>
      </c>
      <c r="P166" s="122">
        <f t="shared" si="78"/>
        <v>7</v>
      </c>
      <c r="Q166" s="122">
        <f t="shared" si="78"/>
        <v>21</v>
      </c>
      <c r="R166" s="122">
        <f t="shared" si="78"/>
        <v>35</v>
      </c>
      <c r="S166" s="122">
        <f t="shared" si="78"/>
        <v>0</v>
      </c>
      <c r="T166" s="122">
        <f t="shared" si="78"/>
        <v>21</v>
      </c>
      <c r="U166" s="122">
        <f t="shared" si="78"/>
        <v>35</v>
      </c>
      <c r="V166" s="122">
        <f t="shared" si="78"/>
        <v>14</v>
      </c>
      <c r="W166" s="122">
        <f t="shared" si="78"/>
        <v>28</v>
      </c>
      <c r="X166" s="122">
        <f t="shared" si="78"/>
        <v>14</v>
      </c>
      <c r="Y166" s="122">
        <f t="shared" si="78"/>
        <v>14</v>
      </c>
      <c r="Z166" s="122">
        <f t="shared" si="78"/>
        <v>7</v>
      </c>
      <c r="AA166" s="122">
        <f t="shared" si="78"/>
        <v>7</v>
      </c>
      <c r="AB166" s="122">
        <f t="shared" si="78"/>
        <v>7</v>
      </c>
      <c r="AC166" s="122">
        <f t="shared" si="78"/>
        <v>7</v>
      </c>
      <c r="AD166" s="122">
        <f t="shared" si="78"/>
        <v>7</v>
      </c>
      <c r="AE166" s="122">
        <f t="shared" si="78"/>
        <v>21</v>
      </c>
      <c r="AF166" s="128">
        <f t="shared" si="78"/>
        <v>21</v>
      </c>
      <c r="AG166" s="106">
        <f t="shared" si="70"/>
        <v>833</v>
      </c>
    </row>
    <row r="167">
      <c r="A167" s="135" t="s">
        <v>547</v>
      </c>
      <c r="B167" s="122">
        <f t="shared" ref="B167:AF167" si="79">3.29*B150</f>
        <v>13.16</v>
      </c>
      <c r="C167" s="122">
        <f t="shared" si="79"/>
        <v>36.19</v>
      </c>
      <c r="D167" s="122">
        <f t="shared" si="79"/>
        <v>39.48</v>
      </c>
      <c r="E167" s="122">
        <f t="shared" si="79"/>
        <v>23.03</v>
      </c>
      <c r="F167" s="122">
        <f t="shared" si="79"/>
        <v>23.03</v>
      </c>
      <c r="G167" s="122">
        <f t="shared" si="79"/>
        <v>23.03</v>
      </c>
      <c r="H167" s="122">
        <f t="shared" si="79"/>
        <v>3.29</v>
      </c>
      <c r="I167" s="122">
        <f t="shared" si="79"/>
        <v>9.87</v>
      </c>
      <c r="J167" s="122">
        <f t="shared" si="79"/>
        <v>296.1</v>
      </c>
      <c r="K167" s="122">
        <f t="shared" si="79"/>
        <v>85.54</v>
      </c>
      <c r="L167" s="122">
        <f t="shared" si="79"/>
        <v>39.48</v>
      </c>
      <c r="M167" s="122">
        <f t="shared" si="79"/>
        <v>32.9</v>
      </c>
      <c r="N167" s="122">
        <f t="shared" si="79"/>
        <v>13.16</v>
      </c>
      <c r="O167" s="122">
        <f t="shared" si="79"/>
        <v>9.87</v>
      </c>
      <c r="P167" s="122">
        <f t="shared" si="79"/>
        <v>32.9</v>
      </c>
      <c r="Q167" s="122">
        <f t="shared" si="79"/>
        <v>59.22</v>
      </c>
      <c r="R167" s="122">
        <f t="shared" si="79"/>
        <v>23.03</v>
      </c>
      <c r="S167" s="122">
        <f t="shared" si="79"/>
        <v>3.29</v>
      </c>
      <c r="T167" s="122">
        <f t="shared" si="79"/>
        <v>16.45</v>
      </c>
      <c r="U167" s="122">
        <f t="shared" si="79"/>
        <v>6.58</v>
      </c>
      <c r="V167" s="122">
        <f t="shared" si="79"/>
        <v>32.9</v>
      </c>
      <c r="W167" s="122">
        <f t="shared" si="79"/>
        <v>26.32</v>
      </c>
      <c r="X167" s="122">
        <f t="shared" si="79"/>
        <v>9.87</v>
      </c>
      <c r="Y167" s="122">
        <f t="shared" si="79"/>
        <v>6.58</v>
      </c>
      <c r="Z167" s="122">
        <f t="shared" si="79"/>
        <v>13.16</v>
      </c>
      <c r="AA167" s="122">
        <f t="shared" si="79"/>
        <v>6.58</v>
      </c>
      <c r="AB167" s="122">
        <f t="shared" si="79"/>
        <v>36.19</v>
      </c>
      <c r="AC167" s="122">
        <f t="shared" si="79"/>
        <v>23.03</v>
      </c>
      <c r="AD167" s="122">
        <f t="shared" si="79"/>
        <v>49.35</v>
      </c>
      <c r="AE167" s="122">
        <f t="shared" si="79"/>
        <v>42.77</v>
      </c>
      <c r="AF167" s="128">
        <f t="shared" si="79"/>
        <v>29.61</v>
      </c>
      <c r="AG167" s="106">
        <f t="shared" si="70"/>
        <v>1065.96</v>
      </c>
    </row>
    <row r="168">
      <c r="A168" s="135" t="s">
        <v>548</v>
      </c>
      <c r="B168" s="122">
        <f t="shared" ref="B168:AF168" si="80">B152*0.45</f>
        <v>2.25</v>
      </c>
      <c r="C168" s="122">
        <f t="shared" si="80"/>
        <v>1.35</v>
      </c>
      <c r="D168" s="122">
        <f t="shared" si="80"/>
        <v>0.9</v>
      </c>
      <c r="E168" s="122">
        <f t="shared" si="80"/>
        <v>1.35</v>
      </c>
      <c r="F168" s="122">
        <f t="shared" si="80"/>
        <v>3.15</v>
      </c>
      <c r="G168" s="122">
        <f t="shared" si="80"/>
        <v>1.35</v>
      </c>
      <c r="H168" s="122">
        <f t="shared" si="80"/>
        <v>1.8</v>
      </c>
      <c r="I168" s="122">
        <f t="shared" si="80"/>
        <v>1.35</v>
      </c>
      <c r="J168" s="122">
        <f t="shared" si="80"/>
        <v>24.75</v>
      </c>
      <c r="K168" s="122">
        <f t="shared" si="80"/>
        <v>9</v>
      </c>
      <c r="L168" s="122">
        <f t="shared" si="80"/>
        <v>4.5</v>
      </c>
      <c r="M168" s="122">
        <f t="shared" si="80"/>
        <v>2.7</v>
      </c>
      <c r="N168" s="122">
        <f t="shared" si="80"/>
        <v>0.9</v>
      </c>
      <c r="O168" s="122">
        <f t="shared" si="80"/>
        <v>1.35</v>
      </c>
      <c r="P168" s="122">
        <f t="shared" si="80"/>
        <v>1.8</v>
      </c>
      <c r="Q168" s="122">
        <f t="shared" si="80"/>
        <v>1.8</v>
      </c>
      <c r="R168" s="122">
        <f t="shared" si="80"/>
        <v>2.7</v>
      </c>
      <c r="S168" s="122">
        <f t="shared" si="80"/>
        <v>0.9</v>
      </c>
      <c r="T168" s="122">
        <f t="shared" si="80"/>
        <v>0.45</v>
      </c>
      <c r="U168" s="122">
        <f t="shared" si="80"/>
        <v>1.8</v>
      </c>
      <c r="V168" s="122">
        <f t="shared" si="80"/>
        <v>0.45</v>
      </c>
      <c r="W168" s="122">
        <f t="shared" si="80"/>
        <v>2.25</v>
      </c>
      <c r="X168" s="122">
        <f t="shared" si="80"/>
        <v>3.15</v>
      </c>
      <c r="Y168" s="122">
        <f t="shared" si="80"/>
        <v>0.9</v>
      </c>
      <c r="Z168" s="122">
        <f t="shared" si="80"/>
        <v>1.35</v>
      </c>
      <c r="AA168" s="122">
        <f t="shared" si="80"/>
        <v>-1.35</v>
      </c>
      <c r="AB168" s="122">
        <f t="shared" si="80"/>
        <v>2.7</v>
      </c>
      <c r="AC168" s="122">
        <f t="shared" si="80"/>
        <v>2.25</v>
      </c>
      <c r="AD168" s="122">
        <f t="shared" si="80"/>
        <v>1.8</v>
      </c>
      <c r="AE168" s="122">
        <f t="shared" si="80"/>
        <v>1.8</v>
      </c>
      <c r="AF168" s="128">
        <f t="shared" si="80"/>
        <v>4.95</v>
      </c>
      <c r="AG168" s="106">
        <f t="shared" si="70"/>
        <v>86.4</v>
      </c>
    </row>
    <row r="169">
      <c r="A169" s="27" t="s">
        <v>549</v>
      </c>
      <c r="B169" s="211">
        <v>0.0</v>
      </c>
      <c r="C169" s="211">
        <v>0.0</v>
      </c>
      <c r="D169" s="211">
        <v>0.0</v>
      </c>
      <c r="E169" s="211">
        <v>0.0</v>
      </c>
      <c r="F169" s="211">
        <v>349.0</v>
      </c>
      <c r="G169" s="211">
        <v>526.0</v>
      </c>
      <c r="H169" s="211">
        <v>0.0</v>
      </c>
      <c r="I169" s="211">
        <v>765.0</v>
      </c>
      <c r="J169" s="211">
        <v>0.0</v>
      </c>
      <c r="K169" s="211">
        <v>0.0</v>
      </c>
      <c r="L169" s="211">
        <v>2371.0</v>
      </c>
      <c r="M169" s="211">
        <v>258.0</v>
      </c>
      <c r="N169" s="211">
        <v>518.0</v>
      </c>
      <c r="O169" s="211">
        <v>761.0</v>
      </c>
      <c r="P169" s="211">
        <v>248.0</v>
      </c>
      <c r="Q169" s="211">
        <v>0.0</v>
      </c>
      <c r="R169" s="212">
        <v>0.0</v>
      </c>
      <c r="S169" s="212">
        <v>1810.0</v>
      </c>
      <c r="T169" s="212">
        <v>698.0</v>
      </c>
      <c r="U169" s="214">
        <v>248.0</v>
      </c>
      <c r="V169" s="212">
        <v>283.0</v>
      </c>
      <c r="W169" s="212">
        <v>412.0</v>
      </c>
      <c r="X169" s="212">
        <v>0.0</v>
      </c>
      <c r="Y169" s="212">
        <v>0.0</v>
      </c>
      <c r="Z169" s="212">
        <v>3122.0</v>
      </c>
      <c r="AA169" s="212">
        <v>1841.0</v>
      </c>
      <c r="AB169" s="212">
        <v>0.0</v>
      </c>
      <c r="AC169" s="212">
        <v>508.0</v>
      </c>
      <c r="AD169" s="212">
        <v>613.0</v>
      </c>
      <c r="AE169" s="212">
        <v>1121.0</v>
      </c>
      <c r="AF169" s="213">
        <v>0.0</v>
      </c>
      <c r="AG169" s="106">
        <f t="shared" si="70"/>
        <v>16452</v>
      </c>
    </row>
    <row r="170">
      <c r="A170" s="135" t="s">
        <v>550</v>
      </c>
      <c r="B170" s="139">
        <f t="shared" ref="B170:AF170" si="81">B138*0.05</f>
        <v>381.5</v>
      </c>
      <c r="C170" s="139">
        <f t="shared" si="81"/>
        <v>566.45</v>
      </c>
      <c r="D170" s="139">
        <f t="shared" si="81"/>
        <v>634.7</v>
      </c>
      <c r="E170" s="139">
        <f t="shared" si="81"/>
        <v>402.5</v>
      </c>
      <c r="F170" s="139">
        <f t="shared" si="81"/>
        <v>427.4</v>
      </c>
      <c r="G170" s="139">
        <f t="shared" si="81"/>
        <v>336.2</v>
      </c>
      <c r="H170" s="139">
        <f t="shared" si="81"/>
        <v>257</v>
      </c>
      <c r="I170" s="139">
        <f t="shared" si="81"/>
        <v>277.4</v>
      </c>
      <c r="J170" s="139">
        <f t="shared" si="81"/>
        <v>4649.3</v>
      </c>
      <c r="K170" s="139">
        <f t="shared" si="81"/>
        <v>1239.65</v>
      </c>
      <c r="L170" s="139">
        <f t="shared" si="81"/>
        <v>789.6</v>
      </c>
      <c r="M170" s="139">
        <f t="shared" si="81"/>
        <v>488.55</v>
      </c>
      <c r="N170" s="139">
        <f t="shared" si="81"/>
        <v>379</v>
      </c>
      <c r="O170" s="139">
        <f t="shared" si="81"/>
        <v>438.15</v>
      </c>
      <c r="P170" s="139">
        <f t="shared" si="81"/>
        <v>330.9</v>
      </c>
      <c r="Q170" s="139">
        <f t="shared" si="81"/>
        <v>706.5</v>
      </c>
      <c r="R170" s="139">
        <f t="shared" si="81"/>
        <v>553</v>
      </c>
      <c r="S170" s="139">
        <f t="shared" si="81"/>
        <v>404.15</v>
      </c>
      <c r="T170" s="139">
        <f t="shared" si="81"/>
        <v>382.5</v>
      </c>
      <c r="U170" s="139">
        <f t="shared" si="81"/>
        <v>299.05</v>
      </c>
      <c r="V170" s="139">
        <f t="shared" si="81"/>
        <v>398.45</v>
      </c>
      <c r="W170" s="139">
        <f t="shared" si="81"/>
        <v>460.7</v>
      </c>
      <c r="X170" s="139">
        <f t="shared" si="81"/>
        <v>418.35</v>
      </c>
      <c r="Y170" s="139">
        <f t="shared" si="81"/>
        <v>451.55</v>
      </c>
      <c r="Z170" s="139">
        <f t="shared" si="81"/>
        <v>439.75</v>
      </c>
      <c r="AA170" s="139">
        <f t="shared" si="81"/>
        <v>289.1</v>
      </c>
      <c r="AB170" s="139">
        <f t="shared" si="81"/>
        <v>362.35</v>
      </c>
      <c r="AC170" s="139">
        <f t="shared" si="81"/>
        <v>351.35</v>
      </c>
      <c r="AD170" s="139">
        <f t="shared" si="81"/>
        <v>485.4</v>
      </c>
      <c r="AE170" s="139">
        <f t="shared" si="81"/>
        <v>541.9</v>
      </c>
      <c r="AF170" s="141">
        <f t="shared" si="81"/>
        <v>528.4</v>
      </c>
      <c r="AG170" s="106">
        <f t="shared" si="70"/>
        <v>18670.8</v>
      </c>
    </row>
    <row r="171">
      <c r="A171" s="280" t="s">
        <v>551</v>
      </c>
      <c r="B171" s="281">
        <f t="shared" ref="B171:AF171" si="82">B121*20</f>
        <v>620</v>
      </c>
      <c r="C171" s="281">
        <f t="shared" si="82"/>
        <v>900</v>
      </c>
      <c r="D171" s="281">
        <f t="shared" si="82"/>
        <v>1060</v>
      </c>
      <c r="E171" s="281">
        <f t="shared" si="82"/>
        <v>580</v>
      </c>
      <c r="F171" s="281">
        <f t="shared" si="82"/>
        <v>680</v>
      </c>
      <c r="G171" s="281">
        <f t="shared" si="82"/>
        <v>480</v>
      </c>
      <c r="H171" s="281">
        <f t="shared" si="82"/>
        <v>440</v>
      </c>
      <c r="I171" s="281">
        <f t="shared" si="82"/>
        <v>460</v>
      </c>
      <c r="J171" s="281">
        <f t="shared" si="82"/>
        <v>6780</v>
      </c>
      <c r="K171" s="281">
        <f t="shared" si="82"/>
        <v>1780</v>
      </c>
      <c r="L171" s="281">
        <f t="shared" si="82"/>
        <v>1120</v>
      </c>
      <c r="M171" s="281">
        <f t="shared" si="82"/>
        <v>760</v>
      </c>
      <c r="N171" s="281">
        <f t="shared" si="82"/>
        <v>540</v>
      </c>
      <c r="O171" s="281">
        <f t="shared" si="82"/>
        <v>680</v>
      </c>
      <c r="P171" s="281">
        <f t="shared" si="82"/>
        <v>500</v>
      </c>
      <c r="Q171" s="281">
        <f t="shared" si="82"/>
        <v>980</v>
      </c>
      <c r="R171" s="281">
        <f t="shared" si="82"/>
        <v>880</v>
      </c>
      <c r="S171" s="281">
        <f t="shared" si="82"/>
        <v>660</v>
      </c>
      <c r="T171" s="281">
        <f t="shared" si="82"/>
        <v>620</v>
      </c>
      <c r="U171" s="281">
        <f t="shared" si="82"/>
        <v>420</v>
      </c>
      <c r="V171" s="281">
        <f t="shared" si="82"/>
        <v>600</v>
      </c>
      <c r="W171" s="281">
        <f t="shared" si="82"/>
        <v>740</v>
      </c>
      <c r="X171" s="281">
        <f t="shared" si="82"/>
        <v>560</v>
      </c>
      <c r="Y171" s="281">
        <f t="shared" si="82"/>
        <v>720</v>
      </c>
      <c r="Z171" s="281">
        <f t="shared" si="82"/>
        <v>680</v>
      </c>
      <c r="AA171" s="281">
        <f t="shared" si="82"/>
        <v>460</v>
      </c>
      <c r="AB171" s="281">
        <f t="shared" si="82"/>
        <v>560</v>
      </c>
      <c r="AC171" s="281">
        <f t="shared" si="82"/>
        <v>520</v>
      </c>
      <c r="AD171" s="281">
        <f t="shared" si="82"/>
        <v>780</v>
      </c>
      <c r="AE171" s="281">
        <f t="shared" si="82"/>
        <v>860</v>
      </c>
      <c r="AF171" s="281">
        <f t="shared" si="82"/>
        <v>860</v>
      </c>
      <c r="AG171" s="282"/>
    </row>
    <row r="172">
      <c r="A172" s="27"/>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7"/>
      <c r="AG172" s="283"/>
    </row>
    <row r="173">
      <c r="A173" s="284" t="s">
        <v>23</v>
      </c>
      <c r="B173" s="285">
        <f t="shared" ref="B173:AF173" si="83">SUM(B157:B171)</f>
        <v>6161.37</v>
      </c>
      <c r="C173" s="285">
        <f t="shared" si="83"/>
        <v>9075.524</v>
      </c>
      <c r="D173" s="285">
        <f t="shared" si="83"/>
        <v>10201.114</v>
      </c>
      <c r="E173" s="285">
        <f t="shared" si="83"/>
        <v>6822.94</v>
      </c>
      <c r="F173" s="285">
        <f t="shared" si="83"/>
        <v>7578.818</v>
      </c>
      <c r="G173" s="285">
        <f t="shared" si="83"/>
        <v>6075.434</v>
      </c>
      <c r="H173" s="285">
        <f t="shared" si="83"/>
        <v>4500.06</v>
      </c>
      <c r="I173" s="285">
        <f t="shared" si="83"/>
        <v>5533.898</v>
      </c>
      <c r="J173" s="285">
        <f t="shared" si="83"/>
        <v>58111.156</v>
      </c>
      <c r="K173" s="285">
        <f t="shared" si="83"/>
        <v>17008.648</v>
      </c>
      <c r="L173" s="285">
        <f t="shared" si="83"/>
        <v>12730.382</v>
      </c>
      <c r="M173" s="285">
        <f t="shared" si="83"/>
        <v>8062.906</v>
      </c>
      <c r="N173" s="285">
        <f t="shared" si="83"/>
        <v>6950.86</v>
      </c>
      <c r="O173" s="285">
        <f t="shared" si="83"/>
        <v>7419.188</v>
      </c>
      <c r="P173" s="285">
        <f t="shared" si="83"/>
        <v>6006.028</v>
      </c>
      <c r="Q173" s="285">
        <f t="shared" si="83"/>
        <v>10856.36</v>
      </c>
      <c r="R173" s="285">
        <f t="shared" si="83"/>
        <v>9430.53</v>
      </c>
      <c r="S173" s="285">
        <f t="shared" si="83"/>
        <v>8252.108</v>
      </c>
      <c r="T173" s="285">
        <f t="shared" si="83"/>
        <v>6864.63</v>
      </c>
      <c r="U173" s="285">
        <f t="shared" si="83"/>
        <v>5788.386</v>
      </c>
      <c r="V173" s="285">
        <f t="shared" si="83"/>
        <v>7222.578452</v>
      </c>
      <c r="W173" s="285">
        <f t="shared" si="83"/>
        <v>9363.162586</v>
      </c>
      <c r="X173" s="285">
        <f t="shared" si="83"/>
        <v>7225.34104</v>
      </c>
      <c r="Y173" s="285">
        <f t="shared" si="83"/>
        <v>7921.993185</v>
      </c>
      <c r="Z173" s="285">
        <f t="shared" si="83"/>
        <v>8614.14472</v>
      </c>
      <c r="AA173" s="285">
        <f t="shared" si="83"/>
        <v>6230.656065</v>
      </c>
      <c r="AB173" s="285">
        <f t="shared" si="83"/>
        <v>6046.866381</v>
      </c>
      <c r="AC173" s="285">
        <f t="shared" si="83"/>
        <v>6377.320106</v>
      </c>
      <c r="AD173" s="285">
        <f t="shared" si="83"/>
        <v>9125.484715</v>
      </c>
      <c r="AE173" s="285">
        <f t="shared" si="83"/>
        <v>11695.71124</v>
      </c>
      <c r="AF173" s="285">
        <f t="shared" si="83"/>
        <v>10166.8719</v>
      </c>
      <c r="AG173" s="286">
        <f>SUM(B173:AF173)</f>
        <v>303420.4704</v>
      </c>
    </row>
    <row r="174">
      <c r="A174" s="27"/>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41"/>
      <c r="AG174" s="287"/>
    </row>
    <row r="175">
      <c r="A175" s="71" t="s">
        <v>401</v>
      </c>
      <c r="B175" s="142">
        <f t="shared" ref="B175:AF175" si="84">B138-B173</f>
        <v>1468.63</v>
      </c>
      <c r="C175" s="142">
        <f t="shared" si="84"/>
        <v>2253.476</v>
      </c>
      <c r="D175" s="142">
        <f t="shared" si="84"/>
        <v>2492.886</v>
      </c>
      <c r="E175" s="142">
        <f t="shared" si="84"/>
        <v>1227.06</v>
      </c>
      <c r="F175" s="142">
        <f t="shared" si="84"/>
        <v>969.182</v>
      </c>
      <c r="G175" s="142">
        <f t="shared" si="84"/>
        <v>648.566</v>
      </c>
      <c r="H175" s="142">
        <f t="shared" si="84"/>
        <v>639.94</v>
      </c>
      <c r="I175" s="142">
        <f t="shared" si="84"/>
        <v>14.102</v>
      </c>
      <c r="J175" s="142">
        <f t="shared" si="84"/>
        <v>34874.844</v>
      </c>
      <c r="K175" s="142">
        <f t="shared" si="84"/>
        <v>7784.352</v>
      </c>
      <c r="L175" s="142">
        <f t="shared" si="84"/>
        <v>3061.618</v>
      </c>
      <c r="M175" s="142">
        <f t="shared" si="84"/>
        <v>1708.094</v>
      </c>
      <c r="N175" s="142">
        <f t="shared" si="84"/>
        <v>629.14</v>
      </c>
      <c r="O175" s="142">
        <f t="shared" si="84"/>
        <v>1343.812</v>
      </c>
      <c r="P175" s="142">
        <f t="shared" si="84"/>
        <v>611.972</v>
      </c>
      <c r="Q175" s="142">
        <f t="shared" si="84"/>
        <v>3273.64</v>
      </c>
      <c r="R175" s="142">
        <f t="shared" si="84"/>
        <v>1629.47</v>
      </c>
      <c r="S175" s="122">
        <f t="shared" si="84"/>
        <v>-169.108</v>
      </c>
      <c r="T175" s="122">
        <f t="shared" si="84"/>
        <v>785.37</v>
      </c>
      <c r="U175" s="122">
        <f t="shared" si="84"/>
        <v>192.614</v>
      </c>
      <c r="V175" s="122">
        <f t="shared" si="84"/>
        <v>746.4215478</v>
      </c>
      <c r="W175" s="122">
        <f t="shared" si="84"/>
        <v>-149.1625858</v>
      </c>
      <c r="X175" s="122">
        <f t="shared" si="84"/>
        <v>1141.65896</v>
      </c>
      <c r="Y175" s="122">
        <f t="shared" si="84"/>
        <v>1109.006815</v>
      </c>
      <c r="Z175" s="122">
        <f t="shared" si="84"/>
        <v>180.8552798</v>
      </c>
      <c r="AA175" s="122">
        <f t="shared" si="84"/>
        <v>-448.6560648</v>
      </c>
      <c r="AB175" s="122">
        <f t="shared" si="84"/>
        <v>1200.133619</v>
      </c>
      <c r="AC175" s="122">
        <f t="shared" si="84"/>
        <v>649.6798942</v>
      </c>
      <c r="AD175" s="122">
        <f t="shared" si="84"/>
        <v>582.515285</v>
      </c>
      <c r="AE175" s="122">
        <f t="shared" si="84"/>
        <v>-857.7112384</v>
      </c>
      <c r="AF175" s="128">
        <f t="shared" si="84"/>
        <v>401.1281032</v>
      </c>
      <c r="AG175" s="287"/>
    </row>
    <row r="176">
      <c r="A176" s="150">
        <f>SUM(B175:AF175)</f>
        <v>69995.52962</v>
      </c>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41"/>
      <c r="AG176" s="283"/>
    </row>
    <row r="177">
      <c r="A177" s="27"/>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41"/>
      <c r="AG177" s="283"/>
    </row>
    <row r="178">
      <c r="A178" s="288" t="s">
        <v>552</v>
      </c>
      <c r="B178" s="289">
        <f t="shared" ref="B178:AF178" si="85">B138/B173</f>
        <v>1.238360949</v>
      </c>
      <c r="C178" s="290">
        <f t="shared" si="85"/>
        <v>1.248302577</v>
      </c>
      <c r="D178" s="291">
        <f t="shared" si="85"/>
        <v>1.244373899</v>
      </c>
      <c r="E178" s="292">
        <f t="shared" si="85"/>
        <v>1.179843293</v>
      </c>
      <c r="F178" s="293">
        <f t="shared" si="85"/>
        <v>1.127880363</v>
      </c>
      <c r="G178" s="294">
        <f t="shared" si="85"/>
        <v>1.106752209</v>
      </c>
      <c r="H178" s="295">
        <f t="shared" si="85"/>
        <v>1.142206993</v>
      </c>
      <c r="I178" s="296">
        <f t="shared" si="85"/>
        <v>1.002548294</v>
      </c>
      <c r="J178" s="297">
        <f t="shared" si="85"/>
        <v>1.600140255</v>
      </c>
      <c r="K178" s="298">
        <f t="shared" si="85"/>
        <v>1.457670239</v>
      </c>
      <c r="L178" s="299">
        <f t="shared" si="85"/>
        <v>1.240496947</v>
      </c>
      <c r="M178" s="300">
        <f t="shared" si="85"/>
        <v>1.211845952</v>
      </c>
      <c r="N178" s="293">
        <f t="shared" si="85"/>
        <v>1.090512541</v>
      </c>
      <c r="O178" s="295">
        <f t="shared" si="85"/>
        <v>1.18112656</v>
      </c>
      <c r="P178" s="301">
        <f t="shared" si="85"/>
        <v>1.101892965</v>
      </c>
      <c r="Q178" s="302">
        <f t="shared" si="85"/>
        <v>1.301541216</v>
      </c>
      <c r="R178" s="303">
        <f t="shared" si="85"/>
        <v>1.172786683</v>
      </c>
      <c r="S178" s="304">
        <f t="shared" si="85"/>
        <v>0.9795072968</v>
      </c>
      <c r="T178" s="304">
        <f t="shared" si="85"/>
        <v>1.114408206</v>
      </c>
      <c r="U178" s="304">
        <f t="shared" si="85"/>
        <v>1.033275943</v>
      </c>
      <c r="V178" s="304">
        <f t="shared" si="85"/>
        <v>1.103345578</v>
      </c>
      <c r="W178" s="304">
        <f t="shared" si="85"/>
        <v>0.984069209</v>
      </c>
      <c r="X178" s="304">
        <f t="shared" si="85"/>
        <v>1.158007623</v>
      </c>
      <c r="Y178" s="304">
        <f t="shared" si="85"/>
        <v>1.139990882</v>
      </c>
      <c r="Z178" s="304">
        <f t="shared" si="85"/>
        <v>1.020995152</v>
      </c>
      <c r="AA178" s="304">
        <f t="shared" si="85"/>
        <v>0.9279921632</v>
      </c>
      <c r="AB178" s="304">
        <f t="shared" si="85"/>
        <v>1.198471993</v>
      </c>
      <c r="AC178" s="304">
        <f t="shared" si="85"/>
        <v>1.101873496</v>
      </c>
      <c r="AD178" s="304">
        <f t="shared" si="85"/>
        <v>1.063833901</v>
      </c>
      <c r="AE178" s="304">
        <f t="shared" si="85"/>
        <v>0.9266644652</v>
      </c>
      <c r="AF178" s="305">
        <f t="shared" si="85"/>
        <v>1.039454427</v>
      </c>
      <c r="AG178" s="283"/>
    </row>
    <row r="179">
      <c r="A179" s="141"/>
      <c r="B179" s="306"/>
      <c r="C179" s="306"/>
      <c r="D179" s="306"/>
      <c r="E179" s="306"/>
      <c r="F179" s="306"/>
      <c r="G179" s="306"/>
      <c r="H179" s="306"/>
      <c r="I179" s="306"/>
      <c r="J179" s="306"/>
      <c r="K179" s="306"/>
      <c r="L179" s="306"/>
      <c r="M179" s="306"/>
      <c r="N179" s="306"/>
      <c r="O179" s="307"/>
      <c r="P179" s="307"/>
      <c r="Q179" s="307"/>
      <c r="R179" s="307"/>
      <c r="S179" s="307"/>
      <c r="T179" s="307"/>
      <c r="U179" s="307"/>
      <c r="V179" s="307"/>
      <c r="W179" s="307"/>
      <c r="X179" s="306"/>
      <c r="Y179" s="306"/>
      <c r="Z179" s="306"/>
      <c r="AA179" s="306"/>
      <c r="AB179" s="306"/>
      <c r="AC179" s="306"/>
      <c r="AD179" s="306"/>
      <c r="AE179" s="306"/>
      <c r="AF179" s="308"/>
      <c r="AG179" s="283"/>
    </row>
    <row r="180">
      <c r="A180" s="288" t="s">
        <v>553</v>
      </c>
      <c r="B180" s="309">
        <v>5.46</v>
      </c>
      <c r="C180" s="310">
        <v>5.56</v>
      </c>
      <c r="D180" s="311">
        <v>5.29</v>
      </c>
      <c r="E180" s="312">
        <v>4.53</v>
      </c>
      <c r="F180" s="313">
        <v>3.78</v>
      </c>
      <c r="G180" s="314">
        <v>3.63</v>
      </c>
      <c r="H180" s="315">
        <v>3.91</v>
      </c>
      <c r="I180" s="316">
        <v>3.3</v>
      </c>
      <c r="J180" s="317">
        <v>22.33</v>
      </c>
      <c r="K180" s="318">
        <v>8.89</v>
      </c>
      <c r="L180" s="319">
        <v>7.44</v>
      </c>
      <c r="M180" s="320">
        <v>4.57</v>
      </c>
      <c r="N180" s="313">
        <v>3.78</v>
      </c>
      <c r="O180" s="321">
        <v>4.66</v>
      </c>
      <c r="P180" s="316">
        <v>3.37</v>
      </c>
      <c r="Q180" s="310">
        <v>5.54</v>
      </c>
      <c r="R180" s="322">
        <v>3.92</v>
      </c>
      <c r="S180" s="306">
        <v>3.42147353375383</v>
      </c>
      <c r="T180" s="306">
        <v>4.174650916311089</v>
      </c>
      <c r="U180" s="323">
        <v>2.7738981639920453</v>
      </c>
      <c r="V180" s="323">
        <f>Sales!V16</f>
        <v>3.734538992</v>
      </c>
      <c r="W180" s="323">
        <f>Sales!W16</f>
        <v>2.657544779</v>
      </c>
      <c r="X180" s="323">
        <f>Sales!X16</f>
        <v>3.917154931</v>
      </c>
      <c r="Y180" s="306">
        <f>Sales!Y16</f>
        <v>3.946844238</v>
      </c>
      <c r="Z180" s="306">
        <f>Sales!Z16</f>
        <v>4.092427694</v>
      </c>
      <c r="AA180" s="306">
        <f>Sales!AA16</f>
        <v>3.186004047</v>
      </c>
      <c r="AB180" s="306">
        <f>Sales!AB16</f>
        <v>4.209763492</v>
      </c>
      <c r="AC180" s="306">
        <f>Sales!AC16</f>
        <v>3.838141057</v>
      </c>
      <c r="AD180" s="306">
        <f>Sales!AD16</f>
        <v>3.607172939</v>
      </c>
      <c r="AE180" s="306">
        <f>Sales!AE16</f>
        <v>2.81295386</v>
      </c>
      <c r="AF180" s="308">
        <f>Sales!AF16</f>
        <v>2.978475472</v>
      </c>
      <c r="AG180" s="283"/>
    </row>
    <row r="181">
      <c r="A181" s="27"/>
      <c r="B181" s="139"/>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7"/>
      <c r="AG181" s="283"/>
    </row>
    <row r="182">
      <c r="A182" s="288" t="s">
        <v>383</v>
      </c>
      <c r="B182" s="324"/>
      <c r="C182" s="324"/>
      <c r="D182" s="324"/>
      <c r="E182" s="324"/>
      <c r="F182" s="324"/>
      <c r="G182" s="324"/>
      <c r="H182" s="324"/>
      <c r="I182" s="324"/>
      <c r="J182" s="324"/>
      <c r="K182" s="324"/>
      <c r="L182" s="324"/>
      <c r="M182" s="324"/>
      <c r="N182" s="324"/>
      <c r="O182" s="324"/>
      <c r="P182" s="324"/>
      <c r="Q182" s="324"/>
      <c r="R182" s="324"/>
      <c r="S182" s="324"/>
      <c r="T182" s="324"/>
      <c r="U182" s="324"/>
      <c r="V182" s="324"/>
      <c r="W182" s="324"/>
      <c r="X182" s="324"/>
      <c r="Y182" s="324"/>
      <c r="Z182" s="324"/>
      <c r="AA182" s="324"/>
      <c r="AB182" s="324"/>
      <c r="AC182" s="324"/>
      <c r="AD182" s="324"/>
      <c r="AE182" s="324"/>
      <c r="AF182" s="324"/>
      <c r="AG182" s="283"/>
    </row>
    <row r="183">
      <c r="A183" s="128">
        <f>SUM(B138:AF138)</f>
        <v>373416</v>
      </c>
      <c r="B183" s="325"/>
      <c r="C183" s="325"/>
      <c r="D183" s="325"/>
      <c r="E183" s="325"/>
      <c r="F183" s="325"/>
      <c r="G183" s="325"/>
      <c r="H183" s="325"/>
      <c r="I183" s="325"/>
      <c r="J183" s="325"/>
      <c r="K183" s="325"/>
      <c r="L183" s="325"/>
      <c r="M183" s="325"/>
      <c r="N183" s="325"/>
      <c r="O183" s="325"/>
      <c r="P183" s="325"/>
      <c r="Q183" s="325"/>
      <c r="R183" s="325"/>
      <c r="S183" s="325"/>
      <c r="T183" s="325"/>
      <c r="U183" s="325"/>
      <c r="V183" s="325"/>
      <c r="W183" s="325"/>
      <c r="X183" s="325"/>
      <c r="Y183" s="325"/>
      <c r="Z183" s="325"/>
      <c r="AA183" s="325"/>
      <c r="AB183" s="325"/>
      <c r="AC183" s="325"/>
      <c r="AD183" s="325"/>
      <c r="AE183" s="325"/>
      <c r="AF183" s="326"/>
      <c r="AG183" s="327"/>
    </row>
    <row r="184">
      <c r="A184" s="27"/>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7"/>
      <c r="AG184" s="24"/>
    </row>
    <row r="185">
      <c r="A185" s="288" t="s">
        <v>396</v>
      </c>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7"/>
      <c r="AG185" s="24"/>
    </row>
    <row r="186">
      <c r="A186" s="128">
        <f>SUM(B173:AF173)</f>
        <v>303420.4704</v>
      </c>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7"/>
      <c r="AG186" s="24"/>
    </row>
    <row r="187">
      <c r="A187" s="27"/>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7"/>
      <c r="AG187" s="24"/>
    </row>
    <row r="188">
      <c r="A188" s="288" t="s">
        <v>410</v>
      </c>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7"/>
      <c r="AG188" s="24"/>
    </row>
    <row r="189">
      <c r="A189" s="308">
        <f>A183/A186</f>
        <v>1.230688225</v>
      </c>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7"/>
      <c r="AG189" s="24"/>
    </row>
    <row r="190">
      <c r="A190" s="27"/>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7"/>
      <c r="AG190" s="24"/>
    </row>
    <row r="191">
      <c r="A191" s="27"/>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7"/>
      <c r="AG191" s="24"/>
    </row>
    <row r="192">
      <c r="A192" s="27"/>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7"/>
      <c r="AG192" s="24"/>
    </row>
    <row r="193">
      <c r="A193" s="27" t="s">
        <v>554</v>
      </c>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41"/>
      <c r="AG193" s="24"/>
    </row>
    <row r="194">
      <c r="A194" s="328" t="s">
        <v>542</v>
      </c>
      <c r="B194" s="329"/>
      <c r="C194" s="329"/>
      <c r="D194" s="329"/>
      <c r="E194" s="329"/>
      <c r="F194" s="329"/>
      <c r="G194" s="329"/>
      <c r="H194" s="329"/>
      <c r="I194" s="329"/>
      <c r="J194" s="329"/>
      <c r="K194" s="329"/>
      <c r="L194" s="329"/>
      <c r="M194" s="329"/>
      <c r="N194" s="329"/>
      <c r="O194" s="329"/>
      <c r="P194" s="329"/>
      <c r="Q194" s="329"/>
      <c r="R194" s="329"/>
      <c r="S194" s="329"/>
      <c r="T194" s="329"/>
      <c r="U194" s="329"/>
      <c r="V194" s="329"/>
      <c r="W194" s="329"/>
      <c r="X194" s="329"/>
      <c r="Y194" s="329"/>
      <c r="Z194" s="329"/>
      <c r="AA194" s="329"/>
      <c r="AB194" s="329"/>
      <c r="AC194" s="329"/>
      <c r="AD194" s="329"/>
      <c r="AE194" s="329"/>
      <c r="AF194" s="330"/>
      <c r="AG194" s="24"/>
    </row>
    <row r="195">
      <c r="A195" s="328" t="s">
        <v>389</v>
      </c>
      <c r="B195" s="331">
        <f t="shared" ref="B195:AF195" si="86">(B42/B14)*(B5)</f>
        <v>13.26495238</v>
      </c>
      <c r="C195" s="331">
        <f t="shared" si="86"/>
        <v>73.5592</v>
      </c>
      <c r="D195" s="331">
        <f t="shared" si="86"/>
        <v>71.23245161</v>
      </c>
      <c r="E195" s="331">
        <f t="shared" si="86"/>
        <v>29.96066667</v>
      </c>
      <c r="F195" s="331">
        <f t="shared" si="86"/>
        <v>69.43368421</v>
      </c>
      <c r="G195" s="331">
        <f t="shared" si="86"/>
        <v>33.13555556</v>
      </c>
      <c r="H195" s="331">
        <f t="shared" si="86"/>
        <v>12.07818182</v>
      </c>
      <c r="I195" s="331">
        <f t="shared" si="86"/>
        <v>60.59988</v>
      </c>
      <c r="J195" s="331">
        <f t="shared" si="86"/>
        <v>189.0975477</v>
      </c>
      <c r="K195" s="331">
        <f t="shared" si="86"/>
        <v>210.3479098</v>
      </c>
      <c r="L195" s="331">
        <f t="shared" si="86"/>
        <v>162.9157978</v>
      </c>
      <c r="M195" s="331">
        <f t="shared" si="86"/>
        <v>59.49494571</v>
      </c>
      <c r="N195" s="331">
        <f t="shared" si="86"/>
        <v>52.97457455</v>
      </c>
      <c r="O195" s="331">
        <f t="shared" si="86"/>
        <v>37.0656</v>
      </c>
      <c r="P195" s="331">
        <f t="shared" si="86"/>
        <v>22.39666</v>
      </c>
      <c r="Q195" s="331">
        <f t="shared" si="86"/>
        <v>110.2836682</v>
      </c>
      <c r="R195" s="331">
        <f t="shared" si="86"/>
        <v>71.31782069</v>
      </c>
      <c r="S195" s="332">
        <f t="shared" si="86"/>
        <v>70.02593481</v>
      </c>
      <c r="T195" s="332">
        <f t="shared" si="86"/>
        <v>18.380544</v>
      </c>
      <c r="U195" s="332">
        <f t="shared" si="86"/>
        <v>20.1978075</v>
      </c>
      <c r="V195" s="332">
        <f t="shared" si="86"/>
        <v>64.48147333</v>
      </c>
      <c r="W195" s="332">
        <f t="shared" si="86"/>
        <v>57.350085</v>
      </c>
      <c r="X195" s="332">
        <f t="shared" si="86"/>
        <v>68.87771429</v>
      </c>
      <c r="Y195" s="332">
        <f t="shared" si="86"/>
        <v>59.9313</v>
      </c>
      <c r="Z195" s="332">
        <f t="shared" si="86"/>
        <v>57.96765</v>
      </c>
      <c r="AA195" s="332">
        <f t="shared" si="86"/>
        <v>44.39077067</v>
      </c>
      <c r="AB195" s="332">
        <f t="shared" si="86"/>
        <v>36.569</v>
      </c>
      <c r="AC195" s="332">
        <f t="shared" si="86"/>
        <v>11.8235</v>
      </c>
      <c r="AD195" s="332">
        <f t="shared" si="86"/>
        <v>52.79782857</v>
      </c>
      <c r="AE195" s="332">
        <f t="shared" si="86"/>
        <v>43.1371304</v>
      </c>
      <c r="AF195" s="333">
        <f t="shared" si="86"/>
        <v>32.35965909</v>
      </c>
      <c r="AG195" s="24"/>
    </row>
    <row r="196">
      <c r="A196" s="328" t="s">
        <v>394</v>
      </c>
      <c r="B196" s="331">
        <f t="shared" ref="B196:AF196" si="87">(B43/B14)*B5</f>
        <v>0.6</v>
      </c>
      <c r="C196" s="331">
        <f t="shared" si="87"/>
        <v>3.3</v>
      </c>
      <c r="D196" s="331">
        <f t="shared" si="87"/>
        <v>3.3</v>
      </c>
      <c r="E196" s="331">
        <f t="shared" si="87"/>
        <v>1.2</v>
      </c>
      <c r="F196" s="331">
        <f t="shared" si="87"/>
        <v>3</v>
      </c>
      <c r="G196" s="331">
        <f t="shared" si="87"/>
        <v>1.5</v>
      </c>
      <c r="H196" s="331">
        <f t="shared" si="87"/>
        <v>0.6</v>
      </c>
      <c r="I196" s="331">
        <f t="shared" si="87"/>
        <v>2.7</v>
      </c>
      <c r="J196" s="331">
        <f t="shared" si="87"/>
        <v>8.1</v>
      </c>
      <c r="K196" s="331">
        <f t="shared" si="87"/>
        <v>9.3</v>
      </c>
      <c r="L196" s="331">
        <f t="shared" si="87"/>
        <v>6.9</v>
      </c>
      <c r="M196" s="331">
        <f t="shared" si="87"/>
        <v>2.7</v>
      </c>
      <c r="N196" s="331">
        <f t="shared" si="87"/>
        <v>2.4</v>
      </c>
      <c r="O196" s="331">
        <f t="shared" si="87"/>
        <v>1.8</v>
      </c>
      <c r="P196" s="331">
        <f t="shared" si="87"/>
        <v>0.6</v>
      </c>
      <c r="Q196" s="331">
        <f t="shared" si="87"/>
        <v>4.5</v>
      </c>
      <c r="R196" s="331">
        <f t="shared" si="87"/>
        <v>3.6</v>
      </c>
      <c r="S196" s="332">
        <f t="shared" si="87"/>
        <v>3.3</v>
      </c>
      <c r="T196" s="332">
        <f t="shared" si="87"/>
        <v>0.9</v>
      </c>
      <c r="U196" s="332">
        <f t="shared" si="87"/>
        <v>0.9</v>
      </c>
      <c r="V196" s="332">
        <f t="shared" si="87"/>
        <v>2.4</v>
      </c>
      <c r="W196" s="332">
        <f t="shared" si="87"/>
        <v>2.7</v>
      </c>
      <c r="X196" s="332">
        <f t="shared" si="87"/>
        <v>3</v>
      </c>
      <c r="Y196" s="332">
        <f t="shared" si="87"/>
        <v>2.7</v>
      </c>
      <c r="Z196" s="332">
        <f t="shared" si="87"/>
        <v>2.7</v>
      </c>
      <c r="AA196" s="332">
        <f t="shared" si="87"/>
        <v>2.1</v>
      </c>
      <c r="AB196" s="332">
        <f t="shared" si="87"/>
        <v>1.5</v>
      </c>
      <c r="AC196" s="332">
        <f t="shared" si="87"/>
        <v>0.6</v>
      </c>
      <c r="AD196" s="332">
        <f t="shared" si="87"/>
        <v>2.4</v>
      </c>
      <c r="AE196" s="332">
        <f t="shared" si="87"/>
        <v>2.1</v>
      </c>
      <c r="AF196" s="333">
        <f t="shared" si="87"/>
        <v>1.5</v>
      </c>
      <c r="AG196" s="24"/>
    </row>
    <row r="197">
      <c r="A197" s="328" t="s">
        <v>555</v>
      </c>
      <c r="B197" s="331">
        <f t="shared" ref="B197:AF197" si="88">85*B5</f>
        <v>170</v>
      </c>
      <c r="C197" s="331">
        <f t="shared" si="88"/>
        <v>935</v>
      </c>
      <c r="D197" s="331">
        <f t="shared" si="88"/>
        <v>935</v>
      </c>
      <c r="E197" s="331">
        <f t="shared" si="88"/>
        <v>340</v>
      </c>
      <c r="F197" s="331">
        <f t="shared" si="88"/>
        <v>850</v>
      </c>
      <c r="G197" s="331">
        <f t="shared" si="88"/>
        <v>425</v>
      </c>
      <c r="H197" s="331">
        <f t="shared" si="88"/>
        <v>170</v>
      </c>
      <c r="I197" s="331">
        <f t="shared" si="88"/>
        <v>765</v>
      </c>
      <c r="J197" s="331">
        <f t="shared" si="88"/>
        <v>2295</v>
      </c>
      <c r="K197" s="331">
        <f t="shared" si="88"/>
        <v>2635</v>
      </c>
      <c r="L197" s="331">
        <f t="shared" si="88"/>
        <v>1955</v>
      </c>
      <c r="M197" s="331">
        <f t="shared" si="88"/>
        <v>765</v>
      </c>
      <c r="N197" s="331">
        <f t="shared" si="88"/>
        <v>680</v>
      </c>
      <c r="O197" s="331">
        <f t="shared" si="88"/>
        <v>510</v>
      </c>
      <c r="P197" s="331">
        <f t="shared" si="88"/>
        <v>170</v>
      </c>
      <c r="Q197" s="331">
        <f t="shared" si="88"/>
        <v>1275</v>
      </c>
      <c r="R197" s="331">
        <f t="shared" si="88"/>
        <v>1020</v>
      </c>
      <c r="S197" s="331">
        <f t="shared" si="88"/>
        <v>935</v>
      </c>
      <c r="T197" s="331">
        <f t="shared" si="88"/>
        <v>255</v>
      </c>
      <c r="U197" s="331">
        <f t="shared" si="88"/>
        <v>255</v>
      </c>
      <c r="V197" s="331">
        <f t="shared" si="88"/>
        <v>680</v>
      </c>
      <c r="W197" s="331">
        <f t="shared" si="88"/>
        <v>765</v>
      </c>
      <c r="X197" s="331">
        <f t="shared" si="88"/>
        <v>850</v>
      </c>
      <c r="Y197" s="331">
        <f t="shared" si="88"/>
        <v>765</v>
      </c>
      <c r="Z197" s="331">
        <f t="shared" si="88"/>
        <v>765</v>
      </c>
      <c r="AA197" s="331">
        <f t="shared" si="88"/>
        <v>595</v>
      </c>
      <c r="AB197" s="331">
        <f t="shared" si="88"/>
        <v>425</v>
      </c>
      <c r="AC197" s="331">
        <f t="shared" si="88"/>
        <v>170</v>
      </c>
      <c r="AD197" s="331">
        <f t="shared" si="88"/>
        <v>680</v>
      </c>
      <c r="AE197" s="331">
        <f t="shared" si="88"/>
        <v>595</v>
      </c>
      <c r="AF197" s="334">
        <f t="shared" si="88"/>
        <v>425</v>
      </c>
      <c r="AG197" s="24"/>
    </row>
    <row r="198">
      <c r="A198" s="328" t="s">
        <v>399</v>
      </c>
      <c r="B198" s="331">
        <f t="shared" ref="B198:AF198" si="89">10*B5</f>
        <v>20</v>
      </c>
      <c r="C198" s="331">
        <f t="shared" si="89"/>
        <v>110</v>
      </c>
      <c r="D198" s="331">
        <f t="shared" si="89"/>
        <v>110</v>
      </c>
      <c r="E198" s="331">
        <f t="shared" si="89"/>
        <v>40</v>
      </c>
      <c r="F198" s="331">
        <f t="shared" si="89"/>
        <v>100</v>
      </c>
      <c r="G198" s="331">
        <f t="shared" si="89"/>
        <v>50</v>
      </c>
      <c r="H198" s="331">
        <f t="shared" si="89"/>
        <v>20</v>
      </c>
      <c r="I198" s="331">
        <f t="shared" si="89"/>
        <v>90</v>
      </c>
      <c r="J198" s="331">
        <f t="shared" si="89"/>
        <v>270</v>
      </c>
      <c r="K198" s="331">
        <f t="shared" si="89"/>
        <v>310</v>
      </c>
      <c r="L198" s="331">
        <f t="shared" si="89"/>
        <v>230</v>
      </c>
      <c r="M198" s="331">
        <f t="shared" si="89"/>
        <v>90</v>
      </c>
      <c r="N198" s="331">
        <f t="shared" si="89"/>
        <v>80</v>
      </c>
      <c r="O198" s="331">
        <f t="shared" si="89"/>
        <v>60</v>
      </c>
      <c r="P198" s="331">
        <f t="shared" si="89"/>
        <v>20</v>
      </c>
      <c r="Q198" s="331">
        <f t="shared" si="89"/>
        <v>150</v>
      </c>
      <c r="R198" s="331">
        <f t="shared" si="89"/>
        <v>120</v>
      </c>
      <c r="S198" s="331">
        <f t="shared" si="89"/>
        <v>110</v>
      </c>
      <c r="T198" s="331">
        <f t="shared" si="89"/>
        <v>30</v>
      </c>
      <c r="U198" s="331">
        <f t="shared" si="89"/>
        <v>30</v>
      </c>
      <c r="V198" s="331">
        <f t="shared" si="89"/>
        <v>80</v>
      </c>
      <c r="W198" s="331">
        <f t="shared" si="89"/>
        <v>90</v>
      </c>
      <c r="X198" s="331">
        <f t="shared" si="89"/>
        <v>100</v>
      </c>
      <c r="Y198" s="331">
        <f t="shared" si="89"/>
        <v>90</v>
      </c>
      <c r="Z198" s="331">
        <f t="shared" si="89"/>
        <v>90</v>
      </c>
      <c r="AA198" s="331">
        <f t="shared" si="89"/>
        <v>70</v>
      </c>
      <c r="AB198" s="331">
        <f t="shared" si="89"/>
        <v>50</v>
      </c>
      <c r="AC198" s="331">
        <f t="shared" si="89"/>
        <v>20</v>
      </c>
      <c r="AD198" s="331">
        <f t="shared" si="89"/>
        <v>80</v>
      </c>
      <c r="AE198" s="331">
        <f t="shared" si="89"/>
        <v>70</v>
      </c>
      <c r="AF198" s="334">
        <f t="shared" si="89"/>
        <v>50</v>
      </c>
      <c r="AG198" s="24"/>
    </row>
    <row r="199">
      <c r="A199" s="27"/>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7"/>
      <c r="AG199" s="24"/>
    </row>
    <row r="200">
      <c r="A200" s="27" t="s">
        <v>556</v>
      </c>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41"/>
      <c r="AG200" s="24"/>
    </row>
    <row r="201">
      <c r="A201" s="328" t="s">
        <v>542</v>
      </c>
      <c r="B201" s="329"/>
      <c r="C201" s="329"/>
      <c r="D201" s="329"/>
      <c r="E201" s="329"/>
      <c r="F201" s="329"/>
      <c r="G201" s="329"/>
      <c r="H201" s="329"/>
      <c r="I201" s="329"/>
      <c r="J201" s="329"/>
      <c r="K201" s="329"/>
      <c r="L201" s="329"/>
      <c r="M201" s="329"/>
      <c r="N201" s="329"/>
      <c r="O201" s="329"/>
      <c r="P201" s="329"/>
      <c r="Q201" s="329"/>
      <c r="R201" s="329"/>
      <c r="S201" s="329"/>
      <c r="T201" s="329"/>
      <c r="U201" s="329"/>
      <c r="V201" s="329"/>
      <c r="W201" s="329"/>
      <c r="X201" s="329"/>
      <c r="Y201" s="329"/>
      <c r="Z201" s="329"/>
      <c r="AA201" s="329"/>
      <c r="AB201" s="329"/>
      <c r="AC201" s="329"/>
      <c r="AD201" s="329"/>
      <c r="AE201" s="329"/>
      <c r="AF201" s="330"/>
      <c r="AG201" s="24"/>
    </row>
    <row r="202">
      <c r="A202" s="328" t="s">
        <v>389</v>
      </c>
      <c r="B202" s="331">
        <f t="shared" ref="B202:AF202" si="90">(B42/B26)*B18</f>
        <v>0</v>
      </c>
      <c r="C202" s="331">
        <f t="shared" si="90"/>
        <v>0</v>
      </c>
      <c r="D202" s="331">
        <f t="shared" si="90"/>
        <v>0</v>
      </c>
      <c r="E202" s="331">
        <f t="shared" si="90"/>
        <v>0</v>
      </c>
      <c r="F202" s="331">
        <f t="shared" si="90"/>
        <v>0</v>
      </c>
      <c r="G202" s="331">
        <f t="shared" si="90"/>
        <v>0</v>
      </c>
      <c r="H202" s="331">
        <f t="shared" si="90"/>
        <v>0</v>
      </c>
      <c r="I202" s="331">
        <f t="shared" si="90"/>
        <v>0</v>
      </c>
      <c r="J202" s="331">
        <f t="shared" si="90"/>
        <v>0</v>
      </c>
      <c r="K202" s="331">
        <f t="shared" si="90"/>
        <v>0</v>
      </c>
      <c r="L202" s="331">
        <f t="shared" si="90"/>
        <v>0</v>
      </c>
      <c r="M202" s="331">
        <f t="shared" si="90"/>
        <v>0</v>
      </c>
      <c r="N202" s="331">
        <f t="shared" si="90"/>
        <v>0</v>
      </c>
      <c r="O202" s="331">
        <f t="shared" si="90"/>
        <v>0</v>
      </c>
      <c r="P202" s="331">
        <f t="shared" si="90"/>
        <v>0</v>
      </c>
      <c r="Q202" s="331">
        <f t="shared" si="90"/>
        <v>0</v>
      </c>
      <c r="R202" s="331">
        <f t="shared" si="90"/>
        <v>0</v>
      </c>
      <c r="S202" s="332">
        <f t="shared" si="90"/>
        <v>0</v>
      </c>
      <c r="T202" s="332">
        <f t="shared" si="90"/>
        <v>0</v>
      </c>
      <c r="U202" s="332">
        <f t="shared" si="90"/>
        <v>0</v>
      </c>
      <c r="V202" s="332">
        <f t="shared" si="90"/>
        <v>0</v>
      </c>
      <c r="W202" s="332">
        <f t="shared" si="90"/>
        <v>0</v>
      </c>
      <c r="X202" s="332">
        <f t="shared" si="90"/>
        <v>0</v>
      </c>
      <c r="Y202" s="332">
        <f t="shared" si="90"/>
        <v>0</v>
      </c>
      <c r="Z202" s="332">
        <f t="shared" si="90"/>
        <v>0</v>
      </c>
      <c r="AA202" s="332">
        <f t="shared" si="90"/>
        <v>0</v>
      </c>
      <c r="AB202" s="332">
        <f t="shared" si="90"/>
        <v>0</v>
      </c>
      <c r="AC202" s="332">
        <f t="shared" si="90"/>
        <v>0</v>
      </c>
      <c r="AD202" s="332">
        <f t="shared" si="90"/>
        <v>0</v>
      </c>
      <c r="AE202" s="332">
        <f t="shared" si="90"/>
        <v>0</v>
      </c>
      <c r="AF202" s="333">
        <f t="shared" si="90"/>
        <v>0</v>
      </c>
      <c r="AG202" s="24"/>
    </row>
    <row r="203">
      <c r="A203" s="328" t="s">
        <v>394</v>
      </c>
      <c r="B203" s="331">
        <f t="shared" ref="B203:AF203" si="91">(B43/B14)*B6</f>
        <v>0</v>
      </c>
      <c r="C203" s="331">
        <f t="shared" si="91"/>
        <v>0</v>
      </c>
      <c r="D203" s="331">
        <f t="shared" si="91"/>
        <v>0</v>
      </c>
      <c r="E203" s="331">
        <f t="shared" si="91"/>
        <v>0</v>
      </c>
      <c r="F203" s="331">
        <f t="shared" si="91"/>
        <v>0</v>
      </c>
      <c r="G203" s="331">
        <f t="shared" si="91"/>
        <v>0</v>
      </c>
      <c r="H203" s="331">
        <f t="shared" si="91"/>
        <v>0</v>
      </c>
      <c r="I203" s="331">
        <f t="shared" si="91"/>
        <v>0</v>
      </c>
      <c r="J203" s="331">
        <f t="shared" si="91"/>
        <v>0</v>
      </c>
      <c r="K203" s="331">
        <f t="shared" si="91"/>
        <v>0</v>
      </c>
      <c r="L203" s="331">
        <f t="shared" si="91"/>
        <v>0</v>
      </c>
      <c r="M203" s="331">
        <f t="shared" si="91"/>
        <v>0</v>
      </c>
      <c r="N203" s="331">
        <f t="shared" si="91"/>
        <v>0</v>
      </c>
      <c r="O203" s="331">
        <f t="shared" si="91"/>
        <v>0</v>
      </c>
      <c r="P203" s="331">
        <f t="shared" si="91"/>
        <v>0</v>
      </c>
      <c r="Q203" s="331">
        <f t="shared" si="91"/>
        <v>0</v>
      </c>
      <c r="R203" s="331">
        <f t="shared" si="91"/>
        <v>0</v>
      </c>
      <c r="S203" s="332">
        <f t="shared" si="91"/>
        <v>0</v>
      </c>
      <c r="T203" s="332">
        <f t="shared" si="91"/>
        <v>0</v>
      </c>
      <c r="U203" s="332">
        <f t="shared" si="91"/>
        <v>0</v>
      </c>
      <c r="V203" s="332">
        <f t="shared" si="91"/>
        <v>0</v>
      </c>
      <c r="W203" s="332">
        <f t="shared" si="91"/>
        <v>0</v>
      </c>
      <c r="X203" s="332">
        <f t="shared" si="91"/>
        <v>0</v>
      </c>
      <c r="Y203" s="332">
        <f t="shared" si="91"/>
        <v>0</v>
      </c>
      <c r="Z203" s="332">
        <f t="shared" si="91"/>
        <v>0</v>
      </c>
      <c r="AA203" s="332">
        <f t="shared" si="91"/>
        <v>0</v>
      </c>
      <c r="AB203" s="332">
        <f t="shared" si="91"/>
        <v>0</v>
      </c>
      <c r="AC203" s="332">
        <f t="shared" si="91"/>
        <v>0</v>
      </c>
      <c r="AD203" s="332">
        <f t="shared" si="91"/>
        <v>0</v>
      </c>
      <c r="AE203" s="332">
        <f t="shared" si="91"/>
        <v>0</v>
      </c>
      <c r="AF203" s="333">
        <f t="shared" si="91"/>
        <v>0</v>
      </c>
      <c r="AG203" s="24"/>
    </row>
    <row r="204">
      <c r="A204" s="328" t="s">
        <v>555</v>
      </c>
      <c r="B204" s="331">
        <f t="shared" ref="B204:AF204" si="92">85*B6</f>
        <v>0</v>
      </c>
      <c r="C204" s="331">
        <f t="shared" si="92"/>
        <v>0</v>
      </c>
      <c r="D204" s="331">
        <f t="shared" si="92"/>
        <v>0</v>
      </c>
      <c r="E204" s="331">
        <f t="shared" si="92"/>
        <v>0</v>
      </c>
      <c r="F204" s="331">
        <f t="shared" si="92"/>
        <v>0</v>
      </c>
      <c r="G204" s="331">
        <f t="shared" si="92"/>
        <v>0</v>
      </c>
      <c r="H204" s="331">
        <f t="shared" si="92"/>
        <v>0</v>
      </c>
      <c r="I204" s="331">
        <f t="shared" si="92"/>
        <v>0</v>
      </c>
      <c r="J204" s="331">
        <f t="shared" si="92"/>
        <v>0</v>
      </c>
      <c r="K204" s="331">
        <f t="shared" si="92"/>
        <v>0</v>
      </c>
      <c r="L204" s="331">
        <f t="shared" si="92"/>
        <v>0</v>
      </c>
      <c r="M204" s="331">
        <f t="shared" si="92"/>
        <v>0</v>
      </c>
      <c r="N204" s="331">
        <f t="shared" si="92"/>
        <v>0</v>
      </c>
      <c r="O204" s="331">
        <f t="shared" si="92"/>
        <v>0</v>
      </c>
      <c r="P204" s="331">
        <f t="shared" si="92"/>
        <v>0</v>
      </c>
      <c r="Q204" s="331">
        <f t="shared" si="92"/>
        <v>0</v>
      </c>
      <c r="R204" s="331">
        <f t="shared" si="92"/>
        <v>0</v>
      </c>
      <c r="S204" s="331">
        <f t="shared" si="92"/>
        <v>0</v>
      </c>
      <c r="T204" s="331">
        <f t="shared" si="92"/>
        <v>0</v>
      </c>
      <c r="U204" s="331">
        <f t="shared" si="92"/>
        <v>0</v>
      </c>
      <c r="V204" s="331">
        <f t="shared" si="92"/>
        <v>0</v>
      </c>
      <c r="W204" s="331">
        <f t="shared" si="92"/>
        <v>0</v>
      </c>
      <c r="X204" s="331">
        <f t="shared" si="92"/>
        <v>0</v>
      </c>
      <c r="Y204" s="331">
        <f t="shared" si="92"/>
        <v>0</v>
      </c>
      <c r="Z204" s="331">
        <f t="shared" si="92"/>
        <v>0</v>
      </c>
      <c r="AA204" s="331">
        <f t="shared" si="92"/>
        <v>0</v>
      </c>
      <c r="AB204" s="331">
        <f t="shared" si="92"/>
        <v>0</v>
      </c>
      <c r="AC204" s="331">
        <f t="shared" si="92"/>
        <v>0</v>
      </c>
      <c r="AD204" s="331">
        <f t="shared" si="92"/>
        <v>0</v>
      </c>
      <c r="AE204" s="331">
        <f t="shared" si="92"/>
        <v>0</v>
      </c>
      <c r="AF204" s="334">
        <f t="shared" si="92"/>
        <v>0</v>
      </c>
      <c r="AG204" s="24"/>
    </row>
    <row r="205">
      <c r="A205" s="328" t="s">
        <v>399</v>
      </c>
      <c r="B205" s="331">
        <f t="shared" ref="B205:AF205" si="93">10*B6</f>
        <v>0</v>
      </c>
      <c r="C205" s="331">
        <f t="shared" si="93"/>
        <v>0</v>
      </c>
      <c r="D205" s="331">
        <f t="shared" si="93"/>
        <v>0</v>
      </c>
      <c r="E205" s="331">
        <f t="shared" si="93"/>
        <v>0</v>
      </c>
      <c r="F205" s="331">
        <f t="shared" si="93"/>
        <v>0</v>
      </c>
      <c r="G205" s="331">
        <f t="shared" si="93"/>
        <v>0</v>
      </c>
      <c r="H205" s="331">
        <f t="shared" si="93"/>
        <v>0</v>
      </c>
      <c r="I205" s="331">
        <f t="shared" si="93"/>
        <v>0</v>
      </c>
      <c r="J205" s="331">
        <f t="shared" si="93"/>
        <v>0</v>
      </c>
      <c r="K205" s="331">
        <f t="shared" si="93"/>
        <v>0</v>
      </c>
      <c r="L205" s="331">
        <f t="shared" si="93"/>
        <v>0</v>
      </c>
      <c r="M205" s="331">
        <f t="shared" si="93"/>
        <v>0</v>
      </c>
      <c r="N205" s="331">
        <f t="shared" si="93"/>
        <v>0</v>
      </c>
      <c r="O205" s="331">
        <f t="shared" si="93"/>
        <v>0</v>
      </c>
      <c r="P205" s="331">
        <f t="shared" si="93"/>
        <v>0</v>
      </c>
      <c r="Q205" s="331">
        <f t="shared" si="93"/>
        <v>0</v>
      </c>
      <c r="R205" s="331">
        <f t="shared" si="93"/>
        <v>0</v>
      </c>
      <c r="S205" s="331">
        <f t="shared" si="93"/>
        <v>0</v>
      </c>
      <c r="T205" s="331">
        <f t="shared" si="93"/>
        <v>0</v>
      </c>
      <c r="U205" s="331">
        <f t="shared" si="93"/>
        <v>0</v>
      </c>
      <c r="V205" s="331">
        <f t="shared" si="93"/>
        <v>0</v>
      </c>
      <c r="W205" s="331">
        <f t="shared" si="93"/>
        <v>0</v>
      </c>
      <c r="X205" s="331">
        <f t="shared" si="93"/>
        <v>0</v>
      </c>
      <c r="Y205" s="331">
        <f t="shared" si="93"/>
        <v>0</v>
      </c>
      <c r="Z205" s="331">
        <f t="shared" si="93"/>
        <v>0</v>
      </c>
      <c r="AA205" s="331">
        <f t="shared" si="93"/>
        <v>0</v>
      </c>
      <c r="AB205" s="331">
        <f t="shared" si="93"/>
        <v>0</v>
      </c>
      <c r="AC205" s="331">
        <f t="shared" si="93"/>
        <v>0</v>
      </c>
      <c r="AD205" s="331">
        <f t="shared" si="93"/>
        <v>0</v>
      </c>
      <c r="AE205" s="331">
        <f t="shared" si="93"/>
        <v>0</v>
      </c>
      <c r="AF205" s="334">
        <f t="shared" si="93"/>
        <v>0</v>
      </c>
      <c r="AG205" s="24"/>
    </row>
    <row r="206">
      <c r="A206" s="27"/>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7"/>
      <c r="AG206" s="24"/>
    </row>
    <row r="207">
      <c r="A207" s="27" t="s">
        <v>557</v>
      </c>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41"/>
      <c r="AG207" s="24"/>
    </row>
    <row r="208">
      <c r="A208" s="328" t="s">
        <v>542</v>
      </c>
      <c r="B208" s="329"/>
      <c r="C208" s="329"/>
      <c r="D208" s="329"/>
      <c r="E208" s="329"/>
      <c r="F208" s="329"/>
      <c r="G208" s="329"/>
      <c r="H208" s="329"/>
      <c r="I208" s="329"/>
      <c r="J208" s="329"/>
      <c r="K208" s="329"/>
      <c r="L208" s="329"/>
      <c r="M208" s="329"/>
      <c r="N208" s="329"/>
      <c r="O208" s="329"/>
      <c r="P208" s="329"/>
      <c r="Q208" s="329"/>
      <c r="R208" s="329"/>
      <c r="S208" s="329"/>
      <c r="T208" s="329"/>
      <c r="U208" s="329"/>
      <c r="V208" s="329"/>
      <c r="W208" s="329"/>
      <c r="X208" s="329"/>
      <c r="Y208" s="329"/>
      <c r="Z208" s="329"/>
      <c r="AA208" s="329"/>
      <c r="AB208" s="329"/>
      <c r="AC208" s="329"/>
      <c r="AD208" s="329"/>
      <c r="AE208" s="329"/>
      <c r="AF208" s="330"/>
      <c r="AG208" s="24"/>
    </row>
    <row r="209">
      <c r="A209" s="328" t="s">
        <v>389</v>
      </c>
      <c r="B209" s="331">
        <f t="shared" ref="B209:AF209" si="94">(B42/B26)*B19</f>
        <v>0</v>
      </c>
      <c r="C209" s="331">
        <f t="shared" si="94"/>
        <v>0</v>
      </c>
      <c r="D209" s="331">
        <f t="shared" si="94"/>
        <v>0</v>
      </c>
      <c r="E209" s="331">
        <f t="shared" si="94"/>
        <v>0</v>
      </c>
      <c r="F209" s="331">
        <f t="shared" si="94"/>
        <v>0</v>
      </c>
      <c r="G209" s="331">
        <f t="shared" si="94"/>
        <v>0</v>
      </c>
      <c r="H209" s="331">
        <f t="shared" si="94"/>
        <v>0</v>
      </c>
      <c r="I209" s="331">
        <f t="shared" si="94"/>
        <v>0</v>
      </c>
      <c r="J209" s="331">
        <f t="shared" si="94"/>
        <v>0</v>
      </c>
      <c r="K209" s="331">
        <f t="shared" si="94"/>
        <v>0</v>
      </c>
      <c r="L209" s="331">
        <f t="shared" si="94"/>
        <v>0</v>
      </c>
      <c r="M209" s="331">
        <f t="shared" si="94"/>
        <v>0</v>
      </c>
      <c r="N209" s="331">
        <f t="shared" si="94"/>
        <v>0</v>
      </c>
      <c r="O209" s="331">
        <f t="shared" si="94"/>
        <v>0</v>
      </c>
      <c r="P209" s="331">
        <f t="shared" si="94"/>
        <v>0</v>
      </c>
      <c r="Q209" s="331">
        <f t="shared" si="94"/>
        <v>0</v>
      </c>
      <c r="R209" s="331">
        <f t="shared" si="94"/>
        <v>0</v>
      </c>
      <c r="S209" s="332">
        <f t="shared" si="94"/>
        <v>0</v>
      </c>
      <c r="T209" s="332">
        <f t="shared" si="94"/>
        <v>0</v>
      </c>
      <c r="U209" s="332">
        <f t="shared" si="94"/>
        <v>0</v>
      </c>
      <c r="V209" s="332">
        <f t="shared" si="94"/>
        <v>0</v>
      </c>
      <c r="W209" s="332">
        <f t="shared" si="94"/>
        <v>0</v>
      </c>
      <c r="X209" s="332">
        <f t="shared" si="94"/>
        <v>0</v>
      </c>
      <c r="Y209" s="332">
        <f t="shared" si="94"/>
        <v>0</v>
      </c>
      <c r="Z209" s="332">
        <f t="shared" si="94"/>
        <v>0</v>
      </c>
      <c r="AA209" s="332">
        <f t="shared" si="94"/>
        <v>0</v>
      </c>
      <c r="AB209" s="332">
        <f t="shared" si="94"/>
        <v>0</v>
      </c>
      <c r="AC209" s="332">
        <f t="shared" si="94"/>
        <v>0</v>
      </c>
      <c r="AD209" s="332">
        <f t="shared" si="94"/>
        <v>0</v>
      </c>
      <c r="AE209" s="332">
        <f t="shared" si="94"/>
        <v>0</v>
      </c>
      <c r="AF209" s="333">
        <f t="shared" si="94"/>
        <v>0</v>
      </c>
      <c r="AG209" s="24"/>
    </row>
    <row r="210">
      <c r="A210" s="328" t="s">
        <v>394</v>
      </c>
      <c r="B210" s="331">
        <f t="shared" ref="B210:AF210" si="95">(B43/B14)*B7</f>
        <v>0</v>
      </c>
      <c r="C210" s="331">
        <f t="shared" si="95"/>
        <v>0</v>
      </c>
      <c r="D210" s="331">
        <f t="shared" si="95"/>
        <v>0</v>
      </c>
      <c r="E210" s="331">
        <f t="shared" si="95"/>
        <v>0</v>
      </c>
      <c r="F210" s="331">
        <f t="shared" si="95"/>
        <v>0</v>
      </c>
      <c r="G210" s="331">
        <f t="shared" si="95"/>
        <v>0</v>
      </c>
      <c r="H210" s="331">
        <f t="shared" si="95"/>
        <v>0</v>
      </c>
      <c r="I210" s="331">
        <f t="shared" si="95"/>
        <v>0</v>
      </c>
      <c r="J210" s="331">
        <f t="shared" si="95"/>
        <v>0</v>
      </c>
      <c r="K210" s="331">
        <f t="shared" si="95"/>
        <v>0</v>
      </c>
      <c r="L210" s="331">
        <f t="shared" si="95"/>
        <v>0</v>
      </c>
      <c r="M210" s="331">
        <f t="shared" si="95"/>
        <v>0</v>
      </c>
      <c r="N210" s="331">
        <f t="shared" si="95"/>
        <v>0</v>
      </c>
      <c r="O210" s="331">
        <f t="shared" si="95"/>
        <v>0</v>
      </c>
      <c r="P210" s="331">
        <f t="shared" si="95"/>
        <v>0</v>
      </c>
      <c r="Q210" s="331">
        <f t="shared" si="95"/>
        <v>0</v>
      </c>
      <c r="R210" s="331">
        <f t="shared" si="95"/>
        <v>0</v>
      </c>
      <c r="S210" s="332">
        <f t="shared" si="95"/>
        <v>0</v>
      </c>
      <c r="T210" s="332">
        <f t="shared" si="95"/>
        <v>0</v>
      </c>
      <c r="U210" s="332">
        <f t="shared" si="95"/>
        <v>0</v>
      </c>
      <c r="V210" s="332">
        <f t="shared" si="95"/>
        <v>0</v>
      </c>
      <c r="W210" s="332">
        <f t="shared" si="95"/>
        <v>0</v>
      </c>
      <c r="X210" s="332">
        <f t="shared" si="95"/>
        <v>0</v>
      </c>
      <c r="Y210" s="332">
        <f t="shared" si="95"/>
        <v>0</v>
      </c>
      <c r="Z210" s="332">
        <f t="shared" si="95"/>
        <v>0</v>
      </c>
      <c r="AA210" s="332">
        <f t="shared" si="95"/>
        <v>0</v>
      </c>
      <c r="AB210" s="332">
        <f t="shared" si="95"/>
        <v>0</v>
      </c>
      <c r="AC210" s="332">
        <f t="shared" si="95"/>
        <v>0</v>
      </c>
      <c r="AD210" s="332">
        <f t="shared" si="95"/>
        <v>0</v>
      </c>
      <c r="AE210" s="332">
        <f t="shared" si="95"/>
        <v>0</v>
      </c>
      <c r="AF210" s="333">
        <f t="shared" si="95"/>
        <v>0</v>
      </c>
      <c r="AG210" s="24"/>
    </row>
    <row r="211">
      <c r="A211" s="328" t="s">
        <v>555</v>
      </c>
      <c r="B211" s="331">
        <f t="shared" ref="B211:AF211" si="96">85*B7</f>
        <v>0</v>
      </c>
      <c r="C211" s="331">
        <f t="shared" si="96"/>
        <v>0</v>
      </c>
      <c r="D211" s="331">
        <f t="shared" si="96"/>
        <v>0</v>
      </c>
      <c r="E211" s="331">
        <f t="shared" si="96"/>
        <v>0</v>
      </c>
      <c r="F211" s="331">
        <f t="shared" si="96"/>
        <v>0</v>
      </c>
      <c r="G211" s="331">
        <f t="shared" si="96"/>
        <v>0</v>
      </c>
      <c r="H211" s="331">
        <f t="shared" si="96"/>
        <v>0</v>
      </c>
      <c r="I211" s="331">
        <f t="shared" si="96"/>
        <v>0</v>
      </c>
      <c r="J211" s="331">
        <f t="shared" si="96"/>
        <v>0</v>
      </c>
      <c r="K211" s="331">
        <f t="shared" si="96"/>
        <v>0</v>
      </c>
      <c r="L211" s="331">
        <f t="shared" si="96"/>
        <v>0</v>
      </c>
      <c r="M211" s="331">
        <f t="shared" si="96"/>
        <v>0</v>
      </c>
      <c r="N211" s="331">
        <f t="shared" si="96"/>
        <v>0</v>
      </c>
      <c r="O211" s="331">
        <f t="shared" si="96"/>
        <v>0</v>
      </c>
      <c r="P211" s="331">
        <f t="shared" si="96"/>
        <v>0</v>
      </c>
      <c r="Q211" s="331">
        <f t="shared" si="96"/>
        <v>0</v>
      </c>
      <c r="R211" s="331">
        <f t="shared" si="96"/>
        <v>0</v>
      </c>
      <c r="S211" s="331">
        <f t="shared" si="96"/>
        <v>0</v>
      </c>
      <c r="T211" s="331">
        <f t="shared" si="96"/>
        <v>0</v>
      </c>
      <c r="U211" s="331">
        <f t="shared" si="96"/>
        <v>0</v>
      </c>
      <c r="V211" s="331">
        <f t="shared" si="96"/>
        <v>0</v>
      </c>
      <c r="W211" s="331">
        <f t="shared" si="96"/>
        <v>0</v>
      </c>
      <c r="X211" s="331">
        <f t="shared" si="96"/>
        <v>0</v>
      </c>
      <c r="Y211" s="331">
        <f t="shared" si="96"/>
        <v>0</v>
      </c>
      <c r="Z211" s="331">
        <f t="shared" si="96"/>
        <v>0</v>
      </c>
      <c r="AA211" s="331">
        <f t="shared" si="96"/>
        <v>0</v>
      </c>
      <c r="AB211" s="331">
        <f t="shared" si="96"/>
        <v>0</v>
      </c>
      <c r="AC211" s="331">
        <f t="shared" si="96"/>
        <v>0</v>
      </c>
      <c r="AD211" s="331">
        <f t="shared" si="96"/>
        <v>0</v>
      </c>
      <c r="AE211" s="331">
        <f t="shared" si="96"/>
        <v>0</v>
      </c>
      <c r="AF211" s="334">
        <f t="shared" si="96"/>
        <v>0</v>
      </c>
      <c r="AG211" s="24"/>
    </row>
    <row r="212">
      <c r="A212" s="328" t="s">
        <v>399</v>
      </c>
      <c r="B212" s="331">
        <f t="shared" ref="B212:AF212" si="97">10*B7</f>
        <v>0</v>
      </c>
      <c r="C212" s="331">
        <f t="shared" si="97"/>
        <v>0</v>
      </c>
      <c r="D212" s="331">
        <f t="shared" si="97"/>
        <v>0</v>
      </c>
      <c r="E212" s="331">
        <f t="shared" si="97"/>
        <v>0</v>
      </c>
      <c r="F212" s="331">
        <f t="shared" si="97"/>
        <v>0</v>
      </c>
      <c r="G212" s="331">
        <f t="shared" si="97"/>
        <v>0</v>
      </c>
      <c r="H212" s="331">
        <f t="shared" si="97"/>
        <v>0</v>
      </c>
      <c r="I212" s="331">
        <f t="shared" si="97"/>
        <v>0</v>
      </c>
      <c r="J212" s="331">
        <f t="shared" si="97"/>
        <v>0</v>
      </c>
      <c r="K212" s="331">
        <f t="shared" si="97"/>
        <v>0</v>
      </c>
      <c r="L212" s="331">
        <f t="shared" si="97"/>
        <v>0</v>
      </c>
      <c r="M212" s="331">
        <f t="shared" si="97"/>
        <v>0</v>
      </c>
      <c r="N212" s="331">
        <f t="shared" si="97"/>
        <v>0</v>
      </c>
      <c r="O212" s="331">
        <f t="shared" si="97"/>
        <v>0</v>
      </c>
      <c r="P212" s="331">
        <f t="shared" si="97"/>
        <v>0</v>
      </c>
      <c r="Q212" s="331">
        <f t="shared" si="97"/>
        <v>0</v>
      </c>
      <c r="R212" s="331">
        <f t="shared" si="97"/>
        <v>0</v>
      </c>
      <c r="S212" s="331">
        <f t="shared" si="97"/>
        <v>0</v>
      </c>
      <c r="T212" s="331">
        <f t="shared" si="97"/>
        <v>0</v>
      </c>
      <c r="U212" s="331">
        <f t="shared" si="97"/>
        <v>0</v>
      </c>
      <c r="V212" s="331">
        <f t="shared" si="97"/>
        <v>0</v>
      </c>
      <c r="W212" s="331">
        <f t="shared" si="97"/>
        <v>0</v>
      </c>
      <c r="X212" s="331">
        <f t="shared" si="97"/>
        <v>0</v>
      </c>
      <c r="Y212" s="331">
        <f t="shared" si="97"/>
        <v>0</v>
      </c>
      <c r="Z212" s="331">
        <f t="shared" si="97"/>
        <v>0</v>
      </c>
      <c r="AA212" s="331">
        <f t="shared" si="97"/>
        <v>0</v>
      </c>
      <c r="AB212" s="331">
        <f t="shared" si="97"/>
        <v>0</v>
      </c>
      <c r="AC212" s="331">
        <f t="shared" si="97"/>
        <v>0</v>
      </c>
      <c r="AD212" s="331">
        <f t="shared" si="97"/>
        <v>0</v>
      </c>
      <c r="AE212" s="331">
        <f t="shared" si="97"/>
        <v>0</v>
      </c>
      <c r="AF212" s="334">
        <f t="shared" si="97"/>
        <v>0</v>
      </c>
      <c r="AG212" s="24"/>
    </row>
    <row r="213">
      <c r="A213" s="27"/>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41"/>
      <c r="AG213" s="139"/>
    </row>
    <row r="214">
      <c r="A214" s="27" t="s">
        <v>558</v>
      </c>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41"/>
      <c r="AG214" s="24"/>
    </row>
    <row r="215">
      <c r="A215" s="328" t="s">
        <v>542</v>
      </c>
      <c r="B215" s="329"/>
      <c r="C215" s="329"/>
      <c r="D215" s="329"/>
      <c r="E215" s="329"/>
      <c r="F215" s="329"/>
      <c r="G215" s="329"/>
      <c r="H215" s="329"/>
      <c r="I215" s="329"/>
      <c r="J215" s="329"/>
      <c r="K215" s="329"/>
      <c r="L215" s="329"/>
      <c r="M215" s="329"/>
      <c r="N215" s="329"/>
      <c r="O215" s="329"/>
      <c r="P215" s="329"/>
      <c r="Q215" s="329"/>
      <c r="R215" s="329"/>
      <c r="S215" s="329"/>
      <c r="T215" s="329"/>
      <c r="U215" s="329"/>
      <c r="V215" s="329"/>
      <c r="W215" s="329"/>
      <c r="X215" s="329"/>
      <c r="Y215" s="329"/>
      <c r="Z215" s="329"/>
      <c r="AA215" s="329"/>
      <c r="AB215" s="329"/>
      <c r="AC215" s="329"/>
      <c r="AD215" s="329"/>
      <c r="AE215" s="329"/>
      <c r="AF215" s="330"/>
      <c r="AG215" s="24"/>
    </row>
    <row r="216">
      <c r="A216" s="328" t="s">
        <v>389</v>
      </c>
      <c r="B216" s="331">
        <f t="shared" ref="B216:AF216" si="98">(B42/B26)*B20</f>
        <v>0</v>
      </c>
      <c r="C216" s="331">
        <f t="shared" si="98"/>
        <v>0</v>
      </c>
      <c r="D216" s="331">
        <f t="shared" si="98"/>
        <v>0</v>
      </c>
      <c r="E216" s="331">
        <f t="shared" si="98"/>
        <v>0</v>
      </c>
      <c r="F216" s="331">
        <f t="shared" si="98"/>
        <v>0</v>
      </c>
      <c r="G216" s="331">
        <f t="shared" si="98"/>
        <v>0</v>
      </c>
      <c r="H216" s="331">
        <f t="shared" si="98"/>
        <v>0</v>
      </c>
      <c r="I216" s="331">
        <f t="shared" si="98"/>
        <v>0</v>
      </c>
      <c r="J216" s="331">
        <f t="shared" si="98"/>
        <v>0</v>
      </c>
      <c r="K216" s="331">
        <f t="shared" si="98"/>
        <v>0</v>
      </c>
      <c r="L216" s="331">
        <f t="shared" si="98"/>
        <v>0</v>
      </c>
      <c r="M216" s="331">
        <f t="shared" si="98"/>
        <v>0</v>
      </c>
      <c r="N216" s="331">
        <f t="shared" si="98"/>
        <v>0</v>
      </c>
      <c r="O216" s="331">
        <f t="shared" si="98"/>
        <v>0</v>
      </c>
      <c r="P216" s="331">
        <f t="shared" si="98"/>
        <v>0</v>
      </c>
      <c r="Q216" s="331">
        <f t="shared" si="98"/>
        <v>0</v>
      </c>
      <c r="R216" s="331">
        <f t="shared" si="98"/>
        <v>0</v>
      </c>
      <c r="S216" s="332">
        <f t="shared" si="98"/>
        <v>0</v>
      </c>
      <c r="T216" s="332">
        <f t="shared" si="98"/>
        <v>0</v>
      </c>
      <c r="U216" s="332">
        <f t="shared" si="98"/>
        <v>0</v>
      </c>
      <c r="V216" s="332">
        <f t="shared" si="98"/>
        <v>0</v>
      </c>
      <c r="W216" s="332">
        <f t="shared" si="98"/>
        <v>0</v>
      </c>
      <c r="X216" s="332">
        <f t="shared" si="98"/>
        <v>0</v>
      </c>
      <c r="Y216" s="332">
        <f t="shared" si="98"/>
        <v>0</v>
      </c>
      <c r="Z216" s="332">
        <f t="shared" si="98"/>
        <v>0</v>
      </c>
      <c r="AA216" s="332">
        <f t="shared" si="98"/>
        <v>0</v>
      </c>
      <c r="AB216" s="332">
        <f t="shared" si="98"/>
        <v>0</v>
      </c>
      <c r="AC216" s="332">
        <f t="shared" si="98"/>
        <v>0</v>
      </c>
      <c r="AD216" s="332">
        <f t="shared" si="98"/>
        <v>0</v>
      </c>
      <c r="AE216" s="332">
        <f t="shared" si="98"/>
        <v>0</v>
      </c>
      <c r="AF216" s="333">
        <f t="shared" si="98"/>
        <v>0</v>
      </c>
      <c r="AG216" s="24"/>
    </row>
    <row r="217">
      <c r="A217" s="328" t="s">
        <v>394</v>
      </c>
      <c r="B217" s="331">
        <f t="shared" ref="B217:AF217" si="99">(B43/B14)*B8</f>
        <v>0</v>
      </c>
      <c r="C217" s="331">
        <f t="shared" si="99"/>
        <v>0</v>
      </c>
      <c r="D217" s="331">
        <f t="shared" si="99"/>
        <v>0</v>
      </c>
      <c r="E217" s="331">
        <f t="shared" si="99"/>
        <v>0</v>
      </c>
      <c r="F217" s="331">
        <f t="shared" si="99"/>
        <v>0</v>
      </c>
      <c r="G217" s="331">
        <f t="shared" si="99"/>
        <v>0</v>
      </c>
      <c r="H217" s="331">
        <f t="shared" si="99"/>
        <v>0</v>
      </c>
      <c r="I217" s="331">
        <f t="shared" si="99"/>
        <v>0</v>
      </c>
      <c r="J217" s="331">
        <f t="shared" si="99"/>
        <v>0</v>
      </c>
      <c r="K217" s="331">
        <f t="shared" si="99"/>
        <v>0</v>
      </c>
      <c r="L217" s="331">
        <f t="shared" si="99"/>
        <v>0</v>
      </c>
      <c r="M217" s="331">
        <f t="shared" si="99"/>
        <v>0</v>
      </c>
      <c r="N217" s="331">
        <f t="shared" si="99"/>
        <v>0</v>
      </c>
      <c r="O217" s="331">
        <f t="shared" si="99"/>
        <v>0</v>
      </c>
      <c r="P217" s="331">
        <f t="shared" si="99"/>
        <v>0</v>
      </c>
      <c r="Q217" s="331">
        <f t="shared" si="99"/>
        <v>0</v>
      </c>
      <c r="R217" s="331">
        <f t="shared" si="99"/>
        <v>0</v>
      </c>
      <c r="S217" s="332">
        <f t="shared" si="99"/>
        <v>0</v>
      </c>
      <c r="T217" s="332">
        <f t="shared" si="99"/>
        <v>0</v>
      </c>
      <c r="U217" s="332">
        <f t="shared" si="99"/>
        <v>0</v>
      </c>
      <c r="V217" s="332">
        <f t="shared" si="99"/>
        <v>0</v>
      </c>
      <c r="W217" s="332">
        <f t="shared" si="99"/>
        <v>0</v>
      </c>
      <c r="X217" s="332">
        <f t="shared" si="99"/>
        <v>0</v>
      </c>
      <c r="Y217" s="332">
        <f t="shared" si="99"/>
        <v>0</v>
      </c>
      <c r="Z217" s="332">
        <f t="shared" si="99"/>
        <v>0</v>
      </c>
      <c r="AA217" s="332">
        <f t="shared" si="99"/>
        <v>0</v>
      </c>
      <c r="AB217" s="332">
        <f t="shared" si="99"/>
        <v>0</v>
      </c>
      <c r="AC217" s="332">
        <f t="shared" si="99"/>
        <v>0</v>
      </c>
      <c r="AD217" s="332">
        <f t="shared" si="99"/>
        <v>0</v>
      </c>
      <c r="AE217" s="332">
        <f t="shared" si="99"/>
        <v>0</v>
      </c>
      <c r="AF217" s="333">
        <f t="shared" si="99"/>
        <v>0</v>
      </c>
      <c r="AG217" s="24"/>
    </row>
    <row r="218">
      <c r="A218" s="328" t="s">
        <v>555</v>
      </c>
      <c r="B218" s="331">
        <f t="shared" ref="B218:AF218" si="100">85*B8</f>
        <v>0</v>
      </c>
      <c r="C218" s="331">
        <f t="shared" si="100"/>
        <v>0</v>
      </c>
      <c r="D218" s="331">
        <f t="shared" si="100"/>
        <v>0</v>
      </c>
      <c r="E218" s="331">
        <f t="shared" si="100"/>
        <v>0</v>
      </c>
      <c r="F218" s="331">
        <f t="shared" si="100"/>
        <v>0</v>
      </c>
      <c r="G218" s="331">
        <f t="shared" si="100"/>
        <v>0</v>
      </c>
      <c r="H218" s="331">
        <f t="shared" si="100"/>
        <v>0</v>
      </c>
      <c r="I218" s="331">
        <f t="shared" si="100"/>
        <v>0</v>
      </c>
      <c r="J218" s="331">
        <f t="shared" si="100"/>
        <v>0</v>
      </c>
      <c r="K218" s="331">
        <f t="shared" si="100"/>
        <v>0</v>
      </c>
      <c r="L218" s="331">
        <f t="shared" si="100"/>
        <v>0</v>
      </c>
      <c r="M218" s="331">
        <f t="shared" si="100"/>
        <v>0</v>
      </c>
      <c r="N218" s="331">
        <f t="shared" si="100"/>
        <v>0</v>
      </c>
      <c r="O218" s="331">
        <f t="shared" si="100"/>
        <v>0</v>
      </c>
      <c r="P218" s="331">
        <f t="shared" si="100"/>
        <v>0</v>
      </c>
      <c r="Q218" s="331">
        <f t="shared" si="100"/>
        <v>0</v>
      </c>
      <c r="R218" s="331">
        <f t="shared" si="100"/>
        <v>0</v>
      </c>
      <c r="S218" s="331">
        <f t="shared" si="100"/>
        <v>0</v>
      </c>
      <c r="T218" s="331">
        <f t="shared" si="100"/>
        <v>0</v>
      </c>
      <c r="U218" s="331">
        <f t="shared" si="100"/>
        <v>0</v>
      </c>
      <c r="V218" s="331">
        <f t="shared" si="100"/>
        <v>0</v>
      </c>
      <c r="W218" s="331">
        <f t="shared" si="100"/>
        <v>0</v>
      </c>
      <c r="X218" s="331">
        <f t="shared" si="100"/>
        <v>0</v>
      </c>
      <c r="Y218" s="331">
        <f t="shared" si="100"/>
        <v>0</v>
      </c>
      <c r="Z218" s="331">
        <f t="shared" si="100"/>
        <v>0</v>
      </c>
      <c r="AA218" s="331">
        <f t="shared" si="100"/>
        <v>0</v>
      </c>
      <c r="AB218" s="331">
        <f t="shared" si="100"/>
        <v>0</v>
      </c>
      <c r="AC218" s="331">
        <f t="shared" si="100"/>
        <v>0</v>
      </c>
      <c r="AD218" s="331">
        <f t="shared" si="100"/>
        <v>0</v>
      </c>
      <c r="AE218" s="331">
        <f t="shared" si="100"/>
        <v>0</v>
      </c>
      <c r="AF218" s="334">
        <f t="shared" si="100"/>
        <v>0</v>
      </c>
      <c r="AG218" s="24"/>
    </row>
    <row r="219">
      <c r="A219" s="328" t="s">
        <v>399</v>
      </c>
      <c r="B219" s="331">
        <f t="shared" ref="B219:AF219" si="101">10*B8</f>
        <v>0</v>
      </c>
      <c r="C219" s="331">
        <f t="shared" si="101"/>
        <v>0</v>
      </c>
      <c r="D219" s="331">
        <f t="shared" si="101"/>
        <v>0</v>
      </c>
      <c r="E219" s="331">
        <f t="shared" si="101"/>
        <v>0</v>
      </c>
      <c r="F219" s="331">
        <f t="shared" si="101"/>
        <v>0</v>
      </c>
      <c r="G219" s="331">
        <f t="shared" si="101"/>
        <v>0</v>
      </c>
      <c r="H219" s="331">
        <f t="shared" si="101"/>
        <v>0</v>
      </c>
      <c r="I219" s="331">
        <f t="shared" si="101"/>
        <v>0</v>
      </c>
      <c r="J219" s="331">
        <f t="shared" si="101"/>
        <v>0</v>
      </c>
      <c r="K219" s="331">
        <f t="shared" si="101"/>
        <v>0</v>
      </c>
      <c r="L219" s="331">
        <f t="shared" si="101"/>
        <v>0</v>
      </c>
      <c r="M219" s="331">
        <f t="shared" si="101"/>
        <v>0</v>
      </c>
      <c r="N219" s="331">
        <f t="shared" si="101"/>
        <v>0</v>
      </c>
      <c r="O219" s="331">
        <f t="shared" si="101"/>
        <v>0</v>
      </c>
      <c r="P219" s="331">
        <f t="shared" si="101"/>
        <v>0</v>
      </c>
      <c r="Q219" s="331">
        <f t="shared" si="101"/>
        <v>0</v>
      </c>
      <c r="R219" s="331">
        <f t="shared" si="101"/>
        <v>0</v>
      </c>
      <c r="S219" s="331">
        <f t="shared" si="101"/>
        <v>0</v>
      </c>
      <c r="T219" s="331">
        <f t="shared" si="101"/>
        <v>0</v>
      </c>
      <c r="U219" s="331">
        <f t="shared" si="101"/>
        <v>0</v>
      </c>
      <c r="V219" s="331">
        <f t="shared" si="101"/>
        <v>0</v>
      </c>
      <c r="W219" s="331">
        <f t="shared" si="101"/>
        <v>0</v>
      </c>
      <c r="X219" s="331">
        <f t="shared" si="101"/>
        <v>0</v>
      </c>
      <c r="Y219" s="331">
        <f t="shared" si="101"/>
        <v>0</v>
      </c>
      <c r="Z219" s="331">
        <f t="shared" si="101"/>
        <v>0</v>
      </c>
      <c r="AA219" s="331">
        <f t="shared" si="101"/>
        <v>0</v>
      </c>
      <c r="AB219" s="331">
        <f t="shared" si="101"/>
        <v>0</v>
      </c>
      <c r="AC219" s="331">
        <f t="shared" si="101"/>
        <v>0</v>
      </c>
      <c r="AD219" s="331">
        <f t="shared" si="101"/>
        <v>0</v>
      </c>
      <c r="AE219" s="331">
        <f t="shared" si="101"/>
        <v>0</v>
      </c>
      <c r="AF219" s="334">
        <f t="shared" si="101"/>
        <v>0</v>
      </c>
      <c r="AG219" s="24"/>
    </row>
    <row r="220">
      <c r="A220" s="27"/>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7"/>
      <c r="AG220" s="24"/>
    </row>
    <row r="221">
      <c r="A221" s="27" t="s">
        <v>559</v>
      </c>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41"/>
      <c r="AG221" s="24"/>
    </row>
    <row r="222">
      <c r="A222" s="328" t="s">
        <v>542</v>
      </c>
      <c r="B222" s="329"/>
      <c r="C222" s="329"/>
      <c r="D222" s="329"/>
      <c r="E222" s="329"/>
      <c r="F222" s="329"/>
      <c r="G222" s="329"/>
      <c r="H222" s="329"/>
      <c r="I222" s="329"/>
      <c r="J222" s="329"/>
      <c r="K222" s="329"/>
      <c r="L222" s="329"/>
      <c r="M222" s="329"/>
      <c r="N222" s="329"/>
      <c r="O222" s="329"/>
      <c r="P222" s="329"/>
      <c r="Q222" s="329"/>
      <c r="R222" s="329"/>
      <c r="S222" s="329"/>
      <c r="T222" s="329"/>
      <c r="U222" s="329"/>
      <c r="V222" s="329"/>
      <c r="W222" s="329"/>
      <c r="X222" s="329"/>
      <c r="Y222" s="329"/>
      <c r="Z222" s="329"/>
      <c r="AA222" s="329"/>
      <c r="AB222" s="329"/>
      <c r="AC222" s="329"/>
      <c r="AD222" s="329"/>
      <c r="AE222" s="329"/>
      <c r="AF222" s="330"/>
      <c r="AG222" s="24"/>
    </row>
    <row r="223">
      <c r="A223" s="328" t="s">
        <v>389</v>
      </c>
      <c r="B223" s="331">
        <f t="shared" ref="B223:AF223" si="102">(B42/B26)*B21</f>
        <v>123.214</v>
      </c>
      <c r="C223" s="331">
        <f t="shared" si="102"/>
        <v>135.382</v>
      </c>
      <c r="D223" s="331">
        <f t="shared" si="102"/>
        <v>122.122</v>
      </c>
      <c r="E223" s="331">
        <f t="shared" si="102"/>
        <v>51.402</v>
      </c>
      <c r="F223" s="331">
        <f t="shared" si="102"/>
        <v>59.436</v>
      </c>
      <c r="G223" s="331">
        <f t="shared" si="102"/>
        <v>25.896</v>
      </c>
      <c r="H223" s="331">
        <f t="shared" si="102"/>
        <v>53.924</v>
      </c>
      <c r="I223" s="331">
        <f t="shared" si="102"/>
        <v>28.48716</v>
      </c>
      <c r="J223" s="331">
        <f t="shared" si="102"/>
        <v>63.10174</v>
      </c>
      <c r="K223" s="331">
        <f t="shared" si="102"/>
        <v>56.67974</v>
      </c>
      <c r="L223" s="331">
        <f t="shared" si="102"/>
        <v>97.54264</v>
      </c>
      <c r="M223" s="331">
        <f t="shared" si="102"/>
        <v>75.66754</v>
      </c>
      <c r="N223" s="331">
        <f t="shared" si="102"/>
        <v>15.66604</v>
      </c>
      <c r="O223" s="331">
        <f t="shared" si="102"/>
        <v>5.5328</v>
      </c>
      <c r="P223" s="331">
        <f t="shared" si="102"/>
        <v>95.4733</v>
      </c>
      <c r="Q223" s="331">
        <f t="shared" si="102"/>
        <v>48.15538</v>
      </c>
      <c r="R223" s="331">
        <f t="shared" si="102"/>
        <v>96.1974</v>
      </c>
      <c r="S223" s="332">
        <f t="shared" si="102"/>
        <v>94.92184</v>
      </c>
      <c r="T223" s="332">
        <f t="shared" si="102"/>
        <v>71.05072</v>
      </c>
      <c r="U223" s="332">
        <f t="shared" si="102"/>
        <v>29.49882</v>
      </c>
      <c r="V223" s="332">
        <f t="shared" si="102"/>
        <v>144.79842</v>
      </c>
      <c r="W223" s="332">
        <f t="shared" si="102"/>
        <v>84.13756</v>
      </c>
      <c r="X223" s="332">
        <f t="shared" si="102"/>
        <v>74.4172</v>
      </c>
      <c r="Y223" s="332">
        <f t="shared" si="102"/>
        <v>53.9266</v>
      </c>
      <c r="Z223" s="332">
        <f t="shared" si="102"/>
        <v>37.9496</v>
      </c>
      <c r="AA223" s="332">
        <f t="shared" si="102"/>
        <v>43.72108</v>
      </c>
      <c r="AB223" s="332">
        <f t="shared" si="102"/>
        <v>63.3594</v>
      </c>
      <c r="AC223" s="332">
        <f t="shared" si="102"/>
        <v>24.0825</v>
      </c>
      <c r="AD223" s="332">
        <f t="shared" si="102"/>
        <v>79.0543</v>
      </c>
      <c r="AE223" s="332">
        <f t="shared" si="102"/>
        <v>110.22518</v>
      </c>
      <c r="AF223" s="333">
        <f t="shared" si="102"/>
        <v>97.2465</v>
      </c>
      <c r="AG223" s="24"/>
    </row>
    <row r="224">
      <c r="A224" s="328" t="s">
        <v>394</v>
      </c>
      <c r="B224" s="331">
        <f t="shared" ref="B224:AF224" si="103">(B43/B14)*B9</f>
        <v>5.4</v>
      </c>
      <c r="C224" s="331">
        <f t="shared" si="103"/>
        <v>5.7</v>
      </c>
      <c r="D224" s="331">
        <f t="shared" si="103"/>
        <v>5.7</v>
      </c>
      <c r="E224" s="331">
        <f t="shared" si="103"/>
        <v>2.4</v>
      </c>
      <c r="F224" s="331">
        <f t="shared" si="103"/>
        <v>2.7</v>
      </c>
      <c r="G224" s="331">
        <f t="shared" si="103"/>
        <v>1.2</v>
      </c>
      <c r="H224" s="331">
        <f t="shared" si="103"/>
        <v>2.7</v>
      </c>
      <c r="I224" s="331">
        <f t="shared" si="103"/>
        <v>1.2</v>
      </c>
      <c r="J224" s="331">
        <f t="shared" si="103"/>
        <v>3</v>
      </c>
      <c r="K224" s="331">
        <f t="shared" si="103"/>
        <v>2.7</v>
      </c>
      <c r="L224" s="331">
        <f t="shared" si="103"/>
        <v>3.9</v>
      </c>
      <c r="M224" s="331">
        <f t="shared" si="103"/>
        <v>3.6</v>
      </c>
      <c r="N224" s="331">
        <f t="shared" si="103"/>
        <v>0.6</v>
      </c>
      <c r="O224" s="331">
        <f t="shared" si="103"/>
        <v>0.3</v>
      </c>
      <c r="P224" s="331">
        <f t="shared" si="103"/>
        <v>2.4</v>
      </c>
      <c r="Q224" s="331">
        <f t="shared" si="103"/>
        <v>1.8</v>
      </c>
      <c r="R224" s="331">
        <f t="shared" si="103"/>
        <v>5.1</v>
      </c>
      <c r="S224" s="332">
        <f t="shared" si="103"/>
        <v>4.5</v>
      </c>
      <c r="T224" s="332">
        <f t="shared" si="103"/>
        <v>3.6</v>
      </c>
      <c r="U224" s="332">
        <f t="shared" si="103"/>
        <v>1.5</v>
      </c>
      <c r="V224" s="332">
        <f t="shared" si="103"/>
        <v>4.8</v>
      </c>
      <c r="W224" s="332">
        <f t="shared" si="103"/>
        <v>3.9</v>
      </c>
      <c r="X224" s="332">
        <f t="shared" si="103"/>
        <v>3.3</v>
      </c>
      <c r="Y224" s="332">
        <f t="shared" si="103"/>
        <v>2.7</v>
      </c>
      <c r="Z224" s="332">
        <f t="shared" si="103"/>
        <v>2.1</v>
      </c>
      <c r="AA224" s="332">
        <f t="shared" si="103"/>
        <v>2.1</v>
      </c>
      <c r="AB224" s="332">
        <f t="shared" si="103"/>
        <v>2.4</v>
      </c>
      <c r="AC224" s="332">
        <f t="shared" si="103"/>
        <v>1.2</v>
      </c>
      <c r="AD224" s="332">
        <f t="shared" si="103"/>
        <v>3.6</v>
      </c>
      <c r="AE224" s="332">
        <f t="shared" si="103"/>
        <v>5.4</v>
      </c>
      <c r="AF224" s="333">
        <f t="shared" si="103"/>
        <v>4.5</v>
      </c>
      <c r="AG224" s="24"/>
    </row>
    <row r="225">
      <c r="A225" s="328" t="s">
        <v>555</v>
      </c>
      <c r="B225" s="331">
        <f t="shared" ref="B225:AF225" si="104">85*B9</f>
        <v>1530</v>
      </c>
      <c r="C225" s="331">
        <f t="shared" si="104"/>
        <v>1615</v>
      </c>
      <c r="D225" s="331">
        <f t="shared" si="104"/>
        <v>1615</v>
      </c>
      <c r="E225" s="331">
        <f t="shared" si="104"/>
        <v>680</v>
      </c>
      <c r="F225" s="331">
        <f t="shared" si="104"/>
        <v>765</v>
      </c>
      <c r="G225" s="331">
        <f t="shared" si="104"/>
        <v>340</v>
      </c>
      <c r="H225" s="331">
        <f t="shared" si="104"/>
        <v>765</v>
      </c>
      <c r="I225" s="331">
        <f t="shared" si="104"/>
        <v>340</v>
      </c>
      <c r="J225" s="331">
        <f t="shared" si="104"/>
        <v>850</v>
      </c>
      <c r="K225" s="331">
        <f t="shared" si="104"/>
        <v>765</v>
      </c>
      <c r="L225" s="331">
        <f t="shared" si="104"/>
        <v>1105</v>
      </c>
      <c r="M225" s="331">
        <f t="shared" si="104"/>
        <v>1020</v>
      </c>
      <c r="N225" s="331">
        <f t="shared" si="104"/>
        <v>170</v>
      </c>
      <c r="O225" s="331">
        <f t="shared" si="104"/>
        <v>85</v>
      </c>
      <c r="P225" s="331">
        <f t="shared" si="104"/>
        <v>680</v>
      </c>
      <c r="Q225" s="331">
        <f t="shared" si="104"/>
        <v>510</v>
      </c>
      <c r="R225" s="331">
        <f t="shared" si="104"/>
        <v>1445</v>
      </c>
      <c r="S225" s="331">
        <f t="shared" si="104"/>
        <v>1275</v>
      </c>
      <c r="T225" s="331">
        <f t="shared" si="104"/>
        <v>1020</v>
      </c>
      <c r="U225" s="331">
        <f t="shared" si="104"/>
        <v>425</v>
      </c>
      <c r="V225" s="331">
        <f t="shared" si="104"/>
        <v>1360</v>
      </c>
      <c r="W225" s="331">
        <f t="shared" si="104"/>
        <v>1105</v>
      </c>
      <c r="X225" s="331">
        <f t="shared" si="104"/>
        <v>935</v>
      </c>
      <c r="Y225" s="331">
        <f t="shared" si="104"/>
        <v>765</v>
      </c>
      <c r="Z225" s="331">
        <f t="shared" si="104"/>
        <v>595</v>
      </c>
      <c r="AA225" s="331">
        <f t="shared" si="104"/>
        <v>595</v>
      </c>
      <c r="AB225" s="331">
        <f t="shared" si="104"/>
        <v>680</v>
      </c>
      <c r="AC225" s="331">
        <f t="shared" si="104"/>
        <v>340</v>
      </c>
      <c r="AD225" s="331">
        <f t="shared" si="104"/>
        <v>1020</v>
      </c>
      <c r="AE225" s="331">
        <f t="shared" si="104"/>
        <v>1530</v>
      </c>
      <c r="AF225" s="334">
        <f t="shared" si="104"/>
        <v>1275</v>
      </c>
      <c r="AG225" s="24"/>
    </row>
    <row r="226">
      <c r="A226" s="328" t="s">
        <v>399</v>
      </c>
      <c r="B226" s="331">
        <f t="shared" ref="B226:AF226" si="105">10*B9</f>
        <v>180</v>
      </c>
      <c r="C226" s="331">
        <f t="shared" si="105"/>
        <v>190</v>
      </c>
      <c r="D226" s="331">
        <f t="shared" si="105"/>
        <v>190</v>
      </c>
      <c r="E226" s="331">
        <f t="shared" si="105"/>
        <v>80</v>
      </c>
      <c r="F226" s="331">
        <f t="shared" si="105"/>
        <v>90</v>
      </c>
      <c r="G226" s="331">
        <f t="shared" si="105"/>
        <v>40</v>
      </c>
      <c r="H226" s="331">
        <f t="shared" si="105"/>
        <v>90</v>
      </c>
      <c r="I226" s="331">
        <f t="shared" si="105"/>
        <v>40</v>
      </c>
      <c r="J226" s="331">
        <f t="shared" si="105"/>
        <v>100</v>
      </c>
      <c r="K226" s="331">
        <f t="shared" si="105"/>
        <v>90</v>
      </c>
      <c r="L226" s="331">
        <f t="shared" si="105"/>
        <v>130</v>
      </c>
      <c r="M226" s="331">
        <f t="shared" si="105"/>
        <v>120</v>
      </c>
      <c r="N226" s="331">
        <f t="shared" si="105"/>
        <v>20</v>
      </c>
      <c r="O226" s="331">
        <f t="shared" si="105"/>
        <v>10</v>
      </c>
      <c r="P226" s="331">
        <f t="shared" si="105"/>
        <v>80</v>
      </c>
      <c r="Q226" s="331">
        <f t="shared" si="105"/>
        <v>60</v>
      </c>
      <c r="R226" s="331">
        <f t="shared" si="105"/>
        <v>170</v>
      </c>
      <c r="S226" s="331">
        <f t="shared" si="105"/>
        <v>150</v>
      </c>
      <c r="T226" s="331">
        <f t="shared" si="105"/>
        <v>120</v>
      </c>
      <c r="U226" s="331">
        <f t="shared" si="105"/>
        <v>50</v>
      </c>
      <c r="V226" s="331">
        <f t="shared" si="105"/>
        <v>160</v>
      </c>
      <c r="W226" s="331">
        <f t="shared" si="105"/>
        <v>130</v>
      </c>
      <c r="X226" s="331">
        <f t="shared" si="105"/>
        <v>110</v>
      </c>
      <c r="Y226" s="331">
        <f t="shared" si="105"/>
        <v>90</v>
      </c>
      <c r="Z226" s="331">
        <f t="shared" si="105"/>
        <v>70</v>
      </c>
      <c r="AA226" s="331">
        <f t="shared" si="105"/>
        <v>70</v>
      </c>
      <c r="AB226" s="331">
        <f t="shared" si="105"/>
        <v>80</v>
      </c>
      <c r="AC226" s="331">
        <f t="shared" si="105"/>
        <v>40</v>
      </c>
      <c r="AD226" s="331">
        <f t="shared" si="105"/>
        <v>120</v>
      </c>
      <c r="AE226" s="331">
        <f t="shared" si="105"/>
        <v>180</v>
      </c>
      <c r="AF226" s="334">
        <f t="shared" si="105"/>
        <v>150</v>
      </c>
      <c r="AG226" s="24"/>
    </row>
    <row r="227">
      <c r="A227" s="27"/>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41"/>
      <c r="AG227" s="24"/>
    </row>
    <row r="228">
      <c r="A228" s="29" t="s">
        <v>560</v>
      </c>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41"/>
      <c r="AG228" s="24"/>
    </row>
    <row r="229">
      <c r="A229" s="328" t="s">
        <v>542</v>
      </c>
      <c r="B229" s="329"/>
      <c r="C229" s="329"/>
      <c r="D229" s="329"/>
      <c r="E229" s="329"/>
      <c r="F229" s="329"/>
      <c r="G229" s="329"/>
      <c r="H229" s="329"/>
      <c r="I229" s="329"/>
      <c r="J229" s="329"/>
      <c r="K229" s="329"/>
      <c r="L229" s="329"/>
      <c r="M229" s="329"/>
      <c r="N229" s="329"/>
      <c r="O229" s="329"/>
      <c r="P229" s="329"/>
      <c r="Q229" s="329"/>
      <c r="R229" s="329"/>
      <c r="S229" s="329"/>
      <c r="T229" s="329"/>
      <c r="U229" s="329"/>
      <c r="V229" s="329"/>
      <c r="W229" s="329"/>
      <c r="X229" s="329"/>
      <c r="Y229" s="329"/>
      <c r="Z229" s="329"/>
      <c r="AA229" s="329"/>
      <c r="AB229" s="329"/>
      <c r="AC229" s="329"/>
      <c r="AD229" s="329"/>
      <c r="AE229" s="329"/>
      <c r="AF229" s="330"/>
      <c r="AG229" s="24"/>
    </row>
    <row r="230">
      <c r="A230" s="328" t="s">
        <v>389</v>
      </c>
      <c r="B230" s="331">
        <f t="shared" ref="B230:AF230" si="106">(B42/B26)*B25</f>
        <v>0</v>
      </c>
      <c r="C230" s="331">
        <f t="shared" si="106"/>
        <v>0</v>
      </c>
      <c r="D230" s="331">
        <f t="shared" si="106"/>
        <v>0</v>
      </c>
      <c r="E230" s="331">
        <f t="shared" si="106"/>
        <v>0</v>
      </c>
      <c r="F230" s="331">
        <f t="shared" si="106"/>
        <v>0</v>
      </c>
      <c r="G230" s="331">
        <f t="shared" si="106"/>
        <v>0</v>
      </c>
      <c r="H230" s="331">
        <f t="shared" si="106"/>
        <v>0</v>
      </c>
      <c r="I230" s="331">
        <f t="shared" si="106"/>
        <v>0</v>
      </c>
      <c r="J230" s="331">
        <f t="shared" si="106"/>
        <v>0</v>
      </c>
      <c r="K230" s="331">
        <f t="shared" si="106"/>
        <v>0</v>
      </c>
      <c r="L230" s="331">
        <f t="shared" si="106"/>
        <v>0</v>
      </c>
      <c r="M230" s="331">
        <f t="shared" si="106"/>
        <v>0</v>
      </c>
      <c r="N230" s="331">
        <f t="shared" si="106"/>
        <v>0</v>
      </c>
      <c r="O230" s="331">
        <f t="shared" si="106"/>
        <v>0</v>
      </c>
      <c r="P230" s="331">
        <f t="shared" si="106"/>
        <v>0</v>
      </c>
      <c r="Q230" s="331">
        <f t="shared" si="106"/>
        <v>0</v>
      </c>
      <c r="R230" s="331">
        <f t="shared" si="106"/>
        <v>0</v>
      </c>
      <c r="S230" s="332">
        <f t="shared" si="106"/>
        <v>0</v>
      </c>
      <c r="T230" s="332">
        <f t="shared" si="106"/>
        <v>0</v>
      </c>
      <c r="U230" s="332">
        <f t="shared" si="106"/>
        <v>0</v>
      </c>
      <c r="V230" s="332">
        <f t="shared" si="106"/>
        <v>0</v>
      </c>
      <c r="W230" s="332">
        <f t="shared" si="106"/>
        <v>0</v>
      </c>
      <c r="X230" s="332">
        <f t="shared" si="106"/>
        <v>0</v>
      </c>
      <c r="Y230" s="332">
        <f t="shared" si="106"/>
        <v>0</v>
      </c>
      <c r="Z230" s="332">
        <f t="shared" si="106"/>
        <v>0</v>
      </c>
      <c r="AA230" s="332">
        <f t="shared" si="106"/>
        <v>0</v>
      </c>
      <c r="AB230" s="332">
        <f t="shared" si="106"/>
        <v>0</v>
      </c>
      <c r="AC230" s="332">
        <f t="shared" si="106"/>
        <v>0</v>
      </c>
      <c r="AD230" s="332">
        <f t="shared" si="106"/>
        <v>0</v>
      </c>
      <c r="AE230" s="332">
        <f t="shared" si="106"/>
        <v>0</v>
      </c>
      <c r="AF230" s="333">
        <f t="shared" si="106"/>
        <v>0</v>
      </c>
      <c r="AG230" s="24"/>
    </row>
    <row r="231">
      <c r="A231" s="328" t="s">
        <v>394</v>
      </c>
      <c r="B231" s="331">
        <f t="shared" ref="B231:AF231" si="107">(B43/B14)*B13</f>
        <v>0</v>
      </c>
      <c r="C231" s="331">
        <f t="shared" si="107"/>
        <v>0</v>
      </c>
      <c r="D231" s="331">
        <f t="shared" si="107"/>
        <v>0</v>
      </c>
      <c r="E231" s="331">
        <f t="shared" si="107"/>
        <v>0</v>
      </c>
      <c r="F231" s="331">
        <f t="shared" si="107"/>
        <v>0</v>
      </c>
      <c r="G231" s="331">
        <f t="shared" si="107"/>
        <v>0</v>
      </c>
      <c r="H231" s="331">
        <f t="shared" si="107"/>
        <v>0</v>
      </c>
      <c r="I231" s="331">
        <f t="shared" si="107"/>
        <v>0</v>
      </c>
      <c r="J231" s="331">
        <f t="shared" si="107"/>
        <v>0</v>
      </c>
      <c r="K231" s="331">
        <f t="shared" si="107"/>
        <v>0</v>
      </c>
      <c r="L231" s="331">
        <f t="shared" si="107"/>
        <v>0</v>
      </c>
      <c r="M231" s="331">
        <f t="shared" si="107"/>
        <v>0</v>
      </c>
      <c r="N231" s="331">
        <f t="shared" si="107"/>
        <v>0</v>
      </c>
      <c r="O231" s="331">
        <f t="shared" si="107"/>
        <v>0</v>
      </c>
      <c r="P231" s="331">
        <f t="shared" si="107"/>
        <v>0</v>
      </c>
      <c r="Q231" s="331">
        <f t="shared" si="107"/>
        <v>0</v>
      </c>
      <c r="R231" s="331">
        <f t="shared" si="107"/>
        <v>0</v>
      </c>
      <c r="S231" s="332">
        <f t="shared" si="107"/>
        <v>0</v>
      </c>
      <c r="T231" s="332">
        <f t="shared" si="107"/>
        <v>0</v>
      </c>
      <c r="U231" s="332">
        <f t="shared" si="107"/>
        <v>0</v>
      </c>
      <c r="V231" s="332">
        <f t="shared" si="107"/>
        <v>0</v>
      </c>
      <c r="W231" s="332">
        <f t="shared" si="107"/>
        <v>0</v>
      </c>
      <c r="X231" s="332">
        <f t="shared" si="107"/>
        <v>0</v>
      </c>
      <c r="Y231" s="332">
        <f t="shared" si="107"/>
        <v>0</v>
      </c>
      <c r="Z231" s="332">
        <f t="shared" si="107"/>
        <v>0</v>
      </c>
      <c r="AA231" s="332">
        <f t="shared" si="107"/>
        <v>0</v>
      </c>
      <c r="AB231" s="332">
        <f t="shared" si="107"/>
        <v>0</v>
      </c>
      <c r="AC231" s="332">
        <f t="shared" si="107"/>
        <v>0</v>
      </c>
      <c r="AD231" s="332">
        <f t="shared" si="107"/>
        <v>0</v>
      </c>
      <c r="AE231" s="332">
        <f t="shared" si="107"/>
        <v>0</v>
      </c>
      <c r="AF231" s="333">
        <f t="shared" si="107"/>
        <v>0</v>
      </c>
      <c r="AG231" s="24"/>
    </row>
    <row r="232">
      <c r="A232" s="328" t="s">
        <v>555</v>
      </c>
      <c r="B232" s="331">
        <f t="shared" ref="B232:AF232" si="108">85*B13</f>
        <v>0</v>
      </c>
      <c r="C232" s="331">
        <f t="shared" si="108"/>
        <v>0</v>
      </c>
      <c r="D232" s="331">
        <f t="shared" si="108"/>
        <v>0</v>
      </c>
      <c r="E232" s="331">
        <f t="shared" si="108"/>
        <v>0</v>
      </c>
      <c r="F232" s="331">
        <f t="shared" si="108"/>
        <v>0</v>
      </c>
      <c r="G232" s="331">
        <f t="shared" si="108"/>
        <v>0</v>
      </c>
      <c r="H232" s="331">
        <f t="shared" si="108"/>
        <v>0</v>
      </c>
      <c r="I232" s="331">
        <f t="shared" si="108"/>
        <v>0</v>
      </c>
      <c r="J232" s="331">
        <f t="shared" si="108"/>
        <v>0</v>
      </c>
      <c r="K232" s="331">
        <f t="shared" si="108"/>
        <v>0</v>
      </c>
      <c r="L232" s="331">
        <f t="shared" si="108"/>
        <v>0</v>
      </c>
      <c r="M232" s="331">
        <f t="shared" si="108"/>
        <v>0</v>
      </c>
      <c r="N232" s="331">
        <f t="shared" si="108"/>
        <v>0</v>
      </c>
      <c r="O232" s="331">
        <f t="shared" si="108"/>
        <v>0</v>
      </c>
      <c r="P232" s="331">
        <f t="shared" si="108"/>
        <v>0</v>
      </c>
      <c r="Q232" s="331">
        <f t="shared" si="108"/>
        <v>0</v>
      </c>
      <c r="R232" s="331">
        <f t="shared" si="108"/>
        <v>0</v>
      </c>
      <c r="S232" s="331">
        <f t="shared" si="108"/>
        <v>0</v>
      </c>
      <c r="T232" s="331">
        <f t="shared" si="108"/>
        <v>0</v>
      </c>
      <c r="U232" s="331">
        <f t="shared" si="108"/>
        <v>0</v>
      </c>
      <c r="V232" s="331">
        <f t="shared" si="108"/>
        <v>0</v>
      </c>
      <c r="W232" s="331">
        <f t="shared" si="108"/>
        <v>0</v>
      </c>
      <c r="X232" s="331">
        <f t="shared" si="108"/>
        <v>0</v>
      </c>
      <c r="Y232" s="331">
        <f t="shared" si="108"/>
        <v>0</v>
      </c>
      <c r="Z232" s="331">
        <f t="shared" si="108"/>
        <v>0</v>
      </c>
      <c r="AA232" s="331">
        <f t="shared" si="108"/>
        <v>0</v>
      </c>
      <c r="AB232" s="331">
        <f t="shared" si="108"/>
        <v>0</v>
      </c>
      <c r="AC232" s="331">
        <f t="shared" si="108"/>
        <v>0</v>
      </c>
      <c r="AD232" s="331">
        <f t="shared" si="108"/>
        <v>0</v>
      </c>
      <c r="AE232" s="331">
        <f t="shared" si="108"/>
        <v>0</v>
      </c>
      <c r="AF232" s="334">
        <f t="shared" si="108"/>
        <v>0</v>
      </c>
      <c r="AG232" s="24"/>
    </row>
    <row r="233">
      <c r="A233" s="328" t="s">
        <v>399</v>
      </c>
      <c r="B233" s="331">
        <f t="shared" ref="B233:AF233" si="109">10*B13</f>
        <v>0</v>
      </c>
      <c r="C233" s="331">
        <f t="shared" si="109"/>
        <v>0</v>
      </c>
      <c r="D233" s="331">
        <f t="shared" si="109"/>
        <v>0</v>
      </c>
      <c r="E233" s="331">
        <f t="shared" si="109"/>
        <v>0</v>
      </c>
      <c r="F233" s="331">
        <f t="shared" si="109"/>
        <v>0</v>
      </c>
      <c r="G233" s="331">
        <f t="shared" si="109"/>
        <v>0</v>
      </c>
      <c r="H233" s="331">
        <f t="shared" si="109"/>
        <v>0</v>
      </c>
      <c r="I233" s="331">
        <f t="shared" si="109"/>
        <v>0</v>
      </c>
      <c r="J233" s="331">
        <f t="shared" si="109"/>
        <v>0</v>
      </c>
      <c r="K233" s="331">
        <f t="shared" si="109"/>
        <v>0</v>
      </c>
      <c r="L233" s="331">
        <f t="shared" si="109"/>
        <v>0</v>
      </c>
      <c r="M233" s="331">
        <f t="shared" si="109"/>
        <v>0</v>
      </c>
      <c r="N233" s="331">
        <f t="shared" si="109"/>
        <v>0</v>
      </c>
      <c r="O233" s="331">
        <f t="shared" si="109"/>
        <v>0</v>
      </c>
      <c r="P233" s="331">
        <f t="shared" si="109"/>
        <v>0</v>
      </c>
      <c r="Q233" s="331">
        <f t="shared" si="109"/>
        <v>0</v>
      </c>
      <c r="R233" s="331">
        <f t="shared" si="109"/>
        <v>0</v>
      </c>
      <c r="S233" s="331">
        <f t="shared" si="109"/>
        <v>0</v>
      </c>
      <c r="T233" s="331">
        <f t="shared" si="109"/>
        <v>0</v>
      </c>
      <c r="U233" s="331">
        <f t="shared" si="109"/>
        <v>0</v>
      </c>
      <c r="V233" s="331">
        <f t="shared" si="109"/>
        <v>0</v>
      </c>
      <c r="W233" s="331">
        <f t="shared" si="109"/>
        <v>0</v>
      </c>
      <c r="X233" s="331">
        <f t="shared" si="109"/>
        <v>0</v>
      </c>
      <c r="Y233" s="331">
        <f t="shared" si="109"/>
        <v>0</v>
      </c>
      <c r="Z233" s="331">
        <f t="shared" si="109"/>
        <v>0</v>
      </c>
      <c r="AA233" s="331">
        <f t="shared" si="109"/>
        <v>0</v>
      </c>
      <c r="AB233" s="331">
        <f t="shared" si="109"/>
        <v>0</v>
      </c>
      <c r="AC233" s="331">
        <f t="shared" si="109"/>
        <v>0</v>
      </c>
      <c r="AD233" s="331">
        <f t="shared" si="109"/>
        <v>0</v>
      </c>
      <c r="AE233" s="331">
        <f t="shared" si="109"/>
        <v>0</v>
      </c>
      <c r="AF233" s="334">
        <f t="shared" si="109"/>
        <v>0</v>
      </c>
      <c r="AG233" s="24"/>
    </row>
    <row r="234">
      <c r="A234" s="27"/>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41"/>
      <c r="AG234" s="24"/>
    </row>
    <row r="235">
      <c r="A235" s="27" t="s">
        <v>561</v>
      </c>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41"/>
      <c r="AG235" s="24"/>
    </row>
    <row r="236">
      <c r="A236" s="328" t="s">
        <v>542</v>
      </c>
      <c r="B236" s="329"/>
      <c r="C236" s="329"/>
      <c r="D236" s="329"/>
      <c r="E236" s="329"/>
      <c r="F236" s="329"/>
      <c r="G236" s="329"/>
      <c r="H236" s="329"/>
      <c r="I236" s="329"/>
      <c r="J236" s="329"/>
      <c r="K236" s="329"/>
      <c r="L236" s="329"/>
      <c r="M236" s="329"/>
      <c r="N236" s="329"/>
      <c r="O236" s="329"/>
      <c r="P236" s="329"/>
      <c r="Q236" s="329"/>
      <c r="R236" s="329"/>
      <c r="S236" s="329"/>
      <c r="T236" s="329"/>
      <c r="U236" s="329"/>
      <c r="V236" s="329"/>
      <c r="W236" s="329"/>
      <c r="X236" s="329"/>
      <c r="Y236" s="329"/>
      <c r="Z236" s="329"/>
      <c r="AA236" s="329"/>
      <c r="AB236" s="329"/>
      <c r="AC236" s="329"/>
      <c r="AD236" s="329"/>
      <c r="AE236" s="329"/>
      <c r="AF236" s="330"/>
      <c r="AG236" s="24"/>
    </row>
    <row r="237">
      <c r="A237" s="328" t="s">
        <v>389</v>
      </c>
      <c r="B237" s="331">
        <f t="shared" ref="B237:AF237" si="110">(B42/B26)*B22</f>
        <v>0</v>
      </c>
      <c r="C237" s="331">
        <f t="shared" si="110"/>
        <v>0</v>
      </c>
      <c r="D237" s="331">
        <f t="shared" si="110"/>
        <v>0</v>
      </c>
      <c r="E237" s="331">
        <f t="shared" si="110"/>
        <v>0</v>
      </c>
      <c r="F237" s="331">
        <f t="shared" si="110"/>
        <v>0</v>
      </c>
      <c r="G237" s="331">
        <f t="shared" si="110"/>
        <v>0</v>
      </c>
      <c r="H237" s="331">
        <f t="shared" si="110"/>
        <v>0</v>
      </c>
      <c r="I237" s="331">
        <f t="shared" si="110"/>
        <v>0</v>
      </c>
      <c r="J237" s="331">
        <f t="shared" si="110"/>
        <v>0</v>
      </c>
      <c r="K237" s="331">
        <f t="shared" si="110"/>
        <v>0</v>
      </c>
      <c r="L237" s="331">
        <f t="shared" si="110"/>
        <v>0</v>
      </c>
      <c r="M237" s="331">
        <f t="shared" si="110"/>
        <v>0</v>
      </c>
      <c r="N237" s="331">
        <f t="shared" si="110"/>
        <v>0</v>
      </c>
      <c r="O237" s="331">
        <f t="shared" si="110"/>
        <v>0</v>
      </c>
      <c r="P237" s="331">
        <f t="shared" si="110"/>
        <v>0</v>
      </c>
      <c r="Q237" s="331">
        <f t="shared" si="110"/>
        <v>0</v>
      </c>
      <c r="R237" s="331">
        <f t="shared" si="110"/>
        <v>0</v>
      </c>
      <c r="S237" s="332">
        <f t="shared" si="110"/>
        <v>0</v>
      </c>
      <c r="T237" s="332">
        <f t="shared" si="110"/>
        <v>0</v>
      </c>
      <c r="U237" s="332">
        <f t="shared" si="110"/>
        <v>0</v>
      </c>
      <c r="V237" s="332">
        <f t="shared" si="110"/>
        <v>0</v>
      </c>
      <c r="W237" s="332">
        <f t="shared" si="110"/>
        <v>0</v>
      </c>
      <c r="X237" s="332">
        <f t="shared" si="110"/>
        <v>0</v>
      </c>
      <c r="Y237" s="332">
        <f t="shared" si="110"/>
        <v>0</v>
      </c>
      <c r="Z237" s="332">
        <f t="shared" si="110"/>
        <v>0</v>
      </c>
      <c r="AA237" s="332">
        <f t="shared" si="110"/>
        <v>0</v>
      </c>
      <c r="AB237" s="332">
        <f t="shared" si="110"/>
        <v>0</v>
      </c>
      <c r="AC237" s="332">
        <f t="shared" si="110"/>
        <v>0</v>
      </c>
      <c r="AD237" s="332">
        <f t="shared" si="110"/>
        <v>0</v>
      </c>
      <c r="AE237" s="332">
        <f t="shared" si="110"/>
        <v>0</v>
      </c>
      <c r="AF237" s="333">
        <f t="shared" si="110"/>
        <v>0</v>
      </c>
      <c r="AG237" s="24"/>
    </row>
    <row r="238">
      <c r="A238" s="328" t="s">
        <v>394</v>
      </c>
      <c r="B238" s="331">
        <f t="shared" ref="B238:AF238" si="111">(B43/B14)*B10</f>
        <v>0</v>
      </c>
      <c r="C238" s="331">
        <f t="shared" si="111"/>
        <v>0</v>
      </c>
      <c r="D238" s="331">
        <f t="shared" si="111"/>
        <v>0</v>
      </c>
      <c r="E238" s="331">
        <f t="shared" si="111"/>
        <v>0</v>
      </c>
      <c r="F238" s="331">
        <f t="shared" si="111"/>
        <v>0</v>
      </c>
      <c r="G238" s="331">
        <f t="shared" si="111"/>
        <v>0</v>
      </c>
      <c r="H238" s="331">
        <f t="shared" si="111"/>
        <v>0</v>
      </c>
      <c r="I238" s="331">
        <f t="shared" si="111"/>
        <v>0</v>
      </c>
      <c r="J238" s="331">
        <f t="shared" si="111"/>
        <v>0</v>
      </c>
      <c r="K238" s="331">
        <f t="shared" si="111"/>
        <v>0</v>
      </c>
      <c r="L238" s="331">
        <f t="shared" si="111"/>
        <v>0</v>
      </c>
      <c r="M238" s="331">
        <f t="shared" si="111"/>
        <v>0</v>
      </c>
      <c r="N238" s="331">
        <f t="shared" si="111"/>
        <v>0</v>
      </c>
      <c r="O238" s="331">
        <f t="shared" si="111"/>
        <v>0</v>
      </c>
      <c r="P238" s="331">
        <f t="shared" si="111"/>
        <v>0</v>
      </c>
      <c r="Q238" s="331">
        <f t="shared" si="111"/>
        <v>0</v>
      </c>
      <c r="R238" s="331">
        <f t="shared" si="111"/>
        <v>0</v>
      </c>
      <c r="S238" s="332">
        <f t="shared" si="111"/>
        <v>0</v>
      </c>
      <c r="T238" s="332">
        <f t="shared" si="111"/>
        <v>0</v>
      </c>
      <c r="U238" s="332">
        <f t="shared" si="111"/>
        <v>0</v>
      </c>
      <c r="V238" s="332">
        <f t="shared" si="111"/>
        <v>0</v>
      </c>
      <c r="W238" s="332">
        <f t="shared" si="111"/>
        <v>0</v>
      </c>
      <c r="X238" s="332">
        <f t="shared" si="111"/>
        <v>0</v>
      </c>
      <c r="Y238" s="332">
        <f t="shared" si="111"/>
        <v>0</v>
      </c>
      <c r="Z238" s="332">
        <f t="shared" si="111"/>
        <v>0</v>
      </c>
      <c r="AA238" s="332">
        <f t="shared" si="111"/>
        <v>0</v>
      </c>
      <c r="AB238" s="332">
        <f t="shared" si="111"/>
        <v>0</v>
      </c>
      <c r="AC238" s="332">
        <f t="shared" si="111"/>
        <v>0</v>
      </c>
      <c r="AD238" s="332">
        <f t="shared" si="111"/>
        <v>0</v>
      </c>
      <c r="AE238" s="332">
        <f t="shared" si="111"/>
        <v>0</v>
      </c>
      <c r="AF238" s="333">
        <f t="shared" si="111"/>
        <v>0</v>
      </c>
      <c r="AG238" s="24"/>
    </row>
    <row r="239">
      <c r="A239" s="328" t="s">
        <v>555</v>
      </c>
      <c r="B239" s="331">
        <f t="shared" ref="B239:AF239" si="112">85*B10</f>
        <v>0</v>
      </c>
      <c r="C239" s="331">
        <f t="shared" si="112"/>
        <v>0</v>
      </c>
      <c r="D239" s="331">
        <f t="shared" si="112"/>
        <v>0</v>
      </c>
      <c r="E239" s="331">
        <f t="shared" si="112"/>
        <v>0</v>
      </c>
      <c r="F239" s="331">
        <f t="shared" si="112"/>
        <v>0</v>
      </c>
      <c r="G239" s="331">
        <f t="shared" si="112"/>
        <v>0</v>
      </c>
      <c r="H239" s="331">
        <f t="shared" si="112"/>
        <v>0</v>
      </c>
      <c r="I239" s="331">
        <f t="shared" si="112"/>
        <v>0</v>
      </c>
      <c r="J239" s="331">
        <f t="shared" si="112"/>
        <v>0</v>
      </c>
      <c r="K239" s="331">
        <f t="shared" si="112"/>
        <v>0</v>
      </c>
      <c r="L239" s="331">
        <f t="shared" si="112"/>
        <v>0</v>
      </c>
      <c r="M239" s="331">
        <f t="shared" si="112"/>
        <v>0</v>
      </c>
      <c r="N239" s="331">
        <f t="shared" si="112"/>
        <v>0</v>
      </c>
      <c r="O239" s="331">
        <f t="shared" si="112"/>
        <v>0</v>
      </c>
      <c r="P239" s="331">
        <f t="shared" si="112"/>
        <v>0</v>
      </c>
      <c r="Q239" s="331">
        <f t="shared" si="112"/>
        <v>0</v>
      </c>
      <c r="R239" s="331">
        <f t="shared" si="112"/>
        <v>0</v>
      </c>
      <c r="S239" s="331">
        <f t="shared" si="112"/>
        <v>0</v>
      </c>
      <c r="T239" s="331">
        <f t="shared" si="112"/>
        <v>0</v>
      </c>
      <c r="U239" s="331">
        <f t="shared" si="112"/>
        <v>0</v>
      </c>
      <c r="V239" s="331">
        <f t="shared" si="112"/>
        <v>0</v>
      </c>
      <c r="W239" s="331">
        <f t="shared" si="112"/>
        <v>0</v>
      </c>
      <c r="X239" s="331">
        <f t="shared" si="112"/>
        <v>0</v>
      </c>
      <c r="Y239" s="331">
        <f t="shared" si="112"/>
        <v>0</v>
      </c>
      <c r="Z239" s="331">
        <f t="shared" si="112"/>
        <v>0</v>
      </c>
      <c r="AA239" s="331">
        <f t="shared" si="112"/>
        <v>0</v>
      </c>
      <c r="AB239" s="331">
        <f t="shared" si="112"/>
        <v>0</v>
      </c>
      <c r="AC239" s="331">
        <f t="shared" si="112"/>
        <v>0</v>
      </c>
      <c r="AD239" s="331">
        <f t="shared" si="112"/>
        <v>0</v>
      </c>
      <c r="AE239" s="331">
        <f t="shared" si="112"/>
        <v>0</v>
      </c>
      <c r="AF239" s="334">
        <f t="shared" si="112"/>
        <v>0</v>
      </c>
      <c r="AG239" s="24"/>
    </row>
    <row r="240">
      <c r="A240" s="328" t="s">
        <v>399</v>
      </c>
      <c r="B240" s="331">
        <f t="shared" ref="B240:AF240" si="113">10*B10</f>
        <v>0</v>
      </c>
      <c r="C240" s="331">
        <f t="shared" si="113"/>
        <v>0</v>
      </c>
      <c r="D240" s="331">
        <f t="shared" si="113"/>
        <v>0</v>
      </c>
      <c r="E240" s="331">
        <f t="shared" si="113"/>
        <v>0</v>
      </c>
      <c r="F240" s="331">
        <f t="shared" si="113"/>
        <v>0</v>
      </c>
      <c r="G240" s="331">
        <f t="shared" si="113"/>
        <v>0</v>
      </c>
      <c r="H240" s="331">
        <f t="shared" si="113"/>
        <v>0</v>
      </c>
      <c r="I240" s="331">
        <f t="shared" si="113"/>
        <v>0</v>
      </c>
      <c r="J240" s="331">
        <f t="shared" si="113"/>
        <v>0</v>
      </c>
      <c r="K240" s="331">
        <f t="shared" si="113"/>
        <v>0</v>
      </c>
      <c r="L240" s="331">
        <f t="shared" si="113"/>
        <v>0</v>
      </c>
      <c r="M240" s="331">
        <f t="shared" si="113"/>
        <v>0</v>
      </c>
      <c r="N240" s="331">
        <f t="shared" si="113"/>
        <v>0</v>
      </c>
      <c r="O240" s="331">
        <f t="shared" si="113"/>
        <v>0</v>
      </c>
      <c r="P240" s="331">
        <f t="shared" si="113"/>
        <v>0</v>
      </c>
      <c r="Q240" s="331">
        <f t="shared" si="113"/>
        <v>0</v>
      </c>
      <c r="R240" s="331">
        <f t="shared" si="113"/>
        <v>0</v>
      </c>
      <c r="S240" s="331">
        <f t="shared" si="113"/>
        <v>0</v>
      </c>
      <c r="T240" s="331">
        <f t="shared" si="113"/>
        <v>0</v>
      </c>
      <c r="U240" s="331">
        <f t="shared" si="113"/>
        <v>0</v>
      </c>
      <c r="V240" s="331">
        <f t="shared" si="113"/>
        <v>0</v>
      </c>
      <c r="W240" s="331">
        <f t="shared" si="113"/>
        <v>0</v>
      </c>
      <c r="X240" s="331">
        <f t="shared" si="113"/>
        <v>0</v>
      </c>
      <c r="Y240" s="331">
        <f t="shared" si="113"/>
        <v>0</v>
      </c>
      <c r="Z240" s="331">
        <f t="shared" si="113"/>
        <v>0</v>
      </c>
      <c r="AA240" s="331">
        <f t="shared" si="113"/>
        <v>0</v>
      </c>
      <c r="AB240" s="331">
        <f t="shared" si="113"/>
        <v>0</v>
      </c>
      <c r="AC240" s="331">
        <f t="shared" si="113"/>
        <v>0</v>
      </c>
      <c r="AD240" s="331">
        <f t="shared" si="113"/>
        <v>0</v>
      </c>
      <c r="AE240" s="331">
        <f t="shared" si="113"/>
        <v>0</v>
      </c>
      <c r="AF240" s="334">
        <f t="shared" si="113"/>
        <v>0</v>
      </c>
      <c r="AG240" s="24"/>
    </row>
    <row r="241">
      <c r="A241" s="27"/>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41"/>
      <c r="AG241" s="24"/>
    </row>
    <row r="242">
      <c r="A242" s="27" t="s">
        <v>562</v>
      </c>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41"/>
      <c r="AG242" s="24"/>
    </row>
    <row r="243">
      <c r="A243" s="328" t="s">
        <v>542</v>
      </c>
      <c r="B243" s="329"/>
      <c r="C243" s="329"/>
      <c r="D243" s="329"/>
      <c r="E243" s="329"/>
      <c r="F243" s="329"/>
      <c r="G243" s="329"/>
      <c r="H243" s="329"/>
      <c r="I243" s="329"/>
      <c r="J243" s="329"/>
      <c r="K243" s="329"/>
      <c r="L243" s="329"/>
      <c r="M243" s="329"/>
      <c r="N243" s="329"/>
      <c r="O243" s="329"/>
      <c r="P243" s="329"/>
      <c r="Q243" s="329"/>
      <c r="R243" s="329"/>
      <c r="S243" s="329"/>
      <c r="T243" s="329"/>
      <c r="U243" s="329"/>
      <c r="V243" s="329"/>
      <c r="W243" s="329"/>
      <c r="X243" s="329"/>
      <c r="Y243" s="329"/>
      <c r="Z243" s="329"/>
      <c r="AA243" s="329"/>
      <c r="AB243" s="329"/>
      <c r="AC243" s="329"/>
      <c r="AD243" s="329"/>
      <c r="AE243" s="329"/>
      <c r="AF243" s="330"/>
      <c r="AG243" s="24"/>
    </row>
    <row r="244">
      <c r="A244" s="328" t="s">
        <v>389</v>
      </c>
      <c r="B244" s="331">
        <f t="shared" ref="B244:AF244" si="114">(B42/B26)*B23</f>
        <v>5.356</v>
      </c>
      <c r="C244" s="331">
        <f t="shared" si="114"/>
        <v>0</v>
      </c>
      <c r="D244" s="331">
        <f t="shared" si="114"/>
        <v>5.824</v>
      </c>
      <c r="E244" s="331">
        <f t="shared" si="114"/>
        <v>0</v>
      </c>
      <c r="F244" s="331">
        <f t="shared" si="114"/>
        <v>0</v>
      </c>
      <c r="G244" s="331">
        <f t="shared" si="114"/>
        <v>0</v>
      </c>
      <c r="H244" s="331">
        <f t="shared" si="114"/>
        <v>0</v>
      </c>
      <c r="I244" s="331">
        <f t="shared" si="114"/>
        <v>0</v>
      </c>
      <c r="J244" s="331">
        <f t="shared" si="114"/>
        <v>263.51</v>
      </c>
      <c r="K244" s="331">
        <f t="shared" si="114"/>
        <v>35.75</v>
      </c>
      <c r="L244" s="331">
        <f t="shared" si="114"/>
        <v>0</v>
      </c>
      <c r="M244" s="331">
        <f t="shared" si="114"/>
        <v>0</v>
      </c>
      <c r="N244" s="331">
        <f t="shared" si="114"/>
        <v>5.616</v>
      </c>
      <c r="O244" s="331">
        <f t="shared" si="114"/>
        <v>5.616</v>
      </c>
      <c r="P244" s="331">
        <f t="shared" si="114"/>
        <v>0</v>
      </c>
      <c r="Q244" s="331">
        <f t="shared" si="114"/>
        <v>7.462</v>
      </c>
      <c r="R244" s="331">
        <f t="shared" si="114"/>
        <v>0</v>
      </c>
      <c r="S244" s="332">
        <f t="shared" si="114"/>
        <v>7.15</v>
      </c>
      <c r="T244" s="332">
        <f t="shared" si="114"/>
        <v>0</v>
      </c>
      <c r="U244" s="332">
        <f t="shared" si="114"/>
        <v>0</v>
      </c>
      <c r="V244" s="332">
        <f t="shared" si="114"/>
        <v>0</v>
      </c>
      <c r="W244" s="332">
        <f t="shared" si="114"/>
        <v>12.922</v>
      </c>
      <c r="X244" s="332">
        <f t="shared" si="114"/>
        <v>0</v>
      </c>
      <c r="Y244" s="332">
        <f t="shared" si="114"/>
        <v>0</v>
      </c>
      <c r="Z244" s="332">
        <f t="shared" si="114"/>
        <v>0</v>
      </c>
      <c r="AA244" s="332">
        <f t="shared" si="114"/>
        <v>5.694</v>
      </c>
      <c r="AB244" s="332">
        <f t="shared" si="114"/>
        <v>0</v>
      </c>
      <c r="AC244" s="332">
        <f t="shared" si="114"/>
        <v>0</v>
      </c>
      <c r="AD244" s="332">
        <f t="shared" si="114"/>
        <v>6.838</v>
      </c>
      <c r="AE244" s="332">
        <f t="shared" si="114"/>
        <v>0</v>
      </c>
      <c r="AF244" s="333">
        <f t="shared" si="114"/>
        <v>12.454</v>
      </c>
      <c r="AG244" s="24"/>
    </row>
    <row r="245">
      <c r="A245" s="328" t="s">
        <v>394</v>
      </c>
      <c r="B245" s="331">
        <f t="shared" ref="B245:AF245" si="115">(B43/B14)*B11</f>
        <v>0.3</v>
      </c>
      <c r="C245" s="331">
        <f t="shared" si="115"/>
        <v>0</v>
      </c>
      <c r="D245" s="331">
        <f t="shared" si="115"/>
        <v>0.3</v>
      </c>
      <c r="E245" s="331">
        <f t="shared" si="115"/>
        <v>0</v>
      </c>
      <c r="F245" s="331">
        <f t="shared" si="115"/>
        <v>0</v>
      </c>
      <c r="G245" s="331">
        <f t="shared" si="115"/>
        <v>0</v>
      </c>
      <c r="H245" s="331">
        <f t="shared" si="115"/>
        <v>0</v>
      </c>
      <c r="I245" s="331">
        <f t="shared" si="115"/>
        <v>0</v>
      </c>
      <c r="J245" s="331">
        <f t="shared" si="115"/>
        <v>10.8</v>
      </c>
      <c r="K245" s="331">
        <f t="shared" si="115"/>
        <v>1.5</v>
      </c>
      <c r="L245" s="331">
        <f t="shared" si="115"/>
        <v>0</v>
      </c>
      <c r="M245" s="331">
        <f t="shared" si="115"/>
        <v>0</v>
      </c>
      <c r="N245" s="331">
        <f t="shared" si="115"/>
        <v>0.3</v>
      </c>
      <c r="O245" s="331">
        <f t="shared" si="115"/>
        <v>0.3</v>
      </c>
      <c r="P245" s="331">
        <f t="shared" si="115"/>
        <v>0</v>
      </c>
      <c r="Q245" s="331">
        <f t="shared" si="115"/>
        <v>0.3</v>
      </c>
      <c r="R245" s="331">
        <f t="shared" si="115"/>
        <v>0</v>
      </c>
      <c r="S245" s="332">
        <f t="shared" si="115"/>
        <v>0.3</v>
      </c>
      <c r="T245" s="332">
        <f t="shared" si="115"/>
        <v>0</v>
      </c>
      <c r="U245" s="332">
        <f t="shared" si="115"/>
        <v>0</v>
      </c>
      <c r="V245" s="332">
        <f t="shared" si="115"/>
        <v>0</v>
      </c>
      <c r="W245" s="332">
        <f t="shared" si="115"/>
        <v>0.6</v>
      </c>
      <c r="X245" s="332">
        <f t="shared" si="115"/>
        <v>0</v>
      </c>
      <c r="Y245" s="332">
        <f t="shared" si="115"/>
        <v>0</v>
      </c>
      <c r="Z245" s="332">
        <f t="shared" si="115"/>
        <v>0</v>
      </c>
      <c r="AA245" s="332">
        <f t="shared" si="115"/>
        <v>0.3</v>
      </c>
      <c r="AB245" s="332">
        <f t="shared" si="115"/>
        <v>0</v>
      </c>
      <c r="AC245" s="332">
        <f t="shared" si="115"/>
        <v>0</v>
      </c>
      <c r="AD245" s="332">
        <f t="shared" si="115"/>
        <v>0.3</v>
      </c>
      <c r="AE245" s="332">
        <f t="shared" si="115"/>
        <v>0</v>
      </c>
      <c r="AF245" s="333">
        <f t="shared" si="115"/>
        <v>0.6</v>
      </c>
      <c r="AG245" s="24"/>
    </row>
    <row r="246">
      <c r="A246" s="328" t="s">
        <v>555</v>
      </c>
      <c r="B246" s="331">
        <f t="shared" ref="B246:AF246" si="116">85*B11</f>
        <v>85</v>
      </c>
      <c r="C246" s="331">
        <f t="shared" si="116"/>
        <v>0</v>
      </c>
      <c r="D246" s="331">
        <f t="shared" si="116"/>
        <v>85</v>
      </c>
      <c r="E246" s="331">
        <f t="shared" si="116"/>
        <v>0</v>
      </c>
      <c r="F246" s="331">
        <f t="shared" si="116"/>
        <v>0</v>
      </c>
      <c r="G246" s="331">
        <f t="shared" si="116"/>
        <v>0</v>
      </c>
      <c r="H246" s="331">
        <f t="shared" si="116"/>
        <v>0</v>
      </c>
      <c r="I246" s="331">
        <f t="shared" si="116"/>
        <v>0</v>
      </c>
      <c r="J246" s="331">
        <f t="shared" si="116"/>
        <v>3060</v>
      </c>
      <c r="K246" s="331">
        <f t="shared" si="116"/>
        <v>425</v>
      </c>
      <c r="L246" s="331">
        <f t="shared" si="116"/>
        <v>0</v>
      </c>
      <c r="M246" s="331">
        <f t="shared" si="116"/>
        <v>0</v>
      </c>
      <c r="N246" s="331">
        <f t="shared" si="116"/>
        <v>85</v>
      </c>
      <c r="O246" s="331">
        <f t="shared" si="116"/>
        <v>85</v>
      </c>
      <c r="P246" s="331">
        <f t="shared" si="116"/>
        <v>0</v>
      </c>
      <c r="Q246" s="331">
        <f t="shared" si="116"/>
        <v>85</v>
      </c>
      <c r="R246" s="331">
        <f t="shared" si="116"/>
        <v>0</v>
      </c>
      <c r="S246" s="331">
        <f t="shared" si="116"/>
        <v>85</v>
      </c>
      <c r="T246" s="331">
        <f t="shared" si="116"/>
        <v>0</v>
      </c>
      <c r="U246" s="331">
        <f t="shared" si="116"/>
        <v>0</v>
      </c>
      <c r="V246" s="331">
        <f t="shared" si="116"/>
        <v>0</v>
      </c>
      <c r="W246" s="331">
        <f t="shared" si="116"/>
        <v>170</v>
      </c>
      <c r="X246" s="331">
        <f t="shared" si="116"/>
        <v>0</v>
      </c>
      <c r="Y246" s="331">
        <f t="shared" si="116"/>
        <v>0</v>
      </c>
      <c r="Z246" s="331">
        <f t="shared" si="116"/>
        <v>0</v>
      </c>
      <c r="AA246" s="331">
        <f t="shared" si="116"/>
        <v>85</v>
      </c>
      <c r="AB246" s="331">
        <f t="shared" si="116"/>
        <v>0</v>
      </c>
      <c r="AC246" s="331">
        <f t="shared" si="116"/>
        <v>0</v>
      </c>
      <c r="AD246" s="331">
        <f t="shared" si="116"/>
        <v>85</v>
      </c>
      <c r="AE246" s="331">
        <f t="shared" si="116"/>
        <v>0</v>
      </c>
      <c r="AF246" s="334">
        <f t="shared" si="116"/>
        <v>170</v>
      </c>
      <c r="AG246" s="24"/>
    </row>
    <row r="247">
      <c r="A247" s="328" t="s">
        <v>399</v>
      </c>
      <c r="B247" s="331">
        <f t="shared" ref="B247:AF247" si="117">10*B11</f>
        <v>10</v>
      </c>
      <c r="C247" s="331">
        <f t="shared" si="117"/>
        <v>0</v>
      </c>
      <c r="D247" s="331">
        <f t="shared" si="117"/>
        <v>10</v>
      </c>
      <c r="E247" s="331">
        <f t="shared" si="117"/>
        <v>0</v>
      </c>
      <c r="F247" s="331">
        <f t="shared" si="117"/>
        <v>0</v>
      </c>
      <c r="G247" s="331">
        <f t="shared" si="117"/>
        <v>0</v>
      </c>
      <c r="H247" s="331">
        <f t="shared" si="117"/>
        <v>0</v>
      </c>
      <c r="I247" s="331">
        <f t="shared" si="117"/>
        <v>0</v>
      </c>
      <c r="J247" s="331">
        <f t="shared" si="117"/>
        <v>360</v>
      </c>
      <c r="K247" s="331">
        <f t="shared" si="117"/>
        <v>50</v>
      </c>
      <c r="L247" s="331">
        <f t="shared" si="117"/>
        <v>0</v>
      </c>
      <c r="M247" s="331">
        <f t="shared" si="117"/>
        <v>0</v>
      </c>
      <c r="N247" s="331">
        <f t="shared" si="117"/>
        <v>10</v>
      </c>
      <c r="O247" s="331">
        <f t="shared" si="117"/>
        <v>10</v>
      </c>
      <c r="P247" s="331">
        <f t="shared" si="117"/>
        <v>0</v>
      </c>
      <c r="Q247" s="331">
        <f t="shared" si="117"/>
        <v>10</v>
      </c>
      <c r="R247" s="331">
        <f t="shared" si="117"/>
        <v>0</v>
      </c>
      <c r="S247" s="331">
        <f t="shared" si="117"/>
        <v>10</v>
      </c>
      <c r="T247" s="331">
        <f t="shared" si="117"/>
        <v>0</v>
      </c>
      <c r="U247" s="331">
        <f t="shared" si="117"/>
        <v>0</v>
      </c>
      <c r="V247" s="331">
        <f t="shared" si="117"/>
        <v>0</v>
      </c>
      <c r="W247" s="331">
        <f t="shared" si="117"/>
        <v>20</v>
      </c>
      <c r="X247" s="331">
        <f t="shared" si="117"/>
        <v>0</v>
      </c>
      <c r="Y247" s="331">
        <f t="shared" si="117"/>
        <v>0</v>
      </c>
      <c r="Z247" s="331">
        <f t="shared" si="117"/>
        <v>0</v>
      </c>
      <c r="AA247" s="331">
        <f t="shared" si="117"/>
        <v>10</v>
      </c>
      <c r="AB247" s="331">
        <f t="shared" si="117"/>
        <v>0</v>
      </c>
      <c r="AC247" s="331">
        <f t="shared" si="117"/>
        <v>0</v>
      </c>
      <c r="AD247" s="331">
        <f t="shared" si="117"/>
        <v>10</v>
      </c>
      <c r="AE247" s="331">
        <f t="shared" si="117"/>
        <v>0</v>
      </c>
      <c r="AF247" s="334">
        <f t="shared" si="117"/>
        <v>20</v>
      </c>
      <c r="AG247" s="24"/>
    </row>
    <row r="248">
      <c r="A248" s="27"/>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41"/>
      <c r="AG248" s="24"/>
    </row>
    <row r="249">
      <c r="A249" s="27" t="s">
        <v>563</v>
      </c>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41"/>
      <c r="AG249" s="24"/>
    </row>
    <row r="250">
      <c r="A250" s="328" t="s">
        <v>542</v>
      </c>
      <c r="B250" s="329"/>
      <c r="C250" s="329"/>
      <c r="D250" s="329"/>
      <c r="E250" s="329"/>
      <c r="F250" s="329"/>
      <c r="G250" s="329"/>
      <c r="H250" s="329"/>
      <c r="I250" s="329"/>
      <c r="J250" s="329"/>
      <c r="K250" s="329"/>
      <c r="L250" s="329"/>
      <c r="M250" s="329"/>
      <c r="N250" s="329"/>
      <c r="O250" s="329"/>
      <c r="P250" s="329"/>
      <c r="Q250" s="329"/>
      <c r="R250" s="329"/>
      <c r="S250" s="329"/>
      <c r="T250" s="329"/>
      <c r="U250" s="329"/>
      <c r="V250" s="329"/>
      <c r="W250" s="329"/>
      <c r="X250" s="329"/>
      <c r="Y250" s="329"/>
      <c r="Z250" s="329"/>
      <c r="AA250" s="329"/>
      <c r="AB250" s="329"/>
      <c r="AC250" s="329"/>
      <c r="AD250" s="329"/>
      <c r="AE250" s="329"/>
      <c r="AF250" s="330"/>
      <c r="AG250" s="24"/>
    </row>
    <row r="251">
      <c r="A251" s="328" t="s">
        <v>389</v>
      </c>
      <c r="B251" s="331">
        <f t="shared" ref="B251:AF251" si="118">(B42/B26)*B24</f>
        <v>0</v>
      </c>
      <c r="C251" s="331">
        <f t="shared" si="118"/>
        <v>0</v>
      </c>
      <c r="D251" s="331">
        <f t="shared" si="118"/>
        <v>0</v>
      </c>
      <c r="E251" s="331">
        <f t="shared" si="118"/>
        <v>0</v>
      </c>
      <c r="F251" s="331">
        <f t="shared" si="118"/>
        <v>0</v>
      </c>
      <c r="G251" s="331">
        <f t="shared" si="118"/>
        <v>0</v>
      </c>
      <c r="H251" s="331">
        <f t="shared" si="118"/>
        <v>0</v>
      </c>
      <c r="I251" s="331">
        <f t="shared" si="118"/>
        <v>0</v>
      </c>
      <c r="J251" s="331">
        <f t="shared" si="118"/>
        <v>0</v>
      </c>
      <c r="K251" s="331">
        <f t="shared" si="118"/>
        <v>0</v>
      </c>
      <c r="L251" s="331">
        <f t="shared" si="118"/>
        <v>0</v>
      </c>
      <c r="M251" s="331">
        <f t="shared" si="118"/>
        <v>0</v>
      </c>
      <c r="N251" s="331">
        <f t="shared" si="118"/>
        <v>0</v>
      </c>
      <c r="O251" s="331">
        <f t="shared" si="118"/>
        <v>0</v>
      </c>
      <c r="P251" s="331">
        <f t="shared" si="118"/>
        <v>0</v>
      </c>
      <c r="Q251" s="331">
        <f t="shared" si="118"/>
        <v>0</v>
      </c>
      <c r="R251" s="331">
        <f t="shared" si="118"/>
        <v>0</v>
      </c>
      <c r="S251" s="332">
        <f t="shared" si="118"/>
        <v>0</v>
      </c>
      <c r="T251" s="332">
        <f t="shared" si="118"/>
        <v>0</v>
      </c>
      <c r="U251" s="332">
        <f t="shared" si="118"/>
        <v>0</v>
      </c>
      <c r="V251" s="332">
        <f t="shared" si="118"/>
        <v>0</v>
      </c>
      <c r="W251" s="332">
        <f t="shared" si="118"/>
        <v>0</v>
      </c>
      <c r="X251" s="332">
        <f t="shared" si="118"/>
        <v>0</v>
      </c>
      <c r="Y251" s="332">
        <f t="shared" si="118"/>
        <v>0</v>
      </c>
      <c r="Z251" s="332">
        <f t="shared" si="118"/>
        <v>0</v>
      </c>
      <c r="AA251" s="332">
        <f t="shared" si="118"/>
        <v>0</v>
      </c>
      <c r="AB251" s="332">
        <f t="shared" si="118"/>
        <v>0</v>
      </c>
      <c r="AC251" s="332">
        <f t="shared" si="118"/>
        <v>0</v>
      </c>
      <c r="AD251" s="332">
        <f t="shared" si="118"/>
        <v>0</v>
      </c>
      <c r="AE251" s="332">
        <f t="shared" si="118"/>
        <v>0</v>
      </c>
      <c r="AF251" s="333">
        <f t="shared" si="118"/>
        <v>0</v>
      </c>
      <c r="AG251" s="24"/>
    </row>
    <row r="252">
      <c r="A252" s="328" t="s">
        <v>394</v>
      </c>
      <c r="B252" s="331">
        <f t="shared" ref="B252:AF252" si="119">(B43/B14)*B12</f>
        <v>0</v>
      </c>
      <c r="C252" s="331">
        <f t="shared" si="119"/>
        <v>0</v>
      </c>
      <c r="D252" s="331">
        <f t="shared" si="119"/>
        <v>0</v>
      </c>
      <c r="E252" s="331">
        <f t="shared" si="119"/>
        <v>0</v>
      </c>
      <c r="F252" s="331">
        <f t="shared" si="119"/>
        <v>0</v>
      </c>
      <c r="G252" s="331">
        <f t="shared" si="119"/>
        <v>0</v>
      </c>
      <c r="H252" s="331">
        <f t="shared" si="119"/>
        <v>0</v>
      </c>
      <c r="I252" s="331">
        <f t="shared" si="119"/>
        <v>0</v>
      </c>
      <c r="J252" s="331">
        <f t="shared" si="119"/>
        <v>0</v>
      </c>
      <c r="K252" s="331">
        <f t="shared" si="119"/>
        <v>0</v>
      </c>
      <c r="L252" s="331">
        <f t="shared" si="119"/>
        <v>0</v>
      </c>
      <c r="M252" s="331">
        <f t="shared" si="119"/>
        <v>0</v>
      </c>
      <c r="N252" s="331">
        <f t="shared" si="119"/>
        <v>0</v>
      </c>
      <c r="O252" s="331">
        <f t="shared" si="119"/>
        <v>0</v>
      </c>
      <c r="P252" s="331">
        <f t="shared" si="119"/>
        <v>0</v>
      </c>
      <c r="Q252" s="331">
        <f t="shared" si="119"/>
        <v>0</v>
      </c>
      <c r="R252" s="331">
        <f t="shared" si="119"/>
        <v>0</v>
      </c>
      <c r="S252" s="332">
        <f t="shared" si="119"/>
        <v>0</v>
      </c>
      <c r="T252" s="332">
        <f t="shared" si="119"/>
        <v>0</v>
      </c>
      <c r="U252" s="332">
        <f t="shared" si="119"/>
        <v>0</v>
      </c>
      <c r="V252" s="332">
        <f t="shared" si="119"/>
        <v>0</v>
      </c>
      <c r="W252" s="332">
        <f t="shared" si="119"/>
        <v>0</v>
      </c>
      <c r="X252" s="332">
        <f t="shared" si="119"/>
        <v>0</v>
      </c>
      <c r="Y252" s="332">
        <f t="shared" si="119"/>
        <v>0</v>
      </c>
      <c r="Z252" s="332">
        <f t="shared" si="119"/>
        <v>0</v>
      </c>
      <c r="AA252" s="332">
        <f t="shared" si="119"/>
        <v>0</v>
      </c>
      <c r="AB252" s="332">
        <f t="shared" si="119"/>
        <v>0</v>
      </c>
      <c r="AC252" s="332">
        <f t="shared" si="119"/>
        <v>0</v>
      </c>
      <c r="AD252" s="332">
        <f t="shared" si="119"/>
        <v>0</v>
      </c>
      <c r="AE252" s="332">
        <f t="shared" si="119"/>
        <v>0</v>
      </c>
      <c r="AF252" s="333">
        <f t="shared" si="119"/>
        <v>0</v>
      </c>
      <c r="AG252" s="24"/>
    </row>
    <row r="253">
      <c r="A253" s="328" t="s">
        <v>555</v>
      </c>
      <c r="B253" s="331">
        <f t="shared" ref="B253:AF253" si="120">85*B12</f>
        <v>0</v>
      </c>
      <c r="C253" s="331">
        <f t="shared" si="120"/>
        <v>0</v>
      </c>
      <c r="D253" s="331">
        <f t="shared" si="120"/>
        <v>0</v>
      </c>
      <c r="E253" s="331">
        <f t="shared" si="120"/>
        <v>0</v>
      </c>
      <c r="F253" s="331">
        <f t="shared" si="120"/>
        <v>0</v>
      </c>
      <c r="G253" s="331">
        <f t="shared" si="120"/>
        <v>0</v>
      </c>
      <c r="H253" s="331">
        <f t="shared" si="120"/>
        <v>0</v>
      </c>
      <c r="I253" s="331">
        <f t="shared" si="120"/>
        <v>0</v>
      </c>
      <c r="J253" s="331">
        <f t="shared" si="120"/>
        <v>0</v>
      </c>
      <c r="K253" s="331">
        <f t="shared" si="120"/>
        <v>0</v>
      </c>
      <c r="L253" s="331">
        <f t="shared" si="120"/>
        <v>0</v>
      </c>
      <c r="M253" s="331">
        <f t="shared" si="120"/>
        <v>0</v>
      </c>
      <c r="N253" s="331">
        <f t="shared" si="120"/>
        <v>0</v>
      </c>
      <c r="O253" s="331">
        <f t="shared" si="120"/>
        <v>0</v>
      </c>
      <c r="P253" s="331">
        <f t="shared" si="120"/>
        <v>0</v>
      </c>
      <c r="Q253" s="331">
        <f t="shared" si="120"/>
        <v>0</v>
      </c>
      <c r="R253" s="331">
        <f t="shared" si="120"/>
        <v>0</v>
      </c>
      <c r="S253" s="331">
        <f t="shared" si="120"/>
        <v>0</v>
      </c>
      <c r="T253" s="331">
        <f t="shared" si="120"/>
        <v>0</v>
      </c>
      <c r="U253" s="331">
        <f t="shared" si="120"/>
        <v>0</v>
      </c>
      <c r="V253" s="331">
        <f t="shared" si="120"/>
        <v>0</v>
      </c>
      <c r="W253" s="331">
        <f t="shared" si="120"/>
        <v>0</v>
      </c>
      <c r="X253" s="331">
        <f t="shared" si="120"/>
        <v>0</v>
      </c>
      <c r="Y253" s="331">
        <f t="shared" si="120"/>
        <v>0</v>
      </c>
      <c r="Z253" s="331">
        <f t="shared" si="120"/>
        <v>0</v>
      </c>
      <c r="AA253" s="331">
        <f t="shared" si="120"/>
        <v>0</v>
      </c>
      <c r="AB253" s="331">
        <f t="shared" si="120"/>
        <v>0</v>
      </c>
      <c r="AC253" s="331">
        <f t="shared" si="120"/>
        <v>0</v>
      </c>
      <c r="AD253" s="331">
        <f t="shared" si="120"/>
        <v>0</v>
      </c>
      <c r="AE253" s="331">
        <f t="shared" si="120"/>
        <v>0</v>
      </c>
      <c r="AF253" s="334">
        <f t="shared" si="120"/>
        <v>0</v>
      </c>
      <c r="AG253" s="24"/>
    </row>
    <row r="254">
      <c r="A254" s="328" t="s">
        <v>399</v>
      </c>
      <c r="B254" s="331">
        <f t="shared" ref="B254:AF254" si="121">10*B12</f>
        <v>0</v>
      </c>
      <c r="C254" s="331">
        <f t="shared" si="121"/>
        <v>0</v>
      </c>
      <c r="D254" s="331">
        <f t="shared" si="121"/>
        <v>0</v>
      </c>
      <c r="E254" s="331">
        <f t="shared" si="121"/>
        <v>0</v>
      </c>
      <c r="F254" s="331">
        <f t="shared" si="121"/>
        <v>0</v>
      </c>
      <c r="G254" s="331">
        <f t="shared" si="121"/>
        <v>0</v>
      </c>
      <c r="H254" s="331">
        <f t="shared" si="121"/>
        <v>0</v>
      </c>
      <c r="I254" s="331">
        <f t="shared" si="121"/>
        <v>0</v>
      </c>
      <c r="J254" s="331">
        <f t="shared" si="121"/>
        <v>0</v>
      </c>
      <c r="K254" s="331">
        <f t="shared" si="121"/>
        <v>0</v>
      </c>
      <c r="L254" s="331">
        <f t="shared" si="121"/>
        <v>0</v>
      </c>
      <c r="M254" s="331">
        <f t="shared" si="121"/>
        <v>0</v>
      </c>
      <c r="N254" s="331">
        <f t="shared" si="121"/>
        <v>0</v>
      </c>
      <c r="O254" s="331">
        <f t="shared" si="121"/>
        <v>0</v>
      </c>
      <c r="P254" s="331">
        <f t="shared" si="121"/>
        <v>0</v>
      </c>
      <c r="Q254" s="331">
        <f t="shared" si="121"/>
        <v>0</v>
      </c>
      <c r="R254" s="331">
        <f t="shared" si="121"/>
        <v>0</v>
      </c>
      <c r="S254" s="331">
        <f t="shared" si="121"/>
        <v>0</v>
      </c>
      <c r="T254" s="331">
        <f t="shared" si="121"/>
        <v>0</v>
      </c>
      <c r="U254" s="331">
        <f t="shared" si="121"/>
        <v>0</v>
      </c>
      <c r="V254" s="331">
        <f t="shared" si="121"/>
        <v>0</v>
      </c>
      <c r="W254" s="331">
        <f t="shared" si="121"/>
        <v>0</v>
      </c>
      <c r="X254" s="331">
        <f t="shared" si="121"/>
        <v>0</v>
      </c>
      <c r="Y254" s="331">
        <f t="shared" si="121"/>
        <v>0</v>
      </c>
      <c r="Z254" s="331">
        <f t="shared" si="121"/>
        <v>0</v>
      </c>
      <c r="AA254" s="331">
        <f t="shared" si="121"/>
        <v>0</v>
      </c>
      <c r="AB254" s="331">
        <f t="shared" si="121"/>
        <v>0</v>
      </c>
      <c r="AC254" s="331">
        <f t="shared" si="121"/>
        <v>0</v>
      </c>
      <c r="AD254" s="331">
        <f t="shared" si="121"/>
        <v>0</v>
      </c>
      <c r="AE254" s="331">
        <f t="shared" si="121"/>
        <v>0</v>
      </c>
      <c r="AF254" s="334">
        <f t="shared" si="121"/>
        <v>0</v>
      </c>
      <c r="AG254" s="24"/>
    </row>
    <row r="255">
      <c r="A255" s="335"/>
      <c r="AF255" s="335"/>
    </row>
    <row r="256">
      <c r="A256" s="335"/>
      <c r="AF256" s="335"/>
    </row>
    <row r="257">
      <c r="A257" s="335"/>
      <c r="AF257" s="335"/>
    </row>
    <row r="258">
      <c r="A258" s="335"/>
      <c r="AF258" s="335"/>
    </row>
    <row r="259">
      <c r="A259" s="335"/>
      <c r="AF259" s="335"/>
    </row>
    <row r="260">
      <c r="A260" s="335"/>
      <c r="AF260" s="335"/>
    </row>
    <row r="261">
      <c r="A261" s="335"/>
      <c r="AF261" s="335"/>
    </row>
    <row r="262">
      <c r="A262" s="335"/>
      <c r="AF262" s="335"/>
    </row>
    <row r="263">
      <c r="A263" s="335"/>
      <c r="AF263" s="335"/>
    </row>
    <row r="264">
      <c r="A264" s="335"/>
      <c r="AF264" s="335"/>
    </row>
    <row r="265">
      <c r="A265" s="335"/>
      <c r="AF265" s="335"/>
    </row>
    <row r="266">
      <c r="A266" s="335"/>
      <c r="AF266" s="335"/>
    </row>
    <row r="267">
      <c r="A267" s="335"/>
      <c r="AF267" s="335"/>
    </row>
    <row r="268">
      <c r="A268" s="335"/>
      <c r="AF268" s="335"/>
    </row>
    <row r="269">
      <c r="A269" s="335"/>
      <c r="AF269" s="335"/>
    </row>
    <row r="270">
      <c r="A270" s="335"/>
      <c r="AF270" s="335"/>
    </row>
    <row r="271">
      <c r="A271" s="335"/>
      <c r="AF271" s="335"/>
    </row>
    <row r="272">
      <c r="A272" s="335"/>
      <c r="AF272" s="335"/>
    </row>
    <row r="273">
      <c r="A273" s="335"/>
      <c r="AF273" s="335"/>
    </row>
    <row r="274">
      <c r="A274" s="335"/>
      <c r="AF274" s="335"/>
    </row>
    <row r="275">
      <c r="A275" s="335"/>
      <c r="AF275" s="335"/>
    </row>
    <row r="276">
      <c r="A276" s="335"/>
      <c r="AF276" s="335"/>
    </row>
    <row r="277">
      <c r="A277" s="335"/>
      <c r="AF277" s="335"/>
    </row>
    <row r="278">
      <c r="A278" s="335"/>
      <c r="AF278" s="335"/>
    </row>
    <row r="279">
      <c r="A279" s="335"/>
      <c r="AF279" s="335"/>
    </row>
    <row r="280">
      <c r="A280" s="335"/>
      <c r="AF280" s="335"/>
    </row>
    <row r="281">
      <c r="A281" s="335"/>
      <c r="AF281" s="335"/>
    </row>
    <row r="282">
      <c r="A282" s="335"/>
      <c r="AF282" s="335"/>
    </row>
    <row r="283">
      <c r="A283" s="335"/>
      <c r="AF283" s="335"/>
    </row>
    <row r="284">
      <c r="A284" s="335"/>
      <c r="AF284" s="335"/>
    </row>
    <row r="285">
      <c r="A285" s="335"/>
      <c r="AF285" s="335"/>
    </row>
    <row r="286">
      <c r="A286" s="335"/>
      <c r="AF286" s="335"/>
    </row>
    <row r="287">
      <c r="A287" s="335"/>
      <c r="AF287" s="335"/>
    </row>
    <row r="288">
      <c r="A288" s="335"/>
      <c r="AF288" s="335"/>
    </row>
    <row r="289">
      <c r="A289" s="335"/>
      <c r="AF289" s="335"/>
    </row>
    <row r="290">
      <c r="A290" s="335"/>
      <c r="AF290" s="335"/>
    </row>
    <row r="291">
      <c r="A291" s="335"/>
      <c r="AF291" s="335"/>
    </row>
    <row r="292">
      <c r="A292" s="335"/>
      <c r="AF292" s="335"/>
    </row>
    <row r="293">
      <c r="A293" s="335"/>
      <c r="AF293" s="335"/>
    </row>
    <row r="294">
      <c r="A294" s="335"/>
      <c r="AF294" s="335"/>
    </row>
    <row r="295">
      <c r="A295" s="335"/>
      <c r="AF295" s="335"/>
    </row>
    <row r="296">
      <c r="A296" s="335"/>
      <c r="AF296" s="335"/>
    </row>
    <row r="297">
      <c r="A297" s="335"/>
      <c r="AF297" s="335"/>
    </row>
    <row r="298">
      <c r="A298" s="335"/>
      <c r="AF298" s="335"/>
    </row>
    <row r="299">
      <c r="A299" s="335"/>
      <c r="AF299" s="335"/>
    </row>
    <row r="300">
      <c r="A300" s="335"/>
      <c r="AF300" s="335"/>
    </row>
    <row r="301">
      <c r="A301" s="335"/>
      <c r="AF301" s="335"/>
    </row>
    <row r="302">
      <c r="A302" s="335"/>
      <c r="AF302" s="335"/>
    </row>
    <row r="303">
      <c r="A303" s="335"/>
      <c r="AF303" s="335"/>
    </row>
    <row r="304">
      <c r="A304" s="335"/>
      <c r="AF304" s="335"/>
    </row>
    <row r="305">
      <c r="A305" s="335"/>
      <c r="AF305" s="335"/>
    </row>
    <row r="306">
      <c r="A306" s="335"/>
      <c r="AF306" s="335"/>
    </row>
    <row r="307">
      <c r="A307" s="335"/>
      <c r="AF307" s="335"/>
    </row>
    <row r="308">
      <c r="A308" s="335"/>
      <c r="AF308" s="335"/>
    </row>
    <row r="309">
      <c r="A309" s="335"/>
      <c r="AF309" s="335"/>
    </row>
    <row r="310">
      <c r="A310" s="335"/>
      <c r="AF310" s="335"/>
    </row>
    <row r="311">
      <c r="A311" s="335"/>
      <c r="AF311" s="335"/>
    </row>
    <row r="312">
      <c r="A312" s="335"/>
      <c r="AF312" s="335"/>
    </row>
    <row r="313">
      <c r="A313" s="335"/>
      <c r="AF313" s="335"/>
    </row>
    <row r="314">
      <c r="A314" s="335"/>
      <c r="AF314" s="335"/>
    </row>
    <row r="315">
      <c r="A315" s="335"/>
      <c r="AF315" s="335"/>
    </row>
    <row r="316">
      <c r="A316" s="335"/>
      <c r="AF316" s="335"/>
    </row>
    <row r="317">
      <c r="A317" s="335"/>
      <c r="AF317" s="335"/>
    </row>
    <row r="318">
      <c r="A318" s="335"/>
      <c r="AF318" s="335"/>
    </row>
    <row r="319">
      <c r="A319" s="335"/>
      <c r="AF319" s="335"/>
    </row>
    <row r="320">
      <c r="A320" s="335"/>
      <c r="AF320" s="335"/>
    </row>
    <row r="321">
      <c r="A321" s="335"/>
      <c r="AF321" s="335"/>
    </row>
    <row r="322">
      <c r="A322" s="335"/>
      <c r="AF322" s="335"/>
    </row>
    <row r="323">
      <c r="A323" s="335"/>
      <c r="AF323" s="335"/>
    </row>
    <row r="324">
      <c r="A324" s="335"/>
      <c r="AF324" s="335"/>
    </row>
    <row r="325">
      <c r="A325" s="335"/>
      <c r="AF325" s="335"/>
    </row>
    <row r="326">
      <c r="A326" s="335"/>
      <c r="AF326" s="335"/>
    </row>
    <row r="327">
      <c r="A327" s="335"/>
      <c r="AF327" s="335"/>
    </row>
    <row r="328">
      <c r="A328" s="335"/>
      <c r="AF328" s="335"/>
    </row>
    <row r="329">
      <c r="A329" s="335"/>
      <c r="AF329" s="335"/>
    </row>
    <row r="330">
      <c r="A330" s="335"/>
      <c r="AF330" s="335"/>
    </row>
    <row r="331">
      <c r="A331" s="335"/>
      <c r="AF331" s="335"/>
    </row>
    <row r="332">
      <c r="A332" s="335"/>
      <c r="AF332" s="335"/>
    </row>
    <row r="333">
      <c r="A333" s="335"/>
      <c r="AF333" s="335"/>
    </row>
    <row r="334">
      <c r="A334" s="335"/>
      <c r="AF334" s="335"/>
    </row>
    <row r="335">
      <c r="A335" s="335"/>
      <c r="AF335" s="335"/>
    </row>
    <row r="336">
      <c r="A336" s="335"/>
      <c r="AF336" s="335"/>
    </row>
    <row r="337">
      <c r="A337" s="335"/>
      <c r="AF337" s="335"/>
    </row>
    <row r="338">
      <c r="A338" s="335"/>
      <c r="AF338" s="335"/>
    </row>
    <row r="339">
      <c r="A339" s="335"/>
      <c r="AF339" s="335"/>
    </row>
    <row r="340">
      <c r="A340" s="335"/>
      <c r="AF340" s="335"/>
    </row>
    <row r="341">
      <c r="A341" s="335"/>
      <c r="AF341" s="335"/>
    </row>
    <row r="342">
      <c r="A342" s="335"/>
      <c r="AF342" s="335"/>
    </row>
    <row r="343">
      <c r="A343" s="335"/>
      <c r="AF343" s="335"/>
    </row>
    <row r="344">
      <c r="A344" s="335"/>
      <c r="AF344" s="335"/>
    </row>
    <row r="345">
      <c r="A345" s="335"/>
      <c r="AF345" s="335"/>
    </row>
    <row r="346">
      <c r="A346" s="335"/>
      <c r="AF346" s="335"/>
    </row>
    <row r="347">
      <c r="A347" s="335"/>
      <c r="AF347" s="335"/>
    </row>
    <row r="348">
      <c r="A348" s="335"/>
      <c r="AF348" s="335"/>
    </row>
    <row r="349">
      <c r="A349" s="335"/>
      <c r="AF349" s="335"/>
    </row>
    <row r="350">
      <c r="A350" s="335"/>
      <c r="AF350" s="335"/>
    </row>
    <row r="351">
      <c r="A351" s="335"/>
      <c r="AF351" s="335"/>
    </row>
    <row r="352">
      <c r="A352" s="335"/>
      <c r="AF352" s="335"/>
    </row>
    <row r="353">
      <c r="A353" s="335"/>
      <c r="AF353" s="335"/>
    </row>
    <row r="354">
      <c r="A354" s="335"/>
      <c r="AF354" s="335"/>
    </row>
    <row r="355">
      <c r="A355" s="335"/>
      <c r="AF355" s="335"/>
    </row>
    <row r="356">
      <c r="A356" s="335"/>
      <c r="AF356" s="335"/>
    </row>
    <row r="357">
      <c r="A357" s="335"/>
      <c r="AF357" s="335"/>
    </row>
    <row r="358">
      <c r="A358" s="335"/>
      <c r="AF358" s="335"/>
    </row>
    <row r="359">
      <c r="A359" s="335"/>
      <c r="AF359" s="335"/>
    </row>
    <row r="360">
      <c r="A360" s="335"/>
      <c r="AF360" s="335"/>
    </row>
    <row r="361">
      <c r="A361" s="335"/>
      <c r="AF361" s="335"/>
    </row>
    <row r="362">
      <c r="A362" s="335"/>
      <c r="AF362" s="335"/>
    </row>
    <row r="363">
      <c r="A363" s="335"/>
      <c r="AF363" s="335"/>
    </row>
    <row r="364">
      <c r="A364" s="335"/>
      <c r="AF364" s="335"/>
    </row>
    <row r="365">
      <c r="A365" s="335"/>
      <c r="AF365" s="335"/>
    </row>
    <row r="366">
      <c r="A366" s="335"/>
      <c r="AF366" s="335"/>
    </row>
    <row r="367">
      <c r="A367" s="335"/>
      <c r="AF367" s="335"/>
    </row>
    <row r="368">
      <c r="A368" s="335"/>
      <c r="AF368" s="335"/>
    </row>
    <row r="369">
      <c r="A369" s="335"/>
      <c r="AF369" s="335"/>
    </row>
    <row r="370">
      <c r="A370" s="335"/>
      <c r="AF370" s="335"/>
    </row>
    <row r="371">
      <c r="A371" s="335"/>
      <c r="AF371" s="335"/>
    </row>
    <row r="372">
      <c r="A372" s="335"/>
      <c r="AF372" s="335"/>
    </row>
    <row r="373">
      <c r="A373" s="335"/>
      <c r="AF373" s="335"/>
    </row>
    <row r="374">
      <c r="A374" s="335"/>
      <c r="AF374" s="335"/>
    </row>
    <row r="375">
      <c r="A375" s="335"/>
      <c r="AF375" s="335"/>
    </row>
    <row r="376">
      <c r="A376" s="335"/>
      <c r="AF376" s="335"/>
    </row>
    <row r="377">
      <c r="A377" s="335"/>
      <c r="AF377" s="335"/>
    </row>
    <row r="378">
      <c r="A378" s="335"/>
      <c r="AF378" s="335"/>
    </row>
    <row r="379">
      <c r="A379" s="335"/>
      <c r="AF379" s="335"/>
    </row>
    <row r="380">
      <c r="A380" s="335"/>
      <c r="AF380" s="335"/>
    </row>
    <row r="381">
      <c r="A381" s="335"/>
      <c r="AF381" s="335"/>
    </row>
    <row r="382">
      <c r="A382" s="335"/>
      <c r="AF382" s="335"/>
    </row>
    <row r="383">
      <c r="A383" s="335"/>
      <c r="AF383" s="335"/>
    </row>
    <row r="384">
      <c r="A384" s="335"/>
      <c r="AF384" s="335"/>
    </row>
    <row r="385">
      <c r="A385" s="335"/>
      <c r="AF385" s="335"/>
    </row>
    <row r="386">
      <c r="A386" s="335"/>
      <c r="AF386" s="335"/>
    </row>
    <row r="387">
      <c r="A387" s="335"/>
      <c r="AF387" s="335"/>
    </row>
    <row r="388">
      <c r="A388" s="335"/>
      <c r="AF388" s="335"/>
    </row>
    <row r="389">
      <c r="A389" s="335"/>
      <c r="AF389" s="335"/>
    </row>
    <row r="390">
      <c r="A390" s="335"/>
      <c r="AF390" s="335"/>
    </row>
    <row r="391">
      <c r="A391" s="335"/>
      <c r="AF391" s="335"/>
    </row>
    <row r="392">
      <c r="A392" s="335"/>
      <c r="AF392" s="335"/>
    </row>
    <row r="393">
      <c r="A393" s="335"/>
      <c r="AF393" s="335"/>
    </row>
    <row r="394">
      <c r="A394" s="335"/>
      <c r="AF394" s="335"/>
    </row>
    <row r="395">
      <c r="A395" s="335"/>
      <c r="AF395" s="335"/>
    </row>
    <row r="396">
      <c r="A396" s="335"/>
      <c r="AF396" s="335"/>
    </row>
    <row r="397">
      <c r="A397" s="335"/>
      <c r="AF397" s="335"/>
    </row>
    <row r="398">
      <c r="A398" s="335"/>
      <c r="AF398" s="335"/>
    </row>
    <row r="399">
      <c r="A399" s="335"/>
      <c r="AF399" s="335"/>
    </row>
    <row r="400">
      <c r="A400" s="335"/>
      <c r="AF400" s="335"/>
    </row>
    <row r="401">
      <c r="A401" s="335"/>
      <c r="AF401" s="335"/>
    </row>
    <row r="402">
      <c r="A402" s="335"/>
      <c r="AF402" s="335"/>
    </row>
    <row r="403">
      <c r="A403" s="335"/>
      <c r="AF403" s="335"/>
    </row>
    <row r="404">
      <c r="A404" s="335"/>
      <c r="AF404" s="335"/>
    </row>
    <row r="405">
      <c r="A405" s="335"/>
      <c r="AF405" s="335"/>
    </row>
    <row r="406">
      <c r="A406" s="335"/>
      <c r="AF406" s="335"/>
    </row>
    <row r="407">
      <c r="A407" s="335"/>
      <c r="AF407" s="335"/>
    </row>
    <row r="408">
      <c r="A408" s="335"/>
      <c r="AF408" s="335"/>
    </row>
    <row r="409">
      <c r="A409" s="335"/>
      <c r="AF409" s="335"/>
    </row>
    <row r="410">
      <c r="A410" s="335"/>
      <c r="AF410" s="335"/>
    </row>
    <row r="411">
      <c r="A411" s="335"/>
      <c r="AF411" s="335"/>
    </row>
    <row r="412">
      <c r="A412" s="335"/>
      <c r="AF412" s="335"/>
    </row>
    <row r="413">
      <c r="A413" s="335"/>
      <c r="AF413" s="335"/>
    </row>
    <row r="414">
      <c r="A414" s="335"/>
      <c r="AF414" s="335"/>
    </row>
    <row r="415">
      <c r="A415" s="335"/>
      <c r="AF415" s="335"/>
    </row>
    <row r="416">
      <c r="A416" s="335"/>
      <c r="AF416" s="335"/>
    </row>
    <row r="417">
      <c r="A417" s="335"/>
      <c r="AF417" s="335"/>
    </row>
    <row r="418">
      <c r="A418" s="335"/>
      <c r="AF418" s="335"/>
    </row>
    <row r="419">
      <c r="A419" s="335"/>
      <c r="AF419" s="335"/>
    </row>
    <row r="420">
      <c r="A420" s="335"/>
      <c r="AF420" s="335"/>
    </row>
    <row r="421">
      <c r="A421" s="335"/>
      <c r="AF421" s="335"/>
    </row>
    <row r="422">
      <c r="A422" s="335"/>
      <c r="AF422" s="335"/>
    </row>
    <row r="423">
      <c r="A423" s="335"/>
      <c r="AF423" s="335"/>
    </row>
    <row r="424">
      <c r="A424" s="335"/>
      <c r="AF424" s="335"/>
    </row>
    <row r="425">
      <c r="A425" s="335"/>
      <c r="AF425" s="335"/>
    </row>
    <row r="426">
      <c r="A426" s="335"/>
      <c r="AF426" s="335"/>
    </row>
    <row r="427">
      <c r="A427" s="335"/>
      <c r="AF427" s="335"/>
    </row>
    <row r="428">
      <c r="A428" s="335"/>
      <c r="AF428" s="335"/>
    </row>
    <row r="429">
      <c r="A429" s="335"/>
      <c r="AF429" s="335"/>
    </row>
    <row r="430">
      <c r="A430" s="335"/>
      <c r="AF430" s="335"/>
    </row>
    <row r="431">
      <c r="A431" s="335"/>
      <c r="AF431" s="335"/>
    </row>
    <row r="432">
      <c r="A432" s="335"/>
      <c r="AF432" s="335"/>
    </row>
    <row r="433">
      <c r="A433" s="335"/>
      <c r="AF433" s="335"/>
    </row>
    <row r="434">
      <c r="A434" s="335"/>
      <c r="AF434" s="335"/>
    </row>
    <row r="435">
      <c r="A435" s="335"/>
      <c r="AF435" s="335"/>
    </row>
    <row r="436">
      <c r="A436" s="335"/>
      <c r="AF436" s="335"/>
    </row>
    <row r="437">
      <c r="A437" s="335"/>
      <c r="AF437" s="335"/>
    </row>
    <row r="438">
      <c r="A438" s="335"/>
      <c r="AF438" s="335"/>
    </row>
    <row r="439">
      <c r="A439" s="335"/>
      <c r="AF439" s="335"/>
    </row>
    <row r="440">
      <c r="A440" s="335"/>
      <c r="AF440" s="335"/>
    </row>
    <row r="441">
      <c r="A441" s="335"/>
      <c r="AF441" s="335"/>
    </row>
    <row r="442">
      <c r="A442" s="335"/>
      <c r="AF442" s="335"/>
    </row>
    <row r="443">
      <c r="A443" s="335"/>
      <c r="AF443" s="335"/>
    </row>
    <row r="444">
      <c r="A444" s="335"/>
      <c r="AF444" s="335"/>
    </row>
    <row r="445">
      <c r="A445" s="335"/>
      <c r="AF445" s="335"/>
    </row>
    <row r="446">
      <c r="A446" s="335"/>
      <c r="AF446" s="335"/>
    </row>
    <row r="447">
      <c r="A447" s="335"/>
      <c r="AF447" s="335"/>
    </row>
    <row r="448">
      <c r="A448" s="335"/>
      <c r="AF448" s="335"/>
    </row>
    <row r="449">
      <c r="A449" s="335"/>
      <c r="AF449" s="335"/>
    </row>
    <row r="450">
      <c r="A450" s="335"/>
      <c r="AF450" s="335"/>
    </row>
    <row r="451">
      <c r="A451" s="335"/>
      <c r="AF451" s="335"/>
    </row>
    <row r="452">
      <c r="A452" s="335"/>
      <c r="AF452" s="335"/>
    </row>
    <row r="453">
      <c r="A453" s="335"/>
      <c r="AF453" s="335"/>
    </row>
    <row r="454">
      <c r="A454" s="335"/>
      <c r="AF454" s="335"/>
    </row>
    <row r="455">
      <c r="A455" s="335"/>
      <c r="AF455" s="335"/>
    </row>
    <row r="456">
      <c r="A456" s="335"/>
      <c r="AF456" s="335"/>
    </row>
    <row r="457">
      <c r="A457" s="335"/>
      <c r="AF457" s="335"/>
    </row>
    <row r="458">
      <c r="A458" s="335"/>
      <c r="AF458" s="335"/>
    </row>
    <row r="459">
      <c r="A459" s="335"/>
      <c r="AF459" s="335"/>
    </row>
    <row r="460">
      <c r="A460" s="335"/>
      <c r="AF460" s="335"/>
    </row>
    <row r="461">
      <c r="A461" s="335"/>
      <c r="AF461" s="335"/>
    </row>
    <row r="462">
      <c r="A462" s="335"/>
      <c r="AF462" s="335"/>
    </row>
    <row r="463">
      <c r="A463" s="335"/>
      <c r="AF463" s="335"/>
    </row>
    <row r="464">
      <c r="A464" s="335"/>
      <c r="AF464" s="335"/>
    </row>
    <row r="465">
      <c r="A465" s="335"/>
      <c r="AF465" s="335"/>
    </row>
    <row r="466">
      <c r="A466" s="335"/>
      <c r="AF466" s="335"/>
    </row>
    <row r="467">
      <c r="A467" s="335"/>
      <c r="AF467" s="335"/>
    </row>
    <row r="468">
      <c r="A468" s="335"/>
      <c r="AF468" s="335"/>
    </row>
    <row r="469">
      <c r="A469" s="335"/>
      <c r="AF469" s="335"/>
    </row>
    <row r="470">
      <c r="A470" s="335"/>
      <c r="AF470" s="335"/>
    </row>
    <row r="471">
      <c r="A471" s="335"/>
      <c r="AF471" s="335"/>
    </row>
    <row r="472">
      <c r="A472" s="335"/>
      <c r="AF472" s="335"/>
    </row>
    <row r="473">
      <c r="A473" s="335"/>
      <c r="AF473" s="335"/>
    </row>
    <row r="474">
      <c r="A474" s="335"/>
      <c r="AF474" s="335"/>
    </row>
    <row r="475">
      <c r="A475" s="335"/>
      <c r="AF475" s="335"/>
    </row>
    <row r="476">
      <c r="A476" s="335"/>
      <c r="AF476" s="335"/>
    </row>
    <row r="477">
      <c r="A477" s="335"/>
      <c r="AF477" s="335"/>
    </row>
    <row r="478">
      <c r="A478" s="335"/>
      <c r="AF478" s="335"/>
    </row>
    <row r="479">
      <c r="A479" s="335"/>
      <c r="AF479" s="335"/>
    </row>
    <row r="480">
      <c r="A480" s="335"/>
      <c r="AF480" s="335"/>
    </row>
    <row r="481">
      <c r="A481" s="335"/>
      <c r="AF481" s="335"/>
    </row>
    <row r="482">
      <c r="A482" s="335"/>
      <c r="AF482" s="335"/>
    </row>
    <row r="483">
      <c r="A483" s="335"/>
      <c r="AF483" s="335"/>
    </row>
    <row r="484">
      <c r="A484" s="335"/>
      <c r="AF484" s="335"/>
    </row>
    <row r="485">
      <c r="A485" s="335"/>
      <c r="AF485" s="335"/>
    </row>
    <row r="486">
      <c r="A486" s="335"/>
      <c r="AF486" s="335"/>
    </row>
    <row r="487">
      <c r="A487" s="335"/>
      <c r="AF487" s="335"/>
    </row>
    <row r="488">
      <c r="A488" s="335"/>
      <c r="AF488" s="335"/>
    </row>
    <row r="489">
      <c r="A489" s="335"/>
      <c r="AF489" s="335"/>
    </row>
    <row r="490">
      <c r="A490" s="335"/>
      <c r="AF490" s="335"/>
    </row>
    <row r="491">
      <c r="A491" s="335"/>
      <c r="AF491" s="335"/>
    </row>
    <row r="492">
      <c r="A492" s="335"/>
      <c r="AF492" s="335"/>
    </row>
    <row r="493">
      <c r="A493" s="335"/>
      <c r="AF493" s="335"/>
    </row>
    <row r="494">
      <c r="A494" s="335"/>
      <c r="AF494" s="335"/>
    </row>
    <row r="495">
      <c r="A495" s="335"/>
      <c r="AF495" s="335"/>
    </row>
    <row r="496">
      <c r="A496" s="335"/>
      <c r="AF496" s="335"/>
    </row>
    <row r="497">
      <c r="A497" s="335"/>
      <c r="AF497" s="335"/>
    </row>
    <row r="498">
      <c r="A498" s="335"/>
      <c r="AF498" s="335"/>
    </row>
    <row r="499">
      <c r="A499" s="335"/>
      <c r="AF499" s="335"/>
    </row>
    <row r="500">
      <c r="A500" s="335"/>
      <c r="AF500" s="335"/>
    </row>
    <row r="501">
      <c r="A501" s="335"/>
      <c r="AF501" s="335"/>
    </row>
    <row r="502">
      <c r="A502" s="335"/>
      <c r="AF502" s="335"/>
    </row>
    <row r="503">
      <c r="A503" s="335"/>
      <c r="AF503" s="335"/>
    </row>
    <row r="504">
      <c r="A504" s="335"/>
      <c r="AF504" s="335"/>
    </row>
    <row r="505">
      <c r="A505" s="335"/>
      <c r="AF505" s="335"/>
    </row>
    <row r="506">
      <c r="A506" s="335"/>
      <c r="AF506" s="335"/>
    </row>
    <row r="507">
      <c r="A507" s="335"/>
      <c r="AF507" s="335"/>
    </row>
    <row r="508">
      <c r="A508" s="335"/>
      <c r="AF508" s="335"/>
    </row>
    <row r="509">
      <c r="A509" s="335"/>
      <c r="AF509" s="335"/>
    </row>
    <row r="510">
      <c r="A510" s="335"/>
      <c r="AF510" s="335"/>
    </row>
    <row r="511">
      <c r="A511" s="335"/>
      <c r="AF511" s="335"/>
    </row>
    <row r="512">
      <c r="A512" s="335"/>
      <c r="AF512" s="335"/>
    </row>
    <row r="513">
      <c r="A513" s="335"/>
      <c r="AF513" s="335"/>
    </row>
    <row r="514">
      <c r="A514" s="335"/>
      <c r="AF514" s="335"/>
    </row>
    <row r="515">
      <c r="A515" s="335"/>
      <c r="AF515" s="335"/>
    </row>
    <row r="516">
      <c r="A516" s="335"/>
      <c r="AF516" s="335"/>
    </row>
    <row r="517">
      <c r="A517" s="335"/>
      <c r="AF517" s="335"/>
    </row>
    <row r="518">
      <c r="A518" s="335"/>
      <c r="AF518" s="335"/>
    </row>
    <row r="519">
      <c r="A519" s="335"/>
      <c r="AF519" s="335"/>
    </row>
    <row r="520">
      <c r="A520" s="335"/>
      <c r="AF520" s="335"/>
    </row>
    <row r="521">
      <c r="A521" s="335"/>
      <c r="AF521" s="335"/>
    </row>
    <row r="522">
      <c r="A522" s="335"/>
      <c r="AF522" s="335"/>
    </row>
    <row r="523">
      <c r="A523" s="335"/>
      <c r="AF523" s="335"/>
    </row>
    <row r="524">
      <c r="A524" s="335"/>
      <c r="AF524" s="335"/>
    </row>
    <row r="525">
      <c r="A525" s="335"/>
      <c r="AF525" s="335"/>
    </row>
    <row r="526">
      <c r="A526" s="335"/>
      <c r="AF526" s="335"/>
    </row>
    <row r="527">
      <c r="A527" s="335"/>
      <c r="AF527" s="335"/>
    </row>
    <row r="528">
      <c r="A528" s="335"/>
      <c r="AF528" s="335"/>
    </row>
    <row r="529">
      <c r="A529" s="335"/>
      <c r="AF529" s="335"/>
    </row>
    <row r="530">
      <c r="A530" s="335"/>
      <c r="AF530" s="335"/>
    </row>
    <row r="531">
      <c r="A531" s="335"/>
      <c r="AF531" s="335"/>
    </row>
    <row r="532">
      <c r="A532" s="335"/>
      <c r="AF532" s="335"/>
    </row>
    <row r="533">
      <c r="A533" s="335"/>
      <c r="AF533" s="335"/>
    </row>
    <row r="534">
      <c r="A534" s="335"/>
      <c r="AF534" s="335"/>
    </row>
    <row r="535">
      <c r="A535" s="335"/>
      <c r="AF535" s="335"/>
    </row>
    <row r="536">
      <c r="A536" s="335"/>
      <c r="AF536" s="335"/>
    </row>
    <row r="537">
      <c r="A537" s="335"/>
      <c r="AF537" s="335"/>
    </row>
    <row r="538">
      <c r="A538" s="335"/>
      <c r="AF538" s="335"/>
    </row>
    <row r="539">
      <c r="A539" s="335"/>
      <c r="AF539" s="335"/>
    </row>
    <row r="540">
      <c r="A540" s="335"/>
      <c r="AF540" s="335"/>
    </row>
    <row r="541">
      <c r="A541" s="335"/>
      <c r="AF541" s="335"/>
    </row>
    <row r="542">
      <c r="A542" s="335"/>
      <c r="AF542" s="335"/>
    </row>
    <row r="543">
      <c r="A543" s="335"/>
      <c r="AF543" s="335"/>
    </row>
    <row r="544">
      <c r="A544" s="335"/>
      <c r="AF544" s="335"/>
    </row>
    <row r="545">
      <c r="A545" s="335"/>
      <c r="AF545" s="335"/>
    </row>
    <row r="546">
      <c r="A546" s="335"/>
      <c r="AF546" s="335"/>
    </row>
    <row r="547">
      <c r="A547" s="335"/>
      <c r="AF547" s="335"/>
    </row>
    <row r="548">
      <c r="A548" s="335"/>
      <c r="AF548" s="335"/>
    </row>
    <row r="549">
      <c r="A549" s="335"/>
      <c r="AF549" s="335"/>
    </row>
    <row r="550">
      <c r="A550" s="335"/>
      <c r="AF550" s="335"/>
    </row>
    <row r="551">
      <c r="A551" s="335"/>
      <c r="AF551" s="335"/>
    </row>
    <row r="552">
      <c r="A552" s="335"/>
      <c r="AF552" s="335"/>
    </row>
    <row r="553">
      <c r="A553" s="335"/>
      <c r="AF553" s="335"/>
    </row>
    <row r="554">
      <c r="A554" s="335"/>
      <c r="AF554" s="335"/>
    </row>
    <row r="555">
      <c r="A555" s="335"/>
      <c r="AF555" s="335"/>
    </row>
    <row r="556">
      <c r="A556" s="335"/>
      <c r="AF556" s="335"/>
    </row>
    <row r="557">
      <c r="A557" s="335"/>
      <c r="AF557" s="335"/>
    </row>
    <row r="558">
      <c r="A558" s="335"/>
      <c r="AF558" s="335"/>
    </row>
    <row r="559">
      <c r="A559" s="335"/>
      <c r="AF559" s="335"/>
    </row>
    <row r="560">
      <c r="A560" s="335"/>
      <c r="AF560" s="335"/>
    </row>
    <row r="561">
      <c r="A561" s="335"/>
      <c r="AF561" s="335"/>
    </row>
    <row r="562">
      <c r="A562" s="335"/>
      <c r="AF562" s="335"/>
    </row>
    <row r="563">
      <c r="A563" s="335"/>
      <c r="AF563" s="335"/>
    </row>
    <row r="564">
      <c r="A564" s="335"/>
      <c r="AF564" s="335"/>
    </row>
    <row r="565">
      <c r="A565" s="335"/>
      <c r="AF565" s="335"/>
    </row>
    <row r="566">
      <c r="A566" s="335"/>
      <c r="AF566" s="335"/>
    </row>
    <row r="567">
      <c r="A567" s="335"/>
      <c r="AF567" s="335"/>
    </row>
    <row r="568">
      <c r="A568" s="335"/>
      <c r="AF568" s="335"/>
    </row>
    <row r="569">
      <c r="A569" s="335"/>
      <c r="AF569" s="335"/>
    </row>
    <row r="570">
      <c r="A570" s="335"/>
      <c r="AF570" s="335"/>
    </row>
    <row r="571">
      <c r="A571" s="335"/>
      <c r="AF571" s="335"/>
    </row>
    <row r="572">
      <c r="A572" s="335"/>
      <c r="AF572" s="335"/>
    </row>
    <row r="573">
      <c r="A573" s="335"/>
      <c r="AF573" s="335"/>
    </row>
    <row r="574">
      <c r="A574" s="335"/>
      <c r="AF574" s="335"/>
    </row>
    <row r="575">
      <c r="A575" s="335"/>
      <c r="AF575" s="335"/>
    </row>
    <row r="576">
      <c r="A576" s="335"/>
      <c r="AF576" s="335"/>
    </row>
    <row r="577">
      <c r="A577" s="335"/>
      <c r="AF577" s="335"/>
    </row>
    <row r="578">
      <c r="A578" s="335"/>
      <c r="AF578" s="335"/>
    </row>
    <row r="579">
      <c r="A579" s="335"/>
      <c r="AF579" s="335"/>
    </row>
    <row r="580">
      <c r="A580" s="335"/>
      <c r="AF580" s="335"/>
    </row>
    <row r="581">
      <c r="A581" s="335"/>
      <c r="AF581" s="335"/>
    </row>
    <row r="582">
      <c r="A582" s="335"/>
      <c r="AF582" s="335"/>
    </row>
    <row r="583">
      <c r="A583" s="335"/>
      <c r="AF583" s="335"/>
    </row>
    <row r="584">
      <c r="A584" s="335"/>
      <c r="AF584" s="335"/>
    </row>
    <row r="585">
      <c r="A585" s="335"/>
      <c r="AF585" s="335"/>
    </row>
    <row r="586">
      <c r="A586" s="335"/>
      <c r="AF586" s="335"/>
    </row>
    <row r="587">
      <c r="A587" s="335"/>
      <c r="AF587" s="335"/>
    </row>
    <row r="588">
      <c r="A588" s="335"/>
      <c r="AF588" s="335"/>
    </row>
    <row r="589">
      <c r="A589" s="335"/>
      <c r="AF589" s="335"/>
    </row>
    <row r="590">
      <c r="A590" s="335"/>
      <c r="AF590" s="335"/>
    </row>
    <row r="591">
      <c r="A591" s="335"/>
      <c r="AF591" s="335"/>
    </row>
    <row r="592">
      <c r="A592" s="335"/>
      <c r="AF592" s="335"/>
    </row>
    <row r="593">
      <c r="A593" s="335"/>
      <c r="AF593" s="335"/>
    </row>
    <row r="594">
      <c r="A594" s="335"/>
      <c r="AF594" s="335"/>
    </row>
    <row r="595">
      <c r="A595" s="335"/>
      <c r="AF595" s="335"/>
    </row>
    <row r="596">
      <c r="A596" s="335"/>
      <c r="AF596" s="335"/>
    </row>
    <row r="597">
      <c r="A597" s="335"/>
      <c r="AF597" s="335"/>
    </row>
    <row r="598">
      <c r="A598" s="335"/>
      <c r="AF598" s="335"/>
    </row>
    <row r="599">
      <c r="A599" s="335"/>
      <c r="AF599" s="335"/>
    </row>
    <row r="600">
      <c r="A600" s="335"/>
      <c r="AF600" s="335"/>
    </row>
    <row r="601">
      <c r="A601" s="335"/>
      <c r="AF601" s="335"/>
    </row>
    <row r="602">
      <c r="A602" s="335"/>
      <c r="AF602" s="335"/>
    </row>
    <row r="603">
      <c r="A603" s="335"/>
      <c r="AF603" s="335"/>
    </row>
    <row r="604">
      <c r="A604" s="335"/>
      <c r="AF604" s="335"/>
    </row>
    <row r="605">
      <c r="A605" s="335"/>
      <c r="AF605" s="335"/>
    </row>
    <row r="606">
      <c r="A606" s="335"/>
      <c r="AF606" s="335"/>
    </row>
    <row r="607">
      <c r="A607" s="335"/>
      <c r="AF607" s="335"/>
    </row>
    <row r="608">
      <c r="A608" s="335"/>
      <c r="AF608" s="335"/>
    </row>
    <row r="609">
      <c r="A609" s="335"/>
      <c r="AF609" s="335"/>
    </row>
    <row r="610">
      <c r="A610" s="335"/>
      <c r="AF610" s="335"/>
    </row>
    <row r="611">
      <c r="A611" s="335"/>
      <c r="AF611" s="335"/>
    </row>
    <row r="612">
      <c r="A612" s="335"/>
      <c r="AF612" s="335"/>
    </row>
    <row r="613">
      <c r="A613" s="335"/>
      <c r="AF613" s="335"/>
    </row>
    <row r="614">
      <c r="A614" s="335"/>
      <c r="AF614" s="335"/>
    </row>
    <row r="615">
      <c r="A615" s="335"/>
      <c r="AF615" s="335"/>
    </row>
    <row r="616">
      <c r="A616" s="335"/>
      <c r="AF616" s="335"/>
    </row>
    <row r="617">
      <c r="A617" s="335"/>
      <c r="AF617" s="335"/>
    </row>
    <row r="618">
      <c r="A618" s="335"/>
      <c r="AF618" s="335"/>
    </row>
    <row r="619">
      <c r="A619" s="335"/>
      <c r="AF619" s="335"/>
    </row>
    <row r="620">
      <c r="A620" s="335"/>
      <c r="AF620" s="335"/>
    </row>
    <row r="621">
      <c r="A621" s="335"/>
      <c r="AF621" s="335"/>
    </row>
    <row r="622">
      <c r="A622" s="335"/>
      <c r="AF622" s="335"/>
    </row>
    <row r="623">
      <c r="A623" s="335"/>
      <c r="AF623" s="335"/>
    </row>
    <row r="624">
      <c r="A624" s="335"/>
      <c r="AF624" s="335"/>
    </row>
    <row r="625">
      <c r="A625" s="335"/>
      <c r="AF625" s="335"/>
    </row>
    <row r="626">
      <c r="A626" s="335"/>
      <c r="AF626" s="335"/>
    </row>
    <row r="627">
      <c r="A627" s="335"/>
      <c r="AF627" s="335"/>
    </row>
    <row r="628">
      <c r="A628" s="335"/>
      <c r="AF628" s="335"/>
    </row>
    <row r="629">
      <c r="A629" s="335"/>
      <c r="AF629" s="335"/>
    </row>
    <row r="630">
      <c r="A630" s="335"/>
      <c r="AF630" s="335"/>
    </row>
    <row r="631">
      <c r="A631" s="335"/>
      <c r="AF631" s="335"/>
    </row>
    <row r="632">
      <c r="A632" s="335"/>
      <c r="AF632" s="335"/>
    </row>
    <row r="633">
      <c r="A633" s="335"/>
      <c r="AF633" s="335"/>
    </row>
    <row r="634">
      <c r="A634" s="335"/>
      <c r="AF634" s="335"/>
    </row>
    <row r="635">
      <c r="A635" s="335"/>
      <c r="AF635" s="335"/>
    </row>
    <row r="636">
      <c r="A636" s="335"/>
      <c r="AF636" s="335"/>
    </row>
    <row r="637">
      <c r="A637" s="335"/>
      <c r="AF637" s="335"/>
    </row>
    <row r="638">
      <c r="A638" s="335"/>
      <c r="AF638" s="335"/>
    </row>
    <row r="639">
      <c r="A639" s="335"/>
      <c r="AF639" s="335"/>
    </row>
    <row r="640">
      <c r="A640" s="335"/>
      <c r="AF640" s="335"/>
    </row>
    <row r="641">
      <c r="A641" s="335"/>
      <c r="AF641" s="335"/>
    </row>
    <row r="642">
      <c r="A642" s="335"/>
      <c r="AF642" s="335"/>
    </row>
    <row r="643">
      <c r="A643" s="335"/>
      <c r="AF643" s="335"/>
    </row>
    <row r="644">
      <c r="A644" s="335"/>
      <c r="AF644" s="335"/>
    </row>
    <row r="645">
      <c r="A645" s="335"/>
      <c r="AF645" s="335"/>
    </row>
    <row r="646">
      <c r="A646" s="335"/>
      <c r="AF646" s="335"/>
    </row>
    <row r="647">
      <c r="A647" s="335"/>
      <c r="AF647" s="335"/>
    </row>
    <row r="648">
      <c r="A648" s="335"/>
      <c r="AF648" s="335"/>
    </row>
    <row r="649">
      <c r="A649" s="335"/>
      <c r="AF649" s="335"/>
    </row>
    <row r="650">
      <c r="A650" s="335"/>
      <c r="AF650" s="335"/>
    </row>
    <row r="651">
      <c r="A651" s="335"/>
      <c r="AF651" s="335"/>
    </row>
    <row r="652">
      <c r="A652" s="335"/>
      <c r="AF652" s="335"/>
    </row>
    <row r="653">
      <c r="A653" s="335"/>
      <c r="AF653" s="335"/>
    </row>
    <row r="654">
      <c r="A654" s="335"/>
      <c r="AF654" s="335"/>
    </row>
    <row r="655">
      <c r="A655" s="335"/>
      <c r="AF655" s="335"/>
    </row>
    <row r="656">
      <c r="A656" s="335"/>
      <c r="AF656" s="335"/>
    </row>
    <row r="657">
      <c r="A657" s="335"/>
      <c r="AF657" s="335"/>
    </row>
    <row r="658">
      <c r="A658" s="335"/>
      <c r="AF658" s="335"/>
    </row>
    <row r="659">
      <c r="A659" s="335"/>
      <c r="AF659" s="335"/>
    </row>
    <row r="660">
      <c r="A660" s="335"/>
      <c r="AF660" s="335"/>
    </row>
    <row r="661">
      <c r="A661" s="335"/>
      <c r="AF661" s="335"/>
    </row>
    <row r="662">
      <c r="A662" s="335"/>
      <c r="AF662" s="335"/>
    </row>
    <row r="663">
      <c r="A663" s="335"/>
      <c r="AF663" s="335"/>
    </row>
    <row r="664">
      <c r="A664" s="335"/>
      <c r="AF664" s="335"/>
    </row>
    <row r="665">
      <c r="A665" s="335"/>
      <c r="AF665" s="335"/>
    </row>
    <row r="666">
      <c r="A666" s="335"/>
      <c r="AF666" s="335"/>
    </row>
    <row r="667">
      <c r="A667" s="335"/>
      <c r="AF667" s="335"/>
    </row>
    <row r="668">
      <c r="A668" s="335"/>
      <c r="AF668" s="335"/>
    </row>
    <row r="669">
      <c r="A669" s="335"/>
      <c r="AF669" s="335"/>
    </row>
    <row r="670">
      <c r="A670" s="335"/>
      <c r="AF670" s="335"/>
    </row>
    <row r="671">
      <c r="A671" s="335"/>
      <c r="AF671" s="335"/>
    </row>
    <row r="672">
      <c r="A672" s="335"/>
      <c r="AF672" s="335"/>
    </row>
    <row r="673">
      <c r="A673" s="335"/>
      <c r="AF673" s="335"/>
    </row>
    <row r="674">
      <c r="A674" s="335"/>
      <c r="AF674" s="335"/>
    </row>
    <row r="675">
      <c r="A675" s="335"/>
      <c r="AF675" s="335"/>
    </row>
    <row r="676">
      <c r="A676" s="335"/>
      <c r="AF676" s="335"/>
    </row>
    <row r="677">
      <c r="A677" s="335"/>
      <c r="AF677" s="335"/>
    </row>
    <row r="678">
      <c r="A678" s="335"/>
      <c r="AF678" s="335"/>
    </row>
    <row r="679">
      <c r="A679" s="335"/>
      <c r="AF679" s="335"/>
    </row>
    <row r="680">
      <c r="A680" s="335"/>
      <c r="AF680" s="335"/>
    </row>
    <row r="681">
      <c r="A681" s="335"/>
      <c r="AF681" s="335"/>
    </row>
    <row r="682">
      <c r="A682" s="335"/>
      <c r="AF682" s="335"/>
    </row>
    <row r="683">
      <c r="A683" s="335"/>
      <c r="AF683" s="335"/>
    </row>
    <row r="684">
      <c r="A684" s="335"/>
      <c r="AF684" s="335"/>
    </row>
    <row r="685">
      <c r="A685" s="335"/>
      <c r="AF685" s="335"/>
    </row>
    <row r="686">
      <c r="A686" s="335"/>
      <c r="AF686" s="335"/>
    </row>
    <row r="687">
      <c r="A687" s="335"/>
      <c r="AF687" s="335"/>
    </row>
    <row r="688">
      <c r="A688" s="335"/>
      <c r="AF688" s="335"/>
    </row>
    <row r="689">
      <c r="A689" s="335"/>
      <c r="AF689" s="335"/>
    </row>
    <row r="690">
      <c r="A690" s="335"/>
      <c r="AF690" s="335"/>
    </row>
    <row r="691">
      <c r="A691" s="335"/>
      <c r="AF691" s="335"/>
    </row>
    <row r="692">
      <c r="A692" s="335"/>
      <c r="AF692" s="335"/>
    </row>
    <row r="693">
      <c r="A693" s="335"/>
      <c r="AF693" s="335"/>
    </row>
    <row r="694">
      <c r="A694" s="335"/>
      <c r="AF694" s="335"/>
    </row>
    <row r="695">
      <c r="A695" s="335"/>
      <c r="AF695" s="335"/>
    </row>
    <row r="696">
      <c r="A696" s="335"/>
      <c r="AF696" s="335"/>
    </row>
    <row r="697">
      <c r="A697" s="335"/>
      <c r="AF697" s="335"/>
    </row>
    <row r="698">
      <c r="A698" s="335"/>
      <c r="AF698" s="335"/>
    </row>
    <row r="699">
      <c r="A699" s="335"/>
      <c r="AF699" s="335"/>
    </row>
    <row r="700">
      <c r="A700" s="335"/>
      <c r="AF700" s="335"/>
    </row>
    <row r="701">
      <c r="A701" s="335"/>
      <c r="AF701" s="335"/>
    </row>
    <row r="702">
      <c r="A702" s="335"/>
      <c r="AF702" s="335"/>
    </row>
    <row r="703">
      <c r="A703" s="335"/>
      <c r="AF703" s="335"/>
    </row>
    <row r="704">
      <c r="A704" s="335"/>
      <c r="AF704" s="335"/>
    </row>
    <row r="705">
      <c r="A705" s="335"/>
      <c r="AF705" s="335"/>
    </row>
    <row r="706">
      <c r="A706" s="335"/>
      <c r="AF706" s="335"/>
    </row>
    <row r="707">
      <c r="A707" s="335"/>
      <c r="AF707" s="335"/>
    </row>
    <row r="708">
      <c r="A708" s="335"/>
      <c r="AF708" s="335"/>
    </row>
    <row r="709">
      <c r="A709" s="335"/>
      <c r="AF709" s="335"/>
    </row>
    <row r="710">
      <c r="A710" s="335"/>
      <c r="AF710" s="335"/>
    </row>
    <row r="711">
      <c r="A711" s="335"/>
      <c r="AF711" s="335"/>
    </row>
    <row r="712">
      <c r="A712" s="335"/>
      <c r="AF712" s="335"/>
    </row>
    <row r="713">
      <c r="A713" s="335"/>
      <c r="AF713" s="335"/>
    </row>
    <row r="714">
      <c r="A714" s="335"/>
      <c r="AF714" s="335"/>
    </row>
    <row r="715">
      <c r="A715" s="335"/>
      <c r="AF715" s="335"/>
    </row>
    <row r="716">
      <c r="A716" s="335"/>
      <c r="AF716" s="335"/>
    </row>
    <row r="717">
      <c r="A717" s="335"/>
      <c r="AF717" s="335"/>
    </row>
    <row r="718">
      <c r="A718" s="335"/>
      <c r="AF718" s="335"/>
    </row>
    <row r="719">
      <c r="A719" s="335"/>
      <c r="AF719" s="335"/>
    </row>
    <row r="720">
      <c r="A720" s="335"/>
      <c r="AF720" s="335"/>
    </row>
    <row r="721">
      <c r="A721" s="335"/>
      <c r="AF721" s="335"/>
    </row>
    <row r="722">
      <c r="A722" s="335"/>
      <c r="AF722" s="335"/>
    </row>
    <row r="723">
      <c r="A723" s="335"/>
      <c r="AF723" s="335"/>
    </row>
    <row r="724">
      <c r="A724" s="335"/>
      <c r="AF724" s="335"/>
    </row>
    <row r="725">
      <c r="A725" s="335"/>
      <c r="AF725" s="335"/>
    </row>
    <row r="726">
      <c r="A726" s="335"/>
      <c r="AF726" s="335"/>
    </row>
    <row r="727">
      <c r="A727" s="335"/>
      <c r="AF727" s="335"/>
    </row>
    <row r="728">
      <c r="A728" s="335"/>
      <c r="AF728" s="335"/>
    </row>
    <row r="729">
      <c r="A729" s="335"/>
      <c r="AF729" s="335"/>
    </row>
    <row r="730">
      <c r="A730" s="335"/>
      <c r="AF730" s="335"/>
    </row>
    <row r="731">
      <c r="A731" s="335"/>
      <c r="AF731" s="335"/>
    </row>
    <row r="732">
      <c r="A732" s="335"/>
      <c r="AF732" s="335"/>
    </row>
    <row r="733">
      <c r="A733" s="335"/>
      <c r="AF733" s="335"/>
    </row>
    <row r="734">
      <c r="A734" s="335"/>
      <c r="AF734" s="335"/>
    </row>
    <row r="735">
      <c r="A735" s="335"/>
      <c r="AF735" s="335"/>
    </row>
    <row r="736">
      <c r="A736" s="335"/>
      <c r="AF736" s="335"/>
    </row>
    <row r="737">
      <c r="A737" s="335"/>
      <c r="AF737" s="335"/>
    </row>
    <row r="738">
      <c r="A738" s="335"/>
      <c r="AF738" s="335"/>
    </row>
    <row r="739">
      <c r="A739" s="335"/>
      <c r="AF739" s="335"/>
    </row>
    <row r="740">
      <c r="A740" s="335"/>
      <c r="AF740" s="335"/>
    </row>
    <row r="741">
      <c r="A741" s="335"/>
      <c r="AF741" s="335"/>
    </row>
    <row r="742">
      <c r="A742" s="335"/>
      <c r="AF742" s="335"/>
    </row>
    <row r="743">
      <c r="A743" s="335"/>
      <c r="AF743" s="335"/>
    </row>
    <row r="744">
      <c r="A744" s="335"/>
      <c r="AF744" s="335"/>
    </row>
    <row r="745">
      <c r="A745" s="335"/>
      <c r="AF745" s="335"/>
    </row>
    <row r="746">
      <c r="A746" s="335"/>
      <c r="AF746" s="335"/>
    </row>
    <row r="747">
      <c r="A747" s="335"/>
      <c r="AF747" s="335"/>
    </row>
    <row r="748">
      <c r="A748" s="335"/>
      <c r="AF748" s="335"/>
    </row>
    <row r="749">
      <c r="A749" s="335"/>
      <c r="AF749" s="335"/>
    </row>
    <row r="750">
      <c r="A750" s="335"/>
      <c r="AF750" s="335"/>
    </row>
    <row r="751">
      <c r="A751" s="335"/>
      <c r="AF751" s="335"/>
    </row>
    <row r="752">
      <c r="A752" s="335"/>
      <c r="AF752" s="335"/>
    </row>
    <row r="753">
      <c r="A753" s="335"/>
      <c r="AF753" s="335"/>
    </row>
    <row r="754">
      <c r="A754" s="335"/>
      <c r="AF754" s="335"/>
    </row>
    <row r="755">
      <c r="A755" s="335"/>
      <c r="AF755" s="335"/>
    </row>
    <row r="756">
      <c r="A756" s="335"/>
      <c r="AF756" s="335"/>
    </row>
    <row r="757">
      <c r="A757" s="335"/>
      <c r="AF757" s="335"/>
    </row>
    <row r="758">
      <c r="A758" s="335"/>
      <c r="AF758" s="335"/>
    </row>
    <row r="759">
      <c r="A759" s="335"/>
      <c r="AF759" s="335"/>
    </row>
    <row r="760">
      <c r="A760" s="335"/>
      <c r="AF760" s="335"/>
    </row>
    <row r="761">
      <c r="A761" s="335"/>
      <c r="AF761" s="335"/>
    </row>
    <row r="762">
      <c r="A762" s="335"/>
      <c r="AF762" s="335"/>
    </row>
    <row r="763">
      <c r="A763" s="335"/>
      <c r="AF763" s="335"/>
    </row>
    <row r="764">
      <c r="A764" s="335"/>
      <c r="AF764" s="335"/>
    </row>
    <row r="765">
      <c r="A765" s="335"/>
      <c r="AF765" s="335"/>
    </row>
    <row r="766">
      <c r="A766" s="335"/>
      <c r="AF766" s="335"/>
    </row>
    <row r="767">
      <c r="A767" s="335"/>
      <c r="AF767" s="335"/>
    </row>
    <row r="768">
      <c r="A768" s="335"/>
      <c r="AF768" s="335"/>
    </row>
    <row r="769">
      <c r="A769" s="335"/>
      <c r="AF769" s="335"/>
    </row>
    <row r="770">
      <c r="A770" s="335"/>
      <c r="AF770" s="335"/>
    </row>
    <row r="771">
      <c r="A771" s="335"/>
      <c r="AF771" s="335"/>
    </row>
    <row r="772">
      <c r="A772" s="335"/>
      <c r="AF772" s="335"/>
    </row>
    <row r="773">
      <c r="A773" s="335"/>
      <c r="AF773" s="335"/>
    </row>
    <row r="774">
      <c r="A774" s="335"/>
      <c r="AF774" s="335"/>
    </row>
    <row r="775">
      <c r="A775" s="335"/>
      <c r="AF775" s="335"/>
    </row>
    <row r="776">
      <c r="A776" s="335"/>
      <c r="AF776" s="335"/>
    </row>
    <row r="777">
      <c r="A777" s="335"/>
      <c r="AF777" s="335"/>
    </row>
    <row r="778">
      <c r="A778" s="335"/>
      <c r="AF778" s="335"/>
    </row>
    <row r="779">
      <c r="A779" s="335"/>
      <c r="AF779" s="335"/>
    </row>
    <row r="780">
      <c r="A780" s="335"/>
      <c r="AF780" s="335"/>
    </row>
    <row r="781">
      <c r="A781" s="335"/>
      <c r="AF781" s="335"/>
    </row>
    <row r="782">
      <c r="A782" s="335"/>
      <c r="AF782" s="335"/>
    </row>
    <row r="783">
      <c r="A783" s="335"/>
      <c r="AF783" s="335"/>
    </row>
    <row r="784">
      <c r="A784" s="335"/>
      <c r="AF784" s="335"/>
    </row>
    <row r="785">
      <c r="A785" s="335"/>
      <c r="AF785" s="335"/>
    </row>
    <row r="786">
      <c r="A786" s="335"/>
      <c r="AF786" s="335"/>
    </row>
    <row r="787">
      <c r="A787" s="335"/>
      <c r="AF787" s="335"/>
    </row>
    <row r="788">
      <c r="A788" s="335"/>
      <c r="AF788" s="335"/>
    </row>
    <row r="789">
      <c r="A789" s="335"/>
      <c r="AF789" s="335"/>
    </row>
    <row r="790">
      <c r="A790" s="335"/>
      <c r="AF790" s="335"/>
    </row>
    <row r="791">
      <c r="A791" s="335"/>
      <c r="AF791" s="335"/>
    </row>
    <row r="792">
      <c r="A792" s="335"/>
      <c r="AF792" s="335"/>
    </row>
    <row r="793">
      <c r="A793" s="335"/>
      <c r="AF793" s="335"/>
    </row>
    <row r="794">
      <c r="A794" s="335"/>
      <c r="AF794" s="335"/>
    </row>
    <row r="795">
      <c r="A795" s="335"/>
      <c r="AF795" s="335"/>
    </row>
    <row r="796">
      <c r="A796" s="335"/>
      <c r="AF796" s="335"/>
    </row>
    <row r="797">
      <c r="A797" s="335"/>
      <c r="AF797" s="335"/>
    </row>
    <row r="798">
      <c r="A798" s="335"/>
      <c r="AF798" s="335"/>
    </row>
    <row r="799">
      <c r="A799" s="335"/>
      <c r="AF799" s="335"/>
    </row>
    <row r="800">
      <c r="A800" s="335"/>
      <c r="AF800" s="335"/>
    </row>
    <row r="801">
      <c r="A801" s="335"/>
      <c r="AF801" s="335"/>
    </row>
    <row r="802">
      <c r="A802" s="335"/>
      <c r="AF802" s="335"/>
    </row>
    <row r="803">
      <c r="A803" s="335"/>
      <c r="AF803" s="335"/>
    </row>
    <row r="804">
      <c r="A804" s="335"/>
      <c r="AF804" s="335"/>
    </row>
    <row r="805">
      <c r="A805" s="335"/>
      <c r="AF805" s="335"/>
    </row>
    <row r="806">
      <c r="A806" s="335"/>
      <c r="AF806" s="335"/>
    </row>
    <row r="807">
      <c r="A807" s="335"/>
      <c r="AF807" s="335"/>
    </row>
    <row r="808">
      <c r="A808" s="335"/>
      <c r="AF808" s="335"/>
    </row>
    <row r="809">
      <c r="A809" s="335"/>
      <c r="AF809" s="335"/>
    </row>
    <row r="810">
      <c r="A810" s="335"/>
      <c r="AF810" s="335"/>
    </row>
    <row r="811">
      <c r="A811" s="335"/>
      <c r="AF811" s="335"/>
    </row>
    <row r="812">
      <c r="A812" s="335"/>
      <c r="AF812" s="335"/>
    </row>
    <row r="813">
      <c r="A813" s="335"/>
      <c r="AF813" s="335"/>
    </row>
    <row r="814">
      <c r="A814" s="335"/>
      <c r="AF814" s="335"/>
    </row>
    <row r="815">
      <c r="A815" s="335"/>
      <c r="AF815" s="335"/>
    </row>
    <row r="816">
      <c r="A816" s="335"/>
      <c r="AF816" s="335"/>
    </row>
    <row r="817">
      <c r="A817" s="335"/>
      <c r="AF817" s="335"/>
    </row>
    <row r="818">
      <c r="A818" s="335"/>
      <c r="AF818" s="335"/>
    </row>
    <row r="819">
      <c r="A819" s="335"/>
      <c r="AF819" s="335"/>
    </row>
    <row r="820">
      <c r="A820" s="335"/>
      <c r="AF820" s="335"/>
    </row>
    <row r="821">
      <c r="A821" s="335"/>
      <c r="AF821" s="335"/>
    </row>
    <row r="822">
      <c r="A822" s="335"/>
      <c r="AF822" s="335"/>
    </row>
    <row r="823">
      <c r="A823" s="335"/>
      <c r="AF823" s="335"/>
    </row>
    <row r="824">
      <c r="A824" s="335"/>
      <c r="AF824" s="335"/>
    </row>
    <row r="825">
      <c r="A825" s="335"/>
      <c r="AF825" s="335"/>
    </row>
    <row r="826">
      <c r="A826" s="335"/>
      <c r="AF826" s="335"/>
    </row>
    <row r="827">
      <c r="A827" s="335"/>
      <c r="AF827" s="335"/>
    </row>
    <row r="828">
      <c r="A828" s="335"/>
      <c r="AF828" s="335"/>
    </row>
    <row r="829">
      <c r="A829" s="335"/>
      <c r="AF829" s="335"/>
    </row>
    <row r="830">
      <c r="A830" s="335"/>
      <c r="AF830" s="335"/>
    </row>
    <row r="831">
      <c r="A831" s="335"/>
      <c r="AF831" s="335"/>
    </row>
    <row r="832">
      <c r="A832" s="335"/>
      <c r="AF832" s="335"/>
    </row>
    <row r="833">
      <c r="A833" s="335"/>
      <c r="AF833" s="335"/>
    </row>
    <row r="834">
      <c r="A834" s="335"/>
      <c r="AF834" s="335"/>
    </row>
    <row r="835">
      <c r="A835" s="335"/>
      <c r="AF835" s="335"/>
    </row>
    <row r="836">
      <c r="A836" s="335"/>
      <c r="AF836" s="335"/>
    </row>
    <row r="837">
      <c r="A837" s="335"/>
      <c r="AF837" s="335"/>
    </row>
    <row r="838">
      <c r="A838" s="335"/>
      <c r="AF838" s="335"/>
    </row>
    <row r="839">
      <c r="A839" s="335"/>
      <c r="AF839" s="335"/>
    </row>
    <row r="840">
      <c r="A840" s="335"/>
      <c r="AF840" s="335"/>
    </row>
    <row r="841">
      <c r="A841" s="335"/>
      <c r="AF841" s="335"/>
    </row>
    <row r="842">
      <c r="A842" s="335"/>
      <c r="AF842" s="335"/>
    </row>
    <row r="843">
      <c r="A843" s="335"/>
      <c r="AF843" s="335"/>
    </row>
    <row r="844">
      <c r="A844" s="335"/>
      <c r="AF844" s="335"/>
    </row>
    <row r="845">
      <c r="A845" s="335"/>
      <c r="AF845" s="335"/>
    </row>
    <row r="846">
      <c r="A846" s="335"/>
      <c r="AF846" s="335"/>
    </row>
    <row r="847">
      <c r="A847" s="335"/>
      <c r="AF847" s="335"/>
    </row>
    <row r="848">
      <c r="A848" s="335"/>
      <c r="AF848" s="335"/>
    </row>
    <row r="849">
      <c r="A849" s="335"/>
      <c r="AF849" s="335"/>
    </row>
    <row r="850">
      <c r="A850" s="335"/>
      <c r="AF850" s="335"/>
    </row>
    <row r="851">
      <c r="A851" s="335"/>
      <c r="AF851" s="335"/>
    </row>
    <row r="852">
      <c r="A852" s="335"/>
      <c r="AF852" s="335"/>
    </row>
    <row r="853">
      <c r="A853" s="335"/>
      <c r="AF853" s="335"/>
    </row>
    <row r="854">
      <c r="A854" s="335"/>
      <c r="AF854" s="335"/>
    </row>
    <row r="855">
      <c r="A855" s="335"/>
      <c r="AF855" s="335"/>
    </row>
    <row r="856">
      <c r="A856" s="335"/>
      <c r="AF856" s="335"/>
    </row>
    <row r="857">
      <c r="A857" s="335"/>
      <c r="AF857" s="335"/>
    </row>
    <row r="858">
      <c r="A858" s="335"/>
      <c r="AF858" s="335"/>
    </row>
    <row r="859">
      <c r="A859" s="335"/>
      <c r="AF859" s="335"/>
    </row>
    <row r="860">
      <c r="A860" s="335"/>
      <c r="AF860" s="335"/>
    </row>
    <row r="861">
      <c r="A861" s="335"/>
      <c r="AF861" s="335"/>
    </row>
    <row r="862">
      <c r="A862" s="335"/>
      <c r="AF862" s="335"/>
    </row>
    <row r="863">
      <c r="A863" s="335"/>
      <c r="AF863" s="335"/>
    </row>
    <row r="864">
      <c r="A864" s="335"/>
      <c r="AF864" s="335"/>
    </row>
    <row r="865">
      <c r="A865" s="335"/>
      <c r="AF865" s="335"/>
    </row>
    <row r="866">
      <c r="A866" s="335"/>
      <c r="AF866" s="335"/>
    </row>
    <row r="867">
      <c r="A867" s="335"/>
      <c r="AF867" s="335"/>
    </row>
    <row r="868">
      <c r="A868" s="335"/>
      <c r="AF868" s="335"/>
    </row>
    <row r="869">
      <c r="A869" s="335"/>
      <c r="AF869" s="335"/>
    </row>
    <row r="870">
      <c r="A870" s="335"/>
      <c r="AF870" s="335"/>
    </row>
    <row r="871">
      <c r="A871" s="335"/>
      <c r="AF871" s="335"/>
    </row>
    <row r="872">
      <c r="A872" s="335"/>
      <c r="AF872" s="335"/>
    </row>
    <row r="873">
      <c r="A873" s="335"/>
      <c r="AF873" s="335"/>
    </row>
    <row r="874">
      <c r="A874" s="335"/>
      <c r="AF874" s="335"/>
    </row>
    <row r="875">
      <c r="A875" s="335"/>
      <c r="AF875" s="335"/>
    </row>
    <row r="876">
      <c r="A876" s="335"/>
      <c r="AF876" s="335"/>
    </row>
    <row r="877">
      <c r="A877" s="335"/>
      <c r="AF877" s="335"/>
    </row>
    <row r="878">
      <c r="A878" s="335"/>
      <c r="AF878" s="335"/>
    </row>
    <row r="879">
      <c r="A879" s="335"/>
      <c r="AF879" s="335"/>
    </row>
    <row r="880">
      <c r="A880" s="335"/>
      <c r="AF880" s="335"/>
    </row>
    <row r="881">
      <c r="A881" s="335"/>
      <c r="AF881" s="335"/>
    </row>
    <row r="882">
      <c r="A882" s="335"/>
      <c r="AF882" s="335"/>
    </row>
    <row r="883">
      <c r="A883" s="335"/>
      <c r="AF883" s="335"/>
    </row>
    <row r="884">
      <c r="A884" s="335"/>
      <c r="AF884" s="335"/>
    </row>
    <row r="885">
      <c r="A885" s="335"/>
      <c r="AF885" s="335"/>
    </row>
    <row r="886">
      <c r="A886" s="335"/>
      <c r="AF886" s="335"/>
    </row>
    <row r="887">
      <c r="A887" s="335"/>
      <c r="AF887" s="335"/>
    </row>
    <row r="888">
      <c r="A888" s="335"/>
      <c r="AF888" s="335"/>
    </row>
    <row r="889">
      <c r="A889" s="335"/>
      <c r="AF889" s="335"/>
    </row>
    <row r="890">
      <c r="A890" s="335"/>
      <c r="AF890" s="335"/>
    </row>
    <row r="891">
      <c r="A891" s="335"/>
      <c r="AF891" s="335"/>
    </row>
    <row r="892">
      <c r="A892" s="335"/>
      <c r="AF892" s="335"/>
    </row>
    <row r="893">
      <c r="A893" s="335"/>
      <c r="AF893" s="335"/>
    </row>
    <row r="894">
      <c r="A894" s="335"/>
      <c r="AF894" s="335"/>
    </row>
    <row r="895">
      <c r="A895" s="335"/>
      <c r="AF895" s="335"/>
    </row>
    <row r="896">
      <c r="A896" s="335"/>
      <c r="AF896" s="335"/>
    </row>
    <row r="897">
      <c r="A897" s="335"/>
      <c r="AF897" s="335"/>
    </row>
    <row r="898">
      <c r="A898" s="335"/>
      <c r="AF898" s="335"/>
    </row>
    <row r="899">
      <c r="A899" s="335"/>
      <c r="AF899" s="335"/>
    </row>
    <row r="900">
      <c r="A900" s="335"/>
      <c r="AF900" s="335"/>
    </row>
    <row r="901">
      <c r="A901" s="335"/>
      <c r="AF901" s="335"/>
    </row>
    <row r="902">
      <c r="A902" s="335"/>
      <c r="AF902" s="335"/>
    </row>
    <row r="903">
      <c r="A903" s="335"/>
      <c r="AF903" s="335"/>
    </row>
    <row r="904">
      <c r="A904" s="335"/>
      <c r="AF904" s="335"/>
    </row>
    <row r="905">
      <c r="A905" s="335"/>
      <c r="AF905" s="335"/>
    </row>
    <row r="906">
      <c r="A906" s="335"/>
      <c r="AF906" s="335"/>
    </row>
    <row r="907">
      <c r="A907" s="335"/>
      <c r="AF907" s="335"/>
    </row>
    <row r="908">
      <c r="A908" s="335"/>
      <c r="AF908" s="335"/>
    </row>
    <row r="909">
      <c r="A909" s="335"/>
      <c r="AF909" s="335"/>
    </row>
    <row r="910">
      <c r="A910" s="335"/>
      <c r="AF910" s="335"/>
    </row>
    <row r="911">
      <c r="A911" s="335"/>
      <c r="AF911" s="335"/>
    </row>
    <row r="912">
      <c r="A912" s="335"/>
      <c r="AF912" s="335"/>
    </row>
    <row r="913">
      <c r="A913" s="335"/>
      <c r="AF913" s="335"/>
    </row>
    <row r="914">
      <c r="A914" s="335"/>
      <c r="AF914" s="335"/>
    </row>
    <row r="915">
      <c r="A915" s="335"/>
      <c r="AF915" s="335"/>
    </row>
    <row r="916">
      <c r="A916" s="335"/>
      <c r="AF916" s="335"/>
    </row>
    <row r="917">
      <c r="A917" s="335"/>
      <c r="AF917" s="335"/>
    </row>
    <row r="918">
      <c r="A918" s="335"/>
      <c r="AF918" s="335"/>
    </row>
    <row r="919">
      <c r="A919" s="335"/>
      <c r="AF919" s="335"/>
    </row>
    <row r="920">
      <c r="A920" s="335"/>
      <c r="AF920" s="335"/>
    </row>
    <row r="921">
      <c r="A921" s="335"/>
      <c r="AF921" s="335"/>
    </row>
    <row r="922">
      <c r="A922" s="335"/>
      <c r="AF922" s="335"/>
    </row>
    <row r="923">
      <c r="A923" s="335"/>
      <c r="AF923" s="335"/>
    </row>
    <row r="924">
      <c r="A924" s="335"/>
      <c r="AF924" s="335"/>
    </row>
    <row r="925">
      <c r="A925" s="335"/>
      <c r="AF925" s="335"/>
    </row>
    <row r="926">
      <c r="A926" s="335"/>
      <c r="AF926" s="335"/>
    </row>
    <row r="927">
      <c r="A927" s="335"/>
      <c r="AF927" s="335"/>
    </row>
    <row r="928">
      <c r="A928" s="335"/>
      <c r="AF928" s="335"/>
    </row>
    <row r="929">
      <c r="A929" s="335"/>
      <c r="AF929" s="335"/>
    </row>
    <row r="930">
      <c r="A930" s="335"/>
      <c r="AF930" s="335"/>
    </row>
    <row r="931">
      <c r="A931" s="335"/>
      <c r="AF931" s="335"/>
    </row>
    <row r="932">
      <c r="A932" s="335"/>
      <c r="AF932" s="335"/>
    </row>
    <row r="933">
      <c r="A933" s="335"/>
      <c r="AF933" s="335"/>
    </row>
    <row r="934">
      <c r="A934" s="335"/>
      <c r="AF934" s="335"/>
    </row>
    <row r="935">
      <c r="A935" s="335"/>
      <c r="AF935" s="335"/>
    </row>
    <row r="936">
      <c r="A936" s="335"/>
      <c r="AF936" s="335"/>
    </row>
    <row r="937">
      <c r="A937" s="335"/>
      <c r="AF937" s="335"/>
    </row>
    <row r="938">
      <c r="A938" s="335"/>
      <c r="AF938" s="335"/>
    </row>
    <row r="939">
      <c r="A939" s="335"/>
      <c r="AF939" s="335"/>
    </row>
    <row r="940">
      <c r="A940" s="335"/>
      <c r="AF940" s="335"/>
    </row>
    <row r="941">
      <c r="A941" s="335"/>
      <c r="AF941" s="335"/>
    </row>
    <row r="942">
      <c r="A942" s="335"/>
      <c r="AF942" s="335"/>
    </row>
    <row r="943">
      <c r="A943" s="335"/>
      <c r="AF943" s="335"/>
    </row>
    <row r="944">
      <c r="A944" s="335"/>
      <c r="AF944" s="335"/>
    </row>
    <row r="945">
      <c r="A945" s="335"/>
      <c r="AF945" s="335"/>
    </row>
    <row r="946">
      <c r="A946" s="335"/>
      <c r="AF946" s="335"/>
    </row>
    <row r="947">
      <c r="A947" s="335"/>
      <c r="AF947" s="335"/>
    </row>
    <row r="948">
      <c r="A948" s="335"/>
      <c r="AF948" s="335"/>
    </row>
    <row r="949">
      <c r="A949" s="335"/>
      <c r="AF949" s="335"/>
    </row>
    <row r="950">
      <c r="A950" s="335"/>
      <c r="AF950" s="335"/>
    </row>
    <row r="951">
      <c r="A951" s="335"/>
      <c r="AF951" s="335"/>
    </row>
    <row r="952">
      <c r="A952" s="335"/>
      <c r="AF952" s="335"/>
    </row>
    <row r="953">
      <c r="A953" s="335"/>
      <c r="AF953" s="335"/>
    </row>
    <row r="954">
      <c r="A954" s="335"/>
      <c r="AF954" s="335"/>
    </row>
    <row r="955">
      <c r="A955" s="335"/>
      <c r="AF955" s="335"/>
    </row>
    <row r="956">
      <c r="A956" s="335"/>
      <c r="AF956" s="335"/>
    </row>
    <row r="957">
      <c r="A957" s="335"/>
      <c r="AF957" s="335"/>
    </row>
    <row r="958">
      <c r="A958" s="335"/>
      <c r="AF958" s="335"/>
    </row>
    <row r="959">
      <c r="A959" s="335"/>
      <c r="AF959" s="335"/>
    </row>
    <row r="960">
      <c r="A960" s="335"/>
      <c r="AF960" s="335"/>
    </row>
    <row r="961">
      <c r="A961" s="335"/>
      <c r="AF961" s="335"/>
    </row>
    <row r="962">
      <c r="A962" s="335"/>
      <c r="AF962" s="335"/>
    </row>
    <row r="963">
      <c r="A963" s="335"/>
      <c r="AF963" s="335"/>
    </row>
    <row r="964">
      <c r="A964" s="335"/>
      <c r="AF964" s="335"/>
    </row>
    <row r="965">
      <c r="A965" s="335"/>
      <c r="AF965" s="335"/>
    </row>
    <row r="966">
      <c r="A966" s="335"/>
      <c r="AF966" s="335"/>
    </row>
    <row r="967">
      <c r="A967" s="335"/>
      <c r="AF967" s="335"/>
    </row>
    <row r="968">
      <c r="A968" s="335"/>
      <c r="AF968" s="335"/>
    </row>
    <row r="969">
      <c r="A969" s="335"/>
      <c r="AF969" s="335"/>
    </row>
    <row r="970">
      <c r="A970" s="335"/>
      <c r="AF970" s="335"/>
    </row>
    <row r="971">
      <c r="A971" s="335"/>
      <c r="AF971" s="335"/>
    </row>
    <row r="972">
      <c r="A972" s="335"/>
      <c r="AF972" s="335"/>
    </row>
    <row r="973">
      <c r="A973" s="335"/>
      <c r="AF973" s="335"/>
    </row>
    <row r="974">
      <c r="A974" s="335"/>
      <c r="AF974" s="335"/>
    </row>
    <row r="975">
      <c r="A975" s="335"/>
      <c r="AF975" s="335"/>
    </row>
    <row r="976">
      <c r="A976" s="335"/>
      <c r="AF976" s="335"/>
    </row>
    <row r="977">
      <c r="A977" s="335"/>
      <c r="AF977" s="335"/>
    </row>
    <row r="978">
      <c r="A978" s="335"/>
      <c r="AF978" s="335"/>
    </row>
    <row r="979">
      <c r="A979" s="335"/>
      <c r="AF979" s="335"/>
    </row>
    <row r="980">
      <c r="A980" s="335"/>
      <c r="AF980" s="335"/>
    </row>
    <row r="981">
      <c r="A981" s="335"/>
      <c r="AF981" s="335"/>
    </row>
    <row r="982">
      <c r="A982" s="335"/>
      <c r="AF982" s="335"/>
    </row>
    <row r="983">
      <c r="A983" s="335"/>
      <c r="AF983" s="335"/>
    </row>
    <row r="984">
      <c r="A984" s="335"/>
      <c r="AF984" s="335"/>
    </row>
    <row r="985">
      <c r="A985" s="335"/>
      <c r="AF985" s="335"/>
    </row>
    <row r="986">
      <c r="A986" s="335"/>
      <c r="AF986" s="335"/>
    </row>
    <row r="987">
      <c r="A987" s="335"/>
      <c r="AF987" s="335"/>
    </row>
    <row r="988">
      <c r="A988" s="335"/>
      <c r="AF988" s="335"/>
    </row>
    <row r="989">
      <c r="A989" s="335"/>
      <c r="AF989" s="335"/>
    </row>
    <row r="990">
      <c r="A990" s="335"/>
      <c r="AF990" s="335"/>
    </row>
    <row r="991">
      <c r="A991" s="335"/>
      <c r="AF991" s="335"/>
    </row>
    <row r="992">
      <c r="A992" s="335"/>
      <c r="AF992" s="335"/>
    </row>
    <row r="993">
      <c r="A993" s="335"/>
      <c r="AF993" s="335"/>
    </row>
    <row r="994">
      <c r="A994" s="335"/>
      <c r="AF994" s="335"/>
    </row>
    <row r="995">
      <c r="A995" s="335"/>
      <c r="AF995" s="335"/>
    </row>
    <row r="996">
      <c r="A996" s="335"/>
      <c r="AF996" s="335"/>
    </row>
    <row r="997">
      <c r="A997" s="335"/>
      <c r="AF997" s="335"/>
    </row>
    <row r="998">
      <c r="A998" s="335"/>
      <c r="AF998" s="335"/>
    </row>
    <row r="999">
      <c r="A999" s="335"/>
      <c r="AF999" s="335"/>
    </row>
    <row r="1000">
      <c r="A1000" s="335"/>
      <c r="AF1000" s="335"/>
    </row>
    <row r="1001">
      <c r="A1001" s="335"/>
      <c r="AF1001" s="335"/>
    </row>
  </sheetData>
  <conditionalFormatting sqref="B175:AF175">
    <cfRule type="cellIs" dxfId="2" priority="1" operator="lessThan">
      <formula>0</formula>
    </cfRule>
  </conditionalFormatting>
  <conditionalFormatting sqref="B175:AF175">
    <cfRule type="cellIs" dxfId="5" priority="2" operator="greaterThan">
      <formula>0</formula>
    </cfRule>
  </conditionalFormatting>
  <conditionalFormatting sqref="B157:AF157">
    <cfRule type="colorScale" priority="3">
      <colorScale>
        <cfvo type="min"/>
        <cfvo type="max"/>
        <color rgb="FFFFFFFF"/>
        <color rgb="FFE67C73"/>
      </colorScale>
    </cfRule>
  </conditionalFormatting>
  <conditionalFormatting sqref="B57:AF57">
    <cfRule type="cellIs" dxfId="6" priority="4" operator="lessThan">
      <formula>0</formula>
    </cfRule>
  </conditionalFormatting>
  <conditionalFormatting sqref="B57:AF57">
    <cfRule type="cellIs" dxfId="0" priority="5" operator="greaterThan">
      <formula>0</formula>
    </cfRule>
  </conditionalFormatting>
  <conditionalFormatting sqref="B81:AF81">
    <cfRule type="cellIs" dxfId="6" priority="6" operator="lessThan">
      <formula>0</formula>
    </cfRule>
  </conditionalFormatting>
  <conditionalFormatting sqref="B81:AF81">
    <cfRule type="cellIs" dxfId="0" priority="7" operator="greaterThan">
      <formula>0</formula>
    </cfRule>
  </conditionalFormatting>
  <conditionalFormatting sqref="B99:AF99">
    <cfRule type="cellIs" dxfId="0" priority="8" operator="greaterThan">
      <formula>0</formula>
    </cfRule>
  </conditionalFormatting>
  <conditionalFormatting sqref="B99:AF99">
    <cfRule type="cellIs" dxfId="6" priority="9" operator="lessThan">
      <formula>0</formula>
    </cfRule>
  </conditionalFormatting>
  <conditionalFormatting sqref="B51:AF51">
    <cfRule type="cellIs" dxfId="0" priority="10" operator="greaterThan">
      <formula>0</formula>
    </cfRule>
  </conditionalFormatting>
  <conditionalFormatting sqref="B51:AF51">
    <cfRule type="cellIs" dxfId="6" priority="11" operator="lessThan">
      <formula>0</formula>
    </cfRule>
  </conditionalFormatting>
  <conditionalFormatting sqref="B178:AF178">
    <cfRule type="colorScale" priority="12">
      <colorScale>
        <cfvo type="min"/>
        <cfvo type="max"/>
        <color rgb="FFFFFFFF"/>
        <color rgb="FF57BB8A"/>
      </colorScale>
    </cfRule>
  </conditionalFormatting>
  <conditionalFormatting sqref="B180:AF180">
    <cfRule type="colorScale" priority="13">
      <colorScale>
        <cfvo type="min"/>
        <cfvo type="max"/>
        <color rgb="FFFFFFFF"/>
        <color rgb="FF57BB8A"/>
      </colorScale>
    </cfRule>
  </conditionalFormatting>
  <conditionalFormatting sqref="B169:AF169">
    <cfRule type="colorScale" priority="14">
      <colorScale>
        <cfvo type="min"/>
        <cfvo type="max"/>
        <color rgb="FFFFFFFF"/>
        <color rgb="FFE67C73"/>
      </colorScale>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13.25"/>
    <col customWidth="1" min="2" max="2" width="15.88"/>
    <col customWidth="1" min="3" max="3" width="13.88"/>
    <col customWidth="1" min="4" max="4" width="25.38"/>
    <col customWidth="1" min="5" max="5" width="28.0"/>
    <col customWidth="1" min="6" max="6" width="9.88"/>
    <col customWidth="1" min="7" max="7" width="29.5"/>
    <col customWidth="1" min="8" max="8" width="11.63"/>
    <col customWidth="1" min="9" max="9" width="29.75"/>
    <col customWidth="1" min="10" max="10" width="13.0"/>
    <col customWidth="1" min="11" max="11" width="11.5"/>
  </cols>
  <sheetData>
    <row r="1">
      <c r="A1" s="2" t="s">
        <v>0</v>
      </c>
      <c r="B1" s="5" t="s">
        <v>2</v>
      </c>
      <c r="C1" s="2" t="s">
        <v>3</v>
      </c>
      <c r="D1" s="2" t="s">
        <v>4</v>
      </c>
      <c r="E1" s="2" t="s">
        <v>5</v>
      </c>
      <c r="F1" s="2" t="s">
        <v>6</v>
      </c>
      <c r="G1" s="2" t="s">
        <v>7</v>
      </c>
      <c r="H1" s="2" t="s">
        <v>8</v>
      </c>
      <c r="I1" s="7" t="s">
        <v>7</v>
      </c>
      <c r="J1" s="8" t="s">
        <v>9</v>
      </c>
    </row>
    <row r="2" ht="15.0" customHeight="1">
      <c r="A2" s="9">
        <v>44326.0</v>
      </c>
      <c r="B2" s="10">
        <v>44354.0</v>
      </c>
      <c r="C2" s="11" t="s">
        <v>10</v>
      </c>
      <c r="D2" s="11" t="s">
        <v>11</v>
      </c>
      <c r="E2" s="11" t="s">
        <v>12</v>
      </c>
      <c r="F2" s="12">
        <v>369.0</v>
      </c>
      <c r="G2" s="11" t="s">
        <v>13</v>
      </c>
      <c r="H2" s="11" t="s">
        <v>14</v>
      </c>
      <c r="I2" s="14" t="s">
        <v>16</v>
      </c>
      <c r="J2" s="15">
        <v>50.0</v>
      </c>
      <c r="K2" s="20">
        <f>J2/J8</f>
        <v>0.6756756757</v>
      </c>
    </row>
    <row r="3">
      <c r="A3" s="9">
        <v>44357.0</v>
      </c>
      <c r="B3" s="21" t="s">
        <v>32</v>
      </c>
      <c r="C3" s="11" t="s">
        <v>33</v>
      </c>
      <c r="D3" s="11" t="s">
        <v>35</v>
      </c>
      <c r="E3" s="11" t="s">
        <v>36</v>
      </c>
      <c r="F3" s="12">
        <v>295.0</v>
      </c>
      <c r="G3" s="11" t="s">
        <v>37</v>
      </c>
      <c r="H3" s="11" t="s">
        <v>14</v>
      </c>
      <c r="I3" s="14" t="s">
        <v>38</v>
      </c>
      <c r="J3" s="15">
        <v>7.0</v>
      </c>
      <c r="K3" s="20">
        <f>J3/J8</f>
        <v>0.09459459459</v>
      </c>
    </row>
    <row r="4">
      <c r="A4" s="9">
        <v>44357.0</v>
      </c>
      <c r="B4" s="21" t="s">
        <v>40</v>
      </c>
      <c r="C4" s="11" t="s">
        <v>41</v>
      </c>
      <c r="D4" s="11" t="s">
        <v>42</v>
      </c>
      <c r="E4" s="11" t="s">
        <v>43</v>
      </c>
      <c r="F4" s="12">
        <v>265.0</v>
      </c>
      <c r="G4" s="11" t="s">
        <v>13</v>
      </c>
      <c r="H4" s="11" t="s">
        <v>14</v>
      </c>
      <c r="I4" s="14" t="s">
        <v>44</v>
      </c>
      <c r="J4" s="26">
        <v>2.0</v>
      </c>
      <c r="K4" s="20">
        <f>J4/J8</f>
        <v>0.02702702703</v>
      </c>
    </row>
    <row r="5">
      <c r="A5" s="9">
        <v>44418.0</v>
      </c>
      <c r="B5" s="21" t="s">
        <v>46</v>
      </c>
      <c r="C5" s="11" t="s">
        <v>47</v>
      </c>
      <c r="D5" s="11" t="s">
        <v>48</v>
      </c>
      <c r="E5" s="11" t="s">
        <v>50</v>
      </c>
      <c r="F5" s="12">
        <v>220.0</v>
      </c>
      <c r="G5" s="11" t="s">
        <v>13</v>
      </c>
      <c r="H5" s="11" t="s">
        <v>14</v>
      </c>
      <c r="I5" s="14" t="s">
        <v>51</v>
      </c>
      <c r="J5" s="26">
        <v>0.0</v>
      </c>
      <c r="K5" s="20">
        <f>J5/J8</f>
        <v>0</v>
      </c>
    </row>
    <row r="6">
      <c r="A6" s="9">
        <v>44418.0</v>
      </c>
      <c r="B6" s="10">
        <v>44445.0</v>
      </c>
      <c r="C6" s="11" t="s">
        <v>52</v>
      </c>
      <c r="D6" s="11" t="s">
        <v>53</v>
      </c>
      <c r="E6" s="11" t="s">
        <v>54</v>
      </c>
      <c r="F6" s="12">
        <v>582.0</v>
      </c>
      <c r="G6" s="11" t="s">
        <v>55</v>
      </c>
      <c r="H6" s="11" t="s">
        <v>14</v>
      </c>
      <c r="I6" s="14" t="s">
        <v>55</v>
      </c>
      <c r="J6" s="15">
        <v>7.0</v>
      </c>
      <c r="K6" s="20">
        <f>J6/J8</f>
        <v>0.09459459459</v>
      </c>
    </row>
    <row r="7">
      <c r="A7" s="9">
        <v>44510.0</v>
      </c>
      <c r="B7" s="10">
        <v>44356.0</v>
      </c>
      <c r="C7" s="11" t="s">
        <v>57</v>
      </c>
      <c r="D7" s="11" t="s">
        <v>58</v>
      </c>
      <c r="E7" s="11" t="s">
        <v>59</v>
      </c>
      <c r="F7" s="12">
        <v>265.0</v>
      </c>
      <c r="G7" s="11" t="s">
        <v>55</v>
      </c>
      <c r="H7" s="11" t="s">
        <v>14</v>
      </c>
      <c r="I7" s="31" t="s">
        <v>60</v>
      </c>
      <c r="J7" s="32">
        <v>8.0</v>
      </c>
      <c r="K7" s="20">
        <f>J7/J8</f>
        <v>0.1081081081</v>
      </c>
    </row>
    <row r="8">
      <c r="A8" s="9">
        <v>44510.0</v>
      </c>
      <c r="B8" s="10">
        <v>44449.0</v>
      </c>
      <c r="C8" s="11" t="s">
        <v>62</v>
      </c>
      <c r="D8" s="11" t="s">
        <v>63</v>
      </c>
      <c r="E8" s="11" t="s">
        <v>64</v>
      </c>
      <c r="F8" s="12">
        <v>216.0</v>
      </c>
      <c r="G8" s="11" t="s">
        <v>60</v>
      </c>
      <c r="H8" s="11" t="s">
        <v>14</v>
      </c>
      <c r="I8" s="14" t="s">
        <v>65</v>
      </c>
      <c r="J8" s="36">
        <f>SUM(J2:J7)</f>
        <v>74</v>
      </c>
    </row>
    <row r="9">
      <c r="A9" s="9">
        <v>44510.0</v>
      </c>
      <c r="B9" s="10">
        <v>44414.0</v>
      </c>
      <c r="C9" s="11" t="s">
        <v>66</v>
      </c>
      <c r="D9" s="11" t="s">
        <v>67</v>
      </c>
      <c r="E9" s="11" t="s">
        <v>68</v>
      </c>
      <c r="F9" s="12">
        <v>283.0</v>
      </c>
      <c r="G9" s="11" t="s">
        <v>37</v>
      </c>
      <c r="H9" s="11" t="s">
        <v>14</v>
      </c>
      <c r="I9" s="38"/>
      <c r="J9" s="38"/>
    </row>
    <row r="10">
      <c r="A10" s="9">
        <v>44510.0</v>
      </c>
      <c r="B10" s="10">
        <v>44449.0</v>
      </c>
      <c r="C10" s="11" t="s">
        <v>70</v>
      </c>
      <c r="D10" s="11" t="s">
        <v>71</v>
      </c>
      <c r="E10" s="11" t="s">
        <v>72</v>
      </c>
      <c r="F10" s="12">
        <v>216.0</v>
      </c>
      <c r="G10" s="11" t="s">
        <v>60</v>
      </c>
      <c r="H10" s="11" t="s">
        <v>14</v>
      </c>
      <c r="I10" s="26" t="s">
        <v>73</v>
      </c>
      <c r="J10" s="36">
        <f>Sales!B37</f>
        <v>1395</v>
      </c>
    </row>
    <row r="11">
      <c r="A11" s="9">
        <v>44510.0</v>
      </c>
      <c r="B11" s="21" t="s">
        <v>74</v>
      </c>
      <c r="C11" s="40" t="s">
        <v>75</v>
      </c>
      <c r="D11" s="11" t="s">
        <v>76</v>
      </c>
      <c r="E11" s="11" t="s">
        <v>77</v>
      </c>
      <c r="F11" s="12">
        <v>224.0</v>
      </c>
      <c r="G11" s="11" t="s">
        <v>55</v>
      </c>
      <c r="H11" s="11" t="s">
        <v>14</v>
      </c>
    </row>
    <row r="12">
      <c r="A12" s="9">
        <v>44510.0</v>
      </c>
      <c r="B12" s="21" t="s">
        <v>40</v>
      </c>
      <c r="C12" s="11" t="s">
        <v>79</v>
      </c>
      <c r="D12" s="11" t="s">
        <v>80</v>
      </c>
      <c r="E12" s="11" t="s">
        <v>81</v>
      </c>
      <c r="F12" s="12">
        <v>206.0</v>
      </c>
      <c r="G12" s="11" t="s">
        <v>13</v>
      </c>
      <c r="H12" s="11" t="s">
        <v>14</v>
      </c>
      <c r="I12" s="42" t="s">
        <v>83</v>
      </c>
      <c r="J12" s="46">
        <f>J8/J10</f>
        <v>0.05304659498</v>
      </c>
    </row>
    <row r="13">
      <c r="A13" s="9">
        <v>44510.0</v>
      </c>
      <c r="B13" s="21" t="s">
        <v>86</v>
      </c>
      <c r="C13" s="11" t="s">
        <v>88</v>
      </c>
      <c r="D13" s="11" t="s">
        <v>90</v>
      </c>
      <c r="E13" s="11" t="s">
        <v>91</v>
      </c>
      <c r="F13" s="12">
        <v>398.0</v>
      </c>
      <c r="G13" s="11" t="s">
        <v>37</v>
      </c>
      <c r="H13" s="11" t="s">
        <v>14</v>
      </c>
      <c r="I13" s="38"/>
      <c r="J13" s="38"/>
    </row>
    <row r="14">
      <c r="A14" s="9">
        <v>44510.0</v>
      </c>
      <c r="B14" s="10">
        <v>44204.0</v>
      </c>
      <c r="C14" s="11" t="s">
        <v>95</v>
      </c>
      <c r="D14" s="11" t="s">
        <v>96</v>
      </c>
      <c r="E14" s="11" t="s">
        <v>97</v>
      </c>
      <c r="F14" s="12">
        <v>279.0</v>
      </c>
      <c r="G14" s="11" t="s">
        <v>60</v>
      </c>
      <c r="H14" s="11" t="s">
        <v>14</v>
      </c>
      <c r="I14" s="14"/>
      <c r="J14" s="36"/>
    </row>
    <row r="15">
      <c r="A15" s="9">
        <v>44510.0</v>
      </c>
      <c r="B15" s="10">
        <v>44449.0</v>
      </c>
      <c r="C15" s="11" t="s">
        <v>98</v>
      </c>
      <c r="D15" s="11" t="s">
        <v>99</v>
      </c>
      <c r="E15" s="11" t="s">
        <v>100</v>
      </c>
      <c r="F15" s="12">
        <v>234.0</v>
      </c>
      <c r="G15" s="11" t="s">
        <v>37</v>
      </c>
      <c r="H15" s="11" t="s">
        <v>14</v>
      </c>
      <c r="I15" s="38"/>
      <c r="J15" s="38"/>
    </row>
    <row r="16">
      <c r="A16" s="9">
        <v>44540.0</v>
      </c>
      <c r="B16" s="21" t="s">
        <v>102</v>
      </c>
      <c r="C16" s="11" t="s">
        <v>104</v>
      </c>
      <c r="D16" s="11" t="s">
        <v>105</v>
      </c>
      <c r="E16" s="11" t="s">
        <v>106</v>
      </c>
      <c r="F16" s="12">
        <v>263.0</v>
      </c>
      <c r="G16" s="50" t="s">
        <v>13</v>
      </c>
      <c r="H16" s="11" t="s">
        <v>107</v>
      </c>
      <c r="I16" s="51">
        <v>44136.0</v>
      </c>
      <c r="J16" s="52">
        <v>2.0</v>
      </c>
    </row>
    <row r="17">
      <c r="A17" s="9">
        <v>44540.0</v>
      </c>
      <c r="B17" s="10">
        <v>44449.0</v>
      </c>
      <c r="C17" s="11" t="s">
        <v>108</v>
      </c>
      <c r="D17" s="11" t="s">
        <v>109</v>
      </c>
      <c r="E17" s="11" t="s">
        <v>110</v>
      </c>
      <c r="F17" s="12">
        <v>275.0</v>
      </c>
      <c r="G17" s="11" t="s">
        <v>13</v>
      </c>
      <c r="H17" s="11" t="s">
        <v>14</v>
      </c>
      <c r="I17" s="52" t="s">
        <v>112</v>
      </c>
      <c r="J17" s="52">
        <v>1.0</v>
      </c>
    </row>
    <row r="18">
      <c r="A18" s="9" t="s">
        <v>113</v>
      </c>
      <c r="B18" s="21" t="s">
        <v>114</v>
      </c>
      <c r="C18" s="11" t="s">
        <v>115</v>
      </c>
      <c r="D18" s="11" t="s">
        <v>116</v>
      </c>
      <c r="E18" s="11" t="s">
        <v>117</v>
      </c>
      <c r="F18" s="12">
        <v>265.0</v>
      </c>
      <c r="G18" s="11" t="s">
        <v>13</v>
      </c>
      <c r="H18" s="11" t="s">
        <v>14</v>
      </c>
      <c r="I18" s="52" t="s">
        <v>118</v>
      </c>
      <c r="J18" s="52">
        <v>1.0</v>
      </c>
    </row>
    <row r="19">
      <c r="A19" s="9" t="s">
        <v>113</v>
      </c>
      <c r="B19" s="21" t="s">
        <v>120</v>
      </c>
      <c r="C19" s="11" t="s">
        <v>121</v>
      </c>
      <c r="D19" s="11" t="s">
        <v>122</v>
      </c>
      <c r="E19" s="11" t="s">
        <v>123</v>
      </c>
      <c r="F19" s="12">
        <v>108.0</v>
      </c>
      <c r="G19" s="11" t="s">
        <v>13</v>
      </c>
      <c r="H19" s="11" t="s">
        <v>124</v>
      </c>
      <c r="I19" s="52" t="s">
        <v>125</v>
      </c>
      <c r="J19" s="52">
        <v>2.0</v>
      </c>
    </row>
    <row r="20">
      <c r="A20" s="9" t="s">
        <v>113</v>
      </c>
      <c r="B20" s="10">
        <v>44449.0</v>
      </c>
      <c r="C20" s="11" t="s">
        <v>126</v>
      </c>
      <c r="D20" s="11" t="s">
        <v>127</v>
      </c>
      <c r="E20" s="11" t="s">
        <v>128</v>
      </c>
      <c r="F20" s="12">
        <v>287.0</v>
      </c>
      <c r="G20" s="52" t="s">
        <v>55</v>
      </c>
      <c r="H20" s="11" t="s">
        <v>14</v>
      </c>
      <c r="I20" s="52" t="s">
        <v>129</v>
      </c>
      <c r="J20" s="52">
        <v>1.0</v>
      </c>
    </row>
    <row r="21">
      <c r="A21" s="9" t="s">
        <v>130</v>
      </c>
      <c r="B21" s="21" t="s">
        <v>102</v>
      </c>
      <c r="C21" s="11" t="s">
        <v>131</v>
      </c>
      <c r="D21" s="11" t="s">
        <v>133</v>
      </c>
      <c r="E21" s="11" t="s">
        <v>134</v>
      </c>
      <c r="F21" s="12">
        <v>523.0</v>
      </c>
      <c r="G21" s="52" t="s">
        <v>37</v>
      </c>
      <c r="H21" s="11" t="s">
        <v>14</v>
      </c>
      <c r="I21" s="52" t="s">
        <v>135</v>
      </c>
      <c r="J21" s="52">
        <v>11.0</v>
      </c>
    </row>
    <row r="22">
      <c r="A22" s="9" t="s">
        <v>130</v>
      </c>
      <c r="B22" s="10">
        <v>44352.0</v>
      </c>
      <c r="C22" s="11" t="s">
        <v>136</v>
      </c>
      <c r="D22" s="11" t="s">
        <v>137</v>
      </c>
      <c r="E22" s="11" t="s">
        <v>138</v>
      </c>
      <c r="F22" s="12">
        <v>224.0</v>
      </c>
      <c r="G22" s="52" t="s">
        <v>13</v>
      </c>
      <c r="H22" s="11" t="s">
        <v>107</v>
      </c>
      <c r="I22" s="52" t="s">
        <v>139</v>
      </c>
      <c r="J22" s="52">
        <v>13.0</v>
      </c>
    </row>
    <row r="23">
      <c r="A23" s="9" t="s">
        <v>140</v>
      </c>
      <c r="B23" s="10">
        <v>44449.0</v>
      </c>
      <c r="C23" s="11" t="s">
        <v>141</v>
      </c>
      <c r="D23" s="11" t="s">
        <v>143</v>
      </c>
      <c r="E23" s="11" t="s">
        <v>144</v>
      </c>
      <c r="F23" s="12">
        <v>275.0</v>
      </c>
      <c r="G23" s="52" t="s">
        <v>37</v>
      </c>
      <c r="H23" s="11" t="s">
        <v>14</v>
      </c>
      <c r="I23" s="52" t="s">
        <v>145</v>
      </c>
      <c r="J23" s="52">
        <v>23.0</v>
      </c>
    </row>
    <row r="24">
      <c r="A24" s="9" t="s">
        <v>146</v>
      </c>
      <c r="B24" s="21" t="s">
        <v>147</v>
      </c>
      <c r="C24" s="11" t="s">
        <v>148</v>
      </c>
      <c r="D24" s="11" t="s">
        <v>149</v>
      </c>
      <c r="E24" s="11" t="s">
        <v>150</v>
      </c>
      <c r="F24" s="12">
        <v>265.0</v>
      </c>
      <c r="G24" s="52" t="s">
        <v>44</v>
      </c>
      <c r="H24" s="11" t="s">
        <v>14</v>
      </c>
      <c r="I24" s="53" t="s">
        <v>151</v>
      </c>
      <c r="J24" s="53">
        <v>1.0</v>
      </c>
    </row>
    <row r="25">
      <c r="A25" s="9" t="s">
        <v>152</v>
      </c>
      <c r="B25" s="21" t="s">
        <v>113</v>
      </c>
      <c r="C25" s="11" t="s">
        <v>153</v>
      </c>
      <c r="D25" s="11" t="s">
        <v>154</v>
      </c>
      <c r="E25" s="11" t="s">
        <v>155</v>
      </c>
      <c r="F25" s="12">
        <v>305.0</v>
      </c>
      <c r="G25" s="52" t="s">
        <v>13</v>
      </c>
      <c r="H25" s="11" t="s">
        <v>14</v>
      </c>
      <c r="I25" s="53" t="s">
        <v>156</v>
      </c>
      <c r="J25" s="53">
        <v>2.0</v>
      </c>
    </row>
    <row r="26">
      <c r="A26" s="9" t="s">
        <v>152</v>
      </c>
      <c r="B26" s="10">
        <v>44295.0</v>
      </c>
      <c r="C26" s="11" t="s">
        <v>157</v>
      </c>
      <c r="D26" s="11" t="s">
        <v>158</v>
      </c>
      <c r="E26" s="11" t="s">
        <v>159</v>
      </c>
      <c r="F26" s="12">
        <v>210.0</v>
      </c>
      <c r="G26" s="52" t="s">
        <v>13</v>
      </c>
      <c r="H26" s="11" t="s">
        <v>14</v>
      </c>
      <c r="I26" s="53" t="s">
        <v>161</v>
      </c>
      <c r="J26" s="53">
        <v>14.0</v>
      </c>
    </row>
    <row r="27">
      <c r="A27" s="9" t="s">
        <v>152</v>
      </c>
      <c r="B27" s="21" t="s">
        <v>162</v>
      </c>
      <c r="C27" s="11" t="s">
        <v>163</v>
      </c>
      <c r="D27" s="11" t="s">
        <v>164</v>
      </c>
      <c r="E27" s="11" t="s">
        <v>165</v>
      </c>
      <c r="F27" s="12">
        <v>206.0</v>
      </c>
      <c r="G27" s="52" t="s">
        <v>37</v>
      </c>
      <c r="H27" s="11" t="s">
        <v>14</v>
      </c>
      <c r="K27" s="54">
        <f>sum(J16:J26)</f>
        <v>71</v>
      </c>
    </row>
    <row r="28">
      <c r="A28" s="9" t="s">
        <v>152</v>
      </c>
      <c r="B28" s="21" t="s">
        <v>40</v>
      </c>
      <c r="C28" s="11" t="s">
        <v>167</v>
      </c>
      <c r="D28" s="11" t="s">
        <v>169</v>
      </c>
      <c r="E28" s="11" t="s">
        <v>170</v>
      </c>
      <c r="F28" s="12">
        <v>191.0</v>
      </c>
      <c r="G28" s="52" t="s">
        <v>13</v>
      </c>
      <c r="H28" s="53" t="s">
        <v>14</v>
      </c>
    </row>
    <row r="29">
      <c r="A29" s="9" t="s">
        <v>152</v>
      </c>
      <c r="B29" s="21" t="s">
        <v>171</v>
      </c>
      <c r="C29" s="11" t="s">
        <v>172</v>
      </c>
      <c r="D29" s="40" t="s">
        <v>173</v>
      </c>
      <c r="E29" s="11" t="s">
        <v>174</v>
      </c>
      <c r="F29" s="12">
        <v>436.0</v>
      </c>
      <c r="G29" s="52" t="s">
        <v>13</v>
      </c>
      <c r="H29" s="53" t="s">
        <v>14</v>
      </c>
    </row>
    <row r="30">
      <c r="A30" s="9" t="s">
        <v>152</v>
      </c>
      <c r="B30" s="21" t="s">
        <v>175</v>
      </c>
      <c r="C30" s="53" t="s">
        <v>177</v>
      </c>
      <c r="D30" s="53" t="s">
        <v>178</v>
      </c>
      <c r="E30" s="53" t="s">
        <v>179</v>
      </c>
      <c r="F30" s="60">
        <v>265.0</v>
      </c>
      <c r="G30" s="52" t="s">
        <v>13</v>
      </c>
      <c r="H30" s="53" t="s">
        <v>14</v>
      </c>
    </row>
    <row r="31">
      <c r="A31" s="9" t="s">
        <v>152</v>
      </c>
      <c r="B31" s="21" t="s">
        <v>180</v>
      </c>
      <c r="C31" s="53" t="s">
        <v>181</v>
      </c>
      <c r="D31" s="53" t="s">
        <v>182</v>
      </c>
      <c r="E31" s="53" t="s">
        <v>183</v>
      </c>
      <c r="F31" s="60">
        <v>311.0</v>
      </c>
      <c r="G31" s="11" t="s">
        <v>60</v>
      </c>
      <c r="H31" s="53" t="s">
        <v>14</v>
      </c>
    </row>
    <row r="32">
      <c r="A32" s="62" t="s">
        <v>184</v>
      </c>
      <c r="B32" s="64">
        <v>44265.0</v>
      </c>
      <c r="C32" s="11" t="s">
        <v>185</v>
      </c>
      <c r="D32" s="53" t="s">
        <v>186</v>
      </c>
      <c r="E32" s="53" t="s">
        <v>187</v>
      </c>
      <c r="F32" s="60">
        <v>265.0</v>
      </c>
      <c r="G32" s="53" t="s">
        <v>13</v>
      </c>
      <c r="H32" s="53" t="s">
        <v>14</v>
      </c>
    </row>
    <row r="33">
      <c r="A33" s="62" t="s">
        <v>184</v>
      </c>
      <c r="B33" s="62" t="s">
        <v>188</v>
      </c>
      <c r="C33" s="11" t="s">
        <v>189</v>
      </c>
      <c r="D33" s="53" t="s">
        <v>190</v>
      </c>
      <c r="E33" s="53" t="s">
        <v>192</v>
      </c>
      <c r="F33" s="60">
        <v>265.0</v>
      </c>
      <c r="G33" s="53" t="s">
        <v>13</v>
      </c>
      <c r="H33" s="53" t="s">
        <v>14</v>
      </c>
    </row>
    <row r="34">
      <c r="A34" s="62" t="s">
        <v>184</v>
      </c>
      <c r="B34" s="64">
        <v>44444.0</v>
      </c>
      <c r="C34" s="11" t="s">
        <v>193</v>
      </c>
      <c r="D34" s="53" t="s">
        <v>194</v>
      </c>
      <c r="E34" s="53" t="s">
        <v>195</v>
      </c>
      <c r="F34" s="60">
        <v>283.0</v>
      </c>
      <c r="G34" s="53" t="s">
        <v>13</v>
      </c>
      <c r="H34" s="53" t="s">
        <v>107</v>
      </c>
    </row>
    <row r="35">
      <c r="A35" s="62" t="s">
        <v>196</v>
      </c>
      <c r="B35" s="64">
        <v>44350.0</v>
      </c>
      <c r="C35" s="11" t="s">
        <v>198</v>
      </c>
      <c r="D35" s="53" t="s">
        <v>199</v>
      </c>
      <c r="E35" s="53" t="s">
        <v>200</v>
      </c>
      <c r="F35" s="60">
        <v>285.0</v>
      </c>
      <c r="G35" s="53" t="s">
        <v>13</v>
      </c>
      <c r="H35" s="53" t="s">
        <v>107</v>
      </c>
    </row>
    <row r="36">
      <c r="A36" s="62" t="s">
        <v>196</v>
      </c>
      <c r="B36" s="64">
        <v>44472.0</v>
      </c>
      <c r="C36" s="11" t="s">
        <v>201</v>
      </c>
      <c r="D36" s="53" t="s">
        <v>202</v>
      </c>
      <c r="E36" s="53" t="s">
        <v>203</v>
      </c>
      <c r="F36" s="60">
        <v>206.0</v>
      </c>
      <c r="G36" s="11" t="s">
        <v>60</v>
      </c>
      <c r="H36" s="53" t="s">
        <v>107</v>
      </c>
    </row>
    <row r="37">
      <c r="A37" s="62" t="s">
        <v>196</v>
      </c>
      <c r="B37" s="62" t="s">
        <v>204</v>
      </c>
      <c r="C37" s="11" t="s">
        <v>205</v>
      </c>
      <c r="D37" s="53" t="s">
        <v>206</v>
      </c>
      <c r="E37" s="53" t="s">
        <v>207</v>
      </c>
      <c r="F37" s="60">
        <v>265.0</v>
      </c>
      <c r="G37" s="11" t="s">
        <v>60</v>
      </c>
      <c r="H37" s="53" t="s">
        <v>14</v>
      </c>
    </row>
    <row r="38">
      <c r="A38" s="62" t="s">
        <v>208</v>
      </c>
      <c r="B38" s="62" t="s">
        <v>209</v>
      </c>
      <c r="C38" s="11" t="s">
        <v>210</v>
      </c>
      <c r="D38" s="53" t="s">
        <v>211</v>
      </c>
      <c r="E38" s="53" t="s">
        <v>212</v>
      </c>
      <c r="F38" s="60">
        <v>143.0</v>
      </c>
      <c r="G38" s="53" t="s">
        <v>13</v>
      </c>
      <c r="H38" s="53" t="s">
        <v>124</v>
      </c>
    </row>
    <row r="39">
      <c r="A39" s="62" t="s">
        <v>208</v>
      </c>
      <c r="B39" s="64">
        <v>44409.0</v>
      </c>
      <c r="C39" s="11" t="s">
        <v>213</v>
      </c>
      <c r="D39" s="53" t="s">
        <v>214</v>
      </c>
      <c r="E39" s="53" t="s">
        <v>215</v>
      </c>
      <c r="F39" s="60">
        <v>183.0</v>
      </c>
      <c r="G39" s="53" t="s">
        <v>44</v>
      </c>
      <c r="H39" s="53" t="s">
        <v>124</v>
      </c>
    </row>
    <row r="40">
      <c r="A40" s="62" t="s">
        <v>217</v>
      </c>
      <c r="B40" s="64">
        <v>44262.0</v>
      </c>
      <c r="C40" s="11" t="s">
        <v>218</v>
      </c>
      <c r="D40" s="72" t="s">
        <v>219</v>
      </c>
      <c r="E40" s="53" t="s">
        <v>220</v>
      </c>
      <c r="F40" s="60">
        <v>250.0</v>
      </c>
      <c r="G40" s="22" t="s">
        <v>13</v>
      </c>
      <c r="H40" s="53" t="s">
        <v>14</v>
      </c>
    </row>
    <row r="41">
      <c r="A41" s="62" t="s">
        <v>217</v>
      </c>
      <c r="B41" s="62" t="s">
        <v>221</v>
      </c>
      <c r="C41" s="11" t="s">
        <v>222</v>
      </c>
      <c r="D41" s="53" t="s">
        <v>223</v>
      </c>
      <c r="E41" s="53" t="s">
        <v>224</v>
      </c>
      <c r="F41" s="60">
        <v>192.0</v>
      </c>
      <c r="G41" s="53" t="s">
        <v>13</v>
      </c>
      <c r="H41" s="53" t="s">
        <v>14</v>
      </c>
    </row>
    <row r="42">
      <c r="A42" s="62" t="s">
        <v>226</v>
      </c>
      <c r="B42" s="62" t="s">
        <v>40</v>
      </c>
      <c r="C42" s="11" t="s">
        <v>227</v>
      </c>
      <c r="D42" s="53" t="s">
        <v>228</v>
      </c>
      <c r="E42" s="53" t="s">
        <v>229</v>
      </c>
      <c r="F42" s="60">
        <v>295.0</v>
      </c>
      <c r="G42" s="53" t="s">
        <v>13</v>
      </c>
      <c r="H42" s="53" t="s">
        <v>14</v>
      </c>
    </row>
    <row r="43">
      <c r="A43" s="62" t="s">
        <v>226</v>
      </c>
      <c r="B43" s="64">
        <v>44474.0</v>
      </c>
      <c r="C43" s="11" t="s">
        <v>230</v>
      </c>
      <c r="D43" s="53" t="s">
        <v>231</v>
      </c>
      <c r="E43" s="53" t="s">
        <v>232</v>
      </c>
      <c r="F43" s="60">
        <v>206.0</v>
      </c>
      <c r="G43" s="53" t="s">
        <v>13</v>
      </c>
      <c r="H43" s="53" t="s">
        <v>107</v>
      </c>
    </row>
    <row r="44">
      <c r="A44" s="62" t="s">
        <v>226</v>
      </c>
      <c r="B44" s="62" t="s">
        <v>234</v>
      </c>
      <c r="C44" s="11" t="s">
        <v>236</v>
      </c>
      <c r="D44" s="53" t="s">
        <v>237</v>
      </c>
      <c r="E44" s="53" t="s">
        <v>238</v>
      </c>
      <c r="F44" s="60">
        <v>251.0</v>
      </c>
      <c r="G44" s="53" t="s">
        <v>13</v>
      </c>
      <c r="H44" s="53" t="s">
        <v>107</v>
      </c>
    </row>
    <row r="45">
      <c r="A45" s="62" t="s">
        <v>226</v>
      </c>
      <c r="B45" s="62" t="s">
        <v>180</v>
      </c>
      <c r="C45" s="11" t="s">
        <v>240</v>
      </c>
      <c r="D45" s="53" t="s">
        <v>241</v>
      </c>
      <c r="E45" s="53" t="s">
        <v>242</v>
      </c>
      <c r="F45" s="60">
        <v>275.0</v>
      </c>
      <c r="G45" s="53" t="s">
        <v>13</v>
      </c>
      <c r="H45" s="53" t="s">
        <v>14</v>
      </c>
    </row>
    <row r="46">
      <c r="A46" s="62" t="s">
        <v>226</v>
      </c>
      <c r="B46" s="64">
        <v>44415.0</v>
      </c>
      <c r="C46" s="11" t="s">
        <v>244</v>
      </c>
      <c r="D46" s="53" t="s">
        <v>245</v>
      </c>
      <c r="E46" s="53" t="s">
        <v>246</v>
      </c>
      <c r="F46" s="60">
        <v>191.0</v>
      </c>
      <c r="G46" s="53" t="s">
        <v>13</v>
      </c>
      <c r="H46" s="53" t="s">
        <v>14</v>
      </c>
    </row>
    <row r="47">
      <c r="A47" s="62" t="s">
        <v>226</v>
      </c>
      <c r="B47" s="64">
        <v>44318.0</v>
      </c>
      <c r="C47" s="11" t="s">
        <v>247</v>
      </c>
      <c r="D47" s="53" t="s">
        <v>248</v>
      </c>
      <c r="E47" s="53" t="s">
        <v>249</v>
      </c>
      <c r="F47" s="60">
        <v>216.0</v>
      </c>
      <c r="G47" s="53" t="s">
        <v>13</v>
      </c>
      <c r="H47" s="53" t="s">
        <v>107</v>
      </c>
    </row>
    <row r="48">
      <c r="A48" s="62" t="s">
        <v>226</v>
      </c>
      <c r="B48" s="62" t="s">
        <v>250</v>
      </c>
      <c r="C48" s="11" t="s">
        <v>251</v>
      </c>
      <c r="D48" s="53" t="s">
        <v>252</v>
      </c>
      <c r="E48" s="53" t="s">
        <v>253</v>
      </c>
      <c r="F48" s="60">
        <v>283.0</v>
      </c>
      <c r="G48" s="53" t="s">
        <v>13</v>
      </c>
      <c r="H48" s="53" t="s">
        <v>14</v>
      </c>
    </row>
    <row r="49">
      <c r="A49" s="62" t="s">
        <v>226</v>
      </c>
      <c r="B49" s="62" t="s">
        <v>254</v>
      </c>
      <c r="C49" s="11" t="s">
        <v>255</v>
      </c>
      <c r="D49" s="53" t="s">
        <v>256</v>
      </c>
      <c r="E49" s="53" t="s">
        <v>257</v>
      </c>
      <c r="F49" s="60">
        <v>220.0</v>
      </c>
      <c r="G49" s="53" t="s">
        <v>13</v>
      </c>
      <c r="H49" s="53" t="s">
        <v>14</v>
      </c>
    </row>
    <row r="50">
      <c r="A50" s="62" t="s">
        <v>226</v>
      </c>
      <c r="B50" s="62" t="s">
        <v>226</v>
      </c>
      <c r="C50" s="40" t="s">
        <v>258</v>
      </c>
      <c r="D50" s="53" t="s">
        <v>259</v>
      </c>
      <c r="E50" s="53" t="s">
        <v>260</v>
      </c>
      <c r="F50" s="60">
        <v>237.0</v>
      </c>
      <c r="G50" s="53" t="s">
        <v>261</v>
      </c>
      <c r="H50" s="53" t="s">
        <v>14</v>
      </c>
    </row>
    <row r="51">
      <c r="A51" s="62" t="s">
        <v>226</v>
      </c>
      <c r="B51" s="62" t="s">
        <v>86</v>
      </c>
      <c r="C51" s="11" t="s">
        <v>262</v>
      </c>
      <c r="D51" s="72" t="s">
        <v>263</v>
      </c>
      <c r="E51" s="53" t="s">
        <v>264</v>
      </c>
      <c r="F51" s="60">
        <v>265.0</v>
      </c>
      <c r="G51" s="53" t="s">
        <v>13</v>
      </c>
      <c r="H51" s="53" t="s">
        <v>14</v>
      </c>
    </row>
    <row r="52">
      <c r="A52" s="62" t="s">
        <v>226</v>
      </c>
      <c r="B52" s="62" t="s">
        <v>175</v>
      </c>
      <c r="C52" s="11" t="s">
        <v>265</v>
      </c>
      <c r="D52" s="53" t="s">
        <v>266</v>
      </c>
      <c r="E52" s="53" t="s">
        <v>267</v>
      </c>
      <c r="F52" s="60">
        <v>218.0</v>
      </c>
      <c r="G52" s="53" t="s">
        <v>13</v>
      </c>
      <c r="H52" s="53" t="s">
        <v>14</v>
      </c>
    </row>
    <row r="53">
      <c r="A53" s="62" t="s">
        <v>226</v>
      </c>
      <c r="B53" s="62" t="s">
        <v>268</v>
      </c>
      <c r="C53" s="11" t="s">
        <v>269</v>
      </c>
      <c r="D53" s="53" t="s">
        <v>270</v>
      </c>
      <c r="E53" s="53" t="s">
        <v>271</v>
      </c>
      <c r="F53" s="60">
        <v>206.0</v>
      </c>
      <c r="G53" s="53" t="s">
        <v>13</v>
      </c>
      <c r="H53" s="53" t="s">
        <v>14</v>
      </c>
    </row>
    <row r="54">
      <c r="A54" s="62" t="s">
        <v>226</v>
      </c>
      <c r="B54" s="62" t="s">
        <v>273</v>
      </c>
      <c r="C54" s="11" t="s">
        <v>274</v>
      </c>
      <c r="D54" s="53" t="s">
        <v>275</v>
      </c>
      <c r="E54" s="53" t="s">
        <v>277</v>
      </c>
      <c r="F54" s="60">
        <v>224.0</v>
      </c>
      <c r="G54" s="53" t="s">
        <v>13</v>
      </c>
      <c r="H54" s="53" t="s">
        <v>14</v>
      </c>
    </row>
    <row r="55">
      <c r="A55" s="62" t="s">
        <v>226</v>
      </c>
      <c r="B55" s="62" t="s">
        <v>278</v>
      </c>
      <c r="C55" s="40" t="s">
        <v>279</v>
      </c>
      <c r="D55" s="53" t="s">
        <v>280</v>
      </c>
      <c r="E55" s="53" t="s">
        <v>281</v>
      </c>
      <c r="F55" s="60">
        <v>261.0</v>
      </c>
      <c r="G55" s="53" t="s">
        <v>13</v>
      </c>
      <c r="H55" s="53" t="s">
        <v>14</v>
      </c>
    </row>
    <row r="56">
      <c r="A56" s="62" t="s">
        <v>226</v>
      </c>
      <c r="B56" s="64">
        <v>44449.0</v>
      </c>
      <c r="C56" s="40" t="s">
        <v>282</v>
      </c>
      <c r="D56" s="53" t="s">
        <v>283</v>
      </c>
      <c r="E56" s="53" t="s">
        <v>284</v>
      </c>
      <c r="F56" s="60">
        <v>275.0</v>
      </c>
      <c r="G56" s="53" t="s">
        <v>13</v>
      </c>
      <c r="H56" s="53" t="s">
        <v>14</v>
      </c>
    </row>
    <row r="57">
      <c r="A57" s="62" t="s">
        <v>226</v>
      </c>
      <c r="B57" s="62" t="s">
        <v>221</v>
      </c>
      <c r="C57" s="40" t="s">
        <v>285</v>
      </c>
      <c r="D57" s="53" t="s">
        <v>286</v>
      </c>
      <c r="E57" s="53" t="s">
        <v>287</v>
      </c>
      <c r="F57" s="60">
        <v>369.0</v>
      </c>
      <c r="G57" s="53" t="s">
        <v>13</v>
      </c>
      <c r="H57" s="53" t="s">
        <v>14</v>
      </c>
    </row>
    <row r="58">
      <c r="A58" s="62" t="s">
        <v>226</v>
      </c>
      <c r="B58" s="62" t="s">
        <v>268</v>
      </c>
      <c r="C58" s="40" t="s">
        <v>288</v>
      </c>
      <c r="D58" s="53" t="s">
        <v>289</v>
      </c>
      <c r="E58" s="53" t="s">
        <v>290</v>
      </c>
      <c r="F58" s="60">
        <v>265.0</v>
      </c>
      <c r="G58" s="53" t="s">
        <v>261</v>
      </c>
      <c r="H58" s="53" t="s">
        <v>14</v>
      </c>
    </row>
    <row r="59">
      <c r="A59" s="62" t="s">
        <v>226</v>
      </c>
      <c r="B59" s="62" t="s">
        <v>291</v>
      </c>
      <c r="C59" s="40" t="s">
        <v>292</v>
      </c>
      <c r="D59" s="53" t="s">
        <v>293</v>
      </c>
      <c r="E59" s="53" t="s">
        <v>294</v>
      </c>
      <c r="F59" s="60">
        <v>206.0</v>
      </c>
      <c r="G59" s="53" t="s">
        <v>13</v>
      </c>
      <c r="H59" s="53" t="s">
        <v>14</v>
      </c>
    </row>
    <row r="60">
      <c r="A60" s="62" t="s">
        <v>226</v>
      </c>
      <c r="B60" s="64">
        <v>44536.0</v>
      </c>
      <c r="C60" s="40" t="s">
        <v>295</v>
      </c>
      <c r="D60" s="53" t="s">
        <v>296</v>
      </c>
      <c r="E60" s="53" t="s">
        <v>297</v>
      </c>
      <c r="F60" s="60">
        <v>209.0</v>
      </c>
      <c r="G60" s="53" t="s">
        <v>13</v>
      </c>
      <c r="H60" s="53" t="s">
        <v>14</v>
      </c>
    </row>
    <row r="61">
      <c r="A61" s="62" t="s">
        <v>226</v>
      </c>
      <c r="B61" s="62" t="s">
        <v>298</v>
      </c>
      <c r="C61" s="40" t="s">
        <v>299</v>
      </c>
      <c r="D61" s="53" t="s">
        <v>300</v>
      </c>
      <c r="E61" s="53" t="s">
        <v>301</v>
      </c>
      <c r="F61" s="60">
        <v>261.0</v>
      </c>
      <c r="G61" s="53" t="s">
        <v>13</v>
      </c>
      <c r="H61" s="53" t="s">
        <v>14</v>
      </c>
    </row>
    <row r="62">
      <c r="A62" s="62" t="s">
        <v>226</v>
      </c>
      <c r="B62" s="64">
        <v>44507.0</v>
      </c>
      <c r="C62" s="40" t="s">
        <v>302</v>
      </c>
      <c r="D62" s="53" t="s">
        <v>303</v>
      </c>
      <c r="E62" s="53" t="s">
        <v>304</v>
      </c>
      <c r="F62" s="60">
        <v>293.0</v>
      </c>
      <c r="G62" s="53" t="s">
        <v>13</v>
      </c>
      <c r="H62" s="53" t="s">
        <v>14</v>
      </c>
    </row>
    <row r="63">
      <c r="A63" s="62" t="s">
        <v>305</v>
      </c>
      <c r="B63" s="62" t="s">
        <v>147</v>
      </c>
      <c r="C63" s="40" t="s">
        <v>306</v>
      </c>
      <c r="D63" s="53" t="s">
        <v>307</v>
      </c>
      <c r="E63" s="53" t="s">
        <v>308</v>
      </c>
      <c r="F63" s="60">
        <v>299.0</v>
      </c>
      <c r="G63" s="53" t="s">
        <v>13</v>
      </c>
      <c r="H63" s="53" t="s">
        <v>14</v>
      </c>
    </row>
    <row r="64">
      <c r="A64" s="62" t="s">
        <v>305</v>
      </c>
      <c r="B64" s="64">
        <v>44510.0</v>
      </c>
      <c r="C64" s="40" t="s">
        <v>309</v>
      </c>
      <c r="D64" s="53" t="s">
        <v>310</v>
      </c>
      <c r="E64" s="53" t="s">
        <v>311</v>
      </c>
      <c r="F64" s="60">
        <v>293.0</v>
      </c>
      <c r="G64" s="53" t="s">
        <v>13</v>
      </c>
      <c r="H64" s="53" t="s">
        <v>14</v>
      </c>
    </row>
    <row r="65">
      <c r="A65" s="62" t="s">
        <v>305</v>
      </c>
      <c r="B65" s="64" t="s">
        <v>313</v>
      </c>
      <c r="C65" s="40" t="s">
        <v>314</v>
      </c>
      <c r="D65" s="40" t="s">
        <v>315</v>
      </c>
      <c r="E65" s="40" t="s">
        <v>316</v>
      </c>
      <c r="F65" s="89">
        <v>218.0</v>
      </c>
      <c r="G65" s="40" t="s">
        <v>13</v>
      </c>
      <c r="H65" s="53" t="s">
        <v>14</v>
      </c>
      <c r="K65" s="90"/>
      <c r="L65" s="90"/>
      <c r="M65" s="90"/>
      <c r="N65" s="90"/>
      <c r="O65" s="90"/>
      <c r="P65" s="90"/>
      <c r="Q65" s="90"/>
      <c r="R65" s="90"/>
      <c r="S65" s="90"/>
      <c r="T65" s="90"/>
      <c r="U65" s="90"/>
      <c r="V65" s="90"/>
      <c r="W65" s="90"/>
      <c r="X65" s="90"/>
      <c r="Y65" s="90"/>
      <c r="Z65" s="90"/>
      <c r="AA65" s="90"/>
    </row>
    <row r="66">
      <c r="A66" s="62" t="s">
        <v>305</v>
      </c>
      <c r="B66" s="64" t="s">
        <v>317</v>
      </c>
      <c r="C66" s="40" t="s">
        <v>318</v>
      </c>
      <c r="D66" s="40" t="s">
        <v>319</v>
      </c>
      <c r="E66" s="40" t="s">
        <v>320</v>
      </c>
      <c r="F66" s="89">
        <v>206.0</v>
      </c>
      <c r="G66" s="40" t="s">
        <v>13</v>
      </c>
      <c r="H66" s="53" t="s">
        <v>14</v>
      </c>
    </row>
    <row r="67">
      <c r="A67" s="62" t="s">
        <v>305</v>
      </c>
      <c r="B67" s="62" t="s">
        <v>162</v>
      </c>
      <c r="C67" s="40" t="s">
        <v>322</v>
      </c>
      <c r="D67" s="40" t="s">
        <v>323</v>
      </c>
      <c r="E67" s="40" t="s">
        <v>324</v>
      </c>
      <c r="F67" s="89">
        <v>265.0</v>
      </c>
      <c r="G67" s="40" t="s">
        <v>13</v>
      </c>
      <c r="H67" s="53" t="s">
        <v>14</v>
      </c>
      <c r="I67" s="90"/>
      <c r="J67" s="90"/>
    </row>
    <row r="68">
      <c r="A68" s="62" t="s">
        <v>305</v>
      </c>
      <c r="B68" s="62" t="s">
        <v>325</v>
      </c>
      <c r="C68" s="40" t="s">
        <v>326</v>
      </c>
      <c r="D68" s="40" t="s">
        <v>327</v>
      </c>
      <c r="E68" s="40" t="s">
        <v>328</v>
      </c>
      <c r="F68" s="89">
        <v>486.0</v>
      </c>
      <c r="G68" s="40" t="s">
        <v>13</v>
      </c>
      <c r="H68" s="53" t="s">
        <v>14</v>
      </c>
    </row>
    <row r="69">
      <c r="A69" s="62" t="s">
        <v>305</v>
      </c>
      <c r="B69" s="62"/>
      <c r="C69" s="94" t="s">
        <v>330</v>
      </c>
      <c r="D69" s="40" t="s">
        <v>331</v>
      </c>
      <c r="E69" s="40" t="s">
        <v>332</v>
      </c>
      <c r="F69" s="89">
        <v>153.0</v>
      </c>
      <c r="G69" s="40" t="s">
        <v>37</v>
      </c>
      <c r="H69" s="53" t="s">
        <v>124</v>
      </c>
    </row>
    <row r="70">
      <c r="A70" s="62" t="s">
        <v>305</v>
      </c>
      <c r="B70" s="62" t="s">
        <v>208</v>
      </c>
      <c r="C70" s="94" t="s">
        <v>333</v>
      </c>
      <c r="D70" s="40" t="s">
        <v>335</v>
      </c>
      <c r="E70" s="40" t="s">
        <v>336</v>
      </c>
      <c r="F70" s="89">
        <v>219.0</v>
      </c>
      <c r="G70" s="40" t="s">
        <v>60</v>
      </c>
      <c r="H70" s="53" t="s">
        <v>14</v>
      </c>
    </row>
    <row r="71">
      <c r="A71" s="64" t="s">
        <v>337</v>
      </c>
      <c r="B71" s="62" t="s">
        <v>338</v>
      </c>
      <c r="C71" s="40" t="s">
        <v>339</v>
      </c>
      <c r="D71" s="40" t="s">
        <v>340</v>
      </c>
      <c r="E71" s="40" t="s">
        <v>341</v>
      </c>
      <c r="F71" s="89">
        <v>162.0</v>
      </c>
      <c r="G71" s="40" t="s">
        <v>55</v>
      </c>
      <c r="H71" s="53" t="s">
        <v>124</v>
      </c>
    </row>
    <row r="72">
      <c r="A72" s="62" t="s">
        <v>342</v>
      </c>
      <c r="B72" s="62" t="s">
        <v>343</v>
      </c>
      <c r="C72" s="40" t="s">
        <v>344</v>
      </c>
      <c r="D72" s="94" t="s">
        <v>345</v>
      </c>
      <c r="E72" s="40" t="s">
        <v>346</v>
      </c>
      <c r="F72" s="89">
        <v>287.0</v>
      </c>
      <c r="G72" s="40" t="s">
        <v>13</v>
      </c>
      <c r="H72" s="53" t="s">
        <v>14</v>
      </c>
    </row>
    <row r="73">
      <c r="A73" s="62" t="s">
        <v>347</v>
      </c>
      <c r="B73" s="62" t="s">
        <v>342</v>
      </c>
      <c r="C73" s="40" t="s">
        <v>348</v>
      </c>
      <c r="D73" s="40" t="s">
        <v>349</v>
      </c>
      <c r="E73" s="40" t="s">
        <v>350</v>
      </c>
      <c r="F73" s="89">
        <v>219.0</v>
      </c>
      <c r="G73" s="40" t="s">
        <v>55</v>
      </c>
      <c r="H73" s="40" t="s">
        <v>14</v>
      </c>
    </row>
    <row r="74">
      <c r="A74" s="62" t="s">
        <v>347</v>
      </c>
      <c r="B74" s="62" t="s">
        <v>351</v>
      </c>
      <c r="C74" s="53" t="s">
        <v>352</v>
      </c>
      <c r="D74" s="53" t="s">
        <v>353</v>
      </c>
      <c r="E74" s="53" t="s">
        <v>354</v>
      </c>
      <c r="F74" s="60">
        <v>234.0</v>
      </c>
      <c r="G74" s="40" t="s">
        <v>13</v>
      </c>
      <c r="H74" s="40" t="s">
        <v>14</v>
      </c>
    </row>
    <row r="75">
      <c r="A75" s="95" t="s">
        <v>347</v>
      </c>
      <c r="B75" s="96">
        <v>44383.0</v>
      </c>
      <c r="C75" s="97" t="s">
        <v>355</v>
      </c>
      <c r="D75" s="97" t="s">
        <v>356</v>
      </c>
      <c r="E75" s="98" t="s">
        <v>358</v>
      </c>
      <c r="F75" s="99">
        <v>224.0</v>
      </c>
      <c r="G75" s="100" t="s">
        <v>55</v>
      </c>
      <c r="H75" s="100" t="s">
        <v>14</v>
      </c>
      <c r="I75" s="90"/>
      <c r="J75" s="90"/>
      <c r="K75" s="90"/>
      <c r="L75" s="90"/>
      <c r="M75" s="90"/>
      <c r="N75" s="90"/>
      <c r="O75" s="90"/>
      <c r="P75" s="90"/>
      <c r="Q75" s="90"/>
      <c r="R75" s="90"/>
      <c r="S75" s="90"/>
      <c r="T75" s="90"/>
      <c r="U75" s="90"/>
      <c r="V75" s="90"/>
      <c r="W75" s="90"/>
      <c r="X75" s="90"/>
      <c r="Y75" s="90"/>
      <c r="Z75" s="90"/>
      <c r="AA75" s="90"/>
    </row>
    <row r="76">
      <c r="A76" s="90"/>
      <c r="B76" s="90"/>
      <c r="C76" s="90"/>
      <c r="D76" s="90"/>
      <c r="E76" s="90"/>
      <c r="F76" s="90"/>
      <c r="G76" s="90"/>
      <c r="H76" s="90"/>
    </row>
    <row r="77">
      <c r="A77" s="90"/>
      <c r="B77" s="90"/>
      <c r="C77" s="90"/>
      <c r="D77" s="90"/>
      <c r="E77" s="90"/>
      <c r="F77" s="90"/>
      <c r="G77" s="90"/>
      <c r="H77" s="90"/>
    </row>
    <row r="78">
      <c r="A78" s="53"/>
      <c r="B78" s="90"/>
      <c r="C78" s="90"/>
      <c r="D78" s="90"/>
      <c r="E78" s="90"/>
      <c r="F78" s="90"/>
      <c r="G78" s="90"/>
      <c r="H78" s="90"/>
    </row>
    <row r="79">
      <c r="A79" s="102"/>
      <c r="B79" s="102"/>
      <c r="C79" s="53"/>
      <c r="D79" s="53"/>
      <c r="E79" s="53"/>
      <c r="F79" s="60"/>
      <c r="G79" s="53"/>
      <c r="H79" s="53"/>
    </row>
    <row r="80">
      <c r="A80" s="102"/>
      <c r="B80" s="62"/>
      <c r="C80" s="53"/>
      <c r="D80" s="53"/>
      <c r="E80" s="53"/>
      <c r="F80" s="60"/>
      <c r="G80" s="53"/>
      <c r="H80" s="53"/>
    </row>
    <row r="81">
      <c r="A81" s="102"/>
      <c r="B81" s="102"/>
      <c r="C81" s="53"/>
      <c r="D81" s="53"/>
      <c r="E81" s="53"/>
      <c r="F81" s="60"/>
      <c r="G81" s="53"/>
      <c r="H81" s="53"/>
    </row>
    <row r="82">
      <c r="A82" s="102"/>
      <c r="B82" s="62"/>
      <c r="C82" s="53"/>
      <c r="D82" s="53"/>
      <c r="E82" s="53"/>
      <c r="F82" s="60"/>
      <c r="G82" s="53"/>
      <c r="H82" s="53"/>
    </row>
    <row r="83">
      <c r="A83" s="90"/>
      <c r="B83" s="90"/>
      <c r="C83" s="90"/>
      <c r="D83" s="90"/>
      <c r="E83" s="90"/>
      <c r="F83" s="90"/>
      <c r="G83" s="90"/>
      <c r="H83" s="90"/>
    </row>
    <row r="84">
      <c r="A84" s="90"/>
      <c r="B84" s="90"/>
      <c r="C84" s="90"/>
      <c r="D84" s="90"/>
      <c r="E84" s="90"/>
      <c r="F84" s="90"/>
      <c r="G84" s="90"/>
      <c r="H84" s="90"/>
    </row>
    <row r="85">
      <c r="A85" s="90"/>
      <c r="B85" s="90"/>
      <c r="C85" s="90"/>
      <c r="D85" s="90"/>
      <c r="E85" s="90"/>
      <c r="F85" s="90"/>
      <c r="G85" s="90"/>
      <c r="H85" s="90"/>
    </row>
    <row r="86">
      <c r="A86" s="90"/>
      <c r="B86" s="90"/>
      <c r="C86" s="90"/>
      <c r="D86" s="90"/>
      <c r="E86" s="90"/>
      <c r="F86" s="90"/>
      <c r="G86" s="90"/>
      <c r="H86" s="90"/>
    </row>
    <row r="87">
      <c r="A87" s="90"/>
      <c r="B87" s="90"/>
      <c r="C87" s="90"/>
      <c r="D87" s="90"/>
      <c r="E87" s="90"/>
      <c r="F87" s="90"/>
      <c r="G87" s="90"/>
      <c r="H87" s="90"/>
    </row>
    <row r="88">
      <c r="A88" s="90"/>
      <c r="B88" s="90"/>
      <c r="C88" s="90"/>
      <c r="D88" s="90"/>
      <c r="E88" s="90"/>
      <c r="F88" s="90"/>
      <c r="G88" s="90"/>
      <c r="H88" s="90"/>
    </row>
    <row r="89">
      <c r="A89" s="90"/>
      <c r="B89" s="90"/>
      <c r="C89" s="90"/>
      <c r="D89" s="90"/>
      <c r="E89" s="90"/>
      <c r="F89" s="90"/>
      <c r="G89" s="90"/>
      <c r="H89" s="90"/>
    </row>
    <row r="90">
      <c r="A90" s="90"/>
      <c r="B90" s="90"/>
      <c r="C90" s="90"/>
      <c r="D90" s="90"/>
      <c r="E90" s="90"/>
      <c r="F90" s="90"/>
      <c r="G90" s="90"/>
      <c r="H90" s="90"/>
    </row>
    <row r="91">
      <c r="A91" s="90"/>
      <c r="B91" s="90"/>
      <c r="C91" s="90"/>
      <c r="D91" s="90"/>
      <c r="E91" s="90"/>
      <c r="F91" s="90"/>
      <c r="G91" s="90"/>
      <c r="H91" s="90"/>
    </row>
    <row r="92">
      <c r="A92" s="90"/>
      <c r="B92" s="90"/>
      <c r="C92" s="90"/>
      <c r="D92" s="90"/>
      <c r="E92" s="90"/>
      <c r="F92" s="90"/>
      <c r="G92" s="90"/>
      <c r="H92" s="90"/>
    </row>
    <row r="93">
      <c r="A93" s="90"/>
      <c r="B93" s="90"/>
      <c r="C93" s="90"/>
      <c r="D93" s="90"/>
      <c r="E93" s="90"/>
      <c r="F93" s="90"/>
      <c r="G93" s="90"/>
      <c r="H93" s="90"/>
    </row>
    <row r="94">
      <c r="A94" s="90"/>
      <c r="B94" s="90"/>
      <c r="C94" s="90"/>
      <c r="D94" s="90"/>
      <c r="E94" s="90"/>
      <c r="F94" s="90"/>
      <c r="G94" s="90"/>
      <c r="H94" s="90"/>
    </row>
    <row r="95">
      <c r="A95" s="90"/>
      <c r="B95" s="90"/>
      <c r="C95" s="90"/>
      <c r="D95" s="90"/>
      <c r="E95" s="90"/>
      <c r="F95" s="90"/>
      <c r="G95" s="90"/>
      <c r="H95" s="90"/>
    </row>
    <row r="96">
      <c r="A96" s="90"/>
      <c r="B96" s="90"/>
      <c r="C96" s="90"/>
      <c r="D96" s="90"/>
      <c r="E96" s="90"/>
      <c r="F96" s="90"/>
      <c r="G96" s="90"/>
      <c r="H96" s="90"/>
    </row>
    <row r="97">
      <c r="A97" s="90"/>
      <c r="B97" s="90"/>
      <c r="C97" s="90"/>
      <c r="D97" s="90"/>
      <c r="E97" s="90"/>
      <c r="F97" s="90"/>
      <c r="G97" s="90"/>
      <c r="H97" s="90"/>
    </row>
    <row r="98">
      <c r="A98" s="90"/>
      <c r="B98" s="90"/>
      <c r="C98" s="90"/>
      <c r="D98" s="90"/>
      <c r="E98" s="90"/>
      <c r="F98" s="90"/>
      <c r="G98" s="90"/>
      <c r="H98" s="90"/>
    </row>
    <row r="99">
      <c r="A99" s="90"/>
      <c r="B99" s="90"/>
      <c r="C99" s="90"/>
      <c r="D99" s="90"/>
      <c r="E99" s="90"/>
      <c r="F99" s="90"/>
      <c r="G99" s="90"/>
      <c r="H99" s="90"/>
    </row>
    <row r="100">
      <c r="A100" s="90"/>
      <c r="B100" s="90"/>
      <c r="C100" s="90"/>
      <c r="D100" s="90"/>
      <c r="E100" s="90"/>
      <c r="F100" s="90"/>
      <c r="G100" s="90"/>
      <c r="H100" s="90"/>
    </row>
    <row r="101">
      <c r="A101" s="90"/>
      <c r="B101" s="90"/>
      <c r="C101" s="90"/>
      <c r="D101" s="90"/>
      <c r="E101" s="90"/>
      <c r="F101" s="90"/>
      <c r="G101" s="90"/>
      <c r="H101" s="90"/>
    </row>
    <row r="102">
      <c r="A102" s="90"/>
      <c r="B102" s="90"/>
      <c r="C102" s="90"/>
      <c r="D102" s="90"/>
      <c r="E102" s="90"/>
      <c r="F102" s="90"/>
      <c r="G102" s="90"/>
      <c r="H102" s="90"/>
    </row>
    <row r="103">
      <c r="A103" s="90"/>
      <c r="B103" s="90"/>
      <c r="C103" s="90"/>
      <c r="D103" s="90"/>
      <c r="E103" s="90"/>
      <c r="F103" s="90"/>
      <c r="G103" s="90"/>
      <c r="H103" s="90"/>
    </row>
    <row r="104">
      <c r="A104" s="90"/>
      <c r="B104" s="90"/>
      <c r="C104" s="90"/>
      <c r="D104" s="90"/>
      <c r="E104" s="90"/>
      <c r="F104" s="90"/>
      <c r="G104" s="90"/>
      <c r="H104" s="90"/>
    </row>
    <row r="105">
      <c r="A105" s="90"/>
      <c r="B105" s="90"/>
      <c r="C105" s="90"/>
      <c r="D105" s="90"/>
      <c r="E105" s="90"/>
      <c r="F105" s="90"/>
      <c r="G105" s="90"/>
      <c r="H105" s="90"/>
    </row>
    <row r="106">
      <c r="A106" s="90"/>
      <c r="B106" s="90"/>
      <c r="C106" s="90"/>
      <c r="D106" s="90"/>
      <c r="E106" s="90"/>
      <c r="F106" s="90"/>
      <c r="G106" s="90"/>
      <c r="H106" s="90"/>
    </row>
    <row r="107">
      <c r="A107" s="90"/>
      <c r="B107" s="90"/>
      <c r="C107" s="90"/>
      <c r="D107" s="90"/>
      <c r="E107" s="90"/>
      <c r="F107" s="90"/>
      <c r="G107" s="90"/>
      <c r="H107" s="90"/>
    </row>
    <row r="108">
      <c r="A108" s="90"/>
      <c r="B108" s="90"/>
      <c r="C108" s="90"/>
      <c r="D108" s="90"/>
      <c r="E108" s="90"/>
      <c r="F108" s="90"/>
      <c r="G108" s="90"/>
      <c r="H108" s="90"/>
    </row>
    <row r="109">
      <c r="A109" s="90"/>
      <c r="B109" s="90"/>
      <c r="C109" s="90"/>
      <c r="D109" s="90"/>
      <c r="E109" s="90"/>
      <c r="F109" s="90"/>
      <c r="G109" s="90"/>
      <c r="H109" s="90"/>
    </row>
    <row r="110">
      <c r="A110" s="90"/>
      <c r="B110" s="90"/>
      <c r="C110" s="90"/>
      <c r="D110" s="90"/>
      <c r="E110" s="90"/>
      <c r="F110" s="90"/>
      <c r="G110" s="90"/>
      <c r="H110" s="90"/>
    </row>
    <row r="111">
      <c r="A111" s="90"/>
      <c r="B111" s="90"/>
      <c r="C111" s="90"/>
      <c r="D111" s="90"/>
      <c r="E111" s="90"/>
      <c r="F111" s="90"/>
      <c r="G111" s="90"/>
      <c r="H111" s="90"/>
    </row>
    <row r="112">
      <c r="A112" s="90"/>
      <c r="B112" s="90"/>
      <c r="C112" s="90"/>
      <c r="D112" s="90"/>
      <c r="E112" s="90"/>
      <c r="F112" s="90"/>
      <c r="G112" s="90"/>
      <c r="H112" s="90"/>
    </row>
    <row r="113">
      <c r="A113" s="90"/>
      <c r="B113" s="90"/>
      <c r="C113" s="90"/>
      <c r="D113" s="90"/>
      <c r="E113" s="90"/>
      <c r="F113" s="90"/>
      <c r="G113" s="90"/>
      <c r="H113" s="90"/>
    </row>
    <row r="114">
      <c r="A114" s="90"/>
      <c r="B114" s="90"/>
      <c r="C114" s="90"/>
      <c r="D114" s="90"/>
      <c r="E114" s="90"/>
      <c r="F114" s="90"/>
      <c r="G114" s="90"/>
      <c r="H114" s="90"/>
    </row>
    <row r="115">
      <c r="A115" s="90"/>
      <c r="B115" s="90"/>
      <c r="C115" s="90"/>
      <c r="D115" s="90"/>
      <c r="E115" s="90"/>
      <c r="F115" s="90"/>
      <c r="G115" s="90"/>
      <c r="H115" s="90"/>
    </row>
    <row r="116">
      <c r="A116" s="90"/>
      <c r="B116" s="90"/>
      <c r="C116" s="90"/>
      <c r="D116" s="90"/>
      <c r="E116" s="90"/>
      <c r="F116" s="90"/>
      <c r="G116" s="90"/>
      <c r="H116" s="90"/>
    </row>
    <row r="117">
      <c r="A117" s="90"/>
      <c r="B117" s="90"/>
      <c r="C117" s="90"/>
      <c r="D117" s="90"/>
      <c r="E117" s="90"/>
      <c r="F117" s="90"/>
      <c r="G117" s="90"/>
      <c r="H117" s="90"/>
    </row>
    <row r="118">
      <c r="A118" s="90"/>
      <c r="B118" s="90"/>
      <c r="C118" s="90"/>
      <c r="D118" s="90"/>
      <c r="E118" s="90"/>
      <c r="F118" s="90"/>
      <c r="G118" s="90"/>
      <c r="H118" s="90"/>
    </row>
    <row r="119">
      <c r="A119" s="90"/>
      <c r="B119" s="90"/>
      <c r="C119" s="90"/>
      <c r="D119" s="90"/>
      <c r="E119" s="90"/>
      <c r="F119" s="90"/>
      <c r="G119" s="90"/>
      <c r="H119" s="90"/>
    </row>
    <row r="120">
      <c r="A120" s="90"/>
      <c r="B120" s="90"/>
      <c r="C120" s="90"/>
      <c r="D120" s="90"/>
      <c r="E120" s="90"/>
      <c r="F120" s="90"/>
      <c r="G120" s="90"/>
      <c r="H120" s="90"/>
    </row>
    <row r="121">
      <c r="A121" s="90"/>
      <c r="B121" s="90"/>
      <c r="C121" s="90"/>
      <c r="D121" s="90"/>
      <c r="E121" s="90"/>
      <c r="F121" s="90"/>
      <c r="G121" s="90"/>
      <c r="H121" s="90"/>
    </row>
    <row r="122">
      <c r="A122" s="90"/>
      <c r="B122" s="90"/>
      <c r="C122" s="90"/>
      <c r="D122" s="90"/>
      <c r="E122" s="90"/>
      <c r="F122" s="90"/>
      <c r="G122" s="90"/>
      <c r="H122" s="90"/>
    </row>
    <row r="123">
      <c r="A123" s="90"/>
      <c r="B123" s="90"/>
      <c r="C123" s="90"/>
      <c r="D123" s="90"/>
      <c r="E123" s="90"/>
      <c r="F123" s="90"/>
      <c r="G123" s="90"/>
      <c r="H123" s="90"/>
    </row>
    <row r="124">
      <c r="A124" s="90"/>
      <c r="B124" s="90"/>
      <c r="C124" s="90"/>
      <c r="D124" s="90"/>
      <c r="E124" s="90"/>
      <c r="F124" s="90"/>
      <c r="G124" s="90"/>
      <c r="H124" s="90"/>
    </row>
    <row r="125">
      <c r="A125" s="90"/>
      <c r="B125" s="90"/>
      <c r="C125" s="90"/>
      <c r="D125" s="90"/>
      <c r="E125" s="90"/>
      <c r="F125" s="90"/>
      <c r="G125" s="90"/>
      <c r="H125" s="90"/>
    </row>
    <row r="126">
      <c r="A126" s="90"/>
      <c r="B126" s="90"/>
      <c r="C126" s="90"/>
      <c r="D126" s="90"/>
      <c r="E126" s="90"/>
      <c r="F126" s="90"/>
      <c r="G126" s="90"/>
      <c r="H126" s="90"/>
    </row>
    <row r="127">
      <c r="A127" s="90"/>
      <c r="B127" s="90"/>
      <c r="C127" s="90"/>
      <c r="D127" s="90"/>
      <c r="E127" s="90"/>
      <c r="F127" s="90"/>
      <c r="G127" s="90"/>
      <c r="H127" s="90"/>
    </row>
    <row r="128">
      <c r="A128" s="90"/>
      <c r="B128" s="90"/>
      <c r="C128" s="90"/>
      <c r="D128" s="90"/>
      <c r="E128" s="90"/>
      <c r="F128" s="90"/>
      <c r="G128" s="90"/>
      <c r="H128" s="90"/>
    </row>
    <row r="129">
      <c r="A129" s="90"/>
      <c r="B129" s="90"/>
      <c r="C129" s="90"/>
      <c r="D129" s="90"/>
      <c r="E129" s="90"/>
      <c r="F129" s="90"/>
      <c r="G129" s="90"/>
      <c r="H129" s="90"/>
    </row>
    <row r="130">
      <c r="A130" s="90"/>
      <c r="B130" s="90"/>
      <c r="C130" s="90"/>
      <c r="D130" s="90"/>
      <c r="E130" s="90"/>
      <c r="F130" s="90"/>
      <c r="G130" s="90"/>
      <c r="H130" s="90"/>
    </row>
    <row r="131">
      <c r="A131" s="90"/>
      <c r="B131" s="90"/>
      <c r="C131" s="90"/>
      <c r="D131" s="90"/>
      <c r="E131" s="90"/>
      <c r="F131" s="90"/>
      <c r="G131" s="90"/>
      <c r="H131" s="90"/>
    </row>
    <row r="132">
      <c r="A132" s="90"/>
      <c r="B132" s="90"/>
      <c r="C132" s="90"/>
      <c r="D132" s="90"/>
      <c r="E132" s="90"/>
      <c r="F132" s="90"/>
      <c r="G132" s="90"/>
      <c r="H132" s="90"/>
    </row>
    <row r="133">
      <c r="A133" s="90"/>
      <c r="B133" s="90"/>
      <c r="C133" s="90"/>
      <c r="D133" s="90"/>
      <c r="E133" s="90"/>
      <c r="F133" s="90"/>
      <c r="G133" s="90"/>
      <c r="H133" s="90"/>
    </row>
    <row r="134">
      <c r="A134" s="90"/>
      <c r="B134" s="90"/>
      <c r="C134" s="90"/>
      <c r="D134" s="90"/>
      <c r="E134" s="90"/>
      <c r="F134" s="90"/>
      <c r="G134" s="90"/>
      <c r="H134" s="90"/>
    </row>
    <row r="135">
      <c r="A135" s="90"/>
      <c r="B135" s="90"/>
      <c r="C135" s="90"/>
      <c r="D135" s="90"/>
      <c r="E135" s="90"/>
      <c r="F135" s="90"/>
      <c r="G135" s="90"/>
      <c r="H135" s="90"/>
    </row>
    <row r="136">
      <c r="A136" s="90"/>
      <c r="B136" s="90"/>
      <c r="C136" s="90"/>
      <c r="D136" s="90"/>
      <c r="E136" s="90"/>
      <c r="F136" s="90"/>
      <c r="G136" s="90"/>
      <c r="H136" s="90"/>
    </row>
    <row r="137">
      <c r="A137" s="90"/>
      <c r="B137" s="90"/>
      <c r="C137" s="90"/>
      <c r="D137" s="90"/>
      <c r="E137" s="90"/>
      <c r="F137" s="90"/>
      <c r="G137" s="90"/>
      <c r="H137" s="90"/>
    </row>
    <row r="138">
      <c r="A138" s="90"/>
      <c r="B138" s="90"/>
      <c r="C138" s="90"/>
      <c r="D138" s="90"/>
      <c r="E138" s="90"/>
      <c r="F138" s="90"/>
      <c r="G138" s="90"/>
      <c r="H138" s="90"/>
    </row>
    <row r="139">
      <c r="A139" s="90"/>
      <c r="B139" s="90"/>
      <c r="C139" s="90"/>
      <c r="D139" s="90"/>
      <c r="E139" s="90"/>
      <c r="F139" s="90"/>
      <c r="G139" s="90"/>
      <c r="H139" s="90"/>
    </row>
    <row r="140">
      <c r="A140" s="90"/>
      <c r="B140" s="90"/>
      <c r="C140" s="90"/>
      <c r="D140" s="90"/>
      <c r="E140" s="90"/>
      <c r="F140" s="90"/>
      <c r="G140" s="90"/>
      <c r="H140" s="90"/>
    </row>
    <row r="141">
      <c r="A141" s="90"/>
      <c r="B141" s="90"/>
      <c r="C141" s="90"/>
      <c r="D141" s="90"/>
      <c r="E141" s="90"/>
      <c r="F141" s="90"/>
      <c r="G141" s="90"/>
      <c r="H141" s="90"/>
    </row>
    <row r="142">
      <c r="A142" s="90"/>
      <c r="B142" s="90"/>
      <c r="C142" s="90"/>
      <c r="D142" s="90"/>
      <c r="E142" s="90"/>
      <c r="F142" s="90"/>
      <c r="G142" s="90"/>
      <c r="H142" s="90"/>
    </row>
    <row r="143">
      <c r="A143" s="90"/>
      <c r="B143" s="90"/>
      <c r="C143" s="90"/>
      <c r="D143" s="90"/>
      <c r="E143" s="90"/>
      <c r="F143" s="90"/>
      <c r="G143" s="90"/>
      <c r="H143" s="90"/>
    </row>
    <row r="144">
      <c r="A144" s="90"/>
      <c r="B144" s="90"/>
      <c r="C144" s="90"/>
      <c r="D144" s="90"/>
      <c r="E144" s="90"/>
      <c r="F144" s="90"/>
      <c r="G144" s="90"/>
      <c r="H144" s="90"/>
    </row>
    <row r="145">
      <c r="A145" s="90"/>
      <c r="B145" s="90"/>
      <c r="C145" s="90"/>
      <c r="D145" s="90"/>
      <c r="E145" s="90"/>
      <c r="F145" s="90"/>
      <c r="G145" s="90"/>
      <c r="H145" s="90"/>
    </row>
    <row r="146">
      <c r="A146" s="90"/>
      <c r="B146" s="90"/>
      <c r="C146" s="90"/>
      <c r="D146" s="90"/>
      <c r="E146" s="90"/>
      <c r="F146" s="90"/>
      <c r="G146" s="90"/>
      <c r="H146" s="90"/>
    </row>
    <row r="147">
      <c r="A147" s="90"/>
      <c r="B147" s="90"/>
      <c r="C147" s="90"/>
      <c r="D147" s="90"/>
      <c r="E147" s="90"/>
      <c r="F147" s="90"/>
      <c r="G147" s="90"/>
      <c r="H147" s="90"/>
    </row>
    <row r="148">
      <c r="A148" s="90"/>
      <c r="B148" s="90"/>
      <c r="C148" s="90"/>
      <c r="D148" s="90"/>
      <c r="E148" s="90"/>
      <c r="F148" s="90"/>
      <c r="G148" s="90"/>
      <c r="H148" s="90"/>
    </row>
    <row r="149">
      <c r="A149" s="90"/>
      <c r="B149" s="90"/>
      <c r="C149" s="90"/>
      <c r="D149" s="90"/>
      <c r="E149" s="90"/>
      <c r="F149" s="90"/>
      <c r="G149" s="90"/>
      <c r="H149" s="90"/>
    </row>
    <row r="150">
      <c r="A150" s="90"/>
      <c r="B150" s="90"/>
      <c r="C150" s="90"/>
      <c r="D150" s="90"/>
      <c r="E150" s="90"/>
      <c r="F150" s="90"/>
      <c r="G150" s="90"/>
      <c r="H150" s="90"/>
    </row>
    <row r="151">
      <c r="A151" s="90"/>
      <c r="B151" s="90"/>
      <c r="C151" s="90"/>
      <c r="D151" s="90"/>
      <c r="E151" s="90"/>
      <c r="F151" s="90"/>
      <c r="G151" s="90"/>
      <c r="H151" s="90"/>
    </row>
    <row r="152">
      <c r="A152" s="90"/>
      <c r="B152" s="90"/>
      <c r="C152" s="90"/>
      <c r="D152" s="90"/>
      <c r="E152" s="90"/>
      <c r="F152" s="90"/>
      <c r="G152" s="90"/>
      <c r="H152" s="90"/>
    </row>
    <row r="153">
      <c r="A153" s="90"/>
      <c r="B153" s="90"/>
      <c r="C153" s="90"/>
      <c r="D153" s="90"/>
      <c r="E153" s="90"/>
      <c r="F153" s="90"/>
      <c r="G153" s="90"/>
      <c r="H153" s="90"/>
    </row>
    <row r="154">
      <c r="A154" s="90"/>
      <c r="B154" s="90"/>
      <c r="C154" s="90"/>
      <c r="D154" s="90"/>
      <c r="E154" s="90"/>
      <c r="F154" s="90"/>
      <c r="G154" s="90"/>
      <c r="H154" s="90"/>
    </row>
    <row r="155">
      <c r="A155" s="90"/>
      <c r="B155" s="90"/>
      <c r="C155" s="90"/>
      <c r="D155" s="90"/>
      <c r="E155" s="90"/>
      <c r="F155" s="90"/>
      <c r="G155" s="90"/>
      <c r="H155" s="90"/>
    </row>
    <row r="156">
      <c r="A156" s="90"/>
      <c r="B156" s="90"/>
      <c r="C156" s="90"/>
      <c r="D156" s="90"/>
      <c r="E156" s="90"/>
      <c r="F156" s="90"/>
      <c r="G156" s="90"/>
      <c r="H156" s="90"/>
    </row>
  </sheetData>
  <conditionalFormatting sqref="K2:K7">
    <cfRule type="colorScale" priority="1">
      <colorScale>
        <cfvo type="min"/>
        <cfvo type="max"/>
        <color rgb="FFFFFFFF"/>
        <color rgb="FFE67C73"/>
      </colorScale>
    </cfRule>
  </conditionalFormatting>
  <conditionalFormatting sqref="J16:J26">
    <cfRule type="colorScale" priority="2">
      <colorScale>
        <cfvo type="min"/>
        <cfvo type="max"/>
        <color rgb="FFFFFFFF"/>
        <color rgb="FFE67C73"/>
      </colorScale>
    </cfRule>
  </conditionalFormatting>
  <hyperlinks>
    <hyperlink r:id="rId1" ref="C69"/>
    <hyperlink r:id="rId2" ref="C70"/>
    <hyperlink r:id="rId3" ref="D7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121" t="s">
        <v>390</v>
      </c>
      <c r="F1" s="123" t="s">
        <v>391</v>
      </c>
      <c r="G1" s="124"/>
    </row>
    <row r="2">
      <c r="C2" s="22" t="s">
        <v>392</v>
      </c>
      <c r="D2" s="22" t="s">
        <v>393</v>
      </c>
      <c r="F2" s="125"/>
      <c r="G2" s="124"/>
    </row>
    <row r="3">
      <c r="A3" s="3">
        <v>44470.0</v>
      </c>
      <c r="C3" s="22">
        <v>1164.89</v>
      </c>
      <c r="D3" s="112">
        <f>IFERROR(__xludf.DUMMYFUNCTION("GOOGLEFINANCE(""CURRENCY:EURUSD"")*C3"),1344.0733797999999)</f>
        <v>1344.07338</v>
      </c>
      <c r="F3" s="124"/>
      <c r="G3" s="124"/>
    </row>
    <row r="4">
      <c r="A4" s="3">
        <v>44471.0</v>
      </c>
      <c r="C4" s="22">
        <v>1703.41</v>
      </c>
      <c r="D4" s="112">
        <f>IFERROR(__xludf.DUMMYFUNCTION("GOOGLEFINANCE(""CURRENCY:EURUSD"")*C4"),1965.4285261999999)</f>
        <v>1965.428526</v>
      </c>
      <c r="F4" s="126"/>
      <c r="G4" s="127"/>
      <c r="J4" s="22"/>
    </row>
    <row r="5">
      <c r="A5" s="3">
        <v>44472.0</v>
      </c>
      <c r="C5" s="22">
        <v>2018.51</v>
      </c>
      <c r="D5" s="112">
        <f>IFERROR(__xludf.DUMMYFUNCTION("GOOGLEFINANCE(""CURRENCY:EURUSD"")*C5"),2328.9972081999995)</f>
        <v>2328.997208</v>
      </c>
      <c r="F5" s="126"/>
      <c r="G5" s="124"/>
    </row>
    <row r="6">
      <c r="A6" s="3">
        <v>44473.0</v>
      </c>
      <c r="C6" s="22">
        <v>1487.1</v>
      </c>
      <c r="D6" s="112">
        <f>IFERROR(__xludf.DUMMYFUNCTION("GOOGLEFINANCE(""CURRENCY:EURUSD"")*C6"),1715.8457219999996)</f>
        <v>1715.845722</v>
      </c>
      <c r="F6" s="126"/>
      <c r="G6" s="124"/>
    </row>
    <row r="7">
      <c r="A7" s="3">
        <v>44474.0</v>
      </c>
      <c r="C7" s="22">
        <v>1814.21</v>
      </c>
      <c r="D7" s="112">
        <f>IFERROR(__xludf.DUMMYFUNCTION("GOOGLEFINANCE(""CURRENCY:EURUSD"")*C7"),2093.2717822)</f>
        <v>2093.271782</v>
      </c>
      <c r="F7" s="126"/>
      <c r="G7" s="126"/>
    </row>
    <row r="8">
      <c r="A8" s="3">
        <v>44475.0</v>
      </c>
      <c r="C8" s="22">
        <v>1327.97</v>
      </c>
      <c r="D8" s="112">
        <f>IFERROR(__xludf.DUMMYFUNCTION("GOOGLEFINANCE(""CURRENCY:EURUSD"")*C8"),1532.2383453999998)</f>
        <v>1532.238345</v>
      </c>
      <c r="F8" s="126"/>
      <c r="G8" s="126"/>
    </row>
    <row r="9">
      <c r="A9" s="3">
        <v>44476.0</v>
      </c>
      <c r="C9" s="22">
        <v>1022.24</v>
      </c>
      <c r="D9" s="112">
        <f>IFERROR(__xludf.DUMMYFUNCTION("GOOGLEFINANCE(""CURRENCY:EURUSD"")*C9"),1179.4809567999998)</f>
        <v>1179.480957</v>
      </c>
      <c r="F9" s="126"/>
      <c r="G9" s="126"/>
    </row>
    <row r="10">
      <c r="A10" s="3">
        <v>44477.0</v>
      </c>
      <c r="C10" s="22">
        <v>1286.49</v>
      </c>
      <c r="D10" s="112">
        <f>IFERROR(__xludf.DUMMYFUNCTION("GOOGLEFINANCE(""CURRENCY:EURUSD"")*C10"),1484.3778917999998)</f>
        <v>1484.377892</v>
      </c>
      <c r="F10" s="126"/>
      <c r="G10" s="126"/>
    </row>
    <row r="11">
      <c r="A11" s="3">
        <v>44478.0</v>
      </c>
      <c r="C11" s="22">
        <v>1509.93</v>
      </c>
      <c r="D11" s="112">
        <f>IFERROR(__xludf.DUMMYFUNCTION("GOOGLEFINANCE(""CURRENCY:EURUSD"")*C11"),1742.1874325999997)</f>
        <v>1742.187433</v>
      </c>
      <c r="F11" s="126"/>
      <c r="G11" s="126"/>
    </row>
    <row r="12">
      <c r="A12" s="3">
        <v>44479.0</v>
      </c>
      <c r="C12" s="22">
        <v>1468.62</v>
      </c>
      <c r="D12" s="112">
        <f>IFERROR(__xludf.DUMMYFUNCTION("GOOGLEFINANCE(""CURRENCY:EURUSD"")*C12"),1694.5231283999997)</f>
        <v>1694.523128</v>
      </c>
      <c r="F12" s="126"/>
      <c r="G12" s="126"/>
    </row>
    <row r="13">
      <c r="A13" s="3">
        <v>44480.0</v>
      </c>
      <c r="C13" s="22">
        <v>1387.67</v>
      </c>
      <c r="D13" s="112">
        <f>IFERROR(__xludf.DUMMYFUNCTION("GOOGLEFINANCE(""CURRENCY:EURUSD"")*C13"),1601.1213994)</f>
        <v>1601.121399</v>
      </c>
    </row>
    <row r="14">
      <c r="A14" s="3">
        <v>44481.0</v>
      </c>
      <c r="C14" s="22">
        <v>1691.91</v>
      </c>
      <c r="D14" s="112">
        <f>IFERROR(__xludf.DUMMYFUNCTION("GOOGLEFINANCE(""CURRENCY:EURUSD"")*C14"),1952.1595962)</f>
        <v>1952.159596</v>
      </c>
    </row>
    <row r="15">
      <c r="A15" s="3">
        <v>44482.0</v>
      </c>
      <c r="C15" s="22">
        <v>1506.35</v>
      </c>
      <c r="D15" s="112">
        <f>IFERROR(__xludf.DUMMYFUNCTION("GOOGLEFINANCE(""CURRENCY:EURUSD"")*C15"),1738.0567569999996)</f>
        <v>1738.056757</v>
      </c>
    </row>
    <row r="16">
      <c r="A16" s="3">
        <v>44483.0</v>
      </c>
      <c r="C16" s="22">
        <v>1486.24</v>
      </c>
      <c r="D16" s="112">
        <f>IFERROR(__xludf.DUMMYFUNCTION("GOOGLEFINANCE(""CURRENCY:EURUSD"")*C16"),1714.8534367999998)</f>
        <v>1714.853437</v>
      </c>
    </row>
    <row r="17">
      <c r="A17" s="3">
        <v>44484.0</v>
      </c>
      <c r="C17" s="22">
        <v>1516.45</v>
      </c>
      <c r="D17" s="112">
        <f>IFERROR(__xludf.DUMMYFUNCTION("GOOGLEFINANCE(""CURRENCY:EURUSD"")*C17"),1749.7103389999997)</f>
        <v>1749.710339</v>
      </c>
    </row>
    <row r="18">
      <c r="A18" s="3">
        <v>44485.0</v>
      </c>
      <c r="C18" s="22">
        <v>1912.79</v>
      </c>
      <c r="D18" s="112">
        <f>IFERROR(__xludf.DUMMYFUNCTION("GOOGLEFINANCE(""CURRENCY:EURUSD"")*C18"),2207.0153577999995)</f>
        <v>2207.015358</v>
      </c>
    </row>
    <row r="19">
      <c r="A19" s="3">
        <v>44486.0</v>
      </c>
      <c r="C19" s="133">
        <v>2017.61</v>
      </c>
      <c r="D19" s="112">
        <f>IFERROR(__xludf.DUMMYFUNCTION("GOOGLEFINANCE(""CURRENCY:EURUSD"")*C19"),2327.9587701999994)</f>
        <v>2327.95877</v>
      </c>
    </row>
    <row r="20">
      <c r="A20" s="3">
        <v>44487.0</v>
      </c>
      <c r="C20" s="22">
        <v>1882.03</v>
      </c>
      <c r="D20" s="112">
        <f>IFERROR(__xludf.DUMMYFUNCTION("GOOGLEFINANCE(""CURRENCY:EURUSD"")*C20"),2171.5238545999996)</f>
        <v>2171.523855</v>
      </c>
    </row>
    <row r="21">
      <c r="A21" s="3">
        <v>44488.0</v>
      </c>
      <c r="C21" s="22">
        <v>1421.09</v>
      </c>
      <c r="D21" s="112">
        <f>IFERROR(__xludf.DUMMYFUNCTION("GOOGLEFINANCE(""CURRENCY:EURUSD"")*C21"),1639.6820637999997)</f>
        <v>1639.682064</v>
      </c>
    </row>
    <row r="22">
      <c r="A22" s="3">
        <v>44489.0</v>
      </c>
      <c r="C22" s="22">
        <v>1665.37</v>
      </c>
      <c r="D22" s="112">
        <f>IFERROR(__xludf.DUMMYFUNCTION("GOOGLEFINANCE(""CURRENCY:EURUSD"")*C22"),1921.5372133999997)</f>
        <v>1921.537213</v>
      </c>
    </row>
    <row r="23">
      <c r="A23" s="3">
        <v>44490.0</v>
      </c>
      <c r="C23" s="22">
        <v>1682.71</v>
      </c>
      <c r="D23" s="112">
        <f>IFERROR(__xludf.DUMMYFUNCTION("GOOGLEFINANCE(""CURRENCY:EURUSD"")*C23"),1941.5444521999998)</f>
        <v>1941.544452</v>
      </c>
    </row>
    <row r="24">
      <c r="A24" s="3">
        <v>44491.0</v>
      </c>
      <c r="C24" s="22">
        <v>2848.19</v>
      </c>
      <c r="D24" s="112">
        <f>IFERROR(__xludf.DUMMYFUNCTION("GOOGLEFINANCE(""CURRENCY:EURUSD"")*C24"),3286.2985857999997)</f>
        <v>3286.298586</v>
      </c>
    </row>
    <row r="25">
      <c r="A25" s="3">
        <v>44492.0</v>
      </c>
      <c r="C25" s="22">
        <v>1683.78</v>
      </c>
      <c r="D25" s="112">
        <f>IFERROR(__xludf.DUMMYFUNCTION("GOOGLEFINANCE(""CURRENCY:EURUSD"")*C25"),1942.7790395999998)</f>
        <v>1942.77904</v>
      </c>
    </row>
    <row r="26">
      <c r="A26" s="3">
        <v>44493.0</v>
      </c>
      <c r="C26" s="22">
        <v>1813.53</v>
      </c>
      <c r="D26" s="112">
        <f>IFERROR(__xludf.DUMMYFUNCTION("GOOGLEFINANCE(""CURRENCY:EURUSD"")*C26"),2092.4871845999996)</f>
        <v>2092.487185</v>
      </c>
    </row>
    <row r="27">
      <c r="A27" s="3">
        <v>44494.0</v>
      </c>
      <c r="C27" s="22">
        <v>1790.11</v>
      </c>
      <c r="D27" s="112">
        <f>IFERROR(__xludf.DUMMYFUNCTION("GOOGLEFINANCE(""CURRENCY:EURUSD"")*C27"),2065.4647201999996)</f>
        <v>2065.46472</v>
      </c>
    </row>
    <row r="28">
      <c r="A28" s="3">
        <v>44495.0</v>
      </c>
      <c r="C28" s="133">
        <v>1491.64</v>
      </c>
      <c r="D28" s="112">
        <f>IFERROR(__xludf.DUMMYFUNCTION("GOOGLEFINANCE(""CURRENCY:EURUSD"")*C28"),1721.0840647999999)</f>
        <v>1721.084065</v>
      </c>
    </row>
    <row r="29">
      <c r="A29" s="3">
        <v>44496.0</v>
      </c>
      <c r="C29" s="22">
        <v>1391.33</v>
      </c>
      <c r="D29" s="112">
        <f>IFERROR(__xludf.DUMMYFUNCTION("GOOGLEFINANCE(""CURRENCY:EURUSD"")*C29"),1605.3443805999998)</f>
        <v>1605.344381</v>
      </c>
    </row>
    <row r="30">
      <c r="A30" s="3">
        <v>44497.0</v>
      </c>
      <c r="C30" s="22">
        <v>1484.19</v>
      </c>
      <c r="D30" s="112">
        <f>IFERROR(__xludf.DUMMYFUNCTION("GOOGLEFINANCE(""CURRENCY:EURUSD"")*C30"),1712.4881057999999)</f>
        <v>1712.488106</v>
      </c>
    </row>
    <row r="31">
      <c r="A31" s="3">
        <v>44498.0</v>
      </c>
      <c r="C31" s="22">
        <v>2243.25</v>
      </c>
      <c r="D31" s="112">
        <f>IFERROR(__xludf.DUMMYFUNCTION("GOOGLEFINANCE(""CURRENCY:EURUSD"")*C31"),2588.3067149999997)</f>
        <v>2588.306715</v>
      </c>
    </row>
    <row r="32">
      <c r="A32" s="3">
        <v>44499.0</v>
      </c>
      <c r="C32" s="22">
        <v>3229.12</v>
      </c>
      <c r="D32" s="112">
        <f>IFERROR(__xludf.DUMMYFUNCTION("GOOGLEFINANCE(""CURRENCY:EURUSD"")*C32"),3725.8232383999994)</f>
        <v>3725.823238</v>
      </c>
    </row>
    <row r="33">
      <c r="A33" s="3">
        <v>44500.0</v>
      </c>
      <c r="C33" s="22">
        <v>2939.24</v>
      </c>
      <c r="D33" s="112">
        <f>IFERROR(__xludf.DUMMYFUNCTION("GOOGLEFINANCE(""CURRENCY:EURUSD"")*C33"),3391.3538967999993)</f>
        <v>3391.353897</v>
      </c>
    </row>
  </sheetData>
  <mergeCells count="1">
    <mergeCell ref="C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1" t="s">
        <v>395</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row>
    <row r="2">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row>
    <row r="3">
      <c r="A3" s="136" t="s">
        <v>398</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row>
    <row r="4">
      <c r="A4" s="132"/>
      <c r="B4" s="132"/>
      <c r="C4" s="132"/>
      <c r="D4" s="132"/>
      <c r="E4" s="132"/>
      <c r="F4" s="132"/>
      <c r="G4" s="132"/>
      <c r="H4" s="137">
        <v>1.6987982E7</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row>
    <row r="5">
      <c r="A5" s="138" t="s">
        <v>400</v>
      </c>
      <c r="B5" s="132"/>
      <c r="C5" s="132"/>
      <c r="D5" s="132"/>
      <c r="E5" s="132"/>
      <c r="F5" s="132"/>
      <c r="G5" s="132"/>
      <c r="H5" s="140"/>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c r="BM5" s="132"/>
    </row>
    <row r="6">
      <c r="A6" s="144" t="s">
        <v>402</v>
      </c>
      <c r="B6" s="145"/>
      <c r="C6" s="145"/>
      <c r="D6" s="145"/>
      <c r="E6" s="145"/>
      <c r="F6" s="145"/>
      <c r="G6" s="146"/>
      <c r="H6" s="140"/>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row>
    <row r="7">
      <c r="A7" s="147"/>
      <c r="B7" s="148"/>
      <c r="C7" s="148"/>
      <c r="D7" s="148"/>
      <c r="E7" s="148"/>
      <c r="F7" s="148"/>
      <c r="G7" s="149"/>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row>
    <row r="8">
      <c r="A8" s="144" t="s">
        <v>403</v>
      </c>
      <c r="B8" s="145"/>
      <c r="C8" s="145"/>
      <c r="D8" s="145"/>
      <c r="E8" s="145"/>
      <c r="F8" s="145"/>
      <c r="G8" s="146"/>
      <c r="H8" s="153" t="s">
        <v>404</v>
      </c>
      <c r="I8" s="132"/>
      <c r="J8" s="132"/>
      <c r="K8" s="132"/>
      <c r="L8" s="132"/>
      <c r="M8" s="132"/>
      <c r="N8" s="132"/>
      <c r="O8" s="132"/>
      <c r="P8" s="132"/>
      <c r="Q8" s="132"/>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2"/>
      <c r="BE8" s="132"/>
      <c r="BF8" s="132"/>
      <c r="BG8" s="132"/>
      <c r="BH8" s="132"/>
      <c r="BI8" s="132"/>
      <c r="BJ8" s="132"/>
      <c r="BK8" s="132"/>
      <c r="BL8" s="132"/>
      <c r="BM8" s="132"/>
    </row>
    <row r="9">
      <c r="A9" s="147"/>
      <c r="B9" s="148"/>
      <c r="C9" s="148"/>
      <c r="D9" s="148"/>
      <c r="E9" s="148"/>
      <c r="F9" s="148"/>
      <c r="G9" s="149"/>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2"/>
    </row>
    <row r="10">
      <c r="A10" s="144" t="s">
        <v>407</v>
      </c>
      <c r="B10" s="145"/>
      <c r="C10" s="145"/>
      <c r="D10" s="145"/>
      <c r="E10" s="145"/>
      <c r="F10" s="145"/>
      <c r="G10" s="146"/>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32"/>
      <c r="BG10" s="132"/>
      <c r="BH10" s="132"/>
      <c r="BI10" s="132"/>
      <c r="BJ10" s="132"/>
      <c r="BK10" s="132"/>
      <c r="BL10" s="132"/>
      <c r="BM10" s="132"/>
    </row>
    <row r="11">
      <c r="A11" s="147"/>
      <c r="B11" s="148"/>
      <c r="C11" s="148"/>
      <c r="D11" s="148"/>
      <c r="E11" s="148"/>
      <c r="F11" s="148"/>
      <c r="G11" s="149"/>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32"/>
      <c r="BG11" s="132"/>
      <c r="BH11" s="132"/>
      <c r="BI11" s="132"/>
      <c r="BJ11" s="132"/>
      <c r="BK11" s="132"/>
      <c r="BL11" s="132"/>
      <c r="BM11" s="132"/>
    </row>
    <row r="12">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row>
    <row r="13">
      <c r="A13" s="144" t="s">
        <v>411</v>
      </c>
      <c r="B13" s="145"/>
      <c r="C13" s="145"/>
      <c r="D13" s="145"/>
      <c r="E13" s="145"/>
      <c r="F13" s="145"/>
      <c r="G13" s="145"/>
      <c r="H13" s="146"/>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row>
    <row r="14">
      <c r="A14" s="167"/>
      <c r="H14" s="169"/>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132"/>
      <c r="BL14" s="132"/>
      <c r="BM14" s="132"/>
    </row>
    <row r="15">
      <c r="A15" s="147"/>
      <c r="B15" s="148"/>
      <c r="C15" s="148"/>
      <c r="D15" s="148"/>
      <c r="E15" s="148"/>
      <c r="F15" s="148"/>
      <c r="G15" s="148"/>
      <c r="H15" s="149"/>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row>
    <row r="16">
      <c r="A16" s="144" t="s">
        <v>413</v>
      </c>
      <c r="B16" s="145"/>
      <c r="C16" s="145"/>
      <c r="D16" s="145"/>
      <c r="E16" s="145"/>
      <c r="F16" s="145"/>
      <c r="G16" s="145"/>
      <c r="H16" s="146"/>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row>
    <row r="17">
      <c r="A17" s="147"/>
      <c r="B17" s="148"/>
      <c r="C17" s="148"/>
      <c r="D17" s="148"/>
      <c r="E17" s="148"/>
      <c r="F17" s="148"/>
      <c r="G17" s="148"/>
      <c r="H17" s="149"/>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2"/>
    </row>
    <row r="18">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2"/>
    </row>
    <row r="19">
      <c r="A19" s="180" t="s">
        <v>414</v>
      </c>
      <c r="B19" s="181"/>
      <c r="C19" s="181"/>
      <c r="D19" s="180" t="s">
        <v>415</v>
      </c>
      <c r="E19" s="180" t="s">
        <v>416</v>
      </c>
      <c r="F19" s="181"/>
      <c r="G19" s="180" t="s">
        <v>417</v>
      </c>
      <c r="H19" s="180" t="s">
        <v>418</v>
      </c>
      <c r="I19" s="180" t="s">
        <v>419</v>
      </c>
      <c r="J19" s="180" t="s">
        <v>420</v>
      </c>
      <c r="K19" s="180" t="s">
        <v>421</v>
      </c>
      <c r="L19" s="180" t="s">
        <v>422</v>
      </c>
      <c r="M19" s="180" t="s">
        <v>423</v>
      </c>
      <c r="N19" s="180" t="s">
        <v>424</v>
      </c>
      <c r="O19" s="180" t="s">
        <v>425</v>
      </c>
      <c r="P19" s="181"/>
      <c r="Q19" s="180" t="s">
        <v>426</v>
      </c>
      <c r="R19" s="180" t="s">
        <v>427</v>
      </c>
      <c r="S19" s="180" t="s">
        <v>428</v>
      </c>
      <c r="T19" s="180" t="s">
        <v>429</v>
      </c>
      <c r="U19" s="180" t="s">
        <v>430</v>
      </c>
      <c r="V19" s="181"/>
      <c r="W19" s="180" t="s">
        <v>431</v>
      </c>
      <c r="X19" s="180" t="s">
        <v>432</v>
      </c>
      <c r="Y19" s="180" t="s">
        <v>433</v>
      </c>
      <c r="Z19" s="180" t="s">
        <v>434</v>
      </c>
      <c r="AA19" s="180" t="s">
        <v>435</v>
      </c>
      <c r="AB19" s="180" t="s">
        <v>436</v>
      </c>
      <c r="AC19" s="180" t="s">
        <v>438</v>
      </c>
      <c r="AD19" s="180" t="s">
        <v>439</v>
      </c>
      <c r="AE19" s="180" t="s">
        <v>440</v>
      </c>
      <c r="AF19" s="180" t="s">
        <v>441</v>
      </c>
      <c r="AG19" s="180" t="s">
        <v>442</v>
      </c>
      <c r="AH19" s="181"/>
      <c r="AI19" s="181"/>
      <c r="AJ19" s="180" t="s">
        <v>443</v>
      </c>
      <c r="AK19" s="180" t="s">
        <v>444</v>
      </c>
      <c r="AL19" s="180" t="s">
        <v>445</v>
      </c>
      <c r="AM19" s="181"/>
      <c r="AN19" s="180" t="s">
        <v>446</v>
      </c>
      <c r="AO19" s="180" t="s">
        <v>447</v>
      </c>
      <c r="AP19" s="180" t="s">
        <v>448</v>
      </c>
      <c r="AQ19" s="180" t="s">
        <v>449</v>
      </c>
      <c r="AR19" s="181"/>
      <c r="AS19" s="181"/>
      <c r="AT19" s="180" t="s">
        <v>450</v>
      </c>
      <c r="AU19" s="180" t="s">
        <v>451</v>
      </c>
      <c r="AV19" s="180" t="s">
        <v>452</v>
      </c>
      <c r="AW19" s="180" t="s">
        <v>453</v>
      </c>
      <c r="AX19" s="181"/>
      <c r="AY19" s="181"/>
      <c r="AZ19" s="181"/>
      <c r="BA19" s="181"/>
      <c r="BB19" s="181"/>
      <c r="BC19" s="181"/>
      <c r="BD19" s="181"/>
      <c r="BE19" s="181"/>
      <c r="BF19" s="181"/>
      <c r="BG19" s="181"/>
      <c r="BH19" s="181"/>
      <c r="BI19" s="181"/>
      <c r="BJ19" s="181"/>
      <c r="BK19" s="181"/>
      <c r="BL19" s="181"/>
      <c r="BM19" s="181"/>
    </row>
    <row r="20" hidden="1">
      <c r="A20" s="22" t="s">
        <v>454</v>
      </c>
      <c r="C20" s="22" t="s">
        <v>455</v>
      </c>
      <c r="D20" s="22" t="s">
        <v>456</v>
      </c>
      <c r="E20" s="22" t="s">
        <v>457</v>
      </c>
      <c r="G20" s="22" t="s">
        <v>458</v>
      </c>
      <c r="H20" s="22" t="s">
        <v>459</v>
      </c>
      <c r="I20" s="22" t="s">
        <v>460</v>
      </c>
      <c r="J20" s="22" t="s">
        <v>461</v>
      </c>
      <c r="K20" s="22" t="s">
        <v>462</v>
      </c>
      <c r="L20" s="22" t="s">
        <v>463</v>
      </c>
      <c r="M20" s="22" t="s">
        <v>464</v>
      </c>
      <c r="N20" s="22" t="s">
        <v>465</v>
      </c>
      <c r="O20" s="22" t="s">
        <v>466</v>
      </c>
      <c r="Q20" s="22" t="s">
        <v>467</v>
      </c>
      <c r="R20" s="22" t="s">
        <v>468</v>
      </c>
      <c r="S20" s="22" t="s">
        <v>469</v>
      </c>
      <c r="T20" s="22" t="s">
        <v>470</v>
      </c>
      <c r="U20" s="22" t="s">
        <v>471</v>
      </c>
      <c r="W20" s="22" t="s">
        <v>472</v>
      </c>
      <c r="X20" s="22" t="s">
        <v>473</v>
      </c>
      <c r="Y20" s="22" t="s">
        <v>474</v>
      </c>
      <c r="Z20" s="22" t="s">
        <v>475</v>
      </c>
      <c r="AA20" s="22" t="s">
        <v>476</v>
      </c>
      <c r="AB20" s="22" t="s">
        <v>477</v>
      </c>
      <c r="AC20" s="22" t="s">
        <v>478</v>
      </c>
      <c r="AD20" s="22" t="s">
        <v>479</v>
      </c>
      <c r="AE20" s="22" t="s">
        <v>480</v>
      </c>
      <c r="AF20" s="22" t="s">
        <v>481</v>
      </c>
      <c r="AG20" s="22" t="s">
        <v>482</v>
      </c>
      <c r="AJ20" s="22" t="s">
        <v>483</v>
      </c>
      <c r="AK20" s="22" t="s">
        <v>484</v>
      </c>
      <c r="AL20" s="22" t="s">
        <v>485</v>
      </c>
      <c r="AN20" s="22" t="s">
        <v>486</v>
      </c>
      <c r="AO20" s="22" t="s">
        <v>487</v>
      </c>
      <c r="AP20" s="22" t="s">
        <v>488</v>
      </c>
      <c r="AQ20" s="22" t="s">
        <v>489</v>
      </c>
      <c r="AR20" s="22" t="s">
        <v>490</v>
      </c>
      <c r="AS20" s="22" t="s">
        <v>491</v>
      </c>
      <c r="AT20" s="22" t="s">
        <v>492</v>
      </c>
      <c r="AU20" s="22" t="s">
        <v>493</v>
      </c>
      <c r="AV20" s="22" t="s">
        <v>494</v>
      </c>
      <c r="AW20" s="22" t="s">
        <v>495</v>
      </c>
    </row>
    <row r="21">
      <c r="A21" s="184" t="s">
        <v>496</v>
      </c>
      <c r="B21" s="185"/>
      <c r="C21" s="185"/>
      <c r="D21" s="184" t="str">
        <f>IFERROR(__xludf.DUMMYFUNCTION("ARRAY_CONSTRAIN(split(CELL(""ADDRESS"",zsupermetrics_xwoIpANxRm908eDp5oKTwQpEI8gvD4),""!""),1,1)"),"Formula")</f>
        <v>Formula</v>
      </c>
      <c r="E21" s="184" t="str">
        <f>CELL("ADDRESS",zsupermetrics_xwoIpANxRm908eDp5oKTwQpEI8gvD4)&amp;":"&amp;address(row(zsupermetrics_xwoIpANxRm908eDp5oKTwQpEI8gvD4)+rows(zsupermetrics_xwoIpANxRm908eDp5oKTwQpEI8gvD4)-1,column(zsupermetrics_xwoIpANxRm908eDp5oKTwQpEI8gvD4)+COLUMNS(zsupermetrics_xwoIpANxRm908eDp5oKTwQpEI8gvD4)-1)</f>
        <v>Formula!$F$1:$F$1</v>
      </c>
      <c r="F21" s="185"/>
      <c r="G21" s="186">
        <v>44494.46197916667</v>
      </c>
      <c r="H21" s="186">
        <v>45231.05751157407</v>
      </c>
      <c r="I21" s="187" t="s">
        <v>391</v>
      </c>
      <c r="J21" s="188">
        <v>1.698798163807E12</v>
      </c>
      <c r="K21" s="184" t="b">
        <v>0</v>
      </c>
      <c r="L21" s="188">
        <v>1.0</v>
      </c>
      <c r="M21" s="184" t="s">
        <v>497</v>
      </c>
      <c r="N21" s="185"/>
      <c r="O21" s="184" t="s">
        <v>498</v>
      </c>
      <c r="P21" s="185"/>
      <c r="Q21" s="184" t="s">
        <v>499</v>
      </c>
      <c r="R21" s="185"/>
      <c r="S21" s="185"/>
      <c r="T21" s="185"/>
      <c r="U21" s="185"/>
      <c r="V21" s="185"/>
      <c r="W21" s="184" t="s">
        <v>500</v>
      </c>
      <c r="X21" s="184" t="s">
        <v>501</v>
      </c>
      <c r="Y21" s="184" t="s">
        <v>502</v>
      </c>
      <c r="Z21" s="184" t="s">
        <v>502</v>
      </c>
      <c r="AA21" s="184" t="s">
        <v>502</v>
      </c>
      <c r="AB21" s="184" t="s">
        <v>502</v>
      </c>
      <c r="AC21" s="185"/>
      <c r="AD21" s="188"/>
      <c r="AE21" s="188"/>
      <c r="AF21" s="184" t="s">
        <v>502</v>
      </c>
      <c r="AG21" s="184" t="s">
        <v>503</v>
      </c>
      <c r="AH21" s="185"/>
      <c r="AI21" s="185"/>
      <c r="AJ21" s="185"/>
      <c r="AK21" s="185"/>
      <c r="AL21" s="185"/>
      <c r="AM21" s="185"/>
      <c r="AN21" s="185"/>
      <c r="AO21" s="185"/>
      <c r="AP21" s="189" t="s">
        <v>504</v>
      </c>
      <c r="AQ21" s="185"/>
      <c r="AR21" s="185"/>
      <c r="AS21" s="185"/>
      <c r="AT21" s="185"/>
      <c r="AU21" s="184" t="s">
        <v>505</v>
      </c>
      <c r="AV21" s="185"/>
      <c r="AW21" s="185"/>
      <c r="AX21" s="185"/>
    </row>
    <row r="22">
      <c r="A22" s="184"/>
      <c r="B22" s="185"/>
      <c r="C22" s="185"/>
      <c r="D22" s="184"/>
      <c r="E22" s="184"/>
      <c r="F22" s="185"/>
      <c r="G22" s="186"/>
      <c r="H22" s="186"/>
      <c r="I22" s="190"/>
      <c r="J22" s="188"/>
      <c r="K22" s="184"/>
      <c r="L22" s="188"/>
      <c r="M22" s="184"/>
      <c r="N22" s="185"/>
      <c r="O22" s="184"/>
      <c r="P22" s="185"/>
      <c r="Q22" s="184"/>
      <c r="R22" s="185"/>
      <c r="S22" s="185"/>
      <c r="T22" s="185"/>
      <c r="U22" s="185"/>
      <c r="V22" s="185"/>
      <c r="W22" s="184"/>
      <c r="X22" s="184"/>
      <c r="Y22" s="184"/>
      <c r="Z22" s="184"/>
      <c r="AA22" s="184"/>
      <c r="AB22" s="184"/>
      <c r="AC22" s="185"/>
      <c r="AD22" s="185"/>
      <c r="AE22" s="185"/>
      <c r="AF22" s="184"/>
      <c r="AG22" s="184"/>
      <c r="AH22" s="185"/>
      <c r="AI22" s="185"/>
      <c r="AJ22" s="185"/>
      <c r="AK22" s="185"/>
      <c r="AL22" s="185"/>
      <c r="AM22" s="185"/>
      <c r="AN22" s="185"/>
      <c r="AO22" s="185"/>
      <c r="AP22" s="184"/>
      <c r="AQ22" s="185"/>
      <c r="AR22" s="185"/>
      <c r="AS22" s="185"/>
      <c r="AT22" s="185"/>
      <c r="AU22" s="184"/>
      <c r="AV22" s="185"/>
      <c r="AW22" s="185"/>
      <c r="AX22" s="185"/>
    </row>
    <row r="23">
      <c r="A23" s="184"/>
      <c r="B23" s="185"/>
      <c r="C23" s="185"/>
      <c r="D23" s="184"/>
      <c r="E23" s="184"/>
      <c r="F23" s="185"/>
      <c r="G23" s="186"/>
      <c r="H23" s="186"/>
      <c r="I23" s="190"/>
      <c r="J23" s="188"/>
      <c r="K23" s="184"/>
      <c r="L23" s="188"/>
      <c r="M23" s="184"/>
      <c r="N23" s="185"/>
      <c r="O23" s="184"/>
      <c r="P23" s="185"/>
      <c r="Q23" s="184"/>
      <c r="R23" s="185"/>
      <c r="S23" s="185"/>
      <c r="T23" s="185"/>
      <c r="U23" s="185"/>
      <c r="V23" s="185"/>
      <c r="W23" s="184"/>
      <c r="X23" s="184"/>
      <c r="Y23" s="184"/>
      <c r="Z23" s="184"/>
      <c r="AA23" s="184"/>
      <c r="AB23" s="184"/>
      <c r="AC23" s="185"/>
      <c r="AD23" s="185"/>
      <c r="AE23" s="185"/>
      <c r="AF23" s="184"/>
      <c r="AG23" s="184"/>
      <c r="AH23" s="185"/>
      <c r="AI23" s="185"/>
      <c r="AJ23" s="185"/>
      <c r="AK23" s="185"/>
      <c r="AL23" s="185"/>
      <c r="AM23" s="185"/>
      <c r="AN23" s="185"/>
      <c r="AO23" s="185"/>
      <c r="AP23" s="184"/>
      <c r="AQ23" s="185"/>
      <c r="AR23" s="185"/>
      <c r="AS23" s="185"/>
      <c r="AT23" s="185"/>
      <c r="AU23" s="184"/>
      <c r="AV23" s="185"/>
      <c r="AW23" s="185"/>
      <c r="AX23" s="185"/>
    </row>
    <row r="24">
      <c r="A24" s="184"/>
      <c r="B24" s="185"/>
      <c r="C24" s="185"/>
      <c r="D24" s="184"/>
      <c r="E24" s="184"/>
      <c r="F24" s="185"/>
      <c r="G24" s="186"/>
      <c r="H24" s="186"/>
      <c r="I24" s="190"/>
      <c r="J24" s="188"/>
      <c r="K24" s="184"/>
      <c r="L24" s="188"/>
      <c r="M24" s="184"/>
      <c r="N24" s="185"/>
      <c r="O24" s="184"/>
      <c r="P24" s="185"/>
      <c r="Q24" s="184"/>
      <c r="R24" s="185"/>
      <c r="S24" s="185"/>
      <c r="T24" s="185"/>
      <c r="U24" s="185"/>
      <c r="V24" s="185"/>
      <c r="W24" s="184"/>
      <c r="X24" s="184"/>
      <c r="Y24" s="184"/>
      <c r="Z24" s="184"/>
      <c r="AA24" s="184"/>
      <c r="AB24" s="184"/>
      <c r="AC24" s="185"/>
      <c r="AD24" s="185"/>
      <c r="AE24" s="185"/>
      <c r="AF24" s="184"/>
      <c r="AG24" s="184"/>
      <c r="AH24" s="185"/>
      <c r="AI24" s="185"/>
      <c r="AJ24" s="185"/>
      <c r="AK24" s="185"/>
      <c r="AL24" s="185"/>
      <c r="AM24" s="185"/>
      <c r="AN24" s="185"/>
      <c r="AO24" s="185"/>
      <c r="AP24" s="184"/>
      <c r="AQ24" s="185"/>
      <c r="AR24" s="185"/>
      <c r="AS24" s="185"/>
      <c r="AT24" s="185"/>
      <c r="AU24" s="184"/>
      <c r="AV24" s="185"/>
      <c r="AW24" s="185"/>
      <c r="AX24" s="185"/>
    </row>
    <row r="25">
      <c r="A25" s="184"/>
      <c r="B25" s="185"/>
      <c r="C25" s="185"/>
      <c r="D25" s="184"/>
      <c r="E25" s="184"/>
      <c r="F25" s="185"/>
      <c r="G25" s="186"/>
      <c r="H25" s="186"/>
      <c r="I25" s="190"/>
      <c r="J25" s="188"/>
      <c r="K25" s="184"/>
      <c r="L25" s="188"/>
      <c r="M25" s="184"/>
      <c r="N25" s="185"/>
      <c r="O25" s="184"/>
      <c r="P25" s="185"/>
      <c r="Q25" s="184"/>
      <c r="R25" s="185"/>
      <c r="S25" s="185"/>
      <c r="T25" s="185"/>
      <c r="U25" s="185"/>
      <c r="V25" s="185"/>
      <c r="W25" s="184"/>
      <c r="X25" s="184"/>
      <c r="Y25" s="184"/>
      <c r="Z25" s="184"/>
      <c r="AA25" s="184"/>
      <c r="AB25" s="184"/>
      <c r="AC25" s="185"/>
      <c r="AD25" s="185"/>
      <c r="AE25" s="185"/>
      <c r="AF25" s="184"/>
      <c r="AG25" s="184"/>
      <c r="AH25" s="185"/>
      <c r="AI25" s="185"/>
      <c r="AJ25" s="185"/>
      <c r="AK25" s="185"/>
      <c r="AL25" s="185"/>
      <c r="AM25" s="185"/>
      <c r="AN25" s="185"/>
      <c r="AO25" s="185"/>
      <c r="AP25" s="184"/>
      <c r="AQ25" s="185"/>
      <c r="AR25" s="185"/>
      <c r="AS25" s="185"/>
      <c r="AT25" s="185"/>
      <c r="AU25" s="184"/>
      <c r="AV25" s="185"/>
      <c r="AW25" s="185"/>
      <c r="AX25" s="185"/>
    </row>
    <row r="26">
      <c r="A26" s="184"/>
      <c r="B26" s="185"/>
      <c r="C26" s="185"/>
      <c r="D26" s="184"/>
      <c r="E26" s="184"/>
      <c r="F26" s="185"/>
      <c r="G26" s="186"/>
      <c r="H26" s="186"/>
      <c r="I26" s="190"/>
      <c r="J26" s="188"/>
      <c r="K26" s="184"/>
      <c r="L26" s="188"/>
      <c r="M26" s="184"/>
      <c r="N26" s="185"/>
      <c r="O26" s="184"/>
      <c r="P26" s="185"/>
      <c r="Q26" s="184"/>
      <c r="R26" s="185"/>
      <c r="S26" s="185"/>
      <c r="T26" s="185"/>
      <c r="U26" s="185"/>
      <c r="V26" s="185"/>
      <c r="W26" s="184"/>
      <c r="X26" s="184"/>
      <c r="Y26" s="184"/>
      <c r="Z26" s="184"/>
      <c r="AA26" s="184"/>
      <c r="AB26" s="184"/>
      <c r="AC26" s="185"/>
      <c r="AD26" s="185"/>
      <c r="AE26" s="185"/>
      <c r="AF26" s="184"/>
      <c r="AG26" s="184"/>
      <c r="AH26" s="185"/>
      <c r="AI26" s="185"/>
      <c r="AJ26" s="185"/>
      <c r="AK26" s="185"/>
      <c r="AL26" s="185"/>
      <c r="AM26" s="185"/>
      <c r="AN26" s="185"/>
      <c r="AO26" s="185"/>
      <c r="AP26" s="184"/>
      <c r="AQ26" s="185"/>
      <c r="AR26" s="185"/>
      <c r="AS26" s="185"/>
      <c r="AT26" s="185"/>
      <c r="AU26" s="184"/>
      <c r="AV26" s="185"/>
      <c r="AW26" s="185"/>
      <c r="AX26" s="185"/>
    </row>
    <row r="27">
      <c r="A27" s="184"/>
      <c r="B27" s="185"/>
      <c r="C27" s="185"/>
      <c r="D27" s="184"/>
      <c r="E27" s="184"/>
      <c r="F27" s="185"/>
      <c r="G27" s="186"/>
      <c r="H27" s="186"/>
      <c r="I27" s="190"/>
      <c r="J27" s="188"/>
      <c r="K27" s="184"/>
      <c r="L27" s="188"/>
      <c r="M27" s="184"/>
      <c r="N27" s="185"/>
      <c r="O27" s="184"/>
      <c r="P27" s="185"/>
      <c r="Q27" s="184"/>
      <c r="R27" s="185"/>
      <c r="S27" s="185"/>
      <c r="T27" s="185"/>
      <c r="U27" s="185"/>
      <c r="V27" s="185"/>
      <c r="W27" s="184"/>
      <c r="X27" s="184"/>
      <c r="Y27" s="184"/>
      <c r="Z27" s="184"/>
      <c r="AA27" s="184"/>
      <c r="AB27" s="184"/>
      <c r="AC27" s="185"/>
      <c r="AD27" s="185"/>
      <c r="AE27" s="185"/>
      <c r="AF27" s="184"/>
      <c r="AG27" s="184"/>
      <c r="AH27" s="185"/>
      <c r="AI27" s="185"/>
      <c r="AJ27" s="185"/>
      <c r="AK27" s="185"/>
      <c r="AL27" s="185"/>
      <c r="AM27" s="185"/>
      <c r="AN27" s="185"/>
      <c r="AO27" s="185"/>
      <c r="AP27" s="184"/>
      <c r="AQ27" s="185"/>
      <c r="AR27" s="185"/>
      <c r="AS27" s="185"/>
      <c r="AT27" s="185"/>
      <c r="AU27" s="184"/>
      <c r="AV27" s="185"/>
      <c r="AW27" s="185"/>
      <c r="AX27" s="185"/>
    </row>
    <row r="28">
      <c r="A28" s="184"/>
      <c r="B28" s="185"/>
      <c r="C28" s="185"/>
      <c r="D28" s="184"/>
      <c r="E28" s="184"/>
      <c r="F28" s="185"/>
      <c r="G28" s="186"/>
      <c r="H28" s="186"/>
      <c r="I28" s="190"/>
      <c r="J28" s="188"/>
      <c r="K28" s="184"/>
      <c r="L28" s="188"/>
      <c r="M28" s="184"/>
      <c r="N28" s="185"/>
      <c r="O28" s="184"/>
      <c r="P28" s="185"/>
      <c r="Q28" s="184"/>
      <c r="R28" s="185"/>
      <c r="S28" s="185"/>
      <c r="T28" s="185"/>
      <c r="U28" s="185"/>
      <c r="V28" s="185"/>
      <c r="W28" s="184"/>
      <c r="X28" s="184"/>
      <c r="Y28" s="184"/>
      <c r="Z28" s="184"/>
      <c r="AA28" s="184"/>
      <c r="AB28" s="184"/>
      <c r="AC28" s="185"/>
      <c r="AD28" s="185"/>
      <c r="AE28" s="185"/>
      <c r="AF28" s="184"/>
      <c r="AG28" s="184"/>
      <c r="AH28" s="185"/>
      <c r="AI28" s="185"/>
      <c r="AJ28" s="185"/>
      <c r="AK28" s="185"/>
      <c r="AL28" s="185"/>
      <c r="AM28" s="185"/>
      <c r="AN28" s="185"/>
      <c r="AO28" s="185"/>
      <c r="AP28" s="184"/>
      <c r="AQ28" s="185"/>
      <c r="AR28" s="185"/>
      <c r="AS28" s="185"/>
      <c r="AT28" s="185"/>
      <c r="AU28" s="184"/>
      <c r="AV28" s="185"/>
      <c r="AW28" s="185"/>
      <c r="AX28" s="185"/>
    </row>
    <row r="29">
      <c r="A29" s="184"/>
      <c r="B29" s="185"/>
      <c r="C29" s="185"/>
      <c r="D29" s="184"/>
      <c r="E29" s="184"/>
      <c r="F29" s="185"/>
      <c r="G29" s="186"/>
      <c r="H29" s="186"/>
      <c r="I29" s="190"/>
      <c r="J29" s="188"/>
      <c r="K29" s="184"/>
      <c r="L29" s="188"/>
      <c r="M29" s="184"/>
      <c r="N29" s="185"/>
      <c r="O29" s="184"/>
      <c r="P29" s="185"/>
      <c r="Q29" s="184"/>
      <c r="R29" s="185"/>
      <c r="S29" s="185"/>
      <c r="T29" s="185"/>
      <c r="U29" s="185"/>
      <c r="V29" s="185"/>
      <c r="W29" s="184"/>
      <c r="X29" s="184"/>
      <c r="Y29" s="184"/>
      <c r="Z29" s="184"/>
      <c r="AA29" s="184"/>
      <c r="AB29" s="184"/>
      <c r="AC29" s="185"/>
      <c r="AD29" s="185"/>
      <c r="AE29" s="185"/>
      <c r="AF29" s="184"/>
      <c r="AG29" s="184"/>
      <c r="AH29" s="185"/>
      <c r="AI29" s="185"/>
      <c r="AJ29" s="185"/>
      <c r="AK29" s="185"/>
      <c r="AL29" s="185"/>
      <c r="AM29" s="185"/>
      <c r="AN29" s="185"/>
      <c r="AO29" s="185"/>
      <c r="AP29" s="184"/>
      <c r="AQ29" s="185"/>
      <c r="AR29" s="185"/>
      <c r="AS29" s="185"/>
      <c r="AT29" s="185"/>
      <c r="AU29" s="184"/>
      <c r="AV29" s="185"/>
      <c r="AW29" s="185"/>
      <c r="AX29" s="185"/>
    </row>
    <row r="30">
      <c r="A30" s="184"/>
      <c r="B30" s="185"/>
      <c r="C30" s="185"/>
      <c r="D30" s="184"/>
      <c r="E30" s="184"/>
      <c r="F30" s="185"/>
      <c r="G30" s="186"/>
      <c r="H30" s="186"/>
      <c r="I30" s="190"/>
      <c r="J30" s="188"/>
      <c r="K30" s="184"/>
      <c r="L30" s="188"/>
      <c r="M30" s="184"/>
      <c r="N30" s="185"/>
      <c r="O30" s="184"/>
      <c r="P30" s="185"/>
      <c r="Q30" s="184"/>
      <c r="R30" s="185"/>
      <c r="S30" s="185"/>
      <c r="T30" s="185"/>
      <c r="U30" s="185"/>
      <c r="V30" s="185"/>
      <c r="W30" s="184"/>
      <c r="X30" s="184"/>
      <c r="Y30" s="184"/>
      <c r="Z30" s="184"/>
      <c r="AA30" s="184"/>
      <c r="AB30" s="184"/>
      <c r="AC30" s="185"/>
      <c r="AD30" s="185"/>
      <c r="AE30" s="185"/>
      <c r="AF30" s="184"/>
      <c r="AG30" s="184"/>
      <c r="AH30" s="185"/>
      <c r="AI30" s="185"/>
      <c r="AJ30" s="185"/>
      <c r="AK30" s="185"/>
      <c r="AL30" s="185"/>
      <c r="AM30" s="185"/>
      <c r="AN30" s="185"/>
      <c r="AO30" s="185"/>
      <c r="AP30" s="184"/>
      <c r="AQ30" s="185"/>
      <c r="AR30" s="185"/>
      <c r="AS30" s="185"/>
      <c r="AT30" s="185"/>
      <c r="AU30" s="184"/>
      <c r="AV30" s="185"/>
      <c r="AW30" s="185"/>
      <c r="AX30" s="185"/>
    </row>
    <row r="31">
      <c r="A31" s="184"/>
      <c r="B31" s="185"/>
      <c r="C31" s="185"/>
      <c r="D31" s="184"/>
      <c r="E31" s="184"/>
      <c r="F31" s="185"/>
      <c r="G31" s="186"/>
      <c r="H31" s="186"/>
      <c r="I31" s="190"/>
      <c r="J31" s="188"/>
      <c r="K31" s="184"/>
      <c r="L31" s="188"/>
      <c r="M31" s="184"/>
      <c r="N31" s="185"/>
      <c r="O31" s="184"/>
      <c r="P31" s="185"/>
      <c r="Q31" s="184"/>
      <c r="R31" s="185"/>
      <c r="S31" s="185"/>
      <c r="T31" s="185"/>
      <c r="U31" s="185"/>
      <c r="V31" s="185"/>
      <c r="W31" s="184"/>
      <c r="X31" s="184"/>
      <c r="Y31" s="184"/>
      <c r="Z31" s="184"/>
      <c r="AA31" s="184"/>
      <c r="AB31" s="184"/>
      <c r="AC31" s="185"/>
      <c r="AD31" s="185"/>
      <c r="AE31" s="185"/>
      <c r="AF31" s="184"/>
      <c r="AG31" s="184"/>
      <c r="AH31" s="185"/>
      <c r="AI31" s="185"/>
      <c r="AJ31" s="185"/>
      <c r="AK31" s="185"/>
      <c r="AL31" s="185"/>
      <c r="AM31" s="185"/>
      <c r="AN31" s="185"/>
      <c r="AO31" s="185"/>
      <c r="AP31" s="184"/>
      <c r="AQ31" s="185"/>
      <c r="AR31" s="185"/>
      <c r="AS31" s="185"/>
      <c r="AT31" s="185"/>
      <c r="AU31" s="184"/>
      <c r="AV31" s="185"/>
      <c r="AW31" s="185"/>
      <c r="AX31" s="185"/>
    </row>
    <row r="32">
      <c r="A32" s="184"/>
      <c r="B32" s="185"/>
      <c r="C32" s="185"/>
      <c r="D32" s="184"/>
      <c r="E32" s="184"/>
      <c r="F32" s="185"/>
      <c r="G32" s="186"/>
      <c r="H32" s="186"/>
      <c r="I32" s="190"/>
      <c r="J32" s="188"/>
      <c r="K32" s="184"/>
      <c r="L32" s="188"/>
      <c r="M32" s="184"/>
      <c r="N32" s="185"/>
      <c r="O32" s="184"/>
      <c r="P32" s="185"/>
      <c r="Q32" s="184"/>
      <c r="R32" s="185"/>
      <c r="S32" s="185"/>
      <c r="T32" s="185"/>
      <c r="U32" s="185"/>
      <c r="V32" s="185"/>
      <c r="W32" s="184"/>
      <c r="X32" s="184"/>
      <c r="Y32" s="184"/>
      <c r="Z32" s="184"/>
      <c r="AA32" s="184"/>
      <c r="AB32" s="184"/>
      <c r="AC32" s="185"/>
      <c r="AD32" s="185"/>
      <c r="AE32" s="185"/>
      <c r="AF32" s="184"/>
      <c r="AG32" s="184"/>
      <c r="AH32" s="185"/>
      <c r="AI32" s="185"/>
      <c r="AJ32" s="185"/>
      <c r="AK32" s="185"/>
      <c r="AL32" s="185"/>
      <c r="AM32" s="185"/>
      <c r="AN32" s="185"/>
      <c r="AO32" s="185"/>
      <c r="AP32" s="184"/>
      <c r="AQ32" s="185"/>
      <c r="AR32" s="185"/>
      <c r="AS32" s="185"/>
      <c r="AT32" s="185"/>
      <c r="AU32" s="184"/>
      <c r="AV32" s="185"/>
      <c r="AW32" s="185"/>
      <c r="AX32" s="185"/>
    </row>
    <row r="33">
      <c r="A33" s="184"/>
      <c r="B33" s="185"/>
      <c r="C33" s="185"/>
      <c r="D33" s="184"/>
      <c r="E33" s="184"/>
      <c r="F33" s="185"/>
      <c r="G33" s="186"/>
      <c r="H33" s="186"/>
      <c r="I33" s="190"/>
      <c r="J33" s="188"/>
      <c r="K33" s="184"/>
      <c r="L33" s="188"/>
      <c r="M33" s="184"/>
      <c r="N33" s="185"/>
      <c r="O33" s="184"/>
      <c r="P33" s="185"/>
      <c r="Q33" s="184"/>
      <c r="R33" s="185"/>
      <c r="S33" s="185"/>
      <c r="T33" s="185"/>
      <c r="U33" s="185"/>
      <c r="V33" s="185"/>
      <c r="W33" s="184"/>
      <c r="X33" s="184"/>
      <c r="Y33" s="184"/>
      <c r="Z33" s="184"/>
      <c r="AA33" s="184"/>
      <c r="AB33" s="184"/>
      <c r="AC33" s="185"/>
      <c r="AD33" s="185"/>
      <c r="AE33" s="185"/>
      <c r="AF33" s="184"/>
      <c r="AG33" s="184"/>
      <c r="AH33" s="185"/>
      <c r="AI33" s="185"/>
      <c r="AJ33" s="185"/>
      <c r="AK33" s="185"/>
      <c r="AL33" s="185"/>
      <c r="AM33" s="185"/>
      <c r="AN33" s="185"/>
      <c r="AO33" s="185"/>
      <c r="AP33" s="184"/>
      <c r="AQ33" s="185"/>
      <c r="AR33" s="185"/>
      <c r="AS33" s="185"/>
      <c r="AT33" s="185"/>
      <c r="AU33" s="184"/>
      <c r="AV33" s="185"/>
      <c r="AW33" s="185"/>
      <c r="AX33" s="185"/>
    </row>
    <row r="34">
      <c r="A34" s="184"/>
      <c r="B34" s="185"/>
      <c r="C34" s="185"/>
      <c r="D34" s="184"/>
      <c r="E34" s="184"/>
      <c r="F34" s="185"/>
      <c r="G34" s="186"/>
      <c r="H34" s="186"/>
      <c r="I34" s="190"/>
      <c r="J34" s="188"/>
      <c r="K34" s="184"/>
      <c r="L34" s="188"/>
      <c r="M34" s="184"/>
      <c r="N34" s="185"/>
      <c r="O34" s="184"/>
      <c r="P34" s="185"/>
      <c r="Q34" s="184"/>
      <c r="R34" s="185"/>
      <c r="S34" s="185"/>
      <c r="T34" s="185"/>
      <c r="U34" s="185"/>
      <c r="V34" s="185"/>
      <c r="W34" s="184"/>
      <c r="X34" s="184"/>
      <c r="Y34" s="184"/>
      <c r="Z34" s="184"/>
      <c r="AA34" s="184"/>
      <c r="AB34" s="184"/>
      <c r="AC34" s="185"/>
      <c r="AD34" s="185"/>
      <c r="AE34" s="185"/>
      <c r="AF34" s="184"/>
      <c r="AG34" s="184"/>
      <c r="AH34" s="185"/>
      <c r="AI34" s="185"/>
      <c r="AJ34" s="185"/>
      <c r="AK34" s="185"/>
      <c r="AL34" s="185"/>
      <c r="AM34" s="185"/>
      <c r="AN34" s="185"/>
      <c r="AO34" s="185"/>
      <c r="AP34" s="184"/>
      <c r="AQ34" s="185"/>
      <c r="AR34" s="185"/>
      <c r="AS34" s="185"/>
      <c r="AT34" s="185"/>
      <c r="AU34" s="184"/>
      <c r="AV34" s="185"/>
      <c r="AW34" s="185"/>
      <c r="AX34" s="185"/>
    </row>
  </sheetData>
  <mergeCells count="5">
    <mergeCell ref="A6:G7"/>
    <mergeCell ref="A8:G9"/>
    <mergeCell ref="A10:G11"/>
    <mergeCell ref="A13:H15"/>
    <mergeCell ref="A16:H17"/>
  </mergeCells>
  <drawing r:id="rId2"/>
  <legacyDrawing r:id="rId3"/>
</worksheet>
</file>